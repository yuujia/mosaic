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yuuji\Dropbox\Kaissa Consumer\Mosaic\buckets\AGENTICS\TENB\source\"/>
    </mc:Choice>
  </mc:AlternateContent>
  <xr:revisionPtr revIDLastSave="0" documentId="13_ncr:1_{D3CEAC45-D1A6-41CC-8C70-4ABD1E052192}" xr6:coauthVersionLast="47" xr6:coauthVersionMax="47" xr10:uidLastSave="{00000000-0000-0000-0000-000000000000}"/>
  <bookViews>
    <workbookView xWindow="-98" yWindow="-98" windowWidth="21795" windowHeight="12975" activeTab="2" xr2:uid="{9EFC1F7C-ED7A-40DB-8905-B8264ED6FAF0}"/>
  </bookViews>
  <sheets>
    <sheet name="Disclaimer" sheetId="1" r:id="rId1"/>
    <sheet name="Income Statement" sheetId="2" r:id="rId2"/>
    <sheet name="Revenue Build" sheetId="3" r:id="rId3"/>
    <sheet name="Balance Sheet" sheetId="4" r:id="rId4"/>
    <sheet name="Cash Flow" sheetId="5" r:id="rId5"/>
  </sheets>
  <externalReferences>
    <externalReference r:id="rId6"/>
    <externalReference r:id="rId7"/>
  </externalReferences>
  <definedNames>
    <definedName name="\0">#REF!</definedName>
    <definedName name="\1">#N/A</definedName>
    <definedName name="\2">#N/A</definedName>
    <definedName name="\3">#N/A</definedName>
    <definedName name="\4">#N/A</definedName>
    <definedName name="\5">#N/A</definedName>
    <definedName name="\6">#N/A</definedName>
    <definedName name="\a">#N/A</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#N/A</definedName>
    <definedName name="\l">#REF!</definedName>
    <definedName name="\m">#REF!</definedName>
    <definedName name="\n">#REF!</definedName>
    <definedName name="\o">#REF!</definedName>
    <definedName name="\p">#REF!</definedName>
    <definedName name="\PRINJV">#REF!</definedName>
    <definedName name="\q">#REF!</definedName>
    <definedName name="\r">#REF!</definedName>
    <definedName name="\s">#REF!</definedName>
    <definedName name="\t">#REF!</definedName>
    <definedName name="\u">#REF!</definedName>
    <definedName name="\v">#N/A</definedName>
    <definedName name="\w">#REF!</definedName>
    <definedName name="\x">#REF!</definedName>
    <definedName name="\y">#REF!</definedName>
    <definedName name="\z">#REF!</definedName>
    <definedName name="_">#REF!</definedName>
    <definedName name="_.4">#REF!</definedName>
    <definedName name="_????_3">#REF!</definedName>
    <definedName name="_????1_3">#REF!</definedName>
    <definedName name="_????8_3">#REF!</definedName>
    <definedName name="_??_3">#REF!</definedName>
    <definedName name="_??1???_3">#REF!</definedName>
    <definedName name="__">#REF!</definedName>
    <definedName name="___">#REF!</definedName>
    <definedName name="____">#REF!</definedName>
    <definedName name="_____">#REF!</definedName>
    <definedName name="______">#REF!</definedName>
    <definedName name="________">#REF!</definedName>
    <definedName name="__________">#REF!</definedName>
    <definedName name="____________">#REF!</definedName>
    <definedName name="_____________">#REF!</definedName>
    <definedName name="______________">#REF!</definedName>
    <definedName name="_______________________________________________tax2">#REF!</definedName>
    <definedName name="______________________________________________tax2">#REF!</definedName>
    <definedName name="_____________________________________________tax2">#REF!</definedName>
    <definedName name="____________________________________________tax2">#REF!</definedName>
    <definedName name="___________________________________________tax2">#REF!</definedName>
    <definedName name="__________________________________________tax2">#REF!</definedName>
    <definedName name="_________________________________________tax2">#REF!</definedName>
    <definedName name="________________________________________tax2">#REF!</definedName>
    <definedName name="_______________________________________tax2">#REF!</definedName>
    <definedName name="______________________________________tax2">#REF!</definedName>
    <definedName name="_____________________________________tax2">#REF!</definedName>
    <definedName name="____________________________________tax2">#REF!</definedName>
    <definedName name="___________________________________tax2">#REF!</definedName>
    <definedName name="__________________________________aud02">#REF!</definedName>
    <definedName name="__________________________________aud03">#REF!</definedName>
    <definedName name="__________________________________aud04">#REF!</definedName>
    <definedName name="__________________________________hkd03">#REF!</definedName>
    <definedName name="__________________________________hkd04">#REF!</definedName>
    <definedName name="__________________________________sgd02">#REF!</definedName>
    <definedName name="__________________________________sgd03">#REF!</definedName>
    <definedName name="__________________________________sgd04">#REF!</definedName>
    <definedName name="__________________________________tax2">#REF!</definedName>
    <definedName name="__________________________________thb02">#REF!</definedName>
    <definedName name="__________________________________thb03">#REF!</definedName>
    <definedName name="__________________________________thb04">#REF!</definedName>
    <definedName name="__________________________________twd02">#REF!</definedName>
    <definedName name="__________________________________twd03">#REF!</definedName>
    <definedName name="__________________________________twd04">#REF!</definedName>
    <definedName name="_________________________________aud02">#REF!</definedName>
    <definedName name="_________________________________aud03">#REF!</definedName>
    <definedName name="_________________________________aud04">#REF!</definedName>
    <definedName name="_________________________________hkd03">#REF!</definedName>
    <definedName name="_________________________________hkd04">#REF!</definedName>
    <definedName name="_________________________________sgd02">#REF!</definedName>
    <definedName name="_________________________________sgd03">#REF!</definedName>
    <definedName name="_________________________________sgd04">#REF!</definedName>
    <definedName name="_________________________________tax2">#REF!</definedName>
    <definedName name="_________________________________thb02">#REF!</definedName>
    <definedName name="_________________________________thb03">#REF!</definedName>
    <definedName name="_________________________________thb04">#REF!</definedName>
    <definedName name="_________________________________twd02">#REF!</definedName>
    <definedName name="_________________________________twd03">#REF!</definedName>
    <definedName name="_________________________________twd04">#REF!</definedName>
    <definedName name="________________________________aud02">#REF!</definedName>
    <definedName name="________________________________aud03">#REF!</definedName>
    <definedName name="________________________________aud04">#REF!</definedName>
    <definedName name="________________________________hkd03">#REF!</definedName>
    <definedName name="________________________________hkd04">#REF!</definedName>
    <definedName name="________________________________sgd02">#REF!</definedName>
    <definedName name="________________________________sgd03">#REF!</definedName>
    <definedName name="________________________________sgd04">#REF!</definedName>
    <definedName name="________________________________tax2">#REF!</definedName>
    <definedName name="________________________________thb02">#REF!</definedName>
    <definedName name="________________________________thb03">#REF!</definedName>
    <definedName name="________________________________thb04">#REF!</definedName>
    <definedName name="________________________________twd02">#REF!</definedName>
    <definedName name="________________________________twd03">#REF!</definedName>
    <definedName name="________________________________twd04">#REF!</definedName>
    <definedName name="_______________________________aud02">#REF!</definedName>
    <definedName name="_______________________________aud03">#REF!</definedName>
    <definedName name="_______________________________aud04">#REF!</definedName>
    <definedName name="_______________________________hkd03">#REF!</definedName>
    <definedName name="_______________________________hkd04">#REF!</definedName>
    <definedName name="_______________________________sgd02">#REF!</definedName>
    <definedName name="_______________________________sgd03">#REF!</definedName>
    <definedName name="_______________________________sgd04">#REF!</definedName>
    <definedName name="_______________________________tax2">#REF!</definedName>
    <definedName name="_______________________________thb02">#REF!</definedName>
    <definedName name="_______________________________thb03">#REF!</definedName>
    <definedName name="_______________________________thb04">#REF!</definedName>
    <definedName name="_______________________________twd02">#REF!</definedName>
    <definedName name="_______________________________twd03">#REF!</definedName>
    <definedName name="_______________________________twd04">#REF!</definedName>
    <definedName name="______________________________aud02">#REF!</definedName>
    <definedName name="______________________________aud03">#REF!</definedName>
    <definedName name="______________________________aud04">#REF!</definedName>
    <definedName name="______________________________hkd03">#REF!</definedName>
    <definedName name="______________________________hkd04">#REF!</definedName>
    <definedName name="______________________________sgd02">#REF!</definedName>
    <definedName name="______________________________sgd03">#REF!</definedName>
    <definedName name="______________________________sgd04">#REF!</definedName>
    <definedName name="______________________________tax2">#REF!</definedName>
    <definedName name="______________________________thb02">#REF!</definedName>
    <definedName name="______________________________thb03">#REF!</definedName>
    <definedName name="______________________________thb04">#REF!</definedName>
    <definedName name="______________________________twd02">#REF!</definedName>
    <definedName name="______________________________twd03">#REF!</definedName>
    <definedName name="______________________________twd04">#REF!</definedName>
    <definedName name="_____________________________aud02">#REF!</definedName>
    <definedName name="_____________________________aud03">#REF!</definedName>
    <definedName name="_____________________________aud04">#REF!</definedName>
    <definedName name="_____________________________hkd03">#REF!</definedName>
    <definedName name="_____________________________hkd04">#REF!</definedName>
    <definedName name="_____________________________sgd02">#REF!</definedName>
    <definedName name="_____________________________sgd03">#REF!</definedName>
    <definedName name="_____________________________sgd04">#REF!</definedName>
    <definedName name="_____________________________tax2">#REF!</definedName>
    <definedName name="_____________________________thb02">#REF!</definedName>
    <definedName name="_____________________________thb03">#REF!</definedName>
    <definedName name="_____________________________thb04">#REF!</definedName>
    <definedName name="_____________________________twd02">#REF!</definedName>
    <definedName name="_____________________________twd03">#REF!</definedName>
    <definedName name="_____________________________twd04">#REF!</definedName>
    <definedName name="____________________________aud02">#REF!</definedName>
    <definedName name="____________________________aud03">#REF!</definedName>
    <definedName name="____________________________aud04">#REF!</definedName>
    <definedName name="____________________________hkd03">#REF!</definedName>
    <definedName name="____________________________hkd04">#REF!</definedName>
    <definedName name="____________________________sgd02">#REF!</definedName>
    <definedName name="____________________________sgd03">#REF!</definedName>
    <definedName name="____________________________sgd04">#REF!</definedName>
    <definedName name="____________________________tax2">#REF!</definedName>
    <definedName name="____________________________thb02">#REF!</definedName>
    <definedName name="____________________________thb03">#REF!</definedName>
    <definedName name="____________________________thb04">#REF!</definedName>
    <definedName name="____________________________twd02">#REF!</definedName>
    <definedName name="____________________________twd03">#REF!</definedName>
    <definedName name="____________________________twd04">#REF!</definedName>
    <definedName name="___________________________aud02">#REF!</definedName>
    <definedName name="___________________________aud03">#REF!</definedName>
    <definedName name="___________________________aud04">#REF!</definedName>
    <definedName name="___________________________hkd03">#REF!</definedName>
    <definedName name="___________________________hkd04">#REF!</definedName>
    <definedName name="___________________________sgd02">#REF!</definedName>
    <definedName name="___________________________sgd03">#REF!</definedName>
    <definedName name="___________________________sgd04">#REF!</definedName>
    <definedName name="___________________________tax2">#REF!</definedName>
    <definedName name="___________________________thb02">#REF!</definedName>
    <definedName name="___________________________thb03">#REF!</definedName>
    <definedName name="___________________________thb04">#REF!</definedName>
    <definedName name="___________________________twd02">#REF!</definedName>
    <definedName name="___________________________twd03">#REF!</definedName>
    <definedName name="___________________________twd04">#REF!</definedName>
    <definedName name="__________________________aud02">#REF!</definedName>
    <definedName name="__________________________aud03">#REF!</definedName>
    <definedName name="__________________________aud04">#REF!</definedName>
    <definedName name="__________________________hkd03">#REF!</definedName>
    <definedName name="__________________________hkd04">#REF!</definedName>
    <definedName name="__________________________sgd02">#REF!</definedName>
    <definedName name="__________________________sgd03">#REF!</definedName>
    <definedName name="__________________________sgd04">#REF!</definedName>
    <definedName name="__________________________tax2">#REF!</definedName>
    <definedName name="__________________________thb02">#REF!</definedName>
    <definedName name="__________________________thb03">#REF!</definedName>
    <definedName name="__________________________thb04">#REF!</definedName>
    <definedName name="__________________________twd02">#REF!</definedName>
    <definedName name="__________________________twd03">#REF!</definedName>
    <definedName name="__________________________twd04">#REF!</definedName>
    <definedName name="_________________________aud02">#REF!</definedName>
    <definedName name="_________________________aud03">#REF!</definedName>
    <definedName name="_________________________aud04">#REF!</definedName>
    <definedName name="_________________________hkd03">#REF!</definedName>
    <definedName name="_________________________hkd04">#REF!</definedName>
    <definedName name="_________________________sgd02">#REF!</definedName>
    <definedName name="_________________________sgd03">#REF!</definedName>
    <definedName name="_________________________sgd04">#REF!</definedName>
    <definedName name="_________________________tax2">#REF!</definedName>
    <definedName name="_________________________thb02">#REF!</definedName>
    <definedName name="_________________________thb03">#REF!</definedName>
    <definedName name="_________________________thb04">#REF!</definedName>
    <definedName name="_________________________twd02">#REF!</definedName>
    <definedName name="_________________________twd03">#REF!</definedName>
    <definedName name="_________________________twd04">#REF!</definedName>
    <definedName name="________________________aud02">#REF!</definedName>
    <definedName name="________________________aud03">#REF!</definedName>
    <definedName name="________________________aud04">#REF!</definedName>
    <definedName name="________________________hkd03">#REF!</definedName>
    <definedName name="________________________hkd04">#REF!</definedName>
    <definedName name="________________________sgd02">#REF!</definedName>
    <definedName name="________________________sgd03">#REF!</definedName>
    <definedName name="________________________sgd04">#REF!</definedName>
    <definedName name="________________________tax2">#REF!</definedName>
    <definedName name="________________________thb02">#REF!</definedName>
    <definedName name="________________________thb03">#REF!</definedName>
    <definedName name="________________________thb04">#REF!</definedName>
    <definedName name="________________________twd02">#REF!</definedName>
    <definedName name="________________________twd03">#REF!</definedName>
    <definedName name="________________________twd04">#REF!</definedName>
    <definedName name="_______________________aud02">#REF!</definedName>
    <definedName name="_______________________aud03">#REF!</definedName>
    <definedName name="_______________________aud04">#REF!</definedName>
    <definedName name="_______________________hkd03">#REF!</definedName>
    <definedName name="_______________________hkd04">#REF!</definedName>
    <definedName name="_______________________sgd02">#REF!</definedName>
    <definedName name="_______________________sgd03">#REF!</definedName>
    <definedName name="_______________________sgd04">#REF!</definedName>
    <definedName name="_______________________tax2">#REF!</definedName>
    <definedName name="_______________________thb02">#REF!</definedName>
    <definedName name="_______________________thb03">#REF!</definedName>
    <definedName name="_______________________thb04">#REF!</definedName>
    <definedName name="_______________________twd02">#REF!</definedName>
    <definedName name="_______________________twd03">#REF!</definedName>
    <definedName name="_______________________twd04">#REF!</definedName>
    <definedName name="______________________aud02">#REF!</definedName>
    <definedName name="______________________aud03">#REF!</definedName>
    <definedName name="______________________aud04">#REF!</definedName>
    <definedName name="______________________cad03">#REF!</definedName>
    <definedName name="______________________cad03a">#REF!</definedName>
    <definedName name="______________________eur03">#REF!</definedName>
    <definedName name="______________________gbp03">#REF!</definedName>
    <definedName name="______________________hkd02">#REF!</definedName>
    <definedName name="______________________hkd03">#REF!</definedName>
    <definedName name="______________________hkd04">#REF!</definedName>
    <definedName name="______________________idr03">#REF!</definedName>
    <definedName name="______________________myr03">#REF!</definedName>
    <definedName name="______________________sgd02">#REF!</definedName>
    <definedName name="______________________sgd03">#REF!</definedName>
    <definedName name="______________________sgd04">#REF!</definedName>
    <definedName name="______________________tax2">#REF!</definedName>
    <definedName name="______________________thb02">#REF!</definedName>
    <definedName name="______________________thb03">#REF!</definedName>
    <definedName name="______________________thb04">#REF!</definedName>
    <definedName name="______________________twd02">#REF!</definedName>
    <definedName name="______________________twd03">#REF!</definedName>
    <definedName name="______________________twd04">#REF!</definedName>
    <definedName name="_____________________a1">{"'1-TheatreBkgs'!$A$1:$L$102"}</definedName>
    <definedName name="_____________________a2">{"'1-TheatreBkgs'!$A$1:$L$102"}</definedName>
    <definedName name="_____________________a3">{"'1-TheatreBkgs'!$A$1:$L$102"}</definedName>
    <definedName name="_____________________aud02">#REF!</definedName>
    <definedName name="_____________________aud03">#REF!</definedName>
    <definedName name="_____________________aud04">#REF!</definedName>
    <definedName name="_____________________cad03">#REF!</definedName>
    <definedName name="_____________________eur03">#REF!</definedName>
    <definedName name="_____________________gbp03">#REF!</definedName>
    <definedName name="_____________________hkd02">#REF!</definedName>
    <definedName name="_____________________hkd03">#REF!</definedName>
    <definedName name="_____________________hkd04">#REF!</definedName>
    <definedName name="_____________________idr03">#REF!</definedName>
    <definedName name="_____________________myr03">#REF!</definedName>
    <definedName name="_____________________Q1">{"'Standalone List Price Trends'!$A$1:$X$56"}</definedName>
    <definedName name="_____________________Q2">{"'Standalone List Price Trends'!$A$1:$X$56"}</definedName>
    <definedName name="_____________________Q3">{"'Standalone List Price Trends'!$A$1:$X$56"}</definedName>
    <definedName name="_____________________Q4">{"'Standalone List Price Trends'!$A$1:$X$56"}</definedName>
    <definedName name="_____________________Q5">{"'Standalone List Price Trends'!$A$1:$X$56"}</definedName>
    <definedName name="_____________________Q9">{"'Standalone List Price Trends'!$A$1:$X$56"}</definedName>
    <definedName name="_____________________rw1">{"'Standalone List Price Trends'!$A$1:$X$56"}</definedName>
    <definedName name="_____________________rw2">{"'Standalone List Price Trends'!$A$1:$X$56"}</definedName>
    <definedName name="_____________________rw3">{"'Standalone List Price Trends'!$A$1:$X$56"}</definedName>
    <definedName name="_____________________rw4">{"'Standalone List Price Trends'!$A$1:$X$56"}</definedName>
    <definedName name="_____________________sex2">{"'1-TheatreBkgs'!$A$1:$L$102"}</definedName>
    <definedName name="_____________________sex3">{"'1-TheatreBkgs'!$A$1:$L$102"}</definedName>
    <definedName name="_____________________sex4">{"'1-TheatreBkgs'!$A$1:$L$102"}</definedName>
    <definedName name="_____________________sex5">{"'1-TheatreBkgs'!$A$1:$L$102"}</definedName>
    <definedName name="_____________________sex6">{"'1-TheatreBkgs'!$A$1:$L$102"}</definedName>
    <definedName name="_____________________sgd02">#REF!</definedName>
    <definedName name="_____________________sgd03">#REF!</definedName>
    <definedName name="_____________________sgd04">#REF!</definedName>
    <definedName name="_____________________tax2">#REF!</definedName>
    <definedName name="_____________________thb02">#REF!</definedName>
    <definedName name="_____________________thb03">#REF!</definedName>
    <definedName name="_____________________thb04">#REF!</definedName>
    <definedName name="_____________________twd02">#REF!</definedName>
    <definedName name="_____________________twd03">#REF!</definedName>
    <definedName name="_____________________twd04">#REF!</definedName>
    <definedName name="_____________________v1">{"'1-TheatreBkgs'!$A$1:$L$102"}</definedName>
    <definedName name="_____________________V2">{"'1-TheatreBkgs'!$A$1:$L$102"}</definedName>
    <definedName name="_____________________v3">{"'1-TheatreBkgs'!$A$1:$L$102"}</definedName>
    <definedName name="____________________aud02">#REF!</definedName>
    <definedName name="____________________aud03">#REF!</definedName>
    <definedName name="____________________aud04">#REF!</definedName>
    <definedName name="____________________cad03">#REF!</definedName>
    <definedName name="____________________eur03">#REF!</definedName>
    <definedName name="____________________gbp03">#REF!</definedName>
    <definedName name="____________________hc4">{"'1-TheatreBkgs'!$A$1:$L$102"}</definedName>
    <definedName name="____________________hkd02">#REF!</definedName>
    <definedName name="____________________hkd03">#REF!</definedName>
    <definedName name="____________________hkd04">#REF!</definedName>
    <definedName name="____________________idr03">#REF!</definedName>
    <definedName name="____________________myr03">#REF!</definedName>
    <definedName name="____________________New1">#REF!</definedName>
    <definedName name="____________________sgd02">#REF!</definedName>
    <definedName name="____________________sgd03">#REF!</definedName>
    <definedName name="____________________sgd04">#REF!</definedName>
    <definedName name="____________________tax2">#REF!</definedName>
    <definedName name="____________________thb02">#REF!</definedName>
    <definedName name="____________________thb03">#REF!</definedName>
    <definedName name="____________________thb04">#REF!</definedName>
    <definedName name="____________________twd02">#REF!</definedName>
    <definedName name="____________________twd03">#REF!</definedName>
    <definedName name="____________________twd04">#REF!</definedName>
    <definedName name="___________________aud02">#REF!</definedName>
    <definedName name="___________________aud03">#REF!</definedName>
    <definedName name="___________________aud04">#REF!</definedName>
    <definedName name="___________________cad03">#REF!</definedName>
    <definedName name="___________________eur03">#REF!</definedName>
    <definedName name="___________________gbp03">#REF!</definedName>
    <definedName name="___________________hkd02">#REF!</definedName>
    <definedName name="___________________hkd03">#REF!</definedName>
    <definedName name="___________________hkd04">#REF!</definedName>
    <definedName name="___________________idr03">#REF!</definedName>
    <definedName name="___________________myr03">#REF!</definedName>
    <definedName name="___________________New1">#REF!</definedName>
    <definedName name="___________________sgd02">#REF!</definedName>
    <definedName name="___________________sgd03">#REF!</definedName>
    <definedName name="___________________sgd04">#REF!</definedName>
    <definedName name="___________________tax2">#REF!</definedName>
    <definedName name="___________________thb02">#REF!</definedName>
    <definedName name="___________________thb03">#REF!</definedName>
    <definedName name="___________________thb04">#REF!</definedName>
    <definedName name="___________________twd02">#REF!</definedName>
    <definedName name="___________________twd03">#REF!</definedName>
    <definedName name="___________________twd04">#REF!</definedName>
    <definedName name="___________________Z04">#REF!</definedName>
    <definedName name="___________________Z05">#REF!</definedName>
    <definedName name="__________________aud02">#REF!</definedName>
    <definedName name="__________________aud03">#REF!</definedName>
    <definedName name="__________________aud04">#REF!</definedName>
    <definedName name="__________________cad03">#REF!</definedName>
    <definedName name="__________________eur03">#REF!</definedName>
    <definedName name="__________________gbp03">#REF!</definedName>
    <definedName name="__________________hkd02">#REF!</definedName>
    <definedName name="__________________hkd03">#REF!</definedName>
    <definedName name="__________________hkd04">#REF!</definedName>
    <definedName name="__________________idr03">#REF!</definedName>
    <definedName name="__________________myr03">#REF!</definedName>
    <definedName name="__________________New1">#REF!</definedName>
    <definedName name="__________________sgd02">#REF!</definedName>
    <definedName name="__________________sgd03">#REF!</definedName>
    <definedName name="__________________sgd04">#REF!</definedName>
    <definedName name="__________________tax2">#REF!</definedName>
    <definedName name="__________________thb02">#REF!</definedName>
    <definedName name="__________________thb03">#REF!</definedName>
    <definedName name="__________________thb04">#REF!</definedName>
    <definedName name="__________________twd02">#REF!</definedName>
    <definedName name="__________________twd03">#REF!</definedName>
    <definedName name="__________________twd04">#REF!</definedName>
    <definedName name="__________________Z04">#REF!</definedName>
    <definedName name="__________________Z05">#REF!</definedName>
    <definedName name="_________________aud02">#REF!</definedName>
    <definedName name="_________________aud03">#REF!</definedName>
    <definedName name="_________________aud04">#REF!</definedName>
    <definedName name="_________________cad03">#REF!</definedName>
    <definedName name="_________________eur03">#REF!</definedName>
    <definedName name="_________________gbp03">#REF!</definedName>
    <definedName name="_________________hkd02">#REF!</definedName>
    <definedName name="_________________hkd03">#REF!</definedName>
    <definedName name="_________________hkd04">#REF!</definedName>
    <definedName name="_________________idr03">#REF!</definedName>
    <definedName name="_________________myr03">#REF!</definedName>
    <definedName name="_________________New1">#REF!</definedName>
    <definedName name="_________________sep97">#REF!</definedName>
    <definedName name="_________________sgd02">#REF!</definedName>
    <definedName name="_________________sgd03">#REF!</definedName>
    <definedName name="_________________sgd04">#REF!</definedName>
    <definedName name="_________________Sht1">#REF!</definedName>
    <definedName name="_________________ST1">#REF!</definedName>
    <definedName name="_________________tax2">#REF!</definedName>
    <definedName name="_________________thb02">#REF!</definedName>
    <definedName name="_________________thb03">#REF!</definedName>
    <definedName name="_________________thb04">#REF!</definedName>
    <definedName name="_________________TOT1">#REF!</definedName>
    <definedName name="_________________twd02">#REF!</definedName>
    <definedName name="_________________twd03">#REF!</definedName>
    <definedName name="_________________twd04">#REF!</definedName>
    <definedName name="_________________Z04">#REF!</definedName>
    <definedName name="_________________Z05">#REF!</definedName>
    <definedName name="________________aud02">#REF!</definedName>
    <definedName name="________________aud03">#REF!</definedName>
    <definedName name="________________aud04">#REF!</definedName>
    <definedName name="________________DAT1">#REF!</definedName>
    <definedName name="________________DAT10">#REF!</definedName>
    <definedName name="________________DAT11">#REF!</definedName>
    <definedName name="________________DAT12">#REF!</definedName>
    <definedName name="________________DAT13">#REF!</definedName>
    <definedName name="________________DAT14">#REF!</definedName>
    <definedName name="________________DAT15">#REF!</definedName>
    <definedName name="________________DAT16">#REF!</definedName>
    <definedName name="________________DAT17">#REF!</definedName>
    <definedName name="________________DAT18">#REF!</definedName>
    <definedName name="________________DAT19">#REF!</definedName>
    <definedName name="________________DAT2">#REF!</definedName>
    <definedName name="________________DAT20">#REF!</definedName>
    <definedName name="________________DAT3">#REF!</definedName>
    <definedName name="________________DAT4">#REF!</definedName>
    <definedName name="________________DAT5">#REF!</definedName>
    <definedName name="________________DAT6">#REF!</definedName>
    <definedName name="________________DAT7">#REF!</definedName>
    <definedName name="________________DAT8">#REF!</definedName>
    <definedName name="________________FST1">#REF!</definedName>
    <definedName name="________________hkd03">#REF!</definedName>
    <definedName name="________________hkd04">#REF!</definedName>
    <definedName name="________________ILT1">#REF!</definedName>
    <definedName name="________________New1">#REF!</definedName>
    <definedName name="________________PSM2">#REF!</definedName>
    <definedName name="________________PSM3">#REF!</definedName>
    <definedName name="________________sep97">#REF!</definedName>
    <definedName name="________________sgd02">#REF!</definedName>
    <definedName name="________________sgd03">#REF!</definedName>
    <definedName name="________________sgd04">#REF!</definedName>
    <definedName name="________________Sht1">#REF!</definedName>
    <definedName name="________________ST1">#REF!</definedName>
    <definedName name="________________tax2">#REF!</definedName>
    <definedName name="________________thb02">#REF!</definedName>
    <definedName name="________________thb03">#REF!</definedName>
    <definedName name="________________thb04">#REF!</definedName>
    <definedName name="________________TLT1">#REF!</definedName>
    <definedName name="________________TOT1">#REF!</definedName>
    <definedName name="________________twd02">#REF!</definedName>
    <definedName name="________________twd03">#REF!</definedName>
    <definedName name="________________twd04">#REF!</definedName>
    <definedName name="________________UER1">#REF!</definedName>
    <definedName name="________________Z04">#REF!</definedName>
    <definedName name="________________Z05">#REF!</definedName>
    <definedName name="_______________aud02">#REF!</definedName>
    <definedName name="_______________aud03">#REF!</definedName>
    <definedName name="_______________aud04">#REF!</definedName>
    <definedName name="_______________DAT1">#REF!</definedName>
    <definedName name="_______________DAT10">#REF!</definedName>
    <definedName name="_______________DAT11">#REF!</definedName>
    <definedName name="_______________DAT12">#REF!</definedName>
    <definedName name="_______________DAT13">#REF!</definedName>
    <definedName name="_______________DAT14">#REF!</definedName>
    <definedName name="_______________DAT15">#REF!</definedName>
    <definedName name="_______________DAT16">#REF!</definedName>
    <definedName name="_______________DAT17">#REF!</definedName>
    <definedName name="_______________DAT18">#REF!</definedName>
    <definedName name="_______________DAT19">#REF!</definedName>
    <definedName name="_______________DAT2">#REF!</definedName>
    <definedName name="_______________DAT20">#REF!</definedName>
    <definedName name="_______________DAT3">#REF!</definedName>
    <definedName name="_______________DAT4">#REF!</definedName>
    <definedName name="_______________DAT5">#REF!</definedName>
    <definedName name="_______________DAT6">#REF!</definedName>
    <definedName name="_______________DAT7">#REF!</definedName>
    <definedName name="_______________DAT8">#REF!</definedName>
    <definedName name="_______________DAT9">#REF!</definedName>
    <definedName name="_______________FST1">#REF!</definedName>
    <definedName name="_______________hkd03">#REF!</definedName>
    <definedName name="_______________hkd04">#REF!</definedName>
    <definedName name="_______________ILT1">#REF!</definedName>
    <definedName name="_______________New1">#REF!</definedName>
    <definedName name="_______________sep97">#REF!</definedName>
    <definedName name="_______________sgd02">#REF!</definedName>
    <definedName name="_______________sgd03">#REF!</definedName>
    <definedName name="_______________sgd04">#REF!</definedName>
    <definedName name="_______________Sht1">#REF!</definedName>
    <definedName name="_______________ST1">#REF!</definedName>
    <definedName name="_______________tax2">#REF!</definedName>
    <definedName name="_______________thb02">#REF!</definedName>
    <definedName name="_______________thb03">#REF!</definedName>
    <definedName name="_______________thb04">#REF!</definedName>
    <definedName name="_______________TLT1">#REF!</definedName>
    <definedName name="_______________TOT1">#REF!</definedName>
    <definedName name="_______________twd02">#REF!</definedName>
    <definedName name="_______________twd03">#REF!</definedName>
    <definedName name="_______________twd04">#REF!</definedName>
    <definedName name="_______________UER1">#REF!</definedName>
    <definedName name="_______________Z04">#REF!</definedName>
    <definedName name="_______________Z05">#REF!</definedName>
    <definedName name="______________aud02">#REF!</definedName>
    <definedName name="______________aud03">#REF!</definedName>
    <definedName name="______________aud04">#REF!</definedName>
    <definedName name="______________DAT1">#REF!</definedName>
    <definedName name="______________DAT10">#REF!</definedName>
    <definedName name="______________DAT11">#REF!</definedName>
    <definedName name="______________DAT12">#REF!</definedName>
    <definedName name="______________DAT13">#REF!</definedName>
    <definedName name="______________DAT14">#REF!</definedName>
    <definedName name="______________DAT15">#REF!</definedName>
    <definedName name="______________DAT16">#REF!</definedName>
    <definedName name="______________DAT17">#REF!</definedName>
    <definedName name="______________DAT18">#REF!</definedName>
    <definedName name="______________DAT19">#REF!</definedName>
    <definedName name="______________DAT2">#REF!</definedName>
    <definedName name="______________DAT20">#REF!</definedName>
    <definedName name="______________DAT3">#REF!</definedName>
    <definedName name="______________DAT4">#REF!</definedName>
    <definedName name="______________DAT5">#REF!</definedName>
    <definedName name="______________DAT6">#REF!</definedName>
    <definedName name="______________DAT7">#REF!</definedName>
    <definedName name="______________DAT8">#REF!</definedName>
    <definedName name="______________DAT9">#REF!</definedName>
    <definedName name="______________FST1">#REF!</definedName>
    <definedName name="______________hkd03">#REF!</definedName>
    <definedName name="______________hkd04">#REF!</definedName>
    <definedName name="______________ILF99">#REF!</definedName>
    <definedName name="______________ILT1">#REF!</definedName>
    <definedName name="______________New1">#REF!</definedName>
    <definedName name="______________pg3">#REF!</definedName>
    <definedName name="______________pg7">#REF!</definedName>
    <definedName name="______________pg9">#REF!</definedName>
    <definedName name="______________PSM2">#REF!</definedName>
    <definedName name="______________PSM3">#REF!</definedName>
    <definedName name="______________sep97">#REF!</definedName>
    <definedName name="______________sgd02">#REF!</definedName>
    <definedName name="______________sgd03">#REF!</definedName>
    <definedName name="______________sgd04">#REF!</definedName>
    <definedName name="______________sht1">#REF!</definedName>
    <definedName name="______________ST1">#REF!</definedName>
    <definedName name="______________tax2">#REF!</definedName>
    <definedName name="______________thb02">#REF!</definedName>
    <definedName name="______________thb03">#REF!</definedName>
    <definedName name="______________thb04">#REF!</definedName>
    <definedName name="______________TLT1">#REF!</definedName>
    <definedName name="______________TOT1">#REF!</definedName>
    <definedName name="______________TS1">#REF!</definedName>
    <definedName name="______________twd02">#REF!</definedName>
    <definedName name="______________twd03">#REF!</definedName>
    <definedName name="______________twd04">#REF!</definedName>
    <definedName name="______________UER1">#REF!</definedName>
    <definedName name="______________Z04">#REF!</definedName>
    <definedName name="______________Z05">#REF!</definedName>
    <definedName name="_____________a1">{"'1-TheatreBkgs'!$A$1:$L$102"}</definedName>
    <definedName name="_____________a2">{"'1-TheatreBkgs'!$A$1:$L$102"}</definedName>
    <definedName name="_____________a3">{"'1-TheatreBkgs'!$A$1:$L$102"}</definedName>
    <definedName name="_____________aud02">#REF!</definedName>
    <definedName name="_____________aud03">#REF!</definedName>
    <definedName name="_____________aud04">#REF!</definedName>
    <definedName name="_____________DAT1">#REF!</definedName>
    <definedName name="_____________DAT10">#REF!</definedName>
    <definedName name="_____________DAT11">#REF!</definedName>
    <definedName name="_____________DAT12">#REF!</definedName>
    <definedName name="_____________DAT2">#REF!</definedName>
    <definedName name="_____________DAT3">#REF!</definedName>
    <definedName name="_____________DAT4">#REF!</definedName>
    <definedName name="_____________DAT5">#REF!</definedName>
    <definedName name="_____________DAT6">#REF!</definedName>
    <definedName name="_____________DAT7">#REF!</definedName>
    <definedName name="_____________DAT8">#REF!</definedName>
    <definedName name="_____________DAT9">#REF!</definedName>
    <definedName name="_____________FST1">#REF!</definedName>
    <definedName name="_____________hc4">{"'1-TheatreBkgs'!$A$1:$L$102"}</definedName>
    <definedName name="_____________hkd03">#REF!</definedName>
    <definedName name="_____________hkd04">#REF!</definedName>
    <definedName name="_____________ILT1">#REF!</definedName>
    <definedName name="_____________mv1">#REF!</definedName>
    <definedName name="_____________New1">#REF!</definedName>
    <definedName name="_____________new2">#REF!</definedName>
    <definedName name="_____________oe1">#REF!</definedName>
    <definedName name="_____________old2">#REF!</definedName>
    <definedName name="_____________pd123">#REF!</definedName>
    <definedName name="_____________pg3">#REF!</definedName>
    <definedName name="_____________pg5">#REF!</definedName>
    <definedName name="_____________pg7">#REF!</definedName>
    <definedName name="_____________pg9">#REF!</definedName>
    <definedName name="_____________PSM2">#REF!</definedName>
    <definedName name="_____________PSM3">#REF!</definedName>
    <definedName name="_____________Q1">{"'Standalone List Price Trends'!$A$1:$X$56"}</definedName>
    <definedName name="_____________Q2">{"'Standalone List Price Trends'!$A$1:$X$56"}</definedName>
    <definedName name="_____________Q3">{"'Standalone List Price Trends'!$A$1:$X$56"}</definedName>
    <definedName name="_____________Q4">{"'Standalone List Price Trends'!$A$1:$X$56"}</definedName>
    <definedName name="_____________Q5">{"'Standalone List Price Trends'!$A$1:$X$56"}</definedName>
    <definedName name="_____________Q9">{"'Standalone List Price Trends'!$A$1:$X$56"}</definedName>
    <definedName name="_____________rw1">{"'Standalone List Price Trends'!$A$1:$X$56"}</definedName>
    <definedName name="_____________rw2">{"'Standalone List Price Trends'!$A$1:$X$56"}</definedName>
    <definedName name="_____________rw3">{"'Standalone List Price Trends'!$A$1:$X$56"}</definedName>
    <definedName name="_____________rw4">{"'Standalone List Price Trends'!$A$1:$X$56"}</definedName>
    <definedName name="_____________sep97">#REF!</definedName>
    <definedName name="_____________sex2">{"'1-TheatreBkgs'!$A$1:$L$102"}</definedName>
    <definedName name="_____________sex3">{"'1-TheatreBkgs'!$A$1:$L$102"}</definedName>
    <definedName name="_____________sex4">{"'1-TheatreBkgs'!$A$1:$L$102"}</definedName>
    <definedName name="_____________sex5">{"'1-TheatreBkgs'!$A$1:$L$102"}</definedName>
    <definedName name="_____________sex6">{"'1-TheatreBkgs'!$A$1:$L$102"}</definedName>
    <definedName name="_____________sgd02">#REF!</definedName>
    <definedName name="_____________sgd03">#REF!</definedName>
    <definedName name="_____________sgd04">#REF!</definedName>
    <definedName name="_____________sht1">#REF!</definedName>
    <definedName name="_____________ST1">#REF!</definedName>
    <definedName name="_____________tax2">#REF!</definedName>
    <definedName name="_____________thb02">#REF!</definedName>
    <definedName name="_____________thb03">#REF!</definedName>
    <definedName name="_____________thb04">#REF!</definedName>
    <definedName name="_____________TLT1">#REF!</definedName>
    <definedName name="_____________TOT1">#REF!</definedName>
    <definedName name="_____________TS1">#REF!</definedName>
    <definedName name="_____________twd02">#REF!</definedName>
    <definedName name="_____________twd03">#REF!</definedName>
    <definedName name="_____________twd04">#REF!</definedName>
    <definedName name="_____________UER1">#REF!</definedName>
    <definedName name="_____________v1">{"'1-TheatreBkgs'!$A$1:$L$102"}</definedName>
    <definedName name="_____________V2">{"'1-TheatreBkgs'!$A$1:$L$102"}</definedName>
    <definedName name="_____________v3">{"'1-TheatreBkgs'!$A$1:$L$102"}</definedName>
    <definedName name="_____________Z04">#REF!</definedName>
    <definedName name="_____________Z05">#REF!</definedName>
    <definedName name="____________aud02">#REF!</definedName>
    <definedName name="____________aud03">#REF!</definedName>
    <definedName name="____________aud04">#REF!</definedName>
    <definedName name="____________cad03">#REF!</definedName>
    <definedName name="____________DAT1">#REF!</definedName>
    <definedName name="____________DAT10">#REF!</definedName>
    <definedName name="____________DAT11">#REF!</definedName>
    <definedName name="____________DAT12">#REF!</definedName>
    <definedName name="____________DAT2">#REF!</definedName>
    <definedName name="____________DAT3">#REF!</definedName>
    <definedName name="____________DAT4">#REF!</definedName>
    <definedName name="____________DAT5">#REF!</definedName>
    <definedName name="____________DAT6">#REF!</definedName>
    <definedName name="____________DAT7">#REF!</definedName>
    <definedName name="____________DAT8">#REF!</definedName>
    <definedName name="____________DAT9">#REF!</definedName>
    <definedName name="____________eur03">#REF!</definedName>
    <definedName name="____________FST1">#REF!</definedName>
    <definedName name="____________gbp03">#REF!</definedName>
    <definedName name="____________hkd02">#REF!</definedName>
    <definedName name="____________hkd03">#REF!</definedName>
    <definedName name="____________hkd04">#REF!</definedName>
    <definedName name="____________idr03">#REF!</definedName>
    <definedName name="____________ILF2000">#REF!</definedName>
    <definedName name="____________ILF99">#REF!</definedName>
    <definedName name="____________ILT1">#REF!</definedName>
    <definedName name="____________MAT1">#REF!</definedName>
    <definedName name="____________mv1">#REF!</definedName>
    <definedName name="____________myr03">#REF!</definedName>
    <definedName name="____________New1">#REF!</definedName>
    <definedName name="____________oe1">#REF!</definedName>
    <definedName name="____________pd123">#REF!</definedName>
    <definedName name="____________pg3">#REF!</definedName>
    <definedName name="____________pg5">#REF!</definedName>
    <definedName name="____________pg7">#REF!</definedName>
    <definedName name="____________pg9">#REF!</definedName>
    <definedName name="____________PSM2">#REF!</definedName>
    <definedName name="____________PSM3">#REF!</definedName>
    <definedName name="____________q1">#REF!</definedName>
    <definedName name="____________q2">#REF!</definedName>
    <definedName name="____________sep97">#REF!</definedName>
    <definedName name="____________sgd02">#REF!</definedName>
    <definedName name="____________sgd03">#REF!</definedName>
    <definedName name="____________sgd04">#REF!</definedName>
    <definedName name="____________sht1">#REF!</definedName>
    <definedName name="____________ST1">#REF!</definedName>
    <definedName name="____________tax2">#REF!</definedName>
    <definedName name="____________thb02">#REF!</definedName>
    <definedName name="____________thb03">#REF!</definedName>
    <definedName name="____________thb04">#REF!</definedName>
    <definedName name="____________TLT1">#REF!</definedName>
    <definedName name="____________TOT1">#REF!</definedName>
    <definedName name="____________TS1">#REF!</definedName>
    <definedName name="____________twd02">#REF!</definedName>
    <definedName name="____________twd03">#REF!</definedName>
    <definedName name="____________twd04">#REF!</definedName>
    <definedName name="____________UER1">#REF!</definedName>
    <definedName name="____________Z04">#REF!</definedName>
    <definedName name="____________Z05">#REF!</definedName>
    <definedName name="___________ACK1">#REF!</definedName>
    <definedName name="___________ake1">#REF!</definedName>
    <definedName name="___________ake2">#REF!</definedName>
    <definedName name="___________ake3">#REF!</definedName>
    <definedName name="___________aud02">#REF!</definedName>
    <definedName name="___________aud03">#REF!</definedName>
    <definedName name="___________aud04">#REF!</definedName>
    <definedName name="___________cad03">#REF!</definedName>
    <definedName name="___________DAT1">#REF!</definedName>
    <definedName name="___________DAT10">#REF!</definedName>
    <definedName name="___________DAT11">#REF!</definedName>
    <definedName name="___________DAT12">#REF!</definedName>
    <definedName name="___________DAT13">#REF!</definedName>
    <definedName name="___________DAT14">#REF!</definedName>
    <definedName name="___________DAT15">#REF!</definedName>
    <definedName name="___________DAT16">#REF!</definedName>
    <definedName name="___________DAT17">#REF!</definedName>
    <definedName name="___________DAT18">#REF!</definedName>
    <definedName name="___________DAT19">#REF!</definedName>
    <definedName name="___________DAT2">#REF!</definedName>
    <definedName name="___________DAT20">#REF!</definedName>
    <definedName name="___________DAT3">#REF!</definedName>
    <definedName name="___________DAT4">#REF!</definedName>
    <definedName name="___________DAT5">#REF!</definedName>
    <definedName name="___________DAT6">#REF!</definedName>
    <definedName name="___________DAT7">#REF!</definedName>
    <definedName name="___________DAT8">#REF!</definedName>
    <definedName name="___________DAT9">#REF!</definedName>
    <definedName name="___________e1">{"'Sheet3'!$CL$329:$CU$335"}</definedName>
    <definedName name="___________eur03">#REF!</definedName>
    <definedName name="___________FST1">#REF!</definedName>
    <definedName name="___________gbp03">#REF!</definedName>
    <definedName name="___________hkd02">#REF!</definedName>
    <definedName name="___________hkd03">#REF!</definedName>
    <definedName name="___________hkd04">#REF!</definedName>
    <definedName name="___________I8">{"'Sheet3'!$CL$329:$CU$335"}</definedName>
    <definedName name="___________idr03">#REF!</definedName>
    <definedName name="___________ILF2000">#REF!</definedName>
    <definedName name="___________ILF99">#REF!</definedName>
    <definedName name="___________ILT1">#REF!</definedName>
    <definedName name="___________MAT1">#REF!</definedName>
    <definedName name="___________mv1">#REF!</definedName>
    <definedName name="___________myr03">#REF!</definedName>
    <definedName name="___________New1">#REF!</definedName>
    <definedName name="___________new2">#REF!</definedName>
    <definedName name="___________oe1">#REF!</definedName>
    <definedName name="___________old2">#REF!</definedName>
    <definedName name="___________P1">#REF!</definedName>
    <definedName name="___________pd123">#REF!</definedName>
    <definedName name="___________PG2">#REF!</definedName>
    <definedName name="___________pg3">#REF!</definedName>
    <definedName name="___________PG4">#REF!</definedName>
    <definedName name="___________pg5">#REF!</definedName>
    <definedName name="___________PG6">#REF!</definedName>
    <definedName name="___________pg7">#REF!</definedName>
    <definedName name="___________pg9">#REF!</definedName>
    <definedName name="___________q1">#REF!</definedName>
    <definedName name="___________q2">#REF!</definedName>
    <definedName name="___________sep97">#REF!</definedName>
    <definedName name="___________sgd02">#REF!</definedName>
    <definedName name="___________sgd03">#REF!</definedName>
    <definedName name="___________sgd04">#REF!</definedName>
    <definedName name="___________sht1">#REF!</definedName>
    <definedName name="___________ST1">#REF!</definedName>
    <definedName name="___________tax2">#REF!</definedName>
    <definedName name="___________thb02">#REF!</definedName>
    <definedName name="___________thb03">#REF!</definedName>
    <definedName name="___________thb04">#REF!</definedName>
    <definedName name="___________TLT1">#REF!</definedName>
    <definedName name="___________TOT1">#REF!</definedName>
    <definedName name="___________TS1">#REF!</definedName>
    <definedName name="___________twd02">#REF!</definedName>
    <definedName name="___________twd03">#REF!</definedName>
    <definedName name="___________twd04">#REF!</definedName>
    <definedName name="___________UER1">#REF!</definedName>
    <definedName name="___________wrn3">#REF!</definedName>
    <definedName name="___________wrn4">#REF!</definedName>
    <definedName name="___________Z04">#REF!</definedName>
    <definedName name="___________Z05">#REF!</definedName>
    <definedName name="__________ACK1">#REF!</definedName>
    <definedName name="__________ake1">#REF!</definedName>
    <definedName name="__________ake2">#REF!</definedName>
    <definedName name="__________ake3">#REF!</definedName>
    <definedName name="__________aud02">#REF!</definedName>
    <definedName name="__________aud03">#REF!</definedName>
    <definedName name="__________aud04">#REF!</definedName>
    <definedName name="__________cad03">#REF!</definedName>
    <definedName name="__________DAT1">#REF!</definedName>
    <definedName name="__________DAT10">#REF!</definedName>
    <definedName name="__________DAT11">#REF!</definedName>
    <definedName name="__________DAT12">#REF!</definedName>
    <definedName name="__________DAT13">#REF!</definedName>
    <definedName name="__________DAT14">#REF!</definedName>
    <definedName name="__________DAT15">#REF!</definedName>
    <definedName name="__________DAT16">#REF!</definedName>
    <definedName name="__________DAT17">#REF!</definedName>
    <definedName name="__________DAT18">#REF!</definedName>
    <definedName name="__________DAT19">#REF!</definedName>
    <definedName name="__________DAT2">#REF!</definedName>
    <definedName name="__________DAT20">#REF!</definedName>
    <definedName name="__________DAT3">#REF!</definedName>
    <definedName name="__________DAT4">#REF!</definedName>
    <definedName name="__________DAT5">#REF!</definedName>
    <definedName name="__________DAT6">#REF!</definedName>
    <definedName name="__________DAT7">#REF!</definedName>
    <definedName name="__________DAT8">#REF!</definedName>
    <definedName name="__________DAT9">#REF!</definedName>
    <definedName name="__________eur03">#REF!</definedName>
    <definedName name="__________FST1">#REF!</definedName>
    <definedName name="__________gbp03">#REF!</definedName>
    <definedName name="__________hkd02">#REF!</definedName>
    <definedName name="__________hkd03">#REF!</definedName>
    <definedName name="__________hkd04">#REF!</definedName>
    <definedName name="__________idr03">#REF!</definedName>
    <definedName name="__________ILF2000">#REF!</definedName>
    <definedName name="__________ILT1">#REF!</definedName>
    <definedName name="__________MAT1">#REF!</definedName>
    <definedName name="__________mv1">#REF!</definedName>
    <definedName name="__________myr03">#REF!</definedName>
    <definedName name="__________New1">#REF!</definedName>
    <definedName name="__________new2">#REF!</definedName>
    <definedName name="__________oe1">#REF!</definedName>
    <definedName name="__________old2">#REF!</definedName>
    <definedName name="__________P1">#REF!</definedName>
    <definedName name="__________PG2">#REF!</definedName>
    <definedName name="__________pg3">#REF!</definedName>
    <definedName name="__________PG4">#REF!</definedName>
    <definedName name="__________pg5">#REF!</definedName>
    <definedName name="__________PG6">#REF!</definedName>
    <definedName name="__________pg7">#REF!</definedName>
    <definedName name="__________pg9">#REF!</definedName>
    <definedName name="__________PSM3">#REF!</definedName>
    <definedName name="__________sb1">#REF!</definedName>
    <definedName name="__________sep97">#REF!</definedName>
    <definedName name="__________sgd02">#REF!</definedName>
    <definedName name="__________sgd03">#REF!</definedName>
    <definedName name="__________sgd04">#REF!</definedName>
    <definedName name="__________sht1">#REF!</definedName>
    <definedName name="__________ST1">#REF!</definedName>
    <definedName name="__________tax2">#REF!</definedName>
    <definedName name="__________ted2">#REF!</definedName>
    <definedName name="__________thb02">#REF!</definedName>
    <definedName name="__________thb03">#REF!</definedName>
    <definedName name="__________thb04">#REF!</definedName>
    <definedName name="__________TLT1">#REF!</definedName>
    <definedName name="__________TOT1">#REF!</definedName>
    <definedName name="__________TS1">#REF!</definedName>
    <definedName name="__________twd02">#REF!</definedName>
    <definedName name="__________twd03">#REF!</definedName>
    <definedName name="__________twd04">#REF!</definedName>
    <definedName name="__________UER1">#REF!</definedName>
    <definedName name="__________wrn3">#REF!</definedName>
    <definedName name="__________wrn4">#REF!</definedName>
    <definedName name="__________Z04">#REF!</definedName>
    <definedName name="__________Z05">#REF!</definedName>
    <definedName name="__________zz04">#REF!</definedName>
    <definedName name="_________aa1">#REF!</definedName>
    <definedName name="_________aaa2">#REF!</definedName>
    <definedName name="_________ACK1">#REF!</definedName>
    <definedName name="_________ake1">#REF!</definedName>
    <definedName name="_________ake2">#REF!</definedName>
    <definedName name="_________ake3">#REF!</definedName>
    <definedName name="_________aud02">#REF!</definedName>
    <definedName name="_________aud03">#REF!</definedName>
    <definedName name="_________aud04">#REF!</definedName>
    <definedName name="_________cad03">#REF!</definedName>
    <definedName name="_________DAT1">#REF!</definedName>
    <definedName name="_________DAT10">#REF!</definedName>
    <definedName name="_________DAT11">#REF!</definedName>
    <definedName name="_________DAT12">#REF!</definedName>
    <definedName name="_________DAT13">#REF!</definedName>
    <definedName name="_________DAT14">#REF!</definedName>
    <definedName name="_________DAT15">#REF!</definedName>
    <definedName name="_________DAT16">#REF!</definedName>
    <definedName name="_________DAT17">#REF!</definedName>
    <definedName name="_________DAT18">#REF!</definedName>
    <definedName name="_________DAT19">#REF!</definedName>
    <definedName name="_________DAT2">#REF!</definedName>
    <definedName name="_________DAT20">#REF!</definedName>
    <definedName name="_________DAT3">#REF!</definedName>
    <definedName name="_________DAT4">#REF!</definedName>
    <definedName name="_________DAT5">#REF!</definedName>
    <definedName name="_________DAT6">#REF!</definedName>
    <definedName name="_________DAT7">#REF!</definedName>
    <definedName name="_________DAT8">#REF!</definedName>
    <definedName name="_________DAT9">#REF!</definedName>
    <definedName name="_________eur03">#REF!</definedName>
    <definedName name="_________FST1">#REF!</definedName>
    <definedName name="_________gbp03">#REF!</definedName>
    <definedName name="_________hkd02">#REF!</definedName>
    <definedName name="_________hkd03">#REF!</definedName>
    <definedName name="_________hkd04">#REF!</definedName>
    <definedName name="_________idr03">#REF!</definedName>
    <definedName name="_________ILF2000">#REF!</definedName>
    <definedName name="_________ILF99">#REF!</definedName>
    <definedName name="_________ILT1">#REF!</definedName>
    <definedName name="_________IS2">#REF!</definedName>
    <definedName name="_________jyr6">#REF!</definedName>
    <definedName name="_________lbg2">#REF!</definedName>
    <definedName name="_________LG2">#REF!</definedName>
    <definedName name="_________MAT1">#REF!</definedName>
    <definedName name="_________mv1">#REF!</definedName>
    <definedName name="_________myr03">#REF!</definedName>
    <definedName name="_________New1">#REF!</definedName>
    <definedName name="_________new2">#REF!</definedName>
    <definedName name="_________oe1">#REF!</definedName>
    <definedName name="_________old2">#REF!</definedName>
    <definedName name="_________old3">#REF!</definedName>
    <definedName name="_________old4">#REF!</definedName>
    <definedName name="_________old5">#REF!</definedName>
    <definedName name="_________old8">#REF!</definedName>
    <definedName name="_________old9">#REF!</definedName>
    <definedName name="_________P1">#REF!</definedName>
    <definedName name="_________pd123">#REF!</definedName>
    <definedName name="_________PG2">#REF!</definedName>
    <definedName name="_________pg3">#REF!</definedName>
    <definedName name="_________PG4">#REF!</definedName>
    <definedName name="_________pg5">#REF!</definedName>
    <definedName name="_________PG6">#REF!</definedName>
    <definedName name="_________pg7">#REF!</definedName>
    <definedName name="_________pg9">#REF!</definedName>
    <definedName name="_________PSM2">#REF!</definedName>
    <definedName name="_________PSM3">#REF!</definedName>
    <definedName name="_________q1">#REF!</definedName>
    <definedName name="_________q2">#REF!</definedName>
    <definedName name="_________sep97">#REF!</definedName>
    <definedName name="_________sgd02">#REF!</definedName>
    <definedName name="_________sgd03">#REF!</definedName>
    <definedName name="_________sgd04">#REF!</definedName>
    <definedName name="_________sht1">#REF!</definedName>
    <definedName name="_________ST1">#REF!</definedName>
    <definedName name="_________tax2">#REF!</definedName>
    <definedName name="_________thb02">#REF!</definedName>
    <definedName name="_________thb03">#REF!</definedName>
    <definedName name="_________thb04">#REF!</definedName>
    <definedName name="_________TLT1">#REF!</definedName>
    <definedName name="_________TOT1">#REF!</definedName>
    <definedName name="_________TS1">#REF!</definedName>
    <definedName name="_________twd02">#REF!</definedName>
    <definedName name="_________twd03">#REF!</definedName>
    <definedName name="_________twd04">#REF!</definedName>
    <definedName name="_________UER1">#REF!</definedName>
    <definedName name="_________wpl2">#REF!</definedName>
    <definedName name="_________wrn3">#REF!</definedName>
    <definedName name="_________wrn4">#REF!</definedName>
    <definedName name="_________Z04">#REF!</definedName>
    <definedName name="_________Z05">#REF!</definedName>
    <definedName name="_________zz04">#REF!</definedName>
    <definedName name="________a1">{"'Sheet1'!$L$16"}</definedName>
    <definedName name="________aa1">#REF!</definedName>
    <definedName name="________aaa2">#REF!</definedName>
    <definedName name="________ACK1">#REF!</definedName>
    <definedName name="________ake1">#REF!</definedName>
    <definedName name="________ake2">#REF!</definedName>
    <definedName name="________ake3">#REF!</definedName>
    <definedName name="________aud02">#REF!</definedName>
    <definedName name="________aud03">#REF!</definedName>
    <definedName name="________aud04">#REF!</definedName>
    <definedName name="________cad03">#REF!</definedName>
    <definedName name="________DAT1">#REF!</definedName>
    <definedName name="________DAT10">#REF!</definedName>
    <definedName name="________DAT11">#REF!</definedName>
    <definedName name="________DAT12">#REF!</definedName>
    <definedName name="________DAT13">#REF!</definedName>
    <definedName name="________DAT14">#REF!</definedName>
    <definedName name="________DAT15">#REF!</definedName>
    <definedName name="________DAT16">#REF!</definedName>
    <definedName name="________DAT17">#REF!</definedName>
    <definedName name="________DAT18">#REF!</definedName>
    <definedName name="________DAT19">#REF!</definedName>
    <definedName name="________DAT2">#REF!</definedName>
    <definedName name="________DAT20">#REF!</definedName>
    <definedName name="________DAT3">#REF!</definedName>
    <definedName name="________DAT4">#REF!</definedName>
    <definedName name="________DAT5">#REF!</definedName>
    <definedName name="________DAT6">#REF!</definedName>
    <definedName name="________DAT7">#REF!</definedName>
    <definedName name="________DAT8">#REF!</definedName>
    <definedName name="________DAT9">#REF!</definedName>
    <definedName name="________e1">{"'Sheet3'!$CL$329:$CU$335"}</definedName>
    <definedName name="________eur03">#REF!</definedName>
    <definedName name="________FST1">#REF!</definedName>
    <definedName name="________gbp03">#REF!</definedName>
    <definedName name="________hkd02">#REF!</definedName>
    <definedName name="________hkd03">#REF!</definedName>
    <definedName name="________hkd04">#REF!</definedName>
    <definedName name="________I8">{"'Sheet3'!$CL$329:$CU$335"}</definedName>
    <definedName name="________idr03">#REF!</definedName>
    <definedName name="________ILF2000">#REF!</definedName>
    <definedName name="________ILF99">#REF!</definedName>
    <definedName name="________ILT1">#REF!</definedName>
    <definedName name="________IS2">#REF!</definedName>
    <definedName name="________jyr6">#REF!</definedName>
    <definedName name="________lbg2">#REF!</definedName>
    <definedName name="________LG2">#REF!</definedName>
    <definedName name="________MAT1">#REF!</definedName>
    <definedName name="________myr03">#REF!</definedName>
    <definedName name="________New1">#REF!</definedName>
    <definedName name="________new2">#REF!</definedName>
    <definedName name="________old2">#REF!</definedName>
    <definedName name="________old3">#REF!</definedName>
    <definedName name="________old4">#REF!</definedName>
    <definedName name="________old5">#REF!</definedName>
    <definedName name="________old8">#REF!</definedName>
    <definedName name="________old9">#REF!</definedName>
    <definedName name="________P1">#REF!</definedName>
    <definedName name="________pd123">#REF!</definedName>
    <definedName name="________PG1">#REF!</definedName>
    <definedName name="________PG2">#REF!</definedName>
    <definedName name="________pg3">#REF!</definedName>
    <definedName name="________PG4">#REF!</definedName>
    <definedName name="________pg5">#REF!</definedName>
    <definedName name="________PG6">#REF!</definedName>
    <definedName name="________pg7">#REF!</definedName>
    <definedName name="________pg9">#REF!</definedName>
    <definedName name="________q1">#REF!</definedName>
    <definedName name="________q2">#REF!</definedName>
    <definedName name="________RNG1">#REF!</definedName>
    <definedName name="________RNG2">#REF!</definedName>
    <definedName name="________sb1">#REF!</definedName>
    <definedName name="________sep97">#REF!</definedName>
    <definedName name="________sgd02">#REF!</definedName>
    <definedName name="________sgd03">#REF!</definedName>
    <definedName name="________sgd04">#REF!</definedName>
    <definedName name="________sht1">#REF!</definedName>
    <definedName name="________ST1">#REF!</definedName>
    <definedName name="________tax2">#REF!</definedName>
    <definedName name="________ted2">#REF!</definedName>
    <definedName name="________thb02">#REF!</definedName>
    <definedName name="________thb03">#REF!</definedName>
    <definedName name="________thb04">#REF!</definedName>
    <definedName name="________TLT1">#REF!</definedName>
    <definedName name="________TOP1">#REF!</definedName>
    <definedName name="________TOT1">#REF!</definedName>
    <definedName name="________TS1">#REF!</definedName>
    <definedName name="________twd02">#REF!</definedName>
    <definedName name="________twd03">#REF!</definedName>
    <definedName name="________twd04">#REF!</definedName>
    <definedName name="________UER1">#REF!</definedName>
    <definedName name="________wpl2">#REF!</definedName>
    <definedName name="________wrn3">#REF!</definedName>
    <definedName name="________wrn4">#REF!</definedName>
    <definedName name="________Z04">#REF!</definedName>
    <definedName name="________Z05">#REF!</definedName>
    <definedName name="________zz04">#REF!</definedName>
    <definedName name="_______a1">{"'1-TheatreBkgs'!$A$1:$L$102"}</definedName>
    <definedName name="_______a2">{"'1-TheatreBkgs'!$A$1:$L$102"}</definedName>
    <definedName name="_______a3">{"'1-TheatreBkgs'!$A$1:$L$102"}</definedName>
    <definedName name="_______aa1">#REF!</definedName>
    <definedName name="_______aaa2">#REF!</definedName>
    <definedName name="_______ACK1">#REF!</definedName>
    <definedName name="_______ake1">#REF!</definedName>
    <definedName name="_______ake2">#REF!</definedName>
    <definedName name="_______ake3">#REF!</definedName>
    <definedName name="_______aud02">#REF!</definedName>
    <definedName name="_______aud03">#REF!</definedName>
    <definedName name="_______aud04">#REF!</definedName>
    <definedName name="_______cad03">#REF!</definedName>
    <definedName name="_______col1">#REF!</definedName>
    <definedName name="_______col10">#REF!</definedName>
    <definedName name="_______col11">#REF!</definedName>
    <definedName name="_______col12">#REF!</definedName>
    <definedName name="_______col13">#REF!</definedName>
    <definedName name="_______col2">#REF!</definedName>
    <definedName name="_______col3">#REF!</definedName>
    <definedName name="_______col4">#REF!</definedName>
    <definedName name="_______col5">#REF!</definedName>
    <definedName name="_______col6">#REF!</definedName>
    <definedName name="_______col7">#REF!</definedName>
    <definedName name="_______col8">#REF!</definedName>
    <definedName name="_______col9">#REF!</definedName>
    <definedName name="_______DAT1">#REF!</definedName>
    <definedName name="_______DAT10">#REF!</definedName>
    <definedName name="_______DAT11">#REF!</definedName>
    <definedName name="_______DAT12">#REF!</definedName>
    <definedName name="_______DAT13">#REF!</definedName>
    <definedName name="_______DAT14">#REF!</definedName>
    <definedName name="_______DAT15">#REF!</definedName>
    <definedName name="_______DAT16">#REF!</definedName>
    <definedName name="_______DAT17">#REF!</definedName>
    <definedName name="_______DAT18">#REF!</definedName>
    <definedName name="_______DAT19">#REF!</definedName>
    <definedName name="_______DAT2">#REF!</definedName>
    <definedName name="_______DAT20">#REF!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eur03">#REF!</definedName>
    <definedName name="_______FST1">#REF!</definedName>
    <definedName name="_______gbp03">#REF!</definedName>
    <definedName name="_______hc4">{"'1-TheatreBkgs'!$A$1:$L$102"}</definedName>
    <definedName name="_______hkd02">#REF!</definedName>
    <definedName name="_______hkd03">#REF!</definedName>
    <definedName name="_______hkd04">#REF!</definedName>
    <definedName name="_______idr03">#REF!</definedName>
    <definedName name="_______ILF2000">#REF!</definedName>
    <definedName name="_______ILF99">#REF!</definedName>
    <definedName name="_______ILT1">#REF!</definedName>
    <definedName name="_______IS2">#REF!</definedName>
    <definedName name="_______jyr6">#REF!</definedName>
    <definedName name="_______lbg2">#REF!</definedName>
    <definedName name="_______LG2">#REF!</definedName>
    <definedName name="_______MAT1">#REF!</definedName>
    <definedName name="_______mer1">#REF!</definedName>
    <definedName name="_______mer2">#REF!</definedName>
    <definedName name="_______mk1">#REF!</definedName>
    <definedName name="_______ms1">#REF!</definedName>
    <definedName name="_______mv1">#REF!</definedName>
    <definedName name="_______myr03">#REF!</definedName>
    <definedName name="_______New1">#REF!</definedName>
    <definedName name="_______new2">"0MB5TOIC7ZU0LX8WJX6QNRCYX"</definedName>
    <definedName name="_______oe1">#REF!</definedName>
    <definedName name="_______OK2">#REF!</definedName>
    <definedName name="_______old2">#REF!</definedName>
    <definedName name="_______old3">#REF!</definedName>
    <definedName name="_______old4">#REF!</definedName>
    <definedName name="_______old5">#REF!</definedName>
    <definedName name="_______old8">#REF!</definedName>
    <definedName name="_______old9">#REF!</definedName>
    <definedName name="_______P1">#REF!</definedName>
    <definedName name="_______PG1">#REF!</definedName>
    <definedName name="_______PG2">#REF!</definedName>
    <definedName name="_______pg3">#REF!</definedName>
    <definedName name="_______PG4">#REF!</definedName>
    <definedName name="_______pg5">#REF!</definedName>
    <definedName name="_______PG6">#REF!</definedName>
    <definedName name="_______pg7">#REF!</definedName>
    <definedName name="_______pg9">#REF!</definedName>
    <definedName name="_______prc1">#REF!</definedName>
    <definedName name="_______prc2">#REF!</definedName>
    <definedName name="_______prc3">#REF!</definedName>
    <definedName name="_______PSM3">#REF!</definedName>
    <definedName name="_______Q1">{"'Standalone List Price Trends'!$A$1:$X$56"}</definedName>
    <definedName name="_______Q2">{"'Standalone List Price Trends'!$A$1:$X$56"}</definedName>
    <definedName name="_______Q3">{"'Standalone List Price Trends'!$A$1:$X$56"}</definedName>
    <definedName name="_______Q4">{"'Standalone List Price Trends'!$A$1:$X$56"}</definedName>
    <definedName name="_______Q5">{"'Standalone List Price Trends'!$A$1:$X$56"}</definedName>
    <definedName name="_______Q9">{"'Standalone List Price Trends'!$A$1:$X$56"}</definedName>
    <definedName name="_______qt1">#REF!</definedName>
    <definedName name="_______QTR1">#REF!</definedName>
    <definedName name="_______QUO1">#REF!</definedName>
    <definedName name="_______RNG1">#REF!</definedName>
    <definedName name="_______RNG2">#REF!</definedName>
    <definedName name="_______rw1">{"'Standalone List Price Trends'!$A$1:$X$56"}</definedName>
    <definedName name="_______rw2">{"'Standalone List Price Trends'!$A$1:$X$56"}</definedName>
    <definedName name="_______rw3">{"'Standalone List Price Trends'!$A$1:$X$56"}</definedName>
    <definedName name="_______rw4">{"'Standalone List Price Trends'!$A$1:$X$56"}</definedName>
    <definedName name="_______sb1">#REF!</definedName>
    <definedName name="_______sep97">#REF!</definedName>
    <definedName name="_______sex2">{"'1-TheatreBkgs'!$A$1:$L$102"}</definedName>
    <definedName name="_______sex3">{"'1-TheatreBkgs'!$A$1:$L$102"}</definedName>
    <definedName name="_______sex4">{"'1-TheatreBkgs'!$A$1:$L$102"}</definedName>
    <definedName name="_______sex5">{"'1-TheatreBkgs'!$A$1:$L$102"}</definedName>
    <definedName name="_______sex6">{"'1-TheatreBkgs'!$A$1:$L$102"}</definedName>
    <definedName name="_______sgd02">#REF!</definedName>
    <definedName name="_______sgd03">#REF!</definedName>
    <definedName name="_______sgd04">#REF!</definedName>
    <definedName name="_______sht1">#REF!</definedName>
    <definedName name="_______ST1">#REF!</definedName>
    <definedName name="_______tab1">#REF!</definedName>
    <definedName name="_______tax2">#REF!</definedName>
    <definedName name="_______tc1">#REF!</definedName>
    <definedName name="_______tc2">#REF!</definedName>
    <definedName name="_______tc3">#REF!</definedName>
    <definedName name="_______tc4">#REF!</definedName>
    <definedName name="_______tc5">#REF!</definedName>
    <definedName name="_______ted2">#REF!</definedName>
    <definedName name="_______thb02">#REF!</definedName>
    <definedName name="_______thb03">#REF!</definedName>
    <definedName name="_______thb04">#REF!</definedName>
    <definedName name="_______TLT1">#REF!</definedName>
    <definedName name="_______TOP1">#REF!</definedName>
    <definedName name="_______TOT1">#REF!</definedName>
    <definedName name="_______TS1">#REF!</definedName>
    <definedName name="_______twd02">#REF!</definedName>
    <definedName name="_______twd03">#REF!</definedName>
    <definedName name="_______twd04">#REF!</definedName>
    <definedName name="_______UER1">#REF!</definedName>
    <definedName name="_______v1">{"'1-TheatreBkgs'!$A$1:$L$102"}</definedName>
    <definedName name="_______V2">{"'1-TheatreBkgs'!$A$1:$L$102"}</definedName>
    <definedName name="_______v3">{"'1-TheatreBkgs'!$A$1:$L$102"}</definedName>
    <definedName name="_______Vac1">#REF!</definedName>
    <definedName name="_______wk1">#REF!</definedName>
    <definedName name="_______wk2">#REF!</definedName>
    <definedName name="_______wk3">#REF!</definedName>
    <definedName name="_______wk4">#REF!</definedName>
    <definedName name="_______wpl2">#REF!</definedName>
    <definedName name="_______wrn3">#REF!</definedName>
    <definedName name="_______wrn4">#REF!</definedName>
    <definedName name="_______Z04">#REF!</definedName>
    <definedName name="_______Z05">#REF!</definedName>
    <definedName name="_______zz04">#REF!</definedName>
    <definedName name="______1Table2_">#REF!</definedName>
    <definedName name="______2_0_Table2_">#REF!</definedName>
    <definedName name="______3S">#REF!</definedName>
    <definedName name="______4Table2_">#REF!</definedName>
    <definedName name="______5Table2_">#REF!</definedName>
    <definedName name="______6_0_S">#REF!</definedName>
    <definedName name="______7_0_Table2_">#REF!</definedName>
    <definedName name="______8_0_Table2_">#REF!</definedName>
    <definedName name="______aa1">#REF!</definedName>
    <definedName name="______aaa2">#REF!</definedName>
    <definedName name="______ACK1">#REF!</definedName>
    <definedName name="______ake1">#REF!</definedName>
    <definedName name="______ake2">#REF!</definedName>
    <definedName name="______ake3">#REF!</definedName>
    <definedName name="______aud02">#REF!</definedName>
    <definedName name="______aud03">#REF!</definedName>
    <definedName name="______aud04">#REF!</definedName>
    <definedName name="______cad03">#REF!</definedName>
    <definedName name="______col1">#REF!</definedName>
    <definedName name="______col10">#REF!</definedName>
    <definedName name="______col11">#REF!</definedName>
    <definedName name="______col12">#REF!</definedName>
    <definedName name="______col13">#REF!</definedName>
    <definedName name="______col2">#REF!</definedName>
    <definedName name="______col3">#REF!</definedName>
    <definedName name="______col4">#REF!</definedName>
    <definedName name="______col5">#REF!</definedName>
    <definedName name="______col6">#REF!</definedName>
    <definedName name="______col7">#REF!</definedName>
    <definedName name="______col8">#REF!</definedName>
    <definedName name="______col9">#REF!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3">#REF!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e1">{"'Sheet3'!$CL$329:$CU$335"}</definedName>
    <definedName name="______eur03">#REF!</definedName>
    <definedName name="______FST1">#REF!</definedName>
    <definedName name="______gbp03">#REF!</definedName>
    <definedName name="______hkd02">#REF!</definedName>
    <definedName name="______hkd03">#REF!</definedName>
    <definedName name="______hkd04">#REF!</definedName>
    <definedName name="______I8">{"'Sheet3'!$CL$329:$CU$335"}</definedName>
    <definedName name="______idr03">#REF!</definedName>
    <definedName name="______ILF2000">#REF!</definedName>
    <definedName name="______ILF99">#REF!</definedName>
    <definedName name="______ILT1">#REF!</definedName>
    <definedName name="______IS2">#REF!</definedName>
    <definedName name="______jyr6">#REF!</definedName>
    <definedName name="______key1" hidden="1">#REF!</definedName>
    <definedName name="______lbg2">#REF!</definedName>
    <definedName name="______LG2">#REF!</definedName>
    <definedName name="______MAT1">#REF!</definedName>
    <definedName name="______mer1">#REF!</definedName>
    <definedName name="______mer2">#REF!</definedName>
    <definedName name="______mk1">#REF!</definedName>
    <definedName name="______ms1">#REF!</definedName>
    <definedName name="______mv1">#REF!</definedName>
    <definedName name="______myr03">#REF!</definedName>
    <definedName name="______New1">#REF!</definedName>
    <definedName name="______new2">"0MB5TOIC7ZU0LX8WJX6QNRCYX"</definedName>
    <definedName name="______oe1">#REF!</definedName>
    <definedName name="______old2">#REF!</definedName>
    <definedName name="______old3">#REF!</definedName>
    <definedName name="______old4">#REF!</definedName>
    <definedName name="______old5">#REF!</definedName>
    <definedName name="______old8">#REF!</definedName>
    <definedName name="______old9">#REF!</definedName>
    <definedName name="______P1">#REF!</definedName>
    <definedName name="______pd123">#REF!</definedName>
    <definedName name="______PG1">#REF!</definedName>
    <definedName name="______pg10">#REF!</definedName>
    <definedName name="______pg12">#REF!</definedName>
    <definedName name="______PG2">#REF!</definedName>
    <definedName name="______pg3">#REF!</definedName>
    <definedName name="______PG4">#REF!</definedName>
    <definedName name="______pg5">#REF!</definedName>
    <definedName name="______PG6">#REF!</definedName>
    <definedName name="______pg7">#REF!</definedName>
    <definedName name="______pg8">#REF!</definedName>
    <definedName name="______pg9">#REF!</definedName>
    <definedName name="______prc1">#REF!</definedName>
    <definedName name="______prc2">#REF!</definedName>
    <definedName name="______prc3">#REF!</definedName>
    <definedName name="______PSM2">#REF!</definedName>
    <definedName name="______PSM3">#REF!</definedName>
    <definedName name="______q1">#REF!</definedName>
    <definedName name="______q2">#REF!</definedName>
    <definedName name="______qt1">#REF!</definedName>
    <definedName name="______QTR1">#REF!</definedName>
    <definedName name="______QUO1">#REF!</definedName>
    <definedName name="______rd2">#REF!</definedName>
    <definedName name="______RNG1">#REF!</definedName>
    <definedName name="______RNG2">#REF!</definedName>
    <definedName name="______sb1">#REF!</definedName>
    <definedName name="______sep97">#REF!</definedName>
    <definedName name="______sgd02">#REF!</definedName>
    <definedName name="______sgd03">#REF!</definedName>
    <definedName name="______sgd04">#REF!</definedName>
    <definedName name="______sht1">#REF!</definedName>
    <definedName name="______ST1">#REF!</definedName>
    <definedName name="______tab1">#REF!</definedName>
    <definedName name="______tax2">#REF!</definedName>
    <definedName name="______TB112">#REF!</definedName>
    <definedName name="______TB115">#REF!</definedName>
    <definedName name="______TB124">#REF!</definedName>
    <definedName name="______TB125">#REF!</definedName>
    <definedName name="______TB126">#REF!</definedName>
    <definedName name="______TB131">#REF!</definedName>
    <definedName name="______TB132">#REF!</definedName>
    <definedName name="______TB211">#REF!</definedName>
    <definedName name="______TB213">#REF!</definedName>
    <definedName name="______TB214">#REF!</definedName>
    <definedName name="______TB215">#REF!</definedName>
    <definedName name="______TB221">#REF!</definedName>
    <definedName name="______TB2210">#REF!</definedName>
    <definedName name="______TB222">#REF!</definedName>
    <definedName name="______TB223">#REF!</definedName>
    <definedName name="______TB224">#REF!</definedName>
    <definedName name="______TB225">#REF!</definedName>
    <definedName name="______TB227">#REF!</definedName>
    <definedName name="______TB229">#REF!</definedName>
    <definedName name="______TB311">#REF!</definedName>
    <definedName name="______TB313">#REF!</definedName>
    <definedName name="______TB317">#REF!</definedName>
    <definedName name="______TB318">#REF!</definedName>
    <definedName name="______TB319">#REF!</definedName>
    <definedName name="______TB322">#REF!</definedName>
    <definedName name="______TB323">#REF!</definedName>
    <definedName name="______TB324">#REF!</definedName>
    <definedName name="______TB325">#REF!</definedName>
    <definedName name="______TB401">#REF!</definedName>
    <definedName name="______TB402">#REF!</definedName>
    <definedName name="______TB403">#REF!</definedName>
    <definedName name="______TB404">#REF!</definedName>
    <definedName name="______TB405">#REF!</definedName>
    <definedName name="______TB510">#REF!</definedName>
    <definedName name="______TB511">#REF!</definedName>
    <definedName name="______TB601">#REF!</definedName>
    <definedName name="______TB604">#REF!</definedName>
    <definedName name="______TB605">#REF!</definedName>
    <definedName name="______TB811">#REF!</definedName>
    <definedName name="______TB812">#REF!</definedName>
    <definedName name="______TB813">#REF!</definedName>
    <definedName name="______TB814">#REF!</definedName>
    <definedName name="______TB820">#REF!</definedName>
    <definedName name="______TBI1001">#REF!</definedName>
    <definedName name="______TBI1002">#REF!</definedName>
    <definedName name="______TBI1003">#REF!</definedName>
    <definedName name="______TBI1004">#REF!</definedName>
    <definedName name="______TBI1005">#REF!</definedName>
    <definedName name="______TBI102">#REF!</definedName>
    <definedName name="______TBI1200">#REF!</definedName>
    <definedName name="______TBI403">#REF!</definedName>
    <definedName name="______TBI425">#REF!</definedName>
    <definedName name="______TBI603">#REF!</definedName>
    <definedName name="______TBI604">#REF!</definedName>
    <definedName name="______TBI605">#REF!</definedName>
    <definedName name="______TBI606">#REF!</definedName>
    <definedName name="______TBI607">#REF!</definedName>
    <definedName name="______TBI608">#REF!</definedName>
    <definedName name="______TBI609">#REF!</definedName>
    <definedName name="______TBI611">#REF!</definedName>
    <definedName name="______TBI613">#REF!</definedName>
    <definedName name="______TBI703">#REF!</definedName>
    <definedName name="______TBI704">#REF!</definedName>
    <definedName name="______TBI705">#REF!</definedName>
    <definedName name="______TBI706">#REF!</definedName>
    <definedName name="______TBI707">#REF!</definedName>
    <definedName name="______TBI708">#REF!</definedName>
    <definedName name="______TBI710">#REF!</definedName>
    <definedName name="______TBI711">#REF!</definedName>
    <definedName name="______TBI712">#REF!</definedName>
    <definedName name="______TBI713">#REF!</definedName>
    <definedName name="______TBI715">#REF!</definedName>
    <definedName name="______TBI717">#REF!</definedName>
    <definedName name="______TBI719">#REF!</definedName>
    <definedName name="______TBI903">#REF!</definedName>
    <definedName name="______TBI904">#REF!</definedName>
    <definedName name="______TBI905">#REF!</definedName>
    <definedName name="______TBI906">#REF!</definedName>
    <definedName name="______TBI907">#REF!</definedName>
    <definedName name="______tc1">#REF!</definedName>
    <definedName name="______tc2">#REF!</definedName>
    <definedName name="______tc3">#REF!</definedName>
    <definedName name="______tc4">#REF!</definedName>
    <definedName name="______tc5">#REF!</definedName>
    <definedName name="______ted2">#REF!</definedName>
    <definedName name="______thb02">#REF!</definedName>
    <definedName name="______thb03">#REF!</definedName>
    <definedName name="______thb04">#REF!</definedName>
    <definedName name="______TLT1">#REF!</definedName>
    <definedName name="______TOP1">#REF!</definedName>
    <definedName name="______TOT1">#REF!</definedName>
    <definedName name="______TS1">#REF!</definedName>
    <definedName name="______twd02">#REF!</definedName>
    <definedName name="______twd03">#REF!</definedName>
    <definedName name="______twd04">#REF!</definedName>
    <definedName name="______UER1">#REF!</definedName>
    <definedName name="______Vac1">#REF!</definedName>
    <definedName name="______wk1">#REF!</definedName>
    <definedName name="______wk2">#REF!</definedName>
    <definedName name="______wk3">#REF!</definedName>
    <definedName name="______wk4">#REF!</definedName>
    <definedName name="______wpl2">#REF!</definedName>
    <definedName name="______wrn3">#REF!</definedName>
    <definedName name="______wrn4">#REF!</definedName>
    <definedName name="______Z04">#REF!</definedName>
    <definedName name="______Z05">#REF!</definedName>
    <definedName name="_____1Table2_">#REF!</definedName>
    <definedName name="_____2_0_Table2_">#REF!</definedName>
    <definedName name="_____3S">#REF!</definedName>
    <definedName name="_____4Table2_">#REF!</definedName>
    <definedName name="_____5Table2_">#REF!</definedName>
    <definedName name="_____6_0_S">#REF!</definedName>
    <definedName name="_____7_0_Table2_">#REF!</definedName>
    <definedName name="_____8_0_Table2_">#REF!</definedName>
    <definedName name="_____a1">{"'1-TheatreBkgs'!$A$1:$L$102"}</definedName>
    <definedName name="_____a2">{"'1-TheatreBkgs'!$A$1:$L$102"}</definedName>
    <definedName name="_____a3">{"'1-TheatreBkgs'!$A$1:$L$102"}</definedName>
    <definedName name="_____aa1">#REF!</definedName>
    <definedName name="_____aaa2">#REF!</definedName>
    <definedName name="_____ACK1">#REF!</definedName>
    <definedName name="_____ake1">#REF!</definedName>
    <definedName name="_____ake2">#REF!</definedName>
    <definedName name="_____ake3">#REF!</definedName>
    <definedName name="_____AMT13300">#N/A</definedName>
    <definedName name="_____AMT13502">#N/A</definedName>
    <definedName name="_____AMT41301">#N/A</definedName>
    <definedName name="_____AMT85116">#N/A</definedName>
    <definedName name="_____AMT85125">#N/A</definedName>
    <definedName name="_____AMT86106">#N/A</definedName>
    <definedName name="_____aud02">#REF!</definedName>
    <definedName name="_____aud03">#REF!</definedName>
    <definedName name="_____aud04">#REF!</definedName>
    <definedName name="_____cad03">#REF!</definedName>
    <definedName name="_____col1">#REF!</definedName>
    <definedName name="_____col10">#REF!</definedName>
    <definedName name="_____col11">#REF!</definedName>
    <definedName name="_____col12">#REF!</definedName>
    <definedName name="_____col13">#REF!</definedName>
    <definedName name="_____col2">#REF!</definedName>
    <definedName name="_____col3">#REF!</definedName>
    <definedName name="_____col4">#REF!</definedName>
    <definedName name="_____col5">#REF!</definedName>
    <definedName name="_____col6">#REF!</definedName>
    <definedName name="_____col7">#REF!</definedName>
    <definedName name="_____col8">#REF!</definedName>
    <definedName name="_____col9">#REF!</definedName>
    <definedName name="_____d32">16</definedName>
    <definedName name="_____d444">5</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17">#REF!</definedName>
    <definedName name="_____DAT18">#REF!</definedName>
    <definedName name="_____DAT19">#REF!</definedName>
    <definedName name="_____DAT2">#REF!</definedName>
    <definedName name="_____DAT20">#REF!</definedName>
    <definedName name="_____DAT3">#REF!</definedName>
    <definedName name="_____DAT4">#REF!</definedName>
    <definedName name="_____DAT5">#REF!</definedName>
    <definedName name="_____DAT6">#REF!</definedName>
    <definedName name="_____DAT7">#REF!</definedName>
    <definedName name="_____DAT8">#REF!</definedName>
    <definedName name="_____DAT9">#REF!</definedName>
    <definedName name="_____DEC11">{"'OCT  VOIDS'!$A$1:$G$33","'OCT '!$A$1:$G$48","'OCT Adj'!$A$1:$L$37"}</definedName>
    <definedName name="_____DEC2">{"'OCT  VOIDS'!$A$1:$G$33","'OCT '!$A$1:$G$48","'OCT Adj'!$A$1:$L$37"}</definedName>
    <definedName name="_____DEC3">{"'OCT  VOIDS'!$A$1:$G$33","'OCT '!$A$1:$G$48","'OCT Adj'!$A$1:$L$37"}</definedName>
    <definedName name="_____eur03">#REF!</definedName>
    <definedName name="_____FST1">#REF!</definedName>
    <definedName name="_____gbp03">#REF!</definedName>
    <definedName name="_____hkd02">#REF!</definedName>
    <definedName name="_____hkd03">#REF!</definedName>
    <definedName name="_____hkd04">#REF!</definedName>
    <definedName name="_____idr03">#REF!</definedName>
    <definedName name="_____ILF2000">#REF!</definedName>
    <definedName name="_____ILF99">#REF!</definedName>
    <definedName name="_____ILT1">#REF!</definedName>
    <definedName name="_____IS2">#REF!</definedName>
    <definedName name="_____J2">0</definedName>
    <definedName name="_____jyr6">#REF!</definedName>
    <definedName name="_____key1" hidden="1">#REF!</definedName>
    <definedName name="_____lbg2">#REF!</definedName>
    <definedName name="_____LG2">#REF!</definedName>
    <definedName name="_____MAR9091">#REF!</definedName>
    <definedName name="_____MAT1">#REF!</definedName>
    <definedName name="_____mer1">#REF!</definedName>
    <definedName name="_____mer2">#REF!</definedName>
    <definedName name="_____mk1">#REF!</definedName>
    <definedName name="_____ms1">#REF!</definedName>
    <definedName name="_____mv1">#REF!</definedName>
    <definedName name="_____myr03">#REF!</definedName>
    <definedName name="_____new1" hidden="1">{"Central",#N/A,FALSE,"Total"}</definedName>
    <definedName name="_____new2" hidden="1">{"Central",#N/A,FALSE,"Total"}</definedName>
    <definedName name="_____O2">#REF!</definedName>
    <definedName name="_____oe1">#REF!</definedName>
    <definedName name="_____OK2">#REF!</definedName>
    <definedName name="_____old2" hidden="1">{#N/A,#N/A,FALSE,"Income";#N/A,#N/A,FALSE,"Cost of Goods Sold";#N/A,#N/A,FALSE,"Other Costs";#N/A,#N/A,FALSE,"Other Income";#N/A,#N/A,FALSE,"Taxes";#N/A,#N/A,FALSE,"Other Deductions";#N/A,#N/A,FALSE,"Compensation of Officers"}</definedName>
    <definedName name="_____old3" hidden="1">{#N/A,#N/A,FALSE,"Income";#N/A,#N/A,FALSE,"Cost of Goods Sold";#N/A,#N/A,FALSE,"Other Costs";#N/A,#N/A,FALSE,"Other Income";#N/A,#N/A,FALSE,"Taxes";#N/A,#N/A,FALSE,"Other Deductions";#N/A,#N/A,FALSE,"Compensation of Officers"}</definedName>
    <definedName name="_____old4" hidden="1">{#N/A,#N/A,FALSE,"Income";#N/A,#N/A,FALSE,"Cost of Goods Sold";#N/A,#N/A,FALSE,"Other Costs";#N/A,#N/A,FALSE,"Other Income";#N/A,#N/A,FALSE,"Taxes";#N/A,#N/A,FALSE,"Other Deductions";#N/A,#N/A,FALSE,"Compensation of Officers"}</definedName>
    <definedName name="_____old5" hidden="1">{#N/A,#N/A,FALSE,"Income";#N/A,#N/A,FALSE,"Cost of Goods Sold";#N/A,#N/A,FALSE,"Other Costs";#N/A,#N/A,FALSE,"Other Income";#N/A,#N/A,FALSE,"Taxes";#N/A,#N/A,FALSE,"Other Deductions";#N/A,#N/A,FALSE,"Compensation of Officers"}</definedName>
    <definedName name="_____old8" hidden="1">{#N/A,#N/A,FALSE,"Income";#N/A,#N/A,FALSE,"Cost of Goods Sold";#N/A,#N/A,FALSE,"Other Costs";#N/A,#N/A,FALSE,"Other Income";#N/A,#N/A,FALSE,"Taxes";#N/A,#N/A,FALSE,"Other Deductions";#N/A,#N/A,FALSE,"Compensation of Officers"}</definedName>
    <definedName name="_____old9" hidden="1">{#N/A,#N/A,FALSE,"Income";#N/A,#N/A,FALSE,"Cost of Goods Sold";#N/A,#N/A,FALSE,"Other Costs";#N/A,#N/A,FALSE,"Other Income";#N/A,#N/A,FALSE,"Taxes";#N/A,#N/A,FALSE,"Other Deductions";#N/A,#N/A,FALSE,"Compensation of Officers"}</definedName>
    <definedName name="_____OUT13300">#N/A</definedName>
    <definedName name="_____OUT13502">#N/A</definedName>
    <definedName name="_____OUT41301">#N/A</definedName>
    <definedName name="_____OUT85116">#N/A</definedName>
    <definedName name="_____OUT85125">#N/A</definedName>
    <definedName name="_____OUT86106">#N/A</definedName>
    <definedName name="_____P1">#REF!</definedName>
    <definedName name="_____pd123">#REF!</definedName>
    <definedName name="_____PG1">#REF!</definedName>
    <definedName name="_____pg10">#REF!</definedName>
    <definedName name="_____pg12">#REF!</definedName>
    <definedName name="_____PG2">#REF!</definedName>
    <definedName name="_____pg3">#REF!</definedName>
    <definedName name="_____PG4">#REF!</definedName>
    <definedName name="_____pg5">#REF!</definedName>
    <definedName name="_____PG6">#REF!</definedName>
    <definedName name="_____pg7">#REF!</definedName>
    <definedName name="_____pg8">#REF!</definedName>
    <definedName name="_____pg9">#REF!</definedName>
    <definedName name="_____prc1">#REF!</definedName>
    <definedName name="_____prc2">#REF!</definedName>
    <definedName name="_____prc3">#REF!</definedName>
    <definedName name="_____PSM2">#REF!</definedName>
    <definedName name="_____PSM3">#REF!</definedName>
    <definedName name="_____Q1">{"'Standalone List Price Trends'!$A$1:$X$56"}</definedName>
    <definedName name="_____Q2">{"'Standalone List Price Trends'!$A$1:$X$56"}</definedName>
    <definedName name="_____Q3">{"'Standalone List Price Trends'!$A$1:$X$56"}</definedName>
    <definedName name="_____Q5">{"'Standalone List Price Trends'!$A$1:$X$56"}</definedName>
    <definedName name="_____Q9">{"'Standalone List Price Trends'!$A$1:$X$56"}</definedName>
    <definedName name="_____QRA86106">#N/A</definedName>
    <definedName name="_____qt1">#REF!</definedName>
    <definedName name="_____QTR1">#REF!</definedName>
    <definedName name="_____QUO1">#REF!</definedName>
    <definedName name="_____RNG1">#REF!</definedName>
    <definedName name="_____RNG2">#REF!</definedName>
    <definedName name="_____rw1">{"'Standalone List Price Trends'!$A$1:$X$56"}</definedName>
    <definedName name="_____rw2">{"'Standalone List Price Trends'!$A$1:$X$56"}</definedName>
    <definedName name="_____rw3">{"'Standalone List Price Trends'!$A$1:$X$56"}</definedName>
    <definedName name="_____rw4">{"'Standalone List Price Trends'!$A$1:$X$56"}</definedName>
    <definedName name="_____sb1">#REF!</definedName>
    <definedName name="_____sep97">#REF!</definedName>
    <definedName name="_____sgd02">#REF!</definedName>
    <definedName name="_____sgd03">#REF!</definedName>
    <definedName name="_____sgd04">#REF!</definedName>
    <definedName name="_____sht1">#REF!</definedName>
    <definedName name="_____ST1">#REF!</definedName>
    <definedName name="_____tab1">#REF!</definedName>
    <definedName name="_____tax2">#REF!</definedName>
    <definedName name="_____TB111">#REF!</definedName>
    <definedName name="_____TB112">#REF!</definedName>
    <definedName name="_____TB113">#REF!</definedName>
    <definedName name="_____TB114">#REF!</definedName>
    <definedName name="_____TB115">#REF!</definedName>
    <definedName name="_____TB116">#REF!</definedName>
    <definedName name="_____TB117">#REF!</definedName>
    <definedName name="_____TB121">#REF!</definedName>
    <definedName name="_____TB122">#REF!</definedName>
    <definedName name="_____TB123">#REF!</definedName>
    <definedName name="_____TB124">#REF!</definedName>
    <definedName name="_____TB125">#REF!</definedName>
    <definedName name="_____TB126">#REF!</definedName>
    <definedName name="_____TB131">#REF!</definedName>
    <definedName name="_____TB132">#REF!</definedName>
    <definedName name="_____TB211">#REF!</definedName>
    <definedName name="_____TB212">#REF!</definedName>
    <definedName name="_____TB213">#REF!</definedName>
    <definedName name="_____TB214">#REF!</definedName>
    <definedName name="_____TB215">#REF!</definedName>
    <definedName name="_____TB221">#REF!</definedName>
    <definedName name="_____TB2210">#REF!</definedName>
    <definedName name="_____TB222">#REF!</definedName>
    <definedName name="_____TB223">#REF!</definedName>
    <definedName name="_____TB224">#REF!</definedName>
    <definedName name="_____TB225">#REF!</definedName>
    <definedName name="_____TB226">#REF!</definedName>
    <definedName name="_____TB227">#REF!</definedName>
    <definedName name="_____TB228">#REF!</definedName>
    <definedName name="_____TB229">#REF!</definedName>
    <definedName name="_____TB311">#REF!</definedName>
    <definedName name="_____TB312">#REF!</definedName>
    <definedName name="_____TB313">#REF!</definedName>
    <definedName name="_____TB314">#REF!</definedName>
    <definedName name="_____TB315">#REF!</definedName>
    <definedName name="_____TB316">#REF!</definedName>
    <definedName name="_____TB317">#REF!</definedName>
    <definedName name="_____TB318">#REF!</definedName>
    <definedName name="_____TB319">#REF!</definedName>
    <definedName name="_____TB321">#REF!</definedName>
    <definedName name="_____TB322">#REF!</definedName>
    <definedName name="_____TB323">#REF!</definedName>
    <definedName name="_____TB324">#REF!</definedName>
    <definedName name="_____TB325">#REF!</definedName>
    <definedName name="_____TB401">#REF!</definedName>
    <definedName name="_____TB402">#REF!</definedName>
    <definedName name="_____TB403">#REF!</definedName>
    <definedName name="_____TB404">#REF!</definedName>
    <definedName name="_____TB405">#REF!</definedName>
    <definedName name="_____TB501">#REF!</definedName>
    <definedName name="_____TB502">#REF!</definedName>
    <definedName name="_____TB503">#REF!</definedName>
    <definedName name="_____TB504">#REF!</definedName>
    <definedName name="_____TB505">#REF!</definedName>
    <definedName name="_____TB506">#REF!</definedName>
    <definedName name="_____TB507">#REF!</definedName>
    <definedName name="_____TB508">#REF!</definedName>
    <definedName name="_____TB509">#REF!</definedName>
    <definedName name="_____TB510">#REF!</definedName>
    <definedName name="_____TB511">#REF!</definedName>
    <definedName name="_____TB512">#REF!</definedName>
    <definedName name="_____TB513">#REF!</definedName>
    <definedName name="_____TB601">#REF!</definedName>
    <definedName name="_____TB602">#REF!</definedName>
    <definedName name="_____TB603">#REF!</definedName>
    <definedName name="_____TB604">#REF!</definedName>
    <definedName name="_____TB605">#REF!</definedName>
    <definedName name="_____TB701">#REF!</definedName>
    <definedName name="_____TB811">#REF!</definedName>
    <definedName name="_____TB812">#REF!</definedName>
    <definedName name="_____TB813">#REF!</definedName>
    <definedName name="_____TB814">#REF!</definedName>
    <definedName name="_____TB820">#REF!</definedName>
    <definedName name="_____TB901">#REF!</definedName>
    <definedName name="_____TB902">#REF!</definedName>
    <definedName name="_____TB903">#REF!</definedName>
    <definedName name="_____TB904">#REF!</definedName>
    <definedName name="_____TBI1001">#REF!</definedName>
    <definedName name="_____TBI1002">#REF!</definedName>
    <definedName name="_____TBI1003">#REF!</definedName>
    <definedName name="_____TBI1004">#REF!</definedName>
    <definedName name="_____TBI1005">#REF!</definedName>
    <definedName name="_____TBI101">#REF!</definedName>
    <definedName name="_____TBI102">#REF!</definedName>
    <definedName name="_____TBI1100">#REF!</definedName>
    <definedName name="_____TBI1200">#REF!</definedName>
    <definedName name="_____TBI201">#REF!</definedName>
    <definedName name="_____TBI202">#REF!</definedName>
    <definedName name="_____TBI203">#REF!</definedName>
    <definedName name="_____TBI401">#REF!</definedName>
    <definedName name="_____TBI402">#REF!</definedName>
    <definedName name="_____TBI403">#REF!</definedName>
    <definedName name="_____TBI404">#REF!</definedName>
    <definedName name="_____TBI405">#REF!</definedName>
    <definedName name="_____TBI406">#REF!</definedName>
    <definedName name="_____TBI407">#REF!</definedName>
    <definedName name="_____TBI408">#REF!</definedName>
    <definedName name="_____TBI409">#REF!</definedName>
    <definedName name="_____TBI410">#REF!</definedName>
    <definedName name="_____TBI411">#REF!</definedName>
    <definedName name="_____TBI412">#REF!</definedName>
    <definedName name="_____TBI413">#REF!</definedName>
    <definedName name="_____TBI414">#REF!</definedName>
    <definedName name="_____TBI415">#REF!</definedName>
    <definedName name="_____TBI416">#REF!</definedName>
    <definedName name="_____TBI417">#REF!</definedName>
    <definedName name="_____TBI418">#REF!</definedName>
    <definedName name="_____TBI419">#REF!</definedName>
    <definedName name="_____TBI420">#REF!</definedName>
    <definedName name="_____TBI421">#REF!</definedName>
    <definedName name="_____TBI422">#REF!</definedName>
    <definedName name="_____TBI423">#REF!</definedName>
    <definedName name="_____TBI424">#REF!</definedName>
    <definedName name="_____TBI425">#REF!</definedName>
    <definedName name="_____TBI601">#REF!</definedName>
    <definedName name="_____TBI602">#REF!</definedName>
    <definedName name="_____TBI603">#REF!</definedName>
    <definedName name="_____TBI604">#REF!</definedName>
    <definedName name="_____TBI605">#REF!</definedName>
    <definedName name="_____TBI606">#REF!</definedName>
    <definedName name="_____TBI607">#REF!</definedName>
    <definedName name="_____TBI608">#REF!</definedName>
    <definedName name="_____TBI609">#REF!</definedName>
    <definedName name="_____TBI610">#REF!</definedName>
    <definedName name="_____TBI611">#REF!</definedName>
    <definedName name="_____TBI612">#REF!</definedName>
    <definedName name="_____TBI613">#REF!</definedName>
    <definedName name="_____TBI614">#REF!</definedName>
    <definedName name="_____TBI701">#REF!</definedName>
    <definedName name="_____TBI702">#REF!</definedName>
    <definedName name="_____TBI703">#REF!</definedName>
    <definedName name="_____TBI704">#REF!</definedName>
    <definedName name="_____TBI705">#REF!</definedName>
    <definedName name="_____TBI706">#REF!</definedName>
    <definedName name="_____TBI707">#REF!</definedName>
    <definedName name="_____TBI708">#REF!</definedName>
    <definedName name="_____TBI709">#REF!</definedName>
    <definedName name="_____TBI710">#REF!</definedName>
    <definedName name="_____TBI711">#REF!</definedName>
    <definedName name="_____TBI712">#REF!</definedName>
    <definedName name="_____TBI713">#REF!</definedName>
    <definedName name="_____TBI714">#REF!</definedName>
    <definedName name="_____TBI715">#REF!</definedName>
    <definedName name="_____TBI716">#REF!</definedName>
    <definedName name="_____TBI717">#REF!</definedName>
    <definedName name="_____TBI718">#REF!</definedName>
    <definedName name="_____TBI719">#REF!</definedName>
    <definedName name="_____TBI901">#REF!</definedName>
    <definedName name="_____TBI902">#REF!</definedName>
    <definedName name="_____TBI903">#REF!</definedName>
    <definedName name="_____TBI904">#REF!</definedName>
    <definedName name="_____TBI905">#REF!</definedName>
    <definedName name="_____TBI906">#REF!</definedName>
    <definedName name="_____TBI907">#REF!</definedName>
    <definedName name="_____tc1">#REF!</definedName>
    <definedName name="_____tc2">#REF!</definedName>
    <definedName name="_____tc3">#REF!</definedName>
    <definedName name="_____tc4">#REF!</definedName>
    <definedName name="_____tc5">#REF!</definedName>
    <definedName name="_____ted2">#REF!</definedName>
    <definedName name="_____thb02">#REF!</definedName>
    <definedName name="_____thb03">#REF!</definedName>
    <definedName name="_____thb04">#REF!</definedName>
    <definedName name="_____TLT1">#REF!</definedName>
    <definedName name="_____TOP1">#REF!</definedName>
    <definedName name="_____TOT1">#REF!</definedName>
    <definedName name="_____TS1">#REF!</definedName>
    <definedName name="_____twd02">#REF!</definedName>
    <definedName name="_____twd03">#REF!</definedName>
    <definedName name="_____twd04">#REF!</definedName>
    <definedName name="_____UER1">#REF!</definedName>
    <definedName name="_____v1">{"'1-TheatreBkgs'!$A$1:$L$102"}</definedName>
    <definedName name="_____V2">{"'1-TheatreBkgs'!$A$1:$L$102"}</definedName>
    <definedName name="_____v3">{"'1-TheatreBkgs'!$A$1:$L$102"}</definedName>
    <definedName name="_____Vac1">#REF!</definedName>
    <definedName name="_____VAR13300">#N/A</definedName>
    <definedName name="_____VAR13502">#N/A</definedName>
    <definedName name="_____wk1">#REF!</definedName>
    <definedName name="_____wk2">#REF!</definedName>
    <definedName name="_____wk3">#REF!</definedName>
    <definedName name="_____wk4">#REF!</definedName>
    <definedName name="_____wpl2">#REF!</definedName>
    <definedName name="_____wrn3">#REF!</definedName>
    <definedName name="_____wrn4">#REF!</definedName>
    <definedName name="_____xlfn.RTD">#NAME?</definedName>
    <definedName name="_____Z04">#REF!</definedName>
    <definedName name="_____Z05">#REF!</definedName>
    <definedName name="_____zz04">#REF!</definedName>
    <definedName name="____1Table2_">#REF!</definedName>
    <definedName name="____2_0_Table2_">#REF!</definedName>
    <definedName name="____3S">#REF!</definedName>
    <definedName name="____4Table2_">#REF!</definedName>
    <definedName name="____5Table2_">#REF!</definedName>
    <definedName name="____6_0_S">#REF!</definedName>
    <definedName name="____7_0_Table2_">#REF!</definedName>
    <definedName name="____8_0_Table2_">#REF!</definedName>
    <definedName name="____a1">{"'1-TheatreBkgs'!$A$1:$L$102"}</definedName>
    <definedName name="____a2">{"'1-TheatreBkgs'!$A$1:$L$102"}</definedName>
    <definedName name="____a3">{"'1-TheatreBkgs'!$A$1:$L$102"}</definedName>
    <definedName name="____aa1">#REF!</definedName>
    <definedName name="____aaa2">#REF!</definedName>
    <definedName name="____ACK1">#REF!</definedName>
    <definedName name="____ake1">#REF!</definedName>
    <definedName name="____ake2">#REF!</definedName>
    <definedName name="____ake3">#REF!</definedName>
    <definedName name="____AMT13300">#N/A</definedName>
    <definedName name="____AMT13502">#N/A</definedName>
    <definedName name="____AMT41301">#N/A</definedName>
    <definedName name="____AMT85116">#N/A</definedName>
    <definedName name="____AMT85125">#N/A</definedName>
    <definedName name="____AMT86106">#N/A</definedName>
    <definedName name="____as1">#REF!</definedName>
    <definedName name="____aud02">#REF!</definedName>
    <definedName name="____aud03">#REF!</definedName>
    <definedName name="____aud04">#REF!</definedName>
    <definedName name="____Caad03">#REF!</definedName>
    <definedName name="____cad03">#REF!</definedName>
    <definedName name="____cad03.1">#REF!</definedName>
    <definedName name="____col1">#REF!</definedName>
    <definedName name="____col10">#REF!</definedName>
    <definedName name="____col11">#REF!</definedName>
    <definedName name="____col12">#REF!</definedName>
    <definedName name="____col13">#REF!</definedName>
    <definedName name="____col2">#REF!</definedName>
    <definedName name="____col3">#REF!</definedName>
    <definedName name="____col4">#REF!</definedName>
    <definedName name="____col5">#REF!</definedName>
    <definedName name="____col6">#REF!</definedName>
    <definedName name="____col7">#REF!</definedName>
    <definedName name="____col8">#REF!</definedName>
    <definedName name="____col9">#REF!</definedName>
    <definedName name="____d32">16</definedName>
    <definedName name="____d444">5</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3">#REF!</definedName>
    <definedName name="____DAT4">#REF!</definedName>
    <definedName name="____DAT5">#REF!</definedName>
    <definedName name="____dat50">#REF!</definedName>
    <definedName name="____DAT6">#REF!</definedName>
    <definedName name="____DAT7">#REF!</definedName>
    <definedName name="____DAT8">#REF!</definedName>
    <definedName name="____DAT9">#REF!</definedName>
    <definedName name="____DD2">#REF!</definedName>
    <definedName name="____DEC11">{"'OCT  VOIDS'!$A$1:$G$33","'OCT '!$A$1:$G$48","'OCT Adj'!$A$1:$L$37"}</definedName>
    <definedName name="____DEC2">{"'OCT  VOIDS'!$A$1:$G$33","'OCT '!$A$1:$G$48","'OCT Adj'!$A$1:$L$37"}</definedName>
    <definedName name="____DEC3">{"'OCT  VOIDS'!$A$1:$G$33","'OCT '!$A$1:$G$48","'OCT Adj'!$A$1:$L$37"}</definedName>
    <definedName name="____eur03">#REF!</definedName>
    <definedName name="____Feb06">#REF!</definedName>
    <definedName name="____FST1">#REF!</definedName>
    <definedName name="____gbp03">#REF!</definedName>
    <definedName name="____gla1" hidden="1">{#N/A,#N/A,FALSE,"Inc Month";#N/A,#N/A,FALSE,"Inc YTD";#N/A,#N/A,FALSE,"Bal Sheet";#N/A,#N/A,FALSE,"Base Cert";#N/A,#N/A,FALSE,"AR-Detail";#N/A,#N/A,FALSE,"PAC Bal";#N/A,#N/A,FALSE,"PAC Cash";#N/A,#N/A,FALSE,"Equity";#N/A,#N/A,FALSE,"PEI Bal";#N/A,#N/A,FALSE,"PEI Cash"}</definedName>
    <definedName name="____gla2" hidden="1">{#N/A,#N/A,FALSE,"Inc Month";#N/A,#N/A,FALSE,"Inc YTD";#N/A,#N/A,FALSE,"Bal Sheet";#N/A,#N/A,FALSE,"Base Cert";#N/A,#N/A,FALSE,"AR-Detail";#N/A,#N/A,FALSE,"PAC Bal";#N/A,#N/A,FALSE,"PAC Cash";#N/A,#N/A,FALSE,"Equity";#N/A,#N/A,FALSE,"PEI Bal";#N/A,#N/A,FALSE,"PEI Cash"}</definedName>
    <definedName name="____hc4">{"'1-TheatreBkgs'!$A$1:$L$102"}</definedName>
    <definedName name="____hkd02">#REF!</definedName>
    <definedName name="____hkd03">#REF!</definedName>
    <definedName name="____hkd04">#REF!</definedName>
    <definedName name="____idr03">#REF!</definedName>
    <definedName name="____ILF2000">#REF!</definedName>
    <definedName name="____ILF99">#REF!</definedName>
    <definedName name="____ILT1">#REF!</definedName>
    <definedName name="____IS2">#REF!</definedName>
    <definedName name="____J2">0</definedName>
    <definedName name="____jan23">#REF!</definedName>
    <definedName name="____jkj1">#REF!</definedName>
    <definedName name="____jyr6">#REF!</definedName>
    <definedName name="____key1" hidden="1">#REF!</definedName>
    <definedName name="____lbg2">#REF!</definedName>
    <definedName name="____LG2">#REF!</definedName>
    <definedName name="____M199" hidden="1">{#N/A,#N/A,FALSE,"Aging Summary";#N/A,#N/A,FALSE,"Ratio Analysis";#N/A,#N/A,FALSE,"Test 120 Day Accts";#N/A,#N/A,FALSE,"Tickmarks"}</definedName>
    <definedName name="____MAR9091">#REF!</definedName>
    <definedName name="____MAT1">#REF!</definedName>
    <definedName name="____mer1">#REF!</definedName>
    <definedName name="____mer2">#REF!</definedName>
    <definedName name="____mk1">#REF!</definedName>
    <definedName name="____ms1">#REF!</definedName>
    <definedName name="____mv1">#REF!</definedName>
    <definedName name="____myr03">#REF!</definedName>
    <definedName name="____neu1">47</definedName>
    <definedName name="____neu2">"5W20QJUQBT31X9QWPI207CDHB"</definedName>
    <definedName name="____new1" hidden="1">{"Central",#N/A,FALSE,"Total"}</definedName>
    <definedName name="____new2" hidden="1">{"Central",#N/A,FALSE,"Total"}</definedName>
    <definedName name="____O1">#REF!</definedName>
    <definedName name="____O2">#REF!</definedName>
    <definedName name="____oe1">#REF!</definedName>
    <definedName name="____old2" hidden="1">{#N/A,#N/A,FALSE,"Income";#N/A,#N/A,FALSE,"Cost of Goods Sold";#N/A,#N/A,FALSE,"Other Costs";#N/A,#N/A,FALSE,"Other Income";#N/A,#N/A,FALSE,"Taxes";#N/A,#N/A,FALSE,"Other Deductions";#N/A,#N/A,FALSE,"Compensation of Officers"}</definedName>
    <definedName name="____old3" hidden="1">{#N/A,#N/A,FALSE,"Income";#N/A,#N/A,FALSE,"Cost of Goods Sold";#N/A,#N/A,FALSE,"Other Costs";#N/A,#N/A,FALSE,"Other Income";#N/A,#N/A,FALSE,"Taxes";#N/A,#N/A,FALSE,"Other Deductions";#N/A,#N/A,FALSE,"Compensation of Officers"}</definedName>
    <definedName name="____old4" hidden="1">{#N/A,#N/A,FALSE,"Income";#N/A,#N/A,FALSE,"Cost of Goods Sold";#N/A,#N/A,FALSE,"Other Costs";#N/A,#N/A,FALSE,"Other Income";#N/A,#N/A,FALSE,"Taxes";#N/A,#N/A,FALSE,"Other Deductions";#N/A,#N/A,FALSE,"Compensation of Officers"}</definedName>
    <definedName name="____old5" hidden="1">{#N/A,#N/A,FALSE,"Income";#N/A,#N/A,FALSE,"Cost of Goods Sold";#N/A,#N/A,FALSE,"Other Costs";#N/A,#N/A,FALSE,"Other Income";#N/A,#N/A,FALSE,"Taxes";#N/A,#N/A,FALSE,"Other Deductions";#N/A,#N/A,FALSE,"Compensation of Officers"}</definedName>
    <definedName name="____old8" hidden="1">{#N/A,#N/A,FALSE,"Income";#N/A,#N/A,FALSE,"Cost of Goods Sold";#N/A,#N/A,FALSE,"Other Costs";#N/A,#N/A,FALSE,"Other Income";#N/A,#N/A,FALSE,"Taxes";#N/A,#N/A,FALSE,"Other Deductions";#N/A,#N/A,FALSE,"Compensation of Officers"}</definedName>
    <definedName name="____old9" hidden="1">{#N/A,#N/A,FALSE,"Income";#N/A,#N/A,FALSE,"Cost of Goods Sold";#N/A,#N/A,FALSE,"Other Costs";#N/A,#N/A,FALSE,"Other Income";#N/A,#N/A,FALSE,"Taxes";#N/A,#N/A,FALSE,"Other Deductions";#N/A,#N/A,FALSE,"Compensation of Officers"}</definedName>
    <definedName name="____OUT13300">#N/A</definedName>
    <definedName name="____OUT13502">#N/A</definedName>
    <definedName name="____OUT41301">#N/A</definedName>
    <definedName name="____OUT85116">#N/A</definedName>
    <definedName name="____OUT85125">#N/A</definedName>
    <definedName name="____OUT86106">#N/A</definedName>
    <definedName name="____P1">#REF!</definedName>
    <definedName name="____pd123">#REF!</definedName>
    <definedName name="____PG1">#REF!</definedName>
    <definedName name="____pg11">#REF!</definedName>
    <definedName name="____pg13">#REF!</definedName>
    <definedName name="____pg14">#REF!</definedName>
    <definedName name="____PG2">#REF!</definedName>
    <definedName name="____pg3">#REF!</definedName>
    <definedName name="____PG4">#REF!</definedName>
    <definedName name="____pg5">#REF!</definedName>
    <definedName name="____PG6">#REF!</definedName>
    <definedName name="____pg7">#REF!</definedName>
    <definedName name="____PG8">#REF!</definedName>
    <definedName name="____pg9">#REF!</definedName>
    <definedName name="____prc1">#REF!</definedName>
    <definedName name="____prc2">#REF!</definedName>
    <definedName name="____prc3">#REF!</definedName>
    <definedName name="____PSM2">#REF!</definedName>
    <definedName name="____PSM3">#REF!</definedName>
    <definedName name="____Q1">{"'Standalone List Price Trends'!$A$1:$X$56"}</definedName>
    <definedName name="____Q2">{"'Standalone List Price Trends'!$A$1:$X$56"}</definedName>
    <definedName name="____Q3">{"'Standalone List Price Trends'!$A$1:$X$56"}</definedName>
    <definedName name="____Q5">{"'Standalone List Price Trends'!$A$1:$X$56"}</definedName>
    <definedName name="____Q9">{"'Standalone List Price Trends'!$A$1:$X$56"}</definedName>
    <definedName name="____QRA86106">#N/A</definedName>
    <definedName name="____qt1">#REF!</definedName>
    <definedName name="____QTR1">#REF!</definedName>
    <definedName name="____QUO1">#REF!</definedName>
    <definedName name="____rd2">#REF!</definedName>
    <definedName name="____RNG1">#REF!</definedName>
    <definedName name="____RNG2">#REF!</definedName>
    <definedName name="____rw1">{"'Standalone List Price Trends'!$A$1:$X$56"}</definedName>
    <definedName name="____rw2">{"'Standalone List Price Trends'!$A$1:$X$56"}</definedName>
    <definedName name="____rw3">{"'Standalone List Price Trends'!$A$1:$X$56"}</definedName>
    <definedName name="____rw4">{"'Standalone List Price Trends'!$A$1:$X$56"}</definedName>
    <definedName name="____s1" hidden="1">{#N/A,#N/A,FALSE,"UNIT";#N/A,#N/A,FALSE,"UNIT";#N/A,#N/A,FALSE,"계정"}</definedName>
    <definedName name="____s10" hidden="1">{#N/A,#N/A,FALSE,"UNIT";#N/A,#N/A,FALSE,"UNIT";#N/A,#N/A,FALSE,"계정"}</definedName>
    <definedName name="____s11" hidden="1">{#N/A,#N/A,FALSE,"UNIT";#N/A,#N/A,FALSE,"UNIT";#N/A,#N/A,FALSE,"계정"}</definedName>
    <definedName name="____s12" hidden="1">{#N/A,#N/A,FALSE,"UNIT";#N/A,#N/A,FALSE,"UNIT";#N/A,#N/A,FALSE,"계정"}</definedName>
    <definedName name="____s13" hidden="1">{#N/A,#N/A,FALSE,"UNIT";#N/A,#N/A,FALSE,"UNIT";#N/A,#N/A,FALSE,"계정"}</definedName>
    <definedName name="____s14" hidden="1">{#N/A,#N/A,FALSE,"UNIT";#N/A,#N/A,FALSE,"UNIT";#N/A,#N/A,FALSE,"계정"}</definedName>
    <definedName name="____s16" hidden="1">{#N/A,#N/A,FALSE,"UNIT";#N/A,#N/A,FALSE,"UNIT";#N/A,#N/A,FALSE,"계정"}</definedName>
    <definedName name="____s17" hidden="1">{#N/A,#N/A,FALSE,"UNIT";#N/A,#N/A,FALSE,"UNIT";#N/A,#N/A,FALSE,"계정"}</definedName>
    <definedName name="____s2" hidden="1">{#N/A,#N/A,FALSE,"UNIT";#N/A,#N/A,FALSE,"UNIT";#N/A,#N/A,FALSE,"계정"}</definedName>
    <definedName name="____s3" hidden="1">{#N/A,#N/A,FALSE,"UNIT";#N/A,#N/A,FALSE,"UNIT";#N/A,#N/A,FALSE,"계정"}</definedName>
    <definedName name="____s4" hidden="1">{#N/A,#N/A,FALSE,"UNIT";#N/A,#N/A,FALSE,"UNIT";#N/A,#N/A,FALSE,"계정"}</definedName>
    <definedName name="____s5" hidden="1">{#N/A,#N/A,FALSE,"UNIT";#N/A,#N/A,FALSE,"UNIT";#N/A,#N/A,FALSE,"계정"}</definedName>
    <definedName name="____s6" hidden="1">{#N/A,#N/A,FALSE,"UNIT";#N/A,#N/A,FALSE,"UNIT";#N/A,#N/A,FALSE,"계정"}</definedName>
    <definedName name="____s9" hidden="1">{#N/A,#N/A,FALSE,"UNIT";#N/A,#N/A,FALSE,"UNIT";#N/A,#N/A,FALSE,"계정"}</definedName>
    <definedName name="____sb1">#REF!</definedName>
    <definedName name="____sep97">#REF!</definedName>
    <definedName name="____sex2">{"'1-TheatreBkgs'!$A$1:$L$102"}</definedName>
    <definedName name="____sex3">{"'1-TheatreBkgs'!$A$1:$L$102"}</definedName>
    <definedName name="____sex4">{"'1-TheatreBkgs'!$A$1:$L$102"}</definedName>
    <definedName name="____sex5">{"'1-TheatreBkgs'!$A$1:$L$102"}</definedName>
    <definedName name="____sex6">{"'1-TheatreBkgs'!$A$1:$L$102"}</definedName>
    <definedName name="____sgd02">#REF!</definedName>
    <definedName name="____sgd03">#REF!</definedName>
    <definedName name="____sgd04">#REF!</definedName>
    <definedName name="____sht1">#REF!</definedName>
    <definedName name="____ST1">#REF!</definedName>
    <definedName name="____tab1">#REF!</definedName>
    <definedName name="____tax2">#REF!</definedName>
    <definedName name="____TB111">#REF!</definedName>
    <definedName name="____TB112">#REF!</definedName>
    <definedName name="____TB113">#REF!</definedName>
    <definedName name="____TB114">#REF!</definedName>
    <definedName name="____TB115">#REF!</definedName>
    <definedName name="____TB116">#REF!</definedName>
    <definedName name="____TB117">#REF!</definedName>
    <definedName name="____TB121">#REF!</definedName>
    <definedName name="____TB122">#REF!</definedName>
    <definedName name="____TB123">#REF!</definedName>
    <definedName name="____TB124">#REF!</definedName>
    <definedName name="____TB125">#REF!</definedName>
    <definedName name="____TB126">#REF!</definedName>
    <definedName name="____TB131">#REF!</definedName>
    <definedName name="____TB132">#REF!</definedName>
    <definedName name="____TB211">#REF!</definedName>
    <definedName name="____TB212">#REF!</definedName>
    <definedName name="____TB213">#REF!</definedName>
    <definedName name="____TB214">#REF!</definedName>
    <definedName name="____TB215">#REF!</definedName>
    <definedName name="____TB221">#REF!</definedName>
    <definedName name="____TB2210">#REF!</definedName>
    <definedName name="____TB222">#REF!</definedName>
    <definedName name="____TB223">#REF!</definedName>
    <definedName name="____TB224">#REF!</definedName>
    <definedName name="____TB225">#REF!</definedName>
    <definedName name="____TB226">#REF!</definedName>
    <definedName name="____TB227">#REF!</definedName>
    <definedName name="____TB228">#REF!</definedName>
    <definedName name="____TB229">#REF!</definedName>
    <definedName name="____TB311">#REF!</definedName>
    <definedName name="____TB312">#REF!</definedName>
    <definedName name="____TB313">#REF!</definedName>
    <definedName name="____TB314">#REF!</definedName>
    <definedName name="____TB315">#REF!</definedName>
    <definedName name="____TB316">#REF!</definedName>
    <definedName name="____TB317">#REF!</definedName>
    <definedName name="____TB318">#REF!</definedName>
    <definedName name="____TB319">#REF!</definedName>
    <definedName name="____TB321">#REF!</definedName>
    <definedName name="____TB322">#REF!</definedName>
    <definedName name="____TB323">#REF!</definedName>
    <definedName name="____TB324">#REF!</definedName>
    <definedName name="____TB325">#REF!</definedName>
    <definedName name="____TB401">#REF!</definedName>
    <definedName name="____TB402">#REF!</definedName>
    <definedName name="____TB403">#REF!</definedName>
    <definedName name="____TB404">#REF!</definedName>
    <definedName name="____TB405">#REF!</definedName>
    <definedName name="____TB501">#REF!</definedName>
    <definedName name="____TB502">#REF!</definedName>
    <definedName name="____TB503">#REF!</definedName>
    <definedName name="____TB504">#REF!</definedName>
    <definedName name="____TB505">#REF!</definedName>
    <definedName name="____TB506">#REF!</definedName>
    <definedName name="____TB507">#REF!</definedName>
    <definedName name="____TB508">#REF!</definedName>
    <definedName name="____TB509">#REF!</definedName>
    <definedName name="____TB510">#REF!</definedName>
    <definedName name="____TB511">#REF!</definedName>
    <definedName name="____TB512">#REF!</definedName>
    <definedName name="____TB513">#REF!</definedName>
    <definedName name="____TB601">#REF!</definedName>
    <definedName name="____TB602">#REF!</definedName>
    <definedName name="____TB603">#REF!</definedName>
    <definedName name="____TB604">#REF!</definedName>
    <definedName name="____TB605">#REF!</definedName>
    <definedName name="____TB701">#REF!</definedName>
    <definedName name="____TB811">#REF!</definedName>
    <definedName name="____TB812">#REF!</definedName>
    <definedName name="____TB813">#REF!</definedName>
    <definedName name="____TB814">#REF!</definedName>
    <definedName name="____TB820">#REF!</definedName>
    <definedName name="____TB901">#REF!</definedName>
    <definedName name="____TB902">#REF!</definedName>
    <definedName name="____TB903">#REF!</definedName>
    <definedName name="____TB904">#REF!</definedName>
    <definedName name="____TBI1001">#REF!</definedName>
    <definedName name="____TBI1002">#REF!</definedName>
    <definedName name="____TBI1003">#REF!</definedName>
    <definedName name="____TBI1004">#REF!</definedName>
    <definedName name="____TBI1005">#REF!</definedName>
    <definedName name="____TBI101">#REF!</definedName>
    <definedName name="____TBI102">#REF!</definedName>
    <definedName name="____TBI1100">#REF!</definedName>
    <definedName name="____TBI1200">#REF!</definedName>
    <definedName name="____TBI201">#REF!</definedName>
    <definedName name="____TBI202">#REF!</definedName>
    <definedName name="____TBI203">#REF!</definedName>
    <definedName name="____TBI401">#REF!</definedName>
    <definedName name="____TBI402">#REF!</definedName>
    <definedName name="____TBI403">#REF!</definedName>
    <definedName name="____TBI404">#REF!</definedName>
    <definedName name="____TBI405">#REF!</definedName>
    <definedName name="____TBI406">#REF!</definedName>
    <definedName name="____TBI407">#REF!</definedName>
    <definedName name="____TBI408">#REF!</definedName>
    <definedName name="____TBI409">#REF!</definedName>
    <definedName name="____TBI410">#REF!</definedName>
    <definedName name="____TBI411">#REF!</definedName>
    <definedName name="____TBI412">#REF!</definedName>
    <definedName name="____TBI413">#REF!</definedName>
    <definedName name="____TBI414">#REF!</definedName>
    <definedName name="____TBI415">#REF!</definedName>
    <definedName name="____TBI416">#REF!</definedName>
    <definedName name="____TBI417">#REF!</definedName>
    <definedName name="____TBI418">#REF!</definedName>
    <definedName name="____TBI419">#REF!</definedName>
    <definedName name="____TBI420">#REF!</definedName>
    <definedName name="____TBI421">#REF!</definedName>
    <definedName name="____TBI422">#REF!</definedName>
    <definedName name="____TBI423">#REF!</definedName>
    <definedName name="____TBI424">#REF!</definedName>
    <definedName name="____TBI425">#REF!</definedName>
    <definedName name="____TBI601">#REF!</definedName>
    <definedName name="____TBI602">#REF!</definedName>
    <definedName name="____TBI603">#REF!</definedName>
    <definedName name="____TBI604">#REF!</definedName>
    <definedName name="____TBI605">#REF!</definedName>
    <definedName name="____TBI606">#REF!</definedName>
    <definedName name="____TBI607">#REF!</definedName>
    <definedName name="____TBI608">#REF!</definedName>
    <definedName name="____TBI609">#REF!</definedName>
    <definedName name="____TBI610">#REF!</definedName>
    <definedName name="____TBI611">#REF!</definedName>
    <definedName name="____TBI612">#REF!</definedName>
    <definedName name="____TBI613">#REF!</definedName>
    <definedName name="____TBI614">#REF!</definedName>
    <definedName name="____TBI701">#REF!</definedName>
    <definedName name="____TBI702">#REF!</definedName>
    <definedName name="____TBI703">#REF!</definedName>
    <definedName name="____TBI704">#REF!</definedName>
    <definedName name="____TBI705">#REF!</definedName>
    <definedName name="____TBI706">#REF!</definedName>
    <definedName name="____TBI707">#REF!</definedName>
    <definedName name="____TBI708">#REF!</definedName>
    <definedName name="____TBI709">#REF!</definedName>
    <definedName name="____TBI710">#REF!</definedName>
    <definedName name="____TBI711">#REF!</definedName>
    <definedName name="____TBI712">#REF!</definedName>
    <definedName name="____TBI713">#REF!</definedName>
    <definedName name="____TBI714">#REF!</definedName>
    <definedName name="____TBI715">#REF!</definedName>
    <definedName name="____TBI716">#REF!</definedName>
    <definedName name="____TBI717">#REF!</definedName>
    <definedName name="____TBI718">#REF!</definedName>
    <definedName name="____TBI719">#REF!</definedName>
    <definedName name="____TBI901">#REF!</definedName>
    <definedName name="____TBI902">#REF!</definedName>
    <definedName name="____TBI903">#REF!</definedName>
    <definedName name="____TBI904">#REF!</definedName>
    <definedName name="____TBI905">#REF!</definedName>
    <definedName name="____TBI906">#REF!</definedName>
    <definedName name="____TBI907">#REF!</definedName>
    <definedName name="____tc1">#REF!</definedName>
    <definedName name="____tc2">#REF!</definedName>
    <definedName name="____tc3">#REF!</definedName>
    <definedName name="____tc4">#REF!</definedName>
    <definedName name="____tc5">#REF!</definedName>
    <definedName name="____ted2">#REF!</definedName>
    <definedName name="____thb02">#REF!</definedName>
    <definedName name="____thb03">#REF!</definedName>
    <definedName name="____thb04">#REF!</definedName>
    <definedName name="____TLT1">#REF!</definedName>
    <definedName name="____TOP1">#REF!</definedName>
    <definedName name="____TOT1">#REF!</definedName>
    <definedName name="____TS1">#REF!</definedName>
    <definedName name="____twd02">#REF!</definedName>
    <definedName name="____twd03">#REF!</definedName>
    <definedName name="____twd04">#REF!</definedName>
    <definedName name="____UER1">#REF!</definedName>
    <definedName name="____v1">{"'1-TheatreBkgs'!$A$1:$L$102"}</definedName>
    <definedName name="____V2">{"'1-TheatreBkgs'!$A$1:$L$102"}</definedName>
    <definedName name="____v3">{"'1-TheatreBkgs'!$A$1:$L$102"}</definedName>
    <definedName name="____Vac1">#REF!</definedName>
    <definedName name="____VAR13300">#N/A</definedName>
    <definedName name="____VAR13502">#N/A</definedName>
    <definedName name="____vio1">#REF!</definedName>
    <definedName name="____wk1">#REF!</definedName>
    <definedName name="____wk2">#REF!</definedName>
    <definedName name="____wk3">#REF!</definedName>
    <definedName name="____wk4">#REF!</definedName>
    <definedName name="____wpl2">#REF!</definedName>
    <definedName name="____wrn1">#REF!</definedName>
    <definedName name="____wrn3">#REF!</definedName>
    <definedName name="____wrn4">#REF!</definedName>
    <definedName name="____xlfn.RTD">#NAME?</definedName>
    <definedName name="____Z04">#REF!</definedName>
    <definedName name="____Z05">#REF!</definedName>
    <definedName name="____zz04">#REF!</definedName>
    <definedName name="___1Table2_">#REF!</definedName>
    <definedName name="___2_0_Table2_">#REF!</definedName>
    <definedName name="___3S">#REF!</definedName>
    <definedName name="___4Table2_">#REF!</definedName>
    <definedName name="___5Table2_">#REF!</definedName>
    <definedName name="___6_0_S">#REF!</definedName>
    <definedName name="___7_0_Table2_">#REF!</definedName>
    <definedName name="___8_0_Table2_">#REF!</definedName>
    <definedName name="___a1">{"'1-TheatreBkgs'!$A$1:$L$102"}</definedName>
    <definedName name="___a2">#REF!</definedName>
    <definedName name="___a3">#REF!</definedName>
    <definedName name="___aa1" hidden="1">{#N/A,#N/A,FALSE,"Aging Summary";#N/A,#N/A,FALSE,"Ratio Analysis";#N/A,#N/A,FALSE,"Test 120 Day Accts";#N/A,#N/A,FALSE,"Tickmarks"}</definedName>
    <definedName name="___aaa2" hidden="1">{#N/A,#N/A,FALSE,"Aging Summary";#N/A,#N/A,FALSE,"Ratio Analysis";#N/A,#N/A,FALSE,"Test 120 Day Accts";#N/A,#N/A,FALSE,"Tickmarks"}</definedName>
    <definedName name="___ACK1">#REF!</definedName>
    <definedName name="___ake1">#REF!</definedName>
    <definedName name="___ake2">#REF!</definedName>
    <definedName name="___ake3">#REF!</definedName>
    <definedName name="___AMT13300">#N/A</definedName>
    <definedName name="___AMT13502">#N/A</definedName>
    <definedName name="___AMT41301">#N/A</definedName>
    <definedName name="___AMT85116">#N/A</definedName>
    <definedName name="___AMT85125">#N/A</definedName>
    <definedName name="___AMT86106">#N/A</definedName>
    <definedName name="___APS2">clra1b1,clra1b2,clra1b3,clra1b4,clra1b5,clra1b6,clra1b7,clra1b8</definedName>
    <definedName name="___aps4">Indexn1,IndexN2</definedName>
    <definedName name="___aud02">#REF!</definedName>
    <definedName name="___aud03">#REF!</definedName>
    <definedName name="___aud04">#REF!</definedName>
    <definedName name="___cad03">#REF!</definedName>
    <definedName name="___cat1">#REF!</definedName>
    <definedName name="___col1">#REF!</definedName>
    <definedName name="___col10">#REF!</definedName>
    <definedName name="___col11">#REF!</definedName>
    <definedName name="___col12">#REF!</definedName>
    <definedName name="___col13">#REF!</definedName>
    <definedName name="___col2">#REF!</definedName>
    <definedName name="___col3">#REF!</definedName>
    <definedName name="___col4">#REF!</definedName>
    <definedName name="___col5">#REF!</definedName>
    <definedName name="___col6">#REF!</definedName>
    <definedName name="___col7">#REF!</definedName>
    <definedName name="___col8">#REF!</definedName>
    <definedName name="___col9">#REF!</definedName>
    <definedName name="___d32">16</definedName>
    <definedName name="___d444">5</definedName>
    <definedName name="___d5">{"'1-TheatreBkgs'!$A$1:$L$102"}</definedName>
    <definedName name="___d6">{"'1-TheatreBkgs'!$A$1:$L$102"}</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3">#REF!</definedName>
    <definedName name="___DAT4">#REF!</definedName>
    <definedName name="___DAT5">#REF!</definedName>
    <definedName name="___dat50">#REF!</definedName>
    <definedName name="___DAT6">#REF!</definedName>
    <definedName name="___DAT7">#REF!</definedName>
    <definedName name="___DAT8">#REF!</definedName>
    <definedName name="___DAT9">#REF!</definedName>
    <definedName name="___DD2">#REF!</definedName>
    <definedName name="___ddd1">#REF!</definedName>
    <definedName name="___DEC11">{"'OCT  VOIDS'!$A$1:$G$33","'OCT '!$A$1:$G$48","'OCT Adj'!$A$1:$L$37"}</definedName>
    <definedName name="___DEC2">{"'OCT  VOIDS'!$A$1:$G$33","'OCT '!$A$1:$G$48","'OCT Adj'!$A$1:$L$37"}</definedName>
    <definedName name="___DEC3">{"'OCT  VOIDS'!$A$1:$G$33","'OCT '!$A$1:$G$48","'OCT Adj'!$A$1:$L$37"}</definedName>
    <definedName name="___dog1">#REF!</definedName>
    <definedName name="___eur03">#REF!</definedName>
    <definedName name="___FST1">#REF!</definedName>
    <definedName name="___gbp03">#REF!</definedName>
    <definedName name="___gfg2">#REF!</definedName>
    <definedName name="___gla1" hidden="1">{#N/A,#N/A,FALSE,"Inc Month";#N/A,#N/A,FALSE,"Inc YTD";#N/A,#N/A,FALSE,"Bal Sheet";#N/A,#N/A,FALSE,"Base Cert";#N/A,#N/A,FALSE,"AR-Detail";#N/A,#N/A,FALSE,"PAC Bal";#N/A,#N/A,FALSE,"PAC Cash";#N/A,#N/A,FALSE,"Equity";#N/A,#N/A,FALSE,"PEI Bal";#N/A,#N/A,FALSE,"PEI Cash"}</definedName>
    <definedName name="___gla2" hidden="1">{#N/A,#N/A,FALSE,"Inc Month";#N/A,#N/A,FALSE,"Inc YTD";#N/A,#N/A,FALSE,"Bal Sheet";#N/A,#N/A,FALSE,"Base Cert";#N/A,#N/A,FALSE,"AR-Detail";#N/A,#N/A,FALSE,"PAC Bal";#N/A,#N/A,FALSE,"PAC Cash";#N/A,#N/A,FALSE,"Equity";#N/A,#N/A,FALSE,"PEI Bal";#N/A,#N/A,FALSE,"PEI Cash"}</definedName>
    <definedName name="___Grp12">#REF!</definedName>
    <definedName name="___Grp13">#REF!</definedName>
    <definedName name="___Grp14">#REF!</definedName>
    <definedName name="___Grp15">#REF!</definedName>
    <definedName name="___Grp2">#REF!</definedName>
    <definedName name="___hkd02">#REF!</definedName>
    <definedName name="___hkd03">#REF!</definedName>
    <definedName name="___hkd04">#REF!</definedName>
    <definedName name="___idr03">#REF!</definedName>
    <definedName name="___ILF2000">#REF!</definedName>
    <definedName name="___ILF99">#REF!</definedName>
    <definedName name="___ILT1">#REF!</definedName>
    <definedName name="___INDEX_SHEET___ASAP_Utilities">#REF!</definedName>
    <definedName name="___Inv1" hidden="1">{#N/A,#N/A,TRUE,"CPRD";#N/A,#N/A,TRUE,"BCCPDR";#N/A,#N/A,TRUE,"EWRD";#N/A,#N/A,TRUE,"5100";#N/A,#N/A,TRUE,"5110"}</definedName>
    <definedName name="___IS2">#REF!</definedName>
    <definedName name="___J2">0</definedName>
    <definedName name="_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_key1" hidden="1">#REF!</definedName>
    <definedName name="___lbg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___LG2" hidden="1">{#N/A,#N/A,TRUE,"매출진척-1";#N/A,#N/A,TRUE,"매출진척-2";#N/A,#N/A,TRUE,"제품실적";#N/A,#N/A,TRUE,"RAC";#N/A,#N/A,TRUE,"PAC ";#N/A,#N/A,TRUE,"재고현황";#N/A,#N/A,TRUE,"공지사항"}</definedName>
    <definedName name="___M199" hidden="1">{#N/A,#N/A,FALSE,"Aging Summary";#N/A,#N/A,FALSE,"Ratio Analysis";#N/A,#N/A,FALSE,"Test 120 Day Accts";#N/A,#N/A,FALSE,"Tickmarks"}</definedName>
    <definedName name="___MAR9091">#REF!</definedName>
    <definedName name="___MAT1">#REF!</definedName>
    <definedName name="___me1">36.2</definedName>
    <definedName name="___me2">40</definedName>
    <definedName name="___mer1">#REF!</definedName>
    <definedName name="___mer2">#REF!</definedName>
    <definedName name="___mk1">#REF!</definedName>
    <definedName name="___ms1">#REF!</definedName>
    <definedName name="___mv1">#REF!</definedName>
    <definedName name="___myr03">#REF!</definedName>
    <definedName name="___neu1">47</definedName>
    <definedName name="___neu2">"5W20QJUQBT31X9QWPI207CDHB"</definedName>
    <definedName name="___new1" hidden="1">{"Central",#N/A,FALSE,"Total"}</definedName>
    <definedName name="___new2" hidden="1">{"Central",#N/A,FALSE,"Total"}</definedName>
    <definedName name="___nm1" hidden="1">{#N/A,#N/A,TRUE,"Monthly BCG";#N/A,#N/A,TRUE,"Qrt BCG";#N/A,#N/A,TRUE,"FY BCG";#N/A,#N/A,TRUE,"1Q BCG";#N/A,#N/A,TRUE,"2Q BCG";#N/A,#N/A,TRUE,"3Q BCG";#N/A,#N/A,TRUE,"4Q BCG"}</definedName>
    <definedName name="___nol1">#REF!</definedName>
    <definedName name="___O1">#REF!</definedName>
    <definedName name="___O2">#REF!</definedName>
    <definedName name="___oe1">#REF!</definedName>
    <definedName name="___OK2">#REF!</definedName>
    <definedName name="___old1">#REF!</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OUT13300">#N/A</definedName>
    <definedName name="___OUT13502">#N/A</definedName>
    <definedName name="___OUT41301">#N/A</definedName>
    <definedName name="___OUT85116">#N/A</definedName>
    <definedName name="___OUT85125">#N/A</definedName>
    <definedName name="___OUT86106">#N/A</definedName>
    <definedName name="___P1">#REF!</definedName>
    <definedName name="___pd123">#REF!</definedName>
    <definedName name="___PG1">#REF!</definedName>
    <definedName name="___pg10">#REF!</definedName>
    <definedName name="___pg11">#REF!</definedName>
    <definedName name="___pg12">#REF!</definedName>
    <definedName name="___pg13">#REF!</definedName>
    <definedName name="___pg14">#REF!</definedName>
    <definedName name="___pg2">#REF!</definedName>
    <definedName name="___pg3">#REF!</definedName>
    <definedName name="___pg4">#REF!</definedName>
    <definedName name="___pg5">#REF!</definedName>
    <definedName name="___pg6">#REF!</definedName>
    <definedName name="___pg7">#REF!</definedName>
    <definedName name="___pg8">#REF!</definedName>
    <definedName name="___pg9">#REF!</definedName>
    <definedName name="___prc1">#REF!</definedName>
    <definedName name="___prc2">#REF!</definedName>
    <definedName name="___prc3">#REF!</definedName>
    <definedName name="___prn01">#REF!</definedName>
    <definedName name="___ps3">g1clear,G1Clear2</definedName>
    <definedName name="___PSM2">#REF!</definedName>
    <definedName name="___PSM3">#REF!</definedName>
    <definedName name="___q1">#REF!</definedName>
    <definedName name="___q2">#REF!</definedName>
    <definedName name="___Q3">{"'Standalone List Price Trends'!$A$1:$X$56"}</definedName>
    <definedName name="___Q4">{"'Standalone List Price Trends'!$A$1:$X$56"}</definedName>
    <definedName name="___Q5">{"'Standalone List Price Trends'!$A$1:$X$56"}</definedName>
    <definedName name="___Q9">{"'Standalone List Price Trends'!$A$1:$X$56"}</definedName>
    <definedName name="___QRA86106">#N/A</definedName>
    <definedName name="___qt1">#REF!</definedName>
    <definedName name="___QTR1">#REF!</definedName>
    <definedName name="___QUO1">#REF!</definedName>
    <definedName name="___rd2">#REF!</definedName>
    <definedName name="___RNG1">#REF!</definedName>
    <definedName name="___RNG2">#REF!</definedName>
    <definedName name="___row2" hidden="1">#REF!</definedName>
    <definedName name="___rw1">{"'Standalone List Price Trends'!$A$1:$X$56"}</definedName>
    <definedName name="___rw2">{"'Standalone List Price Trends'!$A$1:$X$56"}</definedName>
    <definedName name="___rw3" hidden="1">#REF!</definedName>
    <definedName name="___rw4">{"'Standalone List Price Trends'!$A$1:$X$56"}</definedName>
    <definedName name="___rwo5" hidden="1">#REF!</definedName>
    <definedName name="___s1" hidden="1">{#N/A,#N/A,FALSE,"UNIT";#N/A,#N/A,FALSE,"UNIT";#N/A,#N/A,FALSE,"계정"}</definedName>
    <definedName name="___s10" hidden="1">{#N/A,#N/A,FALSE,"UNIT";#N/A,#N/A,FALSE,"UNIT";#N/A,#N/A,FALSE,"계정"}</definedName>
    <definedName name="___s11" hidden="1">{#N/A,#N/A,FALSE,"UNIT";#N/A,#N/A,FALSE,"UNIT";#N/A,#N/A,FALSE,"계정"}</definedName>
    <definedName name="___s12" hidden="1">{#N/A,#N/A,FALSE,"UNIT";#N/A,#N/A,FALSE,"UNIT";#N/A,#N/A,FALSE,"계정"}</definedName>
    <definedName name="___s13" hidden="1">{#N/A,#N/A,FALSE,"UNIT";#N/A,#N/A,FALSE,"UNIT";#N/A,#N/A,FALSE,"계정"}</definedName>
    <definedName name="___s14" hidden="1">{#N/A,#N/A,FALSE,"UNIT";#N/A,#N/A,FALSE,"UNIT";#N/A,#N/A,FALSE,"계정"}</definedName>
    <definedName name="___s16" hidden="1">{#N/A,#N/A,FALSE,"UNIT";#N/A,#N/A,FALSE,"UNIT";#N/A,#N/A,FALSE,"계정"}</definedName>
    <definedName name="___s17" hidden="1">{#N/A,#N/A,FALSE,"UNIT";#N/A,#N/A,FALSE,"UNIT";#N/A,#N/A,FALSE,"계정"}</definedName>
    <definedName name="___s2" hidden="1">{#N/A,#N/A,FALSE,"UNIT";#N/A,#N/A,FALSE,"UNIT";#N/A,#N/A,FALSE,"계정"}</definedName>
    <definedName name="___s3" hidden="1">{#N/A,#N/A,FALSE,"UNIT";#N/A,#N/A,FALSE,"UNIT";#N/A,#N/A,FALSE,"계정"}</definedName>
    <definedName name="___s4" hidden="1">{#N/A,#N/A,FALSE,"UNIT";#N/A,#N/A,FALSE,"UNIT";#N/A,#N/A,FALSE,"계정"}</definedName>
    <definedName name="___s5" hidden="1">{#N/A,#N/A,FALSE,"UNIT";#N/A,#N/A,FALSE,"UNIT";#N/A,#N/A,FALSE,"계정"}</definedName>
    <definedName name="___s6" hidden="1">{#N/A,#N/A,FALSE,"UNIT";#N/A,#N/A,FALSE,"UNIT";#N/A,#N/A,FALSE,"계정"}</definedName>
    <definedName name="___s9" hidden="1">{#N/A,#N/A,FALSE,"UNIT";#N/A,#N/A,FALSE,"UNIT";#N/A,#N/A,FALSE,"계정"}</definedName>
    <definedName name="___sb1">#REF!</definedName>
    <definedName name="___Sch10">#REF!</definedName>
    <definedName name="___Sch11">#REF!</definedName>
    <definedName name="___Sch12">#REF!</definedName>
    <definedName name="___Sch13">#REF!</definedName>
    <definedName name="___Sch14">#REF!</definedName>
    <definedName name="___Sch15">#REF!</definedName>
    <definedName name="___Sch2">#REF!</definedName>
    <definedName name="___Sch4">#REF!</definedName>
    <definedName name="___Sch5">#REF!</definedName>
    <definedName name="___Sch6">#REF!</definedName>
    <definedName name="___Sch7">#REF!</definedName>
    <definedName name="___Sch8">#REF!</definedName>
    <definedName name="___Sch9">#REF!</definedName>
    <definedName name="___SEC2">#REF!</definedName>
    <definedName name="___SEC4">#REF!</definedName>
    <definedName name="___SEC5">#REF!</definedName>
    <definedName name="___sep97">#REF!</definedName>
    <definedName name="___sgd02">#REF!</definedName>
    <definedName name="___sgd03">#REF!</definedName>
    <definedName name="___sgd04">#REF!</definedName>
    <definedName name="___sht1">#REF!</definedName>
    <definedName name="___ST1">#REF!</definedName>
    <definedName name="___tab1">#REF!</definedName>
    <definedName name="___tax2">#REF!</definedName>
    <definedName name="___TB111">#REF!</definedName>
    <definedName name="___TB112">#REF!</definedName>
    <definedName name="___TB113">#REF!</definedName>
    <definedName name="___TB114">#REF!</definedName>
    <definedName name="___TB115">#REF!</definedName>
    <definedName name="___TB116">#REF!</definedName>
    <definedName name="___TB117">#REF!</definedName>
    <definedName name="___TB121">#REF!</definedName>
    <definedName name="___TB122">#REF!</definedName>
    <definedName name="___TB123">#REF!</definedName>
    <definedName name="___TB124">#REF!</definedName>
    <definedName name="___TB125">#REF!</definedName>
    <definedName name="___TB126">#REF!</definedName>
    <definedName name="___TB131">#REF!</definedName>
    <definedName name="___TB132">#REF!</definedName>
    <definedName name="___TB211">#REF!</definedName>
    <definedName name="___TB212">#REF!</definedName>
    <definedName name="___TB213">#REF!</definedName>
    <definedName name="___TB214">#REF!</definedName>
    <definedName name="___TB215">#REF!</definedName>
    <definedName name="___TB221">#REF!</definedName>
    <definedName name="___TB2210">#REF!</definedName>
    <definedName name="___TB222">#REF!</definedName>
    <definedName name="___TB223">#REF!</definedName>
    <definedName name="___TB224">#REF!</definedName>
    <definedName name="___TB225">#REF!</definedName>
    <definedName name="___TB226">#REF!</definedName>
    <definedName name="___TB227">#REF!</definedName>
    <definedName name="___TB228">#REF!</definedName>
    <definedName name="___TB229">#REF!</definedName>
    <definedName name="___TB311">#REF!</definedName>
    <definedName name="___TB312">#REF!</definedName>
    <definedName name="___TB313">#REF!</definedName>
    <definedName name="___TB314">#REF!</definedName>
    <definedName name="___TB315">#REF!</definedName>
    <definedName name="___TB316">#REF!</definedName>
    <definedName name="___TB317">#REF!</definedName>
    <definedName name="___TB318">#REF!</definedName>
    <definedName name="___TB319">#REF!</definedName>
    <definedName name="___TB321">#REF!</definedName>
    <definedName name="___TB322">#REF!</definedName>
    <definedName name="___TB323">#REF!</definedName>
    <definedName name="___TB324">#REF!</definedName>
    <definedName name="___TB325">#REF!</definedName>
    <definedName name="___TB401">#REF!</definedName>
    <definedName name="___TB402">#REF!</definedName>
    <definedName name="___TB403">#REF!</definedName>
    <definedName name="___TB404">#REF!</definedName>
    <definedName name="___TB405">#REF!</definedName>
    <definedName name="___TB501">#REF!</definedName>
    <definedName name="___TB502">#REF!</definedName>
    <definedName name="___TB503">#REF!</definedName>
    <definedName name="___TB504">#REF!</definedName>
    <definedName name="___TB505">#REF!</definedName>
    <definedName name="___TB506">#REF!</definedName>
    <definedName name="___TB507">#REF!</definedName>
    <definedName name="___TB508">#REF!</definedName>
    <definedName name="___TB509">#REF!</definedName>
    <definedName name="___TB510">#REF!</definedName>
    <definedName name="___TB511">#REF!</definedName>
    <definedName name="___TB512">#REF!</definedName>
    <definedName name="___TB513">#REF!</definedName>
    <definedName name="___TB601">#REF!</definedName>
    <definedName name="___TB602">#REF!</definedName>
    <definedName name="___TB603">#REF!</definedName>
    <definedName name="___TB604">#REF!</definedName>
    <definedName name="___TB605">#REF!</definedName>
    <definedName name="___TB701">#REF!</definedName>
    <definedName name="___TB811">#REF!</definedName>
    <definedName name="___TB812">#REF!</definedName>
    <definedName name="___TB813">#REF!</definedName>
    <definedName name="___TB814">#REF!</definedName>
    <definedName name="___TB820">#REF!</definedName>
    <definedName name="___TB901">#REF!</definedName>
    <definedName name="___TB902">#REF!</definedName>
    <definedName name="___TB903">#REF!</definedName>
    <definedName name="___TB904">#REF!</definedName>
    <definedName name="___TBI1001">#REF!</definedName>
    <definedName name="___TBI1002">#REF!</definedName>
    <definedName name="___TBI1003">#REF!</definedName>
    <definedName name="___TBI1004">#REF!</definedName>
    <definedName name="___TBI1005">#REF!</definedName>
    <definedName name="___TBI101">#REF!</definedName>
    <definedName name="___TBI102">#REF!</definedName>
    <definedName name="___TBI1100">#REF!</definedName>
    <definedName name="___TBI1200">#REF!</definedName>
    <definedName name="___TBI201">#REF!</definedName>
    <definedName name="___TBI202">#REF!</definedName>
    <definedName name="___TBI203">#REF!</definedName>
    <definedName name="___TBI401">#REF!</definedName>
    <definedName name="___TBI402">#REF!</definedName>
    <definedName name="___TBI403">#REF!</definedName>
    <definedName name="___TBI404">#REF!</definedName>
    <definedName name="___TBI405">#REF!</definedName>
    <definedName name="___TBI406">#REF!</definedName>
    <definedName name="___TBI407">#REF!</definedName>
    <definedName name="___TBI408">#REF!</definedName>
    <definedName name="___TBI409">#REF!</definedName>
    <definedName name="___TBI410">#REF!</definedName>
    <definedName name="___TBI411">#REF!</definedName>
    <definedName name="___TBI412">#REF!</definedName>
    <definedName name="___TBI413">#REF!</definedName>
    <definedName name="___TBI414">#REF!</definedName>
    <definedName name="___TBI415">#REF!</definedName>
    <definedName name="___TBI416">#REF!</definedName>
    <definedName name="___TBI417">#REF!</definedName>
    <definedName name="___TBI418">#REF!</definedName>
    <definedName name="___TBI419">#REF!</definedName>
    <definedName name="___TBI420">#REF!</definedName>
    <definedName name="___TBI421">#REF!</definedName>
    <definedName name="___TBI422">#REF!</definedName>
    <definedName name="___TBI423">#REF!</definedName>
    <definedName name="___TBI424">#REF!</definedName>
    <definedName name="___TBI425">#REF!</definedName>
    <definedName name="___TBI601">#REF!</definedName>
    <definedName name="___TBI602">#REF!</definedName>
    <definedName name="___TBI603">#REF!</definedName>
    <definedName name="___TBI604">#REF!</definedName>
    <definedName name="___TBI605">#REF!</definedName>
    <definedName name="___TBI606">#REF!</definedName>
    <definedName name="___TBI607">#REF!</definedName>
    <definedName name="___TBI608">#REF!</definedName>
    <definedName name="___TBI609">#REF!</definedName>
    <definedName name="___TBI610">#REF!</definedName>
    <definedName name="___TBI611">#REF!</definedName>
    <definedName name="___TBI612">#REF!</definedName>
    <definedName name="___TBI613">#REF!</definedName>
    <definedName name="___TBI614">#REF!</definedName>
    <definedName name="___TBI701">#REF!</definedName>
    <definedName name="___TBI702">#REF!</definedName>
    <definedName name="___TBI703">#REF!</definedName>
    <definedName name="___TBI704">#REF!</definedName>
    <definedName name="___TBI705">#REF!</definedName>
    <definedName name="___TBI706">#REF!</definedName>
    <definedName name="___TBI707">#REF!</definedName>
    <definedName name="___TBI708">#REF!</definedName>
    <definedName name="___TBI709">#REF!</definedName>
    <definedName name="___TBI710">#REF!</definedName>
    <definedName name="___TBI711">#REF!</definedName>
    <definedName name="___TBI712">#REF!</definedName>
    <definedName name="___TBI713">#REF!</definedName>
    <definedName name="___TBI714">#REF!</definedName>
    <definedName name="___TBI715">#REF!</definedName>
    <definedName name="___TBI716">#REF!</definedName>
    <definedName name="___TBI717">#REF!</definedName>
    <definedName name="___TBI718">#REF!</definedName>
    <definedName name="___TBI719">#REF!</definedName>
    <definedName name="___TBI901">#REF!</definedName>
    <definedName name="___TBI902">#REF!</definedName>
    <definedName name="___TBI903">#REF!</definedName>
    <definedName name="___TBI904">#REF!</definedName>
    <definedName name="___TBI905">#REF!</definedName>
    <definedName name="___TBI906">#REF!</definedName>
    <definedName name="___TBI907">#REF!</definedName>
    <definedName name="___tc1">#REF!</definedName>
    <definedName name="___tc2">#REF!</definedName>
    <definedName name="___tc3">#REF!</definedName>
    <definedName name="___tc4">#REF!</definedName>
    <definedName name="___tc5">#REF!</definedName>
    <definedName name="___ted2">#REF!</definedName>
    <definedName name="___thb02">#REF!</definedName>
    <definedName name="___thb03">#REF!</definedName>
    <definedName name="___thb04">#REF!</definedName>
    <definedName name="___thinkcell0kUAAAAAAAAAAAAA41keTJtvmkmjSj6CFieU5g">#REF!</definedName>
    <definedName name="___thinkcellyh9W.42GHk.5NjwSOz9PNg">#REF!</definedName>
    <definedName name="___TLT1">#REF!</definedName>
    <definedName name="___TOP1">#REF!</definedName>
    <definedName name="___TOP10" hidden="1">{#N/A,#N/A,TRUE,"CPRD";#N/A,#N/A,TRUE,"BCCPDR";#N/A,#N/A,TRUE,"EWRD";#N/A,#N/A,TRUE,"5100";#N/A,#N/A,TRUE,"5110"}</definedName>
    <definedName name="___TOT1">#REF!</definedName>
    <definedName name="___TS1">#REF!</definedName>
    <definedName name="___twd02">#REF!</definedName>
    <definedName name="___twd03">#REF!</definedName>
    <definedName name="___twd04">#REF!</definedName>
    <definedName name="___UER1">#REF!</definedName>
    <definedName name="___v3">{"'1-TheatreBkgs'!$A$1:$L$102"}</definedName>
    <definedName name="___Vac1">#REF!</definedName>
    <definedName name="___VAR13300">#N/A</definedName>
    <definedName name="___VAR13502">#N/A</definedName>
    <definedName name="___w1" hidden="1">{#N/A,#N/A,FALSE,"Australia";#N/A,#N/A,FALSE,"Austria";#N/A,#N/A,FALSE,"Belgium";#N/A,#N/A,FALSE,"Canada";#N/A,#N/A,FALSE,"France";#N/A,#N/A,FALSE,"Germany";#N/A,#N/A,FALSE,"Hong Kong";#N/A,#N/A,FALSE,"Italy";#N/A,#N/A,FALSE,"Japan";#N/A,#N/A,FALSE,"Korea";#N/A,#N/A,FALSE,"Mexico";#N/A,#N/A,FALSE,"Poland";#N/A,#N/A,FALSE,"Spain";#N/A,#N/A,FALSE,"Switzerland";#N/A,#N/A,FALSE,"UK"}</definedName>
    <definedName name="___web1">#REF!</definedName>
    <definedName name="___wk1">#REF!</definedName>
    <definedName name="___wk2">#REF!</definedName>
    <definedName name="___wk3">#REF!</definedName>
    <definedName name="___wk4">#REF!</definedName>
    <definedName name="___wpl2" hidden="1">{#N/A,#N/A,FALSE,"Aging Summary";#N/A,#N/A,FALSE,"Ratio Analysis";#N/A,#N/A,FALSE,"Test 120 Day Accts";#N/A,#N/A,FALSE,"Tickmarks"}</definedName>
    <definedName name="___wr1">#REF!</definedName>
    <definedName name="___wrn3">#REF!</definedName>
    <definedName name="___wrn4">#REF!</definedName>
    <definedName name="___www2">#REF!</definedName>
    <definedName name="___x1">#REF!</definedName>
    <definedName name="___xlc_DefaultDisplayOption___">"caption"</definedName>
    <definedName name="___xlc_DisplayNullValuesAs___">"___xlc_DisplayNullValuesAs_empty___"</definedName>
    <definedName name="___xlc_PromptForInsertOnDrill___">FALSE</definedName>
    <definedName name="___xlc_SuppressNULLSOnDrill___">TRUE</definedName>
    <definedName name="___xlc_SuppressZerosOnDrill___">FALSE</definedName>
    <definedName name="___xlfn.BAHTTEXT">#NAME?</definedName>
    <definedName name="___xlfn.RTD">#NAME?</definedName>
    <definedName name="___xz4">{0,0,0,0;0,0,0,0;0,0,0,0;0,0,0,0;0,0,0,0;0,0,0,0}</definedName>
    <definedName name="___Z04">#REF!</definedName>
    <definedName name="___Z04_3">#REF!</definedName>
    <definedName name="___Z05">#REF!</definedName>
    <definedName name="___Z05_3">#REF!</definedName>
    <definedName name="___zz04">#REF!</definedName>
    <definedName name="__1">#REF!</definedName>
    <definedName name="__1_?">#REF!</definedName>
    <definedName name="__1__123Graph_ACHART_3">#REF!</definedName>
    <definedName name="__1__xlfn.IFERROR">#NAME?</definedName>
    <definedName name="__1_154.87">#NAME?</definedName>
    <definedName name="__10">#REF!</definedName>
    <definedName name="__10__123Graph_ACHART_111" hidden="1">#REF!</definedName>
    <definedName name="__10__123Graph_BSENS_COMPARISON">#REF!</definedName>
    <definedName name="__11">#REF!</definedName>
    <definedName name="__11__123Graph_ACHART_112" hidden="1">#REF!</definedName>
    <definedName name="__11__123Graph_BSUPPLIES_BY_B_U">#REF!</definedName>
    <definedName name="__12__123Graph_AChart_1A" hidden="1">#REF!</definedName>
    <definedName name="__12__123Graph_BTAX_CREDIT">#REF!</definedName>
    <definedName name="__123Graph_A" hidden="1">#REF!</definedName>
    <definedName name="__123Graph_AAKTUELLE" hidden="1">#REF!</definedName>
    <definedName name="__123Graph_AChart1">#REF!</definedName>
    <definedName name="__123Graph_AChart2">#REF!</definedName>
    <definedName name="__123Graph_AChart3">#REF!</definedName>
    <definedName name="__123Graph_AChart4">#REF!</definedName>
    <definedName name="__123Graph_AChartn">#REF!</definedName>
    <definedName name="__123Graph_ACurrent">#REF!</definedName>
    <definedName name="__123Graph_AEXH1A">#REF!</definedName>
    <definedName name="__123Graph_AEXH3B">#REF!</definedName>
    <definedName name="__123Graph_AGraph1">#REF!</definedName>
    <definedName name="__123Graph_AGraph2">#REF!</definedName>
    <definedName name="__123Graph_AGraph3">#REF!</definedName>
    <definedName name="__123Graph_AGraph4">#REF!</definedName>
    <definedName name="__123Graph_AGraph5">#REF!</definedName>
    <definedName name="__123Graph_APERCENT" hidden="1">#REF!</definedName>
    <definedName name="__123Graph_ASALESTREND">#REF!</definedName>
    <definedName name="__123Graph_B" hidden="1">#REF!</definedName>
    <definedName name="__123Graph_BAKTUELLE" hidden="1">#REF!</definedName>
    <definedName name="__123Graph_BChart1">#REF!</definedName>
    <definedName name="__123Graph_BChart2">#REF!</definedName>
    <definedName name="__123Graph_BChart3">#REF!</definedName>
    <definedName name="__123Graph_BChart4">#REF!</definedName>
    <definedName name="__123Graph_BCurrent">#REF!</definedName>
    <definedName name="__123Graph_BGraph1">#REF!</definedName>
    <definedName name="__123Graph_BGraph2">#REF!</definedName>
    <definedName name="__123Graph_BGraph3">#REF!</definedName>
    <definedName name="__123Graph_BGraph5">#REF!</definedName>
    <definedName name="__123Graph_C">#REF!</definedName>
    <definedName name="__123Graph_CAKTUELLE" hidden="1">#REF!</definedName>
    <definedName name="__123Graph_CChart1">#REF!</definedName>
    <definedName name="__123Graph_CChart2">#REF!</definedName>
    <definedName name="__123Graph_CChart3">#REF!</definedName>
    <definedName name="__123Graph_CChart4">#REF!</definedName>
    <definedName name="__123Graph_CCurrent">#REF!</definedName>
    <definedName name="__123Graph_CEXH1A">#REF!</definedName>
    <definedName name="__123Graph_CEXH3B">#REF!</definedName>
    <definedName name="__123Graph_CGraph1">#REF!</definedName>
    <definedName name="__123Graph_CGraph2">#REF!</definedName>
    <definedName name="__123Graph_CGraph3">#REF!</definedName>
    <definedName name="__123Graph_D">#REF!</definedName>
    <definedName name="__123Graph_DAKTUELLE" hidden="1">#REF!</definedName>
    <definedName name="__123Graph_DChart1">#REF!</definedName>
    <definedName name="__123Graph_DChart2">#REF!</definedName>
    <definedName name="__123Graph_DChart3">#REF!</definedName>
    <definedName name="__123Graph_DChart4">#REF!</definedName>
    <definedName name="__123Graph_DCurrent">#REF!</definedName>
    <definedName name="__123Graph_DGraph1">#REF!</definedName>
    <definedName name="__123Graph_DGraph2">#REF!</definedName>
    <definedName name="__123Graph_DGraph3">#REF!</definedName>
    <definedName name="__123Graph_E">#REF!</definedName>
    <definedName name="__123Graph_EAKTUELLE" hidden="1">#REF!</definedName>
    <definedName name="__123Graph_EChart1">#REF!</definedName>
    <definedName name="__123Graph_EChart2">#REF!</definedName>
    <definedName name="__123Graph_EChart3">#REF!</definedName>
    <definedName name="__123Graph_EChart4">#REF!</definedName>
    <definedName name="__123Graph_ECurrent">#REF!</definedName>
    <definedName name="__123Graph_EGraph1">#REF!</definedName>
    <definedName name="__123Graph_EGraph2">#REF!</definedName>
    <definedName name="__123Graph_EGraph3">#REF!</definedName>
    <definedName name="__123Graph_F">#REF!</definedName>
    <definedName name="__123Graph_FChart1">#REF!</definedName>
    <definedName name="__123Graph_FChart2">#REF!</definedName>
    <definedName name="__123Graph_FChart3">#REF!</definedName>
    <definedName name="__123Graph_FChart4">#REF!</definedName>
    <definedName name="__123Graph_FCurrent">#REF!</definedName>
    <definedName name="__123Graph_FEXH1A">#REF!</definedName>
    <definedName name="__123Graph_FEXH3B">#REF!</definedName>
    <definedName name="__123Graph_FGraph1">#REF!</definedName>
    <definedName name="__123Graph_FGraph2">#REF!</definedName>
    <definedName name="__123Graph_FGraph3">#REF!</definedName>
    <definedName name="__123Graph_LBL_A" hidden="1">#REF!</definedName>
    <definedName name="__123Graph_LBL_ASALESTREND">#REF!</definedName>
    <definedName name="__123Graph_LBL_B" hidden="1">#REF!</definedName>
    <definedName name="__123Graph_LBL_C" hidden="1">#REF!</definedName>
    <definedName name="__123Graph_LBL_D" hidden="1">#REF!</definedName>
    <definedName name="__123Graph_X" hidden="1">#REF!</definedName>
    <definedName name="__123Graph_XChart1" hidden="1">#REF!</definedName>
    <definedName name="__123Graph_XChart2" hidden="1">#REF!</definedName>
    <definedName name="__123Graph_XChart3" hidden="1">#REF!</definedName>
    <definedName name="__123Graph_XCurrent" hidden="1">#REF!</definedName>
    <definedName name="__123Graph_XEXH1A">#REF!</definedName>
    <definedName name="__123Graph_XEXH3B">#REF!</definedName>
    <definedName name="__123Graph_XGraph1">#REF!</definedName>
    <definedName name="__123Graph_XGraph2">#REF!</definedName>
    <definedName name="__123Graph_XGraph4">#REF!</definedName>
    <definedName name="__123Graph_XGraph5">#REF!</definedName>
    <definedName name="__123Graph_XPERCENT" hidden="1">#REF!</definedName>
    <definedName name="__123Graph_XSALESTREND">#REF!</definedName>
    <definedName name="__123nn">#REF!</definedName>
    <definedName name="__13__123Graph_ACHART_26" hidden="1">#REF!</definedName>
    <definedName name="__13__123Graph_BWAGES_BY_B_U">#REF!</definedName>
    <definedName name="__14__123Graph_CCONTRACT_BY_B_U">#REF!</definedName>
    <definedName name="__15__123Graph_CQRE_S_BY_CO.">#REF!</definedName>
    <definedName name="__16__123Graph_CSENS_COMPARISON">#REF!</definedName>
    <definedName name="__17__123Graph_CSUPPLIES_BY_B_U">#REF!</definedName>
    <definedName name="__18__123Graph_CWAGES_BY_B_U">#REF!</definedName>
    <definedName name="__19__123Graph_DCONTRACT_BY_B_U">#REF!</definedName>
    <definedName name="__1Bp2_" hidden="1">{#N/A,#N/A,FALSE,"BS";#N/A,#N/A,FALSE,"PL";#N/A,#N/A,FALSE,"처분";#N/A,#N/A,FALSE,"현금";#N/A,#N/A,FALSE,"매출";#N/A,#N/A,FALSE,"원가";#N/A,#N/A,FALSE,"경영"}</definedName>
    <definedName name="__1IQ_STOCK____ED_COMP">"c3512"</definedName>
    <definedName name="__1Table2_">#REF!</definedName>
    <definedName name="__2">#REF!</definedName>
    <definedName name="__2_?__C">#REF!</definedName>
    <definedName name="__2__123Graph_ACONTRACT_BY_B_U">#REF!</definedName>
    <definedName name="__2__123Graph_BCHART_3">#REF!</definedName>
    <definedName name="__2_0_Table2_">#REF!</definedName>
    <definedName name="__20__123Graph_DQRE_S_BY_CO.">#REF!</definedName>
    <definedName name="__21__123Graph_DSUPPLIES_BY_B_U">#REF!</definedName>
    <definedName name="__22__123Graph_DWAGES_BY_B_U">#REF!</definedName>
    <definedName name="__23__123Graph_ECONTRACT_BY_B_U">#REF!</definedName>
    <definedName name="__24__123Graph_EQRE_S_BY_CO.">#REF!</definedName>
    <definedName name="__25__123Graph_ESUPPLIES_BY_B_U">#REF!</definedName>
    <definedName name="__26__123Graph_EWAGES_BY_B_U">#REF!</definedName>
    <definedName name="__27__123Graph_FCONTRACT_BY_B_U">#REF!</definedName>
    <definedName name="__28__123Graph_FQRE_S_BY_CO.">#REF!</definedName>
    <definedName name="__29__123Graph_FSUPPLIES_BY_B_U">#REF!</definedName>
    <definedName name="__3">#REF!</definedName>
    <definedName name="__3__123Graph_AQRE_S_BY_CO.">#REF!</definedName>
    <definedName name="__30__123Graph_FWAGES_BY_B_U">#REF!</definedName>
    <definedName name="__31__123Graph_XCONTRACT_BY_B_U">#REF!</definedName>
    <definedName name="__32__123Graph_XQRE_S_BY_CO.">#REF!</definedName>
    <definedName name="__33__123Graph_XQRE_S_BY_TYPE">#REF!</definedName>
    <definedName name="__34__123Graph_XSUPPLIES_BY_B_U">#REF!</definedName>
    <definedName name="__35__123Graph_XTAX_CREDIT">#REF!</definedName>
    <definedName name="__3S">#REF!</definedName>
    <definedName name="__4">#REF!</definedName>
    <definedName name="__4__123Graph_ASENS_COMPARISON">#REF!</definedName>
    <definedName name="__4S" hidden="1">#REF!</definedName>
    <definedName name="__4Table2_">#REF!</definedName>
    <definedName name="__5__123Graph_ASUPPLIES_BY_B_U">#REF!</definedName>
    <definedName name="__5Table2_">#REF!</definedName>
    <definedName name="__6">#REF!</definedName>
    <definedName name="__6__123Graph_ATAX_CREDIT">#REF!</definedName>
    <definedName name="__6_0_S">#REF!</definedName>
    <definedName name="__7">#REF!</definedName>
    <definedName name="__7__123Graph_AWAGES_BY_B_U">#REF!</definedName>
    <definedName name="__7_0_Table2_">#REF!</definedName>
    <definedName name="__8">#REF!</definedName>
    <definedName name="__8__123Graph_BCONTRACT_BY_B_U">#REF!</definedName>
    <definedName name="__8_0_Table2_">#REF!</definedName>
    <definedName name="__9">#REF!</definedName>
    <definedName name="__9__123Graph_BQRE_S_BY_CO.">#REF!</definedName>
    <definedName name="__9_0_Table2_" hidden="1">#REF!</definedName>
    <definedName name="__a1">#REF!</definedName>
    <definedName name="__A20000">#REF!</definedName>
    <definedName name="__aa1" hidden="1">{#N/A,#N/A,FALSE,"Aging Summary";#N/A,#N/A,FALSE,"Ratio Analysis";#N/A,#N/A,FALSE,"Test 120 Day Accts";#N/A,#N/A,FALSE,"Tickmarks"}</definedName>
    <definedName name="__aa2">#REF!</definedName>
    <definedName name="__aa3">#REF!</definedName>
    <definedName name="__aaa2" hidden="1">{#N/A,#N/A,FALSE,"Aging Summary";#N/A,#N/A,FALSE,"Ratio Analysis";#N/A,#N/A,FALSE,"Test 120 Day Accts";#N/A,#N/A,FALSE,"Tickmarks"}</definedName>
    <definedName name="__ACK1">#REF!</definedName>
    <definedName name="__ADD2">#REF!</definedName>
    <definedName name="__ake1">#REF!</definedName>
    <definedName name="__ake2">#REF!</definedName>
    <definedName name="__ake3">#REF!</definedName>
    <definedName name="__AMT13300">#N/A</definedName>
    <definedName name="__AMT13502">#N/A</definedName>
    <definedName name="__AMT41301">#N/A</definedName>
    <definedName name="__AMT85116">#N/A</definedName>
    <definedName name="__AMT85125">#N/A</definedName>
    <definedName name="__AMT86106">#N/A</definedName>
    <definedName name="__Ann2">#REF!</definedName>
    <definedName name="__APG1">#REF!</definedName>
    <definedName name="__APG2">#REF!</definedName>
    <definedName name="__APP1">#REF!</definedName>
    <definedName name="__APS2">clra1b1,clra1b2,clra1b3,clra1b4,clra1b5,clra1b6,clra1b7,clra1b8</definedName>
    <definedName name="__aps4">Indexn1,IndexN2</definedName>
    <definedName name="__APW_RESTORE_DATA0__" hidden="1">#REF!</definedName>
    <definedName name="__APW_RESTORE_DATA1__" hidden="1">#REF!</definedName>
    <definedName name="__APW_RESTORE_DATA2__" hidden="1">#REF!</definedName>
    <definedName name="__APW_RESTORE_DATA3__" hidden="1">#REF!</definedName>
    <definedName name="__AR70000">#REF!</definedName>
    <definedName name="__ARE1">#REF!</definedName>
    <definedName name="__ARE2">#REF!</definedName>
    <definedName name="__as1">#REF!</definedName>
    <definedName name="__ASS1">#REF!</definedName>
    <definedName name="__ASS2">#REF!</definedName>
    <definedName name="__aud02">#REF!</definedName>
    <definedName name="__aud03">#REF!</definedName>
    <definedName name="__aud04">#REF!</definedName>
    <definedName name="__bb2">#REF!</definedName>
    <definedName name="__bb3">#REF!</definedName>
    <definedName name="__bm187184">#REF!</definedName>
    <definedName name="__bookmark_1">#REF!</definedName>
    <definedName name="__bookmark_2">#REF!</definedName>
    <definedName name="__bookmark_3">#REF!</definedName>
    <definedName name="__bookmark_4">#REF!</definedName>
    <definedName name="__bookmark_5">#REF!</definedName>
    <definedName name="__bookmark_7">#REF!</definedName>
    <definedName name="__bookmark_8">#REF!</definedName>
    <definedName name="__cad03">#REF!</definedName>
    <definedName name="__cat1" hidden="1">{#N/A,#N/A,FALSE,"Taxblinc";#N/A,#N/A,FALSE,"Rsvsacls"}</definedName>
    <definedName name="__cc2">#REF!</definedName>
    <definedName name="__cc3">#REF!</definedName>
    <definedName name="__cc4">#REF!</definedName>
    <definedName name="__CmZ61">#REF!</definedName>
    <definedName name="__cnn2">#REF!</definedName>
    <definedName name="__col1">#REF!</definedName>
    <definedName name="__col10">#REF!</definedName>
    <definedName name="__col11">#REF!</definedName>
    <definedName name="__col12">#REF!</definedName>
    <definedName name="__col13">#REF!</definedName>
    <definedName name="__col2">#REF!</definedName>
    <definedName name="__col3">#REF!</definedName>
    <definedName name="__col4">#REF!</definedName>
    <definedName name="__col5">#REF!</definedName>
    <definedName name="__col6">#REF!</definedName>
    <definedName name="__col7">#REF!</definedName>
    <definedName name="__col8">#REF!</definedName>
    <definedName name="__col9">#REF!</definedName>
    <definedName name="__d32">16</definedName>
    <definedName name="__d444">5</definedName>
    <definedName name="__D6">{"'표지'!$B$5"}</definedName>
    <definedName name="__D7">{"'표지'!$B$5"}</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3">#REF!</definedName>
    <definedName name="__DAT4">#REF!</definedName>
    <definedName name="__DAT5">#REF!</definedName>
    <definedName name="__dat50">#REF!</definedName>
    <definedName name="__DAT6">#REF!</definedName>
    <definedName name="__DAT7">#REF!</definedName>
    <definedName name="__DAT8">#REF!</definedName>
    <definedName name="__DAT9">#REF!</definedName>
    <definedName name="__DCH1">#REF!</definedName>
    <definedName name="__DCH2">#REF!</definedName>
    <definedName name="__DD2">#REF!</definedName>
    <definedName name="__ddd1" hidden="1">{#N/A,#N/A,FALSE,"Australia";#N/A,#N/A,FALSE,"Austria";#N/A,#N/A,FALSE,"Belgium";#N/A,#N/A,FALSE,"Canada";#N/A,#N/A,FALSE,"France";#N/A,#N/A,FALSE,"Germany";#N/A,#N/A,FALSE,"Hong Kong";#N/A,#N/A,FALSE,"Italy";#N/A,#N/A,FALSE,"Japan";#N/A,#N/A,FALSE,"Korea";#N/A,#N/A,FALSE,"Mexico";#N/A,#N/A,FALSE,"Poland";#N/A,#N/A,FALSE,"Spain";#N/A,#N/A,FALSE,"Switzerland";#N/A,#N/A,FALSE,"UK"}</definedName>
    <definedName name="__DEC11">{"'OCT  VOIDS'!$A$1:$G$33","'OCT '!$A$1:$G$48","'OCT Adj'!$A$1:$L$37"}</definedName>
    <definedName name="__DEC2">{"'OCT  VOIDS'!$A$1:$G$33","'OCT '!$A$1:$G$48","'OCT Adj'!$A$1:$L$37"}</definedName>
    <definedName name="__DEC3">{"'OCT  VOIDS'!$A$1:$G$33","'OCT '!$A$1:$G$48","'OCT Adj'!$A$1:$L$37"}</definedName>
    <definedName name="__Dec99">#REF!</definedName>
    <definedName name="__Div1">#REF!</definedName>
    <definedName name="__dog1" hidden="1">{#N/A,#N/A,FALSE,"91NOLCB";#N/A,#N/A,FALSE,"92NOLCB";#N/A,#N/A,FALSE,"93NOLCB"}</definedName>
    <definedName name="__eur03">#REF!</definedName>
    <definedName name="__fa2">{"'Sheet1'!$A$1:$H$36"}</definedName>
    <definedName name="__fax2">#REF!</definedName>
    <definedName name="__FDS_HYPERLINK_TOGGLE_STATE__" hidden="1">"ON"</definedName>
    <definedName name="__FDS_UNIQUE_RANGE_ID_GENERATOR_COUNTER" hidden="1">1</definedName>
    <definedName name="__FDS_USED_FOR_REUSING_RANGE_IDS_RECYCLE" localSheetId="0" hidden="1">{21,20,19,18}</definedName>
    <definedName name="__FDS_USED_FOR_REUSING_RANGE_IDS_RECYCLE" hidden="1">{21,20,19,18}</definedName>
    <definedName name="__Feb06">#REF!</definedName>
    <definedName name="__FPD1">#REF!</definedName>
    <definedName name="__FPD2">#REF!</definedName>
    <definedName name="__FST1">#REF!</definedName>
    <definedName name="__gbp03">#REF!</definedName>
    <definedName name="__gfg2">#REF!</definedName>
    <definedName name="__gla1" hidden="1">{#N/A,#N/A,FALSE,"Inc Month";#N/A,#N/A,FALSE,"Inc YTD";#N/A,#N/A,FALSE,"Bal Sheet";#N/A,#N/A,FALSE,"Base Cert";#N/A,#N/A,FALSE,"AR-Detail";#N/A,#N/A,FALSE,"PAC Bal";#N/A,#N/A,FALSE,"PAC Cash";#N/A,#N/A,FALSE,"Equity";#N/A,#N/A,FALSE,"PEI Bal";#N/A,#N/A,FALSE,"PEI Cash"}</definedName>
    <definedName name="__gla2" hidden="1">{#N/A,#N/A,FALSE,"Inc Month";#N/A,#N/A,FALSE,"Inc YTD";#N/A,#N/A,FALSE,"Bal Sheet";#N/A,#N/A,FALSE,"Base Cert";#N/A,#N/A,FALSE,"AR-Detail";#N/A,#N/A,FALSE,"PAC Bal";#N/A,#N/A,FALSE,"PAC Cash";#N/A,#N/A,FALSE,"Equity";#N/A,#N/A,FALSE,"PEI Bal";#N/A,#N/A,FALSE,"PEI Cash"}</definedName>
    <definedName name="__Grp12">#REF!</definedName>
    <definedName name="__Grp13">#REF!</definedName>
    <definedName name="__Grp14">#REF!</definedName>
    <definedName name="__Grp15">#REF!</definedName>
    <definedName name="__Grp2">#REF!</definedName>
    <definedName name="__h1">{"'표지'!$B$5"}</definedName>
    <definedName name="__h2">{"'표지'!$B$5"}</definedName>
    <definedName name="__h3">{"'표지'!$B$5"}</definedName>
    <definedName name="__h4">{"'표지'!$B$5"}</definedName>
    <definedName name="__h5">{"'표지'!$B$5"}</definedName>
    <definedName name="__H8">{"'표지'!$B$5"}</definedName>
    <definedName name="__hc4">{"'1-TheatreBkgs'!$A$1:$L$102"}</definedName>
    <definedName name="__hkd02">#REF!</definedName>
    <definedName name="__hkd03">#REF!</definedName>
    <definedName name="__hkd04">#REF!</definedName>
    <definedName name="__hq1">#REF!</definedName>
    <definedName name="__htt1">{"'표지'!$B$5"}</definedName>
    <definedName name="__idr03">#REF!</definedName>
    <definedName name="__ILF2000">#REF!</definedName>
    <definedName name="__ILF99">#REF!</definedName>
    <definedName name="__ILT1">#REF!</definedName>
    <definedName name="__INR1">#REF!</definedName>
    <definedName name="__INR2">#REF!</definedName>
    <definedName name="__Int256">#REF!</definedName>
    <definedName name="__IntlFixup" hidden="1">TRUE</definedName>
    <definedName name="__IntlFixupTable" hidden="1">#REF!</definedName>
    <definedName name="__irr2">#REF!</definedName>
    <definedName name="__IS2">#REF!</definedName>
    <definedName name="__iv16386">#REF!</definedName>
    <definedName name="__iv17500">#REF!</definedName>
    <definedName name="__iv18000">#REF!</definedName>
    <definedName name="__iv30000">#REF!</definedName>
    <definedName name="__iz5000">#REF!</definedName>
    <definedName name="__J2">0</definedName>
    <definedName name="__jan23">#REF!</definedName>
    <definedName name="__jkj1">#REF!</definedName>
    <definedName name="__jp2">#REF!</definedName>
    <definedName name="_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_key1" hidden="1">#REF!</definedName>
    <definedName name="__KEY2" hidden="1">#REF!</definedName>
    <definedName name="__lbg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__LEA1">#REF!</definedName>
    <definedName name="__LG2" hidden="1">{#N/A,#N/A,TRUE,"매출진척-1";#N/A,#N/A,TRUE,"매출진척-2";#N/A,#N/A,TRUE,"제품실적";#N/A,#N/A,TRUE,"RAC";#N/A,#N/A,TRUE,"PAC ";#N/A,#N/A,TRUE,"재고현황";#N/A,#N/A,TRUE,"공지사항"}</definedName>
    <definedName name="__LIB1">#REF!</definedName>
    <definedName name="__LIB2">#REF!</definedName>
    <definedName name="__lz5000">#REF!</definedName>
    <definedName name="__M199" hidden="1">{#N/A,#N/A,FALSE,"Aging Summary";#N/A,#N/A,FALSE,"Ratio Analysis";#N/A,#N/A,FALSE,"Test 120 Day Accts";#N/A,#N/A,FALSE,"Tickmarks"}</definedName>
    <definedName name="__ma67">#REF!</definedName>
    <definedName name="__ma71">#REF!</definedName>
    <definedName name="__ma74">#REF!</definedName>
    <definedName name="__MAR9091">#REF!</definedName>
    <definedName name="__MAT1">#REF!</definedName>
    <definedName name="__me1">36.2</definedName>
    <definedName name="__me2">40</definedName>
    <definedName name="__mer1">#REF!</definedName>
    <definedName name="__mer2">#REF!</definedName>
    <definedName name="__mk1">#REF!</definedName>
    <definedName name="__MON1">#REF!</definedName>
    <definedName name="__mor1">#REF!</definedName>
    <definedName name="__ms1">#REF!</definedName>
    <definedName name="__mv1">#REF!</definedName>
    <definedName name="__myr03">#REF!</definedName>
    <definedName name="__neu1">47</definedName>
    <definedName name="__neu2">"5W20QJUQBT31X9QWPI207CDHB"</definedName>
    <definedName name="__new1" hidden="1">{"Central",#N/A,FALSE,"Total"}</definedName>
    <definedName name="__new2" hidden="1">{"Central",#N/A,FALSE,"Total"}</definedName>
    <definedName name="__nm1" hidden="1">{#N/A,#N/A,TRUE,"Monthly BCG";#N/A,#N/A,TRUE,"Qrt BCG";#N/A,#N/A,TRUE,"FY BCG";#N/A,#N/A,TRUE,"1Q BCG";#N/A,#N/A,TRUE,"2Q BCG";#N/A,#N/A,TRUE,"3Q BCG";#N/A,#N/A,TRUE,"4Q BCG"}</definedName>
    <definedName name="__nol1" hidden="1">{#N/A,#N/A,FALSE,"91NOLCB";#N/A,#N/A,FALSE,"92NOLCB";#N/A,#N/A,FALSE,"93NOLCB"}</definedName>
    <definedName name="__NSO2">{"'Sheet1'!$L$16"}</definedName>
    <definedName name="__O1">#REF!</definedName>
    <definedName name="__O2">#REF!</definedName>
    <definedName name="__Oct99">#REF!</definedName>
    <definedName name="__ODP1">#REF!</definedName>
    <definedName name="__ODP2">#REF!</definedName>
    <definedName name="__ODP3">#REF!</definedName>
    <definedName name="__ODP4">#REF!</definedName>
    <definedName name="__ODP5">#REF!</definedName>
    <definedName name="__ODP6">#REF!</definedName>
    <definedName name="__ODP7">#REF!</definedName>
    <definedName name="__ODP8">#REF!</definedName>
    <definedName name="__oe1">#REF!</definedName>
    <definedName name="__OK2">#REF!</definedName>
    <definedName name="__old1">#REF!</definedName>
    <definedName name="__old2">#REF!</definedName>
    <definedName name="__old3">#REF!</definedName>
    <definedName name="__old4">#REF!</definedName>
    <definedName name="__old5">#REF!</definedName>
    <definedName name="__old8">#REF!</definedName>
    <definedName name="__old9">#REF!</definedName>
    <definedName name="__OUT13300">#N/A</definedName>
    <definedName name="__OUT13502">#N/A</definedName>
    <definedName name="__OUT41301">#N/A</definedName>
    <definedName name="__OUT85116">#N/A</definedName>
    <definedName name="__OUT85125">#N/A</definedName>
    <definedName name="__OUT86106">#N/A</definedName>
    <definedName name="__P1">#REF!</definedName>
    <definedName name="__PEX1">#REF!</definedName>
    <definedName name="__pg1">#REF!</definedName>
    <definedName name="__pg10">#REF!</definedName>
    <definedName name="__pg11">#REF!</definedName>
    <definedName name="__pg12">#REF!</definedName>
    <definedName name="__pg13">#REF!</definedName>
    <definedName name="__pg14">#REF!</definedName>
    <definedName name="__PG15">#REF!</definedName>
    <definedName name="__PG2">#REF!</definedName>
    <definedName name="__pg3">#REF!</definedName>
    <definedName name="__PG4">#REF!</definedName>
    <definedName name="__pg5">#REF!</definedName>
    <definedName name="__PG6">#REF!</definedName>
    <definedName name="__pg7">#REF!</definedName>
    <definedName name="__pg8">#REF!</definedName>
    <definedName name="__pg9">#REF!</definedName>
    <definedName name="__PGR003">{"'status'!$B$2:$H$15"}</definedName>
    <definedName name="__pl1">#REF!</definedName>
    <definedName name="__PL7" hidden="1">{#N/A,#N/A,TRUE,"대 차 대 조 표"}</definedName>
    <definedName name="__PLO1">#REF!</definedName>
    <definedName name="__pol1">#REF!</definedName>
    <definedName name="__PR1">#REF!,#REF!,#REF!,#REF!,#REF!,#REF!</definedName>
    <definedName name="__prc1">#REF!</definedName>
    <definedName name="__prc2">#REF!</definedName>
    <definedName name="__prc3">#REF!</definedName>
    <definedName name="__PRE1">#REF!</definedName>
    <definedName name="__PRE2">#REF!</definedName>
    <definedName name="__PRI1">#REF!</definedName>
    <definedName name="__PRI2">#REF!</definedName>
    <definedName name="__prn01">#REF!</definedName>
    <definedName name="__PRN1">#REF!</definedName>
    <definedName name="__PRN2">#REF!</definedName>
    <definedName name="__PRR001">{"'status'!$B$2:$H$15"}</definedName>
    <definedName name="__PRR002">{"'status'!$B$2:$H$15"}</definedName>
    <definedName name="__PRR18">{"'status'!$B$2:$H$15"}</definedName>
    <definedName name="__PRR5">{"'status'!$B$2:$H$15"}</definedName>
    <definedName name="__PRR6">{"'status'!$B$2:$H$15"}</definedName>
    <definedName name="__PRT1">#REF!</definedName>
    <definedName name="__PRT2">#REF!</definedName>
    <definedName name="__ps3">g1clear,G1Clear2</definedName>
    <definedName name="__PSM2">#REF!</definedName>
    <definedName name="__PSM3">#REF!</definedName>
    <definedName name="__PV2">#REF!</definedName>
    <definedName name="__Q1">{"'Standalone List Price Trends'!$A$1:$X$56"}</definedName>
    <definedName name="__Q2">{"'Standalone List Price Trends'!$A$1:$X$56"}</definedName>
    <definedName name="__Q5">{"'Standalone List Price Trends'!$A$1:$X$56"}</definedName>
    <definedName name="__Q9">{"'Standalone List Price Trends'!$A$1:$X$56"}</definedName>
    <definedName name="__QRA86106">#N/A</definedName>
    <definedName name="__qt1">#REF!</definedName>
    <definedName name="__QTR1">#REF!</definedName>
    <definedName name="__QUO1">#REF!</definedName>
    <definedName name="__qw2">{0,0,0,0;0,0,0,0;0,0,0,0;0,0,0,0;0,0,0,0;0,0,0,0}</definedName>
    <definedName name="__r">"Formula removed, name can be deleted."</definedName>
    <definedName name="__R21438C20000">#REF!</definedName>
    <definedName name="__rd2">#REF!</definedName>
    <definedName name="__ref1">#REF!</definedName>
    <definedName name="__REF12">{0,0,FALSE,0}</definedName>
    <definedName name="__RNG1">#REF!</definedName>
    <definedName name="__RNG2">#REF!</definedName>
    <definedName name="__row2" hidden="1">#REF!</definedName>
    <definedName name="__rw1">{"'Standalone List Price Trends'!$A$1:$X$56"}</definedName>
    <definedName name="__rw2">{"'Standalone List Price Trends'!$A$1:$X$56"}</definedName>
    <definedName name="__rw3" hidden="1">#REF!</definedName>
    <definedName name="__rw4">{"'Standalone List Price Trends'!$A$1:$X$56"}</definedName>
    <definedName name="__rwo5" hidden="1">#REF!</definedName>
    <definedName name="__s1" hidden="1">{#N/A,#N/A,FALSE,"UNIT";#N/A,#N/A,FALSE,"UNIT";#N/A,#N/A,FALSE,"계정"}</definedName>
    <definedName name="__s10" hidden="1">{#N/A,#N/A,FALSE,"UNIT";#N/A,#N/A,FALSE,"UNIT";#N/A,#N/A,FALSE,"계정"}</definedName>
    <definedName name="__s11" hidden="1">{#N/A,#N/A,FALSE,"UNIT";#N/A,#N/A,FALSE,"UNIT";#N/A,#N/A,FALSE,"계정"}</definedName>
    <definedName name="__s12" hidden="1">{#N/A,#N/A,FALSE,"UNIT";#N/A,#N/A,FALSE,"UNIT";#N/A,#N/A,FALSE,"계정"}</definedName>
    <definedName name="__s13" hidden="1">{#N/A,#N/A,FALSE,"UNIT";#N/A,#N/A,FALSE,"UNIT";#N/A,#N/A,FALSE,"계정"}</definedName>
    <definedName name="__s14" hidden="1">{#N/A,#N/A,FALSE,"UNIT";#N/A,#N/A,FALSE,"UNIT";#N/A,#N/A,FALSE,"계정"}</definedName>
    <definedName name="__s16" hidden="1">{#N/A,#N/A,FALSE,"UNIT";#N/A,#N/A,FALSE,"UNIT";#N/A,#N/A,FALSE,"계정"}</definedName>
    <definedName name="__s17" hidden="1">{#N/A,#N/A,FALSE,"UNIT";#N/A,#N/A,FALSE,"UNIT";#N/A,#N/A,FALSE,"계정"}</definedName>
    <definedName name="__s2" hidden="1">{#N/A,#N/A,FALSE,"UNIT";#N/A,#N/A,FALSE,"UNIT";#N/A,#N/A,FALSE,"계정"}</definedName>
    <definedName name="__s3">#REF!</definedName>
    <definedName name="__s4" hidden="1">{#N/A,#N/A,FALSE,"UNIT";#N/A,#N/A,FALSE,"UNIT";#N/A,#N/A,FALSE,"계정"}</definedName>
    <definedName name="__s5" hidden="1">{#N/A,#N/A,FALSE,"UNIT";#N/A,#N/A,FALSE,"UNIT";#N/A,#N/A,FALSE,"계정"}</definedName>
    <definedName name="__s6" hidden="1">{#N/A,#N/A,FALSE,"UNIT";#N/A,#N/A,FALSE,"UNIT";#N/A,#N/A,FALSE,"계정"}</definedName>
    <definedName name="__s9" hidden="1">{#N/A,#N/A,FALSE,"UNIT";#N/A,#N/A,FALSE,"UNIT";#N/A,#N/A,FALSE,"계정"}</definedName>
    <definedName name="__sb1">#REF!</definedName>
    <definedName name="__Sch10">#REF!</definedName>
    <definedName name="__Sch11">#REF!</definedName>
    <definedName name="__Sch12">#REF!</definedName>
    <definedName name="__Sch13">#REF!</definedName>
    <definedName name="__Sch14">#REF!</definedName>
    <definedName name="__Sch15">#REF!</definedName>
    <definedName name="__Sch2">#REF!</definedName>
    <definedName name="__Sch4">#REF!</definedName>
    <definedName name="__Sch5">#REF!</definedName>
    <definedName name="__Sch6">#REF!</definedName>
    <definedName name="__Sch7">#REF!</definedName>
    <definedName name="__Sch8">#REF!</definedName>
    <definedName name="__Sch9">#REF!</definedName>
    <definedName name="__SE7">#REF!</definedName>
    <definedName name="__sep97">#REF!</definedName>
    <definedName name="__Sex1">#REF!</definedName>
    <definedName name="__sex2">{"'1-TheatreBkgs'!$A$1:$L$102"}</definedName>
    <definedName name="__sex3">{"'1-TheatreBkgs'!$A$1:$L$102"}</definedName>
    <definedName name="__sex4">{"'1-TheatreBkgs'!$A$1:$L$102"}</definedName>
    <definedName name="__sex5">{"'1-TheatreBkgs'!$A$1:$L$102"}</definedName>
    <definedName name="__sex6">{"'1-TheatreBkgs'!$A$1:$L$102"}</definedName>
    <definedName name="__sgd02">#REF!</definedName>
    <definedName name="__sgd03">#REF!</definedName>
    <definedName name="__sgd04">#REF!</definedName>
    <definedName name="__sht1">#REF!</definedName>
    <definedName name="__ST1">#REF!</definedName>
    <definedName name="__STP1">#REF!</definedName>
    <definedName name="__STP2">#REF!</definedName>
    <definedName name="__STP3">#REF!</definedName>
    <definedName name="__STP4">#REF!</definedName>
    <definedName name="__SUB2">#REF!</definedName>
    <definedName name="__sum1">#REF!</definedName>
    <definedName name="__sum3">#REF!</definedName>
    <definedName name="__tab1">#REF!</definedName>
    <definedName name="__tax2">#REF!</definedName>
    <definedName name="__TB111">#REF!</definedName>
    <definedName name="__TB113">#REF!</definedName>
    <definedName name="__TB114">#REF!</definedName>
    <definedName name="__TB116">#REF!</definedName>
    <definedName name="__TB117">#REF!</definedName>
    <definedName name="__TB121">#REF!</definedName>
    <definedName name="__TB122">#REF!</definedName>
    <definedName name="__TB123">#REF!</definedName>
    <definedName name="__tb2">OFFSET(#REF!,1,)</definedName>
    <definedName name="__TB2004">#REF!</definedName>
    <definedName name="__TB212">#REF!</definedName>
    <definedName name="__TB226">#REF!</definedName>
    <definedName name="__TB228">#REF!</definedName>
    <definedName name="__TB312">#REF!</definedName>
    <definedName name="__TB314">#REF!</definedName>
    <definedName name="__TB315">#REF!</definedName>
    <definedName name="__TB316">#REF!</definedName>
    <definedName name="__TB321">#REF!</definedName>
    <definedName name="__TB501">#REF!</definedName>
    <definedName name="__TB502">#REF!</definedName>
    <definedName name="__TB503">#REF!</definedName>
    <definedName name="__TB504">#REF!</definedName>
    <definedName name="__TB505">#REF!</definedName>
    <definedName name="__TB506">#REF!</definedName>
    <definedName name="__TB507">#REF!</definedName>
    <definedName name="__TB508">#REF!</definedName>
    <definedName name="__TB509">#REF!</definedName>
    <definedName name="__TB512">#REF!</definedName>
    <definedName name="__TB513">#REF!</definedName>
    <definedName name="__TB602">#REF!</definedName>
    <definedName name="__TB603">#REF!</definedName>
    <definedName name="__TB701">#REF!</definedName>
    <definedName name="__TB901">#REF!</definedName>
    <definedName name="__TB902">#REF!</definedName>
    <definedName name="__TB903">#REF!</definedName>
    <definedName name="__TB904">#REF!</definedName>
    <definedName name="__TBI101">#REF!</definedName>
    <definedName name="__TBI1100">#REF!</definedName>
    <definedName name="__TBI201">#REF!</definedName>
    <definedName name="__TBI202">#REF!</definedName>
    <definedName name="__TBI203">#REF!</definedName>
    <definedName name="__TBI401">#REF!</definedName>
    <definedName name="__TBI402">#REF!</definedName>
    <definedName name="__TBI404">#REF!</definedName>
    <definedName name="__TBI405">#REF!</definedName>
    <definedName name="__TBI406">#REF!</definedName>
    <definedName name="__TBI407">#REF!</definedName>
    <definedName name="__TBI408">#REF!</definedName>
    <definedName name="__TBI409">#REF!</definedName>
    <definedName name="__TBI410">#REF!</definedName>
    <definedName name="__TBI411">#REF!</definedName>
    <definedName name="__TBI412">#REF!</definedName>
    <definedName name="__TBI413">#REF!</definedName>
    <definedName name="__TBI414">#REF!</definedName>
    <definedName name="__TBI415">#REF!</definedName>
    <definedName name="__TBI416">#REF!</definedName>
    <definedName name="__TBI417">#REF!</definedName>
    <definedName name="__TBI418">#REF!</definedName>
    <definedName name="__TBI419">#REF!</definedName>
    <definedName name="__TBI420">#REF!</definedName>
    <definedName name="__TBI421">#REF!</definedName>
    <definedName name="__TBI422">#REF!</definedName>
    <definedName name="__TBI423">#REF!</definedName>
    <definedName name="__TBI424">#REF!</definedName>
    <definedName name="__TBI601">#REF!</definedName>
    <definedName name="__TBI602">#REF!</definedName>
    <definedName name="__TBI610">#REF!</definedName>
    <definedName name="__TBI612">#REF!</definedName>
    <definedName name="__TBI614">#REF!</definedName>
    <definedName name="__TBI701">#REF!</definedName>
    <definedName name="__TBI702">#REF!</definedName>
    <definedName name="__TBI709">#REF!</definedName>
    <definedName name="__TBI714">#REF!</definedName>
    <definedName name="__TBI716">#REF!</definedName>
    <definedName name="__TBI718">#REF!</definedName>
    <definedName name="__TBI901">#REF!</definedName>
    <definedName name="__TBI902">#REF!</definedName>
    <definedName name="__tc1">#REF!</definedName>
    <definedName name="__tc2">#REF!</definedName>
    <definedName name="__tc3">#REF!</definedName>
    <definedName name="__tc4">#REF!</definedName>
    <definedName name="__tc5">#REF!</definedName>
    <definedName name="__ted2">#REF!</definedName>
    <definedName name="__thb02">#REF!</definedName>
    <definedName name="__thb03">#REF!</definedName>
    <definedName name="__thb04">#REF!</definedName>
    <definedName name="__TK0404">{"'Sheet1'!$L$16"}</definedName>
    <definedName name="__TLT1">#REF!</definedName>
    <definedName name="__TOP1">#REF!</definedName>
    <definedName name="__TOT1">#REF!</definedName>
    <definedName name="__ts1">#REF!</definedName>
    <definedName name="__ts2">#REF!</definedName>
    <definedName name="__tt2">#REF!</definedName>
    <definedName name="__twd02">#REF!</definedName>
    <definedName name="__twd03">#REF!</definedName>
    <definedName name="__twd04">#REF!</definedName>
    <definedName name="__UER1">#REF!</definedName>
    <definedName name="__UK1">#REF!</definedName>
    <definedName name="__v3">{"'1-TheatreBkgs'!$A$1:$L$102"}</definedName>
    <definedName name="__Vac1">#REF!</definedName>
    <definedName name="__VAR13300">#N/A</definedName>
    <definedName name="__VAR13502">#N/A</definedName>
    <definedName name="__vio1">#REF!</definedName>
    <definedName name="__w1" hidden="1">{#N/A,#N/A,FALSE,"Australia";#N/A,#N/A,FALSE,"Austria";#N/A,#N/A,FALSE,"Belgium";#N/A,#N/A,FALSE,"Canada";#N/A,#N/A,FALSE,"France";#N/A,#N/A,FALSE,"Germany";#N/A,#N/A,FALSE,"Hong Kong";#N/A,#N/A,FALSE,"Italy";#N/A,#N/A,FALSE,"Japan";#N/A,#N/A,FALSE,"Korea";#N/A,#N/A,FALSE,"Mexico";#N/A,#N/A,FALSE,"Poland";#N/A,#N/A,FALSE,"Spain";#N/A,#N/A,FALSE,"Switzerland";#N/A,#N/A,FALSE,"UK"}</definedName>
    <definedName name="__WAS02">#REF!</definedName>
    <definedName name="__WAS03">#REF!</definedName>
    <definedName name="__WCW01">#REF!</definedName>
    <definedName name="__WCW03">#REF!</definedName>
    <definedName name="__WCW04">#REF!</definedName>
    <definedName name="__WCW06">#REF!</definedName>
    <definedName name="__web1" hidden="1">{#N/A,#N/A,FALSE,"Taxblinc";#N/A,#N/A,FALSE,"Rsvsacls"}</definedName>
    <definedName name="__wk1">#REF!</definedName>
    <definedName name="__wk2">#REF!</definedName>
    <definedName name="__wk3">#REF!</definedName>
    <definedName name="__wk4">#REF!</definedName>
    <definedName name="__wpl2" hidden="1">{#N/A,#N/A,FALSE,"Aging Summary";#N/A,#N/A,FALSE,"Ratio Analysis";#N/A,#N/A,FALSE,"Test 120 Day Accts";#N/A,#N/A,FALSE,"Tickmarks"}</definedName>
    <definedName name="__wr1">#REF!</definedName>
    <definedName name="__wrn1">#REF!</definedName>
    <definedName name="__wrn3">#REF!</definedName>
    <definedName name="__wrn4">#REF!</definedName>
    <definedName name="__xlfn.BAHTTEXT">#NAME?</definedName>
    <definedName name="__xlfn.IFERROR">#NAME?</definedName>
    <definedName name="__xlfn.RTD">#NAME?</definedName>
    <definedName name="__xlfn.SUMIFS">#NAME?</definedName>
    <definedName name="__xz4">{0,0,0,0;0,0,0,0;0,0,0,0;0,0,0,0;0,0,0,0;0,0,0,0}</definedName>
    <definedName name="__Z04">#REF!</definedName>
    <definedName name="__Z04_3">#REF!</definedName>
    <definedName name="__Z05">#REF!</definedName>
    <definedName name="__Z05_3">#REF!</definedName>
    <definedName name="__za1">#REF!</definedName>
    <definedName name="__zx3">#REF!</definedName>
    <definedName name="__zz04">#REF!</definedName>
    <definedName name="__개발비_건가_pjt별">#REF!</definedName>
    <definedName name="_0">#REF!</definedName>
    <definedName name="_001_AccntNo">9556</definedName>
    <definedName name="_001_ColNo">6</definedName>
    <definedName name="_001_Operation">"1"</definedName>
    <definedName name="_001_RowNo">2</definedName>
    <definedName name="_002_AccntNo">9888</definedName>
    <definedName name="_002_ColNo">10</definedName>
    <definedName name="_002_Operation">"3"</definedName>
    <definedName name="_002_RowNo">2</definedName>
    <definedName name="_003_AccntNo">9889</definedName>
    <definedName name="_003_ColNo">11</definedName>
    <definedName name="_003_Operation">"3"</definedName>
    <definedName name="_003_RowNo">2</definedName>
    <definedName name="_004_AccntNo">9890</definedName>
    <definedName name="_004_ColNo">12</definedName>
    <definedName name="_004_Operation">"3"</definedName>
    <definedName name="_004_RowNo">2</definedName>
    <definedName name="_005_AccntNo">9891</definedName>
    <definedName name="_005_ColNo">17</definedName>
    <definedName name="_005_Operation">"3"</definedName>
    <definedName name="_005_RowNo">2</definedName>
    <definedName name="_006_AccntNo">9892</definedName>
    <definedName name="_006_ColNo">18</definedName>
    <definedName name="_006_Operation">"3"</definedName>
    <definedName name="_006_RowNo">2</definedName>
    <definedName name="_007_AccntNo">9893</definedName>
    <definedName name="_007_ColNo">19</definedName>
    <definedName name="_007_Operation">"3"</definedName>
    <definedName name="_007_RowNo">2</definedName>
    <definedName name="_008_AccntNo">9894</definedName>
    <definedName name="_008_ColNo">20</definedName>
    <definedName name="_008_Operation">"3"</definedName>
    <definedName name="_008_RowNo">2</definedName>
    <definedName name="_009_AccntNo">9895</definedName>
    <definedName name="_009_ColNo">21</definedName>
    <definedName name="_009_Operation">"3"</definedName>
    <definedName name="_009_RowNo">2</definedName>
    <definedName name="_01_10_1997">#REF!</definedName>
    <definedName name="_010_AccntNo">9896</definedName>
    <definedName name="_010_ColNo">22</definedName>
    <definedName name="_010_Operation">"3"</definedName>
    <definedName name="_010_RowNo">2</definedName>
    <definedName name="_011_AccntNo">9897</definedName>
    <definedName name="_011_ColNo">23</definedName>
    <definedName name="_011_Operation">"3"</definedName>
    <definedName name="_011_RowNo">2</definedName>
    <definedName name="_012_AccntNo">9898</definedName>
    <definedName name="_012_ColNo">35</definedName>
    <definedName name="_012_Operation">"3"</definedName>
    <definedName name="_012_RowNo">2</definedName>
    <definedName name="_013_AccntNo">9900</definedName>
    <definedName name="_013_ColNo">37</definedName>
    <definedName name="_013_Operation">"3"</definedName>
    <definedName name="_013_RowNo">2</definedName>
    <definedName name="_014_AccntNo">9901</definedName>
    <definedName name="_014_ColNo">38</definedName>
    <definedName name="_014_Operation">"3"</definedName>
    <definedName name="_014_RowNo">2</definedName>
    <definedName name="_015_AccntNo">9902</definedName>
    <definedName name="_015_ColNo">40</definedName>
    <definedName name="_015_Operation">"3"</definedName>
    <definedName name="_015_RowNo">2</definedName>
    <definedName name="_016_AccntNo">9904</definedName>
    <definedName name="_016_ColNo">42</definedName>
    <definedName name="_016_Operation">"3"</definedName>
    <definedName name="_016_RowNo">2</definedName>
    <definedName name="_017_AccntNo">9905</definedName>
    <definedName name="_017_ColNo">43</definedName>
    <definedName name="_017_Operation">"3"</definedName>
    <definedName name="_017_RowNo">2</definedName>
    <definedName name="_018_AccntNo">9555</definedName>
    <definedName name="_018_ColNo">27</definedName>
    <definedName name="_018_Operation">"1"</definedName>
    <definedName name="_018_RowNo">2</definedName>
    <definedName name="_019_AccntNo">9781</definedName>
    <definedName name="_019_ColNo">28</definedName>
    <definedName name="_019_Operation">"1"</definedName>
    <definedName name="_019_RowNo">2</definedName>
    <definedName name="_02_07_2000">#REF!</definedName>
    <definedName name="_020_AccntNo">9748</definedName>
    <definedName name="_020_ColNo">29</definedName>
    <definedName name="_020_Operation">"1"</definedName>
    <definedName name="_020_RowNo">2</definedName>
    <definedName name="_021_AccntNo">9906</definedName>
    <definedName name="_021_ColNo">45</definedName>
    <definedName name="_021_Operation">"3"</definedName>
    <definedName name="_021_RowNo">2</definedName>
    <definedName name="_022_AccntNo">9907</definedName>
    <definedName name="_022_ColNo">46</definedName>
    <definedName name="_022_Operation">"3"</definedName>
    <definedName name="_022_RowNo">2</definedName>
    <definedName name="_023_AccntNo">9899</definedName>
    <definedName name="_023_ColNo">36</definedName>
    <definedName name="_023_Operation">"3"</definedName>
    <definedName name="_023_RowNo">2</definedName>
    <definedName name="_024_AccntNo">9903</definedName>
    <definedName name="_024_ColNo">41</definedName>
    <definedName name="_024_Operation">"3"</definedName>
    <definedName name="_024_RowNo">2</definedName>
    <definedName name="_04_07_1999">#REF!</definedName>
    <definedName name="_05_11_1998">#REF!</definedName>
    <definedName name="_05_11_1999">#REF!</definedName>
    <definedName name="_06_02_1998">#REF!</definedName>
    <definedName name="_06_03_1998">#REF!</definedName>
    <definedName name="_06_11_2000">#REF!</definedName>
    <definedName name="_08_08_1998">#REF!</definedName>
    <definedName name="_08_10_1997">#REF!</definedName>
    <definedName name="_1">#REF!</definedName>
    <definedName name="_1.">#REF!</definedName>
    <definedName name="_1._예산손익계산서">#REF!</definedName>
    <definedName name="_1_">#REF!</definedName>
    <definedName name="_1_?">#REF!</definedName>
    <definedName name="_1____________B_S">#REF!</definedName>
    <definedName name="_1___123Graph_ACHART_3" hidden="1">#REF!</definedName>
    <definedName name="_1__123Graph_AChart_17K">#REF!</definedName>
    <definedName name="_1__123Graph_ACHART_3">#REF!</definedName>
    <definedName name="_1__123Graph_ACHART_4">#REF!</definedName>
    <definedName name="_1__123Graph_ACONTRACT_BY_B_U">#REF!</definedName>
    <definedName name="_1__123Graph_AR_M_MARG">#REF!</definedName>
    <definedName name="_1__123Graph_ASALES_MONTH" hidden="1">#REF!</definedName>
    <definedName name="_1__FDSAUDITLINK__" localSheetId="0" hidden="1">{"fdsup://directions/FAT Viewer?action=UPDATE&amp;creator=factset&amp;DYN_ARGS=TRUE&amp;DOC_NAME=FAT:FQL_AUDITING_CLIENT_TEMPLATE.FAT&amp;display_string=Audit&amp;VAR:KEY=CZIDODGVEV&amp;VAR:QUERY=Q1NGX0RJVl9ZTEQoUVRSX1IsMTIvMzEvMjAwNCk=&amp;WINDOW=FIRST_POPUP&amp;HEIGHT=450&amp;WIDTH=450&amp;STAR","T_MAXIMIZED=FALSE&amp;VAR:CALENDAR=US&amp;VAR:SYMBOL=MO&amp;VAR:INDEX=0"}</definedName>
    <definedName name="_1__FDSAUDITLINK__" hidden="1">{"fdsup://directions/FAT Viewer?action=UPDATE&amp;creator=factset&amp;DYN_ARGS=TRUE&amp;DOC_NAME=FAT:FQL_AUDITING_CLIENT_TEMPLATE.FAT&amp;display_string=Audit&amp;VAR:KEY=CZIDODGVEV&amp;VAR:QUERY=Q1NGX0RJVl9ZTEQoUVRSX1IsMTIvMzEvMjAwNCk=&amp;WINDOW=FIRST_POPUP&amp;HEIGHT=450&amp;WIDTH=450&amp;STAR","T_MAXIMIZED=FALSE&amp;VAR:CALENDAR=US&amp;VAR:SYMBOL=MO&amp;VAR:INDEX=0"}</definedName>
    <definedName name="_1__xlfn.IFERROR">#NAME?</definedName>
    <definedName name="_1_0__123Grap">#REF!</definedName>
    <definedName name="_1_0_0BENEF">#REF!</definedName>
    <definedName name="_1_0_Table2_">#REF!</definedName>
    <definedName name="_1_10000">#NAME?</definedName>
    <definedName name="_1_123Grap" hidden="1">#REF!</definedName>
    <definedName name="_1_123Graph_XEX">#REF!</definedName>
    <definedName name="_1_154.87">#NAME?</definedName>
    <definedName name="_1_31_2008">"print_assetsummary_2008"</definedName>
    <definedName name="_10">#REF!</definedName>
    <definedName name="_10_????8_3">#REF!</definedName>
    <definedName name="_10_??1???_3">#REF!</definedName>
    <definedName name="_10___________NOTE5_7">#REF!</definedName>
    <definedName name="_10__123Graph_ACHART_111" hidden="1">#REF!</definedName>
    <definedName name="_10__123Graph_AChart_32L">#REF!</definedName>
    <definedName name="_10__123Graph_ATAX_CREDIT">#REF!</definedName>
    <definedName name="_10__123Graph_AWAGES_BY_B_U">#REF!</definedName>
    <definedName name="_10__123Graph_BCHART_3">#REF!</definedName>
    <definedName name="_10__123Graph_BCONTRACT_BY_B_U" hidden="1">#REF!</definedName>
    <definedName name="_10__123Graph_BQRE_S_BY_CO.">#REF!</definedName>
    <definedName name="_10__123Graph_BSENS_COMPARISON">#REF!</definedName>
    <definedName name="_10__123Graph_BSUPPLIES_BY_B_U">#REF!</definedName>
    <definedName name="_10__123Graph_XSALES_MONTH" hidden="1">#REF!</definedName>
    <definedName name="_10__FDSAUDITLINK__" localSheetId="0" hidden="1">{"fdsup://directions/FAT Viewer?action=UPDATE&amp;creator=factset&amp;DYN_ARGS=TRUE&amp;DOC_NAME=FAT:FQL_AUDITING_CLIENT_TEMPLATE.FAT&amp;display_string=Audit&amp;VAR:KEY=QVIFALAPMF&amp;VAR:QUERY=Q1NGX0RJVl9ZTEQoUVRSX1IsOS8zMC8yMDA4KQ==&amp;WINDOW=FIRST_POPUP&amp;HEIGHT=450&amp;WIDTH=450&amp;STAR","T_MAXIMIZED=FALSE&amp;VAR:CALENDAR=US&amp;VAR:SYMBOL=MO&amp;VAR:INDEX=0"}</definedName>
    <definedName name="_10__FDSAUDITLINK__" hidden="1">{"fdsup://directions/FAT Viewer?action=UPDATE&amp;creator=factset&amp;DYN_ARGS=TRUE&amp;DOC_NAME=FAT:FQL_AUDITING_CLIENT_TEMPLATE.FAT&amp;display_string=Audit&amp;VAR:KEY=QVIFALAPMF&amp;VAR:QUERY=Q1NGX0RJVl9ZTEQoUVRSX1IsOS8zMC8yMDA4KQ==&amp;WINDOW=FIRST_POPUP&amp;HEIGHT=450&amp;WIDTH=450&amp;STAR","T_MAXIMIZED=FALSE&amp;VAR:CALENDAR=US&amp;VAR:SYMBOL=MO&amp;VAR:INDEX=0"}</definedName>
    <definedName name="_10_0_0MIS_C">#REF!</definedName>
    <definedName name="_10_0_Table2_" hidden="1">#REF!</definedName>
    <definedName name="_10_09_1999">#REF!</definedName>
    <definedName name="_10_12_1999">#REF!</definedName>
    <definedName name="_10_9_BT_DECEMB">#REF!</definedName>
    <definedName name="_10_9_BT_december">#REF!</definedName>
    <definedName name="_10_9_BT_FEBRUA">#REF!</definedName>
    <definedName name="_10_9_BT_NOVEMB">#REF!</definedName>
    <definedName name="_10_9_BT_SEPTEM">#REF!</definedName>
    <definedName name="_10_9_BTU_ANNUA">#REF!</definedName>
    <definedName name="_10_9_BTU_APRIL">#REF!</definedName>
    <definedName name="_10_9_BTU_AUGUS">#REF!</definedName>
    <definedName name="_10_9_BTU_JANUA">#REF!</definedName>
    <definedName name="_10_9_BTU_JULY">#REF!</definedName>
    <definedName name="_10_9_BTU_JUNE">#REF!</definedName>
    <definedName name="_10_9_BTU_MARCH">#REF!</definedName>
    <definedName name="_10_9_BTU_MAY">#REF!</definedName>
    <definedName name="_10_9_BTU_OCTOB">#REF!</definedName>
    <definedName name="_100">#REF!</definedName>
    <definedName name="_100__123Graph_EWAGES_BY_B_U">#REF!</definedName>
    <definedName name="_100__123Graph_LBL_BCHART_4">#REF!</definedName>
    <definedName name="_100__FDSAUDITLINK__" localSheetId="0" hidden="1">{"fdsup://directions/FAT Viewer?action=UPDATE&amp;creator=factset&amp;DYN_ARGS=TRUE&amp;DOC_NAME=FAT:FQL_AUDITING_CLIENT_TEMPLATE.FAT&amp;display_string=Audit&amp;VAR:KEY=BAFWPYLILS&amp;VAR:QUERY=RkZfREVCVChBTk4sMCwsLCxVU0Qp&amp;WINDOW=FIRST_POPUP&amp;HEIGHT=450&amp;WIDTH=450&amp;START_MAXIMIZED=","FALSE&amp;VAR:CALENDAR=US&amp;VAR:SYMBOL=045449&amp;VAR:INDEX=0"}</definedName>
    <definedName name="_100__FDSAUDITLINK__" hidden="1">{"fdsup://directions/FAT Viewer?action=UPDATE&amp;creator=factset&amp;DYN_ARGS=TRUE&amp;DOC_NAME=FAT:FQL_AUDITING_CLIENT_TEMPLATE.FAT&amp;display_string=Audit&amp;VAR:KEY=BAFWPYLILS&amp;VAR:QUERY=RkZfREVCVChBTk4sMCwsLCxVU0Qp&amp;WINDOW=FIRST_POPUP&amp;HEIGHT=450&amp;WIDTH=450&amp;START_MAXIMIZED=","FALSE&amp;VAR:CALENDAR=US&amp;VAR:SYMBOL=045449&amp;VAR:INDEX=0"}</definedName>
    <definedName name="_1000">#REF!</definedName>
    <definedName name="_1000__FDSAUDITLINK__" localSheetId="0" hidden="1">{"fdsup://directions/FAT Viewer?action=UPDATE&amp;creator=factset&amp;DYN_ARGS=TRUE&amp;DOC_NAME=FAT:FQL_AUDITING_CLIENT_TEMPLATE.FAT&amp;display_string=Audit&amp;VAR:KEY=VONWBULULQ&amp;VAR:QUERY=RkZfRElWX1lMRChBTk4sMi8wNy8wMiwyLzA3LzAyKQ==&amp;WINDOW=FIRST_POPUP&amp;HEIGHT=450&amp;WIDTH=450&amp;","START_MAXIMIZED=FALSE&amp;VAR:CALENDAR=US&amp;VAR:SYMBOL=MO&amp;VAR:INDEX=0"}</definedName>
    <definedName name="_1000__FDSAUDITLINK__" hidden="1">{"fdsup://directions/FAT Viewer?action=UPDATE&amp;creator=factset&amp;DYN_ARGS=TRUE&amp;DOC_NAME=FAT:FQL_AUDITING_CLIENT_TEMPLATE.FAT&amp;display_string=Audit&amp;VAR:KEY=VONWBULULQ&amp;VAR:QUERY=RkZfRElWX1lMRChBTk4sMi8wNy8wMiwyLzA3LzAyKQ==&amp;WINDOW=FIRST_POPUP&amp;HEIGHT=450&amp;WIDTH=450&amp;","START_MAXIMIZED=FALSE&amp;VAR:CALENDAR=US&amp;VAR:SYMBOL=MO&amp;VAR:INDEX=0"}</definedName>
    <definedName name="_1000_·_Cash___Bridge_Bank__Checking">"TB"</definedName>
    <definedName name="_1001">#REF!</definedName>
    <definedName name="_1001__FDSAUDITLINK__" localSheetId="0" hidden="1">{"fdsup://directions/FAT Viewer?action=UPDATE&amp;creator=factset&amp;DYN_ARGS=TRUE&amp;DOC_NAME=FAT:FQL_AUDITING_CLIENT_TEMPLATE.FAT&amp;display_string=Audit&amp;VAR:KEY=TKHWPWBUVA&amp;VAR:QUERY=RkZfRElWX1lMRChBTk4sMS8zMS8wMiwxLzMxLzAyKQ==&amp;WINDOW=FIRST_POPUP&amp;HEIGHT=450&amp;WIDTH=450&amp;","START_MAXIMIZED=FALSE&amp;VAR:CALENDAR=US&amp;VAR:SYMBOL=MO&amp;VAR:INDEX=0"}</definedName>
    <definedName name="_1001__FDSAUDITLINK__" hidden="1">{"fdsup://directions/FAT Viewer?action=UPDATE&amp;creator=factset&amp;DYN_ARGS=TRUE&amp;DOC_NAME=FAT:FQL_AUDITING_CLIENT_TEMPLATE.FAT&amp;display_string=Audit&amp;VAR:KEY=TKHWPWBUVA&amp;VAR:QUERY=RkZfRElWX1lMRChBTk4sMS8zMS8wMiwxLzMxLzAyKQ==&amp;WINDOW=FIRST_POPUP&amp;HEIGHT=450&amp;WIDTH=450&amp;","START_MAXIMIZED=FALSE&amp;VAR:CALENDAR=US&amp;VAR:SYMBOL=MO&amp;VAR:INDEX=0"}</definedName>
    <definedName name="_1002__FDSAUDITLINK__" localSheetId="0" hidden="1">{"fdsup://directions/FAT Viewer?action=UPDATE&amp;creator=factset&amp;DYN_ARGS=TRUE&amp;DOC_NAME=FAT:FQL_AUDITING_CLIENT_TEMPLATE.FAT&amp;display_string=Audit&amp;VAR:KEY=NEJOHEBIDS&amp;VAR:QUERY=RkZfRElWX1lMRChBTk4sMS8yNC8wMiwxLzI0LzAyKQ==&amp;WINDOW=FIRST_POPUP&amp;HEIGHT=450&amp;WIDTH=450&amp;","START_MAXIMIZED=FALSE&amp;VAR:CALENDAR=US&amp;VAR:SYMBOL=MO&amp;VAR:INDEX=0"}</definedName>
    <definedName name="_1002__FDSAUDITLINK__" hidden="1">{"fdsup://directions/FAT Viewer?action=UPDATE&amp;creator=factset&amp;DYN_ARGS=TRUE&amp;DOC_NAME=FAT:FQL_AUDITING_CLIENT_TEMPLATE.FAT&amp;display_string=Audit&amp;VAR:KEY=NEJOHEBIDS&amp;VAR:QUERY=RkZfRElWX1lMRChBTk4sMS8yNC8wMiwxLzI0LzAyKQ==&amp;WINDOW=FIRST_POPUP&amp;HEIGHT=450&amp;WIDTH=450&amp;","START_MAXIMIZED=FALSE&amp;VAR:CALENDAR=US&amp;VAR:SYMBOL=MO&amp;VAR:INDEX=0"}</definedName>
    <definedName name="_1003__FDSAUDITLINK__" localSheetId="0" hidden="1">{"fdsup://directions/FAT Viewer?action=UPDATE&amp;creator=factset&amp;DYN_ARGS=TRUE&amp;DOC_NAME=FAT:FQL_AUDITING_CLIENT_TEMPLATE.FAT&amp;display_string=Audit&amp;VAR:KEY=ZENGPKJCDG&amp;VAR:QUERY=RkZfRElWX1lMRChBTk4sMS8xNy8wMiwxLzE3LzAyKQ==&amp;WINDOW=FIRST_POPUP&amp;HEIGHT=450&amp;WIDTH=450&amp;","START_MAXIMIZED=FALSE&amp;VAR:CALENDAR=US&amp;VAR:SYMBOL=MO&amp;VAR:INDEX=0"}</definedName>
    <definedName name="_1003__FDSAUDITLINK__" hidden="1">{"fdsup://directions/FAT Viewer?action=UPDATE&amp;creator=factset&amp;DYN_ARGS=TRUE&amp;DOC_NAME=FAT:FQL_AUDITING_CLIENT_TEMPLATE.FAT&amp;display_string=Audit&amp;VAR:KEY=ZENGPKJCDG&amp;VAR:QUERY=RkZfRElWX1lMRChBTk4sMS8xNy8wMiwxLzE3LzAyKQ==&amp;WINDOW=FIRST_POPUP&amp;HEIGHT=450&amp;WIDTH=450&amp;","START_MAXIMIZED=FALSE&amp;VAR:CALENDAR=US&amp;VAR:SYMBOL=MO&amp;VAR:INDEX=0"}</definedName>
    <definedName name="_1004">#REF!</definedName>
    <definedName name="_1004__FDSAUDITLINK__" localSheetId="0" hidden="1">{"fdsup://directions/FAT Viewer?action=UPDATE&amp;creator=factset&amp;DYN_ARGS=TRUE&amp;DOC_NAME=FAT:FQL_AUDITING_CLIENT_TEMPLATE.FAT&amp;display_string=Audit&amp;VAR:KEY=VYHOXIBELS&amp;VAR:QUERY=RkZfRElWX1lMRChBTk4sMS8xMC8wMiwxLzEwLzAyKQ==&amp;WINDOW=FIRST_POPUP&amp;HEIGHT=450&amp;WIDTH=450&amp;","START_MAXIMIZED=FALSE&amp;VAR:CALENDAR=US&amp;VAR:SYMBOL=MO&amp;VAR:INDEX=0"}</definedName>
    <definedName name="_1004__FDSAUDITLINK__" hidden="1">{"fdsup://directions/FAT Viewer?action=UPDATE&amp;creator=factset&amp;DYN_ARGS=TRUE&amp;DOC_NAME=FAT:FQL_AUDITING_CLIENT_TEMPLATE.FAT&amp;display_string=Audit&amp;VAR:KEY=VYHOXIBELS&amp;VAR:QUERY=RkZfRElWX1lMRChBTk4sMS8xMC8wMiwxLzEwLzAyKQ==&amp;WINDOW=FIRST_POPUP&amp;HEIGHT=450&amp;WIDTH=450&amp;","START_MAXIMIZED=FALSE&amp;VAR:CALENDAR=US&amp;VAR:SYMBOL=MO&amp;VAR:INDEX=0"}</definedName>
    <definedName name="_1005">#REF!</definedName>
    <definedName name="_1005__FDSAUDITLINK__" localSheetId="0" hidden="1">{"fdsup://directions/FAT Viewer?action=UPDATE&amp;creator=factset&amp;DYN_ARGS=TRUE&amp;DOC_NAME=FAT:FQL_AUDITING_CLIENT_TEMPLATE.FAT&amp;display_string=Audit&amp;VAR:KEY=PMBGBOZIRQ&amp;VAR:QUERY=RkZfRElWX1lMRChBTk4sMS8wMy8wMiwxLzAzLzAyKQ==&amp;WINDOW=FIRST_POPUP&amp;HEIGHT=450&amp;WIDTH=450&amp;","START_MAXIMIZED=FALSE&amp;VAR:CALENDAR=US&amp;VAR:SYMBOL=MO&amp;VAR:INDEX=0"}</definedName>
    <definedName name="_1005__FDSAUDITLINK__" hidden="1">{"fdsup://directions/FAT Viewer?action=UPDATE&amp;creator=factset&amp;DYN_ARGS=TRUE&amp;DOC_NAME=FAT:FQL_AUDITING_CLIENT_TEMPLATE.FAT&amp;display_string=Audit&amp;VAR:KEY=PMBGBOZIRQ&amp;VAR:QUERY=RkZfRElWX1lMRChBTk4sMS8wMy8wMiwxLzAzLzAyKQ==&amp;WINDOW=FIRST_POPUP&amp;HEIGHT=450&amp;WIDTH=450&amp;","START_MAXIMIZED=FALSE&amp;VAR:CALENDAR=US&amp;VAR:SYMBOL=MO&amp;VAR:INDEX=0"}</definedName>
    <definedName name="_1006__FDSAUDITLINK__" localSheetId="0" hidden="1">{"fdsup://directions/FAT Viewer?action=UPDATE&amp;creator=factset&amp;DYN_ARGS=TRUE&amp;DOC_NAME=FAT:FQL_AUDITING_CLIENT_TEMPLATE.FAT&amp;display_string=Audit&amp;VAR:KEY=BYLYBGBYLG&amp;VAR:QUERY=RkZfRElWX1lMRChBTk4sMTIvMjcvMDEsMTIvMjcvMDEp&amp;WINDOW=FIRST_POPUP&amp;HEIGHT=450&amp;WIDTH=450&amp;","START_MAXIMIZED=FALSE&amp;VAR:CALENDAR=US&amp;VAR:SYMBOL=MO&amp;VAR:INDEX=0"}</definedName>
    <definedName name="_1006__FDSAUDITLINK__" hidden="1">{"fdsup://directions/FAT Viewer?action=UPDATE&amp;creator=factset&amp;DYN_ARGS=TRUE&amp;DOC_NAME=FAT:FQL_AUDITING_CLIENT_TEMPLATE.FAT&amp;display_string=Audit&amp;VAR:KEY=BYLYBGBYLG&amp;VAR:QUERY=RkZfRElWX1lMRChBTk4sMTIvMjcvMDEsMTIvMjcvMDEp&amp;WINDOW=FIRST_POPUP&amp;HEIGHT=450&amp;WIDTH=450&amp;","START_MAXIMIZED=FALSE&amp;VAR:CALENDAR=US&amp;VAR:SYMBOL=MO&amp;VAR:INDEX=0"}</definedName>
    <definedName name="_1007__FDSAUDITLINK__" localSheetId="0" hidden="1">{"fdsup://directions/FAT Viewer?action=UPDATE&amp;creator=factset&amp;DYN_ARGS=TRUE&amp;DOC_NAME=FAT:FQL_AUDITING_CLIENT_TEMPLATE.FAT&amp;display_string=Audit&amp;VAR:KEY=NCDWVIXUHU&amp;VAR:QUERY=RkZfRElWX1lMRChBTk4sMTIvMjAvMDEsMTIvMjAvMDEp&amp;WINDOW=FIRST_POPUP&amp;HEIGHT=450&amp;WIDTH=450&amp;","START_MAXIMIZED=FALSE&amp;VAR:CALENDAR=US&amp;VAR:SYMBOL=MO&amp;VAR:INDEX=0"}</definedName>
    <definedName name="_1007__FDSAUDITLINK__" hidden="1">{"fdsup://directions/FAT Viewer?action=UPDATE&amp;creator=factset&amp;DYN_ARGS=TRUE&amp;DOC_NAME=FAT:FQL_AUDITING_CLIENT_TEMPLATE.FAT&amp;display_string=Audit&amp;VAR:KEY=NCDWVIXUHU&amp;VAR:QUERY=RkZfRElWX1lMRChBTk4sMTIvMjAvMDEsMTIvMjAvMDEp&amp;WINDOW=FIRST_POPUP&amp;HEIGHT=450&amp;WIDTH=450&amp;","START_MAXIMIZED=FALSE&amp;VAR:CALENDAR=US&amp;VAR:SYMBOL=MO&amp;VAR:INDEX=0"}</definedName>
    <definedName name="_1008__FDSAUDITLINK__" localSheetId="0" hidden="1">{"fdsup://directions/FAT Viewer?action=UPDATE&amp;creator=factset&amp;DYN_ARGS=TRUE&amp;DOC_NAME=FAT:FQL_AUDITING_CLIENT_TEMPLATE.FAT&amp;display_string=Audit&amp;VAR:KEY=LMRMTMVSTQ&amp;VAR:QUERY=RkZfRElWX1lMRChBTk4sMTIvMTMvMDEsMTIvMTMvMDEp&amp;WINDOW=FIRST_POPUP&amp;HEIGHT=450&amp;WIDTH=450&amp;","START_MAXIMIZED=FALSE&amp;VAR:CALENDAR=US&amp;VAR:SYMBOL=MO&amp;VAR:INDEX=0"}</definedName>
    <definedName name="_1008__FDSAUDITLINK__" hidden="1">{"fdsup://directions/FAT Viewer?action=UPDATE&amp;creator=factset&amp;DYN_ARGS=TRUE&amp;DOC_NAME=FAT:FQL_AUDITING_CLIENT_TEMPLATE.FAT&amp;display_string=Audit&amp;VAR:KEY=LMRMTMVSTQ&amp;VAR:QUERY=RkZfRElWX1lMRChBTk4sMTIvMTMvMDEsMTIvMTMvMDEp&amp;WINDOW=FIRST_POPUP&amp;HEIGHT=450&amp;WIDTH=450&amp;","START_MAXIMIZED=FALSE&amp;VAR:CALENDAR=US&amp;VAR:SYMBOL=MO&amp;VAR:INDEX=0"}</definedName>
    <definedName name="_1009">#REF!</definedName>
    <definedName name="_1009__FDSAUDITLINK__" localSheetId="0" hidden="1">{"fdsup://directions/FAT Viewer?action=UPDATE&amp;creator=factset&amp;DYN_ARGS=TRUE&amp;DOC_NAME=FAT:FQL_AUDITING_CLIENT_TEMPLATE.FAT&amp;display_string=Audit&amp;VAR:KEY=NQVGBOBCXS&amp;VAR:QUERY=RkZfRElWX1lMRChBTk4sMTIvMDYvMDEsMTIvMDYvMDEp&amp;WINDOW=FIRST_POPUP&amp;HEIGHT=450&amp;WIDTH=450&amp;","START_MAXIMIZED=FALSE&amp;VAR:CALENDAR=US&amp;VAR:SYMBOL=MO&amp;VAR:INDEX=0"}</definedName>
    <definedName name="_1009__FDSAUDITLINK__" hidden="1">{"fdsup://directions/FAT Viewer?action=UPDATE&amp;creator=factset&amp;DYN_ARGS=TRUE&amp;DOC_NAME=FAT:FQL_AUDITING_CLIENT_TEMPLATE.FAT&amp;display_string=Audit&amp;VAR:KEY=NQVGBOBCXS&amp;VAR:QUERY=RkZfRElWX1lMRChBTk4sMTIvMDYvMDEsMTIvMDYvMDEp&amp;WINDOW=FIRST_POPUP&amp;HEIGHT=450&amp;WIDTH=450&amp;","START_MAXIMIZED=FALSE&amp;VAR:CALENDAR=US&amp;VAR:SYMBOL=MO&amp;VAR:INDEX=0"}</definedName>
    <definedName name="_101">#REF!</definedName>
    <definedName name="_101__123Graph_DSUPPLIES_BY_B_U">#REF!</definedName>
    <definedName name="_101__FDSAUDITLINK__" localSheetId="0" hidden="1">{"fdsup://directions/FAT Viewer?action=UPDATE&amp;creator=factset&amp;DYN_ARGS=TRUE&amp;DOC_NAME=FAT:FQL_AUDITING_CLIENT_TEMPLATE.FAT&amp;display_string=Audit&amp;VAR:KEY=SHCZUJAFYN&amp;VAR:QUERY=QVZHKEZGX0RJVl9ZTEQoQU5OLDQxMDA0LC0xQVkpKQ==&amp;WINDOW=FIRST_POPUP&amp;HEIGHT=450&amp;WIDTH=450&amp;","START_MAXIMIZED=FALSE&amp;VAR:CALENDAR=US&amp;VAR:SYMBOL=PEP"}</definedName>
    <definedName name="_101__FDSAUDITLINK__" hidden="1">{"fdsup://directions/FAT Viewer?action=UPDATE&amp;creator=factset&amp;DYN_ARGS=TRUE&amp;DOC_NAME=FAT:FQL_AUDITING_CLIENT_TEMPLATE.FAT&amp;display_string=Audit&amp;VAR:KEY=SHCZUJAFYN&amp;VAR:QUERY=QVZHKEZGX0RJVl9ZTEQoQU5OLDQxMDA0LC0xQVkpKQ==&amp;WINDOW=FIRST_POPUP&amp;HEIGHT=450&amp;WIDTH=450&amp;","START_MAXIMIZED=FALSE&amp;VAR:CALENDAR=US&amp;VAR:SYMBOL=PEP"}</definedName>
    <definedName name="_1010__FDSAUDITLINK__" localSheetId="0" hidden="1">{"fdsup://directions/FAT Viewer?action=UPDATE&amp;creator=factset&amp;DYN_ARGS=TRUE&amp;DOC_NAME=FAT:FQL_AUDITING_CLIENT_TEMPLATE.FAT&amp;display_string=Audit&amp;VAR:KEY=JMPQVULQJY&amp;VAR:QUERY=RkZfRElWX1lMRChBTk4sMTEvMjkvMDEsMTEvMjkvMDEp&amp;WINDOW=FIRST_POPUP&amp;HEIGHT=450&amp;WIDTH=450&amp;","START_MAXIMIZED=FALSE&amp;VAR:CALENDAR=US&amp;VAR:SYMBOL=MO&amp;VAR:INDEX=0"}</definedName>
    <definedName name="_1010__FDSAUDITLINK__" hidden="1">{"fdsup://directions/FAT Viewer?action=UPDATE&amp;creator=factset&amp;DYN_ARGS=TRUE&amp;DOC_NAME=FAT:FQL_AUDITING_CLIENT_TEMPLATE.FAT&amp;display_string=Audit&amp;VAR:KEY=JMPQVULQJY&amp;VAR:QUERY=RkZfRElWX1lMRChBTk4sMTEvMjkvMDEsMTEvMjkvMDEp&amp;WINDOW=FIRST_POPUP&amp;HEIGHT=450&amp;WIDTH=450&amp;","START_MAXIMIZED=FALSE&amp;VAR:CALENDAR=US&amp;VAR:SYMBOL=MO&amp;VAR:INDEX=0"}</definedName>
    <definedName name="_1011__FDSAUDITLINK__" localSheetId="0" hidden="1">{"fdsup://directions/FAT Viewer?action=UPDATE&amp;creator=factset&amp;DYN_ARGS=TRUE&amp;DOC_NAME=FAT:FQL_AUDITING_CLIENT_TEMPLATE.FAT&amp;display_string=Audit&amp;VAR:KEY=ZCBMFGXIRU&amp;VAR:QUERY=RkZfRElWX1lMRChBTk4sMTEvMjEvMDEsMTEvMjEvMDEp&amp;WINDOW=FIRST_POPUP&amp;HEIGHT=450&amp;WIDTH=450&amp;","START_MAXIMIZED=FALSE&amp;VAR:CALENDAR=US&amp;VAR:SYMBOL=MO&amp;VAR:INDEX=0"}</definedName>
    <definedName name="_1011__FDSAUDITLINK__" hidden="1">{"fdsup://directions/FAT Viewer?action=UPDATE&amp;creator=factset&amp;DYN_ARGS=TRUE&amp;DOC_NAME=FAT:FQL_AUDITING_CLIENT_TEMPLATE.FAT&amp;display_string=Audit&amp;VAR:KEY=ZCBMFGXIRU&amp;VAR:QUERY=RkZfRElWX1lMRChBTk4sMTEvMjEvMDEsMTEvMjEvMDEp&amp;WINDOW=FIRST_POPUP&amp;HEIGHT=450&amp;WIDTH=450&amp;","START_MAXIMIZED=FALSE&amp;VAR:CALENDAR=US&amp;VAR:SYMBOL=MO&amp;VAR:INDEX=0"}</definedName>
    <definedName name="_1012__FDSAUDITLINK__" localSheetId="0" hidden="1">{"fdsup://directions/FAT Viewer?action=UPDATE&amp;creator=factset&amp;DYN_ARGS=TRUE&amp;DOC_NAME=FAT:FQL_AUDITING_CLIENT_TEMPLATE.FAT&amp;display_string=Audit&amp;VAR:KEY=FSXYLQJSBI&amp;VAR:QUERY=RkZfRElWX1lMRChBTk4sMTEvMTUvMDEsMTEvMTUvMDEp&amp;WINDOW=FIRST_POPUP&amp;HEIGHT=450&amp;WIDTH=450&amp;","START_MAXIMIZED=FALSE&amp;VAR:CALENDAR=US&amp;VAR:SYMBOL=MO&amp;VAR:INDEX=0"}</definedName>
    <definedName name="_1012__FDSAUDITLINK__" hidden="1">{"fdsup://directions/FAT Viewer?action=UPDATE&amp;creator=factset&amp;DYN_ARGS=TRUE&amp;DOC_NAME=FAT:FQL_AUDITING_CLIENT_TEMPLATE.FAT&amp;display_string=Audit&amp;VAR:KEY=FSXYLQJSBI&amp;VAR:QUERY=RkZfRElWX1lMRChBTk4sMTEvMTUvMDEsMTEvMTUvMDEp&amp;WINDOW=FIRST_POPUP&amp;HEIGHT=450&amp;WIDTH=450&amp;","START_MAXIMIZED=FALSE&amp;VAR:CALENDAR=US&amp;VAR:SYMBOL=MO&amp;VAR:INDEX=0"}</definedName>
    <definedName name="_1013__FDSAUDITLINK__" localSheetId="0" hidden="1">{"fdsup://directions/FAT Viewer?action=UPDATE&amp;creator=factset&amp;DYN_ARGS=TRUE&amp;DOC_NAME=FAT:FQL_AUDITING_CLIENT_TEMPLATE.FAT&amp;display_string=Audit&amp;VAR:KEY=JOZKJYBYNY&amp;VAR:QUERY=RkZfRElWX1lMRChBTk4sMTEvMDgvMDEsMTEvMDgvMDEp&amp;WINDOW=FIRST_POPUP&amp;HEIGHT=450&amp;WIDTH=450&amp;","START_MAXIMIZED=FALSE&amp;VAR:CALENDAR=US&amp;VAR:SYMBOL=MO&amp;VAR:INDEX=0"}</definedName>
    <definedName name="_1013__FDSAUDITLINK__" hidden="1">{"fdsup://directions/FAT Viewer?action=UPDATE&amp;creator=factset&amp;DYN_ARGS=TRUE&amp;DOC_NAME=FAT:FQL_AUDITING_CLIENT_TEMPLATE.FAT&amp;display_string=Audit&amp;VAR:KEY=JOZKJYBYNY&amp;VAR:QUERY=RkZfRElWX1lMRChBTk4sMTEvMDgvMDEsMTEvMDgvMDEp&amp;WINDOW=FIRST_POPUP&amp;HEIGHT=450&amp;WIDTH=450&amp;","START_MAXIMIZED=FALSE&amp;VAR:CALENDAR=US&amp;VAR:SYMBOL=MO&amp;VAR:INDEX=0"}</definedName>
    <definedName name="_1014__FDSAUDITLINK__" localSheetId="0" hidden="1">{"fdsup://directions/FAT Viewer?action=UPDATE&amp;creator=factset&amp;DYN_ARGS=TRUE&amp;DOC_NAME=FAT:FQL_AUDITING_CLIENT_TEMPLATE.FAT&amp;display_string=Audit&amp;VAR:KEY=NIZKLOZCXA&amp;VAR:QUERY=RkZfRElWX1lMRChBTk4sMTEvMDEvMDEsMTEvMDEvMDEp&amp;WINDOW=FIRST_POPUP&amp;HEIGHT=450&amp;WIDTH=450&amp;","START_MAXIMIZED=FALSE&amp;VAR:CALENDAR=US&amp;VAR:SYMBOL=MO&amp;VAR:INDEX=0"}</definedName>
    <definedName name="_1014__FDSAUDITLINK__" hidden="1">{"fdsup://directions/FAT Viewer?action=UPDATE&amp;creator=factset&amp;DYN_ARGS=TRUE&amp;DOC_NAME=FAT:FQL_AUDITING_CLIENT_TEMPLATE.FAT&amp;display_string=Audit&amp;VAR:KEY=NIZKLOZCXA&amp;VAR:QUERY=RkZfRElWX1lMRChBTk4sMTEvMDEvMDEsMTEvMDEvMDEp&amp;WINDOW=FIRST_POPUP&amp;HEIGHT=450&amp;WIDTH=450&amp;","START_MAXIMIZED=FALSE&amp;VAR:CALENDAR=US&amp;VAR:SYMBOL=MO&amp;VAR:INDEX=0"}</definedName>
    <definedName name="_1015__FDSAUDITLINK__" localSheetId="0" hidden="1">{"fdsup://directions/FAT Viewer?action=UPDATE&amp;creator=factset&amp;DYN_ARGS=TRUE&amp;DOC_NAME=FAT:FQL_AUDITING_CLIENT_TEMPLATE.FAT&amp;display_string=Audit&amp;VAR:KEY=DCRMPKJQLS&amp;VAR:QUERY=RkZfRElWX1lMRChBTk4sMTAvMjUvMDEsMTAvMjUvMDEp&amp;WINDOW=FIRST_POPUP&amp;HEIGHT=450&amp;WIDTH=450&amp;","START_MAXIMIZED=FALSE&amp;VAR:CALENDAR=US&amp;VAR:SYMBOL=MO&amp;VAR:INDEX=0"}</definedName>
    <definedName name="_1015__FDSAUDITLINK__" hidden="1">{"fdsup://directions/FAT Viewer?action=UPDATE&amp;creator=factset&amp;DYN_ARGS=TRUE&amp;DOC_NAME=FAT:FQL_AUDITING_CLIENT_TEMPLATE.FAT&amp;display_string=Audit&amp;VAR:KEY=DCRMPKJQLS&amp;VAR:QUERY=RkZfRElWX1lMRChBTk4sMTAvMjUvMDEsMTAvMjUvMDEp&amp;WINDOW=FIRST_POPUP&amp;HEIGHT=450&amp;WIDTH=450&amp;","START_MAXIMIZED=FALSE&amp;VAR:CALENDAR=US&amp;VAR:SYMBOL=MO&amp;VAR:INDEX=0"}</definedName>
    <definedName name="_1016__FDSAUDITLINK__" localSheetId="0" hidden="1">{"fdsup://directions/FAT Viewer?action=UPDATE&amp;creator=factset&amp;DYN_ARGS=TRUE&amp;DOC_NAME=FAT:FQL_AUDITING_CLIENT_TEMPLATE.FAT&amp;display_string=Audit&amp;VAR:KEY=TUZAXOZUJC&amp;VAR:QUERY=RkZfRElWX1lMRChBTk4sMTAvMTgvMDEsMTAvMTgvMDEp&amp;WINDOW=FIRST_POPUP&amp;HEIGHT=450&amp;WIDTH=450&amp;","START_MAXIMIZED=FALSE&amp;VAR:CALENDAR=US&amp;VAR:SYMBOL=MO&amp;VAR:INDEX=0"}</definedName>
    <definedName name="_1016__FDSAUDITLINK__" hidden="1">{"fdsup://directions/FAT Viewer?action=UPDATE&amp;creator=factset&amp;DYN_ARGS=TRUE&amp;DOC_NAME=FAT:FQL_AUDITING_CLIENT_TEMPLATE.FAT&amp;display_string=Audit&amp;VAR:KEY=TUZAXOZUJC&amp;VAR:QUERY=RkZfRElWX1lMRChBTk4sMTAvMTgvMDEsMTAvMTgvMDEp&amp;WINDOW=FIRST_POPUP&amp;HEIGHT=450&amp;WIDTH=450&amp;","START_MAXIMIZED=FALSE&amp;VAR:CALENDAR=US&amp;VAR:SYMBOL=MO&amp;VAR:INDEX=0"}</definedName>
    <definedName name="_1017">#REF!</definedName>
    <definedName name="_1017__FDSAUDITLINK__" localSheetId="0" hidden="1">{"fdsup://directions/FAT Viewer?action=UPDATE&amp;creator=factset&amp;DYN_ARGS=TRUE&amp;DOC_NAME=FAT:FQL_AUDITING_CLIENT_TEMPLATE.FAT&amp;display_string=Audit&amp;VAR:KEY=FSRYVQTWDK&amp;VAR:QUERY=RkZfRElWX1lMRChBTk4sMTAvMTEvMDEsMTAvMTEvMDEp&amp;WINDOW=FIRST_POPUP&amp;HEIGHT=450&amp;WIDTH=450&amp;","START_MAXIMIZED=FALSE&amp;VAR:CALENDAR=US&amp;VAR:SYMBOL=MO&amp;VAR:INDEX=0"}</definedName>
    <definedName name="_1017__FDSAUDITLINK__" hidden="1">{"fdsup://directions/FAT Viewer?action=UPDATE&amp;creator=factset&amp;DYN_ARGS=TRUE&amp;DOC_NAME=FAT:FQL_AUDITING_CLIENT_TEMPLATE.FAT&amp;display_string=Audit&amp;VAR:KEY=FSRYVQTWDK&amp;VAR:QUERY=RkZfRElWX1lMRChBTk4sMTAvMTEvMDEsMTAvMTEvMDEp&amp;WINDOW=FIRST_POPUP&amp;HEIGHT=450&amp;WIDTH=450&amp;","START_MAXIMIZED=FALSE&amp;VAR:CALENDAR=US&amp;VAR:SYMBOL=MO&amp;VAR:INDEX=0"}</definedName>
    <definedName name="_1018__FDSAUDITLINK__" localSheetId="0" hidden="1">{"fdsup://directions/FAT Viewer?action=UPDATE&amp;creator=factset&amp;DYN_ARGS=TRUE&amp;DOC_NAME=FAT:FQL_AUDITING_CLIENT_TEMPLATE.FAT&amp;display_string=Audit&amp;VAR:KEY=BGXITCRYNK&amp;VAR:QUERY=RkZfRElWX1lMRChBTk4sMTAvMDQvMDEsMTAvMDQvMDEp&amp;WINDOW=FIRST_POPUP&amp;HEIGHT=450&amp;WIDTH=450&amp;","START_MAXIMIZED=FALSE&amp;VAR:CALENDAR=US&amp;VAR:SYMBOL=MO&amp;VAR:INDEX=0"}</definedName>
    <definedName name="_1018__FDSAUDITLINK__" hidden="1">{"fdsup://directions/FAT Viewer?action=UPDATE&amp;creator=factset&amp;DYN_ARGS=TRUE&amp;DOC_NAME=FAT:FQL_AUDITING_CLIENT_TEMPLATE.FAT&amp;display_string=Audit&amp;VAR:KEY=BGXITCRYNK&amp;VAR:QUERY=RkZfRElWX1lMRChBTk4sMTAvMDQvMDEsMTAvMDQvMDEp&amp;WINDOW=FIRST_POPUP&amp;HEIGHT=450&amp;WIDTH=450&amp;","START_MAXIMIZED=FALSE&amp;VAR:CALENDAR=US&amp;VAR:SYMBOL=MO&amp;VAR:INDEX=0"}</definedName>
    <definedName name="_1019__FDSAUDITLINK__" localSheetId="0" hidden="1">{"fdsup://directions/FAT Viewer?action=UPDATE&amp;creator=factset&amp;DYN_ARGS=TRUE&amp;DOC_NAME=FAT:FQL_AUDITING_CLIENT_TEMPLATE.FAT&amp;display_string=Audit&amp;VAR:KEY=BURWFEJKJQ&amp;VAR:QUERY=RkZfRElWX1lMRChBTk4sOS8yNy8wMSw5LzI3LzAxKQ==&amp;WINDOW=FIRST_POPUP&amp;HEIGHT=450&amp;WIDTH=450&amp;","START_MAXIMIZED=FALSE&amp;VAR:CALENDAR=US&amp;VAR:SYMBOL=MO&amp;VAR:INDEX=0"}</definedName>
    <definedName name="_1019__FDSAUDITLINK__" hidden="1">{"fdsup://directions/FAT Viewer?action=UPDATE&amp;creator=factset&amp;DYN_ARGS=TRUE&amp;DOC_NAME=FAT:FQL_AUDITING_CLIENT_TEMPLATE.FAT&amp;display_string=Audit&amp;VAR:KEY=BURWFEJKJQ&amp;VAR:QUERY=RkZfRElWX1lMRChBTk4sOS8yNy8wMSw5LzI3LzAxKQ==&amp;WINDOW=FIRST_POPUP&amp;HEIGHT=450&amp;WIDTH=450&amp;","START_MAXIMIZED=FALSE&amp;VAR:CALENDAR=US&amp;VAR:SYMBOL=MO&amp;VAR:INDEX=0"}</definedName>
    <definedName name="_102">#REF!</definedName>
    <definedName name="_102__123Graph_CWAGES_BY_B_U">#REF!</definedName>
    <definedName name="_102__123Graph_XTAX_CREDIT">#REF!</definedName>
    <definedName name="_102__FDSAUDITLINK__" localSheetId="0" hidden="1">{"fdsup://directions/FAT Viewer?action=UPDATE&amp;creator=factset&amp;DYN_ARGS=TRUE&amp;DOC_NAME=FAT:FQL_AUDITING_CLIENT_TEMPLATE.FAT&amp;display_string=Audit&amp;VAR:KEY=NMZYZWPCHU&amp;VAR:QUERY=RkZfRElWX1lMRChBTk4sNC8yMy8wOSw0LzIzLzA5KQ==&amp;WINDOW=FIRST_POPUP&amp;HEIGHT=450&amp;WIDTH=450&amp;","START_MAXIMIZED=FALSE&amp;VAR:CALENDAR=US&amp;VAR:SYMBOL=RAI&amp;VAR:INDEX=0"}</definedName>
    <definedName name="_102__FDSAUDITLINK__" hidden="1">{"fdsup://directions/FAT Viewer?action=UPDATE&amp;creator=factset&amp;DYN_ARGS=TRUE&amp;DOC_NAME=FAT:FQL_AUDITING_CLIENT_TEMPLATE.FAT&amp;display_string=Audit&amp;VAR:KEY=NMZYZWPCHU&amp;VAR:QUERY=RkZfRElWX1lMRChBTk4sNC8yMy8wOSw0LzIzLzA5KQ==&amp;WINDOW=FIRST_POPUP&amp;HEIGHT=450&amp;WIDTH=450&amp;","START_MAXIMIZED=FALSE&amp;VAR:CALENDAR=US&amp;VAR:SYMBOL=RAI&amp;VAR:INDEX=0"}</definedName>
    <definedName name="_1020__FDSAUDITLINK__" localSheetId="0" hidden="1">{"fdsup://directions/FAT Viewer?action=UPDATE&amp;creator=factset&amp;DYN_ARGS=TRUE&amp;DOC_NAME=FAT:FQL_AUDITING_CLIENT_TEMPLATE.FAT&amp;display_string=Audit&amp;VAR:KEY=LEVKLKLWXW&amp;VAR:QUERY=RkZfRElWX1lMRChBTk4sOS8yMC8wMSw5LzIwLzAxKQ==&amp;WINDOW=FIRST_POPUP&amp;HEIGHT=450&amp;WIDTH=450&amp;","START_MAXIMIZED=FALSE&amp;VAR:CALENDAR=US&amp;VAR:SYMBOL=MO&amp;VAR:INDEX=0"}</definedName>
    <definedName name="_1020__FDSAUDITLINK__" hidden="1">{"fdsup://directions/FAT Viewer?action=UPDATE&amp;creator=factset&amp;DYN_ARGS=TRUE&amp;DOC_NAME=FAT:FQL_AUDITING_CLIENT_TEMPLATE.FAT&amp;display_string=Audit&amp;VAR:KEY=LEVKLKLWXW&amp;VAR:QUERY=RkZfRElWX1lMRChBTk4sOS8yMC8wMSw5LzIwLzAxKQ==&amp;WINDOW=FIRST_POPUP&amp;HEIGHT=450&amp;WIDTH=450&amp;","START_MAXIMIZED=FALSE&amp;VAR:CALENDAR=US&amp;VAR:SYMBOL=MO&amp;VAR:INDEX=0"}</definedName>
    <definedName name="_1021">#REF!</definedName>
    <definedName name="_1021__FDSAUDITLINK__" localSheetId="0" hidden="1">{"fdsup://directions/FAT Viewer?action=UPDATE&amp;creator=factset&amp;DYN_ARGS=TRUE&amp;DOC_NAME=FAT:FQL_AUDITING_CLIENT_TEMPLATE.FAT&amp;display_string=Audit&amp;VAR:KEY=XKJQDCNQLW&amp;VAR:QUERY=RkZfRElWX1lMRChBTk4sOS8xMC8wMSw5LzEwLzAxKQ==&amp;WINDOW=FIRST_POPUP&amp;HEIGHT=450&amp;WIDTH=450&amp;","START_MAXIMIZED=FALSE&amp;VAR:CALENDAR=US&amp;VAR:SYMBOL=MO&amp;VAR:INDEX=0"}</definedName>
    <definedName name="_1021__FDSAUDITLINK__" hidden="1">{"fdsup://directions/FAT Viewer?action=UPDATE&amp;creator=factset&amp;DYN_ARGS=TRUE&amp;DOC_NAME=FAT:FQL_AUDITING_CLIENT_TEMPLATE.FAT&amp;display_string=Audit&amp;VAR:KEY=XKJQDCNQLW&amp;VAR:QUERY=RkZfRElWX1lMRChBTk4sOS8xMC8wMSw5LzEwLzAxKQ==&amp;WINDOW=FIRST_POPUP&amp;HEIGHT=450&amp;WIDTH=450&amp;","START_MAXIMIZED=FALSE&amp;VAR:CALENDAR=US&amp;VAR:SYMBOL=MO&amp;VAR:INDEX=0"}</definedName>
    <definedName name="_1022__FDSAUDITLINK__" localSheetId="0" hidden="1">{"fdsup://directions/FAT Viewer?action=UPDATE&amp;creator=factset&amp;DYN_ARGS=TRUE&amp;DOC_NAME=FAT:FQL_AUDITING_CLIENT_TEMPLATE.FAT&amp;display_string=Audit&amp;VAR:KEY=ZOLMFAJGHA&amp;VAR:QUERY=RkZfRElWX1lMRChBTk4sOS8wNi8wMSw5LzA2LzAxKQ==&amp;WINDOW=FIRST_POPUP&amp;HEIGHT=450&amp;WIDTH=450&amp;","START_MAXIMIZED=FALSE&amp;VAR:CALENDAR=US&amp;VAR:SYMBOL=MO&amp;VAR:INDEX=0"}</definedName>
    <definedName name="_1022__FDSAUDITLINK__" hidden="1">{"fdsup://directions/FAT Viewer?action=UPDATE&amp;creator=factset&amp;DYN_ARGS=TRUE&amp;DOC_NAME=FAT:FQL_AUDITING_CLIENT_TEMPLATE.FAT&amp;display_string=Audit&amp;VAR:KEY=ZOLMFAJGHA&amp;VAR:QUERY=RkZfRElWX1lMRChBTk4sOS8wNi8wMSw5LzA2LzAxKQ==&amp;WINDOW=FIRST_POPUP&amp;HEIGHT=450&amp;WIDTH=450&amp;","START_MAXIMIZED=FALSE&amp;VAR:CALENDAR=US&amp;VAR:SYMBOL=MO&amp;VAR:INDEX=0"}</definedName>
    <definedName name="_1023">#REF!</definedName>
    <definedName name="_1023__FDSAUDITLINK__" localSheetId="0" hidden="1">{"fdsup://directions/FAT Viewer?action=UPDATE&amp;creator=factset&amp;DYN_ARGS=TRUE&amp;DOC_NAME=FAT:FQL_AUDITING_CLIENT_TEMPLATE.FAT&amp;display_string=Audit&amp;VAR:KEY=HIJEJKRQLI&amp;VAR:QUERY=RkZfRElWX1lMRChBTk4sOC8zMC8wMSw4LzMwLzAxKQ==&amp;WINDOW=FIRST_POPUP&amp;HEIGHT=450&amp;WIDTH=450&amp;","START_MAXIMIZED=FALSE&amp;VAR:CALENDAR=US&amp;VAR:SYMBOL=MO&amp;VAR:INDEX=0"}</definedName>
    <definedName name="_1023__FDSAUDITLINK__" hidden="1">{"fdsup://directions/FAT Viewer?action=UPDATE&amp;creator=factset&amp;DYN_ARGS=TRUE&amp;DOC_NAME=FAT:FQL_AUDITING_CLIENT_TEMPLATE.FAT&amp;display_string=Audit&amp;VAR:KEY=HIJEJKRQLI&amp;VAR:QUERY=RkZfRElWX1lMRChBTk4sOC8zMC8wMSw4LzMwLzAxKQ==&amp;WINDOW=FIRST_POPUP&amp;HEIGHT=450&amp;WIDTH=450&amp;","START_MAXIMIZED=FALSE&amp;VAR:CALENDAR=US&amp;VAR:SYMBOL=MO&amp;VAR:INDEX=0"}</definedName>
    <definedName name="_1024">#REF!</definedName>
    <definedName name="_1024__FDSAUDITLINK__" localSheetId="0" hidden="1">{"fdsup://directions/FAT Viewer?action=UPDATE&amp;creator=factset&amp;DYN_ARGS=TRUE&amp;DOC_NAME=FAT:FQL_AUDITING_CLIENT_TEMPLATE.FAT&amp;display_string=Audit&amp;VAR:KEY=ZCHADOVSNU&amp;VAR:QUERY=RkZfRElWX1lMRChBTk4sOC8yMy8wMSw4LzIzLzAxKQ==&amp;WINDOW=FIRST_POPUP&amp;HEIGHT=450&amp;WIDTH=450&amp;","START_MAXIMIZED=FALSE&amp;VAR:CALENDAR=US&amp;VAR:SYMBOL=MO&amp;VAR:INDEX=0"}</definedName>
    <definedName name="_1024__FDSAUDITLINK__" hidden="1">{"fdsup://directions/FAT Viewer?action=UPDATE&amp;creator=factset&amp;DYN_ARGS=TRUE&amp;DOC_NAME=FAT:FQL_AUDITING_CLIENT_TEMPLATE.FAT&amp;display_string=Audit&amp;VAR:KEY=ZCHADOVSNU&amp;VAR:QUERY=RkZfRElWX1lMRChBTk4sOC8yMy8wMSw4LzIzLzAxKQ==&amp;WINDOW=FIRST_POPUP&amp;HEIGHT=450&amp;WIDTH=450&amp;","START_MAXIMIZED=FALSE&amp;VAR:CALENDAR=US&amp;VAR:SYMBOL=MO&amp;VAR:INDEX=0"}</definedName>
    <definedName name="_1025__FDSAUDITLINK__" localSheetId="0" hidden="1">{"fdsup://directions/FAT Viewer?action=UPDATE&amp;creator=factset&amp;DYN_ARGS=TRUE&amp;DOC_NAME=FAT:FQL_AUDITING_CLIENT_TEMPLATE.FAT&amp;display_string=Audit&amp;VAR:KEY=DKDAVEXEZW&amp;VAR:QUERY=RkZfRElWX1lMRChBTk4sOC8xNi8wMSw4LzE2LzAxKQ==&amp;WINDOW=FIRST_POPUP&amp;HEIGHT=450&amp;WIDTH=450&amp;","START_MAXIMIZED=FALSE&amp;VAR:CALENDAR=US&amp;VAR:SYMBOL=MO&amp;VAR:INDEX=0"}</definedName>
    <definedName name="_1025__FDSAUDITLINK__" hidden="1">{"fdsup://directions/FAT Viewer?action=UPDATE&amp;creator=factset&amp;DYN_ARGS=TRUE&amp;DOC_NAME=FAT:FQL_AUDITING_CLIENT_TEMPLATE.FAT&amp;display_string=Audit&amp;VAR:KEY=DKDAVEXEZW&amp;VAR:QUERY=RkZfRElWX1lMRChBTk4sOC8xNi8wMSw4LzE2LzAxKQ==&amp;WINDOW=FIRST_POPUP&amp;HEIGHT=450&amp;WIDTH=450&amp;","START_MAXIMIZED=FALSE&amp;VAR:CALENDAR=US&amp;VAR:SYMBOL=MO&amp;VAR:INDEX=0"}</definedName>
    <definedName name="_1026">#REF!</definedName>
    <definedName name="_1026__FDSAUDITLINK__" localSheetId="0" hidden="1">{"fdsup://directions/FAT Viewer?action=UPDATE&amp;creator=factset&amp;DYN_ARGS=TRUE&amp;DOC_NAME=FAT:FQL_AUDITING_CLIENT_TEMPLATE.FAT&amp;display_string=Audit&amp;VAR:KEY=DURQRUFEDK&amp;VAR:QUERY=RkZfRElWX1lMRChBTk4sOC8wOS8wMSw4LzA5LzAxKQ==&amp;WINDOW=FIRST_POPUP&amp;HEIGHT=450&amp;WIDTH=450&amp;","START_MAXIMIZED=FALSE&amp;VAR:CALENDAR=US&amp;VAR:SYMBOL=MO&amp;VAR:INDEX=0"}</definedName>
    <definedName name="_1026__FDSAUDITLINK__" hidden="1">{"fdsup://directions/FAT Viewer?action=UPDATE&amp;creator=factset&amp;DYN_ARGS=TRUE&amp;DOC_NAME=FAT:FQL_AUDITING_CLIENT_TEMPLATE.FAT&amp;display_string=Audit&amp;VAR:KEY=DURQRUFEDK&amp;VAR:QUERY=RkZfRElWX1lMRChBTk4sOC8wOS8wMSw4LzA5LzAxKQ==&amp;WINDOW=FIRST_POPUP&amp;HEIGHT=450&amp;WIDTH=450&amp;","START_MAXIMIZED=FALSE&amp;VAR:CALENDAR=US&amp;VAR:SYMBOL=MO&amp;VAR:INDEX=0"}</definedName>
    <definedName name="_1027">#REF!</definedName>
    <definedName name="_1027__FDSAUDITLINK__" localSheetId="0" hidden="1">{"fdsup://directions/FAT Viewer?action=UPDATE&amp;creator=factset&amp;DYN_ARGS=TRUE&amp;DOC_NAME=FAT:FQL_AUDITING_CLIENT_TEMPLATE.FAT&amp;display_string=Audit&amp;VAR:KEY=NSNGDINGFG&amp;VAR:QUERY=RkZfRElWX1lMRChBTk4sOC8wMi8wMSw4LzAyLzAxKQ==&amp;WINDOW=FIRST_POPUP&amp;HEIGHT=450&amp;WIDTH=450&amp;","START_MAXIMIZED=FALSE&amp;VAR:CALENDAR=US&amp;VAR:SYMBOL=MO&amp;VAR:INDEX=0"}</definedName>
    <definedName name="_1027__FDSAUDITLINK__" hidden="1">{"fdsup://directions/FAT Viewer?action=UPDATE&amp;creator=factset&amp;DYN_ARGS=TRUE&amp;DOC_NAME=FAT:FQL_AUDITING_CLIENT_TEMPLATE.FAT&amp;display_string=Audit&amp;VAR:KEY=NSNGDINGFG&amp;VAR:QUERY=RkZfRElWX1lMRChBTk4sOC8wMi8wMSw4LzAyLzAxKQ==&amp;WINDOW=FIRST_POPUP&amp;HEIGHT=450&amp;WIDTH=450&amp;","START_MAXIMIZED=FALSE&amp;VAR:CALENDAR=US&amp;VAR:SYMBOL=MO&amp;VAR:INDEX=0"}</definedName>
    <definedName name="_1028__FDSAUDITLINK__" localSheetId="0" hidden="1">{"fdsup://directions/FAT Viewer?action=UPDATE&amp;creator=factset&amp;DYN_ARGS=TRUE&amp;DOC_NAME=FAT:FQL_AUDITING_CLIENT_TEMPLATE.FAT&amp;display_string=Audit&amp;VAR:KEY=XYJWHWLGVO&amp;VAR:QUERY=RkZfRElWX1lMRChBTk4sNy8yNi8wMSw3LzI2LzAxKQ==&amp;WINDOW=FIRST_POPUP&amp;HEIGHT=450&amp;WIDTH=450&amp;","START_MAXIMIZED=FALSE&amp;VAR:CALENDAR=US&amp;VAR:SYMBOL=MO&amp;VAR:INDEX=0"}</definedName>
    <definedName name="_1028__FDSAUDITLINK__" hidden="1">{"fdsup://directions/FAT Viewer?action=UPDATE&amp;creator=factset&amp;DYN_ARGS=TRUE&amp;DOC_NAME=FAT:FQL_AUDITING_CLIENT_TEMPLATE.FAT&amp;display_string=Audit&amp;VAR:KEY=XYJWHWLGVO&amp;VAR:QUERY=RkZfRElWX1lMRChBTk4sNy8yNi8wMSw3LzI2LzAxKQ==&amp;WINDOW=FIRST_POPUP&amp;HEIGHT=450&amp;WIDTH=450&amp;","START_MAXIMIZED=FALSE&amp;VAR:CALENDAR=US&amp;VAR:SYMBOL=MO&amp;VAR:INDEX=0"}</definedName>
    <definedName name="_1029">#REF!</definedName>
    <definedName name="_1029__FDSAUDITLINK__" localSheetId="0" hidden="1">{"fdsup://directions/FAT Viewer?action=UPDATE&amp;creator=factset&amp;DYN_ARGS=TRUE&amp;DOC_NAME=FAT:FQL_AUDITING_CLIENT_TEMPLATE.FAT&amp;display_string=Audit&amp;VAR:KEY=ZMXCBADWJK&amp;VAR:QUERY=RkZfRElWX1lMRChBTk4sNy8xOS8wMSw3LzE5LzAxKQ==&amp;WINDOW=FIRST_POPUP&amp;HEIGHT=450&amp;WIDTH=450&amp;","START_MAXIMIZED=FALSE&amp;VAR:CALENDAR=US&amp;VAR:SYMBOL=MO&amp;VAR:INDEX=0"}</definedName>
    <definedName name="_1029__FDSAUDITLINK__" hidden="1">{"fdsup://directions/FAT Viewer?action=UPDATE&amp;creator=factset&amp;DYN_ARGS=TRUE&amp;DOC_NAME=FAT:FQL_AUDITING_CLIENT_TEMPLATE.FAT&amp;display_string=Audit&amp;VAR:KEY=ZMXCBADWJK&amp;VAR:QUERY=RkZfRElWX1lMRChBTk4sNy8xOS8wMSw3LzE5LzAxKQ==&amp;WINDOW=FIRST_POPUP&amp;HEIGHT=450&amp;WIDTH=450&amp;","START_MAXIMIZED=FALSE&amp;VAR:CALENDAR=US&amp;VAR:SYMBOL=MO&amp;VAR:INDEX=0"}</definedName>
    <definedName name="_103">#REF!</definedName>
    <definedName name="_103__123Graph_CWAGES_BY_B_U">#REF!</definedName>
    <definedName name="_103__FDSAUDITLINK__" localSheetId="0" hidden="1">{"fdsup://directions/FAT Viewer?action=UPDATE&amp;creator=factset&amp;DYN_ARGS=TRUE&amp;DOC_NAME=FAT:FQL_AUDITING_CLIENT_TEMPLATE.FAT&amp;display_string=Audit&amp;VAR:KEY=JMDOLSNUFK&amp;VAR:QUERY=QVZHKEZGX0RJVl9ZTEQoQU5OLDQwOTk0LC0xMEFZKSk=&amp;WINDOW=FIRST_POPUP&amp;HEIGHT=450&amp;WIDTH=450&amp;","START_MAXIMIZED=FALSE&amp;VAR:CALENDAR=US&amp;VAR:SYMBOL=SBUX"}</definedName>
    <definedName name="_103__FDSAUDITLINK__" hidden="1">{"fdsup://directions/FAT Viewer?action=UPDATE&amp;creator=factset&amp;DYN_ARGS=TRUE&amp;DOC_NAME=FAT:FQL_AUDITING_CLIENT_TEMPLATE.FAT&amp;display_string=Audit&amp;VAR:KEY=JMDOLSNUFK&amp;VAR:QUERY=QVZHKEZGX0RJVl9ZTEQoQU5OLDQwOTk0LC0xMEFZKSk=&amp;WINDOW=FIRST_POPUP&amp;HEIGHT=450&amp;WIDTH=450&amp;","START_MAXIMIZED=FALSE&amp;VAR:CALENDAR=US&amp;VAR:SYMBOL=SBUX"}</definedName>
    <definedName name="_1030">#REF!</definedName>
    <definedName name="_1030__FDSAUDITLINK__" localSheetId="0" hidden="1">{"fdsup://directions/FAT Viewer?action=UPDATE&amp;creator=factset&amp;DYN_ARGS=TRUE&amp;DOC_NAME=FAT:FQL_AUDITING_CLIENT_TEMPLATE.FAT&amp;display_string=Audit&amp;VAR:KEY=XYVGPWLGZQ&amp;VAR:QUERY=RkZfRElWX1lMRChBTk4sNy8xMi8wMSw3LzEyLzAxKQ==&amp;WINDOW=FIRST_POPUP&amp;HEIGHT=450&amp;WIDTH=450&amp;","START_MAXIMIZED=FALSE&amp;VAR:CALENDAR=US&amp;VAR:SYMBOL=MO&amp;VAR:INDEX=0"}</definedName>
    <definedName name="_1030__FDSAUDITLINK__" hidden="1">{"fdsup://directions/FAT Viewer?action=UPDATE&amp;creator=factset&amp;DYN_ARGS=TRUE&amp;DOC_NAME=FAT:FQL_AUDITING_CLIENT_TEMPLATE.FAT&amp;display_string=Audit&amp;VAR:KEY=XYVGPWLGZQ&amp;VAR:QUERY=RkZfRElWX1lMRChBTk4sNy8xMi8wMSw3LzEyLzAxKQ==&amp;WINDOW=FIRST_POPUP&amp;HEIGHT=450&amp;WIDTH=450&amp;","START_MAXIMIZED=FALSE&amp;VAR:CALENDAR=US&amp;VAR:SYMBOL=MO&amp;VAR:INDEX=0"}</definedName>
    <definedName name="_1031">#REF!</definedName>
    <definedName name="_1031__FDSAUDITLINK__" localSheetId="0" hidden="1">{"fdsup://directions/FAT Viewer?action=UPDATE&amp;creator=factset&amp;DYN_ARGS=TRUE&amp;DOC_NAME=FAT:FQL_AUDITING_CLIENT_TEMPLATE.FAT&amp;display_string=Audit&amp;VAR:KEY=NIROJQDAJE&amp;VAR:QUERY=RkZfRElWX1lMRChBTk4sNy8wNS8wMSw3LzA1LzAxKQ==&amp;WINDOW=FIRST_POPUP&amp;HEIGHT=450&amp;WIDTH=450&amp;","START_MAXIMIZED=FALSE&amp;VAR:CALENDAR=US&amp;VAR:SYMBOL=MO&amp;VAR:INDEX=0"}</definedName>
    <definedName name="_1031__FDSAUDITLINK__" hidden="1">{"fdsup://directions/FAT Viewer?action=UPDATE&amp;creator=factset&amp;DYN_ARGS=TRUE&amp;DOC_NAME=FAT:FQL_AUDITING_CLIENT_TEMPLATE.FAT&amp;display_string=Audit&amp;VAR:KEY=NIROJQDAJE&amp;VAR:QUERY=RkZfRElWX1lMRChBTk4sNy8wNS8wMSw3LzA1LzAxKQ==&amp;WINDOW=FIRST_POPUP&amp;HEIGHT=450&amp;WIDTH=450&amp;","START_MAXIMIZED=FALSE&amp;VAR:CALENDAR=US&amp;VAR:SYMBOL=MO&amp;VAR:INDEX=0"}</definedName>
    <definedName name="_1032__FDSAUDITLINK__" localSheetId="0" hidden="1">{"fdsup://directions/FAT Viewer?action=UPDATE&amp;creator=factset&amp;DYN_ARGS=TRUE&amp;DOC_NAME=FAT:FQL_AUDITING_CLIENT_TEMPLATE.FAT&amp;display_string=Audit&amp;VAR:KEY=DUZWFADADI&amp;VAR:QUERY=RkZfRElWX1lMRChBTk4sNi8yOC8wMSw2LzI4LzAxKQ==&amp;WINDOW=FIRST_POPUP&amp;HEIGHT=450&amp;WIDTH=450&amp;","START_MAXIMIZED=FALSE&amp;VAR:CALENDAR=US&amp;VAR:SYMBOL=MO&amp;VAR:INDEX=0"}</definedName>
    <definedName name="_1032__FDSAUDITLINK__" hidden="1">{"fdsup://directions/FAT Viewer?action=UPDATE&amp;creator=factset&amp;DYN_ARGS=TRUE&amp;DOC_NAME=FAT:FQL_AUDITING_CLIENT_TEMPLATE.FAT&amp;display_string=Audit&amp;VAR:KEY=DUZWFADADI&amp;VAR:QUERY=RkZfRElWX1lMRChBTk4sNi8yOC8wMSw2LzI4LzAxKQ==&amp;WINDOW=FIRST_POPUP&amp;HEIGHT=450&amp;WIDTH=450&amp;","START_MAXIMIZED=FALSE&amp;VAR:CALENDAR=US&amp;VAR:SYMBOL=MO&amp;VAR:INDEX=0"}</definedName>
    <definedName name="_1033__FDSAUDITLINK__" localSheetId="0" hidden="1">{"fdsup://directions/FAT Viewer?action=UPDATE&amp;creator=factset&amp;DYN_ARGS=TRUE&amp;DOC_NAME=FAT:FQL_AUDITING_CLIENT_TEMPLATE.FAT&amp;display_string=Audit&amp;VAR:KEY=ROVCXGFYNQ&amp;VAR:QUERY=RkZfRElWX1lMRChBTk4sNi8yMS8wMSw2LzIxLzAxKQ==&amp;WINDOW=FIRST_POPUP&amp;HEIGHT=450&amp;WIDTH=450&amp;","START_MAXIMIZED=FALSE&amp;VAR:CALENDAR=US&amp;VAR:SYMBOL=MO&amp;VAR:INDEX=0"}</definedName>
    <definedName name="_1033__FDSAUDITLINK__" hidden="1">{"fdsup://directions/FAT Viewer?action=UPDATE&amp;creator=factset&amp;DYN_ARGS=TRUE&amp;DOC_NAME=FAT:FQL_AUDITING_CLIENT_TEMPLATE.FAT&amp;display_string=Audit&amp;VAR:KEY=ROVCXGFYNQ&amp;VAR:QUERY=RkZfRElWX1lMRChBTk4sNi8yMS8wMSw2LzIxLzAxKQ==&amp;WINDOW=FIRST_POPUP&amp;HEIGHT=450&amp;WIDTH=450&amp;","START_MAXIMIZED=FALSE&amp;VAR:CALENDAR=US&amp;VAR:SYMBOL=MO&amp;VAR:INDEX=0"}</definedName>
    <definedName name="_1034__FDSAUDITLINK__" localSheetId="0" hidden="1">{"fdsup://directions/FAT Viewer?action=UPDATE&amp;creator=factset&amp;DYN_ARGS=TRUE&amp;DOC_NAME=FAT:FQL_AUDITING_CLIENT_TEMPLATE.FAT&amp;display_string=Audit&amp;VAR:KEY=PALOPWXUVU&amp;VAR:QUERY=RkZfRElWX1lMRChBTk4sNi8xNC8wMSw2LzE0LzAxKQ==&amp;WINDOW=FIRST_POPUP&amp;HEIGHT=450&amp;WIDTH=450&amp;","START_MAXIMIZED=FALSE&amp;VAR:CALENDAR=US&amp;VAR:SYMBOL=MO&amp;VAR:INDEX=0"}</definedName>
    <definedName name="_1034__FDSAUDITLINK__" hidden="1">{"fdsup://directions/FAT Viewer?action=UPDATE&amp;creator=factset&amp;DYN_ARGS=TRUE&amp;DOC_NAME=FAT:FQL_AUDITING_CLIENT_TEMPLATE.FAT&amp;display_string=Audit&amp;VAR:KEY=PALOPWXUVU&amp;VAR:QUERY=RkZfRElWX1lMRChBTk4sNi8xNC8wMSw2LzE0LzAxKQ==&amp;WINDOW=FIRST_POPUP&amp;HEIGHT=450&amp;WIDTH=450&amp;","START_MAXIMIZED=FALSE&amp;VAR:CALENDAR=US&amp;VAR:SYMBOL=MO&amp;VAR:INDEX=0"}</definedName>
    <definedName name="_1035__FDSAUDITLINK__" localSheetId="0" hidden="1">{"fdsup://directions/FAT Viewer?action=UPDATE&amp;creator=factset&amp;DYN_ARGS=TRUE&amp;DOC_NAME=FAT:FQL_AUDITING_CLIENT_TEMPLATE.FAT&amp;display_string=Audit&amp;VAR:KEY=HKJEJANWDG&amp;VAR:QUERY=RkZfRElWX1lMRChBTk4sNi8wNy8wMSw2LzA3LzAxKQ==&amp;WINDOW=FIRST_POPUP&amp;HEIGHT=450&amp;WIDTH=450&amp;","START_MAXIMIZED=FALSE&amp;VAR:CALENDAR=US&amp;VAR:SYMBOL=MO&amp;VAR:INDEX=0"}</definedName>
    <definedName name="_1035__FDSAUDITLINK__" hidden="1">{"fdsup://directions/FAT Viewer?action=UPDATE&amp;creator=factset&amp;DYN_ARGS=TRUE&amp;DOC_NAME=FAT:FQL_AUDITING_CLIENT_TEMPLATE.FAT&amp;display_string=Audit&amp;VAR:KEY=HKJEJANWDG&amp;VAR:QUERY=RkZfRElWX1lMRChBTk4sNi8wNy8wMSw2LzA3LzAxKQ==&amp;WINDOW=FIRST_POPUP&amp;HEIGHT=450&amp;WIDTH=450&amp;","START_MAXIMIZED=FALSE&amp;VAR:CALENDAR=US&amp;VAR:SYMBOL=MO&amp;VAR:INDEX=0"}</definedName>
    <definedName name="_1036__FDSAUDITLINK__" localSheetId="0" hidden="1">{"fdsup://directions/FAT Viewer?action=UPDATE&amp;creator=factset&amp;DYN_ARGS=TRUE&amp;DOC_NAME=FAT:FQL_AUDITING_CLIENT_TEMPLATE.FAT&amp;display_string=Audit&amp;VAR:KEY=HKZQLORKVG&amp;VAR:QUERY=RkZfRElWX1lMRChBTk4sNS8zMS8wMSw1LzMxLzAxKQ==&amp;WINDOW=FIRST_POPUP&amp;HEIGHT=450&amp;WIDTH=450&amp;","START_MAXIMIZED=FALSE&amp;VAR:CALENDAR=US&amp;VAR:SYMBOL=MO&amp;VAR:INDEX=0"}</definedName>
    <definedName name="_1036__FDSAUDITLINK__" hidden="1">{"fdsup://directions/FAT Viewer?action=UPDATE&amp;creator=factset&amp;DYN_ARGS=TRUE&amp;DOC_NAME=FAT:FQL_AUDITING_CLIENT_TEMPLATE.FAT&amp;display_string=Audit&amp;VAR:KEY=HKZQLORKVG&amp;VAR:QUERY=RkZfRElWX1lMRChBTk4sNS8zMS8wMSw1LzMxLzAxKQ==&amp;WINDOW=FIRST_POPUP&amp;HEIGHT=450&amp;WIDTH=450&amp;","START_MAXIMIZED=FALSE&amp;VAR:CALENDAR=US&amp;VAR:SYMBOL=MO&amp;VAR:INDEX=0"}</definedName>
    <definedName name="_1037__FDSAUDITLINK__" localSheetId="0" hidden="1">{"fdsup://directions/FAT Viewer?action=UPDATE&amp;creator=factset&amp;DYN_ARGS=TRUE&amp;DOC_NAME=FAT:FQL_AUDITING_CLIENT_TEMPLATE.FAT&amp;display_string=Audit&amp;VAR:KEY=LOPGFEJGTA&amp;VAR:QUERY=RkZfRElWX1lMRChBTk4sNS8yNC8wMSw1LzI0LzAxKQ==&amp;WINDOW=FIRST_POPUP&amp;HEIGHT=450&amp;WIDTH=450&amp;","START_MAXIMIZED=FALSE&amp;VAR:CALENDAR=US&amp;VAR:SYMBOL=MO&amp;VAR:INDEX=0"}</definedName>
    <definedName name="_1037__FDSAUDITLINK__" hidden="1">{"fdsup://directions/FAT Viewer?action=UPDATE&amp;creator=factset&amp;DYN_ARGS=TRUE&amp;DOC_NAME=FAT:FQL_AUDITING_CLIENT_TEMPLATE.FAT&amp;display_string=Audit&amp;VAR:KEY=LOPGFEJGTA&amp;VAR:QUERY=RkZfRElWX1lMRChBTk4sNS8yNC8wMSw1LzI0LzAxKQ==&amp;WINDOW=FIRST_POPUP&amp;HEIGHT=450&amp;WIDTH=450&amp;","START_MAXIMIZED=FALSE&amp;VAR:CALENDAR=US&amp;VAR:SYMBOL=MO&amp;VAR:INDEX=0"}</definedName>
    <definedName name="_1038__FDSAUDITLINK__" localSheetId="0" hidden="1">{"fdsup://directions/FAT Viewer?action=UPDATE&amp;creator=factset&amp;DYN_ARGS=TRUE&amp;DOC_NAME=FAT:FQL_AUDITING_CLIENT_TEMPLATE.FAT&amp;display_string=Audit&amp;VAR:KEY=FQLEBWFYLS&amp;VAR:QUERY=RkZfRElWX1lMRChBTk4sNS8xNy8wMSw1LzE3LzAxKQ==&amp;WINDOW=FIRST_POPUP&amp;HEIGHT=450&amp;WIDTH=450&amp;","START_MAXIMIZED=FALSE&amp;VAR:CALENDAR=US&amp;VAR:SYMBOL=MO&amp;VAR:INDEX=0"}</definedName>
    <definedName name="_1038__FDSAUDITLINK__" hidden="1">{"fdsup://directions/FAT Viewer?action=UPDATE&amp;creator=factset&amp;DYN_ARGS=TRUE&amp;DOC_NAME=FAT:FQL_AUDITING_CLIENT_TEMPLATE.FAT&amp;display_string=Audit&amp;VAR:KEY=FQLEBWFYLS&amp;VAR:QUERY=RkZfRElWX1lMRChBTk4sNS8xNy8wMSw1LzE3LzAxKQ==&amp;WINDOW=FIRST_POPUP&amp;HEIGHT=450&amp;WIDTH=450&amp;","START_MAXIMIZED=FALSE&amp;VAR:CALENDAR=US&amp;VAR:SYMBOL=MO&amp;VAR:INDEX=0"}</definedName>
    <definedName name="_1039">#REF!</definedName>
    <definedName name="_1039__FDSAUDITLINK__" localSheetId="0" hidden="1">{"fdsup://directions/FAT Viewer?action=UPDATE&amp;creator=factset&amp;DYN_ARGS=TRUE&amp;DOC_NAME=FAT:FQL_AUDITING_CLIENT_TEMPLATE.FAT&amp;display_string=Audit&amp;VAR:KEY=ZGFARWLYZA&amp;VAR:QUERY=RkZfRElWX1lMRChBTk4sNS8xMC8wMSw1LzEwLzAxKQ==&amp;WINDOW=FIRST_POPUP&amp;HEIGHT=450&amp;WIDTH=450&amp;","START_MAXIMIZED=FALSE&amp;VAR:CALENDAR=US&amp;VAR:SYMBOL=MO&amp;VAR:INDEX=0"}</definedName>
    <definedName name="_1039__FDSAUDITLINK__" hidden="1">{"fdsup://directions/FAT Viewer?action=UPDATE&amp;creator=factset&amp;DYN_ARGS=TRUE&amp;DOC_NAME=FAT:FQL_AUDITING_CLIENT_TEMPLATE.FAT&amp;display_string=Audit&amp;VAR:KEY=ZGFARWLYZA&amp;VAR:QUERY=RkZfRElWX1lMRChBTk4sNS8xMC8wMSw1LzEwLzAxKQ==&amp;WINDOW=FIRST_POPUP&amp;HEIGHT=450&amp;WIDTH=450&amp;","START_MAXIMIZED=FALSE&amp;VAR:CALENDAR=US&amp;VAR:SYMBOL=MO&amp;VAR:INDEX=0"}</definedName>
    <definedName name="_104">#REF!</definedName>
    <definedName name="_104__123Graph_FCONTRACT_BY_B_U">#REF!</definedName>
    <definedName name="_104__FDSAUDITLINK__" localSheetId="0" hidden="1">{"fdsup://directions/FAT Viewer?action=UPDATE&amp;creator=factset&amp;DYN_ARGS=TRUE&amp;DOC_NAME=FAT:FQL_AUDITING_CLIENT_TEMPLATE.FAT&amp;display_string=Audit&amp;VAR:KEY=VYBEVSDCBG&amp;VAR:QUERY=RkZfRElWX1lMRChBTk4sNC8wOS8wOSw0LzA5LzA5KQ==&amp;WINDOW=FIRST_POPUP&amp;HEIGHT=450&amp;WIDTH=450&amp;","START_MAXIMIZED=FALSE&amp;VAR:CALENDAR=US&amp;VAR:SYMBOL=RAI&amp;VAR:INDEX=0"}</definedName>
    <definedName name="_104__FDSAUDITLINK__" hidden="1">{"fdsup://directions/FAT Viewer?action=UPDATE&amp;creator=factset&amp;DYN_ARGS=TRUE&amp;DOC_NAME=FAT:FQL_AUDITING_CLIENT_TEMPLATE.FAT&amp;display_string=Audit&amp;VAR:KEY=VYBEVSDCBG&amp;VAR:QUERY=RkZfRElWX1lMRChBTk4sNC8wOS8wOSw0LzA5LzA5KQ==&amp;WINDOW=FIRST_POPUP&amp;HEIGHT=450&amp;WIDTH=450&amp;","START_MAXIMIZED=FALSE&amp;VAR:CALENDAR=US&amp;VAR:SYMBOL=RAI&amp;VAR:INDEX=0"}</definedName>
    <definedName name="_1040__FDSAUDITLINK__" localSheetId="0" hidden="1">{"fdsup://directions/FAT Viewer?action=UPDATE&amp;creator=factset&amp;DYN_ARGS=TRUE&amp;DOC_NAME=FAT:FQL_AUDITING_CLIENT_TEMPLATE.FAT&amp;display_string=Audit&amp;VAR:KEY=TKDKJWPSHC&amp;VAR:QUERY=RkZfRElWX1lMRChBTk4sNS8wMy8wMSw1LzAzLzAxKQ==&amp;WINDOW=FIRST_POPUP&amp;HEIGHT=450&amp;WIDTH=450&amp;","START_MAXIMIZED=FALSE&amp;VAR:CALENDAR=US&amp;VAR:SYMBOL=MO&amp;VAR:INDEX=0"}</definedName>
    <definedName name="_1040__FDSAUDITLINK__" hidden="1">{"fdsup://directions/FAT Viewer?action=UPDATE&amp;creator=factset&amp;DYN_ARGS=TRUE&amp;DOC_NAME=FAT:FQL_AUDITING_CLIENT_TEMPLATE.FAT&amp;display_string=Audit&amp;VAR:KEY=TKDKJWPSHC&amp;VAR:QUERY=RkZfRElWX1lMRChBTk4sNS8wMy8wMSw1LzAzLzAxKQ==&amp;WINDOW=FIRST_POPUP&amp;HEIGHT=450&amp;WIDTH=450&amp;","START_MAXIMIZED=FALSE&amp;VAR:CALENDAR=US&amp;VAR:SYMBOL=MO&amp;VAR:INDEX=0"}</definedName>
    <definedName name="_1041__FDSAUDITLINK__" localSheetId="0" hidden="1">{"fdsup://directions/FAT Viewer?action=UPDATE&amp;creator=factset&amp;DYN_ARGS=TRUE&amp;DOC_NAME=FAT:FQL_AUDITING_CLIENT_TEMPLATE.FAT&amp;display_string=Audit&amp;VAR:KEY=XWDCLUTMBI&amp;VAR:QUERY=RkZfRElWX1lMRChBTk4sNC8yNi8wMSw0LzI2LzAxKQ==&amp;WINDOW=FIRST_POPUP&amp;HEIGHT=450&amp;WIDTH=450&amp;","START_MAXIMIZED=FALSE&amp;VAR:CALENDAR=US&amp;VAR:SYMBOL=MO&amp;VAR:INDEX=0"}</definedName>
    <definedName name="_1041__FDSAUDITLINK__" hidden="1">{"fdsup://directions/FAT Viewer?action=UPDATE&amp;creator=factset&amp;DYN_ARGS=TRUE&amp;DOC_NAME=FAT:FQL_AUDITING_CLIENT_TEMPLATE.FAT&amp;display_string=Audit&amp;VAR:KEY=XWDCLUTMBI&amp;VAR:QUERY=RkZfRElWX1lMRChBTk4sNC8yNi8wMSw0LzI2LzAxKQ==&amp;WINDOW=FIRST_POPUP&amp;HEIGHT=450&amp;WIDTH=450&amp;","START_MAXIMIZED=FALSE&amp;VAR:CALENDAR=US&amp;VAR:SYMBOL=MO&amp;VAR:INDEX=0"}</definedName>
    <definedName name="_1042__FDSAUDITLINK__" localSheetId="0" hidden="1">{"fdsup://directions/FAT Viewer?action=UPDATE&amp;creator=factset&amp;DYN_ARGS=TRUE&amp;DOC_NAME=FAT:FQL_AUDITING_CLIENT_TEMPLATE.FAT&amp;display_string=Audit&amp;VAR:KEY=ROPMXWPWDA&amp;VAR:QUERY=RkZfRElWX1lMRChBTk4sNC8xOS8wMSw0LzE5LzAxKQ==&amp;WINDOW=FIRST_POPUP&amp;HEIGHT=450&amp;WIDTH=450&amp;","START_MAXIMIZED=FALSE&amp;VAR:CALENDAR=US&amp;VAR:SYMBOL=MO&amp;VAR:INDEX=0"}</definedName>
    <definedName name="_1042__FDSAUDITLINK__" hidden="1">{"fdsup://directions/FAT Viewer?action=UPDATE&amp;creator=factset&amp;DYN_ARGS=TRUE&amp;DOC_NAME=FAT:FQL_AUDITING_CLIENT_TEMPLATE.FAT&amp;display_string=Audit&amp;VAR:KEY=ROPMXWPWDA&amp;VAR:QUERY=RkZfRElWX1lMRChBTk4sNC8xOS8wMSw0LzE5LzAxKQ==&amp;WINDOW=FIRST_POPUP&amp;HEIGHT=450&amp;WIDTH=450&amp;","START_MAXIMIZED=FALSE&amp;VAR:CALENDAR=US&amp;VAR:SYMBOL=MO&amp;VAR:INDEX=0"}</definedName>
    <definedName name="_1043">#REF!</definedName>
    <definedName name="_1043__FDSAUDITLINK__" localSheetId="0" hidden="1">{"fdsup://directions/FAT Viewer?action=UPDATE&amp;creator=factset&amp;DYN_ARGS=TRUE&amp;DOC_NAME=FAT:FQL_AUDITING_CLIENT_TEMPLATE.FAT&amp;display_string=Audit&amp;VAR:KEY=XANSLYTCDS&amp;VAR:QUERY=RkZfRElWX1lMRChBTk4sNC8xMi8wMSw0LzEyLzAxKQ==&amp;WINDOW=FIRST_POPUP&amp;HEIGHT=450&amp;WIDTH=450&amp;","START_MAXIMIZED=FALSE&amp;VAR:CALENDAR=US&amp;VAR:SYMBOL=MO&amp;VAR:INDEX=0"}</definedName>
    <definedName name="_1043__FDSAUDITLINK__" hidden="1">{"fdsup://directions/FAT Viewer?action=UPDATE&amp;creator=factset&amp;DYN_ARGS=TRUE&amp;DOC_NAME=FAT:FQL_AUDITING_CLIENT_TEMPLATE.FAT&amp;display_string=Audit&amp;VAR:KEY=XANSLYTCDS&amp;VAR:QUERY=RkZfRElWX1lMRChBTk4sNC8xMi8wMSw0LzEyLzAxKQ==&amp;WINDOW=FIRST_POPUP&amp;HEIGHT=450&amp;WIDTH=450&amp;","START_MAXIMIZED=FALSE&amp;VAR:CALENDAR=US&amp;VAR:SYMBOL=MO&amp;VAR:INDEX=0"}</definedName>
    <definedName name="_1044__FDSAUDITLINK__" localSheetId="0" hidden="1">{"fdsup://directions/FAT Viewer?action=UPDATE&amp;creator=factset&amp;DYN_ARGS=TRUE&amp;DOC_NAME=FAT:FQL_AUDITING_CLIENT_TEMPLATE.FAT&amp;display_string=Audit&amp;VAR:KEY=VCNAJAREVA&amp;VAR:QUERY=RkZfRElWX1lMRChBTk4sNC8wNS8wMSw0LzA1LzAxKQ==&amp;WINDOW=FIRST_POPUP&amp;HEIGHT=450&amp;WIDTH=450&amp;","START_MAXIMIZED=FALSE&amp;VAR:CALENDAR=US&amp;VAR:SYMBOL=MO&amp;VAR:INDEX=0"}</definedName>
    <definedName name="_1044__FDSAUDITLINK__" hidden="1">{"fdsup://directions/FAT Viewer?action=UPDATE&amp;creator=factset&amp;DYN_ARGS=TRUE&amp;DOC_NAME=FAT:FQL_AUDITING_CLIENT_TEMPLATE.FAT&amp;display_string=Audit&amp;VAR:KEY=VCNAJAREVA&amp;VAR:QUERY=RkZfRElWX1lMRChBTk4sNC8wNS8wMSw0LzA1LzAxKQ==&amp;WINDOW=FIRST_POPUP&amp;HEIGHT=450&amp;WIDTH=450&amp;","START_MAXIMIZED=FALSE&amp;VAR:CALENDAR=US&amp;VAR:SYMBOL=MO&amp;VAR:INDEX=0"}</definedName>
    <definedName name="_1045__FDSAUDITLINK__" localSheetId="0" hidden="1">{"fdsup://directions/FAT Viewer?action=UPDATE&amp;creator=factset&amp;DYN_ARGS=TRUE&amp;DOC_NAME=FAT:FQL_AUDITING_CLIENT_TEMPLATE.FAT&amp;display_string=Audit&amp;VAR:KEY=ZYRYHARQVE&amp;VAR:QUERY=RkZfRElWX1lMRChBTk4sMy8zMS8xMSwzLzMxLzExKQ==&amp;WINDOW=FIRST_POPUP&amp;HEIGHT=450&amp;WIDTH=450&amp;","START_MAXIMIZED=FALSE&amp;VAR:CALENDAR=US&amp;VAR:SYMBOL=LO&amp;VAR:INDEX=0"}</definedName>
    <definedName name="_1045__FDSAUDITLINK__" hidden="1">{"fdsup://directions/FAT Viewer?action=UPDATE&amp;creator=factset&amp;DYN_ARGS=TRUE&amp;DOC_NAME=FAT:FQL_AUDITING_CLIENT_TEMPLATE.FAT&amp;display_string=Audit&amp;VAR:KEY=ZYRYHARQVE&amp;VAR:QUERY=RkZfRElWX1lMRChBTk4sMy8zMS8xMSwzLzMxLzExKQ==&amp;WINDOW=FIRST_POPUP&amp;HEIGHT=450&amp;WIDTH=450&amp;","START_MAXIMIZED=FALSE&amp;VAR:CALENDAR=US&amp;VAR:SYMBOL=LO&amp;VAR:INDEX=0"}</definedName>
    <definedName name="_1046__FDSAUDITLINK__" localSheetId="0" hidden="1">{"fdsup://directions/FAT Viewer?action=UPDATE&amp;creator=factset&amp;DYN_ARGS=TRUE&amp;DOC_NAME=FAT:FQL_AUDITING_CLIENT_TEMPLATE.FAT&amp;display_string=Audit&amp;VAR:KEY=REPIBCXGLU&amp;VAR:QUERY=RkZfRElWX1lMRChBTk4sMy8yNC8xMSwzLzI0LzExKQ==&amp;WINDOW=FIRST_POPUP&amp;HEIGHT=450&amp;WIDTH=450&amp;","START_MAXIMIZED=FALSE&amp;VAR:CALENDAR=US&amp;VAR:SYMBOL=LO&amp;VAR:INDEX=0"}</definedName>
    <definedName name="_1046__FDSAUDITLINK__" hidden="1">{"fdsup://directions/FAT Viewer?action=UPDATE&amp;creator=factset&amp;DYN_ARGS=TRUE&amp;DOC_NAME=FAT:FQL_AUDITING_CLIENT_TEMPLATE.FAT&amp;display_string=Audit&amp;VAR:KEY=REPIBCXGLU&amp;VAR:QUERY=RkZfRElWX1lMRChBTk4sMy8yNC8xMSwzLzI0LzExKQ==&amp;WINDOW=FIRST_POPUP&amp;HEIGHT=450&amp;WIDTH=450&amp;","START_MAXIMIZED=FALSE&amp;VAR:CALENDAR=US&amp;VAR:SYMBOL=LO&amp;VAR:INDEX=0"}</definedName>
    <definedName name="_1047__FDSAUDITLINK__" localSheetId="0" hidden="1">{"fdsup://directions/FAT Viewer?action=UPDATE&amp;creator=factset&amp;DYN_ARGS=TRUE&amp;DOC_NAME=FAT:FQL_AUDITING_CLIENT_TEMPLATE.FAT&amp;display_string=Audit&amp;VAR:KEY=ZCHMZURGNU&amp;VAR:QUERY=RkZfRElWX1lMRChBTk4sMy8xNy8xMSwzLzE3LzExKQ==&amp;WINDOW=FIRST_POPUP&amp;HEIGHT=450&amp;WIDTH=450&amp;","START_MAXIMIZED=FALSE&amp;VAR:CALENDAR=US&amp;VAR:SYMBOL=LO&amp;VAR:INDEX=0"}</definedName>
    <definedName name="_1047__FDSAUDITLINK__" hidden="1">{"fdsup://directions/FAT Viewer?action=UPDATE&amp;creator=factset&amp;DYN_ARGS=TRUE&amp;DOC_NAME=FAT:FQL_AUDITING_CLIENT_TEMPLATE.FAT&amp;display_string=Audit&amp;VAR:KEY=ZCHMZURGNU&amp;VAR:QUERY=RkZfRElWX1lMRChBTk4sMy8xNy8xMSwzLzE3LzExKQ==&amp;WINDOW=FIRST_POPUP&amp;HEIGHT=450&amp;WIDTH=450&amp;","START_MAXIMIZED=FALSE&amp;VAR:CALENDAR=US&amp;VAR:SYMBOL=LO&amp;VAR:INDEX=0"}</definedName>
    <definedName name="_1048">#REF!</definedName>
    <definedName name="_1048__FDSAUDITLINK__" localSheetId="0" hidden="1">{"fdsup://directions/FAT Viewer?action=UPDATE&amp;creator=factset&amp;DYN_ARGS=TRUE&amp;DOC_NAME=FAT:FQL_AUDITING_CLIENT_TEMPLATE.FAT&amp;display_string=Audit&amp;VAR:KEY=HGDATUPKLK&amp;VAR:QUERY=RkZfRElWX1lMRChBTk4sMy8xMC8xMSwzLzEwLzExKQ==&amp;WINDOW=FIRST_POPUP&amp;HEIGHT=450&amp;WIDTH=450&amp;","START_MAXIMIZED=FALSE&amp;VAR:CALENDAR=US&amp;VAR:SYMBOL=LO&amp;VAR:INDEX=0"}</definedName>
    <definedName name="_1048__FDSAUDITLINK__" hidden="1">{"fdsup://directions/FAT Viewer?action=UPDATE&amp;creator=factset&amp;DYN_ARGS=TRUE&amp;DOC_NAME=FAT:FQL_AUDITING_CLIENT_TEMPLATE.FAT&amp;display_string=Audit&amp;VAR:KEY=HGDATUPKLK&amp;VAR:QUERY=RkZfRElWX1lMRChBTk4sMy8xMC8xMSwzLzEwLzExKQ==&amp;WINDOW=FIRST_POPUP&amp;HEIGHT=450&amp;WIDTH=450&amp;","START_MAXIMIZED=FALSE&amp;VAR:CALENDAR=US&amp;VAR:SYMBOL=LO&amp;VAR:INDEX=0"}</definedName>
    <definedName name="_1049__FDSAUDITLINK__" localSheetId="0" hidden="1">{"fdsup://directions/FAT Viewer?action=UPDATE&amp;creator=factset&amp;DYN_ARGS=TRUE&amp;DOC_NAME=FAT:FQL_AUDITING_CLIENT_TEMPLATE.FAT&amp;display_string=Audit&amp;VAR:KEY=TSTELGDWNQ&amp;VAR:QUERY=RkZfRElWX1lMRChBTk4sMy8wMy8xMSwzLzAzLzExKQ==&amp;WINDOW=FIRST_POPUP&amp;HEIGHT=450&amp;WIDTH=450&amp;","START_MAXIMIZED=FALSE&amp;VAR:CALENDAR=US&amp;VAR:SYMBOL=LO&amp;VAR:INDEX=0"}</definedName>
    <definedName name="_1049__FDSAUDITLINK__" hidden="1">{"fdsup://directions/FAT Viewer?action=UPDATE&amp;creator=factset&amp;DYN_ARGS=TRUE&amp;DOC_NAME=FAT:FQL_AUDITING_CLIENT_TEMPLATE.FAT&amp;display_string=Audit&amp;VAR:KEY=TSTELGDWNQ&amp;VAR:QUERY=RkZfRElWX1lMRChBTk4sMy8wMy8xMSwzLzAzLzExKQ==&amp;WINDOW=FIRST_POPUP&amp;HEIGHT=450&amp;WIDTH=450&amp;","START_MAXIMIZED=FALSE&amp;VAR:CALENDAR=US&amp;VAR:SYMBOL=LO&amp;VAR:INDEX=0"}</definedName>
    <definedName name="_104s1_" hidden="1">{#N/A,#N/A,FALSE,"UNIT";#N/A,#N/A,FALSE,"UNIT";#N/A,#N/A,FALSE,"계정"}</definedName>
    <definedName name="_105">#REF!</definedName>
    <definedName name="_105__123Graph_LBL_CCHART_3">#REF!</definedName>
    <definedName name="_105__FDSAUDITLINK__" localSheetId="0" hidden="1">{"fdsup://directions/FAT Viewer?action=UPDATE&amp;creator=factset&amp;DYN_ARGS=TRUE&amp;DOC_NAME=FAT:FQL_AUDITING_CLIENT_TEMPLATE.FAT&amp;display_string=Audit&amp;VAR:KEY=REZYJOTEDQ&amp;VAR:QUERY=RkZfRElWX1lMRChBTk4sNC8wMi8wOSw0LzAyLzA5KQ==&amp;WINDOW=FIRST_POPUP&amp;HEIGHT=450&amp;WIDTH=450&amp;","START_MAXIMIZED=FALSE&amp;VAR:CALENDAR=US&amp;VAR:SYMBOL=RAI&amp;VAR:INDEX=0"}</definedName>
    <definedName name="_105__FDSAUDITLINK__" hidden="1">{"fdsup://directions/FAT Viewer?action=UPDATE&amp;creator=factset&amp;DYN_ARGS=TRUE&amp;DOC_NAME=FAT:FQL_AUDITING_CLIENT_TEMPLATE.FAT&amp;display_string=Audit&amp;VAR:KEY=REZYJOTEDQ&amp;VAR:QUERY=RkZfRElWX1lMRChBTk4sNC8wMi8wOSw0LzAyLzA5KQ==&amp;WINDOW=FIRST_POPUP&amp;HEIGHT=450&amp;WIDTH=450&amp;","START_MAXIMIZED=FALSE&amp;VAR:CALENDAR=US&amp;VAR:SYMBOL=RAI&amp;VAR:INDEX=0"}</definedName>
    <definedName name="_1050">#REF!</definedName>
    <definedName name="_1050__FDSAUDITLINK__" localSheetId="0" hidden="1">{"fdsup://directions/FAT Viewer?action=UPDATE&amp;creator=factset&amp;DYN_ARGS=TRUE&amp;DOC_NAME=FAT:FQL_AUDITING_CLIENT_TEMPLATE.FAT&amp;display_string=Audit&amp;VAR:KEY=ROHIHKLSLE&amp;VAR:QUERY=RkZfRElWX1lMRChBTk4sMi8yNC8xMSwyLzI0LzExKQ==&amp;WINDOW=FIRST_POPUP&amp;HEIGHT=450&amp;WIDTH=450&amp;","START_MAXIMIZED=FALSE&amp;VAR:CALENDAR=US&amp;VAR:SYMBOL=LO&amp;VAR:INDEX=0"}</definedName>
    <definedName name="_1050__FDSAUDITLINK__" hidden="1">{"fdsup://directions/FAT Viewer?action=UPDATE&amp;creator=factset&amp;DYN_ARGS=TRUE&amp;DOC_NAME=FAT:FQL_AUDITING_CLIENT_TEMPLATE.FAT&amp;display_string=Audit&amp;VAR:KEY=ROHIHKLSLE&amp;VAR:QUERY=RkZfRElWX1lMRChBTk4sMi8yNC8xMSwyLzI0LzExKQ==&amp;WINDOW=FIRST_POPUP&amp;HEIGHT=450&amp;WIDTH=450&amp;","START_MAXIMIZED=FALSE&amp;VAR:CALENDAR=US&amp;VAR:SYMBOL=LO&amp;VAR:INDEX=0"}</definedName>
    <definedName name="_1051">#REF!</definedName>
    <definedName name="_1051__FDSAUDITLINK__" localSheetId="0" hidden="1">{"fdsup://directions/FAT Viewer?action=UPDATE&amp;creator=factset&amp;DYN_ARGS=TRUE&amp;DOC_NAME=FAT:FQL_AUDITING_CLIENT_TEMPLATE.FAT&amp;display_string=Audit&amp;VAR:KEY=JQZQTURIPQ&amp;VAR:QUERY=RkZfRElWX1lMRChBTk4sMi8xNy8xMSwyLzE3LzExKQ==&amp;WINDOW=FIRST_POPUP&amp;HEIGHT=450&amp;WIDTH=450&amp;","START_MAXIMIZED=FALSE&amp;VAR:CALENDAR=US&amp;VAR:SYMBOL=LO&amp;VAR:INDEX=0"}</definedName>
    <definedName name="_1051__FDSAUDITLINK__" hidden="1">{"fdsup://directions/FAT Viewer?action=UPDATE&amp;creator=factset&amp;DYN_ARGS=TRUE&amp;DOC_NAME=FAT:FQL_AUDITING_CLIENT_TEMPLATE.FAT&amp;display_string=Audit&amp;VAR:KEY=JQZQTURIPQ&amp;VAR:QUERY=RkZfRElWX1lMRChBTk4sMi8xNy8xMSwyLzE3LzExKQ==&amp;WINDOW=FIRST_POPUP&amp;HEIGHT=450&amp;WIDTH=450&amp;","START_MAXIMIZED=FALSE&amp;VAR:CALENDAR=US&amp;VAR:SYMBOL=LO&amp;VAR:INDEX=0"}</definedName>
    <definedName name="_1052">#REF!</definedName>
    <definedName name="_1052__FDSAUDITLINK__" localSheetId="0" hidden="1">{"fdsup://directions/FAT Viewer?action=UPDATE&amp;creator=factset&amp;DYN_ARGS=TRUE&amp;DOC_NAME=FAT:FQL_AUDITING_CLIENT_TEMPLATE.FAT&amp;display_string=Audit&amp;VAR:KEY=VATEBWNYTK&amp;VAR:QUERY=RkZfRElWX1lMRChBTk4sMi8xMC8xMSwyLzEwLzExKQ==&amp;WINDOW=FIRST_POPUP&amp;HEIGHT=450&amp;WIDTH=450&amp;","START_MAXIMIZED=FALSE&amp;VAR:CALENDAR=US&amp;VAR:SYMBOL=LO&amp;VAR:INDEX=0"}</definedName>
    <definedName name="_1052__FDSAUDITLINK__" hidden="1">{"fdsup://directions/FAT Viewer?action=UPDATE&amp;creator=factset&amp;DYN_ARGS=TRUE&amp;DOC_NAME=FAT:FQL_AUDITING_CLIENT_TEMPLATE.FAT&amp;display_string=Audit&amp;VAR:KEY=VATEBWNYTK&amp;VAR:QUERY=RkZfRElWX1lMRChBTk4sMi8xMC8xMSwyLzEwLzExKQ==&amp;WINDOW=FIRST_POPUP&amp;HEIGHT=450&amp;WIDTH=450&amp;","START_MAXIMIZED=FALSE&amp;VAR:CALENDAR=US&amp;VAR:SYMBOL=LO&amp;VAR:INDEX=0"}</definedName>
    <definedName name="_1053">#REF!</definedName>
    <definedName name="_1053__FDSAUDITLINK__" localSheetId="0" hidden="1">{"fdsup://directions/FAT Viewer?action=UPDATE&amp;creator=factset&amp;DYN_ARGS=TRUE&amp;DOC_NAME=FAT:FQL_AUDITING_CLIENT_TEMPLATE.FAT&amp;display_string=Audit&amp;VAR:KEY=HWJITIXMHW&amp;VAR:QUERY=RkZfRElWX1lMRChBTk4sMi8wMy8xMSwyLzAzLzExKQ==&amp;WINDOW=FIRST_POPUP&amp;HEIGHT=450&amp;WIDTH=450&amp;","START_MAXIMIZED=FALSE&amp;VAR:CALENDAR=US&amp;VAR:SYMBOL=LO&amp;VAR:INDEX=0"}</definedName>
    <definedName name="_1053__FDSAUDITLINK__" hidden="1">{"fdsup://directions/FAT Viewer?action=UPDATE&amp;creator=factset&amp;DYN_ARGS=TRUE&amp;DOC_NAME=FAT:FQL_AUDITING_CLIENT_TEMPLATE.FAT&amp;display_string=Audit&amp;VAR:KEY=HWJITIXMHW&amp;VAR:QUERY=RkZfRElWX1lMRChBTk4sMi8wMy8xMSwyLzAzLzExKQ==&amp;WINDOW=FIRST_POPUP&amp;HEIGHT=450&amp;WIDTH=450&amp;","START_MAXIMIZED=FALSE&amp;VAR:CALENDAR=US&amp;VAR:SYMBOL=LO&amp;VAR:INDEX=0"}</definedName>
    <definedName name="_1054">#REF!</definedName>
    <definedName name="_1054__FDSAUDITLINK__" localSheetId="0" hidden="1">{"fdsup://directions/FAT Viewer?action=UPDATE&amp;creator=factset&amp;DYN_ARGS=TRUE&amp;DOC_NAME=FAT:FQL_AUDITING_CLIENT_TEMPLATE.FAT&amp;display_string=Audit&amp;VAR:KEY=ZSNAXUHWLU&amp;VAR:QUERY=RkZfRElWX1lMRChBTk4sMS8yNy8xMSwxLzI3LzExKQ==&amp;WINDOW=FIRST_POPUP&amp;HEIGHT=450&amp;WIDTH=450&amp;","START_MAXIMIZED=FALSE&amp;VAR:CALENDAR=US&amp;VAR:SYMBOL=LO&amp;VAR:INDEX=0"}</definedName>
    <definedName name="_1054__FDSAUDITLINK__" hidden="1">{"fdsup://directions/FAT Viewer?action=UPDATE&amp;creator=factset&amp;DYN_ARGS=TRUE&amp;DOC_NAME=FAT:FQL_AUDITING_CLIENT_TEMPLATE.FAT&amp;display_string=Audit&amp;VAR:KEY=ZSNAXUHWLU&amp;VAR:QUERY=RkZfRElWX1lMRChBTk4sMS8yNy8xMSwxLzI3LzExKQ==&amp;WINDOW=FIRST_POPUP&amp;HEIGHT=450&amp;WIDTH=450&amp;","START_MAXIMIZED=FALSE&amp;VAR:CALENDAR=US&amp;VAR:SYMBOL=LO&amp;VAR:INDEX=0"}</definedName>
    <definedName name="_1055">#REF!</definedName>
    <definedName name="_1055__FDSAUDITLINK__" localSheetId="0" hidden="1">{"fdsup://directions/FAT Viewer?action=UPDATE&amp;creator=factset&amp;DYN_ARGS=TRUE&amp;DOC_NAME=FAT:FQL_AUDITING_CLIENT_TEMPLATE.FAT&amp;display_string=Audit&amp;VAR:KEY=DKBGRMDMNI&amp;VAR:QUERY=RkZfRElWX1lMRChBTk4sMS8yMC8xMSwxLzIwLzExKQ==&amp;WINDOW=FIRST_POPUP&amp;HEIGHT=450&amp;WIDTH=450&amp;","START_MAXIMIZED=FALSE&amp;VAR:CALENDAR=US&amp;VAR:SYMBOL=LO&amp;VAR:INDEX=0"}</definedName>
    <definedName name="_1055__FDSAUDITLINK__" hidden="1">{"fdsup://directions/FAT Viewer?action=UPDATE&amp;creator=factset&amp;DYN_ARGS=TRUE&amp;DOC_NAME=FAT:FQL_AUDITING_CLIENT_TEMPLATE.FAT&amp;display_string=Audit&amp;VAR:KEY=DKBGRMDMNI&amp;VAR:QUERY=RkZfRElWX1lMRChBTk4sMS8yMC8xMSwxLzIwLzExKQ==&amp;WINDOW=FIRST_POPUP&amp;HEIGHT=450&amp;WIDTH=450&amp;","START_MAXIMIZED=FALSE&amp;VAR:CALENDAR=US&amp;VAR:SYMBOL=LO&amp;VAR:INDEX=0"}</definedName>
    <definedName name="_1056">#REF!</definedName>
    <definedName name="_1056__FDSAUDITLINK__" localSheetId="0" hidden="1">{"fdsup://directions/FAT Viewer?action=UPDATE&amp;creator=factset&amp;DYN_ARGS=TRUE&amp;DOC_NAME=FAT:FQL_AUDITING_CLIENT_TEMPLATE.FAT&amp;display_string=Audit&amp;VAR:KEY=BGNKTOHWBC&amp;VAR:QUERY=RkZfRElWX1lMRChBTk4sMS8xMy8xMSwxLzEzLzExKQ==&amp;WINDOW=FIRST_POPUP&amp;HEIGHT=450&amp;WIDTH=450&amp;","START_MAXIMIZED=FALSE&amp;VAR:CALENDAR=US&amp;VAR:SYMBOL=LO&amp;VAR:INDEX=0"}</definedName>
    <definedName name="_1056__FDSAUDITLINK__" hidden="1">{"fdsup://directions/FAT Viewer?action=UPDATE&amp;creator=factset&amp;DYN_ARGS=TRUE&amp;DOC_NAME=FAT:FQL_AUDITING_CLIENT_TEMPLATE.FAT&amp;display_string=Audit&amp;VAR:KEY=BGNKTOHWBC&amp;VAR:QUERY=RkZfRElWX1lMRChBTk4sMS8xMy8xMSwxLzEzLzExKQ==&amp;WINDOW=FIRST_POPUP&amp;HEIGHT=450&amp;WIDTH=450&amp;","START_MAXIMIZED=FALSE&amp;VAR:CALENDAR=US&amp;VAR:SYMBOL=LO&amp;VAR:INDEX=0"}</definedName>
    <definedName name="_1057">#REF!</definedName>
    <definedName name="_1057__FDSAUDITLINK__" localSheetId="0" hidden="1">{"fdsup://directions/FAT Viewer?action=UPDATE&amp;creator=factset&amp;DYN_ARGS=TRUE&amp;DOC_NAME=FAT:FQL_AUDITING_CLIENT_TEMPLATE.FAT&amp;display_string=Audit&amp;VAR:KEY=HYPUXWLIVM&amp;VAR:QUERY=RkZfRElWX1lMRChBTk4sMS8wNi8xMSwxLzA2LzExKQ==&amp;WINDOW=FIRST_POPUP&amp;HEIGHT=450&amp;WIDTH=450&amp;","START_MAXIMIZED=FALSE&amp;VAR:CALENDAR=US&amp;VAR:SYMBOL=LO&amp;VAR:INDEX=0"}</definedName>
    <definedName name="_1057__FDSAUDITLINK__" hidden="1">{"fdsup://directions/FAT Viewer?action=UPDATE&amp;creator=factset&amp;DYN_ARGS=TRUE&amp;DOC_NAME=FAT:FQL_AUDITING_CLIENT_TEMPLATE.FAT&amp;display_string=Audit&amp;VAR:KEY=HYPUXWLIVM&amp;VAR:QUERY=RkZfRElWX1lMRChBTk4sMS8wNi8xMSwxLzA2LzExKQ==&amp;WINDOW=FIRST_POPUP&amp;HEIGHT=450&amp;WIDTH=450&amp;","START_MAXIMIZED=FALSE&amp;VAR:CALENDAR=US&amp;VAR:SYMBOL=LO&amp;VAR:INDEX=0"}</definedName>
    <definedName name="_1058">#REF!</definedName>
    <definedName name="_1058__FDSAUDITLINK__" localSheetId="0" hidden="1">{"fdsup://directions/FAT Viewer?action=UPDATE&amp;creator=factset&amp;DYN_ARGS=TRUE&amp;DOC_NAME=FAT:FQL_AUDITING_CLIENT_TEMPLATE.FAT&amp;display_string=Audit&amp;VAR:KEY=ZMBCNEJETK&amp;VAR:QUERY=RkZfRElWX1lMRChBTk4sMTIvMzAvMTAsMTIvMzAvMTAp&amp;WINDOW=FIRST_POPUP&amp;HEIGHT=450&amp;WIDTH=450&amp;","START_MAXIMIZED=FALSE&amp;VAR:CALENDAR=US&amp;VAR:SYMBOL=LO&amp;VAR:INDEX=0"}</definedName>
    <definedName name="_1058__FDSAUDITLINK__" hidden="1">{"fdsup://directions/FAT Viewer?action=UPDATE&amp;creator=factset&amp;DYN_ARGS=TRUE&amp;DOC_NAME=FAT:FQL_AUDITING_CLIENT_TEMPLATE.FAT&amp;display_string=Audit&amp;VAR:KEY=ZMBCNEJETK&amp;VAR:QUERY=RkZfRElWX1lMRChBTk4sMTIvMzAvMTAsMTIvMzAvMTAp&amp;WINDOW=FIRST_POPUP&amp;HEIGHT=450&amp;WIDTH=450&amp;","START_MAXIMIZED=FALSE&amp;VAR:CALENDAR=US&amp;VAR:SYMBOL=LO&amp;VAR:INDEX=0"}</definedName>
    <definedName name="_1059">#REF!</definedName>
    <definedName name="_1059__FDSAUDITLINK__" localSheetId="0" hidden="1">{"fdsup://directions/FAT Viewer?action=UPDATE&amp;creator=factset&amp;DYN_ARGS=TRUE&amp;DOC_NAME=FAT:FQL_AUDITING_CLIENT_TEMPLATE.FAT&amp;display_string=Audit&amp;VAR:KEY=HMVUHOLSPE&amp;VAR:QUERY=RkZfRElWX1lMRChBTk4sMTIvMjMvMTAsMTIvMjMvMTAp&amp;WINDOW=FIRST_POPUP&amp;HEIGHT=450&amp;WIDTH=450&amp;","START_MAXIMIZED=FALSE&amp;VAR:CALENDAR=US&amp;VAR:SYMBOL=LO&amp;VAR:INDEX=0"}</definedName>
    <definedName name="_1059__FDSAUDITLINK__" hidden="1">{"fdsup://directions/FAT Viewer?action=UPDATE&amp;creator=factset&amp;DYN_ARGS=TRUE&amp;DOC_NAME=FAT:FQL_AUDITING_CLIENT_TEMPLATE.FAT&amp;display_string=Audit&amp;VAR:KEY=HMVUHOLSPE&amp;VAR:QUERY=RkZfRElWX1lMRChBTk4sMTIvMjMvMTAsMTIvMjMvMTAp&amp;WINDOW=FIRST_POPUP&amp;HEIGHT=450&amp;WIDTH=450&amp;","START_MAXIMIZED=FALSE&amp;VAR:CALENDAR=US&amp;VAR:SYMBOL=LO&amp;VAR:INDEX=0"}</definedName>
    <definedName name="_105s10_" hidden="1">{#N/A,#N/A,FALSE,"UNIT";#N/A,#N/A,FALSE,"UNIT";#N/A,#N/A,FALSE,"계정"}</definedName>
    <definedName name="_106">#REF!</definedName>
    <definedName name="_106__123Graph_DWAGES_BY_B_U">#REF!</definedName>
    <definedName name="_106__FDSAUDITLINK__" localSheetId="0" hidden="1">{"fdsup://directions/FAT Viewer?action=UPDATE&amp;creator=factset&amp;DYN_ARGS=TRUE&amp;DOC_NAME=FAT:FQL_AUDITING_CLIENT_TEMPLATE.FAT&amp;display_string=Audit&amp;VAR:KEY=XWPKNKPUBY&amp;VAR:QUERY=RkZfRElWX1lMRChBTk4sMy8yNi8wOSwzLzI2LzA5KQ==&amp;WINDOW=FIRST_POPUP&amp;HEIGHT=450&amp;WIDTH=450&amp;","START_MAXIMIZED=FALSE&amp;VAR:CALENDAR=US&amp;VAR:SYMBOL=RAI&amp;VAR:INDEX=0"}</definedName>
    <definedName name="_106__FDSAUDITLINK__" hidden="1">{"fdsup://directions/FAT Viewer?action=UPDATE&amp;creator=factset&amp;DYN_ARGS=TRUE&amp;DOC_NAME=FAT:FQL_AUDITING_CLIENT_TEMPLATE.FAT&amp;display_string=Audit&amp;VAR:KEY=XWPKNKPUBY&amp;VAR:QUERY=RkZfRElWX1lMRChBTk4sMy8yNi8wOSwzLzI2LzA5KQ==&amp;WINDOW=FIRST_POPUP&amp;HEIGHT=450&amp;WIDTH=450&amp;","START_MAXIMIZED=FALSE&amp;VAR:CALENDAR=US&amp;VAR:SYMBOL=RAI&amp;VAR:INDEX=0"}</definedName>
    <definedName name="_1060">#REF!</definedName>
    <definedName name="_1060__FDSAUDITLINK__" localSheetId="0" hidden="1">{"fdsup://directions/FAT Viewer?action=UPDATE&amp;creator=factset&amp;DYN_ARGS=TRUE&amp;DOC_NAME=FAT:FQL_AUDITING_CLIENT_TEMPLATE.FAT&amp;display_string=Audit&amp;VAR:KEY=RYNCTGPCHI&amp;VAR:QUERY=RkZfRElWX1lMRChBTk4sMTIvMTYvMTAsMTIvMTYvMTAp&amp;WINDOW=FIRST_POPUP&amp;HEIGHT=450&amp;WIDTH=450&amp;","START_MAXIMIZED=FALSE&amp;VAR:CALENDAR=US&amp;VAR:SYMBOL=LO&amp;VAR:INDEX=0"}</definedName>
    <definedName name="_1060__FDSAUDITLINK__" hidden="1">{"fdsup://directions/FAT Viewer?action=UPDATE&amp;creator=factset&amp;DYN_ARGS=TRUE&amp;DOC_NAME=FAT:FQL_AUDITING_CLIENT_TEMPLATE.FAT&amp;display_string=Audit&amp;VAR:KEY=RYNCTGPCHI&amp;VAR:QUERY=RkZfRElWX1lMRChBTk4sMTIvMTYvMTAsMTIvMTYvMTAp&amp;WINDOW=FIRST_POPUP&amp;HEIGHT=450&amp;WIDTH=450&amp;","START_MAXIMIZED=FALSE&amp;VAR:CALENDAR=US&amp;VAR:SYMBOL=LO&amp;VAR:INDEX=0"}</definedName>
    <definedName name="_1061">#REF!</definedName>
    <definedName name="_1061__FDSAUDITLINK__" localSheetId="0" hidden="1">{"fdsup://directions/FAT Viewer?action=UPDATE&amp;creator=factset&amp;DYN_ARGS=TRUE&amp;DOC_NAME=FAT:FQL_AUDITING_CLIENT_TEMPLATE.FAT&amp;display_string=Audit&amp;VAR:KEY=PQVIJWVIHI&amp;VAR:QUERY=RkZfRElWX1lMRChBTk4sMTIvMDkvMTAsMTIvMDkvMTAp&amp;WINDOW=FIRST_POPUP&amp;HEIGHT=450&amp;WIDTH=450&amp;","START_MAXIMIZED=FALSE&amp;VAR:CALENDAR=US&amp;VAR:SYMBOL=LO&amp;VAR:INDEX=0"}</definedName>
    <definedName name="_1061__FDSAUDITLINK__" hidden="1">{"fdsup://directions/FAT Viewer?action=UPDATE&amp;creator=factset&amp;DYN_ARGS=TRUE&amp;DOC_NAME=FAT:FQL_AUDITING_CLIENT_TEMPLATE.FAT&amp;display_string=Audit&amp;VAR:KEY=PQVIJWVIHI&amp;VAR:QUERY=RkZfRElWX1lMRChBTk4sMTIvMDkvMTAsMTIvMDkvMTAp&amp;WINDOW=FIRST_POPUP&amp;HEIGHT=450&amp;WIDTH=450&amp;","START_MAXIMIZED=FALSE&amp;VAR:CALENDAR=US&amp;VAR:SYMBOL=LO&amp;VAR:INDEX=0"}</definedName>
    <definedName name="_1062">#REF!</definedName>
    <definedName name="_1062__FDSAUDITLINK__" localSheetId="0" hidden="1">{"fdsup://directions/FAT Viewer?action=UPDATE&amp;creator=factset&amp;DYN_ARGS=TRUE&amp;DOC_NAME=FAT:FQL_AUDITING_CLIENT_TEMPLATE.FAT&amp;display_string=Audit&amp;VAR:KEY=BQFCZIBEFW&amp;VAR:QUERY=RkZfRElWX1lMRChBTk4sMTIvMDIvMTAsMTIvMDIvMTAp&amp;WINDOW=FIRST_POPUP&amp;HEIGHT=450&amp;WIDTH=450&amp;","START_MAXIMIZED=FALSE&amp;VAR:CALENDAR=US&amp;VAR:SYMBOL=LO&amp;VAR:INDEX=0"}</definedName>
    <definedName name="_1062__FDSAUDITLINK__" hidden="1">{"fdsup://directions/FAT Viewer?action=UPDATE&amp;creator=factset&amp;DYN_ARGS=TRUE&amp;DOC_NAME=FAT:FQL_AUDITING_CLIENT_TEMPLATE.FAT&amp;display_string=Audit&amp;VAR:KEY=BQFCZIBEFW&amp;VAR:QUERY=RkZfRElWX1lMRChBTk4sMTIvMDIvMTAsMTIvMDIvMTAp&amp;WINDOW=FIRST_POPUP&amp;HEIGHT=450&amp;WIDTH=450&amp;","START_MAXIMIZED=FALSE&amp;VAR:CALENDAR=US&amp;VAR:SYMBOL=LO&amp;VAR:INDEX=0"}</definedName>
    <definedName name="_1063">#REF!</definedName>
    <definedName name="_1063__FDSAUDITLINK__" localSheetId="0" hidden="1">{"fdsup://directions/FAT Viewer?action=UPDATE&amp;creator=factset&amp;DYN_ARGS=TRUE&amp;DOC_NAME=FAT:FQL_AUDITING_CLIENT_TEMPLATE.FAT&amp;display_string=Audit&amp;VAR:KEY=BMVAHUHUVU&amp;VAR:QUERY=RkZfRElWX1lMRChBTk4sMTEvMjQvMTAsMTEvMjQvMTAp&amp;WINDOW=FIRST_POPUP&amp;HEIGHT=450&amp;WIDTH=450&amp;","START_MAXIMIZED=FALSE&amp;VAR:CALENDAR=US&amp;VAR:SYMBOL=LO&amp;VAR:INDEX=0"}</definedName>
    <definedName name="_1063__FDSAUDITLINK__" hidden="1">{"fdsup://directions/FAT Viewer?action=UPDATE&amp;creator=factset&amp;DYN_ARGS=TRUE&amp;DOC_NAME=FAT:FQL_AUDITING_CLIENT_TEMPLATE.FAT&amp;display_string=Audit&amp;VAR:KEY=BMVAHUHUVU&amp;VAR:QUERY=RkZfRElWX1lMRChBTk4sMTEvMjQvMTAsMTEvMjQvMTAp&amp;WINDOW=FIRST_POPUP&amp;HEIGHT=450&amp;WIDTH=450&amp;","START_MAXIMIZED=FALSE&amp;VAR:CALENDAR=US&amp;VAR:SYMBOL=LO&amp;VAR:INDEX=0"}</definedName>
    <definedName name="_1064">#REF!</definedName>
    <definedName name="_1064__FDSAUDITLINK__" localSheetId="0" hidden="1">{"fdsup://directions/FAT Viewer?action=UPDATE&amp;creator=factset&amp;DYN_ARGS=TRUE&amp;DOC_NAME=FAT:FQL_AUDITING_CLIENT_TEMPLATE.FAT&amp;display_string=Audit&amp;VAR:KEY=FUFOJODATK&amp;VAR:QUERY=RkZfRElWX1lMRChBTk4sMTEvMTgvMTAsMTEvMTgvMTAp&amp;WINDOW=FIRST_POPUP&amp;HEIGHT=450&amp;WIDTH=450&amp;","START_MAXIMIZED=FALSE&amp;VAR:CALENDAR=US&amp;VAR:SYMBOL=LO&amp;VAR:INDEX=0"}</definedName>
    <definedName name="_1064__FDSAUDITLINK__" hidden="1">{"fdsup://directions/FAT Viewer?action=UPDATE&amp;creator=factset&amp;DYN_ARGS=TRUE&amp;DOC_NAME=FAT:FQL_AUDITING_CLIENT_TEMPLATE.FAT&amp;display_string=Audit&amp;VAR:KEY=FUFOJODATK&amp;VAR:QUERY=RkZfRElWX1lMRChBTk4sMTEvMTgvMTAsMTEvMTgvMTAp&amp;WINDOW=FIRST_POPUP&amp;HEIGHT=450&amp;WIDTH=450&amp;","START_MAXIMIZED=FALSE&amp;VAR:CALENDAR=US&amp;VAR:SYMBOL=LO&amp;VAR:INDEX=0"}</definedName>
    <definedName name="_1065">#REF!</definedName>
    <definedName name="_1065__FDSAUDITLINK__" localSheetId="0" hidden="1">{"fdsup://directions/FAT Viewer?action=UPDATE&amp;creator=factset&amp;DYN_ARGS=TRUE&amp;DOC_NAME=FAT:FQL_AUDITING_CLIENT_TEMPLATE.FAT&amp;display_string=Audit&amp;VAR:KEY=LETGPCVOBM&amp;VAR:QUERY=RkZfRElWX1lMRChBTk4sMTEvMTEvMTAsMTEvMTEvMTAp&amp;WINDOW=FIRST_POPUP&amp;HEIGHT=450&amp;WIDTH=450&amp;","START_MAXIMIZED=FALSE&amp;VAR:CALENDAR=US&amp;VAR:SYMBOL=LO&amp;VAR:INDEX=0"}</definedName>
    <definedName name="_1065__FDSAUDITLINK__" hidden="1">{"fdsup://directions/FAT Viewer?action=UPDATE&amp;creator=factset&amp;DYN_ARGS=TRUE&amp;DOC_NAME=FAT:FQL_AUDITING_CLIENT_TEMPLATE.FAT&amp;display_string=Audit&amp;VAR:KEY=LETGPCVOBM&amp;VAR:QUERY=RkZfRElWX1lMRChBTk4sMTEvMTEvMTAsMTEvMTEvMTAp&amp;WINDOW=FIRST_POPUP&amp;HEIGHT=450&amp;WIDTH=450&amp;","START_MAXIMIZED=FALSE&amp;VAR:CALENDAR=US&amp;VAR:SYMBOL=LO&amp;VAR:INDEX=0"}</definedName>
    <definedName name="_1066">#REF!</definedName>
    <definedName name="_1066__FDSAUDITLINK__" localSheetId="0" hidden="1">{"fdsup://directions/FAT Viewer?action=UPDATE&amp;creator=factset&amp;DYN_ARGS=TRUE&amp;DOC_NAME=FAT:FQL_AUDITING_CLIENT_TEMPLATE.FAT&amp;display_string=Audit&amp;VAR:KEY=XEJMDCHATG&amp;VAR:QUERY=RkZfRElWX1lMRChBTk4sMTEvMDQvMTAsMTEvMDQvMTAp&amp;WINDOW=FIRST_POPUP&amp;HEIGHT=450&amp;WIDTH=450&amp;","START_MAXIMIZED=FALSE&amp;VAR:CALENDAR=US&amp;VAR:SYMBOL=LO&amp;VAR:INDEX=0"}</definedName>
    <definedName name="_1066__FDSAUDITLINK__" hidden="1">{"fdsup://directions/FAT Viewer?action=UPDATE&amp;creator=factset&amp;DYN_ARGS=TRUE&amp;DOC_NAME=FAT:FQL_AUDITING_CLIENT_TEMPLATE.FAT&amp;display_string=Audit&amp;VAR:KEY=XEJMDCHATG&amp;VAR:QUERY=RkZfRElWX1lMRChBTk4sMTEvMDQvMTAsMTEvMDQvMTAp&amp;WINDOW=FIRST_POPUP&amp;HEIGHT=450&amp;WIDTH=450&amp;","START_MAXIMIZED=FALSE&amp;VAR:CALENDAR=US&amp;VAR:SYMBOL=LO&amp;VAR:INDEX=0"}</definedName>
    <definedName name="_1067">#REF!</definedName>
    <definedName name="_1067__FDSAUDITLINK__" localSheetId="0" hidden="1">{"fdsup://directions/FAT Viewer?action=UPDATE&amp;creator=factset&amp;DYN_ARGS=TRUE&amp;DOC_NAME=FAT:FQL_AUDITING_CLIENT_TEMPLATE.FAT&amp;display_string=Audit&amp;VAR:KEY=BWPMPULSPG&amp;VAR:QUERY=RkZfRElWX1lMRChBTk4sMTAvMjgvMTAsMTAvMjgvMTAp&amp;WINDOW=FIRST_POPUP&amp;HEIGHT=450&amp;WIDTH=450&amp;","START_MAXIMIZED=FALSE&amp;VAR:CALENDAR=US&amp;VAR:SYMBOL=LO&amp;VAR:INDEX=0"}</definedName>
    <definedName name="_1067__FDSAUDITLINK__" hidden="1">{"fdsup://directions/FAT Viewer?action=UPDATE&amp;creator=factset&amp;DYN_ARGS=TRUE&amp;DOC_NAME=FAT:FQL_AUDITING_CLIENT_TEMPLATE.FAT&amp;display_string=Audit&amp;VAR:KEY=BWPMPULSPG&amp;VAR:QUERY=RkZfRElWX1lMRChBTk4sMTAvMjgvMTAsMTAvMjgvMTAp&amp;WINDOW=FIRST_POPUP&amp;HEIGHT=450&amp;WIDTH=450&amp;","START_MAXIMIZED=FALSE&amp;VAR:CALENDAR=US&amp;VAR:SYMBOL=LO&amp;VAR:INDEX=0"}</definedName>
    <definedName name="_1068">#REF!</definedName>
    <definedName name="_1068__FDSAUDITLINK__" localSheetId="0" hidden="1">{"fdsup://directions/FAT Viewer?action=UPDATE&amp;creator=factset&amp;DYN_ARGS=TRUE&amp;DOC_NAME=FAT:FQL_AUDITING_CLIENT_TEMPLATE.FAT&amp;display_string=Audit&amp;VAR:KEY=XALIPKNKVK&amp;VAR:QUERY=RkZfRElWX1lMRChBTk4sMTAvMjEvMTAsMTAvMjEvMTAp&amp;WINDOW=FIRST_POPUP&amp;HEIGHT=450&amp;WIDTH=450&amp;","START_MAXIMIZED=FALSE&amp;VAR:CALENDAR=US&amp;VAR:SYMBOL=LO&amp;VAR:INDEX=0"}</definedName>
    <definedName name="_1068__FDSAUDITLINK__" hidden="1">{"fdsup://directions/FAT Viewer?action=UPDATE&amp;creator=factset&amp;DYN_ARGS=TRUE&amp;DOC_NAME=FAT:FQL_AUDITING_CLIENT_TEMPLATE.FAT&amp;display_string=Audit&amp;VAR:KEY=XALIPKNKVK&amp;VAR:QUERY=RkZfRElWX1lMRChBTk4sMTAvMjEvMTAsMTAvMjEvMTAp&amp;WINDOW=FIRST_POPUP&amp;HEIGHT=450&amp;WIDTH=450&amp;","START_MAXIMIZED=FALSE&amp;VAR:CALENDAR=US&amp;VAR:SYMBOL=LO&amp;VAR:INDEX=0"}</definedName>
    <definedName name="_1069">#REF!</definedName>
    <definedName name="_1069__FDSAUDITLINK__" localSheetId="0" hidden="1">{"fdsup://directions/FAT Viewer?action=UPDATE&amp;creator=factset&amp;DYN_ARGS=TRUE&amp;DOC_NAME=FAT:FQL_AUDITING_CLIENT_TEMPLATE.FAT&amp;display_string=Audit&amp;VAR:KEY=XODGVEFGFO&amp;VAR:QUERY=RkZfRElWX1lMRChBTk4sMTAvMTQvMTAsMTAvMTQvMTAp&amp;WINDOW=FIRST_POPUP&amp;HEIGHT=450&amp;WIDTH=450&amp;","START_MAXIMIZED=FALSE&amp;VAR:CALENDAR=US&amp;VAR:SYMBOL=LO&amp;VAR:INDEX=0"}</definedName>
    <definedName name="_1069__FDSAUDITLINK__" hidden="1">{"fdsup://directions/FAT Viewer?action=UPDATE&amp;creator=factset&amp;DYN_ARGS=TRUE&amp;DOC_NAME=FAT:FQL_AUDITING_CLIENT_TEMPLATE.FAT&amp;display_string=Audit&amp;VAR:KEY=XODGVEFGFO&amp;VAR:QUERY=RkZfRElWX1lMRChBTk4sMTAvMTQvMTAsMTAvMTQvMTAp&amp;WINDOW=FIRST_POPUP&amp;HEIGHT=450&amp;WIDTH=450&amp;","START_MAXIMIZED=FALSE&amp;VAR:CALENDAR=US&amp;VAR:SYMBOL=LO&amp;VAR:INDEX=0"}</definedName>
    <definedName name="_106s11_" hidden="1">{#N/A,#N/A,FALSE,"UNIT";#N/A,#N/A,FALSE,"UNIT";#N/A,#N/A,FALSE,"계정"}</definedName>
    <definedName name="_107">#REF!</definedName>
    <definedName name="_107__FDSAUDITLINK__" localSheetId="0" hidden="1">{"fdsup://directions/FAT Viewer?action=UPDATE&amp;creator=factset&amp;DYN_ARGS=TRUE&amp;DOC_NAME=FAT:FQL_AUDITING_CLIENT_TEMPLATE.FAT&amp;display_string=Audit&amp;VAR:KEY=FGXOFEXKFK&amp;VAR:QUERY=RkZfRElWX1lMRChBTk4sMy8xOS8wOSwzLzE5LzA5KQ==&amp;WINDOW=FIRST_POPUP&amp;HEIGHT=450&amp;WIDTH=450&amp;","START_MAXIMIZED=FALSE&amp;VAR:CALENDAR=US&amp;VAR:SYMBOL=RAI&amp;VAR:INDEX=0"}</definedName>
    <definedName name="_107__FDSAUDITLINK__" hidden="1">{"fdsup://directions/FAT Viewer?action=UPDATE&amp;creator=factset&amp;DYN_ARGS=TRUE&amp;DOC_NAME=FAT:FQL_AUDITING_CLIENT_TEMPLATE.FAT&amp;display_string=Audit&amp;VAR:KEY=FGXOFEXKFK&amp;VAR:QUERY=RkZfRElWX1lMRChBTk4sMy8xOS8wOSwzLzE5LzA5KQ==&amp;WINDOW=FIRST_POPUP&amp;HEIGHT=450&amp;WIDTH=450&amp;","START_MAXIMIZED=FALSE&amp;VAR:CALENDAR=US&amp;VAR:SYMBOL=RAI&amp;VAR:INDEX=0"}</definedName>
    <definedName name="_1070">#REF!</definedName>
    <definedName name="_1070__FDSAUDITLINK__" localSheetId="0" hidden="1">{"fdsup://directions/FAT Viewer?action=UPDATE&amp;creator=factset&amp;DYN_ARGS=TRUE&amp;DOC_NAME=FAT:FQL_AUDITING_CLIENT_TEMPLATE.FAT&amp;display_string=Audit&amp;VAR:KEY=BOLGVSZGVE&amp;VAR:QUERY=RkZfRElWX1lMRChBTk4sMTAvMDcvMTAsMTAvMDcvMTAp&amp;WINDOW=FIRST_POPUP&amp;HEIGHT=450&amp;WIDTH=450&amp;","START_MAXIMIZED=FALSE&amp;VAR:CALENDAR=US&amp;VAR:SYMBOL=LO&amp;VAR:INDEX=0"}</definedName>
    <definedName name="_1070__FDSAUDITLINK__" hidden="1">{"fdsup://directions/FAT Viewer?action=UPDATE&amp;creator=factset&amp;DYN_ARGS=TRUE&amp;DOC_NAME=FAT:FQL_AUDITING_CLIENT_TEMPLATE.FAT&amp;display_string=Audit&amp;VAR:KEY=BOLGVSZGVE&amp;VAR:QUERY=RkZfRElWX1lMRChBTk4sMTAvMDcvMTAsMTAvMDcvMTAp&amp;WINDOW=FIRST_POPUP&amp;HEIGHT=450&amp;WIDTH=450&amp;","START_MAXIMIZED=FALSE&amp;VAR:CALENDAR=US&amp;VAR:SYMBOL=LO&amp;VAR:INDEX=0"}</definedName>
    <definedName name="_1071__FDSAUDITLINK__" localSheetId="0" hidden="1">{"fdsup://directions/FAT Viewer?action=UPDATE&amp;creator=factset&amp;DYN_ARGS=TRUE&amp;DOC_NAME=FAT:FQL_AUDITING_CLIENT_TEMPLATE.FAT&amp;display_string=Audit&amp;VAR:KEY=HORMVQRMNQ&amp;VAR:QUERY=RkZfRElWX1lMRChBTk4sOS8zMC8xMCw5LzMwLzEwKQ==&amp;WINDOW=FIRST_POPUP&amp;HEIGHT=450&amp;WIDTH=450&amp;","START_MAXIMIZED=FALSE&amp;VAR:CALENDAR=US&amp;VAR:SYMBOL=LO&amp;VAR:INDEX=0"}</definedName>
    <definedName name="_1071__FDSAUDITLINK__" hidden="1">{"fdsup://directions/FAT Viewer?action=UPDATE&amp;creator=factset&amp;DYN_ARGS=TRUE&amp;DOC_NAME=FAT:FQL_AUDITING_CLIENT_TEMPLATE.FAT&amp;display_string=Audit&amp;VAR:KEY=HORMVQRMNQ&amp;VAR:QUERY=RkZfRElWX1lMRChBTk4sOS8zMC8xMCw5LzMwLzEwKQ==&amp;WINDOW=FIRST_POPUP&amp;HEIGHT=450&amp;WIDTH=450&amp;","START_MAXIMIZED=FALSE&amp;VAR:CALENDAR=US&amp;VAR:SYMBOL=LO&amp;VAR:INDEX=0"}</definedName>
    <definedName name="_1072__FDSAUDITLINK__" localSheetId="0" hidden="1">{"fdsup://directions/FAT Viewer?action=UPDATE&amp;creator=factset&amp;DYN_ARGS=TRUE&amp;DOC_NAME=FAT:FQL_AUDITING_CLIENT_TEMPLATE.FAT&amp;display_string=Audit&amp;VAR:KEY=NWZKRYDYRA&amp;VAR:QUERY=RkZfRElWX1lMRChBTk4sOS8yMy8xMCw5LzIzLzEwKQ==&amp;WINDOW=FIRST_POPUP&amp;HEIGHT=450&amp;WIDTH=450&amp;","START_MAXIMIZED=FALSE&amp;VAR:CALENDAR=US&amp;VAR:SYMBOL=LO&amp;VAR:INDEX=0"}</definedName>
    <definedName name="_1072__FDSAUDITLINK__" hidden="1">{"fdsup://directions/FAT Viewer?action=UPDATE&amp;creator=factset&amp;DYN_ARGS=TRUE&amp;DOC_NAME=FAT:FQL_AUDITING_CLIENT_TEMPLATE.FAT&amp;display_string=Audit&amp;VAR:KEY=NWZKRYDYRA&amp;VAR:QUERY=RkZfRElWX1lMRChBTk4sOS8yMy8xMCw5LzIzLzEwKQ==&amp;WINDOW=FIRST_POPUP&amp;HEIGHT=450&amp;WIDTH=450&amp;","START_MAXIMIZED=FALSE&amp;VAR:CALENDAR=US&amp;VAR:SYMBOL=LO&amp;VAR:INDEX=0"}</definedName>
    <definedName name="_1073__FDSAUDITLINK__" localSheetId="0" hidden="1">{"fdsup://directions/FAT Viewer?action=UPDATE&amp;creator=factset&amp;DYN_ARGS=TRUE&amp;DOC_NAME=FAT:FQL_AUDITING_CLIENT_TEMPLATE.FAT&amp;display_string=Audit&amp;VAR:KEY=ZAHWZUPYHI&amp;VAR:QUERY=RkZfRElWX1lMRChBTk4sOS8xNi8xMCw5LzE2LzEwKQ==&amp;WINDOW=FIRST_POPUP&amp;HEIGHT=450&amp;WIDTH=450&amp;","START_MAXIMIZED=FALSE&amp;VAR:CALENDAR=US&amp;VAR:SYMBOL=LO&amp;VAR:INDEX=0"}</definedName>
    <definedName name="_1073__FDSAUDITLINK__" hidden="1">{"fdsup://directions/FAT Viewer?action=UPDATE&amp;creator=factset&amp;DYN_ARGS=TRUE&amp;DOC_NAME=FAT:FQL_AUDITING_CLIENT_TEMPLATE.FAT&amp;display_string=Audit&amp;VAR:KEY=ZAHWZUPYHI&amp;VAR:QUERY=RkZfRElWX1lMRChBTk4sOS8xNi8xMCw5LzE2LzEwKQ==&amp;WINDOW=FIRST_POPUP&amp;HEIGHT=450&amp;WIDTH=450&amp;","START_MAXIMIZED=FALSE&amp;VAR:CALENDAR=US&amp;VAR:SYMBOL=LO&amp;VAR:INDEX=0"}</definedName>
    <definedName name="_1074__FDSAUDITLINK__" localSheetId="0" hidden="1">{"fdsup://directions/FAT Viewer?action=UPDATE&amp;creator=factset&amp;DYN_ARGS=TRUE&amp;DOC_NAME=FAT:FQL_AUDITING_CLIENT_TEMPLATE.FAT&amp;display_string=Audit&amp;VAR:KEY=JONQXQRELG&amp;VAR:QUERY=RkZfRElWX1lMRChBTk4sOS8wOS8xMCw5LzA5LzEwKQ==&amp;WINDOW=FIRST_POPUP&amp;HEIGHT=450&amp;WIDTH=450&amp;","START_MAXIMIZED=FALSE&amp;VAR:CALENDAR=US&amp;VAR:SYMBOL=LO&amp;VAR:INDEX=0"}</definedName>
    <definedName name="_1074__FDSAUDITLINK__" hidden="1">{"fdsup://directions/FAT Viewer?action=UPDATE&amp;creator=factset&amp;DYN_ARGS=TRUE&amp;DOC_NAME=FAT:FQL_AUDITING_CLIENT_TEMPLATE.FAT&amp;display_string=Audit&amp;VAR:KEY=JONQXQRELG&amp;VAR:QUERY=RkZfRElWX1lMRChBTk4sOS8wOS8xMCw5LzA5LzEwKQ==&amp;WINDOW=FIRST_POPUP&amp;HEIGHT=450&amp;WIDTH=450&amp;","START_MAXIMIZED=FALSE&amp;VAR:CALENDAR=US&amp;VAR:SYMBOL=LO&amp;VAR:INDEX=0"}</definedName>
    <definedName name="_1075">#REF!</definedName>
    <definedName name="_1075__FDSAUDITLINK__" localSheetId="0" hidden="1">{"fdsup://directions/FAT Viewer?action=UPDATE&amp;creator=factset&amp;DYN_ARGS=TRUE&amp;DOC_NAME=FAT:FQL_AUDITING_CLIENT_TEMPLATE.FAT&amp;display_string=Audit&amp;VAR:KEY=TSXCXGLEJS&amp;VAR:QUERY=RkZfRElWX1lMRChBTk4sOS8wMi8xMCw5LzAyLzEwKQ==&amp;WINDOW=FIRST_POPUP&amp;HEIGHT=450&amp;WIDTH=450&amp;","START_MAXIMIZED=FALSE&amp;VAR:CALENDAR=US&amp;VAR:SYMBOL=LO&amp;VAR:INDEX=0"}</definedName>
    <definedName name="_1075__FDSAUDITLINK__" hidden="1">{"fdsup://directions/FAT Viewer?action=UPDATE&amp;creator=factset&amp;DYN_ARGS=TRUE&amp;DOC_NAME=FAT:FQL_AUDITING_CLIENT_TEMPLATE.FAT&amp;display_string=Audit&amp;VAR:KEY=TSXCXGLEJS&amp;VAR:QUERY=RkZfRElWX1lMRChBTk4sOS8wMi8xMCw5LzAyLzEwKQ==&amp;WINDOW=FIRST_POPUP&amp;HEIGHT=450&amp;WIDTH=450&amp;","START_MAXIMIZED=FALSE&amp;VAR:CALENDAR=US&amp;VAR:SYMBOL=LO&amp;VAR:INDEX=0"}</definedName>
    <definedName name="_1076__FDSAUDITLINK__" localSheetId="0" hidden="1">{"fdsup://directions/FAT Viewer?action=UPDATE&amp;creator=factset&amp;DYN_ARGS=TRUE&amp;DOC_NAME=FAT:FQL_AUDITING_CLIENT_TEMPLATE.FAT&amp;display_string=Audit&amp;VAR:KEY=RWZCTUTMFM&amp;VAR:QUERY=RkZfRElWX1lMRChBTk4sOC8yNi8xMCw4LzI2LzEwKQ==&amp;WINDOW=FIRST_POPUP&amp;HEIGHT=450&amp;WIDTH=450&amp;","START_MAXIMIZED=FALSE&amp;VAR:CALENDAR=US&amp;VAR:SYMBOL=LO&amp;VAR:INDEX=0"}</definedName>
    <definedName name="_1076__FDSAUDITLINK__" hidden="1">{"fdsup://directions/FAT Viewer?action=UPDATE&amp;creator=factset&amp;DYN_ARGS=TRUE&amp;DOC_NAME=FAT:FQL_AUDITING_CLIENT_TEMPLATE.FAT&amp;display_string=Audit&amp;VAR:KEY=RWZCTUTMFM&amp;VAR:QUERY=RkZfRElWX1lMRChBTk4sOC8yNi8xMCw4LzI2LzEwKQ==&amp;WINDOW=FIRST_POPUP&amp;HEIGHT=450&amp;WIDTH=450&amp;","START_MAXIMIZED=FALSE&amp;VAR:CALENDAR=US&amp;VAR:SYMBOL=LO&amp;VAR:INDEX=0"}</definedName>
    <definedName name="_1077__FDSAUDITLINK__" localSheetId="0" hidden="1">{"fdsup://directions/FAT Viewer?action=UPDATE&amp;creator=factset&amp;DYN_ARGS=TRUE&amp;DOC_NAME=FAT:FQL_AUDITING_CLIENT_TEMPLATE.FAT&amp;display_string=Audit&amp;VAR:KEY=NQBWNQNWNI&amp;VAR:QUERY=RkZfRElWX1lMRChBTk4sOC8xOS8xMCw4LzE5LzEwKQ==&amp;WINDOW=FIRST_POPUP&amp;HEIGHT=450&amp;WIDTH=450&amp;","START_MAXIMIZED=FALSE&amp;VAR:CALENDAR=US&amp;VAR:SYMBOL=LO&amp;VAR:INDEX=0"}</definedName>
    <definedName name="_1077__FDSAUDITLINK__" hidden="1">{"fdsup://directions/FAT Viewer?action=UPDATE&amp;creator=factset&amp;DYN_ARGS=TRUE&amp;DOC_NAME=FAT:FQL_AUDITING_CLIENT_TEMPLATE.FAT&amp;display_string=Audit&amp;VAR:KEY=NQBWNQNWNI&amp;VAR:QUERY=RkZfRElWX1lMRChBTk4sOC8xOS8xMCw4LzE5LzEwKQ==&amp;WINDOW=FIRST_POPUP&amp;HEIGHT=450&amp;WIDTH=450&amp;","START_MAXIMIZED=FALSE&amp;VAR:CALENDAR=US&amp;VAR:SYMBOL=LO&amp;VAR:INDEX=0"}</definedName>
    <definedName name="_1078__FDSAUDITLINK__" localSheetId="0" hidden="1">{"fdsup://directions/FAT Viewer?action=UPDATE&amp;creator=factset&amp;DYN_ARGS=TRUE&amp;DOC_NAME=FAT:FQL_AUDITING_CLIENT_TEMPLATE.FAT&amp;display_string=Audit&amp;VAR:KEY=BELIBCTMJC&amp;VAR:QUERY=RkZfRElWX1lMRChBTk4sOC8xMi8xMCw4LzEyLzEwKQ==&amp;WINDOW=FIRST_POPUP&amp;HEIGHT=450&amp;WIDTH=450&amp;","START_MAXIMIZED=FALSE&amp;VAR:CALENDAR=US&amp;VAR:SYMBOL=LO&amp;VAR:INDEX=0"}</definedName>
    <definedName name="_1078__FDSAUDITLINK__" hidden="1">{"fdsup://directions/FAT Viewer?action=UPDATE&amp;creator=factset&amp;DYN_ARGS=TRUE&amp;DOC_NAME=FAT:FQL_AUDITING_CLIENT_TEMPLATE.FAT&amp;display_string=Audit&amp;VAR:KEY=BELIBCTMJC&amp;VAR:QUERY=RkZfRElWX1lMRChBTk4sOC8xMi8xMCw4LzEyLzEwKQ==&amp;WINDOW=FIRST_POPUP&amp;HEIGHT=450&amp;WIDTH=450&amp;","START_MAXIMIZED=FALSE&amp;VAR:CALENDAR=US&amp;VAR:SYMBOL=LO&amp;VAR:INDEX=0"}</definedName>
    <definedName name="_1079__FDSAUDITLINK__" localSheetId="0" hidden="1">{"fdsup://directions/FAT Viewer?action=UPDATE&amp;creator=factset&amp;DYN_ARGS=TRUE&amp;DOC_NAME=FAT:FQL_AUDITING_CLIENT_TEMPLATE.FAT&amp;display_string=Audit&amp;VAR:KEY=FOTQHGRIJO&amp;VAR:QUERY=RkZfRElWX1lMRChBTk4sOC8wNS8xMCw4LzA1LzEwKQ==&amp;WINDOW=FIRST_POPUP&amp;HEIGHT=450&amp;WIDTH=450&amp;","START_MAXIMIZED=FALSE&amp;VAR:CALENDAR=US&amp;VAR:SYMBOL=LO&amp;VAR:INDEX=0"}</definedName>
    <definedName name="_1079__FDSAUDITLINK__" hidden="1">{"fdsup://directions/FAT Viewer?action=UPDATE&amp;creator=factset&amp;DYN_ARGS=TRUE&amp;DOC_NAME=FAT:FQL_AUDITING_CLIENT_TEMPLATE.FAT&amp;display_string=Audit&amp;VAR:KEY=FOTQHGRIJO&amp;VAR:QUERY=RkZfRElWX1lMRChBTk4sOC8wNS8xMCw4LzA1LzEwKQ==&amp;WINDOW=FIRST_POPUP&amp;HEIGHT=450&amp;WIDTH=450&amp;","START_MAXIMIZED=FALSE&amp;VAR:CALENDAR=US&amp;VAR:SYMBOL=LO&amp;VAR:INDEX=0"}</definedName>
    <definedName name="_107s12_" hidden="1">{#N/A,#N/A,FALSE,"UNIT";#N/A,#N/A,FALSE,"UNIT";#N/A,#N/A,FALSE,"계정"}</definedName>
    <definedName name="_108">#REF!</definedName>
    <definedName name="_108__123Graph_DCONTRACT_BY_B_U">#REF!</definedName>
    <definedName name="_108__123Graph_FQRE_S_BY_CO.">#REF!</definedName>
    <definedName name="_108__FDSAUDITLINK__" localSheetId="0" hidden="1">{"fdsup://directions/FAT Viewer?action=UPDATE&amp;creator=factset&amp;DYN_ARGS=TRUE&amp;DOC_NAME=FAT:FQL_AUDITING_CLIENT_TEMPLATE.FAT&amp;display_string=Audit&amp;VAR:KEY=FAHIZMBIXG&amp;VAR:QUERY=RkZfRElWX1lMRChBTk4sMy8xMi8wOSwzLzEyLzA5KQ==&amp;WINDOW=FIRST_POPUP&amp;HEIGHT=450&amp;WIDTH=450&amp;","START_MAXIMIZED=FALSE&amp;VAR:CALENDAR=US&amp;VAR:SYMBOL=RAI&amp;VAR:INDEX=0"}</definedName>
    <definedName name="_108__FDSAUDITLINK__" hidden="1">{"fdsup://directions/FAT Viewer?action=UPDATE&amp;creator=factset&amp;DYN_ARGS=TRUE&amp;DOC_NAME=FAT:FQL_AUDITING_CLIENT_TEMPLATE.FAT&amp;display_string=Audit&amp;VAR:KEY=FAHIZMBIXG&amp;VAR:QUERY=RkZfRElWX1lMRChBTk4sMy8xMi8wOSwzLzEyLzA5KQ==&amp;WINDOW=FIRST_POPUP&amp;HEIGHT=450&amp;WIDTH=450&amp;","START_MAXIMIZED=FALSE&amp;VAR:CALENDAR=US&amp;VAR:SYMBOL=RAI&amp;VAR:INDEX=0"}</definedName>
    <definedName name="_1080__FDSAUDITLINK__" localSheetId="0" hidden="1">{"fdsup://directions/FAT Viewer?action=UPDATE&amp;creator=factset&amp;DYN_ARGS=TRUE&amp;DOC_NAME=FAT:FQL_AUDITING_CLIENT_TEMPLATE.FAT&amp;display_string=Audit&amp;VAR:KEY=LONAZIHQZY&amp;VAR:QUERY=RkZfRElWX1lMRChBTk4sNy8yOS8xMCw3LzI5LzEwKQ==&amp;WINDOW=FIRST_POPUP&amp;HEIGHT=450&amp;WIDTH=450&amp;","START_MAXIMIZED=FALSE&amp;VAR:CALENDAR=US&amp;VAR:SYMBOL=LO&amp;VAR:INDEX=0"}</definedName>
    <definedName name="_1080__FDSAUDITLINK__" hidden="1">{"fdsup://directions/FAT Viewer?action=UPDATE&amp;creator=factset&amp;DYN_ARGS=TRUE&amp;DOC_NAME=FAT:FQL_AUDITING_CLIENT_TEMPLATE.FAT&amp;display_string=Audit&amp;VAR:KEY=LONAZIHQZY&amp;VAR:QUERY=RkZfRElWX1lMRChBTk4sNy8yOS8xMCw3LzI5LzEwKQ==&amp;WINDOW=FIRST_POPUP&amp;HEIGHT=450&amp;WIDTH=450&amp;","START_MAXIMIZED=FALSE&amp;VAR:CALENDAR=US&amp;VAR:SYMBOL=LO&amp;VAR:INDEX=0"}</definedName>
    <definedName name="_1081__FDSAUDITLINK__" localSheetId="0" hidden="1">{"fdsup://directions/FAT Viewer?action=UPDATE&amp;creator=factset&amp;DYN_ARGS=TRUE&amp;DOC_NAME=FAT:FQL_AUDITING_CLIENT_TEMPLATE.FAT&amp;display_string=Audit&amp;VAR:KEY=DODOTCDIHY&amp;VAR:QUERY=RkZfRElWX1lMRChBTk4sNy8yMi8xMCw3LzIyLzEwKQ==&amp;WINDOW=FIRST_POPUP&amp;HEIGHT=450&amp;WIDTH=450&amp;","START_MAXIMIZED=FALSE&amp;VAR:CALENDAR=US&amp;VAR:SYMBOL=LO&amp;VAR:INDEX=0"}</definedName>
    <definedName name="_1081__FDSAUDITLINK__" hidden="1">{"fdsup://directions/FAT Viewer?action=UPDATE&amp;creator=factset&amp;DYN_ARGS=TRUE&amp;DOC_NAME=FAT:FQL_AUDITING_CLIENT_TEMPLATE.FAT&amp;display_string=Audit&amp;VAR:KEY=DODOTCDIHY&amp;VAR:QUERY=RkZfRElWX1lMRChBTk4sNy8yMi8xMCw3LzIyLzEwKQ==&amp;WINDOW=FIRST_POPUP&amp;HEIGHT=450&amp;WIDTH=450&amp;","START_MAXIMIZED=FALSE&amp;VAR:CALENDAR=US&amp;VAR:SYMBOL=LO&amp;VAR:INDEX=0"}</definedName>
    <definedName name="_1082__FDSAUDITLINK__" localSheetId="0" hidden="1">{"fdsup://directions/FAT Viewer?action=UPDATE&amp;creator=factset&amp;DYN_ARGS=TRUE&amp;DOC_NAME=FAT:FQL_AUDITING_CLIENT_TEMPLATE.FAT&amp;display_string=Audit&amp;VAR:KEY=BMLCXEVIHW&amp;VAR:QUERY=RkZfRElWX1lMRChBTk4sNy8xNS8xMCw3LzE1LzEwKQ==&amp;WINDOW=FIRST_POPUP&amp;HEIGHT=450&amp;WIDTH=450&amp;","START_MAXIMIZED=FALSE&amp;VAR:CALENDAR=US&amp;VAR:SYMBOL=LO&amp;VAR:INDEX=0"}</definedName>
    <definedName name="_1082__FDSAUDITLINK__" hidden="1">{"fdsup://directions/FAT Viewer?action=UPDATE&amp;creator=factset&amp;DYN_ARGS=TRUE&amp;DOC_NAME=FAT:FQL_AUDITING_CLIENT_TEMPLATE.FAT&amp;display_string=Audit&amp;VAR:KEY=BMLCXEVIHW&amp;VAR:QUERY=RkZfRElWX1lMRChBTk4sNy8xNS8xMCw3LzE1LzEwKQ==&amp;WINDOW=FIRST_POPUP&amp;HEIGHT=450&amp;WIDTH=450&amp;","START_MAXIMIZED=FALSE&amp;VAR:CALENDAR=US&amp;VAR:SYMBOL=LO&amp;VAR:INDEX=0"}</definedName>
    <definedName name="_1083">#REF!</definedName>
    <definedName name="_1083__FDSAUDITLINK__" localSheetId="0" hidden="1">{"fdsup://directions/FAT Viewer?action=UPDATE&amp;creator=factset&amp;DYN_ARGS=TRUE&amp;DOC_NAME=FAT:FQL_AUDITING_CLIENT_TEMPLATE.FAT&amp;display_string=Audit&amp;VAR:KEY=XSBWLWXATQ&amp;VAR:QUERY=RkZfRElWX1lMRChBTk4sNy8wOC8xMCw3LzA4LzEwKQ==&amp;WINDOW=FIRST_POPUP&amp;HEIGHT=450&amp;WIDTH=450&amp;","START_MAXIMIZED=FALSE&amp;VAR:CALENDAR=US&amp;VAR:SYMBOL=LO&amp;VAR:INDEX=0"}</definedName>
    <definedName name="_1083__FDSAUDITLINK__" hidden="1">{"fdsup://directions/FAT Viewer?action=UPDATE&amp;creator=factset&amp;DYN_ARGS=TRUE&amp;DOC_NAME=FAT:FQL_AUDITING_CLIENT_TEMPLATE.FAT&amp;display_string=Audit&amp;VAR:KEY=XSBWLWXATQ&amp;VAR:QUERY=RkZfRElWX1lMRChBTk4sNy8wOC8xMCw3LzA4LzEwKQ==&amp;WINDOW=FIRST_POPUP&amp;HEIGHT=450&amp;WIDTH=450&amp;","START_MAXIMIZED=FALSE&amp;VAR:CALENDAR=US&amp;VAR:SYMBOL=LO&amp;VAR:INDEX=0"}</definedName>
    <definedName name="_1084__FDSAUDITLINK__" localSheetId="0" hidden="1">{"fdsup://directions/FAT Viewer?action=UPDATE&amp;creator=factset&amp;DYN_ARGS=TRUE&amp;DOC_NAME=FAT:FQL_AUDITING_CLIENT_TEMPLATE.FAT&amp;display_string=Audit&amp;VAR:KEY=FGVYJOZYVK&amp;VAR:QUERY=RkZfRElWX1lMRChBTk4sNy8wMS8xMCw3LzAxLzEwKQ==&amp;WINDOW=FIRST_POPUP&amp;HEIGHT=450&amp;WIDTH=450&amp;","START_MAXIMIZED=FALSE&amp;VAR:CALENDAR=US&amp;VAR:SYMBOL=LO&amp;VAR:INDEX=0"}</definedName>
    <definedName name="_1084__FDSAUDITLINK__" hidden="1">{"fdsup://directions/FAT Viewer?action=UPDATE&amp;creator=factset&amp;DYN_ARGS=TRUE&amp;DOC_NAME=FAT:FQL_AUDITING_CLIENT_TEMPLATE.FAT&amp;display_string=Audit&amp;VAR:KEY=FGVYJOZYVK&amp;VAR:QUERY=RkZfRElWX1lMRChBTk4sNy8wMS8xMCw3LzAxLzEwKQ==&amp;WINDOW=FIRST_POPUP&amp;HEIGHT=450&amp;WIDTH=450&amp;","START_MAXIMIZED=FALSE&amp;VAR:CALENDAR=US&amp;VAR:SYMBOL=LO&amp;VAR:INDEX=0"}</definedName>
    <definedName name="_1085__FDSAUDITLINK__" localSheetId="0" hidden="1">{"fdsup://directions/FAT Viewer?action=UPDATE&amp;creator=factset&amp;DYN_ARGS=TRUE&amp;DOC_NAME=FAT:FQL_AUDITING_CLIENT_TEMPLATE.FAT&amp;display_string=Audit&amp;VAR:KEY=FMVUNEZIVU&amp;VAR:QUERY=RkZfRElWX1lMRChBTk4sNi8yNC8xMCw2LzI0LzEwKQ==&amp;WINDOW=FIRST_POPUP&amp;HEIGHT=450&amp;WIDTH=450&amp;","START_MAXIMIZED=FALSE&amp;VAR:CALENDAR=US&amp;VAR:SYMBOL=LO&amp;VAR:INDEX=0"}</definedName>
    <definedName name="_1085__FDSAUDITLINK__" hidden="1">{"fdsup://directions/FAT Viewer?action=UPDATE&amp;creator=factset&amp;DYN_ARGS=TRUE&amp;DOC_NAME=FAT:FQL_AUDITING_CLIENT_TEMPLATE.FAT&amp;display_string=Audit&amp;VAR:KEY=FMVUNEZIVU&amp;VAR:QUERY=RkZfRElWX1lMRChBTk4sNi8yNC8xMCw2LzI0LzEwKQ==&amp;WINDOW=FIRST_POPUP&amp;HEIGHT=450&amp;WIDTH=450&amp;","START_MAXIMIZED=FALSE&amp;VAR:CALENDAR=US&amp;VAR:SYMBOL=LO&amp;VAR:INDEX=0"}</definedName>
    <definedName name="_1086__FDSAUDITLINK__" localSheetId="0" hidden="1">{"fdsup://directions/FAT Viewer?action=UPDATE&amp;creator=factset&amp;DYN_ARGS=TRUE&amp;DOC_NAME=FAT:FQL_AUDITING_CLIENT_TEMPLATE.FAT&amp;display_string=Audit&amp;VAR:KEY=TCXWHCVUFU&amp;VAR:QUERY=RkZfRElWX1lMRChBTk4sNi8xNy8xMCw2LzE3LzEwKQ==&amp;WINDOW=FIRST_POPUP&amp;HEIGHT=450&amp;WIDTH=450&amp;","START_MAXIMIZED=FALSE&amp;VAR:CALENDAR=US&amp;VAR:SYMBOL=LO&amp;VAR:INDEX=0"}</definedName>
    <definedName name="_1086__FDSAUDITLINK__" hidden="1">{"fdsup://directions/FAT Viewer?action=UPDATE&amp;creator=factset&amp;DYN_ARGS=TRUE&amp;DOC_NAME=FAT:FQL_AUDITING_CLIENT_TEMPLATE.FAT&amp;display_string=Audit&amp;VAR:KEY=TCXWHCVUFU&amp;VAR:QUERY=RkZfRElWX1lMRChBTk4sNi8xNy8xMCw2LzE3LzEwKQ==&amp;WINDOW=FIRST_POPUP&amp;HEIGHT=450&amp;WIDTH=450&amp;","START_MAXIMIZED=FALSE&amp;VAR:CALENDAR=US&amp;VAR:SYMBOL=LO&amp;VAR:INDEX=0"}</definedName>
    <definedName name="_1087">#REF!</definedName>
    <definedName name="_1087__FDSAUDITLINK__" localSheetId="0" hidden="1">{"fdsup://directions/FAT Viewer?action=UPDATE&amp;creator=factset&amp;DYN_ARGS=TRUE&amp;DOC_NAME=FAT:FQL_AUDITING_CLIENT_TEMPLATE.FAT&amp;display_string=Audit&amp;VAR:KEY=VGPCVYFCHI&amp;VAR:QUERY=RkZfRElWX1lMRChBTk4sNi8xMC8xMCw2LzEwLzEwKQ==&amp;WINDOW=FIRST_POPUP&amp;HEIGHT=450&amp;WIDTH=450&amp;","START_MAXIMIZED=FALSE&amp;VAR:CALENDAR=US&amp;VAR:SYMBOL=LO&amp;VAR:INDEX=0"}</definedName>
    <definedName name="_1087__FDSAUDITLINK__" hidden="1">{"fdsup://directions/FAT Viewer?action=UPDATE&amp;creator=factset&amp;DYN_ARGS=TRUE&amp;DOC_NAME=FAT:FQL_AUDITING_CLIENT_TEMPLATE.FAT&amp;display_string=Audit&amp;VAR:KEY=VGPCVYFCHI&amp;VAR:QUERY=RkZfRElWX1lMRChBTk4sNi8xMC8xMCw2LzEwLzEwKQ==&amp;WINDOW=FIRST_POPUP&amp;HEIGHT=450&amp;WIDTH=450&amp;","START_MAXIMIZED=FALSE&amp;VAR:CALENDAR=US&amp;VAR:SYMBOL=LO&amp;VAR:INDEX=0"}</definedName>
    <definedName name="_1088">#REF!</definedName>
    <definedName name="_1088__FDSAUDITLINK__" localSheetId="0" hidden="1">{"fdsup://directions/FAT Viewer?action=UPDATE&amp;creator=factset&amp;DYN_ARGS=TRUE&amp;DOC_NAME=FAT:FQL_AUDITING_CLIENT_TEMPLATE.FAT&amp;display_string=Audit&amp;VAR:KEY=PIHENSZWFA&amp;VAR:QUERY=RkZfRElWX1lMRChBTk4sNi8wMy8xMCw2LzAzLzEwKQ==&amp;WINDOW=FIRST_POPUP&amp;HEIGHT=450&amp;WIDTH=450&amp;","START_MAXIMIZED=FALSE&amp;VAR:CALENDAR=US&amp;VAR:SYMBOL=LO&amp;VAR:INDEX=0"}</definedName>
    <definedName name="_1088__FDSAUDITLINK__" hidden="1">{"fdsup://directions/FAT Viewer?action=UPDATE&amp;creator=factset&amp;DYN_ARGS=TRUE&amp;DOC_NAME=FAT:FQL_AUDITING_CLIENT_TEMPLATE.FAT&amp;display_string=Audit&amp;VAR:KEY=PIHENSZWFA&amp;VAR:QUERY=RkZfRElWX1lMRChBTk4sNi8wMy8xMCw2LzAzLzEwKQ==&amp;WINDOW=FIRST_POPUP&amp;HEIGHT=450&amp;WIDTH=450&amp;","START_MAXIMIZED=FALSE&amp;VAR:CALENDAR=US&amp;VAR:SYMBOL=LO&amp;VAR:INDEX=0"}</definedName>
    <definedName name="_1089__FDSAUDITLINK__" localSheetId="0" hidden="1">{"fdsup://directions/FAT Viewer?action=UPDATE&amp;creator=factset&amp;DYN_ARGS=TRUE&amp;DOC_NAME=FAT:FQL_AUDITING_CLIENT_TEMPLATE.FAT&amp;display_string=Audit&amp;VAR:KEY=ZUBAHCLYTG&amp;VAR:QUERY=RkZfRElWX1lMRChBTk4sNS8yNy8xMCw1LzI3LzEwKQ==&amp;WINDOW=FIRST_POPUP&amp;HEIGHT=450&amp;WIDTH=450&amp;","START_MAXIMIZED=FALSE&amp;VAR:CALENDAR=US&amp;VAR:SYMBOL=LO&amp;VAR:INDEX=0"}</definedName>
    <definedName name="_1089__FDSAUDITLINK__" hidden="1">{"fdsup://directions/FAT Viewer?action=UPDATE&amp;creator=factset&amp;DYN_ARGS=TRUE&amp;DOC_NAME=FAT:FQL_AUDITING_CLIENT_TEMPLATE.FAT&amp;display_string=Audit&amp;VAR:KEY=ZUBAHCLYTG&amp;VAR:QUERY=RkZfRElWX1lMRChBTk4sNS8yNy8xMCw1LzI3LzEwKQ==&amp;WINDOW=FIRST_POPUP&amp;HEIGHT=450&amp;WIDTH=450&amp;","START_MAXIMIZED=FALSE&amp;VAR:CALENDAR=US&amp;VAR:SYMBOL=LO&amp;VAR:INDEX=0"}</definedName>
    <definedName name="_108s13_" hidden="1">{#N/A,#N/A,FALSE,"UNIT";#N/A,#N/A,FALSE,"UNIT";#N/A,#N/A,FALSE,"계정"}</definedName>
    <definedName name="_109">#REF!</definedName>
    <definedName name="_109__123Graph_DCONTRACT_BY_B_U">#REF!</definedName>
    <definedName name="_109__FDSAUDITLINK__" localSheetId="0" hidden="1">{"fdsup://directions/FAT Viewer?action=UPDATE&amp;creator=factset&amp;DYN_ARGS=TRUE&amp;DOC_NAME=FAT:FQL_AUDITING_CLIENT_TEMPLATE.FAT&amp;display_string=Audit&amp;VAR:KEY=JKVIFQFEFK&amp;VAR:QUERY=RkZfRElWX1lMRChBTk4sMy8wNS8wOSwzLzA1LzA5KQ==&amp;WINDOW=FIRST_POPUP&amp;HEIGHT=450&amp;WIDTH=450&amp;","START_MAXIMIZED=FALSE&amp;VAR:CALENDAR=US&amp;VAR:SYMBOL=RAI&amp;VAR:INDEX=0"}</definedName>
    <definedName name="_109__FDSAUDITLINK__" hidden="1">{"fdsup://directions/FAT Viewer?action=UPDATE&amp;creator=factset&amp;DYN_ARGS=TRUE&amp;DOC_NAME=FAT:FQL_AUDITING_CLIENT_TEMPLATE.FAT&amp;display_string=Audit&amp;VAR:KEY=JKVIFQFEFK&amp;VAR:QUERY=RkZfRElWX1lMRChBTk4sMy8wNS8wOSwzLzA1LzA5KQ==&amp;WINDOW=FIRST_POPUP&amp;HEIGHT=450&amp;WIDTH=450&amp;","START_MAXIMIZED=FALSE&amp;VAR:CALENDAR=US&amp;VAR:SYMBOL=RAI&amp;VAR:INDEX=0"}</definedName>
    <definedName name="_1090__FDSAUDITLINK__" localSheetId="0" hidden="1">{"fdsup://directions/FAT Viewer?action=UPDATE&amp;creator=factset&amp;DYN_ARGS=TRUE&amp;DOC_NAME=FAT:FQL_AUDITING_CLIENT_TEMPLATE.FAT&amp;display_string=Audit&amp;VAR:KEY=BUDWDSDGTM&amp;VAR:QUERY=RkZfRElWX1lMRChBTk4sNS8yMC8xMCw1LzIwLzEwKQ==&amp;WINDOW=FIRST_POPUP&amp;HEIGHT=450&amp;WIDTH=450&amp;","START_MAXIMIZED=FALSE&amp;VAR:CALENDAR=US&amp;VAR:SYMBOL=LO&amp;VAR:INDEX=0"}</definedName>
    <definedName name="_1090__FDSAUDITLINK__" hidden="1">{"fdsup://directions/FAT Viewer?action=UPDATE&amp;creator=factset&amp;DYN_ARGS=TRUE&amp;DOC_NAME=FAT:FQL_AUDITING_CLIENT_TEMPLATE.FAT&amp;display_string=Audit&amp;VAR:KEY=BUDWDSDGTM&amp;VAR:QUERY=RkZfRElWX1lMRChBTk4sNS8yMC8xMCw1LzIwLzEwKQ==&amp;WINDOW=FIRST_POPUP&amp;HEIGHT=450&amp;WIDTH=450&amp;","START_MAXIMIZED=FALSE&amp;VAR:CALENDAR=US&amp;VAR:SYMBOL=LO&amp;VAR:INDEX=0"}</definedName>
    <definedName name="_1091__FDSAUDITLINK__" localSheetId="0" hidden="1">{"fdsup://directions/FAT Viewer?action=UPDATE&amp;creator=factset&amp;DYN_ARGS=TRUE&amp;DOC_NAME=FAT:FQL_AUDITING_CLIENT_TEMPLATE.FAT&amp;display_string=Audit&amp;VAR:KEY=HCPYZMROZE&amp;VAR:QUERY=RkZfRElWX1lMRChBTk4sNS8xMy8xMCw1LzEzLzEwKQ==&amp;WINDOW=FIRST_POPUP&amp;HEIGHT=450&amp;WIDTH=450&amp;","START_MAXIMIZED=FALSE&amp;VAR:CALENDAR=US&amp;VAR:SYMBOL=LO&amp;VAR:INDEX=0"}</definedName>
    <definedName name="_1091__FDSAUDITLINK__" hidden="1">{"fdsup://directions/FAT Viewer?action=UPDATE&amp;creator=factset&amp;DYN_ARGS=TRUE&amp;DOC_NAME=FAT:FQL_AUDITING_CLIENT_TEMPLATE.FAT&amp;display_string=Audit&amp;VAR:KEY=HCPYZMROZE&amp;VAR:QUERY=RkZfRElWX1lMRChBTk4sNS8xMy8xMCw1LzEzLzEwKQ==&amp;WINDOW=FIRST_POPUP&amp;HEIGHT=450&amp;WIDTH=450&amp;","START_MAXIMIZED=FALSE&amp;VAR:CALENDAR=US&amp;VAR:SYMBOL=LO&amp;VAR:INDEX=0"}</definedName>
    <definedName name="_1092">#REF!</definedName>
    <definedName name="_1092__FDSAUDITLINK__" localSheetId="0" hidden="1">{"fdsup://directions/FAT Viewer?action=UPDATE&amp;creator=factset&amp;DYN_ARGS=TRUE&amp;DOC_NAME=FAT:FQL_AUDITING_CLIENT_TEMPLATE.FAT&amp;display_string=Audit&amp;VAR:KEY=XCPOVELWDG&amp;VAR:QUERY=RkZfRElWX1lMRChBTk4sNS8wNi8xMCw1LzA2LzEwKQ==&amp;WINDOW=FIRST_POPUP&amp;HEIGHT=450&amp;WIDTH=450&amp;","START_MAXIMIZED=FALSE&amp;VAR:CALENDAR=US&amp;VAR:SYMBOL=LO&amp;VAR:INDEX=0"}</definedName>
    <definedName name="_1092__FDSAUDITLINK__" hidden="1">{"fdsup://directions/FAT Viewer?action=UPDATE&amp;creator=factset&amp;DYN_ARGS=TRUE&amp;DOC_NAME=FAT:FQL_AUDITING_CLIENT_TEMPLATE.FAT&amp;display_string=Audit&amp;VAR:KEY=XCPOVELWDG&amp;VAR:QUERY=RkZfRElWX1lMRChBTk4sNS8wNi8xMCw1LzA2LzEwKQ==&amp;WINDOW=FIRST_POPUP&amp;HEIGHT=450&amp;WIDTH=450&amp;","START_MAXIMIZED=FALSE&amp;VAR:CALENDAR=US&amp;VAR:SYMBOL=LO&amp;VAR:INDEX=0"}</definedName>
    <definedName name="_1093">#REF!</definedName>
    <definedName name="_1093__FDSAUDITLINK__" localSheetId="0" hidden="1">{"fdsup://directions/FAT Viewer?action=UPDATE&amp;creator=factset&amp;DYN_ARGS=TRUE&amp;DOC_NAME=FAT:FQL_AUDITING_CLIENT_TEMPLATE.FAT&amp;display_string=Audit&amp;VAR:KEY=TKFGPKFYRY&amp;VAR:QUERY=RkZfRElWX1lMRChBTk4sNC8yOS8xMCw0LzI5LzEwKQ==&amp;WINDOW=FIRST_POPUP&amp;HEIGHT=450&amp;WIDTH=450&amp;","START_MAXIMIZED=FALSE&amp;VAR:CALENDAR=US&amp;VAR:SYMBOL=LO&amp;VAR:INDEX=0"}</definedName>
    <definedName name="_1093__FDSAUDITLINK__" hidden="1">{"fdsup://directions/FAT Viewer?action=UPDATE&amp;creator=factset&amp;DYN_ARGS=TRUE&amp;DOC_NAME=FAT:FQL_AUDITING_CLIENT_TEMPLATE.FAT&amp;display_string=Audit&amp;VAR:KEY=TKFGPKFYRY&amp;VAR:QUERY=RkZfRElWX1lMRChBTk4sNC8yOS8xMCw0LzI5LzEwKQ==&amp;WINDOW=FIRST_POPUP&amp;HEIGHT=450&amp;WIDTH=450&amp;","START_MAXIMIZED=FALSE&amp;VAR:CALENDAR=US&amp;VAR:SYMBOL=LO&amp;VAR:INDEX=0"}</definedName>
    <definedName name="_1094">#REF!</definedName>
    <definedName name="_1094__FDSAUDITLINK__" localSheetId="0" hidden="1">{"fdsup://directions/FAT Viewer?action=UPDATE&amp;creator=factset&amp;DYN_ARGS=TRUE&amp;DOC_NAME=FAT:FQL_AUDITING_CLIENT_TEMPLATE.FAT&amp;display_string=Audit&amp;VAR:KEY=VWVKRYHCFE&amp;VAR:QUERY=RkZfRElWX1lMRChBTk4sNC8yMi8xMCw0LzIyLzEwKQ==&amp;WINDOW=FIRST_POPUP&amp;HEIGHT=450&amp;WIDTH=450&amp;","START_MAXIMIZED=FALSE&amp;VAR:CALENDAR=US&amp;VAR:SYMBOL=LO&amp;VAR:INDEX=0"}</definedName>
    <definedName name="_1094__FDSAUDITLINK__" hidden="1">{"fdsup://directions/FAT Viewer?action=UPDATE&amp;creator=factset&amp;DYN_ARGS=TRUE&amp;DOC_NAME=FAT:FQL_AUDITING_CLIENT_TEMPLATE.FAT&amp;display_string=Audit&amp;VAR:KEY=VWVKRYHCFE&amp;VAR:QUERY=RkZfRElWX1lMRChBTk4sNC8yMi8xMCw0LzIyLzEwKQ==&amp;WINDOW=FIRST_POPUP&amp;HEIGHT=450&amp;WIDTH=450&amp;","START_MAXIMIZED=FALSE&amp;VAR:CALENDAR=US&amp;VAR:SYMBOL=LO&amp;VAR:INDEX=0"}</definedName>
    <definedName name="_1095">#REF!</definedName>
    <definedName name="_1095__FDSAUDITLINK__" localSheetId="0" hidden="1">{"fdsup://directions/FAT Viewer?action=UPDATE&amp;creator=factset&amp;DYN_ARGS=TRUE&amp;DOC_NAME=FAT:FQL_AUDITING_CLIENT_TEMPLATE.FAT&amp;display_string=Audit&amp;VAR:KEY=ROLMJEFSTK&amp;VAR:QUERY=RkZfRElWX1lMRChBTk4sNC8xNS8xMCw0LzE1LzEwKQ==&amp;WINDOW=FIRST_POPUP&amp;HEIGHT=450&amp;WIDTH=450&amp;","START_MAXIMIZED=FALSE&amp;VAR:CALENDAR=US&amp;VAR:SYMBOL=LO&amp;VAR:INDEX=0"}</definedName>
    <definedName name="_1095__FDSAUDITLINK__" hidden="1">{"fdsup://directions/FAT Viewer?action=UPDATE&amp;creator=factset&amp;DYN_ARGS=TRUE&amp;DOC_NAME=FAT:FQL_AUDITING_CLIENT_TEMPLATE.FAT&amp;display_string=Audit&amp;VAR:KEY=ROLMJEFSTK&amp;VAR:QUERY=RkZfRElWX1lMRChBTk4sNC8xNS8xMCw0LzE1LzEwKQ==&amp;WINDOW=FIRST_POPUP&amp;HEIGHT=450&amp;WIDTH=450&amp;","START_MAXIMIZED=FALSE&amp;VAR:CALENDAR=US&amp;VAR:SYMBOL=LO&amp;VAR:INDEX=0"}</definedName>
    <definedName name="_1096">#REF!</definedName>
    <definedName name="_1096__FDSAUDITLINK__" localSheetId="0" hidden="1">{"fdsup://directions/FAT Viewer?action=UPDATE&amp;creator=factset&amp;DYN_ARGS=TRUE&amp;DOC_NAME=FAT:FQL_AUDITING_CLIENT_TEMPLATE.FAT&amp;display_string=Audit&amp;VAR:KEY=DOPMNILCRI&amp;VAR:QUERY=RkZfRElWX1lMRChBTk4sNC8wOC8xMCw0LzA4LzEwKQ==&amp;WINDOW=FIRST_POPUP&amp;HEIGHT=450&amp;WIDTH=450&amp;","START_MAXIMIZED=FALSE&amp;VAR:CALENDAR=US&amp;VAR:SYMBOL=LO&amp;VAR:INDEX=0"}</definedName>
    <definedName name="_1096__FDSAUDITLINK__" hidden="1">{"fdsup://directions/FAT Viewer?action=UPDATE&amp;creator=factset&amp;DYN_ARGS=TRUE&amp;DOC_NAME=FAT:FQL_AUDITING_CLIENT_TEMPLATE.FAT&amp;display_string=Audit&amp;VAR:KEY=DOPMNILCRI&amp;VAR:QUERY=RkZfRElWX1lMRChBTk4sNC8wOC8xMCw0LzA4LzEwKQ==&amp;WINDOW=FIRST_POPUP&amp;HEIGHT=450&amp;WIDTH=450&amp;","START_MAXIMIZED=FALSE&amp;VAR:CALENDAR=US&amp;VAR:SYMBOL=LO&amp;VAR:INDEX=0"}</definedName>
    <definedName name="_1097">#REF!</definedName>
    <definedName name="_1097__FDSAUDITLINK__" localSheetId="0" hidden="1">{"fdsup://directions/FAT Viewer?action=UPDATE&amp;creator=factset&amp;DYN_ARGS=TRUE&amp;DOC_NAME=FAT:FQL_AUDITING_CLIENT_TEMPLATE.FAT&amp;display_string=Audit&amp;VAR:KEY=PWHMXSNIVG&amp;VAR:QUERY=RkZfRElWX1lMRChBTk4sNC8wMS8xMCw0LzAxLzEwKQ==&amp;WINDOW=FIRST_POPUP&amp;HEIGHT=450&amp;WIDTH=450&amp;","START_MAXIMIZED=FALSE&amp;VAR:CALENDAR=US&amp;VAR:SYMBOL=LO&amp;VAR:INDEX=0"}</definedName>
    <definedName name="_1097__FDSAUDITLINK__" hidden="1">{"fdsup://directions/FAT Viewer?action=UPDATE&amp;creator=factset&amp;DYN_ARGS=TRUE&amp;DOC_NAME=FAT:FQL_AUDITING_CLIENT_TEMPLATE.FAT&amp;display_string=Audit&amp;VAR:KEY=PWHMXSNIVG&amp;VAR:QUERY=RkZfRElWX1lMRChBTk4sNC8wMS8xMCw0LzAxLzEwKQ==&amp;WINDOW=FIRST_POPUP&amp;HEIGHT=450&amp;WIDTH=450&amp;","START_MAXIMIZED=FALSE&amp;VAR:CALENDAR=US&amp;VAR:SYMBOL=LO&amp;VAR:INDEX=0"}</definedName>
    <definedName name="_1098">#REF!</definedName>
    <definedName name="_1098__FDSAUDITLINK__" localSheetId="0" hidden="1">{"fdsup://directions/FAT Viewer?action=UPDATE&amp;creator=factset&amp;DYN_ARGS=TRUE&amp;DOC_NAME=FAT:FQL_AUDITING_CLIENT_TEMPLATE.FAT&amp;display_string=Audit&amp;VAR:KEY=XELAVQTYPA&amp;VAR:QUERY=RkZfRElWX1lMRChBTk4sMy8yNS8xMCwzLzI1LzEwKQ==&amp;WINDOW=FIRST_POPUP&amp;HEIGHT=450&amp;WIDTH=450&amp;","START_MAXIMIZED=FALSE&amp;VAR:CALENDAR=US&amp;VAR:SYMBOL=LO&amp;VAR:INDEX=0"}</definedName>
    <definedName name="_1098__FDSAUDITLINK__" hidden="1">{"fdsup://directions/FAT Viewer?action=UPDATE&amp;creator=factset&amp;DYN_ARGS=TRUE&amp;DOC_NAME=FAT:FQL_AUDITING_CLIENT_TEMPLATE.FAT&amp;display_string=Audit&amp;VAR:KEY=XELAVQTYPA&amp;VAR:QUERY=RkZfRElWX1lMRChBTk4sMy8yNS8xMCwzLzI1LzEwKQ==&amp;WINDOW=FIRST_POPUP&amp;HEIGHT=450&amp;WIDTH=450&amp;","START_MAXIMIZED=FALSE&amp;VAR:CALENDAR=US&amp;VAR:SYMBOL=LO&amp;VAR:INDEX=0"}</definedName>
    <definedName name="_1099">#REF!</definedName>
    <definedName name="_1099__FDSAUDITLINK__" localSheetId="0" hidden="1">{"fdsup://directions/FAT Viewer?action=UPDATE&amp;creator=factset&amp;DYN_ARGS=TRUE&amp;DOC_NAME=FAT:FQL_AUDITING_CLIENT_TEMPLATE.FAT&amp;display_string=Audit&amp;VAR:KEY=DMNKDCBSTE&amp;VAR:QUERY=RkZfRElWX1lMRChBTk4sMy8xOC8xMCwzLzE4LzEwKQ==&amp;WINDOW=FIRST_POPUP&amp;HEIGHT=450&amp;WIDTH=450&amp;","START_MAXIMIZED=FALSE&amp;VAR:CALENDAR=US&amp;VAR:SYMBOL=LO&amp;VAR:INDEX=0"}</definedName>
    <definedName name="_1099__FDSAUDITLINK__" hidden="1">{"fdsup://directions/FAT Viewer?action=UPDATE&amp;creator=factset&amp;DYN_ARGS=TRUE&amp;DOC_NAME=FAT:FQL_AUDITING_CLIENT_TEMPLATE.FAT&amp;display_string=Audit&amp;VAR:KEY=DMNKDCBSTE&amp;VAR:QUERY=RkZfRElWX1lMRChBTk4sMy8xOC8xMCwzLzE4LzEwKQ==&amp;WINDOW=FIRST_POPUP&amp;HEIGHT=450&amp;WIDTH=450&amp;","START_MAXIMIZED=FALSE&amp;VAR:CALENDAR=US&amp;VAR:SYMBOL=LO&amp;VAR:INDEX=0"}</definedName>
    <definedName name="_109s14_" hidden="1">{#N/A,#N/A,FALSE,"UNIT";#N/A,#N/A,FALSE,"UNIT";#N/A,#N/A,FALSE,"계정"}</definedName>
    <definedName name="_10lkjdsf">#REF!</definedName>
    <definedName name="_10main_form_account_grants_list_12_j_id1022">#REF!</definedName>
    <definedName name="_10s12_" hidden="1">{#N/A,#N/A,FALSE,"UNIT";#N/A,#N/A,FALSE,"UNIT";#N/A,#N/A,FALSE,"계정"}</definedName>
    <definedName name="_10s14_" hidden="1">{#N/A,#N/A,FALSE,"UNIT";#N/A,#N/A,FALSE,"UNIT";#N/A,#N/A,FALSE,"계정"}</definedName>
    <definedName name="_10s16_" hidden="1">{#N/A,#N/A,FALSE,"UNIT";#N/A,#N/A,FALSE,"UNIT";#N/A,#N/A,FALSE,"계정"}</definedName>
    <definedName name="_10T1">#REF!</definedName>
    <definedName name="_10T2">#REF!</definedName>
    <definedName name="_10Table2_">#REF!</definedName>
    <definedName name="_11">#REF!</definedName>
    <definedName name="_11___________NOTE8_9">#REF!</definedName>
    <definedName name="_11__123Graph_ACHART_112" hidden="1">#REF!</definedName>
    <definedName name="_11__123Graph_ACHART_3">#REF!</definedName>
    <definedName name="_11__123Graph_AChart_3I">#REF!</definedName>
    <definedName name="_11__123Graph_ACONTRACT_BY_B_U">#REF!</definedName>
    <definedName name="_11__123Graph_AQRE_S_BY_CO.">#REF!</definedName>
    <definedName name="_11__123Graph_ATAX_CREDIT">#REF!</definedName>
    <definedName name="_11__123Graph_AWAGES_BY_B_U">#REF!</definedName>
    <definedName name="_11__123Graph_BCHART_3">#REF!</definedName>
    <definedName name="_11__123Graph_BQRE_S_BY_CO." hidden="1">#REF!</definedName>
    <definedName name="_11__123Graph_BSENS_COMPARISON">#REF!</definedName>
    <definedName name="_11__123Graph_BSUPPLIES_BY_B_U">#REF!</definedName>
    <definedName name="_11__123Graph_BTAX_CREDIT">#REF!</definedName>
    <definedName name="_11__123Graph_XSALES_PERIOD" hidden="1">#REF!</definedName>
    <definedName name="_11__FDSAUDITLINK__" localSheetId="0" hidden="1">{"fdsup://directions/FAT Viewer?action=UPDATE&amp;creator=factset&amp;DYN_ARGS=TRUE&amp;DOC_NAME=FAT:FQL_AUDITING_CLIENT_TEMPLATE.FAT&amp;display_string=Audit&amp;VAR:KEY=KFAXWJKZOT&amp;VAR:QUERY=Q1NGX0RJVl9ZTEQoUVRSX1IsNi8zMC8yMDA4KQ==&amp;WINDOW=FIRST_POPUP&amp;HEIGHT=450&amp;WIDTH=450&amp;STAR","T_MAXIMIZED=FALSE&amp;VAR:CALENDAR=US&amp;VAR:SYMBOL=MO&amp;VAR:INDEX=0"}</definedName>
    <definedName name="_11__FDSAUDITLINK__" hidden="1">{"fdsup://directions/FAT Viewer?action=UPDATE&amp;creator=factset&amp;DYN_ARGS=TRUE&amp;DOC_NAME=FAT:FQL_AUDITING_CLIENT_TEMPLATE.FAT&amp;display_string=Audit&amp;VAR:KEY=KFAXWJKZOT&amp;VAR:QUERY=Q1NGX0RJVl9ZTEQoUVRSX1IsNi8zMC8yMDA4KQ==&amp;WINDOW=FIRST_POPUP&amp;HEIGHT=450&amp;WIDTH=450&amp;STAR","T_MAXIMIZED=FALSE&amp;VAR:CALENDAR=US&amp;VAR:SYMBOL=MO&amp;VAR:INDEX=0"}</definedName>
    <definedName name="_11_0_0_MatInverse" hidden="1">#REF!</definedName>
    <definedName name="_11_0_0PLANJBM">#REF!</definedName>
    <definedName name="_11_0_Table2_" hidden="1">#REF!</definedName>
    <definedName name="_11_03_1999">#REF!</definedName>
    <definedName name="_11_09_1999">#REF!</definedName>
    <definedName name="_110__123Graph_XCHART_1">#REF!</definedName>
    <definedName name="_110__FDSAUDITLINK__" localSheetId="0" hidden="1">{"fdsup://directions/FAT Viewer?action=UPDATE&amp;creator=factset&amp;DYN_ARGS=TRUE&amp;DOC_NAME=FAT:FQL_AUDITING_CLIENT_TEMPLATE.FAT&amp;display_string=Audit&amp;VAR:KEY=BGJGDINSNW&amp;VAR:QUERY=RkZfRElWX1lMRChBTk4sMi8yNi8wOSwyLzI2LzA5KQ==&amp;WINDOW=FIRST_POPUP&amp;HEIGHT=450&amp;WIDTH=450&amp;","START_MAXIMIZED=FALSE&amp;VAR:CALENDAR=US&amp;VAR:SYMBOL=RAI&amp;VAR:INDEX=0"}</definedName>
    <definedName name="_110__FDSAUDITLINK__" hidden="1">{"fdsup://directions/FAT Viewer?action=UPDATE&amp;creator=factset&amp;DYN_ARGS=TRUE&amp;DOC_NAME=FAT:FQL_AUDITING_CLIENT_TEMPLATE.FAT&amp;display_string=Audit&amp;VAR:KEY=BGJGDINSNW&amp;VAR:QUERY=RkZfRElWX1lMRChBTk4sMi8yNi8wOSwyLzI2LzA5KQ==&amp;WINDOW=FIRST_POPUP&amp;HEIGHT=450&amp;WIDTH=450&amp;","START_MAXIMIZED=FALSE&amp;VAR:CALENDAR=US&amp;VAR:SYMBOL=RAI&amp;VAR:INDEX=0"}</definedName>
    <definedName name="_1100">#REF!</definedName>
    <definedName name="_1100__FDSAUDITLINK__" localSheetId="0" hidden="1">{"fdsup://directions/FAT Viewer?action=UPDATE&amp;creator=factset&amp;DYN_ARGS=TRUE&amp;DOC_NAME=FAT:FQL_AUDITING_CLIENT_TEMPLATE.FAT&amp;display_string=Audit&amp;VAR:KEY=XGXCRCFIZY&amp;VAR:QUERY=RkZfRElWX1lMRChBTk4sMy8xMS8xMCwzLzExLzEwKQ==&amp;WINDOW=FIRST_POPUP&amp;HEIGHT=450&amp;WIDTH=450&amp;","START_MAXIMIZED=FALSE&amp;VAR:CALENDAR=US&amp;VAR:SYMBOL=LO&amp;VAR:INDEX=0"}</definedName>
    <definedName name="_1100__FDSAUDITLINK__" hidden="1">{"fdsup://directions/FAT Viewer?action=UPDATE&amp;creator=factset&amp;DYN_ARGS=TRUE&amp;DOC_NAME=FAT:FQL_AUDITING_CLIENT_TEMPLATE.FAT&amp;display_string=Audit&amp;VAR:KEY=XGXCRCFIZY&amp;VAR:QUERY=RkZfRElWX1lMRChBTk4sMy8xMS8xMCwzLzExLzEwKQ==&amp;WINDOW=FIRST_POPUP&amp;HEIGHT=450&amp;WIDTH=450&amp;","START_MAXIMIZED=FALSE&amp;VAR:CALENDAR=US&amp;VAR:SYMBOL=LO&amp;VAR:INDEX=0"}</definedName>
    <definedName name="_110002A">#REF!</definedName>
    <definedName name="_1101">#REF!</definedName>
    <definedName name="_1101__FDSAUDITLINK__" localSheetId="0" hidden="1">{"fdsup://directions/FAT Viewer?action=UPDATE&amp;creator=factset&amp;DYN_ARGS=TRUE&amp;DOC_NAME=FAT:FQL_AUDITING_CLIENT_TEMPLATE.FAT&amp;display_string=Audit&amp;VAR:KEY=HADURYLGBU&amp;VAR:QUERY=RkZfRElWX1lMRChBTk4sMy8wNC8xMCwzLzA0LzEwKQ==&amp;WINDOW=FIRST_POPUP&amp;HEIGHT=450&amp;WIDTH=450&amp;","START_MAXIMIZED=FALSE&amp;VAR:CALENDAR=US&amp;VAR:SYMBOL=LO&amp;VAR:INDEX=0"}</definedName>
    <definedName name="_1101__FDSAUDITLINK__" hidden="1">{"fdsup://directions/FAT Viewer?action=UPDATE&amp;creator=factset&amp;DYN_ARGS=TRUE&amp;DOC_NAME=FAT:FQL_AUDITING_CLIENT_TEMPLATE.FAT&amp;display_string=Audit&amp;VAR:KEY=HADURYLGBU&amp;VAR:QUERY=RkZfRElWX1lMRChBTk4sMy8wNC8xMCwzLzA0LzEwKQ==&amp;WINDOW=FIRST_POPUP&amp;HEIGHT=450&amp;WIDTH=450&amp;","START_MAXIMIZED=FALSE&amp;VAR:CALENDAR=US&amp;VAR:SYMBOL=LO&amp;VAR:INDEX=0"}</definedName>
    <definedName name="_1102">#REF!</definedName>
    <definedName name="_1102__FDSAUDITLINK__" localSheetId="0" hidden="1">{"fdsup://directions/FAT Viewer?action=UPDATE&amp;creator=factset&amp;DYN_ARGS=TRUE&amp;DOC_NAME=FAT:FQL_AUDITING_CLIENT_TEMPLATE.FAT&amp;display_string=Audit&amp;VAR:KEY=FONYJETQJW&amp;VAR:QUERY=RkZfRElWX1lMRChBTk4sMi8yNS8xMCwyLzI1LzEwKQ==&amp;WINDOW=FIRST_POPUP&amp;HEIGHT=450&amp;WIDTH=450&amp;","START_MAXIMIZED=FALSE&amp;VAR:CALENDAR=US&amp;VAR:SYMBOL=LO&amp;VAR:INDEX=0"}</definedName>
    <definedName name="_1102__FDSAUDITLINK__" hidden="1">{"fdsup://directions/FAT Viewer?action=UPDATE&amp;creator=factset&amp;DYN_ARGS=TRUE&amp;DOC_NAME=FAT:FQL_AUDITING_CLIENT_TEMPLATE.FAT&amp;display_string=Audit&amp;VAR:KEY=FONYJETQJW&amp;VAR:QUERY=RkZfRElWX1lMRChBTk4sMi8yNS8xMCwyLzI1LzEwKQ==&amp;WINDOW=FIRST_POPUP&amp;HEIGHT=450&amp;WIDTH=450&amp;","START_MAXIMIZED=FALSE&amp;VAR:CALENDAR=US&amp;VAR:SYMBOL=LO&amp;VAR:INDEX=0"}</definedName>
    <definedName name="_1103">#REF!</definedName>
    <definedName name="_1103__FDSAUDITLINK__" localSheetId="0" hidden="1">{"fdsup://directions/FAT Viewer?action=UPDATE&amp;creator=factset&amp;DYN_ARGS=TRUE&amp;DOC_NAME=FAT:FQL_AUDITING_CLIENT_TEMPLATE.FAT&amp;display_string=Audit&amp;VAR:KEY=XCVAVUVYZO&amp;VAR:QUERY=RkZfRElWX1lMRChBTk4sMi8xOC8xMCwyLzE4LzEwKQ==&amp;WINDOW=FIRST_POPUP&amp;HEIGHT=450&amp;WIDTH=450&amp;","START_MAXIMIZED=FALSE&amp;VAR:CALENDAR=US&amp;VAR:SYMBOL=LO&amp;VAR:INDEX=0"}</definedName>
    <definedName name="_1103__FDSAUDITLINK__" hidden="1">{"fdsup://directions/FAT Viewer?action=UPDATE&amp;creator=factset&amp;DYN_ARGS=TRUE&amp;DOC_NAME=FAT:FQL_AUDITING_CLIENT_TEMPLATE.FAT&amp;display_string=Audit&amp;VAR:KEY=XCVAVUVYZO&amp;VAR:QUERY=RkZfRElWX1lMRChBTk4sMi8xOC8xMCwyLzE4LzEwKQ==&amp;WINDOW=FIRST_POPUP&amp;HEIGHT=450&amp;WIDTH=450&amp;","START_MAXIMIZED=FALSE&amp;VAR:CALENDAR=US&amp;VAR:SYMBOL=LO&amp;VAR:INDEX=0"}</definedName>
    <definedName name="_1104">#REF!</definedName>
    <definedName name="_1104__FDSAUDITLINK__" localSheetId="0" hidden="1">{"fdsup://directions/FAT Viewer?action=UPDATE&amp;creator=factset&amp;DYN_ARGS=TRUE&amp;DOC_NAME=FAT:FQL_AUDITING_CLIENT_TEMPLATE.FAT&amp;display_string=Audit&amp;VAR:KEY=FMVYXOTKRQ&amp;VAR:QUERY=RkZfRElWX1lMRChBTk4sMi8xMS8xMCwyLzExLzEwKQ==&amp;WINDOW=FIRST_POPUP&amp;HEIGHT=450&amp;WIDTH=450&amp;","START_MAXIMIZED=FALSE&amp;VAR:CALENDAR=US&amp;VAR:SYMBOL=LO&amp;VAR:INDEX=0"}</definedName>
    <definedName name="_1104__FDSAUDITLINK__" hidden="1">{"fdsup://directions/FAT Viewer?action=UPDATE&amp;creator=factset&amp;DYN_ARGS=TRUE&amp;DOC_NAME=FAT:FQL_AUDITING_CLIENT_TEMPLATE.FAT&amp;display_string=Audit&amp;VAR:KEY=FMVYXOTKRQ&amp;VAR:QUERY=RkZfRElWX1lMRChBTk4sMi8xMS8xMCwyLzExLzEwKQ==&amp;WINDOW=FIRST_POPUP&amp;HEIGHT=450&amp;WIDTH=450&amp;","START_MAXIMIZED=FALSE&amp;VAR:CALENDAR=US&amp;VAR:SYMBOL=LO&amp;VAR:INDEX=0"}</definedName>
    <definedName name="_1105">#REF!</definedName>
    <definedName name="_1105__FDSAUDITLINK__" localSheetId="0" hidden="1">{"fdsup://directions/FAT Viewer?action=UPDATE&amp;creator=factset&amp;DYN_ARGS=TRUE&amp;DOC_NAME=FAT:FQL_AUDITING_CLIENT_TEMPLATE.FAT&amp;display_string=Audit&amp;VAR:KEY=TQXMHARABG&amp;VAR:QUERY=RkZfRElWX1lMRChBTk4sMi8wNC8xMCwyLzA0LzEwKQ==&amp;WINDOW=FIRST_POPUP&amp;HEIGHT=450&amp;WIDTH=450&amp;","START_MAXIMIZED=FALSE&amp;VAR:CALENDAR=US&amp;VAR:SYMBOL=LO&amp;VAR:INDEX=0"}</definedName>
    <definedName name="_1105__FDSAUDITLINK__" hidden="1">{"fdsup://directions/FAT Viewer?action=UPDATE&amp;creator=factset&amp;DYN_ARGS=TRUE&amp;DOC_NAME=FAT:FQL_AUDITING_CLIENT_TEMPLATE.FAT&amp;display_string=Audit&amp;VAR:KEY=TQXMHARABG&amp;VAR:QUERY=RkZfRElWX1lMRChBTk4sMi8wNC8xMCwyLzA0LzEwKQ==&amp;WINDOW=FIRST_POPUP&amp;HEIGHT=450&amp;WIDTH=450&amp;","START_MAXIMIZED=FALSE&amp;VAR:CALENDAR=US&amp;VAR:SYMBOL=LO&amp;VAR:INDEX=0"}</definedName>
    <definedName name="_1106">#REF!</definedName>
    <definedName name="_1106__FDSAUDITLINK__" localSheetId="0" hidden="1">{"fdsup://directions/FAT Viewer?action=UPDATE&amp;creator=factset&amp;DYN_ARGS=TRUE&amp;DOC_NAME=FAT:FQL_AUDITING_CLIENT_TEMPLATE.FAT&amp;display_string=Audit&amp;VAR:KEY=JSBSXUPIHG&amp;VAR:QUERY=RkZfRElWX1lMRChBTk4sMS8yOC8xMCwxLzI4LzEwKQ==&amp;WINDOW=FIRST_POPUP&amp;HEIGHT=450&amp;WIDTH=450&amp;","START_MAXIMIZED=FALSE&amp;VAR:CALENDAR=US&amp;VAR:SYMBOL=LO&amp;VAR:INDEX=0"}</definedName>
    <definedName name="_1106__FDSAUDITLINK__" hidden="1">{"fdsup://directions/FAT Viewer?action=UPDATE&amp;creator=factset&amp;DYN_ARGS=TRUE&amp;DOC_NAME=FAT:FQL_AUDITING_CLIENT_TEMPLATE.FAT&amp;display_string=Audit&amp;VAR:KEY=JSBSXUPIHG&amp;VAR:QUERY=RkZfRElWX1lMRChBTk4sMS8yOC8xMCwxLzI4LzEwKQ==&amp;WINDOW=FIRST_POPUP&amp;HEIGHT=450&amp;WIDTH=450&amp;","START_MAXIMIZED=FALSE&amp;VAR:CALENDAR=US&amp;VAR:SYMBOL=LO&amp;VAR:INDEX=0"}</definedName>
    <definedName name="_1107">#REF!</definedName>
    <definedName name="_1107__FDSAUDITLINK__" localSheetId="0" hidden="1">{"fdsup://directions/FAT Viewer?action=UPDATE&amp;creator=factset&amp;DYN_ARGS=TRUE&amp;DOC_NAME=FAT:FQL_AUDITING_CLIENT_TEMPLATE.FAT&amp;display_string=Audit&amp;VAR:KEY=PAPORGHMBM&amp;VAR:QUERY=RkZfRElWX1lMRChBTk4sMS8yMS8xMCwxLzIxLzEwKQ==&amp;WINDOW=FIRST_POPUP&amp;HEIGHT=450&amp;WIDTH=450&amp;","START_MAXIMIZED=FALSE&amp;VAR:CALENDAR=US&amp;VAR:SYMBOL=LO&amp;VAR:INDEX=0"}</definedName>
    <definedName name="_1107__FDSAUDITLINK__" hidden="1">{"fdsup://directions/FAT Viewer?action=UPDATE&amp;creator=factset&amp;DYN_ARGS=TRUE&amp;DOC_NAME=FAT:FQL_AUDITING_CLIENT_TEMPLATE.FAT&amp;display_string=Audit&amp;VAR:KEY=PAPORGHMBM&amp;VAR:QUERY=RkZfRElWX1lMRChBTk4sMS8yMS8xMCwxLzIxLzEwKQ==&amp;WINDOW=FIRST_POPUP&amp;HEIGHT=450&amp;WIDTH=450&amp;","START_MAXIMIZED=FALSE&amp;VAR:CALENDAR=US&amp;VAR:SYMBOL=LO&amp;VAR:INDEX=0"}</definedName>
    <definedName name="_1108">#REF!</definedName>
    <definedName name="_1108__FDSAUDITLINK__" localSheetId="0" hidden="1">{"fdsup://directions/FAT Viewer?action=UPDATE&amp;creator=factset&amp;DYN_ARGS=TRUE&amp;DOC_NAME=FAT:FQL_AUDITING_CLIENT_TEMPLATE.FAT&amp;display_string=Audit&amp;VAR:KEY=RKTOJCTQDG&amp;VAR:QUERY=RkZfRElWX1lMRChBTk4sMS8xNC8xMCwxLzE0LzEwKQ==&amp;WINDOW=FIRST_POPUP&amp;HEIGHT=450&amp;WIDTH=450&amp;","START_MAXIMIZED=FALSE&amp;VAR:CALENDAR=US&amp;VAR:SYMBOL=LO&amp;VAR:INDEX=0"}</definedName>
    <definedName name="_1108__FDSAUDITLINK__" hidden="1">{"fdsup://directions/FAT Viewer?action=UPDATE&amp;creator=factset&amp;DYN_ARGS=TRUE&amp;DOC_NAME=FAT:FQL_AUDITING_CLIENT_TEMPLATE.FAT&amp;display_string=Audit&amp;VAR:KEY=RKTOJCTQDG&amp;VAR:QUERY=RkZfRElWX1lMRChBTk4sMS8xNC8xMCwxLzE0LzEwKQ==&amp;WINDOW=FIRST_POPUP&amp;HEIGHT=450&amp;WIDTH=450&amp;","START_MAXIMIZED=FALSE&amp;VAR:CALENDAR=US&amp;VAR:SYMBOL=LO&amp;VAR:INDEX=0"}</definedName>
    <definedName name="_1109">#REF!</definedName>
    <definedName name="_1109__FDSAUDITLINK__" localSheetId="0" hidden="1">{"fdsup://directions/FAT Viewer?action=UPDATE&amp;creator=factset&amp;DYN_ARGS=TRUE&amp;DOC_NAME=FAT:FQL_AUDITING_CLIENT_TEMPLATE.FAT&amp;display_string=Audit&amp;VAR:KEY=REZMJCXUBS&amp;VAR:QUERY=RkZfRElWX1lMRChBTk4sMS8wNy8xMCwxLzA3LzEwKQ==&amp;WINDOW=FIRST_POPUP&amp;HEIGHT=450&amp;WIDTH=450&amp;","START_MAXIMIZED=FALSE&amp;VAR:CALENDAR=US&amp;VAR:SYMBOL=LO&amp;VAR:INDEX=0"}</definedName>
    <definedName name="_1109__FDSAUDITLINK__" hidden="1">{"fdsup://directions/FAT Viewer?action=UPDATE&amp;creator=factset&amp;DYN_ARGS=TRUE&amp;DOC_NAME=FAT:FQL_AUDITING_CLIENT_TEMPLATE.FAT&amp;display_string=Audit&amp;VAR:KEY=REZMJCXUBS&amp;VAR:QUERY=RkZfRElWX1lMRChBTk4sMS8wNy8xMCwxLzA3LzEwKQ==&amp;WINDOW=FIRST_POPUP&amp;HEIGHT=450&amp;WIDTH=450&amp;","START_MAXIMIZED=FALSE&amp;VAR:CALENDAR=US&amp;VAR:SYMBOL=LO&amp;VAR:INDEX=0"}</definedName>
    <definedName name="_110s16_" hidden="1">{#N/A,#N/A,FALSE,"UNIT";#N/A,#N/A,FALSE,"UNIT";#N/A,#N/A,FALSE,"계정"}</definedName>
    <definedName name="_111">#REF!</definedName>
    <definedName name="_111__123Graph_ECONTRACT_BY_B_U">#REF!</definedName>
    <definedName name="_111__FDSAUDITLINK__" localSheetId="0" hidden="1">{"fdsup://directions/FAT Viewer?action=UPDATE&amp;creator=factset&amp;DYN_ARGS=TRUE&amp;DOC_NAME=FAT:FQL_AUDITING_CLIENT_TEMPLATE.FAT&amp;display_string=Audit&amp;VAR:KEY=ZEJQJADWNQ&amp;VAR:QUERY=RkZfRElWX1lMRChBTk4sMi8xOS8wOSwyLzE5LzA5KQ==&amp;WINDOW=FIRST_POPUP&amp;HEIGHT=450&amp;WIDTH=450&amp;","START_MAXIMIZED=FALSE&amp;VAR:CALENDAR=US&amp;VAR:SYMBOL=RAI&amp;VAR:INDEX=0"}</definedName>
    <definedName name="_111__FDSAUDITLINK__" hidden="1">{"fdsup://directions/FAT Viewer?action=UPDATE&amp;creator=factset&amp;DYN_ARGS=TRUE&amp;DOC_NAME=FAT:FQL_AUDITING_CLIENT_TEMPLATE.FAT&amp;display_string=Audit&amp;VAR:KEY=ZEJQJADWNQ&amp;VAR:QUERY=RkZfRElWX1lMRChBTk4sMi8xOS8wOSwyLzE5LzA5KQ==&amp;WINDOW=FIRST_POPUP&amp;HEIGHT=450&amp;WIDTH=450&amp;","START_MAXIMIZED=FALSE&amp;VAR:CALENDAR=US&amp;VAR:SYMBOL=RAI&amp;VAR:INDEX=0"}</definedName>
    <definedName name="_1110">#REF!</definedName>
    <definedName name="_1110__FDSAUDITLINK__" localSheetId="0" hidden="1">{"fdsup://directions/FAT Viewer?action=UPDATE&amp;creator=factset&amp;DYN_ARGS=TRUE&amp;DOC_NAME=FAT:FQL_AUDITING_CLIENT_TEMPLATE.FAT&amp;display_string=Audit&amp;VAR:KEY=RAZYTWFMZA&amp;VAR:QUERY=RkZfRElWX1lMRChBTk4sMTIvMzEvMDksMTIvMzEvMDkp&amp;WINDOW=FIRST_POPUP&amp;HEIGHT=450&amp;WIDTH=450&amp;","START_MAXIMIZED=FALSE&amp;VAR:CALENDAR=US&amp;VAR:SYMBOL=LO&amp;VAR:INDEX=0"}</definedName>
    <definedName name="_1110__FDSAUDITLINK__" hidden="1">{"fdsup://directions/FAT Viewer?action=UPDATE&amp;creator=factset&amp;DYN_ARGS=TRUE&amp;DOC_NAME=FAT:FQL_AUDITING_CLIENT_TEMPLATE.FAT&amp;display_string=Audit&amp;VAR:KEY=RAZYTWFMZA&amp;VAR:QUERY=RkZfRElWX1lMRChBTk4sMTIvMzEvMDksMTIvMzEvMDkp&amp;WINDOW=FIRST_POPUP&amp;HEIGHT=450&amp;WIDTH=450&amp;","START_MAXIMIZED=FALSE&amp;VAR:CALENDAR=US&amp;VAR:SYMBOL=LO&amp;VAR:INDEX=0"}</definedName>
    <definedName name="_1111">#REF!</definedName>
    <definedName name="_1111__FDSAUDITLINK__" localSheetId="0" hidden="1">{"fdsup://directions/FAT Viewer?action=UPDATE&amp;creator=factset&amp;DYN_ARGS=TRUE&amp;DOC_NAME=FAT:FQL_AUDITING_CLIENT_TEMPLATE.FAT&amp;display_string=Audit&amp;VAR:KEY=RKRMJWVGNS&amp;VAR:QUERY=RkZfRElWX1lMRChBTk4sMTIvMjQvMDksMTIvMjQvMDkp&amp;WINDOW=FIRST_POPUP&amp;HEIGHT=450&amp;WIDTH=450&amp;","START_MAXIMIZED=FALSE&amp;VAR:CALENDAR=US&amp;VAR:SYMBOL=LO&amp;VAR:INDEX=0"}</definedName>
    <definedName name="_1111__FDSAUDITLINK__" hidden="1">{"fdsup://directions/FAT Viewer?action=UPDATE&amp;creator=factset&amp;DYN_ARGS=TRUE&amp;DOC_NAME=FAT:FQL_AUDITING_CLIENT_TEMPLATE.FAT&amp;display_string=Audit&amp;VAR:KEY=RKRMJWVGNS&amp;VAR:QUERY=RkZfRElWX1lMRChBTk4sMTIvMjQvMDksMTIvMjQvMDkp&amp;WINDOW=FIRST_POPUP&amp;HEIGHT=450&amp;WIDTH=450&amp;","START_MAXIMIZED=FALSE&amp;VAR:CALENDAR=US&amp;VAR:SYMBOL=LO&amp;VAR:INDEX=0"}</definedName>
    <definedName name="_1112">#REF!</definedName>
    <definedName name="_1112__FDSAUDITLINK__" localSheetId="0" hidden="1">{"fdsup://directions/FAT Viewer?action=UPDATE&amp;creator=factset&amp;DYN_ARGS=TRUE&amp;DOC_NAME=FAT:FQL_AUDITING_CLIENT_TEMPLATE.FAT&amp;display_string=Audit&amp;VAR:KEY=BIHIFWVGZS&amp;VAR:QUERY=RkZfRElWX1lMRChBTk4sMTIvMTcvMDksMTIvMTcvMDkp&amp;WINDOW=FIRST_POPUP&amp;HEIGHT=450&amp;WIDTH=450&amp;","START_MAXIMIZED=FALSE&amp;VAR:CALENDAR=US&amp;VAR:SYMBOL=LO&amp;VAR:INDEX=0"}</definedName>
    <definedName name="_1112__FDSAUDITLINK__" hidden="1">{"fdsup://directions/FAT Viewer?action=UPDATE&amp;creator=factset&amp;DYN_ARGS=TRUE&amp;DOC_NAME=FAT:FQL_AUDITING_CLIENT_TEMPLATE.FAT&amp;display_string=Audit&amp;VAR:KEY=BIHIFWVGZS&amp;VAR:QUERY=RkZfRElWX1lMRChBTk4sMTIvMTcvMDksMTIvMTcvMDkp&amp;WINDOW=FIRST_POPUP&amp;HEIGHT=450&amp;WIDTH=450&amp;","START_MAXIMIZED=FALSE&amp;VAR:CALENDAR=US&amp;VAR:SYMBOL=LO&amp;VAR:INDEX=0"}</definedName>
    <definedName name="_1113__FDSAUDITLINK__" localSheetId="0" hidden="1">{"fdsup://directions/FAT Viewer?action=UPDATE&amp;creator=factset&amp;DYN_ARGS=TRUE&amp;DOC_NAME=FAT:FQL_AUDITING_CLIENT_TEMPLATE.FAT&amp;display_string=Audit&amp;VAR:KEY=XSVWVKZMNW&amp;VAR:QUERY=RkZfRElWX1lMRChBTk4sMTIvMTAvMDksMTIvMTAvMDkp&amp;WINDOW=FIRST_POPUP&amp;HEIGHT=450&amp;WIDTH=450&amp;","START_MAXIMIZED=FALSE&amp;VAR:CALENDAR=US&amp;VAR:SYMBOL=LO&amp;VAR:INDEX=0"}</definedName>
    <definedName name="_1113__FDSAUDITLINK__" hidden="1">{"fdsup://directions/FAT Viewer?action=UPDATE&amp;creator=factset&amp;DYN_ARGS=TRUE&amp;DOC_NAME=FAT:FQL_AUDITING_CLIENT_TEMPLATE.FAT&amp;display_string=Audit&amp;VAR:KEY=XSVWVKZMNW&amp;VAR:QUERY=RkZfRElWX1lMRChBTk4sMTIvMTAvMDksMTIvMTAvMDkp&amp;WINDOW=FIRST_POPUP&amp;HEIGHT=450&amp;WIDTH=450&amp;","START_MAXIMIZED=FALSE&amp;VAR:CALENDAR=US&amp;VAR:SYMBOL=LO&amp;VAR:INDEX=0"}</definedName>
    <definedName name="_1114">#REF!</definedName>
    <definedName name="_1114__FDSAUDITLINK__" localSheetId="0" hidden="1">{"fdsup://directions/FAT Viewer?action=UPDATE&amp;creator=factset&amp;DYN_ARGS=TRUE&amp;DOC_NAME=FAT:FQL_AUDITING_CLIENT_TEMPLATE.FAT&amp;display_string=Audit&amp;VAR:KEY=LGREBEDMJC&amp;VAR:QUERY=RkZfRElWX1lMRChBTk4sMTIvMDMvMDksMTIvMDMvMDkp&amp;WINDOW=FIRST_POPUP&amp;HEIGHT=450&amp;WIDTH=450&amp;","START_MAXIMIZED=FALSE&amp;VAR:CALENDAR=US&amp;VAR:SYMBOL=LO&amp;VAR:INDEX=0"}</definedName>
    <definedName name="_1114__FDSAUDITLINK__" hidden="1">{"fdsup://directions/FAT Viewer?action=UPDATE&amp;creator=factset&amp;DYN_ARGS=TRUE&amp;DOC_NAME=FAT:FQL_AUDITING_CLIENT_TEMPLATE.FAT&amp;display_string=Audit&amp;VAR:KEY=LGREBEDMJC&amp;VAR:QUERY=RkZfRElWX1lMRChBTk4sMTIvMDMvMDksMTIvMDMvMDkp&amp;WINDOW=FIRST_POPUP&amp;HEIGHT=450&amp;WIDTH=450&amp;","START_MAXIMIZED=FALSE&amp;VAR:CALENDAR=US&amp;VAR:SYMBOL=LO&amp;VAR:INDEX=0"}</definedName>
    <definedName name="_1115__FDSAUDITLINK__" localSheetId="0" hidden="1">{"fdsup://directions/FAT Viewer?action=UPDATE&amp;creator=factset&amp;DYN_ARGS=TRUE&amp;DOC_NAME=FAT:FQL_AUDITING_CLIENT_TEMPLATE.FAT&amp;display_string=Audit&amp;VAR:KEY=BUXMXGXIZI&amp;VAR:QUERY=RkZfRElWX1lMRChBTk4sMTEvMjUvMDksMTEvMjUvMDkp&amp;WINDOW=FIRST_POPUP&amp;HEIGHT=450&amp;WIDTH=450&amp;","START_MAXIMIZED=FALSE&amp;VAR:CALENDAR=US&amp;VAR:SYMBOL=LO&amp;VAR:INDEX=0"}</definedName>
    <definedName name="_1115__FDSAUDITLINK__" hidden="1">{"fdsup://directions/FAT Viewer?action=UPDATE&amp;creator=factset&amp;DYN_ARGS=TRUE&amp;DOC_NAME=FAT:FQL_AUDITING_CLIENT_TEMPLATE.FAT&amp;display_string=Audit&amp;VAR:KEY=BUXMXGXIZI&amp;VAR:QUERY=RkZfRElWX1lMRChBTk4sMTEvMjUvMDksMTEvMjUvMDkp&amp;WINDOW=FIRST_POPUP&amp;HEIGHT=450&amp;WIDTH=450&amp;","START_MAXIMIZED=FALSE&amp;VAR:CALENDAR=US&amp;VAR:SYMBOL=LO&amp;VAR:INDEX=0"}</definedName>
    <definedName name="_1116__FDSAUDITLINK__" localSheetId="0" hidden="1">{"fdsup://directions/FAT Viewer?action=UPDATE&amp;creator=factset&amp;DYN_ARGS=TRUE&amp;DOC_NAME=FAT:FQL_AUDITING_CLIENT_TEMPLATE.FAT&amp;display_string=Audit&amp;VAR:KEY=VCZSBUFSHO&amp;VAR:QUERY=RkZfRElWX1lMRChBTk4sMTEvMTkvMDksMTEvMTkvMDkp&amp;WINDOW=FIRST_POPUP&amp;HEIGHT=450&amp;WIDTH=450&amp;","START_MAXIMIZED=FALSE&amp;VAR:CALENDAR=US&amp;VAR:SYMBOL=LO&amp;VAR:INDEX=0"}</definedName>
    <definedName name="_1116__FDSAUDITLINK__" hidden="1">{"fdsup://directions/FAT Viewer?action=UPDATE&amp;creator=factset&amp;DYN_ARGS=TRUE&amp;DOC_NAME=FAT:FQL_AUDITING_CLIENT_TEMPLATE.FAT&amp;display_string=Audit&amp;VAR:KEY=VCZSBUFSHO&amp;VAR:QUERY=RkZfRElWX1lMRChBTk4sMTEvMTkvMDksMTEvMTkvMDkp&amp;WINDOW=FIRST_POPUP&amp;HEIGHT=450&amp;WIDTH=450&amp;","START_MAXIMIZED=FALSE&amp;VAR:CALENDAR=US&amp;VAR:SYMBOL=LO&amp;VAR:INDEX=0"}</definedName>
    <definedName name="_1117__FDSAUDITLINK__" localSheetId="0" hidden="1">{"fdsup://directions/FAT Viewer?action=UPDATE&amp;creator=factset&amp;DYN_ARGS=TRUE&amp;DOC_NAME=FAT:FQL_AUDITING_CLIENT_TEMPLATE.FAT&amp;display_string=Audit&amp;VAR:KEY=TWZMBYHCXC&amp;VAR:QUERY=RkZfRElWX1lMRChBTk4sMTEvMTIvMDksMTEvMTIvMDkp&amp;WINDOW=FIRST_POPUP&amp;HEIGHT=450&amp;WIDTH=450&amp;","START_MAXIMIZED=FALSE&amp;VAR:CALENDAR=US&amp;VAR:SYMBOL=LO&amp;VAR:INDEX=0"}</definedName>
    <definedName name="_1117__FDSAUDITLINK__" hidden="1">{"fdsup://directions/FAT Viewer?action=UPDATE&amp;creator=factset&amp;DYN_ARGS=TRUE&amp;DOC_NAME=FAT:FQL_AUDITING_CLIENT_TEMPLATE.FAT&amp;display_string=Audit&amp;VAR:KEY=TWZMBYHCXC&amp;VAR:QUERY=RkZfRElWX1lMRChBTk4sMTEvMTIvMDksMTEvMTIvMDkp&amp;WINDOW=FIRST_POPUP&amp;HEIGHT=450&amp;WIDTH=450&amp;","START_MAXIMIZED=FALSE&amp;VAR:CALENDAR=US&amp;VAR:SYMBOL=LO&amp;VAR:INDEX=0"}</definedName>
    <definedName name="_1118__FDSAUDITLINK__" localSheetId="0" hidden="1">{"fdsup://directions/FAT Viewer?action=UPDATE&amp;creator=factset&amp;DYN_ARGS=TRUE&amp;DOC_NAME=FAT:FQL_AUDITING_CLIENT_TEMPLATE.FAT&amp;display_string=Audit&amp;VAR:KEY=VKPKXYZODY&amp;VAR:QUERY=RkZfRElWX1lMRChBTk4sMTEvMDUvMDksMTEvMDUvMDkp&amp;WINDOW=FIRST_POPUP&amp;HEIGHT=450&amp;WIDTH=450&amp;","START_MAXIMIZED=FALSE&amp;VAR:CALENDAR=US&amp;VAR:SYMBOL=LO&amp;VAR:INDEX=0"}</definedName>
    <definedName name="_1118__FDSAUDITLINK__" hidden="1">{"fdsup://directions/FAT Viewer?action=UPDATE&amp;creator=factset&amp;DYN_ARGS=TRUE&amp;DOC_NAME=FAT:FQL_AUDITING_CLIENT_TEMPLATE.FAT&amp;display_string=Audit&amp;VAR:KEY=VKPKXYZODY&amp;VAR:QUERY=RkZfRElWX1lMRChBTk4sMTEvMDUvMDksMTEvMDUvMDkp&amp;WINDOW=FIRST_POPUP&amp;HEIGHT=450&amp;WIDTH=450&amp;","START_MAXIMIZED=FALSE&amp;VAR:CALENDAR=US&amp;VAR:SYMBOL=LO&amp;VAR:INDEX=0"}</definedName>
    <definedName name="_1119">#REF!</definedName>
    <definedName name="_1119__FDSAUDITLINK__" localSheetId="0" hidden="1">{"fdsup://directions/FAT Viewer?action=UPDATE&amp;creator=factset&amp;DYN_ARGS=TRUE&amp;DOC_NAME=FAT:FQL_AUDITING_CLIENT_TEMPLATE.FAT&amp;display_string=Audit&amp;VAR:KEY=POZADSVSPS&amp;VAR:QUERY=RkZfRElWX1lMRChBTk4sMTAvMjkvMDksMTAvMjkvMDkp&amp;WINDOW=FIRST_POPUP&amp;HEIGHT=450&amp;WIDTH=450&amp;","START_MAXIMIZED=FALSE&amp;VAR:CALENDAR=US&amp;VAR:SYMBOL=LO&amp;VAR:INDEX=0"}</definedName>
    <definedName name="_1119__FDSAUDITLINK__" hidden="1">{"fdsup://directions/FAT Viewer?action=UPDATE&amp;creator=factset&amp;DYN_ARGS=TRUE&amp;DOC_NAME=FAT:FQL_AUDITING_CLIENT_TEMPLATE.FAT&amp;display_string=Audit&amp;VAR:KEY=POZADSVSPS&amp;VAR:QUERY=RkZfRElWX1lMRChBTk4sMTAvMjkvMDksMTAvMjkvMDkp&amp;WINDOW=FIRST_POPUP&amp;HEIGHT=450&amp;WIDTH=450&amp;","START_MAXIMIZED=FALSE&amp;VAR:CALENDAR=US&amp;VAR:SYMBOL=LO&amp;VAR:INDEX=0"}</definedName>
    <definedName name="_111s17_" hidden="1">{#N/A,#N/A,FALSE,"UNIT";#N/A,#N/A,FALSE,"UNIT";#N/A,#N/A,FALSE,"계정"}</definedName>
    <definedName name="_112">#REF!</definedName>
    <definedName name="_112__123Graph_FSUPPLIES_BY_B_U">#REF!</definedName>
    <definedName name="_112__FDSAUDITLINK__" localSheetId="0" hidden="1">{"fdsup://directions/FAT Viewer?action=UPDATE&amp;creator=factset&amp;DYN_ARGS=TRUE&amp;DOC_NAME=FAT:FQL_AUDITING_CLIENT_TEMPLATE.FAT&amp;display_string=Audit&amp;VAR:KEY=HIPKRQBWNK&amp;VAR:QUERY=RkZfRElWX1lMRChBTk4sMi8xMi8wOSwyLzEyLzA5KQ==&amp;WINDOW=FIRST_POPUP&amp;HEIGHT=450&amp;WIDTH=450&amp;","START_MAXIMIZED=FALSE&amp;VAR:CALENDAR=US&amp;VAR:SYMBOL=RAI&amp;VAR:INDEX=0"}</definedName>
    <definedName name="_112__FDSAUDITLINK__" hidden="1">{"fdsup://directions/FAT Viewer?action=UPDATE&amp;creator=factset&amp;DYN_ARGS=TRUE&amp;DOC_NAME=FAT:FQL_AUDITING_CLIENT_TEMPLATE.FAT&amp;display_string=Audit&amp;VAR:KEY=HIPKRQBWNK&amp;VAR:QUERY=RkZfRElWX1lMRChBTk4sMi8xMi8wOSwyLzEyLzA5KQ==&amp;WINDOW=FIRST_POPUP&amp;HEIGHT=450&amp;WIDTH=450&amp;","START_MAXIMIZED=FALSE&amp;VAR:CALENDAR=US&amp;VAR:SYMBOL=RAI&amp;VAR:INDEX=0"}</definedName>
    <definedName name="_1120__FDSAUDITLINK__" localSheetId="0" hidden="1">{"fdsup://directions/FAT Viewer?action=UPDATE&amp;creator=factset&amp;DYN_ARGS=TRUE&amp;DOC_NAME=FAT:FQL_AUDITING_CLIENT_TEMPLATE.FAT&amp;display_string=Audit&amp;VAR:KEY=XYDMLOBMJM&amp;VAR:QUERY=RkZfRElWX1lMRChBTk4sMTAvMjIvMDksMTAvMjIvMDkp&amp;WINDOW=FIRST_POPUP&amp;HEIGHT=450&amp;WIDTH=450&amp;","START_MAXIMIZED=FALSE&amp;VAR:CALENDAR=US&amp;VAR:SYMBOL=LO&amp;VAR:INDEX=0"}</definedName>
    <definedName name="_1120__FDSAUDITLINK__" hidden="1">{"fdsup://directions/FAT Viewer?action=UPDATE&amp;creator=factset&amp;DYN_ARGS=TRUE&amp;DOC_NAME=FAT:FQL_AUDITING_CLIENT_TEMPLATE.FAT&amp;display_string=Audit&amp;VAR:KEY=XYDMLOBMJM&amp;VAR:QUERY=RkZfRElWX1lMRChBTk4sMTAvMjIvMDksMTAvMjIvMDkp&amp;WINDOW=FIRST_POPUP&amp;HEIGHT=450&amp;WIDTH=450&amp;","START_MAXIMIZED=FALSE&amp;VAR:CALENDAR=US&amp;VAR:SYMBOL=LO&amp;VAR:INDEX=0"}</definedName>
    <definedName name="_1121__FDSAUDITLINK__" localSheetId="0" hidden="1">{"fdsup://directions/FAT Viewer?action=UPDATE&amp;creator=factset&amp;DYN_ARGS=TRUE&amp;DOC_NAME=FAT:FQL_AUDITING_CLIENT_TEMPLATE.FAT&amp;display_string=Audit&amp;VAR:KEY=ZIVMFYRGHQ&amp;VAR:QUERY=RkZfRElWX1lMRChBTk4sMTAvMTUvMDksMTAvMTUvMDkp&amp;WINDOW=FIRST_POPUP&amp;HEIGHT=450&amp;WIDTH=450&amp;","START_MAXIMIZED=FALSE&amp;VAR:CALENDAR=US&amp;VAR:SYMBOL=LO&amp;VAR:INDEX=0"}</definedName>
    <definedName name="_1121__FDSAUDITLINK__" hidden="1">{"fdsup://directions/FAT Viewer?action=UPDATE&amp;creator=factset&amp;DYN_ARGS=TRUE&amp;DOC_NAME=FAT:FQL_AUDITING_CLIENT_TEMPLATE.FAT&amp;display_string=Audit&amp;VAR:KEY=ZIVMFYRGHQ&amp;VAR:QUERY=RkZfRElWX1lMRChBTk4sMTAvMTUvMDksMTAvMTUvMDkp&amp;WINDOW=FIRST_POPUP&amp;HEIGHT=450&amp;WIDTH=450&amp;","START_MAXIMIZED=FALSE&amp;VAR:CALENDAR=US&amp;VAR:SYMBOL=LO&amp;VAR:INDEX=0"}</definedName>
    <definedName name="_1122__FDSAUDITLINK__" localSheetId="0" hidden="1">{"fdsup://directions/FAT Viewer?action=UPDATE&amp;creator=factset&amp;DYN_ARGS=TRUE&amp;DOC_NAME=FAT:FQL_AUDITING_CLIENT_TEMPLATE.FAT&amp;display_string=Audit&amp;VAR:KEY=VWHELWHWVY&amp;VAR:QUERY=RkZfRElWX1lMRChBTk4sMTAvMDgvMDksMTAvMDgvMDkp&amp;WINDOW=FIRST_POPUP&amp;HEIGHT=450&amp;WIDTH=450&amp;","START_MAXIMIZED=FALSE&amp;VAR:CALENDAR=US&amp;VAR:SYMBOL=LO&amp;VAR:INDEX=0"}</definedName>
    <definedName name="_1122__FDSAUDITLINK__" hidden="1">{"fdsup://directions/FAT Viewer?action=UPDATE&amp;creator=factset&amp;DYN_ARGS=TRUE&amp;DOC_NAME=FAT:FQL_AUDITING_CLIENT_TEMPLATE.FAT&amp;display_string=Audit&amp;VAR:KEY=VWHELWHWVY&amp;VAR:QUERY=RkZfRElWX1lMRChBTk4sMTAvMDgvMDksMTAvMDgvMDkp&amp;WINDOW=FIRST_POPUP&amp;HEIGHT=450&amp;WIDTH=450&amp;","START_MAXIMIZED=FALSE&amp;VAR:CALENDAR=US&amp;VAR:SYMBOL=LO&amp;VAR:INDEX=0"}</definedName>
    <definedName name="_1123__FDSAUDITLINK__" localSheetId="0" hidden="1">{"fdsup://directions/FAT Viewer?action=UPDATE&amp;creator=factset&amp;DYN_ARGS=TRUE&amp;DOC_NAME=FAT:FQL_AUDITING_CLIENT_TEMPLATE.FAT&amp;display_string=Audit&amp;VAR:KEY=LYBQHYHMVQ&amp;VAR:QUERY=RkZfRElWX1lMRChBTk4sMTAvMDEvMDksMTAvMDEvMDkp&amp;WINDOW=FIRST_POPUP&amp;HEIGHT=450&amp;WIDTH=450&amp;","START_MAXIMIZED=FALSE&amp;VAR:CALENDAR=US&amp;VAR:SYMBOL=LO&amp;VAR:INDEX=0"}</definedName>
    <definedName name="_1123__FDSAUDITLINK__" hidden="1">{"fdsup://directions/FAT Viewer?action=UPDATE&amp;creator=factset&amp;DYN_ARGS=TRUE&amp;DOC_NAME=FAT:FQL_AUDITING_CLIENT_TEMPLATE.FAT&amp;display_string=Audit&amp;VAR:KEY=LYBQHYHMVQ&amp;VAR:QUERY=RkZfRElWX1lMRChBTk4sMTAvMDEvMDksMTAvMDEvMDkp&amp;WINDOW=FIRST_POPUP&amp;HEIGHT=450&amp;WIDTH=450&amp;","START_MAXIMIZED=FALSE&amp;VAR:CALENDAR=US&amp;VAR:SYMBOL=LO&amp;VAR:INDEX=0"}</definedName>
    <definedName name="_1124__FDSAUDITLINK__" localSheetId="0" hidden="1">{"fdsup://directions/FAT Viewer?action=UPDATE&amp;creator=factset&amp;DYN_ARGS=TRUE&amp;DOC_NAME=FAT:FQL_AUDITING_CLIENT_TEMPLATE.FAT&amp;display_string=Audit&amp;VAR:KEY=BKVKXQTIZS&amp;VAR:QUERY=RkZfRElWX1lMRChBTk4sOS8yNC8wOSw5LzI0LzA5KQ==&amp;WINDOW=FIRST_POPUP&amp;HEIGHT=450&amp;WIDTH=450&amp;","START_MAXIMIZED=FALSE&amp;VAR:CALENDAR=US&amp;VAR:SYMBOL=LO&amp;VAR:INDEX=0"}</definedName>
    <definedName name="_1124__FDSAUDITLINK__" hidden="1">{"fdsup://directions/FAT Viewer?action=UPDATE&amp;creator=factset&amp;DYN_ARGS=TRUE&amp;DOC_NAME=FAT:FQL_AUDITING_CLIENT_TEMPLATE.FAT&amp;display_string=Audit&amp;VAR:KEY=BKVKXQTIZS&amp;VAR:QUERY=RkZfRElWX1lMRChBTk4sOS8yNC8wOSw5LzI0LzA5KQ==&amp;WINDOW=FIRST_POPUP&amp;HEIGHT=450&amp;WIDTH=450&amp;","START_MAXIMIZED=FALSE&amp;VAR:CALENDAR=US&amp;VAR:SYMBOL=LO&amp;VAR:INDEX=0"}</definedName>
    <definedName name="_1125__FDSAUDITLINK__" localSheetId="0" hidden="1">{"fdsup://directions/FAT Viewer?action=UPDATE&amp;creator=factset&amp;DYN_ARGS=TRUE&amp;DOC_NAME=FAT:FQL_AUDITING_CLIENT_TEMPLATE.FAT&amp;display_string=Audit&amp;VAR:KEY=XGLYNSFMNM&amp;VAR:QUERY=RkZfRElWX1lMRChBTk4sOS8xNy8wOSw5LzE3LzA5KQ==&amp;WINDOW=FIRST_POPUP&amp;HEIGHT=450&amp;WIDTH=450&amp;","START_MAXIMIZED=FALSE&amp;VAR:CALENDAR=US&amp;VAR:SYMBOL=LO&amp;VAR:INDEX=0"}</definedName>
    <definedName name="_1125__FDSAUDITLINK__" hidden="1">{"fdsup://directions/FAT Viewer?action=UPDATE&amp;creator=factset&amp;DYN_ARGS=TRUE&amp;DOC_NAME=FAT:FQL_AUDITING_CLIENT_TEMPLATE.FAT&amp;display_string=Audit&amp;VAR:KEY=XGLYNSFMNM&amp;VAR:QUERY=RkZfRElWX1lMRChBTk4sOS8xNy8wOSw5LzE3LzA5KQ==&amp;WINDOW=FIRST_POPUP&amp;HEIGHT=450&amp;WIDTH=450&amp;","START_MAXIMIZED=FALSE&amp;VAR:CALENDAR=US&amp;VAR:SYMBOL=LO&amp;VAR:INDEX=0"}</definedName>
    <definedName name="_1126__FDSAUDITLINK__" localSheetId="0" hidden="1">{"fdsup://directions/FAT Viewer?action=UPDATE&amp;creator=factset&amp;DYN_ARGS=TRUE&amp;DOC_NAME=FAT:FQL_AUDITING_CLIENT_TEMPLATE.FAT&amp;display_string=Audit&amp;VAR:KEY=XEDKXSLMBO&amp;VAR:QUERY=RkZfRElWX1lMRChBTk4sOS8xMC8wOSw5LzEwLzA5KQ==&amp;WINDOW=FIRST_POPUP&amp;HEIGHT=450&amp;WIDTH=450&amp;","START_MAXIMIZED=FALSE&amp;VAR:CALENDAR=US&amp;VAR:SYMBOL=LO&amp;VAR:INDEX=0"}</definedName>
    <definedName name="_1126__FDSAUDITLINK__" hidden="1">{"fdsup://directions/FAT Viewer?action=UPDATE&amp;creator=factset&amp;DYN_ARGS=TRUE&amp;DOC_NAME=FAT:FQL_AUDITING_CLIENT_TEMPLATE.FAT&amp;display_string=Audit&amp;VAR:KEY=XEDKXSLMBO&amp;VAR:QUERY=RkZfRElWX1lMRChBTk4sOS8xMC8wOSw5LzEwLzA5KQ==&amp;WINDOW=FIRST_POPUP&amp;HEIGHT=450&amp;WIDTH=450&amp;","START_MAXIMIZED=FALSE&amp;VAR:CALENDAR=US&amp;VAR:SYMBOL=LO&amp;VAR:INDEX=0"}</definedName>
    <definedName name="_1127">#REF!</definedName>
    <definedName name="_1127__FDSAUDITLINK__" localSheetId="0" hidden="1">{"fdsup://directions/FAT Viewer?action=UPDATE&amp;creator=factset&amp;DYN_ARGS=TRUE&amp;DOC_NAME=FAT:FQL_AUDITING_CLIENT_TEMPLATE.FAT&amp;display_string=Audit&amp;VAR:KEY=BEXEHKDCFQ&amp;VAR:QUERY=RkZfRElWX1lMRChBTk4sOS8wMy8wOSw5LzAzLzA5KQ==&amp;WINDOW=FIRST_POPUP&amp;HEIGHT=450&amp;WIDTH=450&amp;","START_MAXIMIZED=FALSE&amp;VAR:CALENDAR=US&amp;VAR:SYMBOL=LO&amp;VAR:INDEX=0"}</definedName>
    <definedName name="_1127__FDSAUDITLINK__" hidden="1">{"fdsup://directions/FAT Viewer?action=UPDATE&amp;creator=factset&amp;DYN_ARGS=TRUE&amp;DOC_NAME=FAT:FQL_AUDITING_CLIENT_TEMPLATE.FAT&amp;display_string=Audit&amp;VAR:KEY=BEXEHKDCFQ&amp;VAR:QUERY=RkZfRElWX1lMRChBTk4sOS8wMy8wOSw5LzAzLzA5KQ==&amp;WINDOW=FIRST_POPUP&amp;HEIGHT=450&amp;WIDTH=450&amp;","START_MAXIMIZED=FALSE&amp;VAR:CALENDAR=US&amp;VAR:SYMBOL=LO&amp;VAR:INDEX=0"}</definedName>
    <definedName name="_1128__FDSAUDITLINK__" localSheetId="0" hidden="1">{"fdsup://directions/FAT Viewer?action=UPDATE&amp;creator=factset&amp;DYN_ARGS=TRUE&amp;DOC_NAME=FAT:FQL_AUDITING_CLIENT_TEMPLATE.FAT&amp;display_string=Audit&amp;VAR:KEY=PMXQFSLYTW&amp;VAR:QUERY=RkZfRElWX1lMRChBTk4sOC8yNy8wOSw4LzI3LzA5KQ==&amp;WINDOW=FIRST_POPUP&amp;HEIGHT=450&amp;WIDTH=450&amp;","START_MAXIMIZED=FALSE&amp;VAR:CALENDAR=US&amp;VAR:SYMBOL=LO&amp;VAR:INDEX=0"}</definedName>
    <definedName name="_1128__FDSAUDITLINK__" hidden="1">{"fdsup://directions/FAT Viewer?action=UPDATE&amp;creator=factset&amp;DYN_ARGS=TRUE&amp;DOC_NAME=FAT:FQL_AUDITING_CLIENT_TEMPLATE.FAT&amp;display_string=Audit&amp;VAR:KEY=PMXQFSLYTW&amp;VAR:QUERY=RkZfRElWX1lMRChBTk4sOC8yNy8wOSw4LzI3LzA5KQ==&amp;WINDOW=FIRST_POPUP&amp;HEIGHT=450&amp;WIDTH=450&amp;","START_MAXIMIZED=FALSE&amp;VAR:CALENDAR=US&amp;VAR:SYMBOL=LO&amp;VAR:INDEX=0"}</definedName>
    <definedName name="_1129__FDSAUDITLINK__" localSheetId="0" hidden="1">{"fdsup://directions/FAT Viewer?action=UPDATE&amp;creator=factset&amp;DYN_ARGS=TRUE&amp;DOC_NAME=FAT:FQL_AUDITING_CLIENT_TEMPLATE.FAT&amp;display_string=Audit&amp;VAR:KEY=JCHMLIHKPA&amp;VAR:QUERY=RkZfRElWX1lMRChBTk4sOC8yMC8wOSw4LzIwLzA5KQ==&amp;WINDOW=FIRST_POPUP&amp;HEIGHT=450&amp;WIDTH=450&amp;","START_MAXIMIZED=FALSE&amp;VAR:CALENDAR=US&amp;VAR:SYMBOL=LO&amp;VAR:INDEX=0"}</definedName>
    <definedName name="_1129__FDSAUDITLINK__" hidden="1">{"fdsup://directions/FAT Viewer?action=UPDATE&amp;creator=factset&amp;DYN_ARGS=TRUE&amp;DOC_NAME=FAT:FQL_AUDITING_CLIENT_TEMPLATE.FAT&amp;display_string=Audit&amp;VAR:KEY=JCHMLIHKPA&amp;VAR:QUERY=RkZfRElWX1lMRChBTk4sOC8yMC8wOSw4LzIwLzA5KQ==&amp;WINDOW=FIRST_POPUP&amp;HEIGHT=450&amp;WIDTH=450&amp;","START_MAXIMIZED=FALSE&amp;VAR:CALENDAR=US&amp;VAR:SYMBOL=LO&amp;VAR:INDEX=0"}</definedName>
    <definedName name="_112s2_" hidden="1">{#N/A,#N/A,FALSE,"UNIT";#N/A,#N/A,FALSE,"UNIT";#N/A,#N/A,FALSE,"계정"}</definedName>
    <definedName name="_113">#REF!</definedName>
    <definedName name="_113__FDSAUDITLINK__" localSheetId="0" hidden="1">{"fdsup://directions/FAT Viewer?action=UPDATE&amp;creator=factset&amp;DYN_ARGS=TRUE&amp;DOC_NAME=FAT:FQL_AUDITING_CLIENT_TEMPLATE.FAT&amp;display_string=Audit&amp;VAR:KEY=PEJQVMNKXI&amp;VAR:QUERY=RkZfRElWX1lMRChBTk4sMi8wNS8wOSwyLzA1LzA5KQ==&amp;WINDOW=FIRST_POPUP&amp;HEIGHT=450&amp;WIDTH=450&amp;","START_MAXIMIZED=FALSE&amp;VAR:CALENDAR=US&amp;VAR:SYMBOL=RAI&amp;VAR:INDEX=0"}</definedName>
    <definedName name="_113__FDSAUDITLINK__" hidden="1">{"fdsup://directions/FAT Viewer?action=UPDATE&amp;creator=factset&amp;DYN_ARGS=TRUE&amp;DOC_NAME=FAT:FQL_AUDITING_CLIENT_TEMPLATE.FAT&amp;display_string=Audit&amp;VAR:KEY=PEJQVMNKXI&amp;VAR:QUERY=RkZfRElWX1lMRChBTk4sMi8wNS8wOSwyLzA1LzA5KQ==&amp;WINDOW=FIRST_POPUP&amp;HEIGHT=450&amp;WIDTH=450&amp;","START_MAXIMIZED=FALSE&amp;VAR:CALENDAR=US&amp;VAR:SYMBOL=RAI&amp;VAR:INDEX=0"}</definedName>
    <definedName name="_1130__FDSAUDITLINK__" localSheetId="0" hidden="1">{"fdsup://directions/FAT Viewer?action=UPDATE&amp;creator=factset&amp;DYN_ARGS=TRUE&amp;DOC_NAME=FAT:FQL_AUDITING_CLIENT_TEMPLATE.FAT&amp;display_string=Audit&amp;VAR:KEY=NYRKBCJCLM&amp;VAR:QUERY=RkZfRElWX1lMRChBTk4sOC8xMy8wOSw4LzEzLzA5KQ==&amp;WINDOW=FIRST_POPUP&amp;HEIGHT=450&amp;WIDTH=450&amp;","START_MAXIMIZED=FALSE&amp;VAR:CALENDAR=US&amp;VAR:SYMBOL=LO&amp;VAR:INDEX=0"}</definedName>
    <definedName name="_1130__FDSAUDITLINK__" hidden="1">{"fdsup://directions/FAT Viewer?action=UPDATE&amp;creator=factset&amp;DYN_ARGS=TRUE&amp;DOC_NAME=FAT:FQL_AUDITING_CLIENT_TEMPLATE.FAT&amp;display_string=Audit&amp;VAR:KEY=NYRKBCJCLM&amp;VAR:QUERY=RkZfRElWX1lMRChBTk4sOC8xMy8wOSw4LzEzLzA5KQ==&amp;WINDOW=FIRST_POPUP&amp;HEIGHT=450&amp;WIDTH=450&amp;","START_MAXIMIZED=FALSE&amp;VAR:CALENDAR=US&amp;VAR:SYMBOL=LO&amp;VAR:INDEX=0"}</definedName>
    <definedName name="_1131">#REF!</definedName>
    <definedName name="_1131__FDSAUDITLINK__" localSheetId="0" hidden="1">{"fdsup://directions/FAT Viewer?action=UPDATE&amp;creator=factset&amp;DYN_ARGS=TRUE&amp;DOC_NAME=FAT:FQL_AUDITING_CLIENT_TEMPLATE.FAT&amp;display_string=Audit&amp;VAR:KEY=RWPKJOTOTM&amp;VAR:QUERY=RkZfRElWX1lMRChBTk4sOC8wNi8wOSw4LzA2LzA5KQ==&amp;WINDOW=FIRST_POPUP&amp;HEIGHT=450&amp;WIDTH=450&amp;","START_MAXIMIZED=FALSE&amp;VAR:CALENDAR=US&amp;VAR:SYMBOL=LO&amp;VAR:INDEX=0"}</definedName>
    <definedName name="_1131__FDSAUDITLINK__" hidden="1">{"fdsup://directions/FAT Viewer?action=UPDATE&amp;creator=factset&amp;DYN_ARGS=TRUE&amp;DOC_NAME=FAT:FQL_AUDITING_CLIENT_TEMPLATE.FAT&amp;display_string=Audit&amp;VAR:KEY=RWPKJOTOTM&amp;VAR:QUERY=RkZfRElWX1lMRChBTk4sOC8wNi8wOSw4LzA2LzA5KQ==&amp;WINDOW=FIRST_POPUP&amp;HEIGHT=450&amp;WIDTH=450&amp;","START_MAXIMIZED=FALSE&amp;VAR:CALENDAR=US&amp;VAR:SYMBOL=LO&amp;VAR:INDEX=0"}</definedName>
    <definedName name="_1132__FDSAUDITLINK__" localSheetId="0" hidden="1">{"fdsup://directions/FAT Viewer?action=UPDATE&amp;creator=factset&amp;DYN_ARGS=TRUE&amp;DOC_NAME=FAT:FQL_AUDITING_CLIENT_TEMPLATE.FAT&amp;display_string=Audit&amp;VAR:KEY=FUVYFSXWHG&amp;VAR:QUERY=RkZfRElWX1lMRChBTk4sNy8zMC8wOSw3LzMwLzA5KQ==&amp;WINDOW=FIRST_POPUP&amp;HEIGHT=450&amp;WIDTH=450&amp;","START_MAXIMIZED=FALSE&amp;VAR:CALENDAR=US&amp;VAR:SYMBOL=LO&amp;VAR:INDEX=0"}</definedName>
    <definedName name="_1132__FDSAUDITLINK__" hidden="1">{"fdsup://directions/FAT Viewer?action=UPDATE&amp;creator=factset&amp;DYN_ARGS=TRUE&amp;DOC_NAME=FAT:FQL_AUDITING_CLIENT_TEMPLATE.FAT&amp;display_string=Audit&amp;VAR:KEY=FUVYFSXWHG&amp;VAR:QUERY=RkZfRElWX1lMRChBTk4sNy8zMC8wOSw3LzMwLzA5KQ==&amp;WINDOW=FIRST_POPUP&amp;HEIGHT=450&amp;WIDTH=450&amp;","START_MAXIMIZED=FALSE&amp;VAR:CALENDAR=US&amp;VAR:SYMBOL=LO&amp;VAR:INDEX=0"}</definedName>
    <definedName name="_1133__FDSAUDITLINK__" localSheetId="0" hidden="1">{"fdsup://directions/FAT Viewer?action=UPDATE&amp;creator=factset&amp;DYN_ARGS=TRUE&amp;DOC_NAME=FAT:FQL_AUDITING_CLIENT_TEMPLATE.FAT&amp;display_string=Audit&amp;VAR:KEY=JGLCFMDWVW&amp;VAR:QUERY=RkZfRElWX1lMRChBTk4sNy8yMy8wOSw3LzIzLzA5KQ==&amp;WINDOW=FIRST_POPUP&amp;HEIGHT=450&amp;WIDTH=450&amp;","START_MAXIMIZED=FALSE&amp;VAR:CALENDAR=US&amp;VAR:SYMBOL=LO&amp;VAR:INDEX=0"}</definedName>
    <definedName name="_1133__FDSAUDITLINK__" hidden="1">{"fdsup://directions/FAT Viewer?action=UPDATE&amp;creator=factset&amp;DYN_ARGS=TRUE&amp;DOC_NAME=FAT:FQL_AUDITING_CLIENT_TEMPLATE.FAT&amp;display_string=Audit&amp;VAR:KEY=JGLCFMDWVW&amp;VAR:QUERY=RkZfRElWX1lMRChBTk4sNy8yMy8wOSw3LzIzLzA5KQ==&amp;WINDOW=FIRST_POPUP&amp;HEIGHT=450&amp;WIDTH=450&amp;","START_MAXIMIZED=FALSE&amp;VAR:CALENDAR=US&amp;VAR:SYMBOL=LO&amp;VAR:INDEX=0"}</definedName>
    <definedName name="_1134__FDSAUDITLINK__" localSheetId="0" hidden="1">{"fdsup://directions/FAT Viewer?action=UPDATE&amp;creator=factset&amp;DYN_ARGS=TRUE&amp;DOC_NAME=FAT:FQL_AUDITING_CLIENT_TEMPLATE.FAT&amp;display_string=Audit&amp;VAR:KEY=XCJGFCDOLS&amp;VAR:QUERY=RkZfRElWX1lMRChBTk4sNy8xNi8wOSw3LzE2LzA5KQ==&amp;WINDOW=FIRST_POPUP&amp;HEIGHT=450&amp;WIDTH=450&amp;","START_MAXIMIZED=FALSE&amp;VAR:CALENDAR=US&amp;VAR:SYMBOL=LO&amp;VAR:INDEX=0"}</definedName>
    <definedName name="_1134__FDSAUDITLINK__" hidden="1">{"fdsup://directions/FAT Viewer?action=UPDATE&amp;creator=factset&amp;DYN_ARGS=TRUE&amp;DOC_NAME=FAT:FQL_AUDITING_CLIENT_TEMPLATE.FAT&amp;display_string=Audit&amp;VAR:KEY=XCJGFCDOLS&amp;VAR:QUERY=RkZfRElWX1lMRChBTk4sNy8xNi8wOSw3LzE2LzA5KQ==&amp;WINDOW=FIRST_POPUP&amp;HEIGHT=450&amp;WIDTH=450&amp;","START_MAXIMIZED=FALSE&amp;VAR:CALENDAR=US&amp;VAR:SYMBOL=LO&amp;VAR:INDEX=0"}</definedName>
    <definedName name="_1135__FDSAUDITLINK__" localSheetId="0" hidden="1">{"fdsup://directions/FAT Viewer?action=UPDATE&amp;creator=factset&amp;DYN_ARGS=TRUE&amp;DOC_NAME=FAT:FQL_AUDITING_CLIENT_TEMPLATE.FAT&amp;display_string=Audit&amp;VAR:KEY=TEJOPYNKXC&amp;VAR:QUERY=RkZfRElWX1lMRChBTk4sNy8wOS8wOSw3LzA5LzA5KQ==&amp;WINDOW=FIRST_POPUP&amp;HEIGHT=450&amp;WIDTH=450&amp;","START_MAXIMIZED=FALSE&amp;VAR:CALENDAR=US&amp;VAR:SYMBOL=LO&amp;VAR:INDEX=0"}</definedName>
    <definedName name="_1135__FDSAUDITLINK__" hidden="1">{"fdsup://directions/FAT Viewer?action=UPDATE&amp;creator=factset&amp;DYN_ARGS=TRUE&amp;DOC_NAME=FAT:FQL_AUDITING_CLIENT_TEMPLATE.FAT&amp;display_string=Audit&amp;VAR:KEY=TEJOPYNKXC&amp;VAR:QUERY=RkZfRElWX1lMRChBTk4sNy8wOS8wOSw3LzA5LzA5KQ==&amp;WINDOW=FIRST_POPUP&amp;HEIGHT=450&amp;WIDTH=450&amp;","START_MAXIMIZED=FALSE&amp;VAR:CALENDAR=US&amp;VAR:SYMBOL=LO&amp;VAR:INDEX=0"}</definedName>
    <definedName name="_1136">#REF!</definedName>
    <definedName name="_1136__FDSAUDITLINK__" localSheetId="0" hidden="1">{"fdsup://directions/FAT Viewer?action=UPDATE&amp;creator=factset&amp;DYN_ARGS=TRUE&amp;DOC_NAME=FAT:FQL_AUDITING_CLIENT_TEMPLATE.FAT&amp;display_string=Audit&amp;VAR:KEY=VUBYZYLUNS&amp;VAR:QUERY=RkZfRElWX1lMRChBTk4sNy8wMi8wOSw3LzAyLzA5KQ==&amp;WINDOW=FIRST_POPUP&amp;HEIGHT=450&amp;WIDTH=450&amp;","START_MAXIMIZED=FALSE&amp;VAR:CALENDAR=US&amp;VAR:SYMBOL=LO&amp;VAR:INDEX=0"}</definedName>
    <definedName name="_1136__FDSAUDITLINK__" hidden="1">{"fdsup://directions/FAT Viewer?action=UPDATE&amp;creator=factset&amp;DYN_ARGS=TRUE&amp;DOC_NAME=FAT:FQL_AUDITING_CLIENT_TEMPLATE.FAT&amp;display_string=Audit&amp;VAR:KEY=VUBYZYLUNS&amp;VAR:QUERY=RkZfRElWX1lMRChBTk4sNy8wMi8wOSw3LzAyLzA5KQ==&amp;WINDOW=FIRST_POPUP&amp;HEIGHT=450&amp;WIDTH=450&amp;","START_MAXIMIZED=FALSE&amp;VAR:CALENDAR=US&amp;VAR:SYMBOL=LO&amp;VAR:INDEX=0"}</definedName>
    <definedName name="_1137">#REF!</definedName>
    <definedName name="_1137__FDSAUDITLINK__" localSheetId="0" hidden="1">{"fdsup://directions/FAT Viewer?action=UPDATE&amp;creator=factset&amp;DYN_ARGS=TRUE&amp;DOC_NAME=FAT:FQL_AUDITING_CLIENT_TEMPLATE.FAT&amp;display_string=Audit&amp;VAR:KEY=TAZQJGJSVG&amp;VAR:QUERY=RkZfRElWX1lMRChBTk4sNi8yNS8wOSw2LzI1LzA5KQ==&amp;WINDOW=FIRST_POPUP&amp;HEIGHT=450&amp;WIDTH=450&amp;","START_MAXIMIZED=FALSE&amp;VAR:CALENDAR=US&amp;VAR:SYMBOL=LO&amp;VAR:INDEX=0"}</definedName>
    <definedName name="_1137__FDSAUDITLINK__" hidden="1">{"fdsup://directions/FAT Viewer?action=UPDATE&amp;creator=factset&amp;DYN_ARGS=TRUE&amp;DOC_NAME=FAT:FQL_AUDITING_CLIENT_TEMPLATE.FAT&amp;display_string=Audit&amp;VAR:KEY=TAZQJGJSVG&amp;VAR:QUERY=RkZfRElWX1lMRChBTk4sNi8yNS8wOSw2LzI1LzA5KQ==&amp;WINDOW=FIRST_POPUP&amp;HEIGHT=450&amp;WIDTH=450&amp;","START_MAXIMIZED=FALSE&amp;VAR:CALENDAR=US&amp;VAR:SYMBOL=LO&amp;VAR:INDEX=0"}</definedName>
    <definedName name="_1138">#REF!</definedName>
    <definedName name="_1138__FDSAUDITLINK__" localSheetId="0" hidden="1">{"fdsup://directions/FAT Viewer?action=UPDATE&amp;creator=factset&amp;DYN_ARGS=TRUE&amp;DOC_NAME=FAT:FQL_AUDITING_CLIENT_TEMPLATE.FAT&amp;display_string=Audit&amp;VAR:KEY=ZARYRSVSFI&amp;VAR:QUERY=RkZfRElWX1lMRChBTk4sNi8xOC8wOSw2LzE4LzA5KQ==&amp;WINDOW=FIRST_POPUP&amp;HEIGHT=450&amp;WIDTH=450&amp;","START_MAXIMIZED=FALSE&amp;VAR:CALENDAR=US&amp;VAR:SYMBOL=LO&amp;VAR:INDEX=0"}</definedName>
    <definedName name="_1138__FDSAUDITLINK__" hidden="1">{"fdsup://directions/FAT Viewer?action=UPDATE&amp;creator=factset&amp;DYN_ARGS=TRUE&amp;DOC_NAME=FAT:FQL_AUDITING_CLIENT_TEMPLATE.FAT&amp;display_string=Audit&amp;VAR:KEY=ZARYRSVSFI&amp;VAR:QUERY=RkZfRElWX1lMRChBTk4sNi8xOC8wOSw2LzE4LzA5KQ==&amp;WINDOW=FIRST_POPUP&amp;HEIGHT=450&amp;WIDTH=450&amp;","START_MAXIMIZED=FALSE&amp;VAR:CALENDAR=US&amp;VAR:SYMBOL=LO&amp;VAR:INDEX=0"}</definedName>
    <definedName name="_1139">#REF!</definedName>
    <definedName name="_1139__FDSAUDITLINK__" localSheetId="0" hidden="1">{"fdsup://directions/FAT Viewer?action=UPDATE&amp;creator=factset&amp;DYN_ARGS=TRUE&amp;DOC_NAME=FAT:FQL_AUDITING_CLIENT_TEMPLATE.FAT&amp;display_string=Audit&amp;VAR:KEY=DIPQNMBMNK&amp;VAR:QUERY=RkZfRElWX1lMRChBTk4sNi8xMS8wOSw2LzExLzA5KQ==&amp;WINDOW=FIRST_POPUP&amp;HEIGHT=450&amp;WIDTH=450&amp;","START_MAXIMIZED=FALSE&amp;VAR:CALENDAR=US&amp;VAR:SYMBOL=LO&amp;VAR:INDEX=0"}</definedName>
    <definedName name="_1139__FDSAUDITLINK__" hidden="1">{"fdsup://directions/FAT Viewer?action=UPDATE&amp;creator=factset&amp;DYN_ARGS=TRUE&amp;DOC_NAME=FAT:FQL_AUDITING_CLIENT_TEMPLATE.FAT&amp;display_string=Audit&amp;VAR:KEY=DIPQNMBMNK&amp;VAR:QUERY=RkZfRElWX1lMRChBTk4sNi8xMS8wOSw2LzExLzA5KQ==&amp;WINDOW=FIRST_POPUP&amp;HEIGHT=450&amp;WIDTH=450&amp;","START_MAXIMIZED=FALSE&amp;VAR:CALENDAR=US&amp;VAR:SYMBOL=LO&amp;VAR:INDEX=0"}</definedName>
    <definedName name="_113s3_" hidden="1">{#N/A,#N/A,FALSE,"UNIT";#N/A,#N/A,FALSE,"UNIT";#N/A,#N/A,FALSE,"계정"}</definedName>
    <definedName name="_114">#REF!</definedName>
    <definedName name="_114__123Graph_DQRE_S_BY_CO.">#REF!</definedName>
    <definedName name="_114__FDSAUDITLINK__" localSheetId="0" hidden="1">{"fdsup://directions/FAT Viewer?action=UPDATE&amp;creator=factset&amp;DYN_ARGS=TRUE&amp;DOC_NAME=FAT:FQL_AUDITING_CLIENT_TEMPLATE.FAT&amp;display_string=Audit&amp;VAR:KEY=PIPAXSNUDW&amp;VAR:QUERY=RkZfRElWX1lMRChBTk4sMS8yOS8wOSwxLzI5LzA5KQ==&amp;WINDOW=FIRST_POPUP&amp;HEIGHT=450&amp;WIDTH=450&amp;","START_MAXIMIZED=FALSE&amp;VAR:CALENDAR=US&amp;VAR:SYMBOL=RAI&amp;VAR:INDEX=0"}</definedName>
    <definedName name="_114__FDSAUDITLINK__" hidden="1">{"fdsup://directions/FAT Viewer?action=UPDATE&amp;creator=factset&amp;DYN_ARGS=TRUE&amp;DOC_NAME=FAT:FQL_AUDITING_CLIENT_TEMPLATE.FAT&amp;display_string=Audit&amp;VAR:KEY=PIPAXSNUDW&amp;VAR:QUERY=RkZfRElWX1lMRChBTk4sMS8yOS8wOSwxLzI5LzA5KQ==&amp;WINDOW=FIRST_POPUP&amp;HEIGHT=450&amp;WIDTH=450&amp;","START_MAXIMIZED=FALSE&amp;VAR:CALENDAR=US&amp;VAR:SYMBOL=RAI&amp;VAR:INDEX=0"}</definedName>
    <definedName name="_1140">#REF!</definedName>
    <definedName name="_1140__FDSAUDITLINK__" localSheetId="0" hidden="1">{"fdsup://directions/FAT Viewer?action=UPDATE&amp;creator=factset&amp;DYN_ARGS=TRUE&amp;DOC_NAME=FAT:FQL_AUDITING_CLIENT_TEMPLATE.FAT&amp;display_string=Audit&amp;VAR:KEY=VITEDUDGXQ&amp;VAR:QUERY=RkZfRElWX1lMRChBTk4sNi8wNC8wOSw2LzA0LzA5KQ==&amp;WINDOW=FIRST_POPUP&amp;HEIGHT=450&amp;WIDTH=450&amp;","START_MAXIMIZED=FALSE&amp;VAR:CALENDAR=US&amp;VAR:SYMBOL=LO&amp;VAR:INDEX=0"}</definedName>
    <definedName name="_1140__FDSAUDITLINK__" hidden="1">{"fdsup://directions/FAT Viewer?action=UPDATE&amp;creator=factset&amp;DYN_ARGS=TRUE&amp;DOC_NAME=FAT:FQL_AUDITING_CLIENT_TEMPLATE.FAT&amp;display_string=Audit&amp;VAR:KEY=VITEDUDGXQ&amp;VAR:QUERY=RkZfRElWX1lMRChBTk4sNi8wNC8wOSw2LzA0LzA5KQ==&amp;WINDOW=FIRST_POPUP&amp;HEIGHT=450&amp;WIDTH=450&amp;","START_MAXIMIZED=FALSE&amp;VAR:CALENDAR=US&amp;VAR:SYMBOL=LO&amp;VAR:INDEX=0"}</definedName>
    <definedName name="_1141">#REF!</definedName>
    <definedName name="_1141__FDSAUDITLINK__" localSheetId="0" hidden="1">{"fdsup://directions/FAT Viewer?action=UPDATE&amp;creator=factset&amp;DYN_ARGS=TRUE&amp;DOC_NAME=FAT:FQL_AUDITING_CLIENT_TEMPLATE.FAT&amp;display_string=Audit&amp;VAR:KEY=PQRAPEHUFM&amp;VAR:QUERY=RkZfRElWX1lMRChBTk4sNS8yOC8wOSw1LzI4LzA5KQ==&amp;WINDOW=FIRST_POPUP&amp;HEIGHT=450&amp;WIDTH=450&amp;","START_MAXIMIZED=FALSE&amp;VAR:CALENDAR=US&amp;VAR:SYMBOL=LO&amp;VAR:INDEX=0"}</definedName>
    <definedName name="_1141__FDSAUDITLINK__" hidden="1">{"fdsup://directions/FAT Viewer?action=UPDATE&amp;creator=factset&amp;DYN_ARGS=TRUE&amp;DOC_NAME=FAT:FQL_AUDITING_CLIENT_TEMPLATE.FAT&amp;display_string=Audit&amp;VAR:KEY=PQRAPEHUFM&amp;VAR:QUERY=RkZfRElWX1lMRChBTk4sNS8yOC8wOSw1LzI4LzA5KQ==&amp;WINDOW=FIRST_POPUP&amp;HEIGHT=450&amp;WIDTH=450&amp;","START_MAXIMIZED=FALSE&amp;VAR:CALENDAR=US&amp;VAR:SYMBOL=LO&amp;VAR:INDEX=0"}</definedName>
    <definedName name="_1142">#REF!</definedName>
    <definedName name="_1142__FDSAUDITLINK__" localSheetId="0" hidden="1">{"fdsup://directions/FAT Viewer?action=UPDATE&amp;creator=factset&amp;DYN_ARGS=TRUE&amp;DOC_NAME=FAT:FQL_AUDITING_CLIENT_TEMPLATE.FAT&amp;display_string=Audit&amp;VAR:KEY=ZAJGFAJMXG&amp;VAR:QUERY=RkZfRElWX1lMRChBTk4sNS8yMS8wOSw1LzIxLzA5KQ==&amp;WINDOW=FIRST_POPUP&amp;HEIGHT=450&amp;WIDTH=450&amp;","START_MAXIMIZED=FALSE&amp;VAR:CALENDAR=US&amp;VAR:SYMBOL=LO&amp;VAR:INDEX=0"}</definedName>
    <definedName name="_1142__FDSAUDITLINK__" hidden="1">{"fdsup://directions/FAT Viewer?action=UPDATE&amp;creator=factset&amp;DYN_ARGS=TRUE&amp;DOC_NAME=FAT:FQL_AUDITING_CLIENT_TEMPLATE.FAT&amp;display_string=Audit&amp;VAR:KEY=ZAJGFAJMXG&amp;VAR:QUERY=RkZfRElWX1lMRChBTk4sNS8yMS8wOSw1LzIxLzA5KQ==&amp;WINDOW=FIRST_POPUP&amp;HEIGHT=450&amp;WIDTH=450&amp;","START_MAXIMIZED=FALSE&amp;VAR:CALENDAR=US&amp;VAR:SYMBOL=LO&amp;VAR:INDEX=0"}</definedName>
    <definedName name="_1143">#REF!</definedName>
    <definedName name="_1143__FDSAUDITLINK__" localSheetId="0" hidden="1">{"fdsup://directions/FAT Viewer?action=UPDATE&amp;creator=factset&amp;DYN_ARGS=TRUE&amp;DOC_NAME=FAT:FQL_AUDITING_CLIENT_TEMPLATE.FAT&amp;display_string=Audit&amp;VAR:KEY=RWFYRCBAZM&amp;VAR:QUERY=RkZfRElWX1lMRChBTk4sNS8xNC8wOSw1LzE0LzA5KQ==&amp;WINDOW=FIRST_POPUP&amp;HEIGHT=450&amp;WIDTH=450&amp;","START_MAXIMIZED=FALSE&amp;VAR:CALENDAR=US&amp;VAR:SYMBOL=LO&amp;VAR:INDEX=0"}</definedName>
    <definedName name="_1143__FDSAUDITLINK__" hidden="1">{"fdsup://directions/FAT Viewer?action=UPDATE&amp;creator=factset&amp;DYN_ARGS=TRUE&amp;DOC_NAME=FAT:FQL_AUDITING_CLIENT_TEMPLATE.FAT&amp;display_string=Audit&amp;VAR:KEY=RWFYRCBAZM&amp;VAR:QUERY=RkZfRElWX1lMRChBTk4sNS8xNC8wOSw1LzE0LzA5KQ==&amp;WINDOW=FIRST_POPUP&amp;HEIGHT=450&amp;WIDTH=450&amp;","START_MAXIMIZED=FALSE&amp;VAR:CALENDAR=US&amp;VAR:SYMBOL=LO&amp;VAR:INDEX=0"}</definedName>
    <definedName name="_1144">#REF!</definedName>
    <definedName name="_1144__FDSAUDITLINK__" localSheetId="0" hidden="1">{"fdsup://directions/FAT Viewer?action=UPDATE&amp;creator=factset&amp;DYN_ARGS=TRUE&amp;DOC_NAME=FAT:FQL_AUDITING_CLIENT_TEMPLATE.FAT&amp;display_string=Audit&amp;VAR:KEY=RYBSTQJYDK&amp;VAR:QUERY=RkZfRElWX1lMRChBTk4sNS8wNy8wOSw1LzA3LzA5KQ==&amp;WINDOW=FIRST_POPUP&amp;HEIGHT=450&amp;WIDTH=450&amp;","START_MAXIMIZED=FALSE&amp;VAR:CALENDAR=US&amp;VAR:SYMBOL=LO&amp;VAR:INDEX=0"}</definedName>
    <definedName name="_1144__FDSAUDITLINK__" hidden="1">{"fdsup://directions/FAT Viewer?action=UPDATE&amp;creator=factset&amp;DYN_ARGS=TRUE&amp;DOC_NAME=FAT:FQL_AUDITING_CLIENT_TEMPLATE.FAT&amp;display_string=Audit&amp;VAR:KEY=RYBSTQJYDK&amp;VAR:QUERY=RkZfRElWX1lMRChBTk4sNS8wNy8wOSw1LzA3LzA5KQ==&amp;WINDOW=FIRST_POPUP&amp;HEIGHT=450&amp;WIDTH=450&amp;","START_MAXIMIZED=FALSE&amp;VAR:CALENDAR=US&amp;VAR:SYMBOL=LO&amp;VAR:INDEX=0"}</definedName>
    <definedName name="_1145">#REF!</definedName>
    <definedName name="_1145__FDSAUDITLINK__" localSheetId="0" hidden="1">{"fdsup://directions/FAT Viewer?action=UPDATE&amp;creator=factset&amp;DYN_ARGS=TRUE&amp;DOC_NAME=FAT:FQL_AUDITING_CLIENT_TEMPLATE.FAT&amp;display_string=Audit&amp;VAR:KEY=VIJODWPKTG&amp;VAR:QUERY=RkZfRElWX1lMRChBTk4sNC8zMC8wOSw0LzMwLzA5KQ==&amp;WINDOW=FIRST_POPUP&amp;HEIGHT=450&amp;WIDTH=450&amp;","START_MAXIMIZED=FALSE&amp;VAR:CALENDAR=US&amp;VAR:SYMBOL=LO&amp;VAR:INDEX=0"}</definedName>
    <definedName name="_1145__FDSAUDITLINK__" hidden="1">{"fdsup://directions/FAT Viewer?action=UPDATE&amp;creator=factset&amp;DYN_ARGS=TRUE&amp;DOC_NAME=FAT:FQL_AUDITING_CLIENT_TEMPLATE.FAT&amp;display_string=Audit&amp;VAR:KEY=VIJODWPKTG&amp;VAR:QUERY=RkZfRElWX1lMRChBTk4sNC8zMC8wOSw0LzMwLzA5KQ==&amp;WINDOW=FIRST_POPUP&amp;HEIGHT=450&amp;WIDTH=450&amp;","START_MAXIMIZED=FALSE&amp;VAR:CALENDAR=US&amp;VAR:SYMBOL=LO&amp;VAR:INDEX=0"}</definedName>
    <definedName name="_1146">#REF!</definedName>
    <definedName name="_1146__FDSAUDITLINK__" localSheetId="0" hidden="1">{"fdsup://directions/FAT Viewer?action=UPDATE&amp;creator=factset&amp;DYN_ARGS=TRUE&amp;DOC_NAME=FAT:FQL_AUDITING_CLIENT_TEMPLATE.FAT&amp;display_string=Audit&amp;VAR:KEY=LORMXMFIRA&amp;VAR:QUERY=RkZfRElWX1lMRChBTk4sNC8yMy8wOSw0LzIzLzA5KQ==&amp;WINDOW=FIRST_POPUP&amp;HEIGHT=450&amp;WIDTH=450&amp;","START_MAXIMIZED=FALSE&amp;VAR:CALENDAR=US&amp;VAR:SYMBOL=LO&amp;VAR:INDEX=0"}</definedName>
    <definedName name="_1146__FDSAUDITLINK__" hidden="1">{"fdsup://directions/FAT Viewer?action=UPDATE&amp;creator=factset&amp;DYN_ARGS=TRUE&amp;DOC_NAME=FAT:FQL_AUDITING_CLIENT_TEMPLATE.FAT&amp;display_string=Audit&amp;VAR:KEY=LORMXMFIRA&amp;VAR:QUERY=RkZfRElWX1lMRChBTk4sNC8yMy8wOSw0LzIzLzA5KQ==&amp;WINDOW=FIRST_POPUP&amp;HEIGHT=450&amp;WIDTH=450&amp;","START_MAXIMIZED=FALSE&amp;VAR:CALENDAR=US&amp;VAR:SYMBOL=LO&amp;VAR:INDEX=0"}</definedName>
    <definedName name="_1147">#REF!</definedName>
    <definedName name="_1147__FDSAUDITLINK__" localSheetId="0" hidden="1">{"fdsup://directions/FAT Viewer?action=UPDATE&amp;creator=factset&amp;DYN_ARGS=TRUE&amp;DOC_NAME=FAT:FQL_AUDITING_CLIENT_TEMPLATE.FAT&amp;display_string=Audit&amp;VAR:KEY=XCTAHOVMZY&amp;VAR:QUERY=RkZfRElWX1lMRChBTk4sNC8xNi8wOSw0LzE2LzA5KQ==&amp;WINDOW=FIRST_POPUP&amp;HEIGHT=450&amp;WIDTH=450&amp;","START_MAXIMIZED=FALSE&amp;VAR:CALENDAR=US&amp;VAR:SYMBOL=LO&amp;VAR:INDEX=0"}</definedName>
    <definedName name="_1147__FDSAUDITLINK__" hidden="1">{"fdsup://directions/FAT Viewer?action=UPDATE&amp;creator=factset&amp;DYN_ARGS=TRUE&amp;DOC_NAME=FAT:FQL_AUDITING_CLIENT_TEMPLATE.FAT&amp;display_string=Audit&amp;VAR:KEY=XCTAHOVMZY&amp;VAR:QUERY=RkZfRElWX1lMRChBTk4sNC8xNi8wOSw0LzE2LzA5KQ==&amp;WINDOW=FIRST_POPUP&amp;HEIGHT=450&amp;WIDTH=450&amp;","START_MAXIMIZED=FALSE&amp;VAR:CALENDAR=US&amp;VAR:SYMBOL=LO&amp;VAR:INDEX=0"}</definedName>
    <definedName name="_1148">#REF!</definedName>
    <definedName name="_1148__FDSAUDITLINK__" localSheetId="0" hidden="1">{"fdsup://directions/FAT Viewer?action=UPDATE&amp;creator=factset&amp;DYN_ARGS=TRUE&amp;DOC_NAME=FAT:FQL_AUDITING_CLIENT_TEMPLATE.FAT&amp;display_string=Audit&amp;VAR:KEY=DCNITCBUBW&amp;VAR:QUERY=RkZfRElWX1lMRChBTk4sNC8wOS8wOSw0LzA5LzA5KQ==&amp;WINDOW=FIRST_POPUP&amp;HEIGHT=450&amp;WIDTH=450&amp;","START_MAXIMIZED=FALSE&amp;VAR:CALENDAR=US&amp;VAR:SYMBOL=LO&amp;VAR:INDEX=0"}</definedName>
    <definedName name="_1148__FDSAUDITLINK__" hidden="1">{"fdsup://directions/FAT Viewer?action=UPDATE&amp;creator=factset&amp;DYN_ARGS=TRUE&amp;DOC_NAME=FAT:FQL_AUDITING_CLIENT_TEMPLATE.FAT&amp;display_string=Audit&amp;VAR:KEY=DCNITCBUBW&amp;VAR:QUERY=RkZfRElWX1lMRChBTk4sNC8wOS8wOSw0LzA5LzA5KQ==&amp;WINDOW=FIRST_POPUP&amp;HEIGHT=450&amp;WIDTH=450&amp;","START_MAXIMIZED=FALSE&amp;VAR:CALENDAR=US&amp;VAR:SYMBOL=LO&amp;VAR:INDEX=0"}</definedName>
    <definedName name="_1149">#REF!</definedName>
    <definedName name="_1149__FDSAUDITLINK__" localSheetId="0" hidden="1">{"fdsup://directions/FAT Viewer?action=UPDATE&amp;creator=factset&amp;DYN_ARGS=TRUE&amp;DOC_NAME=FAT:FQL_AUDITING_CLIENT_TEMPLATE.FAT&amp;display_string=Audit&amp;VAR:KEY=LWNGPCVCRQ&amp;VAR:QUERY=RkZfRElWX1lMRChBTk4sNC8wMi8wOSw0LzAyLzA5KQ==&amp;WINDOW=FIRST_POPUP&amp;HEIGHT=450&amp;WIDTH=450&amp;","START_MAXIMIZED=FALSE&amp;VAR:CALENDAR=US&amp;VAR:SYMBOL=LO&amp;VAR:INDEX=0"}</definedName>
    <definedName name="_1149__FDSAUDITLINK__" hidden="1">{"fdsup://directions/FAT Viewer?action=UPDATE&amp;creator=factset&amp;DYN_ARGS=TRUE&amp;DOC_NAME=FAT:FQL_AUDITING_CLIENT_TEMPLATE.FAT&amp;display_string=Audit&amp;VAR:KEY=LWNGPCVCRQ&amp;VAR:QUERY=RkZfRElWX1lMRChBTk4sNC8wMi8wOSw0LzAyLzA5KQ==&amp;WINDOW=FIRST_POPUP&amp;HEIGHT=450&amp;WIDTH=450&amp;","START_MAXIMIZED=FALSE&amp;VAR:CALENDAR=US&amp;VAR:SYMBOL=LO&amp;VAR:INDEX=0"}</definedName>
    <definedName name="_114s4_" hidden="1">{#N/A,#N/A,FALSE,"UNIT";#N/A,#N/A,FALSE,"UNIT";#N/A,#N/A,FALSE,"계정"}</definedName>
    <definedName name="_115__123Graph_DQRE_S_BY_CO.">#REF!</definedName>
    <definedName name="_115__123Graph_XCHART_3">#REF!</definedName>
    <definedName name="_115__FDSAUDITLINK__" localSheetId="0" hidden="1">{"fdsup://directions/FAT Viewer?action=UPDATE&amp;creator=factset&amp;DYN_ARGS=TRUE&amp;DOC_NAME=FAT:FQL_AUDITING_CLIENT_TEMPLATE.FAT&amp;display_string=Audit&amp;VAR:KEY=HUPGTKXCNO&amp;VAR:QUERY=RkZfRElWX1lMRChBTk4sMS8yMi8wOSwxLzIyLzA5KQ==&amp;WINDOW=FIRST_POPUP&amp;HEIGHT=450&amp;WIDTH=450&amp;","START_MAXIMIZED=FALSE&amp;VAR:CALENDAR=US&amp;VAR:SYMBOL=RAI&amp;VAR:INDEX=0"}</definedName>
    <definedName name="_115__FDSAUDITLINK__" hidden="1">{"fdsup://directions/FAT Viewer?action=UPDATE&amp;creator=factset&amp;DYN_ARGS=TRUE&amp;DOC_NAME=FAT:FQL_AUDITING_CLIENT_TEMPLATE.FAT&amp;display_string=Audit&amp;VAR:KEY=HUPGTKXCNO&amp;VAR:QUERY=RkZfRElWX1lMRChBTk4sMS8yMi8wOSwxLzIyLzA5KQ==&amp;WINDOW=FIRST_POPUP&amp;HEIGHT=450&amp;WIDTH=450&amp;","START_MAXIMIZED=FALSE&amp;VAR:CALENDAR=US&amp;VAR:SYMBOL=RAI&amp;VAR:INDEX=0"}</definedName>
    <definedName name="_1150">#REF!</definedName>
    <definedName name="_1150__FDSAUDITLINK__" localSheetId="0" hidden="1">{"fdsup://directions/FAT Viewer?action=UPDATE&amp;creator=factset&amp;DYN_ARGS=TRUE&amp;DOC_NAME=FAT:FQL_AUDITING_CLIENT_TEMPLATE.FAT&amp;display_string=Audit&amp;VAR:KEY=ZQXMFYFIJA&amp;VAR:QUERY=RkZfRElWX1lMRChBTk4sMy8yNi8wOSwzLzI2LzA5KQ==&amp;WINDOW=FIRST_POPUP&amp;HEIGHT=450&amp;WIDTH=450&amp;","START_MAXIMIZED=FALSE&amp;VAR:CALENDAR=US&amp;VAR:SYMBOL=LO&amp;VAR:INDEX=0"}</definedName>
    <definedName name="_1150__FDSAUDITLINK__" hidden="1">{"fdsup://directions/FAT Viewer?action=UPDATE&amp;creator=factset&amp;DYN_ARGS=TRUE&amp;DOC_NAME=FAT:FQL_AUDITING_CLIENT_TEMPLATE.FAT&amp;display_string=Audit&amp;VAR:KEY=ZQXMFYFIJA&amp;VAR:QUERY=RkZfRElWX1lMRChBTk4sMy8yNi8wOSwzLzI2LzA5KQ==&amp;WINDOW=FIRST_POPUP&amp;HEIGHT=450&amp;WIDTH=450&amp;","START_MAXIMIZED=FALSE&amp;VAR:CALENDAR=US&amp;VAR:SYMBOL=LO&amp;VAR:INDEX=0"}</definedName>
    <definedName name="_1151">#REF!</definedName>
    <definedName name="_1151__FDSAUDITLINK__" localSheetId="0" hidden="1">{"fdsup://directions/FAT Viewer?action=UPDATE&amp;creator=factset&amp;DYN_ARGS=TRUE&amp;DOC_NAME=FAT:FQL_AUDITING_CLIENT_TEMPLATE.FAT&amp;display_string=Audit&amp;VAR:KEY=BMTWHCJGTU&amp;VAR:QUERY=RkZfRElWX1lMRChBTk4sMy8xOS8wOSwzLzE5LzA5KQ==&amp;WINDOW=FIRST_POPUP&amp;HEIGHT=450&amp;WIDTH=450&amp;","START_MAXIMIZED=FALSE&amp;VAR:CALENDAR=US&amp;VAR:SYMBOL=LO&amp;VAR:INDEX=0"}</definedName>
    <definedName name="_1151__FDSAUDITLINK__" hidden="1">{"fdsup://directions/FAT Viewer?action=UPDATE&amp;creator=factset&amp;DYN_ARGS=TRUE&amp;DOC_NAME=FAT:FQL_AUDITING_CLIENT_TEMPLATE.FAT&amp;display_string=Audit&amp;VAR:KEY=BMTWHCJGTU&amp;VAR:QUERY=RkZfRElWX1lMRChBTk4sMy8xOS8wOSwzLzE5LzA5KQ==&amp;WINDOW=FIRST_POPUP&amp;HEIGHT=450&amp;WIDTH=450&amp;","START_MAXIMIZED=FALSE&amp;VAR:CALENDAR=US&amp;VAR:SYMBOL=LO&amp;VAR:INDEX=0"}</definedName>
    <definedName name="_1152">#REF!</definedName>
    <definedName name="_1152__FDSAUDITLINK__" localSheetId="0" hidden="1">{"fdsup://directions/FAT Viewer?action=UPDATE&amp;creator=factset&amp;DYN_ARGS=TRUE&amp;DOC_NAME=FAT:FQL_AUDITING_CLIENT_TEMPLATE.FAT&amp;display_string=Audit&amp;VAR:KEY=TCXYHGDEPE&amp;VAR:QUERY=RkZfRElWX1lMRChBTk4sMy8xMi8wOSwzLzEyLzA5KQ==&amp;WINDOW=FIRST_POPUP&amp;HEIGHT=450&amp;WIDTH=450&amp;","START_MAXIMIZED=FALSE&amp;VAR:CALENDAR=US&amp;VAR:SYMBOL=LO&amp;VAR:INDEX=0"}</definedName>
    <definedName name="_1152__FDSAUDITLINK__" hidden="1">{"fdsup://directions/FAT Viewer?action=UPDATE&amp;creator=factset&amp;DYN_ARGS=TRUE&amp;DOC_NAME=FAT:FQL_AUDITING_CLIENT_TEMPLATE.FAT&amp;display_string=Audit&amp;VAR:KEY=TCXYHGDEPE&amp;VAR:QUERY=RkZfRElWX1lMRChBTk4sMy8xMi8wOSwzLzEyLzA5KQ==&amp;WINDOW=FIRST_POPUP&amp;HEIGHT=450&amp;WIDTH=450&amp;","START_MAXIMIZED=FALSE&amp;VAR:CALENDAR=US&amp;VAR:SYMBOL=LO&amp;VAR:INDEX=0"}</definedName>
    <definedName name="_1153">#REF!</definedName>
    <definedName name="_1153__FDSAUDITLINK__" localSheetId="0" hidden="1">{"fdsup://directions/FAT Viewer?action=UPDATE&amp;creator=factset&amp;DYN_ARGS=TRUE&amp;DOC_NAME=FAT:FQL_AUDITING_CLIENT_TEMPLATE.FAT&amp;display_string=Audit&amp;VAR:KEY=LKTOPEHCJK&amp;VAR:QUERY=RkZfRElWX1lMRChBTk4sMy8wNS8wOSwzLzA1LzA5KQ==&amp;WINDOW=FIRST_POPUP&amp;HEIGHT=450&amp;WIDTH=450&amp;","START_MAXIMIZED=FALSE&amp;VAR:CALENDAR=US&amp;VAR:SYMBOL=LO&amp;VAR:INDEX=0"}</definedName>
    <definedName name="_1153__FDSAUDITLINK__" hidden="1">{"fdsup://directions/FAT Viewer?action=UPDATE&amp;creator=factset&amp;DYN_ARGS=TRUE&amp;DOC_NAME=FAT:FQL_AUDITING_CLIENT_TEMPLATE.FAT&amp;display_string=Audit&amp;VAR:KEY=LKTOPEHCJK&amp;VAR:QUERY=RkZfRElWX1lMRChBTk4sMy8wNS8wOSwzLzA1LzA5KQ==&amp;WINDOW=FIRST_POPUP&amp;HEIGHT=450&amp;WIDTH=450&amp;","START_MAXIMIZED=FALSE&amp;VAR:CALENDAR=US&amp;VAR:SYMBOL=LO&amp;VAR:INDEX=0"}</definedName>
    <definedName name="_1154">#REF!</definedName>
    <definedName name="_1154__FDSAUDITLINK__" localSheetId="0" hidden="1">{"fdsup://directions/FAT Viewer?action=UPDATE&amp;creator=factset&amp;DYN_ARGS=TRUE&amp;DOC_NAME=FAT:FQL_AUDITING_CLIENT_TEMPLATE.FAT&amp;display_string=Audit&amp;VAR:KEY=NEVYBSBGHA&amp;VAR:QUERY=RkZfRElWX1lMRChBTk4sMi8yNi8wOSwyLzI2LzA5KQ==&amp;WINDOW=FIRST_POPUP&amp;HEIGHT=450&amp;WIDTH=450&amp;","START_MAXIMIZED=FALSE&amp;VAR:CALENDAR=US&amp;VAR:SYMBOL=LO&amp;VAR:INDEX=0"}</definedName>
    <definedName name="_1154__FDSAUDITLINK__" hidden="1">{"fdsup://directions/FAT Viewer?action=UPDATE&amp;creator=factset&amp;DYN_ARGS=TRUE&amp;DOC_NAME=FAT:FQL_AUDITING_CLIENT_TEMPLATE.FAT&amp;display_string=Audit&amp;VAR:KEY=NEVYBSBGHA&amp;VAR:QUERY=RkZfRElWX1lMRChBTk4sMi8yNi8wOSwyLzI2LzA5KQ==&amp;WINDOW=FIRST_POPUP&amp;HEIGHT=450&amp;WIDTH=450&amp;","START_MAXIMIZED=FALSE&amp;VAR:CALENDAR=US&amp;VAR:SYMBOL=LO&amp;VAR:INDEX=0"}</definedName>
    <definedName name="_1155">#REF!</definedName>
    <definedName name="_1155__FDSAUDITLINK__" localSheetId="0" hidden="1">{"fdsup://directions/FAT Viewer?action=UPDATE&amp;creator=factset&amp;DYN_ARGS=TRUE&amp;DOC_NAME=FAT:FQL_AUDITING_CLIENT_TEMPLATE.FAT&amp;display_string=Audit&amp;VAR:KEY=BITYNGVSDS&amp;VAR:QUERY=RkZfRElWX1lMRChBTk4sMi8xOS8wOSwyLzE5LzA5KQ==&amp;WINDOW=FIRST_POPUP&amp;HEIGHT=450&amp;WIDTH=450&amp;","START_MAXIMIZED=FALSE&amp;VAR:CALENDAR=US&amp;VAR:SYMBOL=LO&amp;VAR:INDEX=0"}</definedName>
    <definedName name="_1155__FDSAUDITLINK__" hidden="1">{"fdsup://directions/FAT Viewer?action=UPDATE&amp;creator=factset&amp;DYN_ARGS=TRUE&amp;DOC_NAME=FAT:FQL_AUDITING_CLIENT_TEMPLATE.FAT&amp;display_string=Audit&amp;VAR:KEY=BITYNGVSDS&amp;VAR:QUERY=RkZfRElWX1lMRChBTk4sMi8xOS8wOSwyLzE5LzA5KQ==&amp;WINDOW=FIRST_POPUP&amp;HEIGHT=450&amp;WIDTH=450&amp;","START_MAXIMIZED=FALSE&amp;VAR:CALENDAR=US&amp;VAR:SYMBOL=LO&amp;VAR:INDEX=0"}</definedName>
    <definedName name="_1156__FDSAUDITLINK__" localSheetId="0" hidden="1">{"fdsup://directions/FAT Viewer?action=UPDATE&amp;creator=factset&amp;DYN_ARGS=TRUE&amp;DOC_NAME=FAT:FQL_AUDITING_CLIENT_TEMPLATE.FAT&amp;display_string=Audit&amp;VAR:KEY=DITCTCTWZU&amp;VAR:QUERY=RkZfRElWX1lMRChBTk4sMi8xMi8wOSwyLzEyLzA5KQ==&amp;WINDOW=FIRST_POPUP&amp;HEIGHT=450&amp;WIDTH=450&amp;","START_MAXIMIZED=FALSE&amp;VAR:CALENDAR=US&amp;VAR:SYMBOL=LO&amp;VAR:INDEX=0"}</definedName>
    <definedName name="_1156__FDSAUDITLINK__" hidden="1">{"fdsup://directions/FAT Viewer?action=UPDATE&amp;creator=factset&amp;DYN_ARGS=TRUE&amp;DOC_NAME=FAT:FQL_AUDITING_CLIENT_TEMPLATE.FAT&amp;display_string=Audit&amp;VAR:KEY=DITCTCTWZU&amp;VAR:QUERY=RkZfRElWX1lMRChBTk4sMi8xMi8wOSwyLzEyLzA5KQ==&amp;WINDOW=FIRST_POPUP&amp;HEIGHT=450&amp;WIDTH=450&amp;","START_MAXIMIZED=FALSE&amp;VAR:CALENDAR=US&amp;VAR:SYMBOL=LO&amp;VAR:INDEX=0"}</definedName>
    <definedName name="_1157__FDSAUDITLINK__" localSheetId="0" hidden="1">{"fdsup://directions/FAT Viewer?action=UPDATE&amp;creator=factset&amp;DYN_ARGS=TRUE&amp;DOC_NAME=FAT:FQL_AUDITING_CLIENT_TEMPLATE.FAT&amp;display_string=Audit&amp;VAR:KEY=BWTIXIDENQ&amp;VAR:QUERY=RkZfRElWX1lMRChBTk4sMi8wNS8wOSwyLzA1LzA5KQ==&amp;WINDOW=FIRST_POPUP&amp;HEIGHT=450&amp;WIDTH=450&amp;","START_MAXIMIZED=FALSE&amp;VAR:CALENDAR=US&amp;VAR:SYMBOL=LO&amp;VAR:INDEX=0"}</definedName>
    <definedName name="_1157__FDSAUDITLINK__" hidden="1">{"fdsup://directions/FAT Viewer?action=UPDATE&amp;creator=factset&amp;DYN_ARGS=TRUE&amp;DOC_NAME=FAT:FQL_AUDITING_CLIENT_TEMPLATE.FAT&amp;display_string=Audit&amp;VAR:KEY=BWTIXIDENQ&amp;VAR:QUERY=RkZfRElWX1lMRChBTk4sMi8wNS8wOSwyLzA1LzA5KQ==&amp;WINDOW=FIRST_POPUP&amp;HEIGHT=450&amp;WIDTH=450&amp;","START_MAXIMIZED=FALSE&amp;VAR:CALENDAR=US&amp;VAR:SYMBOL=LO&amp;VAR:INDEX=0"}</definedName>
    <definedName name="_1158">#REF!</definedName>
    <definedName name="_1158__FDSAUDITLINK__" localSheetId="0" hidden="1">{"fdsup://directions/FAT Viewer?action=UPDATE&amp;creator=factset&amp;DYN_ARGS=TRUE&amp;DOC_NAME=FAT:FQL_AUDITING_CLIENT_TEMPLATE.FAT&amp;display_string=Audit&amp;VAR:KEY=POTYHANIFM&amp;VAR:QUERY=RkZfRElWX1lMRChBTk4sMS8yOS8wOSwxLzI5LzA5KQ==&amp;WINDOW=FIRST_POPUP&amp;HEIGHT=450&amp;WIDTH=450&amp;","START_MAXIMIZED=FALSE&amp;VAR:CALENDAR=US&amp;VAR:SYMBOL=LO&amp;VAR:INDEX=0"}</definedName>
    <definedName name="_1158__FDSAUDITLINK__" hidden="1">{"fdsup://directions/FAT Viewer?action=UPDATE&amp;creator=factset&amp;DYN_ARGS=TRUE&amp;DOC_NAME=FAT:FQL_AUDITING_CLIENT_TEMPLATE.FAT&amp;display_string=Audit&amp;VAR:KEY=POTYHANIFM&amp;VAR:QUERY=RkZfRElWX1lMRChBTk4sMS8yOS8wOSwxLzI5LzA5KQ==&amp;WINDOW=FIRST_POPUP&amp;HEIGHT=450&amp;WIDTH=450&amp;","START_MAXIMIZED=FALSE&amp;VAR:CALENDAR=US&amp;VAR:SYMBOL=LO&amp;VAR:INDEX=0"}</definedName>
    <definedName name="_1159__FDSAUDITLINK__" localSheetId="0" hidden="1">{"fdsup://directions/FAT Viewer?action=UPDATE&amp;creator=factset&amp;DYN_ARGS=TRUE&amp;DOC_NAME=FAT:FQL_AUDITING_CLIENT_TEMPLATE.FAT&amp;display_string=Audit&amp;VAR:KEY=FKDUDURQZK&amp;VAR:QUERY=RkZfRElWX1lMRChBTk4sMS8yMi8wOSwxLzIyLzA5KQ==&amp;WINDOW=FIRST_POPUP&amp;HEIGHT=450&amp;WIDTH=450&amp;","START_MAXIMIZED=FALSE&amp;VAR:CALENDAR=US&amp;VAR:SYMBOL=LO&amp;VAR:INDEX=0"}</definedName>
    <definedName name="_1159__FDSAUDITLINK__" hidden="1">{"fdsup://directions/FAT Viewer?action=UPDATE&amp;creator=factset&amp;DYN_ARGS=TRUE&amp;DOC_NAME=FAT:FQL_AUDITING_CLIENT_TEMPLATE.FAT&amp;display_string=Audit&amp;VAR:KEY=FKDUDURQZK&amp;VAR:QUERY=RkZfRElWX1lMRChBTk4sMS8yMi8wOSwxLzIyLzA5KQ==&amp;WINDOW=FIRST_POPUP&amp;HEIGHT=450&amp;WIDTH=450&amp;","START_MAXIMIZED=FALSE&amp;VAR:CALENDAR=US&amp;VAR:SYMBOL=LO&amp;VAR:INDEX=0"}</definedName>
    <definedName name="_115s5_" hidden="1">{#N/A,#N/A,FALSE,"UNIT";#N/A,#N/A,FALSE,"UNIT";#N/A,#N/A,FALSE,"계정"}</definedName>
    <definedName name="_116__123Graph_EQRE_S_BY_CO.">#REF!</definedName>
    <definedName name="_116__123Graph_FWAGES_BY_B_U">#REF!</definedName>
    <definedName name="_116__FDSAUDITLINK__" localSheetId="0" hidden="1">{"fdsup://directions/FAT Viewer?action=UPDATE&amp;creator=factset&amp;DYN_ARGS=TRUE&amp;DOC_NAME=FAT:FQL_AUDITING_CLIENT_TEMPLATE.FAT&amp;display_string=Audit&amp;VAR:KEY=JSLUXYBULQ&amp;VAR:QUERY=RkZfRElWX1lMRChBTk4sMS8xNS8wOSwxLzE1LzA5KQ==&amp;WINDOW=FIRST_POPUP&amp;HEIGHT=450&amp;WIDTH=450&amp;","START_MAXIMIZED=FALSE&amp;VAR:CALENDAR=US&amp;VAR:SYMBOL=RAI&amp;VAR:INDEX=0"}</definedName>
    <definedName name="_116__FDSAUDITLINK__" hidden="1">{"fdsup://directions/FAT Viewer?action=UPDATE&amp;creator=factset&amp;DYN_ARGS=TRUE&amp;DOC_NAME=FAT:FQL_AUDITING_CLIENT_TEMPLATE.FAT&amp;display_string=Audit&amp;VAR:KEY=JSLUXYBULQ&amp;VAR:QUERY=RkZfRElWX1lMRChBTk4sMS8xNS8wOSwxLzE1LzA5KQ==&amp;WINDOW=FIRST_POPUP&amp;HEIGHT=450&amp;WIDTH=450&amp;","START_MAXIMIZED=FALSE&amp;VAR:CALENDAR=US&amp;VAR:SYMBOL=RAI&amp;VAR:INDEX=0"}</definedName>
    <definedName name="_1160__FDSAUDITLINK__" localSheetId="0" hidden="1">{"fdsup://directions/FAT Viewer?action=UPDATE&amp;creator=factset&amp;DYN_ARGS=TRUE&amp;DOC_NAME=FAT:FQL_AUDITING_CLIENT_TEMPLATE.FAT&amp;display_string=Audit&amp;VAR:KEY=TOPMHSHWHO&amp;VAR:QUERY=RkZfRElWX1lMRChBTk4sMS8xNS8wOSwxLzE1LzA5KQ==&amp;WINDOW=FIRST_POPUP&amp;HEIGHT=450&amp;WIDTH=450&amp;","START_MAXIMIZED=FALSE&amp;VAR:CALENDAR=US&amp;VAR:SYMBOL=LO&amp;VAR:INDEX=0"}</definedName>
    <definedName name="_1160__FDSAUDITLINK__" hidden="1">{"fdsup://directions/FAT Viewer?action=UPDATE&amp;creator=factset&amp;DYN_ARGS=TRUE&amp;DOC_NAME=FAT:FQL_AUDITING_CLIENT_TEMPLATE.FAT&amp;display_string=Audit&amp;VAR:KEY=TOPMHSHWHO&amp;VAR:QUERY=RkZfRElWX1lMRChBTk4sMS8xNS8wOSwxLzE1LzA5KQ==&amp;WINDOW=FIRST_POPUP&amp;HEIGHT=450&amp;WIDTH=450&amp;","START_MAXIMIZED=FALSE&amp;VAR:CALENDAR=US&amp;VAR:SYMBOL=LO&amp;VAR:INDEX=0"}</definedName>
    <definedName name="_1161__FDSAUDITLINK__" localSheetId="0" hidden="1">{"fdsup://directions/FAT Viewer?action=UPDATE&amp;creator=factset&amp;DYN_ARGS=TRUE&amp;DOC_NAME=FAT:FQL_AUDITING_CLIENT_TEMPLATE.FAT&amp;display_string=Audit&amp;VAR:KEY=JKXKNGTMVO&amp;VAR:QUERY=RkZfRElWX1lMRChBTk4sMS8wOC8wOSwxLzA4LzA5KQ==&amp;WINDOW=FIRST_POPUP&amp;HEIGHT=450&amp;WIDTH=450&amp;","START_MAXIMIZED=FALSE&amp;VAR:CALENDAR=US&amp;VAR:SYMBOL=LO&amp;VAR:INDEX=0"}</definedName>
    <definedName name="_1161__FDSAUDITLINK__" hidden="1">{"fdsup://directions/FAT Viewer?action=UPDATE&amp;creator=factset&amp;DYN_ARGS=TRUE&amp;DOC_NAME=FAT:FQL_AUDITING_CLIENT_TEMPLATE.FAT&amp;display_string=Audit&amp;VAR:KEY=JKXKNGTMVO&amp;VAR:QUERY=RkZfRElWX1lMRChBTk4sMS8wOC8wOSwxLzA4LzA5KQ==&amp;WINDOW=FIRST_POPUP&amp;HEIGHT=450&amp;WIDTH=450&amp;","START_MAXIMIZED=FALSE&amp;VAR:CALENDAR=US&amp;VAR:SYMBOL=LO&amp;VAR:INDEX=0"}</definedName>
    <definedName name="_1162__FDSAUDITLINK__" localSheetId="0" hidden="1">{"fdsup://directions/FAT Viewer?action=UPDATE&amp;creator=factset&amp;DYN_ARGS=TRUE&amp;DOC_NAME=FAT:FQL_AUDITING_CLIENT_TEMPLATE.FAT&amp;display_string=Audit&amp;VAR:KEY=JWPINGRKZM&amp;VAR:QUERY=RkZfRElWX1lMRChBTk4sMTIvMzEvMDgsMTIvMzEvMDgp&amp;WINDOW=FIRST_POPUP&amp;HEIGHT=450&amp;WIDTH=450&amp;","START_MAXIMIZED=FALSE&amp;VAR:CALENDAR=US&amp;VAR:SYMBOL=LO&amp;VAR:INDEX=0"}</definedName>
    <definedName name="_1162__FDSAUDITLINK__" hidden="1">{"fdsup://directions/FAT Viewer?action=UPDATE&amp;creator=factset&amp;DYN_ARGS=TRUE&amp;DOC_NAME=FAT:FQL_AUDITING_CLIENT_TEMPLATE.FAT&amp;display_string=Audit&amp;VAR:KEY=JWPINGRKZM&amp;VAR:QUERY=RkZfRElWX1lMRChBTk4sMTIvMzEvMDgsMTIvMzEvMDgp&amp;WINDOW=FIRST_POPUP&amp;HEIGHT=450&amp;WIDTH=450&amp;","START_MAXIMIZED=FALSE&amp;VAR:CALENDAR=US&amp;VAR:SYMBOL=LO&amp;VAR:INDEX=0"}</definedName>
    <definedName name="_1163">#REF!</definedName>
    <definedName name="_1163__FDSAUDITLINK__" localSheetId="0" hidden="1">{"fdsup://directions/FAT Viewer?action=UPDATE&amp;creator=factset&amp;DYN_ARGS=TRUE&amp;DOC_NAME=FAT:FQL_AUDITING_CLIENT_TEMPLATE.FAT&amp;display_string=Audit&amp;VAR:KEY=LUZWBINITC&amp;VAR:QUERY=RkZfRElWX1lMRChBTk4sMTIvMjQvMDgsMTIvMjQvMDgp&amp;WINDOW=FIRST_POPUP&amp;HEIGHT=450&amp;WIDTH=450&amp;","START_MAXIMIZED=FALSE&amp;VAR:CALENDAR=US&amp;VAR:SYMBOL=LO&amp;VAR:INDEX=0"}</definedName>
    <definedName name="_1163__FDSAUDITLINK__" hidden="1">{"fdsup://directions/FAT Viewer?action=UPDATE&amp;creator=factset&amp;DYN_ARGS=TRUE&amp;DOC_NAME=FAT:FQL_AUDITING_CLIENT_TEMPLATE.FAT&amp;display_string=Audit&amp;VAR:KEY=LUZWBINITC&amp;VAR:QUERY=RkZfRElWX1lMRChBTk4sMTIvMjQvMDgsMTIvMjQvMDgp&amp;WINDOW=FIRST_POPUP&amp;HEIGHT=450&amp;WIDTH=450&amp;","START_MAXIMIZED=FALSE&amp;VAR:CALENDAR=US&amp;VAR:SYMBOL=LO&amp;VAR:INDEX=0"}</definedName>
    <definedName name="_1164__FDSAUDITLINK__" localSheetId="0" hidden="1">{"fdsup://directions/FAT Viewer?action=UPDATE&amp;creator=factset&amp;DYN_ARGS=TRUE&amp;DOC_NAME=FAT:FQL_AUDITING_CLIENT_TEMPLATE.FAT&amp;display_string=Audit&amp;VAR:KEY=DGJENMHEHC&amp;VAR:QUERY=RkZfRElWX1lMRChBTk4sMTIvMTgvMDgsMTIvMTgvMDgp&amp;WINDOW=FIRST_POPUP&amp;HEIGHT=450&amp;WIDTH=450&amp;","START_MAXIMIZED=FALSE&amp;VAR:CALENDAR=US&amp;VAR:SYMBOL=LO&amp;VAR:INDEX=0"}</definedName>
    <definedName name="_1164__FDSAUDITLINK__" hidden="1">{"fdsup://directions/FAT Viewer?action=UPDATE&amp;creator=factset&amp;DYN_ARGS=TRUE&amp;DOC_NAME=FAT:FQL_AUDITING_CLIENT_TEMPLATE.FAT&amp;display_string=Audit&amp;VAR:KEY=DGJENMHEHC&amp;VAR:QUERY=RkZfRElWX1lMRChBTk4sMTIvMTgvMDgsMTIvMTgvMDgp&amp;WINDOW=FIRST_POPUP&amp;HEIGHT=450&amp;WIDTH=450&amp;","START_MAXIMIZED=FALSE&amp;VAR:CALENDAR=US&amp;VAR:SYMBOL=LO&amp;VAR:INDEX=0"}</definedName>
    <definedName name="_1165__FDSAUDITLINK__" localSheetId="0" hidden="1">{"fdsup://directions/FAT Viewer?action=UPDATE&amp;creator=factset&amp;DYN_ARGS=TRUE&amp;DOC_NAME=FAT:FQL_AUDITING_CLIENT_TEMPLATE.FAT&amp;display_string=Audit&amp;VAR:KEY=NYLULEDGNM&amp;VAR:QUERY=RkZfRElWX1lMRChBTk4sMTIvMTEvMDgsMTIvMTEvMDgp&amp;WINDOW=FIRST_POPUP&amp;HEIGHT=450&amp;WIDTH=450&amp;","START_MAXIMIZED=FALSE&amp;VAR:CALENDAR=US&amp;VAR:SYMBOL=LO&amp;VAR:INDEX=0"}</definedName>
    <definedName name="_1165__FDSAUDITLINK__" hidden="1">{"fdsup://directions/FAT Viewer?action=UPDATE&amp;creator=factset&amp;DYN_ARGS=TRUE&amp;DOC_NAME=FAT:FQL_AUDITING_CLIENT_TEMPLATE.FAT&amp;display_string=Audit&amp;VAR:KEY=NYLULEDGNM&amp;VAR:QUERY=RkZfRElWX1lMRChBTk4sMTIvMTEvMDgsMTIvMTEvMDgp&amp;WINDOW=FIRST_POPUP&amp;HEIGHT=450&amp;WIDTH=450&amp;","START_MAXIMIZED=FALSE&amp;VAR:CALENDAR=US&amp;VAR:SYMBOL=LO&amp;VAR:INDEX=0"}</definedName>
    <definedName name="_1166__FDSAUDITLINK__" localSheetId="0" hidden="1">{"fdsup://directions/FAT Viewer?action=UPDATE&amp;creator=factset&amp;DYN_ARGS=TRUE&amp;DOC_NAME=FAT:FQL_AUDITING_CLIENT_TEMPLATE.FAT&amp;display_string=Audit&amp;VAR:KEY=TADAJSNWZY&amp;VAR:QUERY=RkZfRElWX1lMRChBTk4sMTIvMDQvMDgsMTIvMDQvMDgp&amp;WINDOW=FIRST_POPUP&amp;HEIGHT=450&amp;WIDTH=450&amp;","START_MAXIMIZED=FALSE&amp;VAR:CALENDAR=US&amp;VAR:SYMBOL=LO&amp;VAR:INDEX=0"}</definedName>
    <definedName name="_1166__FDSAUDITLINK__" hidden="1">{"fdsup://directions/FAT Viewer?action=UPDATE&amp;creator=factset&amp;DYN_ARGS=TRUE&amp;DOC_NAME=FAT:FQL_AUDITING_CLIENT_TEMPLATE.FAT&amp;display_string=Audit&amp;VAR:KEY=TADAJSNWZY&amp;VAR:QUERY=RkZfRElWX1lMRChBTk4sMTIvMDQvMDgsMTIvMDQvMDgp&amp;WINDOW=FIRST_POPUP&amp;HEIGHT=450&amp;WIDTH=450&amp;","START_MAXIMIZED=FALSE&amp;VAR:CALENDAR=US&amp;VAR:SYMBOL=LO&amp;VAR:INDEX=0"}</definedName>
    <definedName name="_1167__FDSAUDITLINK__" localSheetId="0" hidden="1">{"fdsup://directions/FAT Viewer?action=UPDATE&amp;creator=factset&amp;DYN_ARGS=TRUE&amp;DOC_NAME=FAT:FQL_AUDITING_CLIENT_TEMPLATE.FAT&amp;display_string=Audit&amp;VAR:KEY=DUPWTGVMNC&amp;VAR:QUERY=RkZfRElWX1lMRChBTk4sMTEvMjYvMDgsMTEvMjYvMDgp&amp;WINDOW=FIRST_POPUP&amp;HEIGHT=450&amp;WIDTH=450&amp;","START_MAXIMIZED=FALSE&amp;VAR:CALENDAR=US&amp;VAR:SYMBOL=LO&amp;VAR:INDEX=0"}</definedName>
    <definedName name="_1167__FDSAUDITLINK__" hidden="1">{"fdsup://directions/FAT Viewer?action=UPDATE&amp;creator=factset&amp;DYN_ARGS=TRUE&amp;DOC_NAME=FAT:FQL_AUDITING_CLIENT_TEMPLATE.FAT&amp;display_string=Audit&amp;VAR:KEY=DUPWTGVMNC&amp;VAR:QUERY=RkZfRElWX1lMRChBTk4sMTEvMjYvMDgsMTEvMjYvMDgp&amp;WINDOW=FIRST_POPUP&amp;HEIGHT=450&amp;WIDTH=450&amp;","START_MAXIMIZED=FALSE&amp;VAR:CALENDAR=US&amp;VAR:SYMBOL=LO&amp;VAR:INDEX=0"}</definedName>
    <definedName name="_1168__FDSAUDITLINK__" localSheetId="0" hidden="1">{"fdsup://directions/FAT Viewer?action=UPDATE&amp;creator=factset&amp;DYN_ARGS=TRUE&amp;DOC_NAME=FAT:FQL_AUDITING_CLIENT_TEMPLATE.FAT&amp;display_string=Audit&amp;VAR:KEY=XOJSHALEXO&amp;VAR:QUERY=RkZfRElWX1lMRChBTk4sMTEvMjAvMDgsMTEvMjAvMDgp&amp;WINDOW=FIRST_POPUP&amp;HEIGHT=450&amp;WIDTH=450&amp;","START_MAXIMIZED=FALSE&amp;VAR:CALENDAR=US&amp;VAR:SYMBOL=LO&amp;VAR:INDEX=0"}</definedName>
    <definedName name="_1168__FDSAUDITLINK__" hidden="1">{"fdsup://directions/FAT Viewer?action=UPDATE&amp;creator=factset&amp;DYN_ARGS=TRUE&amp;DOC_NAME=FAT:FQL_AUDITING_CLIENT_TEMPLATE.FAT&amp;display_string=Audit&amp;VAR:KEY=XOJSHALEXO&amp;VAR:QUERY=RkZfRElWX1lMRChBTk4sMTEvMjAvMDgsMTEvMjAvMDgp&amp;WINDOW=FIRST_POPUP&amp;HEIGHT=450&amp;WIDTH=450&amp;","START_MAXIMIZED=FALSE&amp;VAR:CALENDAR=US&amp;VAR:SYMBOL=LO&amp;VAR:INDEX=0"}</definedName>
    <definedName name="_1169__FDSAUDITLINK__" localSheetId="0" hidden="1">{"fdsup://directions/FAT Viewer?action=UPDATE&amp;creator=factset&amp;DYN_ARGS=TRUE&amp;DOC_NAME=FAT:FQL_AUDITING_CLIENT_TEMPLATE.FAT&amp;display_string=Audit&amp;VAR:KEY=ZQHIXYPQBW&amp;VAR:QUERY=RkZfRElWX1lMRChBTk4sMTEvMTMvMDgsMTEvMTMvMDgp&amp;WINDOW=FIRST_POPUP&amp;HEIGHT=450&amp;WIDTH=450&amp;","START_MAXIMIZED=FALSE&amp;VAR:CALENDAR=US&amp;VAR:SYMBOL=LO&amp;VAR:INDEX=0"}</definedName>
    <definedName name="_1169__FDSAUDITLINK__" hidden="1">{"fdsup://directions/FAT Viewer?action=UPDATE&amp;creator=factset&amp;DYN_ARGS=TRUE&amp;DOC_NAME=FAT:FQL_AUDITING_CLIENT_TEMPLATE.FAT&amp;display_string=Audit&amp;VAR:KEY=ZQHIXYPQBW&amp;VAR:QUERY=RkZfRElWX1lMRChBTk4sMTEvMTMvMDgsMTEvMTMvMDgp&amp;WINDOW=FIRST_POPUP&amp;HEIGHT=450&amp;WIDTH=450&amp;","START_MAXIMIZED=FALSE&amp;VAR:CALENDAR=US&amp;VAR:SYMBOL=LO&amp;VAR:INDEX=0"}</definedName>
    <definedName name="_116s6_" hidden="1">{#N/A,#N/A,FALSE,"UNIT";#N/A,#N/A,FALSE,"UNIT";#N/A,#N/A,FALSE,"계정"}</definedName>
    <definedName name="_117">#REF!</definedName>
    <definedName name="_117__FDSAUDITLINK__" localSheetId="0" hidden="1">{"fdsup://directions/FAT Viewer?action=UPDATE&amp;creator=factset&amp;DYN_ARGS=TRUE&amp;DOC_NAME=FAT:FQL_AUDITING_CLIENT_TEMPLATE.FAT&amp;display_string=Audit&amp;VAR:KEY=TYLEREZMBQ&amp;VAR:QUERY=RkZfRElWX1lMRChBTk4sMS8wOC8wOSwxLzA4LzA5KQ==&amp;WINDOW=FIRST_POPUP&amp;HEIGHT=450&amp;WIDTH=450&amp;","START_MAXIMIZED=FALSE&amp;VAR:CALENDAR=US&amp;VAR:SYMBOL=RAI&amp;VAR:INDEX=0"}</definedName>
    <definedName name="_117__FDSAUDITLINK__" hidden="1">{"fdsup://directions/FAT Viewer?action=UPDATE&amp;creator=factset&amp;DYN_ARGS=TRUE&amp;DOC_NAME=FAT:FQL_AUDITING_CLIENT_TEMPLATE.FAT&amp;display_string=Audit&amp;VAR:KEY=TYLEREZMBQ&amp;VAR:QUERY=RkZfRElWX1lMRChBTk4sMS8wOC8wOSwxLzA4LzA5KQ==&amp;WINDOW=FIRST_POPUP&amp;HEIGHT=450&amp;WIDTH=450&amp;","START_MAXIMIZED=FALSE&amp;VAR:CALENDAR=US&amp;VAR:SYMBOL=RAI&amp;VAR:INDEX=0"}</definedName>
    <definedName name="_1170">#REF!</definedName>
    <definedName name="_1170__FDSAUDITLINK__" localSheetId="0" hidden="1">{"fdsup://directions/FAT Viewer?action=UPDATE&amp;creator=factset&amp;DYN_ARGS=TRUE&amp;DOC_NAME=FAT:FQL_AUDITING_CLIENT_TEMPLATE.FAT&amp;display_string=Audit&amp;VAR:KEY=DOFWNCHEFE&amp;VAR:QUERY=RkZfRElWX1lMRChBTk4sMTEvMDYvMDgsMTEvMDYvMDgp&amp;WINDOW=FIRST_POPUP&amp;HEIGHT=450&amp;WIDTH=450&amp;","START_MAXIMIZED=FALSE&amp;VAR:CALENDAR=US&amp;VAR:SYMBOL=LO&amp;VAR:INDEX=0"}</definedName>
    <definedName name="_1170__FDSAUDITLINK__" hidden="1">{"fdsup://directions/FAT Viewer?action=UPDATE&amp;creator=factset&amp;DYN_ARGS=TRUE&amp;DOC_NAME=FAT:FQL_AUDITING_CLIENT_TEMPLATE.FAT&amp;display_string=Audit&amp;VAR:KEY=DOFWNCHEFE&amp;VAR:QUERY=RkZfRElWX1lMRChBTk4sMTEvMDYvMDgsMTEvMDYvMDgp&amp;WINDOW=FIRST_POPUP&amp;HEIGHT=450&amp;WIDTH=450&amp;","START_MAXIMIZED=FALSE&amp;VAR:CALENDAR=US&amp;VAR:SYMBOL=LO&amp;VAR:INDEX=0"}</definedName>
    <definedName name="_1171">#REF!</definedName>
    <definedName name="_1171__FDSAUDITLINK__" localSheetId="0" hidden="1">{"fdsup://directions/FAT Viewer?action=UPDATE&amp;creator=factset&amp;DYN_ARGS=TRUE&amp;DOC_NAME=FAT:FQL_AUDITING_CLIENT_TEMPLATE.FAT&amp;display_string=Audit&amp;VAR:KEY=JKLMRCBIPG&amp;VAR:QUERY=RkZfRElWX1lMRChBTk4sMTAvMzAvMDgsMTAvMzAvMDgp&amp;WINDOW=FIRST_POPUP&amp;HEIGHT=450&amp;WIDTH=450&amp;","START_MAXIMIZED=FALSE&amp;VAR:CALENDAR=US&amp;VAR:SYMBOL=LO&amp;VAR:INDEX=0"}</definedName>
    <definedName name="_1171__FDSAUDITLINK__" hidden="1">{"fdsup://directions/FAT Viewer?action=UPDATE&amp;creator=factset&amp;DYN_ARGS=TRUE&amp;DOC_NAME=FAT:FQL_AUDITING_CLIENT_TEMPLATE.FAT&amp;display_string=Audit&amp;VAR:KEY=JKLMRCBIPG&amp;VAR:QUERY=RkZfRElWX1lMRChBTk4sMTAvMzAvMDgsMTAvMzAvMDgp&amp;WINDOW=FIRST_POPUP&amp;HEIGHT=450&amp;WIDTH=450&amp;","START_MAXIMIZED=FALSE&amp;VAR:CALENDAR=US&amp;VAR:SYMBOL=LO&amp;VAR:INDEX=0"}</definedName>
    <definedName name="_1172__FDSAUDITLINK__" localSheetId="0" hidden="1">{"fdsup://directions/FAT Viewer?action=UPDATE&amp;creator=factset&amp;DYN_ARGS=TRUE&amp;DOC_NAME=FAT:FQL_AUDITING_CLIENT_TEMPLATE.FAT&amp;display_string=Audit&amp;VAR:KEY=XALGRCBKNK&amp;VAR:QUERY=RkZfRElWX1lMRChBTk4sMTAvMjMvMDgsMTAvMjMvMDgp&amp;WINDOW=FIRST_POPUP&amp;HEIGHT=450&amp;WIDTH=450&amp;","START_MAXIMIZED=FALSE&amp;VAR:CALENDAR=US&amp;VAR:SYMBOL=LO&amp;VAR:INDEX=0"}</definedName>
    <definedName name="_1172__FDSAUDITLINK__" hidden="1">{"fdsup://directions/FAT Viewer?action=UPDATE&amp;creator=factset&amp;DYN_ARGS=TRUE&amp;DOC_NAME=FAT:FQL_AUDITING_CLIENT_TEMPLATE.FAT&amp;display_string=Audit&amp;VAR:KEY=XALGRCBKNK&amp;VAR:QUERY=RkZfRElWX1lMRChBTk4sMTAvMjMvMDgsMTAvMjMvMDgp&amp;WINDOW=FIRST_POPUP&amp;HEIGHT=450&amp;WIDTH=450&amp;","START_MAXIMIZED=FALSE&amp;VAR:CALENDAR=US&amp;VAR:SYMBOL=LO&amp;VAR:INDEX=0"}</definedName>
    <definedName name="_1173__FDSAUDITLINK__" localSheetId="0" hidden="1">{"fdsup://directions/FAT Viewer?action=UPDATE&amp;creator=factset&amp;DYN_ARGS=TRUE&amp;DOC_NAME=FAT:FQL_AUDITING_CLIENT_TEMPLATE.FAT&amp;display_string=Audit&amp;VAR:KEY=ZSZUPCZUJC&amp;VAR:QUERY=RkZfRElWX1lMRChBTk4sMTAvMTYvMDgsMTAvMTYvMDgp&amp;WINDOW=FIRST_POPUP&amp;HEIGHT=450&amp;WIDTH=450&amp;","START_MAXIMIZED=FALSE&amp;VAR:CALENDAR=US&amp;VAR:SYMBOL=LO&amp;VAR:INDEX=0"}</definedName>
    <definedName name="_1173__FDSAUDITLINK__" hidden="1">{"fdsup://directions/FAT Viewer?action=UPDATE&amp;creator=factset&amp;DYN_ARGS=TRUE&amp;DOC_NAME=FAT:FQL_AUDITING_CLIENT_TEMPLATE.FAT&amp;display_string=Audit&amp;VAR:KEY=ZSZUPCZUJC&amp;VAR:QUERY=RkZfRElWX1lMRChBTk4sMTAvMTYvMDgsMTAvMTYvMDgp&amp;WINDOW=FIRST_POPUP&amp;HEIGHT=450&amp;WIDTH=450&amp;","START_MAXIMIZED=FALSE&amp;VAR:CALENDAR=US&amp;VAR:SYMBOL=LO&amp;VAR:INDEX=0"}</definedName>
    <definedName name="_1174__FDSAUDITLINK__" localSheetId="0" hidden="1">{"fdsup://directions/FAT Viewer?action=UPDATE&amp;creator=factset&amp;DYN_ARGS=TRUE&amp;DOC_NAME=FAT:FQL_AUDITING_CLIENT_TEMPLATE.FAT&amp;display_string=Audit&amp;VAR:KEY=FWBURUVINA&amp;VAR:QUERY=RkZfRElWX1lMRChBTk4sMTAvMDkvMDgsMTAvMDkvMDgp&amp;WINDOW=FIRST_POPUP&amp;HEIGHT=450&amp;WIDTH=450&amp;","START_MAXIMIZED=FALSE&amp;VAR:CALENDAR=US&amp;VAR:SYMBOL=LO&amp;VAR:INDEX=0"}</definedName>
    <definedName name="_1174__FDSAUDITLINK__" hidden="1">{"fdsup://directions/FAT Viewer?action=UPDATE&amp;creator=factset&amp;DYN_ARGS=TRUE&amp;DOC_NAME=FAT:FQL_AUDITING_CLIENT_TEMPLATE.FAT&amp;display_string=Audit&amp;VAR:KEY=FWBURUVINA&amp;VAR:QUERY=RkZfRElWX1lMRChBTk4sMTAvMDkvMDgsMTAvMDkvMDgp&amp;WINDOW=FIRST_POPUP&amp;HEIGHT=450&amp;WIDTH=450&amp;","START_MAXIMIZED=FALSE&amp;VAR:CALENDAR=US&amp;VAR:SYMBOL=LO&amp;VAR:INDEX=0"}</definedName>
    <definedName name="_1175">#REF!</definedName>
    <definedName name="_1175__FDSAUDITLINK__" localSheetId="0" hidden="1">{"fdsup://directions/FAT Viewer?action=UPDATE&amp;creator=factset&amp;DYN_ARGS=TRUE&amp;DOC_NAME=FAT:FQL_AUDITING_CLIENT_TEMPLATE.FAT&amp;display_string=Audit&amp;VAR:KEY=BSZOZWBAFQ&amp;VAR:QUERY=RkZfRElWX1lMRChBTk4sMTAvMDIvMDgsMTAvMDIvMDgp&amp;WINDOW=FIRST_POPUP&amp;HEIGHT=450&amp;WIDTH=450&amp;","START_MAXIMIZED=FALSE&amp;VAR:CALENDAR=US&amp;VAR:SYMBOL=LO&amp;VAR:INDEX=0"}</definedName>
    <definedName name="_1175__FDSAUDITLINK__" hidden="1">{"fdsup://directions/FAT Viewer?action=UPDATE&amp;creator=factset&amp;DYN_ARGS=TRUE&amp;DOC_NAME=FAT:FQL_AUDITING_CLIENT_TEMPLATE.FAT&amp;display_string=Audit&amp;VAR:KEY=BSZOZWBAFQ&amp;VAR:QUERY=RkZfRElWX1lMRChBTk4sMTAvMDIvMDgsMTAvMDIvMDgp&amp;WINDOW=FIRST_POPUP&amp;HEIGHT=450&amp;WIDTH=450&amp;","START_MAXIMIZED=FALSE&amp;VAR:CALENDAR=US&amp;VAR:SYMBOL=LO&amp;VAR:INDEX=0"}</definedName>
    <definedName name="_1176__FDSAUDITLINK__" localSheetId="0" hidden="1">{"fdsup://directions/FAT Viewer?action=UPDATE&amp;creator=factset&amp;DYN_ARGS=TRUE&amp;DOC_NAME=FAT:FQL_AUDITING_CLIENT_TEMPLATE.FAT&amp;display_string=Audit&amp;VAR:KEY=BYXKJETONG&amp;VAR:QUERY=RkZfRElWX1lMRChBTk4sOS8yNS8wOCw5LzI1LzA4KQ==&amp;WINDOW=FIRST_POPUP&amp;HEIGHT=450&amp;WIDTH=450&amp;","START_MAXIMIZED=FALSE&amp;VAR:CALENDAR=US&amp;VAR:SYMBOL=LO&amp;VAR:INDEX=0"}</definedName>
    <definedName name="_1176__FDSAUDITLINK__" hidden="1">{"fdsup://directions/FAT Viewer?action=UPDATE&amp;creator=factset&amp;DYN_ARGS=TRUE&amp;DOC_NAME=FAT:FQL_AUDITING_CLIENT_TEMPLATE.FAT&amp;display_string=Audit&amp;VAR:KEY=BYXKJETONG&amp;VAR:QUERY=RkZfRElWX1lMRChBTk4sOS8yNS8wOCw5LzI1LzA4KQ==&amp;WINDOW=FIRST_POPUP&amp;HEIGHT=450&amp;WIDTH=450&amp;","START_MAXIMIZED=FALSE&amp;VAR:CALENDAR=US&amp;VAR:SYMBOL=LO&amp;VAR:INDEX=0"}</definedName>
    <definedName name="_1177__FDSAUDITLINK__" localSheetId="0" hidden="1">{"fdsup://directions/FAT Viewer?action=UPDATE&amp;creator=factset&amp;DYN_ARGS=TRUE&amp;DOC_NAME=FAT:FQL_AUDITING_CLIENT_TEMPLATE.FAT&amp;display_string=Audit&amp;VAR:KEY=LUTQRSFMBO&amp;VAR:QUERY=RkZfRElWX1lMRChBTk4sOS8xOC8wOCw5LzE4LzA4KQ==&amp;WINDOW=FIRST_POPUP&amp;HEIGHT=450&amp;WIDTH=450&amp;","START_MAXIMIZED=FALSE&amp;VAR:CALENDAR=US&amp;VAR:SYMBOL=LO&amp;VAR:INDEX=0"}</definedName>
    <definedName name="_1177__FDSAUDITLINK__" hidden="1">{"fdsup://directions/FAT Viewer?action=UPDATE&amp;creator=factset&amp;DYN_ARGS=TRUE&amp;DOC_NAME=FAT:FQL_AUDITING_CLIENT_TEMPLATE.FAT&amp;display_string=Audit&amp;VAR:KEY=LUTQRSFMBO&amp;VAR:QUERY=RkZfRElWX1lMRChBTk4sOS8xOC8wOCw5LzE4LzA4KQ==&amp;WINDOW=FIRST_POPUP&amp;HEIGHT=450&amp;WIDTH=450&amp;","START_MAXIMIZED=FALSE&amp;VAR:CALENDAR=US&amp;VAR:SYMBOL=LO&amp;VAR:INDEX=0"}</definedName>
    <definedName name="_1178__FDSAUDITLINK__" localSheetId="0" hidden="1">{"fdsup://directions/FAT Viewer?action=UPDATE&amp;creator=factset&amp;DYN_ARGS=TRUE&amp;DOC_NAME=FAT:FQL_AUDITING_CLIENT_TEMPLATE.FAT&amp;display_string=Audit&amp;VAR:KEY=NQNOBUHQPE&amp;VAR:QUERY=RkZfRElWX1lMRChBTk4sOS8xMS8wOCw5LzExLzA4KQ==&amp;WINDOW=FIRST_POPUP&amp;HEIGHT=450&amp;WIDTH=450&amp;","START_MAXIMIZED=FALSE&amp;VAR:CALENDAR=US&amp;VAR:SYMBOL=LO&amp;VAR:INDEX=0"}</definedName>
    <definedName name="_1178__FDSAUDITLINK__" hidden="1">{"fdsup://directions/FAT Viewer?action=UPDATE&amp;creator=factset&amp;DYN_ARGS=TRUE&amp;DOC_NAME=FAT:FQL_AUDITING_CLIENT_TEMPLATE.FAT&amp;display_string=Audit&amp;VAR:KEY=NQNOBUHQPE&amp;VAR:QUERY=RkZfRElWX1lMRChBTk4sOS8xMS8wOCw5LzExLzA4KQ==&amp;WINDOW=FIRST_POPUP&amp;HEIGHT=450&amp;WIDTH=450&amp;","START_MAXIMIZED=FALSE&amp;VAR:CALENDAR=US&amp;VAR:SYMBOL=LO&amp;VAR:INDEX=0"}</definedName>
    <definedName name="_1179">#REF!</definedName>
    <definedName name="_1179__FDSAUDITLINK__" localSheetId="0" hidden="1">{"fdsup://directions/FAT Viewer?action=UPDATE&amp;creator=factset&amp;DYN_ARGS=TRUE&amp;DOC_NAME=FAT:FQL_AUDITING_CLIENT_TEMPLATE.FAT&amp;display_string=Audit&amp;VAR:KEY=VINGDOHMVC&amp;VAR:QUERY=RkZfRElWX1lMRChBTk4sOS8wNC8wOCw5LzA0LzA4KQ==&amp;WINDOW=FIRST_POPUP&amp;HEIGHT=450&amp;WIDTH=450&amp;","START_MAXIMIZED=FALSE&amp;VAR:CALENDAR=US&amp;VAR:SYMBOL=LO&amp;VAR:INDEX=0"}</definedName>
    <definedName name="_1179__FDSAUDITLINK__" hidden="1">{"fdsup://directions/FAT Viewer?action=UPDATE&amp;creator=factset&amp;DYN_ARGS=TRUE&amp;DOC_NAME=FAT:FQL_AUDITING_CLIENT_TEMPLATE.FAT&amp;display_string=Audit&amp;VAR:KEY=VINGDOHMVC&amp;VAR:QUERY=RkZfRElWX1lMRChBTk4sOS8wNC8wOCw5LzA0LzA4KQ==&amp;WINDOW=FIRST_POPUP&amp;HEIGHT=450&amp;WIDTH=450&amp;","START_MAXIMIZED=FALSE&amp;VAR:CALENDAR=US&amp;VAR:SYMBOL=LO&amp;VAR:INDEX=0"}</definedName>
    <definedName name="_117s9_" hidden="1">{#N/A,#N/A,FALSE,"UNIT";#N/A,#N/A,FALSE,"UNIT";#N/A,#N/A,FALSE,"계정"}</definedName>
    <definedName name="_118">#REF!</definedName>
    <definedName name="_118__FDSAUDITLINK__" localSheetId="0" hidden="1">{"fdsup://directions/FAT Viewer?action=UPDATE&amp;creator=factset&amp;DYN_ARGS=TRUE&amp;DOC_NAME=FAT:FQL_AUDITING_CLIENT_TEMPLATE.FAT&amp;display_string=Audit&amp;VAR:KEY=VAFMJIJCBQ&amp;VAR:QUERY=QVZHKEZGX0RJVl9ZTEQoQU5OLDQxMDA5LC0xMEFZKSk=&amp;WINDOW=FIRST_POPUP&amp;HEIGHT=450&amp;WIDTH=450&amp;","START_MAXIMIZED=FALSE&amp;VAR:CALENDAR=US&amp;VAR:SYMBOL=SBUX"}</definedName>
    <definedName name="_118__FDSAUDITLINK__" hidden="1">{"fdsup://directions/FAT Viewer?action=UPDATE&amp;creator=factset&amp;DYN_ARGS=TRUE&amp;DOC_NAME=FAT:FQL_AUDITING_CLIENT_TEMPLATE.FAT&amp;display_string=Audit&amp;VAR:KEY=VAFMJIJCBQ&amp;VAR:QUERY=QVZHKEZGX0RJVl9ZTEQoQU5OLDQxMDA5LC0xMEFZKSk=&amp;WINDOW=FIRST_POPUP&amp;HEIGHT=450&amp;WIDTH=450&amp;","START_MAXIMIZED=FALSE&amp;VAR:CALENDAR=US&amp;VAR:SYMBOL=SBUX"}</definedName>
    <definedName name="_1180">#REF!</definedName>
    <definedName name="_1180__FDSAUDITLINK__" localSheetId="0" hidden="1">{"fdsup://directions/FAT Viewer?action=UPDATE&amp;creator=factset&amp;DYN_ARGS=TRUE&amp;DOC_NAME=FAT:FQL_AUDITING_CLIENT_TEMPLATE.FAT&amp;display_string=Audit&amp;VAR:KEY=JMDYJQBYHC&amp;VAR:QUERY=RkZfRElWX1lMRChBTk4sOC8yOC8wOCw4LzI4LzA4KQ==&amp;WINDOW=FIRST_POPUP&amp;HEIGHT=450&amp;WIDTH=450&amp;","START_MAXIMIZED=FALSE&amp;VAR:CALENDAR=US&amp;VAR:SYMBOL=LO&amp;VAR:INDEX=0"}</definedName>
    <definedName name="_1180__FDSAUDITLINK__" hidden="1">{"fdsup://directions/FAT Viewer?action=UPDATE&amp;creator=factset&amp;DYN_ARGS=TRUE&amp;DOC_NAME=FAT:FQL_AUDITING_CLIENT_TEMPLATE.FAT&amp;display_string=Audit&amp;VAR:KEY=JMDYJQBYHC&amp;VAR:QUERY=RkZfRElWX1lMRChBTk4sOC8yOC8wOCw4LzI4LzA4KQ==&amp;WINDOW=FIRST_POPUP&amp;HEIGHT=450&amp;WIDTH=450&amp;","START_MAXIMIZED=FALSE&amp;VAR:CALENDAR=US&amp;VAR:SYMBOL=LO&amp;VAR:INDEX=0"}</definedName>
    <definedName name="_1181">#REF!</definedName>
    <definedName name="_1181__FDSAUDITLINK__" localSheetId="0" hidden="1">{"fdsup://directions/FAT Viewer?action=UPDATE&amp;creator=factset&amp;DYN_ARGS=TRUE&amp;DOC_NAME=FAT:FQL_AUDITING_CLIENT_TEMPLATE.FAT&amp;display_string=Audit&amp;VAR:KEY=LAPOVYDGXW&amp;VAR:QUERY=RkZfRElWX1lMRChBTk4sOC8yMS8wOCw4LzIxLzA4KQ==&amp;WINDOW=FIRST_POPUP&amp;HEIGHT=450&amp;WIDTH=450&amp;","START_MAXIMIZED=FALSE&amp;VAR:CALENDAR=US&amp;VAR:SYMBOL=LO&amp;VAR:INDEX=0"}</definedName>
    <definedName name="_1181__FDSAUDITLINK__" hidden="1">{"fdsup://directions/FAT Viewer?action=UPDATE&amp;creator=factset&amp;DYN_ARGS=TRUE&amp;DOC_NAME=FAT:FQL_AUDITING_CLIENT_TEMPLATE.FAT&amp;display_string=Audit&amp;VAR:KEY=LAPOVYDGXW&amp;VAR:QUERY=RkZfRElWX1lMRChBTk4sOC8yMS8wOCw4LzIxLzA4KQ==&amp;WINDOW=FIRST_POPUP&amp;HEIGHT=450&amp;WIDTH=450&amp;","START_MAXIMIZED=FALSE&amp;VAR:CALENDAR=US&amp;VAR:SYMBOL=LO&amp;VAR:INDEX=0"}</definedName>
    <definedName name="_1182">#REF!</definedName>
    <definedName name="_1182__FDSAUDITLINK__" localSheetId="0" hidden="1">{"fdsup://directions/FAT Viewer?action=UPDATE&amp;creator=factset&amp;DYN_ARGS=TRUE&amp;DOC_NAME=FAT:FQL_AUDITING_CLIENT_TEMPLATE.FAT&amp;display_string=Audit&amp;VAR:KEY=VMTQXGPUNW&amp;VAR:QUERY=RkZfRElWX1lMRChBTk4sOC8xNC8wOCw4LzE0LzA4KQ==&amp;WINDOW=FIRST_POPUP&amp;HEIGHT=450&amp;WIDTH=450&amp;","START_MAXIMIZED=FALSE&amp;VAR:CALENDAR=US&amp;VAR:SYMBOL=LO&amp;VAR:INDEX=0"}</definedName>
    <definedName name="_1182__FDSAUDITLINK__" hidden="1">{"fdsup://directions/FAT Viewer?action=UPDATE&amp;creator=factset&amp;DYN_ARGS=TRUE&amp;DOC_NAME=FAT:FQL_AUDITING_CLIENT_TEMPLATE.FAT&amp;display_string=Audit&amp;VAR:KEY=VMTQXGPUNW&amp;VAR:QUERY=RkZfRElWX1lMRChBTk4sOC8xNC8wOCw4LzE0LzA4KQ==&amp;WINDOW=FIRST_POPUP&amp;HEIGHT=450&amp;WIDTH=450&amp;","START_MAXIMIZED=FALSE&amp;VAR:CALENDAR=US&amp;VAR:SYMBOL=LO&amp;VAR:INDEX=0"}</definedName>
    <definedName name="_1183">#REF!</definedName>
    <definedName name="_1183__FDSAUDITLINK__" localSheetId="0" hidden="1">{"fdsup://directions/FAT Viewer?action=UPDATE&amp;creator=factset&amp;DYN_ARGS=TRUE&amp;DOC_NAME=FAT:FQL_AUDITING_CLIENT_TEMPLATE.FAT&amp;display_string=Audit&amp;VAR:KEY=LQXAPAPWRC&amp;VAR:QUERY=RkZfRElWX1lMRChBTk4sOC8wNy8wOCw4LzA3LzA4KQ==&amp;WINDOW=FIRST_POPUP&amp;HEIGHT=450&amp;WIDTH=450&amp;","START_MAXIMIZED=FALSE&amp;VAR:CALENDAR=US&amp;VAR:SYMBOL=LO&amp;VAR:INDEX=0"}</definedName>
    <definedName name="_1183__FDSAUDITLINK__" hidden="1">{"fdsup://directions/FAT Viewer?action=UPDATE&amp;creator=factset&amp;DYN_ARGS=TRUE&amp;DOC_NAME=FAT:FQL_AUDITING_CLIENT_TEMPLATE.FAT&amp;display_string=Audit&amp;VAR:KEY=LQXAPAPWRC&amp;VAR:QUERY=RkZfRElWX1lMRChBTk4sOC8wNy8wOCw4LzA3LzA4KQ==&amp;WINDOW=FIRST_POPUP&amp;HEIGHT=450&amp;WIDTH=450&amp;","START_MAXIMIZED=FALSE&amp;VAR:CALENDAR=US&amp;VAR:SYMBOL=LO&amp;VAR:INDEX=0"}</definedName>
    <definedName name="_1184">#REF!</definedName>
    <definedName name="_1184__FDSAUDITLINK__" localSheetId="0" hidden="1">{"fdsup://directions/FAT Viewer?action=UPDATE&amp;creator=factset&amp;DYN_ARGS=TRUE&amp;DOC_NAME=FAT:FQL_AUDITING_CLIENT_TEMPLATE.FAT&amp;display_string=Audit&amp;VAR:KEY=HMHSBEHQFC&amp;VAR:QUERY=RkZfRElWX1lMRChBTk4sNy8zMS8wOCw3LzMxLzA4KQ==&amp;WINDOW=FIRST_POPUP&amp;HEIGHT=450&amp;WIDTH=450&amp;","START_MAXIMIZED=FALSE&amp;VAR:CALENDAR=US&amp;VAR:SYMBOL=LO&amp;VAR:INDEX=0"}</definedName>
    <definedName name="_1184__FDSAUDITLINK__" hidden="1">{"fdsup://directions/FAT Viewer?action=UPDATE&amp;creator=factset&amp;DYN_ARGS=TRUE&amp;DOC_NAME=FAT:FQL_AUDITING_CLIENT_TEMPLATE.FAT&amp;display_string=Audit&amp;VAR:KEY=HMHSBEHQFC&amp;VAR:QUERY=RkZfRElWX1lMRChBTk4sNy8zMS8wOCw3LzMxLzA4KQ==&amp;WINDOW=FIRST_POPUP&amp;HEIGHT=450&amp;WIDTH=450&amp;","START_MAXIMIZED=FALSE&amp;VAR:CALENDAR=US&amp;VAR:SYMBOL=LO&amp;VAR:INDEX=0"}</definedName>
    <definedName name="_1185">#REF!</definedName>
    <definedName name="_1185__FDSAUDITLINK__" localSheetId="0" hidden="1">{"fdsup://directions/FAT Viewer?action=UPDATE&amp;creator=factset&amp;DYN_ARGS=TRUE&amp;DOC_NAME=FAT:FQL_AUDITING_CLIENT_TEMPLATE.FAT&amp;display_string=Audit&amp;VAR:KEY=HIFAVUBQJY&amp;VAR:QUERY=RkZfRElWX1lMRChBTk4sNy8yNC8wOCw3LzI0LzA4KQ==&amp;WINDOW=FIRST_POPUP&amp;HEIGHT=450&amp;WIDTH=450&amp;","START_MAXIMIZED=FALSE&amp;VAR:CALENDAR=US&amp;VAR:SYMBOL=LO&amp;VAR:INDEX=0"}</definedName>
    <definedName name="_1185__FDSAUDITLINK__" hidden="1">{"fdsup://directions/FAT Viewer?action=UPDATE&amp;creator=factset&amp;DYN_ARGS=TRUE&amp;DOC_NAME=FAT:FQL_AUDITING_CLIENT_TEMPLATE.FAT&amp;display_string=Audit&amp;VAR:KEY=HIFAVUBQJY&amp;VAR:QUERY=RkZfRElWX1lMRChBTk4sNy8yNC8wOCw3LzI0LzA4KQ==&amp;WINDOW=FIRST_POPUP&amp;HEIGHT=450&amp;WIDTH=450&amp;","START_MAXIMIZED=FALSE&amp;VAR:CALENDAR=US&amp;VAR:SYMBOL=LO&amp;VAR:INDEX=0"}</definedName>
    <definedName name="_1186">#REF!</definedName>
    <definedName name="_1186__FDSAUDITLINK__" localSheetId="0" hidden="1">{"fdsup://directions/FAT Viewer?action=UPDATE&amp;creator=factset&amp;DYN_ARGS=TRUE&amp;DOC_NAME=FAT:FQL_AUDITING_CLIENT_TEMPLATE.FAT&amp;display_string=Audit&amp;VAR:KEY=RUDMTUBWBA&amp;VAR:QUERY=RkZfRElWX1lMRChBTk4sNy8xNy8wOCw3LzE3LzA4KQ==&amp;WINDOW=FIRST_POPUP&amp;HEIGHT=450&amp;WIDTH=450&amp;","START_MAXIMIZED=FALSE&amp;VAR:CALENDAR=US&amp;VAR:SYMBOL=LO&amp;VAR:INDEX=0"}</definedName>
    <definedName name="_1186__FDSAUDITLINK__" hidden="1">{"fdsup://directions/FAT Viewer?action=UPDATE&amp;creator=factset&amp;DYN_ARGS=TRUE&amp;DOC_NAME=FAT:FQL_AUDITING_CLIENT_TEMPLATE.FAT&amp;display_string=Audit&amp;VAR:KEY=RUDMTUBWBA&amp;VAR:QUERY=RkZfRElWX1lMRChBTk4sNy8xNy8wOCw3LzE3LzA4KQ==&amp;WINDOW=FIRST_POPUP&amp;HEIGHT=450&amp;WIDTH=450&amp;","START_MAXIMIZED=FALSE&amp;VAR:CALENDAR=US&amp;VAR:SYMBOL=LO&amp;VAR:INDEX=0"}</definedName>
    <definedName name="_1187">#REF!</definedName>
    <definedName name="_1187__FDSAUDITLINK__" localSheetId="0" hidden="1">{"fdsup://directions/FAT Viewer?action=UPDATE&amp;creator=factset&amp;DYN_ARGS=TRUE&amp;DOC_NAME=FAT:FQL_AUDITING_CLIENT_TEMPLATE.FAT&amp;display_string=Audit&amp;VAR:KEY=BUDWTGHANY&amp;VAR:QUERY=RkZfRElWX1lMRChBTk4sNy8xMC8wOCw3LzEwLzA4KQ==&amp;WINDOW=FIRST_POPUP&amp;HEIGHT=450&amp;WIDTH=450&amp;","START_MAXIMIZED=FALSE&amp;VAR:CALENDAR=US&amp;VAR:SYMBOL=LO&amp;VAR:INDEX=0"}</definedName>
    <definedName name="_1187__FDSAUDITLINK__" hidden="1">{"fdsup://directions/FAT Viewer?action=UPDATE&amp;creator=factset&amp;DYN_ARGS=TRUE&amp;DOC_NAME=FAT:FQL_AUDITING_CLIENT_TEMPLATE.FAT&amp;display_string=Audit&amp;VAR:KEY=BUDWTGHANY&amp;VAR:QUERY=RkZfRElWX1lMRChBTk4sNy8xMC8wOCw3LzEwLzA4KQ==&amp;WINDOW=FIRST_POPUP&amp;HEIGHT=450&amp;WIDTH=450&amp;","START_MAXIMIZED=FALSE&amp;VAR:CALENDAR=US&amp;VAR:SYMBOL=LO&amp;VAR:INDEX=0"}</definedName>
    <definedName name="_1188">#REF!</definedName>
    <definedName name="_1188__FDSAUDITLINK__" localSheetId="0" hidden="1">{"fdsup://directions/FAT Viewer?action=UPDATE&amp;creator=factset&amp;DYN_ARGS=TRUE&amp;DOC_NAME=FAT:FQL_AUDITING_CLIENT_TEMPLATE.FAT&amp;display_string=Audit&amp;VAR:KEY=NYRURQJETU&amp;VAR:QUERY=RkZfRElWX1lMRChBTk4sNy8wMy8wOCw3LzAzLzA4KQ==&amp;WINDOW=FIRST_POPUP&amp;HEIGHT=450&amp;WIDTH=450&amp;","START_MAXIMIZED=FALSE&amp;VAR:CALENDAR=US&amp;VAR:SYMBOL=LO&amp;VAR:INDEX=0"}</definedName>
    <definedName name="_1188__FDSAUDITLINK__" hidden="1">{"fdsup://directions/FAT Viewer?action=UPDATE&amp;creator=factset&amp;DYN_ARGS=TRUE&amp;DOC_NAME=FAT:FQL_AUDITING_CLIENT_TEMPLATE.FAT&amp;display_string=Audit&amp;VAR:KEY=NYRURQJETU&amp;VAR:QUERY=RkZfRElWX1lMRChBTk4sNy8wMy8wOCw3LzAzLzA4KQ==&amp;WINDOW=FIRST_POPUP&amp;HEIGHT=450&amp;WIDTH=450&amp;","START_MAXIMIZED=FALSE&amp;VAR:CALENDAR=US&amp;VAR:SYMBOL=LO&amp;VAR:INDEX=0"}</definedName>
    <definedName name="_1189">#REF!</definedName>
    <definedName name="_1189__FDSAUDITLINK__" localSheetId="0" hidden="1">{"fdsup://directions/FAT Viewer?action=UPDATE&amp;creator=factset&amp;DYN_ARGS=TRUE&amp;DOC_NAME=FAT:FQL_AUDITING_CLIENT_TEMPLATE.FAT&amp;display_string=Audit&amp;VAR:KEY=NQRMRIZSVS&amp;VAR:QUERY=RkZfRElWX1lMRChBTk4sNi8yNi8wOCw2LzI2LzA4KQ==&amp;WINDOW=FIRST_POPUP&amp;HEIGHT=450&amp;WIDTH=450&amp;","START_MAXIMIZED=FALSE&amp;VAR:CALENDAR=US&amp;VAR:SYMBOL=LO&amp;VAR:INDEX=0"}</definedName>
    <definedName name="_1189__FDSAUDITLINK__" hidden="1">{"fdsup://directions/FAT Viewer?action=UPDATE&amp;creator=factset&amp;DYN_ARGS=TRUE&amp;DOC_NAME=FAT:FQL_AUDITING_CLIENT_TEMPLATE.FAT&amp;display_string=Audit&amp;VAR:KEY=NQRMRIZSVS&amp;VAR:QUERY=RkZfRElWX1lMRChBTk4sNi8yNi8wOCw2LzI2LzA4KQ==&amp;WINDOW=FIRST_POPUP&amp;HEIGHT=450&amp;WIDTH=450&amp;","START_MAXIMIZED=FALSE&amp;VAR:CALENDAR=US&amp;VAR:SYMBOL=LO&amp;VAR:INDEX=0"}</definedName>
    <definedName name="_119">#REF!</definedName>
    <definedName name="_119__FDSAUDITLINK__" localSheetId="0" hidden="1">{"fdsup://directions/FAT Viewer?action=UPDATE&amp;creator=factset&amp;DYN_ARGS=TRUE&amp;DOC_NAME=FAT:FQL_AUDITING_CLIENT_TEMPLATE.FAT&amp;display_string=Audit&amp;VAR:KEY=PIFKDCJQJQ&amp;VAR:QUERY=RkZfRElWX1lMRChBTk4sMTIvMjQvMDgsMTIvMjQvMDgp&amp;WINDOW=FIRST_POPUP&amp;HEIGHT=450&amp;WIDTH=450&amp;","START_MAXIMIZED=FALSE&amp;VAR:CALENDAR=US&amp;VAR:SYMBOL=RAI&amp;VAR:INDEX=0"}</definedName>
    <definedName name="_119__FDSAUDITLINK__" hidden="1">{"fdsup://directions/FAT Viewer?action=UPDATE&amp;creator=factset&amp;DYN_ARGS=TRUE&amp;DOC_NAME=FAT:FQL_AUDITING_CLIENT_TEMPLATE.FAT&amp;display_string=Audit&amp;VAR:KEY=PIFKDCJQJQ&amp;VAR:QUERY=RkZfRElWX1lMRChBTk4sMTIvMjQvMDgsMTIvMjQvMDgp&amp;WINDOW=FIRST_POPUP&amp;HEIGHT=450&amp;WIDTH=450&amp;","START_MAXIMIZED=FALSE&amp;VAR:CALENDAR=US&amp;VAR:SYMBOL=RAI&amp;VAR:INDEX=0"}</definedName>
    <definedName name="_1190">#REF!</definedName>
    <definedName name="_1190__FDSAUDITLINK__" localSheetId="0" hidden="1">{"fdsup://directions/FAT Viewer?action=UPDATE&amp;creator=factset&amp;DYN_ARGS=TRUE&amp;DOC_NAME=FAT:FQL_AUDITING_CLIENT_TEMPLATE.FAT&amp;display_string=Audit&amp;VAR:KEY=RMZGBYTERU&amp;VAR:QUERY=RkZfRElWX1lMRChBTk4sNi8xOS8wOCw2LzE5LzA4KQ==&amp;WINDOW=FIRST_POPUP&amp;HEIGHT=450&amp;WIDTH=450&amp;","START_MAXIMIZED=FALSE&amp;VAR:CALENDAR=US&amp;VAR:SYMBOL=LO&amp;VAR:INDEX=0"}</definedName>
    <definedName name="_1190__FDSAUDITLINK__" hidden="1">{"fdsup://directions/FAT Viewer?action=UPDATE&amp;creator=factset&amp;DYN_ARGS=TRUE&amp;DOC_NAME=FAT:FQL_AUDITING_CLIENT_TEMPLATE.FAT&amp;display_string=Audit&amp;VAR:KEY=RMZGBYTERU&amp;VAR:QUERY=RkZfRElWX1lMRChBTk4sNi8xOS8wOCw2LzE5LzA4KQ==&amp;WINDOW=FIRST_POPUP&amp;HEIGHT=450&amp;WIDTH=450&amp;","START_MAXIMIZED=FALSE&amp;VAR:CALENDAR=US&amp;VAR:SYMBOL=LO&amp;VAR:INDEX=0"}</definedName>
    <definedName name="_1191">#REF!</definedName>
    <definedName name="_1191__FDSAUDITLINK__" localSheetId="0" hidden="1">{"fdsup://directions/FAT Viewer?action=UPDATE&amp;creator=factset&amp;DYN_ARGS=TRUE&amp;DOC_NAME=FAT:FQL_AUDITING_CLIENT_TEMPLATE.FAT&amp;display_string=Audit&amp;VAR:KEY=PSNQNEHKJI&amp;VAR:QUERY=RkZfRElWX1lMRChBTk4sNi8xMi8wOCw2LzEyLzA4KQ==&amp;WINDOW=FIRST_POPUP&amp;HEIGHT=450&amp;WIDTH=450&amp;","START_MAXIMIZED=FALSE&amp;VAR:CALENDAR=US&amp;VAR:SYMBOL=LO&amp;VAR:INDEX=0"}</definedName>
    <definedName name="_1191__FDSAUDITLINK__" hidden="1">{"fdsup://directions/FAT Viewer?action=UPDATE&amp;creator=factset&amp;DYN_ARGS=TRUE&amp;DOC_NAME=FAT:FQL_AUDITING_CLIENT_TEMPLATE.FAT&amp;display_string=Audit&amp;VAR:KEY=PSNQNEHKJI&amp;VAR:QUERY=RkZfRElWX1lMRChBTk4sNi8xMi8wOCw2LzEyLzA4KQ==&amp;WINDOW=FIRST_POPUP&amp;HEIGHT=450&amp;WIDTH=450&amp;","START_MAXIMIZED=FALSE&amp;VAR:CALENDAR=US&amp;VAR:SYMBOL=LO&amp;VAR:INDEX=0"}</definedName>
    <definedName name="_1192">#REF!</definedName>
    <definedName name="_1192__FDSAUDITLINK__" localSheetId="0" hidden="1">{"fdsup://directions/FAT Viewer?action=UPDATE&amp;creator=factset&amp;DYN_ARGS=TRUE&amp;DOC_NAME=FAT:FQL_AUDITING_CLIENT_TEMPLATE.FAT&amp;display_string=Audit&amp;VAR:KEY=HIPELSHODE&amp;VAR:QUERY=RkZfRElWX1lMRChBTk4sNi8wNS8wOCw2LzA1LzA4KQ==&amp;WINDOW=FIRST_POPUP&amp;HEIGHT=450&amp;WIDTH=450&amp;","START_MAXIMIZED=FALSE&amp;VAR:CALENDAR=US&amp;VAR:SYMBOL=LO&amp;VAR:INDEX=0"}</definedName>
    <definedName name="_1192__FDSAUDITLINK__" hidden="1">{"fdsup://directions/FAT Viewer?action=UPDATE&amp;creator=factset&amp;DYN_ARGS=TRUE&amp;DOC_NAME=FAT:FQL_AUDITING_CLIENT_TEMPLATE.FAT&amp;display_string=Audit&amp;VAR:KEY=HIPELSHODE&amp;VAR:QUERY=RkZfRElWX1lMRChBTk4sNi8wNS8wOCw2LzA1LzA4KQ==&amp;WINDOW=FIRST_POPUP&amp;HEIGHT=450&amp;WIDTH=450&amp;","START_MAXIMIZED=FALSE&amp;VAR:CALENDAR=US&amp;VAR:SYMBOL=LO&amp;VAR:INDEX=0"}</definedName>
    <definedName name="_1193">#REF!</definedName>
    <definedName name="_1193__FDSAUDITLINK__" localSheetId="0" hidden="1">{"fdsup://directions/FAT Viewer?action=UPDATE&amp;creator=factset&amp;DYN_ARGS=TRUE&amp;DOC_NAME=FAT:FQL_AUDITING_CLIENT_TEMPLATE.FAT&amp;display_string=Audit&amp;VAR:KEY=RGVAVOZSFE&amp;VAR:QUERY=RkZfRElWX1lMRChBTk4sNS8yOS8wOCw1LzI5LzA4KQ==&amp;WINDOW=FIRST_POPUP&amp;HEIGHT=450&amp;WIDTH=450&amp;","START_MAXIMIZED=FALSE&amp;VAR:CALENDAR=US&amp;VAR:SYMBOL=LO&amp;VAR:INDEX=0"}</definedName>
    <definedName name="_1193__FDSAUDITLINK__" hidden="1">{"fdsup://directions/FAT Viewer?action=UPDATE&amp;creator=factset&amp;DYN_ARGS=TRUE&amp;DOC_NAME=FAT:FQL_AUDITING_CLIENT_TEMPLATE.FAT&amp;display_string=Audit&amp;VAR:KEY=RGVAVOZSFE&amp;VAR:QUERY=RkZfRElWX1lMRChBTk4sNS8yOS8wOCw1LzI5LzA4KQ==&amp;WINDOW=FIRST_POPUP&amp;HEIGHT=450&amp;WIDTH=450&amp;","START_MAXIMIZED=FALSE&amp;VAR:CALENDAR=US&amp;VAR:SYMBOL=LO&amp;VAR:INDEX=0"}</definedName>
    <definedName name="_1194">#REF!</definedName>
    <definedName name="_1194__FDSAUDITLINK__" localSheetId="0" hidden="1">{"fdsup://directions/FAT Viewer?action=UPDATE&amp;creator=factset&amp;DYN_ARGS=TRUE&amp;DOC_NAME=FAT:FQL_AUDITING_CLIENT_TEMPLATE.FAT&amp;display_string=Audit&amp;VAR:KEY=HYFAPMVGNK&amp;VAR:QUERY=RkZfRElWX1lMRChBTk4sNS8yMi8wOCw1LzIyLzA4KQ==&amp;WINDOW=FIRST_POPUP&amp;HEIGHT=450&amp;WIDTH=450&amp;","START_MAXIMIZED=FALSE&amp;VAR:CALENDAR=US&amp;VAR:SYMBOL=LO&amp;VAR:INDEX=0"}</definedName>
    <definedName name="_1194__FDSAUDITLINK__" hidden="1">{"fdsup://directions/FAT Viewer?action=UPDATE&amp;creator=factset&amp;DYN_ARGS=TRUE&amp;DOC_NAME=FAT:FQL_AUDITING_CLIENT_TEMPLATE.FAT&amp;display_string=Audit&amp;VAR:KEY=HYFAPMVGNK&amp;VAR:QUERY=RkZfRElWX1lMRChBTk4sNS8yMi8wOCw1LzIyLzA4KQ==&amp;WINDOW=FIRST_POPUP&amp;HEIGHT=450&amp;WIDTH=450&amp;","START_MAXIMIZED=FALSE&amp;VAR:CALENDAR=US&amp;VAR:SYMBOL=LO&amp;VAR:INDEX=0"}</definedName>
    <definedName name="_1195">#REF!</definedName>
    <definedName name="_1195__FDSAUDITLINK__" localSheetId="0" hidden="1">{"fdsup://directions/FAT Viewer?action=UPDATE&amp;creator=factset&amp;DYN_ARGS=TRUE&amp;DOC_NAME=FAT:FQL_AUDITING_CLIENT_TEMPLATE.FAT&amp;display_string=Audit&amp;VAR:KEY=NYFGLGRQVI&amp;VAR:QUERY=RkZfRElWX1lMRChBTk4sNS8xNS8wOCw1LzE1LzA4KQ==&amp;WINDOW=FIRST_POPUP&amp;HEIGHT=450&amp;WIDTH=450&amp;","START_MAXIMIZED=FALSE&amp;VAR:CALENDAR=US&amp;VAR:SYMBOL=LO&amp;VAR:INDEX=0"}</definedName>
    <definedName name="_1195__FDSAUDITLINK__" hidden="1">{"fdsup://directions/FAT Viewer?action=UPDATE&amp;creator=factset&amp;DYN_ARGS=TRUE&amp;DOC_NAME=FAT:FQL_AUDITING_CLIENT_TEMPLATE.FAT&amp;display_string=Audit&amp;VAR:KEY=NYFGLGRQVI&amp;VAR:QUERY=RkZfRElWX1lMRChBTk4sNS8xNS8wOCw1LzE1LzA4KQ==&amp;WINDOW=FIRST_POPUP&amp;HEIGHT=450&amp;WIDTH=450&amp;","START_MAXIMIZED=FALSE&amp;VAR:CALENDAR=US&amp;VAR:SYMBOL=LO&amp;VAR:INDEX=0"}</definedName>
    <definedName name="_1196">#REF!</definedName>
    <definedName name="_1196__FDSAUDITLINK__" localSheetId="0" hidden="1">{"fdsup://directions/FAT Viewer?action=UPDATE&amp;creator=factset&amp;DYN_ARGS=TRUE&amp;DOC_NAME=FAT:FQL_AUDITING_CLIENT_TEMPLATE.FAT&amp;display_string=Audit&amp;VAR:KEY=NMZWFKNYZW&amp;VAR:QUERY=RkZfRElWX1lMRChBTk4sNS8wOC8wOCw1LzA4LzA4KQ==&amp;WINDOW=FIRST_POPUP&amp;HEIGHT=450&amp;WIDTH=450&amp;","START_MAXIMIZED=FALSE&amp;VAR:CALENDAR=US&amp;VAR:SYMBOL=LO&amp;VAR:INDEX=0"}</definedName>
    <definedName name="_1196__FDSAUDITLINK__" hidden="1">{"fdsup://directions/FAT Viewer?action=UPDATE&amp;creator=factset&amp;DYN_ARGS=TRUE&amp;DOC_NAME=FAT:FQL_AUDITING_CLIENT_TEMPLATE.FAT&amp;display_string=Audit&amp;VAR:KEY=NMZWFKNYZW&amp;VAR:QUERY=RkZfRElWX1lMRChBTk4sNS8wOC8wOCw1LzA4LzA4KQ==&amp;WINDOW=FIRST_POPUP&amp;HEIGHT=450&amp;WIDTH=450&amp;","START_MAXIMIZED=FALSE&amp;VAR:CALENDAR=US&amp;VAR:SYMBOL=LO&amp;VAR:INDEX=0"}</definedName>
    <definedName name="_1197">#REF!</definedName>
    <definedName name="_1197__FDSAUDITLINK__" localSheetId="0" hidden="1">{"fdsup://directions/FAT Viewer?action=UPDATE&amp;creator=factset&amp;DYN_ARGS=TRUE&amp;DOC_NAME=FAT:FQL_AUDITING_CLIENT_TEMPLATE.FAT&amp;display_string=Audit&amp;VAR:KEY=NGFWRWTYRU&amp;VAR:QUERY=RkZfRElWX1lMRChBTk4sNS8wMS8wOCw1LzAxLzA4KQ==&amp;WINDOW=FIRST_POPUP&amp;HEIGHT=450&amp;WIDTH=450&amp;","START_MAXIMIZED=FALSE&amp;VAR:CALENDAR=US&amp;VAR:SYMBOL=LO&amp;VAR:INDEX=0"}</definedName>
    <definedName name="_1197__FDSAUDITLINK__" hidden="1">{"fdsup://directions/FAT Viewer?action=UPDATE&amp;creator=factset&amp;DYN_ARGS=TRUE&amp;DOC_NAME=FAT:FQL_AUDITING_CLIENT_TEMPLATE.FAT&amp;display_string=Audit&amp;VAR:KEY=NGFWRWTYRU&amp;VAR:QUERY=RkZfRElWX1lMRChBTk4sNS8wMS8wOCw1LzAxLzA4KQ==&amp;WINDOW=FIRST_POPUP&amp;HEIGHT=450&amp;WIDTH=450&amp;","START_MAXIMIZED=FALSE&amp;VAR:CALENDAR=US&amp;VAR:SYMBOL=LO&amp;VAR:INDEX=0"}</definedName>
    <definedName name="_1198">#REF!</definedName>
    <definedName name="_1198__FDSAUDITLINK__" localSheetId="0" hidden="1">{"fdsup://directions/FAT Viewer?action=UPDATE&amp;creator=factset&amp;DYN_ARGS=TRUE&amp;DOC_NAME=FAT:FQL_AUDITING_CLIENT_TEMPLATE.FAT&amp;display_string=Audit&amp;VAR:KEY=ZQLILAPAHK&amp;VAR:QUERY=RkZfRElWX1lMRChBTk4sNC8yNC8wOCw0LzI0LzA4KQ==&amp;WINDOW=FIRST_POPUP&amp;HEIGHT=450&amp;WIDTH=450&amp;","START_MAXIMIZED=FALSE&amp;VAR:CALENDAR=US&amp;VAR:SYMBOL=LO&amp;VAR:INDEX=0"}</definedName>
    <definedName name="_1198__FDSAUDITLINK__" hidden="1">{"fdsup://directions/FAT Viewer?action=UPDATE&amp;creator=factset&amp;DYN_ARGS=TRUE&amp;DOC_NAME=FAT:FQL_AUDITING_CLIENT_TEMPLATE.FAT&amp;display_string=Audit&amp;VAR:KEY=ZQLILAPAHK&amp;VAR:QUERY=RkZfRElWX1lMRChBTk4sNC8yNC8wOCw0LzI0LzA4KQ==&amp;WINDOW=FIRST_POPUP&amp;HEIGHT=450&amp;WIDTH=450&amp;","START_MAXIMIZED=FALSE&amp;VAR:CALENDAR=US&amp;VAR:SYMBOL=LO&amp;VAR:INDEX=0"}</definedName>
    <definedName name="_1199__FDSAUDITLINK__" localSheetId="0" hidden="1">{"fdsup://directions/FAT Viewer?action=UPDATE&amp;creator=factset&amp;DYN_ARGS=TRUE&amp;DOC_NAME=FAT:FQL_AUDITING_CLIENT_TEMPLATE.FAT&amp;display_string=Audit&amp;VAR:KEY=DIJWDKJEJY&amp;VAR:QUERY=RkZfRElWX1lMRChBTk4sNC8xNy8wOCw0LzE3LzA4KQ==&amp;WINDOW=FIRST_POPUP&amp;HEIGHT=450&amp;WIDTH=450&amp;","START_MAXIMIZED=FALSE&amp;VAR:CALENDAR=US&amp;VAR:SYMBOL=LO&amp;VAR:INDEX=0"}</definedName>
    <definedName name="_1199__FDSAUDITLINK__" hidden="1">{"fdsup://directions/FAT Viewer?action=UPDATE&amp;creator=factset&amp;DYN_ARGS=TRUE&amp;DOC_NAME=FAT:FQL_AUDITING_CLIENT_TEMPLATE.FAT&amp;display_string=Audit&amp;VAR:KEY=DIJWDKJEJY&amp;VAR:QUERY=RkZfRElWX1lMRChBTk4sNC8xNy8wOCw0LzE3LzA4KQ==&amp;WINDOW=FIRST_POPUP&amp;HEIGHT=450&amp;WIDTH=450&amp;","START_MAXIMIZED=FALSE&amp;VAR:CALENDAR=US&amp;VAR:SYMBOL=LO&amp;VAR:INDEX=0"}</definedName>
    <definedName name="_11s13_" hidden="1">{#N/A,#N/A,FALSE,"UNIT";#N/A,#N/A,FALSE,"UNIT";#N/A,#N/A,FALSE,"계정"}</definedName>
    <definedName name="_11s16_" hidden="1">{#N/A,#N/A,FALSE,"UNIT";#N/A,#N/A,FALSE,"UNIT";#N/A,#N/A,FALSE,"계정"}</definedName>
    <definedName name="_11s17_" hidden="1">{#N/A,#N/A,FALSE,"UNIT";#N/A,#N/A,FALSE,"UNIT";#N/A,#N/A,FALSE,"계정"}</definedName>
    <definedName name="_11Table2_" hidden="1">#REF!</definedName>
    <definedName name="_11Z04_">#REF!</definedName>
    <definedName name="_12">#REF!</definedName>
    <definedName name="_12_????_3">#REF!</definedName>
    <definedName name="_12_????1_3">#REF!</definedName>
    <definedName name="_12_??1???_3">#REF!</definedName>
    <definedName name="_12___________P_L">#REF!</definedName>
    <definedName name="_12__123Graph_AChart_1A" hidden="1">#REF!</definedName>
    <definedName name="_12__123Graph_ACHART_3" hidden="1">#REF!</definedName>
    <definedName name="_12__123Graph_AChart_4I">#REF!</definedName>
    <definedName name="_12__123Graph_AQRE_S_BY_CO.">#REF!</definedName>
    <definedName name="_12__123Graph_ASENS_COMPARISON">#REF!</definedName>
    <definedName name="_12__123Graph_ASUPPLIES_BY_B_U">#REF!</definedName>
    <definedName name="_12__123Graph_AWAGES_BY_B_U">#REF!</definedName>
    <definedName name="_12__123Graph_BCHART_3">#REF!</definedName>
    <definedName name="_12__123Graph_BCONTRACT_BY_B_U">#REF!</definedName>
    <definedName name="_12__123Graph_BSENS_COMPARISON" hidden="1">#REF!</definedName>
    <definedName name="_12__123Graph_BSUPPLIES_BY_B_U">#REF!</definedName>
    <definedName name="_12__123Graph_BTAX_CREDIT">#REF!</definedName>
    <definedName name="_12__123Graph_BWAGES_BY_B_U">#REF!</definedName>
    <definedName name="_12__123Graph_XSALES_PIE" hidden="1">#REF!</definedName>
    <definedName name="_12__FDSAUDITLINK__" localSheetId="0" hidden="1">{"fdsup://directions/FAT Viewer?action=UPDATE&amp;creator=factset&amp;DYN_ARGS=TRUE&amp;DOC_NAME=FAT:FQL_AUDITING_CLIENT_TEMPLATE.FAT&amp;display_string=Audit&amp;VAR:KEY=OZSHCXKXWB&amp;VAR:QUERY=Q1NGX0RJVl9ZTEQoUVRSX1IsMy8zMS8yMDA4KQ==&amp;WINDOW=FIRST_POPUP&amp;HEIGHT=450&amp;WIDTH=450&amp;STAR","T_MAXIMIZED=FALSE&amp;VAR:CALENDAR=US&amp;VAR:SYMBOL=MO&amp;VAR:INDEX=0"}</definedName>
    <definedName name="_12__FDSAUDITLINK__" hidden="1">{"fdsup://directions/FAT Viewer?action=UPDATE&amp;creator=factset&amp;DYN_ARGS=TRUE&amp;DOC_NAME=FAT:FQL_AUDITING_CLIENT_TEMPLATE.FAT&amp;display_string=Audit&amp;VAR:KEY=OZSHCXKXWB&amp;VAR:QUERY=Q1NGX0RJVl9ZTEQoUVRSX1IsMy8zMS8yMDA4KQ==&amp;WINDOW=FIRST_POPUP&amp;HEIGHT=450&amp;WIDTH=450&amp;STAR","T_MAXIMIZED=FALSE&amp;VAR:CALENDAR=US&amp;VAR:SYMBOL=MO&amp;VAR:INDEX=0"}</definedName>
    <definedName name="_12_0_0_MatInverse" hidden="1">#REF!</definedName>
    <definedName name="_12_0_0PROJECT_O">#REF!</definedName>
    <definedName name="_12_0_S">#REF!</definedName>
    <definedName name="_12_0_Table2_" hidden="1">#REF!</definedName>
    <definedName name="_12_06_1999">#REF!</definedName>
    <definedName name="_120" hidden="1">#REF!</definedName>
    <definedName name="_120__123Graph_DSUPPLIES_BY_B_U">#REF!</definedName>
    <definedName name="_120__123Graph_XCHART_4">#REF!</definedName>
    <definedName name="_120__123Graph_XCONTRACT_BY_B_U">#REF!</definedName>
    <definedName name="_120__FDSAUDITLINK__" localSheetId="0" hidden="1">{"fdsup://directions/FAT Viewer?action=UPDATE&amp;creator=factset&amp;DYN_ARGS=TRUE&amp;DOC_NAME=FAT:FQL_AUDITING_CLIENT_TEMPLATE.FAT&amp;display_string=Audit&amp;VAR:KEY=VKBUFWXEBE&amp;VAR:QUERY=RkZfRElWX1lMRChBTk4sMTIvMTgvMDgsMTIvMTgvMDgp&amp;WINDOW=FIRST_POPUP&amp;HEIGHT=450&amp;WIDTH=450&amp;","START_MAXIMIZED=FALSE&amp;VAR:CALENDAR=US&amp;VAR:SYMBOL=RAI&amp;VAR:INDEX=0"}</definedName>
    <definedName name="_120__FDSAUDITLINK__" hidden="1">{"fdsup://directions/FAT Viewer?action=UPDATE&amp;creator=factset&amp;DYN_ARGS=TRUE&amp;DOC_NAME=FAT:FQL_AUDITING_CLIENT_TEMPLATE.FAT&amp;display_string=Audit&amp;VAR:KEY=VKBUFWXEBE&amp;VAR:QUERY=RkZfRElWX1lMRChBTk4sMTIvMTgvMDgsMTIvMTgvMDgp&amp;WINDOW=FIRST_POPUP&amp;HEIGHT=450&amp;WIDTH=450&amp;","START_MAXIMIZED=FALSE&amp;VAR:CALENDAR=US&amp;VAR:SYMBOL=RAI&amp;VAR:INDEX=0"}</definedName>
    <definedName name="_1200__FDSAUDITLINK__" localSheetId="0" hidden="1">{"fdsup://directions/FAT Viewer?action=UPDATE&amp;creator=factset&amp;DYN_ARGS=TRUE&amp;DOC_NAME=FAT:FQL_AUDITING_CLIENT_TEMPLATE.FAT&amp;display_string=Audit&amp;VAR:KEY=LCZERYPEZW&amp;VAR:QUERY=RkZfRElWX1lMRChBTk4sNC8xMC8wOCw0LzEwLzA4KQ==&amp;WINDOW=FIRST_POPUP&amp;HEIGHT=450&amp;WIDTH=450&amp;","START_MAXIMIZED=FALSE&amp;VAR:CALENDAR=US&amp;VAR:SYMBOL=LO&amp;VAR:INDEX=0"}</definedName>
    <definedName name="_1200__FDSAUDITLINK__" hidden="1">{"fdsup://directions/FAT Viewer?action=UPDATE&amp;creator=factset&amp;DYN_ARGS=TRUE&amp;DOC_NAME=FAT:FQL_AUDITING_CLIENT_TEMPLATE.FAT&amp;display_string=Audit&amp;VAR:KEY=LCZERYPEZW&amp;VAR:QUERY=RkZfRElWX1lMRChBTk4sNC8xMC8wOCw0LzEwLzA4KQ==&amp;WINDOW=FIRST_POPUP&amp;HEIGHT=450&amp;WIDTH=450&amp;","START_MAXIMIZED=FALSE&amp;VAR:CALENDAR=US&amp;VAR:SYMBOL=LO&amp;VAR:INDEX=0"}</definedName>
    <definedName name="_1201__FDSAUDITLINK__" localSheetId="0" hidden="1">{"fdsup://directions/FAT Viewer?action=UPDATE&amp;creator=factset&amp;DYN_ARGS=TRUE&amp;DOC_NAME=FAT:FQL_AUDITING_CLIENT_TEMPLATE.FAT&amp;display_string=Audit&amp;VAR:KEY=XSXCXWXUBG&amp;VAR:QUERY=RkZfRElWX1lMRChBTk4sNC8wMy8wOCw0LzAzLzA4KQ==&amp;WINDOW=FIRST_POPUP&amp;HEIGHT=450&amp;WIDTH=450&amp;","START_MAXIMIZED=FALSE&amp;VAR:CALENDAR=US&amp;VAR:SYMBOL=LO&amp;VAR:INDEX=0"}</definedName>
    <definedName name="_1201__FDSAUDITLINK__" hidden="1">{"fdsup://directions/FAT Viewer?action=UPDATE&amp;creator=factset&amp;DYN_ARGS=TRUE&amp;DOC_NAME=FAT:FQL_AUDITING_CLIENT_TEMPLATE.FAT&amp;display_string=Audit&amp;VAR:KEY=XSXCXWXUBG&amp;VAR:QUERY=RkZfRElWX1lMRChBTk4sNC8wMy8wOCw0LzAzLzA4KQ==&amp;WINDOW=FIRST_POPUP&amp;HEIGHT=450&amp;WIDTH=450&amp;","START_MAXIMIZED=FALSE&amp;VAR:CALENDAR=US&amp;VAR:SYMBOL=LO&amp;VAR:INDEX=0"}</definedName>
    <definedName name="_1202">#REF!</definedName>
    <definedName name="_1202__FDSAUDITLINK__" localSheetId="0" hidden="1">{"fdsup://directions/FAT Viewer?action=UPDATE&amp;creator=factset&amp;DYN_ARGS=TRUE&amp;DOC_NAME=FAT:FQL_AUDITING_CLIENT_TEMPLATE.FAT&amp;display_string=Audit&amp;VAR:KEY=DIXMZGJAZC&amp;VAR:QUERY=RkZfRElWX1lMRChBTk4sMy8yNy8wOCwzLzI3LzA4KQ==&amp;WINDOW=FIRST_POPUP&amp;HEIGHT=450&amp;WIDTH=450&amp;","START_MAXIMIZED=FALSE&amp;VAR:CALENDAR=US&amp;VAR:SYMBOL=LO&amp;VAR:INDEX=0"}</definedName>
    <definedName name="_1202__FDSAUDITLINK__" hidden="1">{"fdsup://directions/FAT Viewer?action=UPDATE&amp;creator=factset&amp;DYN_ARGS=TRUE&amp;DOC_NAME=FAT:FQL_AUDITING_CLIENT_TEMPLATE.FAT&amp;display_string=Audit&amp;VAR:KEY=DIXMZGJAZC&amp;VAR:QUERY=RkZfRElWX1lMRChBTk4sMy8yNy8wOCwzLzI3LzA4KQ==&amp;WINDOW=FIRST_POPUP&amp;HEIGHT=450&amp;WIDTH=450&amp;","START_MAXIMIZED=FALSE&amp;VAR:CALENDAR=US&amp;VAR:SYMBOL=LO&amp;VAR:INDEX=0"}</definedName>
    <definedName name="_1203__FDSAUDITLINK__" localSheetId="0" hidden="1">{"fdsup://directions/FAT Viewer?action=UPDATE&amp;creator=factset&amp;DYN_ARGS=TRUE&amp;DOC_NAME=FAT:FQL_AUDITING_CLIENT_TEMPLATE.FAT&amp;display_string=Audit&amp;VAR:KEY=ZSZMVQDMNK&amp;VAR:QUERY=RkZfRElWX1lMRChBTk4sMy8yMC8wOCwzLzIwLzA4KQ==&amp;WINDOW=FIRST_POPUP&amp;HEIGHT=450&amp;WIDTH=450&amp;","START_MAXIMIZED=FALSE&amp;VAR:CALENDAR=US&amp;VAR:SYMBOL=LO&amp;VAR:INDEX=0"}</definedName>
    <definedName name="_1203__FDSAUDITLINK__" hidden="1">{"fdsup://directions/FAT Viewer?action=UPDATE&amp;creator=factset&amp;DYN_ARGS=TRUE&amp;DOC_NAME=FAT:FQL_AUDITING_CLIENT_TEMPLATE.FAT&amp;display_string=Audit&amp;VAR:KEY=ZSZMVQDMNK&amp;VAR:QUERY=RkZfRElWX1lMRChBTk4sMy8yMC8wOCwzLzIwLzA4KQ==&amp;WINDOW=FIRST_POPUP&amp;HEIGHT=450&amp;WIDTH=450&amp;","START_MAXIMIZED=FALSE&amp;VAR:CALENDAR=US&amp;VAR:SYMBOL=LO&amp;VAR:INDEX=0"}</definedName>
    <definedName name="_1204__FDSAUDITLINK__" localSheetId="0" hidden="1">{"fdsup://directions/FAT Viewer?action=UPDATE&amp;creator=factset&amp;DYN_ARGS=TRUE&amp;DOC_NAME=FAT:FQL_AUDITING_CLIENT_TEMPLATE.FAT&amp;display_string=Audit&amp;VAR:KEY=DGTQZSXOJS&amp;VAR:QUERY=RkZfRElWX1lMRChBTk4sMy8xMy8wOCwzLzEzLzA4KQ==&amp;WINDOW=FIRST_POPUP&amp;HEIGHT=450&amp;WIDTH=450&amp;","START_MAXIMIZED=FALSE&amp;VAR:CALENDAR=US&amp;VAR:SYMBOL=LO&amp;VAR:INDEX=0"}</definedName>
    <definedName name="_1204__FDSAUDITLINK__" hidden="1">{"fdsup://directions/FAT Viewer?action=UPDATE&amp;creator=factset&amp;DYN_ARGS=TRUE&amp;DOC_NAME=FAT:FQL_AUDITING_CLIENT_TEMPLATE.FAT&amp;display_string=Audit&amp;VAR:KEY=DGTQZSXOJS&amp;VAR:QUERY=RkZfRElWX1lMRChBTk4sMy8xMy8wOCwzLzEzLzA4KQ==&amp;WINDOW=FIRST_POPUP&amp;HEIGHT=450&amp;WIDTH=450&amp;","START_MAXIMIZED=FALSE&amp;VAR:CALENDAR=US&amp;VAR:SYMBOL=LO&amp;VAR:INDEX=0"}</definedName>
    <definedName name="_1205__FDSAUDITLINK__" localSheetId="0" hidden="1">{"fdsup://directions/FAT Viewer?action=UPDATE&amp;creator=factset&amp;DYN_ARGS=TRUE&amp;DOC_NAME=FAT:FQL_AUDITING_CLIENT_TEMPLATE.FAT&amp;display_string=Audit&amp;VAR:KEY=BKFWBUPKLQ&amp;VAR:QUERY=RkZfRElWX1lMRChBTk4sMy8wNi8wOCwzLzA2LzA4KQ==&amp;WINDOW=FIRST_POPUP&amp;HEIGHT=450&amp;WIDTH=450&amp;","START_MAXIMIZED=FALSE&amp;VAR:CALENDAR=US&amp;VAR:SYMBOL=LO&amp;VAR:INDEX=0"}</definedName>
    <definedName name="_1205__FDSAUDITLINK__" hidden="1">{"fdsup://directions/FAT Viewer?action=UPDATE&amp;creator=factset&amp;DYN_ARGS=TRUE&amp;DOC_NAME=FAT:FQL_AUDITING_CLIENT_TEMPLATE.FAT&amp;display_string=Audit&amp;VAR:KEY=BKFWBUPKLQ&amp;VAR:QUERY=RkZfRElWX1lMRChBTk4sMy8wNi8wOCwzLzA2LzA4KQ==&amp;WINDOW=FIRST_POPUP&amp;HEIGHT=450&amp;WIDTH=450&amp;","START_MAXIMIZED=FALSE&amp;VAR:CALENDAR=US&amp;VAR:SYMBOL=LO&amp;VAR:INDEX=0"}</definedName>
    <definedName name="_1206__FDSAUDITLINK__" localSheetId="0" hidden="1">{"fdsup://directions/FAT Viewer?action=UPDATE&amp;creator=factset&amp;DYN_ARGS=TRUE&amp;DOC_NAME=FAT:FQL_AUDITING_CLIENT_TEMPLATE.FAT&amp;display_string=Audit&amp;VAR:KEY=VWDQBAXELA&amp;VAR:QUERY=RkZfRElWX1lMRChBTk4sMi8yOC8wOCwyLzI4LzA4KQ==&amp;WINDOW=FIRST_POPUP&amp;HEIGHT=450&amp;WIDTH=450&amp;","START_MAXIMIZED=FALSE&amp;VAR:CALENDAR=US&amp;VAR:SYMBOL=LO&amp;VAR:INDEX=0"}</definedName>
    <definedName name="_1206__FDSAUDITLINK__" hidden="1">{"fdsup://directions/FAT Viewer?action=UPDATE&amp;creator=factset&amp;DYN_ARGS=TRUE&amp;DOC_NAME=FAT:FQL_AUDITING_CLIENT_TEMPLATE.FAT&amp;display_string=Audit&amp;VAR:KEY=VWDQBAXELA&amp;VAR:QUERY=RkZfRElWX1lMRChBTk4sMi8yOC8wOCwyLzI4LzA4KQ==&amp;WINDOW=FIRST_POPUP&amp;HEIGHT=450&amp;WIDTH=450&amp;","START_MAXIMIZED=FALSE&amp;VAR:CALENDAR=US&amp;VAR:SYMBOL=LO&amp;VAR:INDEX=0"}</definedName>
    <definedName name="_1207">#REF!</definedName>
    <definedName name="_1207__FDSAUDITLINK__" localSheetId="0" hidden="1">{"fdsup://directions/FAT Viewer?action=UPDATE&amp;creator=factset&amp;DYN_ARGS=TRUE&amp;DOC_NAME=FAT:FQL_AUDITING_CLIENT_TEMPLATE.FAT&amp;display_string=Audit&amp;VAR:KEY=ZGDGTWPGDK&amp;VAR:QUERY=RkZfRElWX1lMRChBTk4sMi8yMS8wOCwyLzIxLzA4KQ==&amp;WINDOW=FIRST_POPUP&amp;HEIGHT=450&amp;WIDTH=450&amp;","START_MAXIMIZED=FALSE&amp;VAR:CALENDAR=US&amp;VAR:SYMBOL=LO&amp;VAR:INDEX=0"}</definedName>
    <definedName name="_1207__FDSAUDITLINK__" hidden="1">{"fdsup://directions/FAT Viewer?action=UPDATE&amp;creator=factset&amp;DYN_ARGS=TRUE&amp;DOC_NAME=FAT:FQL_AUDITING_CLIENT_TEMPLATE.FAT&amp;display_string=Audit&amp;VAR:KEY=ZGDGTWPGDK&amp;VAR:QUERY=RkZfRElWX1lMRChBTk4sMi8yMS8wOCwyLzIxLzA4KQ==&amp;WINDOW=FIRST_POPUP&amp;HEIGHT=450&amp;WIDTH=450&amp;","START_MAXIMIZED=FALSE&amp;VAR:CALENDAR=US&amp;VAR:SYMBOL=LO&amp;VAR:INDEX=0"}</definedName>
    <definedName name="_1208__FDSAUDITLINK__" localSheetId="0" hidden="1">{"fdsup://directions/FAT Viewer?action=UPDATE&amp;creator=factset&amp;DYN_ARGS=TRUE&amp;DOC_NAME=FAT:FQL_AUDITING_CLIENT_TEMPLATE.FAT&amp;display_string=Audit&amp;VAR:KEY=RQPEFWDORU&amp;VAR:QUERY=RkZfRElWX1lMRChBTk4sMi8xNC8wOCwyLzE0LzA4KQ==&amp;WINDOW=FIRST_POPUP&amp;HEIGHT=450&amp;WIDTH=450&amp;","START_MAXIMIZED=FALSE&amp;VAR:CALENDAR=US&amp;VAR:SYMBOL=LO&amp;VAR:INDEX=0"}</definedName>
    <definedName name="_1208__FDSAUDITLINK__" hidden="1">{"fdsup://directions/FAT Viewer?action=UPDATE&amp;creator=factset&amp;DYN_ARGS=TRUE&amp;DOC_NAME=FAT:FQL_AUDITING_CLIENT_TEMPLATE.FAT&amp;display_string=Audit&amp;VAR:KEY=RQPEFWDORU&amp;VAR:QUERY=RkZfRElWX1lMRChBTk4sMi8xNC8wOCwyLzE0LzA4KQ==&amp;WINDOW=FIRST_POPUP&amp;HEIGHT=450&amp;WIDTH=450&amp;","START_MAXIMIZED=FALSE&amp;VAR:CALENDAR=US&amp;VAR:SYMBOL=LO&amp;VAR:INDEX=0"}</definedName>
    <definedName name="_1209__FDSAUDITLINK__" localSheetId="0" hidden="1">{"fdsup://directions/FAT Viewer?action=UPDATE&amp;creator=factset&amp;DYN_ARGS=TRUE&amp;DOC_NAME=FAT:FQL_AUDITING_CLIENT_TEMPLATE.FAT&amp;display_string=Audit&amp;VAR:KEY=LEJOVUTMDU&amp;VAR:QUERY=RkZfRElWX1lMRChBTk4sMi8wNy8wOCwyLzA3LzA4KQ==&amp;WINDOW=FIRST_POPUP&amp;HEIGHT=450&amp;WIDTH=450&amp;","START_MAXIMIZED=FALSE&amp;VAR:CALENDAR=US&amp;VAR:SYMBOL=LO&amp;VAR:INDEX=0"}</definedName>
    <definedName name="_1209__FDSAUDITLINK__" hidden="1">{"fdsup://directions/FAT Viewer?action=UPDATE&amp;creator=factset&amp;DYN_ARGS=TRUE&amp;DOC_NAME=FAT:FQL_AUDITING_CLIENT_TEMPLATE.FAT&amp;display_string=Audit&amp;VAR:KEY=LEJOVUTMDU&amp;VAR:QUERY=RkZfRElWX1lMRChBTk4sMi8wNy8wOCwyLzA3LzA4KQ==&amp;WINDOW=FIRST_POPUP&amp;HEIGHT=450&amp;WIDTH=450&amp;","START_MAXIMIZED=FALSE&amp;VAR:CALENDAR=US&amp;VAR:SYMBOL=LO&amp;VAR:INDEX=0"}</definedName>
    <definedName name="_121">#REF!</definedName>
    <definedName name="_121__123Graph_DSUPPLIES_BY_B_U">#REF!</definedName>
    <definedName name="_121__123Graph_ESUPPLIES_BY_B_U">#REF!</definedName>
    <definedName name="_121__FDSAUDITLINK__" localSheetId="0" hidden="1">{"fdsup://directions/FAT Viewer?action=UPDATE&amp;creator=factset&amp;DYN_ARGS=TRUE&amp;DOC_NAME=FAT:FQL_AUDITING_CLIENT_TEMPLATE.FAT&amp;display_string=Audit&amp;VAR:KEY=VUPONWBMPC&amp;VAR:QUERY=RkZfRElWX1lMRChBTk4sMTIvMTEvMDgsMTIvMTEvMDgp&amp;WINDOW=FIRST_POPUP&amp;HEIGHT=450&amp;WIDTH=450&amp;","START_MAXIMIZED=FALSE&amp;VAR:CALENDAR=US&amp;VAR:SYMBOL=RAI&amp;VAR:INDEX=0"}</definedName>
    <definedName name="_121__FDSAUDITLINK__" hidden="1">{"fdsup://directions/FAT Viewer?action=UPDATE&amp;creator=factset&amp;DYN_ARGS=TRUE&amp;DOC_NAME=FAT:FQL_AUDITING_CLIENT_TEMPLATE.FAT&amp;display_string=Audit&amp;VAR:KEY=VUPONWBMPC&amp;VAR:QUERY=RkZfRElWX1lMRChBTk4sMTIvMTEvMDgsMTIvMTEvMDgp&amp;WINDOW=FIRST_POPUP&amp;HEIGHT=450&amp;WIDTH=450&amp;","START_MAXIMIZED=FALSE&amp;VAR:CALENDAR=US&amp;VAR:SYMBOL=RAI&amp;VAR:INDEX=0"}</definedName>
    <definedName name="_1210__FDSAUDITLINK__" localSheetId="0" hidden="1">{"fdsup://directions/FAT Viewer?action=UPDATE&amp;creator=factset&amp;DYN_ARGS=TRUE&amp;DOC_NAME=FAT:FQL_AUDITING_CLIENT_TEMPLATE.FAT&amp;display_string=Audit&amp;VAR:KEY=FCDKPGJOBU&amp;VAR:QUERY=RkZfRElWX1lMRChBTk4sMS8zMS8wOCwxLzMxLzA4KQ==&amp;WINDOW=FIRST_POPUP&amp;HEIGHT=450&amp;WIDTH=450&amp;","START_MAXIMIZED=FALSE&amp;VAR:CALENDAR=US&amp;VAR:SYMBOL=LO&amp;VAR:INDEX=0"}</definedName>
    <definedName name="_1210__FDSAUDITLINK__" hidden="1">{"fdsup://directions/FAT Viewer?action=UPDATE&amp;creator=factset&amp;DYN_ARGS=TRUE&amp;DOC_NAME=FAT:FQL_AUDITING_CLIENT_TEMPLATE.FAT&amp;display_string=Audit&amp;VAR:KEY=FCDKPGJOBU&amp;VAR:QUERY=RkZfRElWX1lMRChBTk4sMS8zMS8wOCwxLzMxLzA4KQ==&amp;WINDOW=FIRST_POPUP&amp;HEIGHT=450&amp;WIDTH=450&amp;","START_MAXIMIZED=FALSE&amp;VAR:CALENDAR=US&amp;VAR:SYMBOL=LO&amp;VAR:INDEX=0"}</definedName>
    <definedName name="_1211__FDSAUDITLINK__" localSheetId="0" hidden="1">{"fdsup://directions/FAT Viewer?action=UPDATE&amp;creator=factset&amp;DYN_ARGS=TRUE&amp;DOC_NAME=FAT:FQL_AUDITING_CLIENT_TEMPLATE.FAT&amp;display_string=Audit&amp;VAR:KEY=VULQJULSFA&amp;VAR:QUERY=RkZfRElWX1lMRChBTk4sMS8yNC8wOCwxLzI0LzA4KQ==&amp;WINDOW=FIRST_POPUP&amp;HEIGHT=450&amp;WIDTH=450&amp;","START_MAXIMIZED=FALSE&amp;VAR:CALENDAR=US&amp;VAR:SYMBOL=LO&amp;VAR:INDEX=0"}</definedName>
    <definedName name="_1211__FDSAUDITLINK__" hidden="1">{"fdsup://directions/FAT Viewer?action=UPDATE&amp;creator=factset&amp;DYN_ARGS=TRUE&amp;DOC_NAME=FAT:FQL_AUDITING_CLIENT_TEMPLATE.FAT&amp;display_string=Audit&amp;VAR:KEY=VULQJULSFA&amp;VAR:QUERY=RkZfRElWX1lMRChBTk4sMS8yNC8wOCwxLzI0LzA4KQ==&amp;WINDOW=FIRST_POPUP&amp;HEIGHT=450&amp;WIDTH=450&amp;","START_MAXIMIZED=FALSE&amp;VAR:CALENDAR=US&amp;VAR:SYMBOL=LO&amp;VAR:INDEX=0"}</definedName>
    <definedName name="_1212__FDSAUDITLINK__" localSheetId="0" hidden="1">{"fdsup://directions/FAT Viewer?action=UPDATE&amp;creator=factset&amp;DYN_ARGS=TRUE&amp;DOC_NAME=FAT:FQL_AUDITING_CLIENT_TEMPLATE.FAT&amp;display_string=Audit&amp;VAR:KEY=BWHIFYZUVC&amp;VAR:QUERY=RkZfRElWX1lMRChBTk4sMS8xNy8wOCwxLzE3LzA4KQ==&amp;WINDOW=FIRST_POPUP&amp;HEIGHT=450&amp;WIDTH=450&amp;","START_MAXIMIZED=FALSE&amp;VAR:CALENDAR=US&amp;VAR:SYMBOL=LO&amp;VAR:INDEX=0"}</definedName>
    <definedName name="_1212__FDSAUDITLINK__" hidden="1">{"fdsup://directions/FAT Viewer?action=UPDATE&amp;creator=factset&amp;DYN_ARGS=TRUE&amp;DOC_NAME=FAT:FQL_AUDITING_CLIENT_TEMPLATE.FAT&amp;display_string=Audit&amp;VAR:KEY=BWHIFYZUVC&amp;VAR:QUERY=RkZfRElWX1lMRChBTk4sMS8xNy8wOCwxLzE3LzA4KQ==&amp;WINDOW=FIRST_POPUP&amp;HEIGHT=450&amp;WIDTH=450&amp;","START_MAXIMIZED=FALSE&amp;VAR:CALENDAR=US&amp;VAR:SYMBOL=LO&amp;VAR:INDEX=0"}</definedName>
    <definedName name="_1213__FDSAUDITLINK__" localSheetId="0" hidden="1">{"fdsup://directions/FAT Viewer?action=UPDATE&amp;creator=factset&amp;DYN_ARGS=TRUE&amp;DOC_NAME=FAT:FQL_AUDITING_CLIENT_TEMPLATE.FAT&amp;display_string=Audit&amp;VAR:KEY=HEXETEHUXQ&amp;VAR:QUERY=RkZfRElWX1lMRChBTk4sMS8xMC8wOCwxLzEwLzA4KQ==&amp;WINDOW=FIRST_POPUP&amp;HEIGHT=450&amp;WIDTH=450&amp;","START_MAXIMIZED=FALSE&amp;VAR:CALENDAR=US&amp;VAR:SYMBOL=LO&amp;VAR:INDEX=0"}</definedName>
    <definedName name="_1213__FDSAUDITLINK__" hidden="1">{"fdsup://directions/FAT Viewer?action=UPDATE&amp;creator=factset&amp;DYN_ARGS=TRUE&amp;DOC_NAME=FAT:FQL_AUDITING_CLIENT_TEMPLATE.FAT&amp;display_string=Audit&amp;VAR:KEY=HEXETEHUXQ&amp;VAR:QUERY=RkZfRElWX1lMRChBTk4sMS8xMC8wOCwxLzEwLzA4KQ==&amp;WINDOW=FIRST_POPUP&amp;HEIGHT=450&amp;WIDTH=450&amp;","START_MAXIMIZED=FALSE&amp;VAR:CALENDAR=US&amp;VAR:SYMBOL=LO&amp;VAR:INDEX=0"}</definedName>
    <definedName name="_1214__FDSAUDITLINK__" localSheetId="0" hidden="1">{"fdsup://directions/FAT Viewer?action=UPDATE&amp;creator=factset&amp;DYN_ARGS=TRUE&amp;DOC_NAME=FAT:FQL_AUDITING_CLIENT_TEMPLATE.FAT&amp;display_string=Audit&amp;VAR:KEY=DCPUFIRARE&amp;VAR:QUERY=RkZfRElWX1lMRChBTk4sMS8wMy8wOCwxLzAzLzA4KQ==&amp;WINDOW=FIRST_POPUP&amp;HEIGHT=450&amp;WIDTH=450&amp;","START_MAXIMIZED=FALSE&amp;VAR:CALENDAR=US&amp;VAR:SYMBOL=LO&amp;VAR:INDEX=0"}</definedName>
    <definedName name="_1214__FDSAUDITLINK__" hidden="1">{"fdsup://directions/FAT Viewer?action=UPDATE&amp;creator=factset&amp;DYN_ARGS=TRUE&amp;DOC_NAME=FAT:FQL_AUDITING_CLIENT_TEMPLATE.FAT&amp;display_string=Audit&amp;VAR:KEY=DCPUFIRARE&amp;VAR:QUERY=RkZfRElWX1lMRChBTk4sMS8wMy8wOCwxLzAzLzA4KQ==&amp;WINDOW=FIRST_POPUP&amp;HEIGHT=450&amp;WIDTH=450&amp;","START_MAXIMIZED=FALSE&amp;VAR:CALENDAR=US&amp;VAR:SYMBOL=LO&amp;VAR:INDEX=0"}</definedName>
    <definedName name="_1215">#REF!</definedName>
    <definedName name="_1215__FDSAUDITLINK__" localSheetId="0" hidden="1">{"fdsup://directions/FAT Viewer?action=UPDATE&amp;creator=factset&amp;DYN_ARGS=TRUE&amp;DOC_NAME=FAT:FQL_AUDITING_CLIENT_TEMPLATE.FAT&amp;display_string=Audit&amp;VAR:KEY=HGZIVYZMRS&amp;VAR:QUERY=RkZfRElWX1lMRChBTk4sMTIvMjcvMDcsMTIvMjcvMDcp&amp;WINDOW=FIRST_POPUP&amp;HEIGHT=450&amp;WIDTH=450&amp;","START_MAXIMIZED=FALSE&amp;VAR:CALENDAR=US&amp;VAR:SYMBOL=LO&amp;VAR:INDEX=0"}</definedName>
    <definedName name="_1215__FDSAUDITLINK__" hidden="1">{"fdsup://directions/FAT Viewer?action=UPDATE&amp;creator=factset&amp;DYN_ARGS=TRUE&amp;DOC_NAME=FAT:FQL_AUDITING_CLIENT_TEMPLATE.FAT&amp;display_string=Audit&amp;VAR:KEY=HGZIVYZMRS&amp;VAR:QUERY=RkZfRElWX1lMRChBTk4sMTIvMjcvMDcsMTIvMjcvMDcp&amp;WINDOW=FIRST_POPUP&amp;HEIGHT=450&amp;WIDTH=450&amp;","START_MAXIMIZED=FALSE&amp;VAR:CALENDAR=US&amp;VAR:SYMBOL=LO&amp;VAR:INDEX=0"}</definedName>
    <definedName name="_1216__FDSAUDITLINK__" localSheetId="0" hidden="1">{"fdsup://directions/FAT Viewer?action=UPDATE&amp;creator=factset&amp;DYN_ARGS=TRUE&amp;DOC_NAME=FAT:FQL_AUDITING_CLIENT_TEMPLATE.FAT&amp;display_string=Audit&amp;VAR:KEY=LCDMJQBKHS&amp;VAR:QUERY=RkZfRElWX1lMRChBTk4sMTIvMjAvMDcsMTIvMjAvMDcp&amp;WINDOW=FIRST_POPUP&amp;HEIGHT=450&amp;WIDTH=450&amp;","START_MAXIMIZED=FALSE&amp;VAR:CALENDAR=US&amp;VAR:SYMBOL=LO&amp;VAR:INDEX=0"}</definedName>
    <definedName name="_1216__FDSAUDITLINK__" hidden="1">{"fdsup://directions/FAT Viewer?action=UPDATE&amp;creator=factset&amp;DYN_ARGS=TRUE&amp;DOC_NAME=FAT:FQL_AUDITING_CLIENT_TEMPLATE.FAT&amp;display_string=Audit&amp;VAR:KEY=LCDMJQBKHS&amp;VAR:QUERY=RkZfRElWX1lMRChBTk4sMTIvMjAvMDcsMTIvMjAvMDcp&amp;WINDOW=FIRST_POPUP&amp;HEIGHT=450&amp;WIDTH=450&amp;","START_MAXIMIZED=FALSE&amp;VAR:CALENDAR=US&amp;VAR:SYMBOL=LO&amp;VAR:INDEX=0"}</definedName>
    <definedName name="_1217__FDSAUDITLINK__" localSheetId="0" hidden="1">{"fdsup://directions/FAT Viewer?action=UPDATE&amp;creator=factset&amp;DYN_ARGS=TRUE&amp;DOC_NAME=FAT:FQL_AUDITING_CLIENT_TEMPLATE.FAT&amp;display_string=Audit&amp;VAR:KEY=PEBERIDSHA&amp;VAR:QUERY=RkZfRElWX1lMRChBTk4sMTIvMTMvMDcsMTIvMTMvMDcp&amp;WINDOW=FIRST_POPUP&amp;HEIGHT=450&amp;WIDTH=450&amp;","START_MAXIMIZED=FALSE&amp;VAR:CALENDAR=US&amp;VAR:SYMBOL=LO&amp;VAR:INDEX=0"}</definedName>
    <definedName name="_1217__FDSAUDITLINK__" hidden="1">{"fdsup://directions/FAT Viewer?action=UPDATE&amp;creator=factset&amp;DYN_ARGS=TRUE&amp;DOC_NAME=FAT:FQL_AUDITING_CLIENT_TEMPLATE.FAT&amp;display_string=Audit&amp;VAR:KEY=PEBERIDSHA&amp;VAR:QUERY=RkZfRElWX1lMRChBTk4sMTIvMTMvMDcsMTIvMTMvMDcp&amp;WINDOW=FIRST_POPUP&amp;HEIGHT=450&amp;WIDTH=450&amp;","START_MAXIMIZED=FALSE&amp;VAR:CALENDAR=US&amp;VAR:SYMBOL=LO&amp;VAR:INDEX=0"}</definedName>
    <definedName name="_1218__FDSAUDITLINK__" localSheetId="0" hidden="1">{"fdsup://directions/FAT Viewer?action=UPDATE&amp;creator=factset&amp;DYN_ARGS=TRUE&amp;DOC_NAME=FAT:FQL_AUDITING_CLIENT_TEMPLATE.FAT&amp;display_string=Audit&amp;VAR:KEY=NGNQBANWHC&amp;VAR:QUERY=RkZfRElWX1lMRChBTk4sMTIvMDYvMDcsMTIvMDYvMDcp&amp;WINDOW=FIRST_POPUP&amp;HEIGHT=450&amp;WIDTH=450&amp;","START_MAXIMIZED=FALSE&amp;VAR:CALENDAR=US&amp;VAR:SYMBOL=LO&amp;VAR:INDEX=0"}</definedName>
    <definedName name="_1218__FDSAUDITLINK__" hidden="1">{"fdsup://directions/FAT Viewer?action=UPDATE&amp;creator=factset&amp;DYN_ARGS=TRUE&amp;DOC_NAME=FAT:FQL_AUDITING_CLIENT_TEMPLATE.FAT&amp;display_string=Audit&amp;VAR:KEY=NGNQBANWHC&amp;VAR:QUERY=RkZfRElWX1lMRChBTk4sMTIvMDYvMDcsMTIvMDYvMDcp&amp;WINDOW=FIRST_POPUP&amp;HEIGHT=450&amp;WIDTH=450&amp;","START_MAXIMIZED=FALSE&amp;VAR:CALENDAR=US&amp;VAR:SYMBOL=LO&amp;VAR:INDEX=0"}</definedName>
    <definedName name="_1219">#REF!</definedName>
    <definedName name="_1219__FDSAUDITLINK__" localSheetId="0" hidden="1">{"fdsup://directions/FAT Viewer?action=UPDATE&amp;creator=factset&amp;DYN_ARGS=TRUE&amp;DOC_NAME=FAT:FQL_AUDITING_CLIENT_TEMPLATE.FAT&amp;display_string=Audit&amp;VAR:KEY=TKTMHIJQZI&amp;VAR:QUERY=RkZfRElWX1lMRChBTk4sMTEvMjkvMDcsMTEvMjkvMDcp&amp;WINDOW=FIRST_POPUP&amp;HEIGHT=450&amp;WIDTH=450&amp;","START_MAXIMIZED=FALSE&amp;VAR:CALENDAR=US&amp;VAR:SYMBOL=LO&amp;VAR:INDEX=0"}</definedName>
    <definedName name="_1219__FDSAUDITLINK__" hidden="1">{"fdsup://directions/FAT Viewer?action=UPDATE&amp;creator=factset&amp;DYN_ARGS=TRUE&amp;DOC_NAME=FAT:FQL_AUDITING_CLIENT_TEMPLATE.FAT&amp;display_string=Audit&amp;VAR:KEY=TKTMHIJQZI&amp;VAR:QUERY=RkZfRElWX1lMRChBTk4sMTEvMjkvMDcsMTEvMjkvMDcp&amp;WINDOW=FIRST_POPUP&amp;HEIGHT=450&amp;WIDTH=450&amp;","START_MAXIMIZED=FALSE&amp;VAR:CALENDAR=US&amp;VAR:SYMBOL=LO&amp;VAR:INDEX=0"}</definedName>
    <definedName name="_122__FDSAUDITLINK__" localSheetId="0" hidden="1">{"fdsup://directions/FAT Viewer?action=UPDATE&amp;creator=factset&amp;DYN_ARGS=TRUE&amp;DOC_NAME=FAT:FQL_AUDITING_CLIENT_TEMPLATE.FAT&amp;display_string=Audit&amp;VAR:KEY=ZGLWVCZOJS&amp;VAR:QUERY=RkZfRElWX1lMRChBTk4sMTIvMDQvMDgsMTIvMDQvMDgp&amp;WINDOW=FIRST_POPUP&amp;HEIGHT=450&amp;WIDTH=450&amp;","START_MAXIMIZED=FALSE&amp;VAR:CALENDAR=US&amp;VAR:SYMBOL=RAI&amp;VAR:INDEX=0"}</definedName>
    <definedName name="_122__FDSAUDITLINK__" hidden="1">{"fdsup://directions/FAT Viewer?action=UPDATE&amp;creator=factset&amp;DYN_ARGS=TRUE&amp;DOC_NAME=FAT:FQL_AUDITING_CLIENT_TEMPLATE.FAT&amp;display_string=Audit&amp;VAR:KEY=ZGLWVCZOJS&amp;VAR:QUERY=RkZfRElWX1lMRChBTk4sMTIvMDQvMDgsMTIvMDQvMDgp&amp;WINDOW=FIRST_POPUP&amp;HEIGHT=450&amp;WIDTH=450&amp;","START_MAXIMIZED=FALSE&amp;VAR:CALENDAR=US&amp;VAR:SYMBOL=RAI&amp;VAR:INDEX=0"}</definedName>
    <definedName name="_1220__FDSAUDITLINK__" localSheetId="0" hidden="1">{"fdsup://directions/FAT Viewer?action=UPDATE&amp;creator=factset&amp;DYN_ARGS=TRUE&amp;DOC_NAME=FAT:FQL_AUDITING_CLIENT_TEMPLATE.FAT&amp;display_string=Audit&amp;VAR:KEY=HWHCNSTQNU&amp;VAR:QUERY=RkZfRElWX1lMRChBTk4sMTEvMjEvMDcsMTEvMjEvMDcp&amp;WINDOW=FIRST_POPUP&amp;HEIGHT=450&amp;WIDTH=450&amp;","START_MAXIMIZED=FALSE&amp;VAR:CALENDAR=US&amp;VAR:SYMBOL=LO&amp;VAR:INDEX=0"}</definedName>
    <definedName name="_1220__FDSAUDITLINK__" hidden="1">{"fdsup://directions/FAT Viewer?action=UPDATE&amp;creator=factset&amp;DYN_ARGS=TRUE&amp;DOC_NAME=FAT:FQL_AUDITING_CLIENT_TEMPLATE.FAT&amp;display_string=Audit&amp;VAR:KEY=HWHCNSTQNU&amp;VAR:QUERY=RkZfRElWX1lMRChBTk4sMTEvMjEvMDcsMTEvMjEvMDcp&amp;WINDOW=FIRST_POPUP&amp;HEIGHT=450&amp;WIDTH=450&amp;","START_MAXIMIZED=FALSE&amp;VAR:CALENDAR=US&amp;VAR:SYMBOL=LO&amp;VAR:INDEX=0"}</definedName>
    <definedName name="_1221__FDSAUDITLINK__" localSheetId="0" hidden="1">{"fdsup://directions/FAT Viewer?action=UPDATE&amp;creator=factset&amp;DYN_ARGS=TRUE&amp;DOC_NAME=FAT:FQL_AUDITING_CLIENT_TEMPLATE.FAT&amp;display_string=Audit&amp;VAR:KEY=JIDILIBGBM&amp;VAR:QUERY=RkZfRElWX1lMRChBTk4sMTEvMTUvMDcsMTEvMTUvMDcp&amp;WINDOW=FIRST_POPUP&amp;HEIGHT=450&amp;WIDTH=450&amp;","START_MAXIMIZED=FALSE&amp;VAR:CALENDAR=US&amp;VAR:SYMBOL=LO&amp;VAR:INDEX=0"}</definedName>
    <definedName name="_1221__FDSAUDITLINK__" hidden="1">{"fdsup://directions/FAT Viewer?action=UPDATE&amp;creator=factset&amp;DYN_ARGS=TRUE&amp;DOC_NAME=FAT:FQL_AUDITING_CLIENT_TEMPLATE.FAT&amp;display_string=Audit&amp;VAR:KEY=JIDILIBGBM&amp;VAR:QUERY=RkZfRElWX1lMRChBTk4sMTEvMTUvMDcsMTEvMTUvMDcp&amp;WINDOW=FIRST_POPUP&amp;HEIGHT=450&amp;WIDTH=450&amp;","START_MAXIMIZED=FALSE&amp;VAR:CALENDAR=US&amp;VAR:SYMBOL=LO&amp;VAR:INDEX=0"}</definedName>
    <definedName name="_1222">#REF!</definedName>
    <definedName name="_1222__FDSAUDITLINK__" localSheetId="0" hidden="1">{"fdsup://directions/FAT Viewer?action=UPDATE&amp;creator=factset&amp;DYN_ARGS=TRUE&amp;DOC_NAME=FAT:FQL_AUDITING_CLIENT_TEMPLATE.FAT&amp;display_string=Audit&amp;VAR:KEY=PATETYFAXA&amp;VAR:QUERY=RkZfRElWX1lMRChBTk4sMTEvMDgvMDcsMTEvMDgvMDcp&amp;WINDOW=FIRST_POPUP&amp;HEIGHT=450&amp;WIDTH=450&amp;","START_MAXIMIZED=FALSE&amp;VAR:CALENDAR=US&amp;VAR:SYMBOL=LO&amp;VAR:INDEX=0"}</definedName>
    <definedName name="_1222__FDSAUDITLINK__" hidden="1">{"fdsup://directions/FAT Viewer?action=UPDATE&amp;creator=factset&amp;DYN_ARGS=TRUE&amp;DOC_NAME=FAT:FQL_AUDITING_CLIENT_TEMPLATE.FAT&amp;display_string=Audit&amp;VAR:KEY=PATETYFAXA&amp;VAR:QUERY=RkZfRElWX1lMRChBTk4sMTEvMDgvMDcsMTEvMDgvMDcp&amp;WINDOW=FIRST_POPUP&amp;HEIGHT=450&amp;WIDTH=450&amp;","START_MAXIMIZED=FALSE&amp;VAR:CALENDAR=US&amp;VAR:SYMBOL=LO&amp;VAR:INDEX=0"}</definedName>
    <definedName name="_1223">#REF!</definedName>
    <definedName name="_1223__FDSAUDITLINK__" localSheetId="0" hidden="1">{"fdsup://directions/FAT Viewer?action=UPDATE&amp;creator=factset&amp;DYN_ARGS=TRUE&amp;DOC_NAME=FAT:FQL_AUDITING_CLIENT_TEMPLATE.FAT&amp;display_string=Audit&amp;VAR:KEY=HEXIRSNEBE&amp;VAR:QUERY=RkZfRElWX1lMRChBTk4sMTEvMDEvMDcsMTEvMDEvMDcp&amp;WINDOW=FIRST_POPUP&amp;HEIGHT=450&amp;WIDTH=450&amp;","START_MAXIMIZED=FALSE&amp;VAR:CALENDAR=US&amp;VAR:SYMBOL=LO&amp;VAR:INDEX=0"}</definedName>
    <definedName name="_1223__FDSAUDITLINK__" hidden="1">{"fdsup://directions/FAT Viewer?action=UPDATE&amp;creator=factset&amp;DYN_ARGS=TRUE&amp;DOC_NAME=FAT:FQL_AUDITING_CLIENT_TEMPLATE.FAT&amp;display_string=Audit&amp;VAR:KEY=HEXIRSNEBE&amp;VAR:QUERY=RkZfRElWX1lMRChBTk4sMTEvMDEvMDcsMTEvMDEvMDcp&amp;WINDOW=FIRST_POPUP&amp;HEIGHT=450&amp;WIDTH=450&amp;","START_MAXIMIZED=FALSE&amp;VAR:CALENDAR=US&amp;VAR:SYMBOL=LO&amp;VAR:INDEX=0"}</definedName>
    <definedName name="_1224">#REF!</definedName>
    <definedName name="_1224__FDSAUDITLINK__" localSheetId="0" hidden="1">{"fdsup://directions/FAT Viewer?action=UPDATE&amp;creator=factset&amp;DYN_ARGS=TRUE&amp;DOC_NAME=FAT:FQL_AUDITING_CLIENT_TEMPLATE.FAT&amp;display_string=Audit&amp;VAR:KEY=FQFCNQLEPG&amp;VAR:QUERY=RkZfRElWX1lMRChBTk4sMTAvMjUvMDcsMTAvMjUvMDcp&amp;WINDOW=FIRST_POPUP&amp;HEIGHT=450&amp;WIDTH=450&amp;","START_MAXIMIZED=FALSE&amp;VAR:CALENDAR=US&amp;VAR:SYMBOL=LO&amp;VAR:INDEX=0"}</definedName>
    <definedName name="_1224__FDSAUDITLINK__" hidden="1">{"fdsup://directions/FAT Viewer?action=UPDATE&amp;creator=factset&amp;DYN_ARGS=TRUE&amp;DOC_NAME=FAT:FQL_AUDITING_CLIENT_TEMPLATE.FAT&amp;display_string=Audit&amp;VAR:KEY=FQFCNQLEPG&amp;VAR:QUERY=RkZfRElWX1lMRChBTk4sMTAvMjUvMDcsMTAvMjUvMDcp&amp;WINDOW=FIRST_POPUP&amp;HEIGHT=450&amp;WIDTH=450&amp;","START_MAXIMIZED=FALSE&amp;VAR:CALENDAR=US&amp;VAR:SYMBOL=LO&amp;VAR:INDEX=0"}</definedName>
    <definedName name="_1225">#REF!</definedName>
    <definedName name="_1225__FDSAUDITLINK__" localSheetId="0" hidden="1">{"fdsup://directions/FAT Viewer?action=UPDATE&amp;creator=factset&amp;DYN_ARGS=TRUE&amp;DOC_NAME=FAT:FQL_AUDITING_CLIENT_TEMPLATE.FAT&amp;display_string=Audit&amp;VAR:KEY=ZILKNQPSBK&amp;VAR:QUERY=RkZfRElWX1lMRChBTk4sMTAvMTgvMDcsMTAvMTgvMDcp&amp;WINDOW=FIRST_POPUP&amp;HEIGHT=450&amp;WIDTH=450&amp;","START_MAXIMIZED=FALSE&amp;VAR:CALENDAR=US&amp;VAR:SYMBOL=LO&amp;VAR:INDEX=0"}</definedName>
    <definedName name="_1225__FDSAUDITLINK__" hidden="1">{"fdsup://directions/FAT Viewer?action=UPDATE&amp;creator=factset&amp;DYN_ARGS=TRUE&amp;DOC_NAME=FAT:FQL_AUDITING_CLIENT_TEMPLATE.FAT&amp;display_string=Audit&amp;VAR:KEY=ZILKNQPSBK&amp;VAR:QUERY=RkZfRElWX1lMRChBTk4sMTAvMTgvMDcsMTAvMTgvMDcp&amp;WINDOW=FIRST_POPUP&amp;HEIGHT=450&amp;WIDTH=450&amp;","START_MAXIMIZED=FALSE&amp;VAR:CALENDAR=US&amp;VAR:SYMBOL=LO&amp;VAR:INDEX=0"}</definedName>
    <definedName name="_1226">#REF!</definedName>
    <definedName name="_1226__FDSAUDITLINK__" localSheetId="0" hidden="1">{"fdsup://directions/FAT Viewer?action=UPDATE&amp;creator=factset&amp;DYN_ARGS=TRUE&amp;DOC_NAME=FAT:FQL_AUDITING_CLIENT_TEMPLATE.FAT&amp;display_string=Audit&amp;VAR:KEY=VOXIFUHQPE&amp;VAR:QUERY=RkZfRElWX1lMRChBTk4sMTAvMTEvMDcsMTAvMTEvMDcp&amp;WINDOW=FIRST_POPUP&amp;HEIGHT=450&amp;WIDTH=450&amp;","START_MAXIMIZED=FALSE&amp;VAR:CALENDAR=US&amp;VAR:SYMBOL=LO&amp;VAR:INDEX=0"}</definedName>
    <definedName name="_1226__FDSAUDITLINK__" hidden="1">{"fdsup://directions/FAT Viewer?action=UPDATE&amp;creator=factset&amp;DYN_ARGS=TRUE&amp;DOC_NAME=FAT:FQL_AUDITING_CLIENT_TEMPLATE.FAT&amp;display_string=Audit&amp;VAR:KEY=VOXIFUHQPE&amp;VAR:QUERY=RkZfRElWX1lMRChBTk4sMTAvMTEvMDcsMTAvMTEvMDcp&amp;WINDOW=FIRST_POPUP&amp;HEIGHT=450&amp;WIDTH=450&amp;","START_MAXIMIZED=FALSE&amp;VAR:CALENDAR=US&amp;VAR:SYMBOL=LO&amp;VAR:INDEX=0"}</definedName>
    <definedName name="_1227">#REF!</definedName>
    <definedName name="_1227__FDSAUDITLINK__" localSheetId="0" hidden="1">{"fdsup://directions/FAT Viewer?action=UPDATE&amp;creator=factset&amp;DYN_ARGS=TRUE&amp;DOC_NAME=FAT:FQL_AUDITING_CLIENT_TEMPLATE.FAT&amp;display_string=Audit&amp;VAR:KEY=VEJUNIHSJG&amp;VAR:QUERY=RkZfRElWX1lMRChBTk4sMTAvMDQvMDcsMTAvMDQvMDcp&amp;WINDOW=FIRST_POPUP&amp;HEIGHT=450&amp;WIDTH=450&amp;","START_MAXIMIZED=FALSE&amp;VAR:CALENDAR=US&amp;VAR:SYMBOL=LO&amp;VAR:INDEX=0"}</definedName>
    <definedName name="_1227__FDSAUDITLINK__" hidden="1">{"fdsup://directions/FAT Viewer?action=UPDATE&amp;creator=factset&amp;DYN_ARGS=TRUE&amp;DOC_NAME=FAT:FQL_AUDITING_CLIENT_TEMPLATE.FAT&amp;display_string=Audit&amp;VAR:KEY=VEJUNIHSJG&amp;VAR:QUERY=RkZfRElWX1lMRChBTk4sMTAvMDQvMDcsMTAvMDQvMDcp&amp;WINDOW=FIRST_POPUP&amp;HEIGHT=450&amp;WIDTH=450&amp;","START_MAXIMIZED=FALSE&amp;VAR:CALENDAR=US&amp;VAR:SYMBOL=LO&amp;VAR:INDEX=0"}</definedName>
    <definedName name="_1228">#REF!</definedName>
    <definedName name="_1228__FDSAUDITLINK__" localSheetId="0" hidden="1">{"fdsup://directions/FAT Viewer?action=UPDATE&amp;creator=factset&amp;DYN_ARGS=TRUE&amp;DOC_NAME=FAT:FQL_AUDITING_CLIENT_TEMPLATE.FAT&amp;display_string=Audit&amp;VAR:KEY=TWVKLSHGXK&amp;VAR:QUERY=RkZfRElWX1lMRChBTk4sOS8yNy8wNyw5LzI3LzA3KQ==&amp;WINDOW=FIRST_POPUP&amp;HEIGHT=450&amp;WIDTH=450&amp;","START_MAXIMIZED=FALSE&amp;VAR:CALENDAR=US&amp;VAR:SYMBOL=LO&amp;VAR:INDEX=0"}</definedName>
    <definedName name="_1228__FDSAUDITLINK__" hidden="1">{"fdsup://directions/FAT Viewer?action=UPDATE&amp;creator=factset&amp;DYN_ARGS=TRUE&amp;DOC_NAME=FAT:FQL_AUDITING_CLIENT_TEMPLATE.FAT&amp;display_string=Audit&amp;VAR:KEY=TWVKLSHGXK&amp;VAR:QUERY=RkZfRElWX1lMRChBTk4sOS8yNy8wNyw5LzI3LzA3KQ==&amp;WINDOW=FIRST_POPUP&amp;HEIGHT=450&amp;WIDTH=450&amp;","START_MAXIMIZED=FALSE&amp;VAR:CALENDAR=US&amp;VAR:SYMBOL=LO&amp;VAR:INDEX=0"}</definedName>
    <definedName name="_1229">#REF!</definedName>
    <definedName name="_1229__FDSAUDITLINK__" localSheetId="0" hidden="1">{"fdsup://directions/FAT Viewer?action=UPDATE&amp;creator=factset&amp;DYN_ARGS=TRUE&amp;DOC_NAME=FAT:FQL_AUDITING_CLIENT_TEMPLATE.FAT&amp;display_string=Audit&amp;VAR:KEY=TYBCVCTAFK&amp;VAR:QUERY=RkZfRElWX1lMRChBTk4sOS8yMC8wNyw5LzIwLzA3KQ==&amp;WINDOW=FIRST_POPUP&amp;HEIGHT=450&amp;WIDTH=450&amp;","START_MAXIMIZED=FALSE&amp;VAR:CALENDAR=US&amp;VAR:SYMBOL=LO&amp;VAR:INDEX=0"}</definedName>
    <definedName name="_1229__FDSAUDITLINK__" hidden="1">{"fdsup://directions/FAT Viewer?action=UPDATE&amp;creator=factset&amp;DYN_ARGS=TRUE&amp;DOC_NAME=FAT:FQL_AUDITING_CLIENT_TEMPLATE.FAT&amp;display_string=Audit&amp;VAR:KEY=TYBCVCTAFK&amp;VAR:QUERY=RkZfRElWX1lMRChBTk4sOS8yMC8wNyw5LzIwLzA3KQ==&amp;WINDOW=FIRST_POPUP&amp;HEIGHT=450&amp;WIDTH=450&amp;","START_MAXIMIZED=FALSE&amp;VAR:CALENDAR=US&amp;VAR:SYMBOL=LO&amp;VAR:INDEX=0"}</definedName>
    <definedName name="_123">#REF!</definedName>
    <definedName name="_123__FDSAUDITLINK__" localSheetId="0" hidden="1">{"fdsup://directions/FAT Viewer?action=UPDATE&amp;creator=factset&amp;DYN_ARGS=TRUE&amp;DOC_NAME=FAT:FQL_AUDITING_CLIENT_TEMPLATE.FAT&amp;display_string=Audit&amp;VAR:KEY=XMXMBAFIJG&amp;VAR:QUERY=RkZfRElWX1lMRChBTk4sMTEvMjYvMDgsMTEvMjYvMDgp&amp;WINDOW=FIRST_POPUP&amp;HEIGHT=450&amp;WIDTH=450&amp;","START_MAXIMIZED=FALSE&amp;VAR:CALENDAR=US&amp;VAR:SYMBOL=RAI&amp;VAR:INDEX=0"}</definedName>
    <definedName name="_123__FDSAUDITLINK__" hidden="1">{"fdsup://directions/FAT Viewer?action=UPDATE&amp;creator=factset&amp;DYN_ARGS=TRUE&amp;DOC_NAME=FAT:FQL_AUDITING_CLIENT_TEMPLATE.FAT&amp;display_string=Audit&amp;VAR:KEY=XMXMBAFIJG&amp;VAR:QUERY=RkZfRElWX1lMRChBTk4sMTEvMjYvMDgsMTEvMjYvMDgp&amp;WINDOW=FIRST_POPUP&amp;HEIGHT=450&amp;WIDTH=450&amp;","START_MAXIMIZED=FALSE&amp;VAR:CALENDAR=US&amp;VAR:SYMBOL=RAI&amp;VAR:INDEX=0"}</definedName>
    <definedName name="_1230">#REF!</definedName>
    <definedName name="_1230__FDSAUDITLINK__" localSheetId="0" hidden="1">{"fdsup://directions/FAT Viewer?action=UPDATE&amp;creator=factset&amp;DYN_ARGS=TRUE&amp;DOC_NAME=FAT:FQL_AUDITING_CLIENT_TEMPLATE.FAT&amp;display_string=Audit&amp;VAR:KEY=FWNUHENUFI&amp;VAR:QUERY=RkZfRElWX1lMRChBTk4sOS8xMy8wNyw5LzEzLzA3KQ==&amp;WINDOW=FIRST_POPUP&amp;HEIGHT=450&amp;WIDTH=450&amp;","START_MAXIMIZED=FALSE&amp;VAR:CALENDAR=US&amp;VAR:SYMBOL=LO&amp;VAR:INDEX=0"}</definedName>
    <definedName name="_1230__FDSAUDITLINK__" hidden="1">{"fdsup://directions/FAT Viewer?action=UPDATE&amp;creator=factset&amp;DYN_ARGS=TRUE&amp;DOC_NAME=FAT:FQL_AUDITING_CLIENT_TEMPLATE.FAT&amp;display_string=Audit&amp;VAR:KEY=FWNUHENUFI&amp;VAR:QUERY=RkZfRElWX1lMRChBTk4sOS8xMy8wNyw5LzEzLzA3KQ==&amp;WINDOW=FIRST_POPUP&amp;HEIGHT=450&amp;WIDTH=450&amp;","START_MAXIMIZED=FALSE&amp;VAR:CALENDAR=US&amp;VAR:SYMBOL=LO&amp;VAR:INDEX=0"}</definedName>
    <definedName name="_1231">#REF!</definedName>
    <definedName name="_1231__FDSAUDITLINK__" localSheetId="0" hidden="1">{"fdsup://directions/FAT Viewer?action=UPDATE&amp;creator=factset&amp;DYN_ARGS=TRUE&amp;DOC_NAME=FAT:FQL_AUDITING_CLIENT_TEMPLATE.FAT&amp;display_string=Audit&amp;VAR:KEY=ZQVGLOHCLM&amp;VAR:QUERY=RkZfRElWX1lMRChBTk4sOS8wNi8wNyw5LzA2LzA3KQ==&amp;WINDOW=FIRST_POPUP&amp;HEIGHT=450&amp;WIDTH=450&amp;","START_MAXIMIZED=FALSE&amp;VAR:CALENDAR=US&amp;VAR:SYMBOL=LO&amp;VAR:INDEX=0"}</definedName>
    <definedName name="_1231__FDSAUDITLINK__" hidden="1">{"fdsup://directions/FAT Viewer?action=UPDATE&amp;creator=factset&amp;DYN_ARGS=TRUE&amp;DOC_NAME=FAT:FQL_AUDITING_CLIENT_TEMPLATE.FAT&amp;display_string=Audit&amp;VAR:KEY=ZQVGLOHCLM&amp;VAR:QUERY=RkZfRElWX1lMRChBTk4sOS8wNi8wNyw5LzA2LzA3KQ==&amp;WINDOW=FIRST_POPUP&amp;HEIGHT=450&amp;WIDTH=450&amp;","START_MAXIMIZED=FALSE&amp;VAR:CALENDAR=US&amp;VAR:SYMBOL=LO&amp;VAR:INDEX=0"}</definedName>
    <definedName name="_1232">#REF!</definedName>
    <definedName name="_1232__FDSAUDITLINK__" localSheetId="0" hidden="1">{"fdsup://directions/FAT Viewer?action=UPDATE&amp;creator=factset&amp;DYN_ARGS=TRUE&amp;DOC_NAME=FAT:FQL_AUDITING_CLIENT_TEMPLATE.FAT&amp;display_string=Audit&amp;VAR:KEY=ZGTQNSHYPA&amp;VAR:QUERY=RkZfRElWX1lMRChBTk4sOC8zMC8wNyw4LzMwLzA3KQ==&amp;WINDOW=FIRST_POPUP&amp;HEIGHT=450&amp;WIDTH=450&amp;","START_MAXIMIZED=FALSE&amp;VAR:CALENDAR=US&amp;VAR:SYMBOL=LO&amp;VAR:INDEX=0"}</definedName>
    <definedName name="_1232__FDSAUDITLINK__" hidden="1">{"fdsup://directions/FAT Viewer?action=UPDATE&amp;creator=factset&amp;DYN_ARGS=TRUE&amp;DOC_NAME=FAT:FQL_AUDITING_CLIENT_TEMPLATE.FAT&amp;display_string=Audit&amp;VAR:KEY=ZGTQNSHYPA&amp;VAR:QUERY=RkZfRElWX1lMRChBTk4sOC8zMC8wNyw4LzMwLzA3KQ==&amp;WINDOW=FIRST_POPUP&amp;HEIGHT=450&amp;WIDTH=450&amp;","START_MAXIMIZED=FALSE&amp;VAR:CALENDAR=US&amp;VAR:SYMBOL=LO&amp;VAR:INDEX=0"}</definedName>
    <definedName name="_1233">#REF!</definedName>
    <definedName name="_1233__FDSAUDITLINK__" localSheetId="0" hidden="1">{"fdsup://directions/FAT Viewer?action=UPDATE&amp;creator=factset&amp;DYN_ARGS=TRUE&amp;DOC_NAME=FAT:FQL_AUDITING_CLIENT_TEMPLATE.FAT&amp;display_string=Audit&amp;VAR:KEY=PWLCDKFQNW&amp;VAR:QUERY=RkZfRElWX1lMRChBTk4sOC8yMy8wNyw4LzIzLzA3KQ==&amp;WINDOW=FIRST_POPUP&amp;HEIGHT=450&amp;WIDTH=450&amp;","START_MAXIMIZED=FALSE&amp;VAR:CALENDAR=US&amp;VAR:SYMBOL=LO&amp;VAR:INDEX=0"}</definedName>
    <definedName name="_1233__FDSAUDITLINK__" hidden="1">{"fdsup://directions/FAT Viewer?action=UPDATE&amp;creator=factset&amp;DYN_ARGS=TRUE&amp;DOC_NAME=FAT:FQL_AUDITING_CLIENT_TEMPLATE.FAT&amp;display_string=Audit&amp;VAR:KEY=PWLCDKFQNW&amp;VAR:QUERY=RkZfRElWX1lMRChBTk4sOC8yMy8wNyw4LzIzLzA3KQ==&amp;WINDOW=FIRST_POPUP&amp;HEIGHT=450&amp;WIDTH=450&amp;","START_MAXIMIZED=FALSE&amp;VAR:CALENDAR=US&amp;VAR:SYMBOL=LO&amp;VAR:INDEX=0"}</definedName>
    <definedName name="_1234">#REF!</definedName>
    <definedName name="_1234__FDSAUDITLINK__" localSheetId="0" hidden="1">{"fdsup://directions/FAT Viewer?action=UPDATE&amp;creator=factset&amp;DYN_ARGS=TRUE&amp;DOC_NAME=FAT:FQL_AUDITING_CLIENT_TEMPLATE.FAT&amp;display_string=Audit&amp;VAR:KEY=XOTOJADALW&amp;VAR:QUERY=RkZfRElWX1lMRChBTk4sOC8xNi8wNyw4LzE2LzA3KQ==&amp;WINDOW=FIRST_POPUP&amp;HEIGHT=450&amp;WIDTH=450&amp;","START_MAXIMIZED=FALSE&amp;VAR:CALENDAR=US&amp;VAR:SYMBOL=LO&amp;VAR:INDEX=0"}</definedName>
    <definedName name="_1234__FDSAUDITLINK__" hidden="1">{"fdsup://directions/FAT Viewer?action=UPDATE&amp;creator=factset&amp;DYN_ARGS=TRUE&amp;DOC_NAME=FAT:FQL_AUDITING_CLIENT_TEMPLATE.FAT&amp;display_string=Audit&amp;VAR:KEY=XOTOJADALW&amp;VAR:QUERY=RkZfRElWX1lMRChBTk4sOC8xNi8wNyw4LzE2LzA3KQ==&amp;WINDOW=FIRST_POPUP&amp;HEIGHT=450&amp;WIDTH=450&amp;","START_MAXIMIZED=FALSE&amp;VAR:CALENDAR=US&amp;VAR:SYMBOL=LO&amp;VAR:INDEX=0"}</definedName>
    <definedName name="_1235">#REF!</definedName>
    <definedName name="_1235__FDSAUDITLINK__" localSheetId="0" hidden="1">{"fdsup://directions/FAT Viewer?action=UPDATE&amp;creator=factset&amp;DYN_ARGS=TRUE&amp;DOC_NAME=FAT:FQL_AUDITING_CLIENT_TEMPLATE.FAT&amp;display_string=Audit&amp;VAR:KEY=ZCRSBCPWDM&amp;VAR:QUERY=RkZfRElWX1lMRChBTk4sOC8wOS8wNyw4LzA5LzA3KQ==&amp;WINDOW=FIRST_POPUP&amp;HEIGHT=450&amp;WIDTH=450&amp;","START_MAXIMIZED=FALSE&amp;VAR:CALENDAR=US&amp;VAR:SYMBOL=LO&amp;VAR:INDEX=0"}</definedName>
    <definedName name="_1235__FDSAUDITLINK__" hidden="1">{"fdsup://directions/FAT Viewer?action=UPDATE&amp;creator=factset&amp;DYN_ARGS=TRUE&amp;DOC_NAME=FAT:FQL_AUDITING_CLIENT_TEMPLATE.FAT&amp;display_string=Audit&amp;VAR:KEY=ZCRSBCPWDM&amp;VAR:QUERY=RkZfRElWX1lMRChBTk4sOC8wOS8wNyw4LzA5LzA3KQ==&amp;WINDOW=FIRST_POPUP&amp;HEIGHT=450&amp;WIDTH=450&amp;","START_MAXIMIZED=FALSE&amp;VAR:CALENDAR=US&amp;VAR:SYMBOL=LO&amp;VAR:INDEX=0"}</definedName>
    <definedName name="_1236">#REF!</definedName>
    <definedName name="_1236__FDSAUDITLINK__" localSheetId="0" hidden="1">{"fdsup://directions/FAT Viewer?action=UPDATE&amp;creator=factset&amp;DYN_ARGS=TRUE&amp;DOC_NAME=FAT:FQL_AUDITING_CLIENT_TEMPLATE.FAT&amp;display_string=Audit&amp;VAR:KEY=FGFSPYTSFI&amp;VAR:QUERY=RkZfRElWX1lMRChBTk4sOC8wMi8wNyw4LzAyLzA3KQ==&amp;WINDOW=FIRST_POPUP&amp;HEIGHT=450&amp;WIDTH=450&amp;","START_MAXIMIZED=FALSE&amp;VAR:CALENDAR=US&amp;VAR:SYMBOL=LO&amp;VAR:INDEX=0"}</definedName>
    <definedName name="_1236__FDSAUDITLINK__" hidden="1">{"fdsup://directions/FAT Viewer?action=UPDATE&amp;creator=factset&amp;DYN_ARGS=TRUE&amp;DOC_NAME=FAT:FQL_AUDITING_CLIENT_TEMPLATE.FAT&amp;display_string=Audit&amp;VAR:KEY=FGFSPYTSFI&amp;VAR:QUERY=RkZfRElWX1lMRChBTk4sOC8wMi8wNyw4LzAyLzA3KQ==&amp;WINDOW=FIRST_POPUP&amp;HEIGHT=450&amp;WIDTH=450&amp;","START_MAXIMIZED=FALSE&amp;VAR:CALENDAR=US&amp;VAR:SYMBOL=LO&amp;VAR:INDEX=0"}</definedName>
    <definedName name="_1237">#REF!</definedName>
    <definedName name="_1237__FDSAUDITLINK__" localSheetId="0" hidden="1">{"fdsup://directions/FAT Viewer?action=UPDATE&amp;creator=factset&amp;DYN_ARGS=TRUE&amp;DOC_NAME=FAT:FQL_AUDITING_CLIENT_TEMPLATE.FAT&amp;display_string=Audit&amp;VAR:KEY=NGDSHMDKVM&amp;VAR:QUERY=RkZfRElWX1lMRChBTk4sNy8yNi8wNyw3LzI2LzA3KQ==&amp;WINDOW=FIRST_POPUP&amp;HEIGHT=450&amp;WIDTH=450&amp;","START_MAXIMIZED=FALSE&amp;VAR:CALENDAR=US&amp;VAR:SYMBOL=LO&amp;VAR:INDEX=0"}</definedName>
    <definedName name="_1237__FDSAUDITLINK__" hidden="1">{"fdsup://directions/FAT Viewer?action=UPDATE&amp;creator=factset&amp;DYN_ARGS=TRUE&amp;DOC_NAME=FAT:FQL_AUDITING_CLIENT_TEMPLATE.FAT&amp;display_string=Audit&amp;VAR:KEY=NGDSHMDKVM&amp;VAR:QUERY=RkZfRElWX1lMRChBTk4sNy8yNi8wNyw3LzI2LzA3KQ==&amp;WINDOW=FIRST_POPUP&amp;HEIGHT=450&amp;WIDTH=450&amp;","START_MAXIMIZED=FALSE&amp;VAR:CALENDAR=US&amp;VAR:SYMBOL=LO&amp;VAR:INDEX=0"}</definedName>
    <definedName name="_1238">#REF!</definedName>
    <definedName name="_1238__FDSAUDITLINK__" localSheetId="0" hidden="1">{"fdsup://directions/FAT Viewer?action=UPDATE&amp;creator=factset&amp;DYN_ARGS=TRUE&amp;DOC_NAME=FAT:FQL_AUDITING_CLIENT_TEMPLATE.FAT&amp;display_string=Audit&amp;VAR:KEY=XUBGVSZWBK&amp;VAR:QUERY=RkZfRElWX1lMRChBTk4sNy8xOS8wNyw3LzE5LzA3KQ==&amp;WINDOW=FIRST_POPUP&amp;HEIGHT=450&amp;WIDTH=450&amp;","START_MAXIMIZED=FALSE&amp;VAR:CALENDAR=US&amp;VAR:SYMBOL=LO&amp;VAR:INDEX=0"}</definedName>
    <definedName name="_1238__FDSAUDITLINK__" hidden="1">{"fdsup://directions/FAT Viewer?action=UPDATE&amp;creator=factset&amp;DYN_ARGS=TRUE&amp;DOC_NAME=FAT:FQL_AUDITING_CLIENT_TEMPLATE.FAT&amp;display_string=Audit&amp;VAR:KEY=XUBGVSZWBK&amp;VAR:QUERY=RkZfRElWX1lMRChBTk4sNy8xOS8wNyw3LzE5LzA3KQ==&amp;WINDOW=FIRST_POPUP&amp;HEIGHT=450&amp;WIDTH=450&amp;","START_MAXIMIZED=FALSE&amp;VAR:CALENDAR=US&amp;VAR:SYMBOL=LO&amp;VAR:INDEX=0"}</definedName>
    <definedName name="_1239">#REF!</definedName>
    <definedName name="_1239__FDSAUDITLINK__" localSheetId="0" hidden="1">{"fdsup://directions/FAT Viewer?action=UPDATE&amp;creator=factset&amp;DYN_ARGS=TRUE&amp;DOC_NAME=FAT:FQL_AUDITING_CLIENT_TEMPLATE.FAT&amp;display_string=Audit&amp;VAR:KEY=JGJMVYHCHO&amp;VAR:QUERY=RkZfRElWX1lMRChBTk4sNy8xMi8wNyw3LzEyLzA3KQ==&amp;WINDOW=FIRST_POPUP&amp;HEIGHT=450&amp;WIDTH=450&amp;","START_MAXIMIZED=FALSE&amp;VAR:CALENDAR=US&amp;VAR:SYMBOL=LO&amp;VAR:INDEX=0"}</definedName>
    <definedName name="_1239__FDSAUDITLINK__" hidden="1">{"fdsup://directions/FAT Viewer?action=UPDATE&amp;creator=factset&amp;DYN_ARGS=TRUE&amp;DOC_NAME=FAT:FQL_AUDITING_CLIENT_TEMPLATE.FAT&amp;display_string=Audit&amp;VAR:KEY=JGJMVYHCHO&amp;VAR:QUERY=RkZfRElWX1lMRChBTk4sNy8xMi8wNyw3LzEyLzA3KQ==&amp;WINDOW=FIRST_POPUP&amp;HEIGHT=450&amp;WIDTH=450&amp;","START_MAXIMIZED=FALSE&amp;VAR:CALENDAR=US&amp;VAR:SYMBOL=LO&amp;VAR:INDEX=0"}</definedName>
    <definedName name="_123Gra">#REF!</definedName>
    <definedName name="_123Graph">#REF!</definedName>
    <definedName name="_123Graph_E2">#REF!</definedName>
    <definedName name="_123Graph_E3">#REF!</definedName>
    <definedName name="_123Graph_F2">#REF!</definedName>
    <definedName name="_123Graph_F3">#REF!</definedName>
    <definedName name="_124__123Graph_XQRE_S_BY_CO.">#REF!</definedName>
    <definedName name="_124__FDSAUDITLINK__" localSheetId="0" hidden="1">{"fdsup://directions/FAT Viewer?action=UPDATE&amp;creator=factset&amp;DYN_ARGS=TRUE&amp;DOC_NAME=FAT:FQL_AUDITING_CLIENT_TEMPLATE.FAT&amp;display_string=Audit&amp;VAR:KEY=LQDCZQFSDW&amp;VAR:QUERY=RkZfRElWX1lMRChBTk4sMTEvMjAvMDgsMTEvMjAvMDgp&amp;WINDOW=FIRST_POPUP&amp;HEIGHT=450&amp;WIDTH=450&amp;","START_MAXIMIZED=FALSE&amp;VAR:CALENDAR=US&amp;VAR:SYMBOL=RAI&amp;VAR:INDEX=0"}</definedName>
    <definedName name="_124__FDSAUDITLINK__" hidden="1">{"fdsup://directions/FAT Viewer?action=UPDATE&amp;creator=factset&amp;DYN_ARGS=TRUE&amp;DOC_NAME=FAT:FQL_AUDITING_CLIENT_TEMPLATE.FAT&amp;display_string=Audit&amp;VAR:KEY=LQDCZQFSDW&amp;VAR:QUERY=RkZfRElWX1lMRChBTk4sMTEvMjAvMDgsMTEvMjAvMDgp&amp;WINDOW=FIRST_POPUP&amp;HEIGHT=450&amp;WIDTH=450&amp;","START_MAXIMIZED=FALSE&amp;VAR:CALENDAR=US&amp;VAR:SYMBOL=RAI&amp;VAR:INDEX=0"}</definedName>
    <definedName name="_1240">#REF!</definedName>
    <definedName name="_1240__FDSAUDITLINK__" localSheetId="0" hidden="1">{"fdsup://directions/FAT Viewer?action=UPDATE&amp;creator=factset&amp;DYN_ARGS=TRUE&amp;DOC_NAME=FAT:FQL_AUDITING_CLIENT_TEMPLATE.FAT&amp;display_string=Audit&amp;VAR:KEY=LSDGDGFATI&amp;VAR:QUERY=RkZfRElWX1lMRChBTk4sNy8wNS8wNyw3LzA1LzA3KQ==&amp;WINDOW=FIRST_POPUP&amp;HEIGHT=450&amp;WIDTH=450&amp;","START_MAXIMIZED=FALSE&amp;VAR:CALENDAR=US&amp;VAR:SYMBOL=LO&amp;VAR:INDEX=0"}</definedName>
    <definedName name="_1240__FDSAUDITLINK__" hidden="1">{"fdsup://directions/FAT Viewer?action=UPDATE&amp;creator=factset&amp;DYN_ARGS=TRUE&amp;DOC_NAME=FAT:FQL_AUDITING_CLIENT_TEMPLATE.FAT&amp;display_string=Audit&amp;VAR:KEY=LSDGDGFATI&amp;VAR:QUERY=RkZfRElWX1lMRChBTk4sNy8wNS8wNyw3LzA1LzA3KQ==&amp;WINDOW=FIRST_POPUP&amp;HEIGHT=450&amp;WIDTH=450&amp;","START_MAXIMIZED=FALSE&amp;VAR:CALENDAR=US&amp;VAR:SYMBOL=LO&amp;VAR:INDEX=0"}</definedName>
    <definedName name="_1241">#REF!</definedName>
    <definedName name="_1241__FDSAUDITLINK__" localSheetId="0" hidden="1">{"fdsup://directions/FAT Viewer?action=UPDATE&amp;creator=factset&amp;DYN_ARGS=TRUE&amp;DOC_NAME=FAT:FQL_AUDITING_CLIENT_TEMPLATE.FAT&amp;display_string=Audit&amp;VAR:KEY=HYHEPELYVI&amp;VAR:QUERY=RkZfRElWX1lMRChBTk4sNi8yOC8wNyw2LzI4LzA3KQ==&amp;WINDOW=FIRST_POPUP&amp;HEIGHT=450&amp;WIDTH=450&amp;","START_MAXIMIZED=FALSE&amp;VAR:CALENDAR=US&amp;VAR:SYMBOL=LO&amp;VAR:INDEX=0"}</definedName>
    <definedName name="_1241__FDSAUDITLINK__" hidden="1">{"fdsup://directions/FAT Viewer?action=UPDATE&amp;creator=factset&amp;DYN_ARGS=TRUE&amp;DOC_NAME=FAT:FQL_AUDITING_CLIENT_TEMPLATE.FAT&amp;display_string=Audit&amp;VAR:KEY=HYHEPELYVI&amp;VAR:QUERY=RkZfRElWX1lMRChBTk4sNi8yOC8wNyw2LzI4LzA3KQ==&amp;WINDOW=FIRST_POPUP&amp;HEIGHT=450&amp;WIDTH=450&amp;","START_MAXIMIZED=FALSE&amp;VAR:CALENDAR=US&amp;VAR:SYMBOL=LO&amp;VAR:INDEX=0"}</definedName>
    <definedName name="_1242__FDSAUDITLINK__" localSheetId="0" hidden="1">{"fdsup://directions/FAT Viewer?action=UPDATE&amp;creator=factset&amp;DYN_ARGS=TRUE&amp;DOC_NAME=FAT:FQL_AUDITING_CLIENT_TEMPLATE.FAT&amp;display_string=Audit&amp;VAR:KEY=VCRMBMPUNM&amp;VAR:QUERY=RkZfRElWX1lMRChBTk4sNi8yMS8wNyw2LzIxLzA3KQ==&amp;WINDOW=FIRST_POPUP&amp;HEIGHT=450&amp;WIDTH=450&amp;","START_MAXIMIZED=FALSE&amp;VAR:CALENDAR=US&amp;VAR:SYMBOL=LO&amp;VAR:INDEX=0"}</definedName>
    <definedName name="_1242__FDSAUDITLINK__" hidden="1">{"fdsup://directions/FAT Viewer?action=UPDATE&amp;creator=factset&amp;DYN_ARGS=TRUE&amp;DOC_NAME=FAT:FQL_AUDITING_CLIENT_TEMPLATE.FAT&amp;display_string=Audit&amp;VAR:KEY=VCRMBMPUNM&amp;VAR:QUERY=RkZfRElWX1lMRChBTk4sNi8yMS8wNyw2LzIxLzA3KQ==&amp;WINDOW=FIRST_POPUP&amp;HEIGHT=450&amp;WIDTH=450&amp;","START_MAXIMIZED=FALSE&amp;VAR:CALENDAR=US&amp;VAR:SYMBOL=LO&amp;VAR:INDEX=0"}</definedName>
    <definedName name="_1243__FDSAUDITLINK__" localSheetId="0" hidden="1">{"fdsup://directions/FAT Viewer?action=UPDATE&amp;creator=factset&amp;DYN_ARGS=TRUE&amp;DOC_NAME=FAT:FQL_AUDITING_CLIENT_TEMPLATE.FAT&amp;display_string=Audit&amp;VAR:KEY=LGLATGBYJG&amp;VAR:QUERY=RkZfRElWX1lMRChBTk4sNi8xNC8wNyw2LzE0LzA3KQ==&amp;WINDOW=FIRST_POPUP&amp;HEIGHT=450&amp;WIDTH=450&amp;","START_MAXIMIZED=FALSE&amp;VAR:CALENDAR=US&amp;VAR:SYMBOL=LO&amp;VAR:INDEX=0"}</definedName>
    <definedName name="_1243__FDSAUDITLINK__" hidden="1">{"fdsup://directions/FAT Viewer?action=UPDATE&amp;creator=factset&amp;DYN_ARGS=TRUE&amp;DOC_NAME=FAT:FQL_AUDITING_CLIENT_TEMPLATE.FAT&amp;display_string=Audit&amp;VAR:KEY=LGLATGBYJG&amp;VAR:QUERY=RkZfRElWX1lMRChBTk4sNi8xNC8wNyw2LzE0LzA3KQ==&amp;WINDOW=FIRST_POPUP&amp;HEIGHT=450&amp;WIDTH=450&amp;","START_MAXIMIZED=FALSE&amp;VAR:CALENDAR=US&amp;VAR:SYMBOL=LO&amp;VAR:INDEX=0"}</definedName>
    <definedName name="_1244__FDSAUDITLINK__" localSheetId="0" hidden="1">{"fdsup://directions/FAT Viewer?action=UPDATE&amp;creator=factset&amp;DYN_ARGS=TRUE&amp;DOC_NAME=FAT:FQL_AUDITING_CLIENT_TEMPLATE.FAT&amp;display_string=Audit&amp;VAR:KEY=FKROFGHCXS&amp;VAR:QUERY=RkZfRElWX1lMRChBTk4sNi8wNy8wNyw2LzA3LzA3KQ==&amp;WINDOW=FIRST_POPUP&amp;HEIGHT=450&amp;WIDTH=450&amp;","START_MAXIMIZED=FALSE&amp;VAR:CALENDAR=US&amp;VAR:SYMBOL=LO&amp;VAR:INDEX=0"}</definedName>
    <definedName name="_1244__FDSAUDITLINK__" hidden="1">{"fdsup://directions/FAT Viewer?action=UPDATE&amp;creator=factset&amp;DYN_ARGS=TRUE&amp;DOC_NAME=FAT:FQL_AUDITING_CLIENT_TEMPLATE.FAT&amp;display_string=Audit&amp;VAR:KEY=FKROFGHCXS&amp;VAR:QUERY=RkZfRElWX1lMRChBTk4sNi8wNy8wNyw2LzA3LzA3KQ==&amp;WINDOW=FIRST_POPUP&amp;HEIGHT=450&amp;WIDTH=450&amp;","START_MAXIMIZED=FALSE&amp;VAR:CALENDAR=US&amp;VAR:SYMBOL=LO&amp;VAR:INDEX=0"}</definedName>
    <definedName name="_1245__FDSAUDITLINK__" localSheetId="0" hidden="1">{"fdsup://directions/FAT Viewer?action=UPDATE&amp;creator=factset&amp;DYN_ARGS=TRUE&amp;DOC_NAME=FAT:FQL_AUDITING_CLIENT_TEMPLATE.FAT&amp;display_string=Audit&amp;VAR:KEY=BWNOFWRQLI&amp;VAR:QUERY=RkZfRElWX1lMRChBTk4sNS8zMS8wNyw1LzMxLzA3KQ==&amp;WINDOW=FIRST_POPUP&amp;HEIGHT=450&amp;WIDTH=450&amp;","START_MAXIMIZED=FALSE&amp;VAR:CALENDAR=US&amp;VAR:SYMBOL=LO&amp;VAR:INDEX=0"}</definedName>
    <definedName name="_1245__FDSAUDITLINK__" hidden="1">{"fdsup://directions/FAT Viewer?action=UPDATE&amp;creator=factset&amp;DYN_ARGS=TRUE&amp;DOC_NAME=FAT:FQL_AUDITING_CLIENT_TEMPLATE.FAT&amp;display_string=Audit&amp;VAR:KEY=BWNOFWRQLI&amp;VAR:QUERY=RkZfRElWX1lMRChBTk4sNS8zMS8wNyw1LzMxLzA3KQ==&amp;WINDOW=FIRST_POPUP&amp;HEIGHT=450&amp;WIDTH=450&amp;","START_MAXIMIZED=FALSE&amp;VAR:CALENDAR=US&amp;VAR:SYMBOL=LO&amp;VAR:INDEX=0"}</definedName>
    <definedName name="_1246">#REF!</definedName>
    <definedName name="_1246__FDSAUDITLINK__" localSheetId="0" hidden="1">{"fdsup://directions/FAT Viewer?action=UPDATE&amp;creator=factset&amp;DYN_ARGS=TRUE&amp;DOC_NAME=FAT:FQL_AUDITING_CLIENT_TEMPLATE.FAT&amp;display_string=Audit&amp;VAR:KEY=JCJGBIHSNA&amp;VAR:QUERY=RkZfRElWX1lMRChBTk4sNS8yNC8wNyw1LzI0LzA3KQ==&amp;WINDOW=FIRST_POPUP&amp;HEIGHT=450&amp;WIDTH=450&amp;","START_MAXIMIZED=FALSE&amp;VAR:CALENDAR=US&amp;VAR:SYMBOL=LO&amp;VAR:INDEX=0"}</definedName>
    <definedName name="_1246__FDSAUDITLINK__" hidden="1">{"fdsup://directions/FAT Viewer?action=UPDATE&amp;creator=factset&amp;DYN_ARGS=TRUE&amp;DOC_NAME=FAT:FQL_AUDITING_CLIENT_TEMPLATE.FAT&amp;display_string=Audit&amp;VAR:KEY=JCJGBIHSNA&amp;VAR:QUERY=RkZfRElWX1lMRChBTk4sNS8yNC8wNyw1LzI0LzA3KQ==&amp;WINDOW=FIRST_POPUP&amp;HEIGHT=450&amp;WIDTH=450&amp;","START_MAXIMIZED=FALSE&amp;VAR:CALENDAR=US&amp;VAR:SYMBOL=LO&amp;VAR:INDEX=0"}</definedName>
    <definedName name="_1247__FDSAUDITLINK__" localSheetId="0" hidden="1">{"fdsup://directions/FAT Viewer?action=UPDATE&amp;creator=factset&amp;DYN_ARGS=TRUE&amp;DOC_NAME=FAT:FQL_AUDITING_CLIENT_TEMPLATE.FAT&amp;display_string=Audit&amp;VAR:KEY=XYBCFQJMNG&amp;VAR:QUERY=RkZfRElWX1lMRChBTk4sNS8xNy8wNyw1LzE3LzA3KQ==&amp;WINDOW=FIRST_POPUP&amp;HEIGHT=450&amp;WIDTH=450&amp;","START_MAXIMIZED=FALSE&amp;VAR:CALENDAR=US&amp;VAR:SYMBOL=LO&amp;VAR:INDEX=0"}</definedName>
    <definedName name="_1247__FDSAUDITLINK__" hidden="1">{"fdsup://directions/FAT Viewer?action=UPDATE&amp;creator=factset&amp;DYN_ARGS=TRUE&amp;DOC_NAME=FAT:FQL_AUDITING_CLIENT_TEMPLATE.FAT&amp;display_string=Audit&amp;VAR:KEY=XYBCFQJMNG&amp;VAR:QUERY=RkZfRElWX1lMRChBTk4sNS8xNy8wNyw1LzE3LzA3KQ==&amp;WINDOW=FIRST_POPUP&amp;HEIGHT=450&amp;WIDTH=450&amp;","START_MAXIMIZED=FALSE&amp;VAR:CALENDAR=US&amp;VAR:SYMBOL=LO&amp;VAR:INDEX=0"}</definedName>
    <definedName name="_1248__FDSAUDITLINK__" localSheetId="0" hidden="1">{"fdsup://directions/FAT Viewer?action=UPDATE&amp;creator=factset&amp;DYN_ARGS=TRUE&amp;DOC_NAME=FAT:FQL_AUDITING_CLIENT_TEMPLATE.FAT&amp;display_string=Audit&amp;VAR:KEY=JQBGJYRGFA&amp;VAR:QUERY=RkZfRElWX1lMRChBTk4sNS8xMC8wNyw1LzEwLzA3KQ==&amp;WINDOW=FIRST_POPUP&amp;HEIGHT=450&amp;WIDTH=450&amp;","START_MAXIMIZED=FALSE&amp;VAR:CALENDAR=US&amp;VAR:SYMBOL=LO&amp;VAR:INDEX=0"}</definedName>
    <definedName name="_1248__FDSAUDITLINK__" hidden="1">{"fdsup://directions/FAT Viewer?action=UPDATE&amp;creator=factset&amp;DYN_ARGS=TRUE&amp;DOC_NAME=FAT:FQL_AUDITING_CLIENT_TEMPLATE.FAT&amp;display_string=Audit&amp;VAR:KEY=JQBGJYRGFA&amp;VAR:QUERY=RkZfRElWX1lMRChBTk4sNS8xMC8wNyw1LzEwLzA3KQ==&amp;WINDOW=FIRST_POPUP&amp;HEIGHT=450&amp;WIDTH=450&amp;","START_MAXIMIZED=FALSE&amp;VAR:CALENDAR=US&amp;VAR:SYMBOL=LO&amp;VAR:INDEX=0"}</definedName>
    <definedName name="_1249__FDSAUDITLINK__" localSheetId="0" hidden="1">{"fdsup://directions/FAT Viewer?action=UPDATE&amp;creator=factset&amp;DYN_ARGS=TRUE&amp;DOC_NAME=FAT:FQL_AUDITING_CLIENT_TEMPLATE.FAT&amp;display_string=Audit&amp;VAR:KEY=HGTWLCFQPY&amp;VAR:QUERY=RkZfRElWX1lMRChBTk4sNS8wMy8wNyw1LzAzLzA3KQ==&amp;WINDOW=FIRST_POPUP&amp;HEIGHT=450&amp;WIDTH=450&amp;","START_MAXIMIZED=FALSE&amp;VAR:CALENDAR=US&amp;VAR:SYMBOL=LO&amp;VAR:INDEX=0"}</definedName>
    <definedName name="_1249__FDSAUDITLINK__" hidden="1">{"fdsup://directions/FAT Viewer?action=UPDATE&amp;creator=factset&amp;DYN_ARGS=TRUE&amp;DOC_NAME=FAT:FQL_AUDITING_CLIENT_TEMPLATE.FAT&amp;display_string=Audit&amp;VAR:KEY=HGTWLCFQPY&amp;VAR:QUERY=RkZfRElWX1lMRChBTk4sNS8wMy8wNyw1LzAzLzA3KQ==&amp;WINDOW=FIRST_POPUP&amp;HEIGHT=450&amp;WIDTH=450&amp;","START_MAXIMIZED=FALSE&amp;VAR:CALENDAR=US&amp;VAR:SYMBOL=LO&amp;VAR:INDEX=0"}</definedName>
    <definedName name="_125__123Graph_XCHART_8">#REF!</definedName>
    <definedName name="_125__FDSAUDITLINK__" localSheetId="0" hidden="1">{"fdsup://directions/FAT Viewer?action=UPDATE&amp;creator=factset&amp;DYN_ARGS=TRUE&amp;DOC_NAME=FAT:FQL_AUDITING_CLIENT_TEMPLATE.FAT&amp;display_string=Audit&amp;VAR:KEY=XQNYPWJUTU&amp;VAR:QUERY=RkZfRElWX1lMRChBTk4sMTEvMTMvMDgsMTEvMTMvMDgp&amp;WINDOW=FIRST_POPUP&amp;HEIGHT=450&amp;WIDTH=450&amp;","START_MAXIMIZED=FALSE&amp;VAR:CALENDAR=US&amp;VAR:SYMBOL=RAI&amp;VAR:INDEX=0"}</definedName>
    <definedName name="_125__FDSAUDITLINK__" hidden="1">{"fdsup://directions/FAT Viewer?action=UPDATE&amp;creator=factset&amp;DYN_ARGS=TRUE&amp;DOC_NAME=FAT:FQL_AUDITING_CLIENT_TEMPLATE.FAT&amp;display_string=Audit&amp;VAR:KEY=XQNYPWJUTU&amp;VAR:QUERY=RkZfRElWX1lMRChBTk4sMTEvMTMvMDgsMTEvMTMvMDgp&amp;WINDOW=FIRST_POPUP&amp;HEIGHT=450&amp;WIDTH=450&amp;","START_MAXIMIZED=FALSE&amp;VAR:CALENDAR=US&amp;VAR:SYMBOL=RAI&amp;VAR:INDEX=0"}</definedName>
    <definedName name="_1250__FDSAUDITLINK__" localSheetId="0" hidden="1">{"fdsup://directions/FAT Viewer?action=UPDATE&amp;creator=factset&amp;DYN_ARGS=TRUE&amp;DOC_NAME=FAT:FQL_AUDITING_CLIENT_TEMPLATE.FAT&amp;display_string=Audit&amp;VAR:KEY=NQLWZADUXQ&amp;VAR:QUERY=RkZfRElWX1lMRChBTk4sNC8yNi8wNyw0LzI2LzA3KQ==&amp;WINDOW=FIRST_POPUP&amp;HEIGHT=450&amp;WIDTH=450&amp;","START_MAXIMIZED=FALSE&amp;VAR:CALENDAR=US&amp;VAR:SYMBOL=LO&amp;VAR:INDEX=0"}</definedName>
    <definedName name="_1250__FDSAUDITLINK__" hidden="1">{"fdsup://directions/FAT Viewer?action=UPDATE&amp;creator=factset&amp;DYN_ARGS=TRUE&amp;DOC_NAME=FAT:FQL_AUDITING_CLIENT_TEMPLATE.FAT&amp;display_string=Audit&amp;VAR:KEY=NQLWZADUXQ&amp;VAR:QUERY=RkZfRElWX1lMRChBTk4sNC8yNi8wNyw0LzI2LzA3KQ==&amp;WINDOW=FIRST_POPUP&amp;HEIGHT=450&amp;WIDTH=450&amp;","START_MAXIMIZED=FALSE&amp;VAR:CALENDAR=US&amp;VAR:SYMBOL=LO&amp;VAR:INDEX=0"}</definedName>
    <definedName name="_1251">#REF!</definedName>
    <definedName name="_1251__FDSAUDITLINK__" localSheetId="0" hidden="1">{"fdsup://directions/FAT Viewer?action=UPDATE&amp;creator=factset&amp;DYN_ARGS=TRUE&amp;DOC_NAME=FAT:FQL_AUDITING_CLIENT_TEMPLATE.FAT&amp;display_string=Audit&amp;VAR:KEY=BWVSFEXKBM&amp;VAR:QUERY=RkZfRElWX1lMRChBTk4sNC8xOS8wNyw0LzE5LzA3KQ==&amp;WINDOW=FIRST_POPUP&amp;HEIGHT=450&amp;WIDTH=450&amp;","START_MAXIMIZED=FALSE&amp;VAR:CALENDAR=US&amp;VAR:SYMBOL=LO&amp;VAR:INDEX=0"}</definedName>
    <definedName name="_1251__FDSAUDITLINK__" hidden="1">{"fdsup://directions/FAT Viewer?action=UPDATE&amp;creator=factset&amp;DYN_ARGS=TRUE&amp;DOC_NAME=FAT:FQL_AUDITING_CLIENT_TEMPLATE.FAT&amp;display_string=Audit&amp;VAR:KEY=BWVSFEXKBM&amp;VAR:QUERY=RkZfRElWX1lMRChBTk4sNC8xOS8wNyw0LzE5LzA3KQ==&amp;WINDOW=FIRST_POPUP&amp;HEIGHT=450&amp;WIDTH=450&amp;","START_MAXIMIZED=FALSE&amp;VAR:CALENDAR=US&amp;VAR:SYMBOL=LO&amp;VAR:INDEX=0"}</definedName>
    <definedName name="_1252__FDSAUDITLINK__" localSheetId="0" hidden="1">{"fdsup://directions/FAT Viewer?action=UPDATE&amp;creator=factset&amp;DYN_ARGS=TRUE&amp;DOC_NAME=FAT:FQL_AUDITING_CLIENT_TEMPLATE.FAT&amp;display_string=Audit&amp;VAR:KEY=VYTYNGTAXG&amp;VAR:QUERY=RkZfRElWX1lMRChBTk4sNC8xMi8wNyw0LzEyLzA3KQ==&amp;WINDOW=FIRST_POPUP&amp;HEIGHT=450&amp;WIDTH=450&amp;","START_MAXIMIZED=FALSE&amp;VAR:CALENDAR=US&amp;VAR:SYMBOL=LO&amp;VAR:INDEX=0"}</definedName>
    <definedName name="_1252__FDSAUDITLINK__" hidden="1">{"fdsup://directions/FAT Viewer?action=UPDATE&amp;creator=factset&amp;DYN_ARGS=TRUE&amp;DOC_NAME=FAT:FQL_AUDITING_CLIENT_TEMPLATE.FAT&amp;display_string=Audit&amp;VAR:KEY=VYTYNGTAXG&amp;VAR:QUERY=RkZfRElWX1lMRChBTk4sNC8xMi8wNyw0LzEyLzA3KQ==&amp;WINDOW=FIRST_POPUP&amp;HEIGHT=450&amp;WIDTH=450&amp;","START_MAXIMIZED=FALSE&amp;VAR:CALENDAR=US&amp;VAR:SYMBOL=LO&amp;VAR:INDEX=0"}</definedName>
    <definedName name="_1253__FDSAUDITLINK__" localSheetId="0" hidden="1">{"fdsup://directions/FAT Viewer?action=UPDATE&amp;creator=factset&amp;DYN_ARGS=TRUE&amp;DOC_NAME=FAT:FQL_AUDITING_CLIENT_TEMPLATE.FAT&amp;display_string=Audit&amp;VAR:KEY=ZIVADEHQJE&amp;VAR:QUERY=RkZfRElWX1lMRChBTk4sNC8wNS8wNyw0LzA1LzA3KQ==&amp;WINDOW=FIRST_POPUP&amp;HEIGHT=450&amp;WIDTH=450&amp;","START_MAXIMIZED=FALSE&amp;VAR:CALENDAR=US&amp;VAR:SYMBOL=LO&amp;VAR:INDEX=0"}</definedName>
    <definedName name="_1253__FDSAUDITLINK__" hidden="1">{"fdsup://directions/FAT Viewer?action=UPDATE&amp;creator=factset&amp;DYN_ARGS=TRUE&amp;DOC_NAME=FAT:FQL_AUDITING_CLIENT_TEMPLATE.FAT&amp;display_string=Audit&amp;VAR:KEY=ZIVADEHQJE&amp;VAR:QUERY=RkZfRElWX1lMRChBTk4sNC8wNS8wNyw0LzA1LzA3KQ==&amp;WINDOW=FIRST_POPUP&amp;HEIGHT=450&amp;WIDTH=450&amp;","START_MAXIMIZED=FALSE&amp;VAR:CALENDAR=US&amp;VAR:SYMBOL=LO&amp;VAR:INDEX=0"}</definedName>
    <definedName name="_1254__FDSAUDITLINK__" localSheetId="0" hidden="1">{"fdsup://directions/FAT Viewer?action=UPDATE&amp;creator=factset&amp;DYN_ARGS=TRUE&amp;DOC_NAME=FAT:FQL_AUDITING_CLIENT_TEMPLATE.FAT&amp;display_string=Audit&amp;VAR:KEY=ZOFAPYBKZA&amp;VAR:QUERY=RkZfRElWX1lMRChBTk4sMy8yOS8wNywzLzI5LzA3KQ==&amp;WINDOW=FIRST_POPUP&amp;HEIGHT=450&amp;WIDTH=450&amp;","START_MAXIMIZED=FALSE&amp;VAR:CALENDAR=US&amp;VAR:SYMBOL=LO&amp;VAR:INDEX=0"}</definedName>
    <definedName name="_1254__FDSAUDITLINK__" hidden="1">{"fdsup://directions/FAT Viewer?action=UPDATE&amp;creator=factset&amp;DYN_ARGS=TRUE&amp;DOC_NAME=FAT:FQL_AUDITING_CLIENT_TEMPLATE.FAT&amp;display_string=Audit&amp;VAR:KEY=ZOFAPYBKZA&amp;VAR:QUERY=RkZfRElWX1lMRChBTk4sMy8yOS8wNywzLzI5LzA3KQ==&amp;WINDOW=FIRST_POPUP&amp;HEIGHT=450&amp;WIDTH=450&amp;","START_MAXIMIZED=FALSE&amp;VAR:CALENDAR=US&amp;VAR:SYMBOL=LO&amp;VAR:INDEX=0"}</definedName>
    <definedName name="_1255__FDSAUDITLINK__" localSheetId="0" hidden="1">{"fdsup://directions/FAT Viewer?action=UPDATE&amp;creator=factset&amp;DYN_ARGS=TRUE&amp;DOC_NAME=FAT:FQL_AUDITING_CLIENT_TEMPLATE.FAT&amp;display_string=Audit&amp;VAR:KEY=XIRCBGRCFO&amp;VAR:QUERY=RkZfRElWX1lMRChBTk4sMy8yMi8wNywzLzIyLzA3KQ==&amp;WINDOW=FIRST_POPUP&amp;HEIGHT=450&amp;WIDTH=450&amp;","START_MAXIMIZED=FALSE&amp;VAR:CALENDAR=US&amp;VAR:SYMBOL=LO&amp;VAR:INDEX=0"}</definedName>
    <definedName name="_1255__FDSAUDITLINK__" hidden="1">{"fdsup://directions/FAT Viewer?action=UPDATE&amp;creator=factset&amp;DYN_ARGS=TRUE&amp;DOC_NAME=FAT:FQL_AUDITING_CLIENT_TEMPLATE.FAT&amp;display_string=Audit&amp;VAR:KEY=XIRCBGRCFO&amp;VAR:QUERY=RkZfRElWX1lMRChBTk4sMy8yMi8wNywzLzIyLzA3KQ==&amp;WINDOW=FIRST_POPUP&amp;HEIGHT=450&amp;WIDTH=450&amp;","START_MAXIMIZED=FALSE&amp;VAR:CALENDAR=US&amp;VAR:SYMBOL=LO&amp;VAR:INDEX=0"}</definedName>
    <definedName name="_1256__FDSAUDITLINK__" localSheetId="0" hidden="1">{"fdsup://directions/FAT Viewer?action=UPDATE&amp;creator=factset&amp;DYN_ARGS=TRUE&amp;DOC_NAME=FAT:FQL_AUDITING_CLIENT_TEMPLATE.FAT&amp;display_string=Audit&amp;VAR:KEY=HCJIZAHONQ&amp;VAR:QUERY=RkZfRElWX1lMRChBTk4sMy8xNS8wNywzLzE1LzA3KQ==&amp;WINDOW=FIRST_POPUP&amp;HEIGHT=450&amp;WIDTH=450&amp;","START_MAXIMIZED=FALSE&amp;VAR:CALENDAR=US&amp;VAR:SYMBOL=LO&amp;VAR:INDEX=0"}</definedName>
    <definedName name="_1256__FDSAUDITLINK__" hidden="1">{"fdsup://directions/FAT Viewer?action=UPDATE&amp;creator=factset&amp;DYN_ARGS=TRUE&amp;DOC_NAME=FAT:FQL_AUDITING_CLIENT_TEMPLATE.FAT&amp;display_string=Audit&amp;VAR:KEY=HCJIZAHONQ&amp;VAR:QUERY=RkZfRElWX1lMRChBTk4sMy8xNS8wNywzLzE1LzA3KQ==&amp;WINDOW=FIRST_POPUP&amp;HEIGHT=450&amp;WIDTH=450&amp;","START_MAXIMIZED=FALSE&amp;VAR:CALENDAR=US&amp;VAR:SYMBOL=LO&amp;VAR:INDEX=0"}</definedName>
    <definedName name="_1257__FDSAUDITLINK__" localSheetId="0" hidden="1">{"fdsup://directions/FAT Viewer?action=UPDATE&amp;creator=factset&amp;DYN_ARGS=TRUE&amp;DOC_NAME=FAT:FQL_AUDITING_CLIENT_TEMPLATE.FAT&amp;display_string=Audit&amp;VAR:KEY=JWJINORQHO&amp;VAR:QUERY=RkZfRElWX1lMRChBTk4sMy8wOC8wNywzLzA4LzA3KQ==&amp;WINDOW=FIRST_POPUP&amp;HEIGHT=450&amp;WIDTH=450&amp;","START_MAXIMIZED=FALSE&amp;VAR:CALENDAR=US&amp;VAR:SYMBOL=LO&amp;VAR:INDEX=0"}</definedName>
    <definedName name="_1257__FDSAUDITLINK__" hidden="1">{"fdsup://directions/FAT Viewer?action=UPDATE&amp;creator=factset&amp;DYN_ARGS=TRUE&amp;DOC_NAME=FAT:FQL_AUDITING_CLIENT_TEMPLATE.FAT&amp;display_string=Audit&amp;VAR:KEY=JWJINORQHO&amp;VAR:QUERY=RkZfRElWX1lMRChBTk4sMy8wOC8wNywzLzA4LzA3KQ==&amp;WINDOW=FIRST_POPUP&amp;HEIGHT=450&amp;WIDTH=450&amp;","START_MAXIMIZED=FALSE&amp;VAR:CALENDAR=US&amp;VAR:SYMBOL=LO&amp;VAR:INDEX=0"}</definedName>
    <definedName name="_1258__FDSAUDITLINK__" localSheetId="0" hidden="1">{"fdsup://directions/FAT Viewer?action=UPDATE&amp;creator=factset&amp;DYN_ARGS=TRUE&amp;DOC_NAME=FAT:FQL_AUDITING_CLIENT_TEMPLATE.FAT&amp;display_string=Audit&amp;VAR:KEY=ZSRKNMHALA&amp;VAR:QUERY=RkZfRElWX1lMRChBTk4sMy8wMS8wNywzLzAxLzA3KQ==&amp;WINDOW=FIRST_POPUP&amp;HEIGHT=450&amp;WIDTH=450&amp;","START_MAXIMIZED=FALSE&amp;VAR:CALENDAR=US&amp;VAR:SYMBOL=LO&amp;VAR:INDEX=0"}</definedName>
    <definedName name="_1258__FDSAUDITLINK__" hidden="1">{"fdsup://directions/FAT Viewer?action=UPDATE&amp;creator=factset&amp;DYN_ARGS=TRUE&amp;DOC_NAME=FAT:FQL_AUDITING_CLIENT_TEMPLATE.FAT&amp;display_string=Audit&amp;VAR:KEY=ZSRKNMHALA&amp;VAR:QUERY=RkZfRElWX1lMRChBTk4sMy8wMS8wNywzLzAxLzA3KQ==&amp;WINDOW=FIRST_POPUP&amp;HEIGHT=450&amp;WIDTH=450&amp;","START_MAXIMIZED=FALSE&amp;VAR:CALENDAR=US&amp;VAR:SYMBOL=LO&amp;VAR:INDEX=0"}</definedName>
    <definedName name="_1259">#REF!</definedName>
    <definedName name="_1259__FDSAUDITLINK__" localSheetId="0" hidden="1">{"fdsup://directions/FAT Viewer?action=UPDATE&amp;creator=factset&amp;DYN_ARGS=TRUE&amp;DOC_NAME=FAT:FQL_AUDITING_CLIENT_TEMPLATE.FAT&amp;display_string=Audit&amp;VAR:KEY=NAZELMRAFE&amp;VAR:QUERY=RkZfRElWX1lMRChBTk4sMi8yMi8wNywyLzIyLzA3KQ==&amp;WINDOW=FIRST_POPUP&amp;HEIGHT=450&amp;WIDTH=450&amp;","START_MAXIMIZED=FALSE&amp;VAR:CALENDAR=US&amp;VAR:SYMBOL=LO&amp;VAR:INDEX=0"}</definedName>
    <definedName name="_1259__FDSAUDITLINK__" hidden="1">{"fdsup://directions/FAT Viewer?action=UPDATE&amp;creator=factset&amp;DYN_ARGS=TRUE&amp;DOC_NAME=FAT:FQL_AUDITING_CLIENT_TEMPLATE.FAT&amp;display_string=Audit&amp;VAR:KEY=NAZELMRAFE&amp;VAR:QUERY=RkZfRElWX1lMRChBTk4sMi8yMi8wNywyLzIyLzA3KQ==&amp;WINDOW=FIRST_POPUP&amp;HEIGHT=450&amp;WIDTH=450&amp;","START_MAXIMIZED=FALSE&amp;VAR:CALENDAR=US&amp;VAR:SYMBOL=LO&amp;VAR:INDEX=0"}</definedName>
    <definedName name="_126">#REF!</definedName>
    <definedName name="_126__123Graph_DWAGES_BY_B_U">#REF!</definedName>
    <definedName name="_126__123Graph_EWAGES_BY_B_U">#REF!</definedName>
    <definedName name="_126__FDSAUDITLINK__" localSheetId="0" hidden="1">{"fdsup://directions/FAT Viewer?action=UPDATE&amp;creator=factset&amp;DYN_ARGS=TRUE&amp;DOC_NAME=FAT:FQL_AUDITING_CLIENT_TEMPLATE.FAT&amp;display_string=Audit&amp;VAR:KEY=ZYZGLCBYRY&amp;VAR:QUERY=RkZfRElWX1lMRChBTk4sMTEvMDYvMDgsMTEvMDYvMDgp&amp;WINDOW=FIRST_POPUP&amp;HEIGHT=450&amp;WIDTH=450&amp;","START_MAXIMIZED=FALSE&amp;VAR:CALENDAR=US&amp;VAR:SYMBOL=RAI&amp;VAR:INDEX=0"}</definedName>
    <definedName name="_126__FDSAUDITLINK__" hidden="1">{"fdsup://directions/FAT Viewer?action=UPDATE&amp;creator=factset&amp;DYN_ARGS=TRUE&amp;DOC_NAME=FAT:FQL_AUDITING_CLIENT_TEMPLATE.FAT&amp;display_string=Audit&amp;VAR:KEY=ZYZGLCBYRY&amp;VAR:QUERY=RkZfRElWX1lMRChBTk4sMTEvMDYvMDgsMTEvMDYvMDgp&amp;WINDOW=FIRST_POPUP&amp;HEIGHT=450&amp;WIDTH=450&amp;","START_MAXIMIZED=FALSE&amp;VAR:CALENDAR=US&amp;VAR:SYMBOL=RAI&amp;VAR:INDEX=0"}</definedName>
    <definedName name="_1260__FDSAUDITLINK__" localSheetId="0" hidden="1">{"fdsup://directions/FAT Viewer?action=UPDATE&amp;creator=factset&amp;DYN_ARGS=TRUE&amp;DOC_NAME=FAT:FQL_AUDITING_CLIENT_TEMPLATE.FAT&amp;display_string=Audit&amp;VAR:KEY=NGLSXKRWBA&amp;VAR:QUERY=RkZfRElWX1lMRChBTk4sMi8xNS8wNywyLzE1LzA3KQ==&amp;WINDOW=FIRST_POPUP&amp;HEIGHT=450&amp;WIDTH=450&amp;","START_MAXIMIZED=FALSE&amp;VAR:CALENDAR=US&amp;VAR:SYMBOL=LO&amp;VAR:INDEX=0"}</definedName>
    <definedName name="_1260__FDSAUDITLINK__" hidden="1">{"fdsup://directions/FAT Viewer?action=UPDATE&amp;creator=factset&amp;DYN_ARGS=TRUE&amp;DOC_NAME=FAT:FQL_AUDITING_CLIENT_TEMPLATE.FAT&amp;display_string=Audit&amp;VAR:KEY=NGLSXKRWBA&amp;VAR:QUERY=RkZfRElWX1lMRChBTk4sMi8xNS8wNywyLzE1LzA3KQ==&amp;WINDOW=FIRST_POPUP&amp;HEIGHT=450&amp;WIDTH=450&amp;","START_MAXIMIZED=FALSE&amp;VAR:CALENDAR=US&amp;VAR:SYMBOL=LO&amp;VAR:INDEX=0"}</definedName>
    <definedName name="_1261__FDSAUDITLINK__" localSheetId="0" hidden="1">{"fdsup://directions/FAT Viewer?action=UPDATE&amp;creator=factset&amp;DYN_ARGS=TRUE&amp;DOC_NAME=FAT:FQL_AUDITING_CLIENT_TEMPLATE.FAT&amp;display_string=Audit&amp;VAR:KEY=XCZOHQHETK&amp;VAR:QUERY=RkZfRElWX1lMRChBTk4sMi8wOC8wNywyLzA4LzA3KQ==&amp;WINDOW=FIRST_POPUP&amp;HEIGHT=450&amp;WIDTH=450&amp;","START_MAXIMIZED=FALSE&amp;VAR:CALENDAR=US&amp;VAR:SYMBOL=LO&amp;VAR:INDEX=0"}</definedName>
    <definedName name="_1261__FDSAUDITLINK__" hidden="1">{"fdsup://directions/FAT Viewer?action=UPDATE&amp;creator=factset&amp;DYN_ARGS=TRUE&amp;DOC_NAME=FAT:FQL_AUDITING_CLIENT_TEMPLATE.FAT&amp;display_string=Audit&amp;VAR:KEY=XCZOHQHETK&amp;VAR:QUERY=RkZfRElWX1lMRChBTk4sMi8wOC8wNywyLzA4LzA3KQ==&amp;WINDOW=FIRST_POPUP&amp;HEIGHT=450&amp;WIDTH=450&amp;","START_MAXIMIZED=FALSE&amp;VAR:CALENDAR=US&amp;VAR:SYMBOL=LO&amp;VAR:INDEX=0"}</definedName>
    <definedName name="_1262__FDSAUDITLINK__" localSheetId="0" hidden="1">{"fdsup://directions/FAT Viewer?action=UPDATE&amp;creator=factset&amp;DYN_ARGS=TRUE&amp;DOC_NAME=FAT:FQL_AUDITING_CLIENT_TEMPLATE.FAT&amp;display_string=Audit&amp;VAR:KEY=TCBSNGFSFQ&amp;VAR:QUERY=RkZfRElWX1lMRChBTk4sMi8wMS8wNywyLzAxLzA3KQ==&amp;WINDOW=FIRST_POPUP&amp;HEIGHT=450&amp;WIDTH=450&amp;","START_MAXIMIZED=FALSE&amp;VAR:CALENDAR=US&amp;VAR:SYMBOL=LO&amp;VAR:INDEX=0"}</definedName>
    <definedName name="_1262__FDSAUDITLINK__" hidden="1">{"fdsup://directions/FAT Viewer?action=UPDATE&amp;creator=factset&amp;DYN_ARGS=TRUE&amp;DOC_NAME=FAT:FQL_AUDITING_CLIENT_TEMPLATE.FAT&amp;display_string=Audit&amp;VAR:KEY=TCBSNGFSFQ&amp;VAR:QUERY=RkZfRElWX1lMRChBTk4sMi8wMS8wNywyLzAxLzA3KQ==&amp;WINDOW=FIRST_POPUP&amp;HEIGHT=450&amp;WIDTH=450&amp;","START_MAXIMIZED=FALSE&amp;VAR:CALENDAR=US&amp;VAR:SYMBOL=LO&amp;VAR:INDEX=0"}</definedName>
    <definedName name="_1263">#REF!</definedName>
    <definedName name="_1263__FDSAUDITLINK__" localSheetId="0" hidden="1">{"fdsup://directions/FAT Viewer?action=UPDATE&amp;creator=factset&amp;DYN_ARGS=TRUE&amp;DOC_NAME=FAT:FQL_AUDITING_CLIENT_TEMPLATE.FAT&amp;display_string=Audit&amp;VAR:KEY=RGTCNEFGNC&amp;VAR:QUERY=RkZfRElWX1lMRChBTk4sMS8yNS8wNywxLzI1LzA3KQ==&amp;WINDOW=FIRST_POPUP&amp;HEIGHT=450&amp;WIDTH=450&amp;","START_MAXIMIZED=FALSE&amp;VAR:CALENDAR=US&amp;VAR:SYMBOL=LO&amp;VAR:INDEX=0"}</definedName>
    <definedName name="_1263__FDSAUDITLINK__" hidden="1">{"fdsup://directions/FAT Viewer?action=UPDATE&amp;creator=factset&amp;DYN_ARGS=TRUE&amp;DOC_NAME=FAT:FQL_AUDITING_CLIENT_TEMPLATE.FAT&amp;display_string=Audit&amp;VAR:KEY=RGTCNEFGNC&amp;VAR:QUERY=RkZfRElWX1lMRChBTk4sMS8yNS8wNywxLzI1LzA3KQ==&amp;WINDOW=FIRST_POPUP&amp;HEIGHT=450&amp;WIDTH=450&amp;","START_MAXIMIZED=FALSE&amp;VAR:CALENDAR=US&amp;VAR:SYMBOL=LO&amp;VAR:INDEX=0"}</definedName>
    <definedName name="_1264__FDSAUDITLINK__" localSheetId="0" hidden="1">{"fdsup://directions/FAT Viewer?action=UPDATE&amp;creator=factset&amp;DYN_ARGS=TRUE&amp;DOC_NAME=FAT:FQL_AUDITING_CLIENT_TEMPLATE.FAT&amp;display_string=Audit&amp;VAR:KEY=NKVEPMJAXS&amp;VAR:QUERY=RkZfRElWX1lMRChBTk4sMS8xOC8wNywxLzE4LzA3KQ==&amp;WINDOW=FIRST_POPUP&amp;HEIGHT=450&amp;WIDTH=450&amp;","START_MAXIMIZED=FALSE&amp;VAR:CALENDAR=US&amp;VAR:SYMBOL=LO&amp;VAR:INDEX=0"}</definedName>
    <definedName name="_1264__FDSAUDITLINK__" hidden="1">{"fdsup://directions/FAT Viewer?action=UPDATE&amp;creator=factset&amp;DYN_ARGS=TRUE&amp;DOC_NAME=FAT:FQL_AUDITING_CLIENT_TEMPLATE.FAT&amp;display_string=Audit&amp;VAR:KEY=NKVEPMJAXS&amp;VAR:QUERY=RkZfRElWX1lMRChBTk4sMS8xOC8wNywxLzE4LzA3KQ==&amp;WINDOW=FIRST_POPUP&amp;HEIGHT=450&amp;WIDTH=450&amp;","START_MAXIMIZED=FALSE&amp;VAR:CALENDAR=US&amp;VAR:SYMBOL=LO&amp;VAR:INDEX=0"}</definedName>
    <definedName name="_1265">#REF!</definedName>
    <definedName name="_1265__FDSAUDITLINK__" localSheetId="0" hidden="1">{"fdsup://directions/FAT Viewer?action=UPDATE&amp;creator=factset&amp;DYN_ARGS=TRUE&amp;DOC_NAME=FAT:FQL_AUDITING_CLIENT_TEMPLATE.FAT&amp;display_string=Audit&amp;VAR:KEY=NGXUNKXIRW&amp;VAR:QUERY=RkZfRElWX1lMRChBTk4sMS8xMS8wNywxLzExLzA3KQ==&amp;WINDOW=FIRST_POPUP&amp;HEIGHT=450&amp;WIDTH=450&amp;","START_MAXIMIZED=FALSE&amp;VAR:CALENDAR=US&amp;VAR:SYMBOL=LO&amp;VAR:INDEX=0"}</definedName>
    <definedName name="_1265__FDSAUDITLINK__" hidden="1">{"fdsup://directions/FAT Viewer?action=UPDATE&amp;creator=factset&amp;DYN_ARGS=TRUE&amp;DOC_NAME=FAT:FQL_AUDITING_CLIENT_TEMPLATE.FAT&amp;display_string=Audit&amp;VAR:KEY=NGXUNKXIRW&amp;VAR:QUERY=RkZfRElWX1lMRChBTk4sMS8xMS8wNywxLzExLzA3KQ==&amp;WINDOW=FIRST_POPUP&amp;HEIGHT=450&amp;WIDTH=450&amp;","START_MAXIMIZED=FALSE&amp;VAR:CALENDAR=US&amp;VAR:SYMBOL=LO&amp;VAR:INDEX=0"}</definedName>
    <definedName name="_1266">#REF!</definedName>
    <definedName name="_1266__FDSAUDITLINK__" localSheetId="0" hidden="1">{"fdsup://directions/FAT Viewer?action=UPDATE&amp;creator=factset&amp;DYN_ARGS=TRUE&amp;DOC_NAME=FAT:FQL_AUDITING_CLIENT_TEMPLATE.FAT&amp;display_string=Audit&amp;VAR:KEY=TABEJOXOFS&amp;VAR:QUERY=RkZfRElWX1lMRChBTk4sMS8wNC8wNywxLzA0LzA3KQ==&amp;WINDOW=FIRST_POPUP&amp;HEIGHT=450&amp;WIDTH=450&amp;","START_MAXIMIZED=FALSE&amp;VAR:CALENDAR=US&amp;VAR:SYMBOL=LO&amp;VAR:INDEX=0"}</definedName>
    <definedName name="_1266__FDSAUDITLINK__" hidden="1">{"fdsup://directions/FAT Viewer?action=UPDATE&amp;creator=factset&amp;DYN_ARGS=TRUE&amp;DOC_NAME=FAT:FQL_AUDITING_CLIENT_TEMPLATE.FAT&amp;display_string=Audit&amp;VAR:KEY=TABEJOXOFS&amp;VAR:QUERY=RkZfRElWX1lMRChBTk4sMS8wNC8wNywxLzA0LzA3KQ==&amp;WINDOW=FIRST_POPUP&amp;HEIGHT=450&amp;WIDTH=450&amp;","START_MAXIMIZED=FALSE&amp;VAR:CALENDAR=US&amp;VAR:SYMBOL=LO&amp;VAR:INDEX=0"}</definedName>
    <definedName name="_1267">#REF!</definedName>
    <definedName name="_1267__FDSAUDITLINK__" localSheetId="0" hidden="1">{"fdsup://directions/FAT Viewer?action=UPDATE&amp;creator=factset&amp;DYN_ARGS=TRUE&amp;DOC_NAME=FAT:FQL_AUDITING_CLIENT_TEMPLATE.FAT&amp;display_string=Audit&amp;VAR:KEY=BWPUFEFYRW&amp;VAR:QUERY=RkZfRElWX1lMRChBTk4sMTIvMjgvMDYsMTIvMjgvMDYp&amp;WINDOW=FIRST_POPUP&amp;HEIGHT=450&amp;WIDTH=450&amp;","START_MAXIMIZED=FALSE&amp;VAR:CALENDAR=US&amp;VAR:SYMBOL=LO&amp;VAR:INDEX=0"}</definedName>
    <definedName name="_1267__FDSAUDITLINK__" hidden="1">{"fdsup://directions/FAT Viewer?action=UPDATE&amp;creator=factset&amp;DYN_ARGS=TRUE&amp;DOC_NAME=FAT:FQL_AUDITING_CLIENT_TEMPLATE.FAT&amp;display_string=Audit&amp;VAR:KEY=BWPUFEFYRW&amp;VAR:QUERY=RkZfRElWX1lMRChBTk4sMTIvMjgvMDYsMTIvMjgvMDYp&amp;WINDOW=FIRST_POPUP&amp;HEIGHT=450&amp;WIDTH=450&amp;","START_MAXIMIZED=FALSE&amp;VAR:CALENDAR=US&amp;VAR:SYMBOL=LO&amp;VAR:INDEX=0"}</definedName>
    <definedName name="_1268">#REF!</definedName>
    <definedName name="_1268__FDSAUDITLINK__" localSheetId="0" hidden="1">{"fdsup://directions/FAT Viewer?action=UPDATE&amp;creator=factset&amp;DYN_ARGS=TRUE&amp;DOC_NAME=FAT:FQL_AUDITING_CLIENT_TEMPLATE.FAT&amp;display_string=Audit&amp;VAR:KEY=JWRIROFOPI&amp;VAR:QUERY=RkZfRElWX1lMRChBTk4sMTIvMjEvMDYsMTIvMjEvMDYp&amp;WINDOW=FIRST_POPUP&amp;HEIGHT=450&amp;WIDTH=450&amp;","START_MAXIMIZED=FALSE&amp;VAR:CALENDAR=US&amp;VAR:SYMBOL=LO&amp;VAR:INDEX=0"}</definedName>
    <definedName name="_1268__FDSAUDITLINK__" hidden="1">{"fdsup://directions/FAT Viewer?action=UPDATE&amp;creator=factset&amp;DYN_ARGS=TRUE&amp;DOC_NAME=FAT:FQL_AUDITING_CLIENT_TEMPLATE.FAT&amp;display_string=Audit&amp;VAR:KEY=JWRIROFOPI&amp;VAR:QUERY=RkZfRElWX1lMRChBTk4sMTIvMjEvMDYsMTIvMjEvMDYp&amp;WINDOW=FIRST_POPUP&amp;HEIGHT=450&amp;WIDTH=450&amp;","START_MAXIMIZED=FALSE&amp;VAR:CALENDAR=US&amp;VAR:SYMBOL=LO&amp;VAR:INDEX=0"}</definedName>
    <definedName name="_1269">#REF!</definedName>
    <definedName name="_1269__FDSAUDITLINK__" localSheetId="0" hidden="1">{"fdsup://directions/FAT Viewer?action=UPDATE&amp;creator=factset&amp;DYN_ARGS=TRUE&amp;DOC_NAME=FAT:FQL_AUDITING_CLIENT_TEMPLATE.FAT&amp;display_string=Audit&amp;VAR:KEY=PKBKBALKJS&amp;VAR:QUERY=RkZfRElWX1lMRChBTk4sMTIvMTQvMDYsMTIvMTQvMDYp&amp;WINDOW=FIRST_POPUP&amp;HEIGHT=450&amp;WIDTH=450&amp;","START_MAXIMIZED=FALSE&amp;VAR:CALENDAR=US&amp;VAR:SYMBOL=LO&amp;VAR:INDEX=0"}</definedName>
    <definedName name="_1269__FDSAUDITLINK__" hidden="1">{"fdsup://directions/FAT Viewer?action=UPDATE&amp;creator=factset&amp;DYN_ARGS=TRUE&amp;DOC_NAME=FAT:FQL_AUDITING_CLIENT_TEMPLATE.FAT&amp;display_string=Audit&amp;VAR:KEY=PKBKBALKJS&amp;VAR:QUERY=RkZfRElWX1lMRChBTk4sMTIvMTQvMDYsMTIvMTQvMDYp&amp;WINDOW=FIRST_POPUP&amp;HEIGHT=450&amp;WIDTH=450&amp;","START_MAXIMIZED=FALSE&amp;VAR:CALENDAR=US&amp;VAR:SYMBOL=LO&amp;VAR:INDEX=0"}</definedName>
    <definedName name="_127">#REF!</definedName>
    <definedName name="_127__123Graph_DWAGES_BY_B_U">#REF!</definedName>
    <definedName name="_127__FDSAUDITLINK__" localSheetId="0" hidden="1">{"fdsup://directions/FAT Viewer?action=UPDATE&amp;creator=factset&amp;DYN_ARGS=TRUE&amp;DOC_NAME=FAT:FQL_AUDITING_CLIENT_TEMPLATE.FAT&amp;display_string=Audit&amp;VAR:KEY=LGZGJMXSNQ&amp;VAR:QUERY=RkZfRElWX1lMRChBTk4sMTAvMzAvMDgsMTAvMzAvMDgp&amp;WINDOW=FIRST_POPUP&amp;HEIGHT=450&amp;WIDTH=450&amp;","START_MAXIMIZED=FALSE&amp;VAR:CALENDAR=US&amp;VAR:SYMBOL=RAI&amp;VAR:INDEX=0"}</definedName>
    <definedName name="_127__FDSAUDITLINK__" hidden="1">{"fdsup://directions/FAT Viewer?action=UPDATE&amp;creator=factset&amp;DYN_ARGS=TRUE&amp;DOC_NAME=FAT:FQL_AUDITING_CLIENT_TEMPLATE.FAT&amp;display_string=Audit&amp;VAR:KEY=LGZGJMXSNQ&amp;VAR:QUERY=RkZfRElWX1lMRChBTk4sMTAvMzAvMDgsMTAvMzAvMDgp&amp;WINDOW=FIRST_POPUP&amp;HEIGHT=450&amp;WIDTH=450&amp;","START_MAXIMIZED=FALSE&amp;VAR:CALENDAR=US&amp;VAR:SYMBOL=RAI&amp;VAR:INDEX=0"}</definedName>
    <definedName name="_1270">#REF!</definedName>
    <definedName name="_1270__FDSAUDITLINK__" localSheetId="0" hidden="1">{"fdsup://directions/FAT Viewer?action=UPDATE&amp;creator=factset&amp;DYN_ARGS=TRUE&amp;DOC_NAME=FAT:FQL_AUDITING_CLIENT_TEMPLATE.FAT&amp;display_string=Audit&amp;VAR:KEY=ZUZSVUJSXW&amp;VAR:QUERY=RkZfRElWX1lMRChBTk4sMTIvMDcvMDYsMTIvMDcvMDYp&amp;WINDOW=FIRST_POPUP&amp;HEIGHT=450&amp;WIDTH=450&amp;","START_MAXIMIZED=FALSE&amp;VAR:CALENDAR=US&amp;VAR:SYMBOL=LO&amp;VAR:INDEX=0"}</definedName>
    <definedName name="_1270__FDSAUDITLINK__" hidden="1">{"fdsup://directions/FAT Viewer?action=UPDATE&amp;creator=factset&amp;DYN_ARGS=TRUE&amp;DOC_NAME=FAT:FQL_AUDITING_CLIENT_TEMPLATE.FAT&amp;display_string=Audit&amp;VAR:KEY=ZUZSVUJSXW&amp;VAR:QUERY=RkZfRElWX1lMRChBTk4sMTIvMDcvMDYsMTIvMDcvMDYp&amp;WINDOW=FIRST_POPUP&amp;HEIGHT=450&amp;WIDTH=450&amp;","START_MAXIMIZED=FALSE&amp;VAR:CALENDAR=US&amp;VAR:SYMBOL=LO&amp;VAR:INDEX=0"}</definedName>
    <definedName name="_1271">#REF!</definedName>
    <definedName name="_1271__FDSAUDITLINK__" localSheetId="0" hidden="1">{"fdsup://directions/FAT Viewer?action=UPDATE&amp;creator=factset&amp;DYN_ARGS=TRUE&amp;DOC_NAME=FAT:FQL_AUDITING_CLIENT_TEMPLATE.FAT&amp;display_string=Audit&amp;VAR:KEY=JCTGPSDMRE&amp;VAR:QUERY=RkZfRElWX1lMRChBTk4sMTEvMzAvMDYsMTEvMzAvMDYp&amp;WINDOW=FIRST_POPUP&amp;HEIGHT=450&amp;WIDTH=450&amp;","START_MAXIMIZED=FALSE&amp;VAR:CALENDAR=US&amp;VAR:SYMBOL=LO&amp;VAR:INDEX=0"}</definedName>
    <definedName name="_1271__FDSAUDITLINK__" hidden="1">{"fdsup://directions/FAT Viewer?action=UPDATE&amp;creator=factset&amp;DYN_ARGS=TRUE&amp;DOC_NAME=FAT:FQL_AUDITING_CLIENT_TEMPLATE.FAT&amp;display_string=Audit&amp;VAR:KEY=JCTGPSDMRE&amp;VAR:QUERY=RkZfRElWX1lMRChBTk4sMTEvMzAvMDYsMTEvMzAvMDYp&amp;WINDOW=FIRST_POPUP&amp;HEIGHT=450&amp;WIDTH=450&amp;","START_MAXIMIZED=FALSE&amp;VAR:CALENDAR=US&amp;VAR:SYMBOL=LO&amp;VAR:INDEX=0"}</definedName>
    <definedName name="_1272">#REF!</definedName>
    <definedName name="_1272__FDSAUDITLINK__" localSheetId="0" hidden="1">{"fdsup://directions/FAT Viewer?action=UPDATE&amp;creator=factset&amp;DYN_ARGS=TRUE&amp;DOC_NAME=FAT:FQL_AUDITING_CLIENT_TEMPLATE.FAT&amp;display_string=Audit&amp;VAR:KEY=RMFMHQHKFK&amp;VAR:QUERY=RkZfRElWX1lMRChBTk4sMTEvMjIvMDYsMTEvMjIvMDYp&amp;WINDOW=FIRST_POPUP&amp;HEIGHT=450&amp;WIDTH=450&amp;","START_MAXIMIZED=FALSE&amp;VAR:CALENDAR=US&amp;VAR:SYMBOL=LO&amp;VAR:INDEX=0"}</definedName>
    <definedName name="_1272__FDSAUDITLINK__" hidden="1">{"fdsup://directions/FAT Viewer?action=UPDATE&amp;creator=factset&amp;DYN_ARGS=TRUE&amp;DOC_NAME=FAT:FQL_AUDITING_CLIENT_TEMPLATE.FAT&amp;display_string=Audit&amp;VAR:KEY=RMFMHQHKFK&amp;VAR:QUERY=RkZfRElWX1lMRChBTk4sMTEvMjIvMDYsMTEvMjIvMDYp&amp;WINDOW=FIRST_POPUP&amp;HEIGHT=450&amp;WIDTH=450&amp;","START_MAXIMIZED=FALSE&amp;VAR:CALENDAR=US&amp;VAR:SYMBOL=LO&amp;VAR:INDEX=0"}</definedName>
    <definedName name="_1273">#REF!</definedName>
    <definedName name="_1273__FDSAUDITLINK__" localSheetId="0" hidden="1">{"fdsup://directions/FAT Viewer?action=UPDATE&amp;creator=factset&amp;DYN_ARGS=TRUE&amp;DOC_NAME=FAT:FQL_AUDITING_CLIENT_TEMPLATE.FAT&amp;display_string=Audit&amp;VAR:KEY=VEZYNSHSXG&amp;VAR:QUERY=RkZfRElWX1lMRChBTk4sMTEvMTYvMDYsMTEvMTYvMDYp&amp;WINDOW=FIRST_POPUP&amp;HEIGHT=450&amp;WIDTH=450&amp;","START_MAXIMIZED=FALSE&amp;VAR:CALENDAR=US&amp;VAR:SYMBOL=LO&amp;VAR:INDEX=0"}</definedName>
    <definedName name="_1273__FDSAUDITLINK__" hidden="1">{"fdsup://directions/FAT Viewer?action=UPDATE&amp;creator=factset&amp;DYN_ARGS=TRUE&amp;DOC_NAME=FAT:FQL_AUDITING_CLIENT_TEMPLATE.FAT&amp;display_string=Audit&amp;VAR:KEY=VEZYNSHSXG&amp;VAR:QUERY=RkZfRElWX1lMRChBTk4sMTEvMTYvMDYsMTEvMTYvMDYp&amp;WINDOW=FIRST_POPUP&amp;HEIGHT=450&amp;WIDTH=450&amp;","START_MAXIMIZED=FALSE&amp;VAR:CALENDAR=US&amp;VAR:SYMBOL=LO&amp;VAR:INDEX=0"}</definedName>
    <definedName name="_1274">#REF!</definedName>
    <definedName name="_1274__FDSAUDITLINK__" localSheetId="0" hidden="1">{"fdsup://directions/FAT Viewer?action=UPDATE&amp;creator=factset&amp;DYN_ARGS=TRUE&amp;DOC_NAME=FAT:FQL_AUDITING_CLIENT_TEMPLATE.FAT&amp;display_string=Audit&amp;VAR:KEY=DKVSNQVOXI&amp;VAR:QUERY=RkZfRElWX1lMRChBTk4sMTEvMDkvMDYsMTEvMDkvMDYp&amp;WINDOW=FIRST_POPUP&amp;HEIGHT=450&amp;WIDTH=450&amp;","START_MAXIMIZED=FALSE&amp;VAR:CALENDAR=US&amp;VAR:SYMBOL=LO&amp;VAR:INDEX=0"}</definedName>
    <definedName name="_1274__FDSAUDITLINK__" hidden="1">{"fdsup://directions/FAT Viewer?action=UPDATE&amp;creator=factset&amp;DYN_ARGS=TRUE&amp;DOC_NAME=FAT:FQL_AUDITING_CLIENT_TEMPLATE.FAT&amp;display_string=Audit&amp;VAR:KEY=DKVSNQVOXI&amp;VAR:QUERY=RkZfRElWX1lMRChBTk4sMTEvMDkvMDYsMTEvMDkvMDYp&amp;WINDOW=FIRST_POPUP&amp;HEIGHT=450&amp;WIDTH=450&amp;","START_MAXIMIZED=FALSE&amp;VAR:CALENDAR=US&amp;VAR:SYMBOL=LO&amp;VAR:INDEX=0"}</definedName>
    <definedName name="_1275">#REF!</definedName>
    <definedName name="_1275__FDSAUDITLINK__" localSheetId="0" hidden="1">{"fdsup://directions/FAT Viewer?action=UPDATE&amp;creator=factset&amp;DYN_ARGS=TRUE&amp;DOC_NAME=FAT:FQL_AUDITING_CLIENT_TEMPLATE.FAT&amp;display_string=Audit&amp;VAR:KEY=PUVWHIFQVC&amp;VAR:QUERY=RkZfRElWX1lMRChBTk4sMTEvMDIvMDYsMTEvMDIvMDYp&amp;WINDOW=FIRST_POPUP&amp;HEIGHT=450&amp;WIDTH=450&amp;","START_MAXIMIZED=FALSE&amp;VAR:CALENDAR=US&amp;VAR:SYMBOL=LO&amp;VAR:INDEX=0"}</definedName>
    <definedName name="_1275__FDSAUDITLINK__" hidden="1">{"fdsup://directions/FAT Viewer?action=UPDATE&amp;creator=factset&amp;DYN_ARGS=TRUE&amp;DOC_NAME=FAT:FQL_AUDITING_CLIENT_TEMPLATE.FAT&amp;display_string=Audit&amp;VAR:KEY=PUVWHIFQVC&amp;VAR:QUERY=RkZfRElWX1lMRChBTk4sMTEvMDIvMDYsMTEvMDIvMDYp&amp;WINDOW=FIRST_POPUP&amp;HEIGHT=450&amp;WIDTH=450&amp;","START_MAXIMIZED=FALSE&amp;VAR:CALENDAR=US&amp;VAR:SYMBOL=LO&amp;VAR:INDEX=0"}</definedName>
    <definedName name="_1276">#REF!</definedName>
    <definedName name="_1276__FDSAUDITLINK__" localSheetId="0" hidden="1">{"fdsup://directions/FAT Viewer?action=UPDATE&amp;creator=factset&amp;DYN_ARGS=TRUE&amp;DOC_NAME=FAT:FQL_AUDITING_CLIENT_TEMPLATE.FAT&amp;display_string=Audit&amp;VAR:KEY=LUTKZCXIHW&amp;VAR:QUERY=RkZfRElWX1lMRChBTk4sMTAvMjYvMDYsMTAvMjYvMDYp&amp;WINDOW=FIRST_POPUP&amp;HEIGHT=450&amp;WIDTH=450&amp;","START_MAXIMIZED=FALSE&amp;VAR:CALENDAR=US&amp;VAR:SYMBOL=LO&amp;VAR:INDEX=0"}</definedName>
    <definedName name="_1276__FDSAUDITLINK__" hidden="1">{"fdsup://directions/FAT Viewer?action=UPDATE&amp;creator=factset&amp;DYN_ARGS=TRUE&amp;DOC_NAME=FAT:FQL_AUDITING_CLIENT_TEMPLATE.FAT&amp;display_string=Audit&amp;VAR:KEY=LUTKZCXIHW&amp;VAR:QUERY=RkZfRElWX1lMRChBTk4sMTAvMjYvMDYsMTAvMjYvMDYp&amp;WINDOW=FIRST_POPUP&amp;HEIGHT=450&amp;WIDTH=450&amp;","START_MAXIMIZED=FALSE&amp;VAR:CALENDAR=US&amp;VAR:SYMBOL=LO&amp;VAR:INDEX=0"}</definedName>
    <definedName name="_1277">#REF!</definedName>
    <definedName name="_1277__FDSAUDITLINK__" localSheetId="0" hidden="1">{"fdsup://directions/FAT Viewer?action=UPDATE&amp;creator=factset&amp;DYN_ARGS=TRUE&amp;DOC_NAME=FAT:FQL_AUDITING_CLIENT_TEMPLATE.FAT&amp;display_string=Audit&amp;VAR:KEY=HAHMFSJCTW&amp;VAR:QUERY=RkZfRElWX1lMRChBTk4sMTAvMTkvMDYsMTAvMTkvMDYp&amp;WINDOW=FIRST_POPUP&amp;HEIGHT=450&amp;WIDTH=450&amp;","START_MAXIMIZED=FALSE&amp;VAR:CALENDAR=US&amp;VAR:SYMBOL=LO&amp;VAR:INDEX=0"}</definedName>
    <definedName name="_1277__FDSAUDITLINK__" hidden="1">{"fdsup://directions/FAT Viewer?action=UPDATE&amp;creator=factset&amp;DYN_ARGS=TRUE&amp;DOC_NAME=FAT:FQL_AUDITING_CLIENT_TEMPLATE.FAT&amp;display_string=Audit&amp;VAR:KEY=HAHMFSJCTW&amp;VAR:QUERY=RkZfRElWX1lMRChBTk4sMTAvMTkvMDYsMTAvMTkvMDYp&amp;WINDOW=FIRST_POPUP&amp;HEIGHT=450&amp;WIDTH=450&amp;","START_MAXIMIZED=FALSE&amp;VAR:CALENDAR=US&amp;VAR:SYMBOL=LO&amp;VAR:INDEX=0"}</definedName>
    <definedName name="_1278">#REF!</definedName>
    <definedName name="_1278__FDSAUDITLINK__" localSheetId="0" hidden="1">{"fdsup://directions/FAT Viewer?action=UPDATE&amp;creator=factset&amp;DYN_ARGS=TRUE&amp;DOC_NAME=FAT:FQL_AUDITING_CLIENT_TEMPLATE.FAT&amp;display_string=Audit&amp;VAR:KEY=NOLANYDADW&amp;VAR:QUERY=RkZfRElWX1lMRChBTk4sMTAvMTIvMDYsMTAvMTIvMDYp&amp;WINDOW=FIRST_POPUP&amp;HEIGHT=450&amp;WIDTH=450&amp;","START_MAXIMIZED=FALSE&amp;VAR:CALENDAR=US&amp;VAR:SYMBOL=LO&amp;VAR:INDEX=0"}</definedName>
    <definedName name="_1278__FDSAUDITLINK__" hidden="1">{"fdsup://directions/FAT Viewer?action=UPDATE&amp;creator=factset&amp;DYN_ARGS=TRUE&amp;DOC_NAME=FAT:FQL_AUDITING_CLIENT_TEMPLATE.FAT&amp;display_string=Audit&amp;VAR:KEY=NOLANYDADW&amp;VAR:QUERY=RkZfRElWX1lMRChBTk4sMTAvMTIvMDYsMTAvMTIvMDYp&amp;WINDOW=FIRST_POPUP&amp;HEIGHT=450&amp;WIDTH=450&amp;","START_MAXIMIZED=FALSE&amp;VAR:CALENDAR=US&amp;VAR:SYMBOL=LO&amp;VAR:INDEX=0"}</definedName>
    <definedName name="_1279">#REF!</definedName>
    <definedName name="_1279__FDSAUDITLINK__" localSheetId="0" hidden="1">{"fdsup://directions/FAT Viewer?action=UPDATE&amp;creator=factset&amp;DYN_ARGS=TRUE&amp;DOC_NAME=FAT:FQL_AUDITING_CLIENT_TEMPLATE.FAT&amp;display_string=Audit&amp;VAR:KEY=VYNCLOBMTW&amp;VAR:QUERY=RkZfRElWX1lMRChBTk4sMTAvMDUvMDYsMTAvMDUvMDYp&amp;WINDOW=FIRST_POPUP&amp;HEIGHT=450&amp;WIDTH=450&amp;","START_MAXIMIZED=FALSE&amp;VAR:CALENDAR=US&amp;VAR:SYMBOL=LO&amp;VAR:INDEX=0"}</definedName>
    <definedName name="_1279__FDSAUDITLINK__" hidden="1">{"fdsup://directions/FAT Viewer?action=UPDATE&amp;creator=factset&amp;DYN_ARGS=TRUE&amp;DOC_NAME=FAT:FQL_AUDITING_CLIENT_TEMPLATE.FAT&amp;display_string=Audit&amp;VAR:KEY=VYNCLOBMTW&amp;VAR:QUERY=RkZfRElWX1lMRChBTk4sMTAvMDUvMDYsMTAvMDUvMDYp&amp;WINDOW=FIRST_POPUP&amp;HEIGHT=450&amp;WIDTH=450&amp;","START_MAXIMIZED=FALSE&amp;VAR:CALENDAR=US&amp;VAR:SYMBOL=LO&amp;VAR:INDEX=0"}</definedName>
    <definedName name="_128">#REF!</definedName>
    <definedName name="_128__123Graph_XQRE_S_BY_TYPE">#REF!</definedName>
    <definedName name="_128__FDSAUDITLINK__" localSheetId="0" hidden="1">{"fdsup://directions/FAT Viewer?action=UPDATE&amp;creator=factset&amp;DYN_ARGS=TRUE&amp;DOC_NAME=FAT:FQL_AUDITING_CLIENT_TEMPLATE.FAT&amp;display_string=Audit&amp;VAR:KEY=JMPQNENEPI&amp;VAR:QUERY=RkZfRElWX1lMRChBTk4sMTAvMjMvMDgsMTAvMjMvMDgp&amp;WINDOW=FIRST_POPUP&amp;HEIGHT=450&amp;WIDTH=450&amp;","START_MAXIMIZED=FALSE&amp;VAR:CALENDAR=US&amp;VAR:SYMBOL=RAI&amp;VAR:INDEX=0"}</definedName>
    <definedName name="_128__FDSAUDITLINK__" hidden="1">{"fdsup://directions/FAT Viewer?action=UPDATE&amp;creator=factset&amp;DYN_ARGS=TRUE&amp;DOC_NAME=FAT:FQL_AUDITING_CLIENT_TEMPLATE.FAT&amp;display_string=Audit&amp;VAR:KEY=JMPQNENEPI&amp;VAR:QUERY=RkZfRElWX1lMRChBTk4sMTAvMjMvMDgsMTAvMjMvMDgp&amp;WINDOW=FIRST_POPUP&amp;HEIGHT=450&amp;WIDTH=450&amp;","START_MAXIMIZED=FALSE&amp;VAR:CALENDAR=US&amp;VAR:SYMBOL=RAI&amp;VAR:INDEX=0"}</definedName>
    <definedName name="_1280">#REF!</definedName>
    <definedName name="_1280__FDSAUDITLINK__" localSheetId="0" hidden="1">{"fdsup://directions/FAT Viewer?action=UPDATE&amp;creator=factset&amp;DYN_ARGS=TRUE&amp;DOC_NAME=FAT:FQL_AUDITING_CLIENT_TEMPLATE.FAT&amp;display_string=Audit&amp;VAR:KEY=XEZUTIPOZS&amp;VAR:QUERY=RkZfRElWX1lMRChBTk4sOS8yOC8wNiw5LzI4LzA2KQ==&amp;WINDOW=FIRST_POPUP&amp;HEIGHT=450&amp;WIDTH=450&amp;","START_MAXIMIZED=FALSE&amp;VAR:CALENDAR=US&amp;VAR:SYMBOL=LO&amp;VAR:INDEX=0"}</definedName>
    <definedName name="_1280__FDSAUDITLINK__" hidden="1">{"fdsup://directions/FAT Viewer?action=UPDATE&amp;creator=factset&amp;DYN_ARGS=TRUE&amp;DOC_NAME=FAT:FQL_AUDITING_CLIENT_TEMPLATE.FAT&amp;display_string=Audit&amp;VAR:KEY=XEZUTIPOZS&amp;VAR:QUERY=RkZfRElWX1lMRChBTk4sOS8yOC8wNiw5LzI4LzA2KQ==&amp;WINDOW=FIRST_POPUP&amp;HEIGHT=450&amp;WIDTH=450&amp;","START_MAXIMIZED=FALSE&amp;VAR:CALENDAR=US&amp;VAR:SYMBOL=LO&amp;VAR:INDEX=0"}</definedName>
    <definedName name="_1281">#REF!</definedName>
    <definedName name="_1281__FDSAUDITLINK__" localSheetId="0" hidden="1">{"fdsup://directions/FAT Viewer?action=UPDATE&amp;creator=factset&amp;DYN_ARGS=TRUE&amp;DOC_NAME=FAT:FQL_AUDITING_CLIENT_TEMPLATE.FAT&amp;display_string=Audit&amp;VAR:KEY=LKBIDMPCFQ&amp;VAR:QUERY=RkZfRElWX1lMRChBTk4sOS8yMS8wNiw5LzIxLzA2KQ==&amp;WINDOW=FIRST_POPUP&amp;HEIGHT=450&amp;WIDTH=450&amp;","START_MAXIMIZED=FALSE&amp;VAR:CALENDAR=US&amp;VAR:SYMBOL=LO&amp;VAR:INDEX=0"}</definedName>
    <definedName name="_1281__FDSAUDITLINK__" hidden="1">{"fdsup://directions/FAT Viewer?action=UPDATE&amp;creator=factset&amp;DYN_ARGS=TRUE&amp;DOC_NAME=FAT:FQL_AUDITING_CLIENT_TEMPLATE.FAT&amp;display_string=Audit&amp;VAR:KEY=LKBIDMPCFQ&amp;VAR:QUERY=RkZfRElWX1lMRChBTk4sOS8yMS8wNiw5LzIxLzA2KQ==&amp;WINDOW=FIRST_POPUP&amp;HEIGHT=450&amp;WIDTH=450&amp;","START_MAXIMIZED=FALSE&amp;VAR:CALENDAR=US&amp;VAR:SYMBOL=LO&amp;VAR:INDEX=0"}</definedName>
    <definedName name="_1282">#REF!</definedName>
    <definedName name="_1282__FDSAUDITLINK__" localSheetId="0" hidden="1">{"fdsup://directions/FAT Viewer?action=UPDATE&amp;creator=factset&amp;DYN_ARGS=TRUE&amp;DOC_NAME=FAT:FQL_AUDITING_CLIENT_TEMPLATE.FAT&amp;display_string=Audit&amp;VAR:KEY=XOBYXUBQDQ&amp;VAR:QUERY=RkZfRElWX1lMRChBTk4sOS8xNC8wNiw5LzE0LzA2KQ==&amp;WINDOW=FIRST_POPUP&amp;HEIGHT=450&amp;WIDTH=450&amp;","START_MAXIMIZED=FALSE&amp;VAR:CALENDAR=US&amp;VAR:SYMBOL=LO&amp;VAR:INDEX=0"}</definedName>
    <definedName name="_1282__FDSAUDITLINK__" hidden="1">{"fdsup://directions/FAT Viewer?action=UPDATE&amp;creator=factset&amp;DYN_ARGS=TRUE&amp;DOC_NAME=FAT:FQL_AUDITING_CLIENT_TEMPLATE.FAT&amp;display_string=Audit&amp;VAR:KEY=XOBYXUBQDQ&amp;VAR:QUERY=RkZfRElWX1lMRChBTk4sOS8xNC8wNiw5LzE0LzA2KQ==&amp;WINDOW=FIRST_POPUP&amp;HEIGHT=450&amp;WIDTH=450&amp;","START_MAXIMIZED=FALSE&amp;VAR:CALENDAR=US&amp;VAR:SYMBOL=LO&amp;VAR:INDEX=0"}</definedName>
    <definedName name="_1283">#REF!</definedName>
    <definedName name="_1283__FDSAUDITLINK__" localSheetId="0" hidden="1">{"fdsup://directions/FAT Viewer?action=UPDATE&amp;creator=factset&amp;DYN_ARGS=TRUE&amp;DOC_NAME=FAT:FQL_AUDITING_CLIENT_TEMPLATE.FAT&amp;display_string=Audit&amp;VAR:KEY=DEDUXEPKTK&amp;VAR:QUERY=RkZfRElWX1lMRChBTk4sOS8wNy8wNiw5LzA3LzA2KQ==&amp;WINDOW=FIRST_POPUP&amp;HEIGHT=450&amp;WIDTH=450&amp;","START_MAXIMIZED=FALSE&amp;VAR:CALENDAR=US&amp;VAR:SYMBOL=LO&amp;VAR:INDEX=0"}</definedName>
    <definedName name="_1283__FDSAUDITLINK__" hidden="1">{"fdsup://directions/FAT Viewer?action=UPDATE&amp;creator=factset&amp;DYN_ARGS=TRUE&amp;DOC_NAME=FAT:FQL_AUDITING_CLIENT_TEMPLATE.FAT&amp;display_string=Audit&amp;VAR:KEY=DEDUXEPKTK&amp;VAR:QUERY=RkZfRElWX1lMRChBTk4sOS8wNy8wNiw5LzA3LzA2KQ==&amp;WINDOW=FIRST_POPUP&amp;HEIGHT=450&amp;WIDTH=450&amp;","START_MAXIMIZED=FALSE&amp;VAR:CALENDAR=US&amp;VAR:SYMBOL=LO&amp;VAR:INDEX=0"}</definedName>
    <definedName name="_1284">#REF!</definedName>
    <definedName name="_1284__FDSAUDITLINK__" localSheetId="0" hidden="1">{"fdsup://directions/FAT Viewer?action=UPDATE&amp;creator=factset&amp;DYN_ARGS=TRUE&amp;DOC_NAME=FAT:FQL_AUDITING_CLIENT_TEMPLATE.FAT&amp;display_string=Audit&amp;VAR:KEY=BWTANWROZC&amp;VAR:QUERY=RkZfRElWX1lMRChBTk4sOC8zMS8wNiw4LzMxLzA2KQ==&amp;WINDOW=FIRST_POPUP&amp;HEIGHT=450&amp;WIDTH=450&amp;","START_MAXIMIZED=FALSE&amp;VAR:CALENDAR=US&amp;VAR:SYMBOL=LO&amp;VAR:INDEX=0"}</definedName>
    <definedName name="_1284__FDSAUDITLINK__" hidden="1">{"fdsup://directions/FAT Viewer?action=UPDATE&amp;creator=factset&amp;DYN_ARGS=TRUE&amp;DOC_NAME=FAT:FQL_AUDITING_CLIENT_TEMPLATE.FAT&amp;display_string=Audit&amp;VAR:KEY=BWTANWROZC&amp;VAR:QUERY=RkZfRElWX1lMRChBTk4sOC8zMS8wNiw4LzMxLzA2KQ==&amp;WINDOW=FIRST_POPUP&amp;HEIGHT=450&amp;WIDTH=450&amp;","START_MAXIMIZED=FALSE&amp;VAR:CALENDAR=US&amp;VAR:SYMBOL=LO&amp;VAR:INDEX=0"}</definedName>
    <definedName name="_1285">#REF!</definedName>
    <definedName name="_1285__FDSAUDITLINK__" localSheetId="0" hidden="1">{"fdsup://directions/FAT Viewer?action=UPDATE&amp;creator=factset&amp;DYN_ARGS=TRUE&amp;DOC_NAME=FAT:FQL_AUDITING_CLIENT_TEMPLATE.FAT&amp;display_string=Audit&amp;VAR:KEY=JMTGHQDAHQ&amp;VAR:QUERY=RkZfRElWX1lMRChBTk4sOC8yNC8wNiw4LzI0LzA2KQ==&amp;WINDOW=FIRST_POPUP&amp;HEIGHT=450&amp;WIDTH=450&amp;","START_MAXIMIZED=FALSE&amp;VAR:CALENDAR=US&amp;VAR:SYMBOL=LO&amp;VAR:INDEX=0"}</definedName>
    <definedName name="_1285__FDSAUDITLINK__" hidden="1">{"fdsup://directions/FAT Viewer?action=UPDATE&amp;creator=factset&amp;DYN_ARGS=TRUE&amp;DOC_NAME=FAT:FQL_AUDITING_CLIENT_TEMPLATE.FAT&amp;display_string=Audit&amp;VAR:KEY=JMTGHQDAHQ&amp;VAR:QUERY=RkZfRElWX1lMRChBTk4sOC8yNC8wNiw4LzI0LzA2KQ==&amp;WINDOW=FIRST_POPUP&amp;HEIGHT=450&amp;WIDTH=450&amp;","START_MAXIMIZED=FALSE&amp;VAR:CALENDAR=US&amp;VAR:SYMBOL=LO&amp;VAR:INDEX=0"}</definedName>
    <definedName name="_1286__FDSAUDITLINK__" localSheetId="0" hidden="1">{"fdsup://directions/FAT Viewer?action=UPDATE&amp;creator=factset&amp;DYN_ARGS=TRUE&amp;DOC_NAME=FAT:FQL_AUDITING_CLIENT_TEMPLATE.FAT&amp;display_string=Audit&amp;VAR:KEY=FEDMDKJIHG&amp;VAR:QUERY=RkZfRElWX1lMRChBTk4sOC8xNy8wNiw4LzE3LzA2KQ==&amp;WINDOW=FIRST_POPUP&amp;HEIGHT=450&amp;WIDTH=450&amp;","START_MAXIMIZED=FALSE&amp;VAR:CALENDAR=US&amp;VAR:SYMBOL=LO&amp;VAR:INDEX=0"}</definedName>
    <definedName name="_1286__FDSAUDITLINK__" hidden="1">{"fdsup://directions/FAT Viewer?action=UPDATE&amp;creator=factset&amp;DYN_ARGS=TRUE&amp;DOC_NAME=FAT:FQL_AUDITING_CLIENT_TEMPLATE.FAT&amp;display_string=Audit&amp;VAR:KEY=FEDMDKJIHG&amp;VAR:QUERY=RkZfRElWX1lMRChBTk4sOC8xNy8wNiw4LzE3LzA2KQ==&amp;WINDOW=FIRST_POPUP&amp;HEIGHT=450&amp;WIDTH=450&amp;","START_MAXIMIZED=FALSE&amp;VAR:CALENDAR=US&amp;VAR:SYMBOL=LO&amp;VAR:INDEX=0"}</definedName>
    <definedName name="_1287__FDSAUDITLINK__" localSheetId="0" hidden="1">{"fdsup://directions/FAT Viewer?action=UPDATE&amp;creator=factset&amp;DYN_ARGS=TRUE&amp;DOC_NAME=FAT:FQL_AUDITING_CLIENT_TEMPLATE.FAT&amp;display_string=Audit&amp;VAR:KEY=HGVSXANWNM&amp;VAR:QUERY=RkZfRElWX1lMRChBTk4sOC8xMC8wNiw4LzEwLzA2KQ==&amp;WINDOW=FIRST_POPUP&amp;HEIGHT=450&amp;WIDTH=450&amp;","START_MAXIMIZED=FALSE&amp;VAR:CALENDAR=US&amp;VAR:SYMBOL=LO&amp;VAR:INDEX=0"}</definedName>
    <definedName name="_1287__FDSAUDITLINK__" hidden="1">{"fdsup://directions/FAT Viewer?action=UPDATE&amp;creator=factset&amp;DYN_ARGS=TRUE&amp;DOC_NAME=FAT:FQL_AUDITING_CLIENT_TEMPLATE.FAT&amp;display_string=Audit&amp;VAR:KEY=HGVSXANWNM&amp;VAR:QUERY=RkZfRElWX1lMRChBTk4sOC8xMC8wNiw4LzEwLzA2KQ==&amp;WINDOW=FIRST_POPUP&amp;HEIGHT=450&amp;WIDTH=450&amp;","START_MAXIMIZED=FALSE&amp;VAR:CALENDAR=US&amp;VAR:SYMBOL=LO&amp;VAR:INDEX=0"}</definedName>
    <definedName name="_1288__FDSAUDITLINK__" localSheetId="0" hidden="1">{"fdsup://directions/FAT Viewer?action=UPDATE&amp;creator=factset&amp;DYN_ARGS=TRUE&amp;DOC_NAME=FAT:FQL_AUDITING_CLIENT_TEMPLATE.FAT&amp;display_string=Audit&amp;VAR:KEY=RMLIZUTYJS&amp;VAR:QUERY=RkZfRElWX1lMRChBTk4sOC8wMy8wNiw4LzAzLzA2KQ==&amp;WINDOW=FIRST_POPUP&amp;HEIGHT=450&amp;WIDTH=450&amp;","START_MAXIMIZED=FALSE&amp;VAR:CALENDAR=US&amp;VAR:SYMBOL=LO&amp;VAR:INDEX=0"}</definedName>
    <definedName name="_1288__FDSAUDITLINK__" hidden="1">{"fdsup://directions/FAT Viewer?action=UPDATE&amp;creator=factset&amp;DYN_ARGS=TRUE&amp;DOC_NAME=FAT:FQL_AUDITING_CLIENT_TEMPLATE.FAT&amp;display_string=Audit&amp;VAR:KEY=RMLIZUTYJS&amp;VAR:QUERY=RkZfRElWX1lMRChBTk4sOC8wMy8wNiw4LzAzLzA2KQ==&amp;WINDOW=FIRST_POPUP&amp;HEIGHT=450&amp;WIDTH=450&amp;","START_MAXIMIZED=FALSE&amp;VAR:CALENDAR=US&amp;VAR:SYMBOL=LO&amp;VAR:INDEX=0"}</definedName>
    <definedName name="_1289__FDSAUDITLINK__" localSheetId="0" hidden="1">{"fdsup://directions/FAT Viewer?action=UPDATE&amp;creator=factset&amp;DYN_ARGS=TRUE&amp;DOC_NAME=FAT:FQL_AUDITING_CLIENT_TEMPLATE.FAT&amp;display_string=Audit&amp;VAR:KEY=NQVAVUVCFG&amp;VAR:QUERY=RkZfRElWX1lMRChBTk4sNy8yNy8wNiw3LzI3LzA2KQ==&amp;WINDOW=FIRST_POPUP&amp;HEIGHT=450&amp;WIDTH=450&amp;","START_MAXIMIZED=FALSE&amp;VAR:CALENDAR=US&amp;VAR:SYMBOL=LO&amp;VAR:INDEX=0"}</definedName>
    <definedName name="_1289__FDSAUDITLINK__" hidden="1">{"fdsup://directions/FAT Viewer?action=UPDATE&amp;creator=factset&amp;DYN_ARGS=TRUE&amp;DOC_NAME=FAT:FQL_AUDITING_CLIENT_TEMPLATE.FAT&amp;display_string=Audit&amp;VAR:KEY=NQVAVUVCFG&amp;VAR:QUERY=RkZfRElWX1lMRChBTk4sNy8yNy8wNiw3LzI3LzA2KQ==&amp;WINDOW=FIRST_POPUP&amp;HEIGHT=450&amp;WIDTH=450&amp;","START_MAXIMIZED=FALSE&amp;VAR:CALENDAR=US&amp;VAR:SYMBOL=LO&amp;VAR:INDEX=0"}</definedName>
    <definedName name="_129">#REF!</definedName>
    <definedName name="_129__FDSAUDITLINK__" localSheetId="0" hidden="1">{"fdsup://directions/FAT Viewer?action=UPDATE&amp;creator=factset&amp;DYN_ARGS=TRUE&amp;DOC_NAME=FAT:FQL_AUDITING_CLIENT_TEMPLATE.FAT&amp;display_string=Audit&amp;VAR:KEY=HQJCJYXGFQ&amp;VAR:QUERY=RkZfRElWX1lMRChBTk4sMTAvMTYvMDgsMTAvMTYvMDgp&amp;WINDOW=FIRST_POPUP&amp;HEIGHT=450&amp;WIDTH=450&amp;","START_MAXIMIZED=FALSE&amp;VAR:CALENDAR=US&amp;VAR:SYMBOL=RAI&amp;VAR:INDEX=0"}</definedName>
    <definedName name="_129__FDSAUDITLINK__" hidden="1">{"fdsup://directions/FAT Viewer?action=UPDATE&amp;creator=factset&amp;DYN_ARGS=TRUE&amp;DOC_NAME=FAT:FQL_AUDITING_CLIENT_TEMPLATE.FAT&amp;display_string=Audit&amp;VAR:KEY=HQJCJYXGFQ&amp;VAR:QUERY=RkZfRElWX1lMRChBTk4sMTAvMTYvMDgsMTAvMTYvMDgp&amp;WINDOW=FIRST_POPUP&amp;HEIGHT=450&amp;WIDTH=450&amp;","START_MAXIMIZED=FALSE&amp;VAR:CALENDAR=US&amp;VAR:SYMBOL=RAI&amp;VAR:INDEX=0"}</definedName>
    <definedName name="_1290">#REF!</definedName>
    <definedName name="_1290__FDSAUDITLINK__" localSheetId="0" hidden="1">{"fdsup://directions/FAT Viewer?action=UPDATE&amp;creator=factset&amp;DYN_ARGS=TRUE&amp;DOC_NAME=FAT:FQL_AUDITING_CLIENT_TEMPLATE.FAT&amp;display_string=Audit&amp;VAR:KEY=HSZYNOFITA&amp;VAR:QUERY=RkZfRElWX1lMRChBTk4sNy8yMC8wNiw3LzIwLzA2KQ==&amp;WINDOW=FIRST_POPUP&amp;HEIGHT=450&amp;WIDTH=450&amp;","START_MAXIMIZED=FALSE&amp;VAR:CALENDAR=US&amp;VAR:SYMBOL=LO&amp;VAR:INDEX=0"}</definedName>
    <definedName name="_1290__FDSAUDITLINK__" hidden="1">{"fdsup://directions/FAT Viewer?action=UPDATE&amp;creator=factset&amp;DYN_ARGS=TRUE&amp;DOC_NAME=FAT:FQL_AUDITING_CLIENT_TEMPLATE.FAT&amp;display_string=Audit&amp;VAR:KEY=HSZYNOFITA&amp;VAR:QUERY=RkZfRElWX1lMRChBTk4sNy8yMC8wNiw3LzIwLzA2KQ==&amp;WINDOW=FIRST_POPUP&amp;HEIGHT=450&amp;WIDTH=450&amp;","START_MAXIMIZED=FALSE&amp;VAR:CALENDAR=US&amp;VAR:SYMBOL=LO&amp;VAR:INDEX=0"}</definedName>
    <definedName name="_1291__FDSAUDITLINK__" localSheetId="0" hidden="1">{"fdsup://directions/FAT Viewer?action=UPDATE&amp;creator=factset&amp;DYN_ARGS=TRUE&amp;DOC_NAME=FAT:FQL_AUDITING_CLIENT_TEMPLATE.FAT&amp;display_string=Audit&amp;VAR:KEY=FMHMDSVUXC&amp;VAR:QUERY=RkZfRElWX1lMRChBTk4sNy8xMy8wNiw3LzEzLzA2KQ==&amp;WINDOW=FIRST_POPUP&amp;HEIGHT=450&amp;WIDTH=450&amp;","START_MAXIMIZED=FALSE&amp;VAR:CALENDAR=US&amp;VAR:SYMBOL=LO&amp;VAR:INDEX=0"}</definedName>
    <definedName name="_1291__FDSAUDITLINK__" hidden="1">{"fdsup://directions/FAT Viewer?action=UPDATE&amp;creator=factset&amp;DYN_ARGS=TRUE&amp;DOC_NAME=FAT:FQL_AUDITING_CLIENT_TEMPLATE.FAT&amp;display_string=Audit&amp;VAR:KEY=FMHMDSVUXC&amp;VAR:QUERY=RkZfRElWX1lMRChBTk4sNy8xMy8wNiw3LzEzLzA2KQ==&amp;WINDOW=FIRST_POPUP&amp;HEIGHT=450&amp;WIDTH=450&amp;","START_MAXIMIZED=FALSE&amp;VAR:CALENDAR=US&amp;VAR:SYMBOL=LO&amp;VAR:INDEX=0"}</definedName>
    <definedName name="_1292__FDSAUDITLINK__" localSheetId="0" hidden="1">{"fdsup://directions/FAT Viewer?action=UPDATE&amp;creator=factset&amp;DYN_ARGS=TRUE&amp;DOC_NAME=FAT:FQL_AUDITING_CLIENT_TEMPLATE.FAT&amp;display_string=Audit&amp;VAR:KEY=HCVIVSJYZO&amp;VAR:QUERY=RkZfRElWX1lMRChBTk4sNy8wNi8wNiw3LzA2LzA2KQ==&amp;WINDOW=FIRST_POPUP&amp;HEIGHT=450&amp;WIDTH=450&amp;","START_MAXIMIZED=FALSE&amp;VAR:CALENDAR=US&amp;VAR:SYMBOL=LO&amp;VAR:INDEX=0"}</definedName>
    <definedName name="_1292__FDSAUDITLINK__" hidden="1">{"fdsup://directions/FAT Viewer?action=UPDATE&amp;creator=factset&amp;DYN_ARGS=TRUE&amp;DOC_NAME=FAT:FQL_AUDITING_CLIENT_TEMPLATE.FAT&amp;display_string=Audit&amp;VAR:KEY=HCVIVSJYZO&amp;VAR:QUERY=RkZfRElWX1lMRChBTk4sNy8wNi8wNiw3LzA2LzA2KQ==&amp;WINDOW=FIRST_POPUP&amp;HEIGHT=450&amp;WIDTH=450&amp;","START_MAXIMIZED=FALSE&amp;VAR:CALENDAR=US&amp;VAR:SYMBOL=LO&amp;VAR:INDEX=0"}</definedName>
    <definedName name="_1293__FDSAUDITLINK__" localSheetId="0" hidden="1">{"fdsup://directions/FAT Viewer?action=UPDATE&amp;creator=factset&amp;DYN_ARGS=TRUE&amp;DOC_NAME=FAT:FQL_AUDITING_CLIENT_TEMPLATE.FAT&amp;display_string=Audit&amp;VAR:KEY=LOJUBCHKFO&amp;VAR:QUERY=RkZfRElWX1lMRChBTk4sNi8yOS8wNiw2LzI5LzA2KQ==&amp;WINDOW=FIRST_POPUP&amp;HEIGHT=450&amp;WIDTH=450&amp;","START_MAXIMIZED=FALSE&amp;VAR:CALENDAR=US&amp;VAR:SYMBOL=LO&amp;VAR:INDEX=0"}</definedName>
    <definedName name="_1293__FDSAUDITLINK__" hidden="1">{"fdsup://directions/FAT Viewer?action=UPDATE&amp;creator=factset&amp;DYN_ARGS=TRUE&amp;DOC_NAME=FAT:FQL_AUDITING_CLIENT_TEMPLATE.FAT&amp;display_string=Audit&amp;VAR:KEY=LOJUBCHKFO&amp;VAR:QUERY=RkZfRElWX1lMRChBTk4sNi8yOS8wNiw2LzI5LzA2KQ==&amp;WINDOW=FIRST_POPUP&amp;HEIGHT=450&amp;WIDTH=450&amp;","START_MAXIMIZED=FALSE&amp;VAR:CALENDAR=US&amp;VAR:SYMBOL=LO&amp;VAR:INDEX=0"}</definedName>
    <definedName name="_1294__FDSAUDITLINK__" localSheetId="0" hidden="1">{"fdsup://directions/FAT Viewer?action=UPDATE&amp;creator=factset&amp;DYN_ARGS=TRUE&amp;DOC_NAME=FAT:FQL_AUDITING_CLIENT_TEMPLATE.FAT&amp;display_string=Audit&amp;VAR:KEY=DEDSFIXMBO&amp;VAR:QUERY=RkZfRElWX1lMRChBTk4sNi8yMi8wNiw2LzIyLzA2KQ==&amp;WINDOW=FIRST_POPUP&amp;HEIGHT=450&amp;WIDTH=450&amp;","START_MAXIMIZED=FALSE&amp;VAR:CALENDAR=US&amp;VAR:SYMBOL=LO&amp;VAR:INDEX=0"}</definedName>
    <definedName name="_1294__FDSAUDITLINK__" hidden="1">{"fdsup://directions/FAT Viewer?action=UPDATE&amp;creator=factset&amp;DYN_ARGS=TRUE&amp;DOC_NAME=FAT:FQL_AUDITING_CLIENT_TEMPLATE.FAT&amp;display_string=Audit&amp;VAR:KEY=DEDSFIXMBO&amp;VAR:QUERY=RkZfRElWX1lMRChBTk4sNi8yMi8wNiw2LzIyLzA2KQ==&amp;WINDOW=FIRST_POPUP&amp;HEIGHT=450&amp;WIDTH=450&amp;","START_MAXIMIZED=FALSE&amp;VAR:CALENDAR=US&amp;VAR:SYMBOL=LO&amp;VAR:INDEX=0"}</definedName>
    <definedName name="_1295">#REF!</definedName>
    <definedName name="_1295__FDSAUDITLINK__" localSheetId="0" hidden="1">{"fdsup://directions/FAT Viewer?action=UPDATE&amp;creator=factset&amp;DYN_ARGS=TRUE&amp;DOC_NAME=FAT:FQL_AUDITING_CLIENT_TEMPLATE.FAT&amp;display_string=Audit&amp;VAR:KEY=RCNYBOFGPO&amp;VAR:QUERY=RkZfRElWX1lMRChBTk4sNi8xNS8wNiw2LzE1LzA2KQ==&amp;WINDOW=FIRST_POPUP&amp;HEIGHT=450&amp;WIDTH=450&amp;","START_MAXIMIZED=FALSE&amp;VAR:CALENDAR=US&amp;VAR:SYMBOL=LO&amp;VAR:INDEX=0"}</definedName>
    <definedName name="_1295__FDSAUDITLINK__" hidden="1">{"fdsup://directions/FAT Viewer?action=UPDATE&amp;creator=factset&amp;DYN_ARGS=TRUE&amp;DOC_NAME=FAT:FQL_AUDITING_CLIENT_TEMPLATE.FAT&amp;display_string=Audit&amp;VAR:KEY=RCNYBOFGPO&amp;VAR:QUERY=RkZfRElWX1lMRChBTk4sNi8xNS8wNiw2LzE1LzA2KQ==&amp;WINDOW=FIRST_POPUP&amp;HEIGHT=450&amp;WIDTH=450&amp;","START_MAXIMIZED=FALSE&amp;VAR:CALENDAR=US&amp;VAR:SYMBOL=LO&amp;VAR:INDEX=0"}</definedName>
    <definedName name="_1296__FDSAUDITLINK__" localSheetId="0" hidden="1">{"fdsup://directions/FAT Viewer?action=UPDATE&amp;creator=factset&amp;DYN_ARGS=TRUE&amp;DOC_NAME=FAT:FQL_AUDITING_CLIENT_TEMPLATE.FAT&amp;display_string=Audit&amp;VAR:KEY=RKZALCFMNI&amp;VAR:QUERY=RkZfRElWX1lMRChBTk4sNi8wOC8wNiw2LzA4LzA2KQ==&amp;WINDOW=FIRST_POPUP&amp;HEIGHT=450&amp;WIDTH=450&amp;","START_MAXIMIZED=FALSE&amp;VAR:CALENDAR=US&amp;VAR:SYMBOL=LO&amp;VAR:INDEX=0"}</definedName>
    <definedName name="_1296__FDSAUDITLINK__" hidden="1">{"fdsup://directions/FAT Viewer?action=UPDATE&amp;creator=factset&amp;DYN_ARGS=TRUE&amp;DOC_NAME=FAT:FQL_AUDITING_CLIENT_TEMPLATE.FAT&amp;display_string=Audit&amp;VAR:KEY=RKZALCFMNI&amp;VAR:QUERY=RkZfRElWX1lMRChBTk4sNi8wOC8wNiw2LzA4LzA2KQ==&amp;WINDOW=FIRST_POPUP&amp;HEIGHT=450&amp;WIDTH=450&amp;","START_MAXIMIZED=FALSE&amp;VAR:CALENDAR=US&amp;VAR:SYMBOL=LO&amp;VAR:INDEX=0"}</definedName>
    <definedName name="_1297__FDSAUDITLINK__" localSheetId="0" hidden="1">{"fdsup://directions/FAT Viewer?action=UPDATE&amp;creator=factset&amp;DYN_ARGS=TRUE&amp;DOC_NAME=FAT:FQL_AUDITING_CLIENT_TEMPLATE.FAT&amp;display_string=Audit&amp;VAR:KEY=RMBGTIDGBU&amp;VAR:QUERY=RkZfRElWX1lMRChBTk4sNi8wMS8wNiw2LzAxLzA2KQ==&amp;WINDOW=FIRST_POPUP&amp;HEIGHT=450&amp;WIDTH=450&amp;","START_MAXIMIZED=FALSE&amp;VAR:CALENDAR=US&amp;VAR:SYMBOL=LO&amp;VAR:INDEX=0"}</definedName>
    <definedName name="_1297__FDSAUDITLINK__" hidden="1">{"fdsup://directions/FAT Viewer?action=UPDATE&amp;creator=factset&amp;DYN_ARGS=TRUE&amp;DOC_NAME=FAT:FQL_AUDITING_CLIENT_TEMPLATE.FAT&amp;display_string=Audit&amp;VAR:KEY=RMBGTIDGBU&amp;VAR:QUERY=RkZfRElWX1lMRChBTk4sNi8wMS8wNiw2LzAxLzA2KQ==&amp;WINDOW=FIRST_POPUP&amp;HEIGHT=450&amp;WIDTH=450&amp;","START_MAXIMIZED=FALSE&amp;VAR:CALENDAR=US&amp;VAR:SYMBOL=LO&amp;VAR:INDEX=0"}</definedName>
    <definedName name="_1298__FDSAUDITLINK__" localSheetId="0" hidden="1">{"fdsup://directions/FAT Viewer?action=UPDATE&amp;creator=factset&amp;DYN_ARGS=TRUE&amp;DOC_NAME=FAT:FQL_AUDITING_CLIENT_TEMPLATE.FAT&amp;display_string=Audit&amp;VAR:KEY=NCRUFSRMJI&amp;VAR:QUERY=RkZfRElWX1lMRChBTk4sNS8yNS8wNiw1LzI1LzA2KQ==&amp;WINDOW=FIRST_POPUP&amp;HEIGHT=450&amp;WIDTH=450&amp;","START_MAXIMIZED=FALSE&amp;VAR:CALENDAR=US&amp;VAR:SYMBOL=LO&amp;VAR:INDEX=0"}</definedName>
    <definedName name="_1298__FDSAUDITLINK__" hidden="1">{"fdsup://directions/FAT Viewer?action=UPDATE&amp;creator=factset&amp;DYN_ARGS=TRUE&amp;DOC_NAME=FAT:FQL_AUDITING_CLIENT_TEMPLATE.FAT&amp;display_string=Audit&amp;VAR:KEY=NCRUFSRMJI&amp;VAR:QUERY=RkZfRElWX1lMRChBTk4sNS8yNS8wNiw1LzI1LzA2KQ==&amp;WINDOW=FIRST_POPUP&amp;HEIGHT=450&amp;WIDTH=450&amp;","START_MAXIMIZED=FALSE&amp;VAR:CALENDAR=US&amp;VAR:SYMBOL=LO&amp;VAR:INDEX=0"}</definedName>
    <definedName name="_1299__FDSAUDITLINK__" localSheetId="0" hidden="1">{"fdsup://directions/FAT Viewer?action=UPDATE&amp;creator=factset&amp;DYN_ARGS=TRUE&amp;DOC_NAME=FAT:FQL_AUDITING_CLIENT_TEMPLATE.FAT&amp;display_string=Audit&amp;VAR:KEY=FWBOJUHWXK&amp;VAR:QUERY=RkZfRElWX1lMRChBTk4sNS8xOC8wNiw1LzE4LzA2KQ==&amp;WINDOW=FIRST_POPUP&amp;HEIGHT=450&amp;WIDTH=450&amp;","START_MAXIMIZED=FALSE&amp;VAR:CALENDAR=US&amp;VAR:SYMBOL=LO&amp;VAR:INDEX=0"}</definedName>
    <definedName name="_1299__FDSAUDITLINK__" hidden="1">{"fdsup://directions/FAT Viewer?action=UPDATE&amp;creator=factset&amp;DYN_ARGS=TRUE&amp;DOC_NAME=FAT:FQL_AUDITING_CLIENT_TEMPLATE.FAT&amp;display_string=Audit&amp;VAR:KEY=FWBOJUHWXK&amp;VAR:QUERY=RkZfRElWX1lMRChBTk4sNS8xOC8wNiw1LzE4LzA2KQ==&amp;WINDOW=FIRST_POPUP&amp;HEIGHT=450&amp;WIDTH=450&amp;","START_MAXIMIZED=FALSE&amp;VAR:CALENDAR=US&amp;VAR:SYMBOL=LO&amp;VAR:INDEX=0"}</definedName>
    <definedName name="_12J___K" hidden="1">#REF!</definedName>
    <definedName name="_12main_form_account_grants_list_13_j_id1022">#REF!</definedName>
    <definedName name="_12s14_" hidden="1">{#N/A,#N/A,FALSE,"UNIT";#N/A,#N/A,FALSE,"UNIT";#N/A,#N/A,FALSE,"계정"}</definedName>
    <definedName name="_12s17_" hidden="1">{#N/A,#N/A,FALSE,"UNIT";#N/A,#N/A,FALSE,"UNIT";#N/A,#N/A,FALSE,"계정"}</definedName>
    <definedName name="_12s2_" hidden="1">{#N/A,#N/A,FALSE,"UNIT";#N/A,#N/A,FALSE,"UNIT";#N/A,#N/A,FALSE,"계정"}</definedName>
    <definedName name="_12Table2_" hidden="1">#REF!</definedName>
    <definedName name="_13">#REF!</definedName>
    <definedName name="_13__________B_S">#REF!</definedName>
    <definedName name="_13__123Graph_ACHART_26" hidden="1">#REF!</definedName>
    <definedName name="_13__123Graph_AChart_5J">#REF!</definedName>
    <definedName name="_13__123Graph_AQRE_S_BY_CO.">#REF!</definedName>
    <definedName name="_13__123Graph_AQRE_S_BY_TYPE" hidden="1">#REF!</definedName>
    <definedName name="_13__123Graph_ASENS_COMPARISON">#REF!</definedName>
    <definedName name="_13__123Graph_AWAGES_BY_B_U">#REF!</definedName>
    <definedName name="_13__123Graph_BCONTRACT_BY_B_U">#REF!</definedName>
    <definedName name="_13__123Graph_BQRE_S_BY_CO.">#REF!</definedName>
    <definedName name="_13__123Graph_BSUPPLIES_BY_B_U" hidden="1">#REF!</definedName>
    <definedName name="_13__123Graph_BTAX_CREDIT">#REF!</definedName>
    <definedName name="_13__123Graph_BWAGES_BY_B_U">#REF!</definedName>
    <definedName name="_13__123Graph_CCONTRACT_BY_B_U">#REF!</definedName>
    <definedName name="_13__FDSAUDITLINK__" localSheetId="0" hidden="1">{"fdsup://directions/FAT Viewer?action=UPDATE&amp;creator=factset&amp;DYN_ARGS=TRUE&amp;DOC_NAME=FAT:FQL_AUDITING_CLIENT_TEMPLATE.FAT&amp;display_string=Audit&amp;VAR:KEY=CFIHWBOHKR&amp;VAR:QUERY=Q1NGX0RJVl9ZTEQoUVRSX1IsMTIvMzEvMjAwNyk=&amp;WINDOW=FIRST_POPUP&amp;HEIGHT=450&amp;WIDTH=450&amp;STAR","T_MAXIMIZED=FALSE&amp;VAR:CALENDAR=US&amp;VAR:SYMBOL=MO&amp;VAR:INDEX=0"}</definedName>
    <definedName name="_13__FDSAUDITLINK__" hidden="1">{"fdsup://directions/FAT Viewer?action=UPDATE&amp;creator=factset&amp;DYN_ARGS=TRUE&amp;DOC_NAME=FAT:FQL_AUDITING_CLIENT_TEMPLATE.FAT&amp;display_string=Audit&amp;VAR:KEY=CFIHWBOHKR&amp;VAR:QUERY=Q1NGX0RJVl9ZTEQoUVRSX1IsMTIvMzEvMjAwNyk=&amp;WINDOW=FIRST_POPUP&amp;HEIGHT=450&amp;WIDTH=450&amp;STAR","T_MAXIMIZED=FALSE&amp;VAR:CALENDAR=US&amp;VAR:SYMBOL=MO&amp;VAR:INDEX=0"}</definedName>
    <definedName name="_13_02_1998">#REF!</definedName>
    <definedName name="_13_12_2000">#REF!</definedName>
    <definedName name="_130__FDSAUDITLINK__" localSheetId="0" hidden="1">{"fdsup://directions/FAT Viewer?action=UPDATE&amp;creator=factset&amp;DYN_ARGS=TRUE&amp;DOC_NAME=FAT:FQL_AUDITING_CLIENT_TEMPLATE.FAT&amp;display_string=Audit&amp;VAR:KEY=BGNEZEVUJC&amp;VAR:QUERY=RkZfRElWX1lMRChBTk4sMTAvMDkvMDgsMTAvMDkvMDgp&amp;WINDOW=FIRST_POPUP&amp;HEIGHT=450&amp;WIDTH=450&amp;","START_MAXIMIZED=FALSE&amp;VAR:CALENDAR=US&amp;VAR:SYMBOL=RAI&amp;VAR:INDEX=0"}</definedName>
    <definedName name="_130__FDSAUDITLINK__" hidden="1">{"fdsup://directions/FAT Viewer?action=UPDATE&amp;creator=factset&amp;DYN_ARGS=TRUE&amp;DOC_NAME=FAT:FQL_AUDITING_CLIENT_TEMPLATE.FAT&amp;display_string=Audit&amp;VAR:KEY=BGNEZEVUJC&amp;VAR:QUERY=RkZfRElWX1lMRChBTk4sMTAvMDkvMDgsMTAvMDkvMDgp&amp;WINDOW=FIRST_POPUP&amp;HEIGHT=450&amp;WIDTH=450&amp;","START_MAXIMIZED=FALSE&amp;VAR:CALENDAR=US&amp;VAR:SYMBOL=RAI&amp;VAR:INDEX=0"}</definedName>
    <definedName name="_1300__FDSAUDITLINK__" localSheetId="0" hidden="1">{"fdsup://directions/FAT Viewer?action=UPDATE&amp;creator=factset&amp;DYN_ARGS=TRUE&amp;DOC_NAME=FAT:FQL_AUDITING_CLIENT_TEMPLATE.FAT&amp;display_string=Audit&amp;VAR:KEY=JKNQRQHCJQ&amp;VAR:QUERY=RkZfRElWX1lMRChBTk4sNS8xMS8wNiw1LzExLzA2KQ==&amp;WINDOW=FIRST_POPUP&amp;HEIGHT=450&amp;WIDTH=450&amp;","START_MAXIMIZED=FALSE&amp;VAR:CALENDAR=US&amp;VAR:SYMBOL=LO&amp;VAR:INDEX=0"}</definedName>
    <definedName name="_1300__FDSAUDITLINK__" hidden="1">{"fdsup://directions/FAT Viewer?action=UPDATE&amp;creator=factset&amp;DYN_ARGS=TRUE&amp;DOC_NAME=FAT:FQL_AUDITING_CLIENT_TEMPLATE.FAT&amp;display_string=Audit&amp;VAR:KEY=JKNQRQHCJQ&amp;VAR:QUERY=RkZfRElWX1lMRChBTk4sNS8xMS8wNiw1LzExLzA2KQ==&amp;WINDOW=FIRST_POPUP&amp;HEIGHT=450&amp;WIDTH=450&amp;","START_MAXIMIZED=FALSE&amp;VAR:CALENDAR=US&amp;VAR:SYMBOL=LO&amp;VAR:INDEX=0"}</definedName>
    <definedName name="_1301__FDSAUDITLINK__" localSheetId="0" hidden="1">{"fdsup://directions/FAT Viewer?action=UPDATE&amp;creator=factset&amp;DYN_ARGS=TRUE&amp;DOC_NAME=FAT:FQL_AUDITING_CLIENT_TEMPLATE.FAT&amp;display_string=Audit&amp;VAR:KEY=VIVITQNKNW&amp;VAR:QUERY=RkZfRElWX1lMRChBTk4sNS8wNC8wNiw1LzA0LzA2KQ==&amp;WINDOW=FIRST_POPUP&amp;HEIGHT=450&amp;WIDTH=450&amp;","START_MAXIMIZED=FALSE&amp;VAR:CALENDAR=US&amp;VAR:SYMBOL=LO&amp;VAR:INDEX=0"}</definedName>
    <definedName name="_1301__FDSAUDITLINK__" hidden="1">{"fdsup://directions/FAT Viewer?action=UPDATE&amp;creator=factset&amp;DYN_ARGS=TRUE&amp;DOC_NAME=FAT:FQL_AUDITING_CLIENT_TEMPLATE.FAT&amp;display_string=Audit&amp;VAR:KEY=VIVITQNKNW&amp;VAR:QUERY=RkZfRElWX1lMRChBTk4sNS8wNC8wNiw1LzA0LzA2KQ==&amp;WINDOW=FIRST_POPUP&amp;HEIGHT=450&amp;WIDTH=450&amp;","START_MAXIMIZED=FALSE&amp;VAR:CALENDAR=US&amp;VAR:SYMBOL=LO&amp;VAR:INDEX=0"}</definedName>
    <definedName name="_1302__FDSAUDITLINK__" localSheetId="0" hidden="1">{"fdsup://directions/FAT Viewer?action=UPDATE&amp;creator=factset&amp;DYN_ARGS=TRUE&amp;DOC_NAME=FAT:FQL_AUDITING_CLIENT_TEMPLATE.FAT&amp;display_string=Audit&amp;VAR:KEY=DQHONKRILQ&amp;VAR:QUERY=RkZfRElWX1lMRChBTk4sNC8yNy8wNiw0LzI3LzA2KQ==&amp;WINDOW=FIRST_POPUP&amp;HEIGHT=450&amp;WIDTH=450&amp;","START_MAXIMIZED=FALSE&amp;VAR:CALENDAR=US&amp;VAR:SYMBOL=LO&amp;VAR:INDEX=0"}</definedName>
    <definedName name="_1302__FDSAUDITLINK__" hidden="1">{"fdsup://directions/FAT Viewer?action=UPDATE&amp;creator=factset&amp;DYN_ARGS=TRUE&amp;DOC_NAME=FAT:FQL_AUDITING_CLIENT_TEMPLATE.FAT&amp;display_string=Audit&amp;VAR:KEY=DQHONKRILQ&amp;VAR:QUERY=RkZfRElWX1lMRChBTk4sNC8yNy8wNiw0LzI3LzA2KQ==&amp;WINDOW=FIRST_POPUP&amp;HEIGHT=450&amp;WIDTH=450&amp;","START_MAXIMIZED=FALSE&amp;VAR:CALENDAR=US&amp;VAR:SYMBOL=LO&amp;VAR:INDEX=0"}</definedName>
    <definedName name="_1303">#REF!</definedName>
    <definedName name="_1303__FDSAUDITLINK__" localSheetId="0" hidden="1">{"fdsup://directions/FAT Viewer?action=UPDATE&amp;creator=factset&amp;DYN_ARGS=TRUE&amp;DOC_NAME=FAT:FQL_AUDITING_CLIENT_TEMPLATE.FAT&amp;display_string=Audit&amp;VAR:KEY=XMZAZEPYPE&amp;VAR:QUERY=RkZfRElWX1lMRChBTk4sNC8yMC8wNiw0LzIwLzA2KQ==&amp;WINDOW=FIRST_POPUP&amp;HEIGHT=450&amp;WIDTH=450&amp;","START_MAXIMIZED=FALSE&amp;VAR:CALENDAR=US&amp;VAR:SYMBOL=LO&amp;VAR:INDEX=0"}</definedName>
    <definedName name="_1303__FDSAUDITLINK__" hidden="1">{"fdsup://directions/FAT Viewer?action=UPDATE&amp;creator=factset&amp;DYN_ARGS=TRUE&amp;DOC_NAME=FAT:FQL_AUDITING_CLIENT_TEMPLATE.FAT&amp;display_string=Audit&amp;VAR:KEY=XMZAZEPYPE&amp;VAR:QUERY=RkZfRElWX1lMRChBTk4sNC8yMC8wNiw0LzIwLzA2KQ==&amp;WINDOW=FIRST_POPUP&amp;HEIGHT=450&amp;WIDTH=450&amp;","START_MAXIMIZED=FALSE&amp;VAR:CALENDAR=US&amp;VAR:SYMBOL=LO&amp;VAR:INDEX=0"}</definedName>
    <definedName name="_1304__FDSAUDITLINK__" localSheetId="0" hidden="1">{"fdsup://directions/FAT Viewer?action=UPDATE&amp;creator=factset&amp;DYN_ARGS=TRUE&amp;DOC_NAME=FAT:FQL_AUDITING_CLIENT_TEMPLATE.FAT&amp;display_string=Audit&amp;VAR:KEY=HMZALOBQFE&amp;VAR:QUERY=RkZfRElWX1lMRChBTk4sNC8xMy8wNiw0LzEzLzA2KQ==&amp;WINDOW=FIRST_POPUP&amp;HEIGHT=450&amp;WIDTH=450&amp;","START_MAXIMIZED=FALSE&amp;VAR:CALENDAR=US&amp;VAR:SYMBOL=LO&amp;VAR:INDEX=0"}</definedName>
    <definedName name="_1304__FDSAUDITLINK__" hidden="1">{"fdsup://directions/FAT Viewer?action=UPDATE&amp;creator=factset&amp;DYN_ARGS=TRUE&amp;DOC_NAME=FAT:FQL_AUDITING_CLIENT_TEMPLATE.FAT&amp;display_string=Audit&amp;VAR:KEY=HMZALOBQFE&amp;VAR:QUERY=RkZfRElWX1lMRChBTk4sNC8xMy8wNiw0LzEzLzA2KQ==&amp;WINDOW=FIRST_POPUP&amp;HEIGHT=450&amp;WIDTH=450&amp;","START_MAXIMIZED=FALSE&amp;VAR:CALENDAR=US&amp;VAR:SYMBOL=LO&amp;VAR:INDEX=0"}</definedName>
    <definedName name="_1305__FDSAUDITLINK__" localSheetId="0" hidden="1">{"fdsup://directions/FAT Viewer?action=UPDATE&amp;creator=factset&amp;DYN_ARGS=TRUE&amp;DOC_NAME=FAT:FQL_AUDITING_CLIENT_TEMPLATE.FAT&amp;display_string=Audit&amp;VAR:KEY=NINUNQLGHW&amp;VAR:QUERY=RkZfRElWX1lMRChBTk4sNC8wNi8wNiw0LzA2LzA2KQ==&amp;WINDOW=FIRST_POPUP&amp;HEIGHT=450&amp;WIDTH=450&amp;","START_MAXIMIZED=FALSE&amp;VAR:CALENDAR=US&amp;VAR:SYMBOL=LO&amp;VAR:INDEX=0"}</definedName>
    <definedName name="_1305__FDSAUDITLINK__" hidden="1">{"fdsup://directions/FAT Viewer?action=UPDATE&amp;creator=factset&amp;DYN_ARGS=TRUE&amp;DOC_NAME=FAT:FQL_AUDITING_CLIENT_TEMPLATE.FAT&amp;display_string=Audit&amp;VAR:KEY=NINUNQLGHW&amp;VAR:QUERY=RkZfRElWX1lMRChBTk4sNC8wNi8wNiw0LzA2LzA2KQ==&amp;WINDOW=FIRST_POPUP&amp;HEIGHT=450&amp;WIDTH=450&amp;","START_MAXIMIZED=FALSE&amp;VAR:CALENDAR=US&amp;VAR:SYMBOL=LO&amp;VAR:INDEX=0"}</definedName>
    <definedName name="_1306__FDSAUDITLINK__" localSheetId="0" hidden="1">{"fdsup://directions/FAT Viewer?action=UPDATE&amp;creator=factset&amp;DYN_ARGS=TRUE&amp;DOC_NAME=FAT:FQL_AUDITING_CLIENT_TEMPLATE.FAT&amp;display_string=Audit&amp;VAR:KEY=LGVQRMLORY&amp;VAR:QUERY=RkZfRElWX1lMRChBTk4sMy8zMC8wNiwzLzMwLzA2KQ==&amp;WINDOW=FIRST_POPUP&amp;HEIGHT=450&amp;WIDTH=450&amp;","START_MAXIMIZED=FALSE&amp;VAR:CALENDAR=US&amp;VAR:SYMBOL=LO&amp;VAR:INDEX=0"}</definedName>
    <definedName name="_1306__FDSAUDITLINK__" hidden="1">{"fdsup://directions/FAT Viewer?action=UPDATE&amp;creator=factset&amp;DYN_ARGS=TRUE&amp;DOC_NAME=FAT:FQL_AUDITING_CLIENT_TEMPLATE.FAT&amp;display_string=Audit&amp;VAR:KEY=LGVQRMLORY&amp;VAR:QUERY=RkZfRElWX1lMRChBTk4sMy8zMC8wNiwzLzMwLzA2KQ==&amp;WINDOW=FIRST_POPUP&amp;HEIGHT=450&amp;WIDTH=450&amp;","START_MAXIMIZED=FALSE&amp;VAR:CALENDAR=US&amp;VAR:SYMBOL=LO&amp;VAR:INDEX=0"}</definedName>
    <definedName name="_1307">#REF!</definedName>
    <definedName name="_1307__FDSAUDITLINK__" localSheetId="0" hidden="1">{"fdsup://directions/FAT Viewer?action=UPDATE&amp;creator=factset&amp;DYN_ARGS=TRUE&amp;DOC_NAME=FAT:FQL_AUDITING_CLIENT_TEMPLATE.FAT&amp;display_string=Audit&amp;VAR:KEY=TGJCLYRQXE&amp;VAR:QUERY=RkZfRElWX1lMRChBTk4sMy8yMy8wNiwzLzIzLzA2KQ==&amp;WINDOW=FIRST_POPUP&amp;HEIGHT=450&amp;WIDTH=450&amp;","START_MAXIMIZED=FALSE&amp;VAR:CALENDAR=US&amp;VAR:SYMBOL=LO&amp;VAR:INDEX=0"}</definedName>
    <definedName name="_1307__FDSAUDITLINK__" hidden="1">{"fdsup://directions/FAT Viewer?action=UPDATE&amp;creator=factset&amp;DYN_ARGS=TRUE&amp;DOC_NAME=FAT:FQL_AUDITING_CLIENT_TEMPLATE.FAT&amp;display_string=Audit&amp;VAR:KEY=TGJCLYRQXE&amp;VAR:QUERY=RkZfRElWX1lMRChBTk4sMy8yMy8wNiwzLzIzLzA2KQ==&amp;WINDOW=FIRST_POPUP&amp;HEIGHT=450&amp;WIDTH=450&amp;","START_MAXIMIZED=FALSE&amp;VAR:CALENDAR=US&amp;VAR:SYMBOL=LO&amp;VAR:INDEX=0"}</definedName>
    <definedName name="_1308">#REF!</definedName>
    <definedName name="_1308__FDSAUDITLINK__" localSheetId="0" hidden="1">{"fdsup://directions/FAT Viewer?action=UPDATE&amp;creator=factset&amp;DYN_ARGS=TRUE&amp;DOC_NAME=FAT:FQL_AUDITING_CLIENT_TEMPLATE.FAT&amp;display_string=Audit&amp;VAR:KEY=XEFAFQHKHE&amp;VAR:QUERY=RkZfRElWX1lMRChBTk4sMy8xNi8wNiwzLzE2LzA2KQ==&amp;WINDOW=FIRST_POPUP&amp;HEIGHT=450&amp;WIDTH=450&amp;","START_MAXIMIZED=FALSE&amp;VAR:CALENDAR=US&amp;VAR:SYMBOL=LO&amp;VAR:INDEX=0"}</definedName>
    <definedName name="_1308__FDSAUDITLINK__" hidden="1">{"fdsup://directions/FAT Viewer?action=UPDATE&amp;creator=factset&amp;DYN_ARGS=TRUE&amp;DOC_NAME=FAT:FQL_AUDITING_CLIENT_TEMPLATE.FAT&amp;display_string=Audit&amp;VAR:KEY=XEFAFQHKHE&amp;VAR:QUERY=RkZfRElWX1lMRChBTk4sMy8xNi8wNiwzLzE2LzA2KQ==&amp;WINDOW=FIRST_POPUP&amp;HEIGHT=450&amp;WIDTH=450&amp;","START_MAXIMIZED=FALSE&amp;VAR:CALENDAR=US&amp;VAR:SYMBOL=LO&amp;VAR:INDEX=0"}</definedName>
    <definedName name="_1309">#REF!</definedName>
    <definedName name="_1309__FDSAUDITLINK__" localSheetId="0" hidden="1">{"fdsup://directions/FAT Viewer?action=UPDATE&amp;creator=factset&amp;DYN_ARGS=TRUE&amp;DOC_NAME=FAT:FQL_AUDITING_CLIENT_TEMPLATE.FAT&amp;display_string=Audit&amp;VAR:KEY=BCHIPWZANQ&amp;VAR:QUERY=RkZfRElWX1lMRChBTk4sMy8wOS8wNiwzLzA5LzA2KQ==&amp;WINDOW=FIRST_POPUP&amp;HEIGHT=450&amp;WIDTH=450&amp;","START_MAXIMIZED=FALSE&amp;VAR:CALENDAR=US&amp;VAR:SYMBOL=LO&amp;VAR:INDEX=0"}</definedName>
    <definedName name="_1309__FDSAUDITLINK__" hidden="1">{"fdsup://directions/FAT Viewer?action=UPDATE&amp;creator=factset&amp;DYN_ARGS=TRUE&amp;DOC_NAME=FAT:FQL_AUDITING_CLIENT_TEMPLATE.FAT&amp;display_string=Audit&amp;VAR:KEY=BCHIPWZANQ&amp;VAR:QUERY=RkZfRElWX1lMRChBTk4sMy8wOS8wNiwzLzA5LzA2KQ==&amp;WINDOW=FIRST_POPUP&amp;HEIGHT=450&amp;WIDTH=450&amp;","START_MAXIMIZED=FALSE&amp;VAR:CALENDAR=US&amp;VAR:SYMBOL=LO&amp;VAR:INDEX=0"}</definedName>
    <definedName name="_131">#REF!</definedName>
    <definedName name="_131__123Graph_FCONTRACT_BY_B_U">#REF!</definedName>
    <definedName name="_131__FDSAUDITLINK__" localSheetId="0" hidden="1">{"fdsup://directions/FAT Viewer?action=UPDATE&amp;creator=factset&amp;DYN_ARGS=TRUE&amp;DOC_NAME=FAT:FQL_AUDITING_CLIENT_TEMPLATE.FAT&amp;display_string=Audit&amp;VAR:KEY=PQZADAXODG&amp;VAR:QUERY=RkZfRElWX1lMRChBTk4sMTAvMDIvMDgsMTAvMDIvMDgp&amp;WINDOW=FIRST_POPUP&amp;HEIGHT=450&amp;WIDTH=450&amp;","START_MAXIMIZED=FALSE&amp;VAR:CALENDAR=US&amp;VAR:SYMBOL=RAI&amp;VAR:INDEX=0"}</definedName>
    <definedName name="_131__FDSAUDITLINK__" hidden="1">{"fdsup://directions/FAT Viewer?action=UPDATE&amp;creator=factset&amp;DYN_ARGS=TRUE&amp;DOC_NAME=FAT:FQL_AUDITING_CLIENT_TEMPLATE.FAT&amp;display_string=Audit&amp;VAR:KEY=PQZADAXODG&amp;VAR:QUERY=RkZfRElWX1lMRChBTk4sMTAvMDIvMDgsMTAvMDIvMDgp&amp;WINDOW=FIRST_POPUP&amp;HEIGHT=450&amp;WIDTH=450&amp;","START_MAXIMIZED=FALSE&amp;VAR:CALENDAR=US&amp;VAR:SYMBOL=RAI&amp;VAR:INDEX=0"}</definedName>
    <definedName name="_1310">#REF!</definedName>
    <definedName name="_1310__FDSAUDITLINK__" localSheetId="0" hidden="1">{"fdsup://directions/FAT Viewer?action=UPDATE&amp;creator=factset&amp;DYN_ARGS=TRUE&amp;DOC_NAME=FAT:FQL_AUDITING_CLIENT_TEMPLATE.FAT&amp;display_string=Audit&amp;VAR:KEY=ZCRMNCBMBW&amp;VAR:QUERY=RkZfRElWX1lMRChBTk4sMy8wMi8wNiwzLzAyLzA2KQ==&amp;WINDOW=FIRST_POPUP&amp;HEIGHT=450&amp;WIDTH=450&amp;","START_MAXIMIZED=FALSE&amp;VAR:CALENDAR=US&amp;VAR:SYMBOL=LO&amp;VAR:INDEX=0"}</definedName>
    <definedName name="_1310__FDSAUDITLINK__" hidden="1">{"fdsup://directions/FAT Viewer?action=UPDATE&amp;creator=factset&amp;DYN_ARGS=TRUE&amp;DOC_NAME=FAT:FQL_AUDITING_CLIENT_TEMPLATE.FAT&amp;display_string=Audit&amp;VAR:KEY=ZCRMNCBMBW&amp;VAR:QUERY=RkZfRElWX1lMRChBTk4sMy8wMi8wNiwzLzAyLzA2KQ==&amp;WINDOW=FIRST_POPUP&amp;HEIGHT=450&amp;WIDTH=450&amp;","START_MAXIMIZED=FALSE&amp;VAR:CALENDAR=US&amp;VAR:SYMBOL=LO&amp;VAR:INDEX=0"}</definedName>
    <definedName name="_1311">#REF!</definedName>
    <definedName name="_1311__FDSAUDITLINK__" localSheetId="0" hidden="1">{"fdsup://directions/FAT Viewer?action=UPDATE&amp;creator=factset&amp;DYN_ARGS=TRUE&amp;DOC_NAME=FAT:FQL_AUDITING_CLIENT_TEMPLATE.FAT&amp;display_string=Audit&amp;VAR:KEY=JWNWVOZYBC&amp;VAR:QUERY=RkZfRElWX1lMRChBTk4sMi8yMy8wNiwyLzIzLzA2KQ==&amp;WINDOW=FIRST_POPUP&amp;HEIGHT=450&amp;WIDTH=450&amp;","START_MAXIMIZED=FALSE&amp;VAR:CALENDAR=US&amp;VAR:SYMBOL=LO&amp;VAR:INDEX=0"}</definedName>
    <definedName name="_1311__FDSAUDITLINK__" hidden="1">{"fdsup://directions/FAT Viewer?action=UPDATE&amp;creator=factset&amp;DYN_ARGS=TRUE&amp;DOC_NAME=FAT:FQL_AUDITING_CLIENT_TEMPLATE.FAT&amp;display_string=Audit&amp;VAR:KEY=JWNWVOZYBC&amp;VAR:QUERY=RkZfRElWX1lMRChBTk4sMi8yMy8wNiwyLzIzLzA2KQ==&amp;WINDOW=FIRST_POPUP&amp;HEIGHT=450&amp;WIDTH=450&amp;","START_MAXIMIZED=FALSE&amp;VAR:CALENDAR=US&amp;VAR:SYMBOL=LO&amp;VAR:INDEX=0"}</definedName>
    <definedName name="_1312">#REF!</definedName>
    <definedName name="_1312__FDSAUDITLINK__" localSheetId="0" hidden="1">{"fdsup://directions/FAT Viewer?action=UPDATE&amp;creator=factset&amp;DYN_ARGS=TRUE&amp;DOC_NAME=FAT:FQL_AUDITING_CLIENT_TEMPLATE.FAT&amp;display_string=Audit&amp;VAR:KEY=JGNENIBEBQ&amp;VAR:QUERY=RkZfRElWX1lMRChBTk4sMi8xNi8wNiwyLzE2LzA2KQ==&amp;WINDOW=FIRST_POPUP&amp;HEIGHT=450&amp;WIDTH=450&amp;","START_MAXIMIZED=FALSE&amp;VAR:CALENDAR=US&amp;VAR:SYMBOL=LO&amp;VAR:INDEX=0"}</definedName>
    <definedName name="_1312__FDSAUDITLINK__" hidden="1">{"fdsup://directions/FAT Viewer?action=UPDATE&amp;creator=factset&amp;DYN_ARGS=TRUE&amp;DOC_NAME=FAT:FQL_AUDITING_CLIENT_TEMPLATE.FAT&amp;display_string=Audit&amp;VAR:KEY=JGNENIBEBQ&amp;VAR:QUERY=RkZfRElWX1lMRChBTk4sMi8xNi8wNiwyLzE2LzA2KQ==&amp;WINDOW=FIRST_POPUP&amp;HEIGHT=450&amp;WIDTH=450&amp;","START_MAXIMIZED=FALSE&amp;VAR:CALENDAR=US&amp;VAR:SYMBOL=LO&amp;VAR:INDEX=0"}</definedName>
    <definedName name="_1313">#REF!</definedName>
    <definedName name="_1313__FDSAUDITLINK__" localSheetId="0" hidden="1">{"fdsup://directions/FAT Viewer?action=UPDATE&amp;creator=factset&amp;DYN_ARGS=TRUE&amp;DOC_NAME=FAT:FQL_AUDITING_CLIENT_TEMPLATE.FAT&amp;display_string=Audit&amp;VAR:KEY=ZAHMXUXMNI&amp;VAR:QUERY=RkZfRElWX1lMRChBTk4sMi8wOS8wNiwyLzA5LzA2KQ==&amp;WINDOW=FIRST_POPUP&amp;HEIGHT=450&amp;WIDTH=450&amp;","START_MAXIMIZED=FALSE&amp;VAR:CALENDAR=US&amp;VAR:SYMBOL=LO&amp;VAR:INDEX=0"}</definedName>
    <definedName name="_1313__FDSAUDITLINK__" hidden="1">{"fdsup://directions/FAT Viewer?action=UPDATE&amp;creator=factset&amp;DYN_ARGS=TRUE&amp;DOC_NAME=FAT:FQL_AUDITING_CLIENT_TEMPLATE.FAT&amp;display_string=Audit&amp;VAR:KEY=ZAHMXUXMNI&amp;VAR:QUERY=RkZfRElWX1lMRChBTk4sMi8wOS8wNiwyLzA5LzA2KQ==&amp;WINDOW=FIRST_POPUP&amp;HEIGHT=450&amp;WIDTH=450&amp;","START_MAXIMIZED=FALSE&amp;VAR:CALENDAR=US&amp;VAR:SYMBOL=LO&amp;VAR:INDEX=0"}</definedName>
    <definedName name="_1314">#REF!</definedName>
    <definedName name="_1314__FDSAUDITLINK__" localSheetId="0" hidden="1">{"fdsup://directions/FAT Viewer?action=UPDATE&amp;creator=factset&amp;DYN_ARGS=TRUE&amp;DOC_NAME=FAT:FQL_AUDITING_CLIENT_TEMPLATE.FAT&amp;display_string=Audit&amp;VAR:KEY=HAXGVYBCVQ&amp;VAR:QUERY=RkZfRElWX1lMRChBTk4sMi8wMi8wNiwyLzAyLzA2KQ==&amp;WINDOW=FIRST_POPUP&amp;HEIGHT=450&amp;WIDTH=450&amp;","START_MAXIMIZED=FALSE&amp;VAR:CALENDAR=US&amp;VAR:SYMBOL=LO&amp;VAR:INDEX=0"}</definedName>
    <definedName name="_1314__FDSAUDITLINK__" hidden="1">{"fdsup://directions/FAT Viewer?action=UPDATE&amp;creator=factset&amp;DYN_ARGS=TRUE&amp;DOC_NAME=FAT:FQL_AUDITING_CLIENT_TEMPLATE.FAT&amp;display_string=Audit&amp;VAR:KEY=HAXGVYBCVQ&amp;VAR:QUERY=RkZfRElWX1lMRChBTk4sMi8wMi8wNiwyLzAyLzA2KQ==&amp;WINDOW=FIRST_POPUP&amp;HEIGHT=450&amp;WIDTH=450&amp;","START_MAXIMIZED=FALSE&amp;VAR:CALENDAR=US&amp;VAR:SYMBOL=LO&amp;VAR:INDEX=0"}</definedName>
    <definedName name="_1315">#REF!</definedName>
    <definedName name="_1315__FDSAUDITLINK__" localSheetId="0" hidden="1">{"fdsup://directions/FAT Viewer?action=UPDATE&amp;creator=factset&amp;DYN_ARGS=TRUE&amp;DOC_NAME=FAT:FQL_AUDITING_CLIENT_TEMPLATE.FAT&amp;display_string=Audit&amp;VAR:KEY=BYVMFENORQ&amp;VAR:QUERY=RkZfRElWX1lMRChBTk4sMS8yNi8wNiwxLzI2LzA2KQ==&amp;WINDOW=FIRST_POPUP&amp;HEIGHT=450&amp;WIDTH=450&amp;","START_MAXIMIZED=FALSE&amp;VAR:CALENDAR=US&amp;VAR:SYMBOL=LO&amp;VAR:INDEX=0"}</definedName>
    <definedName name="_1315__FDSAUDITLINK__" hidden="1">{"fdsup://directions/FAT Viewer?action=UPDATE&amp;creator=factset&amp;DYN_ARGS=TRUE&amp;DOC_NAME=FAT:FQL_AUDITING_CLIENT_TEMPLATE.FAT&amp;display_string=Audit&amp;VAR:KEY=BYVMFENORQ&amp;VAR:QUERY=RkZfRElWX1lMRChBTk4sMS8yNi8wNiwxLzI2LzA2KQ==&amp;WINDOW=FIRST_POPUP&amp;HEIGHT=450&amp;WIDTH=450&amp;","START_MAXIMIZED=FALSE&amp;VAR:CALENDAR=US&amp;VAR:SYMBOL=LO&amp;VAR:INDEX=0"}</definedName>
    <definedName name="_1316">#REF!</definedName>
    <definedName name="_1316__FDSAUDITLINK__" localSheetId="0" hidden="1">{"fdsup://directions/FAT Viewer?action=UPDATE&amp;creator=factset&amp;DYN_ARGS=TRUE&amp;DOC_NAME=FAT:FQL_AUDITING_CLIENT_TEMPLATE.FAT&amp;display_string=Audit&amp;VAR:KEY=LQNIVMFENU&amp;VAR:QUERY=RkZfRElWX1lMRChBTk4sMS8xOS8wNiwxLzE5LzA2KQ==&amp;WINDOW=FIRST_POPUP&amp;HEIGHT=450&amp;WIDTH=450&amp;","START_MAXIMIZED=FALSE&amp;VAR:CALENDAR=US&amp;VAR:SYMBOL=LO&amp;VAR:INDEX=0"}</definedName>
    <definedName name="_1316__FDSAUDITLINK__" hidden="1">{"fdsup://directions/FAT Viewer?action=UPDATE&amp;creator=factset&amp;DYN_ARGS=TRUE&amp;DOC_NAME=FAT:FQL_AUDITING_CLIENT_TEMPLATE.FAT&amp;display_string=Audit&amp;VAR:KEY=LQNIVMFENU&amp;VAR:QUERY=RkZfRElWX1lMRChBTk4sMS8xOS8wNiwxLzE5LzA2KQ==&amp;WINDOW=FIRST_POPUP&amp;HEIGHT=450&amp;WIDTH=450&amp;","START_MAXIMIZED=FALSE&amp;VAR:CALENDAR=US&amp;VAR:SYMBOL=LO&amp;VAR:INDEX=0"}</definedName>
    <definedName name="_1317">#REF!</definedName>
    <definedName name="_1317__FDSAUDITLINK__" localSheetId="0" hidden="1">{"fdsup://directions/FAT Viewer?action=UPDATE&amp;creator=factset&amp;DYN_ARGS=TRUE&amp;DOC_NAME=FAT:FQL_AUDITING_CLIENT_TEMPLATE.FAT&amp;display_string=Audit&amp;VAR:KEY=XCLKDOLCBA&amp;VAR:QUERY=RkZfRElWX1lMRChBTk4sMS8xMi8wNiwxLzEyLzA2KQ==&amp;WINDOW=FIRST_POPUP&amp;HEIGHT=450&amp;WIDTH=450&amp;","START_MAXIMIZED=FALSE&amp;VAR:CALENDAR=US&amp;VAR:SYMBOL=LO&amp;VAR:INDEX=0"}</definedName>
    <definedName name="_1317__FDSAUDITLINK__" hidden="1">{"fdsup://directions/FAT Viewer?action=UPDATE&amp;creator=factset&amp;DYN_ARGS=TRUE&amp;DOC_NAME=FAT:FQL_AUDITING_CLIENT_TEMPLATE.FAT&amp;display_string=Audit&amp;VAR:KEY=XCLKDOLCBA&amp;VAR:QUERY=RkZfRElWX1lMRChBTk4sMS8xMi8wNiwxLzEyLzA2KQ==&amp;WINDOW=FIRST_POPUP&amp;HEIGHT=450&amp;WIDTH=450&amp;","START_MAXIMIZED=FALSE&amp;VAR:CALENDAR=US&amp;VAR:SYMBOL=LO&amp;VAR:INDEX=0"}</definedName>
    <definedName name="_1318">#REF!</definedName>
    <definedName name="_1318__FDSAUDITLINK__" localSheetId="0" hidden="1">{"fdsup://directions/FAT Viewer?action=UPDATE&amp;creator=factset&amp;DYN_ARGS=TRUE&amp;DOC_NAME=FAT:FQL_AUDITING_CLIENT_TEMPLATE.FAT&amp;display_string=Audit&amp;VAR:KEY=DIXAPGJGXS&amp;VAR:QUERY=RkZfRElWX1lMRChBTk4sMS8wNS8wNiwxLzA1LzA2KQ==&amp;WINDOW=FIRST_POPUP&amp;HEIGHT=450&amp;WIDTH=450&amp;","START_MAXIMIZED=FALSE&amp;VAR:CALENDAR=US&amp;VAR:SYMBOL=LO&amp;VAR:INDEX=0"}</definedName>
    <definedName name="_1318__FDSAUDITLINK__" hidden="1">{"fdsup://directions/FAT Viewer?action=UPDATE&amp;creator=factset&amp;DYN_ARGS=TRUE&amp;DOC_NAME=FAT:FQL_AUDITING_CLIENT_TEMPLATE.FAT&amp;display_string=Audit&amp;VAR:KEY=DIXAPGJGXS&amp;VAR:QUERY=RkZfRElWX1lMRChBTk4sMS8wNS8wNiwxLzA1LzA2KQ==&amp;WINDOW=FIRST_POPUP&amp;HEIGHT=450&amp;WIDTH=450&amp;","START_MAXIMIZED=FALSE&amp;VAR:CALENDAR=US&amp;VAR:SYMBOL=LO&amp;VAR:INDEX=0"}</definedName>
    <definedName name="_1319">#REF!</definedName>
    <definedName name="_1319__FDSAUDITLINK__" localSheetId="0" hidden="1">{"fdsup://directions/FAT Viewer?action=UPDATE&amp;creator=factset&amp;DYN_ARGS=TRUE&amp;DOC_NAME=FAT:FQL_AUDITING_CLIENT_TEMPLATE.FAT&amp;display_string=Audit&amp;VAR:KEY=FKTKXSHSJI&amp;VAR:QUERY=RkZfRElWX1lMRChBTk4sMTIvMjkvMDUsMTIvMjkvMDUp&amp;WINDOW=FIRST_POPUP&amp;HEIGHT=450&amp;WIDTH=450&amp;","START_MAXIMIZED=FALSE&amp;VAR:CALENDAR=US&amp;VAR:SYMBOL=LO&amp;VAR:INDEX=0"}</definedName>
    <definedName name="_1319__FDSAUDITLINK__" hidden="1">{"fdsup://directions/FAT Viewer?action=UPDATE&amp;creator=factset&amp;DYN_ARGS=TRUE&amp;DOC_NAME=FAT:FQL_AUDITING_CLIENT_TEMPLATE.FAT&amp;display_string=Audit&amp;VAR:KEY=FKTKXSHSJI&amp;VAR:QUERY=RkZfRElWX1lMRChBTk4sMTIvMjkvMDUsMTIvMjkvMDUp&amp;WINDOW=FIRST_POPUP&amp;HEIGHT=450&amp;WIDTH=450&amp;","START_MAXIMIZED=FALSE&amp;VAR:CALENDAR=US&amp;VAR:SYMBOL=LO&amp;VAR:INDEX=0"}</definedName>
    <definedName name="_131S">#REF!</definedName>
    <definedName name="_132">#REF!</definedName>
    <definedName name="_132__123Graph_ECONTRACT_BY_B_U">#REF!</definedName>
    <definedName name="_132__123Graph_XSUPPLIES_BY_B_U">#REF!</definedName>
    <definedName name="_132__FDSAUDITLINK__" localSheetId="0" hidden="1">{"fdsup://directions/FAT Viewer?action=UPDATE&amp;creator=factset&amp;DYN_ARGS=TRUE&amp;DOC_NAME=FAT:FQL_AUDITING_CLIENT_TEMPLATE.FAT&amp;display_string=Audit&amp;VAR:KEY=JEDAZETWPA&amp;VAR:QUERY=RkZfRElWX1lMRChBTk4sOS8yNS8wOCw5LzI1LzA4KQ==&amp;WINDOW=FIRST_POPUP&amp;HEIGHT=450&amp;WIDTH=450&amp;","START_MAXIMIZED=FALSE&amp;VAR:CALENDAR=US&amp;VAR:SYMBOL=RAI&amp;VAR:INDEX=0"}</definedName>
    <definedName name="_132__FDSAUDITLINK__" hidden="1">{"fdsup://directions/FAT Viewer?action=UPDATE&amp;creator=factset&amp;DYN_ARGS=TRUE&amp;DOC_NAME=FAT:FQL_AUDITING_CLIENT_TEMPLATE.FAT&amp;display_string=Audit&amp;VAR:KEY=JEDAZETWPA&amp;VAR:QUERY=RkZfRElWX1lMRChBTk4sOS8yNS8wOCw5LzI1LzA4KQ==&amp;WINDOW=FIRST_POPUP&amp;HEIGHT=450&amp;WIDTH=450&amp;","START_MAXIMIZED=FALSE&amp;VAR:CALENDAR=US&amp;VAR:SYMBOL=RAI&amp;VAR:INDEX=0"}</definedName>
    <definedName name="_1320">#REF!</definedName>
    <definedName name="_1320__FDSAUDITLINK__" localSheetId="0" hidden="1">{"fdsup://directions/FAT Viewer?action=UPDATE&amp;creator=factset&amp;DYN_ARGS=TRUE&amp;DOC_NAME=FAT:FQL_AUDITING_CLIENT_TEMPLATE.FAT&amp;display_string=Audit&amp;VAR:KEY=ZMHEXGJYTK&amp;VAR:QUERY=RkZfRElWX1lMRChBTk4sMTIvMjIvMDUsMTIvMjIvMDUp&amp;WINDOW=FIRST_POPUP&amp;HEIGHT=450&amp;WIDTH=450&amp;","START_MAXIMIZED=FALSE&amp;VAR:CALENDAR=US&amp;VAR:SYMBOL=LO&amp;VAR:INDEX=0"}</definedName>
    <definedName name="_1320__FDSAUDITLINK__" hidden="1">{"fdsup://directions/FAT Viewer?action=UPDATE&amp;creator=factset&amp;DYN_ARGS=TRUE&amp;DOC_NAME=FAT:FQL_AUDITING_CLIENT_TEMPLATE.FAT&amp;display_string=Audit&amp;VAR:KEY=ZMHEXGJYTK&amp;VAR:QUERY=RkZfRElWX1lMRChBTk4sMTIvMjIvMDUsMTIvMjIvMDUp&amp;WINDOW=FIRST_POPUP&amp;HEIGHT=450&amp;WIDTH=450&amp;","START_MAXIMIZED=FALSE&amp;VAR:CALENDAR=US&amp;VAR:SYMBOL=LO&amp;VAR:INDEX=0"}</definedName>
    <definedName name="_1321">#REF!</definedName>
    <definedName name="_1321__FDSAUDITLINK__" localSheetId="0" hidden="1">{"fdsup://directions/FAT Viewer?action=UPDATE&amp;creator=factset&amp;DYN_ARGS=TRUE&amp;DOC_NAME=FAT:FQL_AUDITING_CLIENT_TEMPLATE.FAT&amp;display_string=Audit&amp;VAR:KEY=NWRAJGBINU&amp;VAR:QUERY=RkZfRElWX1lMRChBTk4sMTIvMTUvMDUsMTIvMTUvMDUp&amp;WINDOW=FIRST_POPUP&amp;HEIGHT=450&amp;WIDTH=450&amp;","START_MAXIMIZED=FALSE&amp;VAR:CALENDAR=US&amp;VAR:SYMBOL=LO&amp;VAR:INDEX=0"}</definedName>
    <definedName name="_1321__FDSAUDITLINK__" hidden="1">{"fdsup://directions/FAT Viewer?action=UPDATE&amp;creator=factset&amp;DYN_ARGS=TRUE&amp;DOC_NAME=FAT:FQL_AUDITING_CLIENT_TEMPLATE.FAT&amp;display_string=Audit&amp;VAR:KEY=NWRAJGBINU&amp;VAR:QUERY=RkZfRElWX1lMRChBTk4sMTIvMTUvMDUsMTIvMTUvMDUp&amp;WINDOW=FIRST_POPUP&amp;HEIGHT=450&amp;WIDTH=450&amp;","START_MAXIMIZED=FALSE&amp;VAR:CALENDAR=US&amp;VAR:SYMBOL=LO&amp;VAR:INDEX=0"}</definedName>
    <definedName name="_1322">#REF!</definedName>
    <definedName name="_1322__FDSAUDITLINK__" localSheetId="0" hidden="1">{"fdsup://directions/FAT Viewer?action=UPDATE&amp;creator=factset&amp;DYN_ARGS=TRUE&amp;DOC_NAME=FAT:FQL_AUDITING_CLIENT_TEMPLATE.FAT&amp;display_string=Audit&amp;VAR:KEY=RQXGNIFARI&amp;VAR:QUERY=RkZfRElWX1lMRChBTk4sMTIvMDgvMDUsMTIvMDgvMDUp&amp;WINDOW=FIRST_POPUP&amp;HEIGHT=450&amp;WIDTH=450&amp;","START_MAXIMIZED=FALSE&amp;VAR:CALENDAR=US&amp;VAR:SYMBOL=LO&amp;VAR:INDEX=0"}</definedName>
    <definedName name="_1322__FDSAUDITLINK__" hidden="1">{"fdsup://directions/FAT Viewer?action=UPDATE&amp;creator=factset&amp;DYN_ARGS=TRUE&amp;DOC_NAME=FAT:FQL_AUDITING_CLIENT_TEMPLATE.FAT&amp;display_string=Audit&amp;VAR:KEY=RQXGNIFARI&amp;VAR:QUERY=RkZfRElWX1lMRChBTk4sMTIvMDgvMDUsMTIvMDgvMDUp&amp;WINDOW=FIRST_POPUP&amp;HEIGHT=450&amp;WIDTH=450&amp;","START_MAXIMIZED=FALSE&amp;VAR:CALENDAR=US&amp;VAR:SYMBOL=LO&amp;VAR:INDEX=0"}</definedName>
    <definedName name="_1323">#REF!</definedName>
    <definedName name="_1323__FDSAUDITLINK__" localSheetId="0" hidden="1">{"fdsup://directions/FAT Viewer?action=UPDATE&amp;creator=factset&amp;DYN_ARGS=TRUE&amp;DOC_NAME=FAT:FQL_AUDITING_CLIENT_TEMPLATE.FAT&amp;display_string=Audit&amp;VAR:KEY=HATMXWDOFI&amp;VAR:QUERY=RkZfRElWX1lMRChBTk4sMTIvMDEvMDUsMTIvMDEvMDUp&amp;WINDOW=FIRST_POPUP&amp;HEIGHT=450&amp;WIDTH=450&amp;","START_MAXIMIZED=FALSE&amp;VAR:CALENDAR=US&amp;VAR:SYMBOL=LO&amp;VAR:INDEX=0"}</definedName>
    <definedName name="_1323__FDSAUDITLINK__" hidden="1">{"fdsup://directions/FAT Viewer?action=UPDATE&amp;creator=factset&amp;DYN_ARGS=TRUE&amp;DOC_NAME=FAT:FQL_AUDITING_CLIENT_TEMPLATE.FAT&amp;display_string=Audit&amp;VAR:KEY=HATMXWDOFI&amp;VAR:QUERY=RkZfRElWX1lMRChBTk4sMTIvMDEvMDUsMTIvMDEvMDUp&amp;WINDOW=FIRST_POPUP&amp;HEIGHT=450&amp;WIDTH=450&amp;","START_MAXIMIZED=FALSE&amp;VAR:CALENDAR=US&amp;VAR:SYMBOL=LO&amp;VAR:INDEX=0"}</definedName>
    <definedName name="_1324">#REF!</definedName>
    <definedName name="_1324__FDSAUDITLINK__" localSheetId="0" hidden="1">{"fdsup://directions/FAT Viewer?action=UPDATE&amp;creator=factset&amp;DYN_ARGS=TRUE&amp;DOC_NAME=FAT:FQL_AUDITING_CLIENT_TEMPLATE.FAT&amp;display_string=Audit&amp;VAR:KEY=VKREVQPETK&amp;VAR:QUERY=RkZfRElWX1lMRChBTk4sMTEvMjMvMDUsMTEvMjMvMDUp&amp;WINDOW=FIRST_POPUP&amp;HEIGHT=450&amp;WIDTH=450&amp;","START_MAXIMIZED=FALSE&amp;VAR:CALENDAR=US&amp;VAR:SYMBOL=LO&amp;VAR:INDEX=0"}</definedName>
    <definedName name="_1324__FDSAUDITLINK__" hidden="1">{"fdsup://directions/FAT Viewer?action=UPDATE&amp;creator=factset&amp;DYN_ARGS=TRUE&amp;DOC_NAME=FAT:FQL_AUDITING_CLIENT_TEMPLATE.FAT&amp;display_string=Audit&amp;VAR:KEY=VKREVQPETK&amp;VAR:QUERY=RkZfRElWX1lMRChBTk4sMTEvMjMvMDUsMTEvMjMvMDUp&amp;WINDOW=FIRST_POPUP&amp;HEIGHT=450&amp;WIDTH=450&amp;","START_MAXIMIZED=FALSE&amp;VAR:CALENDAR=US&amp;VAR:SYMBOL=LO&amp;VAR:INDEX=0"}</definedName>
    <definedName name="_1325">#REF!</definedName>
    <definedName name="_1325__FDSAUDITLINK__" localSheetId="0" hidden="1">{"fdsup://directions/FAT Viewer?action=UPDATE&amp;creator=factset&amp;DYN_ARGS=TRUE&amp;DOC_NAME=FAT:FQL_AUDITING_CLIENT_TEMPLATE.FAT&amp;display_string=Audit&amp;VAR:KEY=BMFANGZIDW&amp;VAR:QUERY=RkZfRElWX1lMRChBTk4sMTEvMTcvMDUsMTEvMTcvMDUp&amp;WINDOW=FIRST_POPUP&amp;HEIGHT=450&amp;WIDTH=450&amp;","START_MAXIMIZED=FALSE&amp;VAR:CALENDAR=US&amp;VAR:SYMBOL=LO&amp;VAR:INDEX=0"}</definedName>
    <definedName name="_1325__FDSAUDITLINK__" hidden="1">{"fdsup://directions/FAT Viewer?action=UPDATE&amp;creator=factset&amp;DYN_ARGS=TRUE&amp;DOC_NAME=FAT:FQL_AUDITING_CLIENT_TEMPLATE.FAT&amp;display_string=Audit&amp;VAR:KEY=BMFANGZIDW&amp;VAR:QUERY=RkZfRElWX1lMRChBTk4sMTEvMTcvMDUsMTEvMTcvMDUp&amp;WINDOW=FIRST_POPUP&amp;HEIGHT=450&amp;WIDTH=450&amp;","START_MAXIMIZED=FALSE&amp;VAR:CALENDAR=US&amp;VAR:SYMBOL=LO&amp;VAR:INDEX=0"}</definedName>
    <definedName name="_1326">#REF!</definedName>
    <definedName name="_1326__FDSAUDITLINK__" localSheetId="0" hidden="1">{"fdsup://directions/FAT Viewer?action=UPDATE&amp;creator=factset&amp;DYN_ARGS=TRUE&amp;DOC_NAME=FAT:FQL_AUDITING_CLIENT_TEMPLATE.FAT&amp;display_string=Audit&amp;VAR:KEY=PMLWVMHSFY&amp;VAR:QUERY=RkZfRElWX1lMRChBTk4sMTEvMTAvMDUsMTEvMTAvMDUp&amp;WINDOW=FIRST_POPUP&amp;HEIGHT=450&amp;WIDTH=450&amp;","START_MAXIMIZED=FALSE&amp;VAR:CALENDAR=US&amp;VAR:SYMBOL=LO&amp;VAR:INDEX=0"}</definedName>
    <definedName name="_1326__FDSAUDITLINK__" hidden="1">{"fdsup://directions/FAT Viewer?action=UPDATE&amp;creator=factset&amp;DYN_ARGS=TRUE&amp;DOC_NAME=FAT:FQL_AUDITING_CLIENT_TEMPLATE.FAT&amp;display_string=Audit&amp;VAR:KEY=PMLWVMHSFY&amp;VAR:QUERY=RkZfRElWX1lMRChBTk4sMTEvMTAvMDUsMTEvMTAvMDUp&amp;WINDOW=FIRST_POPUP&amp;HEIGHT=450&amp;WIDTH=450&amp;","START_MAXIMIZED=FALSE&amp;VAR:CALENDAR=US&amp;VAR:SYMBOL=LO&amp;VAR:INDEX=0"}</definedName>
    <definedName name="_1327">#REF!</definedName>
    <definedName name="_1327__FDSAUDITLINK__" localSheetId="0" hidden="1">{"fdsup://directions/FAT Viewer?action=UPDATE&amp;creator=factset&amp;DYN_ARGS=TRUE&amp;DOC_NAME=FAT:FQL_AUDITING_CLIENT_TEMPLATE.FAT&amp;display_string=Audit&amp;VAR:KEY=VMVYVIXCHK&amp;VAR:QUERY=RkZfRElWX1lMRChBTk4sMTEvMDMvMDUsMTEvMDMvMDUp&amp;WINDOW=FIRST_POPUP&amp;HEIGHT=450&amp;WIDTH=450&amp;","START_MAXIMIZED=FALSE&amp;VAR:CALENDAR=US&amp;VAR:SYMBOL=LO&amp;VAR:INDEX=0"}</definedName>
    <definedName name="_1327__FDSAUDITLINK__" hidden="1">{"fdsup://directions/FAT Viewer?action=UPDATE&amp;creator=factset&amp;DYN_ARGS=TRUE&amp;DOC_NAME=FAT:FQL_AUDITING_CLIENT_TEMPLATE.FAT&amp;display_string=Audit&amp;VAR:KEY=VMVYVIXCHK&amp;VAR:QUERY=RkZfRElWX1lMRChBTk4sMTEvMDMvMDUsMTEvMDMvMDUp&amp;WINDOW=FIRST_POPUP&amp;HEIGHT=450&amp;WIDTH=450&amp;","START_MAXIMIZED=FALSE&amp;VAR:CALENDAR=US&amp;VAR:SYMBOL=LO&amp;VAR:INDEX=0"}</definedName>
    <definedName name="_1328__FDSAUDITLINK__" localSheetId="0" hidden="1">{"fdsup://directions/FAT Viewer?action=UPDATE&amp;creator=factset&amp;DYN_ARGS=TRUE&amp;DOC_NAME=FAT:FQL_AUDITING_CLIENT_TEMPLATE.FAT&amp;display_string=Audit&amp;VAR:KEY=HOPCVWRATM&amp;VAR:QUERY=RkZfRElWX1lMRChBTk4sMTAvMjcvMDUsMTAvMjcvMDUp&amp;WINDOW=FIRST_POPUP&amp;HEIGHT=450&amp;WIDTH=450&amp;","START_MAXIMIZED=FALSE&amp;VAR:CALENDAR=US&amp;VAR:SYMBOL=LO&amp;VAR:INDEX=0"}</definedName>
    <definedName name="_1328__FDSAUDITLINK__" hidden="1">{"fdsup://directions/FAT Viewer?action=UPDATE&amp;creator=factset&amp;DYN_ARGS=TRUE&amp;DOC_NAME=FAT:FQL_AUDITING_CLIENT_TEMPLATE.FAT&amp;display_string=Audit&amp;VAR:KEY=HOPCVWRATM&amp;VAR:QUERY=RkZfRElWX1lMRChBTk4sMTAvMjcvMDUsMTAvMjcvMDUp&amp;WINDOW=FIRST_POPUP&amp;HEIGHT=450&amp;WIDTH=450&amp;","START_MAXIMIZED=FALSE&amp;VAR:CALENDAR=US&amp;VAR:SYMBOL=LO&amp;VAR:INDEX=0"}</definedName>
    <definedName name="_1329">#REF!</definedName>
    <definedName name="_1329__FDSAUDITLINK__" localSheetId="0" hidden="1">{"fdsup://directions/FAT Viewer?action=UPDATE&amp;creator=factset&amp;DYN_ARGS=TRUE&amp;DOC_NAME=FAT:FQL_AUDITING_CLIENT_TEMPLATE.FAT&amp;display_string=Audit&amp;VAR:KEY=PSZCXWDMBS&amp;VAR:QUERY=RkZfRElWX1lMRChBTk4sMTAvMjAvMDUsMTAvMjAvMDUp&amp;WINDOW=FIRST_POPUP&amp;HEIGHT=450&amp;WIDTH=450&amp;","START_MAXIMIZED=FALSE&amp;VAR:CALENDAR=US&amp;VAR:SYMBOL=LO&amp;VAR:INDEX=0"}</definedName>
    <definedName name="_1329__FDSAUDITLINK__" hidden="1">{"fdsup://directions/FAT Viewer?action=UPDATE&amp;creator=factset&amp;DYN_ARGS=TRUE&amp;DOC_NAME=FAT:FQL_AUDITING_CLIENT_TEMPLATE.FAT&amp;display_string=Audit&amp;VAR:KEY=PSZCXWDMBS&amp;VAR:QUERY=RkZfRElWX1lMRChBTk4sMTAvMjAvMDUsMTAvMjAvMDUp&amp;WINDOW=FIRST_POPUP&amp;HEIGHT=450&amp;WIDTH=450&amp;","START_MAXIMIZED=FALSE&amp;VAR:CALENDAR=US&amp;VAR:SYMBOL=LO&amp;VAR:INDEX=0"}</definedName>
    <definedName name="_133__123Graph_ECONTRACT_BY_B_U">#REF!</definedName>
    <definedName name="_133__FDSAUDITLINK__" localSheetId="0" hidden="1">{"fdsup://directions/FAT Viewer?action=UPDATE&amp;creator=factset&amp;DYN_ARGS=TRUE&amp;DOC_NAME=FAT:FQL_AUDITING_CLIENT_TEMPLATE.FAT&amp;display_string=Audit&amp;VAR:KEY=DSFEBAVOXO&amp;VAR:QUERY=RkZfRElWX1lMRChBTk4sOS8xOC8wOCw5LzE4LzA4KQ==&amp;WINDOW=FIRST_POPUP&amp;HEIGHT=450&amp;WIDTH=450&amp;","START_MAXIMIZED=FALSE&amp;VAR:CALENDAR=US&amp;VAR:SYMBOL=RAI&amp;VAR:INDEX=0"}</definedName>
    <definedName name="_133__FDSAUDITLINK__" hidden="1">{"fdsup://directions/FAT Viewer?action=UPDATE&amp;creator=factset&amp;DYN_ARGS=TRUE&amp;DOC_NAME=FAT:FQL_AUDITING_CLIENT_TEMPLATE.FAT&amp;display_string=Audit&amp;VAR:KEY=DSFEBAVOXO&amp;VAR:QUERY=RkZfRElWX1lMRChBTk4sOS8xOC8wOCw5LzE4LzA4KQ==&amp;WINDOW=FIRST_POPUP&amp;HEIGHT=450&amp;WIDTH=450&amp;","START_MAXIMIZED=FALSE&amp;VAR:CALENDAR=US&amp;VAR:SYMBOL=RAI&amp;VAR:INDEX=0"}</definedName>
    <definedName name="_1330__FDSAUDITLINK__" localSheetId="0" hidden="1">{"fdsup://directions/FAT Viewer?action=UPDATE&amp;creator=factset&amp;DYN_ARGS=TRUE&amp;DOC_NAME=FAT:FQL_AUDITING_CLIENT_TEMPLATE.FAT&amp;display_string=Audit&amp;VAR:KEY=ROXSPUXAJY&amp;VAR:QUERY=RkZfRElWX1lMRChBTk4sMTAvMTMvMDUsMTAvMTMvMDUp&amp;WINDOW=FIRST_POPUP&amp;HEIGHT=450&amp;WIDTH=450&amp;","START_MAXIMIZED=FALSE&amp;VAR:CALENDAR=US&amp;VAR:SYMBOL=LO&amp;VAR:INDEX=0"}</definedName>
    <definedName name="_1330__FDSAUDITLINK__" hidden="1">{"fdsup://directions/FAT Viewer?action=UPDATE&amp;creator=factset&amp;DYN_ARGS=TRUE&amp;DOC_NAME=FAT:FQL_AUDITING_CLIENT_TEMPLATE.FAT&amp;display_string=Audit&amp;VAR:KEY=ROXSPUXAJY&amp;VAR:QUERY=RkZfRElWX1lMRChBTk4sMTAvMTMvMDUsMTAvMTMvMDUp&amp;WINDOW=FIRST_POPUP&amp;HEIGHT=450&amp;WIDTH=450&amp;","START_MAXIMIZED=FALSE&amp;VAR:CALENDAR=US&amp;VAR:SYMBOL=LO&amp;VAR:INDEX=0"}</definedName>
    <definedName name="_1331__FDSAUDITLINK__" localSheetId="0" hidden="1">{"fdsup://directions/FAT Viewer?action=UPDATE&amp;creator=factset&amp;DYN_ARGS=TRUE&amp;DOC_NAME=FAT:FQL_AUDITING_CLIENT_TEMPLATE.FAT&amp;display_string=Audit&amp;VAR:KEY=DMDSHSPAFK&amp;VAR:QUERY=RkZfRElWX1lMRChBTk4sMTAvMDYvMDUsMTAvMDYvMDUp&amp;WINDOW=FIRST_POPUP&amp;HEIGHT=450&amp;WIDTH=450&amp;","START_MAXIMIZED=FALSE&amp;VAR:CALENDAR=US&amp;VAR:SYMBOL=LO&amp;VAR:INDEX=0"}</definedName>
    <definedName name="_1331__FDSAUDITLINK__" hidden="1">{"fdsup://directions/FAT Viewer?action=UPDATE&amp;creator=factset&amp;DYN_ARGS=TRUE&amp;DOC_NAME=FAT:FQL_AUDITING_CLIENT_TEMPLATE.FAT&amp;display_string=Audit&amp;VAR:KEY=DMDSHSPAFK&amp;VAR:QUERY=RkZfRElWX1lMRChBTk4sMTAvMDYvMDUsMTAvMDYvMDUp&amp;WINDOW=FIRST_POPUP&amp;HEIGHT=450&amp;WIDTH=450&amp;","START_MAXIMIZED=FALSE&amp;VAR:CALENDAR=US&amp;VAR:SYMBOL=LO&amp;VAR:INDEX=0"}</definedName>
    <definedName name="_1332__FDSAUDITLINK__" localSheetId="0" hidden="1">{"fdsup://directions/FAT Viewer?action=UPDATE&amp;creator=factset&amp;DYN_ARGS=TRUE&amp;DOC_NAME=FAT:FQL_AUDITING_CLIENT_TEMPLATE.FAT&amp;display_string=Audit&amp;VAR:KEY=FMVQRENUXI&amp;VAR:QUERY=RkZfRElWX1lMRChBTk4sOS8yOS8wNSw5LzI5LzA1KQ==&amp;WINDOW=FIRST_POPUP&amp;HEIGHT=450&amp;WIDTH=450&amp;","START_MAXIMIZED=FALSE&amp;VAR:CALENDAR=US&amp;VAR:SYMBOL=LO&amp;VAR:INDEX=0"}</definedName>
    <definedName name="_1332__FDSAUDITLINK__" hidden="1">{"fdsup://directions/FAT Viewer?action=UPDATE&amp;creator=factset&amp;DYN_ARGS=TRUE&amp;DOC_NAME=FAT:FQL_AUDITING_CLIENT_TEMPLATE.FAT&amp;display_string=Audit&amp;VAR:KEY=FMVQRENUXI&amp;VAR:QUERY=RkZfRElWX1lMRChBTk4sOS8yOS8wNSw5LzI5LzA1KQ==&amp;WINDOW=FIRST_POPUP&amp;HEIGHT=450&amp;WIDTH=450&amp;","START_MAXIMIZED=FALSE&amp;VAR:CALENDAR=US&amp;VAR:SYMBOL=LO&amp;VAR:INDEX=0"}</definedName>
    <definedName name="_1333__FDSAUDITLINK__" localSheetId="0" hidden="1">{"fdsup://directions/FAT Viewer?action=UPDATE&amp;creator=factset&amp;DYN_ARGS=TRUE&amp;DOC_NAME=FAT:FQL_AUDITING_CLIENT_TEMPLATE.FAT&amp;display_string=Audit&amp;VAR:KEY=PGROBCDSBA&amp;VAR:QUERY=RkZfRElWX1lMRChBTk4sOS8yMi8wNSw5LzIyLzA1KQ==&amp;WINDOW=FIRST_POPUP&amp;HEIGHT=450&amp;WIDTH=450&amp;","START_MAXIMIZED=FALSE&amp;VAR:CALENDAR=US&amp;VAR:SYMBOL=LO&amp;VAR:INDEX=0"}</definedName>
    <definedName name="_1333__FDSAUDITLINK__" hidden="1">{"fdsup://directions/FAT Viewer?action=UPDATE&amp;creator=factset&amp;DYN_ARGS=TRUE&amp;DOC_NAME=FAT:FQL_AUDITING_CLIENT_TEMPLATE.FAT&amp;display_string=Audit&amp;VAR:KEY=PGROBCDSBA&amp;VAR:QUERY=RkZfRElWX1lMRChBTk4sOS8yMi8wNSw5LzIyLzA1KQ==&amp;WINDOW=FIRST_POPUP&amp;HEIGHT=450&amp;WIDTH=450&amp;","START_MAXIMIZED=FALSE&amp;VAR:CALENDAR=US&amp;VAR:SYMBOL=LO&amp;VAR:INDEX=0"}</definedName>
    <definedName name="_1334">#REF!</definedName>
    <definedName name="_1334__FDSAUDITLINK__" localSheetId="0" hidden="1">{"fdsup://directions/FAT Viewer?action=UPDATE&amp;creator=factset&amp;DYN_ARGS=TRUE&amp;DOC_NAME=FAT:FQL_AUDITING_CLIENT_TEMPLATE.FAT&amp;display_string=Audit&amp;VAR:KEY=VQFWTEXCFI&amp;VAR:QUERY=RkZfRElWX1lMRChBTk4sOS8xNS8wNSw5LzE1LzA1KQ==&amp;WINDOW=FIRST_POPUP&amp;HEIGHT=450&amp;WIDTH=450&amp;","START_MAXIMIZED=FALSE&amp;VAR:CALENDAR=US&amp;VAR:SYMBOL=LO&amp;VAR:INDEX=0"}</definedName>
    <definedName name="_1334__FDSAUDITLINK__" hidden="1">{"fdsup://directions/FAT Viewer?action=UPDATE&amp;creator=factset&amp;DYN_ARGS=TRUE&amp;DOC_NAME=FAT:FQL_AUDITING_CLIENT_TEMPLATE.FAT&amp;display_string=Audit&amp;VAR:KEY=VQFWTEXCFI&amp;VAR:QUERY=RkZfRElWX1lMRChBTk4sOS8xNS8wNSw5LzE1LzA1KQ==&amp;WINDOW=FIRST_POPUP&amp;HEIGHT=450&amp;WIDTH=450&amp;","START_MAXIMIZED=FALSE&amp;VAR:CALENDAR=US&amp;VAR:SYMBOL=LO&amp;VAR:INDEX=0"}</definedName>
    <definedName name="_1335__FDSAUDITLINK__" localSheetId="0" hidden="1">{"fdsup://directions/FAT Viewer?action=UPDATE&amp;creator=factset&amp;DYN_ARGS=TRUE&amp;DOC_NAME=FAT:FQL_AUDITING_CLIENT_TEMPLATE.FAT&amp;display_string=Audit&amp;VAR:KEY=DSFUHUPIFS&amp;VAR:QUERY=RkZfRElWX1lMRChBTk4sOS8wOC8wNSw5LzA4LzA1KQ==&amp;WINDOW=FIRST_POPUP&amp;HEIGHT=450&amp;WIDTH=450&amp;","START_MAXIMIZED=FALSE&amp;VAR:CALENDAR=US&amp;VAR:SYMBOL=LO&amp;VAR:INDEX=0"}</definedName>
    <definedName name="_1335__FDSAUDITLINK__" hidden="1">{"fdsup://directions/FAT Viewer?action=UPDATE&amp;creator=factset&amp;DYN_ARGS=TRUE&amp;DOC_NAME=FAT:FQL_AUDITING_CLIENT_TEMPLATE.FAT&amp;display_string=Audit&amp;VAR:KEY=DSFUHUPIFS&amp;VAR:QUERY=RkZfRElWX1lMRChBTk4sOS8wOC8wNSw5LzA4LzA1KQ==&amp;WINDOW=FIRST_POPUP&amp;HEIGHT=450&amp;WIDTH=450&amp;","START_MAXIMIZED=FALSE&amp;VAR:CALENDAR=US&amp;VAR:SYMBOL=LO&amp;VAR:INDEX=0"}</definedName>
    <definedName name="_1336__FDSAUDITLINK__" localSheetId="0" hidden="1">{"fdsup://directions/FAT Viewer?action=UPDATE&amp;creator=factset&amp;DYN_ARGS=TRUE&amp;DOC_NAME=FAT:FQL_AUDITING_CLIENT_TEMPLATE.FAT&amp;display_string=Audit&amp;VAR:KEY=TCZUVIRGJK&amp;VAR:QUERY=RkZfRElWX1lMRChBTk4sOS8wMS8wNSw5LzAxLzA1KQ==&amp;WINDOW=FIRST_POPUP&amp;HEIGHT=450&amp;WIDTH=450&amp;","START_MAXIMIZED=FALSE&amp;VAR:CALENDAR=US&amp;VAR:SYMBOL=LO&amp;VAR:INDEX=0"}</definedName>
    <definedName name="_1336__FDSAUDITLINK__" hidden="1">{"fdsup://directions/FAT Viewer?action=UPDATE&amp;creator=factset&amp;DYN_ARGS=TRUE&amp;DOC_NAME=FAT:FQL_AUDITING_CLIENT_TEMPLATE.FAT&amp;display_string=Audit&amp;VAR:KEY=TCZUVIRGJK&amp;VAR:QUERY=RkZfRElWX1lMRChBTk4sOS8wMS8wNSw5LzAxLzA1KQ==&amp;WINDOW=FIRST_POPUP&amp;HEIGHT=450&amp;WIDTH=450&amp;","START_MAXIMIZED=FALSE&amp;VAR:CALENDAR=US&amp;VAR:SYMBOL=LO&amp;VAR:INDEX=0"}</definedName>
    <definedName name="_1337__FDSAUDITLINK__" localSheetId="0" hidden="1">{"fdsup://directions/FAT Viewer?action=UPDATE&amp;creator=factset&amp;DYN_ARGS=TRUE&amp;DOC_NAME=FAT:FQL_AUDITING_CLIENT_TEMPLATE.FAT&amp;display_string=Audit&amp;VAR:KEY=FKFGBOXIPE&amp;VAR:QUERY=RkZfRElWX1lMRChBTk4sOC8yNS8wNSw4LzI1LzA1KQ==&amp;WINDOW=FIRST_POPUP&amp;HEIGHT=450&amp;WIDTH=450&amp;","START_MAXIMIZED=FALSE&amp;VAR:CALENDAR=US&amp;VAR:SYMBOL=LO&amp;VAR:INDEX=0"}</definedName>
    <definedName name="_1337__FDSAUDITLINK__" hidden="1">{"fdsup://directions/FAT Viewer?action=UPDATE&amp;creator=factset&amp;DYN_ARGS=TRUE&amp;DOC_NAME=FAT:FQL_AUDITING_CLIENT_TEMPLATE.FAT&amp;display_string=Audit&amp;VAR:KEY=FKFGBOXIPE&amp;VAR:QUERY=RkZfRElWX1lMRChBTk4sOC8yNS8wNSw4LzI1LzA1KQ==&amp;WINDOW=FIRST_POPUP&amp;HEIGHT=450&amp;WIDTH=450&amp;","START_MAXIMIZED=FALSE&amp;VAR:CALENDAR=US&amp;VAR:SYMBOL=LO&amp;VAR:INDEX=0"}</definedName>
    <definedName name="_1338__FDSAUDITLINK__" localSheetId="0" hidden="1">{"fdsup://directions/FAT Viewer?action=UPDATE&amp;creator=factset&amp;DYN_ARGS=TRUE&amp;DOC_NAME=FAT:FQL_AUDITING_CLIENT_TEMPLATE.FAT&amp;display_string=Audit&amp;VAR:KEY=HELGLAFYRM&amp;VAR:QUERY=RkZfRElWX1lMRChBTk4sOC8xOC8wNSw4LzE4LzA1KQ==&amp;WINDOW=FIRST_POPUP&amp;HEIGHT=450&amp;WIDTH=450&amp;","START_MAXIMIZED=FALSE&amp;VAR:CALENDAR=US&amp;VAR:SYMBOL=LO&amp;VAR:INDEX=0"}</definedName>
    <definedName name="_1338__FDSAUDITLINK__" hidden="1">{"fdsup://directions/FAT Viewer?action=UPDATE&amp;creator=factset&amp;DYN_ARGS=TRUE&amp;DOC_NAME=FAT:FQL_AUDITING_CLIENT_TEMPLATE.FAT&amp;display_string=Audit&amp;VAR:KEY=HELGLAFYRM&amp;VAR:QUERY=RkZfRElWX1lMRChBTk4sOC8xOC8wNSw4LzE4LzA1KQ==&amp;WINDOW=FIRST_POPUP&amp;HEIGHT=450&amp;WIDTH=450&amp;","START_MAXIMIZED=FALSE&amp;VAR:CALENDAR=US&amp;VAR:SYMBOL=LO&amp;VAR:INDEX=0"}</definedName>
    <definedName name="_1339">#REF!</definedName>
    <definedName name="_1339__FDSAUDITLINK__" localSheetId="0" hidden="1">{"fdsup://directions/FAT Viewer?action=UPDATE&amp;creator=factset&amp;DYN_ARGS=TRUE&amp;DOC_NAME=FAT:FQL_AUDITING_CLIENT_TEMPLATE.FAT&amp;display_string=Audit&amp;VAR:KEY=XWNCLQPGDQ&amp;VAR:QUERY=RkZfRElWX1lMRChBTk4sOC8xMS8wNSw4LzExLzA1KQ==&amp;WINDOW=FIRST_POPUP&amp;HEIGHT=450&amp;WIDTH=450&amp;","START_MAXIMIZED=FALSE&amp;VAR:CALENDAR=US&amp;VAR:SYMBOL=LO&amp;VAR:INDEX=0"}</definedName>
    <definedName name="_1339__FDSAUDITLINK__" hidden="1">{"fdsup://directions/FAT Viewer?action=UPDATE&amp;creator=factset&amp;DYN_ARGS=TRUE&amp;DOC_NAME=FAT:FQL_AUDITING_CLIENT_TEMPLATE.FAT&amp;display_string=Audit&amp;VAR:KEY=XWNCLQPGDQ&amp;VAR:QUERY=RkZfRElWX1lMRChBTk4sOC8xMS8wNSw4LzExLzA1KQ==&amp;WINDOW=FIRST_POPUP&amp;HEIGHT=450&amp;WIDTH=450&amp;","START_MAXIMIZED=FALSE&amp;VAR:CALENDAR=US&amp;VAR:SYMBOL=LO&amp;VAR:INDEX=0"}</definedName>
    <definedName name="_134">#REF!</definedName>
    <definedName name="_134__FDSAUDITLINK__" localSheetId="0" hidden="1">{"fdsup://directions/FAT Viewer?action=UPDATE&amp;creator=factset&amp;DYN_ARGS=TRUE&amp;DOC_NAME=FAT:FQL_AUDITING_CLIENT_TEMPLATE.FAT&amp;display_string=Audit&amp;VAR:KEY=FSFINMFKLU&amp;VAR:QUERY=RkZfRElWX1lMRChBTk4sOS8xMS8wOCw5LzExLzA4KQ==&amp;WINDOW=FIRST_POPUP&amp;HEIGHT=450&amp;WIDTH=450&amp;","START_MAXIMIZED=FALSE&amp;VAR:CALENDAR=US&amp;VAR:SYMBOL=RAI&amp;VAR:INDEX=0"}</definedName>
    <definedName name="_134__FDSAUDITLINK__" hidden="1">{"fdsup://directions/FAT Viewer?action=UPDATE&amp;creator=factset&amp;DYN_ARGS=TRUE&amp;DOC_NAME=FAT:FQL_AUDITING_CLIENT_TEMPLATE.FAT&amp;display_string=Audit&amp;VAR:KEY=FSFINMFKLU&amp;VAR:QUERY=RkZfRElWX1lMRChBTk4sOS8xMS8wOCw5LzExLzA4KQ==&amp;WINDOW=FIRST_POPUP&amp;HEIGHT=450&amp;WIDTH=450&amp;","START_MAXIMIZED=FALSE&amp;VAR:CALENDAR=US&amp;VAR:SYMBOL=RAI&amp;VAR:INDEX=0"}</definedName>
    <definedName name="_1340__FDSAUDITLINK__" localSheetId="0" hidden="1">{"fdsup://directions/FAT Viewer?action=UPDATE&amp;creator=factset&amp;DYN_ARGS=TRUE&amp;DOC_NAME=FAT:FQL_AUDITING_CLIENT_TEMPLATE.FAT&amp;display_string=Audit&amp;VAR:KEY=DELENOHURU&amp;VAR:QUERY=RkZfRElWX1lMRChBTk4sOC8wNC8wNSw4LzA0LzA1KQ==&amp;WINDOW=FIRST_POPUP&amp;HEIGHT=450&amp;WIDTH=450&amp;","START_MAXIMIZED=FALSE&amp;VAR:CALENDAR=US&amp;VAR:SYMBOL=LO&amp;VAR:INDEX=0"}</definedName>
    <definedName name="_1340__FDSAUDITLINK__" hidden="1">{"fdsup://directions/FAT Viewer?action=UPDATE&amp;creator=factset&amp;DYN_ARGS=TRUE&amp;DOC_NAME=FAT:FQL_AUDITING_CLIENT_TEMPLATE.FAT&amp;display_string=Audit&amp;VAR:KEY=DELENOHURU&amp;VAR:QUERY=RkZfRElWX1lMRChBTk4sOC8wNC8wNSw4LzA0LzA1KQ==&amp;WINDOW=FIRST_POPUP&amp;HEIGHT=450&amp;WIDTH=450&amp;","START_MAXIMIZED=FALSE&amp;VAR:CALENDAR=US&amp;VAR:SYMBOL=LO&amp;VAR:INDEX=0"}</definedName>
    <definedName name="_1341__FDSAUDITLINK__" localSheetId="0" hidden="1">{"fdsup://directions/FAT Viewer?action=UPDATE&amp;creator=factset&amp;DYN_ARGS=TRUE&amp;DOC_NAME=FAT:FQL_AUDITING_CLIENT_TEMPLATE.FAT&amp;display_string=Audit&amp;VAR:KEY=XAFCJCLSBK&amp;VAR:QUERY=RkZfRElWX1lMRChBTk4sNy8yOC8wNSw3LzI4LzA1KQ==&amp;WINDOW=FIRST_POPUP&amp;HEIGHT=450&amp;WIDTH=450&amp;","START_MAXIMIZED=FALSE&amp;VAR:CALENDAR=US&amp;VAR:SYMBOL=LO&amp;VAR:INDEX=0"}</definedName>
    <definedName name="_1341__FDSAUDITLINK__" hidden="1">{"fdsup://directions/FAT Viewer?action=UPDATE&amp;creator=factset&amp;DYN_ARGS=TRUE&amp;DOC_NAME=FAT:FQL_AUDITING_CLIENT_TEMPLATE.FAT&amp;display_string=Audit&amp;VAR:KEY=XAFCJCLSBK&amp;VAR:QUERY=RkZfRElWX1lMRChBTk4sNy8yOC8wNSw3LzI4LzA1KQ==&amp;WINDOW=FIRST_POPUP&amp;HEIGHT=450&amp;WIDTH=450&amp;","START_MAXIMIZED=FALSE&amp;VAR:CALENDAR=US&amp;VAR:SYMBOL=LO&amp;VAR:INDEX=0"}</definedName>
    <definedName name="_1342__FDSAUDITLINK__" localSheetId="0" hidden="1">{"fdsup://directions/FAT Viewer?action=UPDATE&amp;creator=factset&amp;DYN_ARGS=TRUE&amp;DOC_NAME=FAT:FQL_AUDITING_CLIENT_TEMPLATE.FAT&amp;display_string=Audit&amp;VAR:KEY=RWPOFMRINM&amp;VAR:QUERY=RkZfRElWX1lMRChBTk4sNy8yMS8wNSw3LzIxLzA1KQ==&amp;WINDOW=FIRST_POPUP&amp;HEIGHT=450&amp;WIDTH=450&amp;","START_MAXIMIZED=FALSE&amp;VAR:CALENDAR=US&amp;VAR:SYMBOL=LO&amp;VAR:INDEX=0"}</definedName>
    <definedName name="_1342__FDSAUDITLINK__" hidden="1">{"fdsup://directions/FAT Viewer?action=UPDATE&amp;creator=factset&amp;DYN_ARGS=TRUE&amp;DOC_NAME=FAT:FQL_AUDITING_CLIENT_TEMPLATE.FAT&amp;display_string=Audit&amp;VAR:KEY=RWPOFMRINM&amp;VAR:QUERY=RkZfRElWX1lMRChBTk4sNy8yMS8wNSw3LzIxLzA1KQ==&amp;WINDOW=FIRST_POPUP&amp;HEIGHT=450&amp;WIDTH=450&amp;","START_MAXIMIZED=FALSE&amp;VAR:CALENDAR=US&amp;VAR:SYMBOL=LO&amp;VAR:INDEX=0"}</definedName>
    <definedName name="_1343__FDSAUDITLINK__" localSheetId="0" hidden="1">{"fdsup://directions/FAT Viewer?action=UPDATE&amp;creator=factset&amp;DYN_ARGS=TRUE&amp;DOC_NAME=FAT:FQL_AUDITING_CLIENT_TEMPLATE.FAT&amp;display_string=Audit&amp;VAR:KEY=ZYNAFCNOXE&amp;VAR:QUERY=RkZfRElWX1lMRChBTk4sNy8xNC8wNSw3LzE0LzA1KQ==&amp;WINDOW=FIRST_POPUP&amp;HEIGHT=450&amp;WIDTH=450&amp;","START_MAXIMIZED=FALSE&amp;VAR:CALENDAR=US&amp;VAR:SYMBOL=LO&amp;VAR:INDEX=0"}</definedName>
    <definedName name="_1343__FDSAUDITLINK__" hidden="1">{"fdsup://directions/FAT Viewer?action=UPDATE&amp;creator=factset&amp;DYN_ARGS=TRUE&amp;DOC_NAME=FAT:FQL_AUDITING_CLIENT_TEMPLATE.FAT&amp;display_string=Audit&amp;VAR:KEY=ZYNAFCNOXE&amp;VAR:QUERY=RkZfRElWX1lMRChBTk4sNy8xNC8wNSw3LzE0LzA1KQ==&amp;WINDOW=FIRST_POPUP&amp;HEIGHT=450&amp;WIDTH=450&amp;","START_MAXIMIZED=FALSE&amp;VAR:CALENDAR=US&amp;VAR:SYMBOL=LO&amp;VAR:INDEX=0"}</definedName>
    <definedName name="_1344__FDSAUDITLINK__" localSheetId="0" hidden="1">{"fdsup://directions/FAT Viewer?action=UPDATE&amp;creator=factset&amp;DYN_ARGS=TRUE&amp;DOC_NAME=FAT:FQL_AUDITING_CLIENT_TEMPLATE.FAT&amp;display_string=Audit&amp;VAR:KEY=JYPAHYNKJK&amp;VAR:QUERY=RkZfRElWX1lMRChBTk4sNy8wNy8wNSw3LzA3LzA1KQ==&amp;WINDOW=FIRST_POPUP&amp;HEIGHT=450&amp;WIDTH=450&amp;","START_MAXIMIZED=FALSE&amp;VAR:CALENDAR=US&amp;VAR:SYMBOL=LO&amp;VAR:INDEX=0"}</definedName>
    <definedName name="_1344__FDSAUDITLINK__" hidden="1">{"fdsup://directions/FAT Viewer?action=UPDATE&amp;creator=factset&amp;DYN_ARGS=TRUE&amp;DOC_NAME=FAT:FQL_AUDITING_CLIENT_TEMPLATE.FAT&amp;display_string=Audit&amp;VAR:KEY=JYPAHYNKJK&amp;VAR:QUERY=RkZfRElWX1lMRChBTk4sNy8wNy8wNSw3LzA3LzA1KQ==&amp;WINDOW=FIRST_POPUP&amp;HEIGHT=450&amp;WIDTH=450&amp;","START_MAXIMIZED=FALSE&amp;VAR:CALENDAR=US&amp;VAR:SYMBOL=LO&amp;VAR:INDEX=0"}</definedName>
    <definedName name="_1345__FDSAUDITLINK__" localSheetId="0" hidden="1">{"fdsup://directions/FAT Viewer?action=UPDATE&amp;creator=factset&amp;DYN_ARGS=TRUE&amp;DOC_NAME=FAT:FQL_AUDITING_CLIENT_TEMPLATE.FAT&amp;display_string=Audit&amp;VAR:KEY=BALMVMLONW&amp;VAR:QUERY=RkZfRElWX1lMRChBTk4sNi8zMC8wNSw2LzMwLzA1KQ==&amp;WINDOW=FIRST_POPUP&amp;HEIGHT=450&amp;WIDTH=450&amp;","START_MAXIMIZED=FALSE&amp;VAR:CALENDAR=US&amp;VAR:SYMBOL=LO&amp;VAR:INDEX=0"}</definedName>
    <definedName name="_1345__FDSAUDITLINK__" hidden="1">{"fdsup://directions/FAT Viewer?action=UPDATE&amp;creator=factset&amp;DYN_ARGS=TRUE&amp;DOC_NAME=FAT:FQL_AUDITING_CLIENT_TEMPLATE.FAT&amp;display_string=Audit&amp;VAR:KEY=BALMVMLONW&amp;VAR:QUERY=RkZfRElWX1lMRChBTk4sNi8zMC8wNSw2LzMwLzA1KQ==&amp;WINDOW=FIRST_POPUP&amp;HEIGHT=450&amp;WIDTH=450&amp;","START_MAXIMIZED=FALSE&amp;VAR:CALENDAR=US&amp;VAR:SYMBOL=LO&amp;VAR:INDEX=0"}</definedName>
    <definedName name="_1346__FDSAUDITLINK__" localSheetId="0" hidden="1">{"fdsup://directions/FAT Viewer?action=UPDATE&amp;creator=factset&amp;DYN_ARGS=TRUE&amp;DOC_NAME=FAT:FQL_AUDITING_CLIENT_TEMPLATE.FAT&amp;display_string=Audit&amp;VAR:KEY=ROFQFKHGFQ&amp;VAR:QUERY=RkZfRElWX1lMRChBTk4sNi8yMy8wNSw2LzIzLzA1KQ==&amp;WINDOW=FIRST_POPUP&amp;HEIGHT=450&amp;WIDTH=450&amp;","START_MAXIMIZED=FALSE&amp;VAR:CALENDAR=US&amp;VAR:SYMBOL=LO&amp;VAR:INDEX=0"}</definedName>
    <definedName name="_1346__FDSAUDITLINK__" hidden="1">{"fdsup://directions/FAT Viewer?action=UPDATE&amp;creator=factset&amp;DYN_ARGS=TRUE&amp;DOC_NAME=FAT:FQL_AUDITING_CLIENT_TEMPLATE.FAT&amp;display_string=Audit&amp;VAR:KEY=ROFQFKHGFQ&amp;VAR:QUERY=RkZfRElWX1lMRChBTk4sNi8yMy8wNSw2LzIzLzA1KQ==&amp;WINDOW=FIRST_POPUP&amp;HEIGHT=450&amp;WIDTH=450&amp;","START_MAXIMIZED=FALSE&amp;VAR:CALENDAR=US&amp;VAR:SYMBOL=LO&amp;VAR:INDEX=0"}</definedName>
    <definedName name="_1347">#REF!</definedName>
    <definedName name="_1347__FDSAUDITLINK__" localSheetId="0" hidden="1">{"fdsup://directions/FAT Viewer?action=UPDATE&amp;creator=factset&amp;DYN_ARGS=TRUE&amp;DOC_NAME=FAT:FQL_AUDITING_CLIENT_TEMPLATE.FAT&amp;display_string=Audit&amp;VAR:KEY=ZIPCTMBYTE&amp;VAR:QUERY=RkZfRElWX1lMRChBTk4sNi8xNi8wNSw2LzE2LzA1KQ==&amp;WINDOW=FIRST_POPUP&amp;HEIGHT=450&amp;WIDTH=450&amp;","START_MAXIMIZED=FALSE&amp;VAR:CALENDAR=US&amp;VAR:SYMBOL=LO&amp;VAR:INDEX=0"}</definedName>
    <definedName name="_1347__FDSAUDITLINK__" hidden="1">{"fdsup://directions/FAT Viewer?action=UPDATE&amp;creator=factset&amp;DYN_ARGS=TRUE&amp;DOC_NAME=FAT:FQL_AUDITING_CLIENT_TEMPLATE.FAT&amp;display_string=Audit&amp;VAR:KEY=ZIPCTMBYTE&amp;VAR:QUERY=RkZfRElWX1lMRChBTk4sNi8xNi8wNSw2LzE2LzA1KQ==&amp;WINDOW=FIRST_POPUP&amp;HEIGHT=450&amp;WIDTH=450&amp;","START_MAXIMIZED=FALSE&amp;VAR:CALENDAR=US&amp;VAR:SYMBOL=LO&amp;VAR:INDEX=0"}</definedName>
    <definedName name="_1348__FDSAUDITLINK__" localSheetId="0" hidden="1">{"fdsup://directions/FAT Viewer?action=UPDATE&amp;creator=factset&amp;DYN_ARGS=TRUE&amp;DOC_NAME=FAT:FQL_AUDITING_CLIENT_TEMPLATE.FAT&amp;display_string=Audit&amp;VAR:KEY=BQTODQVAPK&amp;VAR:QUERY=RkZfRElWX1lMRChBTk4sNi8wOS8wNSw2LzA5LzA1KQ==&amp;WINDOW=FIRST_POPUP&amp;HEIGHT=450&amp;WIDTH=450&amp;","START_MAXIMIZED=FALSE&amp;VAR:CALENDAR=US&amp;VAR:SYMBOL=LO&amp;VAR:INDEX=0"}</definedName>
    <definedName name="_1348__FDSAUDITLINK__" hidden="1">{"fdsup://directions/FAT Viewer?action=UPDATE&amp;creator=factset&amp;DYN_ARGS=TRUE&amp;DOC_NAME=FAT:FQL_AUDITING_CLIENT_TEMPLATE.FAT&amp;display_string=Audit&amp;VAR:KEY=BQTODQVAPK&amp;VAR:QUERY=RkZfRElWX1lMRChBTk4sNi8wOS8wNSw2LzA5LzA1KQ==&amp;WINDOW=FIRST_POPUP&amp;HEIGHT=450&amp;WIDTH=450&amp;","START_MAXIMIZED=FALSE&amp;VAR:CALENDAR=US&amp;VAR:SYMBOL=LO&amp;VAR:INDEX=0"}</definedName>
    <definedName name="_1349__FDSAUDITLINK__" localSheetId="0" hidden="1">{"fdsup://directions/FAT Viewer?action=UPDATE&amp;creator=factset&amp;DYN_ARGS=TRUE&amp;DOC_NAME=FAT:FQL_AUDITING_CLIENT_TEMPLATE.FAT&amp;display_string=Audit&amp;VAR:KEY=NYXEZQPEFE&amp;VAR:QUERY=RkZfRElWX1lMRChBTk4sNi8wMi8wNSw2LzAyLzA1KQ==&amp;WINDOW=FIRST_POPUP&amp;HEIGHT=450&amp;WIDTH=450&amp;","START_MAXIMIZED=FALSE&amp;VAR:CALENDAR=US&amp;VAR:SYMBOL=LO&amp;VAR:INDEX=0"}</definedName>
    <definedName name="_1349__FDSAUDITLINK__" hidden="1">{"fdsup://directions/FAT Viewer?action=UPDATE&amp;creator=factset&amp;DYN_ARGS=TRUE&amp;DOC_NAME=FAT:FQL_AUDITING_CLIENT_TEMPLATE.FAT&amp;display_string=Audit&amp;VAR:KEY=NYXEZQPEFE&amp;VAR:QUERY=RkZfRElWX1lMRChBTk4sNi8wMi8wNSw2LzAyLzA1KQ==&amp;WINDOW=FIRST_POPUP&amp;HEIGHT=450&amp;WIDTH=450&amp;","START_MAXIMIZED=FALSE&amp;VAR:CALENDAR=US&amp;VAR:SYMBOL=LO&amp;VAR:INDEX=0"}</definedName>
    <definedName name="_135">#REF!</definedName>
    <definedName name="_135__FDSAUDITLINK__" localSheetId="0" hidden="1">{"fdsup://directions/FAT Viewer?action=UPDATE&amp;creator=factset&amp;DYN_ARGS=TRUE&amp;DOC_NAME=FAT:FQL_AUDITING_CLIENT_TEMPLATE.FAT&amp;display_string=Audit&amp;VAR:KEY=HSBYRIFUXG&amp;VAR:QUERY=RkZfRElWX1lMRChBTk4sOS8wNC8wOCw5LzA0LzA4KQ==&amp;WINDOW=FIRST_POPUP&amp;HEIGHT=450&amp;WIDTH=450&amp;","START_MAXIMIZED=FALSE&amp;VAR:CALENDAR=US&amp;VAR:SYMBOL=RAI&amp;VAR:INDEX=0"}</definedName>
    <definedName name="_135__FDSAUDITLINK__" hidden="1">{"fdsup://directions/FAT Viewer?action=UPDATE&amp;creator=factset&amp;DYN_ARGS=TRUE&amp;DOC_NAME=FAT:FQL_AUDITING_CLIENT_TEMPLATE.FAT&amp;display_string=Audit&amp;VAR:KEY=HSBYRIFUXG&amp;VAR:QUERY=RkZfRElWX1lMRChBTk4sOS8wNC8wOCw5LzA0LzA4KQ==&amp;WINDOW=FIRST_POPUP&amp;HEIGHT=450&amp;WIDTH=450&amp;","START_MAXIMIZED=FALSE&amp;VAR:CALENDAR=US&amp;VAR:SYMBOL=RAI&amp;VAR:INDEX=0"}</definedName>
    <definedName name="_1350__FDSAUDITLINK__" localSheetId="0" hidden="1">{"fdsup://directions/FAT Viewer?action=UPDATE&amp;creator=factset&amp;DYN_ARGS=TRUE&amp;DOC_NAME=FAT:FQL_AUDITING_CLIENT_TEMPLATE.FAT&amp;display_string=Audit&amp;VAR:KEY=XCHGRABIFS&amp;VAR:QUERY=RkZfRElWX1lMRChBTk4sNS8yNi8wNSw1LzI2LzA1KQ==&amp;WINDOW=FIRST_POPUP&amp;HEIGHT=450&amp;WIDTH=450&amp;","START_MAXIMIZED=FALSE&amp;VAR:CALENDAR=US&amp;VAR:SYMBOL=LO&amp;VAR:INDEX=0"}</definedName>
    <definedName name="_1350__FDSAUDITLINK__" hidden="1">{"fdsup://directions/FAT Viewer?action=UPDATE&amp;creator=factset&amp;DYN_ARGS=TRUE&amp;DOC_NAME=FAT:FQL_AUDITING_CLIENT_TEMPLATE.FAT&amp;display_string=Audit&amp;VAR:KEY=XCHGRABIFS&amp;VAR:QUERY=RkZfRElWX1lMRChBTk4sNS8yNi8wNSw1LzI2LzA1KQ==&amp;WINDOW=FIRST_POPUP&amp;HEIGHT=450&amp;WIDTH=450&amp;","START_MAXIMIZED=FALSE&amp;VAR:CALENDAR=US&amp;VAR:SYMBOL=LO&amp;VAR:INDEX=0"}</definedName>
    <definedName name="_1351">#REF!</definedName>
    <definedName name="_1351__FDSAUDITLINK__" localSheetId="0" hidden="1">{"fdsup://directions/FAT Viewer?action=UPDATE&amp;creator=factset&amp;DYN_ARGS=TRUE&amp;DOC_NAME=FAT:FQL_AUDITING_CLIENT_TEMPLATE.FAT&amp;display_string=Audit&amp;VAR:KEY=NYFUBSREJC&amp;VAR:QUERY=RkZfRElWX1lMRChBTk4sNS8xOS8wNSw1LzE5LzA1KQ==&amp;WINDOW=FIRST_POPUP&amp;HEIGHT=450&amp;WIDTH=450&amp;","START_MAXIMIZED=FALSE&amp;VAR:CALENDAR=US&amp;VAR:SYMBOL=LO&amp;VAR:INDEX=0"}</definedName>
    <definedName name="_1351__FDSAUDITLINK__" hidden="1">{"fdsup://directions/FAT Viewer?action=UPDATE&amp;creator=factset&amp;DYN_ARGS=TRUE&amp;DOC_NAME=FAT:FQL_AUDITING_CLIENT_TEMPLATE.FAT&amp;display_string=Audit&amp;VAR:KEY=NYFUBSREJC&amp;VAR:QUERY=RkZfRElWX1lMRChBTk4sNS8xOS8wNSw1LzE5LzA1KQ==&amp;WINDOW=FIRST_POPUP&amp;HEIGHT=450&amp;WIDTH=450&amp;","START_MAXIMIZED=FALSE&amp;VAR:CALENDAR=US&amp;VAR:SYMBOL=LO&amp;VAR:INDEX=0"}</definedName>
    <definedName name="_1352">#REF!</definedName>
    <definedName name="_1352__FDSAUDITLINK__" localSheetId="0" hidden="1">{"fdsup://directions/FAT Viewer?action=UPDATE&amp;creator=factset&amp;DYN_ARGS=TRUE&amp;DOC_NAME=FAT:FQL_AUDITING_CLIENT_TEMPLATE.FAT&amp;display_string=Audit&amp;VAR:KEY=HWHIRKZYDC&amp;VAR:QUERY=RkZfRElWX1lMRChBTk4sNS8xMi8wNSw1LzEyLzA1KQ==&amp;WINDOW=FIRST_POPUP&amp;HEIGHT=450&amp;WIDTH=450&amp;","START_MAXIMIZED=FALSE&amp;VAR:CALENDAR=US&amp;VAR:SYMBOL=LO&amp;VAR:INDEX=0"}</definedName>
    <definedName name="_1352__FDSAUDITLINK__" hidden="1">{"fdsup://directions/FAT Viewer?action=UPDATE&amp;creator=factset&amp;DYN_ARGS=TRUE&amp;DOC_NAME=FAT:FQL_AUDITING_CLIENT_TEMPLATE.FAT&amp;display_string=Audit&amp;VAR:KEY=HWHIRKZYDC&amp;VAR:QUERY=RkZfRElWX1lMRChBTk4sNS8xMi8wNSw1LzEyLzA1KQ==&amp;WINDOW=FIRST_POPUP&amp;HEIGHT=450&amp;WIDTH=450&amp;","START_MAXIMIZED=FALSE&amp;VAR:CALENDAR=US&amp;VAR:SYMBOL=LO&amp;VAR:INDEX=0"}</definedName>
    <definedName name="_1353">#REF!</definedName>
    <definedName name="_1353__FDSAUDITLINK__" localSheetId="0" hidden="1">{"fdsup://directions/FAT Viewer?action=UPDATE&amp;creator=factset&amp;DYN_ARGS=TRUE&amp;DOC_NAME=FAT:FQL_AUDITING_CLIENT_TEMPLATE.FAT&amp;display_string=Audit&amp;VAR:KEY=ZMBOFMZYPU&amp;VAR:QUERY=RkZfRElWX1lMRChBTk4sNS8wNS8wNSw1LzA1LzA1KQ==&amp;WINDOW=FIRST_POPUP&amp;HEIGHT=450&amp;WIDTH=450&amp;","START_MAXIMIZED=FALSE&amp;VAR:CALENDAR=US&amp;VAR:SYMBOL=LO&amp;VAR:INDEX=0"}</definedName>
    <definedName name="_1353__FDSAUDITLINK__" hidden="1">{"fdsup://directions/FAT Viewer?action=UPDATE&amp;creator=factset&amp;DYN_ARGS=TRUE&amp;DOC_NAME=FAT:FQL_AUDITING_CLIENT_TEMPLATE.FAT&amp;display_string=Audit&amp;VAR:KEY=ZMBOFMZYPU&amp;VAR:QUERY=RkZfRElWX1lMRChBTk4sNS8wNS8wNSw1LzA1LzA1KQ==&amp;WINDOW=FIRST_POPUP&amp;HEIGHT=450&amp;WIDTH=450&amp;","START_MAXIMIZED=FALSE&amp;VAR:CALENDAR=US&amp;VAR:SYMBOL=LO&amp;VAR:INDEX=0"}</definedName>
    <definedName name="_1354">#REF!</definedName>
    <definedName name="_1354__FDSAUDITLINK__" localSheetId="0" hidden="1">{"fdsup://directions/FAT Viewer?action=UPDATE&amp;creator=factset&amp;DYN_ARGS=TRUE&amp;DOC_NAME=FAT:FQL_AUDITING_CLIENT_TEMPLATE.FAT&amp;display_string=Audit&amp;VAR:KEY=RWVAHUVCXY&amp;VAR:QUERY=RkZfRElWX1lMRChBTk4sNC8yOC8wNSw0LzI4LzA1KQ==&amp;WINDOW=FIRST_POPUP&amp;HEIGHT=450&amp;WIDTH=450&amp;","START_MAXIMIZED=FALSE&amp;VAR:CALENDAR=US&amp;VAR:SYMBOL=LO&amp;VAR:INDEX=0"}</definedName>
    <definedName name="_1354__FDSAUDITLINK__" hidden="1">{"fdsup://directions/FAT Viewer?action=UPDATE&amp;creator=factset&amp;DYN_ARGS=TRUE&amp;DOC_NAME=FAT:FQL_AUDITING_CLIENT_TEMPLATE.FAT&amp;display_string=Audit&amp;VAR:KEY=RWVAHUVCXY&amp;VAR:QUERY=RkZfRElWX1lMRChBTk4sNC8yOC8wNSw0LzI4LzA1KQ==&amp;WINDOW=FIRST_POPUP&amp;HEIGHT=450&amp;WIDTH=450&amp;","START_MAXIMIZED=FALSE&amp;VAR:CALENDAR=US&amp;VAR:SYMBOL=LO&amp;VAR:INDEX=0"}</definedName>
    <definedName name="_1355">#REF!</definedName>
    <definedName name="_1355__FDSAUDITLINK__" localSheetId="0" hidden="1">{"fdsup://directions/FAT Viewer?action=UPDATE&amp;creator=factset&amp;DYN_ARGS=TRUE&amp;DOC_NAME=FAT:FQL_AUDITING_CLIENT_TEMPLATE.FAT&amp;display_string=Audit&amp;VAR:KEY=LQNENAPORY&amp;VAR:QUERY=RkZfRElWX1lMRChBTk4sNC8yMS8wNSw0LzIxLzA1KQ==&amp;WINDOW=FIRST_POPUP&amp;HEIGHT=450&amp;WIDTH=450&amp;","START_MAXIMIZED=FALSE&amp;VAR:CALENDAR=US&amp;VAR:SYMBOL=LO&amp;VAR:INDEX=0"}</definedName>
    <definedName name="_1355__FDSAUDITLINK__" hidden="1">{"fdsup://directions/FAT Viewer?action=UPDATE&amp;creator=factset&amp;DYN_ARGS=TRUE&amp;DOC_NAME=FAT:FQL_AUDITING_CLIENT_TEMPLATE.FAT&amp;display_string=Audit&amp;VAR:KEY=LQNENAPORY&amp;VAR:QUERY=RkZfRElWX1lMRChBTk4sNC8yMS8wNSw0LzIxLzA1KQ==&amp;WINDOW=FIRST_POPUP&amp;HEIGHT=450&amp;WIDTH=450&amp;","START_MAXIMIZED=FALSE&amp;VAR:CALENDAR=US&amp;VAR:SYMBOL=LO&amp;VAR:INDEX=0"}</definedName>
    <definedName name="_1356">#REF!</definedName>
    <definedName name="_1356__FDSAUDITLINK__" localSheetId="0" hidden="1">{"fdsup://directions/FAT Viewer?action=UPDATE&amp;creator=factset&amp;DYN_ARGS=TRUE&amp;DOC_NAME=FAT:FQL_AUDITING_CLIENT_TEMPLATE.FAT&amp;display_string=Audit&amp;VAR:KEY=LKBSDMZQVK&amp;VAR:QUERY=RkZfRElWX1lMRChBTk4sNC8xNC8wNSw0LzE0LzA1KQ==&amp;WINDOW=FIRST_POPUP&amp;HEIGHT=450&amp;WIDTH=450&amp;","START_MAXIMIZED=FALSE&amp;VAR:CALENDAR=US&amp;VAR:SYMBOL=LO&amp;VAR:INDEX=0"}</definedName>
    <definedName name="_1356__FDSAUDITLINK__" hidden="1">{"fdsup://directions/FAT Viewer?action=UPDATE&amp;creator=factset&amp;DYN_ARGS=TRUE&amp;DOC_NAME=FAT:FQL_AUDITING_CLIENT_TEMPLATE.FAT&amp;display_string=Audit&amp;VAR:KEY=LKBSDMZQVK&amp;VAR:QUERY=RkZfRElWX1lMRChBTk4sNC8xNC8wNSw0LzE0LzA1KQ==&amp;WINDOW=FIRST_POPUP&amp;HEIGHT=450&amp;WIDTH=450&amp;","START_MAXIMIZED=FALSE&amp;VAR:CALENDAR=US&amp;VAR:SYMBOL=LO&amp;VAR:INDEX=0"}</definedName>
    <definedName name="_1357">#REF!</definedName>
    <definedName name="_1357__FDSAUDITLINK__" localSheetId="0" hidden="1">{"fdsup://directions/FAT Viewer?action=UPDATE&amp;creator=factset&amp;DYN_ARGS=TRUE&amp;DOC_NAME=FAT:FQL_AUDITING_CLIENT_TEMPLATE.FAT&amp;display_string=Audit&amp;VAR:KEY=FMVWNOBALA&amp;VAR:QUERY=RkZfRElWX1lMRChBTk4sNC8wNy8wNSw0LzA3LzA1KQ==&amp;WINDOW=FIRST_POPUP&amp;HEIGHT=450&amp;WIDTH=450&amp;","START_MAXIMIZED=FALSE&amp;VAR:CALENDAR=US&amp;VAR:SYMBOL=LO&amp;VAR:INDEX=0"}</definedName>
    <definedName name="_1357__FDSAUDITLINK__" hidden="1">{"fdsup://directions/FAT Viewer?action=UPDATE&amp;creator=factset&amp;DYN_ARGS=TRUE&amp;DOC_NAME=FAT:FQL_AUDITING_CLIENT_TEMPLATE.FAT&amp;display_string=Audit&amp;VAR:KEY=FMVWNOBALA&amp;VAR:QUERY=RkZfRElWX1lMRChBTk4sNC8wNy8wNSw0LzA3LzA1KQ==&amp;WINDOW=FIRST_POPUP&amp;HEIGHT=450&amp;WIDTH=450&amp;","START_MAXIMIZED=FALSE&amp;VAR:CALENDAR=US&amp;VAR:SYMBOL=LO&amp;VAR:INDEX=0"}</definedName>
    <definedName name="_1358">#REF!</definedName>
    <definedName name="_1358__FDSAUDITLINK__" localSheetId="0" hidden="1">{"fdsup://directions/FAT Viewer?action=UPDATE&amp;creator=factset&amp;DYN_ARGS=TRUE&amp;DOC_NAME=FAT:FQL_AUDITING_CLIENT_TEMPLATE.FAT&amp;display_string=Audit&amp;VAR:KEY=VYDAJYPCLC&amp;VAR:QUERY=RkZfRElWX1lMRChBTk4sMy8zMS8wNSwzLzMxLzA1KQ==&amp;WINDOW=FIRST_POPUP&amp;HEIGHT=450&amp;WIDTH=450&amp;","START_MAXIMIZED=FALSE&amp;VAR:CALENDAR=US&amp;VAR:SYMBOL=LO&amp;VAR:INDEX=0"}</definedName>
    <definedName name="_1358__FDSAUDITLINK__" hidden="1">{"fdsup://directions/FAT Viewer?action=UPDATE&amp;creator=factset&amp;DYN_ARGS=TRUE&amp;DOC_NAME=FAT:FQL_AUDITING_CLIENT_TEMPLATE.FAT&amp;display_string=Audit&amp;VAR:KEY=VYDAJYPCLC&amp;VAR:QUERY=RkZfRElWX1lMRChBTk4sMy8zMS8wNSwzLzMxLzA1KQ==&amp;WINDOW=FIRST_POPUP&amp;HEIGHT=450&amp;WIDTH=450&amp;","START_MAXIMIZED=FALSE&amp;VAR:CALENDAR=US&amp;VAR:SYMBOL=LO&amp;VAR:INDEX=0"}</definedName>
    <definedName name="_1359">#REF!</definedName>
    <definedName name="_1359__FDSAUDITLINK__" localSheetId="0" hidden="1">{"fdsup://directions/FAT Viewer?action=UPDATE&amp;creator=factset&amp;DYN_ARGS=TRUE&amp;DOC_NAME=FAT:FQL_AUDITING_CLIENT_TEMPLATE.FAT&amp;display_string=Audit&amp;VAR:KEY=NKZQNOLKRG&amp;VAR:QUERY=RkZfRElWX1lMRChBTk4sMy8yNC8wNSwzLzI0LzA1KQ==&amp;WINDOW=FIRST_POPUP&amp;HEIGHT=450&amp;WIDTH=450&amp;","START_MAXIMIZED=FALSE&amp;VAR:CALENDAR=US&amp;VAR:SYMBOL=LO&amp;VAR:INDEX=0"}</definedName>
    <definedName name="_1359__FDSAUDITLINK__" hidden="1">{"fdsup://directions/FAT Viewer?action=UPDATE&amp;creator=factset&amp;DYN_ARGS=TRUE&amp;DOC_NAME=FAT:FQL_AUDITING_CLIENT_TEMPLATE.FAT&amp;display_string=Audit&amp;VAR:KEY=NKZQNOLKRG&amp;VAR:QUERY=RkZfRElWX1lMRChBTk4sMy8yNC8wNSwzLzI0LzA1KQ==&amp;WINDOW=FIRST_POPUP&amp;HEIGHT=450&amp;WIDTH=450&amp;","START_MAXIMIZED=FALSE&amp;VAR:CALENDAR=US&amp;VAR:SYMBOL=LO&amp;VAR:INDEX=0"}</definedName>
    <definedName name="_136">#REF!</definedName>
    <definedName name="_136__123Graph_FQRE_S_BY_CO.">#REF!</definedName>
    <definedName name="_136__123Graph_XTAX_CREDIT">#REF!</definedName>
    <definedName name="_136__FDSAUDITLINK__" localSheetId="0" hidden="1">{"fdsup://directions/FAT Viewer?action=UPDATE&amp;creator=factset&amp;DYN_ARGS=TRUE&amp;DOC_NAME=FAT:FQL_AUDITING_CLIENT_TEMPLATE.FAT&amp;display_string=Audit&amp;VAR:KEY=TGNYRUVKBM&amp;VAR:QUERY=RkZfRElWX1lMRChBTk4sOC8yOC8wOCw4LzI4LzA4KQ==&amp;WINDOW=FIRST_POPUP&amp;HEIGHT=450&amp;WIDTH=450&amp;","START_MAXIMIZED=FALSE&amp;VAR:CALENDAR=US&amp;VAR:SYMBOL=RAI&amp;VAR:INDEX=0"}</definedName>
    <definedName name="_136__FDSAUDITLINK__" hidden="1">{"fdsup://directions/FAT Viewer?action=UPDATE&amp;creator=factset&amp;DYN_ARGS=TRUE&amp;DOC_NAME=FAT:FQL_AUDITING_CLIENT_TEMPLATE.FAT&amp;display_string=Audit&amp;VAR:KEY=TGNYRUVKBM&amp;VAR:QUERY=RkZfRElWX1lMRChBTk4sOC8yOC8wOCw4LzI4LzA4KQ==&amp;WINDOW=FIRST_POPUP&amp;HEIGHT=450&amp;WIDTH=450&amp;","START_MAXIMIZED=FALSE&amp;VAR:CALENDAR=US&amp;VAR:SYMBOL=RAI&amp;VAR:INDEX=0"}</definedName>
    <definedName name="_1360">#REF!</definedName>
    <definedName name="_1360__FDSAUDITLINK__" localSheetId="0" hidden="1">{"fdsup://directions/FAT Viewer?action=UPDATE&amp;creator=factset&amp;DYN_ARGS=TRUE&amp;DOC_NAME=FAT:FQL_AUDITING_CLIENT_TEMPLATE.FAT&amp;display_string=Audit&amp;VAR:KEY=BSHUBSZSHQ&amp;VAR:QUERY=RkZfRElWX1lMRChBTk4sMy8xNy8wNSwzLzE3LzA1KQ==&amp;WINDOW=FIRST_POPUP&amp;HEIGHT=450&amp;WIDTH=450&amp;","START_MAXIMIZED=FALSE&amp;VAR:CALENDAR=US&amp;VAR:SYMBOL=LO&amp;VAR:INDEX=0"}</definedName>
    <definedName name="_1360__FDSAUDITLINK__" hidden="1">{"fdsup://directions/FAT Viewer?action=UPDATE&amp;creator=factset&amp;DYN_ARGS=TRUE&amp;DOC_NAME=FAT:FQL_AUDITING_CLIENT_TEMPLATE.FAT&amp;display_string=Audit&amp;VAR:KEY=BSHUBSZSHQ&amp;VAR:QUERY=RkZfRElWX1lMRChBTk4sMy8xNy8wNSwzLzE3LzA1KQ==&amp;WINDOW=FIRST_POPUP&amp;HEIGHT=450&amp;WIDTH=450&amp;","START_MAXIMIZED=FALSE&amp;VAR:CALENDAR=US&amp;VAR:SYMBOL=LO&amp;VAR:INDEX=0"}</definedName>
    <definedName name="_1361">#REF!</definedName>
    <definedName name="_1361__FDSAUDITLINK__" localSheetId="0" hidden="1">{"fdsup://directions/FAT Viewer?action=UPDATE&amp;creator=factset&amp;DYN_ARGS=TRUE&amp;DOC_NAME=FAT:FQL_AUDITING_CLIENT_TEMPLATE.FAT&amp;display_string=Audit&amp;VAR:KEY=HQFIPMZQFE&amp;VAR:QUERY=RkZfRElWX1lMRChBTk4sMy8xMC8wNSwzLzEwLzA1KQ==&amp;WINDOW=FIRST_POPUP&amp;HEIGHT=450&amp;WIDTH=450&amp;","START_MAXIMIZED=FALSE&amp;VAR:CALENDAR=US&amp;VAR:SYMBOL=LO&amp;VAR:INDEX=0"}</definedName>
    <definedName name="_1361__FDSAUDITLINK__" hidden="1">{"fdsup://directions/FAT Viewer?action=UPDATE&amp;creator=factset&amp;DYN_ARGS=TRUE&amp;DOC_NAME=FAT:FQL_AUDITING_CLIENT_TEMPLATE.FAT&amp;display_string=Audit&amp;VAR:KEY=HQFIPMZQFE&amp;VAR:QUERY=RkZfRElWX1lMRChBTk4sMy8xMC8wNSwzLzEwLzA1KQ==&amp;WINDOW=FIRST_POPUP&amp;HEIGHT=450&amp;WIDTH=450&amp;","START_MAXIMIZED=FALSE&amp;VAR:CALENDAR=US&amp;VAR:SYMBOL=LO&amp;VAR:INDEX=0"}</definedName>
    <definedName name="_1362">#REF!</definedName>
    <definedName name="_1362__FDSAUDITLINK__" localSheetId="0" hidden="1">{"fdsup://directions/FAT Viewer?action=UPDATE&amp;creator=factset&amp;DYN_ARGS=TRUE&amp;DOC_NAME=FAT:FQL_AUDITING_CLIENT_TEMPLATE.FAT&amp;display_string=Audit&amp;VAR:KEY=BUPMTMNCJK&amp;VAR:QUERY=RkZfRElWX1lMRChBTk4sMy8wMy8wNSwzLzAzLzA1KQ==&amp;WINDOW=FIRST_POPUP&amp;HEIGHT=450&amp;WIDTH=450&amp;","START_MAXIMIZED=FALSE&amp;VAR:CALENDAR=US&amp;VAR:SYMBOL=LO&amp;VAR:INDEX=0"}</definedName>
    <definedName name="_1362__FDSAUDITLINK__" hidden="1">{"fdsup://directions/FAT Viewer?action=UPDATE&amp;creator=factset&amp;DYN_ARGS=TRUE&amp;DOC_NAME=FAT:FQL_AUDITING_CLIENT_TEMPLATE.FAT&amp;display_string=Audit&amp;VAR:KEY=BUPMTMNCJK&amp;VAR:QUERY=RkZfRElWX1lMRChBTk4sMy8wMy8wNSwzLzAzLzA1KQ==&amp;WINDOW=FIRST_POPUP&amp;HEIGHT=450&amp;WIDTH=450&amp;","START_MAXIMIZED=FALSE&amp;VAR:CALENDAR=US&amp;VAR:SYMBOL=LO&amp;VAR:INDEX=0"}</definedName>
    <definedName name="_1363">#REF!</definedName>
    <definedName name="_1363__FDSAUDITLINK__" localSheetId="0" hidden="1">{"fdsup://directions/FAT Viewer?action=UPDATE&amp;creator=factset&amp;DYN_ARGS=TRUE&amp;DOC_NAME=FAT:FQL_AUDITING_CLIENT_TEMPLATE.FAT&amp;display_string=Audit&amp;VAR:KEY=XOFGDYNKHM&amp;VAR:QUERY=RkZfRElWX1lMRChBTk4sMi8yNC8wNSwyLzI0LzA1KQ==&amp;WINDOW=FIRST_POPUP&amp;HEIGHT=450&amp;WIDTH=450&amp;","START_MAXIMIZED=FALSE&amp;VAR:CALENDAR=US&amp;VAR:SYMBOL=LO&amp;VAR:INDEX=0"}</definedName>
    <definedName name="_1363__FDSAUDITLINK__" hidden="1">{"fdsup://directions/FAT Viewer?action=UPDATE&amp;creator=factset&amp;DYN_ARGS=TRUE&amp;DOC_NAME=FAT:FQL_AUDITING_CLIENT_TEMPLATE.FAT&amp;display_string=Audit&amp;VAR:KEY=XOFGDYNKHM&amp;VAR:QUERY=RkZfRElWX1lMRChBTk4sMi8yNC8wNSwyLzI0LzA1KQ==&amp;WINDOW=FIRST_POPUP&amp;HEIGHT=450&amp;WIDTH=450&amp;","START_MAXIMIZED=FALSE&amp;VAR:CALENDAR=US&amp;VAR:SYMBOL=LO&amp;VAR:INDEX=0"}</definedName>
    <definedName name="_1364">#REF!</definedName>
    <definedName name="_1364__FDSAUDITLINK__" localSheetId="0" hidden="1">{"fdsup://directions/FAT Viewer?action=UPDATE&amp;creator=factset&amp;DYN_ARGS=TRUE&amp;DOC_NAME=FAT:FQL_AUDITING_CLIENT_TEMPLATE.FAT&amp;display_string=Audit&amp;VAR:KEY=VOZOFGVUDC&amp;VAR:QUERY=RkZfRElWX1lMRChBTk4sMi8xNy8wNSwyLzE3LzA1KQ==&amp;WINDOW=FIRST_POPUP&amp;HEIGHT=450&amp;WIDTH=450&amp;","START_MAXIMIZED=FALSE&amp;VAR:CALENDAR=US&amp;VAR:SYMBOL=LO&amp;VAR:INDEX=0"}</definedName>
    <definedName name="_1364__FDSAUDITLINK__" hidden="1">{"fdsup://directions/FAT Viewer?action=UPDATE&amp;creator=factset&amp;DYN_ARGS=TRUE&amp;DOC_NAME=FAT:FQL_AUDITING_CLIENT_TEMPLATE.FAT&amp;display_string=Audit&amp;VAR:KEY=VOZOFGVUDC&amp;VAR:QUERY=RkZfRElWX1lMRChBTk4sMi8xNy8wNSwyLzE3LzA1KQ==&amp;WINDOW=FIRST_POPUP&amp;HEIGHT=450&amp;WIDTH=450&amp;","START_MAXIMIZED=FALSE&amp;VAR:CALENDAR=US&amp;VAR:SYMBOL=LO&amp;VAR:INDEX=0"}</definedName>
    <definedName name="_1365">#REF!</definedName>
    <definedName name="_1365__FDSAUDITLINK__" localSheetId="0" hidden="1">{"fdsup://directions/FAT Viewer?action=UPDATE&amp;creator=factset&amp;DYN_ARGS=TRUE&amp;DOC_NAME=FAT:FQL_AUDITING_CLIENT_TEMPLATE.FAT&amp;display_string=Audit&amp;VAR:KEY=NQLQFUJILM&amp;VAR:QUERY=RkZfRElWX1lMRChBTk4sMi8xMC8wNSwyLzEwLzA1KQ==&amp;WINDOW=FIRST_POPUP&amp;HEIGHT=450&amp;WIDTH=450&amp;","START_MAXIMIZED=FALSE&amp;VAR:CALENDAR=US&amp;VAR:SYMBOL=LO&amp;VAR:INDEX=0"}</definedName>
    <definedName name="_1365__FDSAUDITLINK__" hidden="1">{"fdsup://directions/FAT Viewer?action=UPDATE&amp;creator=factset&amp;DYN_ARGS=TRUE&amp;DOC_NAME=FAT:FQL_AUDITING_CLIENT_TEMPLATE.FAT&amp;display_string=Audit&amp;VAR:KEY=NQLQFUJILM&amp;VAR:QUERY=RkZfRElWX1lMRChBTk4sMi8xMC8wNSwyLzEwLzA1KQ==&amp;WINDOW=FIRST_POPUP&amp;HEIGHT=450&amp;WIDTH=450&amp;","START_MAXIMIZED=FALSE&amp;VAR:CALENDAR=US&amp;VAR:SYMBOL=LO&amp;VAR:INDEX=0"}</definedName>
    <definedName name="_1366">#REF!</definedName>
    <definedName name="_1366__FDSAUDITLINK__" localSheetId="0" hidden="1">{"fdsup://directions/FAT Viewer?action=UPDATE&amp;creator=factset&amp;DYN_ARGS=TRUE&amp;DOC_NAME=FAT:FQL_AUDITING_CLIENT_TEMPLATE.FAT&amp;display_string=Audit&amp;VAR:KEY=FMBEVKVUPE&amp;VAR:QUERY=RkZfRElWX1lMRChBTk4sMi8wMy8wNSwyLzAzLzA1KQ==&amp;WINDOW=FIRST_POPUP&amp;HEIGHT=450&amp;WIDTH=450&amp;","START_MAXIMIZED=FALSE&amp;VAR:CALENDAR=US&amp;VAR:SYMBOL=LO&amp;VAR:INDEX=0"}</definedName>
    <definedName name="_1366__FDSAUDITLINK__" hidden="1">{"fdsup://directions/FAT Viewer?action=UPDATE&amp;creator=factset&amp;DYN_ARGS=TRUE&amp;DOC_NAME=FAT:FQL_AUDITING_CLIENT_TEMPLATE.FAT&amp;display_string=Audit&amp;VAR:KEY=FMBEVKVUPE&amp;VAR:QUERY=RkZfRElWX1lMRChBTk4sMi8wMy8wNSwyLzAzLzA1KQ==&amp;WINDOW=FIRST_POPUP&amp;HEIGHT=450&amp;WIDTH=450&amp;","START_MAXIMIZED=FALSE&amp;VAR:CALENDAR=US&amp;VAR:SYMBOL=LO&amp;VAR:INDEX=0"}</definedName>
    <definedName name="_1367">#REF!</definedName>
    <definedName name="_1367__FDSAUDITLINK__" localSheetId="0" hidden="1">{"fdsup://directions/FAT Viewer?action=UPDATE&amp;creator=factset&amp;DYN_ARGS=TRUE&amp;DOC_NAME=FAT:FQL_AUDITING_CLIENT_TEMPLATE.FAT&amp;display_string=Audit&amp;VAR:KEY=ZSBWLQRAZM&amp;VAR:QUERY=RkZfRElWX1lMRChBTk4sMS8yNy8wNSwxLzI3LzA1KQ==&amp;WINDOW=FIRST_POPUP&amp;HEIGHT=450&amp;WIDTH=450&amp;","START_MAXIMIZED=FALSE&amp;VAR:CALENDAR=US&amp;VAR:SYMBOL=LO&amp;VAR:INDEX=0"}</definedName>
    <definedName name="_1367__FDSAUDITLINK__" hidden="1">{"fdsup://directions/FAT Viewer?action=UPDATE&amp;creator=factset&amp;DYN_ARGS=TRUE&amp;DOC_NAME=FAT:FQL_AUDITING_CLIENT_TEMPLATE.FAT&amp;display_string=Audit&amp;VAR:KEY=ZSBWLQRAZM&amp;VAR:QUERY=RkZfRElWX1lMRChBTk4sMS8yNy8wNSwxLzI3LzA1KQ==&amp;WINDOW=FIRST_POPUP&amp;HEIGHT=450&amp;WIDTH=450&amp;","START_MAXIMIZED=FALSE&amp;VAR:CALENDAR=US&amp;VAR:SYMBOL=LO&amp;VAR:INDEX=0"}</definedName>
    <definedName name="_1368">#REF!</definedName>
    <definedName name="_1368__FDSAUDITLINK__" localSheetId="0" hidden="1">{"fdsup://directions/FAT Viewer?action=UPDATE&amp;creator=factset&amp;DYN_ARGS=TRUE&amp;DOC_NAME=FAT:FQL_AUDITING_CLIENT_TEMPLATE.FAT&amp;display_string=Audit&amp;VAR:KEY=XYLWFOZGTC&amp;VAR:QUERY=RkZfRElWX1lMRChBTk4sMS8yMC8wNSwxLzIwLzA1KQ==&amp;WINDOW=FIRST_POPUP&amp;HEIGHT=450&amp;WIDTH=450&amp;","START_MAXIMIZED=FALSE&amp;VAR:CALENDAR=US&amp;VAR:SYMBOL=LO&amp;VAR:INDEX=0"}</definedName>
    <definedName name="_1368__FDSAUDITLINK__" hidden="1">{"fdsup://directions/FAT Viewer?action=UPDATE&amp;creator=factset&amp;DYN_ARGS=TRUE&amp;DOC_NAME=FAT:FQL_AUDITING_CLIENT_TEMPLATE.FAT&amp;display_string=Audit&amp;VAR:KEY=XYLWFOZGTC&amp;VAR:QUERY=RkZfRElWX1lMRChBTk4sMS8yMC8wNSwxLzIwLzA1KQ==&amp;WINDOW=FIRST_POPUP&amp;HEIGHT=450&amp;WIDTH=450&amp;","START_MAXIMIZED=FALSE&amp;VAR:CALENDAR=US&amp;VAR:SYMBOL=LO&amp;VAR:INDEX=0"}</definedName>
    <definedName name="_1369">#REF!</definedName>
    <definedName name="_1369__FDSAUDITLINK__" localSheetId="0" hidden="1">{"fdsup://directions/FAT Viewer?action=UPDATE&amp;creator=factset&amp;DYN_ARGS=TRUE&amp;DOC_NAME=FAT:FQL_AUDITING_CLIENT_TEMPLATE.FAT&amp;display_string=Audit&amp;VAR:KEY=HAFCDWVOXQ&amp;VAR:QUERY=RkZfRElWX1lMRChBTk4sMS8xMy8wNSwxLzEzLzA1KQ==&amp;WINDOW=FIRST_POPUP&amp;HEIGHT=450&amp;WIDTH=450&amp;","START_MAXIMIZED=FALSE&amp;VAR:CALENDAR=US&amp;VAR:SYMBOL=LO&amp;VAR:INDEX=0"}</definedName>
    <definedName name="_1369__FDSAUDITLINK__" hidden="1">{"fdsup://directions/FAT Viewer?action=UPDATE&amp;creator=factset&amp;DYN_ARGS=TRUE&amp;DOC_NAME=FAT:FQL_AUDITING_CLIENT_TEMPLATE.FAT&amp;display_string=Audit&amp;VAR:KEY=HAFCDWVOXQ&amp;VAR:QUERY=RkZfRElWX1lMRChBTk4sMS8xMy8wNSwxLzEzLzA1KQ==&amp;WINDOW=FIRST_POPUP&amp;HEIGHT=450&amp;WIDTH=450&amp;","START_MAXIMIZED=FALSE&amp;VAR:CALENDAR=US&amp;VAR:SYMBOL=LO&amp;VAR:INDEX=0"}</definedName>
    <definedName name="_137">#REF!</definedName>
    <definedName name="_137__FDSAUDITLINK__" localSheetId="0" hidden="1">{"fdsup://directions/FAT Viewer?action=UPDATE&amp;creator=factset&amp;DYN_ARGS=TRUE&amp;DOC_NAME=FAT:FQL_AUDITING_CLIENT_TEMPLATE.FAT&amp;display_string=Audit&amp;VAR:KEY=ZERKLCNSJA&amp;VAR:QUERY=RkZfRElWX1lMRChBTk4sOC8yMS8wOCw4LzIxLzA4KQ==&amp;WINDOW=FIRST_POPUP&amp;HEIGHT=450&amp;WIDTH=450&amp;","START_MAXIMIZED=FALSE&amp;VAR:CALENDAR=US&amp;VAR:SYMBOL=RAI&amp;VAR:INDEX=0"}</definedName>
    <definedName name="_137__FDSAUDITLINK__" hidden="1">{"fdsup://directions/FAT Viewer?action=UPDATE&amp;creator=factset&amp;DYN_ARGS=TRUE&amp;DOC_NAME=FAT:FQL_AUDITING_CLIENT_TEMPLATE.FAT&amp;display_string=Audit&amp;VAR:KEY=ZERKLCNSJA&amp;VAR:QUERY=RkZfRElWX1lMRChBTk4sOC8yMS8wOCw4LzIxLzA4KQ==&amp;WINDOW=FIRST_POPUP&amp;HEIGHT=450&amp;WIDTH=450&amp;","START_MAXIMIZED=FALSE&amp;VAR:CALENDAR=US&amp;VAR:SYMBOL=RAI&amp;VAR:INDEX=0"}</definedName>
    <definedName name="_1370">#REF!</definedName>
    <definedName name="_1370__FDSAUDITLINK__" localSheetId="0" hidden="1">{"fdsup://directions/FAT Viewer?action=UPDATE&amp;creator=factset&amp;DYN_ARGS=TRUE&amp;DOC_NAME=FAT:FQL_AUDITING_CLIENT_TEMPLATE.FAT&amp;display_string=Audit&amp;VAR:KEY=DKXANYNMJO&amp;VAR:QUERY=RkZfRElWX1lMRChBTk4sMS8wNi8wNSwxLzA2LzA1KQ==&amp;WINDOW=FIRST_POPUP&amp;HEIGHT=450&amp;WIDTH=450&amp;","START_MAXIMIZED=FALSE&amp;VAR:CALENDAR=US&amp;VAR:SYMBOL=LO&amp;VAR:INDEX=0"}</definedName>
    <definedName name="_1370__FDSAUDITLINK__" hidden="1">{"fdsup://directions/FAT Viewer?action=UPDATE&amp;creator=factset&amp;DYN_ARGS=TRUE&amp;DOC_NAME=FAT:FQL_AUDITING_CLIENT_TEMPLATE.FAT&amp;display_string=Audit&amp;VAR:KEY=DKXANYNMJO&amp;VAR:QUERY=RkZfRElWX1lMRChBTk4sMS8wNi8wNSwxLzA2LzA1KQ==&amp;WINDOW=FIRST_POPUP&amp;HEIGHT=450&amp;WIDTH=450&amp;","START_MAXIMIZED=FALSE&amp;VAR:CALENDAR=US&amp;VAR:SYMBOL=LO&amp;VAR:INDEX=0"}</definedName>
    <definedName name="_1371__FDSAUDITLINK__" localSheetId="0" hidden="1">{"fdsup://directions/FAT Viewer?action=UPDATE&amp;creator=factset&amp;DYN_ARGS=TRUE&amp;DOC_NAME=FAT:FQL_AUDITING_CLIENT_TEMPLATE.FAT&amp;display_string=Audit&amp;VAR:KEY=NIBSTIRMTE&amp;VAR:QUERY=RkZfRElWX1lMRChBTk4sMTIvMzAvMDQsMTIvMzAvMDQp&amp;WINDOW=FIRST_POPUP&amp;HEIGHT=450&amp;WIDTH=450&amp;","START_MAXIMIZED=FALSE&amp;VAR:CALENDAR=US&amp;VAR:SYMBOL=LO&amp;VAR:INDEX=0"}</definedName>
    <definedName name="_1371__FDSAUDITLINK__" hidden="1">{"fdsup://directions/FAT Viewer?action=UPDATE&amp;creator=factset&amp;DYN_ARGS=TRUE&amp;DOC_NAME=FAT:FQL_AUDITING_CLIENT_TEMPLATE.FAT&amp;display_string=Audit&amp;VAR:KEY=NIBSTIRMTE&amp;VAR:QUERY=RkZfRElWX1lMRChBTk4sMTIvMzAvMDQsMTIvMzAvMDQp&amp;WINDOW=FIRST_POPUP&amp;HEIGHT=450&amp;WIDTH=450&amp;","START_MAXIMIZED=FALSE&amp;VAR:CALENDAR=US&amp;VAR:SYMBOL=LO&amp;VAR:INDEX=0"}</definedName>
    <definedName name="_1372__FDSAUDITLINK__" localSheetId="0" hidden="1">{"fdsup://directions/FAT Viewer?action=UPDATE&amp;creator=factset&amp;DYN_ARGS=TRUE&amp;DOC_NAME=FAT:FQL_AUDITING_CLIENT_TEMPLATE.FAT&amp;display_string=Audit&amp;VAR:KEY=FYHATWHIPG&amp;VAR:QUERY=RkZfRElWX1lMRChBTk4sMTIvMjMvMDQsMTIvMjMvMDQp&amp;WINDOW=FIRST_POPUP&amp;HEIGHT=450&amp;WIDTH=450&amp;","START_MAXIMIZED=FALSE&amp;VAR:CALENDAR=US&amp;VAR:SYMBOL=LO&amp;VAR:INDEX=0"}</definedName>
    <definedName name="_1372__FDSAUDITLINK__" hidden="1">{"fdsup://directions/FAT Viewer?action=UPDATE&amp;creator=factset&amp;DYN_ARGS=TRUE&amp;DOC_NAME=FAT:FQL_AUDITING_CLIENT_TEMPLATE.FAT&amp;display_string=Audit&amp;VAR:KEY=FYHATWHIPG&amp;VAR:QUERY=RkZfRElWX1lMRChBTk4sMTIvMjMvMDQsMTIvMjMvMDQp&amp;WINDOW=FIRST_POPUP&amp;HEIGHT=450&amp;WIDTH=450&amp;","START_MAXIMIZED=FALSE&amp;VAR:CALENDAR=US&amp;VAR:SYMBOL=LO&amp;VAR:INDEX=0"}</definedName>
    <definedName name="_1373">#REF!</definedName>
    <definedName name="_1373__FDSAUDITLINK__" localSheetId="0" hidden="1">{"fdsup://directions/FAT Viewer?action=UPDATE&amp;creator=factset&amp;DYN_ARGS=TRUE&amp;DOC_NAME=FAT:FQL_AUDITING_CLIENT_TEMPLATE.FAT&amp;display_string=Audit&amp;VAR:KEY=ZGHAFMHABU&amp;VAR:QUERY=RkZfRElWX1lMRChBTk4sMTIvMTYvMDQsMTIvMTYvMDQp&amp;WINDOW=FIRST_POPUP&amp;HEIGHT=450&amp;WIDTH=450&amp;","START_MAXIMIZED=FALSE&amp;VAR:CALENDAR=US&amp;VAR:SYMBOL=LO&amp;VAR:INDEX=0"}</definedName>
    <definedName name="_1373__FDSAUDITLINK__" hidden="1">{"fdsup://directions/FAT Viewer?action=UPDATE&amp;creator=factset&amp;DYN_ARGS=TRUE&amp;DOC_NAME=FAT:FQL_AUDITING_CLIENT_TEMPLATE.FAT&amp;display_string=Audit&amp;VAR:KEY=ZGHAFMHABU&amp;VAR:QUERY=RkZfRElWX1lMRChBTk4sMTIvMTYvMDQsMTIvMTYvMDQp&amp;WINDOW=FIRST_POPUP&amp;HEIGHT=450&amp;WIDTH=450&amp;","START_MAXIMIZED=FALSE&amp;VAR:CALENDAR=US&amp;VAR:SYMBOL=LO&amp;VAR:INDEX=0"}</definedName>
    <definedName name="_1374__FDSAUDITLINK__" localSheetId="0" hidden="1">{"fdsup://directions/FAT Viewer?action=UPDATE&amp;creator=factset&amp;DYN_ARGS=TRUE&amp;DOC_NAME=FAT:FQL_AUDITING_CLIENT_TEMPLATE.FAT&amp;display_string=Audit&amp;VAR:KEY=ZMBSLEXEDW&amp;VAR:QUERY=RkZfRElWX1lMRChBTk4sMTIvMDkvMDQsMTIvMDkvMDQp&amp;WINDOW=FIRST_POPUP&amp;HEIGHT=450&amp;WIDTH=450&amp;","START_MAXIMIZED=FALSE&amp;VAR:CALENDAR=US&amp;VAR:SYMBOL=LO&amp;VAR:INDEX=0"}</definedName>
    <definedName name="_1374__FDSAUDITLINK__" hidden="1">{"fdsup://directions/FAT Viewer?action=UPDATE&amp;creator=factset&amp;DYN_ARGS=TRUE&amp;DOC_NAME=FAT:FQL_AUDITING_CLIENT_TEMPLATE.FAT&amp;display_string=Audit&amp;VAR:KEY=ZMBSLEXEDW&amp;VAR:QUERY=RkZfRElWX1lMRChBTk4sMTIvMDkvMDQsMTIvMDkvMDQp&amp;WINDOW=FIRST_POPUP&amp;HEIGHT=450&amp;WIDTH=450&amp;","START_MAXIMIZED=FALSE&amp;VAR:CALENDAR=US&amp;VAR:SYMBOL=LO&amp;VAR:INDEX=0"}</definedName>
    <definedName name="_1375__FDSAUDITLINK__" localSheetId="0" hidden="1">{"fdsup://directions/FAT Viewer?action=UPDATE&amp;creator=factset&amp;DYN_ARGS=TRUE&amp;DOC_NAME=FAT:FQL_AUDITING_CLIENT_TEMPLATE.FAT&amp;display_string=Audit&amp;VAR:KEY=BWNCRYLUBO&amp;VAR:QUERY=RkZfRElWX1lMRChBTk4sMTIvMDIvMDQsMTIvMDIvMDQp&amp;WINDOW=FIRST_POPUP&amp;HEIGHT=450&amp;WIDTH=450&amp;","START_MAXIMIZED=FALSE&amp;VAR:CALENDAR=US&amp;VAR:SYMBOL=LO&amp;VAR:INDEX=0"}</definedName>
    <definedName name="_1375__FDSAUDITLINK__" hidden="1">{"fdsup://directions/FAT Viewer?action=UPDATE&amp;creator=factset&amp;DYN_ARGS=TRUE&amp;DOC_NAME=FAT:FQL_AUDITING_CLIENT_TEMPLATE.FAT&amp;display_string=Audit&amp;VAR:KEY=BWNCRYLUBO&amp;VAR:QUERY=RkZfRElWX1lMRChBTk4sMTIvMDIvMDQsMTIvMDIvMDQp&amp;WINDOW=FIRST_POPUP&amp;HEIGHT=450&amp;WIDTH=450&amp;","START_MAXIMIZED=FALSE&amp;VAR:CALENDAR=US&amp;VAR:SYMBOL=LO&amp;VAR:INDEX=0"}</definedName>
    <definedName name="_1376__FDSAUDITLINK__" localSheetId="0" hidden="1">{"fdsup://directions/FAT Viewer?action=UPDATE&amp;creator=factset&amp;DYN_ARGS=TRUE&amp;DOC_NAME=FAT:FQL_AUDITING_CLIENT_TEMPLATE.FAT&amp;display_string=Audit&amp;VAR:KEY=HWROFSFELC&amp;VAR:QUERY=RkZfRElWX1lMRChBTk4sMTEvMjQvMDQsMTEvMjQvMDQp&amp;WINDOW=FIRST_POPUP&amp;HEIGHT=450&amp;WIDTH=450&amp;","START_MAXIMIZED=FALSE&amp;VAR:CALENDAR=US&amp;VAR:SYMBOL=LO&amp;VAR:INDEX=0"}</definedName>
    <definedName name="_1376__FDSAUDITLINK__" hidden="1">{"fdsup://directions/FAT Viewer?action=UPDATE&amp;creator=factset&amp;DYN_ARGS=TRUE&amp;DOC_NAME=FAT:FQL_AUDITING_CLIENT_TEMPLATE.FAT&amp;display_string=Audit&amp;VAR:KEY=HWROFSFELC&amp;VAR:QUERY=RkZfRElWX1lMRChBTk4sMTEvMjQvMDQsMTEvMjQvMDQp&amp;WINDOW=FIRST_POPUP&amp;HEIGHT=450&amp;WIDTH=450&amp;","START_MAXIMIZED=FALSE&amp;VAR:CALENDAR=US&amp;VAR:SYMBOL=LO&amp;VAR:INDEX=0"}</definedName>
    <definedName name="_1377__FDSAUDITLINK__" localSheetId="0" hidden="1">{"fdsup://directions/FAT Viewer?action=UPDATE&amp;creator=factset&amp;DYN_ARGS=TRUE&amp;DOC_NAME=FAT:FQL_AUDITING_CLIENT_TEMPLATE.FAT&amp;display_string=Audit&amp;VAR:KEY=LUXIBSTMRO&amp;VAR:QUERY=RkZfRElWX1lMRChBTk4sMTEvMTgvMDQsMTEvMTgvMDQp&amp;WINDOW=FIRST_POPUP&amp;HEIGHT=450&amp;WIDTH=450&amp;","START_MAXIMIZED=FALSE&amp;VAR:CALENDAR=US&amp;VAR:SYMBOL=LO&amp;VAR:INDEX=0"}</definedName>
    <definedName name="_1377__FDSAUDITLINK__" hidden="1">{"fdsup://directions/FAT Viewer?action=UPDATE&amp;creator=factset&amp;DYN_ARGS=TRUE&amp;DOC_NAME=FAT:FQL_AUDITING_CLIENT_TEMPLATE.FAT&amp;display_string=Audit&amp;VAR:KEY=LUXIBSTMRO&amp;VAR:QUERY=RkZfRElWX1lMRChBTk4sMTEvMTgvMDQsMTEvMTgvMDQp&amp;WINDOW=FIRST_POPUP&amp;HEIGHT=450&amp;WIDTH=450&amp;","START_MAXIMIZED=FALSE&amp;VAR:CALENDAR=US&amp;VAR:SYMBOL=LO&amp;VAR:INDEX=0"}</definedName>
    <definedName name="_1378">#REF!</definedName>
    <definedName name="_1378__FDSAUDITLINK__" localSheetId="0" hidden="1">{"fdsup://directions/FAT Viewer?action=UPDATE&amp;creator=factset&amp;DYN_ARGS=TRUE&amp;DOC_NAME=FAT:FQL_AUDITING_CLIENT_TEMPLATE.FAT&amp;display_string=Audit&amp;VAR:KEY=TILMZSLODE&amp;VAR:QUERY=RkZfRElWX1lMRChBTk4sMTEvMTEvMDQsMTEvMTEvMDQp&amp;WINDOW=FIRST_POPUP&amp;HEIGHT=450&amp;WIDTH=450&amp;","START_MAXIMIZED=FALSE&amp;VAR:CALENDAR=US&amp;VAR:SYMBOL=LO&amp;VAR:INDEX=0"}</definedName>
    <definedName name="_1378__FDSAUDITLINK__" hidden="1">{"fdsup://directions/FAT Viewer?action=UPDATE&amp;creator=factset&amp;DYN_ARGS=TRUE&amp;DOC_NAME=FAT:FQL_AUDITING_CLIENT_TEMPLATE.FAT&amp;display_string=Audit&amp;VAR:KEY=TILMZSLODE&amp;VAR:QUERY=RkZfRElWX1lMRChBTk4sMTEvMTEvMDQsMTEvMTEvMDQp&amp;WINDOW=FIRST_POPUP&amp;HEIGHT=450&amp;WIDTH=450&amp;","START_MAXIMIZED=FALSE&amp;VAR:CALENDAR=US&amp;VAR:SYMBOL=LO&amp;VAR:INDEX=0"}</definedName>
    <definedName name="_1379__FDSAUDITLINK__" localSheetId="0" hidden="1">{"fdsup://directions/FAT Viewer?action=UPDATE&amp;creator=factset&amp;DYN_ARGS=TRUE&amp;DOC_NAME=FAT:FQL_AUDITING_CLIENT_TEMPLATE.FAT&amp;display_string=Audit&amp;VAR:KEY=XATKJYNMRS&amp;VAR:QUERY=RkZfRElWX1lMRChBTk4sMTEvMDQvMDQsMTEvMDQvMDQp&amp;WINDOW=FIRST_POPUP&amp;HEIGHT=450&amp;WIDTH=450&amp;","START_MAXIMIZED=FALSE&amp;VAR:CALENDAR=US&amp;VAR:SYMBOL=LO&amp;VAR:INDEX=0"}</definedName>
    <definedName name="_1379__FDSAUDITLINK__" hidden="1">{"fdsup://directions/FAT Viewer?action=UPDATE&amp;creator=factset&amp;DYN_ARGS=TRUE&amp;DOC_NAME=FAT:FQL_AUDITING_CLIENT_TEMPLATE.FAT&amp;display_string=Audit&amp;VAR:KEY=XATKJYNMRS&amp;VAR:QUERY=RkZfRElWX1lMRChBTk4sMTEvMDQvMDQsMTEvMDQvMDQp&amp;WINDOW=FIRST_POPUP&amp;HEIGHT=450&amp;WIDTH=450&amp;","START_MAXIMIZED=FALSE&amp;VAR:CALENDAR=US&amp;VAR:SYMBOL=LO&amp;VAR:INDEX=0"}</definedName>
    <definedName name="_137Table2_">#REF!</definedName>
    <definedName name="_138">#REF!</definedName>
    <definedName name="_138__123Graph_EQRE_S_BY_CO.">#REF!</definedName>
    <definedName name="_138__FDSAUDITLINK__" localSheetId="0" hidden="1">{"fdsup://directions/FAT Viewer?action=UPDATE&amp;creator=factset&amp;DYN_ARGS=TRUE&amp;DOC_NAME=FAT:FQL_AUDITING_CLIENT_TEMPLATE.FAT&amp;display_string=Audit&amp;VAR:KEY=DUPEDYNOJM&amp;VAR:QUERY=RkZfRElWX1lMRChBTk4sOC8xNC8wOCw4LzE0LzA4KQ==&amp;WINDOW=FIRST_POPUP&amp;HEIGHT=450&amp;WIDTH=450&amp;","START_MAXIMIZED=FALSE&amp;VAR:CALENDAR=US&amp;VAR:SYMBOL=RAI&amp;VAR:INDEX=0"}</definedName>
    <definedName name="_138__FDSAUDITLINK__" hidden="1">{"fdsup://directions/FAT Viewer?action=UPDATE&amp;creator=factset&amp;DYN_ARGS=TRUE&amp;DOC_NAME=FAT:FQL_AUDITING_CLIENT_TEMPLATE.FAT&amp;display_string=Audit&amp;VAR:KEY=DUPEDYNOJM&amp;VAR:QUERY=RkZfRElWX1lMRChBTk4sOC8xNC8wOCw4LzE0LzA4KQ==&amp;WINDOW=FIRST_POPUP&amp;HEIGHT=450&amp;WIDTH=450&amp;","START_MAXIMIZED=FALSE&amp;VAR:CALENDAR=US&amp;VAR:SYMBOL=RAI&amp;VAR:INDEX=0"}</definedName>
    <definedName name="_1380__FDSAUDITLINK__" localSheetId="0" hidden="1">{"fdsup://directions/FAT Viewer?action=UPDATE&amp;creator=factset&amp;DYN_ARGS=TRUE&amp;DOC_NAME=FAT:FQL_AUDITING_CLIENT_TEMPLATE.FAT&amp;display_string=Audit&amp;VAR:KEY=FCPSXIDYVG&amp;VAR:QUERY=RkZfRElWX1lMRChBTk4sMTAvMjgvMDQsMTAvMjgvMDQp&amp;WINDOW=FIRST_POPUP&amp;HEIGHT=450&amp;WIDTH=450&amp;","START_MAXIMIZED=FALSE&amp;VAR:CALENDAR=US&amp;VAR:SYMBOL=LO&amp;VAR:INDEX=0"}</definedName>
    <definedName name="_1380__FDSAUDITLINK__" hidden="1">{"fdsup://directions/FAT Viewer?action=UPDATE&amp;creator=factset&amp;DYN_ARGS=TRUE&amp;DOC_NAME=FAT:FQL_AUDITING_CLIENT_TEMPLATE.FAT&amp;display_string=Audit&amp;VAR:KEY=FCPSXIDYVG&amp;VAR:QUERY=RkZfRElWX1lMRChBTk4sMTAvMjgvMDQsMTAvMjgvMDQp&amp;WINDOW=FIRST_POPUP&amp;HEIGHT=450&amp;WIDTH=450&amp;","START_MAXIMIZED=FALSE&amp;VAR:CALENDAR=US&amp;VAR:SYMBOL=LO&amp;VAR:INDEX=0"}</definedName>
    <definedName name="_1381__FDSAUDITLINK__" localSheetId="0" hidden="1">{"fdsup://directions/FAT Viewer?action=UPDATE&amp;creator=factset&amp;DYN_ARGS=TRUE&amp;DOC_NAME=FAT:FQL_AUDITING_CLIENT_TEMPLATE.FAT&amp;display_string=Audit&amp;VAR:KEY=RIVSZWNWZI&amp;VAR:QUERY=RkZfRElWX1lMRChBTk4sMTAvMjEvMDQsMTAvMjEvMDQp&amp;WINDOW=FIRST_POPUP&amp;HEIGHT=450&amp;WIDTH=450&amp;","START_MAXIMIZED=FALSE&amp;VAR:CALENDAR=US&amp;VAR:SYMBOL=LO&amp;VAR:INDEX=0"}</definedName>
    <definedName name="_1381__FDSAUDITLINK__" hidden="1">{"fdsup://directions/FAT Viewer?action=UPDATE&amp;creator=factset&amp;DYN_ARGS=TRUE&amp;DOC_NAME=FAT:FQL_AUDITING_CLIENT_TEMPLATE.FAT&amp;display_string=Audit&amp;VAR:KEY=RIVSZWNWZI&amp;VAR:QUERY=RkZfRElWX1lMRChBTk4sMTAvMjEvMDQsMTAvMjEvMDQp&amp;WINDOW=FIRST_POPUP&amp;HEIGHT=450&amp;WIDTH=450&amp;","START_MAXIMIZED=FALSE&amp;VAR:CALENDAR=US&amp;VAR:SYMBOL=LO&amp;VAR:INDEX=0"}</definedName>
    <definedName name="_1382__FDSAUDITLINK__" localSheetId="0" hidden="1">{"fdsup://directions/FAT Viewer?action=UPDATE&amp;creator=factset&amp;DYN_ARGS=TRUE&amp;DOC_NAME=FAT:FQL_AUDITING_CLIENT_TEMPLATE.FAT&amp;display_string=Audit&amp;VAR:KEY=NWNQJSTYJI&amp;VAR:QUERY=RkZfRElWX1lMRChBTk4sMTAvMTQvMDQsMTAvMTQvMDQp&amp;WINDOW=FIRST_POPUP&amp;HEIGHT=450&amp;WIDTH=450&amp;","START_MAXIMIZED=FALSE&amp;VAR:CALENDAR=US&amp;VAR:SYMBOL=LO&amp;VAR:INDEX=0"}</definedName>
    <definedName name="_1382__FDSAUDITLINK__" hidden="1">{"fdsup://directions/FAT Viewer?action=UPDATE&amp;creator=factset&amp;DYN_ARGS=TRUE&amp;DOC_NAME=FAT:FQL_AUDITING_CLIENT_TEMPLATE.FAT&amp;display_string=Audit&amp;VAR:KEY=NWNQJSTYJI&amp;VAR:QUERY=RkZfRElWX1lMRChBTk4sMTAvMTQvMDQsMTAvMTQvMDQp&amp;WINDOW=FIRST_POPUP&amp;HEIGHT=450&amp;WIDTH=450&amp;","START_MAXIMIZED=FALSE&amp;VAR:CALENDAR=US&amp;VAR:SYMBOL=LO&amp;VAR:INDEX=0"}</definedName>
    <definedName name="_1383">#REF!</definedName>
    <definedName name="_1383__FDSAUDITLINK__" localSheetId="0" hidden="1">{"fdsup://directions/FAT Viewer?action=UPDATE&amp;creator=factset&amp;DYN_ARGS=TRUE&amp;DOC_NAME=FAT:FQL_AUDITING_CLIENT_TEMPLATE.FAT&amp;display_string=Audit&amp;VAR:KEY=XKREBUZQVK&amp;VAR:QUERY=RkZfRElWX1lMRChBTk4sMTAvMDcvMDQsMTAvMDcvMDQp&amp;WINDOW=FIRST_POPUP&amp;HEIGHT=450&amp;WIDTH=450&amp;","START_MAXIMIZED=FALSE&amp;VAR:CALENDAR=US&amp;VAR:SYMBOL=LO&amp;VAR:INDEX=0"}</definedName>
    <definedName name="_1383__FDSAUDITLINK__" hidden="1">{"fdsup://directions/FAT Viewer?action=UPDATE&amp;creator=factset&amp;DYN_ARGS=TRUE&amp;DOC_NAME=FAT:FQL_AUDITING_CLIENT_TEMPLATE.FAT&amp;display_string=Audit&amp;VAR:KEY=XKREBUZQVK&amp;VAR:QUERY=RkZfRElWX1lMRChBTk4sMTAvMDcvMDQsMTAvMDcvMDQp&amp;WINDOW=FIRST_POPUP&amp;HEIGHT=450&amp;WIDTH=450&amp;","START_MAXIMIZED=FALSE&amp;VAR:CALENDAR=US&amp;VAR:SYMBOL=LO&amp;VAR:INDEX=0"}</definedName>
    <definedName name="_1384__FDSAUDITLINK__" localSheetId="0" hidden="1">{"fdsup://directions/FAT Viewer?action=UPDATE&amp;creator=factset&amp;DYN_ARGS=TRUE&amp;DOC_NAME=FAT:FQL_AUDITING_CLIENT_TEMPLATE.FAT&amp;display_string=Audit&amp;VAR:KEY=JGHWZUFMJS&amp;VAR:QUERY=RkZfRElWX1lMRChBTk4sOS8zMC8wNCw5LzMwLzA0KQ==&amp;WINDOW=FIRST_POPUP&amp;HEIGHT=450&amp;WIDTH=450&amp;","START_MAXIMIZED=FALSE&amp;VAR:CALENDAR=US&amp;VAR:SYMBOL=LO&amp;VAR:INDEX=0"}</definedName>
    <definedName name="_1384__FDSAUDITLINK__" hidden="1">{"fdsup://directions/FAT Viewer?action=UPDATE&amp;creator=factset&amp;DYN_ARGS=TRUE&amp;DOC_NAME=FAT:FQL_AUDITING_CLIENT_TEMPLATE.FAT&amp;display_string=Audit&amp;VAR:KEY=JGHWZUFMJS&amp;VAR:QUERY=RkZfRElWX1lMRChBTk4sOS8zMC8wNCw5LzMwLzA0KQ==&amp;WINDOW=FIRST_POPUP&amp;HEIGHT=450&amp;WIDTH=450&amp;","START_MAXIMIZED=FALSE&amp;VAR:CALENDAR=US&amp;VAR:SYMBOL=LO&amp;VAR:INDEX=0"}</definedName>
    <definedName name="_1385__FDSAUDITLINK__" localSheetId="0" hidden="1">{"fdsup://directions/FAT Viewer?action=UPDATE&amp;creator=factset&amp;DYN_ARGS=TRUE&amp;DOC_NAME=FAT:FQL_AUDITING_CLIENT_TEMPLATE.FAT&amp;display_string=Audit&amp;VAR:KEY=BOVIDMREHK&amp;VAR:QUERY=RkZfRElWX1lMRChBTk4sOS8yMy8wNCw5LzIzLzA0KQ==&amp;WINDOW=FIRST_POPUP&amp;HEIGHT=450&amp;WIDTH=450&amp;","START_MAXIMIZED=FALSE&amp;VAR:CALENDAR=US&amp;VAR:SYMBOL=LO&amp;VAR:INDEX=0"}</definedName>
    <definedName name="_1385__FDSAUDITLINK__" hidden="1">{"fdsup://directions/FAT Viewer?action=UPDATE&amp;creator=factset&amp;DYN_ARGS=TRUE&amp;DOC_NAME=FAT:FQL_AUDITING_CLIENT_TEMPLATE.FAT&amp;display_string=Audit&amp;VAR:KEY=BOVIDMREHK&amp;VAR:QUERY=RkZfRElWX1lMRChBTk4sOS8yMy8wNCw5LzIzLzA0KQ==&amp;WINDOW=FIRST_POPUP&amp;HEIGHT=450&amp;WIDTH=450&amp;","START_MAXIMIZED=FALSE&amp;VAR:CALENDAR=US&amp;VAR:SYMBOL=LO&amp;VAR:INDEX=0"}</definedName>
    <definedName name="_1386__FDSAUDITLINK__" localSheetId="0" hidden="1">{"fdsup://directions/FAT Viewer?action=UPDATE&amp;creator=factset&amp;DYN_ARGS=TRUE&amp;DOC_NAME=FAT:FQL_AUDITING_CLIENT_TEMPLATE.FAT&amp;display_string=Audit&amp;VAR:KEY=FIRMFIDYPG&amp;VAR:QUERY=RkZfRElWX1lMRChBTk4sOS8xNi8wNCw5LzE2LzA0KQ==&amp;WINDOW=FIRST_POPUP&amp;HEIGHT=450&amp;WIDTH=450&amp;","START_MAXIMIZED=FALSE&amp;VAR:CALENDAR=US&amp;VAR:SYMBOL=LO&amp;VAR:INDEX=0"}</definedName>
    <definedName name="_1386__FDSAUDITLINK__" hidden="1">{"fdsup://directions/FAT Viewer?action=UPDATE&amp;creator=factset&amp;DYN_ARGS=TRUE&amp;DOC_NAME=FAT:FQL_AUDITING_CLIENT_TEMPLATE.FAT&amp;display_string=Audit&amp;VAR:KEY=FIRMFIDYPG&amp;VAR:QUERY=RkZfRElWX1lMRChBTk4sOS8xNi8wNCw5LzE2LzA0KQ==&amp;WINDOW=FIRST_POPUP&amp;HEIGHT=450&amp;WIDTH=450&amp;","START_MAXIMIZED=FALSE&amp;VAR:CALENDAR=US&amp;VAR:SYMBOL=LO&amp;VAR:INDEX=0"}</definedName>
    <definedName name="_1387__FDSAUDITLINK__" localSheetId="0" hidden="1">{"fdsup://directions/FAT Viewer?action=UPDATE&amp;creator=factset&amp;DYN_ARGS=TRUE&amp;DOC_NAME=FAT:FQL_AUDITING_CLIENT_TEMPLATE.FAT&amp;display_string=Audit&amp;VAR:KEY=TUDIHANIBG&amp;VAR:QUERY=RkZfRElWX1lMRChBTk4sOS8wOS8wNCw5LzA5LzA0KQ==&amp;WINDOW=FIRST_POPUP&amp;HEIGHT=450&amp;WIDTH=450&amp;","START_MAXIMIZED=FALSE&amp;VAR:CALENDAR=US&amp;VAR:SYMBOL=LO&amp;VAR:INDEX=0"}</definedName>
    <definedName name="_1387__FDSAUDITLINK__" hidden="1">{"fdsup://directions/FAT Viewer?action=UPDATE&amp;creator=factset&amp;DYN_ARGS=TRUE&amp;DOC_NAME=FAT:FQL_AUDITING_CLIENT_TEMPLATE.FAT&amp;display_string=Audit&amp;VAR:KEY=TUDIHANIBG&amp;VAR:QUERY=RkZfRElWX1lMRChBTk4sOS8wOS8wNCw5LzA5LzA0KQ==&amp;WINDOW=FIRST_POPUP&amp;HEIGHT=450&amp;WIDTH=450&amp;","START_MAXIMIZED=FALSE&amp;VAR:CALENDAR=US&amp;VAR:SYMBOL=LO&amp;VAR:INDEX=0"}</definedName>
    <definedName name="_1388__FDSAUDITLINK__" localSheetId="0" hidden="1">{"fdsup://directions/FAT Viewer?action=UPDATE&amp;creator=factset&amp;DYN_ARGS=TRUE&amp;DOC_NAME=FAT:FQL_AUDITING_CLIENT_TEMPLATE.FAT&amp;display_string=Audit&amp;VAR:KEY=BCLWJERCFW&amp;VAR:QUERY=RkZfRElWX1lMRChBTk4sOS8wMi8wNCw5LzAyLzA0KQ==&amp;WINDOW=FIRST_POPUP&amp;HEIGHT=450&amp;WIDTH=450&amp;","START_MAXIMIZED=FALSE&amp;VAR:CALENDAR=US&amp;VAR:SYMBOL=LO&amp;VAR:INDEX=0"}</definedName>
    <definedName name="_1388__FDSAUDITLINK__" hidden="1">{"fdsup://directions/FAT Viewer?action=UPDATE&amp;creator=factset&amp;DYN_ARGS=TRUE&amp;DOC_NAME=FAT:FQL_AUDITING_CLIENT_TEMPLATE.FAT&amp;display_string=Audit&amp;VAR:KEY=BCLWJERCFW&amp;VAR:QUERY=RkZfRElWX1lMRChBTk4sOS8wMi8wNCw5LzAyLzA0KQ==&amp;WINDOW=FIRST_POPUP&amp;HEIGHT=450&amp;WIDTH=450&amp;","START_MAXIMIZED=FALSE&amp;VAR:CALENDAR=US&amp;VAR:SYMBOL=LO&amp;VAR:INDEX=0"}</definedName>
    <definedName name="_1389__FDSAUDITLINK__" localSheetId="0" hidden="1">{"fdsup://directions/FAT Viewer?action=UPDATE&amp;creator=factset&amp;DYN_ARGS=TRUE&amp;DOC_NAME=FAT:FQL_AUDITING_CLIENT_TEMPLATE.FAT&amp;display_string=Audit&amp;VAR:KEY=PYFKNYXCVE&amp;VAR:QUERY=RkZfRElWX1lMRChBTk4sOC8yNi8wNCw4LzI2LzA0KQ==&amp;WINDOW=FIRST_POPUP&amp;HEIGHT=450&amp;WIDTH=450&amp;","START_MAXIMIZED=FALSE&amp;VAR:CALENDAR=US&amp;VAR:SYMBOL=LO&amp;VAR:INDEX=0"}</definedName>
    <definedName name="_1389__FDSAUDITLINK__" hidden="1">{"fdsup://directions/FAT Viewer?action=UPDATE&amp;creator=factset&amp;DYN_ARGS=TRUE&amp;DOC_NAME=FAT:FQL_AUDITING_CLIENT_TEMPLATE.FAT&amp;display_string=Audit&amp;VAR:KEY=PYFKNYXCVE&amp;VAR:QUERY=RkZfRElWX1lMRChBTk4sOC8yNi8wNCw4LzI2LzA0KQ==&amp;WINDOW=FIRST_POPUP&amp;HEIGHT=450&amp;WIDTH=450&amp;","START_MAXIMIZED=FALSE&amp;VAR:CALENDAR=US&amp;VAR:SYMBOL=LO&amp;VAR:INDEX=0"}</definedName>
    <definedName name="_139">#REF!</definedName>
    <definedName name="_139__123Graph_EQRE_S_BY_CO.">#REF!</definedName>
    <definedName name="_139__FDSAUDITLINK__" localSheetId="0" hidden="1">{"fdsup://directions/FAT Viewer?action=UPDATE&amp;creator=factset&amp;DYN_ARGS=TRUE&amp;DOC_NAME=FAT:FQL_AUDITING_CLIENT_TEMPLATE.FAT&amp;display_string=Audit&amp;VAR:KEY=DIHKDEREVI&amp;VAR:QUERY=RkZfRElWX1lMRChBTk4sOC8wNy8wOCw4LzA3LzA4KQ==&amp;WINDOW=FIRST_POPUP&amp;HEIGHT=450&amp;WIDTH=450&amp;","START_MAXIMIZED=FALSE&amp;VAR:CALENDAR=US&amp;VAR:SYMBOL=RAI&amp;VAR:INDEX=0"}</definedName>
    <definedName name="_139__FDSAUDITLINK__" hidden="1">{"fdsup://directions/FAT Viewer?action=UPDATE&amp;creator=factset&amp;DYN_ARGS=TRUE&amp;DOC_NAME=FAT:FQL_AUDITING_CLIENT_TEMPLATE.FAT&amp;display_string=Audit&amp;VAR:KEY=DIHKDEREVI&amp;VAR:QUERY=RkZfRElWX1lMRChBTk4sOC8wNy8wOCw4LzA3LzA4KQ==&amp;WINDOW=FIRST_POPUP&amp;HEIGHT=450&amp;WIDTH=450&amp;","START_MAXIMIZED=FALSE&amp;VAR:CALENDAR=US&amp;VAR:SYMBOL=RAI&amp;VAR:INDEX=0"}</definedName>
    <definedName name="_1390__FDSAUDITLINK__" localSheetId="0" hidden="1">{"fdsup://directions/FAT Viewer?action=UPDATE&amp;creator=factset&amp;DYN_ARGS=TRUE&amp;DOC_NAME=FAT:FQL_AUDITING_CLIENT_TEMPLATE.FAT&amp;display_string=Audit&amp;VAR:KEY=ZUXEJMREDW&amp;VAR:QUERY=RkZfRElWX1lMRChBTk4sOC8xOS8wNCw4LzE5LzA0KQ==&amp;WINDOW=FIRST_POPUP&amp;HEIGHT=450&amp;WIDTH=450&amp;","START_MAXIMIZED=FALSE&amp;VAR:CALENDAR=US&amp;VAR:SYMBOL=LO&amp;VAR:INDEX=0"}</definedName>
    <definedName name="_1390__FDSAUDITLINK__" hidden="1">{"fdsup://directions/FAT Viewer?action=UPDATE&amp;creator=factset&amp;DYN_ARGS=TRUE&amp;DOC_NAME=FAT:FQL_AUDITING_CLIENT_TEMPLATE.FAT&amp;display_string=Audit&amp;VAR:KEY=ZUXEJMREDW&amp;VAR:QUERY=RkZfRElWX1lMRChBTk4sOC8xOS8wNCw4LzE5LzA0KQ==&amp;WINDOW=FIRST_POPUP&amp;HEIGHT=450&amp;WIDTH=450&amp;","START_MAXIMIZED=FALSE&amp;VAR:CALENDAR=US&amp;VAR:SYMBOL=LO&amp;VAR:INDEX=0"}</definedName>
    <definedName name="_1391">#REF!</definedName>
    <definedName name="_1391__FDSAUDITLINK__" localSheetId="0" hidden="1">{"fdsup://directions/FAT Viewer?action=UPDATE&amp;creator=factset&amp;DYN_ARGS=TRUE&amp;DOC_NAME=FAT:FQL_AUDITING_CLIENT_TEMPLATE.FAT&amp;display_string=Audit&amp;VAR:KEY=TGTGBYJEJQ&amp;VAR:QUERY=RkZfRElWX1lMRChBTk4sOC8xMi8wNCw4LzEyLzA0KQ==&amp;WINDOW=FIRST_POPUP&amp;HEIGHT=450&amp;WIDTH=450&amp;","START_MAXIMIZED=FALSE&amp;VAR:CALENDAR=US&amp;VAR:SYMBOL=LO&amp;VAR:INDEX=0"}</definedName>
    <definedName name="_1391__FDSAUDITLINK__" hidden="1">{"fdsup://directions/FAT Viewer?action=UPDATE&amp;creator=factset&amp;DYN_ARGS=TRUE&amp;DOC_NAME=FAT:FQL_AUDITING_CLIENT_TEMPLATE.FAT&amp;display_string=Audit&amp;VAR:KEY=TGTGBYJEJQ&amp;VAR:QUERY=RkZfRElWX1lMRChBTk4sOC8xMi8wNCw4LzEyLzA0KQ==&amp;WINDOW=FIRST_POPUP&amp;HEIGHT=450&amp;WIDTH=450&amp;","START_MAXIMIZED=FALSE&amp;VAR:CALENDAR=US&amp;VAR:SYMBOL=LO&amp;VAR:INDEX=0"}</definedName>
    <definedName name="_1392__FDSAUDITLINK__" localSheetId="0" hidden="1">{"fdsup://directions/FAT Viewer?action=UPDATE&amp;creator=factset&amp;DYN_ARGS=TRUE&amp;DOC_NAME=FAT:FQL_AUDITING_CLIENT_TEMPLATE.FAT&amp;display_string=Audit&amp;VAR:KEY=XEHABUDEHM&amp;VAR:QUERY=RkZfRElWX1lMRChBTk4sOC8wNS8wNCw4LzA1LzA0KQ==&amp;WINDOW=FIRST_POPUP&amp;HEIGHT=450&amp;WIDTH=450&amp;","START_MAXIMIZED=FALSE&amp;VAR:CALENDAR=US&amp;VAR:SYMBOL=LO&amp;VAR:INDEX=0"}</definedName>
    <definedName name="_1392__FDSAUDITLINK__" hidden="1">{"fdsup://directions/FAT Viewer?action=UPDATE&amp;creator=factset&amp;DYN_ARGS=TRUE&amp;DOC_NAME=FAT:FQL_AUDITING_CLIENT_TEMPLATE.FAT&amp;display_string=Audit&amp;VAR:KEY=XEHABUDEHM&amp;VAR:QUERY=RkZfRElWX1lMRChBTk4sOC8wNS8wNCw4LzA1LzA0KQ==&amp;WINDOW=FIRST_POPUP&amp;HEIGHT=450&amp;WIDTH=450&amp;","START_MAXIMIZED=FALSE&amp;VAR:CALENDAR=US&amp;VAR:SYMBOL=LO&amp;VAR:INDEX=0"}</definedName>
    <definedName name="_1393__FDSAUDITLINK__" localSheetId="0" hidden="1">{"fdsup://directions/FAT Viewer?action=UPDATE&amp;creator=factset&amp;DYN_ARGS=TRUE&amp;DOC_NAME=FAT:FQL_AUDITING_CLIENT_TEMPLATE.FAT&amp;display_string=Audit&amp;VAR:KEY=FGZOXYDQVI&amp;VAR:QUERY=RkZfRElWX1lMRChBTk4sNy8yOS8wNCw3LzI5LzA0KQ==&amp;WINDOW=FIRST_POPUP&amp;HEIGHT=450&amp;WIDTH=450&amp;","START_MAXIMIZED=FALSE&amp;VAR:CALENDAR=US&amp;VAR:SYMBOL=LO&amp;VAR:INDEX=0"}</definedName>
    <definedName name="_1393__FDSAUDITLINK__" hidden="1">{"fdsup://directions/FAT Viewer?action=UPDATE&amp;creator=factset&amp;DYN_ARGS=TRUE&amp;DOC_NAME=FAT:FQL_AUDITING_CLIENT_TEMPLATE.FAT&amp;display_string=Audit&amp;VAR:KEY=FGZOXYDQVI&amp;VAR:QUERY=RkZfRElWX1lMRChBTk4sNy8yOS8wNCw3LzI5LzA0KQ==&amp;WINDOW=FIRST_POPUP&amp;HEIGHT=450&amp;WIDTH=450&amp;","START_MAXIMIZED=FALSE&amp;VAR:CALENDAR=US&amp;VAR:SYMBOL=LO&amp;VAR:INDEX=0"}</definedName>
    <definedName name="_1394">#REF!</definedName>
    <definedName name="_1394__FDSAUDITLINK__" localSheetId="0" hidden="1">{"fdsup://directions/FAT Viewer?action=UPDATE&amp;creator=factset&amp;DYN_ARGS=TRUE&amp;DOC_NAME=FAT:FQL_AUDITING_CLIENT_TEMPLATE.FAT&amp;display_string=Audit&amp;VAR:KEY=ZMDCHEZAVY&amp;VAR:QUERY=RkZfRElWX1lMRChBTk4sNy8yMi8wNCw3LzIyLzA0KQ==&amp;WINDOW=FIRST_POPUP&amp;HEIGHT=450&amp;WIDTH=450&amp;","START_MAXIMIZED=FALSE&amp;VAR:CALENDAR=US&amp;VAR:SYMBOL=LO&amp;VAR:INDEX=0"}</definedName>
    <definedName name="_1394__FDSAUDITLINK__" hidden="1">{"fdsup://directions/FAT Viewer?action=UPDATE&amp;creator=factset&amp;DYN_ARGS=TRUE&amp;DOC_NAME=FAT:FQL_AUDITING_CLIENT_TEMPLATE.FAT&amp;display_string=Audit&amp;VAR:KEY=ZMDCHEZAVY&amp;VAR:QUERY=RkZfRElWX1lMRChBTk4sNy8yMi8wNCw3LzIyLzA0KQ==&amp;WINDOW=FIRST_POPUP&amp;HEIGHT=450&amp;WIDTH=450&amp;","START_MAXIMIZED=FALSE&amp;VAR:CALENDAR=US&amp;VAR:SYMBOL=LO&amp;VAR:INDEX=0"}</definedName>
    <definedName name="_1395">#REF!</definedName>
    <definedName name="_1395__FDSAUDITLINK__" localSheetId="0" hidden="1">{"fdsup://directions/FAT Viewer?action=UPDATE&amp;creator=factset&amp;DYN_ARGS=TRUE&amp;DOC_NAME=FAT:FQL_AUDITING_CLIENT_TEMPLATE.FAT&amp;display_string=Audit&amp;VAR:KEY=BMHQPYTONC&amp;VAR:QUERY=RkZfRElWX1lMRChBTk4sNy8xNS8wNCw3LzE1LzA0KQ==&amp;WINDOW=FIRST_POPUP&amp;HEIGHT=450&amp;WIDTH=450&amp;","START_MAXIMIZED=FALSE&amp;VAR:CALENDAR=US&amp;VAR:SYMBOL=LO&amp;VAR:INDEX=0"}</definedName>
    <definedName name="_1395__FDSAUDITLINK__" hidden="1">{"fdsup://directions/FAT Viewer?action=UPDATE&amp;creator=factset&amp;DYN_ARGS=TRUE&amp;DOC_NAME=FAT:FQL_AUDITING_CLIENT_TEMPLATE.FAT&amp;display_string=Audit&amp;VAR:KEY=BMHQPYTONC&amp;VAR:QUERY=RkZfRElWX1lMRChBTk4sNy8xNS8wNCw3LzE1LzA0KQ==&amp;WINDOW=FIRST_POPUP&amp;HEIGHT=450&amp;WIDTH=450&amp;","START_MAXIMIZED=FALSE&amp;VAR:CALENDAR=US&amp;VAR:SYMBOL=LO&amp;VAR:INDEX=0"}</definedName>
    <definedName name="_1396">#REF!</definedName>
    <definedName name="_1396__FDSAUDITLINK__" localSheetId="0" hidden="1">{"fdsup://directions/FAT Viewer?action=UPDATE&amp;creator=factset&amp;DYN_ARGS=TRUE&amp;DOC_NAME=FAT:FQL_AUDITING_CLIENT_TEMPLATE.FAT&amp;display_string=Audit&amp;VAR:KEY=JGZILQZOLG&amp;VAR:QUERY=RkZfRElWX1lMRChBTk4sNy8wOC8wNCw3LzA4LzA0KQ==&amp;WINDOW=FIRST_POPUP&amp;HEIGHT=450&amp;WIDTH=450&amp;","START_MAXIMIZED=FALSE&amp;VAR:CALENDAR=US&amp;VAR:SYMBOL=LO&amp;VAR:INDEX=0"}</definedName>
    <definedName name="_1396__FDSAUDITLINK__" hidden="1">{"fdsup://directions/FAT Viewer?action=UPDATE&amp;creator=factset&amp;DYN_ARGS=TRUE&amp;DOC_NAME=FAT:FQL_AUDITING_CLIENT_TEMPLATE.FAT&amp;display_string=Audit&amp;VAR:KEY=JGZILQZOLG&amp;VAR:QUERY=RkZfRElWX1lMRChBTk4sNy8wOC8wNCw3LzA4LzA0KQ==&amp;WINDOW=FIRST_POPUP&amp;HEIGHT=450&amp;WIDTH=450&amp;","START_MAXIMIZED=FALSE&amp;VAR:CALENDAR=US&amp;VAR:SYMBOL=LO&amp;VAR:INDEX=0"}</definedName>
    <definedName name="_1397">#REF!</definedName>
    <definedName name="_1397__FDSAUDITLINK__" localSheetId="0" hidden="1">{"fdsup://directions/FAT Viewer?action=UPDATE&amp;creator=factset&amp;DYN_ARGS=TRUE&amp;DOC_NAME=FAT:FQL_AUDITING_CLIENT_TEMPLATE.FAT&amp;display_string=Audit&amp;VAR:KEY=TONMDKVWNM&amp;VAR:QUERY=RkZfRElWX1lMRChBTk4sNy8wMS8wNCw3LzAxLzA0KQ==&amp;WINDOW=FIRST_POPUP&amp;HEIGHT=450&amp;WIDTH=450&amp;","START_MAXIMIZED=FALSE&amp;VAR:CALENDAR=US&amp;VAR:SYMBOL=LO&amp;VAR:INDEX=0"}</definedName>
    <definedName name="_1397__FDSAUDITLINK__" hidden="1">{"fdsup://directions/FAT Viewer?action=UPDATE&amp;creator=factset&amp;DYN_ARGS=TRUE&amp;DOC_NAME=FAT:FQL_AUDITING_CLIENT_TEMPLATE.FAT&amp;display_string=Audit&amp;VAR:KEY=TONMDKVWNM&amp;VAR:QUERY=RkZfRElWX1lMRChBTk4sNy8wMS8wNCw3LzAxLzA0KQ==&amp;WINDOW=FIRST_POPUP&amp;HEIGHT=450&amp;WIDTH=450&amp;","START_MAXIMIZED=FALSE&amp;VAR:CALENDAR=US&amp;VAR:SYMBOL=LO&amp;VAR:INDEX=0"}</definedName>
    <definedName name="_1398">#REF!</definedName>
    <definedName name="_1398__FDSAUDITLINK__" localSheetId="0" hidden="1">{"fdsup://directions/FAT Viewer?action=UPDATE&amp;creator=factset&amp;DYN_ARGS=TRUE&amp;DOC_NAME=FAT:FQL_AUDITING_CLIENT_TEMPLATE.FAT&amp;display_string=Audit&amp;VAR:KEY=VMBOVWNOHW&amp;VAR:QUERY=RkZfRElWX1lMRChBTk4sNi8yNC8wNCw2LzI0LzA0KQ==&amp;WINDOW=FIRST_POPUP&amp;HEIGHT=450&amp;WIDTH=450&amp;","START_MAXIMIZED=FALSE&amp;VAR:CALENDAR=US&amp;VAR:SYMBOL=LO&amp;VAR:INDEX=0"}</definedName>
    <definedName name="_1398__FDSAUDITLINK__" hidden="1">{"fdsup://directions/FAT Viewer?action=UPDATE&amp;creator=factset&amp;DYN_ARGS=TRUE&amp;DOC_NAME=FAT:FQL_AUDITING_CLIENT_TEMPLATE.FAT&amp;display_string=Audit&amp;VAR:KEY=VMBOVWNOHW&amp;VAR:QUERY=RkZfRElWX1lMRChBTk4sNi8yNC8wNCw2LzI0LzA0KQ==&amp;WINDOW=FIRST_POPUP&amp;HEIGHT=450&amp;WIDTH=450&amp;","START_MAXIMIZED=FALSE&amp;VAR:CALENDAR=US&amp;VAR:SYMBOL=LO&amp;VAR:INDEX=0"}</definedName>
    <definedName name="_1399">#REF!</definedName>
    <definedName name="_1399__FDSAUDITLINK__" localSheetId="0" hidden="1">{"fdsup://directions/FAT Viewer?action=UPDATE&amp;creator=factset&amp;DYN_ARGS=TRUE&amp;DOC_NAME=FAT:FQL_AUDITING_CLIENT_TEMPLATE.FAT&amp;display_string=Audit&amp;VAR:KEY=PORKXEXCTS&amp;VAR:QUERY=RkZfRElWX1lMRChBTk4sNi8xNy8wNCw2LzE3LzA0KQ==&amp;WINDOW=FIRST_POPUP&amp;HEIGHT=450&amp;WIDTH=450&amp;","START_MAXIMIZED=FALSE&amp;VAR:CALENDAR=US&amp;VAR:SYMBOL=LO&amp;VAR:INDEX=0"}</definedName>
    <definedName name="_1399__FDSAUDITLINK__" hidden="1">{"fdsup://directions/FAT Viewer?action=UPDATE&amp;creator=factset&amp;DYN_ARGS=TRUE&amp;DOC_NAME=FAT:FQL_AUDITING_CLIENT_TEMPLATE.FAT&amp;display_string=Audit&amp;VAR:KEY=PORKXEXCTS&amp;VAR:QUERY=RkZfRElWX1lMRChBTk4sNi8xNy8wNCw2LzE3LzA0KQ==&amp;WINDOW=FIRST_POPUP&amp;HEIGHT=450&amp;WIDTH=450&amp;","START_MAXIMIZED=FALSE&amp;VAR:CALENDAR=US&amp;VAR:SYMBOL=LO&amp;VAR:INDEX=0"}</definedName>
    <definedName name="_13J_0_K" hidden="1">#REF!</definedName>
    <definedName name="_13s16_" hidden="1">{#N/A,#N/A,FALSE,"UNIT";#N/A,#N/A,FALSE,"UNIT";#N/A,#N/A,FALSE,"계정"}</definedName>
    <definedName name="_13s2_" hidden="1">{#N/A,#N/A,FALSE,"UNIT";#N/A,#N/A,FALSE,"UNIT";#N/A,#N/A,FALSE,"계정"}</definedName>
    <definedName name="_13s3_" hidden="1">{#N/A,#N/A,FALSE,"UNIT";#N/A,#N/A,FALSE,"UNIT";#N/A,#N/A,FALSE,"계정"}</definedName>
    <definedName name="_13Z05_">#REF!</definedName>
    <definedName name="_14">#REF!</definedName>
    <definedName name="_14__________NOTE10_12">#REF!</definedName>
    <definedName name="_14__123Graph_ACHART_29" hidden="1">#REF!</definedName>
    <definedName name="_14__123Graph_ACHART_3">#REF!</definedName>
    <definedName name="_14__123Graph_ACHART_4">#REF!</definedName>
    <definedName name="_14__123Graph_AChart_6J">#REF!</definedName>
    <definedName name="_14__123Graph_ASUPPLIES_BY_B_U">#REF!</definedName>
    <definedName name="_14__123Graph_BCONTRACT_BY_B_U">#REF!</definedName>
    <definedName name="_14__123Graph_BQRE_S_BY_CO.">#REF!</definedName>
    <definedName name="_14__123Graph_BQRE_S_BY_TYPE" hidden="1">#REF!</definedName>
    <definedName name="_14__123Graph_BSENS_COMPARISON">#REF!</definedName>
    <definedName name="_14__123Graph_BTAX_CREDIT" hidden="1">#REF!</definedName>
    <definedName name="_14__123Graph_BWAGES_BY_B_U">#REF!</definedName>
    <definedName name="_14__123Graph_CCONTRACT_BY_B_U">#REF!</definedName>
    <definedName name="_14__123Graph_CQRE_S_BY_CO.">#REF!</definedName>
    <definedName name="_14__FDSAUDITLINK__" localSheetId="0" hidden="1">{"fdsup://directions/FAT Viewer?action=UPDATE&amp;creator=factset&amp;DYN_ARGS=TRUE&amp;DOC_NAME=FAT:FQL_AUDITING_CLIENT_TEMPLATE.FAT&amp;display_string=Audit&amp;VAR:KEY=MLYPYDQNMJ&amp;VAR:QUERY=Q1NGX0RJVl9ZTEQoUVRSX1IsOS8yOC8yMDA3KQ==&amp;WINDOW=FIRST_POPUP&amp;HEIGHT=450&amp;WIDTH=450&amp;STAR","T_MAXIMIZED=FALSE&amp;VAR:CALENDAR=US&amp;VAR:SYMBOL=MO&amp;VAR:INDEX=0"}</definedName>
    <definedName name="_14__FDSAUDITLINK__" hidden="1">{"fdsup://directions/FAT Viewer?action=UPDATE&amp;creator=factset&amp;DYN_ARGS=TRUE&amp;DOC_NAME=FAT:FQL_AUDITING_CLIENT_TEMPLATE.FAT&amp;display_string=Audit&amp;VAR:KEY=MLYPYDQNMJ&amp;VAR:QUERY=Q1NGX0RJVl9ZTEQoUVRSX1IsOS8yOC8yMDA3KQ==&amp;WINDOW=FIRST_POPUP&amp;HEIGHT=450&amp;WIDTH=450&amp;STAR","T_MAXIMIZED=FALSE&amp;VAR:CALENDAR=US&amp;VAR:SYMBOL=MO&amp;VAR:INDEX=0"}</definedName>
    <definedName name="_14_0_S" hidden="1">#REF!</definedName>
    <definedName name="_14_0_Table2_">#REF!</definedName>
    <definedName name="_14_1___F">#REF!</definedName>
    <definedName name="_140">#REF!</definedName>
    <definedName name="_140__FDSAUDITLINK__" localSheetId="0" hidden="1">{"fdsup://directions/FAT Viewer?action=UPDATE&amp;creator=factset&amp;DYN_ARGS=TRUE&amp;DOC_NAME=FAT:FQL_AUDITING_CLIENT_TEMPLATE.FAT&amp;display_string=Audit&amp;VAR:KEY=ZWPORSBGRE&amp;VAR:QUERY=RkZfRElWX1lMRChBTk4sNy8zMS8wOCw3LzMxLzA4KQ==&amp;WINDOW=FIRST_POPUP&amp;HEIGHT=450&amp;WIDTH=450&amp;","START_MAXIMIZED=FALSE&amp;VAR:CALENDAR=US&amp;VAR:SYMBOL=RAI&amp;VAR:INDEX=0"}</definedName>
    <definedName name="_140__FDSAUDITLINK__" hidden="1">{"fdsup://directions/FAT Viewer?action=UPDATE&amp;creator=factset&amp;DYN_ARGS=TRUE&amp;DOC_NAME=FAT:FQL_AUDITING_CLIENT_TEMPLATE.FAT&amp;display_string=Audit&amp;VAR:KEY=ZWPORSBGRE&amp;VAR:QUERY=RkZfRElWX1lMRChBTk4sNy8zMS8wOCw3LzMxLzA4KQ==&amp;WINDOW=FIRST_POPUP&amp;HEIGHT=450&amp;WIDTH=450&amp;","START_MAXIMIZED=FALSE&amp;VAR:CALENDAR=US&amp;VAR:SYMBOL=RAI&amp;VAR:INDEX=0"}</definedName>
    <definedName name="_1400">#REF!</definedName>
    <definedName name="_1400__FDSAUDITLINK__" localSheetId="0" hidden="1">{"fdsup://directions/FAT Viewer?action=UPDATE&amp;creator=factset&amp;DYN_ARGS=TRUE&amp;DOC_NAME=FAT:FQL_AUDITING_CLIENT_TEMPLATE.FAT&amp;display_string=Audit&amp;VAR:KEY=DGXETMDAXA&amp;VAR:QUERY=RkZfRElWX1lMRChBTk4sNi8xMC8wNCw2LzEwLzA0KQ==&amp;WINDOW=FIRST_POPUP&amp;HEIGHT=450&amp;WIDTH=450&amp;","START_MAXIMIZED=FALSE&amp;VAR:CALENDAR=US&amp;VAR:SYMBOL=LO&amp;VAR:INDEX=0"}</definedName>
    <definedName name="_1400__FDSAUDITLINK__" hidden="1">{"fdsup://directions/FAT Viewer?action=UPDATE&amp;creator=factset&amp;DYN_ARGS=TRUE&amp;DOC_NAME=FAT:FQL_AUDITING_CLIENT_TEMPLATE.FAT&amp;display_string=Audit&amp;VAR:KEY=DGXETMDAXA&amp;VAR:QUERY=RkZfRElWX1lMRChBTk4sNi8xMC8wNCw2LzEwLzA0KQ==&amp;WINDOW=FIRST_POPUP&amp;HEIGHT=450&amp;WIDTH=450&amp;","START_MAXIMIZED=FALSE&amp;VAR:CALENDAR=US&amp;VAR:SYMBOL=LO&amp;VAR:INDEX=0"}</definedName>
    <definedName name="_1401">#REF!</definedName>
    <definedName name="_1401__FDSAUDITLINK__" localSheetId="0" hidden="1">{"fdsup://directions/FAT Viewer?action=UPDATE&amp;creator=factset&amp;DYN_ARGS=TRUE&amp;DOC_NAME=FAT:FQL_AUDITING_CLIENT_TEMPLATE.FAT&amp;display_string=Audit&amp;VAR:KEY=NCZYFEFQVE&amp;VAR:QUERY=RkZfRElWX1lMRChBTk4sNi8wMy8wNCw2LzAzLzA0KQ==&amp;WINDOW=FIRST_POPUP&amp;HEIGHT=450&amp;WIDTH=450&amp;","START_MAXIMIZED=FALSE&amp;VAR:CALENDAR=US&amp;VAR:SYMBOL=LO&amp;VAR:INDEX=0"}</definedName>
    <definedName name="_1401__FDSAUDITLINK__" hidden="1">{"fdsup://directions/FAT Viewer?action=UPDATE&amp;creator=factset&amp;DYN_ARGS=TRUE&amp;DOC_NAME=FAT:FQL_AUDITING_CLIENT_TEMPLATE.FAT&amp;display_string=Audit&amp;VAR:KEY=NCZYFEFQVE&amp;VAR:QUERY=RkZfRElWX1lMRChBTk4sNi8wMy8wNCw2LzAzLzA0KQ==&amp;WINDOW=FIRST_POPUP&amp;HEIGHT=450&amp;WIDTH=450&amp;","START_MAXIMIZED=FALSE&amp;VAR:CALENDAR=US&amp;VAR:SYMBOL=LO&amp;VAR:INDEX=0"}</definedName>
    <definedName name="_1402">#REF!</definedName>
    <definedName name="_1402__FDSAUDITLINK__" localSheetId="0" hidden="1">{"fdsup://directions/FAT Viewer?action=UPDATE&amp;creator=factset&amp;DYN_ARGS=TRUE&amp;DOC_NAME=FAT:FQL_AUDITING_CLIENT_TEMPLATE.FAT&amp;display_string=Audit&amp;VAR:KEY=NQVWZMBKTG&amp;VAR:QUERY=RkZfRElWX1lMRChBTk4sNS8yNy8wNCw1LzI3LzA0KQ==&amp;WINDOW=FIRST_POPUP&amp;HEIGHT=450&amp;WIDTH=450&amp;","START_MAXIMIZED=FALSE&amp;VAR:CALENDAR=US&amp;VAR:SYMBOL=LO&amp;VAR:INDEX=0"}</definedName>
    <definedName name="_1402__FDSAUDITLINK__" hidden="1">{"fdsup://directions/FAT Viewer?action=UPDATE&amp;creator=factset&amp;DYN_ARGS=TRUE&amp;DOC_NAME=FAT:FQL_AUDITING_CLIENT_TEMPLATE.FAT&amp;display_string=Audit&amp;VAR:KEY=NQVWZMBKTG&amp;VAR:QUERY=RkZfRElWX1lMRChBTk4sNS8yNy8wNCw1LzI3LzA0KQ==&amp;WINDOW=FIRST_POPUP&amp;HEIGHT=450&amp;WIDTH=450&amp;","START_MAXIMIZED=FALSE&amp;VAR:CALENDAR=US&amp;VAR:SYMBOL=LO&amp;VAR:INDEX=0"}</definedName>
    <definedName name="_1403">#REF!</definedName>
    <definedName name="_1403__FDSAUDITLINK__" localSheetId="0" hidden="1">{"fdsup://directions/FAT Viewer?action=UPDATE&amp;creator=factset&amp;DYN_ARGS=TRUE&amp;DOC_NAME=FAT:FQL_AUDITING_CLIENT_TEMPLATE.FAT&amp;display_string=Audit&amp;VAR:KEY=PWHKLKZQJY&amp;VAR:QUERY=RkZfRElWX1lMRChBTk4sNS8yMC8wNCw1LzIwLzA0KQ==&amp;WINDOW=FIRST_POPUP&amp;HEIGHT=450&amp;WIDTH=450&amp;","START_MAXIMIZED=FALSE&amp;VAR:CALENDAR=US&amp;VAR:SYMBOL=LO&amp;VAR:INDEX=0"}</definedName>
    <definedName name="_1403__FDSAUDITLINK__" hidden="1">{"fdsup://directions/FAT Viewer?action=UPDATE&amp;creator=factset&amp;DYN_ARGS=TRUE&amp;DOC_NAME=FAT:FQL_AUDITING_CLIENT_TEMPLATE.FAT&amp;display_string=Audit&amp;VAR:KEY=PWHKLKZQJY&amp;VAR:QUERY=RkZfRElWX1lMRChBTk4sNS8yMC8wNCw1LzIwLzA0KQ==&amp;WINDOW=FIRST_POPUP&amp;HEIGHT=450&amp;WIDTH=450&amp;","START_MAXIMIZED=FALSE&amp;VAR:CALENDAR=US&amp;VAR:SYMBOL=LO&amp;VAR:INDEX=0"}</definedName>
    <definedName name="_1404">#REF!</definedName>
    <definedName name="_1404__FDSAUDITLINK__" localSheetId="0" hidden="1">{"fdsup://directions/FAT Viewer?action=UPDATE&amp;creator=factset&amp;DYN_ARGS=TRUE&amp;DOC_NAME=FAT:FQL_AUDITING_CLIENT_TEMPLATE.FAT&amp;display_string=Audit&amp;VAR:KEY=REZIHGHMBS&amp;VAR:QUERY=RkZfRElWX1lMRChBTk4sNS8xMy8wNCw1LzEzLzA0KQ==&amp;WINDOW=FIRST_POPUP&amp;HEIGHT=450&amp;WIDTH=450&amp;","START_MAXIMIZED=FALSE&amp;VAR:CALENDAR=US&amp;VAR:SYMBOL=LO&amp;VAR:INDEX=0"}</definedName>
    <definedName name="_1404__FDSAUDITLINK__" hidden="1">{"fdsup://directions/FAT Viewer?action=UPDATE&amp;creator=factset&amp;DYN_ARGS=TRUE&amp;DOC_NAME=FAT:FQL_AUDITING_CLIENT_TEMPLATE.FAT&amp;display_string=Audit&amp;VAR:KEY=REZIHGHMBS&amp;VAR:QUERY=RkZfRElWX1lMRChBTk4sNS8xMy8wNCw1LzEzLzA0KQ==&amp;WINDOW=FIRST_POPUP&amp;HEIGHT=450&amp;WIDTH=450&amp;","START_MAXIMIZED=FALSE&amp;VAR:CALENDAR=US&amp;VAR:SYMBOL=LO&amp;VAR:INDEX=0"}</definedName>
    <definedName name="_1405">#REF!</definedName>
    <definedName name="_1405__FDSAUDITLINK__" localSheetId="0" hidden="1">{"fdsup://directions/FAT Viewer?action=UPDATE&amp;creator=factset&amp;DYN_ARGS=TRUE&amp;DOC_NAME=FAT:FQL_AUDITING_CLIENT_TEMPLATE.FAT&amp;display_string=Audit&amp;VAR:KEY=TSDAJUNKXK&amp;VAR:QUERY=RkZfRElWX1lMRChBTk4sNS8wNi8wNCw1LzA2LzA0KQ==&amp;WINDOW=FIRST_POPUP&amp;HEIGHT=450&amp;WIDTH=450&amp;","START_MAXIMIZED=FALSE&amp;VAR:CALENDAR=US&amp;VAR:SYMBOL=LO&amp;VAR:INDEX=0"}</definedName>
    <definedName name="_1405__FDSAUDITLINK__" hidden="1">{"fdsup://directions/FAT Viewer?action=UPDATE&amp;creator=factset&amp;DYN_ARGS=TRUE&amp;DOC_NAME=FAT:FQL_AUDITING_CLIENT_TEMPLATE.FAT&amp;display_string=Audit&amp;VAR:KEY=TSDAJUNKXK&amp;VAR:QUERY=RkZfRElWX1lMRChBTk4sNS8wNi8wNCw1LzA2LzA0KQ==&amp;WINDOW=FIRST_POPUP&amp;HEIGHT=450&amp;WIDTH=450&amp;","START_MAXIMIZED=FALSE&amp;VAR:CALENDAR=US&amp;VAR:SYMBOL=LO&amp;VAR:INDEX=0"}</definedName>
    <definedName name="_1406">#REF!</definedName>
    <definedName name="_1406__FDSAUDITLINK__" localSheetId="0" hidden="1">{"fdsup://directions/FAT Viewer?action=UPDATE&amp;creator=factset&amp;DYN_ARGS=TRUE&amp;DOC_NAME=FAT:FQL_AUDITING_CLIENT_TEMPLATE.FAT&amp;display_string=Audit&amp;VAR:KEY=XCLULUJEXO&amp;VAR:QUERY=RkZfRElWX1lMRChBTk4sNC8yOS8wNCw0LzI5LzA0KQ==&amp;WINDOW=FIRST_POPUP&amp;HEIGHT=450&amp;WIDTH=450&amp;","START_MAXIMIZED=FALSE&amp;VAR:CALENDAR=US&amp;VAR:SYMBOL=LO&amp;VAR:INDEX=0"}</definedName>
    <definedName name="_1406__FDSAUDITLINK__" hidden="1">{"fdsup://directions/FAT Viewer?action=UPDATE&amp;creator=factset&amp;DYN_ARGS=TRUE&amp;DOC_NAME=FAT:FQL_AUDITING_CLIENT_TEMPLATE.FAT&amp;display_string=Audit&amp;VAR:KEY=XCLULUJEXO&amp;VAR:QUERY=RkZfRElWX1lMRChBTk4sNC8yOS8wNCw0LzI5LzA0KQ==&amp;WINDOW=FIRST_POPUP&amp;HEIGHT=450&amp;WIDTH=450&amp;","START_MAXIMIZED=FALSE&amp;VAR:CALENDAR=US&amp;VAR:SYMBOL=LO&amp;VAR:INDEX=0"}</definedName>
    <definedName name="_1407">#REF!</definedName>
    <definedName name="_1407__FDSAUDITLINK__" localSheetId="0" hidden="1">{"fdsup://directions/FAT Viewer?action=UPDATE&amp;creator=factset&amp;DYN_ARGS=TRUE&amp;DOC_NAME=FAT:FQL_AUDITING_CLIENT_TEMPLATE.FAT&amp;display_string=Audit&amp;VAR:KEY=BQBUDQFIXK&amp;VAR:QUERY=RkZfRElWX1lMRChBTk4sNC8yMi8wNCw0LzIyLzA0KQ==&amp;WINDOW=FIRST_POPUP&amp;HEIGHT=450&amp;WIDTH=450&amp;","START_MAXIMIZED=FALSE&amp;VAR:CALENDAR=US&amp;VAR:SYMBOL=LO&amp;VAR:INDEX=0"}</definedName>
    <definedName name="_1407__FDSAUDITLINK__" hidden="1">{"fdsup://directions/FAT Viewer?action=UPDATE&amp;creator=factset&amp;DYN_ARGS=TRUE&amp;DOC_NAME=FAT:FQL_AUDITING_CLIENT_TEMPLATE.FAT&amp;display_string=Audit&amp;VAR:KEY=BQBUDQFIXK&amp;VAR:QUERY=RkZfRElWX1lMRChBTk4sNC8yMi8wNCw0LzIyLzA0KQ==&amp;WINDOW=FIRST_POPUP&amp;HEIGHT=450&amp;WIDTH=450&amp;","START_MAXIMIZED=FALSE&amp;VAR:CALENDAR=US&amp;VAR:SYMBOL=LO&amp;VAR:INDEX=0"}</definedName>
    <definedName name="_1408">#REF!</definedName>
    <definedName name="_1408__FDSAUDITLINK__" localSheetId="0" hidden="1">{"fdsup://directions/FAT Viewer?action=UPDATE&amp;creator=factset&amp;DYN_ARGS=TRUE&amp;DOC_NAME=FAT:FQL_AUDITING_CLIENT_TEMPLATE.FAT&amp;display_string=Audit&amp;VAR:KEY=ZEXIXURWDE&amp;VAR:QUERY=RkZfRElWX1lMRChBTk4sNC8xNS8wNCw0LzE1LzA0KQ==&amp;WINDOW=FIRST_POPUP&amp;HEIGHT=450&amp;WIDTH=450&amp;","START_MAXIMIZED=FALSE&amp;VAR:CALENDAR=US&amp;VAR:SYMBOL=LO&amp;VAR:INDEX=0"}</definedName>
    <definedName name="_1408__FDSAUDITLINK__" hidden="1">{"fdsup://directions/FAT Viewer?action=UPDATE&amp;creator=factset&amp;DYN_ARGS=TRUE&amp;DOC_NAME=FAT:FQL_AUDITING_CLIENT_TEMPLATE.FAT&amp;display_string=Audit&amp;VAR:KEY=ZEXIXURWDE&amp;VAR:QUERY=RkZfRElWX1lMRChBTk4sNC8xNS8wNCw0LzE1LzA0KQ==&amp;WINDOW=FIRST_POPUP&amp;HEIGHT=450&amp;WIDTH=450&amp;","START_MAXIMIZED=FALSE&amp;VAR:CALENDAR=US&amp;VAR:SYMBOL=LO&amp;VAR:INDEX=0"}</definedName>
    <definedName name="_1409">#REF!</definedName>
    <definedName name="_1409__FDSAUDITLINK__" localSheetId="0" hidden="1">{"fdsup://directions/FAT Viewer?action=UPDATE&amp;creator=factset&amp;DYN_ARGS=TRUE&amp;DOC_NAME=FAT:FQL_AUDITING_CLIENT_TEMPLATE.FAT&amp;display_string=Audit&amp;VAR:KEY=LGJEPCFEXI&amp;VAR:QUERY=RkZfRElWX1lMRChBTk4sNC8wOC8wNCw0LzA4LzA0KQ==&amp;WINDOW=FIRST_POPUP&amp;HEIGHT=450&amp;WIDTH=450&amp;","START_MAXIMIZED=FALSE&amp;VAR:CALENDAR=US&amp;VAR:SYMBOL=LO&amp;VAR:INDEX=0"}</definedName>
    <definedName name="_1409__FDSAUDITLINK__" hidden="1">{"fdsup://directions/FAT Viewer?action=UPDATE&amp;creator=factset&amp;DYN_ARGS=TRUE&amp;DOC_NAME=FAT:FQL_AUDITING_CLIENT_TEMPLATE.FAT&amp;display_string=Audit&amp;VAR:KEY=LGJEPCFEXI&amp;VAR:QUERY=RkZfRElWX1lMRChBTk4sNC8wOC8wNCw0LzA4LzA0KQ==&amp;WINDOW=FIRST_POPUP&amp;HEIGHT=450&amp;WIDTH=450&amp;","START_MAXIMIZED=FALSE&amp;VAR:CALENDAR=US&amp;VAR:SYMBOL=LO&amp;VAR:INDEX=0"}</definedName>
    <definedName name="_141">#REF!</definedName>
    <definedName name="_141__123Graph_FSUPPLIES_BY_B_U">#REF!</definedName>
    <definedName name="_141__FDSAUDITLINK__" localSheetId="0" hidden="1">{"fdsup://directions/FAT Viewer?action=UPDATE&amp;creator=factset&amp;DYN_ARGS=TRUE&amp;DOC_NAME=FAT:FQL_AUDITING_CLIENT_TEMPLATE.FAT&amp;display_string=Audit&amp;VAR:KEY=XSRWDCVOJE&amp;VAR:QUERY=RkZfRElWX1lMRChBTk4sNy8yNC8wOCw3LzI0LzA4KQ==&amp;WINDOW=FIRST_POPUP&amp;HEIGHT=450&amp;WIDTH=450&amp;","START_MAXIMIZED=FALSE&amp;VAR:CALENDAR=US&amp;VAR:SYMBOL=RAI&amp;VAR:INDEX=0"}</definedName>
    <definedName name="_141__FDSAUDITLINK__" hidden="1">{"fdsup://directions/FAT Viewer?action=UPDATE&amp;creator=factset&amp;DYN_ARGS=TRUE&amp;DOC_NAME=FAT:FQL_AUDITING_CLIENT_TEMPLATE.FAT&amp;display_string=Audit&amp;VAR:KEY=XSRWDCVOJE&amp;VAR:QUERY=RkZfRElWX1lMRChBTk4sNy8yNC8wOCw3LzI0LzA4KQ==&amp;WINDOW=FIRST_POPUP&amp;HEIGHT=450&amp;WIDTH=450&amp;","START_MAXIMIZED=FALSE&amp;VAR:CALENDAR=US&amp;VAR:SYMBOL=RAI&amp;VAR:INDEX=0"}</definedName>
    <definedName name="_1410">#REF!</definedName>
    <definedName name="_1410__FDSAUDITLINK__" localSheetId="0" hidden="1">{"fdsup://directions/FAT Viewer?action=UPDATE&amp;creator=factset&amp;DYN_ARGS=TRUE&amp;DOC_NAME=FAT:FQL_AUDITING_CLIENT_TEMPLATE.FAT&amp;display_string=Audit&amp;VAR:KEY=RUTQRYRGXC&amp;VAR:QUERY=RkZfRElWX1lMRChBTk4sNC8wMS8wNCw0LzAxLzA0KQ==&amp;WINDOW=FIRST_POPUP&amp;HEIGHT=450&amp;WIDTH=450&amp;","START_MAXIMIZED=FALSE&amp;VAR:CALENDAR=US&amp;VAR:SYMBOL=LO&amp;VAR:INDEX=0"}</definedName>
    <definedName name="_1410__FDSAUDITLINK__" hidden="1">{"fdsup://directions/FAT Viewer?action=UPDATE&amp;creator=factset&amp;DYN_ARGS=TRUE&amp;DOC_NAME=FAT:FQL_AUDITING_CLIENT_TEMPLATE.FAT&amp;display_string=Audit&amp;VAR:KEY=RUTQRYRGXC&amp;VAR:QUERY=RkZfRElWX1lMRChBTk4sNC8wMS8wNCw0LzAxLzA0KQ==&amp;WINDOW=FIRST_POPUP&amp;HEIGHT=450&amp;WIDTH=450&amp;","START_MAXIMIZED=FALSE&amp;VAR:CALENDAR=US&amp;VAR:SYMBOL=LO&amp;VAR:INDEX=0"}</definedName>
    <definedName name="_1411">#REF!</definedName>
    <definedName name="_1411__FDSAUDITLINK__" localSheetId="0" hidden="1">{"fdsup://directions/FAT Viewer?action=UPDATE&amp;creator=factset&amp;DYN_ARGS=TRUE&amp;DOC_NAME=FAT:FQL_AUDITING_CLIENT_TEMPLATE.FAT&amp;display_string=Audit&amp;VAR:KEY=DYXQNWFGJE&amp;VAR:QUERY=RkZfRElWX1lMRChBTk4sMy8yNS8wNCwzLzI1LzA0KQ==&amp;WINDOW=FIRST_POPUP&amp;HEIGHT=450&amp;WIDTH=450&amp;","START_MAXIMIZED=FALSE&amp;VAR:CALENDAR=US&amp;VAR:SYMBOL=LO&amp;VAR:INDEX=0"}</definedName>
    <definedName name="_1411__FDSAUDITLINK__" hidden="1">{"fdsup://directions/FAT Viewer?action=UPDATE&amp;creator=factset&amp;DYN_ARGS=TRUE&amp;DOC_NAME=FAT:FQL_AUDITING_CLIENT_TEMPLATE.FAT&amp;display_string=Audit&amp;VAR:KEY=DYXQNWFGJE&amp;VAR:QUERY=RkZfRElWX1lMRChBTk4sMy8yNS8wNCwzLzI1LzA0KQ==&amp;WINDOW=FIRST_POPUP&amp;HEIGHT=450&amp;WIDTH=450&amp;","START_MAXIMIZED=FALSE&amp;VAR:CALENDAR=US&amp;VAR:SYMBOL=LO&amp;VAR:INDEX=0"}</definedName>
    <definedName name="_1412">#REF!</definedName>
    <definedName name="_1412__FDSAUDITLINK__" localSheetId="0" hidden="1">{"fdsup://directions/FAT Viewer?action=UPDATE&amp;creator=factset&amp;DYN_ARGS=TRUE&amp;DOC_NAME=FAT:FQL_AUDITING_CLIENT_TEMPLATE.FAT&amp;display_string=Audit&amp;VAR:KEY=ZMVIXANIJK&amp;VAR:QUERY=RkZfRElWX1lMRChBTk4sMy8xOC8wNCwzLzE4LzA0KQ==&amp;WINDOW=FIRST_POPUP&amp;HEIGHT=450&amp;WIDTH=450&amp;","START_MAXIMIZED=FALSE&amp;VAR:CALENDAR=US&amp;VAR:SYMBOL=LO&amp;VAR:INDEX=0"}</definedName>
    <definedName name="_1412__FDSAUDITLINK__" hidden="1">{"fdsup://directions/FAT Viewer?action=UPDATE&amp;creator=factset&amp;DYN_ARGS=TRUE&amp;DOC_NAME=FAT:FQL_AUDITING_CLIENT_TEMPLATE.FAT&amp;display_string=Audit&amp;VAR:KEY=ZMVIXANIJK&amp;VAR:QUERY=RkZfRElWX1lMRChBTk4sMy8xOC8wNCwzLzE4LzA0KQ==&amp;WINDOW=FIRST_POPUP&amp;HEIGHT=450&amp;WIDTH=450&amp;","START_MAXIMIZED=FALSE&amp;VAR:CALENDAR=US&amp;VAR:SYMBOL=LO&amp;VAR:INDEX=0"}</definedName>
    <definedName name="_1413">#REF!</definedName>
    <definedName name="_1413__FDSAUDITLINK__" localSheetId="0" hidden="1">{"fdsup://directions/FAT Viewer?action=UPDATE&amp;creator=factset&amp;DYN_ARGS=TRUE&amp;DOC_NAME=FAT:FQL_AUDITING_CLIENT_TEMPLATE.FAT&amp;display_string=Audit&amp;VAR:KEY=JGDYPUPKZG&amp;VAR:QUERY=RkZfRElWX1lMRChBTk4sMy8xMS8wNCwzLzExLzA0KQ==&amp;WINDOW=FIRST_POPUP&amp;HEIGHT=450&amp;WIDTH=450&amp;","START_MAXIMIZED=FALSE&amp;VAR:CALENDAR=US&amp;VAR:SYMBOL=LO&amp;VAR:INDEX=0"}</definedName>
    <definedName name="_1413__FDSAUDITLINK__" hidden="1">{"fdsup://directions/FAT Viewer?action=UPDATE&amp;creator=factset&amp;DYN_ARGS=TRUE&amp;DOC_NAME=FAT:FQL_AUDITING_CLIENT_TEMPLATE.FAT&amp;display_string=Audit&amp;VAR:KEY=JGDYPUPKZG&amp;VAR:QUERY=RkZfRElWX1lMRChBTk4sMy8xMS8wNCwzLzExLzA0KQ==&amp;WINDOW=FIRST_POPUP&amp;HEIGHT=450&amp;WIDTH=450&amp;","START_MAXIMIZED=FALSE&amp;VAR:CALENDAR=US&amp;VAR:SYMBOL=LO&amp;VAR:INDEX=0"}</definedName>
    <definedName name="_1414__FDSAUDITLINK__" localSheetId="0" hidden="1">{"fdsup://directions/FAT Viewer?action=UPDATE&amp;creator=factset&amp;DYN_ARGS=TRUE&amp;DOC_NAME=FAT:FQL_AUDITING_CLIENT_TEMPLATE.FAT&amp;display_string=Audit&amp;VAR:KEY=DSJWLSJCRW&amp;VAR:QUERY=RkZfRElWX1lMRChBTk4sMy8wNC8wNCwzLzA0LzA0KQ==&amp;WINDOW=FIRST_POPUP&amp;HEIGHT=450&amp;WIDTH=450&amp;","START_MAXIMIZED=FALSE&amp;VAR:CALENDAR=US&amp;VAR:SYMBOL=LO&amp;VAR:INDEX=0"}</definedName>
    <definedName name="_1414__FDSAUDITLINK__" hidden="1">{"fdsup://directions/FAT Viewer?action=UPDATE&amp;creator=factset&amp;DYN_ARGS=TRUE&amp;DOC_NAME=FAT:FQL_AUDITING_CLIENT_TEMPLATE.FAT&amp;display_string=Audit&amp;VAR:KEY=DSJWLSJCRW&amp;VAR:QUERY=RkZfRElWX1lMRChBTk4sMy8wNC8wNCwzLzA0LzA0KQ==&amp;WINDOW=FIRST_POPUP&amp;HEIGHT=450&amp;WIDTH=450&amp;","START_MAXIMIZED=FALSE&amp;VAR:CALENDAR=US&amp;VAR:SYMBOL=LO&amp;VAR:INDEX=0"}</definedName>
    <definedName name="_1415__FDSAUDITLINK__" localSheetId="0" hidden="1">{"fdsup://directions/FAT Viewer?action=UPDATE&amp;creator=factset&amp;DYN_ARGS=TRUE&amp;DOC_NAME=FAT:FQL_AUDITING_CLIENT_TEMPLATE.FAT&amp;display_string=Audit&amp;VAR:KEY=FSDEBCXSJC&amp;VAR:QUERY=RkZfRElWX1lMRChBTk4sMi8yNi8wNCwyLzI2LzA0KQ==&amp;WINDOW=FIRST_POPUP&amp;HEIGHT=450&amp;WIDTH=450&amp;","START_MAXIMIZED=FALSE&amp;VAR:CALENDAR=US&amp;VAR:SYMBOL=LO&amp;VAR:INDEX=0"}</definedName>
    <definedName name="_1415__FDSAUDITLINK__" hidden="1">{"fdsup://directions/FAT Viewer?action=UPDATE&amp;creator=factset&amp;DYN_ARGS=TRUE&amp;DOC_NAME=FAT:FQL_AUDITING_CLIENT_TEMPLATE.FAT&amp;display_string=Audit&amp;VAR:KEY=FSDEBCXSJC&amp;VAR:QUERY=RkZfRElWX1lMRChBTk4sMi8yNi8wNCwyLzI2LzA0KQ==&amp;WINDOW=FIRST_POPUP&amp;HEIGHT=450&amp;WIDTH=450&amp;","START_MAXIMIZED=FALSE&amp;VAR:CALENDAR=US&amp;VAR:SYMBOL=LO&amp;VAR:INDEX=0"}</definedName>
    <definedName name="_1416__FDSAUDITLINK__" localSheetId="0" hidden="1">{"fdsup://directions/FAT Viewer?action=UPDATE&amp;creator=factset&amp;DYN_ARGS=TRUE&amp;DOC_NAME=FAT:FQL_AUDITING_CLIENT_TEMPLATE.FAT&amp;display_string=Audit&amp;VAR:KEY=HMTGPEZATS&amp;VAR:QUERY=RkZfRElWX1lMRChBTk4sMi8xOS8wNCwyLzE5LzA0KQ==&amp;WINDOW=FIRST_POPUP&amp;HEIGHT=450&amp;WIDTH=450&amp;","START_MAXIMIZED=FALSE&amp;VAR:CALENDAR=US&amp;VAR:SYMBOL=LO&amp;VAR:INDEX=0"}</definedName>
    <definedName name="_1416__FDSAUDITLINK__" hidden="1">{"fdsup://directions/FAT Viewer?action=UPDATE&amp;creator=factset&amp;DYN_ARGS=TRUE&amp;DOC_NAME=FAT:FQL_AUDITING_CLIENT_TEMPLATE.FAT&amp;display_string=Audit&amp;VAR:KEY=HMTGPEZATS&amp;VAR:QUERY=RkZfRElWX1lMRChBTk4sMi8xOS8wNCwyLzE5LzA0KQ==&amp;WINDOW=FIRST_POPUP&amp;HEIGHT=450&amp;WIDTH=450&amp;","START_MAXIMIZED=FALSE&amp;VAR:CALENDAR=US&amp;VAR:SYMBOL=LO&amp;VAR:INDEX=0"}</definedName>
    <definedName name="_1417">#REF!</definedName>
    <definedName name="_1417__FDSAUDITLINK__" localSheetId="0" hidden="1">{"fdsup://directions/FAT Viewer?action=UPDATE&amp;creator=factset&amp;DYN_ARGS=TRUE&amp;DOC_NAME=FAT:FQL_AUDITING_CLIENT_TEMPLATE.FAT&amp;display_string=Audit&amp;VAR:KEY=JABQJSTOXM&amp;VAR:QUERY=RkZfRElWX1lMRChBTk4sMi8xMi8wNCwyLzEyLzA0KQ==&amp;WINDOW=FIRST_POPUP&amp;HEIGHT=450&amp;WIDTH=450&amp;","START_MAXIMIZED=FALSE&amp;VAR:CALENDAR=US&amp;VAR:SYMBOL=LO&amp;VAR:INDEX=0"}</definedName>
    <definedName name="_1417__FDSAUDITLINK__" hidden="1">{"fdsup://directions/FAT Viewer?action=UPDATE&amp;creator=factset&amp;DYN_ARGS=TRUE&amp;DOC_NAME=FAT:FQL_AUDITING_CLIENT_TEMPLATE.FAT&amp;display_string=Audit&amp;VAR:KEY=JABQJSTOXM&amp;VAR:QUERY=RkZfRElWX1lMRChBTk4sMi8xMi8wNCwyLzEyLzA0KQ==&amp;WINDOW=FIRST_POPUP&amp;HEIGHT=450&amp;WIDTH=450&amp;","START_MAXIMIZED=FALSE&amp;VAR:CALENDAR=US&amp;VAR:SYMBOL=LO&amp;VAR:INDEX=0"}</definedName>
    <definedName name="_1418__FDSAUDITLINK__" localSheetId="0" hidden="1">{"fdsup://directions/FAT Viewer?action=UPDATE&amp;creator=factset&amp;DYN_ARGS=TRUE&amp;DOC_NAME=FAT:FQL_AUDITING_CLIENT_TEMPLATE.FAT&amp;display_string=Audit&amp;VAR:KEY=VMBKBUTMLC&amp;VAR:QUERY=RkZfRElWX1lMRChBTk4sMi8wNS8wNCwyLzA1LzA0KQ==&amp;WINDOW=FIRST_POPUP&amp;HEIGHT=450&amp;WIDTH=450&amp;","START_MAXIMIZED=FALSE&amp;VAR:CALENDAR=US&amp;VAR:SYMBOL=LO&amp;VAR:INDEX=0"}</definedName>
    <definedName name="_1418__FDSAUDITLINK__" hidden="1">{"fdsup://directions/FAT Viewer?action=UPDATE&amp;creator=factset&amp;DYN_ARGS=TRUE&amp;DOC_NAME=FAT:FQL_AUDITING_CLIENT_TEMPLATE.FAT&amp;display_string=Audit&amp;VAR:KEY=VMBKBUTMLC&amp;VAR:QUERY=RkZfRElWX1lMRChBTk4sMi8wNS8wNCwyLzA1LzA0KQ==&amp;WINDOW=FIRST_POPUP&amp;HEIGHT=450&amp;WIDTH=450&amp;","START_MAXIMIZED=FALSE&amp;VAR:CALENDAR=US&amp;VAR:SYMBOL=LO&amp;VAR:INDEX=0"}</definedName>
    <definedName name="_1419__FDSAUDITLINK__" localSheetId="0" hidden="1">{"fdsup://directions/FAT Viewer?action=UPDATE&amp;creator=factset&amp;DYN_ARGS=TRUE&amp;DOC_NAME=FAT:FQL_AUDITING_CLIENT_TEMPLATE.FAT&amp;display_string=Audit&amp;VAR:KEY=DKRCBYXCXE&amp;VAR:QUERY=RkZfRElWX1lMRChBTk4sMS8yOS8wNCwxLzI5LzA0KQ==&amp;WINDOW=FIRST_POPUP&amp;HEIGHT=450&amp;WIDTH=450&amp;","START_MAXIMIZED=FALSE&amp;VAR:CALENDAR=US&amp;VAR:SYMBOL=LO&amp;VAR:INDEX=0"}</definedName>
    <definedName name="_1419__FDSAUDITLINK__" hidden="1">{"fdsup://directions/FAT Viewer?action=UPDATE&amp;creator=factset&amp;DYN_ARGS=TRUE&amp;DOC_NAME=FAT:FQL_AUDITING_CLIENT_TEMPLATE.FAT&amp;display_string=Audit&amp;VAR:KEY=DKRCBYXCXE&amp;VAR:QUERY=RkZfRElWX1lMRChBTk4sMS8yOS8wNCwxLzI5LzA0KQ==&amp;WINDOW=FIRST_POPUP&amp;HEIGHT=450&amp;WIDTH=450&amp;","START_MAXIMIZED=FALSE&amp;VAR:CALENDAR=US&amp;VAR:SYMBOL=LO&amp;VAR:INDEX=0"}</definedName>
    <definedName name="_142">#REF!</definedName>
    <definedName name="_142__FDSAUDITLINK__" localSheetId="0" hidden="1">{"fdsup://directions/FAT Viewer?action=UPDATE&amp;creator=factset&amp;DYN_ARGS=TRUE&amp;DOC_NAME=FAT:FQL_AUDITING_CLIENT_TEMPLATE.FAT&amp;display_string=Audit&amp;VAR:KEY=BOZCTAVWRE&amp;VAR:QUERY=RkZfRElWX1lMRChBTk4sNy8xNy8wOCw3LzE3LzA4KQ==&amp;WINDOW=FIRST_POPUP&amp;HEIGHT=450&amp;WIDTH=450&amp;","START_MAXIMIZED=FALSE&amp;VAR:CALENDAR=US&amp;VAR:SYMBOL=RAI&amp;VAR:INDEX=0"}</definedName>
    <definedName name="_142__FDSAUDITLINK__" hidden="1">{"fdsup://directions/FAT Viewer?action=UPDATE&amp;creator=factset&amp;DYN_ARGS=TRUE&amp;DOC_NAME=FAT:FQL_AUDITING_CLIENT_TEMPLATE.FAT&amp;display_string=Audit&amp;VAR:KEY=BOZCTAVWRE&amp;VAR:QUERY=RkZfRElWX1lMRChBTk4sNy8xNy8wOCw3LzE3LzA4KQ==&amp;WINDOW=FIRST_POPUP&amp;HEIGHT=450&amp;WIDTH=450&amp;","START_MAXIMIZED=FALSE&amp;VAR:CALENDAR=US&amp;VAR:SYMBOL=RAI&amp;VAR:INDEX=0"}</definedName>
    <definedName name="_1420__FDSAUDITLINK__" localSheetId="0" hidden="1">{"fdsup://directions/FAT Viewer?action=UPDATE&amp;creator=factset&amp;DYN_ARGS=TRUE&amp;DOC_NAME=FAT:FQL_AUDITING_CLIENT_TEMPLATE.FAT&amp;display_string=Audit&amp;VAR:KEY=ZWXCTCHSLQ&amp;VAR:QUERY=RkZfRElWX1lMRChBTk4sMS8yMi8wNCwxLzIyLzA0KQ==&amp;WINDOW=FIRST_POPUP&amp;HEIGHT=450&amp;WIDTH=450&amp;","START_MAXIMIZED=FALSE&amp;VAR:CALENDAR=US&amp;VAR:SYMBOL=LO&amp;VAR:INDEX=0"}</definedName>
    <definedName name="_1420__FDSAUDITLINK__" hidden="1">{"fdsup://directions/FAT Viewer?action=UPDATE&amp;creator=factset&amp;DYN_ARGS=TRUE&amp;DOC_NAME=FAT:FQL_AUDITING_CLIENT_TEMPLATE.FAT&amp;display_string=Audit&amp;VAR:KEY=ZWXCTCHSLQ&amp;VAR:QUERY=RkZfRElWX1lMRChBTk4sMS8yMi8wNCwxLzIyLzA0KQ==&amp;WINDOW=FIRST_POPUP&amp;HEIGHT=450&amp;WIDTH=450&amp;","START_MAXIMIZED=FALSE&amp;VAR:CALENDAR=US&amp;VAR:SYMBOL=LO&amp;VAR:INDEX=0"}</definedName>
    <definedName name="_1421__FDSAUDITLINK__" localSheetId="0" hidden="1">{"fdsup://directions/FAT Viewer?action=UPDATE&amp;creator=factset&amp;DYN_ARGS=TRUE&amp;DOC_NAME=FAT:FQL_AUDITING_CLIENT_TEMPLATE.FAT&amp;display_string=Audit&amp;VAR:KEY=PKTGNWFSDA&amp;VAR:QUERY=RkZfRElWX1lMRChBTk4sMS8xNS8wNCwxLzE1LzA0KQ==&amp;WINDOW=FIRST_POPUP&amp;HEIGHT=450&amp;WIDTH=450&amp;","START_MAXIMIZED=FALSE&amp;VAR:CALENDAR=US&amp;VAR:SYMBOL=LO&amp;VAR:INDEX=0"}</definedName>
    <definedName name="_1421__FDSAUDITLINK__" hidden="1">{"fdsup://directions/FAT Viewer?action=UPDATE&amp;creator=factset&amp;DYN_ARGS=TRUE&amp;DOC_NAME=FAT:FQL_AUDITING_CLIENT_TEMPLATE.FAT&amp;display_string=Audit&amp;VAR:KEY=PKTGNWFSDA&amp;VAR:QUERY=RkZfRElWX1lMRChBTk4sMS8xNS8wNCwxLzE1LzA0KQ==&amp;WINDOW=FIRST_POPUP&amp;HEIGHT=450&amp;WIDTH=450&amp;","START_MAXIMIZED=FALSE&amp;VAR:CALENDAR=US&amp;VAR:SYMBOL=LO&amp;VAR:INDEX=0"}</definedName>
    <definedName name="_1422">#REF!</definedName>
    <definedName name="_1422__FDSAUDITLINK__" localSheetId="0" hidden="1">{"fdsup://directions/FAT Viewer?action=UPDATE&amp;creator=factset&amp;DYN_ARGS=TRUE&amp;DOC_NAME=FAT:FQL_AUDITING_CLIENT_TEMPLATE.FAT&amp;display_string=Audit&amp;VAR:KEY=TAXCVOTSFM&amp;VAR:QUERY=RkZfRElWX1lMRChBTk4sMS8wOC8wNCwxLzA4LzA0KQ==&amp;WINDOW=FIRST_POPUP&amp;HEIGHT=450&amp;WIDTH=450&amp;","START_MAXIMIZED=FALSE&amp;VAR:CALENDAR=US&amp;VAR:SYMBOL=LO&amp;VAR:INDEX=0"}</definedName>
    <definedName name="_1422__FDSAUDITLINK__" hidden="1">{"fdsup://directions/FAT Viewer?action=UPDATE&amp;creator=factset&amp;DYN_ARGS=TRUE&amp;DOC_NAME=FAT:FQL_AUDITING_CLIENT_TEMPLATE.FAT&amp;display_string=Audit&amp;VAR:KEY=TAXCVOTSFM&amp;VAR:QUERY=RkZfRElWX1lMRChBTk4sMS8wOC8wNCwxLzA4LzA0KQ==&amp;WINDOW=FIRST_POPUP&amp;HEIGHT=450&amp;WIDTH=450&amp;","START_MAXIMIZED=FALSE&amp;VAR:CALENDAR=US&amp;VAR:SYMBOL=LO&amp;VAR:INDEX=0"}</definedName>
    <definedName name="_1423__FDSAUDITLINK__" localSheetId="0" hidden="1">{"fdsup://directions/FAT Viewer?action=UPDATE&amp;creator=factset&amp;DYN_ARGS=TRUE&amp;DOC_NAME=FAT:FQL_AUDITING_CLIENT_TEMPLATE.FAT&amp;display_string=Audit&amp;VAR:KEY=XYJEZQXANK&amp;VAR:QUERY=RkZfRElWX1lMRChBTk4sMTIvMzEvMDMsMTIvMzEvMDMp&amp;WINDOW=FIRST_POPUP&amp;HEIGHT=450&amp;WIDTH=450&amp;","START_MAXIMIZED=FALSE&amp;VAR:CALENDAR=US&amp;VAR:SYMBOL=LO&amp;VAR:INDEX=0"}</definedName>
    <definedName name="_1423__FDSAUDITLINK__" hidden="1">{"fdsup://directions/FAT Viewer?action=UPDATE&amp;creator=factset&amp;DYN_ARGS=TRUE&amp;DOC_NAME=FAT:FQL_AUDITING_CLIENT_TEMPLATE.FAT&amp;display_string=Audit&amp;VAR:KEY=XYJEZQXANK&amp;VAR:QUERY=RkZfRElWX1lMRChBTk4sMTIvMzEvMDMsMTIvMzEvMDMp&amp;WINDOW=FIRST_POPUP&amp;HEIGHT=450&amp;WIDTH=450&amp;","START_MAXIMIZED=FALSE&amp;VAR:CALENDAR=US&amp;VAR:SYMBOL=LO&amp;VAR:INDEX=0"}</definedName>
    <definedName name="_1424__FDSAUDITLINK__" localSheetId="0" hidden="1">{"fdsup://directions/FAT Viewer?action=UPDATE&amp;creator=factset&amp;DYN_ARGS=TRUE&amp;DOC_NAME=FAT:FQL_AUDITING_CLIENT_TEMPLATE.FAT&amp;display_string=Audit&amp;VAR:KEY=JWNEFALMPG&amp;VAR:QUERY=RkZfRElWX1lMRChBTk4sMTIvMjQvMDMsMTIvMjQvMDMp&amp;WINDOW=FIRST_POPUP&amp;HEIGHT=450&amp;WIDTH=450&amp;","START_MAXIMIZED=FALSE&amp;VAR:CALENDAR=US&amp;VAR:SYMBOL=LO&amp;VAR:INDEX=0"}</definedName>
    <definedName name="_1424__FDSAUDITLINK__" hidden="1">{"fdsup://directions/FAT Viewer?action=UPDATE&amp;creator=factset&amp;DYN_ARGS=TRUE&amp;DOC_NAME=FAT:FQL_AUDITING_CLIENT_TEMPLATE.FAT&amp;display_string=Audit&amp;VAR:KEY=JWNEFALMPG&amp;VAR:QUERY=RkZfRElWX1lMRChBTk4sMTIvMjQvMDMsMTIvMjQvMDMp&amp;WINDOW=FIRST_POPUP&amp;HEIGHT=450&amp;WIDTH=450&amp;","START_MAXIMIZED=FALSE&amp;VAR:CALENDAR=US&amp;VAR:SYMBOL=LO&amp;VAR:INDEX=0"}</definedName>
    <definedName name="_1425__FDSAUDITLINK__" localSheetId="0" hidden="1">{"fdsup://directions/FAT Viewer?action=UPDATE&amp;creator=factset&amp;DYN_ARGS=TRUE&amp;DOC_NAME=FAT:FQL_AUDITING_CLIENT_TEMPLATE.FAT&amp;display_string=Audit&amp;VAR:KEY=LKVULUPANU&amp;VAR:QUERY=RkZfRElWX1lMRChBTk4sMTIvMTgvMDMsMTIvMTgvMDMp&amp;WINDOW=FIRST_POPUP&amp;HEIGHT=450&amp;WIDTH=450&amp;","START_MAXIMIZED=FALSE&amp;VAR:CALENDAR=US&amp;VAR:SYMBOL=LO&amp;VAR:INDEX=0"}</definedName>
    <definedName name="_1425__FDSAUDITLINK__" hidden="1">{"fdsup://directions/FAT Viewer?action=UPDATE&amp;creator=factset&amp;DYN_ARGS=TRUE&amp;DOC_NAME=FAT:FQL_AUDITING_CLIENT_TEMPLATE.FAT&amp;display_string=Audit&amp;VAR:KEY=LKVULUPANU&amp;VAR:QUERY=RkZfRElWX1lMRChBTk4sMTIvMTgvMDMsMTIvMTgvMDMp&amp;WINDOW=FIRST_POPUP&amp;HEIGHT=450&amp;WIDTH=450&amp;","START_MAXIMIZED=FALSE&amp;VAR:CALENDAR=US&amp;VAR:SYMBOL=LO&amp;VAR:INDEX=0"}</definedName>
    <definedName name="_1426__FDSAUDITLINK__" localSheetId="0" hidden="1">{"fdsup://directions/FAT Viewer?action=UPDATE&amp;creator=factset&amp;DYN_ARGS=TRUE&amp;DOC_NAME=FAT:FQL_AUDITING_CLIENT_TEMPLATE.FAT&amp;display_string=Audit&amp;VAR:KEY=HAJINOFOXG&amp;VAR:QUERY=RkZfRElWX1lMRChBTk4sMTIvMTEvMDMsMTIvMTEvMDMp&amp;WINDOW=FIRST_POPUP&amp;HEIGHT=450&amp;WIDTH=450&amp;","START_MAXIMIZED=FALSE&amp;VAR:CALENDAR=US&amp;VAR:SYMBOL=LO&amp;VAR:INDEX=0"}</definedName>
    <definedName name="_1426__FDSAUDITLINK__" hidden="1">{"fdsup://directions/FAT Viewer?action=UPDATE&amp;creator=factset&amp;DYN_ARGS=TRUE&amp;DOC_NAME=FAT:FQL_AUDITING_CLIENT_TEMPLATE.FAT&amp;display_string=Audit&amp;VAR:KEY=HAJINOFOXG&amp;VAR:QUERY=RkZfRElWX1lMRChBTk4sMTIvMTEvMDMsMTIvMTEvMDMp&amp;WINDOW=FIRST_POPUP&amp;HEIGHT=450&amp;WIDTH=450&amp;","START_MAXIMIZED=FALSE&amp;VAR:CALENDAR=US&amp;VAR:SYMBOL=LO&amp;VAR:INDEX=0"}</definedName>
    <definedName name="_1427">#REF!</definedName>
    <definedName name="_1427__FDSAUDITLINK__" localSheetId="0" hidden="1">{"fdsup://directions/FAT Viewer?action=UPDATE&amp;creator=factset&amp;DYN_ARGS=TRUE&amp;DOC_NAME=FAT:FQL_AUDITING_CLIENT_TEMPLATE.FAT&amp;display_string=Audit&amp;VAR:KEY=VCVYXYRMNA&amp;VAR:QUERY=RkZfRElWX1lMRChBTk4sMTIvMDQvMDMsMTIvMDQvMDMp&amp;WINDOW=FIRST_POPUP&amp;HEIGHT=450&amp;WIDTH=450&amp;","START_MAXIMIZED=FALSE&amp;VAR:CALENDAR=US&amp;VAR:SYMBOL=LO&amp;VAR:INDEX=0"}</definedName>
    <definedName name="_1427__FDSAUDITLINK__" hidden="1">{"fdsup://directions/FAT Viewer?action=UPDATE&amp;creator=factset&amp;DYN_ARGS=TRUE&amp;DOC_NAME=FAT:FQL_AUDITING_CLIENT_TEMPLATE.FAT&amp;display_string=Audit&amp;VAR:KEY=VCVYXYRMNA&amp;VAR:QUERY=RkZfRElWX1lMRChBTk4sMTIvMDQvMDMsMTIvMDQvMDMp&amp;WINDOW=FIRST_POPUP&amp;HEIGHT=450&amp;WIDTH=450&amp;","START_MAXIMIZED=FALSE&amp;VAR:CALENDAR=US&amp;VAR:SYMBOL=LO&amp;VAR:INDEX=0"}</definedName>
    <definedName name="_1428__FDSAUDITLINK__" localSheetId="0" hidden="1">{"fdsup://directions/FAT Viewer?action=UPDATE&amp;creator=factset&amp;DYN_ARGS=TRUE&amp;DOC_NAME=FAT:FQL_AUDITING_CLIENT_TEMPLATE.FAT&amp;display_string=Audit&amp;VAR:KEY=NYDETQTETM&amp;VAR:QUERY=RkZfRElWX1lMRChBTk4sMTEvMjYvMDMsMTEvMjYvMDMp&amp;WINDOW=FIRST_POPUP&amp;HEIGHT=450&amp;WIDTH=450&amp;","START_MAXIMIZED=FALSE&amp;VAR:CALENDAR=US&amp;VAR:SYMBOL=LO&amp;VAR:INDEX=0"}</definedName>
    <definedName name="_1428__FDSAUDITLINK__" hidden="1">{"fdsup://directions/FAT Viewer?action=UPDATE&amp;creator=factset&amp;DYN_ARGS=TRUE&amp;DOC_NAME=FAT:FQL_AUDITING_CLIENT_TEMPLATE.FAT&amp;display_string=Audit&amp;VAR:KEY=NYDETQTETM&amp;VAR:QUERY=RkZfRElWX1lMRChBTk4sMTEvMjYvMDMsMTEvMjYvMDMp&amp;WINDOW=FIRST_POPUP&amp;HEIGHT=450&amp;WIDTH=450&amp;","START_MAXIMIZED=FALSE&amp;VAR:CALENDAR=US&amp;VAR:SYMBOL=LO&amp;VAR:INDEX=0"}</definedName>
    <definedName name="_1429__FDSAUDITLINK__" localSheetId="0" hidden="1">{"fdsup://directions/FAT Viewer?action=UPDATE&amp;creator=factset&amp;DYN_ARGS=TRUE&amp;DOC_NAME=FAT:FQL_AUDITING_CLIENT_TEMPLATE.FAT&amp;display_string=Audit&amp;VAR:KEY=ZSNOBIRERK&amp;VAR:QUERY=RkZfRElWX1lMRChBTk4sMTEvMjAvMDMsMTEvMjAvMDMp&amp;WINDOW=FIRST_POPUP&amp;HEIGHT=450&amp;WIDTH=450&amp;","START_MAXIMIZED=FALSE&amp;VAR:CALENDAR=US&amp;VAR:SYMBOL=LO&amp;VAR:INDEX=0"}</definedName>
    <definedName name="_1429__FDSAUDITLINK__" hidden="1">{"fdsup://directions/FAT Viewer?action=UPDATE&amp;creator=factset&amp;DYN_ARGS=TRUE&amp;DOC_NAME=FAT:FQL_AUDITING_CLIENT_TEMPLATE.FAT&amp;display_string=Audit&amp;VAR:KEY=ZSNOBIRERK&amp;VAR:QUERY=RkZfRElWX1lMRChBTk4sMTEvMjAvMDMsMTEvMjAvMDMp&amp;WINDOW=FIRST_POPUP&amp;HEIGHT=450&amp;WIDTH=450&amp;","START_MAXIMIZED=FALSE&amp;VAR:CALENDAR=US&amp;VAR:SYMBOL=LO&amp;VAR:INDEX=0"}</definedName>
    <definedName name="_143">#REF!</definedName>
    <definedName name="_143__FDSAUDITLINK__" localSheetId="0" hidden="1">{"fdsup://directions/FAT Viewer?action=UPDATE&amp;creator=factset&amp;DYN_ARGS=TRUE&amp;DOC_NAME=FAT:FQL_AUDITING_CLIENT_TEMPLATE.FAT&amp;display_string=Audit&amp;VAR:KEY=JCXWBYJOPM&amp;VAR:QUERY=RkZfRElWX1lMRChBTk4sNy8xMC8wOCw3LzEwLzA4KQ==&amp;WINDOW=FIRST_POPUP&amp;HEIGHT=450&amp;WIDTH=450&amp;","START_MAXIMIZED=FALSE&amp;VAR:CALENDAR=US&amp;VAR:SYMBOL=RAI&amp;VAR:INDEX=0"}</definedName>
    <definedName name="_143__FDSAUDITLINK__" hidden="1">{"fdsup://directions/FAT Viewer?action=UPDATE&amp;creator=factset&amp;DYN_ARGS=TRUE&amp;DOC_NAME=FAT:FQL_AUDITING_CLIENT_TEMPLATE.FAT&amp;display_string=Audit&amp;VAR:KEY=JCXWBYJOPM&amp;VAR:QUERY=RkZfRElWX1lMRChBTk4sNy8xMC8wOCw3LzEwLzA4KQ==&amp;WINDOW=FIRST_POPUP&amp;HEIGHT=450&amp;WIDTH=450&amp;","START_MAXIMIZED=FALSE&amp;VAR:CALENDAR=US&amp;VAR:SYMBOL=RAI&amp;VAR:INDEX=0"}</definedName>
    <definedName name="_1430__FDSAUDITLINK__" localSheetId="0" hidden="1">{"fdsup://directions/FAT Viewer?action=UPDATE&amp;creator=factset&amp;DYN_ARGS=TRUE&amp;DOC_NAME=FAT:FQL_AUDITING_CLIENT_TEMPLATE.FAT&amp;display_string=Audit&amp;VAR:KEY=RITMBSRGNO&amp;VAR:QUERY=RkZfRElWX1lMRChBTk4sMTEvMTMvMDMsMTEvMTMvMDMp&amp;WINDOW=FIRST_POPUP&amp;HEIGHT=450&amp;WIDTH=450&amp;","START_MAXIMIZED=FALSE&amp;VAR:CALENDAR=US&amp;VAR:SYMBOL=LO&amp;VAR:INDEX=0"}</definedName>
    <definedName name="_1430__FDSAUDITLINK__" hidden="1">{"fdsup://directions/FAT Viewer?action=UPDATE&amp;creator=factset&amp;DYN_ARGS=TRUE&amp;DOC_NAME=FAT:FQL_AUDITING_CLIENT_TEMPLATE.FAT&amp;display_string=Audit&amp;VAR:KEY=RITMBSRGNO&amp;VAR:QUERY=RkZfRElWX1lMRChBTk4sMTEvMTMvMDMsMTEvMTMvMDMp&amp;WINDOW=FIRST_POPUP&amp;HEIGHT=450&amp;WIDTH=450&amp;","START_MAXIMIZED=FALSE&amp;VAR:CALENDAR=US&amp;VAR:SYMBOL=LO&amp;VAR:INDEX=0"}</definedName>
    <definedName name="_1431__FDSAUDITLINK__" localSheetId="0" hidden="1">{"fdsup://directions/FAT Viewer?action=UPDATE&amp;creator=factset&amp;DYN_ARGS=TRUE&amp;DOC_NAME=FAT:FQL_AUDITING_CLIENT_TEMPLATE.FAT&amp;display_string=Audit&amp;VAR:KEY=VGTUJKPWBE&amp;VAR:QUERY=RkZfRElWX1lMRChBTk4sMTEvMDYvMDMsMTEvMDYvMDMp&amp;WINDOW=FIRST_POPUP&amp;HEIGHT=450&amp;WIDTH=450&amp;","START_MAXIMIZED=FALSE&amp;VAR:CALENDAR=US&amp;VAR:SYMBOL=LO&amp;VAR:INDEX=0"}</definedName>
    <definedName name="_1431__FDSAUDITLINK__" hidden="1">{"fdsup://directions/FAT Viewer?action=UPDATE&amp;creator=factset&amp;DYN_ARGS=TRUE&amp;DOC_NAME=FAT:FQL_AUDITING_CLIENT_TEMPLATE.FAT&amp;display_string=Audit&amp;VAR:KEY=VGTUJKPWBE&amp;VAR:QUERY=RkZfRElWX1lMRChBTk4sMTEvMDYvMDMsMTEvMDYvMDMp&amp;WINDOW=FIRST_POPUP&amp;HEIGHT=450&amp;WIDTH=450&amp;","START_MAXIMIZED=FALSE&amp;VAR:CALENDAR=US&amp;VAR:SYMBOL=LO&amp;VAR:INDEX=0"}</definedName>
    <definedName name="_1432__FDSAUDITLINK__" localSheetId="0" hidden="1">{"fdsup://directions/FAT Viewer?action=UPDATE&amp;creator=factset&amp;DYN_ARGS=TRUE&amp;DOC_NAME=FAT:FQL_AUDITING_CLIENT_TEMPLATE.FAT&amp;display_string=Audit&amp;VAR:KEY=JUPWJSVQXG&amp;VAR:QUERY=RkZfRElWX1lMRChBTk4sMTAvMzAvMDMsMTAvMzAvMDMp&amp;WINDOW=FIRST_POPUP&amp;HEIGHT=450&amp;WIDTH=450&amp;","START_MAXIMIZED=FALSE&amp;VAR:CALENDAR=US&amp;VAR:SYMBOL=LO&amp;VAR:INDEX=0"}</definedName>
    <definedName name="_1432__FDSAUDITLINK__" hidden="1">{"fdsup://directions/FAT Viewer?action=UPDATE&amp;creator=factset&amp;DYN_ARGS=TRUE&amp;DOC_NAME=FAT:FQL_AUDITING_CLIENT_TEMPLATE.FAT&amp;display_string=Audit&amp;VAR:KEY=JUPWJSVQXG&amp;VAR:QUERY=RkZfRElWX1lMRChBTk4sMTAvMzAvMDMsMTAvMzAvMDMp&amp;WINDOW=FIRST_POPUP&amp;HEIGHT=450&amp;WIDTH=450&amp;","START_MAXIMIZED=FALSE&amp;VAR:CALENDAR=US&amp;VAR:SYMBOL=LO&amp;VAR:INDEX=0"}</definedName>
    <definedName name="_1433__FDSAUDITLINK__" localSheetId="0" hidden="1">{"fdsup://directions/FAT Viewer?action=UPDATE&amp;creator=factset&amp;DYN_ARGS=TRUE&amp;DOC_NAME=FAT:FQL_AUDITING_CLIENT_TEMPLATE.FAT&amp;display_string=Audit&amp;VAR:KEY=LELOHUHCJI&amp;VAR:QUERY=RkZfRElWX1lMRChBTk4sMTAvMjMvMDMsMTAvMjMvMDMp&amp;WINDOW=FIRST_POPUP&amp;HEIGHT=450&amp;WIDTH=450&amp;","START_MAXIMIZED=FALSE&amp;VAR:CALENDAR=US&amp;VAR:SYMBOL=LO&amp;VAR:INDEX=0"}</definedName>
    <definedName name="_1433__FDSAUDITLINK__" hidden="1">{"fdsup://directions/FAT Viewer?action=UPDATE&amp;creator=factset&amp;DYN_ARGS=TRUE&amp;DOC_NAME=FAT:FQL_AUDITING_CLIENT_TEMPLATE.FAT&amp;display_string=Audit&amp;VAR:KEY=LELOHUHCJI&amp;VAR:QUERY=RkZfRElWX1lMRChBTk4sMTAvMjMvMDMsMTAvMjMvMDMp&amp;WINDOW=FIRST_POPUP&amp;HEIGHT=450&amp;WIDTH=450&amp;","START_MAXIMIZED=FALSE&amp;VAR:CALENDAR=US&amp;VAR:SYMBOL=LO&amp;VAR:INDEX=0"}</definedName>
    <definedName name="_1434__FDSAUDITLINK__" localSheetId="0" hidden="1">{"fdsup://directions/FAT Viewer?action=UPDATE&amp;creator=factset&amp;DYN_ARGS=TRUE&amp;DOC_NAME=FAT:FQL_AUDITING_CLIENT_TEMPLATE.FAT&amp;display_string=Audit&amp;VAR:KEY=VEPIJEFIDG&amp;VAR:QUERY=RkZfRElWX1lMRChBTk4sMTAvMTYvMDMsMTAvMTYvMDMp&amp;WINDOW=FIRST_POPUP&amp;HEIGHT=450&amp;WIDTH=450&amp;","START_MAXIMIZED=FALSE&amp;VAR:CALENDAR=US&amp;VAR:SYMBOL=LO&amp;VAR:INDEX=0"}</definedName>
    <definedName name="_1434__FDSAUDITLINK__" hidden="1">{"fdsup://directions/FAT Viewer?action=UPDATE&amp;creator=factset&amp;DYN_ARGS=TRUE&amp;DOC_NAME=FAT:FQL_AUDITING_CLIENT_TEMPLATE.FAT&amp;display_string=Audit&amp;VAR:KEY=VEPIJEFIDG&amp;VAR:QUERY=RkZfRElWX1lMRChBTk4sMTAvMTYvMDMsMTAvMTYvMDMp&amp;WINDOW=FIRST_POPUP&amp;HEIGHT=450&amp;WIDTH=450&amp;","START_MAXIMIZED=FALSE&amp;VAR:CALENDAR=US&amp;VAR:SYMBOL=LO&amp;VAR:INDEX=0"}</definedName>
    <definedName name="_1435__FDSAUDITLINK__" localSheetId="0" hidden="1">{"fdsup://directions/FAT Viewer?action=UPDATE&amp;creator=factset&amp;DYN_ARGS=TRUE&amp;DOC_NAME=FAT:FQL_AUDITING_CLIENT_TEMPLATE.FAT&amp;display_string=Audit&amp;VAR:KEY=PGBCFWJODQ&amp;VAR:QUERY=RkZfRElWX1lMRChBTk4sMTAvMDkvMDMsMTAvMDkvMDMp&amp;WINDOW=FIRST_POPUP&amp;HEIGHT=450&amp;WIDTH=450&amp;","START_MAXIMIZED=FALSE&amp;VAR:CALENDAR=US&amp;VAR:SYMBOL=LO&amp;VAR:INDEX=0"}</definedName>
    <definedName name="_1435__FDSAUDITLINK__" hidden="1">{"fdsup://directions/FAT Viewer?action=UPDATE&amp;creator=factset&amp;DYN_ARGS=TRUE&amp;DOC_NAME=FAT:FQL_AUDITING_CLIENT_TEMPLATE.FAT&amp;display_string=Audit&amp;VAR:KEY=PGBCFWJODQ&amp;VAR:QUERY=RkZfRElWX1lMRChBTk4sMTAvMDkvMDMsMTAvMDkvMDMp&amp;WINDOW=FIRST_POPUP&amp;HEIGHT=450&amp;WIDTH=450&amp;","START_MAXIMIZED=FALSE&amp;VAR:CALENDAR=US&amp;VAR:SYMBOL=LO&amp;VAR:INDEX=0"}</definedName>
    <definedName name="_1436__FDSAUDITLINK__" localSheetId="0" hidden="1">{"fdsup://directions/FAT Viewer?action=UPDATE&amp;creator=factset&amp;DYN_ARGS=TRUE&amp;DOC_NAME=FAT:FQL_AUDITING_CLIENT_TEMPLATE.FAT&amp;display_string=Audit&amp;VAR:KEY=RYJEDWRCDQ&amp;VAR:QUERY=RkZfRElWX1lMRChBTk4sMTAvMDIvMDMsMTAvMDIvMDMp&amp;WINDOW=FIRST_POPUP&amp;HEIGHT=450&amp;WIDTH=450&amp;","START_MAXIMIZED=FALSE&amp;VAR:CALENDAR=US&amp;VAR:SYMBOL=LO&amp;VAR:INDEX=0"}</definedName>
    <definedName name="_1436__FDSAUDITLINK__" hidden="1">{"fdsup://directions/FAT Viewer?action=UPDATE&amp;creator=factset&amp;DYN_ARGS=TRUE&amp;DOC_NAME=FAT:FQL_AUDITING_CLIENT_TEMPLATE.FAT&amp;display_string=Audit&amp;VAR:KEY=RYJEDWRCDQ&amp;VAR:QUERY=RkZfRElWX1lMRChBTk4sMTAvMDIvMDMsMTAvMDIvMDMp&amp;WINDOW=FIRST_POPUP&amp;HEIGHT=450&amp;WIDTH=450&amp;","START_MAXIMIZED=FALSE&amp;VAR:CALENDAR=US&amp;VAR:SYMBOL=LO&amp;VAR:INDEX=0"}</definedName>
    <definedName name="_1437__FDSAUDITLINK__" localSheetId="0" hidden="1">{"fdsup://directions/FAT Viewer?action=UPDATE&amp;creator=factset&amp;DYN_ARGS=TRUE&amp;DOC_NAME=FAT:FQL_AUDITING_CLIENT_TEMPLATE.FAT&amp;display_string=Audit&amp;VAR:KEY=JYXOLAROHW&amp;VAR:QUERY=RkZfRElWX1lMRChBTk4sOS8yNS8wMyw5LzI1LzAzKQ==&amp;WINDOW=FIRST_POPUP&amp;HEIGHT=450&amp;WIDTH=450&amp;","START_MAXIMIZED=FALSE&amp;VAR:CALENDAR=US&amp;VAR:SYMBOL=LO&amp;VAR:INDEX=0"}</definedName>
    <definedName name="_1437__FDSAUDITLINK__" hidden="1">{"fdsup://directions/FAT Viewer?action=UPDATE&amp;creator=factset&amp;DYN_ARGS=TRUE&amp;DOC_NAME=FAT:FQL_AUDITING_CLIENT_TEMPLATE.FAT&amp;display_string=Audit&amp;VAR:KEY=JYXOLAROHW&amp;VAR:QUERY=RkZfRElWX1lMRChBTk4sOS8yNS8wMyw5LzI1LzAzKQ==&amp;WINDOW=FIRST_POPUP&amp;HEIGHT=450&amp;WIDTH=450&amp;","START_MAXIMIZED=FALSE&amp;VAR:CALENDAR=US&amp;VAR:SYMBOL=LO&amp;VAR:INDEX=0"}</definedName>
    <definedName name="_1438">#REF!</definedName>
    <definedName name="_1438__FDSAUDITLINK__" localSheetId="0" hidden="1">{"fdsup://directions/FAT Viewer?action=UPDATE&amp;creator=factset&amp;DYN_ARGS=TRUE&amp;DOC_NAME=FAT:FQL_AUDITING_CLIENT_TEMPLATE.FAT&amp;display_string=Audit&amp;VAR:KEY=VIRIBIZWPO&amp;VAR:QUERY=RkZfRElWX1lMRChBTk4sOS8xOC8wMyw5LzE4LzAzKQ==&amp;WINDOW=FIRST_POPUP&amp;HEIGHT=450&amp;WIDTH=450&amp;","START_MAXIMIZED=FALSE&amp;VAR:CALENDAR=US&amp;VAR:SYMBOL=LO&amp;VAR:INDEX=0"}</definedName>
    <definedName name="_1438__FDSAUDITLINK__" hidden="1">{"fdsup://directions/FAT Viewer?action=UPDATE&amp;creator=factset&amp;DYN_ARGS=TRUE&amp;DOC_NAME=FAT:FQL_AUDITING_CLIENT_TEMPLATE.FAT&amp;display_string=Audit&amp;VAR:KEY=VIRIBIZWPO&amp;VAR:QUERY=RkZfRElWX1lMRChBTk4sOS8xOC8wMyw5LzE4LzAzKQ==&amp;WINDOW=FIRST_POPUP&amp;HEIGHT=450&amp;WIDTH=450&amp;","START_MAXIMIZED=FALSE&amp;VAR:CALENDAR=US&amp;VAR:SYMBOL=LO&amp;VAR:INDEX=0"}</definedName>
    <definedName name="_1439">#REF!</definedName>
    <definedName name="_1439__FDSAUDITLINK__" localSheetId="0" hidden="1">{"fdsup://directions/FAT Viewer?action=UPDATE&amp;creator=factset&amp;DYN_ARGS=TRUE&amp;DOC_NAME=FAT:FQL_AUDITING_CLIENT_TEMPLATE.FAT&amp;display_string=Audit&amp;VAR:KEY=HCDMTYPMFI&amp;VAR:QUERY=RkZfRElWX1lMRChBTk4sOS8xMS8wMyw5LzExLzAzKQ==&amp;WINDOW=FIRST_POPUP&amp;HEIGHT=450&amp;WIDTH=450&amp;","START_MAXIMIZED=FALSE&amp;VAR:CALENDAR=US&amp;VAR:SYMBOL=LO&amp;VAR:INDEX=0"}</definedName>
    <definedName name="_1439__FDSAUDITLINK__" hidden="1">{"fdsup://directions/FAT Viewer?action=UPDATE&amp;creator=factset&amp;DYN_ARGS=TRUE&amp;DOC_NAME=FAT:FQL_AUDITING_CLIENT_TEMPLATE.FAT&amp;display_string=Audit&amp;VAR:KEY=HCDMTYPMFI&amp;VAR:QUERY=RkZfRElWX1lMRChBTk4sOS8xMS8wMyw5LzExLzAzKQ==&amp;WINDOW=FIRST_POPUP&amp;HEIGHT=450&amp;WIDTH=450&amp;","START_MAXIMIZED=FALSE&amp;VAR:CALENDAR=US&amp;VAR:SYMBOL=LO&amp;VAR:INDEX=0"}</definedName>
    <definedName name="_143Table2_">#REF!</definedName>
    <definedName name="_144">#REF!</definedName>
    <definedName name="_144__123Graph_ESUPPLIES_BY_B_U">#REF!</definedName>
    <definedName name="_144__FDSAUDITLINK__" localSheetId="0" hidden="1">{"fdsup://directions/FAT Viewer?action=UPDATE&amp;creator=factset&amp;DYN_ARGS=TRUE&amp;DOC_NAME=FAT:FQL_AUDITING_CLIENT_TEMPLATE.FAT&amp;display_string=Audit&amp;VAR:KEY=NADKFURIFA&amp;VAR:QUERY=RkZfRElWX1lMRChBTk4sNy8wMy8wOCw3LzAzLzA4KQ==&amp;WINDOW=FIRST_POPUP&amp;HEIGHT=450&amp;WIDTH=450&amp;","START_MAXIMIZED=FALSE&amp;VAR:CALENDAR=US&amp;VAR:SYMBOL=RAI&amp;VAR:INDEX=0"}</definedName>
    <definedName name="_144__FDSAUDITLINK__" hidden="1">{"fdsup://directions/FAT Viewer?action=UPDATE&amp;creator=factset&amp;DYN_ARGS=TRUE&amp;DOC_NAME=FAT:FQL_AUDITING_CLIENT_TEMPLATE.FAT&amp;display_string=Audit&amp;VAR:KEY=NADKFURIFA&amp;VAR:QUERY=RkZfRElWX1lMRChBTk4sNy8wMy8wOCw3LzAzLzA4KQ==&amp;WINDOW=FIRST_POPUP&amp;HEIGHT=450&amp;WIDTH=450&amp;","START_MAXIMIZED=FALSE&amp;VAR:CALENDAR=US&amp;VAR:SYMBOL=RAI&amp;VAR:INDEX=0"}</definedName>
    <definedName name="_1440">#REF!</definedName>
    <definedName name="_1440__FDSAUDITLINK__" localSheetId="0" hidden="1">{"fdsup://directions/FAT Viewer?action=UPDATE&amp;creator=factset&amp;DYN_ARGS=TRUE&amp;DOC_NAME=FAT:FQL_AUDITING_CLIENT_TEMPLATE.FAT&amp;display_string=Audit&amp;VAR:KEY=NIRONSZGZQ&amp;VAR:QUERY=RkZfRElWX1lMRChBTk4sOS8wNC8wMyw5LzA0LzAzKQ==&amp;WINDOW=FIRST_POPUP&amp;HEIGHT=450&amp;WIDTH=450&amp;","START_MAXIMIZED=FALSE&amp;VAR:CALENDAR=US&amp;VAR:SYMBOL=LO&amp;VAR:INDEX=0"}</definedName>
    <definedName name="_1440__FDSAUDITLINK__" hidden="1">{"fdsup://directions/FAT Viewer?action=UPDATE&amp;creator=factset&amp;DYN_ARGS=TRUE&amp;DOC_NAME=FAT:FQL_AUDITING_CLIENT_TEMPLATE.FAT&amp;display_string=Audit&amp;VAR:KEY=NIRONSZGZQ&amp;VAR:QUERY=RkZfRElWX1lMRChBTk4sOS8wNC8wMyw5LzA0LzAzKQ==&amp;WINDOW=FIRST_POPUP&amp;HEIGHT=450&amp;WIDTH=450&amp;","START_MAXIMIZED=FALSE&amp;VAR:CALENDAR=US&amp;VAR:SYMBOL=LO&amp;VAR:INDEX=0"}</definedName>
    <definedName name="_1441">#REF!</definedName>
    <definedName name="_1441__FDSAUDITLINK__" localSheetId="0" hidden="1">{"fdsup://directions/FAT Viewer?action=UPDATE&amp;creator=factset&amp;DYN_ARGS=TRUE&amp;DOC_NAME=FAT:FQL_AUDITING_CLIENT_TEMPLATE.FAT&amp;display_string=Audit&amp;VAR:KEY=TUHYRSLWRK&amp;VAR:QUERY=RkZfRElWX1lMRChBTk4sOC8yOC8wMyw4LzI4LzAzKQ==&amp;WINDOW=FIRST_POPUP&amp;HEIGHT=450&amp;WIDTH=450&amp;","START_MAXIMIZED=FALSE&amp;VAR:CALENDAR=US&amp;VAR:SYMBOL=LO&amp;VAR:INDEX=0"}</definedName>
    <definedName name="_1441__FDSAUDITLINK__" hidden="1">{"fdsup://directions/FAT Viewer?action=UPDATE&amp;creator=factset&amp;DYN_ARGS=TRUE&amp;DOC_NAME=FAT:FQL_AUDITING_CLIENT_TEMPLATE.FAT&amp;display_string=Audit&amp;VAR:KEY=TUHYRSLWRK&amp;VAR:QUERY=RkZfRElWX1lMRChBTk4sOC8yOC8wMyw4LzI4LzAzKQ==&amp;WINDOW=FIRST_POPUP&amp;HEIGHT=450&amp;WIDTH=450&amp;","START_MAXIMIZED=FALSE&amp;VAR:CALENDAR=US&amp;VAR:SYMBOL=LO&amp;VAR:INDEX=0"}</definedName>
    <definedName name="_1442">#REF!</definedName>
    <definedName name="_1442__FDSAUDITLINK__" localSheetId="0" hidden="1">{"fdsup://directions/FAT Viewer?action=UPDATE&amp;creator=factset&amp;DYN_ARGS=TRUE&amp;DOC_NAME=FAT:FQL_AUDITING_CLIENT_TEMPLATE.FAT&amp;display_string=Audit&amp;VAR:KEY=BCTKDOTUJC&amp;VAR:QUERY=RkZfRElWX1lMRChBTk4sOC8yMS8wMyw4LzIxLzAzKQ==&amp;WINDOW=FIRST_POPUP&amp;HEIGHT=450&amp;WIDTH=450&amp;","START_MAXIMIZED=FALSE&amp;VAR:CALENDAR=US&amp;VAR:SYMBOL=LO&amp;VAR:INDEX=0"}</definedName>
    <definedName name="_1442__FDSAUDITLINK__" hidden="1">{"fdsup://directions/FAT Viewer?action=UPDATE&amp;creator=factset&amp;DYN_ARGS=TRUE&amp;DOC_NAME=FAT:FQL_AUDITING_CLIENT_TEMPLATE.FAT&amp;display_string=Audit&amp;VAR:KEY=BCTKDOTUJC&amp;VAR:QUERY=RkZfRElWX1lMRChBTk4sOC8yMS8wMyw4LzIxLzAzKQ==&amp;WINDOW=FIRST_POPUP&amp;HEIGHT=450&amp;WIDTH=450&amp;","START_MAXIMIZED=FALSE&amp;VAR:CALENDAR=US&amp;VAR:SYMBOL=LO&amp;VAR:INDEX=0"}</definedName>
    <definedName name="_1443">#REF!</definedName>
    <definedName name="_1443__FDSAUDITLINK__" localSheetId="0" hidden="1">{"fdsup://directions/FAT Viewer?action=UPDATE&amp;creator=factset&amp;DYN_ARGS=TRUE&amp;DOC_NAME=FAT:FQL_AUDITING_CLIENT_TEMPLATE.FAT&amp;display_string=Audit&amp;VAR:KEY=NWHQDCHEJC&amp;VAR:QUERY=RkZfRElWX1lMRChBTk4sOC8xNC8wMyw4LzE0LzAzKQ==&amp;WINDOW=FIRST_POPUP&amp;HEIGHT=450&amp;WIDTH=450&amp;","START_MAXIMIZED=FALSE&amp;VAR:CALENDAR=US&amp;VAR:SYMBOL=LO&amp;VAR:INDEX=0"}</definedName>
    <definedName name="_1443__FDSAUDITLINK__" hidden="1">{"fdsup://directions/FAT Viewer?action=UPDATE&amp;creator=factset&amp;DYN_ARGS=TRUE&amp;DOC_NAME=FAT:FQL_AUDITING_CLIENT_TEMPLATE.FAT&amp;display_string=Audit&amp;VAR:KEY=NWHQDCHEJC&amp;VAR:QUERY=RkZfRElWX1lMRChBTk4sOC8xNC8wMyw4LzE0LzAzKQ==&amp;WINDOW=FIRST_POPUP&amp;HEIGHT=450&amp;WIDTH=450&amp;","START_MAXIMIZED=FALSE&amp;VAR:CALENDAR=US&amp;VAR:SYMBOL=LO&amp;VAR:INDEX=0"}</definedName>
    <definedName name="_1444">#REF!</definedName>
    <definedName name="_1444__FDSAUDITLINK__" localSheetId="0" hidden="1">{"fdsup://directions/FAT Viewer?action=UPDATE&amp;creator=factset&amp;DYN_ARGS=TRUE&amp;DOC_NAME=FAT:FQL_AUDITING_CLIENT_TEMPLATE.FAT&amp;display_string=Audit&amp;VAR:KEY=TSNOJSRWZG&amp;VAR:QUERY=RkZfRElWX1lMRChBTk4sOC8wNy8wMyw4LzA3LzAzKQ==&amp;WINDOW=FIRST_POPUP&amp;HEIGHT=450&amp;WIDTH=450&amp;","START_MAXIMIZED=FALSE&amp;VAR:CALENDAR=US&amp;VAR:SYMBOL=LO&amp;VAR:INDEX=0"}</definedName>
    <definedName name="_1444__FDSAUDITLINK__" hidden="1">{"fdsup://directions/FAT Viewer?action=UPDATE&amp;creator=factset&amp;DYN_ARGS=TRUE&amp;DOC_NAME=FAT:FQL_AUDITING_CLIENT_TEMPLATE.FAT&amp;display_string=Audit&amp;VAR:KEY=TSNOJSRWZG&amp;VAR:QUERY=RkZfRElWX1lMRChBTk4sOC8wNy8wMyw4LzA3LzAzKQ==&amp;WINDOW=FIRST_POPUP&amp;HEIGHT=450&amp;WIDTH=450&amp;","START_MAXIMIZED=FALSE&amp;VAR:CALENDAR=US&amp;VAR:SYMBOL=LO&amp;VAR:INDEX=0"}</definedName>
    <definedName name="_1445">#REF!</definedName>
    <definedName name="_1445__FDSAUDITLINK__" localSheetId="0" hidden="1">{"fdsup://directions/FAT Viewer?action=UPDATE&amp;creator=factset&amp;DYN_ARGS=TRUE&amp;DOC_NAME=FAT:FQL_AUDITING_CLIENT_TEMPLATE.FAT&amp;display_string=Audit&amp;VAR:KEY=BWLYZKROHG&amp;VAR:QUERY=RkZfRElWX1lMRChBTk4sNy8zMS8wMyw3LzMxLzAzKQ==&amp;WINDOW=FIRST_POPUP&amp;HEIGHT=450&amp;WIDTH=450&amp;","START_MAXIMIZED=FALSE&amp;VAR:CALENDAR=US&amp;VAR:SYMBOL=LO&amp;VAR:INDEX=0"}</definedName>
    <definedName name="_1445__FDSAUDITLINK__" hidden="1">{"fdsup://directions/FAT Viewer?action=UPDATE&amp;creator=factset&amp;DYN_ARGS=TRUE&amp;DOC_NAME=FAT:FQL_AUDITING_CLIENT_TEMPLATE.FAT&amp;display_string=Audit&amp;VAR:KEY=BWLYZKROHG&amp;VAR:QUERY=RkZfRElWX1lMRChBTk4sNy8zMS8wMyw3LzMxLzAzKQ==&amp;WINDOW=FIRST_POPUP&amp;HEIGHT=450&amp;WIDTH=450&amp;","START_MAXIMIZED=FALSE&amp;VAR:CALENDAR=US&amp;VAR:SYMBOL=LO&amp;VAR:INDEX=0"}</definedName>
    <definedName name="_1446">#REF!</definedName>
    <definedName name="_1446__FDSAUDITLINK__" localSheetId="0" hidden="1">{"fdsup://directions/FAT Viewer?action=UPDATE&amp;creator=factset&amp;DYN_ARGS=TRUE&amp;DOC_NAME=FAT:FQL_AUDITING_CLIENT_TEMPLATE.FAT&amp;display_string=Audit&amp;VAR:KEY=RCFGBAHKFI&amp;VAR:QUERY=RkZfRElWX1lMRChBTk4sNy8yNC8wMyw3LzI0LzAzKQ==&amp;WINDOW=FIRST_POPUP&amp;HEIGHT=450&amp;WIDTH=450&amp;","START_MAXIMIZED=FALSE&amp;VAR:CALENDAR=US&amp;VAR:SYMBOL=LO&amp;VAR:INDEX=0"}</definedName>
    <definedName name="_1446__FDSAUDITLINK__" hidden="1">{"fdsup://directions/FAT Viewer?action=UPDATE&amp;creator=factset&amp;DYN_ARGS=TRUE&amp;DOC_NAME=FAT:FQL_AUDITING_CLIENT_TEMPLATE.FAT&amp;display_string=Audit&amp;VAR:KEY=RCFGBAHKFI&amp;VAR:QUERY=RkZfRElWX1lMRChBTk4sNy8yNC8wMyw3LzI0LzAzKQ==&amp;WINDOW=FIRST_POPUP&amp;HEIGHT=450&amp;WIDTH=450&amp;","START_MAXIMIZED=FALSE&amp;VAR:CALENDAR=US&amp;VAR:SYMBOL=LO&amp;VAR:INDEX=0"}</definedName>
    <definedName name="_1447">#REF!</definedName>
    <definedName name="_1447__FDSAUDITLINK__" localSheetId="0" hidden="1">{"fdsup://directions/FAT Viewer?action=UPDATE&amp;creator=factset&amp;DYN_ARGS=TRUE&amp;DOC_NAME=FAT:FQL_AUDITING_CLIENT_TEMPLATE.FAT&amp;display_string=Audit&amp;VAR:KEY=FOVERMTMFS&amp;VAR:QUERY=RkZfRElWX1lMRChBTk4sNy8xNy8wMyw3LzE3LzAzKQ==&amp;WINDOW=FIRST_POPUP&amp;HEIGHT=450&amp;WIDTH=450&amp;","START_MAXIMIZED=FALSE&amp;VAR:CALENDAR=US&amp;VAR:SYMBOL=LO&amp;VAR:INDEX=0"}</definedName>
    <definedName name="_1447__FDSAUDITLINK__" hidden="1">{"fdsup://directions/FAT Viewer?action=UPDATE&amp;creator=factset&amp;DYN_ARGS=TRUE&amp;DOC_NAME=FAT:FQL_AUDITING_CLIENT_TEMPLATE.FAT&amp;display_string=Audit&amp;VAR:KEY=FOVERMTMFS&amp;VAR:QUERY=RkZfRElWX1lMRChBTk4sNy8xNy8wMyw3LzE3LzAzKQ==&amp;WINDOW=FIRST_POPUP&amp;HEIGHT=450&amp;WIDTH=450&amp;","START_MAXIMIZED=FALSE&amp;VAR:CALENDAR=US&amp;VAR:SYMBOL=LO&amp;VAR:INDEX=0"}</definedName>
    <definedName name="_1448">#REF!</definedName>
    <definedName name="_1448__FDSAUDITLINK__" localSheetId="0" hidden="1">{"fdsup://directions/FAT Viewer?action=UPDATE&amp;creator=factset&amp;DYN_ARGS=TRUE&amp;DOC_NAME=FAT:FQL_AUDITING_CLIENT_TEMPLATE.FAT&amp;display_string=Audit&amp;VAR:KEY=RCPMDCTCBW&amp;VAR:QUERY=RkZfRElWX1lMRChBTk4sNy8xMC8wMyw3LzEwLzAzKQ==&amp;WINDOW=FIRST_POPUP&amp;HEIGHT=450&amp;WIDTH=450&amp;","START_MAXIMIZED=FALSE&amp;VAR:CALENDAR=US&amp;VAR:SYMBOL=LO&amp;VAR:INDEX=0"}</definedName>
    <definedName name="_1448__FDSAUDITLINK__" hidden="1">{"fdsup://directions/FAT Viewer?action=UPDATE&amp;creator=factset&amp;DYN_ARGS=TRUE&amp;DOC_NAME=FAT:FQL_AUDITING_CLIENT_TEMPLATE.FAT&amp;display_string=Audit&amp;VAR:KEY=RCPMDCTCBW&amp;VAR:QUERY=RkZfRElWX1lMRChBTk4sNy8xMC8wMyw3LzEwLzAzKQ==&amp;WINDOW=FIRST_POPUP&amp;HEIGHT=450&amp;WIDTH=450&amp;","START_MAXIMIZED=FALSE&amp;VAR:CALENDAR=US&amp;VAR:SYMBOL=LO&amp;VAR:INDEX=0"}</definedName>
    <definedName name="_1449">#REF!</definedName>
    <definedName name="_1449__FDSAUDITLINK__" localSheetId="0" hidden="1">{"fdsup://directions/FAT Viewer?action=UPDATE&amp;creator=factset&amp;DYN_ARGS=TRUE&amp;DOC_NAME=FAT:FQL_AUDITING_CLIENT_TEMPLATE.FAT&amp;display_string=Audit&amp;VAR:KEY=DYPARCHGHE&amp;VAR:QUERY=RkZfRElWX1lMRChBTk4sNy8wMy8wMyw3LzAzLzAzKQ==&amp;WINDOW=FIRST_POPUP&amp;HEIGHT=450&amp;WIDTH=450&amp;","START_MAXIMIZED=FALSE&amp;VAR:CALENDAR=US&amp;VAR:SYMBOL=LO&amp;VAR:INDEX=0"}</definedName>
    <definedName name="_1449__FDSAUDITLINK__" hidden="1">{"fdsup://directions/FAT Viewer?action=UPDATE&amp;creator=factset&amp;DYN_ARGS=TRUE&amp;DOC_NAME=FAT:FQL_AUDITING_CLIENT_TEMPLATE.FAT&amp;display_string=Audit&amp;VAR:KEY=DYPARCHGHE&amp;VAR:QUERY=RkZfRElWX1lMRChBTk4sNy8wMy8wMyw3LzAzLzAzKQ==&amp;WINDOW=FIRST_POPUP&amp;HEIGHT=450&amp;WIDTH=450&amp;","START_MAXIMIZED=FALSE&amp;VAR:CALENDAR=US&amp;VAR:SYMBOL=LO&amp;VAR:INDEX=0"}</definedName>
    <definedName name="_145">#REF!</definedName>
    <definedName name="_145__123Graph_ESUPPLIES_BY_B_U">#REF!</definedName>
    <definedName name="_145__FDSAUDITLINK__" localSheetId="0" hidden="1">{"fdsup://directions/FAT Viewer?action=UPDATE&amp;creator=factset&amp;DYN_ARGS=TRUE&amp;DOC_NAME=FAT:FQL_AUDITING_CLIENT_TEMPLATE.FAT&amp;display_string=Audit&amp;VAR:KEY=PUHWBKXCFQ&amp;VAR:QUERY=RkZfRElWX1lMRChBTk4sNi8yNi8wOCw2LzI2LzA4KQ==&amp;WINDOW=FIRST_POPUP&amp;HEIGHT=450&amp;WIDTH=450&amp;","START_MAXIMIZED=FALSE&amp;VAR:CALENDAR=US&amp;VAR:SYMBOL=RAI&amp;VAR:INDEX=0"}</definedName>
    <definedName name="_145__FDSAUDITLINK__" hidden="1">{"fdsup://directions/FAT Viewer?action=UPDATE&amp;creator=factset&amp;DYN_ARGS=TRUE&amp;DOC_NAME=FAT:FQL_AUDITING_CLIENT_TEMPLATE.FAT&amp;display_string=Audit&amp;VAR:KEY=PUHWBKXCFQ&amp;VAR:QUERY=RkZfRElWX1lMRChBTk4sNi8yNi8wOCw2LzI2LzA4KQ==&amp;WINDOW=FIRST_POPUP&amp;HEIGHT=450&amp;WIDTH=450&amp;","START_MAXIMIZED=FALSE&amp;VAR:CALENDAR=US&amp;VAR:SYMBOL=RAI&amp;VAR:INDEX=0"}</definedName>
    <definedName name="_1450">#REF!</definedName>
    <definedName name="_1450__FDSAUDITLINK__" localSheetId="0" hidden="1">{"fdsup://directions/FAT Viewer?action=UPDATE&amp;creator=factset&amp;DYN_ARGS=TRUE&amp;DOC_NAME=FAT:FQL_AUDITING_CLIENT_TEMPLATE.FAT&amp;display_string=Audit&amp;VAR:KEY=NGVYHOTGPU&amp;VAR:QUERY=RkZfRElWX1lMRChBTk4sNi8yNi8wMyw2LzI2LzAzKQ==&amp;WINDOW=FIRST_POPUP&amp;HEIGHT=450&amp;WIDTH=450&amp;","START_MAXIMIZED=FALSE&amp;VAR:CALENDAR=US&amp;VAR:SYMBOL=LO&amp;VAR:INDEX=0"}</definedName>
    <definedName name="_1450__FDSAUDITLINK__" hidden="1">{"fdsup://directions/FAT Viewer?action=UPDATE&amp;creator=factset&amp;DYN_ARGS=TRUE&amp;DOC_NAME=FAT:FQL_AUDITING_CLIENT_TEMPLATE.FAT&amp;display_string=Audit&amp;VAR:KEY=NGVYHOTGPU&amp;VAR:QUERY=RkZfRElWX1lMRChBTk4sNi8yNi8wMyw2LzI2LzAzKQ==&amp;WINDOW=FIRST_POPUP&amp;HEIGHT=450&amp;WIDTH=450&amp;","START_MAXIMIZED=FALSE&amp;VAR:CALENDAR=US&amp;VAR:SYMBOL=LO&amp;VAR:INDEX=0"}</definedName>
    <definedName name="_1451">#REF!</definedName>
    <definedName name="_1451__FDSAUDITLINK__" localSheetId="0" hidden="1">{"fdsup://directions/FAT Viewer?action=UPDATE&amp;creator=factset&amp;DYN_ARGS=TRUE&amp;DOC_NAME=FAT:FQL_AUDITING_CLIENT_TEMPLATE.FAT&amp;display_string=Audit&amp;VAR:KEY=TCTAFOFIBC&amp;VAR:QUERY=RkZfRElWX1lMRChBTk4sNi8xOS8wMyw2LzE5LzAzKQ==&amp;WINDOW=FIRST_POPUP&amp;HEIGHT=450&amp;WIDTH=450&amp;","START_MAXIMIZED=FALSE&amp;VAR:CALENDAR=US&amp;VAR:SYMBOL=LO&amp;VAR:INDEX=0"}</definedName>
    <definedName name="_1451__FDSAUDITLINK__" hidden="1">{"fdsup://directions/FAT Viewer?action=UPDATE&amp;creator=factset&amp;DYN_ARGS=TRUE&amp;DOC_NAME=FAT:FQL_AUDITING_CLIENT_TEMPLATE.FAT&amp;display_string=Audit&amp;VAR:KEY=TCTAFOFIBC&amp;VAR:QUERY=RkZfRElWX1lMRChBTk4sNi8xOS8wMyw2LzE5LzAzKQ==&amp;WINDOW=FIRST_POPUP&amp;HEIGHT=450&amp;WIDTH=450&amp;","START_MAXIMIZED=FALSE&amp;VAR:CALENDAR=US&amp;VAR:SYMBOL=LO&amp;VAR:INDEX=0"}</definedName>
    <definedName name="_1452">#REF!</definedName>
    <definedName name="_1452__FDSAUDITLINK__" localSheetId="0" hidden="1">{"fdsup://directions/FAT Viewer?action=UPDATE&amp;creator=factset&amp;DYN_ARGS=TRUE&amp;DOC_NAME=FAT:FQL_AUDITING_CLIENT_TEMPLATE.FAT&amp;display_string=Audit&amp;VAR:KEY=BQBIZADCNC&amp;VAR:QUERY=RkZfRElWX1lMRChBTk4sNi8xMi8wMyw2LzEyLzAzKQ==&amp;WINDOW=FIRST_POPUP&amp;HEIGHT=450&amp;WIDTH=450&amp;","START_MAXIMIZED=FALSE&amp;VAR:CALENDAR=US&amp;VAR:SYMBOL=LO&amp;VAR:INDEX=0"}</definedName>
    <definedName name="_1452__FDSAUDITLINK__" hidden="1">{"fdsup://directions/FAT Viewer?action=UPDATE&amp;creator=factset&amp;DYN_ARGS=TRUE&amp;DOC_NAME=FAT:FQL_AUDITING_CLIENT_TEMPLATE.FAT&amp;display_string=Audit&amp;VAR:KEY=BQBIZADCNC&amp;VAR:QUERY=RkZfRElWX1lMRChBTk4sNi8xMi8wMyw2LzEyLzAzKQ==&amp;WINDOW=FIRST_POPUP&amp;HEIGHT=450&amp;WIDTH=450&amp;","START_MAXIMIZED=FALSE&amp;VAR:CALENDAR=US&amp;VAR:SYMBOL=LO&amp;VAR:INDEX=0"}</definedName>
    <definedName name="_1453">#REF!</definedName>
    <definedName name="_1453__FDSAUDITLINK__" localSheetId="0" hidden="1">{"fdsup://directions/FAT Viewer?action=UPDATE&amp;creator=factset&amp;DYN_ARGS=TRUE&amp;DOC_NAME=FAT:FQL_AUDITING_CLIENT_TEMPLATE.FAT&amp;display_string=Audit&amp;VAR:KEY=ZCLOTEHIXO&amp;VAR:QUERY=RkZfRElWX1lMRChBTk4sNi8wNS8wMyw2LzA1LzAzKQ==&amp;WINDOW=FIRST_POPUP&amp;HEIGHT=450&amp;WIDTH=450&amp;","START_MAXIMIZED=FALSE&amp;VAR:CALENDAR=US&amp;VAR:SYMBOL=LO&amp;VAR:INDEX=0"}</definedName>
    <definedName name="_1453__FDSAUDITLINK__" hidden="1">{"fdsup://directions/FAT Viewer?action=UPDATE&amp;creator=factset&amp;DYN_ARGS=TRUE&amp;DOC_NAME=FAT:FQL_AUDITING_CLIENT_TEMPLATE.FAT&amp;display_string=Audit&amp;VAR:KEY=ZCLOTEHIXO&amp;VAR:QUERY=RkZfRElWX1lMRChBTk4sNi8wNS8wMyw2LzA1LzAzKQ==&amp;WINDOW=FIRST_POPUP&amp;HEIGHT=450&amp;WIDTH=450&amp;","START_MAXIMIZED=FALSE&amp;VAR:CALENDAR=US&amp;VAR:SYMBOL=LO&amp;VAR:INDEX=0"}</definedName>
    <definedName name="_1454">#REF!</definedName>
    <definedName name="_1454__FDSAUDITLINK__" localSheetId="0" hidden="1">{"fdsup://directions/FAT Viewer?action=UPDATE&amp;creator=factset&amp;DYN_ARGS=TRUE&amp;DOC_NAME=FAT:FQL_AUDITING_CLIENT_TEMPLATE.FAT&amp;display_string=Audit&amp;VAR:KEY=JATYJANEZU&amp;VAR:QUERY=RkZfRElWX1lMRChBTk4sNS8yOS8wMyw1LzI5LzAzKQ==&amp;WINDOW=FIRST_POPUP&amp;HEIGHT=450&amp;WIDTH=450&amp;","START_MAXIMIZED=FALSE&amp;VAR:CALENDAR=US&amp;VAR:SYMBOL=LO&amp;VAR:INDEX=0"}</definedName>
    <definedName name="_1454__FDSAUDITLINK__" hidden="1">{"fdsup://directions/FAT Viewer?action=UPDATE&amp;creator=factset&amp;DYN_ARGS=TRUE&amp;DOC_NAME=FAT:FQL_AUDITING_CLIENT_TEMPLATE.FAT&amp;display_string=Audit&amp;VAR:KEY=JATYJANEZU&amp;VAR:QUERY=RkZfRElWX1lMRChBTk4sNS8yOS8wMyw1LzI5LzAzKQ==&amp;WINDOW=FIRST_POPUP&amp;HEIGHT=450&amp;WIDTH=450&amp;","START_MAXIMIZED=FALSE&amp;VAR:CALENDAR=US&amp;VAR:SYMBOL=LO&amp;VAR:INDEX=0"}</definedName>
    <definedName name="_1455">#REF!</definedName>
    <definedName name="_1455__FDSAUDITLINK__" localSheetId="0" hidden="1">{"fdsup://directions/FAT Viewer?action=UPDATE&amp;creator=factset&amp;DYN_ARGS=TRUE&amp;DOC_NAME=FAT:FQL_AUDITING_CLIENT_TEMPLATE.FAT&amp;display_string=Audit&amp;VAR:KEY=VYPQFEPARW&amp;VAR:QUERY=RkZfRElWX1lMRChBTk4sNS8yMi8wMyw1LzIyLzAzKQ==&amp;WINDOW=FIRST_POPUP&amp;HEIGHT=450&amp;WIDTH=450&amp;","START_MAXIMIZED=FALSE&amp;VAR:CALENDAR=US&amp;VAR:SYMBOL=LO&amp;VAR:INDEX=0"}</definedName>
    <definedName name="_1455__FDSAUDITLINK__" hidden="1">{"fdsup://directions/FAT Viewer?action=UPDATE&amp;creator=factset&amp;DYN_ARGS=TRUE&amp;DOC_NAME=FAT:FQL_AUDITING_CLIENT_TEMPLATE.FAT&amp;display_string=Audit&amp;VAR:KEY=VYPQFEPARW&amp;VAR:QUERY=RkZfRElWX1lMRChBTk4sNS8yMi8wMyw1LzIyLzAzKQ==&amp;WINDOW=FIRST_POPUP&amp;HEIGHT=450&amp;WIDTH=450&amp;","START_MAXIMIZED=FALSE&amp;VAR:CALENDAR=US&amp;VAR:SYMBOL=LO&amp;VAR:INDEX=0"}</definedName>
    <definedName name="_1456">#REF!</definedName>
    <definedName name="_1456__FDSAUDITLINK__" localSheetId="0" hidden="1">{"fdsup://directions/FAT Viewer?action=UPDATE&amp;creator=factset&amp;DYN_ARGS=TRUE&amp;DOC_NAME=FAT:FQL_AUDITING_CLIENT_TEMPLATE.FAT&amp;display_string=Audit&amp;VAR:KEY=LCBCLQRGFU&amp;VAR:QUERY=RkZfRElWX1lMRChBTk4sNS8xNS8wMyw1LzE1LzAzKQ==&amp;WINDOW=FIRST_POPUP&amp;HEIGHT=450&amp;WIDTH=450&amp;","START_MAXIMIZED=FALSE&amp;VAR:CALENDAR=US&amp;VAR:SYMBOL=LO&amp;VAR:INDEX=0"}</definedName>
    <definedName name="_1456__FDSAUDITLINK__" hidden="1">{"fdsup://directions/FAT Viewer?action=UPDATE&amp;creator=factset&amp;DYN_ARGS=TRUE&amp;DOC_NAME=FAT:FQL_AUDITING_CLIENT_TEMPLATE.FAT&amp;display_string=Audit&amp;VAR:KEY=LCBCLQRGFU&amp;VAR:QUERY=RkZfRElWX1lMRChBTk4sNS8xNS8wMyw1LzE1LzAzKQ==&amp;WINDOW=FIRST_POPUP&amp;HEIGHT=450&amp;WIDTH=450&amp;","START_MAXIMIZED=FALSE&amp;VAR:CALENDAR=US&amp;VAR:SYMBOL=LO&amp;VAR:INDEX=0"}</definedName>
    <definedName name="_1457">#REF!</definedName>
    <definedName name="_1457__FDSAUDITLINK__" localSheetId="0" hidden="1">{"fdsup://directions/FAT Viewer?action=UPDATE&amp;creator=factset&amp;DYN_ARGS=TRUE&amp;DOC_NAME=FAT:FQL_AUDITING_CLIENT_TEMPLATE.FAT&amp;display_string=Audit&amp;VAR:KEY=LAXQHQRWNM&amp;VAR:QUERY=RkZfRElWX1lMRChBTk4sNS8wOC8wMyw1LzA4LzAzKQ==&amp;WINDOW=FIRST_POPUP&amp;HEIGHT=450&amp;WIDTH=450&amp;","START_MAXIMIZED=FALSE&amp;VAR:CALENDAR=US&amp;VAR:SYMBOL=LO&amp;VAR:INDEX=0"}</definedName>
    <definedName name="_1457__FDSAUDITLINK__" hidden="1">{"fdsup://directions/FAT Viewer?action=UPDATE&amp;creator=factset&amp;DYN_ARGS=TRUE&amp;DOC_NAME=FAT:FQL_AUDITING_CLIENT_TEMPLATE.FAT&amp;display_string=Audit&amp;VAR:KEY=LAXQHQRWNM&amp;VAR:QUERY=RkZfRElWX1lMRChBTk4sNS8wOC8wMyw1LzA4LzAzKQ==&amp;WINDOW=FIRST_POPUP&amp;HEIGHT=450&amp;WIDTH=450&amp;","START_MAXIMIZED=FALSE&amp;VAR:CALENDAR=US&amp;VAR:SYMBOL=LO&amp;VAR:INDEX=0"}</definedName>
    <definedName name="_1458">#REF!</definedName>
    <definedName name="_1458__FDSAUDITLINK__" localSheetId="0" hidden="1">{"fdsup://directions/FAT Viewer?action=UPDATE&amp;creator=factset&amp;DYN_ARGS=TRUE&amp;DOC_NAME=FAT:FQL_AUDITING_CLIENT_TEMPLATE.FAT&amp;display_string=Audit&amp;VAR:KEY=JEREDARCBQ&amp;VAR:QUERY=RkZfRElWX1lMRChBTk4sNS8wMS8wMyw1LzAxLzAzKQ==&amp;WINDOW=FIRST_POPUP&amp;HEIGHT=450&amp;WIDTH=450&amp;","START_MAXIMIZED=FALSE&amp;VAR:CALENDAR=US&amp;VAR:SYMBOL=LO&amp;VAR:INDEX=0"}</definedName>
    <definedName name="_1458__FDSAUDITLINK__" hidden="1">{"fdsup://directions/FAT Viewer?action=UPDATE&amp;creator=factset&amp;DYN_ARGS=TRUE&amp;DOC_NAME=FAT:FQL_AUDITING_CLIENT_TEMPLATE.FAT&amp;display_string=Audit&amp;VAR:KEY=JEREDARCBQ&amp;VAR:QUERY=RkZfRElWX1lMRChBTk4sNS8wMS8wMyw1LzAxLzAzKQ==&amp;WINDOW=FIRST_POPUP&amp;HEIGHT=450&amp;WIDTH=450&amp;","START_MAXIMIZED=FALSE&amp;VAR:CALENDAR=US&amp;VAR:SYMBOL=LO&amp;VAR:INDEX=0"}</definedName>
    <definedName name="_1459">#REF!</definedName>
    <definedName name="_1459__FDSAUDITLINK__" localSheetId="0" hidden="1">{"fdsup://directions/FAT Viewer?action=UPDATE&amp;creator=factset&amp;DYN_ARGS=TRUE&amp;DOC_NAME=FAT:FQL_AUDITING_CLIENT_TEMPLATE.FAT&amp;display_string=Audit&amp;VAR:KEY=RUVSRMDQTO&amp;VAR:QUERY=RkZfRElWX1lMRChBTk4sNC8yNC8wMyw0LzI0LzAzKQ==&amp;WINDOW=FIRST_POPUP&amp;HEIGHT=450&amp;WIDTH=450&amp;","START_MAXIMIZED=FALSE&amp;VAR:CALENDAR=US&amp;VAR:SYMBOL=LO&amp;VAR:INDEX=0"}</definedName>
    <definedName name="_1459__FDSAUDITLINK__" hidden="1">{"fdsup://directions/FAT Viewer?action=UPDATE&amp;creator=factset&amp;DYN_ARGS=TRUE&amp;DOC_NAME=FAT:FQL_AUDITING_CLIENT_TEMPLATE.FAT&amp;display_string=Audit&amp;VAR:KEY=RUVSRMDQTO&amp;VAR:QUERY=RkZfRElWX1lMRChBTk4sNC8yNC8wMyw0LzI0LzAzKQ==&amp;WINDOW=FIRST_POPUP&amp;HEIGHT=450&amp;WIDTH=450&amp;","START_MAXIMIZED=FALSE&amp;VAR:CALENDAR=US&amp;VAR:SYMBOL=LO&amp;VAR:INDEX=0"}</definedName>
    <definedName name="_146">#REF!</definedName>
    <definedName name="_146__123Graph_FWAGES_BY_B_U">#REF!</definedName>
    <definedName name="_146__FDSAUDITLINK__" localSheetId="0" hidden="1">{"fdsup://directions/FAT Viewer?action=UPDATE&amp;creator=factset&amp;DYN_ARGS=TRUE&amp;DOC_NAME=FAT:FQL_AUDITING_CLIENT_TEMPLATE.FAT&amp;display_string=Audit&amp;VAR:KEY=RYZKPWPQZU&amp;VAR:QUERY=RkZfRElWX1lMRChBTk4sNi8xOS8wOCw2LzE5LzA4KQ==&amp;WINDOW=FIRST_POPUP&amp;HEIGHT=450&amp;WIDTH=450&amp;","START_MAXIMIZED=FALSE&amp;VAR:CALENDAR=US&amp;VAR:SYMBOL=RAI&amp;VAR:INDEX=0"}</definedName>
    <definedName name="_146__FDSAUDITLINK__" hidden="1">{"fdsup://directions/FAT Viewer?action=UPDATE&amp;creator=factset&amp;DYN_ARGS=TRUE&amp;DOC_NAME=FAT:FQL_AUDITING_CLIENT_TEMPLATE.FAT&amp;display_string=Audit&amp;VAR:KEY=RYZKPWPQZU&amp;VAR:QUERY=RkZfRElWX1lMRChBTk4sNi8xOS8wOCw2LzE5LzA4KQ==&amp;WINDOW=FIRST_POPUP&amp;HEIGHT=450&amp;WIDTH=450&amp;","START_MAXIMIZED=FALSE&amp;VAR:CALENDAR=US&amp;VAR:SYMBOL=RAI&amp;VAR:INDEX=0"}</definedName>
    <definedName name="_1460">#REF!</definedName>
    <definedName name="_1460__FDSAUDITLINK__" localSheetId="0" hidden="1">{"fdsup://directions/FAT Viewer?action=UPDATE&amp;creator=factset&amp;DYN_ARGS=TRUE&amp;DOC_NAME=FAT:FQL_AUDITING_CLIENT_TEMPLATE.FAT&amp;display_string=Audit&amp;VAR:KEY=LMNYHYXEJA&amp;VAR:QUERY=RkZfRElWX1lMRChBTk4sNC8xNy8wMyw0LzE3LzAzKQ==&amp;WINDOW=FIRST_POPUP&amp;HEIGHT=450&amp;WIDTH=450&amp;","START_MAXIMIZED=FALSE&amp;VAR:CALENDAR=US&amp;VAR:SYMBOL=LO&amp;VAR:INDEX=0"}</definedName>
    <definedName name="_1460__FDSAUDITLINK__" hidden="1">{"fdsup://directions/FAT Viewer?action=UPDATE&amp;creator=factset&amp;DYN_ARGS=TRUE&amp;DOC_NAME=FAT:FQL_AUDITING_CLIENT_TEMPLATE.FAT&amp;display_string=Audit&amp;VAR:KEY=LMNYHYXEJA&amp;VAR:QUERY=RkZfRElWX1lMRChBTk4sNC8xNy8wMyw0LzE3LzAzKQ==&amp;WINDOW=FIRST_POPUP&amp;HEIGHT=450&amp;WIDTH=450&amp;","START_MAXIMIZED=FALSE&amp;VAR:CALENDAR=US&amp;VAR:SYMBOL=LO&amp;VAR:INDEX=0"}</definedName>
    <definedName name="_1461__FDSAUDITLINK__" localSheetId="0" hidden="1">{"fdsup://directions/FAT Viewer?action=UPDATE&amp;creator=factset&amp;DYN_ARGS=TRUE&amp;DOC_NAME=FAT:FQL_AUDITING_CLIENT_TEMPLATE.FAT&amp;display_string=Audit&amp;VAR:KEY=LAXYTIRSVI&amp;VAR:QUERY=RkZfRElWX1lMRChBTk4sNC8xMC8wMyw0LzEwLzAzKQ==&amp;WINDOW=FIRST_POPUP&amp;HEIGHT=450&amp;WIDTH=450&amp;","START_MAXIMIZED=FALSE&amp;VAR:CALENDAR=US&amp;VAR:SYMBOL=LO&amp;VAR:INDEX=0"}</definedName>
    <definedName name="_1461__FDSAUDITLINK__" hidden="1">{"fdsup://directions/FAT Viewer?action=UPDATE&amp;creator=factset&amp;DYN_ARGS=TRUE&amp;DOC_NAME=FAT:FQL_AUDITING_CLIENT_TEMPLATE.FAT&amp;display_string=Audit&amp;VAR:KEY=LAXYTIRSVI&amp;VAR:QUERY=RkZfRElWX1lMRChBTk4sNC8xMC8wMyw0LzEwLzAzKQ==&amp;WINDOW=FIRST_POPUP&amp;HEIGHT=450&amp;WIDTH=450&amp;","START_MAXIMIZED=FALSE&amp;VAR:CALENDAR=US&amp;VAR:SYMBOL=LO&amp;VAR:INDEX=0"}</definedName>
    <definedName name="_1462__FDSAUDITLINK__" localSheetId="0" hidden="1">{"fdsup://directions/FAT Viewer?action=UPDATE&amp;creator=factset&amp;DYN_ARGS=TRUE&amp;DOC_NAME=FAT:FQL_AUDITING_CLIENT_TEMPLATE.FAT&amp;display_string=Audit&amp;VAR:KEY=JGZAJOHEBY&amp;VAR:QUERY=RkZfRElWX1lMRChBTk4sNC8wMy8wMyw0LzAzLzAzKQ==&amp;WINDOW=FIRST_POPUP&amp;HEIGHT=450&amp;WIDTH=450&amp;","START_MAXIMIZED=FALSE&amp;VAR:CALENDAR=US&amp;VAR:SYMBOL=LO&amp;VAR:INDEX=0"}</definedName>
    <definedName name="_1462__FDSAUDITLINK__" hidden="1">{"fdsup://directions/FAT Viewer?action=UPDATE&amp;creator=factset&amp;DYN_ARGS=TRUE&amp;DOC_NAME=FAT:FQL_AUDITING_CLIENT_TEMPLATE.FAT&amp;display_string=Audit&amp;VAR:KEY=JGZAJOHEBY&amp;VAR:QUERY=RkZfRElWX1lMRChBTk4sNC8wMy8wMyw0LzAzLzAzKQ==&amp;WINDOW=FIRST_POPUP&amp;HEIGHT=450&amp;WIDTH=450&amp;","START_MAXIMIZED=FALSE&amp;VAR:CALENDAR=US&amp;VAR:SYMBOL=LO&amp;VAR:INDEX=0"}</definedName>
    <definedName name="_1463__FDSAUDITLINK__" localSheetId="0" hidden="1">{"fdsup://directions/FAT Viewer?action=UPDATE&amp;creator=factset&amp;DYN_ARGS=TRUE&amp;DOC_NAME=FAT:FQL_AUDITING_CLIENT_TEMPLATE.FAT&amp;display_string=Audit&amp;VAR:KEY=ZAJYJYXKZE&amp;VAR:QUERY=RkZfRElWX1lMRChBTk4sMy8yNy8wMywzLzI3LzAzKQ==&amp;WINDOW=FIRST_POPUP&amp;HEIGHT=450&amp;WIDTH=450&amp;","START_MAXIMIZED=FALSE&amp;VAR:CALENDAR=US&amp;VAR:SYMBOL=LO&amp;VAR:INDEX=0"}</definedName>
    <definedName name="_1463__FDSAUDITLINK__" hidden="1">{"fdsup://directions/FAT Viewer?action=UPDATE&amp;creator=factset&amp;DYN_ARGS=TRUE&amp;DOC_NAME=FAT:FQL_AUDITING_CLIENT_TEMPLATE.FAT&amp;display_string=Audit&amp;VAR:KEY=ZAJYJYXKZE&amp;VAR:QUERY=RkZfRElWX1lMRChBTk4sMy8yNy8wMywzLzI3LzAzKQ==&amp;WINDOW=FIRST_POPUP&amp;HEIGHT=450&amp;WIDTH=450&amp;","START_MAXIMIZED=FALSE&amp;VAR:CALENDAR=US&amp;VAR:SYMBOL=LO&amp;VAR:INDEX=0"}</definedName>
    <definedName name="_1464__FDSAUDITLINK__" localSheetId="0" hidden="1">{"fdsup://directions/FAT Viewer?action=UPDATE&amp;creator=factset&amp;DYN_ARGS=TRUE&amp;DOC_NAME=FAT:FQL_AUDITING_CLIENT_TEMPLATE.FAT&amp;display_string=Audit&amp;VAR:KEY=ZUDUDOJOJM&amp;VAR:QUERY=RkZfRElWX1lMRChBTk4sMy8yMC8wMywzLzIwLzAzKQ==&amp;WINDOW=FIRST_POPUP&amp;HEIGHT=450&amp;WIDTH=450&amp;","START_MAXIMIZED=FALSE&amp;VAR:CALENDAR=US&amp;VAR:SYMBOL=LO&amp;VAR:INDEX=0"}</definedName>
    <definedName name="_1464__FDSAUDITLINK__" hidden="1">{"fdsup://directions/FAT Viewer?action=UPDATE&amp;creator=factset&amp;DYN_ARGS=TRUE&amp;DOC_NAME=FAT:FQL_AUDITING_CLIENT_TEMPLATE.FAT&amp;display_string=Audit&amp;VAR:KEY=ZUDUDOJOJM&amp;VAR:QUERY=RkZfRElWX1lMRChBTk4sMy8yMC8wMywzLzIwLzAzKQ==&amp;WINDOW=FIRST_POPUP&amp;HEIGHT=450&amp;WIDTH=450&amp;","START_MAXIMIZED=FALSE&amp;VAR:CALENDAR=US&amp;VAR:SYMBOL=LO&amp;VAR:INDEX=0"}</definedName>
    <definedName name="_1465">#REF!</definedName>
    <definedName name="_1465__FDSAUDITLINK__" localSheetId="0" hidden="1">{"fdsup://directions/FAT Viewer?action=UPDATE&amp;creator=factset&amp;DYN_ARGS=TRUE&amp;DOC_NAME=FAT:FQL_AUDITING_CLIENT_TEMPLATE.FAT&amp;display_string=Audit&amp;VAR:KEY=XGDMVIXUDY&amp;VAR:QUERY=RkZfRElWX1lMRChBTk4sMy8xMy8wMywzLzEzLzAzKQ==&amp;WINDOW=FIRST_POPUP&amp;HEIGHT=450&amp;WIDTH=450&amp;","START_MAXIMIZED=FALSE&amp;VAR:CALENDAR=US&amp;VAR:SYMBOL=LO&amp;VAR:INDEX=0"}</definedName>
    <definedName name="_1465__FDSAUDITLINK__" hidden="1">{"fdsup://directions/FAT Viewer?action=UPDATE&amp;creator=factset&amp;DYN_ARGS=TRUE&amp;DOC_NAME=FAT:FQL_AUDITING_CLIENT_TEMPLATE.FAT&amp;display_string=Audit&amp;VAR:KEY=XGDMVIXUDY&amp;VAR:QUERY=RkZfRElWX1lMRChBTk4sMy8xMy8wMywzLzEzLzAzKQ==&amp;WINDOW=FIRST_POPUP&amp;HEIGHT=450&amp;WIDTH=450&amp;","START_MAXIMIZED=FALSE&amp;VAR:CALENDAR=US&amp;VAR:SYMBOL=LO&amp;VAR:INDEX=0"}</definedName>
    <definedName name="_1466__FDSAUDITLINK__" localSheetId="0" hidden="1">{"fdsup://directions/FAT Viewer?action=UPDATE&amp;creator=factset&amp;DYN_ARGS=TRUE&amp;DOC_NAME=FAT:FQL_AUDITING_CLIENT_TEMPLATE.FAT&amp;display_string=Audit&amp;VAR:KEY=TMVMTIXKNS&amp;VAR:QUERY=RkZfRElWX1lMRChBTk4sMy8wNi8wMywzLzA2LzAzKQ==&amp;WINDOW=FIRST_POPUP&amp;HEIGHT=450&amp;WIDTH=450&amp;","START_MAXIMIZED=FALSE&amp;VAR:CALENDAR=US&amp;VAR:SYMBOL=LO&amp;VAR:INDEX=0"}</definedName>
    <definedName name="_1466__FDSAUDITLINK__" hidden="1">{"fdsup://directions/FAT Viewer?action=UPDATE&amp;creator=factset&amp;DYN_ARGS=TRUE&amp;DOC_NAME=FAT:FQL_AUDITING_CLIENT_TEMPLATE.FAT&amp;display_string=Audit&amp;VAR:KEY=TMVMTIXKNS&amp;VAR:QUERY=RkZfRElWX1lMRChBTk4sMy8wNi8wMywzLzA2LzAzKQ==&amp;WINDOW=FIRST_POPUP&amp;HEIGHT=450&amp;WIDTH=450&amp;","START_MAXIMIZED=FALSE&amp;VAR:CALENDAR=US&amp;VAR:SYMBOL=LO&amp;VAR:INDEX=0"}</definedName>
    <definedName name="_1467__FDSAUDITLINK__" localSheetId="0" hidden="1">{"fdsup://directions/FAT Viewer?action=UPDATE&amp;creator=factset&amp;DYN_ARGS=TRUE&amp;DOC_NAME=FAT:FQL_AUDITING_CLIENT_TEMPLATE.FAT&amp;display_string=Audit&amp;VAR:KEY=LQREXEVSTK&amp;VAR:QUERY=RkZfRElWX1lMRChBTk4sMi8yNy8wMywyLzI3LzAzKQ==&amp;WINDOW=FIRST_POPUP&amp;HEIGHT=450&amp;WIDTH=450&amp;","START_MAXIMIZED=FALSE&amp;VAR:CALENDAR=US&amp;VAR:SYMBOL=LO&amp;VAR:INDEX=0"}</definedName>
    <definedName name="_1467__FDSAUDITLINK__" hidden="1">{"fdsup://directions/FAT Viewer?action=UPDATE&amp;creator=factset&amp;DYN_ARGS=TRUE&amp;DOC_NAME=FAT:FQL_AUDITING_CLIENT_TEMPLATE.FAT&amp;display_string=Audit&amp;VAR:KEY=LQREXEVSTK&amp;VAR:QUERY=RkZfRElWX1lMRChBTk4sMi8yNy8wMywyLzI3LzAzKQ==&amp;WINDOW=FIRST_POPUP&amp;HEIGHT=450&amp;WIDTH=450&amp;","START_MAXIMIZED=FALSE&amp;VAR:CALENDAR=US&amp;VAR:SYMBOL=LO&amp;VAR:INDEX=0"}</definedName>
    <definedName name="_1468__FDSAUDITLINK__" localSheetId="0" hidden="1">{"fdsup://directions/FAT Viewer?action=UPDATE&amp;creator=factset&amp;DYN_ARGS=TRUE&amp;DOC_NAME=FAT:FQL_AUDITING_CLIENT_TEMPLATE.FAT&amp;display_string=Audit&amp;VAR:KEY=VAVKTGHURG&amp;VAR:QUERY=RkZfRElWX1lMRChBTk4sMi8yMC8wMywyLzIwLzAzKQ==&amp;WINDOW=FIRST_POPUP&amp;HEIGHT=450&amp;WIDTH=450&amp;","START_MAXIMIZED=FALSE&amp;VAR:CALENDAR=US&amp;VAR:SYMBOL=LO&amp;VAR:INDEX=0"}</definedName>
    <definedName name="_1468__FDSAUDITLINK__" hidden="1">{"fdsup://directions/FAT Viewer?action=UPDATE&amp;creator=factset&amp;DYN_ARGS=TRUE&amp;DOC_NAME=FAT:FQL_AUDITING_CLIENT_TEMPLATE.FAT&amp;display_string=Audit&amp;VAR:KEY=VAVKTGHURG&amp;VAR:QUERY=RkZfRElWX1lMRChBTk4sMi8yMC8wMywyLzIwLzAzKQ==&amp;WINDOW=FIRST_POPUP&amp;HEIGHT=450&amp;WIDTH=450&amp;","START_MAXIMIZED=FALSE&amp;VAR:CALENDAR=US&amp;VAR:SYMBOL=LO&amp;VAR:INDEX=0"}</definedName>
    <definedName name="_1469__FDSAUDITLINK__" localSheetId="0" hidden="1">{"fdsup://directions/FAT Viewer?action=UPDATE&amp;creator=factset&amp;DYN_ARGS=TRUE&amp;DOC_NAME=FAT:FQL_AUDITING_CLIENT_TEMPLATE.FAT&amp;display_string=Audit&amp;VAR:KEY=JUHIPYVWLA&amp;VAR:QUERY=RkZfRElWX1lMRChBTk4sMi8xMy8wMywyLzEzLzAzKQ==&amp;WINDOW=FIRST_POPUP&amp;HEIGHT=450&amp;WIDTH=450&amp;","START_MAXIMIZED=FALSE&amp;VAR:CALENDAR=US&amp;VAR:SYMBOL=LO&amp;VAR:INDEX=0"}</definedName>
    <definedName name="_1469__FDSAUDITLINK__" hidden="1">{"fdsup://directions/FAT Viewer?action=UPDATE&amp;creator=factset&amp;DYN_ARGS=TRUE&amp;DOC_NAME=FAT:FQL_AUDITING_CLIENT_TEMPLATE.FAT&amp;display_string=Audit&amp;VAR:KEY=JUHIPYVWLA&amp;VAR:QUERY=RkZfRElWX1lMRChBTk4sMi8xMy8wMywyLzEzLzAzKQ==&amp;WINDOW=FIRST_POPUP&amp;HEIGHT=450&amp;WIDTH=450&amp;","START_MAXIMIZED=FALSE&amp;VAR:CALENDAR=US&amp;VAR:SYMBOL=LO&amp;VAR:INDEX=0"}</definedName>
    <definedName name="_147">#REF!</definedName>
    <definedName name="_147__FDSAUDITLINK__" localSheetId="0" hidden="1">{"fdsup://directions/FAT Viewer?action=UPDATE&amp;creator=factset&amp;DYN_ARGS=TRUE&amp;DOC_NAME=FAT:FQL_AUDITING_CLIENT_TEMPLATE.FAT&amp;display_string=Audit&amp;VAR:KEY=LQFSDCBKJY&amp;VAR:QUERY=RkZfRElWX1lMRChBTk4sNi8xMi8wOCw2LzEyLzA4KQ==&amp;WINDOW=FIRST_POPUP&amp;HEIGHT=450&amp;WIDTH=450&amp;","START_MAXIMIZED=FALSE&amp;VAR:CALENDAR=US&amp;VAR:SYMBOL=RAI&amp;VAR:INDEX=0"}</definedName>
    <definedName name="_147__FDSAUDITLINK__" hidden="1">{"fdsup://directions/FAT Viewer?action=UPDATE&amp;creator=factset&amp;DYN_ARGS=TRUE&amp;DOC_NAME=FAT:FQL_AUDITING_CLIENT_TEMPLATE.FAT&amp;display_string=Audit&amp;VAR:KEY=LQFSDCBKJY&amp;VAR:QUERY=RkZfRElWX1lMRChBTk4sNi8xMi8wOCw2LzEyLzA4KQ==&amp;WINDOW=FIRST_POPUP&amp;HEIGHT=450&amp;WIDTH=450&amp;","START_MAXIMIZED=FALSE&amp;VAR:CALENDAR=US&amp;VAR:SYMBOL=RAI&amp;VAR:INDEX=0"}</definedName>
    <definedName name="_1470">#REF!</definedName>
    <definedName name="_1470__FDSAUDITLINK__" localSheetId="0" hidden="1">{"fdsup://directions/FAT Viewer?action=UPDATE&amp;creator=factset&amp;DYN_ARGS=TRUE&amp;DOC_NAME=FAT:FQL_AUDITING_CLIENT_TEMPLATE.FAT&amp;display_string=Audit&amp;VAR:KEY=RGFENMFOFM&amp;VAR:QUERY=RkZfRElWX1lMRChBTk4sMi8wNi8wMywyLzA2LzAzKQ==&amp;WINDOW=FIRST_POPUP&amp;HEIGHT=450&amp;WIDTH=450&amp;","START_MAXIMIZED=FALSE&amp;VAR:CALENDAR=US&amp;VAR:SYMBOL=LO&amp;VAR:INDEX=0"}</definedName>
    <definedName name="_1470__FDSAUDITLINK__" hidden="1">{"fdsup://directions/FAT Viewer?action=UPDATE&amp;creator=factset&amp;DYN_ARGS=TRUE&amp;DOC_NAME=FAT:FQL_AUDITING_CLIENT_TEMPLATE.FAT&amp;display_string=Audit&amp;VAR:KEY=RGFENMFOFM&amp;VAR:QUERY=RkZfRElWX1lMRChBTk4sMi8wNi8wMywyLzA2LzAzKQ==&amp;WINDOW=FIRST_POPUP&amp;HEIGHT=450&amp;WIDTH=450&amp;","START_MAXIMIZED=FALSE&amp;VAR:CALENDAR=US&amp;VAR:SYMBOL=LO&amp;VAR:INDEX=0"}</definedName>
    <definedName name="_1471__FDSAUDITLINK__" localSheetId="0" hidden="1">{"fdsup://directions/FAT Viewer?action=UPDATE&amp;creator=factset&amp;DYN_ARGS=TRUE&amp;DOC_NAME=FAT:FQL_AUDITING_CLIENT_TEMPLATE.FAT&amp;display_string=Audit&amp;VAR:KEY=HKJCJIBCLM&amp;VAR:QUERY=RkZfRElWX1lMRChBTk4sMS8zMC8wMywxLzMwLzAzKQ==&amp;WINDOW=FIRST_POPUP&amp;HEIGHT=450&amp;WIDTH=450&amp;","START_MAXIMIZED=FALSE&amp;VAR:CALENDAR=US&amp;VAR:SYMBOL=LO&amp;VAR:INDEX=0"}</definedName>
    <definedName name="_1471__FDSAUDITLINK__" hidden="1">{"fdsup://directions/FAT Viewer?action=UPDATE&amp;creator=factset&amp;DYN_ARGS=TRUE&amp;DOC_NAME=FAT:FQL_AUDITING_CLIENT_TEMPLATE.FAT&amp;display_string=Audit&amp;VAR:KEY=HKJCJIBCLM&amp;VAR:QUERY=RkZfRElWX1lMRChBTk4sMS8zMC8wMywxLzMwLzAzKQ==&amp;WINDOW=FIRST_POPUP&amp;HEIGHT=450&amp;WIDTH=450&amp;","START_MAXIMIZED=FALSE&amp;VAR:CALENDAR=US&amp;VAR:SYMBOL=LO&amp;VAR:INDEX=0"}</definedName>
    <definedName name="_1472">#REF!</definedName>
    <definedName name="_1472__FDSAUDITLINK__" localSheetId="0" hidden="1">{"fdsup://directions/FAT Viewer?action=UPDATE&amp;creator=factset&amp;DYN_ARGS=TRUE&amp;DOC_NAME=FAT:FQL_AUDITING_CLIENT_TEMPLATE.FAT&amp;display_string=Audit&amp;VAR:KEY=VOZUPMTSXC&amp;VAR:QUERY=RkZfRElWX1lMRChBTk4sMS8yMy8wMywxLzIzLzAzKQ==&amp;WINDOW=FIRST_POPUP&amp;HEIGHT=450&amp;WIDTH=450&amp;","START_MAXIMIZED=FALSE&amp;VAR:CALENDAR=US&amp;VAR:SYMBOL=LO&amp;VAR:INDEX=0"}</definedName>
    <definedName name="_1472__FDSAUDITLINK__" hidden="1">{"fdsup://directions/FAT Viewer?action=UPDATE&amp;creator=factset&amp;DYN_ARGS=TRUE&amp;DOC_NAME=FAT:FQL_AUDITING_CLIENT_TEMPLATE.FAT&amp;display_string=Audit&amp;VAR:KEY=VOZUPMTSXC&amp;VAR:QUERY=RkZfRElWX1lMRChBTk4sMS8yMy8wMywxLzIzLzAzKQ==&amp;WINDOW=FIRST_POPUP&amp;HEIGHT=450&amp;WIDTH=450&amp;","START_MAXIMIZED=FALSE&amp;VAR:CALENDAR=US&amp;VAR:SYMBOL=LO&amp;VAR:INDEX=0"}</definedName>
    <definedName name="_1473">#REF!</definedName>
    <definedName name="_1473__FDSAUDITLINK__" localSheetId="0" hidden="1">{"fdsup://directions/FAT Viewer?action=UPDATE&amp;creator=factset&amp;DYN_ARGS=TRUE&amp;DOC_NAME=FAT:FQL_AUDITING_CLIENT_TEMPLATE.FAT&amp;display_string=Audit&amp;VAR:KEY=REPWFGRGVS&amp;VAR:QUERY=RkZfRElWX1lMRChBTk4sMS8xNi8wMywxLzE2LzAzKQ==&amp;WINDOW=FIRST_POPUP&amp;HEIGHT=450&amp;WIDTH=450&amp;","START_MAXIMIZED=FALSE&amp;VAR:CALENDAR=US&amp;VAR:SYMBOL=LO&amp;VAR:INDEX=0"}</definedName>
    <definedName name="_1473__FDSAUDITLINK__" hidden="1">{"fdsup://directions/FAT Viewer?action=UPDATE&amp;creator=factset&amp;DYN_ARGS=TRUE&amp;DOC_NAME=FAT:FQL_AUDITING_CLIENT_TEMPLATE.FAT&amp;display_string=Audit&amp;VAR:KEY=REPWFGRGVS&amp;VAR:QUERY=RkZfRElWX1lMRChBTk4sMS8xNi8wMywxLzE2LzAzKQ==&amp;WINDOW=FIRST_POPUP&amp;HEIGHT=450&amp;WIDTH=450&amp;","START_MAXIMIZED=FALSE&amp;VAR:CALENDAR=US&amp;VAR:SYMBOL=LO&amp;VAR:INDEX=0"}</definedName>
    <definedName name="_1474__FDSAUDITLINK__" localSheetId="0" hidden="1">{"fdsup://directions/FAT Viewer?action=UPDATE&amp;creator=factset&amp;DYN_ARGS=TRUE&amp;DOC_NAME=FAT:FQL_AUDITING_CLIENT_TEMPLATE.FAT&amp;display_string=Audit&amp;VAR:KEY=XSNSXQVGTA&amp;VAR:QUERY=RkZfRElWX1lMRChBTk4sMS8wOS8wMywxLzA5LzAzKQ==&amp;WINDOW=FIRST_POPUP&amp;HEIGHT=450&amp;WIDTH=450&amp;","START_MAXIMIZED=FALSE&amp;VAR:CALENDAR=US&amp;VAR:SYMBOL=LO&amp;VAR:INDEX=0"}</definedName>
    <definedName name="_1474__FDSAUDITLINK__" hidden="1">{"fdsup://directions/FAT Viewer?action=UPDATE&amp;creator=factset&amp;DYN_ARGS=TRUE&amp;DOC_NAME=FAT:FQL_AUDITING_CLIENT_TEMPLATE.FAT&amp;display_string=Audit&amp;VAR:KEY=XSNSXQVGTA&amp;VAR:QUERY=RkZfRElWX1lMRChBTk4sMS8wOS8wMywxLzA5LzAzKQ==&amp;WINDOW=FIRST_POPUP&amp;HEIGHT=450&amp;WIDTH=450&amp;","START_MAXIMIZED=FALSE&amp;VAR:CALENDAR=US&amp;VAR:SYMBOL=LO&amp;VAR:INDEX=0"}</definedName>
    <definedName name="_1475">#REF!</definedName>
    <definedName name="_1475__FDSAUDITLINK__" localSheetId="0" hidden="1">{"fdsup://directions/FAT Viewer?action=UPDATE&amp;creator=factset&amp;DYN_ARGS=TRUE&amp;DOC_NAME=FAT:FQL_AUDITING_CLIENT_TEMPLATE.FAT&amp;display_string=Audit&amp;VAR:KEY=JUPSRYJITO&amp;VAR:QUERY=RkZfRElWX1lMRChBTk4sMS8wMi8wMywxLzAyLzAzKQ==&amp;WINDOW=FIRST_POPUP&amp;HEIGHT=450&amp;WIDTH=450&amp;","START_MAXIMIZED=FALSE&amp;VAR:CALENDAR=US&amp;VAR:SYMBOL=LO&amp;VAR:INDEX=0"}</definedName>
    <definedName name="_1475__FDSAUDITLINK__" hidden="1">{"fdsup://directions/FAT Viewer?action=UPDATE&amp;creator=factset&amp;DYN_ARGS=TRUE&amp;DOC_NAME=FAT:FQL_AUDITING_CLIENT_TEMPLATE.FAT&amp;display_string=Audit&amp;VAR:KEY=JUPSRYJITO&amp;VAR:QUERY=RkZfRElWX1lMRChBTk4sMS8wMi8wMywxLzAyLzAzKQ==&amp;WINDOW=FIRST_POPUP&amp;HEIGHT=450&amp;WIDTH=450&amp;","START_MAXIMIZED=FALSE&amp;VAR:CALENDAR=US&amp;VAR:SYMBOL=LO&amp;VAR:INDEX=0"}</definedName>
    <definedName name="_1476">#REF!</definedName>
    <definedName name="_1476__FDSAUDITLINK__" localSheetId="0" hidden="1">{"fdsup://directions/FAT Viewer?action=UPDATE&amp;creator=factset&amp;DYN_ARGS=TRUE&amp;DOC_NAME=FAT:FQL_AUDITING_CLIENT_TEMPLATE.FAT&amp;display_string=Audit&amp;VAR:KEY=NMLYDYZWRW&amp;VAR:QUERY=RkZfRElWX1lMRChBTk4sMTIvMjYvMDIsMTIvMjYvMDIp&amp;WINDOW=FIRST_POPUP&amp;HEIGHT=450&amp;WIDTH=450&amp;","START_MAXIMIZED=FALSE&amp;VAR:CALENDAR=US&amp;VAR:SYMBOL=LO&amp;VAR:INDEX=0"}</definedName>
    <definedName name="_1476__FDSAUDITLINK__" hidden="1">{"fdsup://directions/FAT Viewer?action=UPDATE&amp;creator=factset&amp;DYN_ARGS=TRUE&amp;DOC_NAME=FAT:FQL_AUDITING_CLIENT_TEMPLATE.FAT&amp;display_string=Audit&amp;VAR:KEY=NMLYDYZWRW&amp;VAR:QUERY=RkZfRElWX1lMRChBTk4sMTIvMjYvMDIsMTIvMjYvMDIp&amp;WINDOW=FIRST_POPUP&amp;HEIGHT=450&amp;WIDTH=450&amp;","START_MAXIMIZED=FALSE&amp;VAR:CALENDAR=US&amp;VAR:SYMBOL=LO&amp;VAR:INDEX=0"}</definedName>
    <definedName name="_1477__FDSAUDITLINK__" localSheetId="0" hidden="1">{"fdsup://directions/FAT Viewer?action=UPDATE&amp;creator=factset&amp;DYN_ARGS=TRUE&amp;DOC_NAME=FAT:FQL_AUDITING_CLIENT_TEMPLATE.FAT&amp;display_string=Audit&amp;VAR:KEY=NAVOPKHMNY&amp;VAR:QUERY=RkZfRElWX1lMRChBTk4sMTIvMTkvMDIsMTIvMTkvMDIp&amp;WINDOW=FIRST_POPUP&amp;HEIGHT=450&amp;WIDTH=450&amp;","START_MAXIMIZED=FALSE&amp;VAR:CALENDAR=US&amp;VAR:SYMBOL=LO&amp;VAR:INDEX=0"}</definedName>
    <definedName name="_1477__FDSAUDITLINK__" hidden="1">{"fdsup://directions/FAT Viewer?action=UPDATE&amp;creator=factset&amp;DYN_ARGS=TRUE&amp;DOC_NAME=FAT:FQL_AUDITING_CLIENT_TEMPLATE.FAT&amp;display_string=Audit&amp;VAR:KEY=NAVOPKHMNY&amp;VAR:QUERY=RkZfRElWX1lMRChBTk4sMTIvMTkvMDIsMTIvMTkvMDIp&amp;WINDOW=FIRST_POPUP&amp;HEIGHT=450&amp;WIDTH=450&amp;","START_MAXIMIZED=FALSE&amp;VAR:CALENDAR=US&amp;VAR:SYMBOL=LO&amp;VAR:INDEX=0"}</definedName>
    <definedName name="_1478">#REF!</definedName>
    <definedName name="_1478__FDSAUDITLINK__" localSheetId="0" hidden="1">{"fdsup://directions/FAT Viewer?action=UPDATE&amp;creator=factset&amp;DYN_ARGS=TRUE&amp;DOC_NAME=FAT:FQL_AUDITING_CLIENT_TEMPLATE.FAT&amp;display_string=Audit&amp;VAR:KEY=HCVQTCHUNE&amp;VAR:QUERY=RkZfRElWX1lMRChBTk4sMTIvMTIvMDIsMTIvMTIvMDIp&amp;WINDOW=FIRST_POPUP&amp;HEIGHT=450&amp;WIDTH=450&amp;","START_MAXIMIZED=FALSE&amp;VAR:CALENDAR=US&amp;VAR:SYMBOL=LO&amp;VAR:INDEX=0"}</definedName>
    <definedName name="_1478__FDSAUDITLINK__" hidden="1">{"fdsup://directions/FAT Viewer?action=UPDATE&amp;creator=factset&amp;DYN_ARGS=TRUE&amp;DOC_NAME=FAT:FQL_AUDITING_CLIENT_TEMPLATE.FAT&amp;display_string=Audit&amp;VAR:KEY=HCVQTCHUNE&amp;VAR:QUERY=RkZfRElWX1lMRChBTk4sMTIvMTIvMDIsMTIvMTIvMDIp&amp;WINDOW=FIRST_POPUP&amp;HEIGHT=450&amp;WIDTH=450&amp;","START_MAXIMIZED=FALSE&amp;VAR:CALENDAR=US&amp;VAR:SYMBOL=LO&amp;VAR:INDEX=0"}</definedName>
    <definedName name="_1479">#REF!</definedName>
    <definedName name="_1479__FDSAUDITLINK__" localSheetId="0" hidden="1">{"fdsup://directions/FAT Viewer?action=UPDATE&amp;creator=factset&amp;DYN_ARGS=TRUE&amp;DOC_NAME=FAT:FQL_AUDITING_CLIENT_TEMPLATE.FAT&amp;display_string=Audit&amp;VAR:KEY=TWTSBEDUFE&amp;VAR:QUERY=RkZfRElWX1lMRChBTk4sMTIvMDUvMDIsMTIvMDUvMDIp&amp;WINDOW=FIRST_POPUP&amp;HEIGHT=450&amp;WIDTH=450&amp;","START_MAXIMIZED=FALSE&amp;VAR:CALENDAR=US&amp;VAR:SYMBOL=LO&amp;VAR:INDEX=0"}</definedName>
    <definedName name="_1479__FDSAUDITLINK__" hidden="1">{"fdsup://directions/FAT Viewer?action=UPDATE&amp;creator=factset&amp;DYN_ARGS=TRUE&amp;DOC_NAME=FAT:FQL_AUDITING_CLIENT_TEMPLATE.FAT&amp;display_string=Audit&amp;VAR:KEY=TWTSBEDUFE&amp;VAR:QUERY=RkZfRElWX1lMRChBTk4sMTIvMDUvMDIsMTIvMDUvMDIp&amp;WINDOW=FIRST_POPUP&amp;HEIGHT=450&amp;WIDTH=450&amp;","START_MAXIMIZED=FALSE&amp;VAR:CALENDAR=US&amp;VAR:SYMBOL=LO&amp;VAR:INDEX=0"}</definedName>
    <definedName name="_148">#REF!</definedName>
    <definedName name="_148__FDSAUDITLINK__" localSheetId="0" hidden="1">{"fdsup://directions/FAT Viewer?action=UPDATE&amp;creator=factset&amp;DYN_ARGS=TRUE&amp;DOC_NAME=FAT:FQL_AUDITING_CLIENT_TEMPLATE.FAT&amp;display_string=Audit&amp;VAR:KEY=DCZSXEVQDE&amp;VAR:QUERY=RkZfRElWX1lMRChBTk4sNi8wNS8wOCw2LzA1LzA4KQ==&amp;WINDOW=FIRST_POPUP&amp;HEIGHT=450&amp;WIDTH=450&amp;","START_MAXIMIZED=FALSE&amp;VAR:CALENDAR=US&amp;VAR:SYMBOL=RAI&amp;VAR:INDEX=0"}</definedName>
    <definedName name="_148__FDSAUDITLINK__" hidden="1">{"fdsup://directions/FAT Viewer?action=UPDATE&amp;creator=factset&amp;DYN_ARGS=TRUE&amp;DOC_NAME=FAT:FQL_AUDITING_CLIENT_TEMPLATE.FAT&amp;display_string=Audit&amp;VAR:KEY=DCZSXEVQDE&amp;VAR:QUERY=RkZfRElWX1lMRChBTk4sNi8wNS8wOCw2LzA1LzA4KQ==&amp;WINDOW=FIRST_POPUP&amp;HEIGHT=450&amp;WIDTH=450&amp;","START_MAXIMIZED=FALSE&amp;VAR:CALENDAR=US&amp;VAR:SYMBOL=RAI&amp;VAR:INDEX=0"}</definedName>
    <definedName name="_1480__FDSAUDITLINK__" localSheetId="0" hidden="1">{"fdsup://directions/FAT Viewer?action=UPDATE&amp;creator=factset&amp;DYN_ARGS=TRUE&amp;DOC_NAME=FAT:FQL_AUDITING_CLIENT_TEMPLATE.FAT&amp;display_string=Audit&amp;VAR:KEY=RABCNMLCTS&amp;VAR:QUERY=RkZfRElWX1lMRChBTk4sMTEvMjcvMDIsMTEvMjcvMDIp&amp;WINDOW=FIRST_POPUP&amp;HEIGHT=450&amp;WIDTH=450&amp;","START_MAXIMIZED=FALSE&amp;VAR:CALENDAR=US&amp;VAR:SYMBOL=LO&amp;VAR:INDEX=0"}</definedName>
    <definedName name="_1480__FDSAUDITLINK__" hidden="1">{"fdsup://directions/FAT Viewer?action=UPDATE&amp;creator=factset&amp;DYN_ARGS=TRUE&amp;DOC_NAME=FAT:FQL_AUDITING_CLIENT_TEMPLATE.FAT&amp;display_string=Audit&amp;VAR:KEY=RABCNMLCTS&amp;VAR:QUERY=RkZfRElWX1lMRChBTk4sMTEvMjcvMDIsMTEvMjcvMDIp&amp;WINDOW=FIRST_POPUP&amp;HEIGHT=450&amp;WIDTH=450&amp;","START_MAXIMIZED=FALSE&amp;VAR:CALENDAR=US&amp;VAR:SYMBOL=LO&amp;VAR:INDEX=0"}</definedName>
    <definedName name="_1481">#REF!</definedName>
    <definedName name="_1481__FDSAUDITLINK__" localSheetId="0" hidden="1">{"fdsup://directions/FAT Viewer?action=UPDATE&amp;creator=factset&amp;DYN_ARGS=TRUE&amp;DOC_NAME=FAT:FQL_AUDITING_CLIENT_TEMPLATE.FAT&amp;display_string=Audit&amp;VAR:KEY=VGTSFEVATE&amp;VAR:QUERY=RkZfRElWX1lMRChBTk4sMTEvMjEvMDIsMTEvMjEvMDIp&amp;WINDOW=FIRST_POPUP&amp;HEIGHT=450&amp;WIDTH=450&amp;","START_MAXIMIZED=FALSE&amp;VAR:CALENDAR=US&amp;VAR:SYMBOL=LO&amp;VAR:INDEX=0"}</definedName>
    <definedName name="_1481__FDSAUDITLINK__" hidden="1">{"fdsup://directions/FAT Viewer?action=UPDATE&amp;creator=factset&amp;DYN_ARGS=TRUE&amp;DOC_NAME=FAT:FQL_AUDITING_CLIENT_TEMPLATE.FAT&amp;display_string=Audit&amp;VAR:KEY=VGTSFEVATE&amp;VAR:QUERY=RkZfRElWX1lMRChBTk4sMTEvMjEvMDIsMTEvMjEvMDIp&amp;WINDOW=FIRST_POPUP&amp;HEIGHT=450&amp;WIDTH=450&amp;","START_MAXIMIZED=FALSE&amp;VAR:CALENDAR=US&amp;VAR:SYMBOL=LO&amp;VAR:INDEX=0"}</definedName>
    <definedName name="_1482">#REF!</definedName>
    <definedName name="_1482__FDSAUDITLINK__" localSheetId="0" hidden="1">{"fdsup://directions/FAT Viewer?action=UPDATE&amp;creator=factset&amp;DYN_ARGS=TRUE&amp;DOC_NAME=FAT:FQL_AUDITING_CLIENT_TEMPLATE.FAT&amp;display_string=Audit&amp;VAR:KEY=TANYPQPETI&amp;VAR:QUERY=RkZfRElWX1lMRChBTk4sMTEvMTQvMDIsMTEvMTQvMDIp&amp;WINDOW=FIRST_POPUP&amp;HEIGHT=450&amp;WIDTH=450&amp;","START_MAXIMIZED=FALSE&amp;VAR:CALENDAR=US&amp;VAR:SYMBOL=LO&amp;VAR:INDEX=0"}</definedName>
    <definedName name="_1482__FDSAUDITLINK__" hidden="1">{"fdsup://directions/FAT Viewer?action=UPDATE&amp;creator=factset&amp;DYN_ARGS=TRUE&amp;DOC_NAME=FAT:FQL_AUDITING_CLIENT_TEMPLATE.FAT&amp;display_string=Audit&amp;VAR:KEY=TANYPQPETI&amp;VAR:QUERY=RkZfRElWX1lMRChBTk4sMTEvMTQvMDIsMTEvMTQvMDIp&amp;WINDOW=FIRST_POPUP&amp;HEIGHT=450&amp;WIDTH=450&amp;","START_MAXIMIZED=FALSE&amp;VAR:CALENDAR=US&amp;VAR:SYMBOL=LO&amp;VAR:INDEX=0"}</definedName>
    <definedName name="_1483">#REF!</definedName>
    <definedName name="_1483__FDSAUDITLINK__" localSheetId="0" hidden="1">{"fdsup://directions/FAT Viewer?action=UPDATE&amp;creator=factset&amp;DYN_ARGS=TRUE&amp;DOC_NAME=FAT:FQL_AUDITING_CLIENT_TEMPLATE.FAT&amp;display_string=Audit&amp;VAR:KEY=FSLKLCJGZC&amp;VAR:QUERY=RkZfRElWX1lMRChBTk4sMTEvMDcvMDIsMTEvMDcvMDIp&amp;WINDOW=FIRST_POPUP&amp;HEIGHT=450&amp;WIDTH=450&amp;","START_MAXIMIZED=FALSE&amp;VAR:CALENDAR=US&amp;VAR:SYMBOL=LO&amp;VAR:INDEX=0"}</definedName>
    <definedName name="_1483__FDSAUDITLINK__" hidden="1">{"fdsup://directions/FAT Viewer?action=UPDATE&amp;creator=factset&amp;DYN_ARGS=TRUE&amp;DOC_NAME=FAT:FQL_AUDITING_CLIENT_TEMPLATE.FAT&amp;display_string=Audit&amp;VAR:KEY=FSLKLCJGZC&amp;VAR:QUERY=RkZfRElWX1lMRChBTk4sMTEvMDcvMDIsMTEvMDcvMDIp&amp;WINDOW=FIRST_POPUP&amp;HEIGHT=450&amp;WIDTH=450&amp;","START_MAXIMIZED=FALSE&amp;VAR:CALENDAR=US&amp;VAR:SYMBOL=LO&amp;VAR:INDEX=0"}</definedName>
    <definedName name="_1484">#REF!</definedName>
    <definedName name="_1484__FDSAUDITLINK__" localSheetId="0" hidden="1">{"fdsup://directions/FAT Viewer?action=UPDATE&amp;creator=factset&amp;DYN_ARGS=TRUE&amp;DOC_NAME=FAT:FQL_AUDITING_CLIENT_TEMPLATE.FAT&amp;display_string=Audit&amp;VAR:KEY=NWZADKRKBA&amp;VAR:QUERY=RkZfRElWX1lMRChBTk4sMTAvMzEvMDIsMTAvMzEvMDIp&amp;WINDOW=FIRST_POPUP&amp;HEIGHT=450&amp;WIDTH=450&amp;","START_MAXIMIZED=FALSE&amp;VAR:CALENDAR=US&amp;VAR:SYMBOL=LO&amp;VAR:INDEX=0"}</definedName>
    <definedName name="_1484__FDSAUDITLINK__" hidden="1">{"fdsup://directions/FAT Viewer?action=UPDATE&amp;creator=factset&amp;DYN_ARGS=TRUE&amp;DOC_NAME=FAT:FQL_AUDITING_CLIENT_TEMPLATE.FAT&amp;display_string=Audit&amp;VAR:KEY=NWZADKRKBA&amp;VAR:QUERY=RkZfRElWX1lMRChBTk4sMTAvMzEvMDIsMTAvMzEvMDIp&amp;WINDOW=FIRST_POPUP&amp;HEIGHT=450&amp;WIDTH=450&amp;","START_MAXIMIZED=FALSE&amp;VAR:CALENDAR=US&amp;VAR:SYMBOL=LO&amp;VAR:INDEX=0"}</definedName>
    <definedName name="_1485">#REF!</definedName>
    <definedName name="_1485__FDSAUDITLINK__" localSheetId="0" hidden="1">{"fdsup://directions/FAT Viewer?action=UPDATE&amp;creator=factset&amp;DYN_ARGS=TRUE&amp;DOC_NAME=FAT:FQL_AUDITING_CLIENT_TEMPLATE.FAT&amp;display_string=Audit&amp;VAR:KEY=BSRYFGXCDO&amp;VAR:QUERY=RkZfRElWX1lMRChBTk4sMTAvMjQvMDIsMTAvMjQvMDIp&amp;WINDOW=FIRST_POPUP&amp;HEIGHT=450&amp;WIDTH=450&amp;","START_MAXIMIZED=FALSE&amp;VAR:CALENDAR=US&amp;VAR:SYMBOL=LO&amp;VAR:INDEX=0"}</definedName>
    <definedName name="_1485__FDSAUDITLINK__" hidden="1">{"fdsup://directions/FAT Viewer?action=UPDATE&amp;creator=factset&amp;DYN_ARGS=TRUE&amp;DOC_NAME=FAT:FQL_AUDITING_CLIENT_TEMPLATE.FAT&amp;display_string=Audit&amp;VAR:KEY=BSRYFGXCDO&amp;VAR:QUERY=RkZfRElWX1lMRChBTk4sMTAvMjQvMDIsMTAvMjQvMDIp&amp;WINDOW=FIRST_POPUP&amp;HEIGHT=450&amp;WIDTH=450&amp;","START_MAXIMIZED=FALSE&amp;VAR:CALENDAR=US&amp;VAR:SYMBOL=LO&amp;VAR:INDEX=0"}</definedName>
    <definedName name="_1486">#REF!</definedName>
    <definedName name="_1486__FDSAUDITLINK__" localSheetId="0" hidden="1">{"fdsup://directions/FAT Viewer?action=UPDATE&amp;creator=factset&amp;DYN_ARGS=TRUE&amp;DOC_NAME=FAT:FQL_AUDITING_CLIENT_TEMPLATE.FAT&amp;display_string=Audit&amp;VAR:KEY=JORIXEHKHE&amp;VAR:QUERY=RkZfRElWX1lMRChBTk4sMTAvMTcvMDIsMTAvMTcvMDIp&amp;WINDOW=FIRST_POPUP&amp;HEIGHT=450&amp;WIDTH=450&amp;","START_MAXIMIZED=FALSE&amp;VAR:CALENDAR=US&amp;VAR:SYMBOL=LO&amp;VAR:INDEX=0"}</definedName>
    <definedName name="_1486__FDSAUDITLINK__" hidden="1">{"fdsup://directions/FAT Viewer?action=UPDATE&amp;creator=factset&amp;DYN_ARGS=TRUE&amp;DOC_NAME=FAT:FQL_AUDITING_CLIENT_TEMPLATE.FAT&amp;display_string=Audit&amp;VAR:KEY=JORIXEHKHE&amp;VAR:QUERY=RkZfRElWX1lMRChBTk4sMTAvMTcvMDIsMTAvMTcvMDIp&amp;WINDOW=FIRST_POPUP&amp;HEIGHT=450&amp;WIDTH=450&amp;","START_MAXIMIZED=FALSE&amp;VAR:CALENDAR=US&amp;VAR:SYMBOL=LO&amp;VAR:INDEX=0"}</definedName>
    <definedName name="_1487">#REF!</definedName>
    <definedName name="_1487__FDSAUDITLINK__" localSheetId="0" hidden="1">{"fdsup://directions/FAT Viewer?action=UPDATE&amp;creator=factset&amp;DYN_ARGS=TRUE&amp;DOC_NAME=FAT:FQL_AUDITING_CLIENT_TEMPLATE.FAT&amp;display_string=Audit&amp;VAR:KEY=BETELUNQZU&amp;VAR:QUERY=RkZfRElWX1lMRChBTk4sMTAvMTAvMDIsMTAvMTAvMDIp&amp;WINDOW=FIRST_POPUP&amp;HEIGHT=450&amp;WIDTH=450&amp;","START_MAXIMIZED=FALSE&amp;VAR:CALENDAR=US&amp;VAR:SYMBOL=LO&amp;VAR:INDEX=0"}</definedName>
    <definedName name="_1487__FDSAUDITLINK__" hidden="1">{"fdsup://directions/FAT Viewer?action=UPDATE&amp;creator=factset&amp;DYN_ARGS=TRUE&amp;DOC_NAME=FAT:FQL_AUDITING_CLIENT_TEMPLATE.FAT&amp;display_string=Audit&amp;VAR:KEY=BETELUNQZU&amp;VAR:QUERY=RkZfRElWX1lMRChBTk4sMTAvMTAvMDIsMTAvMTAvMDIp&amp;WINDOW=FIRST_POPUP&amp;HEIGHT=450&amp;WIDTH=450&amp;","START_MAXIMIZED=FALSE&amp;VAR:CALENDAR=US&amp;VAR:SYMBOL=LO&amp;VAR:INDEX=0"}</definedName>
    <definedName name="_1488">#REF!</definedName>
    <definedName name="_1488__FDSAUDITLINK__" localSheetId="0" hidden="1">{"fdsup://directions/FAT Viewer?action=UPDATE&amp;creator=factset&amp;DYN_ARGS=TRUE&amp;DOC_NAME=FAT:FQL_AUDITING_CLIENT_TEMPLATE.FAT&amp;display_string=Audit&amp;VAR:KEY=TSVEZMHQBK&amp;VAR:QUERY=RkZfRElWX1lMRChBTk4sMTAvMDMvMDIsMTAvMDMvMDIp&amp;WINDOW=FIRST_POPUP&amp;HEIGHT=450&amp;WIDTH=450&amp;","START_MAXIMIZED=FALSE&amp;VAR:CALENDAR=US&amp;VAR:SYMBOL=LO&amp;VAR:INDEX=0"}</definedName>
    <definedName name="_1488__FDSAUDITLINK__" hidden="1">{"fdsup://directions/FAT Viewer?action=UPDATE&amp;creator=factset&amp;DYN_ARGS=TRUE&amp;DOC_NAME=FAT:FQL_AUDITING_CLIENT_TEMPLATE.FAT&amp;display_string=Audit&amp;VAR:KEY=TSVEZMHQBK&amp;VAR:QUERY=RkZfRElWX1lMRChBTk4sMTAvMDMvMDIsMTAvMDMvMDIp&amp;WINDOW=FIRST_POPUP&amp;HEIGHT=450&amp;WIDTH=450&amp;","START_MAXIMIZED=FALSE&amp;VAR:CALENDAR=US&amp;VAR:SYMBOL=LO&amp;VAR:INDEX=0"}</definedName>
    <definedName name="_1489">#REF!</definedName>
    <definedName name="_1489__FDSAUDITLINK__" localSheetId="0" hidden="1">{"fdsup://directions/FAT Viewer?action=UPDATE&amp;creator=factset&amp;DYN_ARGS=TRUE&amp;DOC_NAME=FAT:FQL_AUDITING_CLIENT_TEMPLATE.FAT&amp;display_string=Audit&amp;VAR:KEY=FWTCBANSNC&amp;VAR:QUERY=RkZfRElWX1lMRChBTk4sOS8yNi8wMiw5LzI2LzAyKQ==&amp;WINDOW=FIRST_POPUP&amp;HEIGHT=450&amp;WIDTH=450&amp;","START_MAXIMIZED=FALSE&amp;VAR:CALENDAR=US&amp;VAR:SYMBOL=LO&amp;VAR:INDEX=0"}</definedName>
    <definedName name="_1489__FDSAUDITLINK__" hidden="1">{"fdsup://directions/FAT Viewer?action=UPDATE&amp;creator=factset&amp;DYN_ARGS=TRUE&amp;DOC_NAME=FAT:FQL_AUDITING_CLIENT_TEMPLATE.FAT&amp;display_string=Audit&amp;VAR:KEY=FWTCBANSNC&amp;VAR:QUERY=RkZfRElWX1lMRChBTk4sOS8yNi8wMiw5LzI2LzAyKQ==&amp;WINDOW=FIRST_POPUP&amp;HEIGHT=450&amp;WIDTH=450&amp;","START_MAXIMIZED=FALSE&amp;VAR:CALENDAR=US&amp;VAR:SYMBOL=LO&amp;VAR:INDEX=0"}</definedName>
    <definedName name="_149">#REF!</definedName>
    <definedName name="_149__FDSAUDITLINK__" localSheetId="0" hidden="1">{"fdsup://directions/FAT Viewer?action=UPDATE&amp;creator=factset&amp;DYN_ARGS=TRUE&amp;DOC_NAME=FAT:FQL_AUDITING_CLIENT_TEMPLATE.FAT&amp;display_string=Audit&amp;VAR:KEY=NOPKPCPGBS&amp;VAR:QUERY=RkZfRElWX1lMRChBTk4sNS8yOS8wOCw1LzI5LzA4KQ==&amp;WINDOW=FIRST_POPUP&amp;HEIGHT=450&amp;WIDTH=450&amp;","START_MAXIMIZED=FALSE&amp;VAR:CALENDAR=US&amp;VAR:SYMBOL=RAI&amp;VAR:INDEX=0"}</definedName>
    <definedName name="_149__FDSAUDITLINK__" hidden="1">{"fdsup://directions/FAT Viewer?action=UPDATE&amp;creator=factset&amp;DYN_ARGS=TRUE&amp;DOC_NAME=FAT:FQL_AUDITING_CLIENT_TEMPLATE.FAT&amp;display_string=Audit&amp;VAR:KEY=NOPKPCPGBS&amp;VAR:QUERY=RkZfRElWX1lMRChBTk4sNS8yOS8wOCw1LzI5LzA4KQ==&amp;WINDOW=FIRST_POPUP&amp;HEIGHT=450&amp;WIDTH=450&amp;","START_MAXIMIZED=FALSE&amp;VAR:CALENDAR=US&amp;VAR:SYMBOL=RAI&amp;VAR:INDEX=0"}</definedName>
    <definedName name="_1490">#REF!</definedName>
    <definedName name="_1490__FDSAUDITLINK__" localSheetId="0" hidden="1">{"fdsup://directions/FAT Viewer?action=UPDATE&amp;creator=factset&amp;DYN_ARGS=TRUE&amp;DOC_NAME=FAT:FQL_AUDITING_CLIENT_TEMPLATE.FAT&amp;display_string=Audit&amp;VAR:KEY=FGVGJEHKJU&amp;VAR:QUERY=RkZfRElWX1lMRChBTk4sOS8xOS8wMiw5LzE5LzAyKQ==&amp;WINDOW=FIRST_POPUP&amp;HEIGHT=450&amp;WIDTH=450&amp;","START_MAXIMIZED=FALSE&amp;VAR:CALENDAR=US&amp;VAR:SYMBOL=LO&amp;VAR:INDEX=0"}</definedName>
    <definedName name="_1490__FDSAUDITLINK__" hidden="1">{"fdsup://directions/FAT Viewer?action=UPDATE&amp;creator=factset&amp;DYN_ARGS=TRUE&amp;DOC_NAME=FAT:FQL_AUDITING_CLIENT_TEMPLATE.FAT&amp;display_string=Audit&amp;VAR:KEY=FGVGJEHKJU&amp;VAR:QUERY=RkZfRElWX1lMRChBTk4sOS8xOS8wMiw5LzE5LzAyKQ==&amp;WINDOW=FIRST_POPUP&amp;HEIGHT=450&amp;WIDTH=450&amp;","START_MAXIMIZED=FALSE&amp;VAR:CALENDAR=US&amp;VAR:SYMBOL=LO&amp;VAR:INDEX=0"}</definedName>
    <definedName name="_1491">#REF!</definedName>
    <definedName name="_1491__FDSAUDITLINK__" localSheetId="0" hidden="1">{"fdsup://directions/FAT Viewer?action=UPDATE&amp;creator=factset&amp;DYN_ARGS=TRUE&amp;DOC_NAME=FAT:FQL_AUDITING_CLIENT_TEMPLATE.FAT&amp;display_string=Audit&amp;VAR:KEY=RKPYFQHAZK&amp;VAR:QUERY=RkZfRElWX1lMRChBTk4sOS8xMi8wMiw5LzEyLzAyKQ==&amp;WINDOW=FIRST_POPUP&amp;HEIGHT=450&amp;WIDTH=450&amp;","START_MAXIMIZED=FALSE&amp;VAR:CALENDAR=US&amp;VAR:SYMBOL=LO&amp;VAR:INDEX=0"}</definedName>
    <definedName name="_1491__FDSAUDITLINK__" hidden="1">{"fdsup://directions/FAT Viewer?action=UPDATE&amp;creator=factset&amp;DYN_ARGS=TRUE&amp;DOC_NAME=FAT:FQL_AUDITING_CLIENT_TEMPLATE.FAT&amp;display_string=Audit&amp;VAR:KEY=RKPYFQHAZK&amp;VAR:QUERY=RkZfRElWX1lMRChBTk4sOS8xMi8wMiw5LzEyLzAyKQ==&amp;WINDOW=FIRST_POPUP&amp;HEIGHT=450&amp;WIDTH=450&amp;","START_MAXIMIZED=FALSE&amp;VAR:CALENDAR=US&amp;VAR:SYMBOL=LO&amp;VAR:INDEX=0"}</definedName>
    <definedName name="_1492">#REF!</definedName>
    <definedName name="_1492__FDSAUDITLINK__" localSheetId="0" hidden="1">{"fdsup://directions/FAT Viewer?action=UPDATE&amp;creator=factset&amp;DYN_ARGS=TRUE&amp;DOC_NAME=FAT:FQL_AUDITING_CLIENT_TEMPLATE.FAT&amp;display_string=Audit&amp;VAR:KEY=XYNYPUJOHO&amp;VAR:QUERY=RkZfRElWX1lMRChBTk4sOS8wNS8wMiw5LzA1LzAyKQ==&amp;WINDOW=FIRST_POPUP&amp;HEIGHT=450&amp;WIDTH=450&amp;","START_MAXIMIZED=FALSE&amp;VAR:CALENDAR=US&amp;VAR:SYMBOL=LO&amp;VAR:INDEX=0"}</definedName>
    <definedName name="_1492__FDSAUDITLINK__" hidden="1">{"fdsup://directions/FAT Viewer?action=UPDATE&amp;creator=factset&amp;DYN_ARGS=TRUE&amp;DOC_NAME=FAT:FQL_AUDITING_CLIENT_TEMPLATE.FAT&amp;display_string=Audit&amp;VAR:KEY=XYNYPUJOHO&amp;VAR:QUERY=RkZfRElWX1lMRChBTk4sOS8wNS8wMiw5LzA1LzAyKQ==&amp;WINDOW=FIRST_POPUP&amp;HEIGHT=450&amp;WIDTH=450&amp;","START_MAXIMIZED=FALSE&amp;VAR:CALENDAR=US&amp;VAR:SYMBOL=LO&amp;VAR:INDEX=0"}</definedName>
    <definedName name="_1493">#REF!</definedName>
    <definedName name="_1493__FDSAUDITLINK__" localSheetId="0" hidden="1">{"fdsup://directions/FAT Viewer?action=UPDATE&amp;creator=factset&amp;DYN_ARGS=TRUE&amp;DOC_NAME=FAT:FQL_AUDITING_CLIENT_TEMPLATE.FAT&amp;display_string=Audit&amp;VAR:KEY=XEJCNSVMFS&amp;VAR:QUERY=RkZfRElWX1lMRChBTk4sOC8yOS8wMiw4LzI5LzAyKQ==&amp;WINDOW=FIRST_POPUP&amp;HEIGHT=450&amp;WIDTH=450&amp;","START_MAXIMIZED=FALSE&amp;VAR:CALENDAR=US&amp;VAR:SYMBOL=LO&amp;VAR:INDEX=0"}</definedName>
    <definedName name="_1493__FDSAUDITLINK__" hidden="1">{"fdsup://directions/FAT Viewer?action=UPDATE&amp;creator=factset&amp;DYN_ARGS=TRUE&amp;DOC_NAME=FAT:FQL_AUDITING_CLIENT_TEMPLATE.FAT&amp;display_string=Audit&amp;VAR:KEY=XEJCNSVMFS&amp;VAR:QUERY=RkZfRElWX1lMRChBTk4sOC8yOS8wMiw4LzI5LzAyKQ==&amp;WINDOW=FIRST_POPUP&amp;HEIGHT=450&amp;WIDTH=450&amp;","START_MAXIMIZED=FALSE&amp;VAR:CALENDAR=US&amp;VAR:SYMBOL=LO&amp;VAR:INDEX=0"}</definedName>
    <definedName name="_1494">#REF!</definedName>
    <definedName name="_1494__FDSAUDITLINK__" localSheetId="0" hidden="1">{"fdsup://directions/FAT Viewer?action=UPDATE&amp;creator=factset&amp;DYN_ARGS=TRUE&amp;DOC_NAME=FAT:FQL_AUDITING_CLIENT_TEMPLATE.FAT&amp;display_string=Audit&amp;VAR:KEY=XCLSFUDYDE&amp;VAR:QUERY=RkZfRElWX1lMRChBTk4sOC8yMi8wMiw4LzIyLzAyKQ==&amp;WINDOW=FIRST_POPUP&amp;HEIGHT=450&amp;WIDTH=450&amp;","START_MAXIMIZED=FALSE&amp;VAR:CALENDAR=US&amp;VAR:SYMBOL=LO&amp;VAR:INDEX=0"}</definedName>
    <definedName name="_1494__FDSAUDITLINK__" hidden="1">{"fdsup://directions/FAT Viewer?action=UPDATE&amp;creator=factset&amp;DYN_ARGS=TRUE&amp;DOC_NAME=FAT:FQL_AUDITING_CLIENT_TEMPLATE.FAT&amp;display_string=Audit&amp;VAR:KEY=XCLSFUDYDE&amp;VAR:QUERY=RkZfRElWX1lMRChBTk4sOC8yMi8wMiw4LzIyLzAyKQ==&amp;WINDOW=FIRST_POPUP&amp;HEIGHT=450&amp;WIDTH=450&amp;","START_MAXIMIZED=FALSE&amp;VAR:CALENDAR=US&amp;VAR:SYMBOL=LO&amp;VAR:INDEX=0"}</definedName>
    <definedName name="_1495">#REF!</definedName>
    <definedName name="_1495__FDSAUDITLINK__" localSheetId="0" hidden="1">{"fdsup://directions/FAT Viewer?action=UPDATE&amp;creator=factset&amp;DYN_ARGS=TRUE&amp;DOC_NAME=FAT:FQL_AUDITING_CLIENT_TEMPLATE.FAT&amp;display_string=Audit&amp;VAR:KEY=VOFMTSHAVG&amp;VAR:QUERY=RkZfRElWX1lMRChBTk4sOC8xNS8wMiw4LzE1LzAyKQ==&amp;WINDOW=FIRST_POPUP&amp;HEIGHT=450&amp;WIDTH=450&amp;","START_MAXIMIZED=FALSE&amp;VAR:CALENDAR=US&amp;VAR:SYMBOL=LO&amp;VAR:INDEX=0"}</definedName>
    <definedName name="_1495__FDSAUDITLINK__" hidden="1">{"fdsup://directions/FAT Viewer?action=UPDATE&amp;creator=factset&amp;DYN_ARGS=TRUE&amp;DOC_NAME=FAT:FQL_AUDITING_CLIENT_TEMPLATE.FAT&amp;display_string=Audit&amp;VAR:KEY=VOFMTSHAVG&amp;VAR:QUERY=RkZfRElWX1lMRChBTk4sOC8xNS8wMiw4LzE1LzAyKQ==&amp;WINDOW=FIRST_POPUP&amp;HEIGHT=450&amp;WIDTH=450&amp;","START_MAXIMIZED=FALSE&amp;VAR:CALENDAR=US&amp;VAR:SYMBOL=LO&amp;VAR:INDEX=0"}</definedName>
    <definedName name="_1496">#REF!</definedName>
    <definedName name="_1496__FDSAUDITLINK__" localSheetId="0" hidden="1">{"fdsup://directions/FAT Viewer?action=UPDATE&amp;creator=factset&amp;DYN_ARGS=TRUE&amp;DOC_NAME=FAT:FQL_AUDITING_CLIENT_TEMPLATE.FAT&amp;display_string=Audit&amp;VAR:KEY=XWNEVOLSLW&amp;VAR:QUERY=RkZfRElWX1lMRChBTk4sOC8wOC8wMiw4LzA4LzAyKQ==&amp;WINDOW=FIRST_POPUP&amp;HEIGHT=450&amp;WIDTH=450&amp;","START_MAXIMIZED=FALSE&amp;VAR:CALENDAR=US&amp;VAR:SYMBOL=LO&amp;VAR:INDEX=0"}</definedName>
    <definedName name="_1496__FDSAUDITLINK__" hidden="1">{"fdsup://directions/FAT Viewer?action=UPDATE&amp;creator=factset&amp;DYN_ARGS=TRUE&amp;DOC_NAME=FAT:FQL_AUDITING_CLIENT_TEMPLATE.FAT&amp;display_string=Audit&amp;VAR:KEY=XWNEVOLSLW&amp;VAR:QUERY=RkZfRElWX1lMRChBTk4sOC8wOC8wMiw4LzA4LzAyKQ==&amp;WINDOW=FIRST_POPUP&amp;HEIGHT=450&amp;WIDTH=450&amp;","START_MAXIMIZED=FALSE&amp;VAR:CALENDAR=US&amp;VAR:SYMBOL=LO&amp;VAR:INDEX=0"}</definedName>
    <definedName name="_1497">#REF!</definedName>
    <definedName name="_1497__FDSAUDITLINK__" localSheetId="0" hidden="1">{"fdsup://directions/FAT Viewer?action=UPDATE&amp;creator=factset&amp;DYN_ARGS=TRUE&amp;DOC_NAME=FAT:FQL_AUDITING_CLIENT_TEMPLATE.FAT&amp;display_string=Audit&amp;VAR:KEY=FWBOVELCDO&amp;VAR:QUERY=RkZfRElWX1lMRChBTk4sOC8wMS8wMiw4LzAxLzAyKQ==&amp;WINDOW=FIRST_POPUP&amp;HEIGHT=450&amp;WIDTH=450&amp;","START_MAXIMIZED=FALSE&amp;VAR:CALENDAR=US&amp;VAR:SYMBOL=LO&amp;VAR:INDEX=0"}</definedName>
    <definedName name="_1497__FDSAUDITLINK__" hidden="1">{"fdsup://directions/FAT Viewer?action=UPDATE&amp;creator=factset&amp;DYN_ARGS=TRUE&amp;DOC_NAME=FAT:FQL_AUDITING_CLIENT_TEMPLATE.FAT&amp;display_string=Audit&amp;VAR:KEY=FWBOVELCDO&amp;VAR:QUERY=RkZfRElWX1lMRChBTk4sOC8wMS8wMiw4LzAxLzAyKQ==&amp;WINDOW=FIRST_POPUP&amp;HEIGHT=450&amp;WIDTH=450&amp;","START_MAXIMIZED=FALSE&amp;VAR:CALENDAR=US&amp;VAR:SYMBOL=LO&amp;VAR:INDEX=0"}</definedName>
    <definedName name="_1498">#REF!</definedName>
    <definedName name="_1498__FDSAUDITLINK__" localSheetId="0" hidden="1">{"fdsup://directions/FAT Viewer?action=UPDATE&amp;creator=factset&amp;DYN_ARGS=TRUE&amp;DOC_NAME=FAT:FQL_AUDITING_CLIENT_TEMPLATE.FAT&amp;display_string=Audit&amp;VAR:KEY=PYTQVMHMHC&amp;VAR:QUERY=RkZfRElWX1lMRChBTk4sNy8yNS8wMiw3LzI1LzAyKQ==&amp;WINDOW=FIRST_POPUP&amp;HEIGHT=450&amp;WIDTH=450&amp;","START_MAXIMIZED=FALSE&amp;VAR:CALENDAR=US&amp;VAR:SYMBOL=LO&amp;VAR:INDEX=0"}</definedName>
    <definedName name="_1498__FDSAUDITLINK__" hidden="1">{"fdsup://directions/FAT Viewer?action=UPDATE&amp;creator=factset&amp;DYN_ARGS=TRUE&amp;DOC_NAME=FAT:FQL_AUDITING_CLIENT_TEMPLATE.FAT&amp;display_string=Audit&amp;VAR:KEY=PYTQVMHMHC&amp;VAR:QUERY=RkZfRElWX1lMRChBTk4sNy8yNS8wMiw3LzI1LzAyKQ==&amp;WINDOW=FIRST_POPUP&amp;HEIGHT=450&amp;WIDTH=450&amp;","START_MAXIMIZED=FALSE&amp;VAR:CALENDAR=US&amp;VAR:SYMBOL=LO&amp;VAR:INDEX=0"}</definedName>
    <definedName name="_1499">#REF!</definedName>
    <definedName name="_1499__FDSAUDITLINK__" localSheetId="0" hidden="1">{"fdsup://directions/FAT Viewer?action=UPDATE&amp;creator=factset&amp;DYN_ARGS=TRUE&amp;DOC_NAME=FAT:FQL_AUDITING_CLIENT_TEMPLATE.FAT&amp;display_string=Audit&amp;VAR:KEY=RWBMHGDWLW&amp;VAR:QUERY=RkZfRElWX1lMRChBTk4sNy8xOC8wMiw3LzE4LzAyKQ==&amp;WINDOW=FIRST_POPUP&amp;HEIGHT=450&amp;WIDTH=450&amp;","START_MAXIMIZED=FALSE&amp;VAR:CALENDAR=US&amp;VAR:SYMBOL=LO&amp;VAR:INDEX=0"}</definedName>
    <definedName name="_1499__FDSAUDITLINK__" hidden="1">{"fdsup://directions/FAT Viewer?action=UPDATE&amp;creator=factset&amp;DYN_ARGS=TRUE&amp;DOC_NAME=FAT:FQL_AUDITING_CLIENT_TEMPLATE.FAT&amp;display_string=Audit&amp;VAR:KEY=RWBMHGDWLW&amp;VAR:QUERY=RkZfRElWX1lMRChBTk4sNy8xOC8wMiw3LzE4LzAyKQ==&amp;WINDOW=FIRST_POPUP&amp;HEIGHT=450&amp;WIDTH=450&amp;","START_MAXIMIZED=FALSE&amp;VAR:CALENDAR=US&amp;VAR:SYMBOL=LO&amp;VAR:INDEX=0"}</definedName>
    <definedName name="_14M___S" hidden="1">#REF!</definedName>
    <definedName name="_14main_form_account_grants_list_14_j_id1022">#REF!</definedName>
    <definedName name="_14s1_" hidden="1">{#N/A,#N/A,FALSE,"UNIT";#N/A,#N/A,FALSE,"UNIT";#N/A,#N/A,FALSE,"계정"}</definedName>
    <definedName name="_14s17_" hidden="1">{#N/A,#N/A,FALSE,"UNIT";#N/A,#N/A,FALSE,"UNIT";#N/A,#N/A,FALSE,"계정"}</definedName>
    <definedName name="_14s3_" hidden="1">{#N/A,#N/A,FALSE,"UNIT";#N/A,#N/A,FALSE,"UNIT";#N/A,#N/A,FALSE,"계정"}</definedName>
    <definedName name="_14s4_" hidden="1">{#N/A,#N/A,FALSE,"UNIT";#N/A,#N/A,FALSE,"UNIT";#N/A,#N/A,FALSE,"계정"}</definedName>
    <definedName name="_15">#REF!</definedName>
    <definedName name="_15__________NOTE1_3">#REF!</definedName>
    <definedName name="_15__123Graph_AChart_2A" hidden="1">#REF!</definedName>
    <definedName name="_15__123Graph_AChart_7J">#REF!</definedName>
    <definedName name="_15__123Graph_ATAX_CREDIT">#REF!</definedName>
    <definedName name="_15__123Graph_BCHART_3" hidden="1">#REF!</definedName>
    <definedName name="_15__123Graph_BCONTRACT_BY_B_U">#REF!</definedName>
    <definedName name="_15__123Graph_BSENS_COMPARISON">#REF!</definedName>
    <definedName name="_15__123Graph_BSUPPLIES_BY_B_U">#REF!</definedName>
    <definedName name="_15__123Graph_BWAGES_BY_B_U" hidden="1">#REF!</definedName>
    <definedName name="_15__123Graph_CCONTRACT_BY_B_U">#REF!</definedName>
    <definedName name="_15__123Graph_CQRE_S_BY_CO.">#REF!</definedName>
    <definedName name="_15__123Graph_CSENS_COMPARISON">#REF!</definedName>
    <definedName name="_15__FDSAUDITLINK__" localSheetId="0" hidden="1">{"fdsup://directions/FAT Viewer?action=UPDATE&amp;creator=factset&amp;DYN_ARGS=TRUE&amp;DOC_NAME=FAT:FQL_AUDITING_CLIENT_TEMPLATE.FAT&amp;display_string=Audit&amp;VAR:KEY=OPSHYDYRSN&amp;VAR:QUERY=Q1NGX0RJVl9ZTEQoUVRSX1IsNi8yOS8yMDA3KQ==&amp;WINDOW=FIRST_POPUP&amp;HEIGHT=450&amp;WIDTH=450&amp;STAR","T_MAXIMIZED=FALSE&amp;VAR:CALENDAR=US&amp;VAR:SYMBOL=MO&amp;VAR:INDEX=0"}</definedName>
    <definedName name="_15__FDSAUDITLINK__" hidden="1">{"fdsup://directions/FAT Viewer?action=UPDATE&amp;creator=factset&amp;DYN_ARGS=TRUE&amp;DOC_NAME=FAT:FQL_AUDITING_CLIENT_TEMPLATE.FAT&amp;display_string=Audit&amp;VAR:KEY=OPSHYDYRSN&amp;VAR:QUERY=Q1NGX0RJVl9ZTEQoUVRSX1IsNi8yOS8yMDA3KQ==&amp;WINDOW=FIRST_POPUP&amp;HEIGHT=450&amp;WIDTH=450&amp;STAR","T_MAXIMIZED=FALSE&amp;VAR:CALENDAR=US&amp;VAR:SYMBOL=MO&amp;VAR:INDEX=0"}</definedName>
    <definedName name="_15_0_Table2_">#REF!</definedName>
    <definedName name="_15_3__1_CRADDIN_DataGrid">#REF!</definedName>
    <definedName name="_150">#REF!</definedName>
    <definedName name="_150__123Graph_EWAGES_BY_B_U">#REF!</definedName>
    <definedName name="_150__FDSAUDITLINK__" localSheetId="0" hidden="1">{"fdsup://directions/FAT Viewer?action=UPDATE&amp;creator=factset&amp;DYN_ARGS=TRUE&amp;DOC_NAME=FAT:FQL_AUDITING_CLIENT_TEMPLATE.FAT&amp;display_string=Audit&amp;VAR:KEY=HOLQPSTWLE&amp;VAR:QUERY=RkZfRElWX1lMRChBTk4sNS8yMi8wOCw1LzIyLzA4KQ==&amp;WINDOW=FIRST_POPUP&amp;HEIGHT=450&amp;WIDTH=450&amp;","START_MAXIMIZED=FALSE&amp;VAR:CALENDAR=US&amp;VAR:SYMBOL=RAI&amp;VAR:INDEX=0"}</definedName>
    <definedName name="_150__FDSAUDITLINK__" hidden="1">{"fdsup://directions/FAT Viewer?action=UPDATE&amp;creator=factset&amp;DYN_ARGS=TRUE&amp;DOC_NAME=FAT:FQL_AUDITING_CLIENT_TEMPLATE.FAT&amp;display_string=Audit&amp;VAR:KEY=HOLQPSTWLE&amp;VAR:QUERY=RkZfRElWX1lMRChBTk4sNS8yMi8wOCw1LzIyLzA4KQ==&amp;WINDOW=FIRST_POPUP&amp;HEIGHT=450&amp;WIDTH=450&amp;","START_MAXIMIZED=FALSE&amp;VAR:CALENDAR=US&amp;VAR:SYMBOL=RAI&amp;VAR:INDEX=0"}</definedName>
    <definedName name="_1500">#REF!</definedName>
    <definedName name="_1500__FDSAUDITLINK__" localSheetId="0" hidden="1">{"fdsup://directions/FAT Viewer?action=UPDATE&amp;creator=factset&amp;DYN_ARGS=TRUE&amp;DOC_NAME=FAT:FQL_AUDITING_CLIENT_TEMPLATE.FAT&amp;display_string=Audit&amp;VAR:KEY=DMBCZORGXC&amp;VAR:QUERY=RkZfRElWX1lMRChBTk4sNy8xMS8wMiw3LzExLzAyKQ==&amp;WINDOW=FIRST_POPUP&amp;HEIGHT=450&amp;WIDTH=450&amp;","START_MAXIMIZED=FALSE&amp;VAR:CALENDAR=US&amp;VAR:SYMBOL=LO&amp;VAR:INDEX=0"}</definedName>
    <definedName name="_1500__FDSAUDITLINK__" hidden="1">{"fdsup://directions/FAT Viewer?action=UPDATE&amp;creator=factset&amp;DYN_ARGS=TRUE&amp;DOC_NAME=FAT:FQL_AUDITING_CLIENT_TEMPLATE.FAT&amp;display_string=Audit&amp;VAR:KEY=DMBCZORGXC&amp;VAR:QUERY=RkZfRElWX1lMRChBTk4sNy8xMS8wMiw3LzExLzAyKQ==&amp;WINDOW=FIRST_POPUP&amp;HEIGHT=450&amp;WIDTH=450&amp;","START_MAXIMIZED=FALSE&amp;VAR:CALENDAR=US&amp;VAR:SYMBOL=LO&amp;VAR:INDEX=0"}</definedName>
    <definedName name="_1501__FDSAUDITLINK__" localSheetId="0" hidden="1">{"fdsup://directions/FAT Viewer?action=UPDATE&amp;creator=factset&amp;DYN_ARGS=TRUE&amp;DOC_NAME=FAT:FQL_AUDITING_CLIENT_TEMPLATE.FAT&amp;display_string=Audit&amp;VAR:KEY=VUPWNULGFC&amp;VAR:QUERY=RkZfRElWX1lMRChBTk4sNy8wMy8wMiw3LzAzLzAyKQ==&amp;WINDOW=FIRST_POPUP&amp;HEIGHT=450&amp;WIDTH=450&amp;","START_MAXIMIZED=FALSE&amp;VAR:CALENDAR=US&amp;VAR:SYMBOL=LO&amp;VAR:INDEX=0"}</definedName>
    <definedName name="_1501__FDSAUDITLINK__" hidden="1">{"fdsup://directions/FAT Viewer?action=UPDATE&amp;creator=factset&amp;DYN_ARGS=TRUE&amp;DOC_NAME=FAT:FQL_AUDITING_CLIENT_TEMPLATE.FAT&amp;display_string=Audit&amp;VAR:KEY=VUPWNULGFC&amp;VAR:QUERY=RkZfRElWX1lMRChBTk4sNy8wMy8wMiw3LzAzLzAyKQ==&amp;WINDOW=FIRST_POPUP&amp;HEIGHT=450&amp;WIDTH=450&amp;","START_MAXIMIZED=FALSE&amp;VAR:CALENDAR=US&amp;VAR:SYMBOL=LO&amp;VAR:INDEX=0"}</definedName>
    <definedName name="_1502__FDSAUDITLINK__" localSheetId="0" hidden="1">{"fdsup://directions/FAT Viewer?action=UPDATE&amp;creator=factset&amp;DYN_ARGS=TRUE&amp;DOC_NAME=FAT:FQL_AUDITING_CLIENT_TEMPLATE.FAT&amp;display_string=Audit&amp;VAR:KEY=ZOXSNIFUJK&amp;VAR:QUERY=RkZfRElWX1lMRChBTk4sNi8yNy8wMiw2LzI3LzAyKQ==&amp;WINDOW=FIRST_POPUP&amp;HEIGHT=450&amp;WIDTH=450&amp;","START_MAXIMIZED=FALSE&amp;VAR:CALENDAR=US&amp;VAR:SYMBOL=LO&amp;VAR:INDEX=0"}</definedName>
    <definedName name="_1502__FDSAUDITLINK__" hidden="1">{"fdsup://directions/FAT Viewer?action=UPDATE&amp;creator=factset&amp;DYN_ARGS=TRUE&amp;DOC_NAME=FAT:FQL_AUDITING_CLIENT_TEMPLATE.FAT&amp;display_string=Audit&amp;VAR:KEY=ZOXSNIFUJK&amp;VAR:QUERY=RkZfRElWX1lMRChBTk4sNi8yNy8wMiw2LzI3LzAyKQ==&amp;WINDOW=FIRST_POPUP&amp;HEIGHT=450&amp;WIDTH=450&amp;","START_MAXIMIZED=FALSE&amp;VAR:CALENDAR=US&amp;VAR:SYMBOL=LO&amp;VAR:INDEX=0"}</definedName>
    <definedName name="_1503__FDSAUDITLINK__" localSheetId="0" hidden="1">{"fdsup://directions/FAT Viewer?action=UPDATE&amp;creator=factset&amp;DYN_ARGS=TRUE&amp;DOC_NAME=FAT:FQL_AUDITING_CLIENT_TEMPLATE.FAT&amp;display_string=Audit&amp;VAR:KEY=JCRWDOLOLK&amp;VAR:QUERY=RkZfRElWX1lMRChBTk4sNi8yMC8wMiw2LzIwLzAyKQ==&amp;WINDOW=FIRST_POPUP&amp;HEIGHT=450&amp;WIDTH=450&amp;","START_MAXIMIZED=FALSE&amp;VAR:CALENDAR=US&amp;VAR:SYMBOL=LO&amp;VAR:INDEX=0"}</definedName>
    <definedName name="_1503__FDSAUDITLINK__" hidden="1">{"fdsup://directions/FAT Viewer?action=UPDATE&amp;creator=factset&amp;DYN_ARGS=TRUE&amp;DOC_NAME=FAT:FQL_AUDITING_CLIENT_TEMPLATE.FAT&amp;display_string=Audit&amp;VAR:KEY=JCRWDOLOLK&amp;VAR:QUERY=RkZfRElWX1lMRChBTk4sNi8yMC8wMiw2LzIwLzAyKQ==&amp;WINDOW=FIRST_POPUP&amp;HEIGHT=450&amp;WIDTH=450&amp;","START_MAXIMIZED=FALSE&amp;VAR:CALENDAR=US&amp;VAR:SYMBOL=LO&amp;VAR:INDEX=0"}</definedName>
    <definedName name="_1504">#REF!</definedName>
    <definedName name="_1504__FDSAUDITLINK__" localSheetId="0" hidden="1">{"fdsup://directions/FAT Viewer?action=UPDATE&amp;creator=factset&amp;DYN_ARGS=TRUE&amp;DOC_NAME=FAT:FQL_AUDITING_CLIENT_TEMPLATE.FAT&amp;display_string=Audit&amp;VAR:KEY=DKLGHSBCJM&amp;VAR:QUERY=RkZfRElWX1lMRChBTk4sNi8xMy8wMiw2LzEzLzAyKQ==&amp;WINDOW=FIRST_POPUP&amp;HEIGHT=450&amp;WIDTH=450&amp;","START_MAXIMIZED=FALSE&amp;VAR:CALENDAR=US&amp;VAR:SYMBOL=LO&amp;VAR:INDEX=0"}</definedName>
    <definedName name="_1504__FDSAUDITLINK__" hidden="1">{"fdsup://directions/FAT Viewer?action=UPDATE&amp;creator=factset&amp;DYN_ARGS=TRUE&amp;DOC_NAME=FAT:FQL_AUDITING_CLIENT_TEMPLATE.FAT&amp;display_string=Audit&amp;VAR:KEY=DKLGHSBCJM&amp;VAR:QUERY=RkZfRElWX1lMRChBTk4sNi8xMy8wMiw2LzEzLzAyKQ==&amp;WINDOW=FIRST_POPUP&amp;HEIGHT=450&amp;WIDTH=450&amp;","START_MAXIMIZED=FALSE&amp;VAR:CALENDAR=US&amp;VAR:SYMBOL=LO&amp;VAR:INDEX=0"}</definedName>
    <definedName name="_1505__FDSAUDITLINK__" localSheetId="0" hidden="1">{"fdsup://directions/FAT Viewer?action=UPDATE&amp;creator=factset&amp;DYN_ARGS=TRUE&amp;DOC_NAME=FAT:FQL_AUDITING_CLIENT_TEMPLATE.FAT&amp;display_string=Audit&amp;VAR:KEY=XYPUNSRUXK&amp;VAR:QUERY=RkZfRElWX1lMRChBTk4sNi8wNi8wMiw2LzA2LzAyKQ==&amp;WINDOW=FIRST_POPUP&amp;HEIGHT=450&amp;WIDTH=450&amp;","START_MAXIMIZED=FALSE&amp;VAR:CALENDAR=US&amp;VAR:SYMBOL=LO&amp;VAR:INDEX=0"}</definedName>
    <definedName name="_1505__FDSAUDITLINK__" hidden="1">{"fdsup://directions/FAT Viewer?action=UPDATE&amp;creator=factset&amp;DYN_ARGS=TRUE&amp;DOC_NAME=FAT:FQL_AUDITING_CLIENT_TEMPLATE.FAT&amp;display_string=Audit&amp;VAR:KEY=XYPUNSRUXK&amp;VAR:QUERY=RkZfRElWX1lMRChBTk4sNi8wNi8wMiw2LzA2LzAyKQ==&amp;WINDOW=FIRST_POPUP&amp;HEIGHT=450&amp;WIDTH=450&amp;","START_MAXIMIZED=FALSE&amp;VAR:CALENDAR=US&amp;VAR:SYMBOL=LO&amp;VAR:INDEX=0"}</definedName>
    <definedName name="_1506">#REF!</definedName>
    <definedName name="_1506__FDSAUDITLINK__" localSheetId="0" hidden="1">{"fdsup://directions/FAT Viewer?action=UPDATE&amp;creator=factset&amp;DYN_ARGS=TRUE&amp;DOC_NAME=FAT:FQL_AUDITING_CLIENT_TEMPLATE.FAT&amp;display_string=Audit&amp;VAR:KEY=XURWXUPGXM&amp;VAR:QUERY=RkZfRElWX1lMRChBTk4sNS8zMC8wMiw1LzMwLzAyKQ==&amp;WINDOW=FIRST_POPUP&amp;HEIGHT=450&amp;WIDTH=450&amp;","START_MAXIMIZED=FALSE&amp;VAR:CALENDAR=US&amp;VAR:SYMBOL=LO&amp;VAR:INDEX=0"}</definedName>
    <definedName name="_1506__FDSAUDITLINK__" hidden="1">{"fdsup://directions/FAT Viewer?action=UPDATE&amp;creator=factset&amp;DYN_ARGS=TRUE&amp;DOC_NAME=FAT:FQL_AUDITING_CLIENT_TEMPLATE.FAT&amp;display_string=Audit&amp;VAR:KEY=XURWXUPGXM&amp;VAR:QUERY=RkZfRElWX1lMRChBTk4sNS8zMC8wMiw1LzMwLzAyKQ==&amp;WINDOW=FIRST_POPUP&amp;HEIGHT=450&amp;WIDTH=450&amp;","START_MAXIMIZED=FALSE&amp;VAR:CALENDAR=US&amp;VAR:SYMBOL=LO&amp;VAR:INDEX=0"}</definedName>
    <definedName name="_1507">#REF!</definedName>
    <definedName name="_1507__FDSAUDITLINK__" localSheetId="0" hidden="1">{"fdsup://directions/FAT Viewer?action=UPDATE&amp;creator=factset&amp;DYN_ARGS=TRUE&amp;DOC_NAME=FAT:FQL_AUDITING_CLIENT_TEMPLATE.FAT&amp;display_string=Audit&amp;VAR:KEY=NIDMBGJOBE&amp;VAR:QUERY=RkZfRElWX1lMRChBTk4sNS8yMy8wMiw1LzIzLzAyKQ==&amp;WINDOW=FIRST_POPUP&amp;HEIGHT=450&amp;WIDTH=450&amp;","START_MAXIMIZED=FALSE&amp;VAR:CALENDAR=US&amp;VAR:SYMBOL=LO&amp;VAR:INDEX=0"}</definedName>
    <definedName name="_1507__FDSAUDITLINK__" hidden="1">{"fdsup://directions/FAT Viewer?action=UPDATE&amp;creator=factset&amp;DYN_ARGS=TRUE&amp;DOC_NAME=FAT:FQL_AUDITING_CLIENT_TEMPLATE.FAT&amp;display_string=Audit&amp;VAR:KEY=NIDMBGJOBE&amp;VAR:QUERY=RkZfRElWX1lMRChBTk4sNS8yMy8wMiw1LzIzLzAyKQ==&amp;WINDOW=FIRST_POPUP&amp;HEIGHT=450&amp;WIDTH=450&amp;","START_MAXIMIZED=FALSE&amp;VAR:CALENDAR=US&amp;VAR:SYMBOL=LO&amp;VAR:INDEX=0"}</definedName>
    <definedName name="_1508">#REF!</definedName>
    <definedName name="_1508__FDSAUDITLINK__" localSheetId="0" hidden="1">{"fdsup://directions/FAT Viewer?action=UPDATE&amp;creator=factset&amp;DYN_ARGS=TRUE&amp;DOC_NAME=FAT:FQL_AUDITING_CLIENT_TEMPLATE.FAT&amp;display_string=Audit&amp;VAR:KEY=TSTONSFCDQ&amp;VAR:QUERY=RkZfRElWX1lMRChBTk4sNS8xNi8wMiw1LzE2LzAyKQ==&amp;WINDOW=FIRST_POPUP&amp;HEIGHT=450&amp;WIDTH=450&amp;","START_MAXIMIZED=FALSE&amp;VAR:CALENDAR=US&amp;VAR:SYMBOL=LO&amp;VAR:INDEX=0"}</definedName>
    <definedName name="_1508__FDSAUDITLINK__" hidden="1">{"fdsup://directions/FAT Viewer?action=UPDATE&amp;creator=factset&amp;DYN_ARGS=TRUE&amp;DOC_NAME=FAT:FQL_AUDITING_CLIENT_TEMPLATE.FAT&amp;display_string=Audit&amp;VAR:KEY=TSTONSFCDQ&amp;VAR:QUERY=RkZfRElWX1lMRChBTk4sNS8xNi8wMiw1LzE2LzAyKQ==&amp;WINDOW=FIRST_POPUP&amp;HEIGHT=450&amp;WIDTH=450&amp;","START_MAXIMIZED=FALSE&amp;VAR:CALENDAR=US&amp;VAR:SYMBOL=LO&amp;VAR:INDEX=0"}</definedName>
    <definedName name="_1509">#REF!</definedName>
    <definedName name="_1509__FDSAUDITLINK__" localSheetId="0" hidden="1">{"fdsup://directions/FAT Viewer?action=UPDATE&amp;creator=factset&amp;DYN_ARGS=TRUE&amp;DOC_NAME=FAT:FQL_AUDITING_CLIENT_TEMPLATE.FAT&amp;display_string=Audit&amp;VAR:KEY=JEVANQDYXU&amp;VAR:QUERY=RkZfRElWX1lMRChBTk4sNS8wOS8wMiw1LzA5LzAyKQ==&amp;WINDOW=FIRST_POPUP&amp;HEIGHT=450&amp;WIDTH=450&amp;","START_MAXIMIZED=FALSE&amp;VAR:CALENDAR=US&amp;VAR:SYMBOL=LO&amp;VAR:INDEX=0"}</definedName>
    <definedName name="_1509__FDSAUDITLINK__" hidden="1">{"fdsup://directions/FAT Viewer?action=UPDATE&amp;creator=factset&amp;DYN_ARGS=TRUE&amp;DOC_NAME=FAT:FQL_AUDITING_CLIENT_TEMPLATE.FAT&amp;display_string=Audit&amp;VAR:KEY=JEVANQDYXU&amp;VAR:QUERY=RkZfRElWX1lMRChBTk4sNS8wOS8wMiw1LzA5LzAyKQ==&amp;WINDOW=FIRST_POPUP&amp;HEIGHT=450&amp;WIDTH=450&amp;","START_MAXIMIZED=FALSE&amp;VAR:CALENDAR=US&amp;VAR:SYMBOL=LO&amp;VAR:INDEX=0"}</definedName>
    <definedName name="_151">#REF!</definedName>
    <definedName name="_151__123Graph_EWAGES_BY_B_U">#REF!</definedName>
    <definedName name="_151__123Graph_XCONTRACT_BY_B_U">#REF!</definedName>
    <definedName name="_151__FDSAUDITLINK__" localSheetId="0" hidden="1">{"fdsup://directions/FAT Viewer?action=UPDATE&amp;creator=factset&amp;DYN_ARGS=TRUE&amp;DOC_NAME=FAT:FQL_AUDITING_CLIENT_TEMPLATE.FAT&amp;display_string=Audit&amp;VAR:KEY=BOPSNWXGVI&amp;VAR:QUERY=RkZfRElWX1lMRChBTk4sNS8xNS8wOCw1LzE1LzA4KQ==&amp;WINDOW=FIRST_POPUP&amp;HEIGHT=450&amp;WIDTH=450&amp;","START_MAXIMIZED=FALSE&amp;VAR:CALENDAR=US&amp;VAR:SYMBOL=RAI&amp;VAR:INDEX=0"}</definedName>
    <definedName name="_151__FDSAUDITLINK__" hidden="1">{"fdsup://directions/FAT Viewer?action=UPDATE&amp;creator=factset&amp;DYN_ARGS=TRUE&amp;DOC_NAME=FAT:FQL_AUDITING_CLIENT_TEMPLATE.FAT&amp;display_string=Audit&amp;VAR:KEY=BOPSNWXGVI&amp;VAR:QUERY=RkZfRElWX1lMRChBTk4sNS8xNS8wOCw1LzE1LzA4KQ==&amp;WINDOW=FIRST_POPUP&amp;HEIGHT=450&amp;WIDTH=450&amp;","START_MAXIMIZED=FALSE&amp;VAR:CALENDAR=US&amp;VAR:SYMBOL=RAI&amp;VAR:INDEX=0"}</definedName>
    <definedName name="_151_0_S">#REF!</definedName>
    <definedName name="_1510">#REF!</definedName>
    <definedName name="_1510__FDSAUDITLINK__" localSheetId="0" hidden="1">{"fdsup://directions/FAT Viewer?action=UPDATE&amp;creator=factset&amp;DYN_ARGS=TRUE&amp;DOC_NAME=FAT:FQL_AUDITING_CLIENT_TEMPLATE.FAT&amp;display_string=Audit&amp;VAR:KEY=XCLETWXWNG&amp;VAR:QUERY=RkZfRElWX1lMRChBTk4sNS8wMi8wMiw1LzAyLzAyKQ==&amp;WINDOW=FIRST_POPUP&amp;HEIGHT=450&amp;WIDTH=450&amp;","START_MAXIMIZED=FALSE&amp;VAR:CALENDAR=US&amp;VAR:SYMBOL=LO&amp;VAR:INDEX=0"}</definedName>
    <definedName name="_1510__FDSAUDITLINK__" hidden="1">{"fdsup://directions/FAT Viewer?action=UPDATE&amp;creator=factset&amp;DYN_ARGS=TRUE&amp;DOC_NAME=FAT:FQL_AUDITING_CLIENT_TEMPLATE.FAT&amp;display_string=Audit&amp;VAR:KEY=XCLETWXWNG&amp;VAR:QUERY=RkZfRElWX1lMRChBTk4sNS8wMi8wMiw1LzAyLzAyKQ==&amp;WINDOW=FIRST_POPUP&amp;HEIGHT=450&amp;WIDTH=450&amp;","START_MAXIMIZED=FALSE&amp;VAR:CALENDAR=US&amp;VAR:SYMBOL=LO&amp;VAR:INDEX=0"}</definedName>
    <definedName name="_1511">#REF!</definedName>
    <definedName name="_1511__FDSAUDITLINK__" localSheetId="0" hidden="1">{"fdsup://directions/FAT Viewer?action=UPDATE&amp;creator=factset&amp;DYN_ARGS=TRUE&amp;DOC_NAME=FAT:FQL_AUDITING_CLIENT_TEMPLATE.FAT&amp;display_string=Audit&amp;VAR:KEY=LIHCTWLSLA&amp;VAR:QUERY=RkZfRElWX1lMRChBTk4sNC8yNS8wMiw0LzI1LzAyKQ==&amp;WINDOW=FIRST_POPUP&amp;HEIGHT=450&amp;WIDTH=450&amp;","START_MAXIMIZED=FALSE&amp;VAR:CALENDAR=US&amp;VAR:SYMBOL=LO&amp;VAR:INDEX=0"}</definedName>
    <definedName name="_1511__FDSAUDITLINK__" hidden="1">{"fdsup://directions/FAT Viewer?action=UPDATE&amp;creator=factset&amp;DYN_ARGS=TRUE&amp;DOC_NAME=FAT:FQL_AUDITING_CLIENT_TEMPLATE.FAT&amp;display_string=Audit&amp;VAR:KEY=LIHCTWLSLA&amp;VAR:QUERY=RkZfRElWX1lMRChBTk4sNC8yNS8wMiw0LzI1LzAyKQ==&amp;WINDOW=FIRST_POPUP&amp;HEIGHT=450&amp;WIDTH=450&amp;","START_MAXIMIZED=FALSE&amp;VAR:CALENDAR=US&amp;VAR:SYMBOL=LO&amp;VAR:INDEX=0"}</definedName>
    <definedName name="_1512">#REF!</definedName>
    <definedName name="_1512__FDSAUDITLINK__" localSheetId="0" hidden="1">{"fdsup://directions/FAT Viewer?action=UPDATE&amp;creator=factset&amp;DYN_ARGS=TRUE&amp;DOC_NAME=FAT:FQL_AUDITING_CLIENT_TEMPLATE.FAT&amp;display_string=Audit&amp;VAR:KEY=BUBCJSPQNC&amp;VAR:QUERY=RkZfRElWX1lMRChBTk4sNC8xOC8wMiw0LzE4LzAyKQ==&amp;WINDOW=FIRST_POPUP&amp;HEIGHT=450&amp;WIDTH=450&amp;","START_MAXIMIZED=FALSE&amp;VAR:CALENDAR=US&amp;VAR:SYMBOL=LO&amp;VAR:INDEX=0"}</definedName>
    <definedName name="_1512__FDSAUDITLINK__" hidden="1">{"fdsup://directions/FAT Viewer?action=UPDATE&amp;creator=factset&amp;DYN_ARGS=TRUE&amp;DOC_NAME=FAT:FQL_AUDITING_CLIENT_TEMPLATE.FAT&amp;display_string=Audit&amp;VAR:KEY=BUBCJSPQNC&amp;VAR:QUERY=RkZfRElWX1lMRChBTk4sNC8xOC8wMiw0LzE4LzAyKQ==&amp;WINDOW=FIRST_POPUP&amp;HEIGHT=450&amp;WIDTH=450&amp;","START_MAXIMIZED=FALSE&amp;VAR:CALENDAR=US&amp;VAR:SYMBOL=LO&amp;VAR:INDEX=0"}</definedName>
    <definedName name="_1513">#REF!</definedName>
    <definedName name="_1513__FDSAUDITLINK__" localSheetId="0" hidden="1">{"fdsup://directions/FAT Viewer?action=UPDATE&amp;creator=factset&amp;DYN_ARGS=TRUE&amp;DOC_NAME=FAT:FQL_AUDITING_CLIENT_TEMPLATE.FAT&amp;display_string=Audit&amp;VAR:KEY=TEBITYPYZO&amp;VAR:QUERY=RkZfRElWX1lMRChBTk4sNC8xMS8wMiw0LzExLzAyKQ==&amp;WINDOW=FIRST_POPUP&amp;HEIGHT=450&amp;WIDTH=450&amp;","START_MAXIMIZED=FALSE&amp;VAR:CALENDAR=US&amp;VAR:SYMBOL=LO&amp;VAR:INDEX=0"}</definedName>
    <definedName name="_1513__FDSAUDITLINK__" hidden="1">{"fdsup://directions/FAT Viewer?action=UPDATE&amp;creator=factset&amp;DYN_ARGS=TRUE&amp;DOC_NAME=FAT:FQL_AUDITING_CLIENT_TEMPLATE.FAT&amp;display_string=Audit&amp;VAR:KEY=TEBITYPYZO&amp;VAR:QUERY=RkZfRElWX1lMRChBTk4sNC8xMS8wMiw0LzExLzAyKQ==&amp;WINDOW=FIRST_POPUP&amp;HEIGHT=450&amp;WIDTH=450&amp;","START_MAXIMIZED=FALSE&amp;VAR:CALENDAR=US&amp;VAR:SYMBOL=LO&amp;VAR:INDEX=0"}</definedName>
    <definedName name="_1514">#REF!</definedName>
    <definedName name="_1514__FDSAUDITLINK__" localSheetId="0" hidden="1">{"fdsup://directions/FAT Viewer?action=UPDATE&amp;creator=factset&amp;DYN_ARGS=TRUE&amp;DOC_NAME=FAT:FQL_AUDITING_CLIENT_TEMPLATE.FAT&amp;display_string=Audit&amp;VAR:KEY=NUBOJKLSDY&amp;VAR:QUERY=RkZfRElWX1lMRChBTk4sNC8wNC8wMiw0LzA0LzAyKQ==&amp;WINDOW=FIRST_POPUP&amp;HEIGHT=450&amp;WIDTH=450&amp;","START_MAXIMIZED=FALSE&amp;VAR:CALENDAR=US&amp;VAR:SYMBOL=LO&amp;VAR:INDEX=0"}</definedName>
    <definedName name="_1514__FDSAUDITLINK__" hidden="1">{"fdsup://directions/FAT Viewer?action=UPDATE&amp;creator=factset&amp;DYN_ARGS=TRUE&amp;DOC_NAME=FAT:FQL_AUDITING_CLIENT_TEMPLATE.FAT&amp;display_string=Audit&amp;VAR:KEY=NUBOJKLSDY&amp;VAR:QUERY=RkZfRElWX1lMRChBTk4sNC8wNC8wMiw0LzA0LzAyKQ==&amp;WINDOW=FIRST_POPUP&amp;HEIGHT=450&amp;WIDTH=450&amp;","START_MAXIMIZED=FALSE&amp;VAR:CALENDAR=US&amp;VAR:SYMBOL=LO&amp;VAR:INDEX=0"}</definedName>
    <definedName name="_1515">#REF!</definedName>
    <definedName name="_1515__FDSAUDITLINK__" localSheetId="0" hidden="1">{"fdsup://directions/FAT Viewer?action=UPDATE&amp;creator=factset&amp;DYN_ARGS=TRUE&amp;DOC_NAME=FAT:FQL_AUDITING_CLIENT_TEMPLATE.FAT&amp;display_string=Audit&amp;VAR:KEY=XUHUFERMPK&amp;VAR:QUERY=RkZfRElWX1lMRChBTk4sMy8yOC8wMiwzLzI4LzAyKQ==&amp;WINDOW=FIRST_POPUP&amp;HEIGHT=450&amp;WIDTH=450&amp;","START_MAXIMIZED=FALSE&amp;VAR:CALENDAR=US&amp;VAR:SYMBOL=LO&amp;VAR:INDEX=0"}</definedName>
    <definedName name="_1515__FDSAUDITLINK__" hidden="1">{"fdsup://directions/FAT Viewer?action=UPDATE&amp;creator=factset&amp;DYN_ARGS=TRUE&amp;DOC_NAME=FAT:FQL_AUDITING_CLIENT_TEMPLATE.FAT&amp;display_string=Audit&amp;VAR:KEY=XUHUFERMPK&amp;VAR:QUERY=RkZfRElWX1lMRChBTk4sMy8yOC8wMiwzLzI4LzAyKQ==&amp;WINDOW=FIRST_POPUP&amp;HEIGHT=450&amp;WIDTH=450&amp;","START_MAXIMIZED=FALSE&amp;VAR:CALENDAR=US&amp;VAR:SYMBOL=LO&amp;VAR:INDEX=0"}</definedName>
    <definedName name="_1516">#REF!</definedName>
    <definedName name="_1516__FDSAUDITLINK__" localSheetId="0" hidden="1">{"fdsup://directions/FAT Viewer?action=UPDATE&amp;creator=factset&amp;DYN_ARGS=TRUE&amp;DOC_NAME=FAT:FQL_AUDITING_CLIENT_TEMPLATE.FAT&amp;display_string=Audit&amp;VAR:KEY=HGFEZCHKZU&amp;VAR:QUERY=RkZfRElWX1lMRChBTk4sMy8yMS8wMiwzLzIxLzAyKQ==&amp;WINDOW=FIRST_POPUP&amp;HEIGHT=450&amp;WIDTH=450&amp;","START_MAXIMIZED=FALSE&amp;VAR:CALENDAR=US&amp;VAR:SYMBOL=LO&amp;VAR:INDEX=0"}</definedName>
    <definedName name="_1516__FDSAUDITLINK__" hidden="1">{"fdsup://directions/FAT Viewer?action=UPDATE&amp;creator=factset&amp;DYN_ARGS=TRUE&amp;DOC_NAME=FAT:FQL_AUDITING_CLIENT_TEMPLATE.FAT&amp;display_string=Audit&amp;VAR:KEY=HGFEZCHKZU&amp;VAR:QUERY=RkZfRElWX1lMRChBTk4sMy8yMS8wMiwzLzIxLzAyKQ==&amp;WINDOW=FIRST_POPUP&amp;HEIGHT=450&amp;WIDTH=450&amp;","START_MAXIMIZED=FALSE&amp;VAR:CALENDAR=US&amp;VAR:SYMBOL=LO&amp;VAR:INDEX=0"}</definedName>
    <definedName name="_1517">#REF!</definedName>
    <definedName name="_1517__FDSAUDITLINK__" localSheetId="0" hidden="1">{"fdsup://directions/FAT Viewer?action=UPDATE&amp;creator=factset&amp;DYN_ARGS=TRUE&amp;DOC_NAME=FAT:FQL_AUDITING_CLIENT_TEMPLATE.FAT&amp;display_string=Audit&amp;VAR:KEY=TOJOJEHOJC&amp;VAR:QUERY=RkZfRElWX1lMRChBTk4sMy8xNC8wMiwzLzE0LzAyKQ==&amp;WINDOW=FIRST_POPUP&amp;HEIGHT=450&amp;WIDTH=450&amp;","START_MAXIMIZED=FALSE&amp;VAR:CALENDAR=US&amp;VAR:SYMBOL=LO&amp;VAR:INDEX=0"}</definedName>
    <definedName name="_1517__FDSAUDITLINK__" hidden="1">{"fdsup://directions/FAT Viewer?action=UPDATE&amp;creator=factset&amp;DYN_ARGS=TRUE&amp;DOC_NAME=FAT:FQL_AUDITING_CLIENT_TEMPLATE.FAT&amp;display_string=Audit&amp;VAR:KEY=TOJOJEHOJC&amp;VAR:QUERY=RkZfRElWX1lMRChBTk4sMy8xNC8wMiwzLzE0LzAyKQ==&amp;WINDOW=FIRST_POPUP&amp;HEIGHT=450&amp;WIDTH=450&amp;","START_MAXIMIZED=FALSE&amp;VAR:CALENDAR=US&amp;VAR:SYMBOL=LO&amp;VAR:INDEX=0"}</definedName>
    <definedName name="_1518">#REF!</definedName>
    <definedName name="_1518__FDSAUDITLINK__" localSheetId="0" hidden="1">{"fdsup://directions/FAT Viewer?action=UPDATE&amp;creator=factset&amp;DYN_ARGS=TRUE&amp;DOC_NAME=FAT:FQL_AUDITING_CLIENT_TEMPLATE.FAT&amp;display_string=Audit&amp;VAR:KEY=BCHMZUVWPI&amp;VAR:QUERY=RkZfRElWX1lMRChBTk4sMy8wNy8wMiwzLzA3LzAyKQ==&amp;WINDOW=FIRST_POPUP&amp;HEIGHT=450&amp;WIDTH=450&amp;","START_MAXIMIZED=FALSE&amp;VAR:CALENDAR=US&amp;VAR:SYMBOL=LO&amp;VAR:INDEX=0"}</definedName>
    <definedName name="_1518__FDSAUDITLINK__" hidden="1">{"fdsup://directions/FAT Viewer?action=UPDATE&amp;creator=factset&amp;DYN_ARGS=TRUE&amp;DOC_NAME=FAT:FQL_AUDITING_CLIENT_TEMPLATE.FAT&amp;display_string=Audit&amp;VAR:KEY=BCHMZUVWPI&amp;VAR:QUERY=RkZfRElWX1lMRChBTk4sMy8wNy8wMiwzLzA3LzAyKQ==&amp;WINDOW=FIRST_POPUP&amp;HEIGHT=450&amp;WIDTH=450&amp;","START_MAXIMIZED=FALSE&amp;VAR:CALENDAR=US&amp;VAR:SYMBOL=LO&amp;VAR:INDEX=0"}</definedName>
    <definedName name="_1519">#REF!</definedName>
    <definedName name="_1519__FDSAUDITLINK__" localSheetId="0" hidden="1">{"fdsup://directions/FAT Viewer?action=UPDATE&amp;creator=factset&amp;DYN_ARGS=TRUE&amp;DOC_NAME=FAT:FQL_AUDITING_CLIENT_TEMPLATE.FAT&amp;display_string=Audit&amp;VAR:KEY=JYRYLCJAZS&amp;VAR:QUERY=RkZfRElWX1lMRChBTk4sMi8yOC8wMiwyLzI4LzAyKQ==&amp;WINDOW=FIRST_POPUP&amp;HEIGHT=450&amp;WIDTH=450&amp;","START_MAXIMIZED=FALSE&amp;VAR:CALENDAR=US&amp;VAR:SYMBOL=LO&amp;VAR:INDEX=0"}</definedName>
    <definedName name="_1519__FDSAUDITLINK__" hidden="1">{"fdsup://directions/FAT Viewer?action=UPDATE&amp;creator=factset&amp;DYN_ARGS=TRUE&amp;DOC_NAME=FAT:FQL_AUDITING_CLIENT_TEMPLATE.FAT&amp;display_string=Audit&amp;VAR:KEY=JYRYLCJAZS&amp;VAR:QUERY=RkZfRElWX1lMRChBTk4sMi8yOC8wMiwyLzI4LzAyKQ==&amp;WINDOW=FIRST_POPUP&amp;HEIGHT=450&amp;WIDTH=450&amp;","START_MAXIMIZED=FALSE&amp;VAR:CALENDAR=US&amp;VAR:SYMBOL=LO&amp;VAR:INDEX=0"}</definedName>
    <definedName name="_152">#REF!</definedName>
    <definedName name="_152__FDSAUDITLINK__" localSheetId="0" hidden="1">{"fdsup://directions/FAT Viewer?action=UPDATE&amp;creator=factset&amp;DYN_ARGS=TRUE&amp;DOC_NAME=FAT:FQL_AUDITING_CLIENT_TEMPLATE.FAT&amp;display_string=Audit&amp;VAR:KEY=RCPCROPMNC&amp;VAR:QUERY=RkZfRElWX1lMRChBTk4sNS8wOC8wOCw1LzA4LzA4KQ==&amp;WINDOW=FIRST_POPUP&amp;HEIGHT=450&amp;WIDTH=450&amp;","START_MAXIMIZED=FALSE&amp;VAR:CALENDAR=US&amp;VAR:SYMBOL=RAI&amp;VAR:INDEX=0"}</definedName>
    <definedName name="_152__FDSAUDITLINK__" hidden="1">{"fdsup://directions/FAT Viewer?action=UPDATE&amp;creator=factset&amp;DYN_ARGS=TRUE&amp;DOC_NAME=FAT:FQL_AUDITING_CLIENT_TEMPLATE.FAT&amp;display_string=Audit&amp;VAR:KEY=RCPCROPMNC&amp;VAR:QUERY=RkZfRElWX1lMRChBTk4sNS8wOC8wOCw1LzA4LzA4KQ==&amp;WINDOW=FIRST_POPUP&amp;HEIGHT=450&amp;WIDTH=450&amp;","START_MAXIMIZED=FALSE&amp;VAR:CALENDAR=US&amp;VAR:SYMBOL=RAI&amp;VAR:INDEX=0"}</definedName>
    <definedName name="_1520">#REF!</definedName>
    <definedName name="_1520__FDSAUDITLINK__" localSheetId="0" hidden="1">{"fdsup://directions/FAT Viewer?action=UPDATE&amp;creator=factset&amp;DYN_ARGS=TRUE&amp;DOC_NAME=FAT:FQL_AUDITING_CLIENT_TEMPLATE.FAT&amp;display_string=Audit&amp;VAR:KEY=FAXKTWBEFU&amp;VAR:QUERY=RkZfRElWX1lMRChBTk4sMi8yMS8wMiwyLzIxLzAyKQ==&amp;WINDOW=FIRST_POPUP&amp;HEIGHT=450&amp;WIDTH=450&amp;","START_MAXIMIZED=FALSE&amp;VAR:CALENDAR=US&amp;VAR:SYMBOL=LO&amp;VAR:INDEX=0"}</definedName>
    <definedName name="_1520__FDSAUDITLINK__" hidden="1">{"fdsup://directions/FAT Viewer?action=UPDATE&amp;creator=factset&amp;DYN_ARGS=TRUE&amp;DOC_NAME=FAT:FQL_AUDITING_CLIENT_TEMPLATE.FAT&amp;display_string=Audit&amp;VAR:KEY=FAXKTWBEFU&amp;VAR:QUERY=RkZfRElWX1lMRChBTk4sMi8yMS8wMiwyLzIxLzAyKQ==&amp;WINDOW=FIRST_POPUP&amp;HEIGHT=450&amp;WIDTH=450&amp;","START_MAXIMIZED=FALSE&amp;VAR:CALENDAR=US&amp;VAR:SYMBOL=LO&amp;VAR:INDEX=0"}</definedName>
    <definedName name="_1521">#REF!</definedName>
    <definedName name="_1521__FDSAUDITLINK__" localSheetId="0" hidden="1">{"fdsup://directions/FAT Viewer?action=UPDATE&amp;creator=factset&amp;DYN_ARGS=TRUE&amp;DOC_NAME=FAT:FQL_AUDITING_CLIENT_TEMPLATE.FAT&amp;display_string=Audit&amp;VAR:KEY=FANUXULOTS&amp;VAR:QUERY=RkZfRElWX1lMRChBTk4sMi8xNC8wMiwyLzE0LzAyKQ==&amp;WINDOW=FIRST_POPUP&amp;HEIGHT=450&amp;WIDTH=450&amp;","START_MAXIMIZED=FALSE&amp;VAR:CALENDAR=US&amp;VAR:SYMBOL=LO&amp;VAR:INDEX=0"}</definedName>
    <definedName name="_1521__FDSAUDITLINK__" hidden="1">{"fdsup://directions/FAT Viewer?action=UPDATE&amp;creator=factset&amp;DYN_ARGS=TRUE&amp;DOC_NAME=FAT:FQL_AUDITING_CLIENT_TEMPLATE.FAT&amp;display_string=Audit&amp;VAR:KEY=FANUXULOTS&amp;VAR:QUERY=RkZfRElWX1lMRChBTk4sMi8xNC8wMiwyLzE0LzAyKQ==&amp;WINDOW=FIRST_POPUP&amp;HEIGHT=450&amp;WIDTH=450&amp;","START_MAXIMIZED=FALSE&amp;VAR:CALENDAR=US&amp;VAR:SYMBOL=LO&amp;VAR:INDEX=0"}</definedName>
    <definedName name="_1522">#REF!</definedName>
    <definedName name="_1522__FDSAUDITLINK__" localSheetId="0" hidden="1">{"fdsup://directions/FAT Viewer?action=UPDATE&amp;creator=factset&amp;DYN_ARGS=TRUE&amp;DOC_NAME=FAT:FQL_AUDITING_CLIENT_TEMPLATE.FAT&amp;display_string=Audit&amp;VAR:KEY=ZEFSVKNWJY&amp;VAR:QUERY=RkZfRElWX1lMRChBTk4sMi8wNy8wMiwyLzA3LzAyKQ==&amp;WINDOW=FIRST_POPUP&amp;HEIGHT=450&amp;WIDTH=450&amp;","START_MAXIMIZED=FALSE&amp;VAR:CALENDAR=US&amp;VAR:SYMBOL=LO&amp;VAR:INDEX=0"}</definedName>
    <definedName name="_1522__FDSAUDITLINK__" hidden="1">{"fdsup://directions/FAT Viewer?action=UPDATE&amp;creator=factset&amp;DYN_ARGS=TRUE&amp;DOC_NAME=FAT:FQL_AUDITING_CLIENT_TEMPLATE.FAT&amp;display_string=Audit&amp;VAR:KEY=ZEFSVKNWJY&amp;VAR:QUERY=RkZfRElWX1lMRChBTk4sMi8wNy8wMiwyLzA3LzAyKQ==&amp;WINDOW=FIRST_POPUP&amp;HEIGHT=450&amp;WIDTH=450&amp;","START_MAXIMIZED=FALSE&amp;VAR:CALENDAR=US&amp;VAR:SYMBOL=LO&amp;VAR:INDEX=0"}</definedName>
    <definedName name="_1523">#REF!</definedName>
    <definedName name="_1523__FDSAUDITLINK__" localSheetId="0" hidden="1">{"fdsup://directions/FAT Viewer?action=UPDATE&amp;creator=factset&amp;DYN_ARGS=TRUE&amp;DOC_NAME=FAT:FQL_AUDITING_CLIENT_TEMPLATE.FAT&amp;display_string=Audit&amp;VAR:KEY=PGFEDYBEJY&amp;VAR:QUERY=RkZfRElWX1lMRChBTk4sMS8zMS8wMiwxLzMxLzAyKQ==&amp;WINDOW=FIRST_POPUP&amp;HEIGHT=450&amp;WIDTH=450&amp;","START_MAXIMIZED=FALSE&amp;VAR:CALENDAR=US&amp;VAR:SYMBOL=LO&amp;VAR:INDEX=0"}</definedName>
    <definedName name="_1523__FDSAUDITLINK__" hidden="1">{"fdsup://directions/FAT Viewer?action=UPDATE&amp;creator=factset&amp;DYN_ARGS=TRUE&amp;DOC_NAME=FAT:FQL_AUDITING_CLIENT_TEMPLATE.FAT&amp;display_string=Audit&amp;VAR:KEY=PGFEDYBEJY&amp;VAR:QUERY=RkZfRElWX1lMRChBTk4sMS8zMS8wMiwxLzMxLzAyKQ==&amp;WINDOW=FIRST_POPUP&amp;HEIGHT=450&amp;WIDTH=450&amp;","START_MAXIMIZED=FALSE&amp;VAR:CALENDAR=US&amp;VAR:SYMBOL=LO&amp;VAR:INDEX=0"}</definedName>
    <definedName name="_1524__FDSAUDITLINK__" localSheetId="0" hidden="1">{"fdsup://directions/FAT Viewer?action=UPDATE&amp;creator=factset&amp;DYN_ARGS=TRUE&amp;DOC_NAME=FAT:FQL_AUDITING_CLIENT_TEMPLATE.FAT&amp;display_string=Audit&amp;VAR:KEY=BIDCTARAVI&amp;VAR:QUERY=RkZfRElWX1lMRChBTk4sMS8yNC8wMiwxLzI0LzAyKQ==&amp;WINDOW=FIRST_POPUP&amp;HEIGHT=450&amp;WIDTH=450&amp;","START_MAXIMIZED=FALSE&amp;VAR:CALENDAR=US&amp;VAR:SYMBOL=LO&amp;VAR:INDEX=0"}</definedName>
    <definedName name="_1524__FDSAUDITLINK__" hidden="1">{"fdsup://directions/FAT Viewer?action=UPDATE&amp;creator=factset&amp;DYN_ARGS=TRUE&amp;DOC_NAME=FAT:FQL_AUDITING_CLIENT_TEMPLATE.FAT&amp;display_string=Audit&amp;VAR:KEY=BIDCTARAVI&amp;VAR:QUERY=RkZfRElWX1lMRChBTk4sMS8yNC8wMiwxLzI0LzAyKQ==&amp;WINDOW=FIRST_POPUP&amp;HEIGHT=450&amp;WIDTH=450&amp;","START_MAXIMIZED=FALSE&amp;VAR:CALENDAR=US&amp;VAR:SYMBOL=LO&amp;VAR:INDEX=0"}</definedName>
    <definedName name="_1525__FDSAUDITLINK__" localSheetId="0" hidden="1">{"fdsup://directions/FAT Viewer?action=UPDATE&amp;creator=factset&amp;DYN_ARGS=TRUE&amp;DOC_NAME=FAT:FQL_AUDITING_CLIENT_TEMPLATE.FAT&amp;display_string=Audit&amp;VAR:KEY=JEJAFGVWXQ&amp;VAR:QUERY=RkZfRElWX1lMRChBTk4sMS8xNy8wMiwxLzE3LzAyKQ==&amp;WINDOW=FIRST_POPUP&amp;HEIGHT=450&amp;WIDTH=450&amp;","START_MAXIMIZED=FALSE&amp;VAR:CALENDAR=US&amp;VAR:SYMBOL=LO&amp;VAR:INDEX=0"}</definedName>
    <definedName name="_1525__FDSAUDITLINK__" hidden="1">{"fdsup://directions/FAT Viewer?action=UPDATE&amp;creator=factset&amp;DYN_ARGS=TRUE&amp;DOC_NAME=FAT:FQL_AUDITING_CLIENT_TEMPLATE.FAT&amp;display_string=Audit&amp;VAR:KEY=JEJAFGVWXQ&amp;VAR:QUERY=RkZfRElWX1lMRChBTk4sMS8xNy8wMiwxLzE3LzAyKQ==&amp;WINDOW=FIRST_POPUP&amp;HEIGHT=450&amp;WIDTH=450&amp;","START_MAXIMIZED=FALSE&amp;VAR:CALENDAR=US&amp;VAR:SYMBOL=LO&amp;VAR:INDEX=0"}</definedName>
    <definedName name="_1526">#REF!</definedName>
    <definedName name="_1526__FDSAUDITLINK__" localSheetId="0" hidden="1">{"fdsup://directions/FAT Viewer?action=UPDATE&amp;creator=factset&amp;DYN_ARGS=TRUE&amp;DOC_NAME=FAT:FQL_AUDITING_CLIENT_TEMPLATE.FAT&amp;display_string=Audit&amp;VAR:KEY=XADSNCFALA&amp;VAR:QUERY=RkZfRElWX1lMRChBTk4sMS8xMC8wMiwxLzEwLzAyKQ==&amp;WINDOW=FIRST_POPUP&amp;HEIGHT=450&amp;WIDTH=450&amp;","START_MAXIMIZED=FALSE&amp;VAR:CALENDAR=US&amp;VAR:SYMBOL=LO&amp;VAR:INDEX=0"}</definedName>
    <definedName name="_1526__FDSAUDITLINK__" hidden="1">{"fdsup://directions/FAT Viewer?action=UPDATE&amp;creator=factset&amp;DYN_ARGS=TRUE&amp;DOC_NAME=FAT:FQL_AUDITING_CLIENT_TEMPLATE.FAT&amp;display_string=Audit&amp;VAR:KEY=XADSNCFALA&amp;VAR:QUERY=RkZfRElWX1lMRChBTk4sMS8xMC8wMiwxLzEwLzAyKQ==&amp;WINDOW=FIRST_POPUP&amp;HEIGHT=450&amp;WIDTH=450&amp;","START_MAXIMIZED=FALSE&amp;VAR:CALENDAR=US&amp;VAR:SYMBOL=LO&amp;VAR:INDEX=0"}</definedName>
    <definedName name="_1527__FDSAUDITLINK__" localSheetId="0" hidden="1">{"fdsup://directions/FAT Viewer?action=UPDATE&amp;creator=factset&amp;DYN_ARGS=TRUE&amp;DOC_NAME=FAT:FQL_AUDITING_CLIENT_TEMPLATE.FAT&amp;display_string=Audit&amp;VAR:KEY=RIJEVGRQRW&amp;VAR:QUERY=RkZfRElWX1lMRChBTk4sMS8wMy8wMiwxLzAzLzAyKQ==&amp;WINDOW=FIRST_POPUP&amp;HEIGHT=450&amp;WIDTH=450&amp;","START_MAXIMIZED=FALSE&amp;VAR:CALENDAR=US&amp;VAR:SYMBOL=LO&amp;VAR:INDEX=0"}</definedName>
    <definedName name="_1527__FDSAUDITLINK__" hidden="1">{"fdsup://directions/FAT Viewer?action=UPDATE&amp;creator=factset&amp;DYN_ARGS=TRUE&amp;DOC_NAME=FAT:FQL_AUDITING_CLIENT_TEMPLATE.FAT&amp;display_string=Audit&amp;VAR:KEY=RIJEVGRQRW&amp;VAR:QUERY=RkZfRElWX1lMRChBTk4sMS8wMy8wMiwxLzAzLzAyKQ==&amp;WINDOW=FIRST_POPUP&amp;HEIGHT=450&amp;WIDTH=450&amp;","START_MAXIMIZED=FALSE&amp;VAR:CALENDAR=US&amp;VAR:SYMBOL=LO&amp;VAR:INDEX=0"}</definedName>
    <definedName name="_1528__FDSAUDITLINK__" localSheetId="0" hidden="1">{"fdsup://directions/FAT Viewer?action=UPDATE&amp;creator=factset&amp;DYN_ARGS=TRUE&amp;DOC_NAME=FAT:FQL_AUDITING_CLIENT_TEMPLATE.FAT&amp;display_string=Audit&amp;VAR:KEY=LGNSRAFSPC&amp;VAR:QUERY=RkZfRElWX1lMRChBTk4sMTIvMjcvMDEsMTIvMjcvMDEp&amp;WINDOW=FIRST_POPUP&amp;HEIGHT=450&amp;WIDTH=450&amp;","START_MAXIMIZED=FALSE&amp;VAR:CALENDAR=US&amp;VAR:SYMBOL=LO&amp;VAR:INDEX=0"}</definedName>
    <definedName name="_1528__FDSAUDITLINK__" hidden="1">{"fdsup://directions/FAT Viewer?action=UPDATE&amp;creator=factset&amp;DYN_ARGS=TRUE&amp;DOC_NAME=FAT:FQL_AUDITING_CLIENT_TEMPLATE.FAT&amp;display_string=Audit&amp;VAR:KEY=LGNSRAFSPC&amp;VAR:QUERY=RkZfRElWX1lMRChBTk4sMTIvMjcvMDEsMTIvMjcvMDEp&amp;WINDOW=FIRST_POPUP&amp;HEIGHT=450&amp;WIDTH=450&amp;","START_MAXIMIZED=FALSE&amp;VAR:CALENDAR=US&amp;VAR:SYMBOL=LO&amp;VAR:INDEX=0"}</definedName>
    <definedName name="_1529__FDSAUDITLINK__" localSheetId="0" hidden="1">{"fdsup://directions/FAT Viewer?action=UPDATE&amp;creator=factset&amp;DYN_ARGS=TRUE&amp;DOC_NAME=FAT:FQL_AUDITING_CLIENT_TEMPLATE.FAT&amp;display_string=Audit&amp;VAR:KEY=JARKRARABA&amp;VAR:QUERY=RkZfRElWX1lMRChBTk4sMTIvMjAvMDEsMTIvMjAvMDEp&amp;WINDOW=FIRST_POPUP&amp;HEIGHT=450&amp;WIDTH=450&amp;","START_MAXIMIZED=FALSE&amp;VAR:CALENDAR=US&amp;VAR:SYMBOL=LO&amp;VAR:INDEX=0"}</definedName>
    <definedName name="_1529__FDSAUDITLINK__" hidden="1">{"fdsup://directions/FAT Viewer?action=UPDATE&amp;creator=factset&amp;DYN_ARGS=TRUE&amp;DOC_NAME=FAT:FQL_AUDITING_CLIENT_TEMPLATE.FAT&amp;display_string=Audit&amp;VAR:KEY=JARKRARABA&amp;VAR:QUERY=RkZfRElWX1lMRChBTk4sMTIvMjAvMDEsMTIvMjAvMDEp&amp;WINDOW=FIRST_POPUP&amp;HEIGHT=450&amp;WIDTH=450&amp;","START_MAXIMIZED=FALSE&amp;VAR:CALENDAR=US&amp;VAR:SYMBOL=LO&amp;VAR:INDEX=0"}</definedName>
    <definedName name="_153">#REF!</definedName>
    <definedName name="_153__FDSAUDITLINK__" localSheetId="0" hidden="1">{"fdsup://directions/FAT Viewer?action=UPDATE&amp;creator=factset&amp;DYN_ARGS=TRUE&amp;DOC_NAME=FAT:FQL_AUDITING_CLIENT_TEMPLATE.FAT&amp;display_string=Audit&amp;VAR:KEY=PQDELQROXY&amp;VAR:QUERY=RkZfRElWX1lMRChBTk4sNS8wMS8wOCw1LzAxLzA4KQ==&amp;WINDOW=FIRST_POPUP&amp;HEIGHT=450&amp;WIDTH=450&amp;","START_MAXIMIZED=FALSE&amp;VAR:CALENDAR=US&amp;VAR:SYMBOL=RAI&amp;VAR:INDEX=0"}</definedName>
    <definedName name="_153__FDSAUDITLINK__" hidden="1">{"fdsup://directions/FAT Viewer?action=UPDATE&amp;creator=factset&amp;DYN_ARGS=TRUE&amp;DOC_NAME=FAT:FQL_AUDITING_CLIENT_TEMPLATE.FAT&amp;display_string=Audit&amp;VAR:KEY=PQDELQROXY&amp;VAR:QUERY=RkZfRElWX1lMRChBTk4sNS8wMS8wOCw1LzAxLzA4KQ==&amp;WINDOW=FIRST_POPUP&amp;HEIGHT=450&amp;WIDTH=450&amp;","START_MAXIMIZED=FALSE&amp;VAR:CALENDAR=US&amp;VAR:SYMBOL=RAI&amp;VAR:INDEX=0"}</definedName>
    <definedName name="_1530__FDSAUDITLINK__" localSheetId="0" hidden="1">{"fdsup://directions/FAT Viewer?action=UPDATE&amp;creator=factset&amp;DYN_ARGS=TRUE&amp;DOC_NAME=FAT:FQL_AUDITING_CLIENT_TEMPLATE.FAT&amp;display_string=Audit&amp;VAR:KEY=ZEBWPUFSLS&amp;VAR:QUERY=RkZfRElWX1lMRChBTk4sMTIvMTMvMDEsMTIvMTMvMDEp&amp;WINDOW=FIRST_POPUP&amp;HEIGHT=450&amp;WIDTH=450&amp;","START_MAXIMIZED=FALSE&amp;VAR:CALENDAR=US&amp;VAR:SYMBOL=LO&amp;VAR:INDEX=0"}</definedName>
    <definedName name="_1530__FDSAUDITLINK__" hidden="1">{"fdsup://directions/FAT Viewer?action=UPDATE&amp;creator=factset&amp;DYN_ARGS=TRUE&amp;DOC_NAME=FAT:FQL_AUDITING_CLIENT_TEMPLATE.FAT&amp;display_string=Audit&amp;VAR:KEY=ZEBWPUFSLS&amp;VAR:QUERY=RkZfRElWX1lMRChBTk4sMTIvMTMvMDEsMTIvMTMvMDEp&amp;WINDOW=FIRST_POPUP&amp;HEIGHT=450&amp;WIDTH=450&amp;","START_MAXIMIZED=FALSE&amp;VAR:CALENDAR=US&amp;VAR:SYMBOL=LO&amp;VAR:INDEX=0"}</definedName>
    <definedName name="_1531">#REF!</definedName>
    <definedName name="_1531__FDSAUDITLINK__" localSheetId="0" hidden="1">{"fdsup://directions/FAT Viewer?action=UPDATE&amp;creator=factset&amp;DYN_ARGS=TRUE&amp;DOC_NAME=FAT:FQL_AUDITING_CLIENT_TEMPLATE.FAT&amp;display_string=Audit&amp;VAR:KEY=FCLMJQNKTI&amp;VAR:QUERY=RkZfRElWX1lMRChBTk4sMTIvMDYvMDEsMTIvMDYvMDEp&amp;WINDOW=FIRST_POPUP&amp;HEIGHT=450&amp;WIDTH=450&amp;","START_MAXIMIZED=FALSE&amp;VAR:CALENDAR=US&amp;VAR:SYMBOL=LO&amp;VAR:INDEX=0"}</definedName>
    <definedName name="_1531__FDSAUDITLINK__" hidden="1">{"fdsup://directions/FAT Viewer?action=UPDATE&amp;creator=factset&amp;DYN_ARGS=TRUE&amp;DOC_NAME=FAT:FQL_AUDITING_CLIENT_TEMPLATE.FAT&amp;display_string=Audit&amp;VAR:KEY=FCLMJQNKTI&amp;VAR:QUERY=RkZfRElWX1lMRChBTk4sMTIvMDYvMDEsMTIvMDYvMDEp&amp;WINDOW=FIRST_POPUP&amp;HEIGHT=450&amp;WIDTH=450&amp;","START_MAXIMIZED=FALSE&amp;VAR:CALENDAR=US&amp;VAR:SYMBOL=LO&amp;VAR:INDEX=0"}</definedName>
    <definedName name="_1532__FDSAUDITLINK__" localSheetId="0" hidden="1">{"fdsup://directions/FAT Viewer?action=UPDATE&amp;creator=factset&amp;DYN_ARGS=TRUE&amp;DOC_NAME=FAT:FQL_AUDITING_CLIENT_TEMPLATE.FAT&amp;display_string=Audit&amp;VAR:KEY=FANAFKPARG&amp;VAR:QUERY=RkZfRElWX1lMRChBTk4sMTEvMjkvMDEsMTEvMjkvMDEp&amp;WINDOW=FIRST_POPUP&amp;HEIGHT=450&amp;WIDTH=450&amp;","START_MAXIMIZED=FALSE&amp;VAR:CALENDAR=US&amp;VAR:SYMBOL=LO&amp;VAR:INDEX=0"}</definedName>
    <definedName name="_1532__FDSAUDITLINK__" hidden="1">{"fdsup://directions/FAT Viewer?action=UPDATE&amp;creator=factset&amp;DYN_ARGS=TRUE&amp;DOC_NAME=FAT:FQL_AUDITING_CLIENT_TEMPLATE.FAT&amp;display_string=Audit&amp;VAR:KEY=FANAFKPARG&amp;VAR:QUERY=RkZfRElWX1lMRChBTk4sMTEvMjkvMDEsMTEvMjkvMDEp&amp;WINDOW=FIRST_POPUP&amp;HEIGHT=450&amp;WIDTH=450&amp;","START_MAXIMIZED=FALSE&amp;VAR:CALENDAR=US&amp;VAR:SYMBOL=LO&amp;VAR:INDEX=0"}</definedName>
    <definedName name="_1533__FDSAUDITLINK__" localSheetId="0" hidden="1">{"fdsup://directions/FAT Viewer?action=UPDATE&amp;creator=factset&amp;DYN_ARGS=TRUE&amp;DOC_NAME=FAT:FQL_AUDITING_CLIENT_TEMPLATE.FAT&amp;display_string=Audit&amp;VAR:KEY=HWHYJEPYRE&amp;VAR:QUERY=RkZfRElWX1lMRChBTk4sMTEvMjEvMDEsMTEvMjEvMDEp&amp;WINDOW=FIRST_POPUP&amp;HEIGHT=450&amp;WIDTH=450&amp;","START_MAXIMIZED=FALSE&amp;VAR:CALENDAR=US&amp;VAR:SYMBOL=LO&amp;VAR:INDEX=0"}</definedName>
    <definedName name="_1533__FDSAUDITLINK__" hidden="1">{"fdsup://directions/FAT Viewer?action=UPDATE&amp;creator=factset&amp;DYN_ARGS=TRUE&amp;DOC_NAME=FAT:FQL_AUDITING_CLIENT_TEMPLATE.FAT&amp;display_string=Audit&amp;VAR:KEY=HWHYJEPYRE&amp;VAR:QUERY=RkZfRElWX1lMRChBTk4sMTEvMjEvMDEsMTEvMjEvMDEp&amp;WINDOW=FIRST_POPUP&amp;HEIGHT=450&amp;WIDTH=450&amp;","START_MAXIMIZED=FALSE&amp;VAR:CALENDAR=US&amp;VAR:SYMBOL=LO&amp;VAR:INDEX=0"}</definedName>
    <definedName name="_1534__FDSAUDITLINK__" localSheetId="0" hidden="1">{"fdsup://directions/FAT Viewer?action=UPDATE&amp;creator=factset&amp;DYN_ARGS=TRUE&amp;DOC_NAME=FAT:FQL_AUDITING_CLIENT_TEMPLATE.FAT&amp;display_string=Audit&amp;VAR:KEY=NGFWLIJQFW&amp;VAR:QUERY=RkZfRElWX1lMRChBTk4sMTEvMTUvMDEsMTEvMTUvMDEp&amp;WINDOW=FIRST_POPUP&amp;HEIGHT=450&amp;WIDTH=450&amp;","START_MAXIMIZED=FALSE&amp;VAR:CALENDAR=US&amp;VAR:SYMBOL=LO&amp;VAR:INDEX=0"}</definedName>
    <definedName name="_1534__FDSAUDITLINK__" hidden="1">{"fdsup://directions/FAT Viewer?action=UPDATE&amp;creator=factset&amp;DYN_ARGS=TRUE&amp;DOC_NAME=FAT:FQL_AUDITING_CLIENT_TEMPLATE.FAT&amp;display_string=Audit&amp;VAR:KEY=NGFWLIJQFW&amp;VAR:QUERY=RkZfRElWX1lMRChBTk4sMTEvMTUvMDEsMTEvMTUvMDEp&amp;WINDOW=FIRST_POPUP&amp;HEIGHT=450&amp;WIDTH=450&amp;","START_MAXIMIZED=FALSE&amp;VAR:CALENDAR=US&amp;VAR:SYMBOL=LO&amp;VAR:INDEX=0"}</definedName>
    <definedName name="_1535__FDSAUDITLINK__" localSheetId="0" hidden="1">{"fdsup://directions/FAT Viewer?action=UPDATE&amp;creator=factset&amp;DYN_ARGS=TRUE&amp;DOC_NAME=FAT:FQL_AUDITING_CLIENT_TEMPLATE.FAT&amp;display_string=Audit&amp;VAR:KEY=BMRSVEBOLG&amp;VAR:QUERY=RkZfRElWX1lMRChBTk4sMTEvMDgvMDEsMTEvMDgvMDEp&amp;WINDOW=FIRST_POPUP&amp;HEIGHT=450&amp;WIDTH=450&amp;","START_MAXIMIZED=FALSE&amp;VAR:CALENDAR=US&amp;VAR:SYMBOL=LO&amp;VAR:INDEX=0"}</definedName>
    <definedName name="_1535__FDSAUDITLINK__" hidden="1">{"fdsup://directions/FAT Viewer?action=UPDATE&amp;creator=factset&amp;DYN_ARGS=TRUE&amp;DOC_NAME=FAT:FQL_AUDITING_CLIENT_TEMPLATE.FAT&amp;display_string=Audit&amp;VAR:KEY=BMRSVEBOLG&amp;VAR:QUERY=RkZfRElWX1lMRChBTk4sMTEvMDgvMDEsMTEvMDgvMDEp&amp;WINDOW=FIRST_POPUP&amp;HEIGHT=450&amp;WIDTH=450&amp;","START_MAXIMIZED=FALSE&amp;VAR:CALENDAR=US&amp;VAR:SYMBOL=LO&amp;VAR:INDEX=0"}</definedName>
    <definedName name="_1536">#REF!</definedName>
    <definedName name="_1536__FDSAUDITLINK__" localSheetId="0" hidden="1">{"fdsup://directions/FAT Viewer?action=UPDATE&amp;creator=factset&amp;DYN_ARGS=TRUE&amp;DOC_NAME=FAT:FQL_AUDITING_CLIENT_TEMPLATE.FAT&amp;display_string=Audit&amp;VAR:KEY=DYXOFMPWJM&amp;VAR:QUERY=RkZfRElWX1lMRChBTk4sMTEvMDEvMDEsMTEvMDEvMDEp&amp;WINDOW=FIRST_POPUP&amp;HEIGHT=450&amp;WIDTH=450&amp;","START_MAXIMIZED=FALSE&amp;VAR:CALENDAR=US&amp;VAR:SYMBOL=LO&amp;VAR:INDEX=0"}</definedName>
    <definedName name="_1536__FDSAUDITLINK__" hidden="1">{"fdsup://directions/FAT Viewer?action=UPDATE&amp;creator=factset&amp;DYN_ARGS=TRUE&amp;DOC_NAME=FAT:FQL_AUDITING_CLIENT_TEMPLATE.FAT&amp;display_string=Audit&amp;VAR:KEY=DYXOFMPWJM&amp;VAR:QUERY=RkZfRElWX1lMRChBTk4sMTEvMDEvMDEsMTEvMDEvMDEp&amp;WINDOW=FIRST_POPUP&amp;HEIGHT=450&amp;WIDTH=450&amp;","START_MAXIMIZED=FALSE&amp;VAR:CALENDAR=US&amp;VAR:SYMBOL=LO&amp;VAR:INDEX=0"}</definedName>
    <definedName name="_1537__FDSAUDITLINK__" localSheetId="0" hidden="1">{"fdsup://directions/FAT Viewer?action=UPDATE&amp;creator=factset&amp;DYN_ARGS=TRUE&amp;DOC_NAME=FAT:FQL_AUDITING_CLIENT_TEMPLATE.FAT&amp;display_string=Audit&amp;VAR:KEY=TYDALUNCXM&amp;VAR:QUERY=RkZfRElWX1lMRChBTk4sMTAvMjUvMDEsMTAvMjUvMDEp&amp;WINDOW=FIRST_POPUP&amp;HEIGHT=450&amp;WIDTH=450&amp;","START_MAXIMIZED=FALSE&amp;VAR:CALENDAR=US&amp;VAR:SYMBOL=LO&amp;VAR:INDEX=0"}</definedName>
    <definedName name="_1537__FDSAUDITLINK__" hidden="1">{"fdsup://directions/FAT Viewer?action=UPDATE&amp;creator=factset&amp;DYN_ARGS=TRUE&amp;DOC_NAME=FAT:FQL_AUDITING_CLIENT_TEMPLATE.FAT&amp;display_string=Audit&amp;VAR:KEY=TYDALUNCXM&amp;VAR:QUERY=RkZfRElWX1lMRChBTk4sMTAvMjUvMDEsMTAvMjUvMDEp&amp;WINDOW=FIRST_POPUP&amp;HEIGHT=450&amp;WIDTH=450&amp;","START_MAXIMIZED=FALSE&amp;VAR:CALENDAR=US&amp;VAR:SYMBOL=LO&amp;VAR:INDEX=0"}</definedName>
    <definedName name="_1538__FDSAUDITLINK__" localSheetId="0" hidden="1">{"fdsup://directions/FAT Viewer?action=UPDATE&amp;creator=factset&amp;DYN_ARGS=TRUE&amp;DOC_NAME=FAT:FQL_AUDITING_CLIENT_TEMPLATE.FAT&amp;display_string=Audit&amp;VAR:KEY=FUJURWFWBI&amp;VAR:QUERY=RkZfRElWX1lMRChBTk4sMTAvMTgvMDEsMTAvMTgvMDEp&amp;WINDOW=FIRST_POPUP&amp;HEIGHT=450&amp;WIDTH=450&amp;","START_MAXIMIZED=FALSE&amp;VAR:CALENDAR=US&amp;VAR:SYMBOL=LO&amp;VAR:INDEX=0"}</definedName>
    <definedName name="_1538__FDSAUDITLINK__" hidden="1">{"fdsup://directions/FAT Viewer?action=UPDATE&amp;creator=factset&amp;DYN_ARGS=TRUE&amp;DOC_NAME=FAT:FQL_AUDITING_CLIENT_TEMPLATE.FAT&amp;display_string=Audit&amp;VAR:KEY=FUJURWFWBI&amp;VAR:QUERY=RkZfRElWX1lMRChBTk4sMTAvMTgvMDEsMTAvMTgvMDEp&amp;WINDOW=FIRST_POPUP&amp;HEIGHT=450&amp;WIDTH=450&amp;","START_MAXIMIZED=FALSE&amp;VAR:CALENDAR=US&amp;VAR:SYMBOL=LO&amp;VAR:INDEX=0"}</definedName>
    <definedName name="_1539__FDSAUDITLINK__" localSheetId="0" hidden="1">{"fdsup://directions/FAT Viewer?action=UPDATE&amp;creator=factset&amp;DYN_ARGS=TRUE&amp;DOC_NAME=FAT:FQL_AUDITING_CLIENT_TEMPLATE.FAT&amp;display_string=Audit&amp;VAR:KEY=LQNKTIZCHW&amp;VAR:QUERY=RkZfRElWX1lMRChBTk4sMTAvMTEvMDEsMTAvMTEvMDEp&amp;WINDOW=FIRST_POPUP&amp;HEIGHT=450&amp;WIDTH=450&amp;","START_MAXIMIZED=FALSE&amp;VAR:CALENDAR=US&amp;VAR:SYMBOL=LO&amp;VAR:INDEX=0"}</definedName>
    <definedName name="_1539__FDSAUDITLINK__" hidden="1">{"fdsup://directions/FAT Viewer?action=UPDATE&amp;creator=factset&amp;DYN_ARGS=TRUE&amp;DOC_NAME=FAT:FQL_AUDITING_CLIENT_TEMPLATE.FAT&amp;display_string=Audit&amp;VAR:KEY=LQNKTIZCHW&amp;VAR:QUERY=RkZfRElWX1lMRChBTk4sMTAvMTEvMDEsMTAvMTEvMDEp&amp;WINDOW=FIRST_POPUP&amp;HEIGHT=450&amp;WIDTH=450&amp;","START_MAXIMIZED=FALSE&amp;VAR:CALENDAR=US&amp;VAR:SYMBOL=LO&amp;VAR:INDEX=0"}</definedName>
    <definedName name="_154__FDSAUDITLINK__" localSheetId="0" hidden="1">{"fdsup://directions/FAT Viewer?action=UPDATE&amp;creator=factset&amp;DYN_ARGS=TRUE&amp;DOC_NAME=FAT:FQL_AUDITING_CLIENT_TEMPLATE.FAT&amp;display_string=Audit&amp;VAR:KEY=PIXCVKREDK&amp;VAR:QUERY=RkZfRElWX1lMRChBTk4sNC8yNC8wOCw0LzI0LzA4KQ==&amp;WINDOW=FIRST_POPUP&amp;HEIGHT=450&amp;WIDTH=450&amp;","START_MAXIMIZED=FALSE&amp;VAR:CALENDAR=US&amp;VAR:SYMBOL=RAI&amp;VAR:INDEX=0"}</definedName>
    <definedName name="_154__FDSAUDITLINK__" hidden="1">{"fdsup://directions/FAT Viewer?action=UPDATE&amp;creator=factset&amp;DYN_ARGS=TRUE&amp;DOC_NAME=FAT:FQL_AUDITING_CLIENT_TEMPLATE.FAT&amp;display_string=Audit&amp;VAR:KEY=PIXCVKREDK&amp;VAR:QUERY=RkZfRElWX1lMRChBTk4sNC8yNC8wOCw0LzI0LzA4KQ==&amp;WINDOW=FIRST_POPUP&amp;HEIGHT=450&amp;WIDTH=450&amp;","START_MAXIMIZED=FALSE&amp;VAR:CALENDAR=US&amp;VAR:SYMBOL=RAI&amp;VAR:INDEX=0"}</definedName>
    <definedName name="_1540__FDSAUDITLINK__" localSheetId="0" hidden="1">{"fdsup://directions/FAT Viewer?action=UPDATE&amp;creator=factset&amp;DYN_ARGS=TRUE&amp;DOC_NAME=FAT:FQL_AUDITING_CLIENT_TEMPLATE.FAT&amp;display_string=Audit&amp;VAR:KEY=JYDAHMRYNO&amp;VAR:QUERY=RkZfRElWX1lMRChBTk4sMTAvMDQvMDEsMTAvMDQvMDEp&amp;WINDOW=FIRST_POPUP&amp;HEIGHT=450&amp;WIDTH=450&amp;","START_MAXIMIZED=FALSE&amp;VAR:CALENDAR=US&amp;VAR:SYMBOL=LO&amp;VAR:INDEX=0"}</definedName>
    <definedName name="_1540__FDSAUDITLINK__" hidden="1">{"fdsup://directions/FAT Viewer?action=UPDATE&amp;creator=factset&amp;DYN_ARGS=TRUE&amp;DOC_NAME=FAT:FQL_AUDITING_CLIENT_TEMPLATE.FAT&amp;display_string=Audit&amp;VAR:KEY=JYDAHMRYNO&amp;VAR:QUERY=RkZfRElWX1lMRChBTk4sMTAvMDQvMDEsMTAvMDQvMDEp&amp;WINDOW=FIRST_POPUP&amp;HEIGHT=450&amp;WIDTH=450&amp;","START_MAXIMIZED=FALSE&amp;VAR:CALENDAR=US&amp;VAR:SYMBOL=LO&amp;VAR:INDEX=0"}</definedName>
    <definedName name="_1541__FDSAUDITLINK__" localSheetId="0" hidden="1">{"fdsup://directions/FAT Viewer?action=UPDATE&amp;creator=factset&amp;DYN_ARGS=TRUE&amp;DOC_NAME=FAT:FQL_AUDITING_CLIENT_TEMPLATE.FAT&amp;display_string=Audit&amp;VAR:KEY=NYLCFSVCZK&amp;VAR:QUERY=RkZfRElWX1lMRChBTk4sOS8yNy8wMSw5LzI3LzAxKQ==&amp;WINDOW=FIRST_POPUP&amp;HEIGHT=450&amp;WIDTH=450&amp;","START_MAXIMIZED=FALSE&amp;VAR:CALENDAR=US&amp;VAR:SYMBOL=LO&amp;VAR:INDEX=0"}</definedName>
    <definedName name="_1541__FDSAUDITLINK__" hidden="1">{"fdsup://directions/FAT Viewer?action=UPDATE&amp;creator=factset&amp;DYN_ARGS=TRUE&amp;DOC_NAME=FAT:FQL_AUDITING_CLIENT_TEMPLATE.FAT&amp;display_string=Audit&amp;VAR:KEY=NYLCFSVCZK&amp;VAR:QUERY=RkZfRElWX1lMRChBTk4sOS8yNy8wMSw5LzI3LzAxKQ==&amp;WINDOW=FIRST_POPUP&amp;HEIGHT=450&amp;WIDTH=450&amp;","START_MAXIMIZED=FALSE&amp;VAR:CALENDAR=US&amp;VAR:SYMBOL=LO&amp;VAR:INDEX=0"}</definedName>
    <definedName name="_1542__FDSAUDITLINK__" localSheetId="0" hidden="1">{"fdsup://directions/FAT Viewer?action=UPDATE&amp;creator=factset&amp;DYN_ARGS=TRUE&amp;DOC_NAME=FAT:FQL_AUDITING_CLIENT_TEMPLATE.FAT&amp;display_string=Audit&amp;VAR:KEY=TCXWRWXORC&amp;VAR:QUERY=RkZfRElWX1lMRChBTk4sOS8yMC8wMSw5LzIwLzAxKQ==&amp;WINDOW=FIRST_POPUP&amp;HEIGHT=450&amp;WIDTH=450&amp;","START_MAXIMIZED=FALSE&amp;VAR:CALENDAR=US&amp;VAR:SYMBOL=LO&amp;VAR:INDEX=0"}</definedName>
    <definedName name="_1542__FDSAUDITLINK__" hidden="1">{"fdsup://directions/FAT Viewer?action=UPDATE&amp;creator=factset&amp;DYN_ARGS=TRUE&amp;DOC_NAME=FAT:FQL_AUDITING_CLIENT_TEMPLATE.FAT&amp;display_string=Audit&amp;VAR:KEY=TCXWRWXORC&amp;VAR:QUERY=RkZfRElWX1lMRChBTk4sOS8yMC8wMSw5LzIwLzAxKQ==&amp;WINDOW=FIRST_POPUP&amp;HEIGHT=450&amp;WIDTH=450&amp;","START_MAXIMIZED=FALSE&amp;VAR:CALENDAR=US&amp;VAR:SYMBOL=LO&amp;VAR:INDEX=0"}</definedName>
    <definedName name="_1543__FDSAUDITLINK__" localSheetId="0" hidden="1">{"fdsup://directions/FAT Viewer?action=UPDATE&amp;creator=factset&amp;DYN_ARGS=TRUE&amp;DOC_NAME=FAT:FQL_AUDITING_CLIENT_TEMPLATE.FAT&amp;display_string=Audit&amp;VAR:KEY=JUJAZAHYTG&amp;VAR:QUERY=RkZfRElWX1lMRChBTk4sOS8xMC8wMSw5LzEwLzAxKQ==&amp;WINDOW=FIRST_POPUP&amp;HEIGHT=450&amp;WIDTH=450&amp;","START_MAXIMIZED=FALSE&amp;VAR:CALENDAR=US&amp;VAR:SYMBOL=LO&amp;VAR:INDEX=0"}</definedName>
    <definedName name="_1543__FDSAUDITLINK__" hidden="1">{"fdsup://directions/FAT Viewer?action=UPDATE&amp;creator=factset&amp;DYN_ARGS=TRUE&amp;DOC_NAME=FAT:FQL_AUDITING_CLIENT_TEMPLATE.FAT&amp;display_string=Audit&amp;VAR:KEY=JUJAZAHYTG&amp;VAR:QUERY=RkZfRElWX1lMRChBTk4sOS8xMC8wMSw5LzEwLzAxKQ==&amp;WINDOW=FIRST_POPUP&amp;HEIGHT=450&amp;WIDTH=450&amp;","START_MAXIMIZED=FALSE&amp;VAR:CALENDAR=US&amp;VAR:SYMBOL=LO&amp;VAR:INDEX=0"}</definedName>
    <definedName name="_1544">#REF!</definedName>
    <definedName name="_1544__FDSAUDITLINK__" localSheetId="0" hidden="1">{"fdsup://directions/FAT Viewer?action=UPDATE&amp;creator=factset&amp;DYN_ARGS=TRUE&amp;DOC_NAME=FAT:FQL_AUDITING_CLIENT_TEMPLATE.FAT&amp;display_string=Audit&amp;VAR:KEY=VIBCNUFYVK&amp;VAR:QUERY=RkZfRElWX1lMRChBTk4sOS8wNi8wMSw5LzA2LzAxKQ==&amp;WINDOW=FIRST_POPUP&amp;HEIGHT=450&amp;WIDTH=450&amp;","START_MAXIMIZED=FALSE&amp;VAR:CALENDAR=US&amp;VAR:SYMBOL=LO&amp;VAR:INDEX=0"}</definedName>
    <definedName name="_1544__FDSAUDITLINK__" hidden="1">{"fdsup://directions/FAT Viewer?action=UPDATE&amp;creator=factset&amp;DYN_ARGS=TRUE&amp;DOC_NAME=FAT:FQL_AUDITING_CLIENT_TEMPLATE.FAT&amp;display_string=Audit&amp;VAR:KEY=VIBCNUFYVK&amp;VAR:QUERY=RkZfRElWX1lMRChBTk4sOS8wNi8wMSw5LzA2LzAxKQ==&amp;WINDOW=FIRST_POPUP&amp;HEIGHT=450&amp;WIDTH=450&amp;","START_MAXIMIZED=FALSE&amp;VAR:CALENDAR=US&amp;VAR:SYMBOL=LO&amp;VAR:INDEX=0"}</definedName>
    <definedName name="_1545__FDSAUDITLINK__" localSheetId="0" hidden="1">{"fdsup://directions/FAT Viewer?action=UPDATE&amp;creator=factset&amp;DYN_ARGS=TRUE&amp;DOC_NAME=FAT:FQL_AUDITING_CLIENT_TEMPLATE.FAT&amp;display_string=Audit&amp;VAR:KEY=LMZGLWZSLG&amp;VAR:QUERY=RkZfRElWX1lMRChBTk4sOC8zMC8wMSw4LzMwLzAxKQ==&amp;WINDOW=FIRST_POPUP&amp;HEIGHT=450&amp;WIDTH=450&amp;","START_MAXIMIZED=FALSE&amp;VAR:CALENDAR=US&amp;VAR:SYMBOL=LO&amp;VAR:INDEX=0"}</definedName>
    <definedName name="_1545__FDSAUDITLINK__" hidden="1">{"fdsup://directions/FAT Viewer?action=UPDATE&amp;creator=factset&amp;DYN_ARGS=TRUE&amp;DOC_NAME=FAT:FQL_AUDITING_CLIENT_TEMPLATE.FAT&amp;display_string=Audit&amp;VAR:KEY=LMZGLWZSLG&amp;VAR:QUERY=RkZfRElWX1lMRChBTk4sOC8zMC8wMSw4LzMwLzAxKQ==&amp;WINDOW=FIRST_POPUP&amp;HEIGHT=450&amp;WIDTH=450&amp;","START_MAXIMIZED=FALSE&amp;VAR:CALENDAR=US&amp;VAR:SYMBOL=LO&amp;VAR:INDEX=0"}</definedName>
    <definedName name="_1546__FDSAUDITLINK__" localSheetId="0" hidden="1">{"fdsup://directions/FAT Viewer?action=UPDATE&amp;creator=factset&amp;DYN_ARGS=TRUE&amp;DOC_NAME=FAT:FQL_AUDITING_CLIENT_TEMPLATE.FAT&amp;display_string=Audit&amp;VAR:KEY=HYZOLSVUJQ&amp;VAR:QUERY=RkZfRElWX1lMRChBTk4sOC8yMy8wMSw4LzIzLzAxKQ==&amp;WINDOW=FIRST_POPUP&amp;HEIGHT=450&amp;WIDTH=450&amp;","START_MAXIMIZED=FALSE&amp;VAR:CALENDAR=US&amp;VAR:SYMBOL=LO&amp;VAR:INDEX=0"}</definedName>
    <definedName name="_1546__FDSAUDITLINK__" hidden="1">{"fdsup://directions/FAT Viewer?action=UPDATE&amp;creator=factset&amp;DYN_ARGS=TRUE&amp;DOC_NAME=FAT:FQL_AUDITING_CLIENT_TEMPLATE.FAT&amp;display_string=Audit&amp;VAR:KEY=HYZOLSVUJQ&amp;VAR:QUERY=RkZfRElWX1lMRChBTk4sOC8yMy8wMSw4LzIzLzAxKQ==&amp;WINDOW=FIRST_POPUP&amp;HEIGHT=450&amp;WIDTH=450&amp;","START_MAXIMIZED=FALSE&amp;VAR:CALENDAR=US&amp;VAR:SYMBOL=LO&amp;VAR:INDEX=0"}</definedName>
    <definedName name="_1547__FDSAUDITLINK__" localSheetId="0" hidden="1">{"fdsup://directions/FAT Viewer?action=UPDATE&amp;creator=factset&amp;DYN_ARGS=TRUE&amp;DOC_NAME=FAT:FQL_AUDITING_CLIENT_TEMPLATE.FAT&amp;display_string=Audit&amp;VAR:KEY=NKLKFAFCFC&amp;VAR:QUERY=RkZfRElWX1lMRChBTk4sOC8xNi8wMSw4LzE2LzAxKQ==&amp;WINDOW=FIRST_POPUP&amp;HEIGHT=450&amp;WIDTH=450&amp;","START_MAXIMIZED=FALSE&amp;VAR:CALENDAR=US&amp;VAR:SYMBOL=LO&amp;VAR:INDEX=0"}</definedName>
    <definedName name="_1547__FDSAUDITLINK__" hidden="1">{"fdsup://directions/FAT Viewer?action=UPDATE&amp;creator=factset&amp;DYN_ARGS=TRUE&amp;DOC_NAME=FAT:FQL_AUDITING_CLIENT_TEMPLATE.FAT&amp;display_string=Audit&amp;VAR:KEY=NKLKFAFCFC&amp;VAR:QUERY=RkZfRElWX1lMRChBTk4sOC8xNi8wMSw4LzE2LzAxKQ==&amp;WINDOW=FIRST_POPUP&amp;HEIGHT=450&amp;WIDTH=450&amp;","START_MAXIMIZED=FALSE&amp;VAR:CALENDAR=US&amp;VAR:SYMBOL=LO&amp;VAR:INDEX=0"}</definedName>
    <definedName name="_1548">#REF!</definedName>
    <definedName name="_1548__FDSAUDITLINK__" localSheetId="0" hidden="1">{"fdsup://directions/FAT Viewer?action=UPDATE&amp;creator=factset&amp;DYN_ARGS=TRUE&amp;DOC_NAME=FAT:FQL_AUDITING_CLIENT_TEMPLATE.FAT&amp;display_string=Audit&amp;VAR:KEY=TKVERKLGVG&amp;VAR:QUERY=RkZfRElWX1lMRChBTk4sOC8wOS8wMSw4LzA5LzAxKQ==&amp;WINDOW=FIRST_POPUP&amp;HEIGHT=450&amp;WIDTH=450&amp;","START_MAXIMIZED=FALSE&amp;VAR:CALENDAR=US&amp;VAR:SYMBOL=LO&amp;VAR:INDEX=0"}</definedName>
    <definedName name="_1548__FDSAUDITLINK__" hidden="1">{"fdsup://directions/FAT Viewer?action=UPDATE&amp;creator=factset&amp;DYN_ARGS=TRUE&amp;DOC_NAME=FAT:FQL_AUDITING_CLIENT_TEMPLATE.FAT&amp;display_string=Audit&amp;VAR:KEY=TKVERKLGVG&amp;VAR:QUERY=RkZfRElWX1lMRChBTk4sOC8wOS8wMSw4LzA5LzAxKQ==&amp;WINDOW=FIRST_POPUP&amp;HEIGHT=450&amp;WIDTH=450&amp;","START_MAXIMIZED=FALSE&amp;VAR:CALENDAR=US&amp;VAR:SYMBOL=LO&amp;VAR:INDEX=0"}</definedName>
    <definedName name="_1549">#REF!</definedName>
    <definedName name="_1549__FDSAUDITLINK__" localSheetId="0" hidden="1">{"fdsup://directions/FAT Viewer?action=UPDATE&amp;creator=factset&amp;DYN_ARGS=TRUE&amp;DOC_NAME=FAT:FQL_AUDITING_CLIENT_TEMPLATE.FAT&amp;display_string=Audit&amp;VAR:KEY=HEXYBGHYPU&amp;VAR:QUERY=RkZfRElWX1lMRChBTk4sOC8wMi8wMSw4LzAyLzAxKQ==&amp;WINDOW=FIRST_POPUP&amp;HEIGHT=450&amp;WIDTH=450&amp;","START_MAXIMIZED=FALSE&amp;VAR:CALENDAR=US&amp;VAR:SYMBOL=LO&amp;VAR:INDEX=0"}</definedName>
    <definedName name="_1549__FDSAUDITLINK__" hidden="1">{"fdsup://directions/FAT Viewer?action=UPDATE&amp;creator=factset&amp;DYN_ARGS=TRUE&amp;DOC_NAME=FAT:FQL_AUDITING_CLIENT_TEMPLATE.FAT&amp;display_string=Audit&amp;VAR:KEY=HEXYBGHYPU&amp;VAR:QUERY=RkZfRElWX1lMRChBTk4sOC8wMi8wMSw4LzAyLzAxKQ==&amp;WINDOW=FIRST_POPUP&amp;HEIGHT=450&amp;WIDTH=450&amp;","START_MAXIMIZED=FALSE&amp;VAR:CALENDAR=US&amp;VAR:SYMBOL=LO&amp;VAR:INDEX=0"}</definedName>
    <definedName name="_155__FDSAUDITLINK__" localSheetId="0" hidden="1">{"fdsup://directions/FAT Viewer?action=UPDATE&amp;creator=factset&amp;DYN_ARGS=TRUE&amp;DOC_NAME=FAT:FQL_AUDITING_CLIENT_TEMPLATE.FAT&amp;display_string=Audit&amp;VAR:KEY=NCHQZCVIFA&amp;VAR:QUERY=RkZfRElWX1lMRChBTk4sNC8xNy8wOCw0LzE3LzA4KQ==&amp;WINDOW=FIRST_POPUP&amp;HEIGHT=450&amp;WIDTH=450&amp;","START_MAXIMIZED=FALSE&amp;VAR:CALENDAR=US&amp;VAR:SYMBOL=RAI&amp;VAR:INDEX=0"}</definedName>
    <definedName name="_155__FDSAUDITLINK__" hidden="1">{"fdsup://directions/FAT Viewer?action=UPDATE&amp;creator=factset&amp;DYN_ARGS=TRUE&amp;DOC_NAME=FAT:FQL_AUDITING_CLIENT_TEMPLATE.FAT&amp;display_string=Audit&amp;VAR:KEY=NCHQZCVIFA&amp;VAR:QUERY=RkZfRElWX1lMRChBTk4sNC8xNy8wOCw0LzE3LzA4KQ==&amp;WINDOW=FIRST_POPUP&amp;HEIGHT=450&amp;WIDTH=450&amp;","START_MAXIMIZED=FALSE&amp;VAR:CALENDAR=US&amp;VAR:SYMBOL=RAI&amp;VAR:INDEX=0"}</definedName>
    <definedName name="_1550">#REF!</definedName>
    <definedName name="_1550__FDSAUDITLINK__" localSheetId="0" hidden="1">{"fdsup://directions/FAT Viewer?action=UPDATE&amp;creator=factset&amp;DYN_ARGS=TRUE&amp;DOC_NAME=FAT:FQL_AUDITING_CLIENT_TEMPLATE.FAT&amp;display_string=Audit&amp;VAR:KEY=BKVCRIJKRO&amp;VAR:QUERY=RkZfRElWX1lMRChBTk4sNy8yNi8wMSw3LzI2LzAxKQ==&amp;WINDOW=FIRST_POPUP&amp;HEIGHT=450&amp;WIDTH=450&amp;","START_MAXIMIZED=FALSE&amp;VAR:CALENDAR=US&amp;VAR:SYMBOL=LO&amp;VAR:INDEX=0"}</definedName>
    <definedName name="_1550__FDSAUDITLINK__" hidden="1">{"fdsup://directions/FAT Viewer?action=UPDATE&amp;creator=factset&amp;DYN_ARGS=TRUE&amp;DOC_NAME=FAT:FQL_AUDITING_CLIENT_TEMPLATE.FAT&amp;display_string=Audit&amp;VAR:KEY=BKVCRIJKRO&amp;VAR:QUERY=RkZfRElWX1lMRChBTk4sNy8yNi8wMSw3LzI2LzAxKQ==&amp;WINDOW=FIRST_POPUP&amp;HEIGHT=450&amp;WIDTH=450&amp;","START_MAXIMIZED=FALSE&amp;VAR:CALENDAR=US&amp;VAR:SYMBOL=LO&amp;VAR:INDEX=0"}</definedName>
    <definedName name="_1551">#REF!</definedName>
    <definedName name="_1551__FDSAUDITLINK__" localSheetId="0" hidden="1">{"fdsup://directions/FAT Viewer?action=UPDATE&amp;creator=factset&amp;DYN_ARGS=TRUE&amp;DOC_NAME=FAT:FQL_AUDITING_CLIENT_TEMPLATE.FAT&amp;display_string=Audit&amp;VAR:KEY=FILKXGHSTK&amp;VAR:QUERY=RkZfRElWX1lMRChBTk4sNy8xOS8wMSw3LzE5LzAxKQ==&amp;WINDOW=FIRST_POPUP&amp;HEIGHT=450&amp;WIDTH=450&amp;","START_MAXIMIZED=FALSE&amp;VAR:CALENDAR=US&amp;VAR:SYMBOL=LO&amp;VAR:INDEX=0"}</definedName>
    <definedName name="_1551__FDSAUDITLINK__" hidden="1">{"fdsup://directions/FAT Viewer?action=UPDATE&amp;creator=factset&amp;DYN_ARGS=TRUE&amp;DOC_NAME=FAT:FQL_AUDITING_CLIENT_TEMPLATE.FAT&amp;display_string=Audit&amp;VAR:KEY=FILKXGHSTK&amp;VAR:QUERY=RkZfRElWX1lMRChBTk4sNy8xOS8wMSw3LzE5LzAxKQ==&amp;WINDOW=FIRST_POPUP&amp;HEIGHT=450&amp;WIDTH=450&amp;","START_MAXIMIZED=FALSE&amp;VAR:CALENDAR=US&amp;VAR:SYMBOL=LO&amp;VAR:INDEX=0"}</definedName>
    <definedName name="_1552">#REF!</definedName>
    <definedName name="_1552__FDSAUDITLINK__" localSheetId="0" hidden="1">{"fdsup://directions/FAT Viewer?action=UPDATE&amp;creator=factset&amp;DYN_ARGS=TRUE&amp;DOC_NAME=FAT:FQL_AUDITING_CLIENT_TEMPLATE.FAT&amp;display_string=Audit&amp;VAR:KEY=LYFABOHAJI&amp;VAR:QUERY=RkZfRElWX1lMRChBTk4sNy8xMi8wMSw3LzEyLzAxKQ==&amp;WINDOW=FIRST_POPUP&amp;HEIGHT=450&amp;WIDTH=450&amp;","START_MAXIMIZED=FALSE&amp;VAR:CALENDAR=US&amp;VAR:SYMBOL=LO&amp;VAR:INDEX=0"}</definedName>
    <definedName name="_1552__FDSAUDITLINK__" hidden="1">{"fdsup://directions/FAT Viewer?action=UPDATE&amp;creator=factset&amp;DYN_ARGS=TRUE&amp;DOC_NAME=FAT:FQL_AUDITING_CLIENT_TEMPLATE.FAT&amp;display_string=Audit&amp;VAR:KEY=LYFABOHAJI&amp;VAR:QUERY=RkZfRElWX1lMRChBTk4sNy8xMi8wMSw3LzEyLzAxKQ==&amp;WINDOW=FIRST_POPUP&amp;HEIGHT=450&amp;WIDTH=450&amp;","START_MAXIMIZED=FALSE&amp;VAR:CALENDAR=US&amp;VAR:SYMBOL=LO&amp;VAR:INDEX=0"}</definedName>
    <definedName name="_1553">#REF!</definedName>
    <definedName name="_1553__FDSAUDITLINK__" localSheetId="0" hidden="1">{"fdsup://directions/FAT Viewer?action=UPDATE&amp;creator=factset&amp;DYN_ARGS=TRUE&amp;DOC_NAME=FAT:FQL_AUDITING_CLIENT_TEMPLATE.FAT&amp;display_string=Audit&amp;VAR:KEY=PCXUHELYTU&amp;VAR:QUERY=RkZfRElWX1lMRChBTk4sNy8wNS8wMSw3LzA1LzAxKQ==&amp;WINDOW=FIRST_POPUP&amp;HEIGHT=450&amp;WIDTH=450&amp;","START_MAXIMIZED=FALSE&amp;VAR:CALENDAR=US&amp;VAR:SYMBOL=LO&amp;VAR:INDEX=0"}</definedName>
    <definedName name="_1553__FDSAUDITLINK__" hidden="1">{"fdsup://directions/FAT Viewer?action=UPDATE&amp;creator=factset&amp;DYN_ARGS=TRUE&amp;DOC_NAME=FAT:FQL_AUDITING_CLIENT_TEMPLATE.FAT&amp;display_string=Audit&amp;VAR:KEY=PCXUHELYTU&amp;VAR:QUERY=RkZfRElWX1lMRChBTk4sNy8wNS8wMSw3LzA1LzAxKQ==&amp;WINDOW=FIRST_POPUP&amp;HEIGHT=450&amp;WIDTH=450&amp;","START_MAXIMIZED=FALSE&amp;VAR:CALENDAR=US&amp;VAR:SYMBOL=LO&amp;VAR:INDEX=0"}</definedName>
    <definedName name="_1554">#REF!</definedName>
    <definedName name="_1554__FDSAUDITLINK__" localSheetId="0" hidden="1">{"fdsup://directions/FAT Viewer?action=UPDATE&amp;creator=factset&amp;DYN_ARGS=TRUE&amp;DOC_NAME=FAT:FQL_AUDITING_CLIENT_TEMPLATE.FAT&amp;display_string=Audit&amp;VAR:KEY=RCTEVOHIFY&amp;VAR:QUERY=RkZfRElWX1lMRChBTk4sNi8yOC8wMSw2LzI4LzAxKQ==&amp;WINDOW=FIRST_POPUP&amp;HEIGHT=450&amp;WIDTH=450&amp;","START_MAXIMIZED=FALSE&amp;VAR:CALENDAR=US&amp;VAR:SYMBOL=LO&amp;VAR:INDEX=0"}</definedName>
    <definedName name="_1554__FDSAUDITLINK__" hidden="1">{"fdsup://directions/FAT Viewer?action=UPDATE&amp;creator=factset&amp;DYN_ARGS=TRUE&amp;DOC_NAME=FAT:FQL_AUDITING_CLIENT_TEMPLATE.FAT&amp;display_string=Audit&amp;VAR:KEY=RCTEVOHIFY&amp;VAR:QUERY=RkZfRElWX1lMRChBTk4sNi8yOC8wMSw2LzI4LzAxKQ==&amp;WINDOW=FIRST_POPUP&amp;HEIGHT=450&amp;WIDTH=450&amp;","START_MAXIMIZED=FALSE&amp;VAR:CALENDAR=US&amp;VAR:SYMBOL=LO&amp;VAR:INDEX=0"}</definedName>
    <definedName name="_1555">#REF!</definedName>
    <definedName name="_1555__FDSAUDITLINK__" localSheetId="0" hidden="1">{"fdsup://directions/FAT Viewer?action=UPDATE&amp;creator=factset&amp;DYN_ARGS=TRUE&amp;DOC_NAME=FAT:FQL_AUDITING_CLIENT_TEMPLATE.FAT&amp;display_string=Audit&amp;VAR:KEY=LEDMPMTAVA&amp;VAR:QUERY=RkZfRElWX1lMRChBTk4sNi8yMS8wMSw2LzIxLzAxKQ==&amp;WINDOW=FIRST_POPUP&amp;HEIGHT=450&amp;WIDTH=450&amp;","START_MAXIMIZED=FALSE&amp;VAR:CALENDAR=US&amp;VAR:SYMBOL=LO&amp;VAR:INDEX=0"}</definedName>
    <definedName name="_1555__FDSAUDITLINK__" hidden="1">{"fdsup://directions/FAT Viewer?action=UPDATE&amp;creator=factset&amp;DYN_ARGS=TRUE&amp;DOC_NAME=FAT:FQL_AUDITING_CLIENT_TEMPLATE.FAT&amp;display_string=Audit&amp;VAR:KEY=LEDMPMTAVA&amp;VAR:QUERY=RkZfRElWX1lMRChBTk4sNi8yMS8wMSw2LzIxLzAxKQ==&amp;WINDOW=FIRST_POPUP&amp;HEIGHT=450&amp;WIDTH=450&amp;","START_MAXIMIZED=FALSE&amp;VAR:CALENDAR=US&amp;VAR:SYMBOL=LO&amp;VAR:INDEX=0"}</definedName>
    <definedName name="_1556">#REF!</definedName>
    <definedName name="_1556__FDSAUDITLINK__" localSheetId="0" hidden="1">{"fdsup://directions/FAT Viewer?action=UPDATE&amp;creator=factset&amp;DYN_ARGS=TRUE&amp;DOC_NAME=FAT:FQL_AUDITING_CLIENT_TEMPLATE.FAT&amp;display_string=Audit&amp;VAR:KEY=TSRQHUXKXA&amp;VAR:QUERY=RkZfRElWX1lMRChBTk4sNi8xNC8wMSw2LzE0LzAxKQ==&amp;WINDOW=FIRST_POPUP&amp;HEIGHT=450&amp;WIDTH=450&amp;","START_MAXIMIZED=FALSE&amp;VAR:CALENDAR=US&amp;VAR:SYMBOL=LO&amp;VAR:INDEX=0"}</definedName>
    <definedName name="_1556__FDSAUDITLINK__" hidden="1">{"fdsup://directions/FAT Viewer?action=UPDATE&amp;creator=factset&amp;DYN_ARGS=TRUE&amp;DOC_NAME=FAT:FQL_AUDITING_CLIENT_TEMPLATE.FAT&amp;display_string=Audit&amp;VAR:KEY=TSRQHUXKXA&amp;VAR:QUERY=RkZfRElWX1lMRChBTk4sNi8xNC8wMSw2LzE0LzAxKQ==&amp;WINDOW=FIRST_POPUP&amp;HEIGHT=450&amp;WIDTH=450&amp;","START_MAXIMIZED=FALSE&amp;VAR:CALENDAR=US&amp;VAR:SYMBOL=LO&amp;VAR:INDEX=0"}</definedName>
    <definedName name="_1557">#REF!</definedName>
    <definedName name="_1557__FDSAUDITLINK__" localSheetId="0" hidden="1">{"fdsup://directions/FAT Viewer?action=UPDATE&amp;creator=factset&amp;DYN_ARGS=TRUE&amp;DOC_NAME=FAT:FQL_AUDITING_CLIENT_TEMPLATE.FAT&amp;display_string=Audit&amp;VAR:KEY=RQNGZGVAFO&amp;VAR:QUERY=RkZfRElWX1lMRChBTk4sNi8wNy8wMSw2LzA3LzAxKQ==&amp;WINDOW=FIRST_POPUP&amp;HEIGHT=450&amp;WIDTH=450&amp;","START_MAXIMIZED=FALSE&amp;VAR:CALENDAR=US&amp;VAR:SYMBOL=LO&amp;VAR:INDEX=0"}</definedName>
    <definedName name="_1557__FDSAUDITLINK__" hidden="1">{"fdsup://directions/FAT Viewer?action=UPDATE&amp;creator=factset&amp;DYN_ARGS=TRUE&amp;DOC_NAME=FAT:FQL_AUDITING_CLIENT_TEMPLATE.FAT&amp;display_string=Audit&amp;VAR:KEY=RQNGZGVAFO&amp;VAR:QUERY=RkZfRElWX1lMRChBTk4sNi8wNy8wMSw2LzA3LzAxKQ==&amp;WINDOW=FIRST_POPUP&amp;HEIGHT=450&amp;WIDTH=450&amp;","START_MAXIMIZED=FALSE&amp;VAR:CALENDAR=US&amp;VAR:SYMBOL=LO&amp;VAR:INDEX=0"}</definedName>
    <definedName name="_1558">#REF!</definedName>
    <definedName name="_1558__FDSAUDITLINK__" localSheetId="0" hidden="1">{"fdsup://directions/FAT Viewer?action=UPDATE&amp;creator=factset&amp;DYN_ARGS=TRUE&amp;DOC_NAME=FAT:FQL_AUDITING_CLIENT_TEMPLATE.FAT&amp;display_string=Audit&amp;VAR:KEY=JURKPOFYHQ&amp;VAR:QUERY=RkZfRElWX1lMRChBTk4sNS8zMS8wMSw1LzMxLzAxKQ==&amp;WINDOW=FIRST_POPUP&amp;HEIGHT=450&amp;WIDTH=450&amp;","START_MAXIMIZED=FALSE&amp;VAR:CALENDAR=US&amp;VAR:SYMBOL=LO&amp;VAR:INDEX=0"}</definedName>
    <definedName name="_1558__FDSAUDITLINK__" hidden="1">{"fdsup://directions/FAT Viewer?action=UPDATE&amp;creator=factset&amp;DYN_ARGS=TRUE&amp;DOC_NAME=FAT:FQL_AUDITING_CLIENT_TEMPLATE.FAT&amp;display_string=Audit&amp;VAR:KEY=JURKPOFYHQ&amp;VAR:QUERY=RkZfRElWX1lMRChBTk4sNS8zMS8wMSw1LzMxLzAxKQ==&amp;WINDOW=FIRST_POPUP&amp;HEIGHT=450&amp;WIDTH=450&amp;","START_MAXIMIZED=FALSE&amp;VAR:CALENDAR=US&amp;VAR:SYMBOL=LO&amp;VAR:INDEX=0"}</definedName>
    <definedName name="_1559">#REF!</definedName>
    <definedName name="_1559__FDSAUDITLINK__" localSheetId="0" hidden="1">{"fdsup://directions/FAT Viewer?action=UPDATE&amp;creator=factset&amp;DYN_ARGS=TRUE&amp;DOC_NAME=FAT:FQL_AUDITING_CLIENT_TEMPLATE.FAT&amp;display_string=Audit&amp;VAR:KEY=HYPQPQPUZO&amp;VAR:QUERY=RkZfRElWX1lMRChBTk4sNS8yNC8wMSw1LzI0LzAxKQ==&amp;WINDOW=FIRST_POPUP&amp;HEIGHT=450&amp;WIDTH=450&amp;","START_MAXIMIZED=FALSE&amp;VAR:CALENDAR=US&amp;VAR:SYMBOL=LO&amp;VAR:INDEX=0"}</definedName>
    <definedName name="_1559__FDSAUDITLINK__" hidden="1">{"fdsup://directions/FAT Viewer?action=UPDATE&amp;creator=factset&amp;DYN_ARGS=TRUE&amp;DOC_NAME=FAT:FQL_AUDITING_CLIENT_TEMPLATE.FAT&amp;display_string=Audit&amp;VAR:KEY=HYPQPQPUZO&amp;VAR:QUERY=RkZfRElWX1lMRChBTk4sNS8yNC8wMSw1LzI0LzAxKQ==&amp;WINDOW=FIRST_POPUP&amp;HEIGHT=450&amp;WIDTH=450&amp;","START_MAXIMIZED=FALSE&amp;VAR:CALENDAR=US&amp;VAR:SYMBOL=LO&amp;VAR:INDEX=0"}</definedName>
    <definedName name="_156">#REF!</definedName>
    <definedName name="_156__123Graph_FCONTRACT_BY_B_U">#REF!</definedName>
    <definedName name="_156__123Graph_XQRE_S_BY_CO.">#REF!</definedName>
    <definedName name="_156__FDSAUDITLINK__" localSheetId="0" hidden="1">{"fdsup://directions/FAT Viewer?action=UPDATE&amp;creator=factset&amp;DYN_ARGS=TRUE&amp;DOC_NAME=FAT:FQL_AUDITING_CLIENT_TEMPLATE.FAT&amp;display_string=Audit&amp;VAR:KEY=DYNKBOFUVO&amp;VAR:QUERY=RkZfRElWX1lMRChBTk4sNC8xMC8wOCw0LzEwLzA4KQ==&amp;WINDOW=FIRST_POPUP&amp;HEIGHT=450&amp;WIDTH=450&amp;","START_MAXIMIZED=FALSE&amp;VAR:CALENDAR=US&amp;VAR:SYMBOL=RAI&amp;VAR:INDEX=0"}</definedName>
    <definedName name="_156__FDSAUDITLINK__" hidden="1">{"fdsup://directions/FAT Viewer?action=UPDATE&amp;creator=factset&amp;DYN_ARGS=TRUE&amp;DOC_NAME=FAT:FQL_AUDITING_CLIENT_TEMPLATE.FAT&amp;display_string=Audit&amp;VAR:KEY=DYNKBOFUVO&amp;VAR:QUERY=RkZfRElWX1lMRChBTk4sNC8xMC8wOCw0LzEwLzA4KQ==&amp;WINDOW=FIRST_POPUP&amp;HEIGHT=450&amp;WIDTH=450&amp;","START_MAXIMIZED=FALSE&amp;VAR:CALENDAR=US&amp;VAR:SYMBOL=RAI&amp;VAR:INDEX=0"}</definedName>
    <definedName name="_1560">#REF!</definedName>
    <definedName name="_1560__FDSAUDITLINK__" localSheetId="0" hidden="1">{"fdsup://directions/FAT Viewer?action=UPDATE&amp;creator=factset&amp;DYN_ARGS=TRUE&amp;DOC_NAME=FAT:FQL_AUDITING_CLIENT_TEMPLATE.FAT&amp;display_string=Audit&amp;VAR:KEY=PUFUNONKZG&amp;VAR:QUERY=RkZfRElWX1lMRChBTk4sNS8xNy8wMSw1LzE3LzAxKQ==&amp;WINDOW=FIRST_POPUP&amp;HEIGHT=450&amp;WIDTH=450&amp;","START_MAXIMIZED=FALSE&amp;VAR:CALENDAR=US&amp;VAR:SYMBOL=LO&amp;VAR:INDEX=0"}</definedName>
    <definedName name="_1560__FDSAUDITLINK__" hidden="1">{"fdsup://directions/FAT Viewer?action=UPDATE&amp;creator=factset&amp;DYN_ARGS=TRUE&amp;DOC_NAME=FAT:FQL_AUDITING_CLIENT_TEMPLATE.FAT&amp;display_string=Audit&amp;VAR:KEY=PUFUNONKZG&amp;VAR:QUERY=RkZfRElWX1lMRChBTk4sNS8xNy8wMSw1LzE3LzAxKQ==&amp;WINDOW=FIRST_POPUP&amp;HEIGHT=450&amp;WIDTH=450&amp;","START_MAXIMIZED=FALSE&amp;VAR:CALENDAR=US&amp;VAR:SYMBOL=LO&amp;VAR:INDEX=0"}</definedName>
    <definedName name="_1561">#REF!</definedName>
    <definedName name="_1561__FDSAUDITLINK__" localSheetId="0" hidden="1">{"fdsup://directions/FAT Viewer?action=UPDATE&amp;creator=factset&amp;DYN_ARGS=TRUE&amp;DOC_NAME=FAT:FQL_AUDITING_CLIENT_TEMPLATE.FAT&amp;display_string=Audit&amp;VAR:KEY=PEZSLABWVY&amp;VAR:QUERY=RkZfRElWX1lMRChBTk4sNS8xMC8wMSw1LzEwLzAxKQ==&amp;WINDOW=FIRST_POPUP&amp;HEIGHT=450&amp;WIDTH=450&amp;","START_MAXIMIZED=FALSE&amp;VAR:CALENDAR=US&amp;VAR:SYMBOL=LO&amp;VAR:INDEX=0"}</definedName>
    <definedName name="_1561__FDSAUDITLINK__" hidden="1">{"fdsup://directions/FAT Viewer?action=UPDATE&amp;creator=factset&amp;DYN_ARGS=TRUE&amp;DOC_NAME=FAT:FQL_AUDITING_CLIENT_TEMPLATE.FAT&amp;display_string=Audit&amp;VAR:KEY=PEZSLABWVY&amp;VAR:QUERY=RkZfRElWX1lMRChBTk4sNS8xMC8wMSw1LzEwLzAxKQ==&amp;WINDOW=FIRST_POPUP&amp;HEIGHT=450&amp;WIDTH=450&amp;","START_MAXIMIZED=FALSE&amp;VAR:CALENDAR=US&amp;VAR:SYMBOL=LO&amp;VAR:INDEX=0"}</definedName>
    <definedName name="_1562">#REF!</definedName>
    <definedName name="_1562__FDSAUDITLINK__" localSheetId="0" hidden="1">{"fdsup://directions/FAT Viewer?action=UPDATE&amp;creator=factset&amp;DYN_ARGS=TRUE&amp;DOC_NAME=FAT:FQL_AUDITING_CLIENT_TEMPLATE.FAT&amp;display_string=Audit&amp;VAR:KEY=FGBQPYBUJC&amp;VAR:QUERY=RkZfRElWX1lMRChBTk4sNS8wMy8wMSw1LzAzLzAxKQ==&amp;WINDOW=FIRST_POPUP&amp;HEIGHT=450&amp;WIDTH=450&amp;","START_MAXIMIZED=FALSE&amp;VAR:CALENDAR=US&amp;VAR:SYMBOL=LO&amp;VAR:INDEX=0"}</definedName>
    <definedName name="_1562__FDSAUDITLINK__" hidden="1">{"fdsup://directions/FAT Viewer?action=UPDATE&amp;creator=factset&amp;DYN_ARGS=TRUE&amp;DOC_NAME=FAT:FQL_AUDITING_CLIENT_TEMPLATE.FAT&amp;display_string=Audit&amp;VAR:KEY=FGBQPYBUJC&amp;VAR:QUERY=RkZfRElWX1lMRChBTk4sNS8wMy8wMSw1LzAzLzAxKQ==&amp;WINDOW=FIRST_POPUP&amp;HEIGHT=450&amp;WIDTH=450&amp;","START_MAXIMIZED=FALSE&amp;VAR:CALENDAR=US&amp;VAR:SYMBOL=LO&amp;VAR:INDEX=0"}</definedName>
    <definedName name="_1563">#REF!</definedName>
    <definedName name="_1563__FDSAUDITLINK__" localSheetId="0" hidden="1">{"fdsup://directions/FAT Viewer?action=UPDATE&amp;creator=factset&amp;DYN_ARGS=TRUE&amp;DOC_NAME=FAT:FQL_AUDITING_CLIENT_TEMPLATE.FAT&amp;display_string=Audit&amp;VAR:KEY=PCTCPCNGXI&amp;VAR:QUERY=RkZfRElWX1lMRChBTk4sNC8yNi8wMSw0LzI2LzAxKQ==&amp;WINDOW=FIRST_POPUP&amp;HEIGHT=450&amp;WIDTH=450&amp;","START_MAXIMIZED=FALSE&amp;VAR:CALENDAR=US&amp;VAR:SYMBOL=LO&amp;VAR:INDEX=0"}</definedName>
    <definedName name="_1563__FDSAUDITLINK__" hidden="1">{"fdsup://directions/FAT Viewer?action=UPDATE&amp;creator=factset&amp;DYN_ARGS=TRUE&amp;DOC_NAME=FAT:FQL_AUDITING_CLIENT_TEMPLATE.FAT&amp;display_string=Audit&amp;VAR:KEY=PCTCPCNGXI&amp;VAR:QUERY=RkZfRElWX1lMRChBTk4sNC8yNi8wMSw0LzI2LzAxKQ==&amp;WINDOW=FIRST_POPUP&amp;HEIGHT=450&amp;WIDTH=450&amp;","START_MAXIMIZED=FALSE&amp;VAR:CALENDAR=US&amp;VAR:SYMBOL=LO&amp;VAR:INDEX=0"}</definedName>
    <definedName name="_1564">#REF!</definedName>
    <definedName name="_1564__FDSAUDITLINK__" localSheetId="0" hidden="1">{"fdsup://directions/FAT Viewer?action=UPDATE&amp;creator=factset&amp;DYN_ARGS=TRUE&amp;DOC_NAME=FAT:FQL_AUDITING_CLIENT_TEMPLATE.FAT&amp;display_string=Audit&amp;VAR:KEY=FUZKNANADI&amp;VAR:QUERY=RkZfRElWX1lMRChBTk4sNC8xOS8wMSw0LzE5LzAxKQ==&amp;WINDOW=FIRST_POPUP&amp;HEIGHT=450&amp;WIDTH=450&amp;","START_MAXIMIZED=FALSE&amp;VAR:CALENDAR=US&amp;VAR:SYMBOL=LO&amp;VAR:INDEX=0"}</definedName>
    <definedName name="_1564__FDSAUDITLINK__" hidden="1">{"fdsup://directions/FAT Viewer?action=UPDATE&amp;creator=factset&amp;DYN_ARGS=TRUE&amp;DOC_NAME=FAT:FQL_AUDITING_CLIENT_TEMPLATE.FAT&amp;display_string=Audit&amp;VAR:KEY=FUZKNANADI&amp;VAR:QUERY=RkZfRElWX1lMRChBTk4sNC8xOS8wMSw0LzE5LzAxKQ==&amp;WINDOW=FIRST_POPUP&amp;HEIGHT=450&amp;WIDTH=450&amp;","START_MAXIMIZED=FALSE&amp;VAR:CALENDAR=US&amp;VAR:SYMBOL=LO&amp;VAR:INDEX=0"}</definedName>
    <definedName name="_1565">#REF!</definedName>
    <definedName name="_1565__FDSAUDITLINK__" localSheetId="0" hidden="1">{"fdsup://directions/FAT Viewer?action=UPDATE&amp;creator=factset&amp;DYN_ARGS=TRUE&amp;DOC_NAME=FAT:FQL_AUDITING_CLIENT_TEMPLATE.FAT&amp;display_string=Audit&amp;VAR:KEY=VMRYVETWTO&amp;VAR:QUERY=RkZfRElWX1lMRChBTk4sNC8xMi8wMSw0LzEyLzAxKQ==&amp;WINDOW=FIRST_POPUP&amp;HEIGHT=450&amp;WIDTH=450&amp;","START_MAXIMIZED=FALSE&amp;VAR:CALENDAR=US&amp;VAR:SYMBOL=LO&amp;VAR:INDEX=0"}</definedName>
    <definedName name="_1565__FDSAUDITLINK__" hidden="1">{"fdsup://directions/FAT Viewer?action=UPDATE&amp;creator=factset&amp;DYN_ARGS=TRUE&amp;DOC_NAME=FAT:FQL_AUDITING_CLIENT_TEMPLATE.FAT&amp;display_string=Audit&amp;VAR:KEY=VMRYVETWTO&amp;VAR:QUERY=RkZfRElWX1lMRChBTk4sNC8xMi8wMSw0LzEyLzAxKQ==&amp;WINDOW=FIRST_POPUP&amp;HEIGHT=450&amp;WIDTH=450&amp;","START_MAXIMIZED=FALSE&amp;VAR:CALENDAR=US&amp;VAR:SYMBOL=LO&amp;VAR:INDEX=0"}</definedName>
    <definedName name="_1566">#REF!</definedName>
    <definedName name="_1566__FDSAUDITLINK__" localSheetId="0" hidden="1">{"fdsup://directions/FAT Viewer?action=UPDATE&amp;creator=factset&amp;DYN_ARGS=TRUE&amp;DOC_NAME=FAT:FQL_AUDITING_CLIENT_TEMPLATE.FAT&amp;display_string=Audit&amp;VAR:KEY=TCBEBURWJY&amp;VAR:QUERY=RkZfRElWX1lMRChBTk4sNC8wNS8wMSw0LzA1LzAxKQ==&amp;WINDOW=FIRST_POPUP&amp;HEIGHT=450&amp;WIDTH=450&amp;","START_MAXIMIZED=FALSE&amp;VAR:CALENDAR=US&amp;VAR:SYMBOL=LO&amp;VAR:INDEX=0"}</definedName>
    <definedName name="_1566__FDSAUDITLINK__" hidden="1">{"fdsup://directions/FAT Viewer?action=UPDATE&amp;creator=factset&amp;DYN_ARGS=TRUE&amp;DOC_NAME=FAT:FQL_AUDITING_CLIENT_TEMPLATE.FAT&amp;display_string=Audit&amp;VAR:KEY=TCBEBURWJY&amp;VAR:QUERY=RkZfRElWX1lMRChBTk4sNC8wNS8wMSw0LzA1LzAxKQ==&amp;WINDOW=FIRST_POPUP&amp;HEIGHT=450&amp;WIDTH=450&amp;","START_MAXIMIZED=FALSE&amp;VAR:CALENDAR=US&amp;VAR:SYMBOL=LO&amp;VAR:INDEX=0"}</definedName>
    <definedName name="_1567">#REF!</definedName>
    <definedName name="_1567__FDSAUDITLINK__" localSheetId="0" hidden="1">{"fdsup://directions/FAT Viewer?action=UPDATE&amp;creator=factset&amp;DYN_ARGS=TRUE&amp;DOC_NAME=FAT:FQL_AUDITING_CLIENT_TEMPLATE.FAT&amp;display_string=Audit&amp;VAR:KEY=YHGZAFUBEJ&amp;VAR:QUERY=RkZfRElWX1lMRChBTk4sNS8zMC8wMSw1LzMwLzAxKQ==&amp;WINDOW=FIRST_POPUP&amp;HEIGHT=450&amp;WIDTH=450&amp;","START_MAXIMIZED=FALSE&amp;VAR:CALENDAR=US&amp;VAR:SYMBOL=LO&amp;VAR:INDEX=0"}</definedName>
    <definedName name="_1567__FDSAUDITLINK__" hidden="1">{"fdsup://directions/FAT Viewer?action=UPDATE&amp;creator=factset&amp;DYN_ARGS=TRUE&amp;DOC_NAME=FAT:FQL_AUDITING_CLIENT_TEMPLATE.FAT&amp;display_string=Audit&amp;VAR:KEY=YHGZAFUBEJ&amp;VAR:QUERY=RkZfRElWX1lMRChBTk4sNS8zMC8wMSw1LzMwLzAxKQ==&amp;WINDOW=FIRST_POPUP&amp;HEIGHT=450&amp;WIDTH=450&amp;","START_MAXIMIZED=FALSE&amp;VAR:CALENDAR=US&amp;VAR:SYMBOL=LO&amp;VAR:INDEX=0"}</definedName>
    <definedName name="_1568__FDSAUDITLINK__" localSheetId="0" hidden="1">{"fdsup://directions/FAT Viewer?action=UPDATE&amp;creator=factset&amp;DYN_ARGS=TRUE&amp;DOC_NAME=FAT:FQL_AUDITING_CLIENT_TEMPLATE.FAT&amp;display_string=Audit&amp;VAR:KEY=SRQRMDIFEP&amp;VAR:QUERY=RkZfRElWX1lMRChBTk4sNS8yMy8wMSw1LzIzLzAxKQ==&amp;WINDOW=FIRST_POPUP&amp;HEIGHT=450&amp;WIDTH=450&amp;","START_MAXIMIZED=FALSE&amp;VAR:CALENDAR=US&amp;VAR:SYMBOL=LO&amp;VAR:INDEX=0"}</definedName>
    <definedName name="_1568__FDSAUDITLINK__" hidden="1">{"fdsup://directions/FAT Viewer?action=UPDATE&amp;creator=factset&amp;DYN_ARGS=TRUE&amp;DOC_NAME=FAT:FQL_AUDITING_CLIENT_TEMPLATE.FAT&amp;display_string=Audit&amp;VAR:KEY=SRQRMDIFEP&amp;VAR:QUERY=RkZfRElWX1lMRChBTk4sNS8yMy8wMSw1LzIzLzAxKQ==&amp;WINDOW=FIRST_POPUP&amp;HEIGHT=450&amp;WIDTH=450&amp;","START_MAXIMIZED=FALSE&amp;VAR:CALENDAR=US&amp;VAR:SYMBOL=LO&amp;VAR:INDEX=0"}</definedName>
    <definedName name="_1569__FDSAUDITLINK__" localSheetId="0" hidden="1">{"fdsup://directions/FAT Viewer?action=UPDATE&amp;creator=factset&amp;DYN_ARGS=TRUE&amp;DOC_NAME=FAT:FQL_AUDITING_CLIENT_TEMPLATE.FAT&amp;display_string=Audit&amp;VAR:KEY=QPKVWPWZUR&amp;VAR:QUERY=RkZfRElWX1lMRChBTk4sNS8xNi8wMSw1LzE2LzAxKQ==&amp;WINDOW=FIRST_POPUP&amp;HEIGHT=450&amp;WIDTH=450&amp;","START_MAXIMIZED=FALSE&amp;VAR:CALENDAR=US&amp;VAR:SYMBOL=LO&amp;VAR:INDEX=0"}</definedName>
    <definedName name="_1569__FDSAUDITLINK__" hidden="1">{"fdsup://directions/FAT Viewer?action=UPDATE&amp;creator=factset&amp;DYN_ARGS=TRUE&amp;DOC_NAME=FAT:FQL_AUDITING_CLIENT_TEMPLATE.FAT&amp;display_string=Audit&amp;VAR:KEY=QPKVWPWZUR&amp;VAR:QUERY=RkZfRElWX1lMRChBTk4sNS8xNi8wMSw1LzE2LzAxKQ==&amp;WINDOW=FIRST_POPUP&amp;HEIGHT=450&amp;WIDTH=450&amp;","START_MAXIMIZED=FALSE&amp;VAR:CALENDAR=US&amp;VAR:SYMBOL=LO&amp;VAR:INDEX=0"}</definedName>
    <definedName name="_157">#REF!</definedName>
    <definedName name="_157__123Graph_FCONTRACT_BY_B_U">#REF!</definedName>
    <definedName name="_157__FDSAUDITLINK__" localSheetId="0" hidden="1">{"fdsup://directions/FAT Viewer?action=UPDATE&amp;creator=factset&amp;DYN_ARGS=TRUE&amp;DOC_NAME=FAT:FQL_AUDITING_CLIENT_TEMPLATE.FAT&amp;display_string=Audit&amp;VAR:KEY=HGNEXUXMJY&amp;VAR:QUERY=RkZfRElWX1lMRChBTk4sNC8wMy8wOCw0LzAzLzA4KQ==&amp;WINDOW=FIRST_POPUP&amp;HEIGHT=450&amp;WIDTH=450&amp;","START_MAXIMIZED=FALSE&amp;VAR:CALENDAR=US&amp;VAR:SYMBOL=RAI&amp;VAR:INDEX=0"}</definedName>
    <definedName name="_157__FDSAUDITLINK__" hidden="1">{"fdsup://directions/FAT Viewer?action=UPDATE&amp;creator=factset&amp;DYN_ARGS=TRUE&amp;DOC_NAME=FAT:FQL_AUDITING_CLIENT_TEMPLATE.FAT&amp;display_string=Audit&amp;VAR:KEY=HGNEXUXMJY&amp;VAR:QUERY=RkZfRElWX1lMRChBTk4sNC8wMy8wOCw0LzAzLzA4KQ==&amp;WINDOW=FIRST_POPUP&amp;HEIGHT=450&amp;WIDTH=450&amp;","START_MAXIMIZED=FALSE&amp;VAR:CALENDAR=US&amp;VAR:SYMBOL=RAI&amp;VAR:INDEX=0"}</definedName>
    <definedName name="_1570">#REF!</definedName>
    <definedName name="_1570__FDSAUDITLINK__" localSheetId="0" hidden="1">{"fdsup://directions/FAT Viewer?action=UPDATE&amp;creator=factset&amp;DYN_ARGS=TRUE&amp;DOC_NAME=FAT:FQL_AUDITING_CLIENT_TEMPLATE.FAT&amp;display_string=Audit&amp;VAR:KEY=WHUNCVIPML&amp;VAR:QUERY=RkZfRElWX1lMRChBTk4sNS8wOS8wMSw1LzA5LzAxKQ==&amp;WINDOW=FIRST_POPUP&amp;HEIGHT=450&amp;WIDTH=450&amp;","START_MAXIMIZED=FALSE&amp;VAR:CALENDAR=US&amp;VAR:SYMBOL=LO&amp;VAR:INDEX=0"}</definedName>
    <definedName name="_1570__FDSAUDITLINK__" hidden="1">{"fdsup://directions/FAT Viewer?action=UPDATE&amp;creator=factset&amp;DYN_ARGS=TRUE&amp;DOC_NAME=FAT:FQL_AUDITING_CLIENT_TEMPLATE.FAT&amp;display_string=Audit&amp;VAR:KEY=WHUNCVIPML&amp;VAR:QUERY=RkZfRElWX1lMRChBTk4sNS8wOS8wMSw1LzA5LzAxKQ==&amp;WINDOW=FIRST_POPUP&amp;HEIGHT=450&amp;WIDTH=450&amp;","START_MAXIMIZED=FALSE&amp;VAR:CALENDAR=US&amp;VAR:SYMBOL=LO&amp;VAR:INDEX=0"}</definedName>
    <definedName name="_1571__FDSAUDITLINK__" localSheetId="0" hidden="1">{"fdsup://directions/FAT Viewer?action=UPDATE&amp;creator=factset&amp;DYN_ARGS=TRUE&amp;DOC_NAME=FAT:FQL_AUDITING_CLIENT_TEMPLATE.FAT&amp;display_string=Audit&amp;VAR:KEY=QFGBWBEJMB&amp;VAR:QUERY=RkZfRElWX1lMRChBTk4sNS8wMi8wMSw1LzAyLzAxKQ==&amp;WINDOW=FIRST_POPUP&amp;HEIGHT=450&amp;WIDTH=450&amp;","START_MAXIMIZED=FALSE&amp;VAR:CALENDAR=US&amp;VAR:SYMBOL=LO&amp;VAR:INDEX=0"}</definedName>
    <definedName name="_1571__FDSAUDITLINK__" hidden="1">{"fdsup://directions/FAT Viewer?action=UPDATE&amp;creator=factset&amp;DYN_ARGS=TRUE&amp;DOC_NAME=FAT:FQL_AUDITING_CLIENT_TEMPLATE.FAT&amp;display_string=Audit&amp;VAR:KEY=QFGBWBEJMB&amp;VAR:QUERY=RkZfRElWX1lMRChBTk4sNS8wMi8wMSw1LzAyLzAxKQ==&amp;WINDOW=FIRST_POPUP&amp;HEIGHT=450&amp;WIDTH=450&amp;","START_MAXIMIZED=FALSE&amp;VAR:CALENDAR=US&amp;VAR:SYMBOL=LO&amp;VAR:INDEX=0"}</definedName>
    <definedName name="_1572__FDSAUDITLINK__" localSheetId="0" hidden="1">{"fdsup://directions/FAT Viewer?action=UPDATE&amp;creator=factset&amp;DYN_ARGS=TRUE&amp;DOC_NAME=FAT:FQL_AUDITING_CLIENT_TEMPLATE.FAT&amp;display_string=Audit&amp;VAR:KEY=EXUZEVSZMR&amp;VAR:QUERY=RkZfRElWX1lMRChBTk4sNC8yNS8wMSw0LzI1LzAxKQ==&amp;WINDOW=FIRST_POPUP&amp;HEIGHT=450&amp;WIDTH=450&amp;","START_MAXIMIZED=FALSE&amp;VAR:CALENDAR=US&amp;VAR:SYMBOL=LO&amp;VAR:INDEX=0"}</definedName>
    <definedName name="_1572__FDSAUDITLINK__" hidden="1">{"fdsup://directions/FAT Viewer?action=UPDATE&amp;creator=factset&amp;DYN_ARGS=TRUE&amp;DOC_NAME=FAT:FQL_AUDITING_CLIENT_TEMPLATE.FAT&amp;display_string=Audit&amp;VAR:KEY=EXUZEVSZMR&amp;VAR:QUERY=RkZfRElWX1lMRChBTk4sNC8yNS8wMSw0LzI1LzAxKQ==&amp;WINDOW=FIRST_POPUP&amp;HEIGHT=450&amp;WIDTH=450&amp;","START_MAXIMIZED=FALSE&amp;VAR:CALENDAR=US&amp;VAR:SYMBOL=LO&amp;VAR:INDEX=0"}</definedName>
    <definedName name="_1573__FDSAUDITLINK__" localSheetId="0" hidden="1">{"fdsup://directions/FAT Viewer?action=UPDATE&amp;creator=factset&amp;DYN_ARGS=TRUE&amp;DOC_NAME=FAT:FQL_AUDITING_CLIENT_TEMPLATE.FAT&amp;display_string=Audit&amp;VAR:KEY=UBIPEPUDIZ&amp;VAR:QUERY=RkZfRElWX1lMRChBTk4sNC8xOC8wMSw0LzE4LzAxKQ==&amp;WINDOW=FIRST_POPUP&amp;HEIGHT=450&amp;WIDTH=450&amp;","START_MAXIMIZED=FALSE&amp;VAR:CALENDAR=US&amp;VAR:SYMBOL=LO&amp;VAR:INDEX=0"}</definedName>
    <definedName name="_1573__FDSAUDITLINK__" hidden="1">{"fdsup://directions/FAT Viewer?action=UPDATE&amp;creator=factset&amp;DYN_ARGS=TRUE&amp;DOC_NAME=FAT:FQL_AUDITING_CLIENT_TEMPLATE.FAT&amp;display_string=Audit&amp;VAR:KEY=UBIPEPUDIZ&amp;VAR:QUERY=RkZfRElWX1lMRChBTk4sNC8xOC8wMSw0LzE4LzAxKQ==&amp;WINDOW=FIRST_POPUP&amp;HEIGHT=450&amp;WIDTH=450&amp;","START_MAXIMIZED=FALSE&amp;VAR:CALENDAR=US&amp;VAR:SYMBOL=LO&amp;VAR:INDEX=0"}</definedName>
    <definedName name="_1574__FDSAUDITLINK__" localSheetId="0" hidden="1">{"fdsup://directions/FAT Viewer?action=UPDATE&amp;creator=factset&amp;DYN_ARGS=TRUE&amp;DOC_NAME=FAT:FQL_AUDITING_CLIENT_TEMPLATE.FAT&amp;display_string=Audit&amp;VAR:KEY=KBAPEVOFYX&amp;VAR:QUERY=RkZfRElWX1lMRChBTk4sNC8xMS8wMSw0LzExLzAxKQ==&amp;WINDOW=FIRST_POPUP&amp;HEIGHT=450&amp;WIDTH=450&amp;","START_MAXIMIZED=FALSE&amp;VAR:CALENDAR=US&amp;VAR:SYMBOL=LO&amp;VAR:INDEX=0"}</definedName>
    <definedName name="_1574__FDSAUDITLINK__" hidden="1">{"fdsup://directions/FAT Viewer?action=UPDATE&amp;creator=factset&amp;DYN_ARGS=TRUE&amp;DOC_NAME=FAT:FQL_AUDITING_CLIENT_TEMPLATE.FAT&amp;display_string=Audit&amp;VAR:KEY=KBAPEVOFYX&amp;VAR:QUERY=RkZfRElWX1lMRChBTk4sNC8xMS8wMSw0LzExLzAxKQ==&amp;WINDOW=FIRST_POPUP&amp;HEIGHT=450&amp;WIDTH=450&amp;","START_MAXIMIZED=FALSE&amp;VAR:CALENDAR=US&amp;VAR:SYMBOL=LO&amp;VAR:INDEX=0"}</definedName>
    <definedName name="_1575">#REF!</definedName>
    <definedName name="_1575__FDSAUDITLINK__" localSheetId="0" hidden="1">{"fdsup://directions/FAT Viewer?action=UPDATE&amp;creator=factset&amp;DYN_ARGS=TRUE&amp;DOC_NAME=FAT:FQL_AUDITING_CLIENT_TEMPLATE.FAT&amp;display_string=Audit&amp;VAR:KEY=MTSDQFARGT&amp;VAR:QUERY=RkZfRElWX1lMRChBTk4sMy8zMC8xMSwzLzMwLzExKQ==&amp;WINDOW=FIRST_POPUP&amp;HEIGHT=450&amp;WIDTH=450&amp;","START_MAXIMIZED=FALSE&amp;VAR:CALENDAR=US&amp;VAR:SYMBOL=KO&amp;VAR:INDEX=0"}</definedName>
    <definedName name="_1575__FDSAUDITLINK__" hidden="1">{"fdsup://directions/FAT Viewer?action=UPDATE&amp;creator=factset&amp;DYN_ARGS=TRUE&amp;DOC_NAME=FAT:FQL_AUDITING_CLIENT_TEMPLATE.FAT&amp;display_string=Audit&amp;VAR:KEY=MTSDQFARGT&amp;VAR:QUERY=RkZfRElWX1lMRChBTk4sMy8zMC8xMSwzLzMwLzExKQ==&amp;WINDOW=FIRST_POPUP&amp;HEIGHT=450&amp;WIDTH=450&amp;","START_MAXIMIZED=FALSE&amp;VAR:CALENDAR=US&amp;VAR:SYMBOL=KO&amp;VAR:INDEX=0"}</definedName>
    <definedName name="_1576__FDSAUDITLINK__" localSheetId="0" hidden="1">{"fdsup://directions/FAT Viewer?action=UPDATE&amp;creator=factset&amp;DYN_ARGS=TRUE&amp;DOC_NAME=FAT:FQL_AUDITING_CLIENT_TEMPLATE.FAT&amp;display_string=Audit&amp;VAR:KEY=QBGDUDWXUT&amp;VAR:QUERY=RkZfRElWX1lMRChBTk4sMy8yMy8xMSwzLzIzLzExKQ==&amp;WINDOW=FIRST_POPUP&amp;HEIGHT=450&amp;WIDTH=450&amp;","START_MAXIMIZED=FALSE&amp;VAR:CALENDAR=US&amp;VAR:SYMBOL=KO&amp;VAR:INDEX=0"}</definedName>
    <definedName name="_1576__FDSAUDITLINK__" hidden="1">{"fdsup://directions/FAT Viewer?action=UPDATE&amp;creator=factset&amp;DYN_ARGS=TRUE&amp;DOC_NAME=FAT:FQL_AUDITING_CLIENT_TEMPLATE.FAT&amp;display_string=Audit&amp;VAR:KEY=QBGDUDWXUT&amp;VAR:QUERY=RkZfRElWX1lMRChBTk4sMy8yMy8xMSwzLzIzLzExKQ==&amp;WINDOW=FIRST_POPUP&amp;HEIGHT=450&amp;WIDTH=450&amp;","START_MAXIMIZED=FALSE&amp;VAR:CALENDAR=US&amp;VAR:SYMBOL=KO&amp;VAR:INDEX=0"}</definedName>
    <definedName name="_1577__FDSAUDITLINK__" localSheetId="0" hidden="1">{"fdsup://directions/FAT Viewer?action=UPDATE&amp;creator=factset&amp;DYN_ARGS=TRUE&amp;DOC_NAME=FAT:FQL_AUDITING_CLIENT_TEMPLATE.FAT&amp;display_string=Audit&amp;VAR:KEY=GXYJWJGHSL&amp;VAR:QUERY=RkZfRElWX1lMRChBTk4sMy8xNi8xMSwzLzE2LzExKQ==&amp;WINDOW=FIRST_POPUP&amp;HEIGHT=450&amp;WIDTH=450&amp;","START_MAXIMIZED=FALSE&amp;VAR:CALENDAR=US&amp;VAR:SYMBOL=KO&amp;VAR:INDEX=0"}</definedName>
    <definedName name="_1577__FDSAUDITLINK__" hidden="1">{"fdsup://directions/FAT Viewer?action=UPDATE&amp;creator=factset&amp;DYN_ARGS=TRUE&amp;DOC_NAME=FAT:FQL_AUDITING_CLIENT_TEMPLATE.FAT&amp;display_string=Audit&amp;VAR:KEY=GXYJWJGHSL&amp;VAR:QUERY=RkZfRElWX1lMRChBTk4sMy8xNi8xMSwzLzE2LzExKQ==&amp;WINDOW=FIRST_POPUP&amp;HEIGHT=450&amp;WIDTH=450&amp;","START_MAXIMIZED=FALSE&amp;VAR:CALENDAR=US&amp;VAR:SYMBOL=KO&amp;VAR:INDEX=0"}</definedName>
    <definedName name="_1578__FDSAUDITLINK__" localSheetId="0" hidden="1">{"fdsup://directions/FAT Viewer?action=UPDATE&amp;creator=factset&amp;DYN_ARGS=TRUE&amp;DOC_NAME=FAT:FQL_AUDITING_CLIENT_TEMPLATE.FAT&amp;display_string=Audit&amp;VAR:KEY=KFYPERMDUN&amp;VAR:QUERY=RkZfRElWX1lMRChBTk4sMy8wOS8xMSwzLzA5LzExKQ==&amp;WINDOW=FIRST_POPUP&amp;HEIGHT=450&amp;WIDTH=450&amp;","START_MAXIMIZED=FALSE&amp;VAR:CALENDAR=US&amp;VAR:SYMBOL=KO&amp;VAR:INDEX=0"}</definedName>
    <definedName name="_1578__FDSAUDITLINK__" hidden="1">{"fdsup://directions/FAT Viewer?action=UPDATE&amp;creator=factset&amp;DYN_ARGS=TRUE&amp;DOC_NAME=FAT:FQL_AUDITING_CLIENT_TEMPLATE.FAT&amp;display_string=Audit&amp;VAR:KEY=KFYPERMDUN&amp;VAR:QUERY=RkZfRElWX1lMRChBTk4sMy8wOS8xMSwzLzA5LzExKQ==&amp;WINDOW=FIRST_POPUP&amp;HEIGHT=450&amp;WIDTH=450&amp;","START_MAXIMIZED=FALSE&amp;VAR:CALENDAR=US&amp;VAR:SYMBOL=KO&amp;VAR:INDEX=0"}</definedName>
    <definedName name="_1579__FDSAUDITLINK__" localSheetId="0" hidden="1">{"fdsup://directions/FAT Viewer?action=UPDATE&amp;creator=factset&amp;DYN_ARGS=TRUE&amp;DOC_NAME=FAT:FQL_AUDITING_CLIENT_TEMPLATE.FAT&amp;display_string=Audit&amp;VAR:KEY=IVYNOVADCB&amp;VAR:QUERY=RkZfRElWX1lMRChBTk4sMy8wMi8xMSwzLzAyLzExKQ==&amp;WINDOW=FIRST_POPUP&amp;HEIGHT=450&amp;WIDTH=450&amp;","START_MAXIMIZED=FALSE&amp;VAR:CALENDAR=US&amp;VAR:SYMBOL=KO&amp;VAR:INDEX=0"}</definedName>
    <definedName name="_1579__FDSAUDITLINK__" hidden="1">{"fdsup://directions/FAT Viewer?action=UPDATE&amp;creator=factset&amp;DYN_ARGS=TRUE&amp;DOC_NAME=FAT:FQL_AUDITING_CLIENT_TEMPLATE.FAT&amp;display_string=Audit&amp;VAR:KEY=IVYNOVADCB&amp;VAR:QUERY=RkZfRElWX1lMRChBTk4sMy8wMi8xMSwzLzAyLzExKQ==&amp;WINDOW=FIRST_POPUP&amp;HEIGHT=450&amp;WIDTH=450&amp;","START_MAXIMIZED=FALSE&amp;VAR:CALENDAR=US&amp;VAR:SYMBOL=KO&amp;VAR:INDEX=0"}</definedName>
    <definedName name="_158">#REF!</definedName>
    <definedName name="_158__FDSAUDITLINK__" localSheetId="0" hidden="1">{"fdsup://directions/FAT Viewer?action=UPDATE&amp;creator=factset&amp;DYN_ARGS=TRUE&amp;DOC_NAME=FAT:FQL_AUDITING_CLIENT_TEMPLATE.FAT&amp;display_string=Audit&amp;VAR:KEY=ZGDSFWJYPA&amp;VAR:QUERY=RkZfRElWX1lMRChBTk4sMy8yNy8wOCwzLzI3LzA4KQ==&amp;WINDOW=FIRST_POPUP&amp;HEIGHT=450&amp;WIDTH=450&amp;","START_MAXIMIZED=FALSE&amp;VAR:CALENDAR=US&amp;VAR:SYMBOL=RAI&amp;VAR:INDEX=0"}</definedName>
    <definedName name="_158__FDSAUDITLINK__" hidden="1">{"fdsup://directions/FAT Viewer?action=UPDATE&amp;creator=factset&amp;DYN_ARGS=TRUE&amp;DOC_NAME=FAT:FQL_AUDITING_CLIENT_TEMPLATE.FAT&amp;display_string=Audit&amp;VAR:KEY=ZGDSFWJYPA&amp;VAR:QUERY=RkZfRElWX1lMRChBTk4sMy8yNy8wOCwzLzI3LzA4KQ==&amp;WINDOW=FIRST_POPUP&amp;HEIGHT=450&amp;WIDTH=450&amp;","START_MAXIMIZED=FALSE&amp;VAR:CALENDAR=US&amp;VAR:SYMBOL=RAI&amp;VAR:INDEX=0"}</definedName>
    <definedName name="_1580">#REF!</definedName>
    <definedName name="_1580__FDSAUDITLINK__" localSheetId="0" hidden="1">{"fdsup://directions/FAT Viewer?action=UPDATE&amp;creator=factset&amp;DYN_ARGS=TRUE&amp;DOC_NAME=FAT:FQL_AUDITING_CLIENT_TEMPLATE.FAT&amp;display_string=Audit&amp;VAR:KEY=AFUNIBUJAD&amp;VAR:QUERY=RkZfRElWX1lMRChBTk4sMi8yMy8xMSwyLzIzLzExKQ==&amp;WINDOW=FIRST_POPUP&amp;HEIGHT=450&amp;WIDTH=450&amp;","START_MAXIMIZED=FALSE&amp;VAR:CALENDAR=US&amp;VAR:SYMBOL=KO&amp;VAR:INDEX=0"}</definedName>
    <definedName name="_1580__FDSAUDITLINK__" hidden="1">{"fdsup://directions/FAT Viewer?action=UPDATE&amp;creator=factset&amp;DYN_ARGS=TRUE&amp;DOC_NAME=FAT:FQL_AUDITING_CLIENT_TEMPLATE.FAT&amp;display_string=Audit&amp;VAR:KEY=AFUNIBUJAD&amp;VAR:QUERY=RkZfRElWX1lMRChBTk4sMi8yMy8xMSwyLzIzLzExKQ==&amp;WINDOW=FIRST_POPUP&amp;HEIGHT=450&amp;WIDTH=450&amp;","START_MAXIMIZED=FALSE&amp;VAR:CALENDAR=US&amp;VAR:SYMBOL=KO&amp;VAR:INDEX=0"}</definedName>
    <definedName name="_1581__FDSAUDITLINK__" localSheetId="0" hidden="1">{"fdsup://directions/FAT Viewer?action=UPDATE&amp;creator=factset&amp;DYN_ARGS=TRUE&amp;DOC_NAME=FAT:FQL_AUDITING_CLIENT_TEMPLATE.FAT&amp;display_string=Audit&amp;VAR:KEY=YBIRIPQFSZ&amp;VAR:QUERY=RkZfRElWX1lMRChBTk4sMi8xNi8xMSwyLzE2LzExKQ==&amp;WINDOW=FIRST_POPUP&amp;HEIGHT=450&amp;WIDTH=450&amp;","START_MAXIMIZED=FALSE&amp;VAR:CALENDAR=US&amp;VAR:SYMBOL=KO&amp;VAR:INDEX=0"}</definedName>
    <definedName name="_1581__FDSAUDITLINK__" hidden="1">{"fdsup://directions/FAT Viewer?action=UPDATE&amp;creator=factset&amp;DYN_ARGS=TRUE&amp;DOC_NAME=FAT:FQL_AUDITING_CLIENT_TEMPLATE.FAT&amp;display_string=Audit&amp;VAR:KEY=YBIRIPQFSZ&amp;VAR:QUERY=RkZfRElWX1lMRChBTk4sMi8xNi8xMSwyLzE2LzExKQ==&amp;WINDOW=FIRST_POPUP&amp;HEIGHT=450&amp;WIDTH=450&amp;","START_MAXIMIZED=FALSE&amp;VAR:CALENDAR=US&amp;VAR:SYMBOL=KO&amp;VAR:INDEX=0"}</definedName>
    <definedName name="_1582__FDSAUDITLINK__" localSheetId="0" hidden="1">{"fdsup://directions/FAT Viewer?action=UPDATE&amp;creator=factset&amp;DYN_ARGS=TRUE&amp;DOC_NAME=FAT:FQL_AUDITING_CLIENT_TEMPLATE.FAT&amp;display_string=Audit&amp;VAR:KEY=GPYBKPWPMF&amp;VAR:QUERY=RkZfRElWX1lMRChBTk4sMi8wOS8xMSwyLzA5LzExKQ==&amp;WINDOW=FIRST_POPUP&amp;HEIGHT=450&amp;WIDTH=450&amp;","START_MAXIMIZED=FALSE&amp;VAR:CALENDAR=US&amp;VAR:SYMBOL=KO&amp;VAR:INDEX=0"}</definedName>
    <definedName name="_1582__FDSAUDITLINK__" hidden="1">{"fdsup://directions/FAT Viewer?action=UPDATE&amp;creator=factset&amp;DYN_ARGS=TRUE&amp;DOC_NAME=FAT:FQL_AUDITING_CLIENT_TEMPLATE.FAT&amp;display_string=Audit&amp;VAR:KEY=GPYBKPWPMF&amp;VAR:QUERY=RkZfRElWX1lMRChBTk4sMi8wOS8xMSwyLzA5LzExKQ==&amp;WINDOW=FIRST_POPUP&amp;HEIGHT=450&amp;WIDTH=450&amp;","START_MAXIMIZED=FALSE&amp;VAR:CALENDAR=US&amp;VAR:SYMBOL=KO&amp;VAR:INDEX=0"}</definedName>
    <definedName name="_1583__FDSAUDITLINK__" localSheetId="0" hidden="1">{"fdsup://directions/FAT Viewer?action=UPDATE&amp;creator=factset&amp;DYN_ARGS=TRUE&amp;DOC_NAME=FAT:FQL_AUDITING_CLIENT_TEMPLATE.FAT&amp;display_string=Audit&amp;VAR:KEY=OFENIPYZUH&amp;VAR:QUERY=RkZfRElWX1lMRChBTk4sMi8wMi8xMSwyLzAyLzExKQ==&amp;WINDOW=FIRST_POPUP&amp;HEIGHT=450&amp;WIDTH=450&amp;","START_MAXIMIZED=FALSE&amp;VAR:CALENDAR=US&amp;VAR:SYMBOL=KO&amp;VAR:INDEX=0"}</definedName>
    <definedName name="_1583__FDSAUDITLINK__" hidden="1">{"fdsup://directions/FAT Viewer?action=UPDATE&amp;creator=factset&amp;DYN_ARGS=TRUE&amp;DOC_NAME=FAT:FQL_AUDITING_CLIENT_TEMPLATE.FAT&amp;display_string=Audit&amp;VAR:KEY=OFENIPYZUH&amp;VAR:QUERY=RkZfRElWX1lMRChBTk4sMi8wMi8xMSwyLzAyLzExKQ==&amp;WINDOW=FIRST_POPUP&amp;HEIGHT=450&amp;WIDTH=450&amp;","START_MAXIMIZED=FALSE&amp;VAR:CALENDAR=US&amp;VAR:SYMBOL=KO&amp;VAR:INDEX=0"}</definedName>
    <definedName name="_1584__FDSAUDITLINK__" localSheetId="0" hidden="1">{"fdsup://directions/FAT Viewer?action=UPDATE&amp;creator=factset&amp;DYN_ARGS=TRUE&amp;DOC_NAME=FAT:FQL_AUDITING_CLIENT_TEMPLATE.FAT&amp;display_string=Audit&amp;VAR:KEY=YTSTAHALYR&amp;VAR:QUERY=RkZfRElWX1lMRChBTk4sMS8yNi8xMSwxLzI2LzExKQ==&amp;WINDOW=FIRST_POPUP&amp;HEIGHT=450&amp;WIDTH=450&amp;","START_MAXIMIZED=FALSE&amp;VAR:CALENDAR=US&amp;VAR:SYMBOL=KO&amp;VAR:INDEX=0"}</definedName>
    <definedName name="_1584__FDSAUDITLINK__" hidden="1">{"fdsup://directions/FAT Viewer?action=UPDATE&amp;creator=factset&amp;DYN_ARGS=TRUE&amp;DOC_NAME=FAT:FQL_AUDITING_CLIENT_TEMPLATE.FAT&amp;display_string=Audit&amp;VAR:KEY=YTSTAHALYR&amp;VAR:QUERY=RkZfRElWX1lMRChBTk4sMS8yNi8xMSwxLzI2LzExKQ==&amp;WINDOW=FIRST_POPUP&amp;HEIGHT=450&amp;WIDTH=450&amp;","START_MAXIMIZED=FALSE&amp;VAR:CALENDAR=US&amp;VAR:SYMBOL=KO&amp;VAR:INDEX=0"}</definedName>
    <definedName name="_1585__FDSAUDITLINK__" localSheetId="0" hidden="1">{"fdsup://directions/FAT Viewer?action=UPDATE&amp;creator=factset&amp;DYN_ARGS=TRUE&amp;DOC_NAME=FAT:FQL_AUDITING_CLIENT_TEMPLATE.FAT&amp;display_string=Audit&amp;VAR:KEY=KJWVYDCPKP&amp;VAR:QUERY=RkZfRElWX1lMRChBTk4sMS8xOS8xMSwxLzE5LzExKQ==&amp;WINDOW=FIRST_POPUP&amp;HEIGHT=450&amp;WIDTH=450&amp;","START_MAXIMIZED=FALSE&amp;VAR:CALENDAR=US&amp;VAR:SYMBOL=KO&amp;VAR:INDEX=0"}</definedName>
    <definedName name="_1585__FDSAUDITLINK__" hidden="1">{"fdsup://directions/FAT Viewer?action=UPDATE&amp;creator=factset&amp;DYN_ARGS=TRUE&amp;DOC_NAME=FAT:FQL_AUDITING_CLIENT_TEMPLATE.FAT&amp;display_string=Audit&amp;VAR:KEY=KJWVYDCPKP&amp;VAR:QUERY=RkZfRElWX1lMRChBTk4sMS8xOS8xMSwxLzE5LzExKQ==&amp;WINDOW=FIRST_POPUP&amp;HEIGHT=450&amp;WIDTH=450&amp;","START_MAXIMIZED=FALSE&amp;VAR:CALENDAR=US&amp;VAR:SYMBOL=KO&amp;VAR:INDEX=0"}</definedName>
    <definedName name="_1586__FDSAUDITLINK__" localSheetId="0" hidden="1">{"fdsup://directions/FAT Viewer?action=UPDATE&amp;creator=factset&amp;DYN_ARGS=TRUE&amp;DOC_NAME=FAT:FQL_AUDITING_CLIENT_TEMPLATE.FAT&amp;display_string=Audit&amp;VAR:KEY=IHSVODWZAX&amp;VAR:QUERY=RkZfRElWX1lMRChBTk4sMS8xMi8xMSwxLzEyLzExKQ==&amp;WINDOW=FIRST_POPUP&amp;HEIGHT=450&amp;WIDTH=450&amp;","START_MAXIMIZED=FALSE&amp;VAR:CALENDAR=US&amp;VAR:SYMBOL=KO&amp;VAR:INDEX=0"}</definedName>
    <definedName name="_1586__FDSAUDITLINK__" hidden="1">{"fdsup://directions/FAT Viewer?action=UPDATE&amp;creator=factset&amp;DYN_ARGS=TRUE&amp;DOC_NAME=FAT:FQL_AUDITING_CLIENT_TEMPLATE.FAT&amp;display_string=Audit&amp;VAR:KEY=IHSVODWZAX&amp;VAR:QUERY=RkZfRElWX1lMRChBTk4sMS8xMi8xMSwxLzEyLzExKQ==&amp;WINDOW=FIRST_POPUP&amp;HEIGHT=450&amp;WIDTH=450&amp;","START_MAXIMIZED=FALSE&amp;VAR:CALENDAR=US&amp;VAR:SYMBOL=KO&amp;VAR:INDEX=0"}</definedName>
    <definedName name="_1587__FDSAUDITLINK__" localSheetId="0" hidden="1">{"fdsup://directions/FAT Viewer?action=UPDATE&amp;creator=factset&amp;DYN_ARGS=TRUE&amp;DOC_NAME=FAT:FQL_AUDITING_CLIENT_TEMPLATE.FAT&amp;display_string=Audit&amp;VAR:KEY=CDQDOFCFCT&amp;VAR:QUERY=RkZfRElWX1lMRChBTk4sMS8wNS8xMSwxLzA1LzExKQ==&amp;WINDOW=FIRST_POPUP&amp;HEIGHT=450&amp;WIDTH=450&amp;","START_MAXIMIZED=FALSE&amp;VAR:CALENDAR=US&amp;VAR:SYMBOL=KO&amp;VAR:INDEX=0"}</definedName>
    <definedName name="_1587__FDSAUDITLINK__" hidden="1">{"fdsup://directions/FAT Viewer?action=UPDATE&amp;creator=factset&amp;DYN_ARGS=TRUE&amp;DOC_NAME=FAT:FQL_AUDITING_CLIENT_TEMPLATE.FAT&amp;display_string=Audit&amp;VAR:KEY=CDQDOFCFCT&amp;VAR:QUERY=RkZfRElWX1lMRChBTk4sMS8wNS8xMSwxLzA1LzExKQ==&amp;WINDOW=FIRST_POPUP&amp;HEIGHT=450&amp;WIDTH=450&amp;","START_MAXIMIZED=FALSE&amp;VAR:CALENDAR=US&amp;VAR:SYMBOL=KO&amp;VAR:INDEX=0"}</definedName>
    <definedName name="_1588">#REF!</definedName>
    <definedName name="_1588__FDSAUDITLINK__" localSheetId="0" hidden="1">{"fdsup://directions/FAT Viewer?action=UPDATE&amp;creator=factset&amp;DYN_ARGS=TRUE&amp;DOC_NAME=FAT:FQL_AUDITING_CLIENT_TEMPLATE.FAT&amp;display_string=Audit&amp;VAR:KEY=GFCVUBEBAN&amp;VAR:QUERY=RkZfRElWX1lMRChBTk4sMTIvMjkvMTAsMTIvMjkvMTAp&amp;WINDOW=FIRST_POPUP&amp;HEIGHT=450&amp;WIDTH=450&amp;","START_MAXIMIZED=FALSE&amp;VAR:CALENDAR=US&amp;VAR:SYMBOL=KO&amp;VAR:INDEX=0"}</definedName>
    <definedName name="_1588__FDSAUDITLINK__" hidden="1">{"fdsup://directions/FAT Viewer?action=UPDATE&amp;creator=factset&amp;DYN_ARGS=TRUE&amp;DOC_NAME=FAT:FQL_AUDITING_CLIENT_TEMPLATE.FAT&amp;display_string=Audit&amp;VAR:KEY=GFCVUBEBAN&amp;VAR:QUERY=RkZfRElWX1lMRChBTk4sMTIvMjkvMTAsMTIvMjkvMTAp&amp;WINDOW=FIRST_POPUP&amp;HEIGHT=450&amp;WIDTH=450&amp;","START_MAXIMIZED=FALSE&amp;VAR:CALENDAR=US&amp;VAR:SYMBOL=KO&amp;VAR:INDEX=0"}</definedName>
    <definedName name="_1589__FDSAUDITLINK__" localSheetId="0" hidden="1">{"fdsup://directions/FAT Viewer?action=UPDATE&amp;creator=factset&amp;DYN_ARGS=TRUE&amp;DOC_NAME=FAT:FQL_AUDITING_CLIENT_TEMPLATE.FAT&amp;display_string=Audit&amp;VAR:KEY=UBCHSXCBOV&amp;VAR:QUERY=RkZfRElWX1lMRChBTk4sMTIvMjIvMTAsMTIvMjIvMTAp&amp;WINDOW=FIRST_POPUP&amp;HEIGHT=450&amp;WIDTH=450&amp;","START_MAXIMIZED=FALSE&amp;VAR:CALENDAR=US&amp;VAR:SYMBOL=KO&amp;VAR:INDEX=0"}</definedName>
    <definedName name="_1589__FDSAUDITLINK__" hidden="1">{"fdsup://directions/FAT Viewer?action=UPDATE&amp;creator=factset&amp;DYN_ARGS=TRUE&amp;DOC_NAME=FAT:FQL_AUDITING_CLIENT_TEMPLATE.FAT&amp;display_string=Audit&amp;VAR:KEY=UBCHSXCBOV&amp;VAR:QUERY=RkZfRElWX1lMRChBTk4sMTIvMjIvMTAsMTIvMjIvMTAp&amp;WINDOW=FIRST_POPUP&amp;HEIGHT=450&amp;WIDTH=450&amp;","START_MAXIMIZED=FALSE&amp;VAR:CALENDAR=US&amp;VAR:SYMBOL=KO&amp;VAR:INDEX=0"}</definedName>
    <definedName name="_159">#REF!</definedName>
    <definedName name="_159__FDSAUDITLINK__" localSheetId="0" hidden="1">{"fdsup://directions/FAT Viewer?action=UPDATE&amp;creator=factset&amp;DYN_ARGS=TRUE&amp;DOC_NAME=FAT:FQL_AUDITING_CLIENT_TEMPLATE.FAT&amp;display_string=Audit&amp;VAR:KEY=DADYDUHAJC&amp;VAR:QUERY=RkZfRElWX1lMRChBTk4sMy8yMC8wOCwzLzIwLzA4KQ==&amp;WINDOW=FIRST_POPUP&amp;HEIGHT=450&amp;WIDTH=450&amp;","START_MAXIMIZED=FALSE&amp;VAR:CALENDAR=US&amp;VAR:SYMBOL=RAI&amp;VAR:INDEX=0"}</definedName>
    <definedName name="_159__FDSAUDITLINK__" hidden="1">{"fdsup://directions/FAT Viewer?action=UPDATE&amp;creator=factset&amp;DYN_ARGS=TRUE&amp;DOC_NAME=FAT:FQL_AUDITING_CLIENT_TEMPLATE.FAT&amp;display_string=Audit&amp;VAR:KEY=DADYDUHAJC&amp;VAR:QUERY=RkZfRElWX1lMRChBTk4sMy8yMC8wOCwzLzIwLzA4KQ==&amp;WINDOW=FIRST_POPUP&amp;HEIGHT=450&amp;WIDTH=450&amp;","START_MAXIMIZED=FALSE&amp;VAR:CALENDAR=US&amp;VAR:SYMBOL=RAI&amp;VAR:INDEX=0"}</definedName>
    <definedName name="_1590__FDSAUDITLINK__" localSheetId="0" hidden="1">{"fdsup://directions/FAT Viewer?action=UPDATE&amp;creator=factset&amp;DYN_ARGS=TRUE&amp;DOC_NAME=FAT:FQL_AUDITING_CLIENT_TEMPLATE.FAT&amp;display_string=Audit&amp;VAR:KEY=QHAFQLQVAV&amp;VAR:QUERY=RkZfRElWX1lMRChBTk4sMTIvMTUvMTAsMTIvMTUvMTAp&amp;WINDOW=FIRST_POPUP&amp;HEIGHT=450&amp;WIDTH=450&amp;","START_MAXIMIZED=FALSE&amp;VAR:CALENDAR=US&amp;VAR:SYMBOL=KO&amp;VAR:INDEX=0"}</definedName>
    <definedName name="_1590__FDSAUDITLINK__" hidden="1">{"fdsup://directions/FAT Viewer?action=UPDATE&amp;creator=factset&amp;DYN_ARGS=TRUE&amp;DOC_NAME=FAT:FQL_AUDITING_CLIENT_TEMPLATE.FAT&amp;display_string=Audit&amp;VAR:KEY=QHAFQLQVAV&amp;VAR:QUERY=RkZfRElWX1lMRChBTk4sMTIvMTUvMTAsMTIvMTUvMTAp&amp;WINDOW=FIRST_POPUP&amp;HEIGHT=450&amp;WIDTH=450&amp;","START_MAXIMIZED=FALSE&amp;VAR:CALENDAR=US&amp;VAR:SYMBOL=KO&amp;VAR:INDEX=0"}</definedName>
    <definedName name="_1591">#REF!</definedName>
    <definedName name="_1591__FDSAUDITLINK__" localSheetId="0" hidden="1">{"fdsup://directions/FAT Viewer?action=UPDATE&amp;creator=factset&amp;DYN_ARGS=TRUE&amp;DOC_NAME=FAT:FQL_AUDITING_CLIENT_TEMPLATE.FAT&amp;display_string=Audit&amp;VAR:KEY=YFCLGTCXAF&amp;VAR:QUERY=RkZfRElWX1lMRChBTk4sMTIvMDgvMTAsMTIvMDgvMTAp&amp;WINDOW=FIRST_POPUP&amp;HEIGHT=450&amp;WIDTH=450&amp;","START_MAXIMIZED=FALSE&amp;VAR:CALENDAR=US&amp;VAR:SYMBOL=KO&amp;VAR:INDEX=0"}</definedName>
    <definedName name="_1591__FDSAUDITLINK__" hidden="1">{"fdsup://directions/FAT Viewer?action=UPDATE&amp;creator=factset&amp;DYN_ARGS=TRUE&amp;DOC_NAME=FAT:FQL_AUDITING_CLIENT_TEMPLATE.FAT&amp;display_string=Audit&amp;VAR:KEY=YFCLGTCXAF&amp;VAR:QUERY=RkZfRElWX1lMRChBTk4sMTIvMDgvMTAsMTIvMDgvMTAp&amp;WINDOW=FIRST_POPUP&amp;HEIGHT=450&amp;WIDTH=450&amp;","START_MAXIMIZED=FALSE&amp;VAR:CALENDAR=US&amp;VAR:SYMBOL=KO&amp;VAR:INDEX=0"}</definedName>
    <definedName name="_1592">#REF!</definedName>
    <definedName name="_1592__FDSAUDITLINK__" localSheetId="0" hidden="1">{"fdsup://directions/FAT Viewer?action=UPDATE&amp;creator=factset&amp;DYN_ARGS=TRUE&amp;DOC_NAME=FAT:FQL_AUDITING_CLIENT_TEMPLATE.FAT&amp;display_string=Audit&amp;VAR:KEY=ETCHEFEZAD&amp;VAR:QUERY=RkZfRElWX1lMRChBTk4sMTIvMDEvMTAsMTIvMDEvMTAp&amp;WINDOW=FIRST_POPUP&amp;HEIGHT=450&amp;WIDTH=450&amp;","START_MAXIMIZED=FALSE&amp;VAR:CALENDAR=US&amp;VAR:SYMBOL=KO&amp;VAR:INDEX=0"}</definedName>
    <definedName name="_1592__FDSAUDITLINK__" hidden="1">{"fdsup://directions/FAT Viewer?action=UPDATE&amp;creator=factset&amp;DYN_ARGS=TRUE&amp;DOC_NAME=FAT:FQL_AUDITING_CLIENT_TEMPLATE.FAT&amp;display_string=Audit&amp;VAR:KEY=ETCHEFEZAD&amp;VAR:QUERY=RkZfRElWX1lMRChBTk4sMTIvMDEvMTAsMTIvMDEvMTAp&amp;WINDOW=FIRST_POPUP&amp;HEIGHT=450&amp;WIDTH=450&amp;","START_MAXIMIZED=FALSE&amp;VAR:CALENDAR=US&amp;VAR:SYMBOL=KO&amp;VAR:INDEX=0"}</definedName>
    <definedName name="_1593">#REF!</definedName>
    <definedName name="_1593__FDSAUDITLINK__" localSheetId="0" hidden="1">{"fdsup://directions/FAT Viewer?action=UPDATE&amp;creator=factset&amp;DYN_ARGS=TRUE&amp;DOC_NAME=FAT:FQL_AUDITING_CLIENT_TEMPLATE.FAT&amp;display_string=Audit&amp;VAR:KEY=YVKJWROZWB&amp;VAR:QUERY=RkZfRElWX1lMRChBTk4sMTEvMjQvMTAsMTEvMjQvMTAp&amp;WINDOW=FIRST_POPUP&amp;HEIGHT=450&amp;WIDTH=450&amp;","START_MAXIMIZED=FALSE&amp;VAR:CALENDAR=US&amp;VAR:SYMBOL=KO&amp;VAR:INDEX=0"}</definedName>
    <definedName name="_1593__FDSAUDITLINK__" hidden="1">{"fdsup://directions/FAT Viewer?action=UPDATE&amp;creator=factset&amp;DYN_ARGS=TRUE&amp;DOC_NAME=FAT:FQL_AUDITING_CLIENT_TEMPLATE.FAT&amp;display_string=Audit&amp;VAR:KEY=YVKJWROZWB&amp;VAR:QUERY=RkZfRElWX1lMRChBTk4sMTEvMjQvMTAsMTEvMjQvMTAp&amp;WINDOW=FIRST_POPUP&amp;HEIGHT=450&amp;WIDTH=450&amp;","START_MAXIMIZED=FALSE&amp;VAR:CALENDAR=US&amp;VAR:SYMBOL=KO&amp;VAR:INDEX=0"}</definedName>
    <definedName name="_1594">#REF!</definedName>
    <definedName name="_1594__FDSAUDITLINK__" localSheetId="0" hidden="1">{"fdsup://directions/FAT Viewer?action=UPDATE&amp;creator=factset&amp;DYN_ARGS=TRUE&amp;DOC_NAME=FAT:FQL_AUDITING_CLIENT_TEMPLATE.FAT&amp;display_string=Audit&amp;VAR:KEY=MFWXAVIVOT&amp;VAR:QUERY=RkZfRElWX1lMRChBTk4sMTEvMTcvMTAsMTEvMTcvMTAp&amp;WINDOW=FIRST_POPUP&amp;HEIGHT=450&amp;WIDTH=450&amp;","START_MAXIMIZED=FALSE&amp;VAR:CALENDAR=US&amp;VAR:SYMBOL=KO&amp;VAR:INDEX=0"}</definedName>
    <definedName name="_1594__FDSAUDITLINK__" hidden="1">{"fdsup://directions/FAT Viewer?action=UPDATE&amp;creator=factset&amp;DYN_ARGS=TRUE&amp;DOC_NAME=FAT:FQL_AUDITING_CLIENT_TEMPLATE.FAT&amp;display_string=Audit&amp;VAR:KEY=MFWXAVIVOT&amp;VAR:QUERY=RkZfRElWX1lMRChBTk4sMTEvMTcvMTAsMTEvMTcvMTAp&amp;WINDOW=FIRST_POPUP&amp;HEIGHT=450&amp;WIDTH=450&amp;","START_MAXIMIZED=FALSE&amp;VAR:CALENDAR=US&amp;VAR:SYMBOL=KO&amp;VAR:INDEX=0"}</definedName>
    <definedName name="_1595">#REF!</definedName>
    <definedName name="_1595__FDSAUDITLINK__" localSheetId="0" hidden="1">{"fdsup://directions/FAT Viewer?action=UPDATE&amp;creator=factset&amp;DYN_ARGS=TRUE&amp;DOC_NAME=FAT:FQL_AUDITING_CLIENT_TEMPLATE.FAT&amp;display_string=Audit&amp;VAR:KEY=KNYVKZQFSX&amp;VAR:QUERY=RkZfRElWX1lMRChBTk4sMTEvMTAvMTAsMTEvMTAvMTAp&amp;WINDOW=FIRST_POPUP&amp;HEIGHT=450&amp;WIDTH=450&amp;","START_MAXIMIZED=FALSE&amp;VAR:CALENDAR=US&amp;VAR:SYMBOL=KO&amp;VAR:INDEX=0"}</definedName>
    <definedName name="_1595__FDSAUDITLINK__" hidden="1">{"fdsup://directions/FAT Viewer?action=UPDATE&amp;creator=factset&amp;DYN_ARGS=TRUE&amp;DOC_NAME=FAT:FQL_AUDITING_CLIENT_TEMPLATE.FAT&amp;display_string=Audit&amp;VAR:KEY=KNYVKZQFSX&amp;VAR:QUERY=RkZfRElWX1lMRChBTk4sMTEvMTAvMTAsMTEvMTAvMTAp&amp;WINDOW=FIRST_POPUP&amp;HEIGHT=450&amp;WIDTH=450&amp;","START_MAXIMIZED=FALSE&amp;VAR:CALENDAR=US&amp;VAR:SYMBOL=KO&amp;VAR:INDEX=0"}</definedName>
    <definedName name="_1596">#REF!</definedName>
    <definedName name="_1596__FDSAUDITLINK__" localSheetId="0" hidden="1">{"fdsup://directions/FAT Viewer?action=UPDATE&amp;creator=factset&amp;DYN_ARGS=TRUE&amp;DOC_NAME=FAT:FQL_AUDITING_CLIENT_TEMPLATE.FAT&amp;display_string=Audit&amp;VAR:KEY=EBIPONMPAV&amp;VAR:QUERY=RkZfRElWX1lMRChBTk4sMTEvMDMvMTAsMTEvMDMvMTAp&amp;WINDOW=FIRST_POPUP&amp;HEIGHT=450&amp;WIDTH=450&amp;","START_MAXIMIZED=FALSE&amp;VAR:CALENDAR=US&amp;VAR:SYMBOL=KO&amp;VAR:INDEX=0"}</definedName>
    <definedName name="_1596__FDSAUDITLINK__" hidden="1">{"fdsup://directions/FAT Viewer?action=UPDATE&amp;creator=factset&amp;DYN_ARGS=TRUE&amp;DOC_NAME=FAT:FQL_AUDITING_CLIENT_TEMPLATE.FAT&amp;display_string=Audit&amp;VAR:KEY=EBIPONMPAV&amp;VAR:QUERY=RkZfRElWX1lMRChBTk4sMTEvMDMvMTAsMTEvMDMvMTAp&amp;WINDOW=FIRST_POPUP&amp;HEIGHT=450&amp;WIDTH=450&amp;","START_MAXIMIZED=FALSE&amp;VAR:CALENDAR=US&amp;VAR:SYMBOL=KO&amp;VAR:INDEX=0"}</definedName>
    <definedName name="_1597">#REF!</definedName>
    <definedName name="_1597__FDSAUDITLINK__" localSheetId="0" hidden="1">{"fdsup://directions/FAT Viewer?action=UPDATE&amp;creator=factset&amp;DYN_ARGS=TRUE&amp;DOC_NAME=FAT:FQL_AUDITING_CLIENT_TEMPLATE.FAT&amp;display_string=Audit&amp;VAR:KEY=IHUFQJAXCT&amp;VAR:QUERY=RkZfRElWX1lMRChBTk4sMTAvMjcvMTAsMTAvMjcvMTAp&amp;WINDOW=FIRST_POPUP&amp;HEIGHT=450&amp;WIDTH=450&amp;","START_MAXIMIZED=FALSE&amp;VAR:CALENDAR=US&amp;VAR:SYMBOL=KO&amp;VAR:INDEX=0"}</definedName>
    <definedName name="_1597__FDSAUDITLINK__" hidden="1">{"fdsup://directions/FAT Viewer?action=UPDATE&amp;creator=factset&amp;DYN_ARGS=TRUE&amp;DOC_NAME=FAT:FQL_AUDITING_CLIENT_TEMPLATE.FAT&amp;display_string=Audit&amp;VAR:KEY=IHUFQJAXCT&amp;VAR:QUERY=RkZfRElWX1lMRChBTk4sMTAvMjcvMTAsMTAvMjcvMTAp&amp;WINDOW=FIRST_POPUP&amp;HEIGHT=450&amp;WIDTH=450&amp;","START_MAXIMIZED=FALSE&amp;VAR:CALENDAR=US&amp;VAR:SYMBOL=KO&amp;VAR:INDEX=0"}</definedName>
    <definedName name="_1598">#REF!</definedName>
    <definedName name="_1598__FDSAUDITLINK__" localSheetId="0" hidden="1">{"fdsup://directions/FAT Viewer?action=UPDATE&amp;creator=factset&amp;DYN_ARGS=TRUE&amp;DOC_NAME=FAT:FQL_AUDITING_CLIENT_TEMPLATE.FAT&amp;display_string=Audit&amp;VAR:KEY=GBQXINWNKJ&amp;VAR:QUERY=RkZfRElWX1lMRChBTk4sMTAvMjAvMTAsMTAvMjAvMTAp&amp;WINDOW=FIRST_POPUP&amp;HEIGHT=450&amp;WIDTH=450&amp;","START_MAXIMIZED=FALSE&amp;VAR:CALENDAR=US&amp;VAR:SYMBOL=KO&amp;VAR:INDEX=0"}</definedName>
    <definedName name="_1598__FDSAUDITLINK__" hidden="1">{"fdsup://directions/FAT Viewer?action=UPDATE&amp;creator=factset&amp;DYN_ARGS=TRUE&amp;DOC_NAME=FAT:FQL_AUDITING_CLIENT_TEMPLATE.FAT&amp;display_string=Audit&amp;VAR:KEY=GBQXINWNKJ&amp;VAR:QUERY=RkZfRElWX1lMRChBTk4sMTAvMjAvMTAsMTAvMjAvMTAp&amp;WINDOW=FIRST_POPUP&amp;HEIGHT=450&amp;WIDTH=450&amp;","START_MAXIMIZED=FALSE&amp;VAR:CALENDAR=US&amp;VAR:SYMBOL=KO&amp;VAR:INDEX=0"}</definedName>
    <definedName name="_1599">#REF!</definedName>
    <definedName name="_1599__FDSAUDITLINK__" localSheetId="0" hidden="1">{"fdsup://directions/FAT Viewer?action=UPDATE&amp;creator=factset&amp;DYN_ARGS=TRUE&amp;DOC_NAME=FAT:FQL_AUDITING_CLIENT_TEMPLATE.FAT&amp;display_string=Audit&amp;VAR:KEY=IBANOHQBUP&amp;VAR:QUERY=RkZfRElWX1lMRChBTk4sMTAvMTMvMTAsMTAvMTMvMTAp&amp;WINDOW=FIRST_POPUP&amp;HEIGHT=450&amp;WIDTH=450&amp;","START_MAXIMIZED=FALSE&amp;VAR:CALENDAR=US&amp;VAR:SYMBOL=KO&amp;VAR:INDEX=0"}</definedName>
    <definedName name="_1599__FDSAUDITLINK__" hidden="1">{"fdsup://directions/FAT Viewer?action=UPDATE&amp;creator=factset&amp;DYN_ARGS=TRUE&amp;DOC_NAME=FAT:FQL_AUDITING_CLIENT_TEMPLATE.FAT&amp;display_string=Audit&amp;VAR:KEY=IBANOHQBUP&amp;VAR:QUERY=RkZfRElWX1lMRChBTk4sMTAvMTMvMTAsMTAvMTMvMTAp&amp;WINDOW=FIRST_POPUP&amp;HEIGHT=450&amp;WIDTH=450&amp;","START_MAXIMIZED=FALSE&amp;VAR:CALENDAR=US&amp;VAR:SYMBOL=KO&amp;VAR:INDEX=0"}</definedName>
    <definedName name="_15M_0_S" hidden="1">#REF!</definedName>
    <definedName name="_15s10_" hidden="1">{#N/A,#N/A,FALSE,"UNIT";#N/A,#N/A,FALSE,"UNIT";#N/A,#N/A,FALSE,"계정"}</definedName>
    <definedName name="_15s2_" hidden="1">{#N/A,#N/A,FALSE,"UNIT";#N/A,#N/A,FALSE,"UNIT";#N/A,#N/A,FALSE,"계정"}</definedName>
    <definedName name="_15s4_" hidden="1">{#N/A,#N/A,FALSE,"UNIT";#N/A,#N/A,FALSE,"UNIT";#N/A,#N/A,FALSE,"계정"}</definedName>
    <definedName name="_15s5_" hidden="1">{#N/A,#N/A,FALSE,"UNIT";#N/A,#N/A,FALSE,"UNIT";#N/A,#N/A,FALSE,"계정"}</definedName>
    <definedName name="_15Table2_" hidden="1">#REF!</definedName>
    <definedName name="_16">#REF!</definedName>
    <definedName name="_16_????_3">#REF!</definedName>
    <definedName name="_16_????8_3">#REF!</definedName>
    <definedName name="_16_??_3">#REF!</definedName>
    <definedName name="_16__________NOTE5_7">#REF!</definedName>
    <definedName name="_16__123Graph_ACHART_29" hidden="1">#REF!</definedName>
    <definedName name="_16__123Graph_ACHART_30" hidden="1">#REF!</definedName>
    <definedName name="_16__123Graph_AChart_8J">#REF!</definedName>
    <definedName name="_16__123Graph_ASENS_COMPARISON">#REF!</definedName>
    <definedName name="_16__123Graph_ASUPPLIES_BY_B_U">#REF!</definedName>
    <definedName name="_16__123Graph_AWAGES_BY_B_U">#REF!</definedName>
    <definedName name="_16__123Graph_BQRE_S_BY_CO.">#REF!</definedName>
    <definedName name="_16__123Graph_BQRE_S_BY_TYPE" hidden="1">#REF!</definedName>
    <definedName name="_16__123Graph_BSUPPLIES_BY_B_U">#REF!</definedName>
    <definedName name="_16__123Graph_BTAX_CREDIT">#REF!</definedName>
    <definedName name="_16__123Graph_CCONTRACT_BY_B_U" hidden="1">#REF!</definedName>
    <definedName name="_16__123Graph_CQRE_S_BY_CO.">#REF!</definedName>
    <definedName name="_16__123Graph_CSENS_COMPARISON">#REF!</definedName>
    <definedName name="_16__123Graph_CSUPPLIES_BY_B_U">#REF!</definedName>
    <definedName name="_16__FDSAUDITLINK__" localSheetId="0" hidden="1">{"fdsup://directions/FAT Viewer?action=UPDATE&amp;creator=factset&amp;DYN_ARGS=TRUE&amp;DOC_NAME=FAT:FQL_AUDITING_CLIENT_TEMPLATE.FAT&amp;display_string=Audit&amp;VAR:KEY=KJCLCHSFST&amp;VAR:QUERY=Q1NGX0RJVl9ZTEQoUVRSX1IsMy8zMC8yMDA3KQ==&amp;WINDOW=FIRST_POPUP&amp;HEIGHT=450&amp;WIDTH=450&amp;STAR","T_MAXIMIZED=FALSE&amp;VAR:CALENDAR=US&amp;VAR:SYMBOL=MO&amp;VAR:INDEX=0"}</definedName>
    <definedName name="_16__FDSAUDITLINK__" hidden="1">{"fdsup://directions/FAT Viewer?action=UPDATE&amp;creator=factset&amp;DYN_ARGS=TRUE&amp;DOC_NAME=FAT:FQL_AUDITING_CLIENT_TEMPLATE.FAT&amp;display_string=Audit&amp;VAR:KEY=KJCLCHSFST&amp;VAR:QUERY=Q1NGX0RJVl9ZTEQoUVRSX1IsMy8zMC8yMDA3KQ==&amp;WINDOW=FIRST_POPUP&amp;HEIGHT=450&amp;WIDTH=450&amp;STAR","T_MAXIMIZED=FALSE&amp;VAR:CALENDAR=US&amp;VAR:SYMBOL=MO&amp;VAR:INDEX=0"}</definedName>
    <definedName name="_16_0_Table2_">#REF!</definedName>
    <definedName name="_16_08_2000">#REF!</definedName>
    <definedName name="_16_3__1_CRADDIN_Headings">#REF!</definedName>
    <definedName name="_160__FDSAUDITLINK__" localSheetId="0" hidden="1">{"fdsup://directions/FAT Viewer?action=UPDATE&amp;creator=factset&amp;DYN_ARGS=TRUE&amp;DOC_NAME=FAT:FQL_AUDITING_CLIENT_TEMPLATE.FAT&amp;display_string=Audit&amp;VAR:KEY=RIBKTIRAFO&amp;VAR:QUERY=RkZfRElWX1lMRChBTk4sMy8xMy8wOCwzLzEzLzA4KQ==&amp;WINDOW=FIRST_POPUP&amp;HEIGHT=450&amp;WIDTH=450&amp;","START_MAXIMIZED=FALSE&amp;VAR:CALENDAR=US&amp;VAR:SYMBOL=RAI&amp;VAR:INDEX=0"}</definedName>
    <definedName name="_160__FDSAUDITLINK__" hidden="1">{"fdsup://directions/FAT Viewer?action=UPDATE&amp;creator=factset&amp;DYN_ARGS=TRUE&amp;DOC_NAME=FAT:FQL_AUDITING_CLIENT_TEMPLATE.FAT&amp;display_string=Audit&amp;VAR:KEY=RIBKTIRAFO&amp;VAR:QUERY=RkZfRElWX1lMRChBTk4sMy8xMy8wOCwzLzEzLzA4KQ==&amp;WINDOW=FIRST_POPUP&amp;HEIGHT=450&amp;WIDTH=450&amp;","START_MAXIMIZED=FALSE&amp;VAR:CALENDAR=US&amp;VAR:SYMBOL=RAI&amp;VAR:INDEX=0"}</definedName>
    <definedName name="_160_0_Table2_">#REF!</definedName>
    <definedName name="_1600">#REF!</definedName>
    <definedName name="_1600__FDSAUDITLINK__" localSheetId="0" hidden="1">{"fdsup://directions/FAT Viewer?action=UPDATE&amp;creator=factset&amp;DYN_ARGS=TRUE&amp;DOC_NAME=FAT:FQL_AUDITING_CLIENT_TEMPLATE.FAT&amp;display_string=Audit&amp;VAR:KEY=KFENWHSJAP&amp;VAR:QUERY=RkZfRElWX1lMRChBTk4sMTAvMDYvMTAsMTAvMDYvMTAp&amp;WINDOW=FIRST_POPUP&amp;HEIGHT=450&amp;WIDTH=450&amp;","START_MAXIMIZED=FALSE&amp;VAR:CALENDAR=US&amp;VAR:SYMBOL=KO&amp;VAR:INDEX=0"}</definedName>
    <definedName name="_1600__FDSAUDITLINK__" hidden="1">{"fdsup://directions/FAT Viewer?action=UPDATE&amp;creator=factset&amp;DYN_ARGS=TRUE&amp;DOC_NAME=FAT:FQL_AUDITING_CLIENT_TEMPLATE.FAT&amp;display_string=Audit&amp;VAR:KEY=KFENWHSJAP&amp;VAR:QUERY=RkZfRElWX1lMRChBTk4sMTAvMDYvMTAsMTAvMDYvMTAp&amp;WINDOW=FIRST_POPUP&amp;HEIGHT=450&amp;WIDTH=450&amp;","START_MAXIMIZED=FALSE&amp;VAR:CALENDAR=US&amp;VAR:SYMBOL=KO&amp;VAR:INDEX=0"}</definedName>
    <definedName name="_160000000" hidden="1">#REF!</definedName>
    <definedName name="_1601">#REF!</definedName>
    <definedName name="_1601__FDSAUDITLINK__" localSheetId="0" hidden="1">{"fdsup://directions/FAT Viewer?action=UPDATE&amp;creator=factset&amp;DYN_ARGS=TRUE&amp;DOC_NAME=FAT:FQL_AUDITING_CLIENT_TEMPLATE.FAT&amp;display_string=Audit&amp;VAR:KEY=SPYTEFEPUT&amp;VAR:QUERY=RkZfRElWX1lMRChBTk4sOS8yOS8xMCw5LzI5LzEwKQ==&amp;WINDOW=FIRST_POPUP&amp;HEIGHT=450&amp;WIDTH=450&amp;","START_MAXIMIZED=FALSE&amp;VAR:CALENDAR=US&amp;VAR:SYMBOL=KO&amp;VAR:INDEX=0"}</definedName>
    <definedName name="_1601__FDSAUDITLINK__" hidden="1">{"fdsup://directions/FAT Viewer?action=UPDATE&amp;creator=factset&amp;DYN_ARGS=TRUE&amp;DOC_NAME=FAT:FQL_AUDITING_CLIENT_TEMPLATE.FAT&amp;display_string=Audit&amp;VAR:KEY=SPYTEFEPUT&amp;VAR:QUERY=RkZfRElWX1lMRChBTk4sOS8yOS8xMCw5LzI5LzEwKQ==&amp;WINDOW=FIRST_POPUP&amp;HEIGHT=450&amp;WIDTH=450&amp;","START_MAXIMIZED=FALSE&amp;VAR:CALENDAR=US&amp;VAR:SYMBOL=KO&amp;VAR:INDEX=0"}</definedName>
    <definedName name="_1602">#REF!</definedName>
    <definedName name="_1602__FDSAUDITLINK__" localSheetId="0" hidden="1">{"fdsup://directions/FAT Viewer?action=UPDATE&amp;creator=factset&amp;DYN_ARGS=TRUE&amp;DOC_NAME=FAT:FQL_AUDITING_CLIENT_TEMPLATE.FAT&amp;display_string=Audit&amp;VAR:KEY=OPOZCFAJGT&amp;VAR:QUERY=RkZfRElWX1lMRChBTk4sOS8yMi8xMCw5LzIyLzEwKQ==&amp;WINDOW=FIRST_POPUP&amp;HEIGHT=450&amp;WIDTH=450&amp;","START_MAXIMIZED=FALSE&amp;VAR:CALENDAR=US&amp;VAR:SYMBOL=KO&amp;VAR:INDEX=0"}</definedName>
    <definedName name="_1602__FDSAUDITLINK__" hidden="1">{"fdsup://directions/FAT Viewer?action=UPDATE&amp;creator=factset&amp;DYN_ARGS=TRUE&amp;DOC_NAME=FAT:FQL_AUDITING_CLIENT_TEMPLATE.FAT&amp;display_string=Audit&amp;VAR:KEY=OPOZCFAJGT&amp;VAR:QUERY=RkZfRElWX1lMRChBTk4sOS8yMi8xMCw5LzIyLzEwKQ==&amp;WINDOW=FIRST_POPUP&amp;HEIGHT=450&amp;WIDTH=450&amp;","START_MAXIMIZED=FALSE&amp;VAR:CALENDAR=US&amp;VAR:SYMBOL=KO&amp;VAR:INDEX=0"}</definedName>
    <definedName name="_1603">#REF!</definedName>
    <definedName name="_1603__FDSAUDITLINK__" localSheetId="0" hidden="1">{"fdsup://directions/FAT Viewer?action=UPDATE&amp;creator=factset&amp;DYN_ARGS=TRUE&amp;DOC_NAME=FAT:FQL_AUDITING_CLIENT_TEMPLATE.FAT&amp;display_string=Audit&amp;VAR:KEY=KTOXEDMZKP&amp;VAR:QUERY=RkZfRElWX1lMRChBTk4sOS8xNS8xMCw5LzE1LzEwKQ==&amp;WINDOW=FIRST_POPUP&amp;HEIGHT=450&amp;WIDTH=450&amp;","START_MAXIMIZED=FALSE&amp;VAR:CALENDAR=US&amp;VAR:SYMBOL=KO&amp;VAR:INDEX=0"}</definedName>
    <definedName name="_1603__FDSAUDITLINK__" hidden="1">{"fdsup://directions/FAT Viewer?action=UPDATE&amp;creator=factset&amp;DYN_ARGS=TRUE&amp;DOC_NAME=FAT:FQL_AUDITING_CLIENT_TEMPLATE.FAT&amp;display_string=Audit&amp;VAR:KEY=KTOXEDMZKP&amp;VAR:QUERY=RkZfRElWX1lMRChBTk4sOS8xNS8xMCw5LzE1LzEwKQ==&amp;WINDOW=FIRST_POPUP&amp;HEIGHT=450&amp;WIDTH=450&amp;","START_MAXIMIZED=FALSE&amp;VAR:CALENDAR=US&amp;VAR:SYMBOL=KO&amp;VAR:INDEX=0"}</definedName>
    <definedName name="_1604">#REF!</definedName>
    <definedName name="_1604__FDSAUDITLINK__" localSheetId="0" hidden="1">{"fdsup://directions/FAT Viewer?action=UPDATE&amp;creator=factset&amp;DYN_ARGS=TRUE&amp;DOC_NAME=FAT:FQL_AUDITING_CLIENT_TEMPLATE.FAT&amp;display_string=Audit&amp;VAR:KEY=OBILAXSNSF&amp;VAR:QUERY=RkZfRElWX1lMRChBTk4sOS8wOC8xMCw5LzA4LzEwKQ==&amp;WINDOW=FIRST_POPUP&amp;HEIGHT=450&amp;WIDTH=450&amp;","START_MAXIMIZED=FALSE&amp;VAR:CALENDAR=US&amp;VAR:SYMBOL=KO&amp;VAR:INDEX=0"}</definedName>
    <definedName name="_1604__FDSAUDITLINK__" hidden="1">{"fdsup://directions/FAT Viewer?action=UPDATE&amp;creator=factset&amp;DYN_ARGS=TRUE&amp;DOC_NAME=FAT:FQL_AUDITING_CLIENT_TEMPLATE.FAT&amp;display_string=Audit&amp;VAR:KEY=OBILAXSNSF&amp;VAR:QUERY=RkZfRElWX1lMRChBTk4sOS8wOC8xMCw5LzA4LzEwKQ==&amp;WINDOW=FIRST_POPUP&amp;HEIGHT=450&amp;WIDTH=450&amp;","START_MAXIMIZED=FALSE&amp;VAR:CALENDAR=US&amp;VAR:SYMBOL=KO&amp;VAR:INDEX=0"}</definedName>
    <definedName name="_1605">#REF!</definedName>
    <definedName name="_1605__FDSAUDITLINK__" localSheetId="0" hidden="1">{"fdsup://directions/FAT Viewer?action=UPDATE&amp;creator=factset&amp;DYN_ARGS=TRUE&amp;DOC_NAME=FAT:FQL_AUDITING_CLIENT_TEMPLATE.FAT&amp;display_string=Audit&amp;VAR:KEY=KNQRKPOBWL&amp;VAR:QUERY=RkZfRElWX1lMRChBTk4sOS8wMS8xMCw5LzAxLzEwKQ==&amp;WINDOW=FIRST_POPUP&amp;HEIGHT=450&amp;WIDTH=450&amp;","START_MAXIMIZED=FALSE&amp;VAR:CALENDAR=US&amp;VAR:SYMBOL=KO&amp;VAR:INDEX=0"}</definedName>
    <definedName name="_1605__FDSAUDITLINK__" hidden="1">{"fdsup://directions/FAT Viewer?action=UPDATE&amp;creator=factset&amp;DYN_ARGS=TRUE&amp;DOC_NAME=FAT:FQL_AUDITING_CLIENT_TEMPLATE.FAT&amp;display_string=Audit&amp;VAR:KEY=KNQRKPOBWL&amp;VAR:QUERY=RkZfRElWX1lMRChBTk4sOS8wMS8xMCw5LzAxLzEwKQ==&amp;WINDOW=FIRST_POPUP&amp;HEIGHT=450&amp;WIDTH=450&amp;","START_MAXIMIZED=FALSE&amp;VAR:CALENDAR=US&amp;VAR:SYMBOL=KO&amp;VAR:INDEX=0"}</definedName>
    <definedName name="_1606">#REF!</definedName>
    <definedName name="_1606__FDSAUDITLINK__" localSheetId="0" hidden="1">{"fdsup://directions/FAT Viewer?action=UPDATE&amp;creator=factset&amp;DYN_ARGS=TRUE&amp;DOC_NAME=FAT:FQL_AUDITING_CLIENT_TEMPLATE.FAT&amp;display_string=Audit&amp;VAR:KEY=SRSJOHUXUB&amp;VAR:QUERY=RkZfRElWX1lMRChBTk4sOC8yNS8xMCw4LzI1LzEwKQ==&amp;WINDOW=FIRST_POPUP&amp;HEIGHT=450&amp;WIDTH=450&amp;","START_MAXIMIZED=FALSE&amp;VAR:CALENDAR=US&amp;VAR:SYMBOL=KO&amp;VAR:INDEX=0"}</definedName>
    <definedName name="_1606__FDSAUDITLINK__" hidden="1">{"fdsup://directions/FAT Viewer?action=UPDATE&amp;creator=factset&amp;DYN_ARGS=TRUE&amp;DOC_NAME=FAT:FQL_AUDITING_CLIENT_TEMPLATE.FAT&amp;display_string=Audit&amp;VAR:KEY=SRSJOHUXUB&amp;VAR:QUERY=RkZfRElWX1lMRChBTk4sOC8yNS8xMCw4LzI1LzEwKQ==&amp;WINDOW=FIRST_POPUP&amp;HEIGHT=450&amp;WIDTH=450&amp;","START_MAXIMIZED=FALSE&amp;VAR:CALENDAR=US&amp;VAR:SYMBOL=KO&amp;VAR:INDEX=0"}</definedName>
    <definedName name="_1607">#REF!</definedName>
    <definedName name="_1607__FDSAUDITLINK__" localSheetId="0" hidden="1">{"fdsup://directions/FAT Viewer?action=UPDATE&amp;creator=factset&amp;DYN_ARGS=TRUE&amp;DOC_NAME=FAT:FQL_AUDITING_CLIENT_TEMPLATE.FAT&amp;display_string=Audit&amp;VAR:KEY=QFOLQDAZSV&amp;VAR:QUERY=RkZfRElWX1lMRChBTk4sOC8xOC8xMCw4LzE4LzEwKQ==&amp;WINDOW=FIRST_POPUP&amp;HEIGHT=450&amp;WIDTH=450&amp;","START_MAXIMIZED=FALSE&amp;VAR:CALENDAR=US&amp;VAR:SYMBOL=KO&amp;VAR:INDEX=0"}</definedName>
    <definedName name="_1607__FDSAUDITLINK__" hidden="1">{"fdsup://directions/FAT Viewer?action=UPDATE&amp;creator=factset&amp;DYN_ARGS=TRUE&amp;DOC_NAME=FAT:FQL_AUDITING_CLIENT_TEMPLATE.FAT&amp;display_string=Audit&amp;VAR:KEY=QFOLQDAZSV&amp;VAR:QUERY=RkZfRElWX1lMRChBTk4sOC8xOC8xMCw4LzE4LzEwKQ==&amp;WINDOW=FIRST_POPUP&amp;HEIGHT=450&amp;WIDTH=450&amp;","START_MAXIMIZED=FALSE&amp;VAR:CALENDAR=US&amp;VAR:SYMBOL=KO&amp;VAR:INDEX=0"}</definedName>
    <definedName name="_1608">#REF!</definedName>
    <definedName name="_1608__FDSAUDITLINK__" localSheetId="0" hidden="1">{"fdsup://directions/FAT Viewer?action=UPDATE&amp;creator=factset&amp;DYN_ARGS=TRUE&amp;DOC_NAME=FAT:FQL_AUDITING_CLIENT_TEMPLATE.FAT&amp;display_string=Audit&amp;VAR:KEY=ITWTYFAHOZ&amp;VAR:QUERY=RkZfRElWX1lMRChBTk4sOC8xMS8xMCw4LzExLzEwKQ==&amp;WINDOW=FIRST_POPUP&amp;HEIGHT=450&amp;WIDTH=450&amp;","START_MAXIMIZED=FALSE&amp;VAR:CALENDAR=US&amp;VAR:SYMBOL=KO&amp;VAR:INDEX=0"}</definedName>
    <definedName name="_1608__FDSAUDITLINK__" hidden="1">{"fdsup://directions/FAT Viewer?action=UPDATE&amp;creator=factset&amp;DYN_ARGS=TRUE&amp;DOC_NAME=FAT:FQL_AUDITING_CLIENT_TEMPLATE.FAT&amp;display_string=Audit&amp;VAR:KEY=ITWTYFAHOZ&amp;VAR:QUERY=RkZfRElWX1lMRChBTk4sOC8xMS8xMCw4LzExLzEwKQ==&amp;WINDOW=FIRST_POPUP&amp;HEIGHT=450&amp;WIDTH=450&amp;","START_MAXIMIZED=FALSE&amp;VAR:CALENDAR=US&amp;VAR:SYMBOL=KO&amp;VAR:INDEX=0"}</definedName>
    <definedName name="_1609">#REF!</definedName>
    <definedName name="_1609__FDSAUDITLINK__" localSheetId="0" hidden="1">{"fdsup://directions/FAT Viewer?action=UPDATE&amp;creator=factset&amp;DYN_ARGS=TRUE&amp;DOC_NAME=FAT:FQL_AUDITING_CLIENT_TEMPLATE.FAT&amp;display_string=Audit&amp;VAR:KEY=SXOPMFCHQB&amp;VAR:QUERY=RkZfRElWX1lMRChBTk4sOC8wNC8xMCw4LzA0LzEwKQ==&amp;WINDOW=FIRST_POPUP&amp;HEIGHT=450&amp;WIDTH=450&amp;","START_MAXIMIZED=FALSE&amp;VAR:CALENDAR=US&amp;VAR:SYMBOL=KO&amp;VAR:INDEX=0"}</definedName>
    <definedName name="_1609__FDSAUDITLINK__" hidden="1">{"fdsup://directions/FAT Viewer?action=UPDATE&amp;creator=factset&amp;DYN_ARGS=TRUE&amp;DOC_NAME=FAT:FQL_AUDITING_CLIENT_TEMPLATE.FAT&amp;display_string=Audit&amp;VAR:KEY=SXOPMFCHQB&amp;VAR:QUERY=RkZfRElWX1lMRChBTk4sOC8wNC8xMCw4LzA0LzEwKQ==&amp;WINDOW=FIRST_POPUP&amp;HEIGHT=450&amp;WIDTH=450&amp;","START_MAXIMIZED=FALSE&amp;VAR:CALENDAR=US&amp;VAR:SYMBOL=KO&amp;VAR:INDEX=0"}</definedName>
    <definedName name="_161">#REF!</definedName>
    <definedName name="_161__123Graph_XQRE_S_BY_TYPE">#REF!</definedName>
    <definedName name="_161__FDSAUDITLINK__" localSheetId="0" hidden="1">{"fdsup://directions/FAT Viewer?action=UPDATE&amp;creator=factset&amp;DYN_ARGS=TRUE&amp;DOC_NAME=FAT:FQL_AUDITING_CLIENT_TEMPLATE.FAT&amp;display_string=Audit&amp;VAR:KEY=TIPERCLCDO&amp;VAR:QUERY=RkZfRElWX1lMRChBTk4sMy8wNi8wOCwzLzA2LzA4KQ==&amp;WINDOW=FIRST_POPUP&amp;HEIGHT=450&amp;WIDTH=450&amp;","START_MAXIMIZED=FALSE&amp;VAR:CALENDAR=US&amp;VAR:SYMBOL=RAI&amp;VAR:INDEX=0"}</definedName>
    <definedName name="_161__FDSAUDITLINK__" hidden="1">{"fdsup://directions/FAT Viewer?action=UPDATE&amp;creator=factset&amp;DYN_ARGS=TRUE&amp;DOC_NAME=FAT:FQL_AUDITING_CLIENT_TEMPLATE.FAT&amp;display_string=Audit&amp;VAR:KEY=TIPERCLCDO&amp;VAR:QUERY=RkZfRElWX1lMRChBTk4sMy8wNi8wOCwzLzA2LzA4KQ==&amp;WINDOW=FIRST_POPUP&amp;HEIGHT=450&amp;WIDTH=450&amp;","START_MAXIMIZED=FALSE&amp;VAR:CALENDAR=US&amp;VAR:SYMBOL=RAI&amp;VAR:INDEX=0"}</definedName>
    <definedName name="_1610">#REF!</definedName>
    <definedName name="_1610__FDSAUDITLINK__" localSheetId="0" hidden="1">{"fdsup://directions/FAT Viewer?action=UPDATE&amp;creator=factset&amp;DYN_ARGS=TRUE&amp;DOC_NAME=FAT:FQL_AUDITING_CLIENT_TEMPLATE.FAT&amp;display_string=Audit&amp;VAR:KEY=GDWRCNIBOZ&amp;VAR:QUERY=RkZfRElWX1lMRChBTk4sNy8yOC8xMCw3LzI4LzEwKQ==&amp;WINDOW=FIRST_POPUP&amp;HEIGHT=450&amp;WIDTH=450&amp;","START_MAXIMIZED=FALSE&amp;VAR:CALENDAR=US&amp;VAR:SYMBOL=KO&amp;VAR:INDEX=0"}</definedName>
    <definedName name="_1610__FDSAUDITLINK__" hidden="1">{"fdsup://directions/FAT Viewer?action=UPDATE&amp;creator=factset&amp;DYN_ARGS=TRUE&amp;DOC_NAME=FAT:FQL_AUDITING_CLIENT_TEMPLATE.FAT&amp;display_string=Audit&amp;VAR:KEY=GDWRCNIBOZ&amp;VAR:QUERY=RkZfRElWX1lMRChBTk4sNy8yOC8xMCw3LzI4LzEwKQ==&amp;WINDOW=FIRST_POPUP&amp;HEIGHT=450&amp;WIDTH=450&amp;","START_MAXIMIZED=FALSE&amp;VAR:CALENDAR=US&amp;VAR:SYMBOL=KO&amp;VAR:INDEX=0"}</definedName>
    <definedName name="_1611__FDSAUDITLINK__" localSheetId="0" hidden="1">{"fdsup://directions/FAT Viewer?action=UPDATE&amp;creator=factset&amp;DYN_ARGS=TRUE&amp;DOC_NAME=FAT:FQL_AUDITING_CLIENT_TEMPLATE.FAT&amp;display_string=Audit&amp;VAR:KEY=OXMPSNKTQD&amp;VAR:QUERY=RkZfRElWX1lMRChBTk4sNy8yMS8xMCw3LzIxLzEwKQ==&amp;WINDOW=FIRST_POPUP&amp;HEIGHT=450&amp;WIDTH=450&amp;","START_MAXIMIZED=FALSE&amp;VAR:CALENDAR=US&amp;VAR:SYMBOL=KO&amp;VAR:INDEX=0"}</definedName>
    <definedName name="_1611__FDSAUDITLINK__" hidden="1">{"fdsup://directions/FAT Viewer?action=UPDATE&amp;creator=factset&amp;DYN_ARGS=TRUE&amp;DOC_NAME=FAT:FQL_AUDITING_CLIENT_TEMPLATE.FAT&amp;display_string=Audit&amp;VAR:KEY=OXMPSNKTQD&amp;VAR:QUERY=RkZfRElWX1lMRChBTk4sNy8yMS8xMCw3LzIxLzEwKQ==&amp;WINDOW=FIRST_POPUP&amp;HEIGHT=450&amp;WIDTH=450&amp;","START_MAXIMIZED=FALSE&amp;VAR:CALENDAR=US&amp;VAR:SYMBOL=KO&amp;VAR:INDEX=0"}</definedName>
    <definedName name="_1612__FDSAUDITLINK__" localSheetId="0" hidden="1">{"fdsup://directions/FAT Viewer?action=UPDATE&amp;creator=factset&amp;DYN_ARGS=TRUE&amp;DOC_NAME=FAT:FQL_AUDITING_CLIENT_TEMPLATE.FAT&amp;display_string=Audit&amp;VAR:KEY=MBQLODIZWJ&amp;VAR:QUERY=RkZfRElWX1lMRChBTk4sNy8xNC8xMCw3LzE0LzEwKQ==&amp;WINDOW=FIRST_POPUP&amp;HEIGHT=450&amp;WIDTH=450&amp;","START_MAXIMIZED=FALSE&amp;VAR:CALENDAR=US&amp;VAR:SYMBOL=KO&amp;VAR:INDEX=0"}</definedName>
    <definedName name="_1612__FDSAUDITLINK__" hidden="1">{"fdsup://directions/FAT Viewer?action=UPDATE&amp;creator=factset&amp;DYN_ARGS=TRUE&amp;DOC_NAME=FAT:FQL_AUDITING_CLIENT_TEMPLATE.FAT&amp;display_string=Audit&amp;VAR:KEY=MBQLODIZWJ&amp;VAR:QUERY=RkZfRElWX1lMRChBTk4sNy8xNC8xMCw3LzE0LzEwKQ==&amp;WINDOW=FIRST_POPUP&amp;HEIGHT=450&amp;WIDTH=450&amp;","START_MAXIMIZED=FALSE&amp;VAR:CALENDAR=US&amp;VAR:SYMBOL=KO&amp;VAR:INDEX=0"}</definedName>
    <definedName name="_1613__FDSAUDITLINK__" localSheetId="0" hidden="1">{"fdsup://directions/FAT Viewer?action=UPDATE&amp;creator=factset&amp;DYN_ARGS=TRUE&amp;DOC_NAME=FAT:FQL_AUDITING_CLIENT_TEMPLATE.FAT&amp;display_string=Audit&amp;VAR:KEY=WHIZOBIXUB&amp;VAR:QUERY=RkZfRElWX1lMRChBTk4sNy8wNy8xMCw3LzA3LzEwKQ==&amp;WINDOW=FIRST_POPUP&amp;HEIGHT=450&amp;WIDTH=450&amp;","START_MAXIMIZED=FALSE&amp;VAR:CALENDAR=US&amp;VAR:SYMBOL=KO&amp;VAR:INDEX=0"}</definedName>
    <definedName name="_1613__FDSAUDITLINK__" hidden="1">{"fdsup://directions/FAT Viewer?action=UPDATE&amp;creator=factset&amp;DYN_ARGS=TRUE&amp;DOC_NAME=FAT:FQL_AUDITING_CLIENT_TEMPLATE.FAT&amp;display_string=Audit&amp;VAR:KEY=WHIZOBIXUB&amp;VAR:QUERY=RkZfRElWX1lMRChBTk4sNy8wNy8xMCw3LzA3LzEwKQ==&amp;WINDOW=FIRST_POPUP&amp;HEIGHT=450&amp;WIDTH=450&amp;","START_MAXIMIZED=FALSE&amp;VAR:CALENDAR=US&amp;VAR:SYMBOL=KO&amp;VAR:INDEX=0"}</definedName>
    <definedName name="_1614">#REF!</definedName>
    <definedName name="_1614__FDSAUDITLINK__" localSheetId="0" hidden="1">{"fdsup://directions/FAT Viewer?action=UPDATE&amp;creator=factset&amp;DYN_ARGS=TRUE&amp;DOC_NAME=FAT:FQL_AUDITING_CLIENT_TEMPLATE.FAT&amp;display_string=Audit&amp;VAR:KEY=MFURKDERWH&amp;VAR:QUERY=RkZfRElWX1lMRChBTk4sNi8zMC8xMCw2LzMwLzEwKQ==&amp;WINDOW=FIRST_POPUP&amp;HEIGHT=450&amp;WIDTH=450&amp;","START_MAXIMIZED=FALSE&amp;VAR:CALENDAR=US&amp;VAR:SYMBOL=KO&amp;VAR:INDEX=0"}</definedName>
    <definedName name="_1614__FDSAUDITLINK__" hidden="1">{"fdsup://directions/FAT Viewer?action=UPDATE&amp;creator=factset&amp;DYN_ARGS=TRUE&amp;DOC_NAME=FAT:FQL_AUDITING_CLIENT_TEMPLATE.FAT&amp;display_string=Audit&amp;VAR:KEY=MFURKDERWH&amp;VAR:QUERY=RkZfRElWX1lMRChBTk4sNi8zMC8xMCw2LzMwLzEwKQ==&amp;WINDOW=FIRST_POPUP&amp;HEIGHT=450&amp;WIDTH=450&amp;","START_MAXIMIZED=FALSE&amp;VAR:CALENDAR=US&amp;VAR:SYMBOL=KO&amp;VAR:INDEX=0"}</definedName>
    <definedName name="_1615__FDSAUDITLINK__" localSheetId="0" hidden="1">{"fdsup://directions/FAT Viewer?action=UPDATE&amp;creator=factset&amp;DYN_ARGS=TRUE&amp;DOC_NAME=FAT:FQL_AUDITING_CLIENT_TEMPLATE.FAT&amp;display_string=Audit&amp;VAR:KEY=WXMFWHCDWH&amp;VAR:QUERY=RkZfRElWX1lMRChBTk4sNi8yMy8xMCw2LzIzLzEwKQ==&amp;WINDOW=FIRST_POPUP&amp;HEIGHT=450&amp;WIDTH=450&amp;","START_MAXIMIZED=FALSE&amp;VAR:CALENDAR=US&amp;VAR:SYMBOL=KO&amp;VAR:INDEX=0"}</definedName>
    <definedName name="_1615__FDSAUDITLINK__" hidden="1">{"fdsup://directions/FAT Viewer?action=UPDATE&amp;creator=factset&amp;DYN_ARGS=TRUE&amp;DOC_NAME=FAT:FQL_AUDITING_CLIENT_TEMPLATE.FAT&amp;display_string=Audit&amp;VAR:KEY=WXMFWHCDWH&amp;VAR:QUERY=RkZfRElWX1lMRChBTk4sNi8yMy8xMCw2LzIzLzEwKQ==&amp;WINDOW=FIRST_POPUP&amp;HEIGHT=450&amp;WIDTH=450&amp;","START_MAXIMIZED=FALSE&amp;VAR:CALENDAR=US&amp;VAR:SYMBOL=KO&amp;VAR:INDEX=0"}</definedName>
    <definedName name="_1616__FDSAUDITLINK__" localSheetId="0" hidden="1">{"fdsup://directions/FAT Viewer?action=UPDATE&amp;creator=factset&amp;DYN_ARGS=TRUE&amp;DOC_NAME=FAT:FQL_AUDITING_CLIENT_TEMPLATE.FAT&amp;display_string=Audit&amp;VAR:KEY=ELQLKVCLKX&amp;VAR:QUERY=RkZfRElWX1lMRChBTk4sNi8xNi8xMCw2LzE2LzEwKQ==&amp;WINDOW=FIRST_POPUP&amp;HEIGHT=450&amp;WIDTH=450&amp;","START_MAXIMIZED=FALSE&amp;VAR:CALENDAR=US&amp;VAR:SYMBOL=KO&amp;VAR:INDEX=0"}</definedName>
    <definedName name="_1616__FDSAUDITLINK__" hidden="1">{"fdsup://directions/FAT Viewer?action=UPDATE&amp;creator=factset&amp;DYN_ARGS=TRUE&amp;DOC_NAME=FAT:FQL_AUDITING_CLIENT_TEMPLATE.FAT&amp;display_string=Audit&amp;VAR:KEY=ELQLKVCLKX&amp;VAR:QUERY=RkZfRElWX1lMRChBTk4sNi8xNi8xMCw2LzE2LzEwKQ==&amp;WINDOW=FIRST_POPUP&amp;HEIGHT=450&amp;WIDTH=450&amp;","START_MAXIMIZED=FALSE&amp;VAR:CALENDAR=US&amp;VAR:SYMBOL=KO&amp;VAR:INDEX=0"}</definedName>
    <definedName name="_1617__FDSAUDITLINK__" localSheetId="0" hidden="1">{"fdsup://directions/FAT Viewer?action=UPDATE&amp;creator=factset&amp;DYN_ARGS=TRUE&amp;DOC_NAME=FAT:FQL_AUDITING_CLIENT_TEMPLATE.FAT&amp;display_string=Audit&amp;VAR:KEY=WHKJGHAXAN&amp;VAR:QUERY=RkZfRElWX1lMRChBTk4sNi8wOS8xMCw2LzA5LzEwKQ==&amp;WINDOW=FIRST_POPUP&amp;HEIGHT=450&amp;WIDTH=450&amp;","START_MAXIMIZED=FALSE&amp;VAR:CALENDAR=US&amp;VAR:SYMBOL=KO&amp;VAR:INDEX=0"}</definedName>
    <definedName name="_1617__FDSAUDITLINK__" hidden="1">{"fdsup://directions/FAT Viewer?action=UPDATE&amp;creator=factset&amp;DYN_ARGS=TRUE&amp;DOC_NAME=FAT:FQL_AUDITING_CLIENT_TEMPLATE.FAT&amp;display_string=Audit&amp;VAR:KEY=WHKJGHAXAN&amp;VAR:QUERY=RkZfRElWX1lMRChBTk4sNi8wOS8xMCw2LzA5LzEwKQ==&amp;WINDOW=FIRST_POPUP&amp;HEIGHT=450&amp;WIDTH=450&amp;","START_MAXIMIZED=FALSE&amp;VAR:CALENDAR=US&amp;VAR:SYMBOL=KO&amp;VAR:INDEX=0"}</definedName>
    <definedName name="_1618__FDSAUDITLINK__" localSheetId="0" hidden="1">{"fdsup://directions/FAT Viewer?action=UPDATE&amp;creator=factset&amp;DYN_ARGS=TRUE&amp;DOC_NAME=FAT:FQL_AUDITING_CLIENT_TEMPLATE.FAT&amp;display_string=Audit&amp;VAR:KEY=QXOBCLUPKX&amp;VAR:QUERY=RkZfRElWX1lMRChBTk4sNi8wMi8xMCw2LzAyLzEwKQ==&amp;WINDOW=FIRST_POPUP&amp;HEIGHT=450&amp;WIDTH=450&amp;","START_MAXIMIZED=FALSE&amp;VAR:CALENDAR=US&amp;VAR:SYMBOL=KO&amp;VAR:INDEX=0"}</definedName>
    <definedName name="_1618__FDSAUDITLINK__" hidden="1">{"fdsup://directions/FAT Viewer?action=UPDATE&amp;creator=factset&amp;DYN_ARGS=TRUE&amp;DOC_NAME=FAT:FQL_AUDITING_CLIENT_TEMPLATE.FAT&amp;display_string=Audit&amp;VAR:KEY=QXOBCLUPKX&amp;VAR:QUERY=RkZfRElWX1lMRChBTk4sNi8wMi8xMCw2LzAyLzEwKQ==&amp;WINDOW=FIRST_POPUP&amp;HEIGHT=450&amp;WIDTH=450&amp;","START_MAXIMIZED=FALSE&amp;VAR:CALENDAR=US&amp;VAR:SYMBOL=KO&amp;VAR:INDEX=0"}</definedName>
    <definedName name="_1619">#REF!</definedName>
    <definedName name="_1619__FDSAUDITLINK__" localSheetId="0" hidden="1">{"fdsup://directions/FAT Viewer?action=UPDATE&amp;creator=factset&amp;DYN_ARGS=TRUE&amp;DOC_NAME=FAT:FQL_AUDITING_CLIENT_TEMPLATE.FAT&amp;display_string=Audit&amp;VAR:KEY=YFUPCRQNSH&amp;VAR:QUERY=RkZfRElWX1lMRChBTk4sNS8yNi8xMCw1LzI2LzEwKQ==&amp;WINDOW=FIRST_POPUP&amp;HEIGHT=450&amp;WIDTH=450&amp;","START_MAXIMIZED=FALSE&amp;VAR:CALENDAR=US&amp;VAR:SYMBOL=KO&amp;VAR:INDEX=0"}</definedName>
    <definedName name="_1619__FDSAUDITLINK__" hidden="1">{"fdsup://directions/FAT Viewer?action=UPDATE&amp;creator=factset&amp;DYN_ARGS=TRUE&amp;DOC_NAME=FAT:FQL_AUDITING_CLIENT_TEMPLATE.FAT&amp;display_string=Audit&amp;VAR:KEY=YFUPCRQNSH&amp;VAR:QUERY=RkZfRElWX1lMRChBTk4sNS8yNi8xMCw1LzI2LzEwKQ==&amp;WINDOW=FIRST_POPUP&amp;HEIGHT=450&amp;WIDTH=450&amp;","START_MAXIMIZED=FALSE&amp;VAR:CALENDAR=US&amp;VAR:SYMBOL=KO&amp;VAR:INDEX=0"}</definedName>
    <definedName name="_162__123Graph_FQRE_S_BY_CO.">#REF!</definedName>
    <definedName name="_162__FDSAUDITLINK__" localSheetId="0" hidden="1">{"fdsup://directions/FAT Viewer?action=UPDATE&amp;creator=factset&amp;DYN_ARGS=TRUE&amp;DOC_NAME=FAT:FQL_AUDITING_CLIENT_TEMPLATE.FAT&amp;display_string=Audit&amp;VAR:KEY=JWDMJMJOBE&amp;VAR:QUERY=RkZfRElWX1lMRChBTk4sMi8yOC8wOCwyLzI4LzA4KQ==&amp;WINDOW=FIRST_POPUP&amp;HEIGHT=450&amp;WIDTH=450&amp;","START_MAXIMIZED=FALSE&amp;VAR:CALENDAR=US&amp;VAR:SYMBOL=RAI&amp;VAR:INDEX=0"}</definedName>
    <definedName name="_162__FDSAUDITLINK__" hidden="1">{"fdsup://directions/FAT Viewer?action=UPDATE&amp;creator=factset&amp;DYN_ARGS=TRUE&amp;DOC_NAME=FAT:FQL_AUDITING_CLIENT_TEMPLATE.FAT&amp;display_string=Audit&amp;VAR:KEY=JWDMJMJOBE&amp;VAR:QUERY=RkZfRElWX1lMRChBTk4sMi8yOC8wOCwyLzI4LzA4KQ==&amp;WINDOW=FIRST_POPUP&amp;HEIGHT=450&amp;WIDTH=450&amp;","START_MAXIMIZED=FALSE&amp;VAR:CALENDAR=US&amp;VAR:SYMBOL=RAI&amp;VAR:INDEX=0"}</definedName>
    <definedName name="_1620__FDSAUDITLINK__" localSheetId="0" hidden="1">{"fdsup://directions/FAT Viewer?action=UPDATE&amp;creator=factset&amp;DYN_ARGS=TRUE&amp;DOC_NAME=FAT:FQL_AUDITING_CLIENT_TEMPLATE.FAT&amp;display_string=Audit&amp;VAR:KEY=KJMDOJSTSZ&amp;VAR:QUERY=RkZfRElWX1lMRChBTk4sNS8xOS8xMCw1LzE5LzEwKQ==&amp;WINDOW=FIRST_POPUP&amp;HEIGHT=450&amp;WIDTH=450&amp;","START_MAXIMIZED=FALSE&amp;VAR:CALENDAR=US&amp;VAR:SYMBOL=KO&amp;VAR:INDEX=0"}</definedName>
    <definedName name="_1620__FDSAUDITLINK__" hidden="1">{"fdsup://directions/FAT Viewer?action=UPDATE&amp;creator=factset&amp;DYN_ARGS=TRUE&amp;DOC_NAME=FAT:FQL_AUDITING_CLIENT_TEMPLATE.FAT&amp;display_string=Audit&amp;VAR:KEY=KJMDOJSTSZ&amp;VAR:QUERY=RkZfRElWX1lMRChBTk4sNS8xOS8xMCw1LzE5LzEwKQ==&amp;WINDOW=FIRST_POPUP&amp;HEIGHT=450&amp;WIDTH=450&amp;","START_MAXIMIZED=FALSE&amp;VAR:CALENDAR=US&amp;VAR:SYMBOL=KO&amp;VAR:INDEX=0"}</definedName>
    <definedName name="_1621__FDSAUDITLINK__" localSheetId="0" hidden="1">{"fdsup://directions/FAT Viewer?action=UPDATE&amp;creator=factset&amp;DYN_ARGS=TRUE&amp;DOC_NAME=FAT:FQL_AUDITING_CLIENT_TEMPLATE.FAT&amp;display_string=Audit&amp;VAR:KEY=OZSTKFOZGJ&amp;VAR:QUERY=RkZfRElWX1lMRChBTk4sNS8xMi8xMCw1LzEyLzEwKQ==&amp;WINDOW=FIRST_POPUP&amp;HEIGHT=450&amp;WIDTH=450&amp;","START_MAXIMIZED=FALSE&amp;VAR:CALENDAR=US&amp;VAR:SYMBOL=KO&amp;VAR:INDEX=0"}</definedName>
    <definedName name="_1621__FDSAUDITLINK__" hidden="1">{"fdsup://directions/FAT Viewer?action=UPDATE&amp;creator=factset&amp;DYN_ARGS=TRUE&amp;DOC_NAME=FAT:FQL_AUDITING_CLIENT_TEMPLATE.FAT&amp;display_string=Audit&amp;VAR:KEY=OZSTKFOZGJ&amp;VAR:QUERY=RkZfRElWX1lMRChBTk4sNS8xMi8xMCw1LzEyLzEwKQ==&amp;WINDOW=FIRST_POPUP&amp;HEIGHT=450&amp;WIDTH=450&amp;","START_MAXIMIZED=FALSE&amp;VAR:CALENDAR=US&amp;VAR:SYMBOL=KO&amp;VAR:INDEX=0"}</definedName>
    <definedName name="_1622__FDSAUDITLINK__" localSheetId="0" hidden="1">{"fdsup://directions/FAT Viewer?action=UPDATE&amp;creator=factset&amp;DYN_ARGS=TRUE&amp;DOC_NAME=FAT:FQL_AUDITING_CLIENT_TEMPLATE.FAT&amp;display_string=Audit&amp;VAR:KEY=GHELMROJUH&amp;VAR:QUERY=RkZfRElWX1lMRChBTk4sNS8wNS8xMCw1LzA1LzEwKQ==&amp;WINDOW=FIRST_POPUP&amp;HEIGHT=450&amp;WIDTH=450&amp;","START_MAXIMIZED=FALSE&amp;VAR:CALENDAR=US&amp;VAR:SYMBOL=KO&amp;VAR:INDEX=0"}</definedName>
    <definedName name="_1622__FDSAUDITLINK__" hidden="1">{"fdsup://directions/FAT Viewer?action=UPDATE&amp;creator=factset&amp;DYN_ARGS=TRUE&amp;DOC_NAME=FAT:FQL_AUDITING_CLIENT_TEMPLATE.FAT&amp;display_string=Audit&amp;VAR:KEY=GHELMROJUH&amp;VAR:QUERY=RkZfRElWX1lMRChBTk4sNS8wNS8xMCw1LzA1LzEwKQ==&amp;WINDOW=FIRST_POPUP&amp;HEIGHT=450&amp;WIDTH=450&amp;","START_MAXIMIZED=FALSE&amp;VAR:CALENDAR=US&amp;VAR:SYMBOL=KO&amp;VAR:INDEX=0"}</definedName>
    <definedName name="_1623__FDSAUDITLINK__" localSheetId="0" hidden="1">{"fdsup://directions/FAT Viewer?action=UPDATE&amp;creator=factset&amp;DYN_ARGS=TRUE&amp;DOC_NAME=FAT:FQL_AUDITING_CLIENT_TEMPLATE.FAT&amp;display_string=Audit&amp;VAR:KEY=WJOLMPUVQR&amp;VAR:QUERY=RkZfRElWX1lMRChBTk4sNC8yOC8xMCw0LzI4LzEwKQ==&amp;WINDOW=FIRST_POPUP&amp;HEIGHT=450&amp;WIDTH=450&amp;","START_MAXIMIZED=FALSE&amp;VAR:CALENDAR=US&amp;VAR:SYMBOL=KO&amp;VAR:INDEX=0"}</definedName>
    <definedName name="_1623__FDSAUDITLINK__" hidden="1">{"fdsup://directions/FAT Viewer?action=UPDATE&amp;creator=factset&amp;DYN_ARGS=TRUE&amp;DOC_NAME=FAT:FQL_AUDITING_CLIENT_TEMPLATE.FAT&amp;display_string=Audit&amp;VAR:KEY=WJOLMPUVQR&amp;VAR:QUERY=RkZfRElWX1lMRChBTk4sNC8yOC8xMCw0LzI4LzEwKQ==&amp;WINDOW=FIRST_POPUP&amp;HEIGHT=450&amp;WIDTH=450&amp;","START_MAXIMIZED=FALSE&amp;VAR:CALENDAR=US&amp;VAR:SYMBOL=KO&amp;VAR:INDEX=0"}</definedName>
    <definedName name="_1624">#REF!</definedName>
    <definedName name="_1624__FDSAUDITLINK__" localSheetId="0" hidden="1">{"fdsup://directions/FAT Viewer?action=UPDATE&amp;creator=factset&amp;DYN_ARGS=TRUE&amp;DOC_NAME=FAT:FQL_AUDITING_CLIENT_TEMPLATE.FAT&amp;display_string=Audit&amp;VAR:KEY=ADSJAFQFIB&amp;VAR:QUERY=RkZfRElWX1lMRChBTk4sNC8yMS8xMCw0LzIxLzEwKQ==&amp;WINDOW=FIRST_POPUP&amp;HEIGHT=450&amp;WIDTH=450&amp;","START_MAXIMIZED=FALSE&amp;VAR:CALENDAR=US&amp;VAR:SYMBOL=KO&amp;VAR:INDEX=0"}</definedName>
    <definedName name="_1624__FDSAUDITLINK__" hidden="1">{"fdsup://directions/FAT Viewer?action=UPDATE&amp;creator=factset&amp;DYN_ARGS=TRUE&amp;DOC_NAME=FAT:FQL_AUDITING_CLIENT_TEMPLATE.FAT&amp;display_string=Audit&amp;VAR:KEY=ADSJAFQFIB&amp;VAR:QUERY=RkZfRElWX1lMRChBTk4sNC8yMS8xMCw0LzIxLzEwKQ==&amp;WINDOW=FIRST_POPUP&amp;HEIGHT=450&amp;WIDTH=450&amp;","START_MAXIMIZED=FALSE&amp;VAR:CALENDAR=US&amp;VAR:SYMBOL=KO&amp;VAR:INDEX=0"}</definedName>
    <definedName name="_1625">#REF!</definedName>
    <definedName name="_1625__FDSAUDITLINK__" localSheetId="0" hidden="1">{"fdsup://directions/FAT Viewer?action=UPDATE&amp;creator=factset&amp;DYN_ARGS=TRUE&amp;DOC_NAME=FAT:FQL_AUDITING_CLIENT_TEMPLATE.FAT&amp;display_string=Audit&amp;VAR:KEY=EXALYXYRIB&amp;VAR:QUERY=RkZfRElWX1lMRChBTk4sNC8xNC8xMCw0LzE0LzEwKQ==&amp;WINDOW=FIRST_POPUP&amp;HEIGHT=450&amp;WIDTH=450&amp;","START_MAXIMIZED=FALSE&amp;VAR:CALENDAR=US&amp;VAR:SYMBOL=KO&amp;VAR:INDEX=0"}</definedName>
    <definedName name="_1625__FDSAUDITLINK__" hidden="1">{"fdsup://directions/FAT Viewer?action=UPDATE&amp;creator=factset&amp;DYN_ARGS=TRUE&amp;DOC_NAME=FAT:FQL_AUDITING_CLIENT_TEMPLATE.FAT&amp;display_string=Audit&amp;VAR:KEY=EXALYXYRIB&amp;VAR:QUERY=RkZfRElWX1lMRChBTk4sNC8xNC8xMCw0LzE0LzEwKQ==&amp;WINDOW=FIRST_POPUP&amp;HEIGHT=450&amp;WIDTH=450&amp;","START_MAXIMIZED=FALSE&amp;VAR:CALENDAR=US&amp;VAR:SYMBOL=KO&amp;VAR:INDEX=0"}</definedName>
    <definedName name="_1626__FDSAUDITLINK__" localSheetId="0" hidden="1">{"fdsup://directions/FAT Viewer?action=UPDATE&amp;creator=factset&amp;DYN_ARGS=TRUE&amp;DOC_NAME=FAT:FQL_AUDITING_CLIENT_TEMPLATE.FAT&amp;display_string=Audit&amp;VAR:KEY=ERGHWBELAD&amp;VAR:QUERY=RkZfRElWX1lMRChBTk4sNC8wNy8xMCw0LzA3LzEwKQ==&amp;WINDOW=FIRST_POPUP&amp;HEIGHT=450&amp;WIDTH=450&amp;","START_MAXIMIZED=FALSE&amp;VAR:CALENDAR=US&amp;VAR:SYMBOL=KO&amp;VAR:INDEX=0"}</definedName>
    <definedName name="_1626__FDSAUDITLINK__" hidden="1">{"fdsup://directions/FAT Viewer?action=UPDATE&amp;creator=factset&amp;DYN_ARGS=TRUE&amp;DOC_NAME=FAT:FQL_AUDITING_CLIENT_TEMPLATE.FAT&amp;display_string=Audit&amp;VAR:KEY=ERGHWBELAD&amp;VAR:QUERY=RkZfRElWX1lMRChBTk4sNC8wNy8xMCw0LzA3LzEwKQ==&amp;WINDOW=FIRST_POPUP&amp;HEIGHT=450&amp;WIDTH=450&amp;","START_MAXIMIZED=FALSE&amp;VAR:CALENDAR=US&amp;VAR:SYMBOL=KO&amp;VAR:INDEX=0"}</definedName>
    <definedName name="_1627">#REF!</definedName>
    <definedName name="_1627__FDSAUDITLINK__" localSheetId="0" hidden="1">{"fdsup://directions/FAT Viewer?action=UPDATE&amp;creator=factset&amp;DYN_ARGS=TRUE&amp;DOC_NAME=FAT:FQL_AUDITING_CLIENT_TEMPLATE.FAT&amp;display_string=Audit&amp;VAR:KEY=YVIPWZIRWX&amp;VAR:QUERY=RkZfRElWX1lMRChBTk4sMy8zMS8xMCwzLzMxLzEwKQ==&amp;WINDOW=FIRST_POPUP&amp;HEIGHT=450&amp;WIDTH=450&amp;","START_MAXIMIZED=FALSE&amp;VAR:CALENDAR=US&amp;VAR:SYMBOL=KO&amp;VAR:INDEX=0"}</definedName>
    <definedName name="_1627__FDSAUDITLINK__" hidden="1">{"fdsup://directions/FAT Viewer?action=UPDATE&amp;creator=factset&amp;DYN_ARGS=TRUE&amp;DOC_NAME=FAT:FQL_AUDITING_CLIENT_TEMPLATE.FAT&amp;display_string=Audit&amp;VAR:KEY=YVIPWZIRWX&amp;VAR:QUERY=RkZfRElWX1lMRChBTk4sMy8zMS8xMCwzLzMxLzEwKQ==&amp;WINDOW=FIRST_POPUP&amp;HEIGHT=450&amp;WIDTH=450&amp;","START_MAXIMIZED=FALSE&amp;VAR:CALENDAR=US&amp;VAR:SYMBOL=KO&amp;VAR:INDEX=0"}</definedName>
    <definedName name="_1628">#REF!</definedName>
    <definedName name="_1628__FDSAUDITLINK__" localSheetId="0" hidden="1">{"fdsup://directions/FAT Viewer?action=UPDATE&amp;creator=factset&amp;DYN_ARGS=TRUE&amp;DOC_NAME=FAT:FQL_AUDITING_CLIENT_TEMPLATE.FAT&amp;display_string=Audit&amp;VAR:KEY=UPSNGDMZIZ&amp;VAR:QUERY=RkZfRElWX1lMRChBTk4sMy8yNC8xMCwzLzI0LzEwKQ==&amp;WINDOW=FIRST_POPUP&amp;HEIGHT=450&amp;WIDTH=450&amp;","START_MAXIMIZED=FALSE&amp;VAR:CALENDAR=US&amp;VAR:SYMBOL=KO&amp;VAR:INDEX=0"}</definedName>
    <definedName name="_1628__FDSAUDITLINK__" hidden="1">{"fdsup://directions/FAT Viewer?action=UPDATE&amp;creator=factset&amp;DYN_ARGS=TRUE&amp;DOC_NAME=FAT:FQL_AUDITING_CLIENT_TEMPLATE.FAT&amp;display_string=Audit&amp;VAR:KEY=UPSNGDMZIZ&amp;VAR:QUERY=RkZfRElWX1lMRChBTk4sMy8yNC8xMCwzLzI0LzEwKQ==&amp;WINDOW=FIRST_POPUP&amp;HEIGHT=450&amp;WIDTH=450&amp;","START_MAXIMIZED=FALSE&amp;VAR:CALENDAR=US&amp;VAR:SYMBOL=KO&amp;VAR:INDEX=0"}</definedName>
    <definedName name="_1629__FDSAUDITLINK__" localSheetId="0" hidden="1">{"fdsup://directions/FAT Viewer?action=UPDATE&amp;creator=factset&amp;DYN_ARGS=TRUE&amp;DOC_NAME=FAT:FQL_AUDITING_CLIENT_TEMPLATE.FAT&amp;display_string=Audit&amp;VAR:KEY=ALSJETQDSB&amp;VAR:QUERY=RkZfRElWX1lMRChBTk4sMy8xNy8xMCwzLzE3LzEwKQ==&amp;WINDOW=FIRST_POPUP&amp;HEIGHT=450&amp;WIDTH=450&amp;","START_MAXIMIZED=FALSE&amp;VAR:CALENDAR=US&amp;VAR:SYMBOL=KO&amp;VAR:INDEX=0"}</definedName>
    <definedName name="_1629__FDSAUDITLINK__" hidden="1">{"fdsup://directions/FAT Viewer?action=UPDATE&amp;creator=factset&amp;DYN_ARGS=TRUE&amp;DOC_NAME=FAT:FQL_AUDITING_CLIENT_TEMPLATE.FAT&amp;display_string=Audit&amp;VAR:KEY=ALSJETQDSB&amp;VAR:QUERY=RkZfRElWX1lMRChBTk4sMy8xNy8xMCwzLzE3LzEwKQ==&amp;WINDOW=FIRST_POPUP&amp;HEIGHT=450&amp;WIDTH=450&amp;","START_MAXIMIZED=FALSE&amp;VAR:CALENDAR=US&amp;VAR:SYMBOL=KO&amp;VAR:INDEX=0"}</definedName>
    <definedName name="_163__123Graph_FQRE_S_BY_CO.">#REF!</definedName>
    <definedName name="_163__FDSAUDITLINK__" localSheetId="0" hidden="1">{"fdsup://directions/FAT Viewer?action=UPDATE&amp;creator=factset&amp;DYN_ARGS=TRUE&amp;DOC_NAME=FAT:FQL_AUDITING_CLIENT_TEMPLATE.FAT&amp;display_string=Audit&amp;VAR:KEY=XCTCLYRKTI&amp;VAR:QUERY=RkZfRElWX1lMRChBTk4sMi8yMS8wOCwyLzIxLzA4KQ==&amp;WINDOW=FIRST_POPUP&amp;HEIGHT=450&amp;WIDTH=450&amp;","START_MAXIMIZED=FALSE&amp;VAR:CALENDAR=US&amp;VAR:SYMBOL=RAI&amp;VAR:INDEX=0"}</definedName>
    <definedName name="_163__FDSAUDITLINK__" hidden="1">{"fdsup://directions/FAT Viewer?action=UPDATE&amp;creator=factset&amp;DYN_ARGS=TRUE&amp;DOC_NAME=FAT:FQL_AUDITING_CLIENT_TEMPLATE.FAT&amp;display_string=Audit&amp;VAR:KEY=XCTCLYRKTI&amp;VAR:QUERY=RkZfRElWX1lMRChBTk4sMi8yMS8wOCwyLzIxLzA4KQ==&amp;WINDOW=FIRST_POPUP&amp;HEIGHT=450&amp;WIDTH=450&amp;","START_MAXIMIZED=FALSE&amp;VAR:CALENDAR=US&amp;VAR:SYMBOL=RAI&amp;VAR:INDEX=0"}</definedName>
    <definedName name="_1630">#REF!</definedName>
    <definedName name="_1630__FDSAUDITLINK__" localSheetId="0" hidden="1">{"fdsup://directions/FAT Viewer?action=UPDATE&amp;creator=factset&amp;DYN_ARGS=TRUE&amp;DOC_NAME=FAT:FQL_AUDITING_CLIENT_TEMPLATE.FAT&amp;display_string=Audit&amp;VAR:KEY=INORATCZAL&amp;VAR:QUERY=RkZfRElWX1lMRChBTk4sMy8xMC8xMCwzLzEwLzEwKQ==&amp;WINDOW=FIRST_POPUP&amp;HEIGHT=450&amp;WIDTH=450&amp;","START_MAXIMIZED=FALSE&amp;VAR:CALENDAR=US&amp;VAR:SYMBOL=KO&amp;VAR:INDEX=0"}</definedName>
    <definedName name="_1630__FDSAUDITLINK__" hidden="1">{"fdsup://directions/FAT Viewer?action=UPDATE&amp;creator=factset&amp;DYN_ARGS=TRUE&amp;DOC_NAME=FAT:FQL_AUDITING_CLIENT_TEMPLATE.FAT&amp;display_string=Audit&amp;VAR:KEY=INORATCZAL&amp;VAR:QUERY=RkZfRElWX1lMRChBTk4sMy8xMC8xMCwzLzEwLzEwKQ==&amp;WINDOW=FIRST_POPUP&amp;HEIGHT=450&amp;WIDTH=450&amp;","START_MAXIMIZED=FALSE&amp;VAR:CALENDAR=US&amp;VAR:SYMBOL=KO&amp;VAR:INDEX=0"}</definedName>
    <definedName name="_1631">#REF!</definedName>
    <definedName name="_1631__FDSAUDITLINK__" localSheetId="0" hidden="1">{"fdsup://directions/FAT Viewer?action=UPDATE&amp;creator=factset&amp;DYN_ARGS=TRUE&amp;DOC_NAME=FAT:FQL_AUDITING_CLIENT_TEMPLATE.FAT&amp;display_string=Audit&amp;VAR:KEY=ILGTKNGXQD&amp;VAR:QUERY=RkZfRElWX1lMRChBTk4sMy8wMy8xMCwzLzAzLzEwKQ==&amp;WINDOW=FIRST_POPUP&amp;HEIGHT=450&amp;WIDTH=450&amp;","START_MAXIMIZED=FALSE&amp;VAR:CALENDAR=US&amp;VAR:SYMBOL=KO&amp;VAR:INDEX=0"}</definedName>
    <definedName name="_1631__FDSAUDITLINK__" hidden="1">{"fdsup://directions/FAT Viewer?action=UPDATE&amp;creator=factset&amp;DYN_ARGS=TRUE&amp;DOC_NAME=FAT:FQL_AUDITING_CLIENT_TEMPLATE.FAT&amp;display_string=Audit&amp;VAR:KEY=ILGTKNGXQD&amp;VAR:QUERY=RkZfRElWX1lMRChBTk4sMy8wMy8xMCwzLzAzLzEwKQ==&amp;WINDOW=FIRST_POPUP&amp;HEIGHT=450&amp;WIDTH=450&amp;","START_MAXIMIZED=FALSE&amp;VAR:CALENDAR=US&amp;VAR:SYMBOL=KO&amp;VAR:INDEX=0"}</definedName>
    <definedName name="_1632">#REF!</definedName>
    <definedName name="_1632__FDSAUDITLINK__" localSheetId="0" hidden="1">{"fdsup://directions/FAT Viewer?action=UPDATE&amp;creator=factset&amp;DYN_ARGS=TRUE&amp;DOC_NAME=FAT:FQL_AUDITING_CLIENT_TEMPLATE.FAT&amp;display_string=Audit&amp;VAR:KEY=EDSFKBSVIV&amp;VAR:QUERY=RkZfRElWX1lMRChBTk4sMi8yNC8xMCwyLzI0LzEwKQ==&amp;WINDOW=FIRST_POPUP&amp;HEIGHT=450&amp;WIDTH=450&amp;","START_MAXIMIZED=FALSE&amp;VAR:CALENDAR=US&amp;VAR:SYMBOL=KO&amp;VAR:INDEX=0"}</definedName>
    <definedName name="_1632__FDSAUDITLINK__" hidden="1">{"fdsup://directions/FAT Viewer?action=UPDATE&amp;creator=factset&amp;DYN_ARGS=TRUE&amp;DOC_NAME=FAT:FQL_AUDITING_CLIENT_TEMPLATE.FAT&amp;display_string=Audit&amp;VAR:KEY=EDSFKBSVIV&amp;VAR:QUERY=RkZfRElWX1lMRChBTk4sMi8yNC8xMCwyLzI0LzEwKQ==&amp;WINDOW=FIRST_POPUP&amp;HEIGHT=450&amp;WIDTH=450&amp;","START_MAXIMIZED=FALSE&amp;VAR:CALENDAR=US&amp;VAR:SYMBOL=KO&amp;VAR:INDEX=0"}</definedName>
    <definedName name="_1633">#REF!</definedName>
    <definedName name="_1633__FDSAUDITLINK__" localSheetId="0" hidden="1">{"fdsup://directions/FAT Viewer?action=UPDATE&amp;creator=factset&amp;DYN_ARGS=TRUE&amp;DOC_NAME=FAT:FQL_AUDITING_CLIENT_TEMPLATE.FAT&amp;display_string=Audit&amp;VAR:KEY=ADUTOTENOD&amp;VAR:QUERY=RkZfRElWX1lMRChBTk4sMi8xNy8xMCwyLzE3LzEwKQ==&amp;WINDOW=FIRST_POPUP&amp;HEIGHT=450&amp;WIDTH=450&amp;","START_MAXIMIZED=FALSE&amp;VAR:CALENDAR=US&amp;VAR:SYMBOL=KO&amp;VAR:INDEX=0"}</definedName>
    <definedName name="_1633__FDSAUDITLINK__" hidden="1">{"fdsup://directions/FAT Viewer?action=UPDATE&amp;creator=factset&amp;DYN_ARGS=TRUE&amp;DOC_NAME=FAT:FQL_AUDITING_CLIENT_TEMPLATE.FAT&amp;display_string=Audit&amp;VAR:KEY=ADUTOTENOD&amp;VAR:QUERY=RkZfRElWX1lMRChBTk4sMi8xNy8xMCwyLzE3LzEwKQ==&amp;WINDOW=FIRST_POPUP&amp;HEIGHT=450&amp;WIDTH=450&amp;","START_MAXIMIZED=FALSE&amp;VAR:CALENDAR=US&amp;VAR:SYMBOL=KO&amp;VAR:INDEX=0"}</definedName>
    <definedName name="_1634">#REF!</definedName>
    <definedName name="_1634__FDSAUDITLINK__" localSheetId="0" hidden="1">{"fdsup://directions/FAT Viewer?action=UPDATE&amp;creator=factset&amp;DYN_ARGS=TRUE&amp;DOC_NAME=FAT:FQL_AUDITING_CLIENT_TEMPLATE.FAT&amp;display_string=Audit&amp;VAR:KEY=SJMXOLCTCL&amp;VAR:QUERY=RkZfRElWX1lMRChBTk4sMi8xMC8xMCwyLzEwLzEwKQ==&amp;WINDOW=FIRST_POPUP&amp;HEIGHT=450&amp;WIDTH=450&amp;","START_MAXIMIZED=FALSE&amp;VAR:CALENDAR=US&amp;VAR:SYMBOL=KO&amp;VAR:INDEX=0"}</definedName>
    <definedName name="_1634__FDSAUDITLINK__" hidden="1">{"fdsup://directions/FAT Viewer?action=UPDATE&amp;creator=factset&amp;DYN_ARGS=TRUE&amp;DOC_NAME=FAT:FQL_AUDITING_CLIENT_TEMPLATE.FAT&amp;display_string=Audit&amp;VAR:KEY=SJMXOLCTCL&amp;VAR:QUERY=RkZfRElWX1lMRChBTk4sMi8xMC8xMCwyLzEwLzEwKQ==&amp;WINDOW=FIRST_POPUP&amp;HEIGHT=450&amp;WIDTH=450&amp;","START_MAXIMIZED=FALSE&amp;VAR:CALENDAR=US&amp;VAR:SYMBOL=KO&amp;VAR:INDEX=0"}</definedName>
    <definedName name="_1635">#REF!</definedName>
    <definedName name="_1635__FDSAUDITLINK__" localSheetId="0" hidden="1">{"fdsup://directions/FAT Viewer?action=UPDATE&amp;creator=factset&amp;DYN_ARGS=TRUE&amp;DOC_NAME=FAT:FQL_AUDITING_CLIENT_TEMPLATE.FAT&amp;display_string=Audit&amp;VAR:KEY=EXSJSVYBUX&amp;VAR:QUERY=RkZfRElWX1lMRChBTk4sMi8wMy8xMCwyLzAzLzEwKQ==&amp;WINDOW=FIRST_POPUP&amp;HEIGHT=450&amp;WIDTH=450&amp;","START_MAXIMIZED=FALSE&amp;VAR:CALENDAR=US&amp;VAR:SYMBOL=KO&amp;VAR:INDEX=0"}</definedName>
    <definedName name="_1635__FDSAUDITLINK__" hidden="1">{"fdsup://directions/FAT Viewer?action=UPDATE&amp;creator=factset&amp;DYN_ARGS=TRUE&amp;DOC_NAME=FAT:FQL_AUDITING_CLIENT_TEMPLATE.FAT&amp;display_string=Audit&amp;VAR:KEY=EXSJSVYBUX&amp;VAR:QUERY=RkZfRElWX1lMRChBTk4sMi8wMy8xMCwyLzAzLzEwKQ==&amp;WINDOW=FIRST_POPUP&amp;HEIGHT=450&amp;WIDTH=450&amp;","START_MAXIMIZED=FALSE&amp;VAR:CALENDAR=US&amp;VAR:SYMBOL=KO&amp;VAR:INDEX=0"}</definedName>
    <definedName name="_1636">#REF!</definedName>
    <definedName name="_1636__FDSAUDITLINK__" localSheetId="0" hidden="1">{"fdsup://directions/FAT Viewer?action=UPDATE&amp;creator=factset&amp;DYN_ARGS=TRUE&amp;DOC_NAME=FAT:FQL_AUDITING_CLIENT_TEMPLATE.FAT&amp;display_string=Audit&amp;VAR:KEY=GVOROTYFYB&amp;VAR:QUERY=RkZfRElWX1lMRChBTk4sMS8yNy8xMCwxLzI3LzEwKQ==&amp;WINDOW=FIRST_POPUP&amp;HEIGHT=450&amp;WIDTH=450&amp;","START_MAXIMIZED=FALSE&amp;VAR:CALENDAR=US&amp;VAR:SYMBOL=KO&amp;VAR:INDEX=0"}</definedName>
    <definedName name="_1636__FDSAUDITLINK__" hidden="1">{"fdsup://directions/FAT Viewer?action=UPDATE&amp;creator=factset&amp;DYN_ARGS=TRUE&amp;DOC_NAME=FAT:FQL_AUDITING_CLIENT_TEMPLATE.FAT&amp;display_string=Audit&amp;VAR:KEY=GVOROTYFYB&amp;VAR:QUERY=RkZfRElWX1lMRChBTk4sMS8yNy8xMCwxLzI3LzEwKQ==&amp;WINDOW=FIRST_POPUP&amp;HEIGHT=450&amp;WIDTH=450&amp;","START_MAXIMIZED=FALSE&amp;VAR:CALENDAR=US&amp;VAR:SYMBOL=KO&amp;VAR:INDEX=0"}</definedName>
    <definedName name="_1637">#REF!</definedName>
    <definedName name="_1637__FDSAUDITLINK__" localSheetId="0" hidden="1">{"fdsup://directions/FAT Viewer?action=UPDATE&amp;creator=factset&amp;DYN_ARGS=TRUE&amp;DOC_NAME=FAT:FQL_AUDITING_CLIENT_TEMPLATE.FAT&amp;display_string=Audit&amp;VAR:KEY=SDGDOLGLAJ&amp;VAR:QUERY=RkZfRElWX1lMRChBTk4sMS8yMC8xMCwxLzIwLzEwKQ==&amp;WINDOW=FIRST_POPUP&amp;HEIGHT=450&amp;WIDTH=450&amp;","START_MAXIMIZED=FALSE&amp;VAR:CALENDAR=US&amp;VAR:SYMBOL=KO&amp;VAR:INDEX=0"}</definedName>
    <definedName name="_1637__FDSAUDITLINK__" hidden="1">{"fdsup://directions/FAT Viewer?action=UPDATE&amp;creator=factset&amp;DYN_ARGS=TRUE&amp;DOC_NAME=FAT:FQL_AUDITING_CLIENT_TEMPLATE.FAT&amp;display_string=Audit&amp;VAR:KEY=SDGDOLGLAJ&amp;VAR:QUERY=RkZfRElWX1lMRChBTk4sMS8yMC8xMCwxLzIwLzEwKQ==&amp;WINDOW=FIRST_POPUP&amp;HEIGHT=450&amp;WIDTH=450&amp;","START_MAXIMIZED=FALSE&amp;VAR:CALENDAR=US&amp;VAR:SYMBOL=KO&amp;VAR:INDEX=0"}</definedName>
    <definedName name="_1638">#REF!</definedName>
    <definedName name="_1638__FDSAUDITLINK__" localSheetId="0" hidden="1">{"fdsup://directions/FAT Viewer?action=UPDATE&amp;creator=factset&amp;DYN_ARGS=TRUE&amp;DOC_NAME=FAT:FQL_AUDITING_CLIENT_TEMPLATE.FAT&amp;display_string=Audit&amp;VAR:KEY=ATCTUZEXAT&amp;VAR:QUERY=RkZfRElWX1lMRChBTk4sMS8xMy8xMCwxLzEzLzEwKQ==&amp;WINDOW=FIRST_POPUP&amp;HEIGHT=450&amp;WIDTH=450&amp;","START_MAXIMIZED=FALSE&amp;VAR:CALENDAR=US&amp;VAR:SYMBOL=KO&amp;VAR:INDEX=0"}</definedName>
    <definedName name="_1638__FDSAUDITLINK__" hidden="1">{"fdsup://directions/FAT Viewer?action=UPDATE&amp;creator=factset&amp;DYN_ARGS=TRUE&amp;DOC_NAME=FAT:FQL_AUDITING_CLIENT_TEMPLATE.FAT&amp;display_string=Audit&amp;VAR:KEY=ATCTUZEXAT&amp;VAR:QUERY=RkZfRElWX1lMRChBTk4sMS8xMy8xMCwxLzEzLzEwKQ==&amp;WINDOW=FIRST_POPUP&amp;HEIGHT=450&amp;WIDTH=450&amp;","START_MAXIMIZED=FALSE&amp;VAR:CALENDAR=US&amp;VAR:SYMBOL=KO&amp;VAR:INDEX=0"}</definedName>
    <definedName name="_1639">#REF!</definedName>
    <definedName name="_1639__FDSAUDITLINK__" localSheetId="0" hidden="1">{"fdsup://directions/FAT Viewer?action=UPDATE&amp;creator=factset&amp;DYN_ARGS=TRUE&amp;DOC_NAME=FAT:FQL_AUDITING_CLIENT_TEMPLATE.FAT&amp;display_string=Audit&amp;VAR:KEY=MLWJGPGZMB&amp;VAR:QUERY=RkZfRElWX1lMRChBTk4sMS8wNi8xMCwxLzA2LzEwKQ==&amp;WINDOW=FIRST_POPUP&amp;HEIGHT=450&amp;WIDTH=450&amp;","START_MAXIMIZED=FALSE&amp;VAR:CALENDAR=US&amp;VAR:SYMBOL=KO&amp;VAR:INDEX=0"}</definedName>
    <definedName name="_1639__FDSAUDITLINK__" hidden="1">{"fdsup://directions/FAT Viewer?action=UPDATE&amp;creator=factset&amp;DYN_ARGS=TRUE&amp;DOC_NAME=FAT:FQL_AUDITING_CLIENT_TEMPLATE.FAT&amp;display_string=Audit&amp;VAR:KEY=MLWJGPGZMB&amp;VAR:QUERY=RkZfRElWX1lMRChBTk4sMS8wNi8xMCwxLzA2LzEwKQ==&amp;WINDOW=FIRST_POPUP&amp;HEIGHT=450&amp;WIDTH=450&amp;","START_MAXIMIZED=FALSE&amp;VAR:CALENDAR=US&amp;VAR:SYMBOL=KO&amp;VAR:INDEX=0"}</definedName>
    <definedName name="_164__FDSAUDITLINK__" localSheetId="0" hidden="1">{"fdsup://directions/FAT Viewer?action=UPDATE&amp;creator=factset&amp;DYN_ARGS=TRUE&amp;DOC_NAME=FAT:FQL_AUDITING_CLIENT_TEMPLATE.FAT&amp;display_string=Audit&amp;VAR:KEY=DATGNSPGDK&amp;VAR:QUERY=RkZfRElWX1lMRChBTk4sMi8xNC8wOCwyLzE0LzA4KQ==&amp;WINDOW=FIRST_POPUP&amp;HEIGHT=450&amp;WIDTH=450&amp;","START_MAXIMIZED=FALSE&amp;VAR:CALENDAR=US&amp;VAR:SYMBOL=RAI&amp;VAR:INDEX=0"}</definedName>
    <definedName name="_164__FDSAUDITLINK__" hidden="1">{"fdsup://directions/FAT Viewer?action=UPDATE&amp;creator=factset&amp;DYN_ARGS=TRUE&amp;DOC_NAME=FAT:FQL_AUDITING_CLIENT_TEMPLATE.FAT&amp;display_string=Audit&amp;VAR:KEY=DATGNSPGDK&amp;VAR:QUERY=RkZfRElWX1lMRChBTk4sMi8xNC8wOCwyLzE0LzA4KQ==&amp;WINDOW=FIRST_POPUP&amp;HEIGHT=450&amp;WIDTH=450&amp;","START_MAXIMIZED=FALSE&amp;VAR:CALENDAR=US&amp;VAR:SYMBOL=RAI&amp;VAR:INDEX=0"}</definedName>
    <definedName name="_1640">#REF!</definedName>
    <definedName name="_1640__FDSAUDITLINK__" localSheetId="0" hidden="1">{"fdsup://directions/FAT Viewer?action=UPDATE&amp;creator=factset&amp;DYN_ARGS=TRUE&amp;DOC_NAME=FAT:FQL_AUDITING_CLIENT_TEMPLATE.FAT&amp;display_string=Audit&amp;VAR:KEY=AJSTUXUNGD&amp;VAR:QUERY=RkZfRElWX1lMRChBTk4sMTIvMzAvMDksMTIvMzAvMDkp&amp;WINDOW=FIRST_POPUP&amp;HEIGHT=450&amp;WIDTH=450&amp;","START_MAXIMIZED=FALSE&amp;VAR:CALENDAR=US&amp;VAR:SYMBOL=KO&amp;VAR:INDEX=0"}</definedName>
    <definedName name="_1640__FDSAUDITLINK__" hidden="1">{"fdsup://directions/FAT Viewer?action=UPDATE&amp;creator=factset&amp;DYN_ARGS=TRUE&amp;DOC_NAME=FAT:FQL_AUDITING_CLIENT_TEMPLATE.FAT&amp;display_string=Audit&amp;VAR:KEY=AJSTUXUNGD&amp;VAR:QUERY=RkZfRElWX1lMRChBTk4sMTIvMzAvMDksMTIvMzAvMDkp&amp;WINDOW=FIRST_POPUP&amp;HEIGHT=450&amp;WIDTH=450&amp;","START_MAXIMIZED=FALSE&amp;VAR:CALENDAR=US&amp;VAR:SYMBOL=KO&amp;VAR:INDEX=0"}</definedName>
    <definedName name="_1641">#REF!</definedName>
    <definedName name="_1641__FDSAUDITLINK__" localSheetId="0" hidden="1">{"fdsup://directions/FAT Viewer?action=UPDATE&amp;creator=factset&amp;DYN_ARGS=TRUE&amp;DOC_NAME=FAT:FQL_AUDITING_CLIENT_TEMPLATE.FAT&amp;display_string=Audit&amp;VAR:KEY=WLCRYXINKL&amp;VAR:QUERY=RkZfRElWX1lMRChBTk4sMTIvMjMvMDksMTIvMjMvMDkp&amp;WINDOW=FIRST_POPUP&amp;HEIGHT=450&amp;WIDTH=450&amp;","START_MAXIMIZED=FALSE&amp;VAR:CALENDAR=US&amp;VAR:SYMBOL=KO&amp;VAR:INDEX=0"}</definedName>
    <definedName name="_1641__FDSAUDITLINK__" hidden="1">{"fdsup://directions/FAT Viewer?action=UPDATE&amp;creator=factset&amp;DYN_ARGS=TRUE&amp;DOC_NAME=FAT:FQL_AUDITING_CLIENT_TEMPLATE.FAT&amp;display_string=Audit&amp;VAR:KEY=WLCRYXINKL&amp;VAR:QUERY=RkZfRElWX1lMRChBTk4sMTIvMjMvMDksMTIvMjMvMDkp&amp;WINDOW=FIRST_POPUP&amp;HEIGHT=450&amp;WIDTH=450&amp;","START_MAXIMIZED=FALSE&amp;VAR:CALENDAR=US&amp;VAR:SYMBOL=KO&amp;VAR:INDEX=0"}</definedName>
    <definedName name="_1642">#REF!</definedName>
    <definedName name="_1642__FDSAUDITLINK__" localSheetId="0" hidden="1">{"fdsup://directions/FAT Viewer?action=UPDATE&amp;creator=factset&amp;DYN_ARGS=TRUE&amp;DOC_NAME=FAT:FQL_AUDITING_CLIENT_TEMPLATE.FAT&amp;display_string=Audit&amp;VAR:KEY=GPSDUFWHCJ&amp;VAR:QUERY=RkZfRElWX1lMRChBTk4sMTIvMTYvMDksMTIvMTYvMDkp&amp;WINDOW=FIRST_POPUP&amp;HEIGHT=450&amp;WIDTH=450&amp;","START_MAXIMIZED=FALSE&amp;VAR:CALENDAR=US&amp;VAR:SYMBOL=KO&amp;VAR:INDEX=0"}</definedName>
    <definedName name="_1642__FDSAUDITLINK__" hidden="1">{"fdsup://directions/FAT Viewer?action=UPDATE&amp;creator=factset&amp;DYN_ARGS=TRUE&amp;DOC_NAME=FAT:FQL_AUDITING_CLIENT_TEMPLATE.FAT&amp;display_string=Audit&amp;VAR:KEY=GPSDUFWHCJ&amp;VAR:QUERY=RkZfRElWX1lMRChBTk4sMTIvMTYvMDksMTIvMTYvMDkp&amp;WINDOW=FIRST_POPUP&amp;HEIGHT=450&amp;WIDTH=450&amp;","START_MAXIMIZED=FALSE&amp;VAR:CALENDAR=US&amp;VAR:SYMBOL=KO&amp;VAR:INDEX=0"}</definedName>
    <definedName name="_1643">#REF!</definedName>
    <definedName name="_1643__FDSAUDITLINK__" localSheetId="0" hidden="1">{"fdsup://directions/FAT Viewer?action=UPDATE&amp;creator=factset&amp;DYN_ARGS=TRUE&amp;DOC_NAME=FAT:FQL_AUDITING_CLIENT_TEMPLATE.FAT&amp;display_string=Audit&amp;VAR:KEY=KFGJINILUF&amp;VAR:QUERY=RkZfRElWX1lMRChBTk4sMTIvMDkvMDksMTIvMDkvMDkp&amp;WINDOW=FIRST_POPUP&amp;HEIGHT=450&amp;WIDTH=450&amp;","START_MAXIMIZED=FALSE&amp;VAR:CALENDAR=US&amp;VAR:SYMBOL=KO&amp;VAR:INDEX=0"}</definedName>
    <definedName name="_1643__FDSAUDITLINK__" hidden="1">{"fdsup://directions/FAT Viewer?action=UPDATE&amp;creator=factset&amp;DYN_ARGS=TRUE&amp;DOC_NAME=FAT:FQL_AUDITING_CLIENT_TEMPLATE.FAT&amp;display_string=Audit&amp;VAR:KEY=KFGJINILUF&amp;VAR:QUERY=RkZfRElWX1lMRChBTk4sMTIvMDkvMDksMTIvMDkvMDkp&amp;WINDOW=FIRST_POPUP&amp;HEIGHT=450&amp;WIDTH=450&amp;","START_MAXIMIZED=FALSE&amp;VAR:CALENDAR=US&amp;VAR:SYMBOL=KO&amp;VAR:INDEX=0"}</definedName>
    <definedName name="_1644">#REF!</definedName>
    <definedName name="_1644__FDSAUDITLINK__" localSheetId="0" hidden="1">{"fdsup://directions/FAT Viewer?action=UPDATE&amp;creator=factset&amp;DYN_ARGS=TRUE&amp;DOC_NAME=FAT:FQL_AUDITING_CLIENT_TEMPLATE.FAT&amp;display_string=Audit&amp;VAR:KEY=GZMXCZIDKR&amp;VAR:QUERY=RkZfRElWX1lMRChBTk4sMTIvMDIvMDksMTIvMDIvMDkp&amp;WINDOW=FIRST_POPUP&amp;HEIGHT=450&amp;WIDTH=450&amp;","START_MAXIMIZED=FALSE&amp;VAR:CALENDAR=US&amp;VAR:SYMBOL=KO&amp;VAR:INDEX=0"}</definedName>
    <definedName name="_1644__FDSAUDITLINK__" hidden="1">{"fdsup://directions/FAT Viewer?action=UPDATE&amp;creator=factset&amp;DYN_ARGS=TRUE&amp;DOC_NAME=FAT:FQL_AUDITING_CLIENT_TEMPLATE.FAT&amp;display_string=Audit&amp;VAR:KEY=GZMXCZIDKR&amp;VAR:QUERY=RkZfRElWX1lMRChBTk4sMTIvMDIvMDksMTIvMDIvMDkp&amp;WINDOW=FIRST_POPUP&amp;HEIGHT=450&amp;WIDTH=450&amp;","START_MAXIMIZED=FALSE&amp;VAR:CALENDAR=US&amp;VAR:SYMBOL=KO&amp;VAR:INDEX=0"}</definedName>
    <definedName name="_1645">#REF!</definedName>
    <definedName name="_1645__FDSAUDITLINK__" localSheetId="0" hidden="1">{"fdsup://directions/FAT Viewer?action=UPDATE&amp;creator=factset&amp;DYN_ARGS=TRUE&amp;DOC_NAME=FAT:FQL_AUDITING_CLIENT_TEMPLATE.FAT&amp;display_string=Audit&amp;VAR:KEY=KTEZYFCDUH&amp;VAR:QUERY=RkZfRElWX1lMRChBTk4sMTEvMjUvMDksMTEvMjUvMDkp&amp;WINDOW=FIRST_POPUP&amp;HEIGHT=450&amp;WIDTH=450&amp;","START_MAXIMIZED=FALSE&amp;VAR:CALENDAR=US&amp;VAR:SYMBOL=KO&amp;VAR:INDEX=0"}</definedName>
    <definedName name="_1645__FDSAUDITLINK__" hidden="1">{"fdsup://directions/FAT Viewer?action=UPDATE&amp;creator=factset&amp;DYN_ARGS=TRUE&amp;DOC_NAME=FAT:FQL_AUDITING_CLIENT_TEMPLATE.FAT&amp;display_string=Audit&amp;VAR:KEY=KTEZYFCDUH&amp;VAR:QUERY=RkZfRElWX1lMRChBTk4sMTEvMjUvMDksMTEvMjUvMDkp&amp;WINDOW=FIRST_POPUP&amp;HEIGHT=450&amp;WIDTH=450&amp;","START_MAXIMIZED=FALSE&amp;VAR:CALENDAR=US&amp;VAR:SYMBOL=KO&amp;VAR:INDEX=0"}</definedName>
    <definedName name="_1646">#REF!</definedName>
    <definedName name="_1646__FDSAUDITLINK__" localSheetId="0" hidden="1">{"fdsup://directions/FAT Viewer?action=UPDATE&amp;creator=factset&amp;DYN_ARGS=TRUE&amp;DOC_NAME=FAT:FQL_AUDITING_CLIENT_TEMPLATE.FAT&amp;display_string=Audit&amp;VAR:KEY=YTIHSTIXOX&amp;VAR:QUERY=RkZfRElWX1lMRChBTk4sMTEvMTgvMDksMTEvMTgvMDkp&amp;WINDOW=FIRST_POPUP&amp;HEIGHT=450&amp;WIDTH=450&amp;","START_MAXIMIZED=FALSE&amp;VAR:CALENDAR=US&amp;VAR:SYMBOL=KO&amp;VAR:INDEX=0"}</definedName>
    <definedName name="_1646__FDSAUDITLINK__" hidden="1">{"fdsup://directions/FAT Viewer?action=UPDATE&amp;creator=factset&amp;DYN_ARGS=TRUE&amp;DOC_NAME=FAT:FQL_AUDITING_CLIENT_TEMPLATE.FAT&amp;display_string=Audit&amp;VAR:KEY=YTIHSTIXOX&amp;VAR:QUERY=RkZfRElWX1lMRChBTk4sMTEvMTgvMDksMTEvMTgvMDkp&amp;WINDOW=FIRST_POPUP&amp;HEIGHT=450&amp;WIDTH=450&amp;","START_MAXIMIZED=FALSE&amp;VAR:CALENDAR=US&amp;VAR:SYMBOL=KO&amp;VAR:INDEX=0"}</definedName>
    <definedName name="_1647">#REF!</definedName>
    <definedName name="_1647__FDSAUDITLINK__" localSheetId="0" hidden="1">{"fdsup://directions/FAT Viewer?action=UPDATE&amp;creator=factset&amp;DYN_ARGS=TRUE&amp;DOC_NAME=FAT:FQL_AUDITING_CLIENT_TEMPLATE.FAT&amp;display_string=Audit&amp;VAR:KEY=GJCFCLQRYZ&amp;VAR:QUERY=RkZfRElWX1lMRChBTk4sMTEvMTEvMDksMTEvMTEvMDkp&amp;WINDOW=FIRST_POPUP&amp;HEIGHT=450&amp;WIDTH=450&amp;","START_MAXIMIZED=FALSE&amp;VAR:CALENDAR=US&amp;VAR:SYMBOL=KO&amp;VAR:INDEX=0"}</definedName>
    <definedName name="_1647__FDSAUDITLINK__" hidden="1">{"fdsup://directions/FAT Viewer?action=UPDATE&amp;creator=factset&amp;DYN_ARGS=TRUE&amp;DOC_NAME=FAT:FQL_AUDITING_CLIENT_TEMPLATE.FAT&amp;display_string=Audit&amp;VAR:KEY=GJCFCLQRYZ&amp;VAR:QUERY=RkZfRElWX1lMRChBTk4sMTEvMTEvMDksMTEvMTEvMDkp&amp;WINDOW=FIRST_POPUP&amp;HEIGHT=450&amp;WIDTH=450&amp;","START_MAXIMIZED=FALSE&amp;VAR:CALENDAR=US&amp;VAR:SYMBOL=KO&amp;VAR:INDEX=0"}</definedName>
    <definedName name="_1648">#REF!</definedName>
    <definedName name="_1648__FDSAUDITLINK__" localSheetId="0" hidden="1">{"fdsup://directions/FAT Viewer?action=UPDATE&amp;creator=factset&amp;DYN_ARGS=TRUE&amp;DOC_NAME=FAT:FQL_AUDITING_CLIENT_TEMPLATE.FAT&amp;display_string=Audit&amp;VAR:KEY=OXWHCBOPQL&amp;VAR:QUERY=RkZfRElWX1lMRChBTk4sMTEvMDQvMDksMTEvMDQvMDkp&amp;WINDOW=FIRST_POPUP&amp;HEIGHT=450&amp;WIDTH=450&amp;","START_MAXIMIZED=FALSE&amp;VAR:CALENDAR=US&amp;VAR:SYMBOL=KO&amp;VAR:INDEX=0"}</definedName>
    <definedName name="_1648__FDSAUDITLINK__" hidden="1">{"fdsup://directions/FAT Viewer?action=UPDATE&amp;creator=factset&amp;DYN_ARGS=TRUE&amp;DOC_NAME=FAT:FQL_AUDITING_CLIENT_TEMPLATE.FAT&amp;display_string=Audit&amp;VAR:KEY=OXWHCBOPQL&amp;VAR:QUERY=RkZfRElWX1lMRChBTk4sMTEvMDQvMDksMTEvMDQvMDkp&amp;WINDOW=FIRST_POPUP&amp;HEIGHT=450&amp;WIDTH=450&amp;","START_MAXIMIZED=FALSE&amp;VAR:CALENDAR=US&amp;VAR:SYMBOL=KO&amp;VAR:INDEX=0"}</definedName>
    <definedName name="_1649">#REF!</definedName>
    <definedName name="_1649__FDSAUDITLINK__" localSheetId="0" hidden="1">{"fdsup://directions/FAT Viewer?action=UPDATE&amp;creator=factset&amp;DYN_ARGS=TRUE&amp;DOC_NAME=FAT:FQL_AUDITING_CLIENT_TEMPLATE.FAT&amp;display_string=Audit&amp;VAR:KEY=GJEFEJUDSF&amp;VAR:QUERY=RkZfRElWX1lMRChBTk4sMTAvMjgvMDksMTAvMjgvMDkp&amp;WINDOW=FIRST_POPUP&amp;HEIGHT=450&amp;WIDTH=450&amp;","START_MAXIMIZED=FALSE&amp;VAR:CALENDAR=US&amp;VAR:SYMBOL=KO&amp;VAR:INDEX=0"}</definedName>
    <definedName name="_1649__FDSAUDITLINK__" hidden="1">{"fdsup://directions/FAT Viewer?action=UPDATE&amp;creator=factset&amp;DYN_ARGS=TRUE&amp;DOC_NAME=FAT:FQL_AUDITING_CLIENT_TEMPLATE.FAT&amp;display_string=Audit&amp;VAR:KEY=GJEFEJUDSF&amp;VAR:QUERY=RkZfRElWX1lMRChBTk4sMTAvMjgvMDksMTAvMjgvMDkp&amp;WINDOW=FIRST_POPUP&amp;HEIGHT=450&amp;WIDTH=450&amp;","START_MAXIMIZED=FALSE&amp;VAR:CALENDAR=US&amp;VAR:SYMBOL=KO&amp;VAR:INDEX=0"}</definedName>
    <definedName name="_165">#REF!</definedName>
    <definedName name="_165__FDSAUDITLINK__" localSheetId="0" hidden="1">{"fdsup://directions/FAT Viewer?action=UPDATE&amp;creator=factset&amp;DYN_ARGS=TRUE&amp;DOC_NAME=FAT:FQL_AUDITING_CLIENT_TEMPLATE.FAT&amp;display_string=Audit&amp;VAR:KEY=XUBWFGHKXW&amp;VAR:QUERY=RkZfRElWX1lMRChBTk4sMi8wNy8wOCwyLzA3LzA4KQ==&amp;WINDOW=FIRST_POPUP&amp;HEIGHT=450&amp;WIDTH=450&amp;","START_MAXIMIZED=FALSE&amp;VAR:CALENDAR=US&amp;VAR:SYMBOL=RAI&amp;VAR:INDEX=0"}</definedName>
    <definedName name="_165__FDSAUDITLINK__" hidden="1">{"fdsup://directions/FAT Viewer?action=UPDATE&amp;creator=factset&amp;DYN_ARGS=TRUE&amp;DOC_NAME=FAT:FQL_AUDITING_CLIENT_TEMPLATE.FAT&amp;display_string=Audit&amp;VAR:KEY=XUBWFGHKXW&amp;VAR:QUERY=RkZfRElWX1lMRChBTk4sMi8wNy8wOCwyLzA3LzA4KQ==&amp;WINDOW=FIRST_POPUP&amp;HEIGHT=450&amp;WIDTH=450&amp;","START_MAXIMIZED=FALSE&amp;VAR:CALENDAR=US&amp;VAR:SYMBOL=RAI&amp;VAR:INDEX=0"}</definedName>
    <definedName name="_1650">#REF!</definedName>
    <definedName name="_1650__FDSAUDITLINK__" localSheetId="0" hidden="1">{"fdsup://directions/FAT Viewer?action=UPDATE&amp;creator=factset&amp;DYN_ARGS=TRUE&amp;DOC_NAME=FAT:FQL_AUDITING_CLIENT_TEMPLATE.FAT&amp;display_string=Audit&amp;VAR:KEY=URCNOPSJSR&amp;VAR:QUERY=RkZfRElWX1lMRChBTk4sMTAvMjEvMDksMTAvMjEvMDkp&amp;WINDOW=FIRST_POPUP&amp;HEIGHT=450&amp;WIDTH=450&amp;","START_MAXIMIZED=FALSE&amp;VAR:CALENDAR=US&amp;VAR:SYMBOL=KO&amp;VAR:INDEX=0"}</definedName>
    <definedName name="_1650__FDSAUDITLINK__" hidden="1">{"fdsup://directions/FAT Viewer?action=UPDATE&amp;creator=factset&amp;DYN_ARGS=TRUE&amp;DOC_NAME=FAT:FQL_AUDITING_CLIENT_TEMPLATE.FAT&amp;display_string=Audit&amp;VAR:KEY=URCNOPSJSR&amp;VAR:QUERY=RkZfRElWX1lMRChBTk4sMTAvMjEvMDksMTAvMjEvMDkp&amp;WINDOW=FIRST_POPUP&amp;HEIGHT=450&amp;WIDTH=450&amp;","START_MAXIMIZED=FALSE&amp;VAR:CALENDAR=US&amp;VAR:SYMBOL=KO&amp;VAR:INDEX=0"}</definedName>
    <definedName name="_1651">#REF!</definedName>
    <definedName name="_1651__FDSAUDITLINK__" localSheetId="0" hidden="1">{"fdsup://directions/FAT Viewer?action=UPDATE&amp;creator=factset&amp;DYN_ARGS=TRUE&amp;DOC_NAME=FAT:FQL_AUDITING_CLIENT_TEMPLATE.FAT&amp;display_string=Audit&amp;VAR:KEY=IFSFKBOBQP&amp;VAR:QUERY=RkZfRElWX1lMRChBTk4sMTAvMTQvMDksMTAvMTQvMDkp&amp;WINDOW=FIRST_POPUP&amp;HEIGHT=450&amp;WIDTH=450&amp;","START_MAXIMIZED=FALSE&amp;VAR:CALENDAR=US&amp;VAR:SYMBOL=KO&amp;VAR:INDEX=0"}</definedName>
    <definedName name="_1651__FDSAUDITLINK__" hidden="1">{"fdsup://directions/FAT Viewer?action=UPDATE&amp;creator=factset&amp;DYN_ARGS=TRUE&amp;DOC_NAME=FAT:FQL_AUDITING_CLIENT_TEMPLATE.FAT&amp;display_string=Audit&amp;VAR:KEY=IFSFKBOBQP&amp;VAR:QUERY=RkZfRElWX1lMRChBTk4sMTAvMTQvMDksMTAvMTQvMDkp&amp;WINDOW=FIRST_POPUP&amp;HEIGHT=450&amp;WIDTH=450&amp;","START_MAXIMIZED=FALSE&amp;VAR:CALENDAR=US&amp;VAR:SYMBOL=KO&amp;VAR:INDEX=0"}</definedName>
    <definedName name="_1652">#REF!</definedName>
    <definedName name="_1652__FDSAUDITLINK__" localSheetId="0" hidden="1">{"fdsup://directions/FAT Viewer?action=UPDATE&amp;creator=factset&amp;DYN_ARGS=TRUE&amp;DOC_NAME=FAT:FQL_AUDITING_CLIENT_TEMPLATE.FAT&amp;display_string=Audit&amp;VAR:KEY=YFKLYVMPKD&amp;VAR:QUERY=RkZfRElWX1lMRChBTk4sMTAvMDcvMDksMTAvMDcvMDkp&amp;WINDOW=FIRST_POPUP&amp;HEIGHT=450&amp;WIDTH=450&amp;","START_MAXIMIZED=FALSE&amp;VAR:CALENDAR=US&amp;VAR:SYMBOL=KO&amp;VAR:INDEX=0"}</definedName>
    <definedName name="_1652__FDSAUDITLINK__" hidden="1">{"fdsup://directions/FAT Viewer?action=UPDATE&amp;creator=factset&amp;DYN_ARGS=TRUE&amp;DOC_NAME=FAT:FQL_AUDITING_CLIENT_TEMPLATE.FAT&amp;display_string=Audit&amp;VAR:KEY=YFKLYVMPKD&amp;VAR:QUERY=RkZfRElWX1lMRChBTk4sMTAvMDcvMDksMTAvMDcvMDkp&amp;WINDOW=FIRST_POPUP&amp;HEIGHT=450&amp;WIDTH=450&amp;","START_MAXIMIZED=FALSE&amp;VAR:CALENDAR=US&amp;VAR:SYMBOL=KO&amp;VAR:INDEX=0"}</definedName>
    <definedName name="_1653">#REF!</definedName>
    <definedName name="_1653__FDSAUDITLINK__" localSheetId="0" hidden="1">{"fdsup://directions/FAT Viewer?action=UPDATE&amp;creator=factset&amp;DYN_ARGS=TRUE&amp;DOC_NAME=FAT:FQL_AUDITING_CLIENT_TEMPLATE.FAT&amp;display_string=Audit&amp;VAR:KEY=IHAPALWDSZ&amp;VAR:QUERY=RkZfRElWX1lMRChBTk4sOS8zMC8wOSw5LzMwLzA5KQ==&amp;WINDOW=FIRST_POPUP&amp;HEIGHT=450&amp;WIDTH=450&amp;","START_MAXIMIZED=FALSE&amp;VAR:CALENDAR=US&amp;VAR:SYMBOL=KO&amp;VAR:INDEX=0"}</definedName>
    <definedName name="_1653__FDSAUDITLINK__" hidden="1">{"fdsup://directions/FAT Viewer?action=UPDATE&amp;creator=factset&amp;DYN_ARGS=TRUE&amp;DOC_NAME=FAT:FQL_AUDITING_CLIENT_TEMPLATE.FAT&amp;display_string=Audit&amp;VAR:KEY=IHAPALWDSZ&amp;VAR:QUERY=RkZfRElWX1lMRChBTk4sOS8zMC8wOSw5LzMwLzA5KQ==&amp;WINDOW=FIRST_POPUP&amp;HEIGHT=450&amp;WIDTH=450&amp;","START_MAXIMIZED=FALSE&amp;VAR:CALENDAR=US&amp;VAR:SYMBOL=KO&amp;VAR:INDEX=0"}</definedName>
    <definedName name="_1654">#REF!</definedName>
    <definedName name="_1654__FDSAUDITLINK__" localSheetId="0" hidden="1">{"fdsup://directions/FAT Viewer?action=UPDATE&amp;creator=factset&amp;DYN_ARGS=TRUE&amp;DOC_NAME=FAT:FQL_AUDITING_CLIENT_TEMPLATE.FAT&amp;display_string=Audit&amp;VAR:KEY=OFUTAJKXCB&amp;VAR:QUERY=RkZfRElWX1lMRChBTk4sOS8yMy8wOSw5LzIzLzA5KQ==&amp;WINDOW=FIRST_POPUP&amp;HEIGHT=450&amp;WIDTH=450&amp;","START_MAXIMIZED=FALSE&amp;VAR:CALENDAR=US&amp;VAR:SYMBOL=KO&amp;VAR:INDEX=0"}</definedName>
    <definedName name="_1654__FDSAUDITLINK__" hidden="1">{"fdsup://directions/FAT Viewer?action=UPDATE&amp;creator=factset&amp;DYN_ARGS=TRUE&amp;DOC_NAME=FAT:FQL_AUDITING_CLIENT_TEMPLATE.FAT&amp;display_string=Audit&amp;VAR:KEY=OFUTAJKXCB&amp;VAR:QUERY=RkZfRElWX1lMRChBTk4sOS8yMy8wOSw5LzIzLzA5KQ==&amp;WINDOW=FIRST_POPUP&amp;HEIGHT=450&amp;WIDTH=450&amp;","START_MAXIMIZED=FALSE&amp;VAR:CALENDAR=US&amp;VAR:SYMBOL=KO&amp;VAR:INDEX=0"}</definedName>
    <definedName name="_1655__FDSAUDITLINK__" localSheetId="0" hidden="1">{"fdsup://directions/FAT Viewer?action=UPDATE&amp;creator=factset&amp;DYN_ARGS=TRUE&amp;DOC_NAME=FAT:FQL_AUDITING_CLIENT_TEMPLATE.FAT&amp;display_string=Audit&amp;VAR:KEY=UFIFMLSFMH&amp;VAR:QUERY=RkZfRElWX1lMRChBTk4sOS8xNi8wOSw5LzE2LzA5KQ==&amp;WINDOW=FIRST_POPUP&amp;HEIGHT=450&amp;WIDTH=450&amp;","START_MAXIMIZED=FALSE&amp;VAR:CALENDAR=US&amp;VAR:SYMBOL=KO&amp;VAR:INDEX=0"}</definedName>
    <definedName name="_1655__FDSAUDITLINK__" hidden="1">{"fdsup://directions/FAT Viewer?action=UPDATE&amp;creator=factset&amp;DYN_ARGS=TRUE&amp;DOC_NAME=FAT:FQL_AUDITING_CLIENT_TEMPLATE.FAT&amp;display_string=Audit&amp;VAR:KEY=UFIFMLSFMH&amp;VAR:QUERY=RkZfRElWX1lMRChBTk4sOS8xNi8wOSw5LzE2LzA5KQ==&amp;WINDOW=FIRST_POPUP&amp;HEIGHT=450&amp;WIDTH=450&amp;","START_MAXIMIZED=FALSE&amp;VAR:CALENDAR=US&amp;VAR:SYMBOL=KO&amp;VAR:INDEX=0"}</definedName>
    <definedName name="_1656__FDSAUDITLINK__" localSheetId="0" hidden="1">{"fdsup://directions/FAT Viewer?action=UPDATE&amp;creator=factset&amp;DYN_ARGS=TRUE&amp;DOC_NAME=FAT:FQL_AUDITING_CLIENT_TEMPLATE.FAT&amp;display_string=Audit&amp;VAR:KEY=QDWZOFSZQP&amp;VAR:QUERY=RkZfRElWX1lMRChBTk4sOS8wOS8wOSw5LzA5LzA5KQ==&amp;WINDOW=FIRST_POPUP&amp;HEIGHT=450&amp;WIDTH=450&amp;","START_MAXIMIZED=FALSE&amp;VAR:CALENDAR=US&amp;VAR:SYMBOL=KO&amp;VAR:INDEX=0"}</definedName>
    <definedName name="_1656__FDSAUDITLINK__" hidden="1">{"fdsup://directions/FAT Viewer?action=UPDATE&amp;creator=factset&amp;DYN_ARGS=TRUE&amp;DOC_NAME=FAT:FQL_AUDITING_CLIENT_TEMPLATE.FAT&amp;display_string=Audit&amp;VAR:KEY=QDWZOFSZQP&amp;VAR:QUERY=RkZfRElWX1lMRChBTk4sOS8wOS8wOSw5LzA5LzA5KQ==&amp;WINDOW=FIRST_POPUP&amp;HEIGHT=450&amp;WIDTH=450&amp;","START_MAXIMIZED=FALSE&amp;VAR:CALENDAR=US&amp;VAR:SYMBOL=KO&amp;VAR:INDEX=0"}</definedName>
    <definedName name="_1657__FDSAUDITLINK__" localSheetId="0" hidden="1">{"fdsup://directions/FAT Viewer?action=UPDATE&amp;creator=factset&amp;DYN_ARGS=TRUE&amp;DOC_NAME=FAT:FQL_AUDITING_CLIENT_TEMPLATE.FAT&amp;display_string=Audit&amp;VAR:KEY=MLUJSJWXAH&amp;VAR:QUERY=RkZfRElWX1lMRChBTk4sOS8wMi8wOSw5LzAyLzA5KQ==&amp;WINDOW=FIRST_POPUP&amp;HEIGHT=450&amp;WIDTH=450&amp;","START_MAXIMIZED=FALSE&amp;VAR:CALENDAR=US&amp;VAR:SYMBOL=KO&amp;VAR:INDEX=0"}</definedName>
    <definedName name="_1657__FDSAUDITLINK__" hidden="1">{"fdsup://directions/FAT Viewer?action=UPDATE&amp;creator=factset&amp;DYN_ARGS=TRUE&amp;DOC_NAME=FAT:FQL_AUDITING_CLIENT_TEMPLATE.FAT&amp;display_string=Audit&amp;VAR:KEY=MLUJSJWXAH&amp;VAR:QUERY=RkZfRElWX1lMRChBTk4sOS8wMi8wOSw5LzAyLzA5KQ==&amp;WINDOW=FIRST_POPUP&amp;HEIGHT=450&amp;WIDTH=450&amp;","START_MAXIMIZED=FALSE&amp;VAR:CALENDAR=US&amp;VAR:SYMBOL=KO&amp;VAR:INDEX=0"}</definedName>
    <definedName name="_1658">#REF!</definedName>
    <definedName name="_1658__FDSAUDITLINK__" localSheetId="0" hidden="1">{"fdsup://directions/FAT Viewer?action=UPDATE&amp;creator=factset&amp;DYN_ARGS=TRUE&amp;DOC_NAME=FAT:FQL_AUDITING_CLIENT_TEMPLATE.FAT&amp;display_string=Audit&amp;VAR:KEY=GFMXWXGLKJ&amp;VAR:QUERY=RkZfRElWX1lMRChBTk4sOC8yNi8wOSw4LzI2LzA5KQ==&amp;WINDOW=FIRST_POPUP&amp;HEIGHT=450&amp;WIDTH=450&amp;","START_MAXIMIZED=FALSE&amp;VAR:CALENDAR=US&amp;VAR:SYMBOL=KO&amp;VAR:INDEX=0"}</definedName>
    <definedName name="_1658__FDSAUDITLINK__" hidden="1">{"fdsup://directions/FAT Viewer?action=UPDATE&amp;creator=factset&amp;DYN_ARGS=TRUE&amp;DOC_NAME=FAT:FQL_AUDITING_CLIENT_TEMPLATE.FAT&amp;display_string=Audit&amp;VAR:KEY=GFMXWXGLKJ&amp;VAR:QUERY=RkZfRElWX1lMRChBTk4sOC8yNi8wOSw4LzI2LzA5KQ==&amp;WINDOW=FIRST_POPUP&amp;HEIGHT=450&amp;WIDTH=450&amp;","START_MAXIMIZED=FALSE&amp;VAR:CALENDAR=US&amp;VAR:SYMBOL=KO&amp;VAR:INDEX=0"}</definedName>
    <definedName name="_1659__FDSAUDITLINK__" localSheetId="0" hidden="1">{"fdsup://directions/FAT Viewer?action=UPDATE&amp;creator=factset&amp;DYN_ARGS=TRUE&amp;DOC_NAME=FAT:FQL_AUDITING_CLIENT_TEMPLATE.FAT&amp;display_string=Audit&amp;VAR:KEY=IXINKXUTIL&amp;VAR:QUERY=RkZfRElWX1lMRChBTk4sOC8xOS8wOSw4LzE5LzA5KQ==&amp;WINDOW=FIRST_POPUP&amp;HEIGHT=450&amp;WIDTH=450&amp;","START_MAXIMIZED=FALSE&amp;VAR:CALENDAR=US&amp;VAR:SYMBOL=KO&amp;VAR:INDEX=0"}</definedName>
    <definedName name="_1659__FDSAUDITLINK__" hidden="1">{"fdsup://directions/FAT Viewer?action=UPDATE&amp;creator=factset&amp;DYN_ARGS=TRUE&amp;DOC_NAME=FAT:FQL_AUDITING_CLIENT_TEMPLATE.FAT&amp;display_string=Audit&amp;VAR:KEY=IXINKXUTIL&amp;VAR:QUERY=RkZfRElWX1lMRChBTk4sOC8xOS8wOSw4LzE5LzA5KQ==&amp;WINDOW=FIRST_POPUP&amp;HEIGHT=450&amp;WIDTH=450&amp;","START_MAXIMIZED=FALSE&amp;VAR:CALENDAR=US&amp;VAR:SYMBOL=KO&amp;VAR:INDEX=0"}</definedName>
    <definedName name="_166">#REF!</definedName>
    <definedName name="_166__123Graph_XSUPPLIES_BY_B_U">#REF!</definedName>
    <definedName name="_166__FDSAUDITLINK__" localSheetId="0" hidden="1">{"fdsup://directions/FAT Viewer?action=UPDATE&amp;creator=factset&amp;DYN_ARGS=TRUE&amp;DOC_NAME=FAT:FQL_AUDITING_CLIENT_TEMPLATE.FAT&amp;display_string=Audit&amp;VAR:KEY=RQZERSVEHI&amp;VAR:QUERY=RkZfRElWX1lMRChBTk4sMS8zMS8wOCwxLzMxLzA4KQ==&amp;WINDOW=FIRST_POPUP&amp;HEIGHT=450&amp;WIDTH=450&amp;","START_MAXIMIZED=FALSE&amp;VAR:CALENDAR=US&amp;VAR:SYMBOL=RAI&amp;VAR:INDEX=0"}</definedName>
    <definedName name="_166__FDSAUDITLINK__" hidden="1">{"fdsup://directions/FAT Viewer?action=UPDATE&amp;creator=factset&amp;DYN_ARGS=TRUE&amp;DOC_NAME=FAT:FQL_AUDITING_CLIENT_TEMPLATE.FAT&amp;display_string=Audit&amp;VAR:KEY=RQZERSVEHI&amp;VAR:QUERY=RkZfRElWX1lMRChBTk4sMS8zMS8wOCwxLzMxLzA4KQ==&amp;WINDOW=FIRST_POPUP&amp;HEIGHT=450&amp;WIDTH=450&amp;","START_MAXIMIZED=FALSE&amp;VAR:CALENDAR=US&amp;VAR:SYMBOL=RAI&amp;VAR:INDEX=0"}</definedName>
    <definedName name="_1660__FDSAUDITLINK__" localSheetId="0" hidden="1">{"fdsup://directions/FAT Viewer?action=UPDATE&amp;creator=factset&amp;DYN_ARGS=TRUE&amp;DOC_NAME=FAT:FQL_AUDITING_CLIENT_TEMPLATE.FAT&amp;display_string=Audit&amp;VAR:KEY=GJYFMPUFEH&amp;VAR:QUERY=RkZfRElWX1lMRChBTk4sOC8xMi8wOSw4LzEyLzA5KQ==&amp;WINDOW=FIRST_POPUP&amp;HEIGHT=450&amp;WIDTH=450&amp;","START_MAXIMIZED=FALSE&amp;VAR:CALENDAR=US&amp;VAR:SYMBOL=KO&amp;VAR:INDEX=0"}</definedName>
    <definedName name="_1660__FDSAUDITLINK__" hidden="1">{"fdsup://directions/FAT Viewer?action=UPDATE&amp;creator=factset&amp;DYN_ARGS=TRUE&amp;DOC_NAME=FAT:FQL_AUDITING_CLIENT_TEMPLATE.FAT&amp;display_string=Audit&amp;VAR:KEY=GJYFMPUFEH&amp;VAR:QUERY=RkZfRElWX1lMRChBTk4sOC8xMi8wOSw4LzEyLzA5KQ==&amp;WINDOW=FIRST_POPUP&amp;HEIGHT=450&amp;WIDTH=450&amp;","START_MAXIMIZED=FALSE&amp;VAR:CALENDAR=US&amp;VAR:SYMBOL=KO&amp;VAR:INDEX=0"}</definedName>
    <definedName name="_1661__FDSAUDITLINK__" localSheetId="0" hidden="1">{"fdsup://directions/FAT Viewer?action=UPDATE&amp;creator=factset&amp;DYN_ARGS=TRUE&amp;DOC_NAME=FAT:FQL_AUDITING_CLIENT_TEMPLATE.FAT&amp;display_string=Audit&amp;VAR:KEY=GTYXWPELAD&amp;VAR:QUERY=RkZfRElWX1lMRChBTk4sOC8wNS8wOSw4LzA1LzA5KQ==&amp;WINDOW=FIRST_POPUP&amp;HEIGHT=450&amp;WIDTH=450&amp;","START_MAXIMIZED=FALSE&amp;VAR:CALENDAR=US&amp;VAR:SYMBOL=KO&amp;VAR:INDEX=0"}</definedName>
    <definedName name="_1661__FDSAUDITLINK__" hidden="1">{"fdsup://directions/FAT Viewer?action=UPDATE&amp;creator=factset&amp;DYN_ARGS=TRUE&amp;DOC_NAME=FAT:FQL_AUDITING_CLIENT_TEMPLATE.FAT&amp;display_string=Audit&amp;VAR:KEY=GTYXWPELAD&amp;VAR:QUERY=RkZfRElWX1lMRChBTk4sOC8wNS8wOSw4LzA1LzA5KQ==&amp;WINDOW=FIRST_POPUP&amp;HEIGHT=450&amp;WIDTH=450&amp;","START_MAXIMIZED=FALSE&amp;VAR:CALENDAR=US&amp;VAR:SYMBOL=KO&amp;VAR:INDEX=0"}</definedName>
    <definedName name="_1662__FDSAUDITLINK__" localSheetId="0" hidden="1">{"fdsup://directions/FAT Viewer?action=UPDATE&amp;creator=factset&amp;DYN_ARGS=TRUE&amp;DOC_NAME=FAT:FQL_AUDITING_CLIENT_TEMPLATE.FAT&amp;display_string=Audit&amp;VAR:KEY=EFEXAJERCX&amp;VAR:QUERY=RkZfRElWX1lMRChBTk4sNy8yOS8wOSw3LzI5LzA5KQ==&amp;WINDOW=FIRST_POPUP&amp;HEIGHT=450&amp;WIDTH=450&amp;","START_MAXIMIZED=FALSE&amp;VAR:CALENDAR=US&amp;VAR:SYMBOL=KO&amp;VAR:INDEX=0"}</definedName>
    <definedName name="_1662__FDSAUDITLINK__" hidden="1">{"fdsup://directions/FAT Viewer?action=UPDATE&amp;creator=factset&amp;DYN_ARGS=TRUE&amp;DOC_NAME=FAT:FQL_AUDITING_CLIENT_TEMPLATE.FAT&amp;display_string=Audit&amp;VAR:KEY=EFEXAJERCX&amp;VAR:QUERY=RkZfRElWX1lMRChBTk4sNy8yOS8wOSw3LzI5LzA5KQ==&amp;WINDOW=FIRST_POPUP&amp;HEIGHT=450&amp;WIDTH=450&amp;","START_MAXIMIZED=FALSE&amp;VAR:CALENDAR=US&amp;VAR:SYMBOL=KO&amp;VAR:INDEX=0"}</definedName>
    <definedName name="_1663">#REF!</definedName>
    <definedName name="_1663__FDSAUDITLINK__" localSheetId="0" hidden="1">{"fdsup://directions/FAT Viewer?action=UPDATE&amp;creator=factset&amp;DYN_ARGS=TRUE&amp;DOC_NAME=FAT:FQL_AUDITING_CLIENT_TEMPLATE.FAT&amp;display_string=Audit&amp;VAR:KEY=QNAFABQRGP&amp;VAR:QUERY=RkZfRElWX1lMRChBTk4sNy8yMi8wOSw3LzIyLzA5KQ==&amp;WINDOW=FIRST_POPUP&amp;HEIGHT=450&amp;WIDTH=450&amp;","START_MAXIMIZED=FALSE&amp;VAR:CALENDAR=US&amp;VAR:SYMBOL=KO&amp;VAR:INDEX=0"}</definedName>
    <definedName name="_1663__FDSAUDITLINK__" hidden="1">{"fdsup://directions/FAT Viewer?action=UPDATE&amp;creator=factset&amp;DYN_ARGS=TRUE&amp;DOC_NAME=FAT:FQL_AUDITING_CLIENT_TEMPLATE.FAT&amp;display_string=Audit&amp;VAR:KEY=QNAFABQRGP&amp;VAR:QUERY=RkZfRElWX1lMRChBTk4sNy8yMi8wOSw3LzIyLzA5KQ==&amp;WINDOW=FIRST_POPUP&amp;HEIGHT=450&amp;WIDTH=450&amp;","START_MAXIMIZED=FALSE&amp;VAR:CALENDAR=US&amp;VAR:SYMBOL=KO&amp;VAR:INDEX=0"}</definedName>
    <definedName name="_1664__FDSAUDITLINK__" localSheetId="0" hidden="1">{"fdsup://directions/FAT Viewer?action=UPDATE&amp;creator=factset&amp;DYN_ARGS=TRUE&amp;DOC_NAME=FAT:FQL_AUDITING_CLIENT_TEMPLATE.FAT&amp;display_string=Audit&amp;VAR:KEY=OHUNSLYDAR&amp;VAR:QUERY=RkZfRElWX1lMRChBTk4sNy8xNS8wOSw3LzE1LzA5KQ==&amp;WINDOW=FIRST_POPUP&amp;HEIGHT=450&amp;WIDTH=450&amp;","START_MAXIMIZED=FALSE&amp;VAR:CALENDAR=US&amp;VAR:SYMBOL=KO&amp;VAR:INDEX=0"}</definedName>
    <definedName name="_1664__FDSAUDITLINK__" hidden="1">{"fdsup://directions/FAT Viewer?action=UPDATE&amp;creator=factset&amp;DYN_ARGS=TRUE&amp;DOC_NAME=FAT:FQL_AUDITING_CLIENT_TEMPLATE.FAT&amp;display_string=Audit&amp;VAR:KEY=OHUNSLYDAR&amp;VAR:QUERY=RkZfRElWX1lMRChBTk4sNy8xNS8wOSw3LzE1LzA5KQ==&amp;WINDOW=FIRST_POPUP&amp;HEIGHT=450&amp;WIDTH=450&amp;","START_MAXIMIZED=FALSE&amp;VAR:CALENDAR=US&amp;VAR:SYMBOL=KO&amp;VAR:INDEX=0"}</definedName>
    <definedName name="_1665__FDSAUDITLINK__" localSheetId="0" hidden="1">{"fdsup://directions/FAT Viewer?action=UPDATE&amp;creator=factset&amp;DYN_ARGS=TRUE&amp;DOC_NAME=FAT:FQL_AUDITING_CLIENT_TEMPLATE.FAT&amp;display_string=Audit&amp;VAR:KEY=OXMNKTUJSX&amp;VAR:QUERY=RkZfRElWX1lMRChBTk4sNy8wOC8wOSw3LzA4LzA5KQ==&amp;WINDOW=FIRST_POPUP&amp;HEIGHT=450&amp;WIDTH=450&amp;","START_MAXIMIZED=FALSE&amp;VAR:CALENDAR=US&amp;VAR:SYMBOL=KO&amp;VAR:INDEX=0"}</definedName>
    <definedName name="_1665__FDSAUDITLINK__" hidden="1">{"fdsup://directions/FAT Viewer?action=UPDATE&amp;creator=factset&amp;DYN_ARGS=TRUE&amp;DOC_NAME=FAT:FQL_AUDITING_CLIENT_TEMPLATE.FAT&amp;display_string=Audit&amp;VAR:KEY=OXMNKTUJSX&amp;VAR:QUERY=RkZfRElWX1lMRChBTk4sNy8wOC8wOSw3LzA4LzA5KQ==&amp;WINDOW=FIRST_POPUP&amp;HEIGHT=450&amp;WIDTH=450&amp;","START_MAXIMIZED=FALSE&amp;VAR:CALENDAR=US&amp;VAR:SYMBOL=KO&amp;VAR:INDEX=0"}</definedName>
    <definedName name="_1666__FDSAUDITLINK__" localSheetId="0" hidden="1">{"fdsup://directions/FAT Viewer?action=UPDATE&amp;creator=factset&amp;DYN_ARGS=TRUE&amp;DOC_NAME=FAT:FQL_AUDITING_CLIENT_TEMPLATE.FAT&amp;display_string=Audit&amp;VAR:KEY=MPCBQBMNIL&amp;VAR:QUERY=RkZfRElWX1lMRChBTk4sNy8wMS8wOSw3LzAxLzA5KQ==&amp;WINDOW=FIRST_POPUP&amp;HEIGHT=450&amp;WIDTH=450&amp;","START_MAXIMIZED=FALSE&amp;VAR:CALENDAR=US&amp;VAR:SYMBOL=KO&amp;VAR:INDEX=0"}</definedName>
    <definedName name="_1666__FDSAUDITLINK__" hidden="1">{"fdsup://directions/FAT Viewer?action=UPDATE&amp;creator=factset&amp;DYN_ARGS=TRUE&amp;DOC_NAME=FAT:FQL_AUDITING_CLIENT_TEMPLATE.FAT&amp;display_string=Audit&amp;VAR:KEY=MPCBQBMNIL&amp;VAR:QUERY=RkZfRElWX1lMRChBTk4sNy8wMS8wOSw3LzAxLzA5KQ==&amp;WINDOW=FIRST_POPUP&amp;HEIGHT=450&amp;WIDTH=450&amp;","START_MAXIMIZED=FALSE&amp;VAR:CALENDAR=US&amp;VAR:SYMBOL=KO&amp;VAR:INDEX=0"}</definedName>
    <definedName name="_1667__FDSAUDITLINK__" localSheetId="0" hidden="1">{"fdsup://directions/FAT Viewer?action=UPDATE&amp;creator=factset&amp;DYN_ARGS=TRUE&amp;DOC_NAME=FAT:FQL_AUDITING_CLIENT_TEMPLATE.FAT&amp;display_string=Audit&amp;VAR:KEY=URMBOHINAR&amp;VAR:QUERY=RkZfRElWX1lMRChBTk4sNi8yNC8wOSw2LzI0LzA5KQ==&amp;WINDOW=FIRST_POPUP&amp;HEIGHT=450&amp;WIDTH=450&amp;","START_MAXIMIZED=FALSE&amp;VAR:CALENDAR=US&amp;VAR:SYMBOL=KO&amp;VAR:INDEX=0"}</definedName>
    <definedName name="_1667__FDSAUDITLINK__" hidden="1">{"fdsup://directions/FAT Viewer?action=UPDATE&amp;creator=factset&amp;DYN_ARGS=TRUE&amp;DOC_NAME=FAT:FQL_AUDITING_CLIENT_TEMPLATE.FAT&amp;display_string=Audit&amp;VAR:KEY=URMBOHINAR&amp;VAR:QUERY=RkZfRElWX1lMRChBTk4sNi8yNC8wOSw2LzI0LzA5KQ==&amp;WINDOW=FIRST_POPUP&amp;HEIGHT=450&amp;WIDTH=450&amp;","START_MAXIMIZED=FALSE&amp;VAR:CALENDAR=US&amp;VAR:SYMBOL=KO&amp;VAR:INDEX=0"}</definedName>
    <definedName name="_1668">#REF!</definedName>
    <definedName name="_1668__FDSAUDITLINK__" localSheetId="0" hidden="1">{"fdsup://directions/FAT Viewer?action=UPDATE&amp;creator=factset&amp;DYN_ARGS=TRUE&amp;DOC_NAME=FAT:FQL_AUDITING_CLIENT_TEMPLATE.FAT&amp;display_string=Audit&amp;VAR:KEY=MDYHKPANKD&amp;VAR:QUERY=RkZfRElWX1lMRChBTk4sNi8xNy8wOSw2LzE3LzA5KQ==&amp;WINDOW=FIRST_POPUP&amp;HEIGHT=450&amp;WIDTH=450&amp;","START_MAXIMIZED=FALSE&amp;VAR:CALENDAR=US&amp;VAR:SYMBOL=KO&amp;VAR:INDEX=0"}</definedName>
    <definedName name="_1668__FDSAUDITLINK__" hidden="1">{"fdsup://directions/FAT Viewer?action=UPDATE&amp;creator=factset&amp;DYN_ARGS=TRUE&amp;DOC_NAME=FAT:FQL_AUDITING_CLIENT_TEMPLATE.FAT&amp;display_string=Audit&amp;VAR:KEY=MDYHKPANKD&amp;VAR:QUERY=RkZfRElWX1lMRChBTk4sNi8xNy8wOSw2LzE3LzA5KQ==&amp;WINDOW=FIRST_POPUP&amp;HEIGHT=450&amp;WIDTH=450&amp;","START_MAXIMIZED=FALSE&amp;VAR:CALENDAR=US&amp;VAR:SYMBOL=KO&amp;VAR:INDEX=0"}</definedName>
    <definedName name="_1669__FDSAUDITLINK__" localSheetId="0" hidden="1">{"fdsup://directions/FAT Viewer?action=UPDATE&amp;creator=factset&amp;DYN_ARGS=TRUE&amp;DOC_NAME=FAT:FQL_AUDITING_CLIENT_TEMPLATE.FAT&amp;display_string=Audit&amp;VAR:KEY=YHMJMHCLUF&amp;VAR:QUERY=RkZfRElWX1lMRChBTk4sNi8xMC8wOSw2LzEwLzA5KQ==&amp;WINDOW=FIRST_POPUP&amp;HEIGHT=450&amp;WIDTH=450&amp;","START_MAXIMIZED=FALSE&amp;VAR:CALENDAR=US&amp;VAR:SYMBOL=KO&amp;VAR:INDEX=0"}</definedName>
    <definedName name="_1669__FDSAUDITLINK__" hidden="1">{"fdsup://directions/FAT Viewer?action=UPDATE&amp;creator=factset&amp;DYN_ARGS=TRUE&amp;DOC_NAME=FAT:FQL_AUDITING_CLIENT_TEMPLATE.FAT&amp;display_string=Audit&amp;VAR:KEY=YHMJMHCLUF&amp;VAR:QUERY=RkZfRElWX1lMRChBTk4sNi8xMC8wOSw2LzEwLzA5KQ==&amp;WINDOW=FIRST_POPUP&amp;HEIGHT=450&amp;WIDTH=450&amp;","START_MAXIMIZED=FALSE&amp;VAR:CALENDAR=US&amp;VAR:SYMBOL=KO&amp;VAR:INDEX=0"}</definedName>
    <definedName name="_167">#REF!</definedName>
    <definedName name="_167__FDSAUDITLINK__" localSheetId="0" hidden="1">{"fdsup://directions/FAT Viewer?action=UPDATE&amp;creator=factset&amp;DYN_ARGS=TRUE&amp;DOC_NAME=FAT:FQL_AUDITING_CLIENT_TEMPLATE.FAT&amp;display_string=Audit&amp;VAR:KEY=FSRABKLGXW&amp;VAR:QUERY=RkZfRElWX1lMRChBTk4sMS8yNC8wOCwxLzI0LzA4KQ==&amp;WINDOW=FIRST_POPUP&amp;HEIGHT=450&amp;WIDTH=450&amp;","START_MAXIMIZED=FALSE&amp;VAR:CALENDAR=US&amp;VAR:SYMBOL=RAI&amp;VAR:INDEX=0"}</definedName>
    <definedName name="_167__FDSAUDITLINK__" hidden="1">{"fdsup://directions/FAT Viewer?action=UPDATE&amp;creator=factset&amp;DYN_ARGS=TRUE&amp;DOC_NAME=FAT:FQL_AUDITING_CLIENT_TEMPLATE.FAT&amp;display_string=Audit&amp;VAR:KEY=FSRABKLGXW&amp;VAR:QUERY=RkZfRElWX1lMRChBTk4sMS8yNC8wOCwxLzI0LzA4KQ==&amp;WINDOW=FIRST_POPUP&amp;HEIGHT=450&amp;WIDTH=450&amp;","START_MAXIMIZED=FALSE&amp;VAR:CALENDAR=US&amp;VAR:SYMBOL=RAI&amp;VAR:INDEX=0"}</definedName>
    <definedName name="_1670__FDSAUDITLINK__" localSheetId="0" hidden="1">{"fdsup://directions/FAT Viewer?action=UPDATE&amp;creator=factset&amp;DYN_ARGS=TRUE&amp;DOC_NAME=FAT:FQL_AUDITING_CLIENT_TEMPLATE.FAT&amp;display_string=Audit&amp;VAR:KEY=AXYXCXGDMF&amp;VAR:QUERY=RkZfRElWX1lMRChBTk4sNi8wMy8wOSw2LzAzLzA5KQ==&amp;WINDOW=FIRST_POPUP&amp;HEIGHT=450&amp;WIDTH=450&amp;","START_MAXIMIZED=FALSE&amp;VAR:CALENDAR=US&amp;VAR:SYMBOL=KO&amp;VAR:INDEX=0"}</definedName>
    <definedName name="_1670__FDSAUDITLINK__" hidden="1">{"fdsup://directions/FAT Viewer?action=UPDATE&amp;creator=factset&amp;DYN_ARGS=TRUE&amp;DOC_NAME=FAT:FQL_AUDITING_CLIENT_TEMPLATE.FAT&amp;display_string=Audit&amp;VAR:KEY=AXYXCXGDMF&amp;VAR:QUERY=RkZfRElWX1lMRChBTk4sNi8wMy8wOSw2LzAzLzA5KQ==&amp;WINDOW=FIRST_POPUP&amp;HEIGHT=450&amp;WIDTH=450&amp;","START_MAXIMIZED=FALSE&amp;VAR:CALENDAR=US&amp;VAR:SYMBOL=KO&amp;VAR:INDEX=0"}</definedName>
    <definedName name="_1671__FDSAUDITLINK__" localSheetId="0" hidden="1">{"fdsup://directions/FAT Viewer?action=UPDATE&amp;creator=factset&amp;DYN_ARGS=TRUE&amp;DOC_NAME=FAT:FQL_AUDITING_CLIENT_TEMPLATE.FAT&amp;display_string=Audit&amp;VAR:KEY=MPCROZMNCV&amp;VAR:QUERY=RkZfRElWX1lMRChBTk4sNS8yNy8wOSw1LzI3LzA5KQ==&amp;WINDOW=FIRST_POPUP&amp;HEIGHT=450&amp;WIDTH=450&amp;","START_MAXIMIZED=FALSE&amp;VAR:CALENDAR=US&amp;VAR:SYMBOL=KO&amp;VAR:INDEX=0"}</definedName>
    <definedName name="_1671__FDSAUDITLINK__" hidden="1">{"fdsup://directions/FAT Viewer?action=UPDATE&amp;creator=factset&amp;DYN_ARGS=TRUE&amp;DOC_NAME=FAT:FQL_AUDITING_CLIENT_TEMPLATE.FAT&amp;display_string=Audit&amp;VAR:KEY=MPCROZMNCV&amp;VAR:QUERY=RkZfRElWX1lMRChBTk4sNS8yNy8wOSw1LzI3LzA5KQ==&amp;WINDOW=FIRST_POPUP&amp;HEIGHT=450&amp;WIDTH=450&amp;","START_MAXIMIZED=FALSE&amp;VAR:CALENDAR=US&amp;VAR:SYMBOL=KO&amp;VAR:INDEX=0"}</definedName>
    <definedName name="_1672__FDSAUDITLINK__" localSheetId="0" hidden="1">{"fdsup://directions/FAT Viewer?action=UPDATE&amp;creator=factset&amp;DYN_ARGS=TRUE&amp;DOC_NAME=FAT:FQL_AUDITING_CLIENT_TEMPLATE.FAT&amp;display_string=Audit&amp;VAR:KEY=GTEXIHYHWX&amp;VAR:QUERY=RkZfRElWX1lMRChBTk4sNS8yMC8wOSw1LzIwLzA5KQ==&amp;WINDOW=FIRST_POPUP&amp;HEIGHT=450&amp;WIDTH=450&amp;","START_MAXIMIZED=FALSE&amp;VAR:CALENDAR=US&amp;VAR:SYMBOL=KO&amp;VAR:INDEX=0"}</definedName>
    <definedName name="_1672__FDSAUDITLINK__" hidden="1">{"fdsup://directions/FAT Viewer?action=UPDATE&amp;creator=factset&amp;DYN_ARGS=TRUE&amp;DOC_NAME=FAT:FQL_AUDITING_CLIENT_TEMPLATE.FAT&amp;display_string=Audit&amp;VAR:KEY=GTEXIHYHWX&amp;VAR:QUERY=RkZfRElWX1lMRChBTk4sNS8yMC8wOSw1LzIwLzA5KQ==&amp;WINDOW=FIRST_POPUP&amp;HEIGHT=450&amp;WIDTH=450&amp;","START_MAXIMIZED=FALSE&amp;VAR:CALENDAR=US&amp;VAR:SYMBOL=KO&amp;VAR:INDEX=0"}</definedName>
    <definedName name="_1673__FDSAUDITLINK__" localSheetId="0" hidden="1">{"fdsup://directions/FAT Viewer?action=UPDATE&amp;creator=factset&amp;DYN_ARGS=TRUE&amp;DOC_NAME=FAT:FQL_AUDITING_CLIENT_TEMPLATE.FAT&amp;display_string=Audit&amp;VAR:KEY=KRWXALGVMX&amp;VAR:QUERY=RkZfRElWX1lMRChBTk4sNS8xMy8wOSw1LzEzLzA5KQ==&amp;WINDOW=FIRST_POPUP&amp;HEIGHT=450&amp;WIDTH=450&amp;","START_MAXIMIZED=FALSE&amp;VAR:CALENDAR=US&amp;VAR:SYMBOL=KO&amp;VAR:INDEX=0"}</definedName>
    <definedName name="_1673__FDSAUDITLINK__" hidden="1">{"fdsup://directions/FAT Viewer?action=UPDATE&amp;creator=factset&amp;DYN_ARGS=TRUE&amp;DOC_NAME=FAT:FQL_AUDITING_CLIENT_TEMPLATE.FAT&amp;display_string=Audit&amp;VAR:KEY=KRWXALGVMX&amp;VAR:QUERY=RkZfRElWX1lMRChBTk4sNS8xMy8wOSw1LzEzLzA5KQ==&amp;WINDOW=FIRST_POPUP&amp;HEIGHT=450&amp;WIDTH=450&amp;","START_MAXIMIZED=FALSE&amp;VAR:CALENDAR=US&amp;VAR:SYMBOL=KO&amp;VAR:INDEX=0"}</definedName>
    <definedName name="_1674__FDSAUDITLINK__" localSheetId="0" hidden="1">{"fdsup://directions/FAT Viewer?action=UPDATE&amp;creator=factset&amp;DYN_ARGS=TRUE&amp;DOC_NAME=FAT:FQL_AUDITING_CLIENT_TEMPLATE.FAT&amp;display_string=Audit&amp;VAR:KEY=WBKDYVAJKZ&amp;VAR:QUERY=RkZfRElWX1lMRChBTk4sNS8wNi8wOSw1LzA2LzA5KQ==&amp;WINDOW=FIRST_POPUP&amp;HEIGHT=450&amp;WIDTH=450&amp;","START_MAXIMIZED=FALSE&amp;VAR:CALENDAR=US&amp;VAR:SYMBOL=KO&amp;VAR:INDEX=0"}</definedName>
    <definedName name="_1674__FDSAUDITLINK__" hidden="1">{"fdsup://directions/FAT Viewer?action=UPDATE&amp;creator=factset&amp;DYN_ARGS=TRUE&amp;DOC_NAME=FAT:FQL_AUDITING_CLIENT_TEMPLATE.FAT&amp;display_string=Audit&amp;VAR:KEY=WBKDYVAJKZ&amp;VAR:QUERY=RkZfRElWX1lMRChBTk4sNS8wNi8wOSw1LzA2LzA5KQ==&amp;WINDOW=FIRST_POPUP&amp;HEIGHT=450&amp;WIDTH=450&amp;","START_MAXIMIZED=FALSE&amp;VAR:CALENDAR=US&amp;VAR:SYMBOL=KO&amp;VAR:INDEX=0"}</definedName>
    <definedName name="_1675__FDSAUDITLINK__" localSheetId="0" hidden="1">{"fdsup://directions/FAT Viewer?action=UPDATE&amp;creator=factset&amp;DYN_ARGS=TRUE&amp;DOC_NAME=FAT:FQL_AUDITING_CLIENT_TEMPLATE.FAT&amp;display_string=Audit&amp;VAR:KEY=KBWHMNCTYV&amp;VAR:QUERY=RkZfRElWX1lMRChBTk4sNC8yOS8wOSw0LzI5LzA5KQ==&amp;WINDOW=FIRST_POPUP&amp;HEIGHT=450&amp;WIDTH=450&amp;","START_MAXIMIZED=FALSE&amp;VAR:CALENDAR=US&amp;VAR:SYMBOL=KO&amp;VAR:INDEX=0"}</definedName>
    <definedName name="_1675__FDSAUDITLINK__" hidden="1">{"fdsup://directions/FAT Viewer?action=UPDATE&amp;creator=factset&amp;DYN_ARGS=TRUE&amp;DOC_NAME=FAT:FQL_AUDITING_CLIENT_TEMPLATE.FAT&amp;display_string=Audit&amp;VAR:KEY=KBWHMNCTYV&amp;VAR:QUERY=RkZfRElWX1lMRChBTk4sNC8yOS8wOSw0LzI5LzA5KQ==&amp;WINDOW=FIRST_POPUP&amp;HEIGHT=450&amp;WIDTH=450&amp;","START_MAXIMIZED=FALSE&amp;VAR:CALENDAR=US&amp;VAR:SYMBOL=KO&amp;VAR:INDEX=0"}</definedName>
    <definedName name="_1676">#REF!</definedName>
    <definedName name="_1676__FDSAUDITLINK__" localSheetId="0" hidden="1">{"fdsup://directions/FAT Viewer?action=UPDATE&amp;creator=factset&amp;DYN_ARGS=TRUE&amp;DOC_NAME=FAT:FQL_AUDITING_CLIENT_TEMPLATE.FAT&amp;display_string=Audit&amp;VAR:KEY=IRYVKFGTCL&amp;VAR:QUERY=RkZfRElWX1lMRChBTk4sNC8yMi8wOSw0LzIyLzA5KQ==&amp;WINDOW=FIRST_POPUP&amp;HEIGHT=450&amp;WIDTH=450&amp;","START_MAXIMIZED=FALSE&amp;VAR:CALENDAR=US&amp;VAR:SYMBOL=KO&amp;VAR:INDEX=0"}</definedName>
    <definedName name="_1676__FDSAUDITLINK__" hidden="1">{"fdsup://directions/FAT Viewer?action=UPDATE&amp;creator=factset&amp;DYN_ARGS=TRUE&amp;DOC_NAME=FAT:FQL_AUDITING_CLIENT_TEMPLATE.FAT&amp;display_string=Audit&amp;VAR:KEY=IRYVKFGTCL&amp;VAR:QUERY=RkZfRElWX1lMRChBTk4sNC8yMi8wOSw0LzIyLzA5KQ==&amp;WINDOW=FIRST_POPUP&amp;HEIGHT=450&amp;WIDTH=450&amp;","START_MAXIMIZED=FALSE&amp;VAR:CALENDAR=US&amp;VAR:SYMBOL=KO&amp;VAR:INDEX=0"}</definedName>
    <definedName name="_1677__FDSAUDITLINK__" localSheetId="0" hidden="1">{"fdsup://directions/FAT Viewer?action=UPDATE&amp;creator=factset&amp;DYN_ARGS=TRUE&amp;DOC_NAME=FAT:FQL_AUDITING_CLIENT_TEMPLATE.FAT&amp;display_string=Audit&amp;VAR:KEY=EPQNIZOJIF&amp;VAR:QUERY=RkZfRElWX1lMRChBTk4sNC8xNS8wOSw0LzE1LzA5KQ==&amp;WINDOW=FIRST_POPUP&amp;HEIGHT=450&amp;WIDTH=450&amp;","START_MAXIMIZED=FALSE&amp;VAR:CALENDAR=US&amp;VAR:SYMBOL=KO&amp;VAR:INDEX=0"}</definedName>
    <definedName name="_1677__FDSAUDITLINK__" hidden="1">{"fdsup://directions/FAT Viewer?action=UPDATE&amp;creator=factset&amp;DYN_ARGS=TRUE&amp;DOC_NAME=FAT:FQL_AUDITING_CLIENT_TEMPLATE.FAT&amp;display_string=Audit&amp;VAR:KEY=EPQNIZOJIF&amp;VAR:QUERY=RkZfRElWX1lMRChBTk4sNC8xNS8wOSw0LzE1LzA5KQ==&amp;WINDOW=FIRST_POPUP&amp;HEIGHT=450&amp;WIDTH=450&amp;","START_MAXIMIZED=FALSE&amp;VAR:CALENDAR=US&amp;VAR:SYMBOL=KO&amp;VAR:INDEX=0"}</definedName>
    <definedName name="_1678">#REF!</definedName>
    <definedName name="_1678__FDSAUDITLINK__" localSheetId="0" hidden="1">{"fdsup://directions/FAT Viewer?action=UPDATE&amp;creator=factset&amp;DYN_ARGS=TRUE&amp;DOC_NAME=FAT:FQL_AUDITING_CLIENT_TEMPLATE.FAT&amp;display_string=Audit&amp;VAR:KEY=SLOBCLCXYB&amp;VAR:QUERY=RkZfRElWX1lMRChBTk4sNC8wOC8wOSw0LzA4LzA5KQ==&amp;WINDOW=FIRST_POPUP&amp;HEIGHT=450&amp;WIDTH=450&amp;","START_MAXIMIZED=FALSE&amp;VAR:CALENDAR=US&amp;VAR:SYMBOL=KO&amp;VAR:INDEX=0"}</definedName>
    <definedName name="_1678__FDSAUDITLINK__" hidden="1">{"fdsup://directions/FAT Viewer?action=UPDATE&amp;creator=factset&amp;DYN_ARGS=TRUE&amp;DOC_NAME=FAT:FQL_AUDITING_CLIENT_TEMPLATE.FAT&amp;display_string=Audit&amp;VAR:KEY=SLOBCLCXYB&amp;VAR:QUERY=RkZfRElWX1lMRChBTk4sNC8wOC8wOSw0LzA4LzA5KQ==&amp;WINDOW=FIRST_POPUP&amp;HEIGHT=450&amp;WIDTH=450&amp;","START_MAXIMIZED=FALSE&amp;VAR:CALENDAR=US&amp;VAR:SYMBOL=KO&amp;VAR:INDEX=0"}</definedName>
    <definedName name="_1679">#REF!</definedName>
    <definedName name="_1679__FDSAUDITLINK__" localSheetId="0" hidden="1">{"fdsup://directions/FAT Viewer?action=UPDATE&amp;creator=factset&amp;DYN_ARGS=TRUE&amp;DOC_NAME=FAT:FQL_AUDITING_CLIENT_TEMPLATE.FAT&amp;display_string=Audit&amp;VAR:KEY=AZGNAXGTIZ&amp;VAR:QUERY=RkZfRElWX1lMRChBTk4sNC8wMS8wOSw0LzAxLzA5KQ==&amp;WINDOW=FIRST_POPUP&amp;HEIGHT=450&amp;WIDTH=450&amp;","START_MAXIMIZED=FALSE&amp;VAR:CALENDAR=US&amp;VAR:SYMBOL=KO&amp;VAR:INDEX=0"}</definedName>
    <definedName name="_1679__FDSAUDITLINK__" hidden="1">{"fdsup://directions/FAT Viewer?action=UPDATE&amp;creator=factset&amp;DYN_ARGS=TRUE&amp;DOC_NAME=FAT:FQL_AUDITING_CLIENT_TEMPLATE.FAT&amp;display_string=Audit&amp;VAR:KEY=AZGNAXGTIZ&amp;VAR:QUERY=RkZfRElWX1lMRChBTk4sNC8wMS8wOSw0LzAxLzA5KQ==&amp;WINDOW=FIRST_POPUP&amp;HEIGHT=450&amp;WIDTH=450&amp;","START_MAXIMIZED=FALSE&amp;VAR:CALENDAR=US&amp;VAR:SYMBOL=KO&amp;VAR:INDEX=0"}</definedName>
    <definedName name="_168">#REF!</definedName>
    <definedName name="_168__123Graph_FSUPPLIES_BY_B_U">#REF!</definedName>
    <definedName name="_168__FDSAUDITLINK__" localSheetId="0" hidden="1">{"fdsup://directions/FAT Viewer?action=UPDATE&amp;creator=factset&amp;DYN_ARGS=TRUE&amp;DOC_NAME=FAT:FQL_AUDITING_CLIENT_TEMPLATE.FAT&amp;display_string=Audit&amp;VAR:KEY=JEZAVWPCRS&amp;VAR:QUERY=RkZfRElWX1lMRChBTk4sMS8xNy8wOCwxLzE3LzA4KQ==&amp;WINDOW=FIRST_POPUP&amp;HEIGHT=450&amp;WIDTH=450&amp;","START_MAXIMIZED=FALSE&amp;VAR:CALENDAR=US&amp;VAR:SYMBOL=RAI&amp;VAR:INDEX=0"}</definedName>
    <definedName name="_168__FDSAUDITLINK__" hidden="1">{"fdsup://directions/FAT Viewer?action=UPDATE&amp;creator=factset&amp;DYN_ARGS=TRUE&amp;DOC_NAME=FAT:FQL_AUDITING_CLIENT_TEMPLATE.FAT&amp;display_string=Audit&amp;VAR:KEY=JEZAVWPCRS&amp;VAR:QUERY=RkZfRElWX1lMRChBTk4sMS8xNy8wOCwxLzE3LzA4KQ==&amp;WINDOW=FIRST_POPUP&amp;HEIGHT=450&amp;WIDTH=450&amp;","START_MAXIMIZED=FALSE&amp;VAR:CALENDAR=US&amp;VAR:SYMBOL=RAI&amp;VAR:INDEX=0"}</definedName>
    <definedName name="_1680">#REF!</definedName>
    <definedName name="_1680__FDSAUDITLINK__" localSheetId="0" hidden="1">{"fdsup://directions/FAT Viewer?action=UPDATE&amp;creator=factset&amp;DYN_ARGS=TRUE&amp;DOC_NAME=FAT:FQL_AUDITING_CLIENT_TEMPLATE.FAT&amp;display_string=Audit&amp;VAR:KEY=SNULCFWVOJ&amp;VAR:QUERY=RkZfRElWX1lMRChBTk4sMy8yNS8wOSwzLzI1LzA5KQ==&amp;WINDOW=FIRST_POPUP&amp;HEIGHT=450&amp;WIDTH=450&amp;","START_MAXIMIZED=FALSE&amp;VAR:CALENDAR=US&amp;VAR:SYMBOL=KO&amp;VAR:INDEX=0"}</definedName>
    <definedName name="_1680__FDSAUDITLINK__" hidden="1">{"fdsup://directions/FAT Viewer?action=UPDATE&amp;creator=factset&amp;DYN_ARGS=TRUE&amp;DOC_NAME=FAT:FQL_AUDITING_CLIENT_TEMPLATE.FAT&amp;display_string=Audit&amp;VAR:KEY=SNULCFWVOJ&amp;VAR:QUERY=RkZfRElWX1lMRChBTk4sMy8yNS8wOSwzLzI1LzA5KQ==&amp;WINDOW=FIRST_POPUP&amp;HEIGHT=450&amp;WIDTH=450&amp;","START_MAXIMIZED=FALSE&amp;VAR:CALENDAR=US&amp;VAR:SYMBOL=KO&amp;VAR:INDEX=0"}</definedName>
    <definedName name="_1681">#REF!</definedName>
    <definedName name="_1681__FDSAUDITLINK__" localSheetId="0" hidden="1">{"fdsup://directions/FAT Viewer?action=UPDATE&amp;creator=factset&amp;DYN_ARGS=TRUE&amp;DOC_NAME=FAT:FQL_AUDITING_CLIENT_TEMPLATE.FAT&amp;display_string=Audit&amp;VAR:KEY=CDGVITQNWD&amp;VAR:QUERY=RkZfRElWX1lMRChBTk4sMy8xOC8wOSwzLzE4LzA5KQ==&amp;WINDOW=FIRST_POPUP&amp;HEIGHT=450&amp;WIDTH=450&amp;","START_MAXIMIZED=FALSE&amp;VAR:CALENDAR=US&amp;VAR:SYMBOL=KO&amp;VAR:INDEX=0"}</definedName>
    <definedName name="_1681__FDSAUDITLINK__" hidden="1">{"fdsup://directions/FAT Viewer?action=UPDATE&amp;creator=factset&amp;DYN_ARGS=TRUE&amp;DOC_NAME=FAT:FQL_AUDITING_CLIENT_TEMPLATE.FAT&amp;display_string=Audit&amp;VAR:KEY=CDGVITQNWD&amp;VAR:QUERY=RkZfRElWX1lMRChBTk4sMy8xOC8wOSwzLzE4LzA5KQ==&amp;WINDOW=FIRST_POPUP&amp;HEIGHT=450&amp;WIDTH=450&amp;","START_MAXIMIZED=FALSE&amp;VAR:CALENDAR=US&amp;VAR:SYMBOL=KO&amp;VAR:INDEX=0"}</definedName>
    <definedName name="_1682">#REF!</definedName>
    <definedName name="_1682__FDSAUDITLINK__" localSheetId="0" hidden="1">{"fdsup://directions/FAT Viewer?action=UPDATE&amp;creator=factset&amp;DYN_ARGS=TRUE&amp;DOC_NAME=FAT:FQL_AUDITING_CLIENT_TEMPLATE.FAT&amp;display_string=Audit&amp;VAR:KEY=GLITIBIBWV&amp;VAR:QUERY=RkZfRElWX1lMRChBTk4sMy8xMS8wOSwzLzExLzA5KQ==&amp;WINDOW=FIRST_POPUP&amp;HEIGHT=450&amp;WIDTH=450&amp;","START_MAXIMIZED=FALSE&amp;VAR:CALENDAR=US&amp;VAR:SYMBOL=KO&amp;VAR:INDEX=0"}</definedName>
    <definedName name="_1682__FDSAUDITLINK__" hidden="1">{"fdsup://directions/FAT Viewer?action=UPDATE&amp;creator=factset&amp;DYN_ARGS=TRUE&amp;DOC_NAME=FAT:FQL_AUDITING_CLIENT_TEMPLATE.FAT&amp;display_string=Audit&amp;VAR:KEY=GLITIBIBWV&amp;VAR:QUERY=RkZfRElWX1lMRChBTk4sMy8xMS8wOSwzLzExLzA5KQ==&amp;WINDOW=FIRST_POPUP&amp;HEIGHT=450&amp;WIDTH=450&amp;","START_MAXIMIZED=FALSE&amp;VAR:CALENDAR=US&amp;VAR:SYMBOL=KO&amp;VAR:INDEX=0"}</definedName>
    <definedName name="_1683">#REF!</definedName>
    <definedName name="_1683__FDSAUDITLINK__" localSheetId="0" hidden="1">{"fdsup://directions/FAT Viewer?action=UPDATE&amp;creator=factset&amp;DYN_ARGS=TRUE&amp;DOC_NAME=FAT:FQL_AUDITING_CLIENT_TEMPLATE.FAT&amp;display_string=Audit&amp;VAR:KEY=OXAPMHYRCP&amp;VAR:QUERY=RkZfRElWX1lMRChBTk4sMy8wNC8wOSwzLzA0LzA5KQ==&amp;WINDOW=FIRST_POPUP&amp;HEIGHT=450&amp;WIDTH=450&amp;","START_MAXIMIZED=FALSE&amp;VAR:CALENDAR=US&amp;VAR:SYMBOL=KO&amp;VAR:INDEX=0"}</definedName>
    <definedName name="_1683__FDSAUDITLINK__" hidden="1">{"fdsup://directions/FAT Viewer?action=UPDATE&amp;creator=factset&amp;DYN_ARGS=TRUE&amp;DOC_NAME=FAT:FQL_AUDITING_CLIENT_TEMPLATE.FAT&amp;display_string=Audit&amp;VAR:KEY=OXAPMHYRCP&amp;VAR:QUERY=RkZfRElWX1lMRChBTk4sMy8wNC8wOSwzLzA0LzA5KQ==&amp;WINDOW=FIRST_POPUP&amp;HEIGHT=450&amp;WIDTH=450&amp;","START_MAXIMIZED=FALSE&amp;VAR:CALENDAR=US&amp;VAR:SYMBOL=KO&amp;VAR:INDEX=0"}</definedName>
    <definedName name="_1684">#REF!</definedName>
    <definedName name="_1684__FDSAUDITLINK__" localSheetId="0" hidden="1">{"fdsup://directions/FAT Viewer?action=UPDATE&amp;creator=factset&amp;DYN_ARGS=TRUE&amp;DOC_NAME=FAT:FQL_AUDITING_CLIENT_TEMPLATE.FAT&amp;display_string=Audit&amp;VAR:KEY=YVCXINUVKP&amp;VAR:QUERY=RkZfRElWX1lMRChBTk4sMi8yNS8wOSwyLzI1LzA5KQ==&amp;WINDOW=FIRST_POPUP&amp;HEIGHT=450&amp;WIDTH=450&amp;","START_MAXIMIZED=FALSE&amp;VAR:CALENDAR=US&amp;VAR:SYMBOL=KO&amp;VAR:INDEX=0"}</definedName>
    <definedName name="_1684__FDSAUDITLINK__" hidden="1">{"fdsup://directions/FAT Viewer?action=UPDATE&amp;creator=factset&amp;DYN_ARGS=TRUE&amp;DOC_NAME=FAT:FQL_AUDITING_CLIENT_TEMPLATE.FAT&amp;display_string=Audit&amp;VAR:KEY=YVCXINUVKP&amp;VAR:QUERY=RkZfRElWX1lMRChBTk4sMi8yNS8wOSwyLzI1LzA5KQ==&amp;WINDOW=FIRST_POPUP&amp;HEIGHT=450&amp;WIDTH=450&amp;","START_MAXIMIZED=FALSE&amp;VAR:CALENDAR=US&amp;VAR:SYMBOL=KO&amp;VAR:INDEX=0"}</definedName>
    <definedName name="_1685">#REF!</definedName>
    <definedName name="_1685__FDSAUDITLINK__" localSheetId="0" hidden="1">{"fdsup://directions/FAT Viewer?action=UPDATE&amp;creator=factset&amp;DYN_ARGS=TRUE&amp;DOC_NAME=FAT:FQL_AUDITING_CLIENT_TEMPLATE.FAT&amp;display_string=Audit&amp;VAR:KEY=UNSBEDSPMP&amp;VAR:QUERY=RkZfRElWX1lMRChBTk4sMi8xOC8wOSwyLzE4LzA5KQ==&amp;WINDOW=FIRST_POPUP&amp;HEIGHT=450&amp;WIDTH=450&amp;","START_MAXIMIZED=FALSE&amp;VAR:CALENDAR=US&amp;VAR:SYMBOL=KO&amp;VAR:INDEX=0"}</definedName>
    <definedName name="_1685__FDSAUDITLINK__" hidden="1">{"fdsup://directions/FAT Viewer?action=UPDATE&amp;creator=factset&amp;DYN_ARGS=TRUE&amp;DOC_NAME=FAT:FQL_AUDITING_CLIENT_TEMPLATE.FAT&amp;display_string=Audit&amp;VAR:KEY=UNSBEDSPMP&amp;VAR:QUERY=RkZfRElWX1lMRChBTk4sMi8xOC8wOSwyLzE4LzA5KQ==&amp;WINDOW=FIRST_POPUP&amp;HEIGHT=450&amp;WIDTH=450&amp;","START_MAXIMIZED=FALSE&amp;VAR:CALENDAR=US&amp;VAR:SYMBOL=KO&amp;VAR:INDEX=0"}</definedName>
    <definedName name="_1686">#REF!</definedName>
    <definedName name="_1686__FDSAUDITLINK__" localSheetId="0" hidden="1">{"fdsup://directions/FAT Viewer?action=UPDATE&amp;creator=factset&amp;DYN_ARGS=TRUE&amp;DOC_NAME=FAT:FQL_AUDITING_CLIENT_TEMPLATE.FAT&amp;display_string=Audit&amp;VAR:KEY=KRWXAPSHIL&amp;VAR:QUERY=RkZfRElWX1lMRChBTk4sMi8xMS8wOSwyLzExLzA5KQ==&amp;WINDOW=FIRST_POPUP&amp;HEIGHT=450&amp;WIDTH=450&amp;","START_MAXIMIZED=FALSE&amp;VAR:CALENDAR=US&amp;VAR:SYMBOL=KO&amp;VAR:INDEX=0"}</definedName>
    <definedName name="_1686__FDSAUDITLINK__" hidden="1">{"fdsup://directions/FAT Viewer?action=UPDATE&amp;creator=factset&amp;DYN_ARGS=TRUE&amp;DOC_NAME=FAT:FQL_AUDITING_CLIENT_TEMPLATE.FAT&amp;display_string=Audit&amp;VAR:KEY=KRWXAPSHIL&amp;VAR:QUERY=RkZfRElWX1lMRChBTk4sMi8xMS8wOSwyLzExLzA5KQ==&amp;WINDOW=FIRST_POPUP&amp;HEIGHT=450&amp;WIDTH=450&amp;","START_MAXIMIZED=FALSE&amp;VAR:CALENDAR=US&amp;VAR:SYMBOL=KO&amp;VAR:INDEX=0"}</definedName>
    <definedName name="_1687">#REF!</definedName>
    <definedName name="_1687__FDSAUDITLINK__" localSheetId="0" hidden="1">{"fdsup://directions/FAT Viewer?action=UPDATE&amp;creator=factset&amp;DYN_ARGS=TRUE&amp;DOC_NAME=FAT:FQL_AUDITING_CLIENT_TEMPLATE.FAT&amp;display_string=Audit&amp;VAR:KEY=WRMHARMLOD&amp;VAR:QUERY=RkZfRElWX1lMRChBTk4sMi8wNC8wOSwyLzA0LzA5KQ==&amp;WINDOW=FIRST_POPUP&amp;HEIGHT=450&amp;WIDTH=450&amp;","START_MAXIMIZED=FALSE&amp;VAR:CALENDAR=US&amp;VAR:SYMBOL=KO&amp;VAR:INDEX=0"}</definedName>
    <definedName name="_1687__FDSAUDITLINK__" hidden="1">{"fdsup://directions/FAT Viewer?action=UPDATE&amp;creator=factset&amp;DYN_ARGS=TRUE&amp;DOC_NAME=FAT:FQL_AUDITING_CLIENT_TEMPLATE.FAT&amp;display_string=Audit&amp;VAR:KEY=WRMHARMLOD&amp;VAR:QUERY=RkZfRElWX1lMRChBTk4sMi8wNC8wOSwyLzA0LzA5KQ==&amp;WINDOW=FIRST_POPUP&amp;HEIGHT=450&amp;WIDTH=450&amp;","START_MAXIMIZED=FALSE&amp;VAR:CALENDAR=US&amp;VAR:SYMBOL=KO&amp;VAR:INDEX=0"}</definedName>
    <definedName name="_1688">#REF!</definedName>
    <definedName name="_1688__FDSAUDITLINK__" localSheetId="0" hidden="1">{"fdsup://directions/FAT Viewer?action=UPDATE&amp;creator=factset&amp;DYN_ARGS=TRUE&amp;DOC_NAME=FAT:FQL_AUDITING_CLIENT_TEMPLATE.FAT&amp;display_string=Audit&amp;VAR:KEY=KLORSVQNQD&amp;VAR:QUERY=RkZfRElWX1lMRChBTk4sMS8yOC8wOSwxLzI4LzA5KQ==&amp;WINDOW=FIRST_POPUP&amp;HEIGHT=450&amp;WIDTH=450&amp;","START_MAXIMIZED=FALSE&amp;VAR:CALENDAR=US&amp;VAR:SYMBOL=KO&amp;VAR:INDEX=0"}</definedName>
    <definedName name="_1688__FDSAUDITLINK__" hidden="1">{"fdsup://directions/FAT Viewer?action=UPDATE&amp;creator=factset&amp;DYN_ARGS=TRUE&amp;DOC_NAME=FAT:FQL_AUDITING_CLIENT_TEMPLATE.FAT&amp;display_string=Audit&amp;VAR:KEY=KLORSVQNQD&amp;VAR:QUERY=RkZfRElWX1lMRChBTk4sMS8yOC8wOSwxLzI4LzA5KQ==&amp;WINDOW=FIRST_POPUP&amp;HEIGHT=450&amp;WIDTH=450&amp;","START_MAXIMIZED=FALSE&amp;VAR:CALENDAR=US&amp;VAR:SYMBOL=KO&amp;VAR:INDEX=0"}</definedName>
    <definedName name="_1689">#REF!</definedName>
    <definedName name="_1689__FDSAUDITLINK__" localSheetId="0" hidden="1">{"fdsup://directions/FAT Viewer?action=UPDATE&amp;creator=factset&amp;DYN_ARGS=TRUE&amp;DOC_NAME=FAT:FQL_AUDITING_CLIENT_TEMPLATE.FAT&amp;display_string=Audit&amp;VAR:KEY=EFWDAPMDER&amp;VAR:QUERY=RkZfRElWX1lMRChBTk4sMS8yMS8wOSwxLzIxLzA5KQ==&amp;WINDOW=FIRST_POPUP&amp;HEIGHT=450&amp;WIDTH=450&amp;","START_MAXIMIZED=FALSE&amp;VAR:CALENDAR=US&amp;VAR:SYMBOL=KO&amp;VAR:INDEX=0"}</definedName>
    <definedName name="_1689__FDSAUDITLINK__" hidden="1">{"fdsup://directions/FAT Viewer?action=UPDATE&amp;creator=factset&amp;DYN_ARGS=TRUE&amp;DOC_NAME=FAT:FQL_AUDITING_CLIENT_TEMPLATE.FAT&amp;display_string=Audit&amp;VAR:KEY=EFWDAPMDER&amp;VAR:QUERY=RkZfRElWX1lMRChBTk4sMS8yMS8wOSwxLzIxLzA5KQ==&amp;WINDOW=FIRST_POPUP&amp;HEIGHT=450&amp;WIDTH=450&amp;","START_MAXIMIZED=FALSE&amp;VAR:CALENDAR=US&amp;VAR:SYMBOL=KO&amp;VAR:INDEX=0"}</definedName>
    <definedName name="_169__123Graph_FSUPPLIES_BY_B_U">#REF!</definedName>
    <definedName name="_169__FDSAUDITLINK__" localSheetId="0" hidden="1">{"fdsup://directions/FAT Viewer?action=UPDATE&amp;creator=factset&amp;DYN_ARGS=TRUE&amp;DOC_NAME=FAT:FQL_AUDITING_CLIENT_TEMPLATE.FAT&amp;display_string=Audit&amp;VAR:KEY=LCZQNQLMPW&amp;VAR:QUERY=RkZfRElWX1lMRChBTk4sMS8xMC8wOCwxLzEwLzA4KQ==&amp;WINDOW=FIRST_POPUP&amp;HEIGHT=450&amp;WIDTH=450&amp;","START_MAXIMIZED=FALSE&amp;VAR:CALENDAR=US&amp;VAR:SYMBOL=RAI&amp;VAR:INDEX=0"}</definedName>
    <definedName name="_169__FDSAUDITLINK__" hidden="1">{"fdsup://directions/FAT Viewer?action=UPDATE&amp;creator=factset&amp;DYN_ARGS=TRUE&amp;DOC_NAME=FAT:FQL_AUDITING_CLIENT_TEMPLATE.FAT&amp;display_string=Audit&amp;VAR:KEY=LCZQNQLMPW&amp;VAR:QUERY=RkZfRElWX1lMRChBTk4sMS8xMC8wOCwxLzEwLzA4KQ==&amp;WINDOW=FIRST_POPUP&amp;HEIGHT=450&amp;WIDTH=450&amp;","START_MAXIMIZED=FALSE&amp;VAR:CALENDAR=US&amp;VAR:SYMBOL=RAI&amp;VAR:INDEX=0"}</definedName>
    <definedName name="_169_0_Table2_">#REF!</definedName>
    <definedName name="_1690">#REF!</definedName>
    <definedName name="_1690__FDSAUDITLINK__" localSheetId="0" hidden="1">{"fdsup://directions/FAT Viewer?action=UPDATE&amp;creator=factset&amp;DYN_ARGS=TRUE&amp;DOC_NAME=FAT:FQL_AUDITING_CLIENT_TEMPLATE.FAT&amp;display_string=Audit&amp;VAR:KEY=EDQRIJADIN&amp;VAR:QUERY=RkZfRElWX1lMRChBTk4sMS8xNC8wOSwxLzE0LzA5KQ==&amp;WINDOW=FIRST_POPUP&amp;HEIGHT=450&amp;WIDTH=450&amp;","START_MAXIMIZED=FALSE&amp;VAR:CALENDAR=US&amp;VAR:SYMBOL=KO&amp;VAR:INDEX=0"}</definedName>
    <definedName name="_1690__FDSAUDITLINK__" hidden="1">{"fdsup://directions/FAT Viewer?action=UPDATE&amp;creator=factset&amp;DYN_ARGS=TRUE&amp;DOC_NAME=FAT:FQL_AUDITING_CLIENT_TEMPLATE.FAT&amp;display_string=Audit&amp;VAR:KEY=EDQRIJADIN&amp;VAR:QUERY=RkZfRElWX1lMRChBTk4sMS8xNC8wOSwxLzE0LzA5KQ==&amp;WINDOW=FIRST_POPUP&amp;HEIGHT=450&amp;WIDTH=450&amp;","START_MAXIMIZED=FALSE&amp;VAR:CALENDAR=US&amp;VAR:SYMBOL=KO&amp;VAR:INDEX=0"}</definedName>
    <definedName name="_1691">#REF!</definedName>
    <definedName name="_1691__FDSAUDITLINK__" localSheetId="0" hidden="1">{"fdsup://directions/FAT Viewer?action=UPDATE&amp;creator=factset&amp;DYN_ARGS=TRUE&amp;DOC_NAME=FAT:FQL_AUDITING_CLIENT_TEMPLATE.FAT&amp;display_string=Audit&amp;VAR:KEY=WVKXWFCVIV&amp;VAR:QUERY=RkZfRElWX1lMRChBTk4sMS8wNy8wOSwxLzA3LzA5KQ==&amp;WINDOW=FIRST_POPUP&amp;HEIGHT=450&amp;WIDTH=450&amp;","START_MAXIMIZED=FALSE&amp;VAR:CALENDAR=US&amp;VAR:SYMBOL=KO&amp;VAR:INDEX=0"}</definedName>
    <definedName name="_1691__FDSAUDITLINK__" hidden="1">{"fdsup://directions/FAT Viewer?action=UPDATE&amp;creator=factset&amp;DYN_ARGS=TRUE&amp;DOC_NAME=FAT:FQL_AUDITING_CLIENT_TEMPLATE.FAT&amp;display_string=Audit&amp;VAR:KEY=WVKXWFCVIV&amp;VAR:QUERY=RkZfRElWX1lMRChBTk4sMS8wNy8wOSwxLzA3LzA5KQ==&amp;WINDOW=FIRST_POPUP&amp;HEIGHT=450&amp;WIDTH=450&amp;","START_MAXIMIZED=FALSE&amp;VAR:CALENDAR=US&amp;VAR:SYMBOL=KO&amp;VAR:INDEX=0"}</definedName>
    <definedName name="_1692">#REF!</definedName>
    <definedName name="_1692__FDSAUDITLINK__" localSheetId="0" hidden="1">{"fdsup://directions/FAT Viewer?action=UPDATE&amp;creator=factset&amp;DYN_ARGS=TRUE&amp;DOC_NAME=FAT:FQL_AUDITING_CLIENT_TEMPLATE.FAT&amp;display_string=Audit&amp;VAR:KEY=KRENQJSTSP&amp;VAR:QUERY=RkZfRElWX1lMRChBTk4sMTIvMzEvMDgsMTIvMzEvMDgp&amp;WINDOW=FIRST_POPUP&amp;HEIGHT=450&amp;WIDTH=450&amp;","START_MAXIMIZED=FALSE&amp;VAR:CALENDAR=US&amp;VAR:SYMBOL=KO&amp;VAR:INDEX=0"}</definedName>
    <definedName name="_1692__FDSAUDITLINK__" hidden="1">{"fdsup://directions/FAT Viewer?action=UPDATE&amp;creator=factset&amp;DYN_ARGS=TRUE&amp;DOC_NAME=FAT:FQL_AUDITING_CLIENT_TEMPLATE.FAT&amp;display_string=Audit&amp;VAR:KEY=KRENQJSTSP&amp;VAR:QUERY=RkZfRElWX1lMRChBTk4sMTIvMzEvMDgsMTIvMzEvMDgp&amp;WINDOW=FIRST_POPUP&amp;HEIGHT=450&amp;WIDTH=450&amp;","START_MAXIMIZED=FALSE&amp;VAR:CALENDAR=US&amp;VAR:SYMBOL=KO&amp;VAR:INDEX=0"}</definedName>
    <definedName name="_1693">#REF!</definedName>
    <definedName name="_1693__FDSAUDITLINK__" localSheetId="0" hidden="1">{"fdsup://directions/FAT Viewer?action=UPDATE&amp;creator=factset&amp;DYN_ARGS=TRUE&amp;DOC_NAME=FAT:FQL_AUDITING_CLIENT_TEMPLATE.FAT&amp;display_string=Audit&amp;VAR:KEY=KDYPEPEDKZ&amp;VAR:QUERY=RkZfRElWX1lMRChBTk4sMTIvMjQvMDgsMTIvMjQvMDgp&amp;WINDOW=FIRST_POPUP&amp;HEIGHT=450&amp;WIDTH=450&amp;","START_MAXIMIZED=FALSE&amp;VAR:CALENDAR=US&amp;VAR:SYMBOL=KO&amp;VAR:INDEX=0"}</definedName>
    <definedName name="_1693__FDSAUDITLINK__" hidden="1">{"fdsup://directions/FAT Viewer?action=UPDATE&amp;creator=factset&amp;DYN_ARGS=TRUE&amp;DOC_NAME=FAT:FQL_AUDITING_CLIENT_TEMPLATE.FAT&amp;display_string=Audit&amp;VAR:KEY=KDYPEPEDKZ&amp;VAR:QUERY=RkZfRElWX1lMRChBTk4sMTIvMjQvMDgsMTIvMjQvMDgp&amp;WINDOW=FIRST_POPUP&amp;HEIGHT=450&amp;WIDTH=450&amp;","START_MAXIMIZED=FALSE&amp;VAR:CALENDAR=US&amp;VAR:SYMBOL=KO&amp;VAR:INDEX=0"}</definedName>
    <definedName name="_1694">#REF!</definedName>
    <definedName name="_1694__FDSAUDITLINK__" localSheetId="0" hidden="1">{"fdsup://directions/FAT Viewer?action=UPDATE&amp;creator=factset&amp;DYN_ARGS=TRUE&amp;DOC_NAME=FAT:FQL_AUDITING_CLIENT_TEMPLATE.FAT&amp;display_string=Audit&amp;VAR:KEY=SHKNCXOBYJ&amp;VAR:QUERY=RkZfRElWX1lMRChBTk4sMTIvMTcvMDgsMTIvMTcvMDgp&amp;WINDOW=FIRST_POPUP&amp;HEIGHT=450&amp;WIDTH=450&amp;","START_MAXIMIZED=FALSE&amp;VAR:CALENDAR=US&amp;VAR:SYMBOL=KO&amp;VAR:INDEX=0"}</definedName>
    <definedName name="_1694__FDSAUDITLINK__" hidden="1">{"fdsup://directions/FAT Viewer?action=UPDATE&amp;creator=factset&amp;DYN_ARGS=TRUE&amp;DOC_NAME=FAT:FQL_AUDITING_CLIENT_TEMPLATE.FAT&amp;display_string=Audit&amp;VAR:KEY=SHKNCXOBYJ&amp;VAR:QUERY=RkZfRElWX1lMRChBTk4sMTIvMTcvMDgsMTIvMTcvMDgp&amp;WINDOW=FIRST_POPUP&amp;HEIGHT=450&amp;WIDTH=450&amp;","START_MAXIMIZED=FALSE&amp;VAR:CALENDAR=US&amp;VAR:SYMBOL=KO&amp;VAR:INDEX=0"}</definedName>
    <definedName name="_1695">#REF!</definedName>
    <definedName name="_1695__FDSAUDITLINK__" localSheetId="0" hidden="1">{"fdsup://directions/FAT Viewer?action=UPDATE&amp;creator=factset&amp;DYN_ARGS=TRUE&amp;DOC_NAME=FAT:FQL_AUDITING_CLIENT_TEMPLATE.FAT&amp;display_string=Audit&amp;VAR:KEY=ITGPCJGBOF&amp;VAR:QUERY=RkZfRElWX1lMRChBTk4sMTIvMTAvMDgsMTIvMTAvMDgp&amp;WINDOW=FIRST_POPUP&amp;HEIGHT=450&amp;WIDTH=450&amp;","START_MAXIMIZED=FALSE&amp;VAR:CALENDAR=US&amp;VAR:SYMBOL=KO&amp;VAR:INDEX=0"}</definedName>
    <definedName name="_1695__FDSAUDITLINK__" hidden="1">{"fdsup://directions/FAT Viewer?action=UPDATE&amp;creator=factset&amp;DYN_ARGS=TRUE&amp;DOC_NAME=FAT:FQL_AUDITING_CLIENT_TEMPLATE.FAT&amp;display_string=Audit&amp;VAR:KEY=ITGPCJGBOF&amp;VAR:QUERY=RkZfRElWX1lMRChBTk4sMTIvMTAvMDgsMTIvMTAvMDgp&amp;WINDOW=FIRST_POPUP&amp;HEIGHT=450&amp;WIDTH=450&amp;","START_MAXIMIZED=FALSE&amp;VAR:CALENDAR=US&amp;VAR:SYMBOL=KO&amp;VAR:INDEX=0"}</definedName>
    <definedName name="_1696">#REF!</definedName>
    <definedName name="_1696__FDSAUDITLINK__" localSheetId="0" hidden="1">{"fdsup://directions/FAT Viewer?action=UPDATE&amp;creator=factset&amp;DYN_ARGS=TRUE&amp;DOC_NAME=FAT:FQL_AUDITING_CLIENT_TEMPLATE.FAT&amp;display_string=Audit&amp;VAR:KEY=STKFSPQDQZ&amp;VAR:QUERY=RkZfRElWX1lMRChBTk4sMTIvMDMvMDgsMTIvMDMvMDgp&amp;WINDOW=FIRST_POPUP&amp;HEIGHT=450&amp;WIDTH=450&amp;","START_MAXIMIZED=FALSE&amp;VAR:CALENDAR=US&amp;VAR:SYMBOL=KO&amp;VAR:INDEX=0"}</definedName>
    <definedName name="_1696__FDSAUDITLINK__" hidden="1">{"fdsup://directions/FAT Viewer?action=UPDATE&amp;creator=factset&amp;DYN_ARGS=TRUE&amp;DOC_NAME=FAT:FQL_AUDITING_CLIENT_TEMPLATE.FAT&amp;display_string=Audit&amp;VAR:KEY=STKFSPQDQZ&amp;VAR:QUERY=RkZfRElWX1lMRChBTk4sMTIvMDMvMDgsMTIvMDMvMDgp&amp;WINDOW=FIRST_POPUP&amp;HEIGHT=450&amp;WIDTH=450&amp;","START_MAXIMIZED=FALSE&amp;VAR:CALENDAR=US&amp;VAR:SYMBOL=KO&amp;VAR:INDEX=0"}</definedName>
    <definedName name="_1697">#REF!</definedName>
    <definedName name="_1697__FDSAUDITLINK__" localSheetId="0" hidden="1">{"fdsup://directions/FAT Viewer?action=UPDATE&amp;creator=factset&amp;DYN_ARGS=TRUE&amp;DOC_NAME=FAT:FQL_AUDITING_CLIENT_TEMPLATE.FAT&amp;display_string=Audit&amp;VAR:KEY=QBYNIFUZKJ&amp;VAR:QUERY=RkZfRElWX1lMRChBTk4sMTEvMjYvMDgsMTEvMjYvMDgp&amp;WINDOW=FIRST_POPUP&amp;HEIGHT=450&amp;WIDTH=450&amp;","START_MAXIMIZED=FALSE&amp;VAR:CALENDAR=US&amp;VAR:SYMBOL=KO&amp;VAR:INDEX=0"}</definedName>
    <definedName name="_1697__FDSAUDITLINK__" hidden="1">{"fdsup://directions/FAT Viewer?action=UPDATE&amp;creator=factset&amp;DYN_ARGS=TRUE&amp;DOC_NAME=FAT:FQL_AUDITING_CLIENT_TEMPLATE.FAT&amp;display_string=Audit&amp;VAR:KEY=QBYNIFUZKJ&amp;VAR:QUERY=RkZfRElWX1lMRChBTk4sMTEvMjYvMDgsMTEvMjYvMDgp&amp;WINDOW=FIRST_POPUP&amp;HEIGHT=450&amp;WIDTH=450&amp;","START_MAXIMIZED=FALSE&amp;VAR:CALENDAR=US&amp;VAR:SYMBOL=KO&amp;VAR:INDEX=0"}</definedName>
    <definedName name="_1698">#REF!</definedName>
    <definedName name="_1698__FDSAUDITLINK__" localSheetId="0" hidden="1">{"fdsup://directions/FAT Viewer?action=UPDATE&amp;creator=factset&amp;DYN_ARGS=TRUE&amp;DOC_NAME=FAT:FQL_AUDITING_CLIENT_TEMPLATE.FAT&amp;display_string=Audit&amp;VAR:KEY=GVEVOHWFUF&amp;VAR:QUERY=RkZfRElWX1lMRChBTk4sMTEvMTkvMDgsMTEvMTkvMDgp&amp;WINDOW=FIRST_POPUP&amp;HEIGHT=450&amp;WIDTH=450&amp;","START_MAXIMIZED=FALSE&amp;VAR:CALENDAR=US&amp;VAR:SYMBOL=KO&amp;VAR:INDEX=0"}</definedName>
    <definedName name="_1698__FDSAUDITLINK__" hidden="1">{"fdsup://directions/FAT Viewer?action=UPDATE&amp;creator=factset&amp;DYN_ARGS=TRUE&amp;DOC_NAME=FAT:FQL_AUDITING_CLIENT_TEMPLATE.FAT&amp;display_string=Audit&amp;VAR:KEY=GVEVOHWFUF&amp;VAR:QUERY=RkZfRElWX1lMRChBTk4sMTEvMTkvMDgsMTEvMTkvMDgp&amp;WINDOW=FIRST_POPUP&amp;HEIGHT=450&amp;WIDTH=450&amp;","START_MAXIMIZED=FALSE&amp;VAR:CALENDAR=US&amp;VAR:SYMBOL=KO&amp;VAR:INDEX=0"}</definedName>
    <definedName name="_1699__FDSAUDITLINK__" localSheetId="0" hidden="1">{"fdsup://directions/FAT Viewer?action=UPDATE&amp;creator=factset&amp;DYN_ARGS=TRUE&amp;DOC_NAME=FAT:FQL_AUDITING_CLIENT_TEMPLATE.FAT&amp;display_string=Audit&amp;VAR:KEY=CNILMFODGR&amp;VAR:QUERY=RkZfRElWX1lMRChBTk4sMTEvMTIvMDgsMTEvMTIvMDgp&amp;WINDOW=FIRST_POPUP&amp;HEIGHT=450&amp;WIDTH=450&amp;","START_MAXIMIZED=FALSE&amp;VAR:CALENDAR=US&amp;VAR:SYMBOL=KO&amp;VAR:INDEX=0"}</definedName>
    <definedName name="_1699__FDSAUDITLINK__" hidden="1">{"fdsup://directions/FAT Viewer?action=UPDATE&amp;creator=factset&amp;DYN_ARGS=TRUE&amp;DOC_NAME=FAT:FQL_AUDITING_CLIENT_TEMPLATE.FAT&amp;display_string=Audit&amp;VAR:KEY=CNILMFODGR&amp;VAR:QUERY=RkZfRElWX1lMRChBTk4sMTEvMTIvMDgsMTEvMTIvMDgp&amp;WINDOW=FIRST_POPUP&amp;HEIGHT=450&amp;WIDTH=450&amp;","START_MAXIMIZED=FALSE&amp;VAR:CALENDAR=US&amp;VAR:SYMBOL=KO&amp;VAR:INDEX=0"}</definedName>
    <definedName name="_16M_0_S" hidden="1">#REF!</definedName>
    <definedName name="_16main_form_account_grants_list_15_j_id1022">#REF!</definedName>
    <definedName name="_16s11_" hidden="1">{#N/A,#N/A,FALSE,"UNIT";#N/A,#N/A,FALSE,"UNIT";#N/A,#N/A,FALSE,"계정"}</definedName>
    <definedName name="_16s3_" hidden="1">{#N/A,#N/A,FALSE,"UNIT";#N/A,#N/A,FALSE,"UNIT";#N/A,#N/A,FALSE,"계정"}</definedName>
    <definedName name="_16s5_" hidden="1">{#N/A,#N/A,FALSE,"UNIT";#N/A,#N/A,FALSE,"UNIT";#N/A,#N/A,FALSE,"계정"}</definedName>
    <definedName name="_16s6_" hidden="1">{#N/A,#N/A,FALSE,"UNIT";#N/A,#N/A,FALSE,"UNIT";#N/A,#N/A,FALSE,"계정"}</definedName>
    <definedName name="_17">#REF!</definedName>
    <definedName name="_17__________NOTE8_9">#REF!</definedName>
    <definedName name="_17__123Graph_AChart_2A" hidden="1">#REF!</definedName>
    <definedName name="_17__123Graph_ACHART_8">#REF!</definedName>
    <definedName name="_17__123Graph_AGROSS_MARGINS" hidden="1">#REF!</definedName>
    <definedName name="_17__123Graph_BChart_18K">#REF!</definedName>
    <definedName name="_17__123Graph_BCONTRACT_BY_B_U">#REF!</definedName>
    <definedName name="_17__123Graph_BQRE_S_BY_CO.">#REF!</definedName>
    <definedName name="_17__123Graph_BTAX_CREDIT">#REF!</definedName>
    <definedName name="_17__123Graph_BWAGES_BY_B_U">#REF!</definedName>
    <definedName name="_17__123Graph_CQRE_S_BY_CO." hidden="1">#REF!</definedName>
    <definedName name="_17__123Graph_CQRE_S_BY_TYPE" hidden="1">#REF!</definedName>
    <definedName name="_17__123Graph_CSENS_COMPARISON">#REF!</definedName>
    <definedName name="_17__123Graph_CSUPPLIES_BY_B_U">#REF!</definedName>
    <definedName name="_17__123Graph_CWAGES_BY_B_U">#REF!</definedName>
    <definedName name="_17__FDSAUDITLINK__" localSheetId="0" hidden="1">{"fdsup://directions/FAT Viewer?action=UPDATE&amp;creator=factset&amp;DYN_ARGS=TRUE&amp;DOC_NAME=FAT:FQL_AUDITING_CLIENT_TEMPLATE.FAT&amp;display_string=Audit&amp;VAR:KEY=MVWZILYXWN&amp;VAR:QUERY=Q1NGX0RJVl9ZTEQoUVRSX1IsMTIvMjkvMjAwNik=&amp;WINDOW=FIRST_POPUP&amp;HEIGHT=450&amp;WIDTH=450&amp;STAR","T_MAXIMIZED=FALSE&amp;VAR:CALENDAR=US&amp;VAR:SYMBOL=MO&amp;VAR:INDEX=0"}</definedName>
    <definedName name="_17__FDSAUDITLINK__" hidden="1">{"fdsup://directions/FAT Viewer?action=UPDATE&amp;creator=factset&amp;DYN_ARGS=TRUE&amp;DOC_NAME=FAT:FQL_AUDITING_CLIENT_TEMPLATE.FAT&amp;display_string=Audit&amp;VAR:KEY=MVWZILYXWN&amp;VAR:QUERY=Q1NGX0RJVl9ZTEQoUVRSX1IsMTIvMjkvMjAwNik=&amp;WINDOW=FIRST_POPUP&amp;HEIGHT=450&amp;WIDTH=450&amp;STAR","T_MAXIMIZED=FALSE&amp;VAR:CALENDAR=US&amp;VAR:SYMBOL=MO&amp;VAR:INDEX=0"}</definedName>
    <definedName name="_17_0_Table2_" hidden="1">#REF!</definedName>
    <definedName name="_17_01_1999">#REF!</definedName>
    <definedName name="_17_04_1998">#REF!</definedName>
    <definedName name="_17_09_97">#REF!</definedName>
    <definedName name="_17_12_1999">#REF!</definedName>
    <definedName name="_17_3__1_CRADDIN_Table">#REF!</definedName>
    <definedName name="_170">#REF!</definedName>
    <definedName name="_170__FDSAUDITLINK__" localSheetId="0" hidden="1">{"fdsup://directions/FAT Viewer?action=UPDATE&amp;creator=factset&amp;DYN_ARGS=TRUE&amp;DOC_NAME=FAT:FQL_AUDITING_CLIENT_TEMPLATE.FAT&amp;display_string=Audit&amp;VAR:KEY=TYDITUDKVY&amp;VAR:QUERY=RkZfRElWX1lMRChBTk4sMS8wMy8wOCwxLzAzLzA4KQ==&amp;WINDOW=FIRST_POPUP&amp;HEIGHT=450&amp;WIDTH=450&amp;","START_MAXIMIZED=FALSE&amp;VAR:CALENDAR=US&amp;VAR:SYMBOL=RAI&amp;VAR:INDEX=0"}</definedName>
    <definedName name="_170__FDSAUDITLINK__" hidden="1">{"fdsup://directions/FAT Viewer?action=UPDATE&amp;creator=factset&amp;DYN_ARGS=TRUE&amp;DOC_NAME=FAT:FQL_AUDITING_CLIENT_TEMPLATE.FAT&amp;display_string=Audit&amp;VAR:KEY=TYDITUDKVY&amp;VAR:QUERY=RkZfRElWX1lMRChBTk4sMS8wMy8wOCwxLzAzLzA4KQ==&amp;WINDOW=FIRST_POPUP&amp;HEIGHT=450&amp;WIDTH=450&amp;","START_MAXIMIZED=FALSE&amp;VAR:CALENDAR=US&amp;VAR:SYMBOL=RAI&amp;VAR:INDEX=0"}</definedName>
    <definedName name="_1700__FDSAUDITLINK__" localSheetId="0" hidden="1">{"fdsup://directions/FAT Viewer?action=UPDATE&amp;creator=factset&amp;DYN_ARGS=TRUE&amp;DOC_NAME=FAT:FQL_AUDITING_CLIENT_TEMPLATE.FAT&amp;display_string=Audit&amp;VAR:KEY=UROJUFGHEZ&amp;VAR:QUERY=RkZfRElWX1lMRChBTk4sMTEvMDUvMDgsMTEvMDUvMDgp&amp;WINDOW=FIRST_POPUP&amp;HEIGHT=450&amp;WIDTH=450&amp;","START_MAXIMIZED=FALSE&amp;VAR:CALENDAR=US&amp;VAR:SYMBOL=KO&amp;VAR:INDEX=0"}</definedName>
    <definedName name="_1700__FDSAUDITLINK__" hidden="1">{"fdsup://directions/FAT Viewer?action=UPDATE&amp;creator=factset&amp;DYN_ARGS=TRUE&amp;DOC_NAME=FAT:FQL_AUDITING_CLIENT_TEMPLATE.FAT&amp;display_string=Audit&amp;VAR:KEY=UROJUFGHEZ&amp;VAR:QUERY=RkZfRElWX1lMRChBTk4sMTEvMDUvMDgsMTEvMDUvMDgp&amp;WINDOW=FIRST_POPUP&amp;HEIGHT=450&amp;WIDTH=450&amp;","START_MAXIMIZED=FALSE&amp;VAR:CALENDAR=US&amp;VAR:SYMBOL=KO&amp;VAR:INDEX=0"}</definedName>
    <definedName name="_1701__FDSAUDITLINK__" localSheetId="0" hidden="1">{"fdsup://directions/FAT Viewer?action=UPDATE&amp;creator=factset&amp;DYN_ARGS=TRUE&amp;DOC_NAME=FAT:FQL_AUDITING_CLIENT_TEMPLATE.FAT&amp;display_string=Audit&amp;VAR:KEY=IFQNQHQTIJ&amp;VAR:QUERY=RkZfRElWX1lMRChBTk4sMTAvMjkvMDgsMTAvMjkvMDgp&amp;WINDOW=FIRST_POPUP&amp;HEIGHT=450&amp;WIDTH=450&amp;","START_MAXIMIZED=FALSE&amp;VAR:CALENDAR=US&amp;VAR:SYMBOL=KO&amp;VAR:INDEX=0"}</definedName>
    <definedName name="_1701__FDSAUDITLINK__" hidden="1">{"fdsup://directions/FAT Viewer?action=UPDATE&amp;creator=factset&amp;DYN_ARGS=TRUE&amp;DOC_NAME=FAT:FQL_AUDITING_CLIENT_TEMPLATE.FAT&amp;display_string=Audit&amp;VAR:KEY=IFQNQHQTIJ&amp;VAR:QUERY=RkZfRElWX1lMRChBTk4sMTAvMjkvMDgsMTAvMjkvMDgp&amp;WINDOW=FIRST_POPUP&amp;HEIGHT=450&amp;WIDTH=450&amp;","START_MAXIMIZED=FALSE&amp;VAR:CALENDAR=US&amp;VAR:SYMBOL=KO&amp;VAR:INDEX=0"}</definedName>
    <definedName name="_1702">#REF!</definedName>
    <definedName name="_1702__FDSAUDITLINK__" localSheetId="0" hidden="1">{"fdsup://directions/FAT Viewer?action=UPDATE&amp;creator=factset&amp;DYN_ARGS=TRUE&amp;DOC_NAME=FAT:FQL_AUDITING_CLIENT_TEMPLATE.FAT&amp;display_string=Audit&amp;VAR:KEY=KLAJCBOLKJ&amp;VAR:QUERY=RkZfRElWX1lMRChBTk4sMTAvMjIvMDgsMTAvMjIvMDgp&amp;WINDOW=FIRST_POPUP&amp;HEIGHT=450&amp;WIDTH=450&amp;","START_MAXIMIZED=FALSE&amp;VAR:CALENDAR=US&amp;VAR:SYMBOL=KO&amp;VAR:INDEX=0"}</definedName>
    <definedName name="_1702__FDSAUDITLINK__" hidden="1">{"fdsup://directions/FAT Viewer?action=UPDATE&amp;creator=factset&amp;DYN_ARGS=TRUE&amp;DOC_NAME=FAT:FQL_AUDITING_CLIENT_TEMPLATE.FAT&amp;display_string=Audit&amp;VAR:KEY=KLAJCBOLKJ&amp;VAR:QUERY=RkZfRElWX1lMRChBTk4sMTAvMjIvMDgsMTAvMjIvMDgp&amp;WINDOW=FIRST_POPUP&amp;HEIGHT=450&amp;WIDTH=450&amp;","START_MAXIMIZED=FALSE&amp;VAR:CALENDAR=US&amp;VAR:SYMBOL=KO&amp;VAR:INDEX=0"}</definedName>
    <definedName name="_1703__FDSAUDITLINK__" localSheetId="0" hidden="1">{"fdsup://directions/FAT Viewer?action=UPDATE&amp;creator=factset&amp;DYN_ARGS=TRUE&amp;DOC_NAME=FAT:FQL_AUDITING_CLIENT_TEMPLATE.FAT&amp;display_string=Audit&amp;VAR:KEY=MLALGLEVIX&amp;VAR:QUERY=RkZfRElWX1lMRChBTk4sMTAvMTUvMDgsMTAvMTUvMDgp&amp;WINDOW=FIRST_POPUP&amp;HEIGHT=450&amp;WIDTH=450&amp;","START_MAXIMIZED=FALSE&amp;VAR:CALENDAR=US&amp;VAR:SYMBOL=KO&amp;VAR:INDEX=0"}</definedName>
    <definedName name="_1703__FDSAUDITLINK__" hidden="1">{"fdsup://directions/FAT Viewer?action=UPDATE&amp;creator=factset&amp;DYN_ARGS=TRUE&amp;DOC_NAME=FAT:FQL_AUDITING_CLIENT_TEMPLATE.FAT&amp;display_string=Audit&amp;VAR:KEY=MLALGLEVIX&amp;VAR:QUERY=RkZfRElWX1lMRChBTk4sMTAvMTUvMDgsMTAvMTUvMDgp&amp;WINDOW=FIRST_POPUP&amp;HEIGHT=450&amp;WIDTH=450&amp;","START_MAXIMIZED=FALSE&amp;VAR:CALENDAR=US&amp;VAR:SYMBOL=KO&amp;VAR:INDEX=0"}</definedName>
    <definedName name="_1704__FDSAUDITLINK__" localSheetId="0" hidden="1">{"fdsup://directions/FAT Viewer?action=UPDATE&amp;creator=factset&amp;DYN_ARGS=TRUE&amp;DOC_NAME=FAT:FQL_AUDITING_CLIENT_TEMPLATE.FAT&amp;display_string=Audit&amp;VAR:KEY=AHCLEVKPWJ&amp;VAR:QUERY=RkZfRElWX1lMRChBTk4sMTAvMDgvMDgsMTAvMDgvMDgp&amp;WINDOW=FIRST_POPUP&amp;HEIGHT=450&amp;WIDTH=450&amp;","START_MAXIMIZED=FALSE&amp;VAR:CALENDAR=US&amp;VAR:SYMBOL=KO&amp;VAR:INDEX=0"}</definedName>
    <definedName name="_1704__FDSAUDITLINK__" hidden="1">{"fdsup://directions/FAT Viewer?action=UPDATE&amp;creator=factset&amp;DYN_ARGS=TRUE&amp;DOC_NAME=FAT:FQL_AUDITING_CLIENT_TEMPLATE.FAT&amp;display_string=Audit&amp;VAR:KEY=AHCLEVKPWJ&amp;VAR:QUERY=RkZfRElWX1lMRChBTk4sMTAvMDgvMDgsMTAvMDgvMDgp&amp;WINDOW=FIRST_POPUP&amp;HEIGHT=450&amp;WIDTH=450&amp;","START_MAXIMIZED=FALSE&amp;VAR:CALENDAR=US&amp;VAR:SYMBOL=KO&amp;VAR:INDEX=0"}</definedName>
    <definedName name="_1705__FDSAUDITLINK__" localSheetId="0" hidden="1">{"fdsup://directions/FAT Viewer?action=UPDATE&amp;creator=factset&amp;DYN_ARGS=TRUE&amp;DOC_NAME=FAT:FQL_AUDITING_CLIENT_TEMPLATE.FAT&amp;display_string=Audit&amp;VAR:KEY=KBUBGFSNED&amp;VAR:QUERY=RkZfRElWX1lMRChBTk4sMTAvMDEvMDgsMTAvMDEvMDgp&amp;WINDOW=FIRST_POPUP&amp;HEIGHT=450&amp;WIDTH=450&amp;","START_MAXIMIZED=FALSE&amp;VAR:CALENDAR=US&amp;VAR:SYMBOL=KO&amp;VAR:INDEX=0"}</definedName>
    <definedName name="_1705__FDSAUDITLINK__" hidden="1">{"fdsup://directions/FAT Viewer?action=UPDATE&amp;creator=factset&amp;DYN_ARGS=TRUE&amp;DOC_NAME=FAT:FQL_AUDITING_CLIENT_TEMPLATE.FAT&amp;display_string=Audit&amp;VAR:KEY=KBUBGFSNED&amp;VAR:QUERY=RkZfRElWX1lMRChBTk4sMTAvMDEvMDgsMTAvMDEvMDgp&amp;WINDOW=FIRST_POPUP&amp;HEIGHT=450&amp;WIDTH=450&amp;","START_MAXIMIZED=FALSE&amp;VAR:CALENDAR=US&amp;VAR:SYMBOL=KO&amp;VAR:INDEX=0"}</definedName>
    <definedName name="_1706__FDSAUDITLINK__" localSheetId="0" hidden="1">{"fdsup://directions/FAT Viewer?action=UPDATE&amp;creator=factset&amp;DYN_ARGS=TRUE&amp;DOC_NAME=FAT:FQL_AUDITING_CLIENT_TEMPLATE.FAT&amp;display_string=Audit&amp;VAR:KEY=GPSFKXCFCN&amp;VAR:QUERY=RkZfRElWX1lMRChBTk4sOS8yNC8wOCw5LzI0LzA4KQ==&amp;WINDOW=FIRST_POPUP&amp;HEIGHT=450&amp;WIDTH=450&amp;","START_MAXIMIZED=FALSE&amp;VAR:CALENDAR=US&amp;VAR:SYMBOL=KO&amp;VAR:INDEX=0"}</definedName>
    <definedName name="_1706__FDSAUDITLINK__" hidden="1">{"fdsup://directions/FAT Viewer?action=UPDATE&amp;creator=factset&amp;DYN_ARGS=TRUE&amp;DOC_NAME=FAT:FQL_AUDITING_CLIENT_TEMPLATE.FAT&amp;display_string=Audit&amp;VAR:KEY=GPSFKXCFCN&amp;VAR:QUERY=RkZfRElWX1lMRChBTk4sOS8yNC8wOCw5LzI0LzA4KQ==&amp;WINDOW=FIRST_POPUP&amp;HEIGHT=450&amp;WIDTH=450&amp;","START_MAXIMIZED=FALSE&amp;VAR:CALENDAR=US&amp;VAR:SYMBOL=KO&amp;VAR:INDEX=0"}</definedName>
    <definedName name="_1707">#REF!</definedName>
    <definedName name="_1707__FDSAUDITLINK__" localSheetId="0" hidden="1">{"fdsup://directions/FAT Viewer?action=UPDATE&amp;creator=factset&amp;DYN_ARGS=TRUE&amp;DOC_NAME=FAT:FQL_AUDITING_CLIENT_TEMPLATE.FAT&amp;display_string=Audit&amp;VAR:KEY=ILSFWRORWZ&amp;VAR:QUERY=RkZfRElWX1lMRChBTk4sOS8xNy8wOCw5LzE3LzA4KQ==&amp;WINDOW=FIRST_POPUP&amp;HEIGHT=450&amp;WIDTH=450&amp;","START_MAXIMIZED=FALSE&amp;VAR:CALENDAR=US&amp;VAR:SYMBOL=KO&amp;VAR:INDEX=0"}</definedName>
    <definedName name="_1707__FDSAUDITLINK__" hidden="1">{"fdsup://directions/FAT Viewer?action=UPDATE&amp;creator=factset&amp;DYN_ARGS=TRUE&amp;DOC_NAME=FAT:FQL_AUDITING_CLIENT_TEMPLATE.FAT&amp;display_string=Audit&amp;VAR:KEY=ILSFWRORWZ&amp;VAR:QUERY=RkZfRElWX1lMRChBTk4sOS8xNy8wOCw5LzE3LzA4KQ==&amp;WINDOW=FIRST_POPUP&amp;HEIGHT=450&amp;WIDTH=450&amp;","START_MAXIMIZED=FALSE&amp;VAR:CALENDAR=US&amp;VAR:SYMBOL=KO&amp;VAR:INDEX=0"}</definedName>
    <definedName name="_1708__FDSAUDITLINK__" localSheetId="0" hidden="1">{"fdsup://directions/FAT Viewer?action=UPDATE&amp;creator=factset&amp;DYN_ARGS=TRUE&amp;DOC_NAME=FAT:FQL_AUDITING_CLIENT_TEMPLATE.FAT&amp;display_string=Audit&amp;VAR:KEY=IDQVOZIBYH&amp;VAR:QUERY=RkZfRElWX1lMRChBTk4sOS8xMC8wOCw5LzEwLzA4KQ==&amp;WINDOW=FIRST_POPUP&amp;HEIGHT=450&amp;WIDTH=450&amp;","START_MAXIMIZED=FALSE&amp;VAR:CALENDAR=US&amp;VAR:SYMBOL=KO&amp;VAR:INDEX=0"}</definedName>
    <definedName name="_1708__FDSAUDITLINK__" hidden="1">{"fdsup://directions/FAT Viewer?action=UPDATE&amp;creator=factset&amp;DYN_ARGS=TRUE&amp;DOC_NAME=FAT:FQL_AUDITING_CLIENT_TEMPLATE.FAT&amp;display_string=Audit&amp;VAR:KEY=IDQVOZIBYH&amp;VAR:QUERY=RkZfRElWX1lMRChBTk4sOS8xMC8wOCw5LzEwLzA4KQ==&amp;WINDOW=FIRST_POPUP&amp;HEIGHT=450&amp;WIDTH=450&amp;","START_MAXIMIZED=FALSE&amp;VAR:CALENDAR=US&amp;VAR:SYMBOL=KO&amp;VAR:INDEX=0"}</definedName>
    <definedName name="_1709__FDSAUDITLINK__" localSheetId="0" hidden="1">{"fdsup://directions/FAT Viewer?action=UPDATE&amp;creator=factset&amp;DYN_ARGS=TRUE&amp;DOC_NAME=FAT:FQL_AUDITING_CLIENT_TEMPLATE.FAT&amp;display_string=Audit&amp;VAR:KEY=IRABWXAPIP&amp;VAR:QUERY=RkZfRElWX1lMRChBTk4sOS8wMy8wOCw5LzAzLzA4KQ==&amp;WINDOW=FIRST_POPUP&amp;HEIGHT=450&amp;WIDTH=450&amp;","START_MAXIMIZED=FALSE&amp;VAR:CALENDAR=US&amp;VAR:SYMBOL=KO&amp;VAR:INDEX=0"}</definedName>
    <definedName name="_1709__FDSAUDITLINK__" hidden="1">{"fdsup://directions/FAT Viewer?action=UPDATE&amp;creator=factset&amp;DYN_ARGS=TRUE&amp;DOC_NAME=FAT:FQL_AUDITING_CLIENT_TEMPLATE.FAT&amp;display_string=Audit&amp;VAR:KEY=IRABWXAPIP&amp;VAR:QUERY=RkZfRElWX1lMRChBTk4sOS8wMy8wOCw5LzAzLzA4KQ==&amp;WINDOW=FIRST_POPUP&amp;HEIGHT=450&amp;WIDTH=450&amp;","START_MAXIMIZED=FALSE&amp;VAR:CALENDAR=US&amp;VAR:SYMBOL=KO&amp;VAR:INDEX=0"}</definedName>
    <definedName name="_171__123Graph_XTAX_CREDIT">#REF!</definedName>
    <definedName name="_171__FDSAUDITLINK__" localSheetId="0" hidden="1">{"fdsup://directions/FAT Viewer?action=UPDATE&amp;creator=factset&amp;DYN_ARGS=TRUE&amp;DOC_NAME=FAT:FQL_AUDITING_CLIENT_TEMPLATE.FAT&amp;display_string=Audit&amp;VAR:KEY=JCVIPUFOHO&amp;VAR:QUERY=RkZfRElWX1lMRChBTk4sMTIvMjcvMDcsMTIvMjcvMDcp&amp;WINDOW=FIRST_POPUP&amp;HEIGHT=450&amp;WIDTH=450&amp;","START_MAXIMIZED=FALSE&amp;VAR:CALENDAR=US&amp;VAR:SYMBOL=RAI&amp;VAR:INDEX=0"}</definedName>
    <definedName name="_171__FDSAUDITLINK__" hidden="1">{"fdsup://directions/FAT Viewer?action=UPDATE&amp;creator=factset&amp;DYN_ARGS=TRUE&amp;DOC_NAME=FAT:FQL_AUDITING_CLIENT_TEMPLATE.FAT&amp;display_string=Audit&amp;VAR:KEY=JCVIPUFOHO&amp;VAR:QUERY=RkZfRElWX1lMRChBTk4sMTIvMjcvMDcsMTIvMjcvMDcp&amp;WINDOW=FIRST_POPUP&amp;HEIGHT=450&amp;WIDTH=450&amp;","START_MAXIMIZED=FALSE&amp;VAR:CALENDAR=US&amp;VAR:SYMBOL=RAI&amp;VAR:INDEX=0"}</definedName>
    <definedName name="_1710__FDSAUDITLINK__" localSheetId="0" hidden="1">{"fdsup://directions/FAT Viewer?action=UPDATE&amp;creator=factset&amp;DYN_ARGS=TRUE&amp;DOC_NAME=FAT:FQL_AUDITING_CLIENT_TEMPLATE.FAT&amp;display_string=Audit&amp;VAR:KEY=IZCZGJUXAB&amp;VAR:QUERY=RkZfRElWX1lMRChBTk4sOC8yNy8wOCw4LzI3LzA4KQ==&amp;WINDOW=FIRST_POPUP&amp;HEIGHT=450&amp;WIDTH=450&amp;","START_MAXIMIZED=FALSE&amp;VAR:CALENDAR=US&amp;VAR:SYMBOL=KO&amp;VAR:INDEX=0"}</definedName>
    <definedName name="_1710__FDSAUDITLINK__" hidden="1">{"fdsup://directions/FAT Viewer?action=UPDATE&amp;creator=factset&amp;DYN_ARGS=TRUE&amp;DOC_NAME=FAT:FQL_AUDITING_CLIENT_TEMPLATE.FAT&amp;display_string=Audit&amp;VAR:KEY=IZCZGJUXAB&amp;VAR:QUERY=RkZfRElWX1lMRChBTk4sOC8yNy8wOCw4LzI3LzA4KQ==&amp;WINDOW=FIRST_POPUP&amp;HEIGHT=450&amp;WIDTH=450&amp;","START_MAXIMIZED=FALSE&amp;VAR:CALENDAR=US&amp;VAR:SYMBOL=KO&amp;VAR:INDEX=0"}</definedName>
    <definedName name="_1711__FDSAUDITLINK__" localSheetId="0" hidden="1">{"fdsup://directions/FAT Viewer?action=UPDATE&amp;creator=factset&amp;DYN_ARGS=TRUE&amp;DOC_NAME=FAT:FQL_AUDITING_CLIENT_TEMPLATE.FAT&amp;display_string=Audit&amp;VAR:KEY=AXSTEFEBUN&amp;VAR:QUERY=RkZfRElWX1lMRChBTk4sOC8yMC8wOCw4LzIwLzA4KQ==&amp;WINDOW=FIRST_POPUP&amp;HEIGHT=450&amp;WIDTH=450&amp;","START_MAXIMIZED=FALSE&amp;VAR:CALENDAR=US&amp;VAR:SYMBOL=KO&amp;VAR:INDEX=0"}</definedName>
    <definedName name="_1711__FDSAUDITLINK__" hidden="1">{"fdsup://directions/FAT Viewer?action=UPDATE&amp;creator=factset&amp;DYN_ARGS=TRUE&amp;DOC_NAME=FAT:FQL_AUDITING_CLIENT_TEMPLATE.FAT&amp;display_string=Audit&amp;VAR:KEY=AXSTEFEBUN&amp;VAR:QUERY=RkZfRElWX1lMRChBTk4sOC8yMC8wOCw4LzIwLzA4KQ==&amp;WINDOW=FIRST_POPUP&amp;HEIGHT=450&amp;WIDTH=450&amp;","START_MAXIMIZED=FALSE&amp;VAR:CALENDAR=US&amp;VAR:SYMBOL=KO&amp;VAR:INDEX=0"}</definedName>
    <definedName name="_1712">#REF!</definedName>
    <definedName name="_1712__FDSAUDITLINK__" localSheetId="0" hidden="1">{"fdsup://directions/FAT Viewer?action=UPDATE&amp;creator=factset&amp;DYN_ARGS=TRUE&amp;DOC_NAME=FAT:FQL_AUDITING_CLIENT_TEMPLATE.FAT&amp;display_string=Audit&amp;VAR:KEY=OZCNWHAPQB&amp;VAR:QUERY=RkZfRElWX1lMRChBTk4sOC8xMy8wOCw4LzEzLzA4KQ==&amp;WINDOW=FIRST_POPUP&amp;HEIGHT=450&amp;WIDTH=450&amp;","START_MAXIMIZED=FALSE&amp;VAR:CALENDAR=US&amp;VAR:SYMBOL=KO&amp;VAR:INDEX=0"}</definedName>
    <definedName name="_1712__FDSAUDITLINK__" hidden="1">{"fdsup://directions/FAT Viewer?action=UPDATE&amp;creator=factset&amp;DYN_ARGS=TRUE&amp;DOC_NAME=FAT:FQL_AUDITING_CLIENT_TEMPLATE.FAT&amp;display_string=Audit&amp;VAR:KEY=OZCNWHAPQB&amp;VAR:QUERY=RkZfRElWX1lMRChBTk4sOC8xMy8wOCw4LzEzLzA4KQ==&amp;WINDOW=FIRST_POPUP&amp;HEIGHT=450&amp;WIDTH=450&amp;","START_MAXIMIZED=FALSE&amp;VAR:CALENDAR=US&amp;VAR:SYMBOL=KO&amp;VAR:INDEX=0"}</definedName>
    <definedName name="_1713__FDSAUDITLINK__" localSheetId="0" hidden="1">{"fdsup://directions/FAT Viewer?action=UPDATE&amp;creator=factset&amp;DYN_ARGS=TRUE&amp;DOC_NAME=FAT:FQL_AUDITING_CLIENT_TEMPLATE.FAT&amp;display_string=Audit&amp;VAR:KEY=IJMLEDGTMN&amp;VAR:QUERY=RkZfRElWX1lMRChBTk4sOC8wNi8wOCw4LzA2LzA4KQ==&amp;WINDOW=FIRST_POPUP&amp;HEIGHT=450&amp;WIDTH=450&amp;","START_MAXIMIZED=FALSE&amp;VAR:CALENDAR=US&amp;VAR:SYMBOL=KO&amp;VAR:INDEX=0"}</definedName>
    <definedName name="_1713__FDSAUDITLINK__" hidden="1">{"fdsup://directions/FAT Viewer?action=UPDATE&amp;creator=factset&amp;DYN_ARGS=TRUE&amp;DOC_NAME=FAT:FQL_AUDITING_CLIENT_TEMPLATE.FAT&amp;display_string=Audit&amp;VAR:KEY=IJMLEDGTMN&amp;VAR:QUERY=RkZfRElWX1lMRChBTk4sOC8wNi8wOCw4LzA2LzA4KQ==&amp;WINDOW=FIRST_POPUP&amp;HEIGHT=450&amp;WIDTH=450&amp;","START_MAXIMIZED=FALSE&amp;VAR:CALENDAR=US&amp;VAR:SYMBOL=KO&amp;VAR:INDEX=0"}</definedName>
    <definedName name="_1714__FDSAUDITLINK__" localSheetId="0" hidden="1">{"fdsup://directions/FAT Viewer?action=UPDATE&amp;creator=factset&amp;DYN_ARGS=TRUE&amp;DOC_NAME=FAT:FQL_AUDITING_CLIENT_TEMPLATE.FAT&amp;display_string=Audit&amp;VAR:KEY=CRQTKTWZGJ&amp;VAR:QUERY=RkZfRElWX1lMRChBTk4sNy8zMC8wOCw3LzMwLzA4KQ==&amp;WINDOW=FIRST_POPUP&amp;HEIGHT=450&amp;WIDTH=450&amp;","START_MAXIMIZED=FALSE&amp;VAR:CALENDAR=US&amp;VAR:SYMBOL=KO&amp;VAR:INDEX=0"}</definedName>
    <definedName name="_1714__FDSAUDITLINK__" hidden="1">{"fdsup://directions/FAT Viewer?action=UPDATE&amp;creator=factset&amp;DYN_ARGS=TRUE&amp;DOC_NAME=FAT:FQL_AUDITING_CLIENT_TEMPLATE.FAT&amp;display_string=Audit&amp;VAR:KEY=CRQTKTWZGJ&amp;VAR:QUERY=RkZfRElWX1lMRChBTk4sNy8zMC8wOCw3LzMwLzA4KQ==&amp;WINDOW=FIRST_POPUP&amp;HEIGHT=450&amp;WIDTH=450&amp;","START_MAXIMIZED=FALSE&amp;VAR:CALENDAR=US&amp;VAR:SYMBOL=KO&amp;VAR:INDEX=0"}</definedName>
    <definedName name="_1715__FDSAUDITLINK__" localSheetId="0" hidden="1">{"fdsup://directions/FAT Viewer?action=UPDATE&amp;creator=factset&amp;DYN_ARGS=TRUE&amp;DOC_NAME=FAT:FQL_AUDITING_CLIENT_TEMPLATE.FAT&amp;display_string=Audit&amp;VAR:KEY=KLWBUZKTQP&amp;VAR:QUERY=RkZfRElWX1lMRChBTk4sNy8yMy8wOCw3LzIzLzA4KQ==&amp;WINDOW=FIRST_POPUP&amp;HEIGHT=450&amp;WIDTH=450&amp;","START_MAXIMIZED=FALSE&amp;VAR:CALENDAR=US&amp;VAR:SYMBOL=KO&amp;VAR:INDEX=0"}</definedName>
    <definedName name="_1715__FDSAUDITLINK__" hidden="1">{"fdsup://directions/FAT Viewer?action=UPDATE&amp;creator=factset&amp;DYN_ARGS=TRUE&amp;DOC_NAME=FAT:FQL_AUDITING_CLIENT_TEMPLATE.FAT&amp;display_string=Audit&amp;VAR:KEY=KLWBUZKTQP&amp;VAR:QUERY=RkZfRElWX1lMRChBTk4sNy8yMy8wOCw3LzIzLzA4KQ==&amp;WINDOW=FIRST_POPUP&amp;HEIGHT=450&amp;WIDTH=450&amp;","START_MAXIMIZED=FALSE&amp;VAR:CALENDAR=US&amp;VAR:SYMBOL=KO&amp;VAR:INDEX=0"}</definedName>
    <definedName name="_1716__FDSAUDITLINK__" localSheetId="0" hidden="1">{"fdsup://directions/FAT Viewer?action=UPDATE&amp;creator=factset&amp;DYN_ARGS=TRUE&amp;DOC_NAME=FAT:FQL_AUDITING_CLIENT_TEMPLATE.FAT&amp;display_string=Audit&amp;VAR:KEY=URGLOXOBQN&amp;VAR:QUERY=RkZfRElWX1lMRChBTk4sNy8xNi8wOCw3LzE2LzA4KQ==&amp;WINDOW=FIRST_POPUP&amp;HEIGHT=450&amp;WIDTH=450&amp;","START_MAXIMIZED=FALSE&amp;VAR:CALENDAR=US&amp;VAR:SYMBOL=KO&amp;VAR:INDEX=0"}</definedName>
    <definedName name="_1716__FDSAUDITLINK__" hidden="1">{"fdsup://directions/FAT Viewer?action=UPDATE&amp;creator=factset&amp;DYN_ARGS=TRUE&amp;DOC_NAME=FAT:FQL_AUDITING_CLIENT_TEMPLATE.FAT&amp;display_string=Audit&amp;VAR:KEY=URGLOXOBQN&amp;VAR:QUERY=RkZfRElWX1lMRChBTk4sNy8xNi8wOCw3LzE2LzA4KQ==&amp;WINDOW=FIRST_POPUP&amp;HEIGHT=450&amp;WIDTH=450&amp;","START_MAXIMIZED=FALSE&amp;VAR:CALENDAR=US&amp;VAR:SYMBOL=KO&amp;VAR:INDEX=0"}</definedName>
    <definedName name="_1717__FDSAUDITLINK__" localSheetId="0" hidden="1">{"fdsup://directions/FAT Viewer?action=UPDATE&amp;creator=factset&amp;DYN_ARGS=TRUE&amp;DOC_NAME=FAT:FQL_AUDITING_CLIENT_TEMPLATE.FAT&amp;display_string=Audit&amp;VAR:KEY=UXWBCBCRML&amp;VAR:QUERY=RkZfRElWX1lMRChBTk4sNy8wOS8wOCw3LzA5LzA4KQ==&amp;WINDOW=FIRST_POPUP&amp;HEIGHT=450&amp;WIDTH=450&amp;","START_MAXIMIZED=FALSE&amp;VAR:CALENDAR=US&amp;VAR:SYMBOL=KO&amp;VAR:INDEX=0"}</definedName>
    <definedName name="_1717__FDSAUDITLINK__" hidden="1">{"fdsup://directions/FAT Viewer?action=UPDATE&amp;creator=factset&amp;DYN_ARGS=TRUE&amp;DOC_NAME=FAT:FQL_AUDITING_CLIENT_TEMPLATE.FAT&amp;display_string=Audit&amp;VAR:KEY=UXWBCBCRML&amp;VAR:QUERY=RkZfRElWX1lMRChBTk4sNy8wOS8wOCw3LzA5LzA4KQ==&amp;WINDOW=FIRST_POPUP&amp;HEIGHT=450&amp;WIDTH=450&amp;","START_MAXIMIZED=FALSE&amp;VAR:CALENDAR=US&amp;VAR:SYMBOL=KO&amp;VAR:INDEX=0"}</definedName>
    <definedName name="_1718__FDSAUDITLINK__" localSheetId="0" hidden="1">{"fdsup://directions/FAT Viewer?action=UPDATE&amp;creator=factset&amp;DYN_ARGS=TRUE&amp;DOC_NAME=FAT:FQL_AUDITING_CLIENT_TEMPLATE.FAT&amp;display_string=Audit&amp;VAR:KEY=IRUBWZQFGB&amp;VAR:QUERY=RkZfRElWX1lMRChBTk4sNy8wMi8wOCw3LzAyLzA4KQ==&amp;WINDOW=FIRST_POPUP&amp;HEIGHT=450&amp;WIDTH=450&amp;","START_MAXIMIZED=FALSE&amp;VAR:CALENDAR=US&amp;VAR:SYMBOL=KO&amp;VAR:INDEX=0"}</definedName>
    <definedName name="_1718__FDSAUDITLINK__" hidden="1">{"fdsup://directions/FAT Viewer?action=UPDATE&amp;creator=factset&amp;DYN_ARGS=TRUE&amp;DOC_NAME=FAT:FQL_AUDITING_CLIENT_TEMPLATE.FAT&amp;display_string=Audit&amp;VAR:KEY=IRUBWZQFGB&amp;VAR:QUERY=RkZfRElWX1lMRChBTk4sNy8wMi8wOCw3LzAyLzA4KQ==&amp;WINDOW=FIRST_POPUP&amp;HEIGHT=450&amp;WIDTH=450&amp;","START_MAXIMIZED=FALSE&amp;VAR:CALENDAR=US&amp;VAR:SYMBOL=KO&amp;VAR:INDEX=0"}</definedName>
    <definedName name="_1719__FDSAUDITLINK__" localSheetId="0" hidden="1">{"fdsup://directions/FAT Viewer?action=UPDATE&amp;creator=factset&amp;DYN_ARGS=TRUE&amp;DOC_NAME=FAT:FQL_AUDITING_CLIENT_TEMPLATE.FAT&amp;display_string=Audit&amp;VAR:KEY=SFONQXCROX&amp;VAR:QUERY=RkZfRElWX1lMRChBTk4sNi8yNS8wOCw2LzI1LzA4KQ==&amp;WINDOW=FIRST_POPUP&amp;HEIGHT=450&amp;WIDTH=450&amp;","START_MAXIMIZED=FALSE&amp;VAR:CALENDAR=US&amp;VAR:SYMBOL=KO&amp;VAR:INDEX=0"}</definedName>
    <definedName name="_1719__FDSAUDITLINK__" hidden="1">{"fdsup://directions/FAT Viewer?action=UPDATE&amp;creator=factset&amp;DYN_ARGS=TRUE&amp;DOC_NAME=FAT:FQL_AUDITING_CLIENT_TEMPLATE.FAT&amp;display_string=Audit&amp;VAR:KEY=SFONQXCROX&amp;VAR:QUERY=RkZfRElWX1lMRChBTk4sNi8yNS8wOCw2LzI1LzA4KQ==&amp;WINDOW=FIRST_POPUP&amp;HEIGHT=450&amp;WIDTH=450&amp;","START_MAXIMIZED=FALSE&amp;VAR:CALENDAR=US&amp;VAR:SYMBOL=KO&amp;VAR:INDEX=0"}</definedName>
    <definedName name="_172">#REF!</definedName>
    <definedName name="_172__FDSAUDITLINK__" localSheetId="0" hidden="1">{"fdsup://directions/FAT Viewer?action=UPDATE&amp;creator=factset&amp;DYN_ARGS=TRUE&amp;DOC_NAME=FAT:FQL_AUDITING_CLIENT_TEMPLATE.FAT&amp;display_string=Audit&amp;VAR:KEY=NOXSBCTELA&amp;VAR:QUERY=RkZfRElWX1lMRChBTk4sMTIvMjAvMDcsMTIvMjAvMDcp&amp;WINDOW=FIRST_POPUP&amp;HEIGHT=450&amp;WIDTH=450&amp;","START_MAXIMIZED=FALSE&amp;VAR:CALENDAR=US&amp;VAR:SYMBOL=RAI&amp;VAR:INDEX=0"}</definedName>
    <definedName name="_172__FDSAUDITLINK__" hidden="1">{"fdsup://directions/FAT Viewer?action=UPDATE&amp;creator=factset&amp;DYN_ARGS=TRUE&amp;DOC_NAME=FAT:FQL_AUDITING_CLIENT_TEMPLATE.FAT&amp;display_string=Audit&amp;VAR:KEY=NOXSBCTELA&amp;VAR:QUERY=RkZfRElWX1lMRChBTk4sMTIvMjAvMDcsMTIvMjAvMDcp&amp;WINDOW=FIRST_POPUP&amp;HEIGHT=450&amp;WIDTH=450&amp;","START_MAXIMIZED=FALSE&amp;VAR:CALENDAR=US&amp;VAR:SYMBOL=RAI&amp;VAR:INDEX=0"}</definedName>
    <definedName name="_1720">#REF!</definedName>
    <definedName name="_1720__FDSAUDITLINK__" localSheetId="0" hidden="1">{"fdsup://directions/FAT Viewer?action=UPDATE&amp;creator=factset&amp;DYN_ARGS=TRUE&amp;DOC_NAME=FAT:FQL_AUDITING_CLIENT_TEMPLATE.FAT&amp;display_string=Audit&amp;VAR:KEY=EFONULKTSL&amp;VAR:QUERY=RkZfRElWX1lMRChBTk4sNi8xOC8wOCw2LzE4LzA4KQ==&amp;WINDOW=FIRST_POPUP&amp;HEIGHT=450&amp;WIDTH=450&amp;","START_MAXIMIZED=FALSE&amp;VAR:CALENDAR=US&amp;VAR:SYMBOL=KO&amp;VAR:INDEX=0"}</definedName>
    <definedName name="_1720__FDSAUDITLINK__" hidden="1">{"fdsup://directions/FAT Viewer?action=UPDATE&amp;creator=factset&amp;DYN_ARGS=TRUE&amp;DOC_NAME=FAT:FQL_AUDITING_CLIENT_TEMPLATE.FAT&amp;display_string=Audit&amp;VAR:KEY=EFONULKTSL&amp;VAR:QUERY=RkZfRElWX1lMRChBTk4sNi8xOC8wOCw2LzE4LzA4KQ==&amp;WINDOW=FIRST_POPUP&amp;HEIGHT=450&amp;WIDTH=450&amp;","START_MAXIMIZED=FALSE&amp;VAR:CALENDAR=US&amp;VAR:SYMBOL=KO&amp;VAR:INDEX=0"}</definedName>
    <definedName name="_1721__FDSAUDITLINK__" localSheetId="0" hidden="1">{"fdsup://directions/FAT Viewer?action=UPDATE&amp;creator=factset&amp;DYN_ARGS=TRUE&amp;DOC_NAME=FAT:FQL_AUDITING_CLIENT_TEMPLATE.FAT&amp;display_string=Audit&amp;VAR:KEY=KLSFWTINST&amp;VAR:QUERY=RkZfRElWX1lMRChBTk4sNi8xMS8wOCw2LzExLzA4KQ==&amp;WINDOW=FIRST_POPUP&amp;HEIGHT=450&amp;WIDTH=450&amp;","START_MAXIMIZED=FALSE&amp;VAR:CALENDAR=US&amp;VAR:SYMBOL=KO&amp;VAR:INDEX=0"}</definedName>
    <definedName name="_1721__FDSAUDITLINK__" hidden="1">{"fdsup://directions/FAT Viewer?action=UPDATE&amp;creator=factset&amp;DYN_ARGS=TRUE&amp;DOC_NAME=FAT:FQL_AUDITING_CLIENT_TEMPLATE.FAT&amp;display_string=Audit&amp;VAR:KEY=KLSFWTINST&amp;VAR:QUERY=RkZfRElWX1lMRChBTk4sNi8xMS8wOCw2LzExLzA4KQ==&amp;WINDOW=FIRST_POPUP&amp;HEIGHT=450&amp;WIDTH=450&amp;","START_MAXIMIZED=FALSE&amp;VAR:CALENDAR=US&amp;VAR:SYMBOL=KO&amp;VAR:INDEX=0"}</definedName>
    <definedName name="_1722__FDSAUDITLINK__" localSheetId="0" hidden="1">{"fdsup://directions/FAT Viewer?action=UPDATE&amp;creator=factset&amp;DYN_ARGS=TRUE&amp;DOC_NAME=FAT:FQL_AUDITING_CLIENT_TEMPLATE.FAT&amp;display_string=Audit&amp;VAR:KEY=SFWXAPUBEZ&amp;VAR:QUERY=RkZfRElWX1lMRChBTk4sNi8wNC8wOCw2LzA0LzA4KQ==&amp;WINDOW=FIRST_POPUP&amp;HEIGHT=450&amp;WIDTH=450&amp;","START_MAXIMIZED=FALSE&amp;VAR:CALENDAR=US&amp;VAR:SYMBOL=KO&amp;VAR:INDEX=0"}</definedName>
    <definedName name="_1722__FDSAUDITLINK__" hidden="1">{"fdsup://directions/FAT Viewer?action=UPDATE&amp;creator=factset&amp;DYN_ARGS=TRUE&amp;DOC_NAME=FAT:FQL_AUDITING_CLIENT_TEMPLATE.FAT&amp;display_string=Audit&amp;VAR:KEY=SFWXAPUBEZ&amp;VAR:QUERY=RkZfRElWX1lMRChBTk4sNi8wNC8wOCw2LzA0LzA4KQ==&amp;WINDOW=FIRST_POPUP&amp;HEIGHT=450&amp;WIDTH=450&amp;","START_MAXIMIZED=FALSE&amp;VAR:CALENDAR=US&amp;VAR:SYMBOL=KO&amp;VAR:INDEX=0"}</definedName>
    <definedName name="_1723__FDSAUDITLINK__" localSheetId="0" hidden="1">{"fdsup://directions/FAT Viewer?action=UPDATE&amp;creator=factset&amp;DYN_ARGS=TRUE&amp;DOC_NAME=FAT:FQL_AUDITING_CLIENT_TEMPLATE.FAT&amp;display_string=Audit&amp;VAR:KEY=AFSFSXULIX&amp;VAR:QUERY=RkZfRElWX1lMRChBTk4sNS8yOC8wOCw1LzI4LzA4KQ==&amp;WINDOW=FIRST_POPUP&amp;HEIGHT=450&amp;WIDTH=450&amp;","START_MAXIMIZED=FALSE&amp;VAR:CALENDAR=US&amp;VAR:SYMBOL=KO&amp;VAR:INDEX=0"}</definedName>
    <definedName name="_1723__FDSAUDITLINK__" hidden="1">{"fdsup://directions/FAT Viewer?action=UPDATE&amp;creator=factset&amp;DYN_ARGS=TRUE&amp;DOC_NAME=FAT:FQL_AUDITING_CLIENT_TEMPLATE.FAT&amp;display_string=Audit&amp;VAR:KEY=AFSFSXULIX&amp;VAR:QUERY=RkZfRElWX1lMRChBTk4sNS8yOC8wOCw1LzI4LzA4KQ==&amp;WINDOW=FIRST_POPUP&amp;HEIGHT=450&amp;WIDTH=450&amp;","START_MAXIMIZED=FALSE&amp;VAR:CALENDAR=US&amp;VAR:SYMBOL=KO&amp;VAR:INDEX=0"}</definedName>
    <definedName name="_1724">#REF!</definedName>
    <definedName name="_1724__FDSAUDITLINK__" localSheetId="0" hidden="1">{"fdsup://directions/FAT Viewer?action=UPDATE&amp;creator=factset&amp;DYN_ARGS=TRUE&amp;DOC_NAME=FAT:FQL_AUDITING_CLIENT_TEMPLATE.FAT&amp;display_string=Audit&amp;VAR:KEY=MLARKJCTSP&amp;VAR:QUERY=RkZfRElWX1lMRChBTk4sNS8yMS8wOCw1LzIxLzA4KQ==&amp;WINDOW=FIRST_POPUP&amp;HEIGHT=450&amp;WIDTH=450&amp;","START_MAXIMIZED=FALSE&amp;VAR:CALENDAR=US&amp;VAR:SYMBOL=KO&amp;VAR:INDEX=0"}</definedName>
    <definedName name="_1724__FDSAUDITLINK__" hidden="1">{"fdsup://directions/FAT Viewer?action=UPDATE&amp;creator=factset&amp;DYN_ARGS=TRUE&amp;DOC_NAME=FAT:FQL_AUDITING_CLIENT_TEMPLATE.FAT&amp;display_string=Audit&amp;VAR:KEY=MLARKJCTSP&amp;VAR:QUERY=RkZfRElWX1lMRChBTk4sNS8yMS8wOCw1LzIxLzA4KQ==&amp;WINDOW=FIRST_POPUP&amp;HEIGHT=450&amp;WIDTH=450&amp;","START_MAXIMIZED=FALSE&amp;VAR:CALENDAR=US&amp;VAR:SYMBOL=KO&amp;VAR:INDEX=0"}</definedName>
    <definedName name="_1725__FDSAUDITLINK__" localSheetId="0" hidden="1">{"fdsup://directions/FAT Viewer?action=UPDATE&amp;creator=factset&amp;DYN_ARGS=TRUE&amp;DOC_NAME=FAT:FQL_AUDITING_CLIENT_TEMPLATE.FAT&amp;display_string=Audit&amp;VAR:KEY=GBUNGFOVQL&amp;VAR:QUERY=RkZfRElWX1lMRChBTk4sNS8xNC8wOCw1LzE0LzA4KQ==&amp;WINDOW=FIRST_POPUP&amp;HEIGHT=450&amp;WIDTH=450&amp;","START_MAXIMIZED=FALSE&amp;VAR:CALENDAR=US&amp;VAR:SYMBOL=KO&amp;VAR:INDEX=0"}</definedName>
    <definedName name="_1725__FDSAUDITLINK__" hidden="1">{"fdsup://directions/FAT Viewer?action=UPDATE&amp;creator=factset&amp;DYN_ARGS=TRUE&amp;DOC_NAME=FAT:FQL_AUDITING_CLIENT_TEMPLATE.FAT&amp;display_string=Audit&amp;VAR:KEY=GBUNGFOVQL&amp;VAR:QUERY=RkZfRElWX1lMRChBTk4sNS8xNC8wOCw1LzE0LzA4KQ==&amp;WINDOW=FIRST_POPUP&amp;HEIGHT=450&amp;WIDTH=450&amp;","START_MAXIMIZED=FALSE&amp;VAR:CALENDAR=US&amp;VAR:SYMBOL=KO&amp;VAR:INDEX=0"}</definedName>
    <definedName name="_1726__FDSAUDITLINK__" localSheetId="0" hidden="1">{"fdsup://directions/FAT Viewer?action=UPDATE&amp;creator=factset&amp;DYN_ARGS=TRUE&amp;DOC_NAME=FAT:FQL_AUDITING_CLIENT_TEMPLATE.FAT&amp;display_string=Audit&amp;VAR:KEY=EBMFILGZIV&amp;VAR:QUERY=RkZfRElWX1lMRChBTk4sNS8wNy8wOCw1LzA3LzA4KQ==&amp;WINDOW=FIRST_POPUP&amp;HEIGHT=450&amp;WIDTH=450&amp;","START_MAXIMIZED=FALSE&amp;VAR:CALENDAR=US&amp;VAR:SYMBOL=KO&amp;VAR:INDEX=0"}</definedName>
    <definedName name="_1726__FDSAUDITLINK__" hidden="1">{"fdsup://directions/FAT Viewer?action=UPDATE&amp;creator=factset&amp;DYN_ARGS=TRUE&amp;DOC_NAME=FAT:FQL_AUDITING_CLIENT_TEMPLATE.FAT&amp;display_string=Audit&amp;VAR:KEY=EBMFILGZIV&amp;VAR:QUERY=RkZfRElWX1lMRChBTk4sNS8wNy8wOCw1LzA3LzA4KQ==&amp;WINDOW=FIRST_POPUP&amp;HEIGHT=450&amp;WIDTH=450&amp;","START_MAXIMIZED=FALSE&amp;VAR:CALENDAR=US&amp;VAR:SYMBOL=KO&amp;VAR:INDEX=0"}</definedName>
    <definedName name="_1727__FDSAUDITLINK__" localSheetId="0" hidden="1">{"fdsup://directions/FAT Viewer?action=UPDATE&amp;creator=factset&amp;DYN_ARGS=TRUE&amp;DOC_NAME=FAT:FQL_AUDITING_CLIENT_TEMPLATE.FAT&amp;display_string=Audit&amp;VAR:KEY=YVKFAVCNED&amp;VAR:QUERY=RkZfRElWX1lMRChBTk4sNC8zMC8wOCw0LzMwLzA4KQ==&amp;WINDOW=FIRST_POPUP&amp;HEIGHT=450&amp;WIDTH=450&amp;","START_MAXIMIZED=FALSE&amp;VAR:CALENDAR=US&amp;VAR:SYMBOL=KO&amp;VAR:INDEX=0"}</definedName>
    <definedName name="_1727__FDSAUDITLINK__" hidden="1">{"fdsup://directions/FAT Viewer?action=UPDATE&amp;creator=factset&amp;DYN_ARGS=TRUE&amp;DOC_NAME=FAT:FQL_AUDITING_CLIENT_TEMPLATE.FAT&amp;display_string=Audit&amp;VAR:KEY=YVKFAVCNED&amp;VAR:QUERY=RkZfRElWX1lMRChBTk4sNC8zMC8wOCw0LzMwLzA4KQ==&amp;WINDOW=FIRST_POPUP&amp;HEIGHT=450&amp;WIDTH=450&amp;","START_MAXIMIZED=FALSE&amp;VAR:CALENDAR=US&amp;VAR:SYMBOL=KO&amp;VAR:INDEX=0"}</definedName>
    <definedName name="_1728__FDSAUDITLINK__" localSheetId="0" hidden="1">{"fdsup://directions/FAT Viewer?action=UPDATE&amp;creator=factset&amp;DYN_ARGS=TRUE&amp;DOC_NAME=FAT:FQL_AUDITING_CLIENT_TEMPLATE.FAT&amp;display_string=Audit&amp;VAR:KEY=KBETMDMZKX&amp;VAR:QUERY=RkZfRElWX1lMRChBTk4sNC8yMy8wOCw0LzIzLzA4KQ==&amp;WINDOW=FIRST_POPUP&amp;HEIGHT=450&amp;WIDTH=450&amp;","START_MAXIMIZED=FALSE&amp;VAR:CALENDAR=US&amp;VAR:SYMBOL=KO&amp;VAR:INDEX=0"}</definedName>
    <definedName name="_1728__FDSAUDITLINK__" hidden="1">{"fdsup://directions/FAT Viewer?action=UPDATE&amp;creator=factset&amp;DYN_ARGS=TRUE&amp;DOC_NAME=FAT:FQL_AUDITING_CLIENT_TEMPLATE.FAT&amp;display_string=Audit&amp;VAR:KEY=KBETMDMZKX&amp;VAR:QUERY=RkZfRElWX1lMRChBTk4sNC8yMy8wOCw0LzIzLzA4KQ==&amp;WINDOW=FIRST_POPUP&amp;HEIGHT=450&amp;WIDTH=450&amp;","START_MAXIMIZED=FALSE&amp;VAR:CALENDAR=US&amp;VAR:SYMBOL=KO&amp;VAR:INDEX=0"}</definedName>
    <definedName name="_1729">#REF!</definedName>
    <definedName name="_1729__FDSAUDITLINK__" localSheetId="0" hidden="1">{"fdsup://directions/FAT Viewer?action=UPDATE&amp;creator=factset&amp;DYN_ARGS=TRUE&amp;DOC_NAME=FAT:FQL_AUDITING_CLIENT_TEMPLATE.FAT&amp;display_string=Audit&amp;VAR:KEY=AHSPGNUVIH&amp;VAR:QUERY=RkZfRElWX1lMRChBTk4sNC8xNi8wOCw0LzE2LzA4KQ==&amp;WINDOW=FIRST_POPUP&amp;HEIGHT=450&amp;WIDTH=450&amp;","START_MAXIMIZED=FALSE&amp;VAR:CALENDAR=US&amp;VAR:SYMBOL=KO&amp;VAR:INDEX=0"}</definedName>
    <definedName name="_1729__FDSAUDITLINK__" hidden="1">{"fdsup://directions/FAT Viewer?action=UPDATE&amp;creator=factset&amp;DYN_ARGS=TRUE&amp;DOC_NAME=FAT:FQL_AUDITING_CLIENT_TEMPLATE.FAT&amp;display_string=Audit&amp;VAR:KEY=AHSPGNUVIH&amp;VAR:QUERY=RkZfRElWX1lMRChBTk4sNC8xNi8wOCw0LzE2LzA4KQ==&amp;WINDOW=FIRST_POPUP&amp;HEIGHT=450&amp;WIDTH=450&amp;","START_MAXIMIZED=FALSE&amp;VAR:CALENDAR=US&amp;VAR:SYMBOL=KO&amp;VAR:INDEX=0"}</definedName>
    <definedName name="_173">#REF!</definedName>
    <definedName name="_173__FDSAUDITLINK__" localSheetId="0" hidden="1">{"fdsup://directions/FAT Viewer?action=UPDATE&amp;creator=factset&amp;DYN_ARGS=TRUE&amp;DOC_NAME=FAT:FQL_AUDITING_CLIENT_TEMPLATE.FAT&amp;display_string=Audit&amp;VAR:KEY=DGLAXGJIRC&amp;VAR:QUERY=RkZfRElWX1lMRChBTk4sMTIvMTMvMDcsMTIvMTMvMDcp&amp;WINDOW=FIRST_POPUP&amp;HEIGHT=450&amp;WIDTH=450&amp;","START_MAXIMIZED=FALSE&amp;VAR:CALENDAR=US&amp;VAR:SYMBOL=RAI&amp;VAR:INDEX=0"}</definedName>
    <definedName name="_173__FDSAUDITLINK__" hidden="1">{"fdsup://directions/FAT Viewer?action=UPDATE&amp;creator=factset&amp;DYN_ARGS=TRUE&amp;DOC_NAME=FAT:FQL_AUDITING_CLIENT_TEMPLATE.FAT&amp;display_string=Audit&amp;VAR:KEY=DGLAXGJIRC&amp;VAR:QUERY=RkZfRElWX1lMRChBTk4sMTIvMTMvMDcsMTIvMTMvMDcp&amp;WINDOW=FIRST_POPUP&amp;HEIGHT=450&amp;WIDTH=450&amp;","START_MAXIMIZED=FALSE&amp;VAR:CALENDAR=US&amp;VAR:SYMBOL=RAI&amp;VAR:INDEX=0"}</definedName>
    <definedName name="_1730__FDSAUDITLINK__" localSheetId="0" hidden="1">{"fdsup://directions/FAT Viewer?action=UPDATE&amp;creator=factset&amp;DYN_ARGS=TRUE&amp;DOC_NAME=FAT:FQL_AUDITING_CLIENT_TEMPLATE.FAT&amp;display_string=Audit&amp;VAR:KEY=OFAZAVAVKL&amp;VAR:QUERY=RkZfRElWX1lMRChBTk4sNC8wOS8wOCw0LzA5LzA4KQ==&amp;WINDOW=FIRST_POPUP&amp;HEIGHT=450&amp;WIDTH=450&amp;","START_MAXIMIZED=FALSE&amp;VAR:CALENDAR=US&amp;VAR:SYMBOL=KO&amp;VAR:INDEX=0"}</definedName>
    <definedName name="_1730__FDSAUDITLINK__" hidden="1">{"fdsup://directions/FAT Viewer?action=UPDATE&amp;creator=factset&amp;DYN_ARGS=TRUE&amp;DOC_NAME=FAT:FQL_AUDITING_CLIENT_TEMPLATE.FAT&amp;display_string=Audit&amp;VAR:KEY=OFAZAVAVKL&amp;VAR:QUERY=RkZfRElWX1lMRChBTk4sNC8wOS8wOCw0LzA5LzA4KQ==&amp;WINDOW=FIRST_POPUP&amp;HEIGHT=450&amp;WIDTH=450&amp;","START_MAXIMIZED=FALSE&amp;VAR:CALENDAR=US&amp;VAR:SYMBOL=KO&amp;VAR:INDEX=0"}</definedName>
    <definedName name="_1731__FDSAUDITLINK__" localSheetId="0" hidden="1">{"fdsup://directions/FAT Viewer?action=UPDATE&amp;creator=factset&amp;DYN_ARGS=TRUE&amp;DOC_NAME=FAT:FQL_AUDITING_CLIENT_TEMPLATE.FAT&amp;display_string=Audit&amp;VAR:KEY=UNGPSZCVUB&amp;VAR:QUERY=RkZfRElWX1lMRChBTk4sNC8wMi8wOCw0LzAyLzA4KQ==&amp;WINDOW=FIRST_POPUP&amp;HEIGHT=450&amp;WIDTH=450&amp;","START_MAXIMIZED=FALSE&amp;VAR:CALENDAR=US&amp;VAR:SYMBOL=KO&amp;VAR:INDEX=0"}</definedName>
    <definedName name="_1731__FDSAUDITLINK__" hidden="1">{"fdsup://directions/FAT Viewer?action=UPDATE&amp;creator=factset&amp;DYN_ARGS=TRUE&amp;DOC_NAME=FAT:FQL_AUDITING_CLIENT_TEMPLATE.FAT&amp;display_string=Audit&amp;VAR:KEY=UNGPSZCVUB&amp;VAR:QUERY=RkZfRElWX1lMRChBTk4sNC8wMi8wOCw0LzAyLzA4KQ==&amp;WINDOW=FIRST_POPUP&amp;HEIGHT=450&amp;WIDTH=450&amp;","START_MAXIMIZED=FALSE&amp;VAR:CALENDAR=US&amp;VAR:SYMBOL=KO&amp;VAR:INDEX=0"}</definedName>
    <definedName name="_1732__FDSAUDITLINK__" localSheetId="0" hidden="1">{"fdsup://directions/FAT Viewer?action=UPDATE&amp;creator=factset&amp;DYN_ARGS=TRUE&amp;DOC_NAME=FAT:FQL_AUDITING_CLIENT_TEMPLATE.FAT&amp;display_string=Audit&amp;VAR:KEY=OTUNGZIZYL&amp;VAR:QUERY=RkZfRElWX1lMRChBTk4sMy8yNi8wOCwzLzI2LzA4KQ==&amp;WINDOW=FIRST_POPUP&amp;HEIGHT=450&amp;WIDTH=450&amp;","START_MAXIMIZED=FALSE&amp;VAR:CALENDAR=US&amp;VAR:SYMBOL=KO&amp;VAR:INDEX=0"}</definedName>
    <definedName name="_1732__FDSAUDITLINK__" hidden="1">{"fdsup://directions/FAT Viewer?action=UPDATE&amp;creator=factset&amp;DYN_ARGS=TRUE&amp;DOC_NAME=FAT:FQL_AUDITING_CLIENT_TEMPLATE.FAT&amp;display_string=Audit&amp;VAR:KEY=OTUNGZIZYL&amp;VAR:QUERY=RkZfRElWX1lMRChBTk4sMy8yNi8wOCwzLzI2LzA4KQ==&amp;WINDOW=FIRST_POPUP&amp;HEIGHT=450&amp;WIDTH=450&amp;","START_MAXIMIZED=FALSE&amp;VAR:CALENDAR=US&amp;VAR:SYMBOL=KO&amp;VAR:INDEX=0"}</definedName>
    <definedName name="_1733__FDSAUDITLINK__" localSheetId="0" hidden="1">{"fdsup://directions/FAT Viewer?action=UPDATE&amp;creator=factset&amp;DYN_ARGS=TRUE&amp;DOC_NAME=FAT:FQL_AUDITING_CLIENT_TEMPLATE.FAT&amp;display_string=Audit&amp;VAR:KEY=OVSFABQJIZ&amp;VAR:QUERY=RkZfRElWX1lMRChBTk4sMy8xOS8wOCwzLzE5LzA4KQ==&amp;WINDOW=FIRST_POPUP&amp;HEIGHT=450&amp;WIDTH=450&amp;","START_MAXIMIZED=FALSE&amp;VAR:CALENDAR=US&amp;VAR:SYMBOL=KO&amp;VAR:INDEX=0"}</definedName>
    <definedName name="_1733__FDSAUDITLINK__" hidden="1">{"fdsup://directions/FAT Viewer?action=UPDATE&amp;creator=factset&amp;DYN_ARGS=TRUE&amp;DOC_NAME=FAT:FQL_AUDITING_CLIENT_TEMPLATE.FAT&amp;display_string=Audit&amp;VAR:KEY=OVSFABQJIZ&amp;VAR:QUERY=RkZfRElWX1lMRChBTk4sMy8xOS8wOCwzLzE5LzA4KQ==&amp;WINDOW=FIRST_POPUP&amp;HEIGHT=450&amp;WIDTH=450&amp;","START_MAXIMIZED=FALSE&amp;VAR:CALENDAR=US&amp;VAR:SYMBOL=KO&amp;VAR:INDEX=0"}</definedName>
    <definedName name="_1734">#REF!</definedName>
    <definedName name="_1734__FDSAUDITLINK__" localSheetId="0" hidden="1">{"fdsup://directions/FAT Viewer?action=UPDATE&amp;creator=factset&amp;DYN_ARGS=TRUE&amp;DOC_NAME=FAT:FQL_AUDITING_CLIENT_TEMPLATE.FAT&amp;display_string=Audit&amp;VAR:KEY=GDOXAVWZEV&amp;VAR:QUERY=RkZfRElWX1lMRChBTk4sMy8xMi8wOCwzLzEyLzA4KQ==&amp;WINDOW=FIRST_POPUP&amp;HEIGHT=450&amp;WIDTH=450&amp;","START_MAXIMIZED=FALSE&amp;VAR:CALENDAR=US&amp;VAR:SYMBOL=KO&amp;VAR:INDEX=0"}</definedName>
    <definedName name="_1734__FDSAUDITLINK__" hidden="1">{"fdsup://directions/FAT Viewer?action=UPDATE&amp;creator=factset&amp;DYN_ARGS=TRUE&amp;DOC_NAME=FAT:FQL_AUDITING_CLIENT_TEMPLATE.FAT&amp;display_string=Audit&amp;VAR:KEY=GDOXAVWZEV&amp;VAR:QUERY=RkZfRElWX1lMRChBTk4sMy8xMi8wOCwzLzEyLzA4KQ==&amp;WINDOW=FIRST_POPUP&amp;HEIGHT=450&amp;WIDTH=450&amp;","START_MAXIMIZED=FALSE&amp;VAR:CALENDAR=US&amp;VAR:SYMBOL=KO&amp;VAR:INDEX=0"}</definedName>
    <definedName name="_1735__FDSAUDITLINK__" localSheetId="0" hidden="1">{"fdsup://directions/FAT Viewer?action=UPDATE&amp;creator=factset&amp;DYN_ARGS=TRUE&amp;DOC_NAME=FAT:FQL_AUDITING_CLIENT_TEMPLATE.FAT&amp;display_string=Audit&amp;VAR:KEY=CDCLOJEPSV&amp;VAR:QUERY=RkZfRElWX1lMRChBTk4sMy8wNS8wOCwzLzA1LzA4KQ==&amp;WINDOW=FIRST_POPUP&amp;HEIGHT=450&amp;WIDTH=450&amp;","START_MAXIMIZED=FALSE&amp;VAR:CALENDAR=US&amp;VAR:SYMBOL=KO&amp;VAR:INDEX=0"}</definedName>
    <definedName name="_1735__FDSAUDITLINK__" hidden="1">{"fdsup://directions/FAT Viewer?action=UPDATE&amp;creator=factset&amp;DYN_ARGS=TRUE&amp;DOC_NAME=FAT:FQL_AUDITING_CLIENT_TEMPLATE.FAT&amp;display_string=Audit&amp;VAR:KEY=CDCLOJEPSV&amp;VAR:QUERY=RkZfRElWX1lMRChBTk4sMy8wNS8wOCwzLzA1LzA4KQ==&amp;WINDOW=FIRST_POPUP&amp;HEIGHT=450&amp;WIDTH=450&amp;","START_MAXIMIZED=FALSE&amp;VAR:CALENDAR=US&amp;VAR:SYMBOL=KO&amp;VAR:INDEX=0"}</definedName>
    <definedName name="_1736__FDSAUDITLINK__" localSheetId="0" hidden="1">{"fdsup://directions/FAT Viewer?action=UPDATE&amp;creator=factset&amp;DYN_ARGS=TRUE&amp;DOC_NAME=FAT:FQL_AUDITING_CLIENT_TEMPLATE.FAT&amp;display_string=Audit&amp;VAR:KEY=EXYDMNADMD&amp;VAR:QUERY=RkZfRElWX1lMRChBTk4sMi8yNy8wOCwyLzI3LzA4KQ==&amp;WINDOW=FIRST_POPUP&amp;HEIGHT=450&amp;WIDTH=450&amp;","START_MAXIMIZED=FALSE&amp;VAR:CALENDAR=US&amp;VAR:SYMBOL=KO&amp;VAR:INDEX=0"}</definedName>
    <definedName name="_1736__FDSAUDITLINK__" hidden="1">{"fdsup://directions/FAT Viewer?action=UPDATE&amp;creator=factset&amp;DYN_ARGS=TRUE&amp;DOC_NAME=FAT:FQL_AUDITING_CLIENT_TEMPLATE.FAT&amp;display_string=Audit&amp;VAR:KEY=EXYDMNADMD&amp;VAR:QUERY=RkZfRElWX1lMRChBTk4sMi8yNy8wOCwyLzI3LzA4KQ==&amp;WINDOW=FIRST_POPUP&amp;HEIGHT=450&amp;WIDTH=450&amp;","START_MAXIMIZED=FALSE&amp;VAR:CALENDAR=US&amp;VAR:SYMBOL=KO&amp;VAR:INDEX=0"}</definedName>
    <definedName name="_1737__FDSAUDITLINK__" localSheetId="0" hidden="1">{"fdsup://directions/FAT Viewer?action=UPDATE&amp;creator=factset&amp;DYN_ARGS=TRUE&amp;DOC_NAME=FAT:FQL_AUDITING_CLIENT_TEMPLATE.FAT&amp;display_string=Audit&amp;VAR:KEY=OPCJIXYNYJ&amp;VAR:QUERY=RkZfRElWX1lMRChBTk4sMi8yMC8wOCwyLzIwLzA4KQ==&amp;WINDOW=FIRST_POPUP&amp;HEIGHT=450&amp;WIDTH=450&amp;","START_MAXIMIZED=FALSE&amp;VAR:CALENDAR=US&amp;VAR:SYMBOL=KO&amp;VAR:INDEX=0"}</definedName>
    <definedName name="_1737__FDSAUDITLINK__" hidden="1">{"fdsup://directions/FAT Viewer?action=UPDATE&amp;creator=factset&amp;DYN_ARGS=TRUE&amp;DOC_NAME=FAT:FQL_AUDITING_CLIENT_TEMPLATE.FAT&amp;display_string=Audit&amp;VAR:KEY=OPCJIXYNYJ&amp;VAR:QUERY=RkZfRElWX1lMRChBTk4sMi8yMC8wOCwyLzIwLzA4KQ==&amp;WINDOW=FIRST_POPUP&amp;HEIGHT=450&amp;WIDTH=450&amp;","START_MAXIMIZED=FALSE&amp;VAR:CALENDAR=US&amp;VAR:SYMBOL=KO&amp;VAR:INDEX=0"}</definedName>
    <definedName name="_1738__FDSAUDITLINK__" localSheetId="0" hidden="1">{"fdsup://directions/FAT Viewer?action=UPDATE&amp;creator=factset&amp;DYN_ARGS=TRUE&amp;DOC_NAME=FAT:FQL_AUDITING_CLIENT_TEMPLATE.FAT&amp;display_string=Audit&amp;VAR:KEY=YTSPYPWJCD&amp;VAR:QUERY=RkZfRElWX1lMRChBTk4sMi8xMy8wOCwyLzEzLzA4KQ==&amp;WINDOW=FIRST_POPUP&amp;HEIGHT=450&amp;WIDTH=450&amp;","START_MAXIMIZED=FALSE&amp;VAR:CALENDAR=US&amp;VAR:SYMBOL=KO&amp;VAR:INDEX=0"}</definedName>
    <definedName name="_1738__FDSAUDITLINK__" hidden="1">{"fdsup://directions/FAT Viewer?action=UPDATE&amp;creator=factset&amp;DYN_ARGS=TRUE&amp;DOC_NAME=FAT:FQL_AUDITING_CLIENT_TEMPLATE.FAT&amp;display_string=Audit&amp;VAR:KEY=YTSPYPWJCD&amp;VAR:QUERY=RkZfRElWX1lMRChBTk4sMi8xMy8wOCwyLzEzLzA4KQ==&amp;WINDOW=FIRST_POPUP&amp;HEIGHT=450&amp;WIDTH=450&amp;","START_MAXIMIZED=FALSE&amp;VAR:CALENDAR=US&amp;VAR:SYMBOL=KO&amp;VAR:INDEX=0"}</definedName>
    <definedName name="_1739__FDSAUDITLINK__" localSheetId="0" hidden="1">{"fdsup://directions/FAT Viewer?action=UPDATE&amp;creator=factset&amp;DYN_ARGS=TRUE&amp;DOC_NAME=FAT:FQL_AUDITING_CLIENT_TEMPLATE.FAT&amp;display_string=Audit&amp;VAR:KEY=QPQLOTWNYH&amp;VAR:QUERY=RkZfRElWX1lMRChBTk4sMi8wNi8wOCwyLzA2LzA4KQ==&amp;WINDOW=FIRST_POPUP&amp;HEIGHT=450&amp;WIDTH=450&amp;","START_MAXIMIZED=FALSE&amp;VAR:CALENDAR=US&amp;VAR:SYMBOL=KO&amp;VAR:INDEX=0"}</definedName>
    <definedName name="_1739__FDSAUDITLINK__" hidden="1">{"fdsup://directions/FAT Viewer?action=UPDATE&amp;creator=factset&amp;DYN_ARGS=TRUE&amp;DOC_NAME=FAT:FQL_AUDITING_CLIENT_TEMPLATE.FAT&amp;display_string=Audit&amp;VAR:KEY=QPQLOTWNYH&amp;VAR:QUERY=RkZfRElWX1lMRChBTk4sMi8wNi8wOCwyLzA2LzA4KQ==&amp;WINDOW=FIRST_POPUP&amp;HEIGHT=450&amp;WIDTH=450&amp;","START_MAXIMIZED=FALSE&amp;VAR:CALENDAR=US&amp;VAR:SYMBOL=KO&amp;VAR:INDEX=0"}</definedName>
    <definedName name="_174">#REF!</definedName>
    <definedName name="_174__123Graph_FWAGES_BY_B_U">#REF!</definedName>
    <definedName name="_174__FDSAUDITLINK__" localSheetId="0" hidden="1">{"fdsup://directions/FAT Viewer?action=UPDATE&amp;creator=factset&amp;DYN_ARGS=TRUE&amp;DOC_NAME=FAT:FQL_AUDITING_CLIENT_TEMPLATE.FAT&amp;display_string=Audit&amp;VAR:KEY=RQZANIRIXW&amp;VAR:QUERY=RkZfRElWX1lMRChBTk4sMTIvMDYvMDcsMTIvMDYvMDcp&amp;WINDOW=FIRST_POPUP&amp;HEIGHT=450&amp;WIDTH=450&amp;","START_MAXIMIZED=FALSE&amp;VAR:CALENDAR=US&amp;VAR:SYMBOL=RAI&amp;VAR:INDEX=0"}</definedName>
    <definedName name="_174__FDSAUDITLINK__" hidden="1">{"fdsup://directions/FAT Viewer?action=UPDATE&amp;creator=factset&amp;DYN_ARGS=TRUE&amp;DOC_NAME=FAT:FQL_AUDITING_CLIENT_TEMPLATE.FAT&amp;display_string=Audit&amp;VAR:KEY=RQZANIRIXW&amp;VAR:QUERY=RkZfRElWX1lMRChBTk4sMTIvMDYvMDcsMTIvMDYvMDcp&amp;WINDOW=FIRST_POPUP&amp;HEIGHT=450&amp;WIDTH=450&amp;","START_MAXIMIZED=FALSE&amp;VAR:CALENDAR=US&amp;VAR:SYMBOL=RAI&amp;VAR:INDEX=0"}</definedName>
    <definedName name="_1740__FDSAUDITLINK__" localSheetId="0" hidden="1">{"fdsup://directions/FAT Viewer?action=UPDATE&amp;creator=factset&amp;DYN_ARGS=TRUE&amp;DOC_NAME=FAT:FQL_AUDITING_CLIENT_TEMPLATE.FAT&amp;display_string=Audit&amp;VAR:KEY=IZCRCBCXKP&amp;VAR:QUERY=RkZfRElWX1lMRChBTk4sMS8zMC8wOCwxLzMwLzA4KQ==&amp;WINDOW=FIRST_POPUP&amp;HEIGHT=450&amp;WIDTH=450&amp;","START_MAXIMIZED=FALSE&amp;VAR:CALENDAR=US&amp;VAR:SYMBOL=KO&amp;VAR:INDEX=0"}</definedName>
    <definedName name="_1740__FDSAUDITLINK__" hidden="1">{"fdsup://directions/FAT Viewer?action=UPDATE&amp;creator=factset&amp;DYN_ARGS=TRUE&amp;DOC_NAME=FAT:FQL_AUDITING_CLIENT_TEMPLATE.FAT&amp;display_string=Audit&amp;VAR:KEY=IZCRCBCXKP&amp;VAR:QUERY=RkZfRElWX1lMRChBTk4sMS8zMC8wOCwxLzMwLzA4KQ==&amp;WINDOW=FIRST_POPUP&amp;HEIGHT=450&amp;WIDTH=450&amp;","START_MAXIMIZED=FALSE&amp;VAR:CALENDAR=US&amp;VAR:SYMBOL=KO&amp;VAR:INDEX=0"}</definedName>
    <definedName name="_1741__FDSAUDITLINK__" localSheetId="0" hidden="1">{"fdsup://directions/FAT Viewer?action=UPDATE&amp;creator=factset&amp;DYN_ARGS=TRUE&amp;DOC_NAME=FAT:FQL_AUDITING_CLIENT_TEMPLATE.FAT&amp;display_string=Audit&amp;VAR:KEY=MBAPOBGLIV&amp;VAR:QUERY=RkZfRElWX1lMRChBTk4sMS8yMy8wOCwxLzIzLzA4KQ==&amp;WINDOW=FIRST_POPUP&amp;HEIGHT=450&amp;WIDTH=450&amp;","START_MAXIMIZED=FALSE&amp;VAR:CALENDAR=US&amp;VAR:SYMBOL=KO&amp;VAR:INDEX=0"}</definedName>
    <definedName name="_1741__FDSAUDITLINK__" hidden="1">{"fdsup://directions/FAT Viewer?action=UPDATE&amp;creator=factset&amp;DYN_ARGS=TRUE&amp;DOC_NAME=FAT:FQL_AUDITING_CLIENT_TEMPLATE.FAT&amp;display_string=Audit&amp;VAR:KEY=MBAPOBGLIV&amp;VAR:QUERY=RkZfRElWX1lMRChBTk4sMS8yMy8wOCwxLzIzLzA4KQ==&amp;WINDOW=FIRST_POPUP&amp;HEIGHT=450&amp;WIDTH=450&amp;","START_MAXIMIZED=FALSE&amp;VAR:CALENDAR=US&amp;VAR:SYMBOL=KO&amp;VAR:INDEX=0"}</definedName>
    <definedName name="_1742">#REF!</definedName>
    <definedName name="_1742__FDSAUDITLINK__" localSheetId="0" hidden="1">{"fdsup://directions/FAT Viewer?action=UPDATE&amp;creator=factset&amp;DYN_ARGS=TRUE&amp;DOC_NAME=FAT:FQL_AUDITING_CLIENT_TEMPLATE.FAT&amp;display_string=Audit&amp;VAR:KEY=ULYFCJGLGT&amp;VAR:QUERY=RkZfRElWX1lMRChBTk4sMS8xNi8wOCwxLzE2LzA4KQ==&amp;WINDOW=FIRST_POPUP&amp;HEIGHT=450&amp;WIDTH=450&amp;","START_MAXIMIZED=FALSE&amp;VAR:CALENDAR=US&amp;VAR:SYMBOL=KO&amp;VAR:INDEX=0"}</definedName>
    <definedName name="_1742__FDSAUDITLINK__" hidden="1">{"fdsup://directions/FAT Viewer?action=UPDATE&amp;creator=factset&amp;DYN_ARGS=TRUE&amp;DOC_NAME=FAT:FQL_AUDITING_CLIENT_TEMPLATE.FAT&amp;display_string=Audit&amp;VAR:KEY=ULYFCJGLGT&amp;VAR:QUERY=RkZfRElWX1lMRChBTk4sMS8xNi8wOCwxLzE2LzA4KQ==&amp;WINDOW=FIRST_POPUP&amp;HEIGHT=450&amp;WIDTH=450&amp;","START_MAXIMIZED=FALSE&amp;VAR:CALENDAR=US&amp;VAR:SYMBOL=KO&amp;VAR:INDEX=0"}</definedName>
    <definedName name="_1743">#REF!</definedName>
    <definedName name="_1743__FDSAUDITLINK__" localSheetId="0" hidden="1">{"fdsup://directions/FAT Viewer?action=UPDATE&amp;creator=factset&amp;DYN_ARGS=TRUE&amp;DOC_NAME=FAT:FQL_AUDITING_CLIENT_TEMPLATE.FAT&amp;display_string=Audit&amp;VAR:KEY=MTQZODAROJ&amp;VAR:QUERY=RkZfRElWX1lMRChBTk4sMS8wOS8wOCwxLzA5LzA4KQ==&amp;WINDOW=FIRST_POPUP&amp;HEIGHT=450&amp;WIDTH=450&amp;","START_MAXIMIZED=FALSE&amp;VAR:CALENDAR=US&amp;VAR:SYMBOL=KO&amp;VAR:INDEX=0"}</definedName>
    <definedName name="_1743__FDSAUDITLINK__" hidden="1">{"fdsup://directions/FAT Viewer?action=UPDATE&amp;creator=factset&amp;DYN_ARGS=TRUE&amp;DOC_NAME=FAT:FQL_AUDITING_CLIENT_TEMPLATE.FAT&amp;display_string=Audit&amp;VAR:KEY=MTQZODAROJ&amp;VAR:QUERY=RkZfRElWX1lMRChBTk4sMS8wOS8wOCwxLzA5LzA4KQ==&amp;WINDOW=FIRST_POPUP&amp;HEIGHT=450&amp;WIDTH=450&amp;","START_MAXIMIZED=FALSE&amp;VAR:CALENDAR=US&amp;VAR:SYMBOL=KO&amp;VAR:INDEX=0"}</definedName>
    <definedName name="_1744">#REF!</definedName>
    <definedName name="_1744__FDSAUDITLINK__" localSheetId="0" hidden="1">{"fdsup://directions/FAT Viewer?action=UPDATE&amp;creator=factset&amp;DYN_ARGS=TRUE&amp;DOC_NAME=FAT:FQL_AUDITING_CLIENT_TEMPLATE.FAT&amp;display_string=Audit&amp;VAR:KEY=QRCTIPQZWP&amp;VAR:QUERY=RkZfRElWX1lMRChBTk4sMS8wMi8wOCwxLzAyLzA4KQ==&amp;WINDOW=FIRST_POPUP&amp;HEIGHT=450&amp;WIDTH=450&amp;","START_MAXIMIZED=FALSE&amp;VAR:CALENDAR=US&amp;VAR:SYMBOL=KO&amp;VAR:INDEX=0"}</definedName>
    <definedName name="_1744__FDSAUDITLINK__" hidden="1">{"fdsup://directions/FAT Viewer?action=UPDATE&amp;creator=factset&amp;DYN_ARGS=TRUE&amp;DOC_NAME=FAT:FQL_AUDITING_CLIENT_TEMPLATE.FAT&amp;display_string=Audit&amp;VAR:KEY=QRCTIPQZWP&amp;VAR:QUERY=RkZfRElWX1lMRChBTk4sMS8wMi8wOCwxLzAyLzA4KQ==&amp;WINDOW=FIRST_POPUP&amp;HEIGHT=450&amp;WIDTH=450&amp;","START_MAXIMIZED=FALSE&amp;VAR:CALENDAR=US&amp;VAR:SYMBOL=KO&amp;VAR:INDEX=0"}</definedName>
    <definedName name="_1745__FDSAUDITLINK__" localSheetId="0" hidden="1">{"fdsup://directions/FAT Viewer?action=UPDATE&amp;creator=factset&amp;DYN_ARGS=TRUE&amp;DOC_NAME=FAT:FQL_AUDITING_CLIENT_TEMPLATE.FAT&amp;display_string=Audit&amp;VAR:KEY=QPAPIRUBCX&amp;VAR:QUERY=RkZfRElWX1lMRChBTk4sMTIvMjYvMDcsMTIvMjYvMDcp&amp;WINDOW=FIRST_POPUP&amp;HEIGHT=450&amp;WIDTH=450&amp;","START_MAXIMIZED=FALSE&amp;VAR:CALENDAR=US&amp;VAR:SYMBOL=KO&amp;VAR:INDEX=0"}</definedName>
    <definedName name="_1745__FDSAUDITLINK__" hidden="1">{"fdsup://directions/FAT Viewer?action=UPDATE&amp;creator=factset&amp;DYN_ARGS=TRUE&amp;DOC_NAME=FAT:FQL_AUDITING_CLIENT_TEMPLATE.FAT&amp;display_string=Audit&amp;VAR:KEY=QPAPIRUBCX&amp;VAR:QUERY=RkZfRElWX1lMRChBTk4sMTIvMjYvMDcsMTIvMjYvMDcp&amp;WINDOW=FIRST_POPUP&amp;HEIGHT=450&amp;WIDTH=450&amp;","START_MAXIMIZED=FALSE&amp;VAR:CALENDAR=US&amp;VAR:SYMBOL=KO&amp;VAR:INDEX=0"}</definedName>
    <definedName name="_1746">#REF!</definedName>
    <definedName name="_1746__FDSAUDITLINK__" localSheetId="0" hidden="1">{"fdsup://directions/FAT Viewer?action=UPDATE&amp;creator=factset&amp;DYN_ARGS=TRUE&amp;DOC_NAME=FAT:FQL_AUDITING_CLIENT_TEMPLATE.FAT&amp;display_string=Audit&amp;VAR:KEY=SDCBCDAZWX&amp;VAR:QUERY=RkZfRElWX1lMRChBTk4sMTIvMTkvMDcsMTIvMTkvMDcp&amp;WINDOW=FIRST_POPUP&amp;HEIGHT=450&amp;WIDTH=450&amp;","START_MAXIMIZED=FALSE&amp;VAR:CALENDAR=US&amp;VAR:SYMBOL=KO&amp;VAR:INDEX=0"}</definedName>
    <definedName name="_1746__FDSAUDITLINK__" hidden="1">{"fdsup://directions/FAT Viewer?action=UPDATE&amp;creator=factset&amp;DYN_ARGS=TRUE&amp;DOC_NAME=FAT:FQL_AUDITING_CLIENT_TEMPLATE.FAT&amp;display_string=Audit&amp;VAR:KEY=SDCBCDAZWX&amp;VAR:QUERY=RkZfRElWX1lMRChBTk4sMTIvMTkvMDcsMTIvMTkvMDcp&amp;WINDOW=FIRST_POPUP&amp;HEIGHT=450&amp;WIDTH=450&amp;","START_MAXIMIZED=FALSE&amp;VAR:CALENDAR=US&amp;VAR:SYMBOL=KO&amp;VAR:INDEX=0"}</definedName>
    <definedName name="_1747">#REF!</definedName>
    <definedName name="_1747__FDSAUDITLINK__" localSheetId="0" hidden="1">{"fdsup://directions/FAT Viewer?action=UPDATE&amp;creator=factset&amp;DYN_ARGS=TRUE&amp;DOC_NAME=FAT:FQL_AUDITING_CLIENT_TEMPLATE.FAT&amp;display_string=Audit&amp;VAR:KEY=CRCHKHEZQR&amp;VAR:QUERY=RkZfRElWX1lMRChBTk4sMTIvMTIvMDcsMTIvMTIvMDcp&amp;WINDOW=FIRST_POPUP&amp;HEIGHT=450&amp;WIDTH=450&amp;","START_MAXIMIZED=FALSE&amp;VAR:CALENDAR=US&amp;VAR:SYMBOL=KO&amp;VAR:INDEX=0"}</definedName>
    <definedName name="_1747__FDSAUDITLINK__" hidden="1">{"fdsup://directions/FAT Viewer?action=UPDATE&amp;creator=factset&amp;DYN_ARGS=TRUE&amp;DOC_NAME=FAT:FQL_AUDITING_CLIENT_TEMPLATE.FAT&amp;display_string=Audit&amp;VAR:KEY=CRCHKHEZQR&amp;VAR:QUERY=RkZfRElWX1lMRChBTk4sMTIvMTIvMDcsMTIvMTIvMDcp&amp;WINDOW=FIRST_POPUP&amp;HEIGHT=450&amp;WIDTH=450&amp;","START_MAXIMIZED=FALSE&amp;VAR:CALENDAR=US&amp;VAR:SYMBOL=KO&amp;VAR:INDEX=0"}</definedName>
    <definedName name="_1748__FDSAUDITLINK__" localSheetId="0" hidden="1">{"fdsup://directions/FAT Viewer?action=UPDATE&amp;creator=factset&amp;DYN_ARGS=TRUE&amp;DOC_NAME=FAT:FQL_AUDITING_CLIENT_TEMPLATE.FAT&amp;display_string=Audit&amp;VAR:KEY=IRCLADKLMP&amp;VAR:QUERY=RkZfRElWX1lMRChBTk4sMTIvMDUvMDcsMTIvMDUvMDcp&amp;WINDOW=FIRST_POPUP&amp;HEIGHT=450&amp;WIDTH=450&amp;","START_MAXIMIZED=FALSE&amp;VAR:CALENDAR=US&amp;VAR:SYMBOL=KO&amp;VAR:INDEX=0"}</definedName>
    <definedName name="_1748__FDSAUDITLINK__" hidden="1">{"fdsup://directions/FAT Viewer?action=UPDATE&amp;creator=factset&amp;DYN_ARGS=TRUE&amp;DOC_NAME=FAT:FQL_AUDITING_CLIENT_TEMPLATE.FAT&amp;display_string=Audit&amp;VAR:KEY=IRCLADKLMP&amp;VAR:QUERY=RkZfRElWX1lMRChBTk4sMTIvMDUvMDcsMTIvMDUvMDcp&amp;WINDOW=FIRST_POPUP&amp;HEIGHT=450&amp;WIDTH=450&amp;","START_MAXIMIZED=FALSE&amp;VAR:CALENDAR=US&amp;VAR:SYMBOL=KO&amp;VAR:INDEX=0"}</definedName>
    <definedName name="_1749">#REF!</definedName>
    <definedName name="_1749__FDSAUDITLINK__" localSheetId="0" hidden="1">{"fdsup://directions/FAT Viewer?action=UPDATE&amp;creator=factset&amp;DYN_ARGS=TRUE&amp;DOC_NAME=FAT:FQL_AUDITING_CLIENT_TEMPLATE.FAT&amp;display_string=Audit&amp;VAR:KEY=WVEVMVSJAF&amp;VAR:QUERY=RkZfRElWX1lMRChBTk4sMTEvMjgvMDcsMTEvMjgvMDcp&amp;WINDOW=FIRST_POPUP&amp;HEIGHT=450&amp;WIDTH=450&amp;","START_MAXIMIZED=FALSE&amp;VAR:CALENDAR=US&amp;VAR:SYMBOL=KO&amp;VAR:INDEX=0"}</definedName>
    <definedName name="_1749__FDSAUDITLINK__" hidden="1">{"fdsup://directions/FAT Viewer?action=UPDATE&amp;creator=factset&amp;DYN_ARGS=TRUE&amp;DOC_NAME=FAT:FQL_AUDITING_CLIENT_TEMPLATE.FAT&amp;display_string=Audit&amp;VAR:KEY=WVEVMVSJAF&amp;VAR:QUERY=RkZfRElWX1lMRChBTk4sMTEvMjgvMDcsMTEvMjgvMDcp&amp;WINDOW=FIRST_POPUP&amp;HEIGHT=450&amp;WIDTH=450&amp;","START_MAXIMIZED=FALSE&amp;VAR:CALENDAR=US&amp;VAR:SYMBOL=KO&amp;VAR:INDEX=0"}</definedName>
    <definedName name="_175">#REF!</definedName>
    <definedName name="_175__123Graph_FWAGES_BY_B_U">#REF!</definedName>
    <definedName name="_175__FDSAUDITLINK__" localSheetId="0" hidden="1">{"fdsup://directions/FAT Viewer?action=UPDATE&amp;creator=factset&amp;DYN_ARGS=TRUE&amp;DOC_NAME=FAT:FQL_AUDITING_CLIENT_TEMPLATE.FAT&amp;display_string=Audit&amp;VAR:KEY=BKFWVEFWVS&amp;VAR:QUERY=RkZfRElWX1lMRChBTk4sMTEvMjkvMDcsMTEvMjkvMDcp&amp;WINDOW=FIRST_POPUP&amp;HEIGHT=450&amp;WIDTH=450&amp;","START_MAXIMIZED=FALSE&amp;VAR:CALENDAR=US&amp;VAR:SYMBOL=RAI&amp;VAR:INDEX=0"}</definedName>
    <definedName name="_175__FDSAUDITLINK__" hidden="1">{"fdsup://directions/FAT Viewer?action=UPDATE&amp;creator=factset&amp;DYN_ARGS=TRUE&amp;DOC_NAME=FAT:FQL_AUDITING_CLIENT_TEMPLATE.FAT&amp;display_string=Audit&amp;VAR:KEY=BKFWVEFWVS&amp;VAR:QUERY=RkZfRElWX1lMRChBTk4sMTEvMjkvMDcsMTEvMjkvMDcp&amp;WINDOW=FIRST_POPUP&amp;HEIGHT=450&amp;WIDTH=450&amp;","START_MAXIMIZED=FALSE&amp;VAR:CALENDAR=US&amp;VAR:SYMBOL=RAI&amp;VAR:INDEX=0"}</definedName>
    <definedName name="_1750">#REF!</definedName>
    <definedName name="_1750__FDSAUDITLINK__" localSheetId="0" hidden="1">{"fdsup://directions/FAT Viewer?action=UPDATE&amp;creator=factset&amp;DYN_ARGS=TRUE&amp;DOC_NAME=FAT:FQL_AUDITING_CLIENT_TEMPLATE.FAT&amp;display_string=Audit&amp;VAR:KEY=CXMVMTYPGH&amp;VAR:QUERY=RkZfRElWX1lMRChBTk4sMTEvMjEvMDcsMTEvMjEvMDcp&amp;WINDOW=FIRST_POPUP&amp;HEIGHT=450&amp;WIDTH=450&amp;","START_MAXIMIZED=FALSE&amp;VAR:CALENDAR=US&amp;VAR:SYMBOL=KO&amp;VAR:INDEX=0"}</definedName>
    <definedName name="_1750__FDSAUDITLINK__" hidden="1">{"fdsup://directions/FAT Viewer?action=UPDATE&amp;creator=factset&amp;DYN_ARGS=TRUE&amp;DOC_NAME=FAT:FQL_AUDITING_CLIENT_TEMPLATE.FAT&amp;display_string=Audit&amp;VAR:KEY=CXMVMTYPGH&amp;VAR:QUERY=RkZfRElWX1lMRChBTk4sMTEvMjEvMDcsMTEvMjEvMDcp&amp;WINDOW=FIRST_POPUP&amp;HEIGHT=450&amp;WIDTH=450&amp;","START_MAXIMIZED=FALSE&amp;VAR:CALENDAR=US&amp;VAR:SYMBOL=KO&amp;VAR:INDEX=0"}</definedName>
    <definedName name="_1751">#REF!</definedName>
    <definedName name="_1751__FDSAUDITLINK__" localSheetId="0" hidden="1">{"fdsup://directions/FAT Viewer?action=UPDATE&amp;creator=factset&amp;DYN_ARGS=TRUE&amp;DOC_NAME=FAT:FQL_AUDITING_CLIENT_TEMPLATE.FAT&amp;display_string=Audit&amp;VAR:KEY=QRWHGPELQP&amp;VAR:QUERY=RkZfRElWX1lMRChBTk4sMTEvMTQvMDcsMTEvMTQvMDcp&amp;WINDOW=FIRST_POPUP&amp;HEIGHT=450&amp;WIDTH=450&amp;","START_MAXIMIZED=FALSE&amp;VAR:CALENDAR=US&amp;VAR:SYMBOL=KO&amp;VAR:INDEX=0"}</definedName>
    <definedName name="_1751__FDSAUDITLINK__" hidden="1">{"fdsup://directions/FAT Viewer?action=UPDATE&amp;creator=factset&amp;DYN_ARGS=TRUE&amp;DOC_NAME=FAT:FQL_AUDITING_CLIENT_TEMPLATE.FAT&amp;display_string=Audit&amp;VAR:KEY=QRWHGPELQP&amp;VAR:QUERY=RkZfRElWX1lMRChBTk4sMTEvMTQvMDcsMTEvMTQvMDcp&amp;WINDOW=FIRST_POPUP&amp;HEIGHT=450&amp;WIDTH=450&amp;","START_MAXIMIZED=FALSE&amp;VAR:CALENDAR=US&amp;VAR:SYMBOL=KO&amp;VAR:INDEX=0"}</definedName>
    <definedName name="_1752__FDSAUDITLINK__" localSheetId="0" hidden="1">{"fdsup://directions/FAT Viewer?action=UPDATE&amp;creator=factset&amp;DYN_ARGS=TRUE&amp;DOC_NAME=FAT:FQL_AUDITING_CLIENT_TEMPLATE.FAT&amp;display_string=Audit&amp;VAR:KEY=KBAXQVIBQZ&amp;VAR:QUERY=RkZfRElWX1lMRChBTk4sMTEvMDcvMDcsMTEvMDcvMDcp&amp;WINDOW=FIRST_POPUP&amp;HEIGHT=450&amp;WIDTH=450&amp;","START_MAXIMIZED=FALSE&amp;VAR:CALENDAR=US&amp;VAR:SYMBOL=KO&amp;VAR:INDEX=0"}</definedName>
    <definedName name="_1752__FDSAUDITLINK__" hidden="1">{"fdsup://directions/FAT Viewer?action=UPDATE&amp;creator=factset&amp;DYN_ARGS=TRUE&amp;DOC_NAME=FAT:FQL_AUDITING_CLIENT_TEMPLATE.FAT&amp;display_string=Audit&amp;VAR:KEY=KBAXQVIBQZ&amp;VAR:QUERY=RkZfRElWX1lMRChBTk4sMTEvMDcvMDcsMTEvMDcvMDcp&amp;WINDOW=FIRST_POPUP&amp;HEIGHT=450&amp;WIDTH=450&amp;","START_MAXIMIZED=FALSE&amp;VAR:CALENDAR=US&amp;VAR:SYMBOL=KO&amp;VAR:INDEX=0"}</definedName>
    <definedName name="_1753__FDSAUDITLINK__" localSheetId="0" hidden="1">{"fdsup://directions/FAT Viewer?action=UPDATE&amp;creator=factset&amp;DYN_ARGS=TRUE&amp;DOC_NAME=FAT:FQL_AUDITING_CLIENT_TEMPLATE.FAT&amp;display_string=Audit&amp;VAR:KEY=IZMRWLMRAL&amp;VAR:QUERY=RkZfRElWX1lMRChBTk4sMTAvMzEvMDcsMTAvMzEvMDcp&amp;WINDOW=FIRST_POPUP&amp;HEIGHT=450&amp;WIDTH=450&amp;","START_MAXIMIZED=FALSE&amp;VAR:CALENDAR=US&amp;VAR:SYMBOL=KO&amp;VAR:INDEX=0"}</definedName>
    <definedName name="_1753__FDSAUDITLINK__" hidden="1">{"fdsup://directions/FAT Viewer?action=UPDATE&amp;creator=factset&amp;DYN_ARGS=TRUE&amp;DOC_NAME=FAT:FQL_AUDITING_CLIENT_TEMPLATE.FAT&amp;display_string=Audit&amp;VAR:KEY=IZMRWLMRAL&amp;VAR:QUERY=RkZfRElWX1lMRChBTk4sMTAvMzEvMDcsMTAvMzEvMDcp&amp;WINDOW=FIRST_POPUP&amp;HEIGHT=450&amp;WIDTH=450&amp;","START_MAXIMIZED=FALSE&amp;VAR:CALENDAR=US&amp;VAR:SYMBOL=KO&amp;VAR:INDEX=0"}</definedName>
    <definedName name="_1754__FDSAUDITLINK__" localSheetId="0" hidden="1">{"fdsup://directions/FAT Viewer?action=UPDATE&amp;creator=factset&amp;DYN_ARGS=TRUE&amp;DOC_NAME=FAT:FQL_AUDITING_CLIENT_TEMPLATE.FAT&amp;display_string=Audit&amp;VAR:KEY=EPGNIPANSP&amp;VAR:QUERY=RkZfRElWX1lMRChBTk4sMTAvMjQvMDcsMTAvMjQvMDcp&amp;WINDOW=FIRST_POPUP&amp;HEIGHT=450&amp;WIDTH=450&amp;","START_MAXIMIZED=FALSE&amp;VAR:CALENDAR=US&amp;VAR:SYMBOL=KO&amp;VAR:INDEX=0"}</definedName>
    <definedName name="_1754__FDSAUDITLINK__" hidden="1">{"fdsup://directions/FAT Viewer?action=UPDATE&amp;creator=factset&amp;DYN_ARGS=TRUE&amp;DOC_NAME=FAT:FQL_AUDITING_CLIENT_TEMPLATE.FAT&amp;display_string=Audit&amp;VAR:KEY=EPGNIPANSP&amp;VAR:QUERY=RkZfRElWX1lMRChBTk4sMTAvMjQvMDcsMTAvMjQvMDcp&amp;WINDOW=FIRST_POPUP&amp;HEIGHT=450&amp;WIDTH=450&amp;","START_MAXIMIZED=FALSE&amp;VAR:CALENDAR=US&amp;VAR:SYMBOL=KO&amp;VAR:INDEX=0"}</definedName>
    <definedName name="_1755__FDSAUDITLINK__" localSheetId="0" hidden="1">{"fdsup://directions/FAT Viewer?action=UPDATE&amp;creator=factset&amp;DYN_ARGS=TRUE&amp;DOC_NAME=FAT:FQL_AUDITING_CLIENT_TEMPLATE.FAT&amp;display_string=Audit&amp;VAR:KEY=CDUNSLUVMZ&amp;VAR:QUERY=RkZfRElWX1lMRChBTk4sMTAvMTcvMDcsMTAvMTcvMDcp&amp;WINDOW=FIRST_POPUP&amp;HEIGHT=450&amp;WIDTH=450&amp;","START_MAXIMIZED=FALSE&amp;VAR:CALENDAR=US&amp;VAR:SYMBOL=KO&amp;VAR:INDEX=0"}</definedName>
    <definedName name="_1755__FDSAUDITLINK__" hidden="1">{"fdsup://directions/FAT Viewer?action=UPDATE&amp;creator=factset&amp;DYN_ARGS=TRUE&amp;DOC_NAME=FAT:FQL_AUDITING_CLIENT_TEMPLATE.FAT&amp;display_string=Audit&amp;VAR:KEY=CDUNSLUVMZ&amp;VAR:QUERY=RkZfRElWX1lMRChBTk4sMTAvMTcvMDcsMTAvMTcvMDcp&amp;WINDOW=FIRST_POPUP&amp;HEIGHT=450&amp;WIDTH=450&amp;","START_MAXIMIZED=FALSE&amp;VAR:CALENDAR=US&amp;VAR:SYMBOL=KO&amp;VAR:INDEX=0"}</definedName>
    <definedName name="_1756">#REF!</definedName>
    <definedName name="_1756__FDSAUDITLINK__" localSheetId="0" hidden="1">{"fdsup://directions/FAT Viewer?action=UPDATE&amp;creator=factset&amp;DYN_ARGS=TRUE&amp;DOC_NAME=FAT:FQL_AUDITING_CLIENT_TEMPLATE.FAT&amp;display_string=Audit&amp;VAR:KEY=MZOFEDGTMF&amp;VAR:QUERY=RkZfRElWX1lMRChBTk4sMTAvMTAvMDcsMTAvMTAvMDcp&amp;WINDOW=FIRST_POPUP&amp;HEIGHT=450&amp;WIDTH=450&amp;","START_MAXIMIZED=FALSE&amp;VAR:CALENDAR=US&amp;VAR:SYMBOL=KO&amp;VAR:INDEX=0"}</definedName>
    <definedName name="_1756__FDSAUDITLINK__" hidden="1">{"fdsup://directions/FAT Viewer?action=UPDATE&amp;creator=factset&amp;DYN_ARGS=TRUE&amp;DOC_NAME=FAT:FQL_AUDITING_CLIENT_TEMPLATE.FAT&amp;display_string=Audit&amp;VAR:KEY=MZOFEDGTMF&amp;VAR:QUERY=RkZfRElWX1lMRChBTk4sMTAvMTAvMDcsMTAvMTAvMDcp&amp;WINDOW=FIRST_POPUP&amp;HEIGHT=450&amp;WIDTH=450&amp;","START_MAXIMIZED=FALSE&amp;VAR:CALENDAR=US&amp;VAR:SYMBOL=KO&amp;VAR:INDEX=0"}</definedName>
    <definedName name="_1757__FDSAUDITLINK__" localSheetId="0" hidden="1">{"fdsup://directions/FAT Viewer?action=UPDATE&amp;creator=factset&amp;DYN_ARGS=TRUE&amp;DOC_NAME=FAT:FQL_AUDITING_CLIENT_TEMPLATE.FAT&amp;display_string=Audit&amp;VAR:KEY=GPANQDWZAN&amp;VAR:QUERY=RkZfRElWX1lMRChBTk4sMTAvMDMvMDcsMTAvMDMvMDcp&amp;WINDOW=FIRST_POPUP&amp;HEIGHT=450&amp;WIDTH=450&amp;","START_MAXIMIZED=FALSE&amp;VAR:CALENDAR=US&amp;VAR:SYMBOL=KO&amp;VAR:INDEX=0"}</definedName>
    <definedName name="_1757__FDSAUDITLINK__" hidden="1">{"fdsup://directions/FAT Viewer?action=UPDATE&amp;creator=factset&amp;DYN_ARGS=TRUE&amp;DOC_NAME=FAT:FQL_AUDITING_CLIENT_TEMPLATE.FAT&amp;display_string=Audit&amp;VAR:KEY=GPANQDWZAN&amp;VAR:QUERY=RkZfRElWX1lMRChBTk4sMTAvMDMvMDcsMTAvMDMvMDcp&amp;WINDOW=FIRST_POPUP&amp;HEIGHT=450&amp;WIDTH=450&amp;","START_MAXIMIZED=FALSE&amp;VAR:CALENDAR=US&amp;VAR:SYMBOL=KO&amp;VAR:INDEX=0"}</definedName>
    <definedName name="_1758__FDSAUDITLINK__" localSheetId="0" hidden="1">{"fdsup://directions/FAT Viewer?action=UPDATE&amp;creator=factset&amp;DYN_ARGS=TRUE&amp;DOC_NAME=FAT:FQL_AUDITING_CLIENT_TEMPLATE.FAT&amp;display_string=Audit&amp;VAR:KEY=GLIZOLAXKD&amp;VAR:QUERY=RkZfRElWX1lMRChBTk4sOS8yNi8wNyw5LzI2LzA3KQ==&amp;WINDOW=FIRST_POPUP&amp;HEIGHT=450&amp;WIDTH=450&amp;","START_MAXIMIZED=FALSE&amp;VAR:CALENDAR=US&amp;VAR:SYMBOL=KO&amp;VAR:INDEX=0"}</definedName>
    <definedName name="_1758__FDSAUDITLINK__" hidden="1">{"fdsup://directions/FAT Viewer?action=UPDATE&amp;creator=factset&amp;DYN_ARGS=TRUE&amp;DOC_NAME=FAT:FQL_AUDITING_CLIENT_TEMPLATE.FAT&amp;display_string=Audit&amp;VAR:KEY=GLIZOLAXKD&amp;VAR:QUERY=RkZfRElWX1lMRChBTk4sOS8yNi8wNyw5LzI2LzA3KQ==&amp;WINDOW=FIRST_POPUP&amp;HEIGHT=450&amp;WIDTH=450&amp;","START_MAXIMIZED=FALSE&amp;VAR:CALENDAR=US&amp;VAR:SYMBOL=KO&amp;VAR:INDEX=0"}</definedName>
    <definedName name="_1759__FDSAUDITLINK__" localSheetId="0" hidden="1">{"fdsup://directions/FAT Viewer?action=UPDATE&amp;creator=factset&amp;DYN_ARGS=TRUE&amp;DOC_NAME=FAT:FQL_AUDITING_CLIENT_TEMPLATE.FAT&amp;display_string=Audit&amp;VAR:KEY=OBOVOVQZCV&amp;VAR:QUERY=RkZfRElWX1lMRChBTk4sOS8xOS8wNyw5LzE5LzA3KQ==&amp;WINDOW=FIRST_POPUP&amp;HEIGHT=450&amp;WIDTH=450&amp;","START_MAXIMIZED=FALSE&amp;VAR:CALENDAR=US&amp;VAR:SYMBOL=KO&amp;VAR:INDEX=0"}</definedName>
    <definedName name="_1759__FDSAUDITLINK__" hidden="1">{"fdsup://directions/FAT Viewer?action=UPDATE&amp;creator=factset&amp;DYN_ARGS=TRUE&amp;DOC_NAME=FAT:FQL_AUDITING_CLIENT_TEMPLATE.FAT&amp;display_string=Audit&amp;VAR:KEY=OBOVOVQZCV&amp;VAR:QUERY=RkZfRElWX1lMRChBTk4sOS8xOS8wNyw5LzE5LzA3KQ==&amp;WINDOW=FIRST_POPUP&amp;HEIGHT=450&amp;WIDTH=450&amp;","START_MAXIMIZED=FALSE&amp;VAR:CALENDAR=US&amp;VAR:SYMBOL=KO&amp;VAR:INDEX=0"}</definedName>
    <definedName name="_176">#REF!</definedName>
    <definedName name="_176__FDSAUDITLINK__" localSheetId="0" hidden="1">{"fdsup://directions/FAT Viewer?action=UPDATE&amp;creator=factset&amp;DYN_ARGS=TRUE&amp;DOC_NAME=FAT:FQL_AUDITING_CLIENT_TEMPLATE.FAT&amp;display_string=Audit&amp;VAR:KEY=LOTQFWJYZE&amp;VAR:QUERY=RkZfRElWX1lMRChBTk4sMTEvMjEvMDcsMTEvMjEvMDcp&amp;WINDOW=FIRST_POPUP&amp;HEIGHT=450&amp;WIDTH=450&amp;","START_MAXIMIZED=FALSE&amp;VAR:CALENDAR=US&amp;VAR:SYMBOL=RAI&amp;VAR:INDEX=0"}</definedName>
    <definedName name="_176__FDSAUDITLINK__" hidden="1">{"fdsup://directions/FAT Viewer?action=UPDATE&amp;creator=factset&amp;DYN_ARGS=TRUE&amp;DOC_NAME=FAT:FQL_AUDITING_CLIENT_TEMPLATE.FAT&amp;display_string=Audit&amp;VAR:KEY=LOTQFWJYZE&amp;VAR:QUERY=RkZfRElWX1lMRChBTk4sMTEvMjEvMDcsMTEvMjEvMDcp&amp;WINDOW=FIRST_POPUP&amp;HEIGHT=450&amp;WIDTH=450&amp;","START_MAXIMIZED=FALSE&amp;VAR:CALENDAR=US&amp;VAR:SYMBOL=RAI&amp;VAR:INDEX=0"}</definedName>
    <definedName name="_1760__FDSAUDITLINK__" localSheetId="0" hidden="1">{"fdsup://directions/FAT Viewer?action=UPDATE&amp;creator=factset&amp;DYN_ARGS=TRUE&amp;DOC_NAME=FAT:FQL_AUDITING_CLIENT_TEMPLATE.FAT&amp;display_string=Audit&amp;VAR:KEY=WHEZUFUNCF&amp;VAR:QUERY=RkZfRElWX1lMRChBTk4sOS8xMi8wNyw5LzEyLzA3KQ==&amp;WINDOW=FIRST_POPUP&amp;HEIGHT=450&amp;WIDTH=450&amp;","START_MAXIMIZED=FALSE&amp;VAR:CALENDAR=US&amp;VAR:SYMBOL=KO&amp;VAR:INDEX=0"}</definedName>
    <definedName name="_1760__FDSAUDITLINK__" hidden="1">{"fdsup://directions/FAT Viewer?action=UPDATE&amp;creator=factset&amp;DYN_ARGS=TRUE&amp;DOC_NAME=FAT:FQL_AUDITING_CLIENT_TEMPLATE.FAT&amp;display_string=Audit&amp;VAR:KEY=WHEZUFUNCF&amp;VAR:QUERY=RkZfRElWX1lMRChBTk4sOS8xMi8wNyw5LzEyLzA3KQ==&amp;WINDOW=FIRST_POPUP&amp;HEIGHT=450&amp;WIDTH=450&amp;","START_MAXIMIZED=FALSE&amp;VAR:CALENDAR=US&amp;VAR:SYMBOL=KO&amp;VAR:INDEX=0"}</definedName>
    <definedName name="_1761__FDSAUDITLINK__" localSheetId="0" hidden="1">{"fdsup://directions/FAT Viewer?action=UPDATE&amp;creator=factset&amp;DYN_ARGS=TRUE&amp;DOC_NAME=FAT:FQL_AUDITING_CLIENT_TEMPLATE.FAT&amp;display_string=Audit&amp;VAR:KEY=ARSDQVQBUD&amp;VAR:QUERY=RkZfRElWX1lMRChBTk4sOS8wNS8wNyw5LzA1LzA3KQ==&amp;WINDOW=FIRST_POPUP&amp;HEIGHT=450&amp;WIDTH=450&amp;","START_MAXIMIZED=FALSE&amp;VAR:CALENDAR=US&amp;VAR:SYMBOL=KO&amp;VAR:INDEX=0"}</definedName>
    <definedName name="_1761__FDSAUDITLINK__" hidden="1">{"fdsup://directions/FAT Viewer?action=UPDATE&amp;creator=factset&amp;DYN_ARGS=TRUE&amp;DOC_NAME=FAT:FQL_AUDITING_CLIENT_TEMPLATE.FAT&amp;display_string=Audit&amp;VAR:KEY=ARSDQVQBUD&amp;VAR:QUERY=RkZfRElWX1lMRChBTk4sOS8wNS8wNyw5LzA1LzA3KQ==&amp;WINDOW=FIRST_POPUP&amp;HEIGHT=450&amp;WIDTH=450&amp;","START_MAXIMIZED=FALSE&amp;VAR:CALENDAR=US&amp;VAR:SYMBOL=KO&amp;VAR:INDEX=0"}</definedName>
    <definedName name="_1762__FDSAUDITLINK__" localSheetId="0" hidden="1">{"fdsup://directions/FAT Viewer?action=UPDATE&amp;creator=factset&amp;DYN_ARGS=TRUE&amp;DOC_NAME=FAT:FQL_AUDITING_CLIENT_TEMPLATE.FAT&amp;display_string=Audit&amp;VAR:KEY=SJGRGXOBAN&amp;VAR:QUERY=RkZfRElWX1lMRChBTk4sOC8yOS8wNyw4LzI5LzA3KQ==&amp;WINDOW=FIRST_POPUP&amp;HEIGHT=450&amp;WIDTH=450&amp;","START_MAXIMIZED=FALSE&amp;VAR:CALENDAR=US&amp;VAR:SYMBOL=KO&amp;VAR:INDEX=0"}</definedName>
    <definedName name="_1762__FDSAUDITLINK__" hidden="1">{"fdsup://directions/FAT Viewer?action=UPDATE&amp;creator=factset&amp;DYN_ARGS=TRUE&amp;DOC_NAME=FAT:FQL_AUDITING_CLIENT_TEMPLATE.FAT&amp;display_string=Audit&amp;VAR:KEY=SJGRGXOBAN&amp;VAR:QUERY=RkZfRElWX1lMRChBTk4sOC8yOS8wNyw4LzI5LzA3KQ==&amp;WINDOW=FIRST_POPUP&amp;HEIGHT=450&amp;WIDTH=450&amp;","START_MAXIMIZED=FALSE&amp;VAR:CALENDAR=US&amp;VAR:SYMBOL=KO&amp;VAR:INDEX=0"}</definedName>
    <definedName name="_1763__FDSAUDITLINK__" localSheetId="0" hidden="1">{"fdsup://directions/FAT Viewer?action=UPDATE&amp;creator=factset&amp;DYN_ARGS=TRUE&amp;DOC_NAME=FAT:FQL_AUDITING_CLIENT_TEMPLATE.FAT&amp;display_string=Audit&amp;VAR:KEY=SBOZALUFSL&amp;VAR:QUERY=RkZfRElWX1lMRChBTk4sOC8yMi8wNyw4LzIyLzA3KQ==&amp;WINDOW=FIRST_POPUP&amp;HEIGHT=450&amp;WIDTH=450&amp;","START_MAXIMIZED=FALSE&amp;VAR:CALENDAR=US&amp;VAR:SYMBOL=KO&amp;VAR:INDEX=0"}</definedName>
    <definedName name="_1763__FDSAUDITLINK__" hidden="1">{"fdsup://directions/FAT Viewer?action=UPDATE&amp;creator=factset&amp;DYN_ARGS=TRUE&amp;DOC_NAME=FAT:FQL_AUDITING_CLIENT_TEMPLATE.FAT&amp;display_string=Audit&amp;VAR:KEY=SBOZALUFSL&amp;VAR:QUERY=RkZfRElWX1lMRChBTk4sOC8yMi8wNyw4LzIyLzA3KQ==&amp;WINDOW=FIRST_POPUP&amp;HEIGHT=450&amp;WIDTH=450&amp;","START_MAXIMIZED=FALSE&amp;VAR:CALENDAR=US&amp;VAR:SYMBOL=KO&amp;VAR:INDEX=0"}</definedName>
    <definedName name="_1764">#REF!</definedName>
    <definedName name="_1764__FDSAUDITLINK__" localSheetId="0" hidden="1">{"fdsup://directions/FAT Viewer?action=UPDATE&amp;creator=factset&amp;DYN_ARGS=TRUE&amp;DOC_NAME=FAT:FQL_AUDITING_CLIENT_TEMPLATE.FAT&amp;display_string=Audit&amp;VAR:KEY=KZSVAPKNUX&amp;VAR:QUERY=RkZfRElWX1lMRChBTk4sOC8xNS8wNyw4LzE1LzA3KQ==&amp;WINDOW=FIRST_POPUP&amp;HEIGHT=450&amp;WIDTH=450&amp;","START_MAXIMIZED=FALSE&amp;VAR:CALENDAR=US&amp;VAR:SYMBOL=KO&amp;VAR:INDEX=0"}</definedName>
    <definedName name="_1764__FDSAUDITLINK__" hidden="1">{"fdsup://directions/FAT Viewer?action=UPDATE&amp;creator=factset&amp;DYN_ARGS=TRUE&amp;DOC_NAME=FAT:FQL_AUDITING_CLIENT_TEMPLATE.FAT&amp;display_string=Audit&amp;VAR:KEY=KZSVAPKNUX&amp;VAR:QUERY=RkZfRElWX1lMRChBTk4sOC8xNS8wNyw4LzE1LzA3KQ==&amp;WINDOW=FIRST_POPUP&amp;HEIGHT=450&amp;WIDTH=450&amp;","START_MAXIMIZED=FALSE&amp;VAR:CALENDAR=US&amp;VAR:SYMBOL=KO&amp;VAR:INDEX=0"}</definedName>
    <definedName name="_1765__FDSAUDITLINK__" localSheetId="0" hidden="1">{"fdsup://directions/FAT Viewer?action=UPDATE&amp;creator=factset&amp;DYN_ARGS=TRUE&amp;DOC_NAME=FAT:FQL_AUDITING_CLIENT_TEMPLATE.FAT&amp;display_string=Audit&amp;VAR:KEY=WJCJAXKDYN&amp;VAR:QUERY=RkZfRElWX1lMRChBTk4sOC8wOC8wNyw4LzA4LzA3KQ==&amp;WINDOW=FIRST_POPUP&amp;HEIGHT=450&amp;WIDTH=450&amp;","START_MAXIMIZED=FALSE&amp;VAR:CALENDAR=US&amp;VAR:SYMBOL=KO&amp;VAR:INDEX=0"}</definedName>
    <definedName name="_1765__FDSAUDITLINK__" hidden="1">{"fdsup://directions/FAT Viewer?action=UPDATE&amp;creator=factset&amp;DYN_ARGS=TRUE&amp;DOC_NAME=FAT:FQL_AUDITING_CLIENT_TEMPLATE.FAT&amp;display_string=Audit&amp;VAR:KEY=WJCJAXKDYN&amp;VAR:QUERY=RkZfRElWX1lMRChBTk4sOC8wOC8wNyw4LzA4LzA3KQ==&amp;WINDOW=FIRST_POPUP&amp;HEIGHT=450&amp;WIDTH=450&amp;","START_MAXIMIZED=FALSE&amp;VAR:CALENDAR=US&amp;VAR:SYMBOL=KO&amp;VAR:INDEX=0"}</definedName>
    <definedName name="_1766__FDSAUDITLINK__" localSheetId="0" hidden="1">{"fdsup://directions/FAT Viewer?action=UPDATE&amp;creator=factset&amp;DYN_ARGS=TRUE&amp;DOC_NAME=FAT:FQL_AUDITING_CLIENT_TEMPLATE.FAT&amp;display_string=Audit&amp;VAR:KEY=IJEZKBSPCN&amp;VAR:QUERY=RkZfRElWX1lMRChBTk4sOC8wMS8wNyw4LzAxLzA3KQ==&amp;WINDOW=FIRST_POPUP&amp;HEIGHT=450&amp;WIDTH=450&amp;","START_MAXIMIZED=FALSE&amp;VAR:CALENDAR=US&amp;VAR:SYMBOL=KO&amp;VAR:INDEX=0"}</definedName>
    <definedName name="_1766__FDSAUDITLINK__" hidden="1">{"fdsup://directions/FAT Viewer?action=UPDATE&amp;creator=factset&amp;DYN_ARGS=TRUE&amp;DOC_NAME=FAT:FQL_AUDITING_CLIENT_TEMPLATE.FAT&amp;display_string=Audit&amp;VAR:KEY=IJEZKBSPCN&amp;VAR:QUERY=RkZfRElWX1lMRChBTk4sOC8wMS8wNyw4LzAxLzA3KQ==&amp;WINDOW=FIRST_POPUP&amp;HEIGHT=450&amp;WIDTH=450&amp;","START_MAXIMIZED=FALSE&amp;VAR:CALENDAR=US&amp;VAR:SYMBOL=KO&amp;VAR:INDEX=0"}</definedName>
    <definedName name="_1767__FDSAUDITLINK__" localSheetId="0" hidden="1">{"fdsup://directions/FAT Viewer?action=UPDATE&amp;creator=factset&amp;DYN_ARGS=TRUE&amp;DOC_NAME=FAT:FQL_AUDITING_CLIENT_TEMPLATE.FAT&amp;display_string=Audit&amp;VAR:KEY=CHETCXSFYH&amp;VAR:QUERY=RkZfRElWX1lMRChBTk4sNy8yNS8wNyw3LzI1LzA3KQ==&amp;WINDOW=FIRST_POPUP&amp;HEIGHT=450&amp;WIDTH=450&amp;","START_MAXIMIZED=FALSE&amp;VAR:CALENDAR=US&amp;VAR:SYMBOL=KO&amp;VAR:INDEX=0"}</definedName>
    <definedName name="_1767__FDSAUDITLINK__" hidden="1">{"fdsup://directions/FAT Viewer?action=UPDATE&amp;creator=factset&amp;DYN_ARGS=TRUE&amp;DOC_NAME=FAT:FQL_AUDITING_CLIENT_TEMPLATE.FAT&amp;display_string=Audit&amp;VAR:KEY=CHETCXSFYH&amp;VAR:QUERY=RkZfRElWX1lMRChBTk4sNy8yNS8wNyw3LzI1LzA3KQ==&amp;WINDOW=FIRST_POPUP&amp;HEIGHT=450&amp;WIDTH=450&amp;","START_MAXIMIZED=FALSE&amp;VAR:CALENDAR=US&amp;VAR:SYMBOL=KO&amp;VAR:INDEX=0"}</definedName>
    <definedName name="_1768">#REF!</definedName>
    <definedName name="_1768__FDSAUDITLINK__" localSheetId="0" hidden="1">{"fdsup://directions/FAT Viewer?action=UPDATE&amp;creator=factset&amp;DYN_ARGS=TRUE&amp;DOC_NAME=FAT:FQL_AUDITING_CLIENT_TEMPLATE.FAT&amp;display_string=Audit&amp;VAR:KEY=QBSHSVWZCH&amp;VAR:QUERY=RkZfRElWX1lMRChBTk4sNy8xOC8wNyw3LzE4LzA3KQ==&amp;WINDOW=FIRST_POPUP&amp;HEIGHT=450&amp;WIDTH=450&amp;","START_MAXIMIZED=FALSE&amp;VAR:CALENDAR=US&amp;VAR:SYMBOL=KO&amp;VAR:INDEX=0"}</definedName>
    <definedName name="_1768__FDSAUDITLINK__" hidden="1">{"fdsup://directions/FAT Viewer?action=UPDATE&amp;creator=factset&amp;DYN_ARGS=TRUE&amp;DOC_NAME=FAT:FQL_AUDITING_CLIENT_TEMPLATE.FAT&amp;display_string=Audit&amp;VAR:KEY=QBSHSVWZCH&amp;VAR:QUERY=RkZfRElWX1lMRChBTk4sNy8xOC8wNyw3LzE4LzA3KQ==&amp;WINDOW=FIRST_POPUP&amp;HEIGHT=450&amp;WIDTH=450&amp;","START_MAXIMIZED=FALSE&amp;VAR:CALENDAR=US&amp;VAR:SYMBOL=KO&amp;VAR:INDEX=0"}</definedName>
    <definedName name="_1769__FDSAUDITLINK__" localSheetId="0" hidden="1">{"fdsup://directions/FAT Viewer?action=UPDATE&amp;creator=factset&amp;DYN_ARGS=TRUE&amp;DOC_NAME=FAT:FQL_AUDITING_CLIENT_TEMPLATE.FAT&amp;display_string=Audit&amp;VAR:KEY=CVSRWBWBAD&amp;VAR:QUERY=RkZfRElWX1lMRChBTk4sNy8xMS8wNyw3LzExLzA3KQ==&amp;WINDOW=FIRST_POPUP&amp;HEIGHT=450&amp;WIDTH=450&amp;","START_MAXIMIZED=FALSE&amp;VAR:CALENDAR=US&amp;VAR:SYMBOL=KO&amp;VAR:INDEX=0"}</definedName>
    <definedName name="_1769__FDSAUDITLINK__" hidden="1">{"fdsup://directions/FAT Viewer?action=UPDATE&amp;creator=factset&amp;DYN_ARGS=TRUE&amp;DOC_NAME=FAT:FQL_AUDITING_CLIENT_TEMPLATE.FAT&amp;display_string=Audit&amp;VAR:KEY=CVSRWBWBAD&amp;VAR:QUERY=RkZfRElWX1lMRChBTk4sNy8xMS8wNyw3LzExLzA3KQ==&amp;WINDOW=FIRST_POPUP&amp;HEIGHT=450&amp;WIDTH=450&amp;","START_MAXIMIZED=FALSE&amp;VAR:CALENDAR=US&amp;VAR:SYMBOL=KO&amp;VAR:INDEX=0"}</definedName>
    <definedName name="_177">#REF!</definedName>
    <definedName name="_177__FDSAUDITLINK__" localSheetId="0" hidden="1">{"fdsup://directions/FAT Viewer?action=UPDATE&amp;creator=factset&amp;DYN_ARGS=TRUE&amp;DOC_NAME=FAT:FQL_AUDITING_CLIENT_TEMPLATE.FAT&amp;display_string=Audit&amp;VAR:KEY=DKVIRERCZE&amp;VAR:QUERY=RkZfRElWX1lMRChBTk4sMTEvMTUvMDcsMTEvMTUvMDcp&amp;WINDOW=FIRST_POPUP&amp;HEIGHT=450&amp;WIDTH=450&amp;","START_MAXIMIZED=FALSE&amp;VAR:CALENDAR=US&amp;VAR:SYMBOL=RAI&amp;VAR:INDEX=0"}</definedName>
    <definedName name="_177__FDSAUDITLINK__" hidden="1">{"fdsup://directions/FAT Viewer?action=UPDATE&amp;creator=factset&amp;DYN_ARGS=TRUE&amp;DOC_NAME=FAT:FQL_AUDITING_CLIENT_TEMPLATE.FAT&amp;display_string=Audit&amp;VAR:KEY=DKVIRERCZE&amp;VAR:QUERY=RkZfRElWX1lMRChBTk4sMTEvMTUvMDcsMTEvMTUvMDcp&amp;WINDOW=FIRST_POPUP&amp;HEIGHT=450&amp;WIDTH=450&amp;","START_MAXIMIZED=FALSE&amp;VAR:CALENDAR=US&amp;VAR:SYMBOL=RAI&amp;VAR:INDEX=0"}</definedName>
    <definedName name="_1770__FDSAUDITLINK__" localSheetId="0" hidden="1">{"fdsup://directions/FAT Viewer?action=UPDATE&amp;creator=factset&amp;DYN_ARGS=TRUE&amp;DOC_NAME=FAT:FQL_AUDITING_CLIENT_TEMPLATE.FAT&amp;display_string=Audit&amp;VAR:KEY=CJCVOLWRYL&amp;VAR:QUERY=RkZfRElWX1lMRChBTk4sNy8wMy8wNyw3LzAzLzA3KQ==&amp;WINDOW=FIRST_POPUP&amp;HEIGHT=450&amp;WIDTH=450&amp;","START_MAXIMIZED=FALSE&amp;VAR:CALENDAR=US&amp;VAR:SYMBOL=KO&amp;VAR:INDEX=0"}</definedName>
    <definedName name="_1770__FDSAUDITLINK__" hidden="1">{"fdsup://directions/FAT Viewer?action=UPDATE&amp;creator=factset&amp;DYN_ARGS=TRUE&amp;DOC_NAME=FAT:FQL_AUDITING_CLIENT_TEMPLATE.FAT&amp;display_string=Audit&amp;VAR:KEY=CJCVOLWRYL&amp;VAR:QUERY=RkZfRElWX1lMRChBTk4sNy8wMy8wNyw3LzAzLzA3KQ==&amp;WINDOW=FIRST_POPUP&amp;HEIGHT=450&amp;WIDTH=450&amp;","START_MAXIMIZED=FALSE&amp;VAR:CALENDAR=US&amp;VAR:SYMBOL=KO&amp;VAR:INDEX=0"}</definedName>
    <definedName name="_1771__FDSAUDITLINK__" localSheetId="0" hidden="1">{"fdsup://directions/FAT Viewer?action=UPDATE&amp;creator=factset&amp;DYN_ARGS=TRUE&amp;DOC_NAME=FAT:FQL_AUDITING_CLIENT_TEMPLATE.FAT&amp;display_string=Audit&amp;VAR:KEY=CLWVEXYJAV&amp;VAR:QUERY=RkZfRElWX1lMRChBTk4sNi8yNy8wNyw2LzI3LzA3KQ==&amp;WINDOW=FIRST_POPUP&amp;HEIGHT=450&amp;WIDTH=450&amp;","START_MAXIMIZED=FALSE&amp;VAR:CALENDAR=US&amp;VAR:SYMBOL=KO&amp;VAR:INDEX=0"}</definedName>
    <definedName name="_1771__FDSAUDITLINK__" hidden="1">{"fdsup://directions/FAT Viewer?action=UPDATE&amp;creator=factset&amp;DYN_ARGS=TRUE&amp;DOC_NAME=FAT:FQL_AUDITING_CLIENT_TEMPLATE.FAT&amp;display_string=Audit&amp;VAR:KEY=CLWVEXYJAV&amp;VAR:QUERY=RkZfRElWX1lMRChBTk4sNi8yNy8wNyw2LzI3LzA3KQ==&amp;WINDOW=FIRST_POPUP&amp;HEIGHT=450&amp;WIDTH=450&amp;","START_MAXIMIZED=FALSE&amp;VAR:CALENDAR=US&amp;VAR:SYMBOL=KO&amp;VAR:INDEX=0"}</definedName>
    <definedName name="_1772__FDSAUDITLINK__" localSheetId="0" hidden="1">{"fdsup://directions/FAT Viewer?action=UPDATE&amp;creator=factset&amp;DYN_ARGS=TRUE&amp;DOC_NAME=FAT:FQL_AUDITING_CLIENT_TEMPLATE.FAT&amp;display_string=Audit&amp;VAR:KEY=WLCZYRQNOD&amp;VAR:QUERY=RkZfRElWX1lMRChBTk4sNi8yMC8wNyw2LzIwLzA3KQ==&amp;WINDOW=FIRST_POPUP&amp;HEIGHT=450&amp;WIDTH=450&amp;","START_MAXIMIZED=FALSE&amp;VAR:CALENDAR=US&amp;VAR:SYMBOL=KO&amp;VAR:INDEX=0"}</definedName>
    <definedName name="_1772__FDSAUDITLINK__" hidden="1">{"fdsup://directions/FAT Viewer?action=UPDATE&amp;creator=factset&amp;DYN_ARGS=TRUE&amp;DOC_NAME=FAT:FQL_AUDITING_CLIENT_TEMPLATE.FAT&amp;display_string=Audit&amp;VAR:KEY=WLCZYRQNOD&amp;VAR:QUERY=RkZfRElWX1lMRChBTk4sNi8yMC8wNyw2LzIwLzA3KQ==&amp;WINDOW=FIRST_POPUP&amp;HEIGHT=450&amp;WIDTH=450&amp;","START_MAXIMIZED=FALSE&amp;VAR:CALENDAR=US&amp;VAR:SYMBOL=KO&amp;VAR:INDEX=0"}</definedName>
    <definedName name="_1773">#REF!</definedName>
    <definedName name="_1773__FDSAUDITLINK__" localSheetId="0" hidden="1">{"fdsup://directions/FAT Viewer?action=UPDATE&amp;creator=factset&amp;DYN_ARGS=TRUE&amp;DOC_NAME=FAT:FQL_AUDITING_CLIENT_TEMPLATE.FAT&amp;display_string=Audit&amp;VAR:KEY=SLYPQBKXKX&amp;VAR:QUERY=RkZfRElWX1lMRChBTk4sNi8xMy8wNyw2LzEzLzA3KQ==&amp;WINDOW=FIRST_POPUP&amp;HEIGHT=450&amp;WIDTH=450&amp;","START_MAXIMIZED=FALSE&amp;VAR:CALENDAR=US&amp;VAR:SYMBOL=KO&amp;VAR:INDEX=0"}</definedName>
    <definedName name="_1773__FDSAUDITLINK__" hidden="1">{"fdsup://directions/FAT Viewer?action=UPDATE&amp;creator=factset&amp;DYN_ARGS=TRUE&amp;DOC_NAME=FAT:FQL_AUDITING_CLIENT_TEMPLATE.FAT&amp;display_string=Audit&amp;VAR:KEY=SLYPQBKXKX&amp;VAR:QUERY=RkZfRElWX1lMRChBTk4sNi8xMy8wNyw2LzEzLzA3KQ==&amp;WINDOW=FIRST_POPUP&amp;HEIGHT=450&amp;WIDTH=450&amp;","START_MAXIMIZED=FALSE&amp;VAR:CALENDAR=US&amp;VAR:SYMBOL=KO&amp;VAR:INDEX=0"}</definedName>
    <definedName name="_1774__FDSAUDITLINK__" localSheetId="0" hidden="1">{"fdsup://directions/FAT Viewer?action=UPDATE&amp;creator=factset&amp;DYN_ARGS=TRUE&amp;DOC_NAME=FAT:FQL_AUDITING_CLIENT_TEMPLATE.FAT&amp;display_string=Audit&amp;VAR:KEY=ORWPCTSTOP&amp;VAR:QUERY=RkZfRElWX1lMRChBTk4sNi8wNi8wNyw2LzA2LzA3KQ==&amp;WINDOW=FIRST_POPUP&amp;HEIGHT=450&amp;WIDTH=450&amp;","START_MAXIMIZED=FALSE&amp;VAR:CALENDAR=US&amp;VAR:SYMBOL=KO&amp;VAR:INDEX=0"}</definedName>
    <definedName name="_1774__FDSAUDITLINK__" hidden="1">{"fdsup://directions/FAT Viewer?action=UPDATE&amp;creator=factset&amp;DYN_ARGS=TRUE&amp;DOC_NAME=FAT:FQL_AUDITING_CLIENT_TEMPLATE.FAT&amp;display_string=Audit&amp;VAR:KEY=ORWPCTSTOP&amp;VAR:QUERY=RkZfRElWX1lMRChBTk4sNi8wNi8wNyw2LzA2LzA3KQ==&amp;WINDOW=FIRST_POPUP&amp;HEIGHT=450&amp;WIDTH=450&amp;","START_MAXIMIZED=FALSE&amp;VAR:CALENDAR=US&amp;VAR:SYMBOL=KO&amp;VAR:INDEX=0"}</definedName>
    <definedName name="_1775__FDSAUDITLINK__" localSheetId="0" hidden="1">{"fdsup://directions/FAT Viewer?action=UPDATE&amp;creator=factset&amp;DYN_ARGS=TRUE&amp;DOC_NAME=FAT:FQL_AUDITING_CLIENT_TEMPLATE.FAT&amp;display_string=Audit&amp;VAR:KEY=KLUPWDEFKV&amp;VAR:QUERY=RkZfRElWX1lMRChBTk4sNS8zMC8wNyw1LzMwLzA3KQ==&amp;WINDOW=FIRST_POPUP&amp;HEIGHT=450&amp;WIDTH=450&amp;","START_MAXIMIZED=FALSE&amp;VAR:CALENDAR=US&amp;VAR:SYMBOL=KO&amp;VAR:INDEX=0"}</definedName>
    <definedName name="_1775__FDSAUDITLINK__" hidden="1">{"fdsup://directions/FAT Viewer?action=UPDATE&amp;creator=factset&amp;DYN_ARGS=TRUE&amp;DOC_NAME=FAT:FQL_AUDITING_CLIENT_TEMPLATE.FAT&amp;display_string=Audit&amp;VAR:KEY=KLUPWDEFKV&amp;VAR:QUERY=RkZfRElWX1lMRChBTk4sNS8zMC8wNyw1LzMwLzA3KQ==&amp;WINDOW=FIRST_POPUP&amp;HEIGHT=450&amp;WIDTH=450&amp;","START_MAXIMIZED=FALSE&amp;VAR:CALENDAR=US&amp;VAR:SYMBOL=KO&amp;VAR:INDEX=0"}</definedName>
    <definedName name="_1776__FDSAUDITLINK__" localSheetId="0" hidden="1">{"fdsup://directions/FAT Viewer?action=UPDATE&amp;creator=factset&amp;DYN_ARGS=TRUE&amp;DOC_NAME=FAT:FQL_AUDITING_CLIENT_TEMPLATE.FAT&amp;display_string=Audit&amp;VAR:KEY=YHQRABQNOL&amp;VAR:QUERY=RkZfRElWX1lMRChBTk4sNS8yMy8wNyw1LzIzLzA3KQ==&amp;WINDOW=FIRST_POPUP&amp;HEIGHT=450&amp;WIDTH=450&amp;","START_MAXIMIZED=FALSE&amp;VAR:CALENDAR=US&amp;VAR:SYMBOL=KO&amp;VAR:INDEX=0"}</definedName>
    <definedName name="_1776__FDSAUDITLINK__" hidden="1">{"fdsup://directions/FAT Viewer?action=UPDATE&amp;creator=factset&amp;DYN_ARGS=TRUE&amp;DOC_NAME=FAT:FQL_AUDITING_CLIENT_TEMPLATE.FAT&amp;display_string=Audit&amp;VAR:KEY=YHQRABQNOL&amp;VAR:QUERY=RkZfRElWX1lMRChBTk4sNS8yMy8wNyw1LzIzLzA3KQ==&amp;WINDOW=FIRST_POPUP&amp;HEIGHT=450&amp;WIDTH=450&amp;","START_MAXIMIZED=FALSE&amp;VAR:CALENDAR=US&amp;VAR:SYMBOL=KO&amp;VAR:INDEX=0"}</definedName>
    <definedName name="_1777__FDSAUDITLINK__" localSheetId="0" hidden="1">{"fdsup://directions/FAT Viewer?action=UPDATE&amp;creator=factset&amp;DYN_ARGS=TRUE&amp;DOC_NAME=FAT:FQL_AUDITING_CLIENT_TEMPLATE.FAT&amp;display_string=Audit&amp;VAR:KEY=ANONAHYFQJ&amp;VAR:QUERY=RkZfRElWX1lMRChBTk4sNS8xNi8wNyw1LzE2LzA3KQ==&amp;WINDOW=FIRST_POPUP&amp;HEIGHT=450&amp;WIDTH=450&amp;","START_MAXIMIZED=FALSE&amp;VAR:CALENDAR=US&amp;VAR:SYMBOL=KO&amp;VAR:INDEX=0"}</definedName>
    <definedName name="_1777__FDSAUDITLINK__" hidden="1">{"fdsup://directions/FAT Viewer?action=UPDATE&amp;creator=factset&amp;DYN_ARGS=TRUE&amp;DOC_NAME=FAT:FQL_AUDITING_CLIENT_TEMPLATE.FAT&amp;display_string=Audit&amp;VAR:KEY=ANONAHYFQJ&amp;VAR:QUERY=RkZfRElWX1lMRChBTk4sNS8xNi8wNyw1LzE2LzA3KQ==&amp;WINDOW=FIRST_POPUP&amp;HEIGHT=450&amp;WIDTH=450&amp;","START_MAXIMIZED=FALSE&amp;VAR:CALENDAR=US&amp;VAR:SYMBOL=KO&amp;VAR:INDEX=0"}</definedName>
    <definedName name="_1778">#REF!</definedName>
    <definedName name="_1778__FDSAUDITLINK__" localSheetId="0" hidden="1">{"fdsup://directions/FAT Viewer?action=UPDATE&amp;creator=factset&amp;DYN_ARGS=TRUE&amp;DOC_NAME=FAT:FQL_AUDITING_CLIENT_TEMPLATE.FAT&amp;display_string=Audit&amp;VAR:KEY=CHGNKHCJYL&amp;VAR:QUERY=RkZfRElWX1lMRChBTk4sNS8wOS8wNyw1LzA5LzA3KQ==&amp;WINDOW=FIRST_POPUP&amp;HEIGHT=450&amp;WIDTH=450&amp;","START_MAXIMIZED=FALSE&amp;VAR:CALENDAR=US&amp;VAR:SYMBOL=KO&amp;VAR:INDEX=0"}</definedName>
    <definedName name="_1778__FDSAUDITLINK__" hidden="1">{"fdsup://directions/FAT Viewer?action=UPDATE&amp;creator=factset&amp;DYN_ARGS=TRUE&amp;DOC_NAME=FAT:FQL_AUDITING_CLIENT_TEMPLATE.FAT&amp;display_string=Audit&amp;VAR:KEY=CHGNKHCJYL&amp;VAR:QUERY=RkZfRElWX1lMRChBTk4sNS8wOS8wNyw1LzA5LzA3KQ==&amp;WINDOW=FIRST_POPUP&amp;HEIGHT=450&amp;WIDTH=450&amp;","START_MAXIMIZED=FALSE&amp;VAR:CALENDAR=US&amp;VAR:SYMBOL=KO&amp;VAR:INDEX=0"}</definedName>
    <definedName name="_1779__FDSAUDITLINK__" localSheetId="0" hidden="1">{"fdsup://directions/FAT Viewer?action=UPDATE&amp;creator=factset&amp;DYN_ARGS=TRUE&amp;DOC_NAME=FAT:FQL_AUDITING_CLIENT_TEMPLATE.FAT&amp;display_string=Audit&amp;VAR:KEY=KVULURWVUF&amp;VAR:QUERY=RkZfRElWX1lMRChBTk4sNS8wMi8wNyw1LzAyLzA3KQ==&amp;WINDOW=FIRST_POPUP&amp;HEIGHT=450&amp;WIDTH=450&amp;","START_MAXIMIZED=FALSE&amp;VAR:CALENDAR=US&amp;VAR:SYMBOL=KO&amp;VAR:INDEX=0"}</definedName>
    <definedName name="_1779__FDSAUDITLINK__" hidden="1">{"fdsup://directions/FAT Viewer?action=UPDATE&amp;creator=factset&amp;DYN_ARGS=TRUE&amp;DOC_NAME=FAT:FQL_AUDITING_CLIENT_TEMPLATE.FAT&amp;display_string=Audit&amp;VAR:KEY=KVULURWVUF&amp;VAR:QUERY=RkZfRElWX1lMRChBTk4sNS8wMi8wNyw1LzAyLzA3KQ==&amp;WINDOW=FIRST_POPUP&amp;HEIGHT=450&amp;WIDTH=450&amp;","START_MAXIMIZED=FALSE&amp;VAR:CALENDAR=US&amp;VAR:SYMBOL=KO&amp;VAR:INDEX=0"}</definedName>
    <definedName name="_178__FDSAUDITLINK__" localSheetId="0" hidden="1">{"fdsup://directions/FAT Viewer?action=UPDATE&amp;creator=factset&amp;DYN_ARGS=TRUE&amp;DOC_NAME=FAT:FQL_AUDITING_CLIENT_TEMPLATE.FAT&amp;display_string=Audit&amp;VAR:KEY=ZUJCLUBKVU&amp;VAR:QUERY=RkZfRElWX1lMRChBTk4sMTEvMDgvMDcsMTEvMDgvMDcp&amp;WINDOW=FIRST_POPUP&amp;HEIGHT=450&amp;WIDTH=450&amp;","START_MAXIMIZED=FALSE&amp;VAR:CALENDAR=US&amp;VAR:SYMBOL=RAI&amp;VAR:INDEX=0"}</definedName>
    <definedName name="_178__FDSAUDITLINK__" hidden="1">{"fdsup://directions/FAT Viewer?action=UPDATE&amp;creator=factset&amp;DYN_ARGS=TRUE&amp;DOC_NAME=FAT:FQL_AUDITING_CLIENT_TEMPLATE.FAT&amp;display_string=Audit&amp;VAR:KEY=ZUJCLUBKVU&amp;VAR:QUERY=RkZfRElWX1lMRChBTk4sMTEvMDgvMDcsMTEvMDgvMDcp&amp;WINDOW=FIRST_POPUP&amp;HEIGHT=450&amp;WIDTH=450&amp;","START_MAXIMIZED=FALSE&amp;VAR:CALENDAR=US&amp;VAR:SYMBOL=RAI&amp;VAR:INDEX=0"}</definedName>
    <definedName name="_1780__FDSAUDITLINK__" localSheetId="0" hidden="1">{"fdsup://directions/FAT Viewer?action=UPDATE&amp;creator=factset&amp;DYN_ARGS=TRUE&amp;DOC_NAME=FAT:FQL_AUDITING_CLIENT_TEMPLATE.FAT&amp;display_string=Audit&amp;VAR:KEY=EHKRUVERSX&amp;VAR:QUERY=RkZfRElWX1lMRChBTk4sNC8yNS8wNyw0LzI1LzA3KQ==&amp;WINDOW=FIRST_POPUP&amp;HEIGHT=450&amp;WIDTH=450&amp;","START_MAXIMIZED=FALSE&amp;VAR:CALENDAR=US&amp;VAR:SYMBOL=KO&amp;VAR:INDEX=0"}</definedName>
    <definedName name="_1780__FDSAUDITLINK__" hidden="1">{"fdsup://directions/FAT Viewer?action=UPDATE&amp;creator=factset&amp;DYN_ARGS=TRUE&amp;DOC_NAME=FAT:FQL_AUDITING_CLIENT_TEMPLATE.FAT&amp;display_string=Audit&amp;VAR:KEY=EHKRUVERSX&amp;VAR:QUERY=RkZfRElWX1lMRChBTk4sNC8yNS8wNyw0LzI1LzA3KQ==&amp;WINDOW=FIRST_POPUP&amp;HEIGHT=450&amp;WIDTH=450&amp;","START_MAXIMIZED=FALSE&amp;VAR:CALENDAR=US&amp;VAR:SYMBOL=KO&amp;VAR:INDEX=0"}</definedName>
    <definedName name="_1781__FDSAUDITLINK__" localSheetId="0" hidden="1">{"fdsup://directions/FAT Viewer?action=UPDATE&amp;creator=factset&amp;DYN_ARGS=TRUE&amp;DOC_NAME=FAT:FQL_AUDITING_CLIENT_TEMPLATE.FAT&amp;display_string=Audit&amp;VAR:KEY=YNWHOFSZCF&amp;VAR:QUERY=RkZfRElWX1lMRChBTk4sNC8xOC8wNyw0LzE4LzA3KQ==&amp;WINDOW=FIRST_POPUP&amp;HEIGHT=450&amp;WIDTH=450&amp;","START_MAXIMIZED=FALSE&amp;VAR:CALENDAR=US&amp;VAR:SYMBOL=KO&amp;VAR:INDEX=0"}</definedName>
    <definedName name="_1781__FDSAUDITLINK__" hidden="1">{"fdsup://directions/FAT Viewer?action=UPDATE&amp;creator=factset&amp;DYN_ARGS=TRUE&amp;DOC_NAME=FAT:FQL_AUDITING_CLIENT_TEMPLATE.FAT&amp;display_string=Audit&amp;VAR:KEY=YNWHOFSZCF&amp;VAR:QUERY=RkZfRElWX1lMRChBTk4sNC8xOC8wNyw0LzE4LzA3KQ==&amp;WINDOW=FIRST_POPUP&amp;HEIGHT=450&amp;WIDTH=450&amp;","START_MAXIMIZED=FALSE&amp;VAR:CALENDAR=US&amp;VAR:SYMBOL=KO&amp;VAR:INDEX=0"}</definedName>
    <definedName name="_1782__FDSAUDITLINK__" localSheetId="0" hidden="1">{"fdsup://directions/FAT Viewer?action=UPDATE&amp;creator=factset&amp;DYN_ARGS=TRUE&amp;DOC_NAME=FAT:FQL_AUDITING_CLIENT_TEMPLATE.FAT&amp;display_string=Audit&amp;VAR:KEY=GJMNEPUZEV&amp;VAR:QUERY=RkZfRElWX1lMRChBTk4sNC8xMS8wNyw0LzExLzA3KQ==&amp;WINDOW=FIRST_POPUP&amp;HEIGHT=450&amp;WIDTH=450&amp;","START_MAXIMIZED=FALSE&amp;VAR:CALENDAR=US&amp;VAR:SYMBOL=KO&amp;VAR:INDEX=0"}</definedName>
    <definedName name="_1782__FDSAUDITLINK__" hidden="1">{"fdsup://directions/FAT Viewer?action=UPDATE&amp;creator=factset&amp;DYN_ARGS=TRUE&amp;DOC_NAME=FAT:FQL_AUDITING_CLIENT_TEMPLATE.FAT&amp;display_string=Audit&amp;VAR:KEY=GJMNEPUZEV&amp;VAR:QUERY=RkZfRElWX1lMRChBTk4sNC8xMS8wNyw0LzExLzA3KQ==&amp;WINDOW=FIRST_POPUP&amp;HEIGHT=450&amp;WIDTH=450&amp;","START_MAXIMIZED=FALSE&amp;VAR:CALENDAR=US&amp;VAR:SYMBOL=KO&amp;VAR:INDEX=0"}</definedName>
    <definedName name="_1783__FDSAUDITLINK__" localSheetId="0" hidden="1">{"fdsup://directions/FAT Viewer?action=UPDATE&amp;creator=factset&amp;DYN_ARGS=TRUE&amp;DOC_NAME=FAT:FQL_AUDITING_CLIENT_TEMPLATE.FAT&amp;display_string=Audit&amp;VAR:KEY=IPWNGLWPMX&amp;VAR:QUERY=RkZfRElWX1lMRChBTk4sNC8wNC8wNyw0LzA0LzA3KQ==&amp;WINDOW=FIRST_POPUP&amp;HEIGHT=450&amp;WIDTH=450&amp;","START_MAXIMIZED=FALSE&amp;VAR:CALENDAR=US&amp;VAR:SYMBOL=KO&amp;VAR:INDEX=0"}</definedName>
    <definedName name="_1783__FDSAUDITLINK__" hidden="1">{"fdsup://directions/FAT Viewer?action=UPDATE&amp;creator=factset&amp;DYN_ARGS=TRUE&amp;DOC_NAME=FAT:FQL_AUDITING_CLIENT_TEMPLATE.FAT&amp;display_string=Audit&amp;VAR:KEY=IPWNGLWPMX&amp;VAR:QUERY=RkZfRElWX1lMRChBTk4sNC8wNC8wNyw0LzA0LzA3KQ==&amp;WINDOW=FIRST_POPUP&amp;HEIGHT=450&amp;WIDTH=450&amp;","START_MAXIMIZED=FALSE&amp;VAR:CALENDAR=US&amp;VAR:SYMBOL=KO&amp;VAR:INDEX=0"}</definedName>
    <definedName name="_1784__FDSAUDITLINK__" localSheetId="0" hidden="1">{"fdsup://directions/FAT Viewer?action=UPDATE&amp;creator=factset&amp;DYN_ARGS=TRUE&amp;DOC_NAME=FAT:FQL_AUDITING_CLIENT_TEMPLATE.FAT&amp;display_string=Audit&amp;VAR:KEY=WFQZQDKHUL&amp;VAR:QUERY=RkZfRElWX1lMRChBTk4sMy8yOC8wNywzLzI4LzA3KQ==&amp;WINDOW=FIRST_POPUP&amp;HEIGHT=450&amp;WIDTH=450&amp;","START_MAXIMIZED=FALSE&amp;VAR:CALENDAR=US&amp;VAR:SYMBOL=KO&amp;VAR:INDEX=0"}</definedName>
    <definedName name="_1784__FDSAUDITLINK__" hidden="1">{"fdsup://directions/FAT Viewer?action=UPDATE&amp;creator=factset&amp;DYN_ARGS=TRUE&amp;DOC_NAME=FAT:FQL_AUDITING_CLIENT_TEMPLATE.FAT&amp;display_string=Audit&amp;VAR:KEY=WFQZQDKHUL&amp;VAR:QUERY=RkZfRElWX1lMRChBTk4sMy8yOC8wNywzLzI4LzA3KQ==&amp;WINDOW=FIRST_POPUP&amp;HEIGHT=450&amp;WIDTH=450&amp;","START_MAXIMIZED=FALSE&amp;VAR:CALENDAR=US&amp;VAR:SYMBOL=KO&amp;VAR:INDEX=0"}</definedName>
    <definedName name="_1785__FDSAUDITLINK__" localSheetId="0" hidden="1">{"fdsup://directions/FAT Viewer?action=UPDATE&amp;creator=factset&amp;DYN_ARGS=TRUE&amp;DOC_NAME=FAT:FQL_AUDITING_CLIENT_TEMPLATE.FAT&amp;display_string=Audit&amp;VAR:KEY=CZUBGTMRYF&amp;VAR:QUERY=RkZfRElWX1lMRChBTk4sMy8yMS8wNywzLzIxLzA3KQ==&amp;WINDOW=FIRST_POPUP&amp;HEIGHT=450&amp;WIDTH=450&amp;","START_MAXIMIZED=FALSE&amp;VAR:CALENDAR=US&amp;VAR:SYMBOL=KO&amp;VAR:INDEX=0"}</definedName>
    <definedName name="_1785__FDSAUDITLINK__" hidden="1">{"fdsup://directions/FAT Viewer?action=UPDATE&amp;creator=factset&amp;DYN_ARGS=TRUE&amp;DOC_NAME=FAT:FQL_AUDITING_CLIENT_TEMPLATE.FAT&amp;display_string=Audit&amp;VAR:KEY=CZUBGTMRYF&amp;VAR:QUERY=RkZfRElWX1lMRChBTk4sMy8yMS8wNywzLzIxLzA3KQ==&amp;WINDOW=FIRST_POPUP&amp;HEIGHT=450&amp;WIDTH=450&amp;","START_MAXIMIZED=FALSE&amp;VAR:CALENDAR=US&amp;VAR:SYMBOL=KO&amp;VAR:INDEX=0"}</definedName>
    <definedName name="_1786">#REF!</definedName>
    <definedName name="_1786__FDSAUDITLINK__" localSheetId="0" hidden="1">{"fdsup://directions/FAT Viewer?action=UPDATE&amp;creator=factset&amp;DYN_ARGS=TRUE&amp;DOC_NAME=FAT:FQL_AUDITING_CLIENT_TEMPLATE.FAT&amp;display_string=Audit&amp;VAR:KEY=KDEVCRYHGZ&amp;VAR:QUERY=RkZfRElWX1lMRChBTk4sMy8xNC8wNywzLzE0LzA3KQ==&amp;WINDOW=FIRST_POPUP&amp;HEIGHT=450&amp;WIDTH=450&amp;","START_MAXIMIZED=FALSE&amp;VAR:CALENDAR=US&amp;VAR:SYMBOL=KO&amp;VAR:INDEX=0"}</definedName>
    <definedName name="_1786__FDSAUDITLINK__" hidden="1">{"fdsup://directions/FAT Viewer?action=UPDATE&amp;creator=factset&amp;DYN_ARGS=TRUE&amp;DOC_NAME=FAT:FQL_AUDITING_CLIENT_TEMPLATE.FAT&amp;display_string=Audit&amp;VAR:KEY=KDEVCRYHGZ&amp;VAR:QUERY=RkZfRElWX1lMRChBTk4sMy8xNC8wNywzLzE0LzA3KQ==&amp;WINDOW=FIRST_POPUP&amp;HEIGHT=450&amp;WIDTH=450&amp;","START_MAXIMIZED=FALSE&amp;VAR:CALENDAR=US&amp;VAR:SYMBOL=KO&amp;VAR:INDEX=0"}</definedName>
    <definedName name="_1787__FDSAUDITLINK__" localSheetId="0" hidden="1">{"fdsup://directions/FAT Viewer?action=UPDATE&amp;creator=factset&amp;DYN_ARGS=TRUE&amp;DOC_NAME=FAT:FQL_AUDITING_CLIENT_TEMPLATE.FAT&amp;display_string=Audit&amp;VAR:KEY=QHSNETQRIV&amp;VAR:QUERY=RkZfRElWX1lMRChBTk4sMy8wNy8wNywzLzA3LzA3KQ==&amp;WINDOW=FIRST_POPUP&amp;HEIGHT=450&amp;WIDTH=450&amp;","START_MAXIMIZED=FALSE&amp;VAR:CALENDAR=US&amp;VAR:SYMBOL=KO&amp;VAR:INDEX=0"}</definedName>
    <definedName name="_1787__FDSAUDITLINK__" hidden="1">{"fdsup://directions/FAT Viewer?action=UPDATE&amp;creator=factset&amp;DYN_ARGS=TRUE&amp;DOC_NAME=FAT:FQL_AUDITING_CLIENT_TEMPLATE.FAT&amp;display_string=Audit&amp;VAR:KEY=QHSNETQRIV&amp;VAR:QUERY=RkZfRElWX1lMRChBTk4sMy8wNy8wNywzLzA3LzA3KQ==&amp;WINDOW=FIRST_POPUP&amp;HEIGHT=450&amp;WIDTH=450&amp;","START_MAXIMIZED=FALSE&amp;VAR:CALENDAR=US&amp;VAR:SYMBOL=KO&amp;VAR:INDEX=0"}</definedName>
    <definedName name="_1788__FDSAUDITLINK__" localSheetId="0" hidden="1">{"fdsup://directions/FAT Viewer?action=UPDATE&amp;creator=factset&amp;DYN_ARGS=TRUE&amp;DOC_NAME=FAT:FQL_AUDITING_CLIENT_TEMPLATE.FAT&amp;display_string=Audit&amp;VAR:KEY=ODKLOLATQZ&amp;VAR:QUERY=RkZfRElWX1lMRChBTk4sMi8yOC8wNywyLzI4LzA3KQ==&amp;WINDOW=FIRST_POPUP&amp;HEIGHT=450&amp;WIDTH=450&amp;","START_MAXIMIZED=FALSE&amp;VAR:CALENDAR=US&amp;VAR:SYMBOL=KO&amp;VAR:INDEX=0"}</definedName>
    <definedName name="_1788__FDSAUDITLINK__" hidden="1">{"fdsup://directions/FAT Viewer?action=UPDATE&amp;creator=factset&amp;DYN_ARGS=TRUE&amp;DOC_NAME=FAT:FQL_AUDITING_CLIENT_TEMPLATE.FAT&amp;display_string=Audit&amp;VAR:KEY=ODKLOLATQZ&amp;VAR:QUERY=RkZfRElWX1lMRChBTk4sMi8yOC8wNywyLzI4LzA3KQ==&amp;WINDOW=FIRST_POPUP&amp;HEIGHT=450&amp;WIDTH=450&amp;","START_MAXIMIZED=FALSE&amp;VAR:CALENDAR=US&amp;VAR:SYMBOL=KO&amp;VAR:INDEX=0"}</definedName>
    <definedName name="_1789__FDSAUDITLINK__" localSheetId="0" hidden="1">{"fdsup://directions/FAT Viewer?action=UPDATE&amp;creator=factset&amp;DYN_ARGS=TRUE&amp;DOC_NAME=FAT:FQL_AUDITING_CLIENT_TEMPLATE.FAT&amp;display_string=Audit&amp;VAR:KEY=CZQRKTCJGX&amp;VAR:QUERY=RkZfRElWX1lMRChBTk4sMi8yMS8wNywyLzIxLzA3KQ==&amp;WINDOW=FIRST_POPUP&amp;HEIGHT=450&amp;WIDTH=450&amp;","START_MAXIMIZED=FALSE&amp;VAR:CALENDAR=US&amp;VAR:SYMBOL=KO&amp;VAR:INDEX=0"}</definedName>
    <definedName name="_1789__FDSAUDITLINK__" hidden="1">{"fdsup://directions/FAT Viewer?action=UPDATE&amp;creator=factset&amp;DYN_ARGS=TRUE&amp;DOC_NAME=FAT:FQL_AUDITING_CLIENT_TEMPLATE.FAT&amp;display_string=Audit&amp;VAR:KEY=CZQRKTCJGX&amp;VAR:QUERY=RkZfRElWX1lMRChBTk4sMi8yMS8wNywyLzIxLzA3KQ==&amp;WINDOW=FIRST_POPUP&amp;HEIGHT=450&amp;WIDTH=450&amp;","START_MAXIMIZED=FALSE&amp;VAR:CALENDAR=US&amp;VAR:SYMBOL=KO&amp;VAR:INDEX=0"}</definedName>
    <definedName name="_179">#REF!</definedName>
    <definedName name="_179__FDSAUDITLINK__" localSheetId="0" hidden="1">{"fdsup://directions/FAT Viewer?action=UPDATE&amp;creator=factset&amp;DYN_ARGS=TRUE&amp;DOC_NAME=FAT:FQL_AUDITING_CLIENT_TEMPLATE.FAT&amp;display_string=Audit&amp;VAR:KEY=GLAPYXIBYR&amp;VAR:QUERY=QVZHKEZGX0RJVl9ZTEQoQU5OLDQxMDEyLC0zQVkpKQ==&amp;WINDOW=FIRST_POPUP&amp;HEIGHT=450&amp;WIDTH=450&amp;","START_MAXIMIZED=FALSE&amp;VAR:CALENDAR=US&amp;VAR:SYMBOL=SP50"}</definedName>
    <definedName name="_179__FDSAUDITLINK__" hidden="1">{"fdsup://directions/FAT Viewer?action=UPDATE&amp;creator=factset&amp;DYN_ARGS=TRUE&amp;DOC_NAME=FAT:FQL_AUDITING_CLIENT_TEMPLATE.FAT&amp;display_string=Audit&amp;VAR:KEY=GLAPYXIBYR&amp;VAR:QUERY=QVZHKEZGX0RJVl9ZTEQoQU5OLDQxMDEyLC0zQVkpKQ==&amp;WINDOW=FIRST_POPUP&amp;HEIGHT=450&amp;WIDTH=450&amp;","START_MAXIMIZED=FALSE&amp;VAR:CALENDAR=US&amp;VAR:SYMBOL=SP50"}</definedName>
    <definedName name="_1790">#REF!</definedName>
    <definedName name="_1790__FDSAUDITLINK__" localSheetId="0" hidden="1">{"fdsup://directions/FAT Viewer?action=UPDATE&amp;creator=factset&amp;DYN_ARGS=TRUE&amp;DOC_NAME=FAT:FQL_AUDITING_CLIENT_TEMPLATE.FAT&amp;display_string=Audit&amp;VAR:KEY=IZGJCBSTYH&amp;VAR:QUERY=RkZfRElWX1lMRChBTk4sMi8xNC8wNywyLzE0LzA3KQ==&amp;WINDOW=FIRST_POPUP&amp;HEIGHT=450&amp;WIDTH=450&amp;","START_MAXIMIZED=FALSE&amp;VAR:CALENDAR=US&amp;VAR:SYMBOL=KO&amp;VAR:INDEX=0"}</definedName>
    <definedName name="_1790__FDSAUDITLINK__" hidden="1">{"fdsup://directions/FAT Viewer?action=UPDATE&amp;creator=factset&amp;DYN_ARGS=TRUE&amp;DOC_NAME=FAT:FQL_AUDITING_CLIENT_TEMPLATE.FAT&amp;display_string=Audit&amp;VAR:KEY=IZGJCBSTYH&amp;VAR:QUERY=RkZfRElWX1lMRChBTk4sMi8xNC8wNywyLzE0LzA3KQ==&amp;WINDOW=FIRST_POPUP&amp;HEIGHT=450&amp;WIDTH=450&amp;","START_MAXIMIZED=FALSE&amp;VAR:CALENDAR=US&amp;VAR:SYMBOL=KO&amp;VAR:INDEX=0"}</definedName>
    <definedName name="_1791__FDSAUDITLINK__" localSheetId="0" hidden="1">{"fdsup://directions/FAT Viewer?action=UPDATE&amp;creator=factset&amp;DYN_ARGS=TRUE&amp;DOC_NAME=FAT:FQL_AUDITING_CLIENT_TEMPLATE.FAT&amp;display_string=Audit&amp;VAR:KEY=UJCVATURSF&amp;VAR:QUERY=RkZfRElWX1lMRChBTk4sMi8wNy8wNywyLzA3LzA3KQ==&amp;WINDOW=FIRST_POPUP&amp;HEIGHT=450&amp;WIDTH=450&amp;","START_MAXIMIZED=FALSE&amp;VAR:CALENDAR=US&amp;VAR:SYMBOL=KO&amp;VAR:INDEX=0"}</definedName>
    <definedName name="_1791__FDSAUDITLINK__" hidden="1">{"fdsup://directions/FAT Viewer?action=UPDATE&amp;creator=factset&amp;DYN_ARGS=TRUE&amp;DOC_NAME=FAT:FQL_AUDITING_CLIENT_TEMPLATE.FAT&amp;display_string=Audit&amp;VAR:KEY=UJCVATURSF&amp;VAR:QUERY=RkZfRElWX1lMRChBTk4sMi8wNy8wNywyLzA3LzA3KQ==&amp;WINDOW=FIRST_POPUP&amp;HEIGHT=450&amp;WIDTH=450&amp;","START_MAXIMIZED=FALSE&amp;VAR:CALENDAR=US&amp;VAR:SYMBOL=KO&amp;VAR:INDEX=0"}</definedName>
    <definedName name="_1792__FDSAUDITLINK__" localSheetId="0" hidden="1">{"fdsup://directions/FAT Viewer?action=UPDATE&amp;creator=factset&amp;DYN_ARGS=TRUE&amp;DOC_NAME=FAT:FQL_AUDITING_CLIENT_TEMPLATE.FAT&amp;display_string=Audit&amp;VAR:KEY=YXWLWLIZUB&amp;VAR:QUERY=RkZfRElWX1lMRChBTk4sMS8zMS8wNywxLzMxLzA3KQ==&amp;WINDOW=FIRST_POPUP&amp;HEIGHT=450&amp;WIDTH=450&amp;","START_MAXIMIZED=FALSE&amp;VAR:CALENDAR=US&amp;VAR:SYMBOL=KO&amp;VAR:INDEX=0"}</definedName>
    <definedName name="_1792__FDSAUDITLINK__" hidden="1">{"fdsup://directions/FAT Viewer?action=UPDATE&amp;creator=factset&amp;DYN_ARGS=TRUE&amp;DOC_NAME=FAT:FQL_AUDITING_CLIENT_TEMPLATE.FAT&amp;display_string=Audit&amp;VAR:KEY=YXWLWLIZUB&amp;VAR:QUERY=RkZfRElWX1lMRChBTk4sMS8zMS8wNywxLzMxLzA3KQ==&amp;WINDOW=FIRST_POPUP&amp;HEIGHT=450&amp;WIDTH=450&amp;","START_MAXIMIZED=FALSE&amp;VAR:CALENDAR=US&amp;VAR:SYMBOL=KO&amp;VAR:INDEX=0"}</definedName>
    <definedName name="_1793__FDSAUDITLINK__" localSheetId="0" hidden="1">{"fdsup://directions/FAT Viewer?action=UPDATE&amp;creator=factset&amp;DYN_ARGS=TRUE&amp;DOC_NAME=FAT:FQL_AUDITING_CLIENT_TEMPLATE.FAT&amp;display_string=Audit&amp;VAR:KEY=KVKBQNSXMP&amp;VAR:QUERY=RkZfRElWX1lMRChBTk4sMS8yNC8wNywxLzI0LzA3KQ==&amp;WINDOW=FIRST_POPUP&amp;HEIGHT=450&amp;WIDTH=450&amp;","START_MAXIMIZED=FALSE&amp;VAR:CALENDAR=US&amp;VAR:SYMBOL=KO&amp;VAR:INDEX=0"}</definedName>
    <definedName name="_1793__FDSAUDITLINK__" hidden="1">{"fdsup://directions/FAT Viewer?action=UPDATE&amp;creator=factset&amp;DYN_ARGS=TRUE&amp;DOC_NAME=FAT:FQL_AUDITING_CLIENT_TEMPLATE.FAT&amp;display_string=Audit&amp;VAR:KEY=KVKBQNSXMP&amp;VAR:QUERY=RkZfRElWX1lMRChBTk4sMS8yNC8wNywxLzI0LzA3KQ==&amp;WINDOW=FIRST_POPUP&amp;HEIGHT=450&amp;WIDTH=450&amp;","START_MAXIMIZED=FALSE&amp;VAR:CALENDAR=US&amp;VAR:SYMBOL=KO&amp;VAR:INDEX=0"}</definedName>
    <definedName name="_1794__FDSAUDITLINK__" localSheetId="0" hidden="1">{"fdsup://directions/FAT Viewer?action=UPDATE&amp;creator=factset&amp;DYN_ARGS=TRUE&amp;DOC_NAME=FAT:FQL_AUDITING_CLIENT_TEMPLATE.FAT&amp;display_string=Audit&amp;VAR:KEY=KNIPUHKXQF&amp;VAR:QUERY=RkZfRElWX1lMRChBTk4sMS8xNy8wNywxLzE3LzA3KQ==&amp;WINDOW=FIRST_POPUP&amp;HEIGHT=450&amp;WIDTH=450&amp;","START_MAXIMIZED=FALSE&amp;VAR:CALENDAR=US&amp;VAR:SYMBOL=KO&amp;VAR:INDEX=0"}</definedName>
    <definedName name="_1794__FDSAUDITLINK__" hidden="1">{"fdsup://directions/FAT Viewer?action=UPDATE&amp;creator=factset&amp;DYN_ARGS=TRUE&amp;DOC_NAME=FAT:FQL_AUDITING_CLIENT_TEMPLATE.FAT&amp;display_string=Audit&amp;VAR:KEY=KNIPUHKXQF&amp;VAR:QUERY=RkZfRElWX1lMRChBTk4sMS8xNy8wNywxLzE3LzA3KQ==&amp;WINDOW=FIRST_POPUP&amp;HEIGHT=450&amp;WIDTH=450&amp;","START_MAXIMIZED=FALSE&amp;VAR:CALENDAR=US&amp;VAR:SYMBOL=KO&amp;VAR:INDEX=0"}</definedName>
    <definedName name="_1795">#REF!</definedName>
    <definedName name="_1795__FDSAUDITLINK__" localSheetId="0" hidden="1">{"fdsup://directions/FAT Viewer?action=UPDATE&amp;creator=factset&amp;DYN_ARGS=TRUE&amp;DOC_NAME=FAT:FQL_AUDITING_CLIENT_TEMPLATE.FAT&amp;display_string=Audit&amp;VAR:KEY=MFGLQVCJGB&amp;VAR:QUERY=RkZfRElWX1lMRChBTk4sMS8xMC8wNywxLzEwLzA3KQ==&amp;WINDOW=FIRST_POPUP&amp;HEIGHT=450&amp;WIDTH=450&amp;","START_MAXIMIZED=FALSE&amp;VAR:CALENDAR=US&amp;VAR:SYMBOL=KO&amp;VAR:INDEX=0"}</definedName>
    <definedName name="_1795__FDSAUDITLINK__" hidden="1">{"fdsup://directions/FAT Viewer?action=UPDATE&amp;creator=factset&amp;DYN_ARGS=TRUE&amp;DOC_NAME=FAT:FQL_AUDITING_CLIENT_TEMPLATE.FAT&amp;display_string=Audit&amp;VAR:KEY=MFGLQVCJGB&amp;VAR:QUERY=RkZfRElWX1lMRChBTk4sMS8xMC8wNywxLzEwLzA3KQ==&amp;WINDOW=FIRST_POPUP&amp;HEIGHT=450&amp;WIDTH=450&amp;","START_MAXIMIZED=FALSE&amp;VAR:CALENDAR=US&amp;VAR:SYMBOL=KO&amp;VAR:INDEX=0"}</definedName>
    <definedName name="_1796__FDSAUDITLINK__" localSheetId="0" hidden="1">{"fdsup://directions/FAT Viewer?action=UPDATE&amp;creator=factset&amp;DYN_ARGS=TRUE&amp;DOC_NAME=FAT:FQL_AUDITING_CLIENT_TEMPLATE.FAT&amp;display_string=Audit&amp;VAR:KEY=MTUVSNGJIH&amp;VAR:QUERY=RkZfRElWX1lMRChBTk4sMS8wMy8wNywxLzAzLzA3KQ==&amp;WINDOW=FIRST_POPUP&amp;HEIGHT=450&amp;WIDTH=450&amp;","START_MAXIMIZED=FALSE&amp;VAR:CALENDAR=US&amp;VAR:SYMBOL=KO&amp;VAR:INDEX=0"}</definedName>
    <definedName name="_1796__FDSAUDITLINK__" hidden="1">{"fdsup://directions/FAT Viewer?action=UPDATE&amp;creator=factset&amp;DYN_ARGS=TRUE&amp;DOC_NAME=FAT:FQL_AUDITING_CLIENT_TEMPLATE.FAT&amp;display_string=Audit&amp;VAR:KEY=MTUVSNGJIH&amp;VAR:QUERY=RkZfRElWX1lMRChBTk4sMS8wMy8wNywxLzAzLzA3KQ==&amp;WINDOW=FIRST_POPUP&amp;HEIGHT=450&amp;WIDTH=450&amp;","START_MAXIMIZED=FALSE&amp;VAR:CALENDAR=US&amp;VAR:SYMBOL=KO&amp;VAR:INDEX=0"}</definedName>
    <definedName name="_1797__FDSAUDITLINK__" localSheetId="0" hidden="1">{"fdsup://directions/FAT Viewer?action=UPDATE&amp;creator=factset&amp;DYN_ARGS=TRUE&amp;DOC_NAME=FAT:FQL_AUDITING_CLIENT_TEMPLATE.FAT&amp;display_string=Audit&amp;VAR:KEY=CTQPOLYDWB&amp;VAR:QUERY=RkZfRElWX1lMRChBTk4sMTIvMjcvMDYsMTIvMjcvMDYp&amp;WINDOW=FIRST_POPUP&amp;HEIGHT=450&amp;WIDTH=450&amp;","START_MAXIMIZED=FALSE&amp;VAR:CALENDAR=US&amp;VAR:SYMBOL=KO&amp;VAR:INDEX=0"}</definedName>
    <definedName name="_1797__FDSAUDITLINK__" hidden="1">{"fdsup://directions/FAT Viewer?action=UPDATE&amp;creator=factset&amp;DYN_ARGS=TRUE&amp;DOC_NAME=FAT:FQL_AUDITING_CLIENT_TEMPLATE.FAT&amp;display_string=Audit&amp;VAR:KEY=CTQPOLYDWB&amp;VAR:QUERY=RkZfRElWX1lMRChBTk4sMTIvMjcvMDYsMTIvMjcvMDYp&amp;WINDOW=FIRST_POPUP&amp;HEIGHT=450&amp;WIDTH=450&amp;","START_MAXIMIZED=FALSE&amp;VAR:CALENDAR=US&amp;VAR:SYMBOL=KO&amp;VAR:INDEX=0"}</definedName>
    <definedName name="_1798__FDSAUDITLINK__" localSheetId="0" hidden="1">{"fdsup://directions/FAT Viewer?action=UPDATE&amp;creator=factset&amp;DYN_ARGS=TRUE&amp;DOC_NAME=FAT:FQL_AUDITING_CLIENT_TEMPLATE.FAT&amp;display_string=Audit&amp;VAR:KEY=SXCPIFYNQZ&amp;VAR:QUERY=RkZfRElWX1lMRChBTk4sMTIvMjAvMDYsMTIvMjAvMDYp&amp;WINDOW=FIRST_POPUP&amp;HEIGHT=450&amp;WIDTH=450&amp;","START_MAXIMIZED=FALSE&amp;VAR:CALENDAR=US&amp;VAR:SYMBOL=KO&amp;VAR:INDEX=0"}</definedName>
    <definedName name="_1798__FDSAUDITLINK__" hidden="1">{"fdsup://directions/FAT Viewer?action=UPDATE&amp;creator=factset&amp;DYN_ARGS=TRUE&amp;DOC_NAME=FAT:FQL_AUDITING_CLIENT_TEMPLATE.FAT&amp;display_string=Audit&amp;VAR:KEY=SXCPIFYNQZ&amp;VAR:QUERY=RkZfRElWX1lMRChBTk4sMTIvMjAvMDYsMTIvMjAvMDYp&amp;WINDOW=FIRST_POPUP&amp;HEIGHT=450&amp;WIDTH=450&amp;","START_MAXIMIZED=FALSE&amp;VAR:CALENDAR=US&amp;VAR:SYMBOL=KO&amp;VAR:INDEX=0"}</definedName>
    <definedName name="_1799__FDSAUDITLINK__" localSheetId="0" hidden="1">{"fdsup://directions/FAT Viewer?action=UPDATE&amp;creator=factset&amp;DYN_ARGS=TRUE&amp;DOC_NAME=FAT:FQL_AUDITING_CLIENT_TEMPLATE.FAT&amp;display_string=Audit&amp;VAR:KEY=ADQZAPSJOT&amp;VAR:QUERY=RkZfRElWX1lMRChBTk4sMTIvMTMvMDYsMTIvMTMvMDYp&amp;WINDOW=FIRST_POPUP&amp;HEIGHT=450&amp;WIDTH=450&amp;","START_MAXIMIZED=FALSE&amp;VAR:CALENDAR=US&amp;VAR:SYMBOL=KO&amp;VAR:INDEX=0"}</definedName>
    <definedName name="_1799__FDSAUDITLINK__" hidden="1">{"fdsup://directions/FAT Viewer?action=UPDATE&amp;creator=factset&amp;DYN_ARGS=TRUE&amp;DOC_NAME=FAT:FQL_AUDITING_CLIENT_TEMPLATE.FAT&amp;display_string=Audit&amp;VAR:KEY=ADQZAPSJOT&amp;VAR:QUERY=RkZfRElWX1lMRChBTk4sMTIvMTMvMDYsMTIvMTMvMDYp&amp;WINDOW=FIRST_POPUP&amp;HEIGHT=450&amp;WIDTH=450&amp;","START_MAXIMIZED=FALSE&amp;VAR:CALENDAR=US&amp;VAR:SYMBOL=KO&amp;VAR:INDEX=0"}</definedName>
    <definedName name="_17s12_" hidden="1">{#N/A,#N/A,FALSE,"UNIT";#N/A,#N/A,FALSE,"UNIT";#N/A,#N/A,FALSE,"계정"}</definedName>
    <definedName name="_17s4_" hidden="1">{#N/A,#N/A,FALSE,"UNIT";#N/A,#N/A,FALSE,"UNIT";#N/A,#N/A,FALSE,"계정"}</definedName>
    <definedName name="_17s6_" hidden="1">{#N/A,#N/A,FALSE,"UNIT";#N/A,#N/A,FALSE,"UNIT";#N/A,#N/A,FALSE,"계정"}</definedName>
    <definedName name="_17s9_" hidden="1">{#N/A,#N/A,FALSE,"UNIT";#N/A,#N/A,FALSE,"UNIT";#N/A,#N/A,FALSE,"계정"}</definedName>
    <definedName name="_18">#REF!</definedName>
    <definedName name="_18_????1_3">#REF!</definedName>
    <definedName name="_18__________P_L">#REF!</definedName>
    <definedName name="_18__123Graph_ACHART_30" hidden="1">#REF!</definedName>
    <definedName name="_18__123Graph_AGROWTH_REVS_A" hidden="1">#REF!</definedName>
    <definedName name="_18__123Graph_ASENS_COMPARISON">#REF!</definedName>
    <definedName name="_18__123Graph_AWAGES_BY_B_U">#REF!</definedName>
    <definedName name="_18__123Graph_BChart_19K">#REF!</definedName>
    <definedName name="_18__123Graph_BQRE_S_BY_CO.">#REF!</definedName>
    <definedName name="_18__123Graph_BQRE_S_BY_TYPE">#REF!</definedName>
    <definedName name="_18__123Graph_BSENS_COMPARISON">#REF!</definedName>
    <definedName name="_18__123Graph_BWAGES_BY_B_U">#REF!</definedName>
    <definedName name="_18__123Graph_CCONTRACT_BY_B_U">#REF!</definedName>
    <definedName name="_18__123Graph_CSENS_COMPARISON" hidden="1">#REF!</definedName>
    <definedName name="_18__123Graph_CSUPPLIES_BY_B_U">#REF!</definedName>
    <definedName name="_18__123Graph_CWAGES_BY_B_U">#REF!</definedName>
    <definedName name="_18__123Graph_DCONTRACT_BY_B_U">#REF!</definedName>
    <definedName name="_18__FDSAUDITLINK__" localSheetId="0" hidden="1">{"fdsup://directions/FAT Viewer?action=UPDATE&amp;creator=factset&amp;DYN_ARGS=TRUE&amp;DOC_NAME=FAT:FQL_AUDITING_CLIENT_TEMPLATE.FAT&amp;display_string=Audit&amp;VAR:KEY=QNIPWZAVCJ&amp;VAR:QUERY=Q1NGX0RJVl9ZTEQoUVRSX1IsOS8yOS8yMDA2KQ==&amp;WINDOW=FIRST_POPUP&amp;HEIGHT=450&amp;WIDTH=450&amp;STAR","T_MAXIMIZED=FALSE&amp;VAR:CALENDAR=US&amp;VAR:SYMBOL=MO&amp;VAR:INDEX=0"}</definedName>
    <definedName name="_18__FDSAUDITLINK__" hidden="1">{"fdsup://directions/FAT Viewer?action=UPDATE&amp;creator=factset&amp;DYN_ARGS=TRUE&amp;DOC_NAME=FAT:FQL_AUDITING_CLIENT_TEMPLATE.FAT&amp;display_string=Audit&amp;VAR:KEY=QNIPWZAVCJ&amp;VAR:QUERY=Q1NGX0RJVl9ZTEQoUVRSX1IsOS8yOS8yMDA2KQ==&amp;WINDOW=FIRST_POPUP&amp;HEIGHT=450&amp;WIDTH=450&amp;STAR","T_MAXIMIZED=FALSE&amp;VAR:CALENDAR=US&amp;VAR:SYMBOL=MO&amp;VAR:INDEX=0"}</definedName>
    <definedName name="_18_0_S" hidden="1">#REF!</definedName>
    <definedName name="_18_5__1_CRADDIN_DataGrid">#REF!</definedName>
    <definedName name="_180">#REF!</definedName>
    <definedName name="_180__123Graph_XCONTRACT_BY_B_U">#REF!</definedName>
    <definedName name="_180__FDSAUDITLINK__" localSheetId="0" hidden="1">{"fdsup://directions/FAT Viewer?action=UPDATE&amp;creator=factset&amp;DYN_ARGS=TRUE&amp;DOC_NAME=FAT:FQL_AUDITING_CLIENT_TEMPLATE.FAT&amp;display_string=Audit&amp;VAR:KEY=QZAZKJILQL&amp;VAR:QUERY=QVZHKEZGX0RJVl9ZTEQoQU5OLDQxMDEyLC0yQVkpKQ==&amp;WINDOW=FIRST_POPUP&amp;HEIGHT=450&amp;WIDTH=450&amp;","START_MAXIMIZED=FALSE&amp;VAR:CALENDAR=US&amp;VAR:SYMBOL=SP50"}</definedName>
    <definedName name="_180__FDSAUDITLINK__" hidden="1">{"fdsup://directions/FAT Viewer?action=UPDATE&amp;creator=factset&amp;DYN_ARGS=TRUE&amp;DOC_NAME=FAT:FQL_AUDITING_CLIENT_TEMPLATE.FAT&amp;display_string=Audit&amp;VAR:KEY=QZAZKJILQL&amp;VAR:QUERY=QVZHKEZGX0RJVl9ZTEQoQU5OLDQxMDEyLC0yQVkpKQ==&amp;WINDOW=FIRST_POPUP&amp;HEIGHT=450&amp;WIDTH=450&amp;","START_MAXIMIZED=FALSE&amp;VAR:CALENDAR=US&amp;VAR:SYMBOL=SP50"}</definedName>
    <definedName name="_1800">#REF!</definedName>
    <definedName name="_1800__FDSAUDITLINK__" localSheetId="0" hidden="1">{"fdsup://directions/FAT Viewer?action=UPDATE&amp;creator=factset&amp;DYN_ARGS=TRUE&amp;DOC_NAME=FAT:FQL_AUDITING_CLIENT_TEMPLATE.FAT&amp;display_string=Audit&amp;VAR:KEY=ERSRCVMTYL&amp;VAR:QUERY=RkZfRElWX1lMRChBTk4sMTIvMDYvMDYsMTIvMDYvMDYp&amp;WINDOW=FIRST_POPUP&amp;HEIGHT=450&amp;WIDTH=450&amp;","START_MAXIMIZED=FALSE&amp;VAR:CALENDAR=US&amp;VAR:SYMBOL=KO&amp;VAR:INDEX=0"}</definedName>
    <definedName name="_1800__FDSAUDITLINK__" hidden="1">{"fdsup://directions/FAT Viewer?action=UPDATE&amp;creator=factset&amp;DYN_ARGS=TRUE&amp;DOC_NAME=FAT:FQL_AUDITING_CLIENT_TEMPLATE.FAT&amp;display_string=Audit&amp;VAR:KEY=ERSRCVMTYL&amp;VAR:QUERY=RkZfRElWX1lMRChBTk4sMTIvMDYvMDYsMTIvMDYvMDYp&amp;WINDOW=FIRST_POPUP&amp;HEIGHT=450&amp;WIDTH=450&amp;","START_MAXIMIZED=FALSE&amp;VAR:CALENDAR=US&amp;VAR:SYMBOL=KO&amp;VAR:INDEX=0"}</definedName>
    <definedName name="_1801__FDSAUDITLINK__" localSheetId="0" hidden="1">{"fdsup://directions/FAT Viewer?action=UPDATE&amp;creator=factset&amp;DYN_ARGS=TRUE&amp;DOC_NAME=FAT:FQL_AUDITING_CLIENT_TEMPLATE.FAT&amp;display_string=Audit&amp;VAR:KEY=QVABOLSDWX&amp;VAR:QUERY=RkZfRElWX1lMRChBTk4sMTEvMjkvMDYsMTEvMjkvMDYp&amp;WINDOW=FIRST_POPUP&amp;HEIGHT=450&amp;WIDTH=450&amp;","START_MAXIMIZED=FALSE&amp;VAR:CALENDAR=US&amp;VAR:SYMBOL=KO&amp;VAR:INDEX=0"}</definedName>
    <definedName name="_1801__FDSAUDITLINK__" hidden="1">{"fdsup://directions/FAT Viewer?action=UPDATE&amp;creator=factset&amp;DYN_ARGS=TRUE&amp;DOC_NAME=FAT:FQL_AUDITING_CLIENT_TEMPLATE.FAT&amp;display_string=Audit&amp;VAR:KEY=QVABOLSDWX&amp;VAR:QUERY=RkZfRElWX1lMRChBTk4sMTEvMjkvMDYsMTEvMjkvMDYp&amp;WINDOW=FIRST_POPUP&amp;HEIGHT=450&amp;WIDTH=450&amp;","START_MAXIMIZED=FALSE&amp;VAR:CALENDAR=US&amp;VAR:SYMBOL=KO&amp;VAR:INDEX=0"}</definedName>
    <definedName name="_1802__FDSAUDITLINK__" localSheetId="0" hidden="1">{"fdsup://directions/FAT Viewer?action=UPDATE&amp;creator=factset&amp;DYN_ARGS=TRUE&amp;DOC_NAME=FAT:FQL_AUDITING_CLIENT_TEMPLATE.FAT&amp;display_string=Audit&amp;VAR:KEY=IDYZSRWPST&amp;VAR:QUERY=RkZfRElWX1lMRChBTk4sMTEvMjIvMDYsMTEvMjIvMDYp&amp;WINDOW=FIRST_POPUP&amp;HEIGHT=450&amp;WIDTH=450&amp;","START_MAXIMIZED=FALSE&amp;VAR:CALENDAR=US&amp;VAR:SYMBOL=KO&amp;VAR:INDEX=0"}</definedName>
    <definedName name="_1802__FDSAUDITLINK__" hidden="1">{"fdsup://directions/FAT Viewer?action=UPDATE&amp;creator=factset&amp;DYN_ARGS=TRUE&amp;DOC_NAME=FAT:FQL_AUDITING_CLIENT_TEMPLATE.FAT&amp;display_string=Audit&amp;VAR:KEY=IDYZSRWPST&amp;VAR:QUERY=RkZfRElWX1lMRChBTk4sMTEvMjIvMDYsMTEvMjIvMDYp&amp;WINDOW=FIRST_POPUP&amp;HEIGHT=450&amp;WIDTH=450&amp;","START_MAXIMIZED=FALSE&amp;VAR:CALENDAR=US&amp;VAR:SYMBOL=KO&amp;VAR:INDEX=0"}</definedName>
    <definedName name="_1803__FDSAUDITLINK__" localSheetId="0" hidden="1">{"fdsup://directions/FAT Viewer?action=UPDATE&amp;creator=factset&amp;DYN_ARGS=TRUE&amp;DOC_NAME=FAT:FQL_AUDITING_CLIENT_TEMPLATE.FAT&amp;display_string=Audit&amp;VAR:KEY=GJITUXYPKD&amp;VAR:QUERY=RkZfRElWX1lMRChBTk4sMTEvMTUvMDYsMTEvMTUvMDYp&amp;WINDOW=FIRST_POPUP&amp;HEIGHT=450&amp;WIDTH=450&amp;","START_MAXIMIZED=FALSE&amp;VAR:CALENDAR=US&amp;VAR:SYMBOL=KO&amp;VAR:INDEX=0"}</definedName>
    <definedName name="_1803__FDSAUDITLINK__" hidden="1">{"fdsup://directions/FAT Viewer?action=UPDATE&amp;creator=factset&amp;DYN_ARGS=TRUE&amp;DOC_NAME=FAT:FQL_AUDITING_CLIENT_TEMPLATE.FAT&amp;display_string=Audit&amp;VAR:KEY=GJITUXYPKD&amp;VAR:QUERY=RkZfRElWX1lMRChBTk4sMTEvMTUvMDYsMTEvMTUvMDYp&amp;WINDOW=FIRST_POPUP&amp;HEIGHT=450&amp;WIDTH=450&amp;","START_MAXIMIZED=FALSE&amp;VAR:CALENDAR=US&amp;VAR:SYMBOL=KO&amp;VAR:INDEX=0"}</definedName>
    <definedName name="_1804__FDSAUDITLINK__" localSheetId="0" hidden="1">{"fdsup://directions/FAT Viewer?action=UPDATE&amp;creator=factset&amp;DYN_ARGS=TRUE&amp;DOC_NAME=FAT:FQL_AUDITING_CLIENT_TEMPLATE.FAT&amp;display_string=Audit&amp;VAR:KEY=YXAPSLMTWF&amp;VAR:QUERY=RkZfRElWX1lMRChBTk4sMTEvMDgvMDYsMTEvMDgvMDYp&amp;WINDOW=FIRST_POPUP&amp;HEIGHT=450&amp;WIDTH=450&amp;","START_MAXIMIZED=FALSE&amp;VAR:CALENDAR=US&amp;VAR:SYMBOL=KO&amp;VAR:INDEX=0"}</definedName>
    <definedName name="_1804__FDSAUDITLINK__" hidden="1">{"fdsup://directions/FAT Viewer?action=UPDATE&amp;creator=factset&amp;DYN_ARGS=TRUE&amp;DOC_NAME=FAT:FQL_AUDITING_CLIENT_TEMPLATE.FAT&amp;display_string=Audit&amp;VAR:KEY=YXAPSLMTWF&amp;VAR:QUERY=RkZfRElWX1lMRChBTk4sMTEvMDgvMDYsMTEvMDgvMDYp&amp;WINDOW=FIRST_POPUP&amp;HEIGHT=450&amp;WIDTH=450&amp;","START_MAXIMIZED=FALSE&amp;VAR:CALENDAR=US&amp;VAR:SYMBOL=KO&amp;VAR:INDEX=0"}</definedName>
    <definedName name="_1805__FDSAUDITLINK__" localSheetId="0" hidden="1">{"fdsup://directions/FAT Viewer?action=UPDATE&amp;creator=factset&amp;DYN_ARGS=TRUE&amp;DOC_NAME=FAT:FQL_AUDITING_CLIENT_TEMPLATE.FAT&amp;display_string=Audit&amp;VAR:KEY=QDQXAXILED&amp;VAR:QUERY=RkZfRElWX1lMRChBTk4sMTEvMDEvMDYsMTEvMDEvMDYp&amp;WINDOW=FIRST_POPUP&amp;HEIGHT=450&amp;WIDTH=450&amp;","START_MAXIMIZED=FALSE&amp;VAR:CALENDAR=US&amp;VAR:SYMBOL=KO&amp;VAR:INDEX=0"}</definedName>
    <definedName name="_1805__FDSAUDITLINK__" hidden="1">{"fdsup://directions/FAT Viewer?action=UPDATE&amp;creator=factset&amp;DYN_ARGS=TRUE&amp;DOC_NAME=FAT:FQL_AUDITING_CLIENT_TEMPLATE.FAT&amp;display_string=Audit&amp;VAR:KEY=QDQXAXILED&amp;VAR:QUERY=RkZfRElWX1lMRChBTk4sMTEvMDEvMDYsMTEvMDEvMDYp&amp;WINDOW=FIRST_POPUP&amp;HEIGHT=450&amp;WIDTH=450&amp;","START_MAXIMIZED=FALSE&amp;VAR:CALENDAR=US&amp;VAR:SYMBOL=KO&amp;VAR:INDEX=0"}</definedName>
    <definedName name="_1806__FDSAUDITLINK__" localSheetId="0" hidden="1">{"fdsup://directions/FAT Viewer?action=UPDATE&amp;creator=factset&amp;DYN_ARGS=TRUE&amp;DOC_NAME=FAT:FQL_AUDITING_CLIENT_TEMPLATE.FAT&amp;display_string=Audit&amp;VAR:KEY=WTUNGFALON&amp;VAR:QUERY=RkZfRElWX1lMRChBTk4sMTAvMjUvMDYsMTAvMjUvMDYp&amp;WINDOW=FIRST_POPUP&amp;HEIGHT=450&amp;WIDTH=450&amp;","START_MAXIMIZED=FALSE&amp;VAR:CALENDAR=US&amp;VAR:SYMBOL=KO&amp;VAR:INDEX=0"}</definedName>
    <definedName name="_1806__FDSAUDITLINK__" hidden="1">{"fdsup://directions/FAT Viewer?action=UPDATE&amp;creator=factset&amp;DYN_ARGS=TRUE&amp;DOC_NAME=FAT:FQL_AUDITING_CLIENT_TEMPLATE.FAT&amp;display_string=Audit&amp;VAR:KEY=WTUNGFALON&amp;VAR:QUERY=RkZfRElWX1lMRChBTk4sMTAvMjUvMDYsMTAvMjUvMDYp&amp;WINDOW=FIRST_POPUP&amp;HEIGHT=450&amp;WIDTH=450&amp;","START_MAXIMIZED=FALSE&amp;VAR:CALENDAR=US&amp;VAR:SYMBOL=KO&amp;VAR:INDEX=0"}</definedName>
    <definedName name="_1807__FDSAUDITLINK__" localSheetId="0" hidden="1">{"fdsup://directions/FAT Viewer?action=UPDATE&amp;creator=factset&amp;DYN_ARGS=TRUE&amp;DOC_NAME=FAT:FQL_AUDITING_CLIENT_TEMPLATE.FAT&amp;display_string=Audit&amp;VAR:KEY=APMVYBGXQP&amp;VAR:QUERY=RkZfRElWX1lMRChBTk4sMTAvMTgvMDYsMTAvMTgvMDYp&amp;WINDOW=FIRST_POPUP&amp;HEIGHT=450&amp;WIDTH=450&amp;","START_MAXIMIZED=FALSE&amp;VAR:CALENDAR=US&amp;VAR:SYMBOL=KO&amp;VAR:INDEX=0"}</definedName>
    <definedName name="_1807__FDSAUDITLINK__" hidden="1">{"fdsup://directions/FAT Viewer?action=UPDATE&amp;creator=factset&amp;DYN_ARGS=TRUE&amp;DOC_NAME=FAT:FQL_AUDITING_CLIENT_TEMPLATE.FAT&amp;display_string=Audit&amp;VAR:KEY=APMVYBGXQP&amp;VAR:QUERY=RkZfRElWX1lMRChBTk4sMTAvMTgvMDYsMTAvMTgvMDYp&amp;WINDOW=FIRST_POPUP&amp;HEIGHT=450&amp;WIDTH=450&amp;","START_MAXIMIZED=FALSE&amp;VAR:CALENDAR=US&amp;VAR:SYMBOL=KO&amp;VAR:INDEX=0"}</definedName>
    <definedName name="_1808">#REF!</definedName>
    <definedName name="_1808__FDSAUDITLINK__" localSheetId="0" hidden="1">{"fdsup://directions/FAT Viewer?action=UPDATE&amp;creator=factset&amp;DYN_ARGS=TRUE&amp;DOC_NAME=FAT:FQL_AUDITING_CLIENT_TEMPLATE.FAT&amp;display_string=Audit&amp;VAR:KEY=AFYNWBOBSN&amp;VAR:QUERY=RkZfRElWX1lMRChBTk4sMTAvMTEvMDYsMTAvMTEvMDYp&amp;WINDOW=FIRST_POPUP&amp;HEIGHT=450&amp;WIDTH=450&amp;","START_MAXIMIZED=FALSE&amp;VAR:CALENDAR=US&amp;VAR:SYMBOL=KO&amp;VAR:INDEX=0"}</definedName>
    <definedName name="_1808__FDSAUDITLINK__" hidden="1">{"fdsup://directions/FAT Viewer?action=UPDATE&amp;creator=factset&amp;DYN_ARGS=TRUE&amp;DOC_NAME=FAT:FQL_AUDITING_CLIENT_TEMPLATE.FAT&amp;display_string=Audit&amp;VAR:KEY=AFYNWBOBSN&amp;VAR:QUERY=RkZfRElWX1lMRChBTk4sMTAvMTEvMDYsMTAvMTEvMDYp&amp;WINDOW=FIRST_POPUP&amp;HEIGHT=450&amp;WIDTH=450&amp;","START_MAXIMIZED=FALSE&amp;VAR:CALENDAR=US&amp;VAR:SYMBOL=KO&amp;VAR:INDEX=0"}</definedName>
    <definedName name="_1809__FDSAUDITLINK__" localSheetId="0" hidden="1">{"fdsup://directions/FAT Viewer?action=UPDATE&amp;creator=factset&amp;DYN_ARGS=TRUE&amp;DOC_NAME=FAT:FQL_AUDITING_CLIENT_TEMPLATE.FAT&amp;display_string=Audit&amp;VAR:KEY=ATKTEBYJOL&amp;VAR:QUERY=RkZfRElWX1lMRChBTk4sMTAvMDQvMDYsMTAvMDQvMDYp&amp;WINDOW=FIRST_POPUP&amp;HEIGHT=450&amp;WIDTH=450&amp;","START_MAXIMIZED=FALSE&amp;VAR:CALENDAR=US&amp;VAR:SYMBOL=KO&amp;VAR:INDEX=0"}</definedName>
    <definedName name="_1809__FDSAUDITLINK__" hidden="1">{"fdsup://directions/FAT Viewer?action=UPDATE&amp;creator=factset&amp;DYN_ARGS=TRUE&amp;DOC_NAME=FAT:FQL_AUDITING_CLIENT_TEMPLATE.FAT&amp;display_string=Audit&amp;VAR:KEY=ATKTEBYJOL&amp;VAR:QUERY=RkZfRElWX1lMRChBTk4sMTAvMDQvMDYsMTAvMDQvMDYp&amp;WINDOW=FIRST_POPUP&amp;HEIGHT=450&amp;WIDTH=450&amp;","START_MAXIMIZED=FALSE&amp;VAR:CALENDAR=US&amp;VAR:SYMBOL=KO&amp;VAR:INDEX=0"}</definedName>
    <definedName name="_181">#REF!</definedName>
    <definedName name="_181__123Graph_XCONTRACT_BY_B_U">#REF!</definedName>
    <definedName name="_181__FDSAUDITLINK__" localSheetId="0" hidden="1">{"fdsup://directions/FAT Viewer?action=UPDATE&amp;creator=factset&amp;DYN_ARGS=TRUE&amp;DOC_NAME=FAT:FQL_AUDITING_CLIENT_TEMPLATE.FAT&amp;display_string=Audit&amp;VAR:KEY=VIXYTILSVG&amp;VAR:QUERY=RkZfRElWX1lMRChBTk4sMTAvMTgvMDcsMTAvMTgvMDcp&amp;WINDOW=FIRST_POPUP&amp;HEIGHT=450&amp;WIDTH=450&amp;","START_MAXIMIZED=FALSE&amp;VAR:CALENDAR=US&amp;VAR:SYMBOL=RAI&amp;VAR:INDEX=0"}</definedName>
    <definedName name="_181__FDSAUDITLINK__" hidden="1">{"fdsup://directions/FAT Viewer?action=UPDATE&amp;creator=factset&amp;DYN_ARGS=TRUE&amp;DOC_NAME=FAT:FQL_AUDITING_CLIENT_TEMPLATE.FAT&amp;display_string=Audit&amp;VAR:KEY=VIXYTILSVG&amp;VAR:QUERY=RkZfRElWX1lMRChBTk4sMTAvMTgvMDcsMTAvMTgvMDcp&amp;WINDOW=FIRST_POPUP&amp;HEIGHT=450&amp;WIDTH=450&amp;","START_MAXIMIZED=FALSE&amp;VAR:CALENDAR=US&amp;VAR:SYMBOL=RAI&amp;VAR:INDEX=0"}</definedName>
    <definedName name="_1810__FDSAUDITLINK__" localSheetId="0" hidden="1">{"fdsup://directions/FAT Viewer?action=UPDATE&amp;creator=factset&amp;DYN_ARGS=TRUE&amp;DOC_NAME=FAT:FQL_AUDITING_CLIENT_TEMPLATE.FAT&amp;display_string=Audit&amp;VAR:KEY=SBEVURWBOR&amp;VAR:QUERY=RkZfRElWX1lMRChBTk4sOS8yNy8wNiw5LzI3LzA2KQ==&amp;WINDOW=FIRST_POPUP&amp;HEIGHT=450&amp;WIDTH=450&amp;","START_MAXIMIZED=FALSE&amp;VAR:CALENDAR=US&amp;VAR:SYMBOL=KO&amp;VAR:INDEX=0"}</definedName>
    <definedName name="_1810__FDSAUDITLINK__" hidden="1">{"fdsup://directions/FAT Viewer?action=UPDATE&amp;creator=factset&amp;DYN_ARGS=TRUE&amp;DOC_NAME=FAT:FQL_AUDITING_CLIENT_TEMPLATE.FAT&amp;display_string=Audit&amp;VAR:KEY=SBEVURWBOR&amp;VAR:QUERY=RkZfRElWX1lMRChBTk4sOS8yNy8wNiw5LzI3LzA2KQ==&amp;WINDOW=FIRST_POPUP&amp;HEIGHT=450&amp;WIDTH=450&amp;","START_MAXIMIZED=FALSE&amp;VAR:CALENDAR=US&amp;VAR:SYMBOL=KO&amp;VAR:INDEX=0"}</definedName>
    <definedName name="_1811__FDSAUDITLINK__" localSheetId="0" hidden="1">{"fdsup://directions/FAT Viewer?action=UPDATE&amp;creator=factset&amp;DYN_ARGS=TRUE&amp;DOC_NAME=FAT:FQL_AUDITING_CLIENT_TEMPLATE.FAT&amp;display_string=Audit&amp;VAR:KEY=QNQLUJSZCB&amp;VAR:QUERY=RkZfRElWX1lMRChBTk4sOS8yMC8wNiw5LzIwLzA2KQ==&amp;WINDOW=FIRST_POPUP&amp;HEIGHT=450&amp;WIDTH=450&amp;","START_MAXIMIZED=FALSE&amp;VAR:CALENDAR=US&amp;VAR:SYMBOL=KO&amp;VAR:INDEX=0"}</definedName>
    <definedName name="_1811__FDSAUDITLINK__" hidden="1">{"fdsup://directions/FAT Viewer?action=UPDATE&amp;creator=factset&amp;DYN_ARGS=TRUE&amp;DOC_NAME=FAT:FQL_AUDITING_CLIENT_TEMPLATE.FAT&amp;display_string=Audit&amp;VAR:KEY=QNQLUJSZCB&amp;VAR:QUERY=RkZfRElWX1lMRChBTk4sOS8yMC8wNiw5LzIwLzA2KQ==&amp;WINDOW=FIRST_POPUP&amp;HEIGHT=450&amp;WIDTH=450&amp;","START_MAXIMIZED=FALSE&amp;VAR:CALENDAR=US&amp;VAR:SYMBOL=KO&amp;VAR:INDEX=0"}</definedName>
    <definedName name="_1812">#REF!</definedName>
    <definedName name="_1812__FDSAUDITLINK__" localSheetId="0" hidden="1">{"fdsup://directions/FAT Viewer?action=UPDATE&amp;creator=factset&amp;DYN_ARGS=TRUE&amp;DOC_NAME=FAT:FQL_AUDITING_CLIENT_TEMPLATE.FAT&amp;display_string=Audit&amp;VAR:KEY=ENKNAXKBUF&amp;VAR:QUERY=RkZfRElWX1lMRChBTk4sOS8xMy8wNiw5LzEzLzA2KQ==&amp;WINDOW=FIRST_POPUP&amp;HEIGHT=450&amp;WIDTH=450&amp;","START_MAXIMIZED=FALSE&amp;VAR:CALENDAR=US&amp;VAR:SYMBOL=KO&amp;VAR:INDEX=0"}</definedName>
    <definedName name="_1812__FDSAUDITLINK__" hidden="1">{"fdsup://directions/FAT Viewer?action=UPDATE&amp;creator=factset&amp;DYN_ARGS=TRUE&amp;DOC_NAME=FAT:FQL_AUDITING_CLIENT_TEMPLATE.FAT&amp;display_string=Audit&amp;VAR:KEY=ENKNAXKBUF&amp;VAR:QUERY=RkZfRElWX1lMRChBTk4sOS8xMy8wNiw5LzEzLzA2KQ==&amp;WINDOW=FIRST_POPUP&amp;HEIGHT=450&amp;WIDTH=450&amp;","START_MAXIMIZED=FALSE&amp;VAR:CALENDAR=US&amp;VAR:SYMBOL=KO&amp;VAR:INDEX=0"}</definedName>
    <definedName name="_1813__FDSAUDITLINK__" localSheetId="0" hidden="1">{"fdsup://directions/FAT Viewer?action=UPDATE&amp;creator=factset&amp;DYN_ARGS=TRUE&amp;DOC_NAME=FAT:FQL_AUDITING_CLIENT_TEMPLATE.FAT&amp;display_string=Audit&amp;VAR:KEY=MLMPYRQNEH&amp;VAR:QUERY=RkZfRElWX1lMRChBTk4sOS8wNi8wNiw5LzA2LzA2KQ==&amp;WINDOW=FIRST_POPUP&amp;HEIGHT=450&amp;WIDTH=450&amp;","START_MAXIMIZED=FALSE&amp;VAR:CALENDAR=US&amp;VAR:SYMBOL=KO&amp;VAR:INDEX=0"}</definedName>
    <definedName name="_1813__FDSAUDITLINK__" hidden="1">{"fdsup://directions/FAT Viewer?action=UPDATE&amp;creator=factset&amp;DYN_ARGS=TRUE&amp;DOC_NAME=FAT:FQL_AUDITING_CLIENT_TEMPLATE.FAT&amp;display_string=Audit&amp;VAR:KEY=MLMPYRQNEH&amp;VAR:QUERY=RkZfRElWX1lMRChBTk4sOS8wNi8wNiw5LzA2LzA2KQ==&amp;WINDOW=FIRST_POPUP&amp;HEIGHT=450&amp;WIDTH=450&amp;","START_MAXIMIZED=FALSE&amp;VAR:CALENDAR=US&amp;VAR:SYMBOL=KO&amp;VAR:INDEX=0"}</definedName>
    <definedName name="_1814__FDSAUDITLINK__" localSheetId="0" hidden="1">{"fdsup://directions/FAT Viewer?action=UPDATE&amp;creator=factset&amp;DYN_ARGS=TRUE&amp;DOC_NAME=FAT:FQL_AUDITING_CLIENT_TEMPLATE.FAT&amp;display_string=Audit&amp;VAR:KEY=OPURWRULIZ&amp;VAR:QUERY=RkZfRElWX1lMRChBTk4sOC8zMC8wNiw4LzMwLzA2KQ==&amp;WINDOW=FIRST_POPUP&amp;HEIGHT=450&amp;WIDTH=450&amp;","START_MAXIMIZED=FALSE&amp;VAR:CALENDAR=US&amp;VAR:SYMBOL=KO&amp;VAR:INDEX=0"}</definedName>
    <definedName name="_1814__FDSAUDITLINK__" hidden="1">{"fdsup://directions/FAT Viewer?action=UPDATE&amp;creator=factset&amp;DYN_ARGS=TRUE&amp;DOC_NAME=FAT:FQL_AUDITING_CLIENT_TEMPLATE.FAT&amp;display_string=Audit&amp;VAR:KEY=OPURWRULIZ&amp;VAR:QUERY=RkZfRElWX1lMRChBTk4sOC8zMC8wNiw4LzMwLzA2KQ==&amp;WINDOW=FIRST_POPUP&amp;HEIGHT=450&amp;WIDTH=450&amp;","START_MAXIMIZED=FALSE&amp;VAR:CALENDAR=US&amp;VAR:SYMBOL=KO&amp;VAR:INDEX=0"}</definedName>
    <definedName name="_1815__FDSAUDITLINK__" localSheetId="0" hidden="1">{"fdsup://directions/FAT Viewer?action=UPDATE&amp;creator=factset&amp;DYN_ARGS=TRUE&amp;DOC_NAME=FAT:FQL_AUDITING_CLIENT_TEMPLATE.FAT&amp;display_string=Audit&amp;VAR:KEY=YVSPOPSTCZ&amp;VAR:QUERY=RkZfRElWX1lMRChBTk4sOC8yMy8wNiw4LzIzLzA2KQ==&amp;WINDOW=FIRST_POPUP&amp;HEIGHT=450&amp;WIDTH=450&amp;","START_MAXIMIZED=FALSE&amp;VAR:CALENDAR=US&amp;VAR:SYMBOL=KO&amp;VAR:INDEX=0"}</definedName>
    <definedName name="_1815__FDSAUDITLINK__" hidden="1">{"fdsup://directions/FAT Viewer?action=UPDATE&amp;creator=factset&amp;DYN_ARGS=TRUE&amp;DOC_NAME=FAT:FQL_AUDITING_CLIENT_TEMPLATE.FAT&amp;display_string=Audit&amp;VAR:KEY=YVSPOPSTCZ&amp;VAR:QUERY=RkZfRElWX1lMRChBTk4sOC8yMy8wNiw4LzIzLzA2KQ==&amp;WINDOW=FIRST_POPUP&amp;HEIGHT=450&amp;WIDTH=450&amp;","START_MAXIMIZED=FALSE&amp;VAR:CALENDAR=US&amp;VAR:SYMBOL=KO&amp;VAR:INDEX=0"}</definedName>
    <definedName name="_1816__FDSAUDITLINK__" localSheetId="0" hidden="1">{"fdsup://directions/FAT Viewer?action=UPDATE&amp;creator=factset&amp;DYN_ARGS=TRUE&amp;DOC_NAME=FAT:FQL_AUDITING_CLIENT_TEMPLATE.FAT&amp;display_string=Audit&amp;VAR:KEY=YJOFOFYXYH&amp;VAR:QUERY=RkZfRElWX1lMRChBTk4sOC8xNi8wNiw4LzE2LzA2KQ==&amp;WINDOW=FIRST_POPUP&amp;HEIGHT=450&amp;WIDTH=450&amp;","START_MAXIMIZED=FALSE&amp;VAR:CALENDAR=US&amp;VAR:SYMBOL=KO&amp;VAR:INDEX=0"}</definedName>
    <definedName name="_1816__FDSAUDITLINK__" hidden="1">{"fdsup://directions/FAT Viewer?action=UPDATE&amp;creator=factset&amp;DYN_ARGS=TRUE&amp;DOC_NAME=FAT:FQL_AUDITING_CLIENT_TEMPLATE.FAT&amp;display_string=Audit&amp;VAR:KEY=YJOFOFYXYH&amp;VAR:QUERY=RkZfRElWX1lMRChBTk4sOC8xNi8wNiw4LzE2LzA2KQ==&amp;WINDOW=FIRST_POPUP&amp;HEIGHT=450&amp;WIDTH=450&amp;","START_MAXIMIZED=FALSE&amp;VAR:CALENDAR=US&amp;VAR:SYMBOL=KO&amp;VAR:INDEX=0"}</definedName>
    <definedName name="_1817">#REF!</definedName>
    <definedName name="_1817__FDSAUDITLINK__" localSheetId="0" hidden="1">{"fdsup://directions/FAT Viewer?action=UPDATE&amp;creator=factset&amp;DYN_ARGS=TRUE&amp;DOC_NAME=FAT:FQL_AUDITING_CLIENT_TEMPLATE.FAT&amp;display_string=Audit&amp;VAR:KEY=AHQHQJKDUB&amp;VAR:QUERY=RkZfRElWX1lMRChBTk4sOC8wOS8wNiw4LzA5LzA2KQ==&amp;WINDOW=FIRST_POPUP&amp;HEIGHT=450&amp;WIDTH=450&amp;","START_MAXIMIZED=FALSE&amp;VAR:CALENDAR=US&amp;VAR:SYMBOL=KO&amp;VAR:INDEX=0"}</definedName>
    <definedName name="_1817__FDSAUDITLINK__" hidden="1">{"fdsup://directions/FAT Viewer?action=UPDATE&amp;creator=factset&amp;DYN_ARGS=TRUE&amp;DOC_NAME=FAT:FQL_AUDITING_CLIENT_TEMPLATE.FAT&amp;display_string=Audit&amp;VAR:KEY=AHQHQJKDUB&amp;VAR:QUERY=RkZfRElWX1lMRChBTk4sOC8wOS8wNiw4LzA5LzA2KQ==&amp;WINDOW=FIRST_POPUP&amp;HEIGHT=450&amp;WIDTH=450&amp;","START_MAXIMIZED=FALSE&amp;VAR:CALENDAR=US&amp;VAR:SYMBOL=KO&amp;VAR:INDEX=0"}</definedName>
    <definedName name="_1818__FDSAUDITLINK__" localSheetId="0" hidden="1">{"fdsup://directions/FAT Viewer?action=UPDATE&amp;creator=factset&amp;DYN_ARGS=TRUE&amp;DOC_NAME=FAT:FQL_AUDITING_CLIENT_TEMPLATE.FAT&amp;display_string=Audit&amp;VAR:KEY=UBKTORCLMZ&amp;VAR:QUERY=RkZfRElWX1lMRChBTk4sOC8wMi8wNiw4LzAyLzA2KQ==&amp;WINDOW=FIRST_POPUP&amp;HEIGHT=450&amp;WIDTH=450&amp;","START_MAXIMIZED=FALSE&amp;VAR:CALENDAR=US&amp;VAR:SYMBOL=KO&amp;VAR:INDEX=0"}</definedName>
    <definedName name="_1818__FDSAUDITLINK__" hidden="1">{"fdsup://directions/FAT Viewer?action=UPDATE&amp;creator=factset&amp;DYN_ARGS=TRUE&amp;DOC_NAME=FAT:FQL_AUDITING_CLIENT_TEMPLATE.FAT&amp;display_string=Audit&amp;VAR:KEY=UBKTORCLMZ&amp;VAR:QUERY=RkZfRElWX1lMRChBTk4sOC8wMi8wNiw4LzAyLzA2KQ==&amp;WINDOW=FIRST_POPUP&amp;HEIGHT=450&amp;WIDTH=450&amp;","START_MAXIMIZED=FALSE&amp;VAR:CALENDAR=US&amp;VAR:SYMBOL=KO&amp;VAR:INDEX=0"}</definedName>
    <definedName name="_1819__FDSAUDITLINK__" localSheetId="0" hidden="1">{"fdsup://directions/FAT Viewer?action=UPDATE&amp;creator=factset&amp;DYN_ARGS=TRUE&amp;DOC_NAME=FAT:FQL_AUDITING_CLIENT_TEMPLATE.FAT&amp;display_string=Audit&amp;VAR:KEY=WRAJCFMHWV&amp;VAR:QUERY=RkZfRElWX1lMRChBTk4sNy8yNi8wNiw3LzI2LzA2KQ==&amp;WINDOW=FIRST_POPUP&amp;HEIGHT=450&amp;WIDTH=450&amp;","START_MAXIMIZED=FALSE&amp;VAR:CALENDAR=US&amp;VAR:SYMBOL=KO&amp;VAR:INDEX=0"}</definedName>
    <definedName name="_1819__FDSAUDITLINK__" hidden="1">{"fdsup://directions/FAT Viewer?action=UPDATE&amp;creator=factset&amp;DYN_ARGS=TRUE&amp;DOC_NAME=FAT:FQL_AUDITING_CLIENT_TEMPLATE.FAT&amp;display_string=Audit&amp;VAR:KEY=WRAJCFMHWV&amp;VAR:QUERY=RkZfRElWX1lMRChBTk4sNy8yNi8wNiw3LzI2LzA2KQ==&amp;WINDOW=FIRST_POPUP&amp;HEIGHT=450&amp;WIDTH=450&amp;","START_MAXIMIZED=FALSE&amp;VAR:CALENDAR=US&amp;VAR:SYMBOL=KO&amp;VAR:INDEX=0"}</definedName>
    <definedName name="_182">#REF!</definedName>
    <definedName name="_182__FDSAUDITLINK__" localSheetId="0" hidden="1">{"fdsup://directions/FAT Viewer?action=UPDATE&amp;creator=factset&amp;DYN_ARGS=TRUE&amp;DOC_NAME=FAT:FQL_AUDITING_CLIENT_TEMPLATE.FAT&amp;display_string=Audit&amp;VAR:KEY=ONWNEVEBIH&amp;VAR:QUERY=QVZHKEZGX0RJVl9ZTEQoQU5OLDQxMDEyLC0xMEFZKSk=&amp;WINDOW=FIRST_POPUP&amp;HEIGHT=450&amp;WIDTH=450&amp;","START_MAXIMIZED=FALSE&amp;VAR:CALENDAR=US&amp;VAR:SYMBOL=PM"}</definedName>
    <definedName name="_182__FDSAUDITLINK__" hidden="1">{"fdsup://directions/FAT Viewer?action=UPDATE&amp;creator=factset&amp;DYN_ARGS=TRUE&amp;DOC_NAME=FAT:FQL_AUDITING_CLIENT_TEMPLATE.FAT&amp;display_string=Audit&amp;VAR:KEY=ONWNEVEBIH&amp;VAR:QUERY=QVZHKEZGX0RJVl9ZTEQoQU5OLDQxMDEyLC0xMEFZKSk=&amp;WINDOW=FIRST_POPUP&amp;HEIGHT=450&amp;WIDTH=450&amp;","START_MAXIMIZED=FALSE&amp;VAR:CALENDAR=US&amp;VAR:SYMBOL=PM"}</definedName>
    <definedName name="_1820__FDSAUDITLINK__" localSheetId="0" hidden="1">{"fdsup://directions/FAT Viewer?action=UPDATE&amp;creator=factset&amp;DYN_ARGS=TRUE&amp;DOC_NAME=FAT:FQL_AUDITING_CLIENT_TEMPLATE.FAT&amp;display_string=Audit&amp;VAR:KEY=OHQDYXSHOB&amp;VAR:QUERY=RkZfRElWX1lMRChBTk4sNy8xOS8wNiw3LzE5LzA2KQ==&amp;WINDOW=FIRST_POPUP&amp;HEIGHT=450&amp;WIDTH=450&amp;","START_MAXIMIZED=FALSE&amp;VAR:CALENDAR=US&amp;VAR:SYMBOL=KO&amp;VAR:INDEX=0"}</definedName>
    <definedName name="_1820__FDSAUDITLINK__" hidden="1">{"fdsup://directions/FAT Viewer?action=UPDATE&amp;creator=factset&amp;DYN_ARGS=TRUE&amp;DOC_NAME=FAT:FQL_AUDITING_CLIENT_TEMPLATE.FAT&amp;display_string=Audit&amp;VAR:KEY=OHQDYXSHOB&amp;VAR:QUERY=RkZfRElWX1lMRChBTk4sNy8xOS8wNiw3LzE5LzA2KQ==&amp;WINDOW=FIRST_POPUP&amp;HEIGHT=450&amp;WIDTH=450&amp;","START_MAXIMIZED=FALSE&amp;VAR:CALENDAR=US&amp;VAR:SYMBOL=KO&amp;VAR:INDEX=0"}</definedName>
    <definedName name="_1821__FDSAUDITLINK__" localSheetId="0" hidden="1">{"fdsup://directions/FAT Viewer?action=UPDATE&amp;creator=factset&amp;DYN_ARGS=TRUE&amp;DOC_NAME=FAT:FQL_AUDITING_CLIENT_TEMPLATE.FAT&amp;display_string=Audit&amp;VAR:KEY=IJERCTSDUT&amp;VAR:QUERY=RkZfRElWX1lMRChBTk4sNy8xMi8wNiw3LzEyLzA2KQ==&amp;WINDOW=FIRST_POPUP&amp;HEIGHT=450&amp;WIDTH=450&amp;","START_MAXIMIZED=FALSE&amp;VAR:CALENDAR=US&amp;VAR:SYMBOL=KO&amp;VAR:INDEX=0"}</definedName>
    <definedName name="_1821__FDSAUDITLINK__" hidden="1">{"fdsup://directions/FAT Viewer?action=UPDATE&amp;creator=factset&amp;DYN_ARGS=TRUE&amp;DOC_NAME=FAT:FQL_AUDITING_CLIENT_TEMPLATE.FAT&amp;display_string=Audit&amp;VAR:KEY=IJERCTSDUT&amp;VAR:QUERY=RkZfRElWX1lMRChBTk4sNy8xMi8wNiw3LzEyLzA2KQ==&amp;WINDOW=FIRST_POPUP&amp;HEIGHT=450&amp;WIDTH=450&amp;","START_MAXIMIZED=FALSE&amp;VAR:CALENDAR=US&amp;VAR:SYMBOL=KO&amp;VAR:INDEX=0"}</definedName>
    <definedName name="_1822">#REF!</definedName>
    <definedName name="_1822__FDSAUDITLINK__" localSheetId="0" hidden="1">{"fdsup://directions/FAT Viewer?action=UPDATE&amp;creator=factset&amp;DYN_ARGS=TRUE&amp;DOC_NAME=FAT:FQL_AUDITING_CLIENT_TEMPLATE.FAT&amp;display_string=Audit&amp;VAR:KEY=EPALOVWVCZ&amp;VAR:QUERY=RkZfRElWX1lMRChBTk4sNy8wNS8wNiw3LzA1LzA2KQ==&amp;WINDOW=FIRST_POPUP&amp;HEIGHT=450&amp;WIDTH=450&amp;","START_MAXIMIZED=FALSE&amp;VAR:CALENDAR=US&amp;VAR:SYMBOL=KO&amp;VAR:INDEX=0"}</definedName>
    <definedName name="_1822__FDSAUDITLINK__" hidden="1">{"fdsup://directions/FAT Viewer?action=UPDATE&amp;creator=factset&amp;DYN_ARGS=TRUE&amp;DOC_NAME=FAT:FQL_AUDITING_CLIENT_TEMPLATE.FAT&amp;display_string=Audit&amp;VAR:KEY=EPALOVWVCZ&amp;VAR:QUERY=RkZfRElWX1lMRChBTk4sNy8wNS8wNiw3LzA1LzA2KQ==&amp;WINDOW=FIRST_POPUP&amp;HEIGHT=450&amp;WIDTH=450&amp;","START_MAXIMIZED=FALSE&amp;VAR:CALENDAR=US&amp;VAR:SYMBOL=KO&amp;VAR:INDEX=0"}</definedName>
    <definedName name="_1823__FDSAUDITLINK__" localSheetId="0" hidden="1">{"fdsup://directions/FAT Viewer?action=UPDATE&amp;creator=factset&amp;DYN_ARGS=TRUE&amp;DOC_NAME=FAT:FQL_AUDITING_CLIENT_TEMPLATE.FAT&amp;display_string=Audit&amp;VAR:KEY=SXEVGBARGV&amp;VAR:QUERY=RkZfRElWX1lMRChBTk4sNi8yOC8wNiw2LzI4LzA2KQ==&amp;WINDOW=FIRST_POPUP&amp;HEIGHT=450&amp;WIDTH=450&amp;","START_MAXIMIZED=FALSE&amp;VAR:CALENDAR=US&amp;VAR:SYMBOL=KO&amp;VAR:INDEX=0"}</definedName>
    <definedName name="_1823__FDSAUDITLINK__" hidden="1">{"fdsup://directions/FAT Viewer?action=UPDATE&amp;creator=factset&amp;DYN_ARGS=TRUE&amp;DOC_NAME=FAT:FQL_AUDITING_CLIENT_TEMPLATE.FAT&amp;display_string=Audit&amp;VAR:KEY=SXEVGBARGV&amp;VAR:QUERY=RkZfRElWX1lMRChBTk4sNi8yOC8wNiw2LzI4LzA2KQ==&amp;WINDOW=FIRST_POPUP&amp;HEIGHT=450&amp;WIDTH=450&amp;","START_MAXIMIZED=FALSE&amp;VAR:CALENDAR=US&amp;VAR:SYMBOL=KO&amp;VAR:INDEX=0"}</definedName>
    <definedName name="_1824__FDSAUDITLINK__" localSheetId="0" hidden="1">{"fdsup://directions/FAT Viewer?action=UPDATE&amp;creator=factset&amp;DYN_ARGS=TRUE&amp;DOC_NAME=FAT:FQL_AUDITING_CLIENT_TEMPLATE.FAT&amp;display_string=Audit&amp;VAR:KEY=SBGVIZKZIH&amp;VAR:QUERY=RkZfRElWX1lMRChBTk4sNi8yMS8wNiw2LzIxLzA2KQ==&amp;WINDOW=FIRST_POPUP&amp;HEIGHT=450&amp;WIDTH=450&amp;","START_MAXIMIZED=FALSE&amp;VAR:CALENDAR=US&amp;VAR:SYMBOL=KO&amp;VAR:INDEX=0"}</definedName>
    <definedName name="_1824__FDSAUDITLINK__" hidden="1">{"fdsup://directions/FAT Viewer?action=UPDATE&amp;creator=factset&amp;DYN_ARGS=TRUE&amp;DOC_NAME=FAT:FQL_AUDITING_CLIENT_TEMPLATE.FAT&amp;display_string=Audit&amp;VAR:KEY=SBGVIZKZIH&amp;VAR:QUERY=RkZfRElWX1lMRChBTk4sNi8yMS8wNiw2LzIxLzA2KQ==&amp;WINDOW=FIRST_POPUP&amp;HEIGHT=450&amp;WIDTH=450&amp;","START_MAXIMIZED=FALSE&amp;VAR:CALENDAR=US&amp;VAR:SYMBOL=KO&amp;VAR:INDEX=0"}</definedName>
    <definedName name="_1825__FDSAUDITLINK__" localSheetId="0" hidden="1">{"fdsup://directions/FAT Viewer?action=UPDATE&amp;creator=factset&amp;DYN_ARGS=TRUE&amp;DOC_NAME=FAT:FQL_AUDITING_CLIENT_TEMPLATE.FAT&amp;display_string=Audit&amp;VAR:KEY=MBUTSPANSB&amp;VAR:QUERY=RkZfRElWX1lMRChBTk4sNi8xNC8wNiw2LzE0LzA2KQ==&amp;WINDOW=FIRST_POPUP&amp;HEIGHT=450&amp;WIDTH=450&amp;","START_MAXIMIZED=FALSE&amp;VAR:CALENDAR=US&amp;VAR:SYMBOL=KO&amp;VAR:INDEX=0"}</definedName>
    <definedName name="_1825__FDSAUDITLINK__" hidden="1">{"fdsup://directions/FAT Viewer?action=UPDATE&amp;creator=factset&amp;DYN_ARGS=TRUE&amp;DOC_NAME=FAT:FQL_AUDITING_CLIENT_TEMPLATE.FAT&amp;display_string=Audit&amp;VAR:KEY=MBUTSPANSB&amp;VAR:QUERY=RkZfRElWX1lMRChBTk4sNi8xNC8wNiw2LzE0LzA2KQ==&amp;WINDOW=FIRST_POPUP&amp;HEIGHT=450&amp;WIDTH=450&amp;","START_MAXIMIZED=FALSE&amp;VAR:CALENDAR=US&amp;VAR:SYMBOL=KO&amp;VAR:INDEX=0"}</definedName>
    <definedName name="_1826__FDSAUDITLINK__" localSheetId="0" hidden="1">{"fdsup://directions/FAT Viewer?action=UPDATE&amp;creator=factset&amp;DYN_ARGS=TRUE&amp;DOC_NAME=FAT:FQL_AUDITING_CLIENT_TEMPLATE.FAT&amp;display_string=Audit&amp;VAR:KEY=YFWDADAZAZ&amp;VAR:QUERY=RkZfRElWX1lMRChBTk4sNi8wNy8wNiw2LzA3LzA2KQ==&amp;WINDOW=FIRST_POPUP&amp;HEIGHT=450&amp;WIDTH=450&amp;","START_MAXIMIZED=FALSE&amp;VAR:CALENDAR=US&amp;VAR:SYMBOL=KO&amp;VAR:INDEX=0"}</definedName>
    <definedName name="_1826__FDSAUDITLINK__" hidden="1">{"fdsup://directions/FAT Viewer?action=UPDATE&amp;creator=factset&amp;DYN_ARGS=TRUE&amp;DOC_NAME=FAT:FQL_AUDITING_CLIENT_TEMPLATE.FAT&amp;display_string=Audit&amp;VAR:KEY=YFWDADAZAZ&amp;VAR:QUERY=RkZfRElWX1lMRChBTk4sNi8wNy8wNiw2LzA3LzA2KQ==&amp;WINDOW=FIRST_POPUP&amp;HEIGHT=450&amp;WIDTH=450&amp;","START_MAXIMIZED=FALSE&amp;VAR:CALENDAR=US&amp;VAR:SYMBOL=KO&amp;VAR:INDEX=0"}</definedName>
    <definedName name="_1827__FDSAUDITLINK__" localSheetId="0" hidden="1">{"fdsup://directions/FAT Viewer?action=UPDATE&amp;creator=factset&amp;DYN_ARGS=TRUE&amp;DOC_NAME=FAT:FQL_AUDITING_CLIENT_TEMPLATE.FAT&amp;display_string=Audit&amp;VAR:KEY=CJUPGDUXQN&amp;VAR:QUERY=RkZfRElWX1lMRChBTk4sNS8zMS8wNiw1LzMxLzA2KQ==&amp;WINDOW=FIRST_POPUP&amp;HEIGHT=450&amp;WIDTH=450&amp;","START_MAXIMIZED=FALSE&amp;VAR:CALENDAR=US&amp;VAR:SYMBOL=KO&amp;VAR:INDEX=0"}</definedName>
    <definedName name="_1827__FDSAUDITLINK__" hidden="1">{"fdsup://directions/FAT Viewer?action=UPDATE&amp;creator=factset&amp;DYN_ARGS=TRUE&amp;DOC_NAME=FAT:FQL_AUDITING_CLIENT_TEMPLATE.FAT&amp;display_string=Audit&amp;VAR:KEY=CJUPGDUXQN&amp;VAR:QUERY=RkZfRElWX1lMRChBTk4sNS8zMS8wNiw1LzMxLzA2KQ==&amp;WINDOW=FIRST_POPUP&amp;HEIGHT=450&amp;WIDTH=450&amp;","START_MAXIMIZED=FALSE&amp;VAR:CALENDAR=US&amp;VAR:SYMBOL=KO&amp;VAR:INDEX=0"}</definedName>
    <definedName name="_1828">#REF!</definedName>
    <definedName name="_1828__FDSAUDITLINK__" localSheetId="0" hidden="1">{"fdsup://directions/FAT Viewer?action=UPDATE&amp;creator=factset&amp;DYN_ARGS=TRUE&amp;DOC_NAME=FAT:FQL_AUDITING_CLIENT_TEMPLATE.FAT&amp;display_string=Audit&amp;VAR:KEY=MPWROLAJQZ&amp;VAR:QUERY=RkZfRElWX1lMRChBTk4sNS8yNC8wNiw1LzI0LzA2KQ==&amp;WINDOW=FIRST_POPUP&amp;HEIGHT=450&amp;WIDTH=450&amp;","START_MAXIMIZED=FALSE&amp;VAR:CALENDAR=US&amp;VAR:SYMBOL=KO&amp;VAR:INDEX=0"}</definedName>
    <definedName name="_1828__FDSAUDITLINK__" hidden="1">{"fdsup://directions/FAT Viewer?action=UPDATE&amp;creator=factset&amp;DYN_ARGS=TRUE&amp;DOC_NAME=FAT:FQL_AUDITING_CLIENT_TEMPLATE.FAT&amp;display_string=Audit&amp;VAR:KEY=MPWROLAJQZ&amp;VAR:QUERY=RkZfRElWX1lMRChBTk4sNS8yNC8wNiw1LzI0LzA2KQ==&amp;WINDOW=FIRST_POPUP&amp;HEIGHT=450&amp;WIDTH=450&amp;","START_MAXIMIZED=FALSE&amp;VAR:CALENDAR=US&amp;VAR:SYMBOL=KO&amp;VAR:INDEX=0"}</definedName>
    <definedName name="_1829">#REF!</definedName>
    <definedName name="_1829__FDSAUDITLINK__" localSheetId="0" hidden="1">{"fdsup://directions/FAT Viewer?action=UPDATE&amp;creator=factset&amp;DYN_ARGS=TRUE&amp;DOC_NAME=FAT:FQL_AUDITING_CLIENT_TEMPLATE.FAT&amp;display_string=Audit&amp;VAR:KEY=IJWZEXOBGZ&amp;VAR:QUERY=RkZfRElWX1lMRChBTk4sNS8xNy8wNiw1LzE3LzA2KQ==&amp;WINDOW=FIRST_POPUP&amp;HEIGHT=450&amp;WIDTH=450&amp;","START_MAXIMIZED=FALSE&amp;VAR:CALENDAR=US&amp;VAR:SYMBOL=KO&amp;VAR:INDEX=0"}</definedName>
    <definedName name="_1829__FDSAUDITLINK__" hidden="1">{"fdsup://directions/FAT Viewer?action=UPDATE&amp;creator=factset&amp;DYN_ARGS=TRUE&amp;DOC_NAME=FAT:FQL_AUDITING_CLIENT_TEMPLATE.FAT&amp;display_string=Audit&amp;VAR:KEY=IJWZEXOBGZ&amp;VAR:QUERY=RkZfRElWX1lMRChBTk4sNS8xNy8wNiw1LzE3LzA2KQ==&amp;WINDOW=FIRST_POPUP&amp;HEIGHT=450&amp;WIDTH=450&amp;","START_MAXIMIZED=FALSE&amp;VAR:CALENDAR=US&amp;VAR:SYMBOL=KO&amp;VAR:INDEX=0"}</definedName>
    <definedName name="_183">#REF!</definedName>
    <definedName name="_183__FDSAUDITLINK__" localSheetId="0" hidden="1">{"fdsup://directions/FAT Viewer?action=UPDATE&amp;creator=factset&amp;DYN_ARGS=TRUE&amp;DOC_NAME=FAT:FQL_AUDITING_CLIENT_TEMPLATE.FAT&amp;display_string=Audit&amp;VAR:KEY=CJUNOHYNIH&amp;VAR:QUERY=QVZHKEZGX0RJVl9ZTEQoQU5OLDQxMDEyLC01QVkpKQ==&amp;WINDOW=FIRST_POPUP&amp;HEIGHT=450&amp;WIDTH=450&amp;","START_MAXIMIZED=FALSE&amp;VAR:CALENDAR=US&amp;VAR:SYMBOL=PM"}</definedName>
    <definedName name="_183__FDSAUDITLINK__" hidden="1">{"fdsup://directions/FAT Viewer?action=UPDATE&amp;creator=factset&amp;DYN_ARGS=TRUE&amp;DOC_NAME=FAT:FQL_AUDITING_CLIENT_TEMPLATE.FAT&amp;display_string=Audit&amp;VAR:KEY=CJUNOHYNIH&amp;VAR:QUERY=QVZHKEZGX0RJVl9ZTEQoQU5OLDQxMDEyLC01QVkpKQ==&amp;WINDOW=FIRST_POPUP&amp;HEIGHT=450&amp;WIDTH=450&amp;","START_MAXIMIZED=FALSE&amp;VAR:CALENDAR=US&amp;VAR:SYMBOL=PM"}</definedName>
    <definedName name="_1830">#REF!</definedName>
    <definedName name="_1830__FDSAUDITLINK__" localSheetId="0" hidden="1">{"fdsup://directions/FAT Viewer?action=UPDATE&amp;creator=factset&amp;DYN_ARGS=TRUE&amp;DOC_NAME=FAT:FQL_AUDITING_CLIENT_TEMPLATE.FAT&amp;display_string=Audit&amp;VAR:KEY=CDADOHAPYH&amp;VAR:QUERY=RkZfRElWX1lMRChBTk4sNS8xMC8wNiw1LzEwLzA2KQ==&amp;WINDOW=FIRST_POPUP&amp;HEIGHT=450&amp;WIDTH=450&amp;","START_MAXIMIZED=FALSE&amp;VAR:CALENDAR=US&amp;VAR:SYMBOL=KO&amp;VAR:INDEX=0"}</definedName>
    <definedName name="_1830__FDSAUDITLINK__" hidden="1">{"fdsup://directions/FAT Viewer?action=UPDATE&amp;creator=factset&amp;DYN_ARGS=TRUE&amp;DOC_NAME=FAT:FQL_AUDITING_CLIENT_TEMPLATE.FAT&amp;display_string=Audit&amp;VAR:KEY=CDADOHAPYH&amp;VAR:QUERY=RkZfRElWX1lMRChBTk4sNS8xMC8wNiw1LzEwLzA2KQ==&amp;WINDOW=FIRST_POPUP&amp;HEIGHT=450&amp;WIDTH=450&amp;","START_MAXIMIZED=FALSE&amp;VAR:CALENDAR=US&amp;VAR:SYMBOL=KO&amp;VAR:INDEX=0"}</definedName>
    <definedName name="_1831">#REF!</definedName>
    <definedName name="_1831__FDSAUDITLINK__" localSheetId="0" hidden="1">{"fdsup://directions/FAT Viewer?action=UPDATE&amp;creator=factset&amp;DYN_ARGS=TRUE&amp;DOC_NAME=FAT:FQL_AUDITING_CLIENT_TEMPLATE.FAT&amp;display_string=Audit&amp;VAR:KEY=UJKLAHKFKB&amp;VAR:QUERY=RkZfRElWX1lMRChBTk4sNS8wMy8wNiw1LzAzLzA2KQ==&amp;WINDOW=FIRST_POPUP&amp;HEIGHT=450&amp;WIDTH=450&amp;","START_MAXIMIZED=FALSE&amp;VAR:CALENDAR=US&amp;VAR:SYMBOL=KO&amp;VAR:INDEX=0"}</definedName>
    <definedName name="_1831__FDSAUDITLINK__" hidden="1">{"fdsup://directions/FAT Viewer?action=UPDATE&amp;creator=factset&amp;DYN_ARGS=TRUE&amp;DOC_NAME=FAT:FQL_AUDITING_CLIENT_TEMPLATE.FAT&amp;display_string=Audit&amp;VAR:KEY=UJKLAHKFKB&amp;VAR:QUERY=RkZfRElWX1lMRChBTk4sNS8wMy8wNiw1LzAzLzA2KQ==&amp;WINDOW=FIRST_POPUP&amp;HEIGHT=450&amp;WIDTH=450&amp;","START_MAXIMIZED=FALSE&amp;VAR:CALENDAR=US&amp;VAR:SYMBOL=KO&amp;VAR:INDEX=0"}</definedName>
    <definedName name="_1832">#REF!</definedName>
    <definedName name="_1832__FDSAUDITLINK__" localSheetId="0" hidden="1">{"fdsup://directions/FAT Viewer?action=UPDATE&amp;creator=factset&amp;DYN_ARGS=TRUE&amp;DOC_NAME=FAT:FQL_AUDITING_CLIENT_TEMPLATE.FAT&amp;display_string=Audit&amp;VAR:KEY=UBWNCZCNMT&amp;VAR:QUERY=RkZfRElWX1lMRChBTk4sNC8yNi8wNiw0LzI2LzA2KQ==&amp;WINDOW=FIRST_POPUP&amp;HEIGHT=450&amp;WIDTH=450&amp;","START_MAXIMIZED=FALSE&amp;VAR:CALENDAR=US&amp;VAR:SYMBOL=KO&amp;VAR:INDEX=0"}</definedName>
    <definedName name="_1832__FDSAUDITLINK__" hidden="1">{"fdsup://directions/FAT Viewer?action=UPDATE&amp;creator=factset&amp;DYN_ARGS=TRUE&amp;DOC_NAME=FAT:FQL_AUDITING_CLIENT_TEMPLATE.FAT&amp;display_string=Audit&amp;VAR:KEY=UBWNCZCNMT&amp;VAR:QUERY=RkZfRElWX1lMRChBTk4sNC8yNi8wNiw0LzI2LzA2KQ==&amp;WINDOW=FIRST_POPUP&amp;HEIGHT=450&amp;WIDTH=450&amp;","START_MAXIMIZED=FALSE&amp;VAR:CALENDAR=US&amp;VAR:SYMBOL=KO&amp;VAR:INDEX=0"}</definedName>
    <definedName name="_1833__FDSAUDITLINK__" localSheetId="0" hidden="1">{"fdsup://directions/FAT Viewer?action=UPDATE&amp;creator=factset&amp;DYN_ARGS=TRUE&amp;DOC_NAME=FAT:FQL_AUDITING_CLIENT_TEMPLATE.FAT&amp;display_string=Audit&amp;VAR:KEY=KBSLWNIZSD&amp;VAR:QUERY=RkZfRElWX1lMRChBTk4sNC8xOS8wNiw0LzE5LzA2KQ==&amp;WINDOW=FIRST_POPUP&amp;HEIGHT=450&amp;WIDTH=450&amp;","START_MAXIMIZED=FALSE&amp;VAR:CALENDAR=US&amp;VAR:SYMBOL=KO&amp;VAR:INDEX=0"}</definedName>
    <definedName name="_1833__FDSAUDITLINK__" hidden="1">{"fdsup://directions/FAT Viewer?action=UPDATE&amp;creator=factset&amp;DYN_ARGS=TRUE&amp;DOC_NAME=FAT:FQL_AUDITING_CLIENT_TEMPLATE.FAT&amp;display_string=Audit&amp;VAR:KEY=KBSLWNIZSD&amp;VAR:QUERY=RkZfRElWX1lMRChBTk4sNC8xOS8wNiw0LzE5LzA2KQ==&amp;WINDOW=FIRST_POPUP&amp;HEIGHT=450&amp;WIDTH=450&amp;","START_MAXIMIZED=FALSE&amp;VAR:CALENDAR=US&amp;VAR:SYMBOL=KO&amp;VAR:INDEX=0"}</definedName>
    <definedName name="_1834">#REF!</definedName>
    <definedName name="_1834__FDSAUDITLINK__" localSheetId="0" hidden="1">{"fdsup://directions/FAT Viewer?action=UPDATE&amp;creator=factset&amp;DYN_ARGS=TRUE&amp;DOC_NAME=FAT:FQL_AUDITING_CLIENT_TEMPLATE.FAT&amp;display_string=Audit&amp;VAR:KEY=QXWTQTEFYT&amp;VAR:QUERY=RkZfRElWX1lMRChBTk4sNC8xMi8wNiw0LzEyLzA2KQ==&amp;WINDOW=FIRST_POPUP&amp;HEIGHT=450&amp;WIDTH=450&amp;","START_MAXIMIZED=FALSE&amp;VAR:CALENDAR=US&amp;VAR:SYMBOL=KO&amp;VAR:INDEX=0"}</definedName>
    <definedName name="_1834__FDSAUDITLINK__" hidden="1">{"fdsup://directions/FAT Viewer?action=UPDATE&amp;creator=factset&amp;DYN_ARGS=TRUE&amp;DOC_NAME=FAT:FQL_AUDITING_CLIENT_TEMPLATE.FAT&amp;display_string=Audit&amp;VAR:KEY=QXWTQTEFYT&amp;VAR:QUERY=RkZfRElWX1lMRChBTk4sNC8xMi8wNiw0LzEyLzA2KQ==&amp;WINDOW=FIRST_POPUP&amp;HEIGHT=450&amp;WIDTH=450&amp;","START_MAXIMIZED=FALSE&amp;VAR:CALENDAR=US&amp;VAR:SYMBOL=KO&amp;VAR:INDEX=0"}</definedName>
    <definedName name="_1835">#REF!</definedName>
    <definedName name="_1835__FDSAUDITLINK__" localSheetId="0" hidden="1">{"fdsup://directions/FAT Viewer?action=UPDATE&amp;creator=factset&amp;DYN_ARGS=TRUE&amp;DOC_NAME=FAT:FQL_AUDITING_CLIENT_TEMPLATE.FAT&amp;display_string=Audit&amp;VAR:KEY=WFGBCZSDWF&amp;VAR:QUERY=RkZfRElWX1lMRChBTk4sNC8wNS8wNiw0LzA1LzA2KQ==&amp;WINDOW=FIRST_POPUP&amp;HEIGHT=450&amp;WIDTH=450&amp;","START_MAXIMIZED=FALSE&amp;VAR:CALENDAR=US&amp;VAR:SYMBOL=KO&amp;VAR:INDEX=0"}</definedName>
    <definedName name="_1835__FDSAUDITLINK__" hidden="1">{"fdsup://directions/FAT Viewer?action=UPDATE&amp;creator=factset&amp;DYN_ARGS=TRUE&amp;DOC_NAME=FAT:FQL_AUDITING_CLIENT_TEMPLATE.FAT&amp;display_string=Audit&amp;VAR:KEY=WFGBCZSDWF&amp;VAR:QUERY=RkZfRElWX1lMRChBTk4sNC8wNS8wNiw0LzA1LzA2KQ==&amp;WINDOW=FIRST_POPUP&amp;HEIGHT=450&amp;WIDTH=450&amp;","START_MAXIMIZED=FALSE&amp;VAR:CALENDAR=US&amp;VAR:SYMBOL=KO&amp;VAR:INDEX=0"}</definedName>
    <definedName name="_1836__FDSAUDITLINK__" localSheetId="0" hidden="1">{"fdsup://directions/FAT Viewer?action=UPDATE&amp;creator=factset&amp;DYN_ARGS=TRUE&amp;DOC_NAME=FAT:FQL_AUDITING_CLIENT_TEMPLATE.FAT&amp;display_string=Audit&amp;VAR:KEY=ERSBMPSZIP&amp;VAR:QUERY=RkZfRElWX1lMRChBTk4sMy8yOS8wNiwzLzI5LzA2KQ==&amp;WINDOW=FIRST_POPUP&amp;HEIGHT=450&amp;WIDTH=450&amp;","START_MAXIMIZED=FALSE&amp;VAR:CALENDAR=US&amp;VAR:SYMBOL=KO&amp;VAR:INDEX=0"}</definedName>
    <definedName name="_1836__FDSAUDITLINK__" hidden="1">{"fdsup://directions/FAT Viewer?action=UPDATE&amp;creator=factset&amp;DYN_ARGS=TRUE&amp;DOC_NAME=FAT:FQL_AUDITING_CLIENT_TEMPLATE.FAT&amp;display_string=Audit&amp;VAR:KEY=ERSBMPSZIP&amp;VAR:QUERY=RkZfRElWX1lMRChBTk4sMy8yOS8wNiwzLzI5LzA2KQ==&amp;WINDOW=FIRST_POPUP&amp;HEIGHT=450&amp;WIDTH=450&amp;","START_MAXIMIZED=FALSE&amp;VAR:CALENDAR=US&amp;VAR:SYMBOL=KO&amp;VAR:INDEX=0"}</definedName>
    <definedName name="_1837">#REF!</definedName>
    <definedName name="_1837__FDSAUDITLINK__" localSheetId="0" hidden="1">{"fdsup://directions/FAT Viewer?action=UPDATE&amp;creator=factset&amp;DYN_ARGS=TRUE&amp;DOC_NAME=FAT:FQL_AUDITING_CLIENT_TEMPLATE.FAT&amp;display_string=Audit&amp;VAR:KEY=IVIZWFEFQN&amp;VAR:QUERY=RkZfRElWX1lMRChBTk4sMy8yMi8wNiwzLzIyLzA2KQ==&amp;WINDOW=FIRST_POPUP&amp;HEIGHT=450&amp;WIDTH=450&amp;","START_MAXIMIZED=FALSE&amp;VAR:CALENDAR=US&amp;VAR:SYMBOL=KO&amp;VAR:INDEX=0"}</definedName>
    <definedName name="_1837__FDSAUDITLINK__" hidden="1">{"fdsup://directions/FAT Viewer?action=UPDATE&amp;creator=factset&amp;DYN_ARGS=TRUE&amp;DOC_NAME=FAT:FQL_AUDITING_CLIENT_TEMPLATE.FAT&amp;display_string=Audit&amp;VAR:KEY=IVIZWFEFQN&amp;VAR:QUERY=RkZfRElWX1lMRChBTk4sMy8yMi8wNiwzLzIyLzA2KQ==&amp;WINDOW=FIRST_POPUP&amp;HEIGHT=450&amp;WIDTH=450&amp;","START_MAXIMIZED=FALSE&amp;VAR:CALENDAR=US&amp;VAR:SYMBOL=KO&amp;VAR:INDEX=0"}</definedName>
    <definedName name="_1838">#REF!</definedName>
    <definedName name="_1838__FDSAUDITLINK__" localSheetId="0" hidden="1">{"fdsup://directions/FAT Viewer?action=UPDATE&amp;creator=factset&amp;DYN_ARGS=TRUE&amp;DOC_NAME=FAT:FQL_AUDITING_CLIENT_TEMPLATE.FAT&amp;display_string=Audit&amp;VAR:KEY=ALGREFKRCT&amp;VAR:QUERY=RkZfRElWX1lMRChBTk4sMy8xNS8wNiwzLzE1LzA2KQ==&amp;WINDOW=FIRST_POPUP&amp;HEIGHT=450&amp;WIDTH=450&amp;","START_MAXIMIZED=FALSE&amp;VAR:CALENDAR=US&amp;VAR:SYMBOL=KO&amp;VAR:INDEX=0"}</definedName>
    <definedName name="_1838__FDSAUDITLINK__" hidden="1">{"fdsup://directions/FAT Viewer?action=UPDATE&amp;creator=factset&amp;DYN_ARGS=TRUE&amp;DOC_NAME=FAT:FQL_AUDITING_CLIENT_TEMPLATE.FAT&amp;display_string=Audit&amp;VAR:KEY=ALGREFKRCT&amp;VAR:QUERY=RkZfRElWX1lMRChBTk4sMy8xNS8wNiwzLzE1LzA2KQ==&amp;WINDOW=FIRST_POPUP&amp;HEIGHT=450&amp;WIDTH=450&amp;","START_MAXIMIZED=FALSE&amp;VAR:CALENDAR=US&amp;VAR:SYMBOL=KO&amp;VAR:INDEX=0"}</definedName>
    <definedName name="_1839">#REF!</definedName>
    <definedName name="_1839__FDSAUDITLINK__" localSheetId="0" hidden="1">{"fdsup://directions/FAT Viewer?action=UPDATE&amp;creator=factset&amp;DYN_ARGS=TRUE&amp;DOC_NAME=FAT:FQL_AUDITING_CLIENT_TEMPLATE.FAT&amp;display_string=Audit&amp;VAR:KEY=EFMBMJMFAV&amp;VAR:QUERY=RkZfRElWX1lMRChBTk4sMy8wOC8wNiwzLzA4LzA2KQ==&amp;WINDOW=FIRST_POPUP&amp;HEIGHT=450&amp;WIDTH=450&amp;","START_MAXIMIZED=FALSE&amp;VAR:CALENDAR=US&amp;VAR:SYMBOL=KO&amp;VAR:INDEX=0"}</definedName>
    <definedName name="_1839__FDSAUDITLINK__" hidden="1">{"fdsup://directions/FAT Viewer?action=UPDATE&amp;creator=factset&amp;DYN_ARGS=TRUE&amp;DOC_NAME=FAT:FQL_AUDITING_CLIENT_TEMPLATE.FAT&amp;display_string=Audit&amp;VAR:KEY=EFMBMJMFAV&amp;VAR:QUERY=RkZfRElWX1lMRChBTk4sMy8wOC8wNiwzLzA4LzA2KQ==&amp;WINDOW=FIRST_POPUP&amp;HEIGHT=450&amp;WIDTH=450&amp;","START_MAXIMIZED=FALSE&amp;VAR:CALENDAR=US&amp;VAR:SYMBOL=KO&amp;VAR:INDEX=0"}</definedName>
    <definedName name="_184">#REF!</definedName>
    <definedName name="_184__FDSAUDITLINK__" localSheetId="0" hidden="1">{"fdsup://directions/FAT Viewer?action=UPDATE&amp;creator=factset&amp;DYN_ARGS=TRUE&amp;DOC_NAME=FAT:FQL_AUDITING_CLIENT_TEMPLATE.FAT&amp;display_string=Audit&amp;VAR:KEY=QVUBQJANAR&amp;VAR:QUERY=QVZHKEZGX0RJVl9ZTEQoQU5OLDQxMDEyLC0zQVkpKQ==&amp;WINDOW=FIRST_POPUP&amp;HEIGHT=450&amp;WIDTH=450&amp;","START_MAXIMIZED=FALSE&amp;VAR:CALENDAR=US&amp;VAR:SYMBOL=PM"}</definedName>
    <definedName name="_184__FDSAUDITLINK__" hidden="1">{"fdsup://directions/FAT Viewer?action=UPDATE&amp;creator=factset&amp;DYN_ARGS=TRUE&amp;DOC_NAME=FAT:FQL_AUDITING_CLIENT_TEMPLATE.FAT&amp;display_string=Audit&amp;VAR:KEY=QVUBQJANAR&amp;VAR:QUERY=QVZHKEZGX0RJVl9ZTEQoQU5OLDQxMDEyLC0zQVkpKQ==&amp;WINDOW=FIRST_POPUP&amp;HEIGHT=450&amp;WIDTH=450&amp;","START_MAXIMIZED=FALSE&amp;VAR:CALENDAR=US&amp;VAR:SYMBOL=PM"}</definedName>
    <definedName name="_1840__FDSAUDITLINK__" localSheetId="0" hidden="1">{"fdsup://directions/FAT Viewer?action=UPDATE&amp;creator=factset&amp;DYN_ARGS=TRUE&amp;DOC_NAME=FAT:FQL_AUDITING_CLIENT_TEMPLATE.FAT&amp;display_string=Audit&amp;VAR:KEY=SFWXILKDUJ&amp;VAR:QUERY=RkZfRElWX1lMRChBTk4sMy8wMS8wNiwzLzAxLzA2KQ==&amp;WINDOW=FIRST_POPUP&amp;HEIGHT=450&amp;WIDTH=450&amp;","START_MAXIMIZED=FALSE&amp;VAR:CALENDAR=US&amp;VAR:SYMBOL=KO&amp;VAR:INDEX=0"}</definedName>
    <definedName name="_1840__FDSAUDITLINK__" hidden="1">{"fdsup://directions/FAT Viewer?action=UPDATE&amp;creator=factset&amp;DYN_ARGS=TRUE&amp;DOC_NAME=FAT:FQL_AUDITING_CLIENT_TEMPLATE.FAT&amp;display_string=Audit&amp;VAR:KEY=SFWXILKDUJ&amp;VAR:QUERY=RkZfRElWX1lMRChBTk4sMy8wMS8wNiwzLzAxLzA2KQ==&amp;WINDOW=FIRST_POPUP&amp;HEIGHT=450&amp;WIDTH=450&amp;","START_MAXIMIZED=FALSE&amp;VAR:CALENDAR=US&amp;VAR:SYMBOL=KO&amp;VAR:INDEX=0"}</definedName>
    <definedName name="_1841__FDSAUDITLINK__" localSheetId="0" hidden="1">{"fdsup://directions/FAT Viewer?action=UPDATE&amp;creator=factset&amp;DYN_ARGS=TRUE&amp;DOC_NAME=FAT:FQL_AUDITING_CLIENT_TEMPLATE.FAT&amp;display_string=Audit&amp;VAR:KEY=QBGNYTMHWH&amp;VAR:QUERY=RkZfRElWX1lMRChBTk4sMi8yMi8wNiwyLzIyLzA2KQ==&amp;WINDOW=FIRST_POPUP&amp;HEIGHT=450&amp;WIDTH=450&amp;","START_MAXIMIZED=FALSE&amp;VAR:CALENDAR=US&amp;VAR:SYMBOL=KO&amp;VAR:INDEX=0"}</definedName>
    <definedName name="_1841__FDSAUDITLINK__" hidden="1">{"fdsup://directions/FAT Viewer?action=UPDATE&amp;creator=factset&amp;DYN_ARGS=TRUE&amp;DOC_NAME=FAT:FQL_AUDITING_CLIENT_TEMPLATE.FAT&amp;display_string=Audit&amp;VAR:KEY=QBGNYTMHWH&amp;VAR:QUERY=RkZfRElWX1lMRChBTk4sMi8yMi8wNiwyLzIyLzA2KQ==&amp;WINDOW=FIRST_POPUP&amp;HEIGHT=450&amp;WIDTH=450&amp;","START_MAXIMIZED=FALSE&amp;VAR:CALENDAR=US&amp;VAR:SYMBOL=KO&amp;VAR:INDEX=0"}</definedName>
    <definedName name="_1842__FDSAUDITLINK__" localSheetId="0" hidden="1">{"fdsup://directions/FAT Viewer?action=UPDATE&amp;creator=factset&amp;DYN_ARGS=TRUE&amp;DOC_NAME=FAT:FQL_AUDITING_CLIENT_TEMPLATE.FAT&amp;display_string=Audit&amp;VAR:KEY=ORGTEDMJAP&amp;VAR:QUERY=RkZfRElWX1lMRChBTk4sMi8xNS8wNiwyLzE1LzA2KQ==&amp;WINDOW=FIRST_POPUP&amp;HEIGHT=450&amp;WIDTH=450&amp;","START_MAXIMIZED=FALSE&amp;VAR:CALENDAR=US&amp;VAR:SYMBOL=KO&amp;VAR:INDEX=0"}</definedName>
    <definedName name="_1842__FDSAUDITLINK__" hidden="1">{"fdsup://directions/FAT Viewer?action=UPDATE&amp;creator=factset&amp;DYN_ARGS=TRUE&amp;DOC_NAME=FAT:FQL_AUDITING_CLIENT_TEMPLATE.FAT&amp;display_string=Audit&amp;VAR:KEY=ORGTEDMJAP&amp;VAR:QUERY=RkZfRElWX1lMRChBTk4sMi8xNS8wNiwyLzE1LzA2KQ==&amp;WINDOW=FIRST_POPUP&amp;HEIGHT=450&amp;WIDTH=450&amp;","START_MAXIMIZED=FALSE&amp;VAR:CALENDAR=US&amp;VAR:SYMBOL=KO&amp;VAR:INDEX=0"}</definedName>
    <definedName name="_1843__FDSAUDITLINK__" localSheetId="0" hidden="1">{"fdsup://directions/FAT Viewer?action=UPDATE&amp;creator=factset&amp;DYN_ARGS=TRUE&amp;DOC_NAME=FAT:FQL_AUDITING_CLIENT_TEMPLATE.FAT&amp;display_string=Audit&amp;VAR:KEY=OFWHCVGVMT&amp;VAR:QUERY=RkZfRElWX1lMRChBTk4sMi8wOC8wNiwyLzA4LzA2KQ==&amp;WINDOW=FIRST_POPUP&amp;HEIGHT=450&amp;WIDTH=450&amp;","START_MAXIMIZED=FALSE&amp;VAR:CALENDAR=US&amp;VAR:SYMBOL=KO&amp;VAR:INDEX=0"}</definedName>
    <definedName name="_1843__FDSAUDITLINK__" hidden="1">{"fdsup://directions/FAT Viewer?action=UPDATE&amp;creator=factset&amp;DYN_ARGS=TRUE&amp;DOC_NAME=FAT:FQL_AUDITING_CLIENT_TEMPLATE.FAT&amp;display_string=Audit&amp;VAR:KEY=OFWHCVGVMT&amp;VAR:QUERY=RkZfRElWX1lMRChBTk4sMi8wOC8wNiwyLzA4LzA2KQ==&amp;WINDOW=FIRST_POPUP&amp;HEIGHT=450&amp;WIDTH=450&amp;","START_MAXIMIZED=FALSE&amp;VAR:CALENDAR=US&amp;VAR:SYMBOL=KO&amp;VAR:INDEX=0"}</definedName>
    <definedName name="_1844">#REF!</definedName>
    <definedName name="_1844__FDSAUDITLINK__" localSheetId="0" hidden="1">{"fdsup://directions/FAT Viewer?action=UPDATE&amp;creator=factset&amp;DYN_ARGS=TRUE&amp;DOC_NAME=FAT:FQL_AUDITING_CLIENT_TEMPLATE.FAT&amp;display_string=Audit&amp;VAR:KEY=SVUTUBWBOR&amp;VAR:QUERY=RkZfRElWX1lMRChBTk4sMi8wMS8wNiwyLzAxLzA2KQ==&amp;WINDOW=FIRST_POPUP&amp;HEIGHT=450&amp;WIDTH=450&amp;","START_MAXIMIZED=FALSE&amp;VAR:CALENDAR=US&amp;VAR:SYMBOL=KO&amp;VAR:INDEX=0"}</definedName>
    <definedName name="_1844__FDSAUDITLINK__" hidden="1">{"fdsup://directions/FAT Viewer?action=UPDATE&amp;creator=factset&amp;DYN_ARGS=TRUE&amp;DOC_NAME=FAT:FQL_AUDITING_CLIENT_TEMPLATE.FAT&amp;display_string=Audit&amp;VAR:KEY=SVUTUBWBOR&amp;VAR:QUERY=RkZfRElWX1lMRChBTk4sMi8wMS8wNiwyLzAxLzA2KQ==&amp;WINDOW=FIRST_POPUP&amp;HEIGHT=450&amp;WIDTH=450&amp;","START_MAXIMIZED=FALSE&amp;VAR:CALENDAR=US&amp;VAR:SYMBOL=KO&amp;VAR:INDEX=0"}</definedName>
    <definedName name="_1845__FDSAUDITLINK__" localSheetId="0" hidden="1">{"fdsup://directions/FAT Viewer?action=UPDATE&amp;creator=factset&amp;DYN_ARGS=TRUE&amp;DOC_NAME=FAT:FQL_AUDITING_CLIENT_TEMPLATE.FAT&amp;display_string=Audit&amp;VAR:KEY=QVETAFQJCR&amp;VAR:QUERY=RkZfRElWX1lMRChBTk4sMS8yNS8wNiwxLzI1LzA2KQ==&amp;WINDOW=FIRST_POPUP&amp;HEIGHT=450&amp;WIDTH=450&amp;","START_MAXIMIZED=FALSE&amp;VAR:CALENDAR=US&amp;VAR:SYMBOL=KO&amp;VAR:INDEX=0"}</definedName>
    <definedName name="_1845__FDSAUDITLINK__" hidden="1">{"fdsup://directions/FAT Viewer?action=UPDATE&amp;creator=factset&amp;DYN_ARGS=TRUE&amp;DOC_NAME=FAT:FQL_AUDITING_CLIENT_TEMPLATE.FAT&amp;display_string=Audit&amp;VAR:KEY=QVETAFQJCR&amp;VAR:QUERY=RkZfRElWX1lMRChBTk4sMS8yNS8wNiwxLzI1LzA2KQ==&amp;WINDOW=FIRST_POPUP&amp;HEIGHT=450&amp;WIDTH=450&amp;","START_MAXIMIZED=FALSE&amp;VAR:CALENDAR=US&amp;VAR:SYMBOL=KO&amp;VAR:INDEX=0"}</definedName>
    <definedName name="_1846__FDSAUDITLINK__" localSheetId="0" hidden="1">{"fdsup://directions/FAT Viewer?action=UPDATE&amp;creator=factset&amp;DYN_ARGS=TRUE&amp;DOC_NAME=FAT:FQL_AUDITING_CLIENT_TEMPLATE.FAT&amp;display_string=Audit&amp;VAR:KEY=MTQPWNELQN&amp;VAR:QUERY=RkZfRElWX1lMRChBTk4sMS8xOC8wNiwxLzE4LzA2KQ==&amp;WINDOW=FIRST_POPUP&amp;HEIGHT=450&amp;WIDTH=450&amp;","START_MAXIMIZED=FALSE&amp;VAR:CALENDAR=US&amp;VAR:SYMBOL=KO&amp;VAR:INDEX=0"}</definedName>
    <definedName name="_1846__FDSAUDITLINK__" hidden="1">{"fdsup://directions/FAT Viewer?action=UPDATE&amp;creator=factset&amp;DYN_ARGS=TRUE&amp;DOC_NAME=FAT:FQL_AUDITING_CLIENT_TEMPLATE.FAT&amp;display_string=Audit&amp;VAR:KEY=MTQPWNELQN&amp;VAR:QUERY=RkZfRElWX1lMRChBTk4sMS8xOC8wNiwxLzE4LzA2KQ==&amp;WINDOW=FIRST_POPUP&amp;HEIGHT=450&amp;WIDTH=450&amp;","START_MAXIMIZED=FALSE&amp;VAR:CALENDAR=US&amp;VAR:SYMBOL=KO&amp;VAR:INDEX=0"}</definedName>
    <definedName name="_1847__FDSAUDITLINK__" localSheetId="0" hidden="1">{"fdsup://directions/FAT Viewer?action=UPDATE&amp;creator=factset&amp;DYN_ARGS=TRUE&amp;DOC_NAME=FAT:FQL_AUDITING_CLIENT_TEMPLATE.FAT&amp;display_string=Audit&amp;VAR:KEY=GTCNOZWVGJ&amp;VAR:QUERY=RkZfRElWX1lMRChBTk4sMS8xMS8wNiwxLzExLzA2KQ==&amp;WINDOW=FIRST_POPUP&amp;HEIGHT=450&amp;WIDTH=450&amp;","START_MAXIMIZED=FALSE&amp;VAR:CALENDAR=US&amp;VAR:SYMBOL=KO&amp;VAR:INDEX=0"}</definedName>
    <definedName name="_1847__FDSAUDITLINK__" hidden="1">{"fdsup://directions/FAT Viewer?action=UPDATE&amp;creator=factset&amp;DYN_ARGS=TRUE&amp;DOC_NAME=FAT:FQL_AUDITING_CLIENT_TEMPLATE.FAT&amp;display_string=Audit&amp;VAR:KEY=GTCNOZWVGJ&amp;VAR:QUERY=RkZfRElWX1lMRChBTk4sMS8xMS8wNiwxLzExLzA2KQ==&amp;WINDOW=FIRST_POPUP&amp;HEIGHT=450&amp;WIDTH=450&amp;","START_MAXIMIZED=FALSE&amp;VAR:CALENDAR=US&amp;VAR:SYMBOL=KO&amp;VAR:INDEX=0"}</definedName>
    <definedName name="_1848__FDSAUDITLINK__" localSheetId="0" hidden="1">{"fdsup://directions/FAT Viewer?action=UPDATE&amp;creator=factset&amp;DYN_ARGS=TRUE&amp;DOC_NAME=FAT:FQL_AUDITING_CLIENT_TEMPLATE.FAT&amp;display_string=Audit&amp;VAR:KEY=ONKRSHUPIJ&amp;VAR:QUERY=RkZfRElWX1lMRChBTk4sMS8wNC8wNiwxLzA0LzA2KQ==&amp;WINDOW=FIRST_POPUP&amp;HEIGHT=450&amp;WIDTH=450&amp;","START_MAXIMIZED=FALSE&amp;VAR:CALENDAR=US&amp;VAR:SYMBOL=KO&amp;VAR:INDEX=0"}</definedName>
    <definedName name="_1848__FDSAUDITLINK__" hidden="1">{"fdsup://directions/FAT Viewer?action=UPDATE&amp;creator=factset&amp;DYN_ARGS=TRUE&amp;DOC_NAME=FAT:FQL_AUDITING_CLIENT_TEMPLATE.FAT&amp;display_string=Audit&amp;VAR:KEY=ONKRSHUPIJ&amp;VAR:QUERY=RkZfRElWX1lMRChBTk4sMS8wNC8wNiwxLzA0LzA2KQ==&amp;WINDOW=FIRST_POPUP&amp;HEIGHT=450&amp;WIDTH=450&amp;","START_MAXIMIZED=FALSE&amp;VAR:CALENDAR=US&amp;VAR:SYMBOL=KO&amp;VAR:INDEX=0"}</definedName>
    <definedName name="_1849__FDSAUDITLINK__" localSheetId="0" hidden="1">{"fdsup://directions/FAT Viewer?action=UPDATE&amp;creator=factset&amp;DYN_ARGS=TRUE&amp;DOC_NAME=FAT:FQL_AUDITING_CLIENT_TEMPLATE.FAT&amp;display_string=Audit&amp;VAR:KEY=AFUXCHUBMJ&amp;VAR:QUERY=RkZfRElWX1lMRChBTk4sMTIvMjgvMDUsMTIvMjgvMDUp&amp;WINDOW=FIRST_POPUP&amp;HEIGHT=450&amp;WIDTH=450&amp;","START_MAXIMIZED=FALSE&amp;VAR:CALENDAR=US&amp;VAR:SYMBOL=KO&amp;VAR:INDEX=0"}</definedName>
    <definedName name="_1849__FDSAUDITLINK__" hidden="1">{"fdsup://directions/FAT Viewer?action=UPDATE&amp;creator=factset&amp;DYN_ARGS=TRUE&amp;DOC_NAME=FAT:FQL_AUDITING_CLIENT_TEMPLATE.FAT&amp;display_string=Audit&amp;VAR:KEY=AFUXCHUBMJ&amp;VAR:QUERY=RkZfRElWX1lMRChBTk4sMTIvMjgvMDUsMTIvMjgvMDUp&amp;WINDOW=FIRST_POPUP&amp;HEIGHT=450&amp;WIDTH=450&amp;","START_MAXIMIZED=FALSE&amp;VAR:CALENDAR=US&amp;VAR:SYMBOL=KO&amp;VAR:INDEX=0"}</definedName>
    <definedName name="_185">#REF!</definedName>
    <definedName name="_185__FDSAUDITLINK__" localSheetId="0" hidden="1">{"fdsup://directions/FAT Viewer?action=UPDATE&amp;creator=factset&amp;DYN_ARGS=TRUE&amp;DOC_NAME=FAT:FQL_AUDITING_CLIENT_TEMPLATE.FAT&amp;display_string=Audit&amp;VAR:KEY=RWHSVELSRG&amp;VAR:QUERY=RkZfRElWX1lMRChBTk4sOS8yMC8wNyw5LzIwLzA3KQ==&amp;WINDOW=FIRST_POPUP&amp;HEIGHT=450&amp;WIDTH=450&amp;","START_MAXIMIZED=FALSE&amp;VAR:CALENDAR=US&amp;VAR:SYMBOL=RAI&amp;VAR:INDEX=0"}</definedName>
    <definedName name="_185__FDSAUDITLINK__" hidden="1">{"fdsup://directions/FAT Viewer?action=UPDATE&amp;creator=factset&amp;DYN_ARGS=TRUE&amp;DOC_NAME=FAT:FQL_AUDITING_CLIENT_TEMPLATE.FAT&amp;display_string=Audit&amp;VAR:KEY=RWHSVELSRG&amp;VAR:QUERY=RkZfRElWX1lMRChBTk4sOS8yMC8wNyw5LzIwLzA3KQ==&amp;WINDOW=FIRST_POPUP&amp;HEIGHT=450&amp;WIDTH=450&amp;","START_MAXIMIZED=FALSE&amp;VAR:CALENDAR=US&amp;VAR:SYMBOL=RAI&amp;VAR:INDEX=0"}</definedName>
    <definedName name="_1850__FDSAUDITLINK__" localSheetId="0" hidden="1">{"fdsup://directions/FAT Viewer?action=UPDATE&amp;creator=factset&amp;DYN_ARGS=TRUE&amp;DOC_NAME=FAT:FQL_AUDITING_CLIENT_TEMPLATE.FAT&amp;display_string=Audit&amp;VAR:KEY=EDKRMXOVSZ&amp;VAR:QUERY=RkZfRElWX1lMRChBTk4sMTIvMjEvMDUsMTIvMjEvMDUp&amp;WINDOW=FIRST_POPUP&amp;HEIGHT=450&amp;WIDTH=450&amp;","START_MAXIMIZED=FALSE&amp;VAR:CALENDAR=US&amp;VAR:SYMBOL=KO&amp;VAR:INDEX=0"}</definedName>
    <definedName name="_1850__FDSAUDITLINK__" hidden="1">{"fdsup://directions/FAT Viewer?action=UPDATE&amp;creator=factset&amp;DYN_ARGS=TRUE&amp;DOC_NAME=FAT:FQL_AUDITING_CLIENT_TEMPLATE.FAT&amp;display_string=Audit&amp;VAR:KEY=EDKRMXOVSZ&amp;VAR:QUERY=RkZfRElWX1lMRChBTk4sMTIvMjEvMDUsMTIvMjEvMDUp&amp;WINDOW=FIRST_POPUP&amp;HEIGHT=450&amp;WIDTH=450&amp;","START_MAXIMIZED=FALSE&amp;VAR:CALENDAR=US&amp;VAR:SYMBOL=KO&amp;VAR:INDEX=0"}</definedName>
    <definedName name="_1851__FDSAUDITLINK__" localSheetId="0" hidden="1">{"fdsup://directions/FAT Viewer?action=UPDATE&amp;creator=factset&amp;DYN_ARGS=TRUE&amp;DOC_NAME=FAT:FQL_AUDITING_CLIENT_TEMPLATE.FAT&amp;display_string=Audit&amp;VAR:KEY=IBSLSZSFUP&amp;VAR:QUERY=RkZfRElWX1lMRChBTk4sMTIvMTQvMDUsMTIvMTQvMDUp&amp;WINDOW=FIRST_POPUP&amp;HEIGHT=450&amp;WIDTH=450&amp;","START_MAXIMIZED=FALSE&amp;VAR:CALENDAR=US&amp;VAR:SYMBOL=KO&amp;VAR:INDEX=0"}</definedName>
    <definedName name="_1851__FDSAUDITLINK__" hidden="1">{"fdsup://directions/FAT Viewer?action=UPDATE&amp;creator=factset&amp;DYN_ARGS=TRUE&amp;DOC_NAME=FAT:FQL_AUDITING_CLIENT_TEMPLATE.FAT&amp;display_string=Audit&amp;VAR:KEY=IBSLSZSFUP&amp;VAR:QUERY=RkZfRElWX1lMRChBTk4sMTIvMTQvMDUsMTIvMTQvMDUp&amp;WINDOW=FIRST_POPUP&amp;HEIGHT=450&amp;WIDTH=450&amp;","START_MAXIMIZED=FALSE&amp;VAR:CALENDAR=US&amp;VAR:SYMBOL=KO&amp;VAR:INDEX=0"}</definedName>
    <definedName name="_1852">#REF!</definedName>
    <definedName name="_1852__FDSAUDITLINK__" localSheetId="0" hidden="1">{"fdsup://directions/FAT Viewer?action=UPDATE&amp;creator=factset&amp;DYN_ARGS=TRUE&amp;DOC_NAME=FAT:FQL_AUDITING_CLIENT_TEMPLATE.FAT&amp;display_string=Audit&amp;VAR:KEY=UHWJCLCNYV&amp;VAR:QUERY=RkZfRElWX1lMRChBTk4sMTIvMDcvMDUsMTIvMDcvMDUp&amp;WINDOW=FIRST_POPUP&amp;HEIGHT=450&amp;WIDTH=450&amp;","START_MAXIMIZED=FALSE&amp;VAR:CALENDAR=US&amp;VAR:SYMBOL=KO&amp;VAR:INDEX=0"}</definedName>
    <definedName name="_1852__FDSAUDITLINK__" hidden="1">{"fdsup://directions/FAT Viewer?action=UPDATE&amp;creator=factset&amp;DYN_ARGS=TRUE&amp;DOC_NAME=FAT:FQL_AUDITING_CLIENT_TEMPLATE.FAT&amp;display_string=Audit&amp;VAR:KEY=UHWJCLCNYV&amp;VAR:QUERY=RkZfRElWX1lMRChBTk4sMTIvMDcvMDUsMTIvMDcvMDUp&amp;WINDOW=FIRST_POPUP&amp;HEIGHT=450&amp;WIDTH=450&amp;","START_MAXIMIZED=FALSE&amp;VAR:CALENDAR=US&amp;VAR:SYMBOL=KO&amp;VAR:INDEX=0"}</definedName>
    <definedName name="_1853__FDSAUDITLINK__" localSheetId="0" hidden="1">{"fdsup://directions/FAT Viewer?action=UPDATE&amp;creator=factset&amp;DYN_ARGS=TRUE&amp;DOC_NAME=FAT:FQL_AUDITING_CLIENT_TEMPLATE.FAT&amp;display_string=Audit&amp;VAR:KEY=SDSVYLUFIR&amp;VAR:QUERY=RkZfRElWX1lMRChBTk4sMTEvMzAvMDUsMTEvMzAvMDUp&amp;WINDOW=FIRST_POPUP&amp;HEIGHT=450&amp;WIDTH=450&amp;","START_MAXIMIZED=FALSE&amp;VAR:CALENDAR=US&amp;VAR:SYMBOL=KO&amp;VAR:INDEX=0"}</definedName>
    <definedName name="_1853__FDSAUDITLINK__" hidden="1">{"fdsup://directions/FAT Viewer?action=UPDATE&amp;creator=factset&amp;DYN_ARGS=TRUE&amp;DOC_NAME=FAT:FQL_AUDITING_CLIENT_TEMPLATE.FAT&amp;display_string=Audit&amp;VAR:KEY=SDSVYLUFIR&amp;VAR:QUERY=RkZfRElWX1lMRChBTk4sMTEvMzAvMDUsMTEvMzAvMDUp&amp;WINDOW=FIRST_POPUP&amp;HEIGHT=450&amp;WIDTH=450&amp;","START_MAXIMIZED=FALSE&amp;VAR:CALENDAR=US&amp;VAR:SYMBOL=KO&amp;VAR:INDEX=0"}</definedName>
    <definedName name="_1854__FDSAUDITLINK__" localSheetId="0" hidden="1">{"fdsup://directions/FAT Viewer?action=UPDATE&amp;creator=factset&amp;DYN_ARGS=TRUE&amp;DOC_NAME=FAT:FQL_AUDITING_CLIENT_TEMPLATE.FAT&amp;display_string=Audit&amp;VAR:KEY=YRATIRQBQF&amp;VAR:QUERY=RkZfRElWX1lMRChBTk4sMTEvMjMvMDUsMTEvMjMvMDUp&amp;WINDOW=FIRST_POPUP&amp;HEIGHT=450&amp;WIDTH=450&amp;","START_MAXIMIZED=FALSE&amp;VAR:CALENDAR=US&amp;VAR:SYMBOL=KO&amp;VAR:INDEX=0"}</definedName>
    <definedName name="_1854__FDSAUDITLINK__" hidden="1">{"fdsup://directions/FAT Viewer?action=UPDATE&amp;creator=factset&amp;DYN_ARGS=TRUE&amp;DOC_NAME=FAT:FQL_AUDITING_CLIENT_TEMPLATE.FAT&amp;display_string=Audit&amp;VAR:KEY=YRATIRQBQF&amp;VAR:QUERY=RkZfRElWX1lMRChBTk4sMTEvMjMvMDUsMTEvMjMvMDUp&amp;WINDOW=FIRST_POPUP&amp;HEIGHT=450&amp;WIDTH=450&amp;","START_MAXIMIZED=FALSE&amp;VAR:CALENDAR=US&amp;VAR:SYMBOL=KO&amp;VAR:INDEX=0"}</definedName>
    <definedName name="_1855__FDSAUDITLINK__" localSheetId="0" hidden="1">{"fdsup://directions/FAT Viewer?action=UPDATE&amp;creator=factset&amp;DYN_ARGS=TRUE&amp;DOC_NAME=FAT:FQL_AUDITING_CLIENT_TEMPLATE.FAT&amp;display_string=Audit&amp;VAR:KEY=WPEHKBKFAR&amp;VAR:QUERY=RkZfRElWX1lMRChBTk4sMTEvMTYvMDUsMTEvMTYvMDUp&amp;WINDOW=FIRST_POPUP&amp;HEIGHT=450&amp;WIDTH=450&amp;","START_MAXIMIZED=FALSE&amp;VAR:CALENDAR=US&amp;VAR:SYMBOL=KO&amp;VAR:INDEX=0"}</definedName>
    <definedName name="_1855__FDSAUDITLINK__" hidden="1">{"fdsup://directions/FAT Viewer?action=UPDATE&amp;creator=factset&amp;DYN_ARGS=TRUE&amp;DOC_NAME=FAT:FQL_AUDITING_CLIENT_TEMPLATE.FAT&amp;display_string=Audit&amp;VAR:KEY=WPEHKBKFAR&amp;VAR:QUERY=RkZfRElWX1lMRChBTk4sMTEvMTYvMDUsMTEvMTYvMDUp&amp;WINDOW=FIRST_POPUP&amp;HEIGHT=450&amp;WIDTH=450&amp;","START_MAXIMIZED=FALSE&amp;VAR:CALENDAR=US&amp;VAR:SYMBOL=KO&amp;VAR:INDEX=0"}</definedName>
    <definedName name="_1856">#REF!</definedName>
    <definedName name="_1856__FDSAUDITLINK__" localSheetId="0" hidden="1">{"fdsup://directions/FAT Viewer?action=UPDATE&amp;creator=factset&amp;DYN_ARGS=TRUE&amp;DOC_NAME=FAT:FQL_AUDITING_CLIENT_TEMPLATE.FAT&amp;display_string=Audit&amp;VAR:KEY=ADATMJSXSZ&amp;VAR:QUERY=RkZfRElWX1lMRChBTk4sMTEvMDkvMDUsMTEvMDkvMDUp&amp;WINDOW=FIRST_POPUP&amp;HEIGHT=450&amp;WIDTH=450&amp;","START_MAXIMIZED=FALSE&amp;VAR:CALENDAR=US&amp;VAR:SYMBOL=KO&amp;VAR:INDEX=0"}</definedName>
    <definedName name="_1856__FDSAUDITLINK__" hidden="1">{"fdsup://directions/FAT Viewer?action=UPDATE&amp;creator=factset&amp;DYN_ARGS=TRUE&amp;DOC_NAME=FAT:FQL_AUDITING_CLIENT_TEMPLATE.FAT&amp;display_string=Audit&amp;VAR:KEY=ADATMJSXSZ&amp;VAR:QUERY=RkZfRElWX1lMRChBTk4sMTEvMDkvMDUsMTEvMDkvMDUp&amp;WINDOW=FIRST_POPUP&amp;HEIGHT=450&amp;WIDTH=450&amp;","START_MAXIMIZED=FALSE&amp;VAR:CALENDAR=US&amp;VAR:SYMBOL=KO&amp;VAR:INDEX=0"}</definedName>
    <definedName name="_1857__FDSAUDITLINK__" localSheetId="0" hidden="1">{"fdsup://directions/FAT Viewer?action=UPDATE&amp;creator=factset&amp;DYN_ARGS=TRUE&amp;DOC_NAME=FAT:FQL_AUDITING_CLIENT_TEMPLATE.FAT&amp;display_string=Audit&amp;VAR:KEY=AVGZWNAJCL&amp;VAR:QUERY=RkZfRElWX1lMRChBTk4sMTEvMDIvMDUsMTEvMDIvMDUp&amp;WINDOW=FIRST_POPUP&amp;HEIGHT=450&amp;WIDTH=450&amp;","START_MAXIMIZED=FALSE&amp;VAR:CALENDAR=US&amp;VAR:SYMBOL=KO&amp;VAR:INDEX=0"}</definedName>
    <definedName name="_1857__FDSAUDITLINK__" hidden="1">{"fdsup://directions/FAT Viewer?action=UPDATE&amp;creator=factset&amp;DYN_ARGS=TRUE&amp;DOC_NAME=FAT:FQL_AUDITING_CLIENT_TEMPLATE.FAT&amp;display_string=Audit&amp;VAR:KEY=AVGZWNAJCL&amp;VAR:QUERY=RkZfRElWX1lMRChBTk4sMTEvMDIvMDUsMTEvMDIvMDUp&amp;WINDOW=FIRST_POPUP&amp;HEIGHT=450&amp;WIDTH=450&amp;","START_MAXIMIZED=FALSE&amp;VAR:CALENDAR=US&amp;VAR:SYMBOL=KO&amp;VAR:INDEX=0"}</definedName>
    <definedName name="_1858__FDSAUDITLINK__" localSheetId="0" hidden="1">{"fdsup://directions/FAT Viewer?action=UPDATE&amp;creator=factset&amp;DYN_ARGS=TRUE&amp;DOC_NAME=FAT:FQL_AUDITING_CLIENT_TEMPLATE.FAT&amp;display_string=Audit&amp;VAR:KEY=WNGXKDMLGL&amp;VAR:QUERY=RkZfRElWX1lMRChBTk4sMTAvMjYvMDUsMTAvMjYvMDUp&amp;WINDOW=FIRST_POPUP&amp;HEIGHT=450&amp;WIDTH=450&amp;","START_MAXIMIZED=FALSE&amp;VAR:CALENDAR=US&amp;VAR:SYMBOL=KO&amp;VAR:INDEX=0"}</definedName>
    <definedName name="_1858__FDSAUDITLINK__" hidden="1">{"fdsup://directions/FAT Viewer?action=UPDATE&amp;creator=factset&amp;DYN_ARGS=TRUE&amp;DOC_NAME=FAT:FQL_AUDITING_CLIENT_TEMPLATE.FAT&amp;display_string=Audit&amp;VAR:KEY=WNGXKDMLGL&amp;VAR:QUERY=RkZfRElWX1lMRChBTk4sMTAvMjYvMDUsMTAvMjYvMDUp&amp;WINDOW=FIRST_POPUP&amp;HEIGHT=450&amp;WIDTH=450&amp;","START_MAXIMIZED=FALSE&amp;VAR:CALENDAR=US&amp;VAR:SYMBOL=KO&amp;VAR:INDEX=0"}</definedName>
    <definedName name="_1859__FDSAUDITLINK__" localSheetId="0" hidden="1">{"fdsup://directions/FAT Viewer?action=UPDATE&amp;creator=factset&amp;DYN_ARGS=TRUE&amp;DOC_NAME=FAT:FQL_AUDITING_CLIENT_TEMPLATE.FAT&amp;display_string=Audit&amp;VAR:KEY=CPCJENMTCD&amp;VAR:QUERY=RkZfRElWX1lMRChBTk4sMTAvMTkvMDUsMTAvMTkvMDUp&amp;WINDOW=FIRST_POPUP&amp;HEIGHT=450&amp;WIDTH=450&amp;","START_MAXIMIZED=FALSE&amp;VAR:CALENDAR=US&amp;VAR:SYMBOL=KO&amp;VAR:INDEX=0"}</definedName>
    <definedName name="_1859__FDSAUDITLINK__" hidden="1">{"fdsup://directions/FAT Viewer?action=UPDATE&amp;creator=factset&amp;DYN_ARGS=TRUE&amp;DOC_NAME=FAT:FQL_AUDITING_CLIENT_TEMPLATE.FAT&amp;display_string=Audit&amp;VAR:KEY=CPCJENMTCD&amp;VAR:QUERY=RkZfRElWX1lMRChBTk4sMTAvMTkvMDUsMTAvMTkvMDUp&amp;WINDOW=FIRST_POPUP&amp;HEIGHT=450&amp;WIDTH=450&amp;","START_MAXIMIZED=FALSE&amp;VAR:CALENDAR=US&amp;VAR:SYMBOL=KO&amp;VAR:INDEX=0"}</definedName>
    <definedName name="_186">#REF!</definedName>
    <definedName name="_186__123Graph_XQRE_S_BY_CO.">#REF!</definedName>
    <definedName name="_186__FDSAUDITLINK__" localSheetId="0" hidden="1">{"fdsup://directions/FAT Viewer?action=UPDATE&amp;creator=factset&amp;DYN_ARGS=TRUE&amp;DOC_NAME=FAT:FQL_AUDITING_CLIENT_TEMPLATE.FAT&amp;display_string=Audit&amp;VAR:KEY=FWVQLYBWTQ&amp;VAR:QUERY=RkZfRElWX1lMRChBTk4sOS8xMy8wNyw5LzEzLzA3KQ==&amp;WINDOW=FIRST_POPUP&amp;HEIGHT=450&amp;WIDTH=450&amp;","START_MAXIMIZED=FALSE&amp;VAR:CALENDAR=US&amp;VAR:SYMBOL=RAI&amp;VAR:INDEX=0"}</definedName>
    <definedName name="_186__FDSAUDITLINK__" hidden="1">{"fdsup://directions/FAT Viewer?action=UPDATE&amp;creator=factset&amp;DYN_ARGS=TRUE&amp;DOC_NAME=FAT:FQL_AUDITING_CLIENT_TEMPLATE.FAT&amp;display_string=Audit&amp;VAR:KEY=FWVQLYBWTQ&amp;VAR:QUERY=RkZfRElWX1lMRChBTk4sOS8xMy8wNyw5LzEzLzA3KQ==&amp;WINDOW=FIRST_POPUP&amp;HEIGHT=450&amp;WIDTH=450&amp;","START_MAXIMIZED=FALSE&amp;VAR:CALENDAR=US&amp;VAR:SYMBOL=RAI&amp;VAR:INDEX=0"}</definedName>
    <definedName name="_1860__FDSAUDITLINK__" localSheetId="0" hidden="1">{"fdsup://directions/FAT Viewer?action=UPDATE&amp;creator=factset&amp;DYN_ARGS=TRUE&amp;DOC_NAME=FAT:FQL_AUDITING_CLIENT_TEMPLATE.FAT&amp;display_string=Audit&amp;VAR:KEY=OXQVCVKZKZ&amp;VAR:QUERY=RkZfRElWX1lMRChBTk4sMTAvMTIvMDUsMTAvMTIvMDUp&amp;WINDOW=FIRST_POPUP&amp;HEIGHT=450&amp;WIDTH=450&amp;","START_MAXIMIZED=FALSE&amp;VAR:CALENDAR=US&amp;VAR:SYMBOL=KO&amp;VAR:INDEX=0"}</definedName>
    <definedName name="_1860__FDSAUDITLINK__" hidden="1">{"fdsup://directions/FAT Viewer?action=UPDATE&amp;creator=factset&amp;DYN_ARGS=TRUE&amp;DOC_NAME=FAT:FQL_AUDITING_CLIENT_TEMPLATE.FAT&amp;display_string=Audit&amp;VAR:KEY=OXQVCVKZKZ&amp;VAR:QUERY=RkZfRElWX1lMRChBTk4sMTAvMTIvMDUsMTAvMTIvMDUp&amp;WINDOW=FIRST_POPUP&amp;HEIGHT=450&amp;WIDTH=450&amp;","START_MAXIMIZED=FALSE&amp;VAR:CALENDAR=US&amp;VAR:SYMBOL=KO&amp;VAR:INDEX=0"}</definedName>
    <definedName name="_1861">#REF!</definedName>
    <definedName name="_1861__FDSAUDITLINK__" localSheetId="0" hidden="1">{"fdsup://directions/FAT Viewer?action=UPDATE&amp;creator=factset&amp;DYN_ARGS=TRUE&amp;DOC_NAME=FAT:FQL_AUDITING_CLIENT_TEMPLATE.FAT&amp;display_string=Audit&amp;VAR:KEY=KXODUVEZSN&amp;VAR:QUERY=RkZfRElWX1lMRChBTk4sMTAvMDUvMDUsMTAvMDUvMDUp&amp;WINDOW=FIRST_POPUP&amp;HEIGHT=450&amp;WIDTH=450&amp;","START_MAXIMIZED=FALSE&amp;VAR:CALENDAR=US&amp;VAR:SYMBOL=KO&amp;VAR:INDEX=0"}</definedName>
    <definedName name="_1861__FDSAUDITLINK__" hidden="1">{"fdsup://directions/FAT Viewer?action=UPDATE&amp;creator=factset&amp;DYN_ARGS=TRUE&amp;DOC_NAME=FAT:FQL_AUDITING_CLIENT_TEMPLATE.FAT&amp;display_string=Audit&amp;VAR:KEY=KXODUVEZSN&amp;VAR:QUERY=RkZfRElWX1lMRChBTk4sMTAvMDUvMDUsMTAvMDUvMDUp&amp;WINDOW=FIRST_POPUP&amp;HEIGHT=450&amp;WIDTH=450&amp;","START_MAXIMIZED=FALSE&amp;VAR:CALENDAR=US&amp;VAR:SYMBOL=KO&amp;VAR:INDEX=0"}</definedName>
    <definedName name="_1862__FDSAUDITLINK__" localSheetId="0" hidden="1">{"fdsup://directions/FAT Viewer?action=UPDATE&amp;creator=factset&amp;DYN_ARGS=TRUE&amp;DOC_NAME=FAT:FQL_AUDITING_CLIENT_TEMPLATE.FAT&amp;display_string=Audit&amp;VAR:KEY=QVCNEPWZOT&amp;VAR:QUERY=RkZfRElWX1lMRChBTk4sOS8yOC8wNSw5LzI4LzA1KQ==&amp;WINDOW=FIRST_POPUP&amp;HEIGHT=450&amp;WIDTH=450&amp;","START_MAXIMIZED=FALSE&amp;VAR:CALENDAR=US&amp;VAR:SYMBOL=KO&amp;VAR:INDEX=0"}</definedName>
    <definedName name="_1862__FDSAUDITLINK__" hidden="1">{"fdsup://directions/FAT Viewer?action=UPDATE&amp;creator=factset&amp;DYN_ARGS=TRUE&amp;DOC_NAME=FAT:FQL_AUDITING_CLIENT_TEMPLATE.FAT&amp;display_string=Audit&amp;VAR:KEY=QVCNEPWZOT&amp;VAR:QUERY=RkZfRElWX1lMRChBTk4sOS8yOC8wNSw5LzI4LzA1KQ==&amp;WINDOW=FIRST_POPUP&amp;HEIGHT=450&amp;WIDTH=450&amp;","START_MAXIMIZED=FALSE&amp;VAR:CALENDAR=US&amp;VAR:SYMBOL=KO&amp;VAR:INDEX=0"}</definedName>
    <definedName name="_1863__FDSAUDITLINK__" localSheetId="0" hidden="1">{"fdsup://directions/FAT Viewer?action=UPDATE&amp;creator=factset&amp;DYN_ARGS=TRUE&amp;DOC_NAME=FAT:FQL_AUDITING_CLIENT_TEMPLATE.FAT&amp;display_string=Audit&amp;VAR:KEY=WBSRGRURWN&amp;VAR:QUERY=RkZfRElWX1lMRChBTk4sOS8yMS8wNSw5LzIxLzA1KQ==&amp;WINDOW=FIRST_POPUP&amp;HEIGHT=450&amp;WIDTH=450&amp;","START_MAXIMIZED=FALSE&amp;VAR:CALENDAR=US&amp;VAR:SYMBOL=KO&amp;VAR:INDEX=0"}</definedName>
    <definedName name="_1863__FDSAUDITLINK__" hidden="1">{"fdsup://directions/FAT Viewer?action=UPDATE&amp;creator=factset&amp;DYN_ARGS=TRUE&amp;DOC_NAME=FAT:FQL_AUDITING_CLIENT_TEMPLATE.FAT&amp;display_string=Audit&amp;VAR:KEY=WBSRGRURWN&amp;VAR:QUERY=RkZfRElWX1lMRChBTk4sOS8yMS8wNSw5LzIxLzA1KQ==&amp;WINDOW=FIRST_POPUP&amp;HEIGHT=450&amp;WIDTH=450&amp;","START_MAXIMIZED=FALSE&amp;VAR:CALENDAR=US&amp;VAR:SYMBOL=KO&amp;VAR:INDEX=0"}</definedName>
    <definedName name="_1864__FDSAUDITLINK__" localSheetId="0" hidden="1">{"fdsup://directions/FAT Viewer?action=UPDATE&amp;creator=factset&amp;DYN_ARGS=TRUE&amp;DOC_NAME=FAT:FQL_AUDITING_CLIENT_TEMPLATE.FAT&amp;display_string=Audit&amp;VAR:KEY=GFSPYJIZSR&amp;VAR:QUERY=RkZfRElWX1lMRChBTk4sOS8xNC8wNSw5LzE0LzA1KQ==&amp;WINDOW=FIRST_POPUP&amp;HEIGHT=450&amp;WIDTH=450&amp;","START_MAXIMIZED=FALSE&amp;VAR:CALENDAR=US&amp;VAR:SYMBOL=KO&amp;VAR:INDEX=0"}</definedName>
    <definedName name="_1864__FDSAUDITLINK__" hidden="1">{"fdsup://directions/FAT Viewer?action=UPDATE&amp;creator=factset&amp;DYN_ARGS=TRUE&amp;DOC_NAME=FAT:FQL_AUDITING_CLIENT_TEMPLATE.FAT&amp;display_string=Audit&amp;VAR:KEY=GFSPYJIZSR&amp;VAR:QUERY=RkZfRElWX1lMRChBTk4sOS8xNC8wNSw5LzE0LzA1KQ==&amp;WINDOW=FIRST_POPUP&amp;HEIGHT=450&amp;WIDTH=450&amp;","START_MAXIMIZED=FALSE&amp;VAR:CALENDAR=US&amp;VAR:SYMBOL=KO&amp;VAR:INDEX=0"}</definedName>
    <definedName name="_1865__FDSAUDITLINK__" localSheetId="0" hidden="1">{"fdsup://directions/FAT Viewer?action=UPDATE&amp;creator=factset&amp;DYN_ARGS=TRUE&amp;DOC_NAME=FAT:FQL_AUDITING_CLIENT_TEMPLATE.FAT&amp;display_string=Audit&amp;VAR:KEY=ANEBSBANCF&amp;VAR:QUERY=RkZfRElWX1lMRChBTk4sOS8wNy8wNSw5LzA3LzA1KQ==&amp;WINDOW=FIRST_POPUP&amp;HEIGHT=450&amp;WIDTH=450&amp;","START_MAXIMIZED=FALSE&amp;VAR:CALENDAR=US&amp;VAR:SYMBOL=KO&amp;VAR:INDEX=0"}</definedName>
    <definedName name="_1865__FDSAUDITLINK__" hidden="1">{"fdsup://directions/FAT Viewer?action=UPDATE&amp;creator=factset&amp;DYN_ARGS=TRUE&amp;DOC_NAME=FAT:FQL_AUDITING_CLIENT_TEMPLATE.FAT&amp;display_string=Audit&amp;VAR:KEY=ANEBSBANCF&amp;VAR:QUERY=RkZfRElWX1lMRChBTk4sOS8wNy8wNSw5LzA3LzA1KQ==&amp;WINDOW=FIRST_POPUP&amp;HEIGHT=450&amp;WIDTH=450&amp;","START_MAXIMIZED=FALSE&amp;VAR:CALENDAR=US&amp;VAR:SYMBOL=KO&amp;VAR:INDEX=0"}</definedName>
    <definedName name="_1866">#REF!</definedName>
    <definedName name="_1866__FDSAUDITLINK__" localSheetId="0" hidden="1">{"fdsup://directions/FAT Viewer?action=UPDATE&amp;creator=factset&amp;DYN_ARGS=TRUE&amp;DOC_NAME=FAT:FQL_AUDITING_CLIENT_TEMPLATE.FAT&amp;display_string=Audit&amp;VAR:KEY=QHCFUVSVQP&amp;VAR:QUERY=RkZfRElWX1lMRChBTk4sOC8zMS8wNSw4LzMxLzA1KQ==&amp;WINDOW=FIRST_POPUP&amp;HEIGHT=450&amp;WIDTH=450&amp;","START_MAXIMIZED=FALSE&amp;VAR:CALENDAR=US&amp;VAR:SYMBOL=KO&amp;VAR:INDEX=0"}</definedName>
    <definedName name="_1866__FDSAUDITLINK__" hidden="1">{"fdsup://directions/FAT Viewer?action=UPDATE&amp;creator=factset&amp;DYN_ARGS=TRUE&amp;DOC_NAME=FAT:FQL_AUDITING_CLIENT_TEMPLATE.FAT&amp;display_string=Audit&amp;VAR:KEY=QHCFUVSVQP&amp;VAR:QUERY=RkZfRElWX1lMRChBTk4sOC8zMS8wNSw4LzMxLzA1KQ==&amp;WINDOW=FIRST_POPUP&amp;HEIGHT=450&amp;WIDTH=450&amp;","START_MAXIMIZED=FALSE&amp;VAR:CALENDAR=US&amp;VAR:SYMBOL=KO&amp;VAR:INDEX=0"}</definedName>
    <definedName name="_1867__FDSAUDITLINK__" localSheetId="0" hidden="1">{"fdsup://directions/FAT Viewer?action=UPDATE&amp;creator=factset&amp;DYN_ARGS=TRUE&amp;DOC_NAME=FAT:FQL_AUDITING_CLIENT_TEMPLATE.FAT&amp;display_string=Audit&amp;VAR:KEY=KHKBATMNSP&amp;VAR:QUERY=RkZfRElWX1lMRChBTk4sOC8yNC8wNSw4LzI0LzA1KQ==&amp;WINDOW=FIRST_POPUP&amp;HEIGHT=450&amp;WIDTH=450&amp;","START_MAXIMIZED=FALSE&amp;VAR:CALENDAR=US&amp;VAR:SYMBOL=KO&amp;VAR:INDEX=0"}</definedName>
    <definedName name="_1867__FDSAUDITLINK__" hidden="1">{"fdsup://directions/FAT Viewer?action=UPDATE&amp;creator=factset&amp;DYN_ARGS=TRUE&amp;DOC_NAME=FAT:FQL_AUDITING_CLIENT_TEMPLATE.FAT&amp;display_string=Audit&amp;VAR:KEY=KHKBATMNSP&amp;VAR:QUERY=RkZfRElWX1lMRChBTk4sOC8yNC8wNSw4LzI0LzA1KQ==&amp;WINDOW=FIRST_POPUP&amp;HEIGHT=450&amp;WIDTH=450&amp;","START_MAXIMIZED=FALSE&amp;VAR:CALENDAR=US&amp;VAR:SYMBOL=KO&amp;VAR:INDEX=0"}</definedName>
    <definedName name="_1868__FDSAUDITLINK__" localSheetId="0" hidden="1">{"fdsup://directions/FAT Viewer?action=UPDATE&amp;creator=factset&amp;DYN_ARGS=TRUE&amp;DOC_NAME=FAT:FQL_AUDITING_CLIENT_TEMPLATE.FAT&amp;display_string=Audit&amp;VAR:KEY=QFOJQVYVKP&amp;VAR:QUERY=RkZfRElWX1lMRChBTk4sOC8xNy8wNSw4LzE3LzA1KQ==&amp;WINDOW=FIRST_POPUP&amp;HEIGHT=450&amp;WIDTH=450&amp;","START_MAXIMIZED=FALSE&amp;VAR:CALENDAR=US&amp;VAR:SYMBOL=KO&amp;VAR:INDEX=0"}</definedName>
    <definedName name="_1868__FDSAUDITLINK__" hidden="1">{"fdsup://directions/FAT Viewer?action=UPDATE&amp;creator=factset&amp;DYN_ARGS=TRUE&amp;DOC_NAME=FAT:FQL_AUDITING_CLIENT_TEMPLATE.FAT&amp;display_string=Audit&amp;VAR:KEY=QFOJQVYVKP&amp;VAR:QUERY=RkZfRElWX1lMRChBTk4sOC8xNy8wNSw4LzE3LzA1KQ==&amp;WINDOW=FIRST_POPUP&amp;HEIGHT=450&amp;WIDTH=450&amp;","START_MAXIMIZED=FALSE&amp;VAR:CALENDAR=US&amp;VAR:SYMBOL=KO&amp;VAR:INDEX=0"}</definedName>
    <definedName name="_1869__FDSAUDITLINK__" localSheetId="0" hidden="1">{"fdsup://directions/FAT Viewer?action=UPDATE&amp;creator=factset&amp;DYN_ARGS=TRUE&amp;DOC_NAME=FAT:FQL_AUDITING_CLIENT_TEMPLATE.FAT&amp;display_string=Audit&amp;VAR:KEY=MRUTEXURIH&amp;VAR:QUERY=RkZfRElWX1lMRChBTk4sOC8xMC8wNSw4LzEwLzA1KQ==&amp;WINDOW=FIRST_POPUP&amp;HEIGHT=450&amp;WIDTH=450&amp;","START_MAXIMIZED=FALSE&amp;VAR:CALENDAR=US&amp;VAR:SYMBOL=KO&amp;VAR:INDEX=0"}</definedName>
    <definedName name="_1869__FDSAUDITLINK__" hidden="1">{"fdsup://directions/FAT Viewer?action=UPDATE&amp;creator=factset&amp;DYN_ARGS=TRUE&amp;DOC_NAME=FAT:FQL_AUDITING_CLIENT_TEMPLATE.FAT&amp;display_string=Audit&amp;VAR:KEY=MRUTEXURIH&amp;VAR:QUERY=RkZfRElWX1lMRChBTk4sOC8xMC8wNSw4LzEwLzA1KQ==&amp;WINDOW=FIRST_POPUP&amp;HEIGHT=450&amp;WIDTH=450&amp;","START_MAXIMIZED=FALSE&amp;VAR:CALENDAR=US&amp;VAR:SYMBOL=KO&amp;VAR:INDEX=0"}</definedName>
    <definedName name="_187">#REF!</definedName>
    <definedName name="_187__123Graph_XQRE_S_BY_CO.">#REF!</definedName>
    <definedName name="_187__FDSAUDITLINK__" localSheetId="0" hidden="1">{"fdsup://directions/FAT Viewer?action=UPDATE&amp;creator=factset&amp;DYN_ARGS=TRUE&amp;DOC_NAME=FAT:FQL_AUDITING_CLIENT_TEMPLATE.FAT&amp;display_string=Audit&amp;VAR:KEY=ZMFCFWNQJE&amp;VAR:QUERY=RkZfRElWX1lMRChBTk4sOS8wNi8wNyw5LzA2LzA3KQ==&amp;WINDOW=FIRST_POPUP&amp;HEIGHT=450&amp;WIDTH=450&amp;","START_MAXIMIZED=FALSE&amp;VAR:CALENDAR=US&amp;VAR:SYMBOL=RAI&amp;VAR:INDEX=0"}</definedName>
    <definedName name="_187__FDSAUDITLINK__" hidden="1">{"fdsup://directions/FAT Viewer?action=UPDATE&amp;creator=factset&amp;DYN_ARGS=TRUE&amp;DOC_NAME=FAT:FQL_AUDITING_CLIENT_TEMPLATE.FAT&amp;display_string=Audit&amp;VAR:KEY=ZMFCFWNQJE&amp;VAR:QUERY=RkZfRElWX1lMRChBTk4sOS8wNi8wNyw5LzA2LzA3KQ==&amp;WINDOW=FIRST_POPUP&amp;HEIGHT=450&amp;WIDTH=450&amp;","START_MAXIMIZED=FALSE&amp;VAR:CALENDAR=US&amp;VAR:SYMBOL=RAI&amp;VAR:INDEX=0"}</definedName>
    <definedName name="_1870__FDSAUDITLINK__" localSheetId="0" hidden="1">{"fdsup://directions/FAT Viewer?action=UPDATE&amp;creator=factset&amp;DYN_ARGS=TRUE&amp;DOC_NAME=FAT:FQL_AUDITING_CLIENT_TEMPLATE.FAT&amp;display_string=Audit&amp;VAR:KEY=EXMJSHSBQF&amp;VAR:QUERY=RkZfRElWX1lMRChBTk4sOC8wMy8wNSw4LzAzLzA1KQ==&amp;WINDOW=FIRST_POPUP&amp;HEIGHT=450&amp;WIDTH=450&amp;","START_MAXIMIZED=FALSE&amp;VAR:CALENDAR=US&amp;VAR:SYMBOL=KO&amp;VAR:INDEX=0"}</definedName>
    <definedName name="_1870__FDSAUDITLINK__" hidden="1">{"fdsup://directions/FAT Viewer?action=UPDATE&amp;creator=factset&amp;DYN_ARGS=TRUE&amp;DOC_NAME=FAT:FQL_AUDITING_CLIENT_TEMPLATE.FAT&amp;display_string=Audit&amp;VAR:KEY=EXMJSHSBQF&amp;VAR:QUERY=RkZfRElWX1lMRChBTk4sOC8wMy8wNSw4LzAzLzA1KQ==&amp;WINDOW=FIRST_POPUP&amp;HEIGHT=450&amp;WIDTH=450&amp;","START_MAXIMIZED=FALSE&amp;VAR:CALENDAR=US&amp;VAR:SYMBOL=KO&amp;VAR:INDEX=0"}</definedName>
    <definedName name="_1871__FDSAUDITLINK__" localSheetId="0" hidden="1">{"fdsup://directions/FAT Viewer?action=UPDATE&amp;creator=factset&amp;DYN_ARGS=TRUE&amp;DOC_NAME=FAT:FQL_AUDITING_CLIENT_TEMPLATE.FAT&amp;display_string=Audit&amp;VAR:KEY=CZYJMXOLSL&amp;VAR:QUERY=RkZfRElWX1lMRChBTk4sNy8yNy8wNSw3LzI3LzA1KQ==&amp;WINDOW=FIRST_POPUP&amp;HEIGHT=450&amp;WIDTH=450&amp;","START_MAXIMIZED=FALSE&amp;VAR:CALENDAR=US&amp;VAR:SYMBOL=KO&amp;VAR:INDEX=0"}</definedName>
    <definedName name="_1871__FDSAUDITLINK__" hidden="1">{"fdsup://directions/FAT Viewer?action=UPDATE&amp;creator=factset&amp;DYN_ARGS=TRUE&amp;DOC_NAME=FAT:FQL_AUDITING_CLIENT_TEMPLATE.FAT&amp;display_string=Audit&amp;VAR:KEY=CZYJMXOLSL&amp;VAR:QUERY=RkZfRElWX1lMRChBTk4sNy8yNy8wNSw3LzI3LzA1KQ==&amp;WINDOW=FIRST_POPUP&amp;HEIGHT=450&amp;WIDTH=450&amp;","START_MAXIMIZED=FALSE&amp;VAR:CALENDAR=US&amp;VAR:SYMBOL=KO&amp;VAR:INDEX=0"}</definedName>
    <definedName name="_1872__FDSAUDITLINK__" localSheetId="0" hidden="1">{"fdsup://directions/FAT Viewer?action=UPDATE&amp;creator=factset&amp;DYN_ARGS=TRUE&amp;DOC_NAME=FAT:FQL_AUDITING_CLIENT_TEMPLATE.FAT&amp;display_string=Audit&amp;VAR:KEY=SLSZIRUVSX&amp;VAR:QUERY=RkZfRElWX1lMRChBTk4sNy8yMC8wNSw3LzIwLzA1KQ==&amp;WINDOW=FIRST_POPUP&amp;HEIGHT=450&amp;WIDTH=450&amp;","START_MAXIMIZED=FALSE&amp;VAR:CALENDAR=US&amp;VAR:SYMBOL=KO&amp;VAR:INDEX=0"}</definedName>
    <definedName name="_1872__FDSAUDITLINK__" hidden="1">{"fdsup://directions/FAT Viewer?action=UPDATE&amp;creator=factset&amp;DYN_ARGS=TRUE&amp;DOC_NAME=FAT:FQL_AUDITING_CLIENT_TEMPLATE.FAT&amp;display_string=Audit&amp;VAR:KEY=SLSZIRUVSX&amp;VAR:QUERY=RkZfRElWX1lMRChBTk4sNy8yMC8wNSw3LzIwLzA1KQ==&amp;WINDOW=FIRST_POPUP&amp;HEIGHT=450&amp;WIDTH=450&amp;","START_MAXIMIZED=FALSE&amp;VAR:CALENDAR=US&amp;VAR:SYMBOL=KO&amp;VAR:INDEX=0"}</definedName>
    <definedName name="_1873__FDSAUDITLINK__" localSheetId="0" hidden="1">{"fdsup://directions/FAT Viewer?action=UPDATE&amp;creator=factset&amp;DYN_ARGS=TRUE&amp;DOC_NAME=FAT:FQL_AUDITING_CLIENT_TEMPLATE.FAT&amp;display_string=Audit&amp;VAR:KEY=MXEJCTSFCL&amp;VAR:QUERY=RkZfRElWX1lMRChBTk4sNy8xMy8wNSw3LzEzLzA1KQ==&amp;WINDOW=FIRST_POPUP&amp;HEIGHT=450&amp;WIDTH=450&amp;","START_MAXIMIZED=FALSE&amp;VAR:CALENDAR=US&amp;VAR:SYMBOL=KO&amp;VAR:INDEX=0"}</definedName>
    <definedName name="_1873__FDSAUDITLINK__" hidden="1">{"fdsup://directions/FAT Viewer?action=UPDATE&amp;creator=factset&amp;DYN_ARGS=TRUE&amp;DOC_NAME=FAT:FQL_AUDITING_CLIENT_TEMPLATE.FAT&amp;display_string=Audit&amp;VAR:KEY=MXEJCTSFCL&amp;VAR:QUERY=RkZfRElWX1lMRChBTk4sNy8xMy8wNSw3LzEzLzA1KQ==&amp;WINDOW=FIRST_POPUP&amp;HEIGHT=450&amp;WIDTH=450&amp;","START_MAXIMIZED=FALSE&amp;VAR:CALENDAR=US&amp;VAR:SYMBOL=KO&amp;VAR:INDEX=0"}</definedName>
    <definedName name="_1874">#REF!</definedName>
    <definedName name="_1874__FDSAUDITLINK__" localSheetId="0" hidden="1">{"fdsup://directions/FAT Viewer?action=UPDATE&amp;creator=factset&amp;DYN_ARGS=TRUE&amp;DOC_NAME=FAT:FQL_AUDITING_CLIENT_TEMPLATE.FAT&amp;display_string=Audit&amp;VAR:KEY=ADOXAHQBGT&amp;VAR:QUERY=RkZfRElWX1lMRChBTk4sNy8wNi8wNSw3LzA2LzA1KQ==&amp;WINDOW=FIRST_POPUP&amp;HEIGHT=450&amp;WIDTH=450&amp;","START_MAXIMIZED=FALSE&amp;VAR:CALENDAR=US&amp;VAR:SYMBOL=KO&amp;VAR:INDEX=0"}</definedName>
    <definedName name="_1874__FDSAUDITLINK__" hidden="1">{"fdsup://directions/FAT Viewer?action=UPDATE&amp;creator=factset&amp;DYN_ARGS=TRUE&amp;DOC_NAME=FAT:FQL_AUDITING_CLIENT_TEMPLATE.FAT&amp;display_string=Audit&amp;VAR:KEY=ADOXAHQBGT&amp;VAR:QUERY=RkZfRElWX1lMRChBTk4sNy8wNi8wNSw3LzA2LzA1KQ==&amp;WINDOW=FIRST_POPUP&amp;HEIGHT=450&amp;WIDTH=450&amp;","START_MAXIMIZED=FALSE&amp;VAR:CALENDAR=US&amp;VAR:SYMBOL=KO&amp;VAR:INDEX=0"}</definedName>
    <definedName name="_1875__FDSAUDITLINK__" localSheetId="0" hidden="1">{"fdsup://directions/FAT Viewer?action=UPDATE&amp;creator=factset&amp;DYN_ARGS=TRUE&amp;DOC_NAME=FAT:FQL_AUDITING_CLIENT_TEMPLATE.FAT&amp;display_string=Audit&amp;VAR:KEY=ILCVMDSDCD&amp;VAR:QUERY=RkZfRElWX1lMRChBTk4sNi8yOS8wNSw2LzI5LzA1KQ==&amp;WINDOW=FIRST_POPUP&amp;HEIGHT=450&amp;WIDTH=450&amp;","START_MAXIMIZED=FALSE&amp;VAR:CALENDAR=US&amp;VAR:SYMBOL=KO&amp;VAR:INDEX=0"}</definedName>
    <definedName name="_1875__FDSAUDITLINK__" hidden="1">{"fdsup://directions/FAT Viewer?action=UPDATE&amp;creator=factset&amp;DYN_ARGS=TRUE&amp;DOC_NAME=FAT:FQL_AUDITING_CLIENT_TEMPLATE.FAT&amp;display_string=Audit&amp;VAR:KEY=ILCVMDSDCD&amp;VAR:QUERY=RkZfRElWX1lMRChBTk4sNi8yOS8wNSw2LzI5LzA1KQ==&amp;WINDOW=FIRST_POPUP&amp;HEIGHT=450&amp;WIDTH=450&amp;","START_MAXIMIZED=FALSE&amp;VAR:CALENDAR=US&amp;VAR:SYMBOL=KO&amp;VAR:INDEX=0"}</definedName>
    <definedName name="_1876__FDSAUDITLINK__" localSheetId="0" hidden="1">{"fdsup://directions/FAT Viewer?action=UPDATE&amp;creator=factset&amp;DYN_ARGS=TRUE&amp;DOC_NAME=FAT:FQL_AUDITING_CLIENT_TEMPLATE.FAT&amp;display_string=Audit&amp;VAR:KEY=UHWRMHEBKV&amp;VAR:QUERY=RkZfRElWX1lMRChBTk4sNi8yMi8wNSw2LzIyLzA1KQ==&amp;WINDOW=FIRST_POPUP&amp;HEIGHT=450&amp;WIDTH=450&amp;","START_MAXIMIZED=FALSE&amp;VAR:CALENDAR=US&amp;VAR:SYMBOL=KO&amp;VAR:INDEX=0"}</definedName>
    <definedName name="_1876__FDSAUDITLINK__" hidden="1">{"fdsup://directions/FAT Viewer?action=UPDATE&amp;creator=factset&amp;DYN_ARGS=TRUE&amp;DOC_NAME=FAT:FQL_AUDITING_CLIENT_TEMPLATE.FAT&amp;display_string=Audit&amp;VAR:KEY=UHWRMHEBKV&amp;VAR:QUERY=RkZfRElWX1lMRChBTk4sNi8yMi8wNSw2LzIyLzA1KQ==&amp;WINDOW=FIRST_POPUP&amp;HEIGHT=450&amp;WIDTH=450&amp;","START_MAXIMIZED=FALSE&amp;VAR:CALENDAR=US&amp;VAR:SYMBOL=KO&amp;VAR:INDEX=0"}</definedName>
    <definedName name="_1877__FDSAUDITLINK__" localSheetId="0" hidden="1">{"fdsup://directions/FAT Viewer?action=UPDATE&amp;creator=factset&amp;DYN_ARGS=TRUE&amp;DOC_NAME=FAT:FQL_AUDITING_CLIENT_TEMPLATE.FAT&amp;display_string=Audit&amp;VAR:KEY=SDSZGDKJGD&amp;VAR:QUERY=RkZfRElWX1lMRChBTk4sNi8xNS8wNSw2LzE1LzA1KQ==&amp;WINDOW=FIRST_POPUP&amp;HEIGHT=450&amp;WIDTH=450&amp;","START_MAXIMIZED=FALSE&amp;VAR:CALENDAR=US&amp;VAR:SYMBOL=KO&amp;VAR:INDEX=0"}</definedName>
    <definedName name="_1877__FDSAUDITLINK__" hidden="1">{"fdsup://directions/FAT Viewer?action=UPDATE&amp;creator=factset&amp;DYN_ARGS=TRUE&amp;DOC_NAME=FAT:FQL_AUDITING_CLIENT_TEMPLATE.FAT&amp;display_string=Audit&amp;VAR:KEY=SDSZGDKJGD&amp;VAR:QUERY=RkZfRElWX1lMRChBTk4sNi8xNS8wNSw2LzE1LzA1KQ==&amp;WINDOW=FIRST_POPUP&amp;HEIGHT=450&amp;WIDTH=450&amp;","START_MAXIMIZED=FALSE&amp;VAR:CALENDAR=US&amp;VAR:SYMBOL=KO&amp;VAR:INDEX=0"}</definedName>
    <definedName name="_1878">#REF!</definedName>
    <definedName name="_1878__FDSAUDITLINK__" localSheetId="0" hidden="1">{"fdsup://directions/FAT Viewer?action=UPDATE&amp;creator=factset&amp;DYN_ARGS=TRUE&amp;DOC_NAME=FAT:FQL_AUDITING_CLIENT_TEMPLATE.FAT&amp;display_string=Audit&amp;VAR:KEY=YHEVCLQZKP&amp;VAR:QUERY=RkZfRElWX1lMRChBTk4sNi8wOC8wNSw2LzA4LzA1KQ==&amp;WINDOW=FIRST_POPUP&amp;HEIGHT=450&amp;WIDTH=450&amp;","START_MAXIMIZED=FALSE&amp;VAR:CALENDAR=US&amp;VAR:SYMBOL=KO&amp;VAR:INDEX=0"}</definedName>
    <definedName name="_1878__FDSAUDITLINK__" hidden="1">{"fdsup://directions/FAT Viewer?action=UPDATE&amp;creator=factset&amp;DYN_ARGS=TRUE&amp;DOC_NAME=FAT:FQL_AUDITING_CLIENT_TEMPLATE.FAT&amp;display_string=Audit&amp;VAR:KEY=YHEVCLQZKP&amp;VAR:QUERY=RkZfRElWX1lMRChBTk4sNi8wOC8wNSw2LzA4LzA1KQ==&amp;WINDOW=FIRST_POPUP&amp;HEIGHT=450&amp;WIDTH=450&amp;","START_MAXIMIZED=FALSE&amp;VAR:CALENDAR=US&amp;VAR:SYMBOL=KO&amp;VAR:INDEX=0"}</definedName>
    <definedName name="_1879__FDSAUDITLINK__" localSheetId="0" hidden="1">{"fdsup://directions/FAT Viewer?action=UPDATE&amp;creator=factset&amp;DYN_ARGS=TRUE&amp;DOC_NAME=FAT:FQL_AUDITING_CLIENT_TEMPLATE.FAT&amp;display_string=Audit&amp;VAR:KEY=KLCPGVULYF&amp;VAR:QUERY=RkZfRElWX1lMRChBTk4sNi8wMS8wNSw2LzAxLzA1KQ==&amp;WINDOW=FIRST_POPUP&amp;HEIGHT=450&amp;WIDTH=450&amp;","START_MAXIMIZED=FALSE&amp;VAR:CALENDAR=US&amp;VAR:SYMBOL=KO&amp;VAR:INDEX=0"}</definedName>
    <definedName name="_1879__FDSAUDITLINK__" hidden="1">{"fdsup://directions/FAT Viewer?action=UPDATE&amp;creator=factset&amp;DYN_ARGS=TRUE&amp;DOC_NAME=FAT:FQL_AUDITING_CLIENT_TEMPLATE.FAT&amp;display_string=Audit&amp;VAR:KEY=KLCPGVULYF&amp;VAR:QUERY=RkZfRElWX1lMRChBTk4sNi8wMS8wNSw2LzAxLzA1KQ==&amp;WINDOW=FIRST_POPUP&amp;HEIGHT=450&amp;WIDTH=450&amp;","START_MAXIMIZED=FALSE&amp;VAR:CALENDAR=US&amp;VAR:SYMBOL=KO&amp;VAR:INDEX=0"}</definedName>
    <definedName name="_188">#REF!</definedName>
    <definedName name="_188__FDSAUDITLINK__" localSheetId="0" hidden="1">{"fdsup://directions/FAT Viewer?action=UPDATE&amp;creator=factset&amp;DYN_ARGS=TRUE&amp;DOC_NAME=FAT:FQL_AUDITING_CLIENT_TEMPLATE.FAT&amp;display_string=Audit&amp;VAR:KEY=PIDYTMZABG&amp;VAR:QUERY=RkZfRElWX1lMRChBTk4sOC8zMC8wNyw4LzMwLzA3KQ==&amp;WINDOW=FIRST_POPUP&amp;HEIGHT=450&amp;WIDTH=450&amp;","START_MAXIMIZED=FALSE&amp;VAR:CALENDAR=US&amp;VAR:SYMBOL=RAI&amp;VAR:INDEX=0"}</definedName>
    <definedName name="_188__FDSAUDITLINK__" hidden="1">{"fdsup://directions/FAT Viewer?action=UPDATE&amp;creator=factset&amp;DYN_ARGS=TRUE&amp;DOC_NAME=FAT:FQL_AUDITING_CLIENT_TEMPLATE.FAT&amp;display_string=Audit&amp;VAR:KEY=PIDYTMZABG&amp;VAR:QUERY=RkZfRElWX1lMRChBTk4sOC8zMC8wNyw4LzMwLzA3KQ==&amp;WINDOW=FIRST_POPUP&amp;HEIGHT=450&amp;WIDTH=450&amp;","START_MAXIMIZED=FALSE&amp;VAR:CALENDAR=US&amp;VAR:SYMBOL=RAI&amp;VAR:INDEX=0"}</definedName>
    <definedName name="_1880__FDSAUDITLINK__" localSheetId="0" hidden="1">{"fdsup://directions/FAT Viewer?action=UPDATE&amp;creator=factset&amp;DYN_ARGS=TRUE&amp;DOC_NAME=FAT:FQL_AUDITING_CLIENT_TEMPLATE.FAT&amp;display_string=Audit&amp;VAR:KEY=ANKVABMVWZ&amp;VAR:QUERY=RkZfRElWX1lMRChBTk4sNS8yNS8wNSw1LzI1LzA1KQ==&amp;WINDOW=FIRST_POPUP&amp;HEIGHT=450&amp;WIDTH=450&amp;","START_MAXIMIZED=FALSE&amp;VAR:CALENDAR=US&amp;VAR:SYMBOL=KO&amp;VAR:INDEX=0"}</definedName>
    <definedName name="_1880__FDSAUDITLINK__" hidden="1">{"fdsup://directions/FAT Viewer?action=UPDATE&amp;creator=factset&amp;DYN_ARGS=TRUE&amp;DOC_NAME=FAT:FQL_AUDITING_CLIENT_TEMPLATE.FAT&amp;display_string=Audit&amp;VAR:KEY=ANKVABMVWZ&amp;VAR:QUERY=RkZfRElWX1lMRChBTk4sNS8yNS8wNSw1LzI1LzA1KQ==&amp;WINDOW=FIRST_POPUP&amp;HEIGHT=450&amp;WIDTH=450&amp;","START_MAXIMIZED=FALSE&amp;VAR:CALENDAR=US&amp;VAR:SYMBOL=KO&amp;VAR:INDEX=0"}</definedName>
    <definedName name="_1881__FDSAUDITLINK__" localSheetId="0" hidden="1">{"fdsup://directions/FAT Viewer?action=UPDATE&amp;creator=factset&amp;DYN_ARGS=TRUE&amp;DOC_NAME=FAT:FQL_AUDITING_CLIENT_TEMPLATE.FAT&amp;display_string=Audit&amp;VAR:KEY=MJEVKFQFKD&amp;VAR:QUERY=RkZfRElWX1lMRChBTk4sNS8xOC8wNSw1LzE4LzA1KQ==&amp;WINDOW=FIRST_POPUP&amp;HEIGHT=450&amp;WIDTH=450&amp;","START_MAXIMIZED=FALSE&amp;VAR:CALENDAR=US&amp;VAR:SYMBOL=KO&amp;VAR:INDEX=0"}</definedName>
    <definedName name="_1881__FDSAUDITLINK__" hidden="1">{"fdsup://directions/FAT Viewer?action=UPDATE&amp;creator=factset&amp;DYN_ARGS=TRUE&amp;DOC_NAME=FAT:FQL_AUDITING_CLIENT_TEMPLATE.FAT&amp;display_string=Audit&amp;VAR:KEY=MJEVKFQFKD&amp;VAR:QUERY=RkZfRElWX1lMRChBTk4sNS8xOC8wNSw1LzE4LzA1KQ==&amp;WINDOW=FIRST_POPUP&amp;HEIGHT=450&amp;WIDTH=450&amp;","START_MAXIMIZED=FALSE&amp;VAR:CALENDAR=US&amp;VAR:SYMBOL=KO&amp;VAR:INDEX=0"}</definedName>
    <definedName name="_1882__FDSAUDITLINK__" localSheetId="0" hidden="1">{"fdsup://directions/FAT Viewer?action=UPDATE&amp;creator=factset&amp;DYN_ARGS=TRUE&amp;DOC_NAME=FAT:FQL_AUDITING_CLIENT_TEMPLATE.FAT&amp;display_string=Audit&amp;VAR:KEY=WPAJGHYNSB&amp;VAR:QUERY=RkZfRElWX1lMRChBTk4sNS8xMS8wNSw1LzExLzA1KQ==&amp;WINDOW=FIRST_POPUP&amp;HEIGHT=450&amp;WIDTH=450&amp;","START_MAXIMIZED=FALSE&amp;VAR:CALENDAR=US&amp;VAR:SYMBOL=KO&amp;VAR:INDEX=0"}</definedName>
    <definedName name="_1882__FDSAUDITLINK__" hidden="1">{"fdsup://directions/FAT Viewer?action=UPDATE&amp;creator=factset&amp;DYN_ARGS=TRUE&amp;DOC_NAME=FAT:FQL_AUDITING_CLIENT_TEMPLATE.FAT&amp;display_string=Audit&amp;VAR:KEY=WPAJGHYNSB&amp;VAR:QUERY=RkZfRElWX1lMRChBTk4sNS8xMS8wNSw1LzExLzA1KQ==&amp;WINDOW=FIRST_POPUP&amp;HEIGHT=450&amp;WIDTH=450&amp;","START_MAXIMIZED=FALSE&amp;VAR:CALENDAR=US&amp;VAR:SYMBOL=KO&amp;VAR:INDEX=0"}</definedName>
    <definedName name="_1883">#REF!</definedName>
    <definedName name="_1883__FDSAUDITLINK__" localSheetId="0" hidden="1">{"fdsup://directions/FAT Viewer?action=UPDATE&amp;creator=factset&amp;DYN_ARGS=TRUE&amp;DOC_NAME=FAT:FQL_AUDITING_CLIENT_TEMPLATE.FAT&amp;display_string=Audit&amp;VAR:KEY=EJMBYJMRCR&amp;VAR:QUERY=RkZfRElWX1lMRChBTk4sNS8wNC8wNSw1LzA0LzA1KQ==&amp;WINDOW=FIRST_POPUP&amp;HEIGHT=450&amp;WIDTH=450&amp;","START_MAXIMIZED=FALSE&amp;VAR:CALENDAR=US&amp;VAR:SYMBOL=KO&amp;VAR:INDEX=0"}</definedName>
    <definedName name="_1883__FDSAUDITLINK__" hidden="1">{"fdsup://directions/FAT Viewer?action=UPDATE&amp;creator=factset&amp;DYN_ARGS=TRUE&amp;DOC_NAME=FAT:FQL_AUDITING_CLIENT_TEMPLATE.FAT&amp;display_string=Audit&amp;VAR:KEY=EJMBYJMRCR&amp;VAR:QUERY=RkZfRElWX1lMRChBTk4sNS8wNC8wNSw1LzA0LzA1KQ==&amp;WINDOW=FIRST_POPUP&amp;HEIGHT=450&amp;WIDTH=450&amp;","START_MAXIMIZED=FALSE&amp;VAR:CALENDAR=US&amp;VAR:SYMBOL=KO&amp;VAR:INDEX=0"}</definedName>
    <definedName name="_1884__FDSAUDITLINK__" localSheetId="0" hidden="1">{"fdsup://directions/FAT Viewer?action=UPDATE&amp;creator=factset&amp;DYN_ARGS=TRUE&amp;DOC_NAME=FAT:FQL_AUDITING_CLIENT_TEMPLATE.FAT&amp;display_string=Audit&amp;VAR:KEY=CJGZILQXAL&amp;VAR:QUERY=RkZfRElWX1lMRChBTk4sNC8yNy8wNSw0LzI3LzA1KQ==&amp;WINDOW=FIRST_POPUP&amp;HEIGHT=450&amp;WIDTH=450&amp;","START_MAXIMIZED=FALSE&amp;VAR:CALENDAR=US&amp;VAR:SYMBOL=KO&amp;VAR:INDEX=0"}</definedName>
    <definedName name="_1884__FDSAUDITLINK__" hidden="1">{"fdsup://directions/FAT Viewer?action=UPDATE&amp;creator=factset&amp;DYN_ARGS=TRUE&amp;DOC_NAME=FAT:FQL_AUDITING_CLIENT_TEMPLATE.FAT&amp;display_string=Audit&amp;VAR:KEY=CJGZILQXAL&amp;VAR:QUERY=RkZfRElWX1lMRChBTk4sNC8yNy8wNSw0LzI3LzA1KQ==&amp;WINDOW=FIRST_POPUP&amp;HEIGHT=450&amp;WIDTH=450&amp;","START_MAXIMIZED=FALSE&amp;VAR:CALENDAR=US&amp;VAR:SYMBOL=KO&amp;VAR:INDEX=0"}</definedName>
    <definedName name="_1885__FDSAUDITLINK__" localSheetId="0" hidden="1">{"fdsup://directions/FAT Viewer?action=UPDATE&amp;creator=factset&amp;DYN_ARGS=TRUE&amp;DOC_NAME=FAT:FQL_AUDITING_CLIENT_TEMPLATE.FAT&amp;display_string=Audit&amp;VAR:KEY=QHSRITUVCX&amp;VAR:QUERY=RkZfRElWX1lMRChBTk4sNC8yMC8wNSw0LzIwLzA1KQ==&amp;WINDOW=FIRST_POPUP&amp;HEIGHT=450&amp;WIDTH=450&amp;","START_MAXIMIZED=FALSE&amp;VAR:CALENDAR=US&amp;VAR:SYMBOL=KO&amp;VAR:INDEX=0"}</definedName>
    <definedName name="_1885__FDSAUDITLINK__" hidden="1">{"fdsup://directions/FAT Viewer?action=UPDATE&amp;creator=factset&amp;DYN_ARGS=TRUE&amp;DOC_NAME=FAT:FQL_AUDITING_CLIENT_TEMPLATE.FAT&amp;display_string=Audit&amp;VAR:KEY=QHSRITUVCX&amp;VAR:QUERY=RkZfRElWX1lMRChBTk4sNC8yMC8wNSw0LzIwLzA1KQ==&amp;WINDOW=FIRST_POPUP&amp;HEIGHT=450&amp;WIDTH=450&amp;","START_MAXIMIZED=FALSE&amp;VAR:CALENDAR=US&amp;VAR:SYMBOL=KO&amp;VAR:INDEX=0"}</definedName>
    <definedName name="_1886__FDSAUDITLINK__" localSheetId="0" hidden="1">{"fdsup://directions/FAT Viewer?action=UPDATE&amp;creator=factset&amp;DYN_ARGS=TRUE&amp;DOC_NAME=FAT:FQL_AUDITING_CLIENT_TEMPLATE.FAT&amp;display_string=Audit&amp;VAR:KEY=OFCHCDOXSV&amp;VAR:QUERY=RkZfRElWX1lMRChBTk4sNC8xMy8wNSw0LzEzLzA1KQ==&amp;WINDOW=FIRST_POPUP&amp;HEIGHT=450&amp;WIDTH=450&amp;","START_MAXIMIZED=FALSE&amp;VAR:CALENDAR=US&amp;VAR:SYMBOL=KO&amp;VAR:INDEX=0"}</definedName>
    <definedName name="_1886__FDSAUDITLINK__" hidden="1">{"fdsup://directions/FAT Viewer?action=UPDATE&amp;creator=factset&amp;DYN_ARGS=TRUE&amp;DOC_NAME=FAT:FQL_AUDITING_CLIENT_TEMPLATE.FAT&amp;display_string=Audit&amp;VAR:KEY=OFCHCDOXSV&amp;VAR:QUERY=RkZfRElWX1lMRChBTk4sNC8xMy8wNSw0LzEzLzA1KQ==&amp;WINDOW=FIRST_POPUP&amp;HEIGHT=450&amp;WIDTH=450&amp;","START_MAXIMIZED=FALSE&amp;VAR:CALENDAR=US&amp;VAR:SYMBOL=KO&amp;VAR:INDEX=0"}</definedName>
    <definedName name="_1887__FDSAUDITLINK__" localSheetId="0" hidden="1">{"fdsup://directions/FAT Viewer?action=UPDATE&amp;creator=factset&amp;DYN_ARGS=TRUE&amp;DOC_NAME=FAT:FQL_AUDITING_CLIENT_TEMPLATE.FAT&amp;display_string=Audit&amp;VAR:KEY=KPCXIHIFCH&amp;VAR:QUERY=RkZfRElWX1lMRChBTk4sNC8wNi8wNSw0LzA2LzA1KQ==&amp;WINDOW=FIRST_POPUP&amp;HEIGHT=450&amp;WIDTH=450&amp;","START_MAXIMIZED=FALSE&amp;VAR:CALENDAR=US&amp;VAR:SYMBOL=KO&amp;VAR:INDEX=0"}</definedName>
    <definedName name="_1887__FDSAUDITLINK__" hidden="1">{"fdsup://directions/FAT Viewer?action=UPDATE&amp;creator=factset&amp;DYN_ARGS=TRUE&amp;DOC_NAME=FAT:FQL_AUDITING_CLIENT_TEMPLATE.FAT&amp;display_string=Audit&amp;VAR:KEY=KPCXIHIFCH&amp;VAR:QUERY=RkZfRElWX1lMRChBTk4sNC8wNi8wNSw0LzA2LzA1KQ==&amp;WINDOW=FIRST_POPUP&amp;HEIGHT=450&amp;WIDTH=450&amp;","START_MAXIMIZED=FALSE&amp;VAR:CALENDAR=US&amp;VAR:SYMBOL=KO&amp;VAR:INDEX=0"}</definedName>
    <definedName name="_1888">#REF!</definedName>
    <definedName name="_1888__FDSAUDITLINK__" localSheetId="0" hidden="1">{"fdsup://directions/FAT Viewer?action=UPDATE&amp;creator=factset&amp;DYN_ARGS=TRUE&amp;DOC_NAME=FAT:FQL_AUDITING_CLIENT_TEMPLATE.FAT&amp;display_string=Audit&amp;VAR:KEY=CJCXAVOLSX&amp;VAR:QUERY=RkZfRElWX1lMRChBTk4sMy8zMC8wNSwzLzMwLzA1KQ==&amp;WINDOW=FIRST_POPUP&amp;HEIGHT=450&amp;WIDTH=450&amp;","START_MAXIMIZED=FALSE&amp;VAR:CALENDAR=US&amp;VAR:SYMBOL=KO&amp;VAR:INDEX=0"}</definedName>
    <definedName name="_1888__FDSAUDITLINK__" hidden="1">{"fdsup://directions/FAT Viewer?action=UPDATE&amp;creator=factset&amp;DYN_ARGS=TRUE&amp;DOC_NAME=FAT:FQL_AUDITING_CLIENT_TEMPLATE.FAT&amp;display_string=Audit&amp;VAR:KEY=CJCXAVOLSX&amp;VAR:QUERY=RkZfRElWX1lMRChBTk4sMy8zMC8wNSwzLzMwLzA1KQ==&amp;WINDOW=FIRST_POPUP&amp;HEIGHT=450&amp;WIDTH=450&amp;","START_MAXIMIZED=FALSE&amp;VAR:CALENDAR=US&amp;VAR:SYMBOL=KO&amp;VAR:INDEX=0"}</definedName>
    <definedName name="_1889__FDSAUDITLINK__" localSheetId="0" hidden="1">{"fdsup://directions/FAT Viewer?action=UPDATE&amp;creator=factset&amp;DYN_ARGS=TRUE&amp;DOC_NAME=FAT:FQL_AUDITING_CLIENT_TEMPLATE.FAT&amp;display_string=Audit&amp;VAR:KEY=KLYFQJQHWZ&amp;VAR:QUERY=RkZfRElWX1lMRChBTk4sMy8yMy8wNSwzLzIzLzA1KQ==&amp;WINDOW=FIRST_POPUP&amp;HEIGHT=450&amp;WIDTH=450&amp;","START_MAXIMIZED=FALSE&amp;VAR:CALENDAR=US&amp;VAR:SYMBOL=KO&amp;VAR:INDEX=0"}</definedName>
    <definedName name="_1889__FDSAUDITLINK__" hidden="1">{"fdsup://directions/FAT Viewer?action=UPDATE&amp;creator=factset&amp;DYN_ARGS=TRUE&amp;DOC_NAME=FAT:FQL_AUDITING_CLIENT_TEMPLATE.FAT&amp;display_string=Audit&amp;VAR:KEY=KLYFQJQHWZ&amp;VAR:QUERY=RkZfRElWX1lMRChBTk4sMy8yMy8wNSwzLzIzLzA1KQ==&amp;WINDOW=FIRST_POPUP&amp;HEIGHT=450&amp;WIDTH=450&amp;","START_MAXIMIZED=FALSE&amp;VAR:CALENDAR=US&amp;VAR:SYMBOL=KO&amp;VAR:INDEX=0"}</definedName>
    <definedName name="_189">#REF!</definedName>
    <definedName name="_189__FDSAUDITLINK__" localSheetId="0" hidden="1">{"fdsup://directions/FAT Viewer?action=UPDATE&amp;creator=factset&amp;DYN_ARGS=TRUE&amp;DOC_NAME=FAT:FQL_AUDITING_CLIENT_TEMPLATE.FAT&amp;display_string=Audit&amp;VAR:KEY=FKZUXSPQLC&amp;VAR:QUERY=RkZfRElWX1lMRChBTk4sOC8yMy8wNyw4LzIzLzA3KQ==&amp;WINDOW=FIRST_POPUP&amp;HEIGHT=450&amp;WIDTH=450&amp;","START_MAXIMIZED=FALSE&amp;VAR:CALENDAR=US&amp;VAR:SYMBOL=RAI&amp;VAR:INDEX=0"}</definedName>
    <definedName name="_189__FDSAUDITLINK__" hidden="1">{"fdsup://directions/FAT Viewer?action=UPDATE&amp;creator=factset&amp;DYN_ARGS=TRUE&amp;DOC_NAME=FAT:FQL_AUDITING_CLIENT_TEMPLATE.FAT&amp;display_string=Audit&amp;VAR:KEY=FKZUXSPQLC&amp;VAR:QUERY=RkZfRElWX1lMRChBTk4sOC8yMy8wNyw4LzIzLzA3KQ==&amp;WINDOW=FIRST_POPUP&amp;HEIGHT=450&amp;WIDTH=450&amp;","START_MAXIMIZED=FALSE&amp;VAR:CALENDAR=US&amp;VAR:SYMBOL=RAI&amp;VAR:INDEX=0"}</definedName>
    <definedName name="_1890__FDSAUDITLINK__" localSheetId="0" hidden="1">{"fdsup://directions/FAT Viewer?action=UPDATE&amp;creator=factset&amp;DYN_ARGS=TRUE&amp;DOC_NAME=FAT:FQL_AUDITING_CLIENT_TEMPLATE.FAT&amp;display_string=Audit&amp;VAR:KEY=OFCFIPGTCB&amp;VAR:QUERY=RkZfRElWX1lMRChBTk4sMy8xNi8wNSwzLzE2LzA1KQ==&amp;WINDOW=FIRST_POPUP&amp;HEIGHT=450&amp;WIDTH=450&amp;","START_MAXIMIZED=FALSE&amp;VAR:CALENDAR=US&amp;VAR:SYMBOL=KO&amp;VAR:INDEX=0"}</definedName>
    <definedName name="_1890__FDSAUDITLINK__" hidden="1">{"fdsup://directions/FAT Viewer?action=UPDATE&amp;creator=factset&amp;DYN_ARGS=TRUE&amp;DOC_NAME=FAT:FQL_AUDITING_CLIENT_TEMPLATE.FAT&amp;display_string=Audit&amp;VAR:KEY=OFCFIPGTCB&amp;VAR:QUERY=RkZfRElWX1lMRChBTk4sMy8xNi8wNSwzLzE2LzA1KQ==&amp;WINDOW=FIRST_POPUP&amp;HEIGHT=450&amp;WIDTH=450&amp;","START_MAXIMIZED=FALSE&amp;VAR:CALENDAR=US&amp;VAR:SYMBOL=KO&amp;VAR:INDEX=0"}</definedName>
    <definedName name="_1891__FDSAUDITLINK__" localSheetId="0" hidden="1">{"fdsup://directions/FAT Viewer?action=UPDATE&amp;creator=factset&amp;DYN_ARGS=TRUE&amp;DOC_NAME=FAT:FQL_AUDITING_CLIENT_TEMPLATE.FAT&amp;display_string=Audit&amp;VAR:KEY=KJOHAZWPQL&amp;VAR:QUERY=RkZfRElWX1lMRChBTk4sMy8wOS8wNSwzLzA5LzA1KQ==&amp;WINDOW=FIRST_POPUP&amp;HEIGHT=450&amp;WIDTH=450&amp;","START_MAXIMIZED=FALSE&amp;VAR:CALENDAR=US&amp;VAR:SYMBOL=KO&amp;VAR:INDEX=0"}</definedName>
    <definedName name="_1891__FDSAUDITLINK__" hidden="1">{"fdsup://directions/FAT Viewer?action=UPDATE&amp;creator=factset&amp;DYN_ARGS=TRUE&amp;DOC_NAME=FAT:FQL_AUDITING_CLIENT_TEMPLATE.FAT&amp;display_string=Audit&amp;VAR:KEY=KJOHAZWPQL&amp;VAR:QUERY=RkZfRElWX1lMRChBTk4sMy8wOS8wNSwzLzA5LzA1KQ==&amp;WINDOW=FIRST_POPUP&amp;HEIGHT=450&amp;WIDTH=450&amp;","START_MAXIMIZED=FALSE&amp;VAR:CALENDAR=US&amp;VAR:SYMBOL=KO&amp;VAR:INDEX=0"}</definedName>
    <definedName name="_1892__FDSAUDITLINK__" localSheetId="0" hidden="1">{"fdsup://directions/FAT Viewer?action=UPDATE&amp;creator=factset&amp;DYN_ARGS=TRUE&amp;DOC_NAME=FAT:FQL_AUDITING_CLIENT_TEMPLATE.FAT&amp;display_string=Audit&amp;VAR:KEY=MHYNQJQFUR&amp;VAR:QUERY=RkZfRElWX1lMRChBTk4sMy8wMi8wNSwzLzAyLzA1KQ==&amp;WINDOW=FIRST_POPUP&amp;HEIGHT=450&amp;WIDTH=450&amp;","START_MAXIMIZED=FALSE&amp;VAR:CALENDAR=US&amp;VAR:SYMBOL=KO&amp;VAR:INDEX=0"}</definedName>
    <definedName name="_1892__FDSAUDITLINK__" hidden="1">{"fdsup://directions/FAT Viewer?action=UPDATE&amp;creator=factset&amp;DYN_ARGS=TRUE&amp;DOC_NAME=FAT:FQL_AUDITING_CLIENT_TEMPLATE.FAT&amp;display_string=Audit&amp;VAR:KEY=MHYNQJQFUR&amp;VAR:QUERY=RkZfRElWX1lMRChBTk4sMy8wMi8wNSwzLzAyLzA1KQ==&amp;WINDOW=FIRST_POPUP&amp;HEIGHT=450&amp;WIDTH=450&amp;","START_MAXIMIZED=FALSE&amp;VAR:CALENDAR=US&amp;VAR:SYMBOL=KO&amp;VAR:INDEX=0"}</definedName>
    <definedName name="_1893__FDSAUDITLINK__" localSheetId="0" hidden="1">{"fdsup://directions/FAT Viewer?action=UPDATE&amp;creator=factset&amp;DYN_ARGS=TRUE&amp;DOC_NAME=FAT:FQL_AUDITING_CLIENT_TEMPLATE.FAT&amp;display_string=Audit&amp;VAR:KEY=MTCDUNATOZ&amp;VAR:QUERY=RkZfRElWX1lMRChBTk4sMi8yMy8wNSwyLzIzLzA1KQ==&amp;WINDOW=FIRST_POPUP&amp;HEIGHT=450&amp;WIDTH=450&amp;","START_MAXIMIZED=FALSE&amp;VAR:CALENDAR=US&amp;VAR:SYMBOL=KO&amp;VAR:INDEX=0"}</definedName>
    <definedName name="_1893__FDSAUDITLINK__" hidden="1">{"fdsup://directions/FAT Viewer?action=UPDATE&amp;creator=factset&amp;DYN_ARGS=TRUE&amp;DOC_NAME=FAT:FQL_AUDITING_CLIENT_TEMPLATE.FAT&amp;display_string=Audit&amp;VAR:KEY=MTCDUNATOZ&amp;VAR:QUERY=RkZfRElWX1lMRChBTk4sMi8yMy8wNSwyLzIzLzA1KQ==&amp;WINDOW=FIRST_POPUP&amp;HEIGHT=450&amp;WIDTH=450&amp;","START_MAXIMIZED=FALSE&amp;VAR:CALENDAR=US&amp;VAR:SYMBOL=KO&amp;VAR:INDEX=0"}</definedName>
    <definedName name="_1894__FDSAUDITLINK__" localSheetId="0" hidden="1">{"fdsup://directions/FAT Viewer?action=UPDATE&amp;creator=factset&amp;DYN_ARGS=TRUE&amp;DOC_NAME=FAT:FQL_AUDITING_CLIENT_TEMPLATE.FAT&amp;display_string=Audit&amp;VAR:KEY=WHEFSZWPOP&amp;VAR:QUERY=RkZfRElWX1lMRChBTk4sMi8xNi8wNSwyLzE2LzA1KQ==&amp;WINDOW=FIRST_POPUP&amp;HEIGHT=450&amp;WIDTH=450&amp;","START_MAXIMIZED=FALSE&amp;VAR:CALENDAR=US&amp;VAR:SYMBOL=KO&amp;VAR:INDEX=0"}</definedName>
    <definedName name="_1894__FDSAUDITLINK__" hidden="1">{"fdsup://directions/FAT Viewer?action=UPDATE&amp;creator=factset&amp;DYN_ARGS=TRUE&amp;DOC_NAME=FAT:FQL_AUDITING_CLIENT_TEMPLATE.FAT&amp;display_string=Audit&amp;VAR:KEY=WHEFSZWPOP&amp;VAR:QUERY=RkZfRElWX1lMRChBTk4sMi8xNi8wNSwyLzE2LzA1KQ==&amp;WINDOW=FIRST_POPUP&amp;HEIGHT=450&amp;WIDTH=450&amp;","START_MAXIMIZED=FALSE&amp;VAR:CALENDAR=US&amp;VAR:SYMBOL=KO&amp;VAR:INDEX=0"}</definedName>
    <definedName name="_1895__FDSAUDITLINK__" localSheetId="0" hidden="1">{"fdsup://directions/FAT Viewer?action=UPDATE&amp;creator=factset&amp;DYN_ARGS=TRUE&amp;DOC_NAME=FAT:FQL_AUDITING_CLIENT_TEMPLATE.FAT&amp;display_string=Audit&amp;VAR:KEY=GBMXKRCZUB&amp;VAR:QUERY=RkZfRElWX1lMRChBTk4sMi8wOS8wNSwyLzA5LzA1KQ==&amp;WINDOW=FIRST_POPUP&amp;HEIGHT=450&amp;WIDTH=450&amp;","START_MAXIMIZED=FALSE&amp;VAR:CALENDAR=US&amp;VAR:SYMBOL=KO&amp;VAR:INDEX=0"}</definedName>
    <definedName name="_1895__FDSAUDITLINK__" hidden="1">{"fdsup://directions/FAT Viewer?action=UPDATE&amp;creator=factset&amp;DYN_ARGS=TRUE&amp;DOC_NAME=FAT:FQL_AUDITING_CLIENT_TEMPLATE.FAT&amp;display_string=Audit&amp;VAR:KEY=GBMXKRCZUB&amp;VAR:QUERY=RkZfRElWX1lMRChBTk4sMi8wOS8wNSwyLzA5LzA1KQ==&amp;WINDOW=FIRST_POPUP&amp;HEIGHT=450&amp;WIDTH=450&amp;","START_MAXIMIZED=FALSE&amp;VAR:CALENDAR=US&amp;VAR:SYMBOL=KO&amp;VAR:INDEX=0"}</definedName>
    <definedName name="_1896">#REF!</definedName>
    <definedName name="_1896__FDSAUDITLINK__" localSheetId="0" hidden="1">{"fdsup://directions/FAT Viewer?action=UPDATE&amp;creator=factset&amp;DYN_ARGS=TRUE&amp;DOC_NAME=FAT:FQL_AUDITING_CLIENT_TEMPLATE.FAT&amp;display_string=Audit&amp;VAR:KEY=MPCHCLKHIL&amp;VAR:QUERY=RkZfRElWX1lMRChBTk4sMi8wMi8wNSwyLzAyLzA1KQ==&amp;WINDOW=FIRST_POPUP&amp;HEIGHT=450&amp;WIDTH=450&amp;","START_MAXIMIZED=FALSE&amp;VAR:CALENDAR=US&amp;VAR:SYMBOL=KO&amp;VAR:INDEX=0"}</definedName>
    <definedName name="_1896__FDSAUDITLINK__" hidden="1">{"fdsup://directions/FAT Viewer?action=UPDATE&amp;creator=factset&amp;DYN_ARGS=TRUE&amp;DOC_NAME=FAT:FQL_AUDITING_CLIENT_TEMPLATE.FAT&amp;display_string=Audit&amp;VAR:KEY=MPCHCLKHIL&amp;VAR:QUERY=RkZfRElWX1lMRChBTk4sMi8wMi8wNSwyLzAyLzA1KQ==&amp;WINDOW=FIRST_POPUP&amp;HEIGHT=450&amp;WIDTH=450&amp;","START_MAXIMIZED=FALSE&amp;VAR:CALENDAR=US&amp;VAR:SYMBOL=KO&amp;VAR:INDEX=0"}</definedName>
    <definedName name="_1897__FDSAUDITLINK__" localSheetId="0" hidden="1">{"fdsup://directions/FAT Viewer?action=UPDATE&amp;creator=factset&amp;DYN_ARGS=TRUE&amp;DOC_NAME=FAT:FQL_AUDITING_CLIENT_TEMPLATE.FAT&amp;display_string=Audit&amp;VAR:KEY=QTINKLOBEV&amp;VAR:QUERY=RkZfRElWX1lMRChBTk4sMS8yNi8wNSwxLzI2LzA1KQ==&amp;WINDOW=FIRST_POPUP&amp;HEIGHT=450&amp;WIDTH=450&amp;","START_MAXIMIZED=FALSE&amp;VAR:CALENDAR=US&amp;VAR:SYMBOL=KO&amp;VAR:INDEX=0"}</definedName>
    <definedName name="_1897__FDSAUDITLINK__" hidden="1">{"fdsup://directions/FAT Viewer?action=UPDATE&amp;creator=factset&amp;DYN_ARGS=TRUE&amp;DOC_NAME=FAT:FQL_AUDITING_CLIENT_TEMPLATE.FAT&amp;display_string=Audit&amp;VAR:KEY=QTINKLOBEV&amp;VAR:QUERY=RkZfRElWX1lMRChBTk4sMS8yNi8wNSwxLzI2LzA1KQ==&amp;WINDOW=FIRST_POPUP&amp;HEIGHT=450&amp;WIDTH=450&amp;","START_MAXIMIZED=FALSE&amp;VAR:CALENDAR=US&amp;VAR:SYMBOL=KO&amp;VAR:INDEX=0"}</definedName>
    <definedName name="_1898__FDSAUDITLINK__" localSheetId="0" hidden="1">{"fdsup://directions/FAT Viewer?action=UPDATE&amp;creator=factset&amp;DYN_ARGS=TRUE&amp;DOC_NAME=FAT:FQL_AUDITING_CLIENT_TEMPLATE.FAT&amp;display_string=Audit&amp;VAR:KEY=MHGBEPUNIZ&amp;VAR:QUERY=RkZfRElWX1lMRChBTk4sMS8xOS8wNSwxLzE5LzA1KQ==&amp;WINDOW=FIRST_POPUP&amp;HEIGHT=450&amp;WIDTH=450&amp;","START_MAXIMIZED=FALSE&amp;VAR:CALENDAR=US&amp;VAR:SYMBOL=KO&amp;VAR:INDEX=0"}</definedName>
    <definedName name="_1898__FDSAUDITLINK__" hidden="1">{"fdsup://directions/FAT Viewer?action=UPDATE&amp;creator=factset&amp;DYN_ARGS=TRUE&amp;DOC_NAME=FAT:FQL_AUDITING_CLIENT_TEMPLATE.FAT&amp;display_string=Audit&amp;VAR:KEY=MHGBEPUNIZ&amp;VAR:QUERY=RkZfRElWX1lMRChBTk4sMS8xOS8wNSwxLzE5LzA1KQ==&amp;WINDOW=FIRST_POPUP&amp;HEIGHT=450&amp;WIDTH=450&amp;","START_MAXIMIZED=FALSE&amp;VAR:CALENDAR=US&amp;VAR:SYMBOL=KO&amp;VAR:INDEX=0"}</definedName>
    <definedName name="_1899__FDSAUDITLINK__" localSheetId="0" hidden="1">{"fdsup://directions/FAT Viewer?action=UPDATE&amp;creator=factset&amp;DYN_ARGS=TRUE&amp;DOC_NAME=FAT:FQL_AUDITING_CLIENT_TEMPLATE.FAT&amp;display_string=Audit&amp;VAR:KEY=UPEPKLCNWL&amp;VAR:QUERY=RkZfRElWX1lMRChBTk4sMS8xMi8wNSwxLzEyLzA1KQ==&amp;WINDOW=FIRST_POPUP&amp;HEIGHT=450&amp;WIDTH=450&amp;","START_MAXIMIZED=FALSE&amp;VAR:CALENDAR=US&amp;VAR:SYMBOL=KO&amp;VAR:INDEX=0"}</definedName>
    <definedName name="_1899__FDSAUDITLINK__" hidden="1">{"fdsup://directions/FAT Viewer?action=UPDATE&amp;creator=factset&amp;DYN_ARGS=TRUE&amp;DOC_NAME=FAT:FQL_AUDITING_CLIENT_TEMPLATE.FAT&amp;display_string=Audit&amp;VAR:KEY=UPEPKLCNWL&amp;VAR:QUERY=RkZfRElWX1lMRChBTk4sMS8xMi8wNSwxLzEyLzA1KQ==&amp;WINDOW=FIRST_POPUP&amp;HEIGHT=450&amp;WIDTH=450&amp;","START_MAXIMIZED=FALSE&amp;VAR:CALENDAR=US&amp;VAR:SYMBOL=KO&amp;VAR:INDEX=0"}</definedName>
    <definedName name="_18main_form_account_grants_list_16_j_id1022">#REF!</definedName>
    <definedName name="_18s13_" hidden="1">{#N/A,#N/A,FALSE,"UNIT";#N/A,#N/A,FALSE,"UNIT";#N/A,#N/A,FALSE,"계정"}</definedName>
    <definedName name="_18s5_" hidden="1">{#N/A,#N/A,FALSE,"UNIT";#N/A,#N/A,FALSE,"UNIT";#N/A,#N/A,FALSE,"계정"}</definedName>
    <definedName name="_18s9_" hidden="1">{#N/A,#N/A,FALSE,"UNIT";#N/A,#N/A,FALSE,"UNIT";#N/A,#N/A,FALSE,"계정"}</definedName>
    <definedName name="_19_________B_S">#REF!</definedName>
    <definedName name="_19__123Graph_AGROWTH_REVS_B" hidden="1">#REF!</definedName>
    <definedName name="_19__123Graph_ASENS_COMPARISON">#REF!</definedName>
    <definedName name="_19__123Graph_BChart_2I">#REF!</definedName>
    <definedName name="_19__123Graph_BSENS_COMPARISON">#REF!</definedName>
    <definedName name="_19__123Graph_CCONTRACT_BY_B_U">#REF!</definedName>
    <definedName name="_19__123Graph_CQRE_S_BY_CO.">#REF!</definedName>
    <definedName name="_19__123Graph_CSUPPLIES_BY_B_U" hidden="1">#REF!</definedName>
    <definedName name="_19__123Graph_CWAGES_BY_B_U">#REF!</definedName>
    <definedName name="_19__123Graph_DCONTRACT_BY_B_U">#REF!</definedName>
    <definedName name="_19__123Graph_DQRE_S_BY_CO.">#REF!</definedName>
    <definedName name="_19__FDSAUDITLINK__" localSheetId="0" hidden="1">{"fdsup://directions/FAT Viewer?action=UPDATE&amp;creator=factset&amp;DYN_ARGS=TRUE&amp;DOC_NAME=FAT:FQL_AUDITING_CLIENT_TEMPLATE.FAT&amp;display_string=Audit&amp;VAR:KEY=SVKTWDUVYT&amp;VAR:QUERY=Q1NGX0RJVl9ZTEQoUVRSX1IsNi8zMC8yMDA2KQ==&amp;WINDOW=FIRST_POPUP&amp;HEIGHT=450&amp;WIDTH=450&amp;STAR","T_MAXIMIZED=FALSE&amp;VAR:CALENDAR=US&amp;VAR:SYMBOL=MO&amp;VAR:INDEX=0"}</definedName>
    <definedName name="_19__FDSAUDITLINK__" hidden="1">{"fdsup://directions/FAT Viewer?action=UPDATE&amp;creator=factset&amp;DYN_ARGS=TRUE&amp;DOC_NAME=FAT:FQL_AUDITING_CLIENT_TEMPLATE.FAT&amp;display_string=Audit&amp;VAR:KEY=SVKTWDUVYT&amp;VAR:QUERY=Q1NGX0RJVl9ZTEQoUVRSX1IsNi8zMC8yMDA2KQ==&amp;WINDOW=FIRST_POPUP&amp;HEIGHT=450&amp;WIDTH=450&amp;STAR","T_MAXIMIZED=FALSE&amp;VAR:CALENDAR=US&amp;VAR:SYMBOL=MO&amp;VAR:INDEX=0"}</definedName>
    <definedName name="_19_0_Table2_">#REF!</definedName>
    <definedName name="_19_09_1999">#REF!</definedName>
    <definedName name="_19_10_1998">#REF!</definedName>
    <definedName name="_19_11_1997">#REF!</definedName>
    <definedName name="_19_5__1_CRADDIN_Headings">#REF!</definedName>
    <definedName name="_190">#REF!</definedName>
    <definedName name="_190__FDSAUDITLINK__" localSheetId="0" hidden="1">{"fdsup://directions/FAT Viewer?action=UPDATE&amp;creator=factset&amp;DYN_ARGS=TRUE&amp;DOC_NAME=FAT:FQL_AUDITING_CLIENT_TEMPLATE.FAT&amp;display_string=Audit&amp;VAR:KEY=VIZSZOBIXO&amp;VAR:QUERY=RkZfRElWX1lMRChBTk4sOC8xNi8wNyw4LzE2LzA3KQ==&amp;WINDOW=FIRST_POPUP&amp;HEIGHT=450&amp;WIDTH=450&amp;","START_MAXIMIZED=FALSE&amp;VAR:CALENDAR=US&amp;VAR:SYMBOL=RAI&amp;VAR:INDEX=0"}</definedName>
    <definedName name="_190__FDSAUDITLINK__" hidden="1">{"fdsup://directions/FAT Viewer?action=UPDATE&amp;creator=factset&amp;DYN_ARGS=TRUE&amp;DOC_NAME=FAT:FQL_AUDITING_CLIENT_TEMPLATE.FAT&amp;display_string=Audit&amp;VAR:KEY=VIZSZOBIXO&amp;VAR:QUERY=RkZfRElWX1lMRChBTk4sOC8xNi8wNyw4LzE2LzA3KQ==&amp;WINDOW=FIRST_POPUP&amp;HEIGHT=450&amp;WIDTH=450&amp;","START_MAXIMIZED=FALSE&amp;VAR:CALENDAR=US&amp;VAR:SYMBOL=RAI&amp;VAR:INDEX=0"}</definedName>
    <definedName name="_1900">#REF!</definedName>
    <definedName name="_1900__FDSAUDITLINK__" localSheetId="0" hidden="1">{"fdsup://directions/FAT Viewer?action=UPDATE&amp;creator=factset&amp;DYN_ARGS=TRUE&amp;DOC_NAME=FAT:FQL_AUDITING_CLIENT_TEMPLATE.FAT&amp;display_string=Audit&amp;VAR:KEY=WRKVIHGTEX&amp;VAR:QUERY=RkZfRElWX1lMRChBTk4sMS8wNS8wNSwxLzA1LzA1KQ==&amp;WINDOW=FIRST_POPUP&amp;HEIGHT=450&amp;WIDTH=450&amp;","START_MAXIMIZED=FALSE&amp;VAR:CALENDAR=US&amp;VAR:SYMBOL=KO&amp;VAR:INDEX=0"}</definedName>
    <definedName name="_1900__FDSAUDITLINK__" hidden="1">{"fdsup://directions/FAT Viewer?action=UPDATE&amp;creator=factset&amp;DYN_ARGS=TRUE&amp;DOC_NAME=FAT:FQL_AUDITING_CLIENT_TEMPLATE.FAT&amp;display_string=Audit&amp;VAR:KEY=WRKVIHGTEX&amp;VAR:QUERY=RkZfRElWX1lMRChBTk4sMS8wNS8wNSwxLzA1LzA1KQ==&amp;WINDOW=FIRST_POPUP&amp;HEIGHT=450&amp;WIDTH=450&amp;","START_MAXIMIZED=FALSE&amp;VAR:CALENDAR=US&amp;VAR:SYMBOL=KO&amp;VAR:INDEX=0"}</definedName>
    <definedName name="_1901__FDSAUDITLINK__" localSheetId="0" hidden="1">{"fdsup://directions/FAT Viewer?action=UPDATE&amp;creator=factset&amp;DYN_ARGS=TRUE&amp;DOC_NAME=FAT:FQL_AUDITING_CLIENT_TEMPLATE.FAT&amp;display_string=Audit&amp;VAR:KEY=CLITGPKXGN&amp;VAR:QUERY=RkZfRElWX1lMRChBTk4sMTIvMjkvMDQsMTIvMjkvMDQp&amp;WINDOW=FIRST_POPUP&amp;HEIGHT=450&amp;WIDTH=450&amp;","START_MAXIMIZED=FALSE&amp;VAR:CALENDAR=US&amp;VAR:SYMBOL=KO&amp;VAR:INDEX=0"}</definedName>
    <definedName name="_1901__FDSAUDITLINK__" hidden="1">{"fdsup://directions/FAT Viewer?action=UPDATE&amp;creator=factset&amp;DYN_ARGS=TRUE&amp;DOC_NAME=FAT:FQL_AUDITING_CLIENT_TEMPLATE.FAT&amp;display_string=Audit&amp;VAR:KEY=CLITGPKXGN&amp;VAR:QUERY=RkZfRElWX1lMRChBTk4sMTIvMjkvMDQsMTIvMjkvMDQp&amp;WINDOW=FIRST_POPUP&amp;HEIGHT=450&amp;WIDTH=450&amp;","START_MAXIMIZED=FALSE&amp;VAR:CALENDAR=US&amp;VAR:SYMBOL=KO&amp;VAR:INDEX=0"}</definedName>
    <definedName name="_1902__FDSAUDITLINK__" localSheetId="0" hidden="1">{"fdsup://directions/FAT Viewer?action=UPDATE&amp;creator=factset&amp;DYN_ARGS=TRUE&amp;DOC_NAME=FAT:FQL_AUDITING_CLIENT_TEMPLATE.FAT&amp;display_string=Audit&amp;VAR:KEY=WVYLMZGTEJ&amp;VAR:QUERY=RkZfRElWX1lMRChBTk4sMTIvMjIvMDQsMTIvMjIvMDQp&amp;WINDOW=FIRST_POPUP&amp;HEIGHT=450&amp;WIDTH=450&amp;","START_MAXIMIZED=FALSE&amp;VAR:CALENDAR=US&amp;VAR:SYMBOL=KO&amp;VAR:INDEX=0"}</definedName>
    <definedName name="_1902__FDSAUDITLINK__" hidden="1">{"fdsup://directions/FAT Viewer?action=UPDATE&amp;creator=factset&amp;DYN_ARGS=TRUE&amp;DOC_NAME=FAT:FQL_AUDITING_CLIENT_TEMPLATE.FAT&amp;display_string=Audit&amp;VAR:KEY=WVYLMZGTEJ&amp;VAR:QUERY=RkZfRElWX1lMRChBTk4sMTIvMjIvMDQsMTIvMjIvMDQp&amp;WINDOW=FIRST_POPUP&amp;HEIGHT=450&amp;WIDTH=450&amp;","START_MAXIMIZED=FALSE&amp;VAR:CALENDAR=US&amp;VAR:SYMBOL=KO&amp;VAR:INDEX=0"}</definedName>
    <definedName name="_1903__FDSAUDITLINK__" localSheetId="0" hidden="1">{"fdsup://directions/FAT Viewer?action=UPDATE&amp;creator=factset&amp;DYN_ARGS=TRUE&amp;DOC_NAME=FAT:FQL_AUDITING_CLIENT_TEMPLATE.FAT&amp;display_string=Audit&amp;VAR:KEY=UVSHMBSBON&amp;VAR:QUERY=RkZfRElWX1lMRChBTk4sMTIvMTUvMDQsMTIvMTUvMDQp&amp;WINDOW=FIRST_POPUP&amp;HEIGHT=450&amp;WIDTH=450&amp;","START_MAXIMIZED=FALSE&amp;VAR:CALENDAR=US&amp;VAR:SYMBOL=KO&amp;VAR:INDEX=0"}</definedName>
    <definedName name="_1903__FDSAUDITLINK__" hidden="1">{"fdsup://directions/FAT Viewer?action=UPDATE&amp;creator=factset&amp;DYN_ARGS=TRUE&amp;DOC_NAME=FAT:FQL_AUDITING_CLIENT_TEMPLATE.FAT&amp;display_string=Audit&amp;VAR:KEY=UVSHMBSBON&amp;VAR:QUERY=RkZfRElWX1lMRChBTk4sMTIvMTUvMDQsMTIvMTUvMDQp&amp;WINDOW=FIRST_POPUP&amp;HEIGHT=450&amp;WIDTH=450&amp;","START_MAXIMIZED=FALSE&amp;VAR:CALENDAR=US&amp;VAR:SYMBOL=KO&amp;VAR:INDEX=0"}</definedName>
    <definedName name="_1904__FDSAUDITLINK__" localSheetId="0" hidden="1">{"fdsup://directions/FAT Viewer?action=UPDATE&amp;creator=factset&amp;DYN_ARGS=TRUE&amp;DOC_NAME=FAT:FQL_AUDITING_CLIENT_TEMPLATE.FAT&amp;display_string=Audit&amp;VAR:KEY=WXGJMPONWP&amp;VAR:QUERY=RkZfRElWX1lMRChBTk4sMTIvMDgvMDQsMTIvMDgvMDQp&amp;WINDOW=FIRST_POPUP&amp;HEIGHT=450&amp;WIDTH=450&amp;","START_MAXIMIZED=FALSE&amp;VAR:CALENDAR=US&amp;VAR:SYMBOL=KO&amp;VAR:INDEX=0"}</definedName>
    <definedName name="_1904__FDSAUDITLINK__" hidden="1">{"fdsup://directions/FAT Viewer?action=UPDATE&amp;creator=factset&amp;DYN_ARGS=TRUE&amp;DOC_NAME=FAT:FQL_AUDITING_CLIENT_TEMPLATE.FAT&amp;display_string=Audit&amp;VAR:KEY=WXGJMPONWP&amp;VAR:QUERY=RkZfRElWX1lMRChBTk4sMTIvMDgvMDQsMTIvMDgvMDQp&amp;WINDOW=FIRST_POPUP&amp;HEIGHT=450&amp;WIDTH=450&amp;","START_MAXIMIZED=FALSE&amp;VAR:CALENDAR=US&amp;VAR:SYMBOL=KO&amp;VAR:INDEX=0"}</definedName>
    <definedName name="_1905">#REF!</definedName>
    <definedName name="_1905__FDSAUDITLINK__" localSheetId="0" hidden="1">{"fdsup://directions/FAT Viewer?action=UPDATE&amp;creator=factset&amp;DYN_ARGS=TRUE&amp;DOC_NAME=FAT:FQL_AUDITING_CLIENT_TEMPLATE.FAT&amp;display_string=Audit&amp;VAR:KEY=MDCLYPIVEB&amp;VAR:QUERY=RkZfRElWX1lMRChBTk4sMTIvMDEvMDQsMTIvMDEvMDQp&amp;WINDOW=FIRST_POPUP&amp;HEIGHT=450&amp;WIDTH=450&amp;","START_MAXIMIZED=FALSE&amp;VAR:CALENDAR=US&amp;VAR:SYMBOL=KO&amp;VAR:INDEX=0"}</definedName>
    <definedName name="_1905__FDSAUDITLINK__" hidden="1">{"fdsup://directions/FAT Viewer?action=UPDATE&amp;creator=factset&amp;DYN_ARGS=TRUE&amp;DOC_NAME=FAT:FQL_AUDITING_CLIENT_TEMPLATE.FAT&amp;display_string=Audit&amp;VAR:KEY=MDCLYPIVEB&amp;VAR:QUERY=RkZfRElWX1lMRChBTk4sMTIvMDEvMDQsMTIvMDEvMDQp&amp;WINDOW=FIRST_POPUP&amp;HEIGHT=450&amp;WIDTH=450&amp;","START_MAXIMIZED=FALSE&amp;VAR:CALENDAR=US&amp;VAR:SYMBOL=KO&amp;VAR:INDEX=0"}</definedName>
    <definedName name="_1906__FDSAUDITLINK__" localSheetId="0" hidden="1">{"fdsup://directions/FAT Viewer?action=UPDATE&amp;creator=factset&amp;DYN_ARGS=TRUE&amp;DOC_NAME=FAT:FQL_AUDITING_CLIENT_TEMPLATE.FAT&amp;display_string=Audit&amp;VAR:KEY=CVOJEBQNQH&amp;VAR:QUERY=RkZfRElWX1lMRChBTk4sMTEvMjQvMDQsMTEvMjQvMDQp&amp;WINDOW=FIRST_POPUP&amp;HEIGHT=450&amp;WIDTH=450&amp;","START_MAXIMIZED=FALSE&amp;VAR:CALENDAR=US&amp;VAR:SYMBOL=KO&amp;VAR:INDEX=0"}</definedName>
    <definedName name="_1906__FDSAUDITLINK__" hidden="1">{"fdsup://directions/FAT Viewer?action=UPDATE&amp;creator=factset&amp;DYN_ARGS=TRUE&amp;DOC_NAME=FAT:FQL_AUDITING_CLIENT_TEMPLATE.FAT&amp;display_string=Audit&amp;VAR:KEY=CVOJEBQNQH&amp;VAR:QUERY=RkZfRElWX1lMRChBTk4sMTEvMjQvMDQsMTEvMjQvMDQp&amp;WINDOW=FIRST_POPUP&amp;HEIGHT=450&amp;WIDTH=450&amp;","START_MAXIMIZED=FALSE&amp;VAR:CALENDAR=US&amp;VAR:SYMBOL=KO&amp;VAR:INDEX=0"}</definedName>
    <definedName name="_1907__FDSAUDITLINK__" localSheetId="0" hidden="1">{"fdsup://directions/FAT Viewer?action=UPDATE&amp;creator=factset&amp;DYN_ARGS=TRUE&amp;DOC_NAME=FAT:FQL_AUDITING_CLIENT_TEMPLATE.FAT&amp;display_string=Audit&amp;VAR:KEY=UNOFQBSHMR&amp;VAR:QUERY=RkZfRElWX1lMRChBTk4sMTEvMTcvMDQsMTEvMTcvMDQp&amp;WINDOW=FIRST_POPUP&amp;HEIGHT=450&amp;WIDTH=450&amp;","START_MAXIMIZED=FALSE&amp;VAR:CALENDAR=US&amp;VAR:SYMBOL=KO&amp;VAR:INDEX=0"}</definedName>
    <definedName name="_1907__FDSAUDITLINK__" hidden="1">{"fdsup://directions/FAT Viewer?action=UPDATE&amp;creator=factset&amp;DYN_ARGS=TRUE&amp;DOC_NAME=FAT:FQL_AUDITING_CLIENT_TEMPLATE.FAT&amp;display_string=Audit&amp;VAR:KEY=UNOFQBSHMR&amp;VAR:QUERY=RkZfRElWX1lMRChBTk4sMTEvMTcvMDQsMTEvMTcvMDQp&amp;WINDOW=FIRST_POPUP&amp;HEIGHT=450&amp;WIDTH=450&amp;","START_MAXIMIZED=FALSE&amp;VAR:CALENDAR=US&amp;VAR:SYMBOL=KO&amp;VAR:INDEX=0"}</definedName>
    <definedName name="_1908__FDSAUDITLINK__" localSheetId="0" hidden="1">{"fdsup://directions/FAT Viewer?action=UPDATE&amp;creator=factset&amp;DYN_ARGS=TRUE&amp;DOC_NAME=FAT:FQL_AUDITING_CLIENT_TEMPLATE.FAT&amp;display_string=Audit&amp;VAR:KEY=WFGHYFGPEZ&amp;VAR:QUERY=RkZfRElWX1lMRChBTk4sMTEvMTAvMDQsMTEvMTAvMDQp&amp;WINDOW=FIRST_POPUP&amp;HEIGHT=450&amp;WIDTH=450&amp;","START_MAXIMIZED=FALSE&amp;VAR:CALENDAR=US&amp;VAR:SYMBOL=KO&amp;VAR:INDEX=0"}</definedName>
    <definedName name="_1908__FDSAUDITLINK__" hidden="1">{"fdsup://directions/FAT Viewer?action=UPDATE&amp;creator=factset&amp;DYN_ARGS=TRUE&amp;DOC_NAME=FAT:FQL_AUDITING_CLIENT_TEMPLATE.FAT&amp;display_string=Audit&amp;VAR:KEY=WFGHYFGPEZ&amp;VAR:QUERY=RkZfRElWX1lMRChBTk4sMTEvMTAvMDQsMTEvMTAvMDQp&amp;WINDOW=FIRST_POPUP&amp;HEIGHT=450&amp;WIDTH=450&amp;","START_MAXIMIZED=FALSE&amp;VAR:CALENDAR=US&amp;VAR:SYMBOL=KO&amp;VAR:INDEX=0"}</definedName>
    <definedName name="_1909__FDSAUDITLINK__" localSheetId="0" hidden="1">{"fdsup://directions/FAT Viewer?action=UPDATE&amp;creator=factset&amp;DYN_ARGS=TRUE&amp;DOC_NAME=FAT:FQL_AUDITING_CLIENT_TEMPLATE.FAT&amp;display_string=Audit&amp;VAR:KEY=SNCBANYBQX&amp;VAR:QUERY=RkZfRElWX1lMRChBTk4sMTEvMDMvMDQsMTEvMDMvMDQp&amp;WINDOW=FIRST_POPUP&amp;HEIGHT=450&amp;WIDTH=450&amp;","START_MAXIMIZED=FALSE&amp;VAR:CALENDAR=US&amp;VAR:SYMBOL=KO&amp;VAR:INDEX=0"}</definedName>
    <definedName name="_1909__FDSAUDITLINK__" hidden="1">{"fdsup://directions/FAT Viewer?action=UPDATE&amp;creator=factset&amp;DYN_ARGS=TRUE&amp;DOC_NAME=FAT:FQL_AUDITING_CLIENT_TEMPLATE.FAT&amp;display_string=Audit&amp;VAR:KEY=SNCBANYBQX&amp;VAR:QUERY=RkZfRElWX1lMRChBTk4sMTEvMDMvMDQsMTEvMDMvMDQp&amp;WINDOW=FIRST_POPUP&amp;HEIGHT=450&amp;WIDTH=450&amp;","START_MAXIMIZED=FALSE&amp;VAR:CALENDAR=US&amp;VAR:SYMBOL=KO&amp;VAR:INDEX=0"}</definedName>
    <definedName name="_191">#REF!</definedName>
    <definedName name="_191__FDSAUDITLINK__" localSheetId="0" hidden="1">{"fdsup://directions/FAT Viewer?action=UPDATE&amp;creator=factset&amp;DYN_ARGS=TRUE&amp;DOC_NAME=FAT:FQL_AUDITING_CLIENT_TEMPLATE.FAT&amp;display_string=Audit&amp;VAR:KEY=FSLSROBIBK&amp;VAR:QUERY=RkZfRElWX1lMRChBTk4sOC8wOS8wNyw4LzA5LzA3KQ==&amp;WINDOW=FIRST_POPUP&amp;HEIGHT=450&amp;WIDTH=450&amp;","START_MAXIMIZED=FALSE&amp;VAR:CALENDAR=US&amp;VAR:SYMBOL=RAI&amp;VAR:INDEX=0"}</definedName>
    <definedName name="_191__FDSAUDITLINK__" hidden="1">{"fdsup://directions/FAT Viewer?action=UPDATE&amp;creator=factset&amp;DYN_ARGS=TRUE&amp;DOC_NAME=FAT:FQL_AUDITING_CLIENT_TEMPLATE.FAT&amp;display_string=Audit&amp;VAR:KEY=FSLSROBIBK&amp;VAR:QUERY=RkZfRElWX1lMRChBTk4sOC8wOS8wNyw4LzA5LzA3KQ==&amp;WINDOW=FIRST_POPUP&amp;HEIGHT=450&amp;WIDTH=450&amp;","START_MAXIMIZED=FALSE&amp;VAR:CALENDAR=US&amp;VAR:SYMBOL=RAI&amp;VAR:INDEX=0"}</definedName>
    <definedName name="_1910">#REF!</definedName>
    <definedName name="_1910__FDSAUDITLINK__" localSheetId="0" hidden="1">{"fdsup://directions/FAT Viewer?action=UPDATE&amp;creator=factset&amp;DYN_ARGS=TRUE&amp;DOC_NAME=FAT:FQL_AUDITING_CLIENT_TEMPLATE.FAT&amp;display_string=Audit&amp;VAR:KEY=KJWRAZGPKZ&amp;VAR:QUERY=RkZfRElWX1lMRChBTk4sMTAvMjcvMDQsMTAvMjcvMDQp&amp;WINDOW=FIRST_POPUP&amp;HEIGHT=450&amp;WIDTH=450&amp;","START_MAXIMIZED=FALSE&amp;VAR:CALENDAR=US&amp;VAR:SYMBOL=KO&amp;VAR:INDEX=0"}</definedName>
    <definedName name="_1910__FDSAUDITLINK__" hidden="1">{"fdsup://directions/FAT Viewer?action=UPDATE&amp;creator=factset&amp;DYN_ARGS=TRUE&amp;DOC_NAME=FAT:FQL_AUDITING_CLIENT_TEMPLATE.FAT&amp;display_string=Audit&amp;VAR:KEY=KJWRAZGPKZ&amp;VAR:QUERY=RkZfRElWX1lMRChBTk4sMTAvMjcvMDQsMTAvMjcvMDQp&amp;WINDOW=FIRST_POPUP&amp;HEIGHT=450&amp;WIDTH=450&amp;","START_MAXIMIZED=FALSE&amp;VAR:CALENDAR=US&amp;VAR:SYMBOL=KO&amp;VAR:INDEX=0"}</definedName>
    <definedName name="_1911__FDSAUDITLINK__" localSheetId="0" hidden="1">{"fdsup://directions/FAT Viewer?action=UPDATE&amp;creator=factset&amp;DYN_ARGS=TRUE&amp;DOC_NAME=FAT:FQL_AUDITING_CLIENT_TEMPLATE.FAT&amp;display_string=Audit&amp;VAR:KEY=CFIVYXSNYB&amp;VAR:QUERY=RkZfRElWX1lMRChBTk4sMTAvMjAvMDQsMTAvMjAvMDQp&amp;WINDOW=FIRST_POPUP&amp;HEIGHT=450&amp;WIDTH=450&amp;","START_MAXIMIZED=FALSE&amp;VAR:CALENDAR=US&amp;VAR:SYMBOL=KO&amp;VAR:INDEX=0"}</definedName>
    <definedName name="_1911__FDSAUDITLINK__" hidden="1">{"fdsup://directions/FAT Viewer?action=UPDATE&amp;creator=factset&amp;DYN_ARGS=TRUE&amp;DOC_NAME=FAT:FQL_AUDITING_CLIENT_TEMPLATE.FAT&amp;display_string=Audit&amp;VAR:KEY=CFIVYXSNYB&amp;VAR:QUERY=RkZfRElWX1lMRChBTk4sMTAvMjAvMDQsMTAvMjAvMDQp&amp;WINDOW=FIRST_POPUP&amp;HEIGHT=450&amp;WIDTH=450&amp;","START_MAXIMIZED=FALSE&amp;VAR:CALENDAR=US&amp;VAR:SYMBOL=KO&amp;VAR:INDEX=0"}</definedName>
    <definedName name="_1912__FDSAUDITLINK__" localSheetId="0" hidden="1">{"fdsup://directions/FAT Viewer?action=UPDATE&amp;creator=factset&amp;DYN_ARGS=TRUE&amp;DOC_NAME=FAT:FQL_AUDITING_CLIENT_TEMPLATE.FAT&amp;display_string=Audit&amp;VAR:KEY=ILGRWVUNWB&amp;VAR:QUERY=RkZfRElWX1lMRChBTk4sMTAvMTMvMDQsMTAvMTMvMDQp&amp;WINDOW=FIRST_POPUP&amp;HEIGHT=450&amp;WIDTH=450&amp;","START_MAXIMIZED=FALSE&amp;VAR:CALENDAR=US&amp;VAR:SYMBOL=KO&amp;VAR:INDEX=0"}</definedName>
    <definedName name="_1912__FDSAUDITLINK__" hidden="1">{"fdsup://directions/FAT Viewer?action=UPDATE&amp;creator=factset&amp;DYN_ARGS=TRUE&amp;DOC_NAME=FAT:FQL_AUDITING_CLIENT_TEMPLATE.FAT&amp;display_string=Audit&amp;VAR:KEY=ILGRWVUNWB&amp;VAR:QUERY=RkZfRElWX1lMRChBTk4sMTAvMTMvMDQsMTAvMTMvMDQp&amp;WINDOW=FIRST_POPUP&amp;HEIGHT=450&amp;WIDTH=450&amp;","START_MAXIMIZED=FALSE&amp;VAR:CALENDAR=US&amp;VAR:SYMBOL=KO&amp;VAR:INDEX=0"}</definedName>
    <definedName name="_1913__FDSAUDITLINK__" localSheetId="0" hidden="1">{"fdsup://directions/FAT Viewer?action=UPDATE&amp;creator=factset&amp;DYN_ARGS=TRUE&amp;DOC_NAME=FAT:FQL_AUDITING_CLIENT_TEMPLATE.FAT&amp;display_string=Audit&amp;VAR:KEY=KFKTOHSRGV&amp;VAR:QUERY=RkZfRElWX1lMRChBTk4sMTAvMDYvMDQsMTAvMDYvMDQp&amp;WINDOW=FIRST_POPUP&amp;HEIGHT=450&amp;WIDTH=450&amp;","START_MAXIMIZED=FALSE&amp;VAR:CALENDAR=US&amp;VAR:SYMBOL=KO&amp;VAR:INDEX=0"}</definedName>
    <definedName name="_1913__FDSAUDITLINK__" hidden="1">{"fdsup://directions/FAT Viewer?action=UPDATE&amp;creator=factset&amp;DYN_ARGS=TRUE&amp;DOC_NAME=FAT:FQL_AUDITING_CLIENT_TEMPLATE.FAT&amp;display_string=Audit&amp;VAR:KEY=KFKTOHSRGV&amp;VAR:QUERY=RkZfRElWX1lMRChBTk4sMTAvMDYvMDQsMTAvMDYvMDQp&amp;WINDOW=FIRST_POPUP&amp;HEIGHT=450&amp;WIDTH=450&amp;","START_MAXIMIZED=FALSE&amp;VAR:CALENDAR=US&amp;VAR:SYMBOL=KO&amp;VAR:INDEX=0"}</definedName>
    <definedName name="_1914__FDSAUDITLINK__" localSheetId="0" hidden="1">{"fdsup://directions/FAT Viewer?action=UPDATE&amp;creator=factset&amp;DYN_ARGS=TRUE&amp;DOC_NAME=FAT:FQL_AUDITING_CLIENT_TEMPLATE.FAT&amp;display_string=Audit&amp;VAR:KEY=UFSHSBKHUP&amp;VAR:QUERY=RkZfRElWX1lMRChBTk4sOS8yOS8wNCw5LzI5LzA0KQ==&amp;WINDOW=FIRST_POPUP&amp;HEIGHT=450&amp;WIDTH=450&amp;","START_MAXIMIZED=FALSE&amp;VAR:CALENDAR=US&amp;VAR:SYMBOL=KO&amp;VAR:INDEX=0"}</definedName>
    <definedName name="_1914__FDSAUDITLINK__" hidden="1">{"fdsup://directions/FAT Viewer?action=UPDATE&amp;creator=factset&amp;DYN_ARGS=TRUE&amp;DOC_NAME=FAT:FQL_AUDITING_CLIENT_TEMPLATE.FAT&amp;display_string=Audit&amp;VAR:KEY=UFSHSBKHUP&amp;VAR:QUERY=RkZfRElWX1lMRChBTk4sOS8yOS8wNCw5LzI5LzA0KQ==&amp;WINDOW=FIRST_POPUP&amp;HEIGHT=450&amp;WIDTH=450&amp;","START_MAXIMIZED=FALSE&amp;VAR:CALENDAR=US&amp;VAR:SYMBOL=KO&amp;VAR:INDEX=0"}</definedName>
    <definedName name="_1915__FDSAUDITLINK__" localSheetId="0" hidden="1">{"fdsup://directions/FAT Viewer?action=UPDATE&amp;creator=factset&amp;DYN_ARGS=TRUE&amp;DOC_NAME=FAT:FQL_AUDITING_CLIENT_TEMPLATE.FAT&amp;display_string=Audit&amp;VAR:KEY=AJGREJGJMR&amp;VAR:QUERY=RkZfRElWX1lMRChBTk4sOS8yMi8wNCw5LzIyLzA0KQ==&amp;WINDOW=FIRST_POPUP&amp;HEIGHT=450&amp;WIDTH=450&amp;","START_MAXIMIZED=FALSE&amp;VAR:CALENDAR=US&amp;VAR:SYMBOL=KO&amp;VAR:INDEX=0"}</definedName>
    <definedName name="_1915__FDSAUDITLINK__" hidden="1">{"fdsup://directions/FAT Viewer?action=UPDATE&amp;creator=factset&amp;DYN_ARGS=TRUE&amp;DOC_NAME=FAT:FQL_AUDITING_CLIENT_TEMPLATE.FAT&amp;display_string=Audit&amp;VAR:KEY=AJGREJGJMR&amp;VAR:QUERY=RkZfRElWX1lMRChBTk4sOS8yMi8wNCw5LzIyLzA0KQ==&amp;WINDOW=FIRST_POPUP&amp;HEIGHT=450&amp;WIDTH=450&amp;","START_MAXIMIZED=FALSE&amp;VAR:CALENDAR=US&amp;VAR:SYMBOL=KO&amp;VAR:INDEX=0"}</definedName>
    <definedName name="_1916__FDSAUDITLINK__" localSheetId="0" hidden="1">{"fdsup://directions/FAT Viewer?action=UPDATE&amp;creator=factset&amp;DYN_ARGS=TRUE&amp;DOC_NAME=FAT:FQL_AUDITING_CLIENT_TEMPLATE.FAT&amp;display_string=Audit&amp;VAR:KEY=UNIBKVCNOJ&amp;VAR:QUERY=RkZfRElWX1lMRChBTk4sOS8xNS8wNCw5LzE1LzA0KQ==&amp;WINDOW=FIRST_POPUP&amp;HEIGHT=450&amp;WIDTH=450&amp;","START_MAXIMIZED=FALSE&amp;VAR:CALENDAR=US&amp;VAR:SYMBOL=KO&amp;VAR:INDEX=0"}</definedName>
    <definedName name="_1916__FDSAUDITLINK__" hidden="1">{"fdsup://directions/FAT Viewer?action=UPDATE&amp;creator=factset&amp;DYN_ARGS=TRUE&amp;DOC_NAME=FAT:FQL_AUDITING_CLIENT_TEMPLATE.FAT&amp;display_string=Audit&amp;VAR:KEY=UNIBKVCNOJ&amp;VAR:QUERY=RkZfRElWX1lMRChBTk4sOS8xNS8wNCw5LzE1LzA0KQ==&amp;WINDOW=FIRST_POPUP&amp;HEIGHT=450&amp;WIDTH=450&amp;","START_MAXIMIZED=FALSE&amp;VAR:CALENDAR=US&amp;VAR:SYMBOL=KO&amp;VAR:INDEX=0"}</definedName>
    <definedName name="_1917__FDSAUDITLINK__" localSheetId="0" hidden="1">{"fdsup://directions/FAT Viewer?action=UPDATE&amp;creator=factset&amp;DYN_ARGS=TRUE&amp;DOC_NAME=FAT:FQL_AUDITING_CLIENT_TEMPLATE.FAT&amp;display_string=Audit&amp;VAR:KEY=WFEPKXQVAZ&amp;VAR:QUERY=RkZfRElWX1lMRChBTk4sOS8wOC8wNCw5LzA4LzA0KQ==&amp;WINDOW=FIRST_POPUP&amp;HEIGHT=450&amp;WIDTH=450&amp;","START_MAXIMIZED=FALSE&amp;VAR:CALENDAR=US&amp;VAR:SYMBOL=KO&amp;VAR:INDEX=0"}</definedName>
    <definedName name="_1917__FDSAUDITLINK__" hidden="1">{"fdsup://directions/FAT Viewer?action=UPDATE&amp;creator=factset&amp;DYN_ARGS=TRUE&amp;DOC_NAME=FAT:FQL_AUDITING_CLIENT_TEMPLATE.FAT&amp;display_string=Audit&amp;VAR:KEY=WFEPKXQVAZ&amp;VAR:QUERY=RkZfRElWX1lMRChBTk4sOS8wOC8wNCw5LzA4LzA0KQ==&amp;WINDOW=FIRST_POPUP&amp;HEIGHT=450&amp;WIDTH=450&amp;","START_MAXIMIZED=FALSE&amp;VAR:CALENDAR=US&amp;VAR:SYMBOL=KO&amp;VAR:INDEX=0"}</definedName>
    <definedName name="_1918">#REF!</definedName>
    <definedName name="_1918__FDSAUDITLINK__" localSheetId="0" hidden="1">{"fdsup://directions/FAT Viewer?action=UPDATE&amp;creator=factset&amp;DYN_ARGS=TRUE&amp;DOC_NAME=FAT:FQL_AUDITING_CLIENT_TEMPLATE.FAT&amp;display_string=Audit&amp;VAR:KEY=IPMTAJQFCT&amp;VAR:QUERY=RkZfRElWX1lMRChBTk4sOS8wMS8wNCw5LzAxLzA0KQ==&amp;WINDOW=FIRST_POPUP&amp;HEIGHT=450&amp;WIDTH=450&amp;","START_MAXIMIZED=FALSE&amp;VAR:CALENDAR=US&amp;VAR:SYMBOL=KO&amp;VAR:INDEX=0"}</definedName>
    <definedName name="_1918__FDSAUDITLINK__" hidden="1">{"fdsup://directions/FAT Viewer?action=UPDATE&amp;creator=factset&amp;DYN_ARGS=TRUE&amp;DOC_NAME=FAT:FQL_AUDITING_CLIENT_TEMPLATE.FAT&amp;display_string=Audit&amp;VAR:KEY=IPMTAJQFCT&amp;VAR:QUERY=RkZfRElWX1lMRChBTk4sOS8wMS8wNCw5LzAxLzA0KQ==&amp;WINDOW=FIRST_POPUP&amp;HEIGHT=450&amp;WIDTH=450&amp;","START_MAXIMIZED=FALSE&amp;VAR:CALENDAR=US&amp;VAR:SYMBOL=KO&amp;VAR:INDEX=0"}</definedName>
    <definedName name="_1919__FDSAUDITLINK__" localSheetId="0" hidden="1">{"fdsup://directions/FAT Viewer?action=UPDATE&amp;creator=factset&amp;DYN_ARGS=TRUE&amp;DOC_NAME=FAT:FQL_AUDITING_CLIENT_TEMPLATE.FAT&amp;display_string=Audit&amp;VAR:KEY=UXKXKXSBCN&amp;VAR:QUERY=RkZfRElWX1lMRChBTk4sOC8yNS8wNCw4LzI1LzA0KQ==&amp;WINDOW=FIRST_POPUP&amp;HEIGHT=450&amp;WIDTH=450&amp;","START_MAXIMIZED=FALSE&amp;VAR:CALENDAR=US&amp;VAR:SYMBOL=KO&amp;VAR:INDEX=0"}</definedName>
    <definedName name="_1919__FDSAUDITLINK__" hidden="1">{"fdsup://directions/FAT Viewer?action=UPDATE&amp;creator=factset&amp;DYN_ARGS=TRUE&amp;DOC_NAME=FAT:FQL_AUDITING_CLIENT_TEMPLATE.FAT&amp;display_string=Audit&amp;VAR:KEY=UXKXKXSBCN&amp;VAR:QUERY=RkZfRElWX1lMRChBTk4sOC8yNS8wNCw4LzI1LzA0KQ==&amp;WINDOW=FIRST_POPUP&amp;HEIGHT=450&amp;WIDTH=450&amp;","START_MAXIMIZED=FALSE&amp;VAR:CALENDAR=US&amp;VAR:SYMBOL=KO&amp;VAR:INDEX=0"}</definedName>
    <definedName name="_192">#REF!</definedName>
    <definedName name="_192__123Graph_XQRE_S_BY_TYPE">#REF!</definedName>
    <definedName name="_192__FDSAUDITLINK__" localSheetId="0" hidden="1">{"fdsup://directions/FAT Viewer?action=UPDATE&amp;creator=factset&amp;DYN_ARGS=TRUE&amp;DOC_NAME=FAT:FQL_AUDITING_CLIENT_TEMPLATE.FAT&amp;display_string=Audit&amp;VAR:KEY=XMVSXWJSNO&amp;VAR:QUERY=RkZfRElWX1lMRChBTk4sOC8wMi8wNyw4LzAyLzA3KQ==&amp;WINDOW=FIRST_POPUP&amp;HEIGHT=450&amp;WIDTH=450&amp;","START_MAXIMIZED=FALSE&amp;VAR:CALENDAR=US&amp;VAR:SYMBOL=RAI&amp;VAR:INDEX=0"}</definedName>
    <definedName name="_192__FDSAUDITLINK__" hidden="1">{"fdsup://directions/FAT Viewer?action=UPDATE&amp;creator=factset&amp;DYN_ARGS=TRUE&amp;DOC_NAME=FAT:FQL_AUDITING_CLIENT_TEMPLATE.FAT&amp;display_string=Audit&amp;VAR:KEY=XMVSXWJSNO&amp;VAR:QUERY=RkZfRElWX1lMRChBTk4sOC8wMi8wNyw4LzAyLzA3KQ==&amp;WINDOW=FIRST_POPUP&amp;HEIGHT=450&amp;WIDTH=450&amp;","START_MAXIMIZED=FALSE&amp;VAR:CALENDAR=US&amp;VAR:SYMBOL=RAI&amp;VAR:INDEX=0"}</definedName>
    <definedName name="_1920__FDSAUDITLINK__" localSheetId="0" hidden="1">{"fdsup://directions/FAT Viewer?action=UPDATE&amp;creator=factset&amp;DYN_ARGS=TRUE&amp;DOC_NAME=FAT:FQL_AUDITING_CLIENT_TEMPLATE.FAT&amp;display_string=Audit&amp;VAR:KEY=SBCVEZSVMJ&amp;VAR:QUERY=RkZfRElWX1lMRChBTk4sOC8xOC8wNCw4LzE4LzA0KQ==&amp;WINDOW=FIRST_POPUP&amp;HEIGHT=450&amp;WIDTH=450&amp;","START_MAXIMIZED=FALSE&amp;VAR:CALENDAR=US&amp;VAR:SYMBOL=KO&amp;VAR:INDEX=0"}</definedName>
    <definedName name="_1920__FDSAUDITLINK__" hidden="1">{"fdsup://directions/FAT Viewer?action=UPDATE&amp;creator=factset&amp;DYN_ARGS=TRUE&amp;DOC_NAME=FAT:FQL_AUDITING_CLIENT_TEMPLATE.FAT&amp;display_string=Audit&amp;VAR:KEY=SBCVEZSVMJ&amp;VAR:QUERY=RkZfRElWX1lMRChBTk4sOC8xOC8wNCw4LzE4LzA0KQ==&amp;WINDOW=FIRST_POPUP&amp;HEIGHT=450&amp;WIDTH=450&amp;","START_MAXIMIZED=FALSE&amp;VAR:CALENDAR=US&amp;VAR:SYMBOL=KO&amp;VAR:INDEX=0"}</definedName>
    <definedName name="_1921__FDSAUDITLINK__" localSheetId="0" hidden="1">{"fdsup://directions/FAT Viewer?action=UPDATE&amp;creator=factset&amp;DYN_ARGS=TRUE&amp;DOC_NAME=FAT:FQL_AUDITING_CLIENT_TEMPLATE.FAT&amp;display_string=Audit&amp;VAR:KEY=IJCJYPGXWN&amp;VAR:QUERY=RkZfRElWX1lMRChBTk4sOC8xMS8wNCw4LzExLzA0KQ==&amp;WINDOW=FIRST_POPUP&amp;HEIGHT=450&amp;WIDTH=450&amp;","START_MAXIMIZED=FALSE&amp;VAR:CALENDAR=US&amp;VAR:SYMBOL=KO&amp;VAR:INDEX=0"}</definedName>
    <definedName name="_1921__FDSAUDITLINK__" hidden="1">{"fdsup://directions/FAT Viewer?action=UPDATE&amp;creator=factset&amp;DYN_ARGS=TRUE&amp;DOC_NAME=FAT:FQL_AUDITING_CLIENT_TEMPLATE.FAT&amp;display_string=Audit&amp;VAR:KEY=IJCJYPGXWN&amp;VAR:QUERY=RkZfRElWX1lMRChBTk4sOC8xMS8wNCw4LzExLzA0KQ==&amp;WINDOW=FIRST_POPUP&amp;HEIGHT=450&amp;WIDTH=450&amp;","START_MAXIMIZED=FALSE&amp;VAR:CALENDAR=US&amp;VAR:SYMBOL=KO&amp;VAR:INDEX=0"}</definedName>
    <definedName name="_1922">#REF!</definedName>
    <definedName name="_1922__FDSAUDITLINK__" localSheetId="0" hidden="1">{"fdsup://directions/FAT Viewer?action=UPDATE&amp;creator=factset&amp;DYN_ARGS=TRUE&amp;DOC_NAME=FAT:FQL_AUDITING_CLIENT_TEMPLATE.FAT&amp;display_string=Audit&amp;VAR:KEY=SJUVKHEBOP&amp;VAR:QUERY=RkZfRElWX1lMRChBTk4sOC8wNC8wNCw4LzA0LzA0KQ==&amp;WINDOW=FIRST_POPUP&amp;HEIGHT=450&amp;WIDTH=450&amp;","START_MAXIMIZED=FALSE&amp;VAR:CALENDAR=US&amp;VAR:SYMBOL=KO&amp;VAR:INDEX=0"}</definedName>
    <definedName name="_1922__FDSAUDITLINK__" hidden="1">{"fdsup://directions/FAT Viewer?action=UPDATE&amp;creator=factset&amp;DYN_ARGS=TRUE&amp;DOC_NAME=FAT:FQL_AUDITING_CLIENT_TEMPLATE.FAT&amp;display_string=Audit&amp;VAR:KEY=SJUVKHEBOP&amp;VAR:QUERY=RkZfRElWX1lMRChBTk4sOC8wNC8wNCw4LzA0LzA0KQ==&amp;WINDOW=FIRST_POPUP&amp;HEIGHT=450&amp;WIDTH=450&amp;","START_MAXIMIZED=FALSE&amp;VAR:CALENDAR=US&amp;VAR:SYMBOL=KO&amp;VAR:INDEX=0"}</definedName>
    <definedName name="_1923__FDSAUDITLINK__" localSheetId="0" hidden="1">{"fdsup://directions/FAT Viewer?action=UPDATE&amp;creator=factset&amp;DYN_ARGS=TRUE&amp;DOC_NAME=FAT:FQL_AUDITING_CLIENT_TEMPLATE.FAT&amp;display_string=Audit&amp;VAR:KEY=QREFCTMNUR&amp;VAR:QUERY=RkZfRElWX1lMRChBTk4sNy8yOC8wNCw3LzI4LzA0KQ==&amp;WINDOW=FIRST_POPUP&amp;HEIGHT=450&amp;WIDTH=450&amp;","START_MAXIMIZED=FALSE&amp;VAR:CALENDAR=US&amp;VAR:SYMBOL=KO&amp;VAR:INDEX=0"}</definedName>
    <definedName name="_1923__FDSAUDITLINK__" hidden="1">{"fdsup://directions/FAT Viewer?action=UPDATE&amp;creator=factset&amp;DYN_ARGS=TRUE&amp;DOC_NAME=FAT:FQL_AUDITING_CLIENT_TEMPLATE.FAT&amp;display_string=Audit&amp;VAR:KEY=QREFCTMNUR&amp;VAR:QUERY=RkZfRElWX1lMRChBTk4sNy8yOC8wNCw3LzI4LzA0KQ==&amp;WINDOW=FIRST_POPUP&amp;HEIGHT=450&amp;WIDTH=450&amp;","START_MAXIMIZED=FALSE&amp;VAR:CALENDAR=US&amp;VAR:SYMBOL=KO&amp;VAR:INDEX=0"}</definedName>
    <definedName name="_1924__FDSAUDITLINK__" localSheetId="0" hidden="1">{"fdsup://directions/FAT Viewer?action=UPDATE&amp;creator=factset&amp;DYN_ARGS=TRUE&amp;DOC_NAME=FAT:FQL_AUDITING_CLIENT_TEMPLATE.FAT&amp;display_string=Audit&amp;VAR:KEY=KBGHSJIJIZ&amp;VAR:QUERY=RkZfRElWX1lMRChBTk4sNy8yMS8wNCw3LzIxLzA0KQ==&amp;WINDOW=FIRST_POPUP&amp;HEIGHT=450&amp;WIDTH=450&amp;","START_MAXIMIZED=FALSE&amp;VAR:CALENDAR=US&amp;VAR:SYMBOL=KO&amp;VAR:INDEX=0"}</definedName>
    <definedName name="_1924__FDSAUDITLINK__" hidden="1">{"fdsup://directions/FAT Viewer?action=UPDATE&amp;creator=factset&amp;DYN_ARGS=TRUE&amp;DOC_NAME=FAT:FQL_AUDITING_CLIENT_TEMPLATE.FAT&amp;display_string=Audit&amp;VAR:KEY=KBGHSJIJIZ&amp;VAR:QUERY=RkZfRElWX1lMRChBTk4sNy8yMS8wNCw3LzIxLzA0KQ==&amp;WINDOW=FIRST_POPUP&amp;HEIGHT=450&amp;WIDTH=450&amp;","START_MAXIMIZED=FALSE&amp;VAR:CALENDAR=US&amp;VAR:SYMBOL=KO&amp;VAR:INDEX=0"}</definedName>
    <definedName name="_1925__FDSAUDITLINK__" localSheetId="0" hidden="1">{"fdsup://directions/FAT Viewer?action=UPDATE&amp;creator=factset&amp;DYN_ARGS=TRUE&amp;DOC_NAME=FAT:FQL_AUDITING_CLIENT_TEMPLATE.FAT&amp;display_string=Audit&amp;VAR:KEY=IVOLEREHIL&amp;VAR:QUERY=RkZfRElWX1lMRChBTk4sNy8xNC8wNCw3LzE0LzA0KQ==&amp;WINDOW=FIRST_POPUP&amp;HEIGHT=450&amp;WIDTH=450&amp;","START_MAXIMIZED=FALSE&amp;VAR:CALENDAR=US&amp;VAR:SYMBOL=KO&amp;VAR:INDEX=0"}</definedName>
    <definedName name="_1925__FDSAUDITLINK__" hidden="1">{"fdsup://directions/FAT Viewer?action=UPDATE&amp;creator=factset&amp;DYN_ARGS=TRUE&amp;DOC_NAME=FAT:FQL_AUDITING_CLIENT_TEMPLATE.FAT&amp;display_string=Audit&amp;VAR:KEY=IVOLEREHIL&amp;VAR:QUERY=RkZfRElWX1lMRChBTk4sNy8xNC8wNCw3LzE0LzA0KQ==&amp;WINDOW=FIRST_POPUP&amp;HEIGHT=450&amp;WIDTH=450&amp;","START_MAXIMIZED=FALSE&amp;VAR:CALENDAR=US&amp;VAR:SYMBOL=KO&amp;VAR:INDEX=0"}</definedName>
    <definedName name="_1926__FDSAUDITLINK__" localSheetId="0" hidden="1">{"fdsup://directions/FAT Viewer?action=UPDATE&amp;creator=factset&amp;DYN_ARGS=TRUE&amp;DOC_NAME=FAT:FQL_AUDITING_CLIENT_TEMPLATE.FAT&amp;display_string=Audit&amp;VAR:KEY=CHIDIBANQF&amp;VAR:QUERY=RkZfRElWX1lMRChBTk4sNy8wNy8wNCw3LzA3LzA0KQ==&amp;WINDOW=FIRST_POPUP&amp;HEIGHT=450&amp;WIDTH=450&amp;","START_MAXIMIZED=FALSE&amp;VAR:CALENDAR=US&amp;VAR:SYMBOL=KO&amp;VAR:INDEX=0"}</definedName>
    <definedName name="_1926__FDSAUDITLINK__" hidden="1">{"fdsup://directions/FAT Viewer?action=UPDATE&amp;creator=factset&amp;DYN_ARGS=TRUE&amp;DOC_NAME=FAT:FQL_AUDITING_CLIENT_TEMPLATE.FAT&amp;display_string=Audit&amp;VAR:KEY=CHIDIBANQF&amp;VAR:QUERY=RkZfRElWX1lMRChBTk4sNy8wNy8wNCw3LzA3LzA0KQ==&amp;WINDOW=FIRST_POPUP&amp;HEIGHT=450&amp;WIDTH=450&amp;","START_MAXIMIZED=FALSE&amp;VAR:CALENDAR=US&amp;VAR:SYMBOL=KO&amp;VAR:INDEX=0"}</definedName>
    <definedName name="_1927">#REF!</definedName>
    <definedName name="_1927__FDSAUDITLINK__" localSheetId="0" hidden="1">{"fdsup://directions/FAT Viewer?action=UPDATE&amp;creator=factset&amp;DYN_ARGS=TRUE&amp;DOC_NAME=FAT:FQL_AUDITING_CLIENT_TEMPLATE.FAT&amp;display_string=Audit&amp;VAR:KEY=IJETSXGTQB&amp;VAR:QUERY=RkZfRElWX1lMRChBTk4sNi8zMC8wNCw2LzMwLzA0KQ==&amp;WINDOW=FIRST_POPUP&amp;HEIGHT=450&amp;WIDTH=450&amp;","START_MAXIMIZED=FALSE&amp;VAR:CALENDAR=US&amp;VAR:SYMBOL=KO&amp;VAR:INDEX=0"}</definedName>
    <definedName name="_1927__FDSAUDITLINK__" hidden="1">{"fdsup://directions/FAT Viewer?action=UPDATE&amp;creator=factset&amp;DYN_ARGS=TRUE&amp;DOC_NAME=FAT:FQL_AUDITING_CLIENT_TEMPLATE.FAT&amp;display_string=Audit&amp;VAR:KEY=IJETSXGTQB&amp;VAR:QUERY=RkZfRElWX1lMRChBTk4sNi8zMC8wNCw2LzMwLzA0KQ==&amp;WINDOW=FIRST_POPUP&amp;HEIGHT=450&amp;WIDTH=450&amp;","START_MAXIMIZED=FALSE&amp;VAR:CALENDAR=US&amp;VAR:SYMBOL=KO&amp;VAR:INDEX=0"}</definedName>
    <definedName name="_1928__FDSAUDITLINK__" localSheetId="0" hidden="1">{"fdsup://directions/FAT Viewer?action=UPDATE&amp;creator=factset&amp;DYN_ARGS=TRUE&amp;DOC_NAME=FAT:FQL_AUDITING_CLIENT_TEMPLATE.FAT&amp;display_string=Audit&amp;VAR:KEY=IZKFSDUXIP&amp;VAR:QUERY=RkZfRElWX1lMRChBTk4sNi8yMy8wNCw2LzIzLzA0KQ==&amp;WINDOW=FIRST_POPUP&amp;HEIGHT=450&amp;WIDTH=450&amp;","START_MAXIMIZED=FALSE&amp;VAR:CALENDAR=US&amp;VAR:SYMBOL=KO&amp;VAR:INDEX=0"}</definedName>
    <definedName name="_1928__FDSAUDITLINK__" hidden="1">{"fdsup://directions/FAT Viewer?action=UPDATE&amp;creator=factset&amp;DYN_ARGS=TRUE&amp;DOC_NAME=FAT:FQL_AUDITING_CLIENT_TEMPLATE.FAT&amp;display_string=Audit&amp;VAR:KEY=IZKFSDUXIP&amp;VAR:QUERY=RkZfRElWX1lMRChBTk4sNi8yMy8wNCw2LzIzLzA0KQ==&amp;WINDOW=FIRST_POPUP&amp;HEIGHT=450&amp;WIDTH=450&amp;","START_MAXIMIZED=FALSE&amp;VAR:CALENDAR=US&amp;VAR:SYMBOL=KO&amp;VAR:INDEX=0"}</definedName>
    <definedName name="_1929__FDSAUDITLINK__" localSheetId="0" hidden="1">{"fdsup://directions/FAT Viewer?action=UPDATE&amp;creator=factset&amp;DYN_ARGS=TRUE&amp;DOC_NAME=FAT:FQL_AUDITING_CLIENT_TEMPLATE.FAT&amp;display_string=Audit&amp;VAR:KEY=YVMHYNILMD&amp;VAR:QUERY=RkZfRElWX1lMRChBTk4sNi8xNi8wNCw2LzE2LzA0KQ==&amp;WINDOW=FIRST_POPUP&amp;HEIGHT=450&amp;WIDTH=450&amp;","START_MAXIMIZED=FALSE&amp;VAR:CALENDAR=US&amp;VAR:SYMBOL=KO&amp;VAR:INDEX=0"}</definedName>
    <definedName name="_1929__FDSAUDITLINK__" hidden="1">{"fdsup://directions/FAT Viewer?action=UPDATE&amp;creator=factset&amp;DYN_ARGS=TRUE&amp;DOC_NAME=FAT:FQL_AUDITING_CLIENT_TEMPLATE.FAT&amp;display_string=Audit&amp;VAR:KEY=YVMHYNILMD&amp;VAR:QUERY=RkZfRElWX1lMRChBTk4sNi8xNi8wNCw2LzE2LzA0KQ==&amp;WINDOW=FIRST_POPUP&amp;HEIGHT=450&amp;WIDTH=450&amp;","START_MAXIMIZED=FALSE&amp;VAR:CALENDAR=US&amp;VAR:SYMBOL=KO&amp;VAR:INDEX=0"}</definedName>
    <definedName name="_193">#REF!</definedName>
    <definedName name="_193__123Graph_XQRE_S_BY_TYPE">#REF!</definedName>
    <definedName name="_193__FDSAUDITLINK__" localSheetId="0" hidden="1">{"fdsup://directions/FAT Viewer?action=UPDATE&amp;creator=factset&amp;DYN_ARGS=TRUE&amp;DOC_NAME=FAT:FQL_AUDITING_CLIENT_TEMPLATE.FAT&amp;display_string=Audit&amp;VAR:KEY=XWJELOBCZS&amp;VAR:QUERY=RkZfREVCVChBTk4sMCwsLCxVU0Qp&amp;WINDOW=FIRST_POPUP&amp;HEIGHT=450&amp;WIDTH=450&amp;START_MAXIMIZED=","FALSE&amp;VAR:CALENDAR=US&amp;VAR:SYMBOL=028758&amp;VAR:INDEX=0"}</definedName>
    <definedName name="_193__FDSAUDITLINK__" hidden="1">{"fdsup://directions/FAT Viewer?action=UPDATE&amp;creator=factset&amp;DYN_ARGS=TRUE&amp;DOC_NAME=FAT:FQL_AUDITING_CLIENT_TEMPLATE.FAT&amp;display_string=Audit&amp;VAR:KEY=XWJELOBCZS&amp;VAR:QUERY=RkZfREVCVChBTk4sMCwsLCxVU0Qp&amp;WINDOW=FIRST_POPUP&amp;HEIGHT=450&amp;WIDTH=450&amp;START_MAXIMIZED=","FALSE&amp;VAR:CALENDAR=US&amp;VAR:SYMBOL=028758&amp;VAR:INDEX=0"}</definedName>
    <definedName name="_1930__FDSAUDITLINK__" localSheetId="0" hidden="1">{"fdsup://directions/FAT Viewer?action=UPDATE&amp;creator=factset&amp;DYN_ARGS=TRUE&amp;DOC_NAME=FAT:FQL_AUDITING_CLIENT_TEMPLATE.FAT&amp;display_string=Audit&amp;VAR:KEY=SJMFMZGTCD&amp;VAR:QUERY=RkZfRElWX1lMRChBTk4sNi8wOS8wNCw2LzA5LzA0KQ==&amp;WINDOW=FIRST_POPUP&amp;HEIGHT=450&amp;WIDTH=450&amp;","START_MAXIMIZED=FALSE&amp;VAR:CALENDAR=US&amp;VAR:SYMBOL=KO&amp;VAR:INDEX=0"}</definedName>
    <definedName name="_1930__FDSAUDITLINK__" hidden="1">{"fdsup://directions/FAT Viewer?action=UPDATE&amp;creator=factset&amp;DYN_ARGS=TRUE&amp;DOC_NAME=FAT:FQL_AUDITING_CLIENT_TEMPLATE.FAT&amp;display_string=Audit&amp;VAR:KEY=SJMFMZGTCD&amp;VAR:QUERY=RkZfRElWX1lMRChBTk4sNi8wOS8wNCw2LzA5LzA0KQ==&amp;WINDOW=FIRST_POPUP&amp;HEIGHT=450&amp;WIDTH=450&amp;","START_MAXIMIZED=FALSE&amp;VAR:CALENDAR=US&amp;VAR:SYMBOL=KO&amp;VAR:INDEX=0"}</definedName>
    <definedName name="_1931__FDSAUDITLINK__" localSheetId="0" hidden="1">{"fdsup://directions/FAT Viewer?action=UPDATE&amp;creator=factset&amp;DYN_ARGS=TRUE&amp;DOC_NAME=FAT:FQL_AUDITING_CLIENT_TEMPLATE.FAT&amp;display_string=Audit&amp;VAR:KEY=GJKDEVUTQF&amp;VAR:QUERY=RkZfRElWX1lMRChBTk4sNi8wMi8wNCw2LzAyLzA0KQ==&amp;WINDOW=FIRST_POPUP&amp;HEIGHT=450&amp;WIDTH=450&amp;","START_MAXIMIZED=FALSE&amp;VAR:CALENDAR=US&amp;VAR:SYMBOL=KO&amp;VAR:INDEX=0"}</definedName>
    <definedName name="_1931__FDSAUDITLINK__" hidden="1">{"fdsup://directions/FAT Viewer?action=UPDATE&amp;creator=factset&amp;DYN_ARGS=TRUE&amp;DOC_NAME=FAT:FQL_AUDITING_CLIENT_TEMPLATE.FAT&amp;display_string=Audit&amp;VAR:KEY=GJKDEVUTQF&amp;VAR:QUERY=RkZfRElWX1lMRChBTk4sNi8wMi8wNCw2LzAyLzA0KQ==&amp;WINDOW=FIRST_POPUP&amp;HEIGHT=450&amp;WIDTH=450&amp;","START_MAXIMIZED=FALSE&amp;VAR:CALENDAR=US&amp;VAR:SYMBOL=KO&amp;VAR:INDEX=0"}</definedName>
    <definedName name="_1932">#REF!</definedName>
    <definedName name="_1932__FDSAUDITLINK__" localSheetId="0" hidden="1">{"fdsup://directions/FAT Viewer?action=UPDATE&amp;creator=factset&amp;DYN_ARGS=TRUE&amp;DOC_NAME=FAT:FQL_AUDITING_CLIENT_TEMPLATE.FAT&amp;display_string=Audit&amp;VAR:KEY=YPOLATCLAZ&amp;VAR:QUERY=RkZfRElWX1lMRChBTk4sNS8yNi8wNCw1LzI2LzA0KQ==&amp;WINDOW=FIRST_POPUP&amp;HEIGHT=450&amp;WIDTH=450&amp;","START_MAXIMIZED=FALSE&amp;VAR:CALENDAR=US&amp;VAR:SYMBOL=KO&amp;VAR:INDEX=0"}</definedName>
    <definedName name="_1932__FDSAUDITLINK__" hidden="1">{"fdsup://directions/FAT Viewer?action=UPDATE&amp;creator=factset&amp;DYN_ARGS=TRUE&amp;DOC_NAME=FAT:FQL_AUDITING_CLIENT_TEMPLATE.FAT&amp;display_string=Audit&amp;VAR:KEY=YPOLATCLAZ&amp;VAR:QUERY=RkZfRElWX1lMRChBTk4sNS8yNi8wNCw1LzI2LzA0KQ==&amp;WINDOW=FIRST_POPUP&amp;HEIGHT=450&amp;WIDTH=450&amp;","START_MAXIMIZED=FALSE&amp;VAR:CALENDAR=US&amp;VAR:SYMBOL=KO&amp;VAR:INDEX=0"}</definedName>
    <definedName name="_1933__FDSAUDITLINK__" localSheetId="0" hidden="1">{"fdsup://directions/FAT Viewer?action=UPDATE&amp;creator=factset&amp;DYN_ARGS=TRUE&amp;DOC_NAME=FAT:FQL_AUDITING_CLIENT_TEMPLATE.FAT&amp;display_string=Audit&amp;VAR:KEY=WHQXUJSLYN&amp;VAR:QUERY=RkZfRElWX1lMRChBTk4sNS8xOS8wNCw1LzE5LzA0KQ==&amp;WINDOW=FIRST_POPUP&amp;HEIGHT=450&amp;WIDTH=450&amp;","START_MAXIMIZED=FALSE&amp;VAR:CALENDAR=US&amp;VAR:SYMBOL=KO&amp;VAR:INDEX=0"}</definedName>
    <definedName name="_1933__FDSAUDITLINK__" hidden="1">{"fdsup://directions/FAT Viewer?action=UPDATE&amp;creator=factset&amp;DYN_ARGS=TRUE&amp;DOC_NAME=FAT:FQL_AUDITING_CLIENT_TEMPLATE.FAT&amp;display_string=Audit&amp;VAR:KEY=WHQXUJSLYN&amp;VAR:QUERY=RkZfRElWX1lMRChBTk4sNS8xOS8wNCw1LzE5LzA0KQ==&amp;WINDOW=FIRST_POPUP&amp;HEIGHT=450&amp;WIDTH=450&amp;","START_MAXIMIZED=FALSE&amp;VAR:CALENDAR=US&amp;VAR:SYMBOL=KO&amp;VAR:INDEX=0"}</definedName>
    <definedName name="_1934__FDSAUDITLINK__" localSheetId="0" hidden="1">{"fdsup://directions/FAT Viewer?action=UPDATE&amp;creator=factset&amp;DYN_ARGS=TRUE&amp;DOC_NAME=FAT:FQL_AUDITING_CLIENT_TEMPLATE.FAT&amp;display_string=Audit&amp;VAR:KEY=ALSFIXSLEB&amp;VAR:QUERY=RkZfRElWX1lMRChBTk4sNS8xMi8wNCw1LzEyLzA0KQ==&amp;WINDOW=FIRST_POPUP&amp;HEIGHT=450&amp;WIDTH=450&amp;","START_MAXIMIZED=FALSE&amp;VAR:CALENDAR=US&amp;VAR:SYMBOL=KO&amp;VAR:INDEX=0"}</definedName>
    <definedName name="_1934__FDSAUDITLINK__" hidden="1">{"fdsup://directions/FAT Viewer?action=UPDATE&amp;creator=factset&amp;DYN_ARGS=TRUE&amp;DOC_NAME=FAT:FQL_AUDITING_CLIENT_TEMPLATE.FAT&amp;display_string=Audit&amp;VAR:KEY=ALSFIXSLEB&amp;VAR:QUERY=RkZfRElWX1lMRChBTk4sNS8xMi8wNCw1LzEyLzA0KQ==&amp;WINDOW=FIRST_POPUP&amp;HEIGHT=450&amp;WIDTH=450&amp;","START_MAXIMIZED=FALSE&amp;VAR:CALENDAR=US&amp;VAR:SYMBOL=KO&amp;VAR:INDEX=0"}</definedName>
    <definedName name="_1935__FDSAUDITLINK__" localSheetId="0" hidden="1">{"fdsup://directions/FAT Viewer?action=UPDATE&amp;creator=factset&amp;DYN_ARGS=TRUE&amp;DOC_NAME=FAT:FQL_AUDITING_CLIENT_TEMPLATE.FAT&amp;display_string=Audit&amp;VAR:KEY=KHYXOTSJWV&amp;VAR:QUERY=RkZfRElWX1lMRChBTk4sNS8wNS8wNCw1LzA1LzA0KQ==&amp;WINDOW=FIRST_POPUP&amp;HEIGHT=450&amp;WIDTH=450&amp;","START_MAXIMIZED=FALSE&amp;VAR:CALENDAR=US&amp;VAR:SYMBOL=KO&amp;VAR:INDEX=0"}</definedName>
    <definedName name="_1935__FDSAUDITLINK__" hidden="1">{"fdsup://directions/FAT Viewer?action=UPDATE&amp;creator=factset&amp;DYN_ARGS=TRUE&amp;DOC_NAME=FAT:FQL_AUDITING_CLIENT_TEMPLATE.FAT&amp;display_string=Audit&amp;VAR:KEY=KHYXOTSJWV&amp;VAR:QUERY=RkZfRElWX1lMRChBTk4sNS8wNS8wNCw1LzA1LzA0KQ==&amp;WINDOW=FIRST_POPUP&amp;HEIGHT=450&amp;WIDTH=450&amp;","START_MAXIMIZED=FALSE&amp;VAR:CALENDAR=US&amp;VAR:SYMBOL=KO&amp;VAR:INDEX=0"}</definedName>
    <definedName name="_1936__FDSAUDITLINK__" localSheetId="0" hidden="1">{"fdsup://directions/FAT Viewer?action=UPDATE&amp;creator=factset&amp;DYN_ARGS=TRUE&amp;DOC_NAME=FAT:FQL_AUDITING_CLIENT_TEMPLATE.FAT&amp;display_string=Audit&amp;VAR:KEY=SRSHQNIFGN&amp;VAR:QUERY=RkZfRElWX1lMRChBTk4sNC8yOC8wNCw0LzI4LzA0KQ==&amp;WINDOW=FIRST_POPUP&amp;HEIGHT=450&amp;WIDTH=450&amp;","START_MAXIMIZED=FALSE&amp;VAR:CALENDAR=US&amp;VAR:SYMBOL=KO&amp;VAR:INDEX=0"}</definedName>
    <definedName name="_1936__FDSAUDITLINK__" hidden="1">{"fdsup://directions/FAT Viewer?action=UPDATE&amp;creator=factset&amp;DYN_ARGS=TRUE&amp;DOC_NAME=FAT:FQL_AUDITING_CLIENT_TEMPLATE.FAT&amp;display_string=Audit&amp;VAR:KEY=SRSHQNIFGN&amp;VAR:QUERY=RkZfRElWX1lMRChBTk4sNC8yOC8wNCw0LzI4LzA0KQ==&amp;WINDOW=FIRST_POPUP&amp;HEIGHT=450&amp;WIDTH=450&amp;","START_MAXIMIZED=FALSE&amp;VAR:CALENDAR=US&amp;VAR:SYMBOL=KO&amp;VAR:INDEX=0"}</definedName>
    <definedName name="_1937__FDSAUDITLINK__" localSheetId="0" hidden="1">{"fdsup://directions/FAT Viewer?action=UPDATE&amp;creator=factset&amp;DYN_ARGS=TRUE&amp;DOC_NAME=FAT:FQL_AUDITING_CLIENT_TEMPLATE.FAT&amp;display_string=Audit&amp;VAR:KEY=KDCLEPMJQR&amp;VAR:QUERY=RkZfRElWX1lMRChBTk4sNC8yMS8wNCw0LzIxLzA0KQ==&amp;WINDOW=FIRST_POPUP&amp;HEIGHT=450&amp;WIDTH=450&amp;","START_MAXIMIZED=FALSE&amp;VAR:CALENDAR=US&amp;VAR:SYMBOL=KO&amp;VAR:INDEX=0"}</definedName>
    <definedName name="_1937__FDSAUDITLINK__" hidden="1">{"fdsup://directions/FAT Viewer?action=UPDATE&amp;creator=factset&amp;DYN_ARGS=TRUE&amp;DOC_NAME=FAT:FQL_AUDITING_CLIENT_TEMPLATE.FAT&amp;display_string=Audit&amp;VAR:KEY=KDCLEPMJQR&amp;VAR:QUERY=RkZfRElWX1lMRChBTk4sNC8yMS8wNCw0LzIxLzA0KQ==&amp;WINDOW=FIRST_POPUP&amp;HEIGHT=450&amp;WIDTH=450&amp;","START_MAXIMIZED=FALSE&amp;VAR:CALENDAR=US&amp;VAR:SYMBOL=KO&amp;VAR:INDEX=0"}</definedName>
    <definedName name="_1938__FDSAUDITLINK__" localSheetId="0" hidden="1">{"fdsup://directions/FAT Viewer?action=UPDATE&amp;creator=factset&amp;DYN_ARGS=TRUE&amp;DOC_NAME=FAT:FQL_AUDITING_CLIENT_TEMPLATE.FAT&amp;display_string=Audit&amp;VAR:KEY=GPILCXGPCR&amp;VAR:QUERY=RkZfRElWX1lMRChBTk4sNC8xNC8wNCw0LzE0LzA0KQ==&amp;WINDOW=FIRST_POPUP&amp;HEIGHT=450&amp;WIDTH=450&amp;","START_MAXIMIZED=FALSE&amp;VAR:CALENDAR=US&amp;VAR:SYMBOL=KO&amp;VAR:INDEX=0"}</definedName>
    <definedName name="_1938__FDSAUDITLINK__" hidden="1">{"fdsup://directions/FAT Viewer?action=UPDATE&amp;creator=factset&amp;DYN_ARGS=TRUE&amp;DOC_NAME=FAT:FQL_AUDITING_CLIENT_TEMPLATE.FAT&amp;display_string=Audit&amp;VAR:KEY=GPILCXGPCR&amp;VAR:QUERY=RkZfRElWX1lMRChBTk4sNC8xNC8wNCw0LzE0LzA0KQ==&amp;WINDOW=FIRST_POPUP&amp;HEIGHT=450&amp;WIDTH=450&amp;","START_MAXIMIZED=FALSE&amp;VAR:CALENDAR=US&amp;VAR:SYMBOL=KO&amp;VAR:INDEX=0"}</definedName>
    <definedName name="_1939__FDSAUDITLINK__" localSheetId="0" hidden="1">{"fdsup://directions/FAT Viewer?action=UPDATE&amp;creator=factset&amp;DYN_ARGS=TRUE&amp;DOC_NAME=FAT:FQL_AUDITING_CLIENT_TEMPLATE.FAT&amp;display_string=Audit&amp;VAR:KEY=GDYHKLKBCJ&amp;VAR:QUERY=RkZfRElWX1lMRChBTk4sNC8wNy8wNCw0LzA3LzA0KQ==&amp;WINDOW=FIRST_POPUP&amp;HEIGHT=450&amp;WIDTH=450&amp;","START_MAXIMIZED=FALSE&amp;VAR:CALENDAR=US&amp;VAR:SYMBOL=KO&amp;VAR:INDEX=0"}</definedName>
    <definedName name="_1939__FDSAUDITLINK__" hidden="1">{"fdsup://directions/FAT Viewer?action=UPDATE&amp;creator=factset&amp;DYN_ARGS=TRUE&amp;DOC_NAME=FAT:FQL_AUDITING_CLIENT_TEMPLATE.FAT&amp;display_string=Audit&amp;VAR:KEY=GDYHKLKBCJ&amp;VAR:QUERY=RkZfRElWX1lMRChBTk4sNC8wNy8wNCw0LzA3LzA0KQ==&amp;WINDOW=FIRST_POPUP&amp;HEIGHT=450&amp;WIDTH=450&amp;","START_MAXIMIZED=FALSE&amp;VAR:CALENDAR=US&amp;VAR:SYMBOL=KO&amp;VAR:INDEX=0"}</definedName>
    <definedName name="_194">#REF!</definedName>
    <definedName name="_194__FDSAUDITLINK__" localSheetId="0" hidden="1">{"fdsup://Directions/FactSet Auditing Viewer?action=AUDIT_VALUE&amp;DB=129&amp;ID1=69840W10&amp;VALUEID=P05202&amp;SDATE=2011&amp;PERIODTYPE=ANN_STD&amp;SCFT=3&amp;window=popup_no_bar&amp;width=385&amp;height=120&amp;START_MAXIMIZED=FALSE&amp;creator=factset&amp;display_string=Audit"}</definedName>
    <definedName name="_194__FDSAUDITLINK__" hidden="1">{"fdsup://Directions/FactSet Auditing Viewer?action=AUDIT_VALUE&amp;DB=129&amp;ID1=69840W10&amp;VALUEID=P05202&amp;SDATE=2011&amp;PERIODTYPE=ANN_STD&amp;SCFT=3&amp;window=popup_no_bar&amp;width=385&amp;height=120&amp;START_MAXIMIZED=FALSE&amp;creator=factset&amp;display_string=Audit"}</definedName>
    <definedName name="_1940__FDSAUDITLINK__" localSheetId="0" hidden="1">{"fdsup://directions/FAT Viewer?action=UPDATE&amp;creator=factset&amp;DYN_ARGS=TRUE&amp;DOC_NAME=FAT:FQL_AUDITING_CLIENT_TEMPLATE.FAT&amp;display_string=Audit&amp;VAR:KEY=URITQVOVGR&amp;VAR:QUERY=RkZfRElWX1lMRChBTk4sMy8zMS8wNCwzLzMxLzA0KQ==&amp;WINDOW=FIRST_POPUP&amp;HEIGHT=450&amp;WIDTH=450&amp;","START_MAXIMIZED=FALSE&amp;VAR:CALENDAR=US&amp;VAR:SYMBOL=KO&amp;VAR:INDEX=0"}</definedName>
    <definedName name="_1940__FDSAUDITLINK__" hidden="1">{"fdsup://directions/FAT Viewer?action=UPDATE&amp;creator=factset&amp;DYN_ARGS=TRUE&amp;DOC_NAME=FAT:FQL_AUDITING_CLIENT_TEMPLATE.FAT&amp;display_string=Audit&amp;VAR:KEY=URITQVOVGR&amp;VAR:QUERY=RkZfRElWX1lMRChBTk4sMy8zMS8wNCwzLzMxLzA0KQ==&amp;WINDOW=FIRST_POPUP&amp;HEIGHT=450&amp;WIDTH=450&amp;","START_MAXIMIZED=FALSE&amp;VAR:CALENDAR=US&amp;VAR:SYMBOL=KO&amp;VAR:INDEX=0"}</definedName>
    <definedName name="_1941__FDSAUDITLINK__" localSheetId="0" hidden="1">{"fdsup://directions/FAT Viewer?action=UPDATE&amp;creator=factset&amp;DYN_ARGS=TRUE&amp;DOC_NAME=FAT:FQL_AUDITING_CLIENT_TEMPLATE.FAT&amp;display_string=Audit&amp;VAR:KEY=GPCJYRYFQV&amp;VAR:QUERY=RkZfRElWX1lMRChBTk4sMy8yNC8wNCwzLzI0LzA0KQ==&amp;WINDOW=FIRST_POPUP&amp;HEIGHT=450&amp;WIDTH=450&amp;","START_MAXIMIZED=FALSE&amp;VAR:CALENDAR=US&amp;VAR:SYMBOL=KO&amp;VAR:INDEX=0"}</definedName>
    <definedName name="_1941__FDSAUDITLINK__" hidden="1">{"fdsup://directions/FAT Viewer?action=UPDATE&amp;creator=factset&amp;DYN_ARGS=TRUE&amp;DOC_NAME=FAT:FQL_AUDITING_CLIENT_TEMPLATE.FAT&amp;display_string=Audit&amp;VAR:KEY=GPCJYRYFQV&amp;VAR:QUERY=RkZfRElWX1lMRChBTk4sMy8yNC8wNCwzLzI0LzA0KQ==&amp;WINDOW=FIRST_POPUP&amp;HEIGHT=450&amp;WIDTH=450&amp;","START_MAXIMIZED=FALSE&amp;VAR:CALENDAR=US&amp;VAR:SYMBOL=KO&amp;VAR:INDEX=0"}</definedName>
    <definedName name="_1942__FDSAUDITLINK__" localSheetId="0" hidden="1">{"fdsup://directions/FAT Viewer?action=UPDATE&amp;creator=factset&amp;DYN_ARGS=TRUE&amp;DOC_NAME=FAT:FQL_AUDITING_CLIENT_TEMPLATE.FAT&amp;display_string=Audit&amp;VAR:KEY=QLMTILSJAZ&amp;VAR:QUERY=RkZfRElWX1lMRChBTk4sMy8xNy8wNCwzLzE3LzA0KQ==&amp;WINDOW=FIRST_POPUP&amp;HEIGHT=450&amp;WIDTH=450&amp;","START_MAXIMIZED=FALSE&amp;VAR:CALENDAR=US&amp;VAR:SYMBOL=KO&amp;VAR:INDEX=0"}</definedName>
    <definedName name="_1942__FDSAUDITLINK__" hidden="1">{"fdsup://directions/FAT Viewer?action=UPDATE&amp;creator=factset&amp;DYN_ARGS=TRUE&amp;DOC_NAME=FAT:FQL_AUDITING_CLIENT_TEMPLATE.FAT&amp;display_string=Audit&amp;VAR:KEY=QLMTILSJAZ&amp;VAR:QUERY=RkZfRElWX1lMRChBTk4sMy8xNy8wNCwzLzE3LzA0KQ==&amp;WINDOW=FIRST_POPUP&amp;HEIGHT=450&amp;WIDTH=450&amp;","START_MAXIMIZED=FALSE&amp;VAR:CALENDAR=US&amp;VAR:SYMBOL=KO&amp;VAR:INDEX=0"}</definedName>
    <definedName name="_1943__FDSAUDITLINK__" localSheetId="0" hidden="1">{"fdsup://directions/FAT Viewer?action=UPDATE&amp;creator=factset&amp;DYN_ARGS=TRUE&amp;DOC_NAME=FAT:FQL_AUDITING_CLIENT_TEMPLATE.FAT&amp;display_string=Audit&amp;VAR:KEY=OZYPQNEPKD&amp;VAR:QUERY=RkZfRElWX1lMRChBTk4sMy8xMC8wNCwzLzEwLzA0KQ==&amp;WINDOW=FIRST_POPUP&amp;HEIGHT=450&amp;WIDTH=450&amp;","START_MAXIMIZED=FALSE&amp;VAR:CALENDAR=US&amp;VAR:SYMBOL=KO&amp;VAR:INDEX=0"}</definedName>
    <definedName name="_1943__FDSAUDITLINK__" hidden="1">{"fdsup://directions/FAT Viewer?action=UPDATE&amp;creator=factset&amp;DYN_ARGS=TRUE&amp;DOC_NAME=FAT:FQL_AUDITING_CLIENT_TEMPLATE.FAT&amp;display_string=Audit&amp;VAR:KEY=OZYPQNEPKD&amp;VAR:QUERY=RkZfRElWX1lMRChBTk4sMy8xMC8wNCwzLzEwLzA0KQ==&amp;WINDOW=FIRST_POPUP&amp;HEIGHT=450&amp;WIDTH=450&amp;","START_MAXIMIZED=FALSE&amp;VAR:CALENDAR=US&amp;VAR:SYMBOL=KO&amp;VAR:INDEX=0"}</definedName>
    <definedName name="_1944__FDSAUDITLINK__" localSheetId="0" hidden="1">{"fdsup://directions/FAT Viewer?action=UPDATE&amp;creator=factset&amp;DYN_ARGS=TRUE&amp;DOC_NAME=FAT:FQL_AUDITING_CLIENT_TEMPLATE.FAT&amp;display_string=Audit&amp;VAR:KEY=SXATYLCXAV&amp;VAR:QUERY=RkZfRElWX1lMRChBTk4sMy8wMy8wNCwzLzAzLzA0KQ==&amp;WINDOW=FIRST_POPUP&amp;HEIGHT=450&amp;WIDTH=450&amp;","START_MAXIMIZED=FALSE&amp;VAR:CALENDAR=US&amp;VAR:SYMBOL=KO&amp;VAR:INDEX=0"}</definedName>
    <definedName name="_1944__FDSAUDITLINK__" hidden="1">{"fdsup://directions/FAT Viewer?action=UPDATE&amp;creator=factset&amp;DYN_ARGS=TRUE&amp;DOC_NAME=FAT:FQL_AUDITING_CLIENT_TEMPLATE.FAT&amp;display_string=Audit&amp;VAR:KEY=SXATYLCXAV&amp;VAR:QUERY=RkZfRElWX1lMRChBTk4sMy8wMy8wNCwzLzAzLzA0KQ==&amp;WINDOW=FIRST_POPUP&amp;HEIGHT=450&amp;WIDTH=450&amp;","START_MAXIMIZED=FALSE&amp;VAR:CALENDAR=US&amp;VAR:SYMBOL=KO&amp;VAR:INDEX=0"}</definedName>
    <definedName name="_1945__FDSAUDITLINK__" localSheetId="0" hidden="1">{"fdsup://directions/FAT Viewer?action=UPDATE&amp;creator=factset&amp;DYN_ARGS=TRUE&amp;DOC_NAME=FAT:FQL_AUDITING_CLIENT_TEMPLATE.FAT&amp;display_string=Audit&amp;VAR:KEY=ELQLGBWXOJ&amp;VAR:QUERY=RkZfRElWX1lMRChBTk4sMi8yNS8wNCwyLzI1LzA0KQ==&amp;WINDOW=FIRST_POPUP&amp;HEIGHT=450&amp;WIDTH=450&amp;","START_MAXIMIZED=FALSE&amp;VAR:CALENDAR=US&amp;VAR:SYMBOL=KO&amp;VAR:INDEX=0"}</definedName>
    <definedName name="_1945__FDSAUDITLINK__" hidden="1">{"fdsup://directions/FAT Viewer?action=UPDATE&amp;creator=factset&amp;DYN_ARGS=TRUE&amp;DOC_NAME=FAT:FQL_AUDITING_CLIENT_TEMPLATE.FAT&amp;display_string=Audit&amp;VAR:KEY=ELQLGBWXOJ&amp;VAR:QUERY=RkZfRElWX1lMRChBTk4sMi8yNS8wNCwyLzI1LzA0KQ==&amp;WINDOW=FIRST_POPUP&amp;HEIGHT=450&amp;WIDTH=450&amp;","START_MAXIMIZED=FALSE&amp;VAR:CALENDAR=US&amp;VAR:SYMBOL=KO&amp;VAR:INDEX=0"}</definedName>
    <definedName name="_1946__FDSAUDITLINK__" localSheetId="0" hidden="1">{"fdsup://directions/FAT Viewer?action=UPDATE&amp;creator=factset&amp;DYN_ARGS=TRUE&amp;DOC_NAME=FAT:FQL_AUDITING_CLIENT_TEMPLATE.FAT&amp;display_string=Audit&amp;VAR:KEY=CFIFCFOJUN&amp;VAR:QUERY=RkZfRElWX1lMRChBTk4sMi8xOC8wNCwyLzE4LzA0KQ==&amp;WINDOW=FIRST_POPUP&amp;HEIGHT=450&amp;WIDTH=450&amp;","START_MAXIMIZED=FALSE&amp;VAR:CALENDAR=US&amp;VAR:SYMBOL=KO&amp;VAR:INDEX=0"}</definedName>
    <definedName name="_1946__FDSAUDITLINK__" hidden="1">{"fdsup://directions/FAT Viewer?action=UPDATE&amp;creator=factset&amp;DYN_ARGS=TRUE&amp;DOC_NAME=FAT:FQL_AUDITING_CLIENT_TEMPLATE.FAT&amp;display_string=Audit&amp;VAR:KEY=CFIFCFOJUN&amp;VAR:QUERY=RkZfRElWX1lMRChBTk4sMi8xOC8wNCwyLzE4LzA0KQ==&amp;WINDOW=FIRST_POPUP&amp;HEIGHT=450&amp;WIDTH=450&amp;","START_MAXIMIZED=FALSE&amp;VAR:CALENDAR=US&amp;VAR:SYMBOL=KO&amp;VAR:INDEX=0"}</definedName>
    <definedName name="_1947">#REF!</definedName>
    <definedName name="_1947__FDSAUDITLINK__" localSheetId="0" hidden="1">{"fdsup://directions/FAT Viewer?action=UPDATE&amp;creator=factset&amp;DYN_ARGS=TRUE&amp;DOC_NAME=FAT:FQL_AUDITING_CLIENT_TEMPLATE.FAT&amp;display_string=Audit&amp;VAR:KEY=CDSNEJCNWZ&amp;VAR:QUERY=RkZfRElWX1lMRChBTk4sMi8xMS8wNCwyLzExLzA0KQ==&amp;WINDOW=FIRST_POPUP&amp;HEIGHT=450&amp;WIDTH=450&amp;","START_MAXIMIZED=FALSE&amp;VAR:CALENDAR=US&amp;VAR:SYMBOL=KO&amp;VAR:INDEX=0"}</definedName>
    <definedName name="_1947__FDSAUDITLINK__" hidden="1">{"fdsup://directions/FAT Viewer?action=UPDATE&amp;creator=factset&amp;DYN_ARGS=TRUE&amp;DOC_NAME=FAT:FQL_AUDITING_CLIENT_TEMPLATE.FAT&amp;display_string=Audit&amp;VAR:KEY=CDSNEJCNWZ&amp;VAR:QUERY=RkZfRElWX1lMRChBTk4sMi8xMS8wNCwyLzExLzA0KQ==&amp;WINDOW=FIRST_POPUP&amp;HEIGHT=450&amp;WIDTH=450&amp;","START_MAXIMIZED=FALSE&amp;VAR:CALENDAR=US&amp;VAR:SYMBOL=KO&amp;VAR:INDEX=0"}</definedName>
    <definedName name="_1948">#REF!</definedName>
    <definedName name="_1948__FDSAUDITLINK__" localSheetId="0" hidden="1">{"fdsup://directions/FAT Viewer?action=UPDATE&amp;creator=factset&amp;DYN_ARGS=TRUE&amp;DOC_NAME=FAT:FQL_AUDITING_CLIENT_TEMPLATE.FAT&amp;display_string=Audit&amp;VAR:KEY=QBIJOBSXUR&amp;VAR:QUERY=RkZfRElWX1lMRChBTk4sMi8wNC8wNCwyLzA0LzA0KQ==&amp;WINDOW=FIRST_POPUP&amp;HEIGHT=450&amp;WIDTH=450&amp;","START_MAXIMIZED=FALSE&amp;VAR:CALENDAR=US&amp;VAR:SYMBOL=KO&amp;VAR:INDEX=0"}</definedName>
    <definedName name="_1948__FDSAUDITLINK__" hidden="1">{"fdsup://directions/FAT Viewer?action=UPDATE&amp;creator=factset&amp;DYN_ARGS=TRUE&amp;DOC_NAME=FAT:FQL_AUDITING_CLIENT_TEMPLATE.FAT&amp;display_string=Audit&amp;VAR:KEY=QBIJOBSXUR&amp;VAR:QUERY=RkZfRElWX1lMRChBTk4sMi8wNC8wNCwyLzA0LzA0KQ==&amp;WINDOW=FIRST_POPUP&amp;HEIGHT=450&amp;WIDTH=450&amp;","START_MAXIMIZED=FALSE&amp;VAR:CALENDAR=US&amp;VAR:SYMBOL=KO&amp;VAR:INDEX=0"}</definedName>
    <definedName name="_1949__FDSAUDITLINK__" localSheetId="0" hidden="1">{"fdsup://directions/FAT Viewer?action=UPDATE&amp;creator=factset&amp;DYN_ARGS=TRUE&amp;DOC_NAME=FAT:FQL_AUDITING_CLIENT_TEMPLATE.FAT&amp;display_string=Audit&amp;VAR:KEY=YXSBURYLKB&amp;VAR:QUERY=RkZfRElWX1lMRChBTk4sMS8yOC8wNCwxLzI4LzA0KQ==&amp;WINDOW=FIRST_POPUP&amp;HEIGHT=450&amp;WIDTH=450&amp;","START_MAXIMIZED=FALSE&amp;VAR:CALENDAR=US&amp;VAR:SYMBOL=KO&amp;VAR:INDEX=0"}</definedName>
    <definedName name="_1949__FDSAUDITLINK__" hidden="1">{"fdsup://directions/FAT Viewer?action=UPDATE&amp;creator=factset&amp;DYN_ARGS=TRUE&amp;DOC_NAME=FAT:FQL_AUDITING_CLIENT_TEMPLATE.FAT&amp;display_string=Audit&amp;VAR:KEY=YXSBURYLKB&amp;VAR:QUERY=RkZfRElWX1lMRChBTk4sMS8yOC8wNCwxLzI4LzA0KQ==&amp;WINDOW=FIRST_POPUP&amp;HEIGHT=450&amp;WIDTH=450&amp;","START_MAXIMIZED=FALSE&amp;VAR:CALENDAR=US&amp;VAR:SYMBOL=KO&amp;VAR:INDEX=0"}</definedName>
    <definedName name="_195">#REF!</definedName>
    <definedName name="_195__FDSAUDITLINK__" localSheetId="0" hidden="1">{"fdsup://Directions/FactSet Auditing Viewer?action=AUDIT_VALUE&amp;DB=129&amp;ID1=93114210&amp;VALUEID=P05202&amp;SDATE=2011&amp;PERIODTYPE=ANN_STD&amp;SCFT=3&amp;window=popup_no_bar&amp;width=385&amp;height=120&amp;START_MAXIMIZED=FALSE&amp;creator=factset&amp;display_string=Audit"}</definedName>
    <definedName name="_195__FDSAUDITLINK__" hidden="1">{"fdsup://Directions/FactSet Auditing Viewer?action=AUDIT_VALUE&amp;DB=129&amp;ID1=93114210&amp;VALUEID=P05202&amp;SDATE=2011&amp;PERIODTYPE=ANN_STD&amp;SCFT=3&amp;window=popup_no_bar&amp;width=385&amp;height=120&amp;START_MAXIMIZED=FALSE&amp;creator=factset&amp;display_string=Audit"}</definedName>
    <definedName name="_1950">#REF!</definedName>
    <definedName name="_1950__FDSAUDITLINK__" localSheetId="0" hidden="1">{"fdsup://directions/FAT Viewer?action=UPDATE&amp;creator=factset&amp;DYN_ARGS=TRUE&amp;DOC_NAME=FAT:FQL_AUDITING_CLIENT_TEMPLATE.FAT&amp;display_string=Audit&amp;VAR:KEY=WVCBAVKHYT&amp;VAR:QUERY=RkZfRElWX1lMRChBTk4sMS8yMS8wNCwxLzIxLzA0KQ==&amp;WINDOW=FIRST_POPUP&amp;HEIGHT=450&amp;WIDTH=450&amp;","START_MAXIMIZED=FALSE&amp;VAR:CALENDAR=US&amp;VAR:SYMBOL=KO&amp;VAR:INDEX=0"}</definedName>
    <definedName name="_1950__FDSAUDITLINK__" hidden="1">{"fdsup://directions/FAT Viewer?action=UPDATE&amp;creator=factset&amp;DYN_ARGS=TRUE&amp;DOC_NAME=FAT:FQL_AUDITING_CLIENT_TEMPLATE.FAT&amp;display_string=Audit&amp;VAR:KEY=WVCBAVKHYT&amp;VAR:QUERY=RkZfRElWX1lMRChBTk4sMS8yMS8wNCwxLzIxLzA0KQ==&amp;WINDOW=FIRST_POPUP&amp;HEIGHT=450&amp;WIDTH=450&amp;","START_MAXIMIZED=FALSE&amp;VAR:CALENDAR=US&amp;VAR:SYMBOL=KO&amp;VAR:INDEX=0"}</definedName>
    <definedName name="_1951">#REF!</definedName>
    <definedName name="_1951__FDSAUDITLINK__" localSheetId="0" hidden="1">{"fdsup://directions/FAT Viewer?action=UPDATE&amp;creator=factset&amp;DYN_ARGS=TRUE&amp;DOC_NAME=FAT:FQL_AUDITING_CLIENT_TEMPLATE.FAT&amp;display_string=Audit&amp;VAR:KEY=ERGFINCPWZ&amp;VAR:QUERY=RkZfRElWX1lMRChBTk4sMS8xNC8wNCwxLzE0LzA0KQ==&amp;WINDOW=FIRST_POPUP&amp;HEIGHT=450&amp;WIDTH=450&amp;","START_MAXIMIZED=FALSE&amp;VAR:CALENDAR=US&amp;VAR:SYMBOL=KO&amp;VAR:INDEX=0"}</definedName>
    <definedName name="_1951__FDSAUDITLINK__" hidden="1">{"fdsup://directions/FAT Viewer?action=UPDATE&amp;creator=factset&amp;DYN_ARGS=TRUE&amp;DOC_NAME=FAT:FQL_AUDITING_CLIENT_TEMPLATE.FAT&amp;display_string=Audit&amp;VAR:KEY=ERGFINCPWZ&amp;VAR:QUERY=RkZfRElWX1lMRChBTk4sMS8xNC8wNCwxLzE0LzA0KQ==&amp;WINDOW=FIRST_POPUP&amp;HEIGHT=450&amp;WIDTH=450&amp;","START_MAXIMIZED=FALSE&amp;VAR:CALENDAR=US&amp;VAR:SYMBOL=KO&amp;VAR:INDEX=0"}</definedName>
    <definedName name="_1952__FDSAUDITLINK__" localSheetId="0" hidden="1">{"fdsup://directions/FAT Viewer?action=UPDATE&amp;creator=factset&amp;DYN_ARGS=TRUE&amp;DOC_NAME=FAT:FQL_AUDITING_CLIENT_TEMPLATE.FAT&amp;display_string=Audit&amp;VAR:KEY=CLAJSXITUB&amp;VAR:QUERY=RkZfRElWX1lMRChBTk4sMS8wNy8wNCwxLzA3LzA0KQ==&amp;WINDOW=FIRST_POPUP&amp;HEIGHT=450&amp;WIDTH=450&amp;","START_MAXIMIZED=FALSE&amp;VAR:CALENDAR=US&amp;VAR:SYMBOL=KO&amp;VAR:INDEX=0"}</definedName>
    <definedName name="_1952__FDSAUDITLINK__" hidden="1">{"fdsup://directions/FAT Viewer?action=UPDATE&amp;creator=factset&amp;DYN_ARGS=TRUE&amp;DOC_NAME=FAT:FQL_AUDITING_CLIENT_TEMPLATE.FAT&amp;display_string=Audit&amp;VAR:KEY=CLAJSXITUB&amp;VAR:QUERY=RkZfRElWX1lMRChBTk4sMS8wNy8wNCwxLzA3LzA0KQ==&amp;WINDOW=FIRST_POPUP&amp;HEIGHT=450&amp;WIDTH=450&amp;","START_MAXIMIZED=FALSE&amp;VAR:CALENDAR=US&amp;VAR:SYMBOL=KO&amp;VAR:INDEX=0"}</definedName>
    <definedName name="_1953">#REF!</definedName>
    <definedName name="_1953__FDSAUDITLINK__" localSheetId="0" hidden="1">{"fdsup://directions/FAT Viewer?action=UPDATE&amp;creator=factset&amp;DYN_ARGS=TRUE&amp;DOC_NAME=FAT:FQL_AUDITING_CLIENT_TEMPLATE.FAT&amp;display_string=Audit&amp;VAR:KEY=CXWTMDWBGJ&amp;VAR:QUERY=RkZfRElWX1lMRChBTk4sMTIvMzEvMDMsMTIvMzEvMDMp&amp;WINDOW=FIRST_POPUP&amp;HEIGHT=450&amp;WIDTH=450&amp;","START_MAXIMIZED=FALSE&amp;VAR:CALENDAR=US&amp;VAR:SYMBOL=KO&amp;VAR:INDEX=0"}</definedName>
    <definedName name="_1953__FDSAUDITLINK__" hidden="1">{"fdsup://directions/FAT Viewer?action=UPDATE&amp;creator=factset&amp;DYN_ARGS=TRUE&amp;DOC_NAME=FAT:FQL_AUDITING_CLIENT_TEMPLATE.FAT&amp;display_string=Audit&amp;VAR:KEY=CXWTMDWBGJ&amp;VAR:QUERY=RkZfRElWX1lMRChBTk4sMTIvMzEvMDMsMTIvMzEvMDMp&amp;WINDOW=FIRST_POPUP&amp;HEIGHT=450&amp;WIDTH=450&amp;","START_MAXIMIZED=FALSE&amp;VAR:CALENDAR=US&amp;VAR:SYMBOL=KO&amp;VAR:INDEX=0"}</definedName>
    <definedName name="_1954">#REF!</definedName>
    <definedName name="_1954__FDSAUDITLINK__" localSheetId="0" hidden="1">{"fdsup://directions/FAT Viewer?action=UPDATE&amp;creator=factset&amp;DYN_ARGS=TRUE&amp;DOC_NAME=FAT:FQL_AUDITING_CLIENT_TEMPLATE.FAT&amp;display_string=Audit&amp;VAR:KEY=KPCXSHYZKJ&amp;VAR:QUERY=RkZfRElWX1lMRChBTk4sMTIvMjQvMDMsMTIvMjQvMDMp&amp;WINDOW=FIRST_POPUP&amp;HEIGHT=450&amp;WIDTH=450&amp;","START_MAXIMIZED=FALSE&amp;VAR:CALENDAR=US&amp;VAR:SYMBOL=KO&amp;VAR:INDEX=0"}</definedName>
    <definedName name="_1954__FDSAUDITLINK__" hidden="1">{"fdsup://directions/FAT Viewer?action=UPDATE&amp;creator=factset&amp;DYN_ARGS=TRUE&amp;DOC_NAME=FAT:FQL_AUDITING_CLIENT_TEMPLATE.FAT&amp;display_string=Audit&amp;VAR:KEY=KPCXSHYZKJ&amp;VAR:QUERY=RkZfRElWX1lMRChBTk4sMTIvMjQvMDMsMTIvMjQvMDMp&amp;WINDOW=FIRST_POPUP&amp;HEIGHT=450&amp;WIDTH=450&amp;","START_MAXIMIZED=FALSE&amp;VAR:CALENDAR=US&amp;VAR:SYMBOL=KO&amp;VAR:INDEX=0"}</definedName>
    <definedName name="_1955__FDSAUDITLINK__" localSheetId="0" hidden="1">{"fdsup://directions/FAT Viewer?action=UPDATE&amp;creator=factset&amp;DYN_ARGS=TRUE&amp;DOC_NAME=FAT:FQL_AUDITING_CLIENT_TEMPLATE.FAT&amp;display_string=Audit&amp;VAR:KEY=SBKRETEZKP&amp;VAR:QUERY=RkZfRElWX1lMRChBTk4sMTIvMTcvMDMsMTIvMTcvMDMp&amp;WINDOW=FIRST_POPUP&amp;HEIGHT=450&amp;WIDTH=450&amp;","START_MAXIMIZED=FALSE&amp;VAR:CALENDAR=US&amp;VAR:SYMBOL=KO&amp;VAR:INDEX=0"}</definedName>
    <definedName name="_1955__FDSAUDITLINK__" hidden="1">{"fdsup://directions/FAT Viewer?action=UPDATE&amp;creator=factset&amp;DYN_ARGS=TRUE&amp;DOC_NAME=FAT:FQL_AUDITING_CLIENT_TEMPLATE.FAT&amp;display_string=Audit&amp;VAR:KEY=SBKRETEZKP&amp;VAR:QUERY=RkZfRElWX1lMRChBTk4sMTIvMTcvMDMsMTIvMTcvMDMp&amp;WINDOW=FIRST_POPUP&amp;HEIGHT=450&amp;WIDTH=450&amp;","START_MAXIMIZED=FALSE&amp;VAR:CALENDAR=US&amp;VAR:SYMBOL=KO&amp;VAR:INDEX=0"}</definedName>
    <definedName name="_1956__FDSAUDITLINK__" localSheetId="0" hidden="1">{"fdsup://directions/FAT Viewer?action=UPDATE&amp;creator=factset&amp;DYN_ARGS=TRUE&amp;DOC_NAME=FAT:FQL_AUDITING_CLIENT_TEMPLATE.FAT&amp;display_string=Audit&amp;VAR:KEY=YXSFMTWLEF&amp;VAR:QUERY=RkZfRElWX1lMRChBTk4sMTIvMTAvMDMsMTIvMTAvMDMp&amp;WINDOW=FIRST_POPUP&amp;HEIGHT=450&amp;WIDTH=450&amp;","START_MAXIMIZED=FALSE&amp;VAR:CALENDAR=US&amp;VAR:SYMBOL=KO&amp;VAR:INDEX=0"}</definedName>
    <definedName name="_1956__FDSAUDITLINK__" hidden="1">{"fdsup://directions/FAT Viewer?action=UPDATE&amp;creator=factset&amp;DYN_ARGS=TRUE&amp;DOC_NAME=FAT:FQL_AUDITING_CLIENT_TEMPLATE.FAT&amp;display_string=Audit&amp;VAR:KEY=YXSFMTWLEF&amp;VAR:QUERY=RkZfRElWX1lMRChBTk4sMTIvMTAvMDMsMTIvMTAvMDMp&amp;WINDOW=FIRST_POPUP&amp;HEIGHT=450&amp;WIDTH=450&amp;","START_MAXIMIZED=FALSE&amp;VAR:CALENDAR=US&amp;VAR:SYMBOL=KO&amp;VAR:INDEX=0"}</definedName>
    <definedName name="_1957__FDSAUDITLINK__" localSheetId="0" hidden="1">{"fdsup://directions/FAT Viewer?action=UPDATE&amp;creator=factset&amp;DYN_ARGS=TRUE&amp;DOC_NAME=FAT:FQL_AUDITING_CLIENT_TEMPLATE.FAT&amp;display_string=Audit&amp;VAR:KEY=GJEFMJWLIN&amp;VAR:QUERY=RkZfRElWX1lMRChBTk4sMTIvMDMvMDMsMTIvMDMvMDMp&amp;WINDOW=FIRST_POPUP&amp;HEIGHT=450&amp;WIDTH=450&amp;","START_MAXIMIZED=FALSE&amp;VAR:CALENDAR=US&amp;VAR:SYMBOL=KO&amp;VAR:INDEX=0"}</definedName>
    <definedName name="_1957__FDSAUDITLINK__" hidden="1">{"fdsup://directions/FAT Viewer?action=UPDATE&amp;creator=factset&amp;DYN_ARGS=TRUE&amp;DOC_NAME=FAT:FQL_AUDITING_CLIENT_TEMPLATE.FAT&amp;display_string=Audit&amp;VAR:KEY=GJEFMJWLIN&amp;VAR:QUERY=RkZfRElWX1lMRChBTk4sMTIvMDMvMDMsMTIvMDMvMDMp&amp;WINDOW=FIRST_POPUP&amp;HEIGHT=450&amp;WIDTH=450&amp;","START_MAXIMIZED=FALSE&amp;VAR:CALENDAR=US&amp;VAR:SYMBOL=KO&amp;VAR:INDEX=0"}</definedName>
    <definedName name="_1958">#REF!</definedName>
    <definedName name="_1958__FDSAUDITLINK__" localSheetId="0" hidden="1">{"fdsup://directions/FAT Viewer?action=UPDATE&amp;creator=factset&amp;DYN_ARGS=TRUE&amp;DOC_NAME=FAT:FQL_AUDITING_CLIENT_TEMPLATE.FAT&amp;display_string=Audit&amp;VAR:KEY=YHIRSNQTUP&amp;VAR:QUERY=RkZfRElWX1lMRChBTk4sMTEvMjYvMDMsMTEvMjYvMDMp&amp;WINDOW=FIRST_POPUP&amp;HEIGHT=450&amp;WIDTH=450&amp;","START_MAXIMIZED=FALSE&amp;VAR:CALENDAR=US&amp;VAR:SYMBOL=KO&amp;VAR:INDEX=0"}</definedName>
    <definedName name="_1958__FDSAUDITLINK__" hidden="1">{"fdsup://directions/FAT Viewer?action=UPDATE&amp;creator=factset&amp;DYN_ARGS=TRUE&amp;DOC_NAME=FAT:FQL_AUDITING_CLIENT_TEMPLATE.FAT&amp;display_string=Audit&amp;VAR:KEY=YHIRSNQTUP&amp;VAR:QUERY=RkZfRElWX1lMRChBTk4sMTEvMjYvMDMsMTEvMjYvMDMp&amp;WINDOW=FIRST_POPUP&amp;HEIGHT=450&amp;WIDTH=450&amp;","START_MAXIMIZED=FALSE&amp;VAR:CALENDAR=US&amp;VAR:SYMBOL=KO&amp;VAR:INDEX=0"}</definedName>
    <definedName name="_1959">#REF!</definedName>
    <definedName name="_1959__FDSAUDITLINK__" localSheetId="0" hidden="1">{"fdsup://directions/FAT Viewer?action=UPDATE&amp;creator=factset&amp;DYN_ARGS=TRUE&amp;DOC_NAME=FAT:FQL_AUDITING_CLIENT_TEMPLATE.FAT&amp;display_string=Audit&amp;VAR:KEY=CTQJSHOJGJ&amp;VAR:QUERY=RkZfRElWX1lMRChBTk4sMTEvMTkvMDMsMTEvMTkvMDMp&amp;WINDOW=FIRST_POPUP&amp;HEIGHT=450&amp;WIDTH=450&amp;","START_MAXIMIZED=FALSE&amp;VAR:CALENDAR=US&amp;VAR:SYMBOL=KO&amp;VAR:INDEX=0"}</definedName>
    <definedName name="_1959__FDSAUDITLINK__" hidden="1">{"fdsup://directions/FAT Viewer?action=UPDATE&amp;creator=factset&amp;DYN_ARGS=TRUE&amp;DOC_NAME=FAT:FQL_AUDITING_CLIENT_TEMPLATE.FAT&amp;display_string=Audit&amp;VAR:KEY=CTQJSHOJGJ&amp;VAR:QUERY=RkZfRElWX1lMRChBTk4sMTEvMTkvMDMsMTEvMTkvMDMp&amp;WINDOW=FIRST_POPUP&amp;HEIGHT=450&amp;WIDTH=450&amp;","START_MAXIMIZED=FALSE&amp;VAR:CALENDAR=US&amp;VAR:SYMBOL=KO&amp;VAR:INDEX=0"}</definedName>
    <definedName name="_196">#REF!</definedName>
    <definedName name="_196__FDSAUDITLINK__" localSheetId="0" hidden="1">{"fdsup://Directions/FactSet Auditing Viewer?action=AUDIT_VALUE&amp;DB=129&amp;ID1=74271810&amp;VALUEID=P05202&amp;SDATE=2011&amp;PERIODTYPE=ANN_STD&amp;SCFT=3&amp;window=popup_no_bar&amp;width=385&amp;height=120&amp;START_MAXIMIZED=FALSE&amp;creator=factset&amp;display_string=Audit"}</definedName>
    <definedName name="_196__FDSAUDITLINK__" hidden="1">{"fdsup://Directions/FactSet Auditing Viewer?action=AUDIT_VALUE&amp;DB=129&amp;ID1=74271810&amp;VALUEID=P05202&amp;SDATE=2011&amp;PERIODTYPE=ANN_STD&amp;SCFT=3&amp;window=popup_no_bar&amp;width=385&amp;height=120&amp;START_MAXIMIZED=FALSE&amp;creator=factset&amp;display_string=Audit"}</definedName>
    <definedName name="_1960">#REF!</definedName>
    <definedName name="_1960__FDSAUDITLINK__" localSheetId="0" hidden="1">{"fdsup://directions/FAT Viewer?action=UPDATE&amp;creator=factset&amp;DYN_ARGS=TRUE&amp;DOC_NAME=FAT:FQL_AUDITING_CLIENT_TEMPLATE.FAT&amp;display_string=Audit&amp;VAR:KEY=UVOTKBUBIH&amp;VAR:QUERY=RkZfRElWX1lMRChBTk4sMTEvMTIvMDMsMTEvMTIvMDMp&amp;WINDOW=FIRST_POPUP&amp;HEIGHT=450&amp;WIDTH=450&amp;","START_MAXIMIZED=FALSE&amp;VAR:CALENDAR=US&amp;VAR:SYMBOL=KO&amp;VAR:INDEX=0"}</definedName>
    <definedName name="_1960__FDSAUDITLINK__" hidden="1">{"fdsup://directions/FAT Viewer?action=UPDATE&amp;creator=factset&amp;DYN_ARGS=TRUE&amp;DOC_NAME=FAT:FQL_AUDITING_CLIENT_TEMPLATE.FAT&amp;display_string=Audit&amp;VAR:KEY=UVOTKBUBIH&amp;VAR:QUERY=RkZfRElWX1lMRChBTk4sMTEvMTIvMDMsMTEvMTIvMDMp&amp;WINDOW=FIRST_POPUP&amp;HEIGHT=450&amp;WIDTH=450&amp;","START_MAXIMIZED=FALSE&amp;VAR:CALENDAR=US&amp;VAR:SYMBOL=KO&amp;VAR:INDEX=0"}</definedName>
    <definedName name="_1961">#REF!</definedName>
    <definedName name="_1961__FDSAUDITLINK__" localSheetId="0" hidden="1">{"fdsup://directions/FAT Viewer?action=UPDATE&amp;creator=factset&amp;DYN_ARGS=TRUE&amp;DOC_NAME=FAT:FQL_AUDITING_CLIENT_TEMPLATE.FAT&amp;display_string=Audit&amp;VAR:KEY=CHMZQTABEV&amp;VAR:QUERY=RkZfRElWX1lMRChBTk4sMTEvMDUvMDMsMTEvMDUvMDMp&amp;WINDOW=FIRST_POPUP&amp;HEIGHT=450&amp;WIDTH=450&amp;","START_MAXIMIZED=FALSE&amp;VAR:CALENDAR=US&amp;VAR:SYMBOL=KO&amp;VAR:INDEX=0"}</definedName>
    <definedName name="_1961__FDSAUDITLINK__" hidden="1">{"fdsup://directions/FAT Viewer?action=UPDATE&amp;creator=factset&amp;DYN_ARGS=TRUE&amp;DOC_NAME=FAT:FQL_AUDITING_CLIENT_TEMPLATE.FAT&amp;display_string=Audit&amp;VAR:KEY=CHMZQTABEV&amp;VAR:QUERY=RkZfRElWX1lMRChBTk4sMTEvMDUvMDMsMTEvMDUvMDMp&amp;WINDOW=FIRST_POPUP&amp;HEIGHT=450&amp;WIDTH=450&amp;","START_MAXIMIZED=FALSE&amp;VAR:CALENDAR=US&amp;VAR:SYMBOL=KO&amp;VAR:INDEX=0"}</definedName>
    <definedName name="_1962">#REF!</definedName>
    <definedName name="_1962__FDSAUDITLINK__" localSheetId="0" hidden="1">{"fdsup://directions/FAT Viewer?action=UPDATE&amp;creator=factset&amp;DYN_ARGS=TRUE&amp;DOC_NAME=FAT:FQL_AUDITING_CLIENT_TEMPLATE.FAT&amp;display_string=Audit&amp;VAR:KEY=MNINQROJIT&amp;VAR:QUERY=RkZfRElWX1lMRChBTk4sMTAvMjkvMDMsMTAvMjkvMDMp&amp;WINDOW=FIRST_POPUP&amp;HEIGHT=450&amp;WIDTH=450&amp;","START_MAXIMIZED=FALSE&amp;VAR:CALENDAR=US&amp;VAR:SYMBOL=KO&amp;VAR:INDEX=0"}</definedName>
    <definedName name="_1962__FDSAUDITLINK__" hidden="1">{"fdsup://directions/FAT Viewer?action=UPDATE&amp;creator=factset&amp;DYN_ARGS=TRUE&amp;DOC_NAME=FAT:FQL_AUDITING_CLIENT_TEMPLATE.FAT&amp;display_string=Audit&amp;VAR:KEY=MNINQROJIT&amp;VAR:QUERY=RkZfRElWX1lMRChBTk4sMTAvMjkvMDMsMTAvMjkvMDMp&amp;WINDOW=FIRST_POPUP&amp;HEIGHT=450&amp;WIDTH=450&amp;","START_MAXIMIZED=FALSE&amp;VAR:CALENDAR=US&amp;VAR:SYMBOL=KO&amp;VAR:INDEX=0"}</definedName>
    <definedName name="_1963">#REF!</definedName>
    <definedName name="_1963__FDSAUDITLINK__" localSheetId="0" hidden="1">{"fdsup://directions/FAT Viewer?action=UPDATE&amp;creator=factset&amp;DYN_ARGS=TRUE&amp;DOC_NAME=FAT:FQL_AUDITING_CLIENT_TEMPLATE.FAT&amp;display_string=Audit&amp;VAR:KEY=WNIJABIBWB&amp;VAR:QUERY=RkZfRElWX1lMRChBTk4sMTAvMjIvMDMsMTAvMjIvMDMp&amp;WINDOW=FIRST_POPUP&amp;HEIGHT=450&amp;WIDTH=450&amp;","START_MAXIMIZED=FALSE&amp;VAR:CALENDAR=US&amp;VAR:SYMBOL=KO&amp;VAR:INDEX=0"}</definedName>
    <definedName name="_1963__FDSAUDITLINK__" hidden="1">{"fdsup://directions/FAT Viewer?action=UPDATE&amp;creator=factset&amp;DYN_ARGS=TRUE&amp;DOC_NAME=FAT:FQL_AUDITING_CLIENT_TEMPLATE.FAT&amp;display_string=Audit&amp;VAR:KEY=WNIJABIBWB&amp;VAR:QUERY=RkZfRElWX1lMRChBTk4sMTAvMjIvMDMsMTAvMjIvMDMp&amp;WINDOW=FIRST_POPUP&amp;HEIGHT=450&amp;WIDTH=450&amp;","START_MAXIMIZED=FALSE&amp;VAR:CALENDAR=US&amp;VAR:SYMBOL=KO&amp;VAR:INDEX=0"}</definedName>
    <definedName name="_1964">#REF!</definedName>
    <definedName name="_1964__FDSAUDITLINK__" localSheetId="0" hidden="1">{"fdsup://directions/FAT Viewer?action=UPDATE&amp;creator=factset&amp;DYN_ARGS=TRUE&amp;DOC_NAME=FAT:FQL_AUDITING_CLIENT_TEMPLATE.FAT&amp;display_string=Audit&amp;VAR:KEY=IDYTWHSHCL&amp;VAR:QUERY=RkZfRElWX1lMRChBTk4sMTAvMTUvMDMsMTAvMTUvMDMp&amp;WINDOW=FIRST_POPUP&amp;HEIGHT=450&amp;WIDTH=450&amp;","START_MAXIMIZED=FALSE&amp;VAR:CALENDAR=US&amp;VAR:SYMBOL=KO&amp;VAR:INDEX=0"}</definedName>
    <definedName name="_1964__FDSAUDITLINK__" hidden="1">{"fdsup://directions/FAT Viewer?action=UPDATE&amp;creator=factset&amp;DYN_ARGS=TRUE&amp;DOC_NAME=FAT:FQL_AUDITING_CLIENT_TEMPLATE.FAT&amp;display_string=Audit&amp;VAR:KEY=IDYTWHSHCL&amp;VAR:QUERY=RkZfRElWX1lMRChBTk4sMTAvMTUvMDMsMTAvMTUvMDMp&amp;WINDOW=FIRST_POPUP&amp;HEIGHT=450&amp;WIDTH=450&amp;","START_MAXIMIZED=FALSE&amp;VAR:CALENDAR=US&amp;VAR:SYMBOL=KO&amp;VAR:INDEX=0"}</definedName>
    <definedName name="_1965">#REF!</definedName>
    <definedName name="_1965__FDSAUDITLINK__" localSheetId="0" hidden="1">{"fdsup://directions/FAT Viewer?action=UPDATE&amp;creator=factset&amp;DYN_ARGS=TRUE&amp;DOC_NAME=FAT:FQL_AUDITING_CLIENT_TEMPLATE.FAT&amp;display_string=Audit&amp;VAR:KEY=WZEPGTAHOF&amp;VAR:QUERY=RkZfRElWX1lMRChBTk4sMTAvMDgvMDMsMTAvMDgvMDMp&amp;WINDOW=FIRST_POPUP&amp;HEIGHT=450&amp;WIDTH=450&amp;","START_MAXIMIZED=FALSE&amp;VAR:CALENDAR=US&amp;VAR:SYMBOL=KO&amp;VAR:INDEX=0"}</definedName>
    <definedName name="_1965__FDSAUDITLINK__" hidden="1">{"fdsup://directions/FAT Viewer?action=UPDATE&amp;creator=factset&amp;DYN_ARGS=TRUE&amp;DOC_NAME=FAT:FQL_AUDITING_CLIENT_TEMPLATE.FAT&amp;display_string=Audit&amp;VAR:KEY=WZEPGTAHOF&amp;VAR:QUERY=RkZfRElWX1lMRChBTk4sMTAvMDgvMDMsMTAvMDgvMDMp&amp;WINDOW=FIRST_POPUP&amp;HEIGHT=450&amp;WIDTH=450&amp;","START_MAXIMIZED=FALSE&amp;VAR:CALENDAR=US&amp;VAR:SYMBOL=KO&amp;VAR:INDEX=0"}</definedName>
    <definedName name="_1966__FDSAUDITLINK__" localSheetId="0" hidden="1">{"fdsup://directions/FAT Viewer?action=UPDATE&amp;creator=factset&amp;DYN_ARGS=TRUE&amp;DOC_NAME=FAT:FQL_AUDITING_CLIENT_TEMPLATE.FAT&amp;display_string=Audit&amp;VAR:KEY=GLKLYLMFQR&amp;VAR:QUERY=RkZfRElWX1lMRChBTk4sMTAvMDEvMDMsMTAvMDEvMDMp&amp;WINDOW=FIRST_POPUP&amp;HEIGHT=450&amp;WIDTH=450&amp;","START_MAXIMIZED=FALSE&amp;VAR:CALENDAR=US&amp;VAR:SYMBOL=KO&amp;VAR:INDEX=0"}</definedName>
    <definedName name="_1966__FDSAUDITLINK__" hidden="1">{"fdsup://directions/FAT Viewer?action=UPDATE&amp;creator=factset&amp;DYN_ARGS=TRUE&amp;DOC_NAME=FAT:FQL_AUDITING_CLIENT_TEMPLATE.FAT&amp;display_string=Audit&amp;VAR:KEY=GLKLYLMFQR&amp;VAR:QUERY=RkZfRElWX1lMRChBTk4sMTAvMDEvMDMsMTAvMDEvMDMp&amp;WINDOW=FIRST_POPUP&amp;HEIGHT=450&amp;WIDTH=450&amp;","START_MAXIMIZED=FALSE&amp;VAR:CALENDAR=US&amp;VAR:SYMBOL=KO&amp;VAR:INDEX=0"}</definedName>
    <definedName name="_1967__FDSAUDITLINK__" localSheetId="0" hidden="1">{"fdsup://directions/FAT Viewer?action=UPDATE&amp;creator=factset&amp;DYN_ARGS=TRUE&amp;DOC_NAME=FAT:FQL_AUDITING_CLIENT_TEMPLATE.FAT&amp;display_string=Audit&amp;VAR:KEY=WNMRGLSVIR&amp;VAR:QUERY=RkZfRElWX1lMRChBTk4sOS8yNC8wMyw5LzI0LzAzKQ==&amp;WINDOW=FIRST_POPUP&amp;HEIGHT=450&amp;WIDTH=450&amp;","START_MAXIMIZED=FALSE&amp;VAR:CALENDAR=US&amp;VAR:SYMBOL=KO&amp;VAR:INDEX=0"}</definedName>
    <definedName name="_1967__FDSAUDITLINK__" hidden="1">{"fdsup://directions/FAT Viewer?action=UPDATE&amp;creator=factset&amp;DYN_ARGS=TRUE&amp;DOC_NAME=FAT:FQL_AUDITING_CLIENT_TEMPLATE.FAT&amp;display_string=Audit&amp;VAR:KEY=WNMRGLSVIR&amp;VAR:QUERY=RkZfRElWX1lMRChBTk4sOS8yNC8wMyw5LzI0LzAzKQ==&amp;WINDOW=FIRST_POPUP&amp;HEIGHT=450&amp;WIDTH=450&amp;","START_MAXIMIZED=FALSE&amp;VAR:CALENDAR=US&amp;VAR:SYMBOL=KO&amp;VAR:INDEX=0"}</definedName>
    <definedName name="_1968__FDSAUDITLINK__" localSheetId="0" hidden="1">{"fdsup://directions/FAT Viewer?action=UPDATE&amp;creator=factset&amp;DYN_ARGS=TRUE&amp;DOC_NAME=FAT:FQL_AUDITING_CLIENT_TEMPLATE.FAT&amp;display_string=Audit&amp;VAR:KEY=ITAHGJCNGZ&amp;VAR:QUERY=RkZfRElWX1lMRChBTk4sOS8xNy8wMyw5LzE3LzAzKQ==&amp;WINDOW=FIRST_POPUP&amp;HEIGHT=450&amp;WIDTH=450&amp;","START_MAXIMIZED=FALSE&amp;VAR:CALENDAR=US&amp;VAR:SYMBOL=KO&amp;VAR:INDEX=0"}</definedName>
    <definedName name="_1968__FDSAUDITLINK__" hidden="1">{"fdsup://directions/FAT Viewer?action=UPDATE&amp;creator=factset&amp;DYN_ARGS=TRUE&amp;DOC_NAME=FAT:FQL_AUDITING_CLIENT_TEMPLATE.FAT&amp;display_string=Audit&amp;VAR:KEY=ITAHGJCNGZ&amp;VAR:QUERY=RkZfRElWX1lMRChBTk4sOS8xNy8wMyw5LzE3LzAzKQ==&amp;WINDOW=FIRST_POPUP&amp;HEIGHT=450&amp;WIDTH=450&amp;","START_MAXIMIZED=FALSE&amp;VAR:CALENDAR=US&amp;VAR:SYMBOL=KO&amp;VAR:INDEX=0"}</definedName>
    <definedName name="_1969__FDSAUDITLINK__" localSheetId="0" hidden="1">{"fdsup://directions/FAT Viewer?action=UPDATE&amp;creator=factset&amp;DYN_ARGS=TRUE&amp;DOC_NAME=FAT:FQL_AUDITING_CLIENT_TEMPLATE.FAT&amp;display_string=Audit&amp;VAR:KEY=CVYLCPWPKH&amp;VAR:QUERY=RkZfRElWX1lMRChBTk4sOS8xMC8wMyw5LzEwLzAzKQ==&amp;WINDOW=FIRST_POPUP&amp;HEIGHT=450&amp;WIDTH=450&amp;","START_MAXIMIZED=FALSE&amp;VAR:CALENDAR=US&amp;VAR:SYMBOL=KO&amp;VAR:INDEX=0"}</definedName>
    <definedName name="_1969__FDSAUDITLINK__" hidden="1">{"fdsup://directions/FAT Viewer?action=UPDATE&amp;creator=factset&amp;DYN_ARGS=TRUE&amp;DOC_NAME=FAT:FQL_AUDITING_CLIENT_TEMPLATE.FAT&amp;display_string=Audit&amp;VAR:KEY=CVYLCPWPKH&amp;VAR:QUERY=RkZfRElWX1lMRChBTk4sOS8xMC8wMyw5LzEwLzAzKQ==&amp;WINDOW=FIRST_POPUP&amp;HEIGHT=450&amp;WIDTH=450&amp;","START_MAXIMIZED=FALSE&amp;VAR:CALENDAR=US&amp;VAR:SYMBOL=KO&amp;VAR:INDEX=0"}</definedName>
    <definedName name="_197">#REF!</definedName>
    <definedName name="_197__FDSAUDITLINK__" localSheetId="0" hidden="1">{"fdsup://Directions/FactSet Auditing Viewer?action=AUDIT_VALUE&amp;DB=129&amp;ID1=19416210&amp;VALUEID=P05202&amp;SDATE=2011&amp;PERIODTYPE=ANN_STD&amp;SCFT=3&amp;window=popup_no_bar&amp;width=385&amp;height=120&amp;START_MAXIMIZED=FALSE&amp;creator=factset&amp;display_string=Audit"}</definedName>
    <definedName name="_197__FDSAUDITLINK__" hidden="1">{"fdsup://Directions/FactSet Auditing Viewer?action=AUDIT_VALUE&amp;DB=129&amp;ID1=19416210&amp;VALUEID=P05202&amp;SDATE=2011&amp;PERIODTYPE=ANN_STD&amp;SCFT=3&amp;window=popup_no_bar&amp;width=385&amp;height=120&amp;START_MAXIMIZED=FALSE&amp;creator=factset&amp;display_string=Audit"}</definedName>
    <definedName name="_1970">#REF!</definedName>
    <definedName name="_1970__FDSAUDITLINK__" localSheetId="0" hidden="1">{"fdsup://directions/FAT Viewer?action=UPDATE&amp;creator=factset&amp;DYN_ARGS=TRUE&amp;DOC_NAME=FAT:FQL_AUDITING_CLIENT_TEMPLATE.FAT&amp;display_string=Audit&amp;VAR:KEY=MTKFUTOPCB&amp;VAR:QUERY=RkZfRElWX1lMRChBTk4sOS8wMy8wMyw5LzAzLzAzKQ==&amp;WINDOW=FIRST_POPUP&amp;HEIGHT=450&amp;WIDTH=450&amp;","START_MAXIMIZED=FALSE&amp;VAR:CALENDAR=US&amp;VAR:SYMBOL=KO&amp;VAR:INDEX=0"}</definedName>
    <definedName name="_1970__FDSAUDITLINK__" hidden="1">{"fdsup://directions/FAT Viewer?action=UPDATE&amp;creator=factset&amp;DYN_ARGS=TRUE&amp;DOC_NAME=FAT:FQL_AUDITING_CLIENT_TEMPLATE.FAT&amp;display_string=Audit&amp;VAR:KEY=MTKFUTOPCB&amp;VAR:QUERY=RkZfRElWX1lMRChBTk4sOS8wMy8wMyw5LzAzLzAzKQ==&amp;WINDOW=FIRST_POPUP&amp;HEIGHT=450&amp;WIDTH=450&amp;","START_MAXIMIZED=FALSE&amp;VAR:CALENDAR=US&amp;VAR:SYMBOL=KO&amp;VAR:INDEX=0"}</definedName>
    <definedName name="_1971__FDSAUDITLINK__" localSheetId="0" hidden="1">{"fdsup://directions/FAT Viewer?action=UPDATE&amp;creator=factset&amp;DYN_ARGS=TRUE&amp;DOC_NAME=FAT:FQL_AUDITING_CLIENT_TEMPLATE.FAT&amp;display_string=Audit&amp;VAR:KEY=KRKFGZKTKL&amp;VAR:QUERY=RkZfRElWX1lMRChBTk4sOC8yNy8wMyw4LzI3LzAzKQ==&amp;WINDOW=FIRST_POPUP&amp;HEIGHT=450&amp;WIDTH=450&amp;","START_MAXIMIZED=FALSE&amp;VAR:CALENDAR=US&amp;VAR:SYMBOL=KO&amp;VAR:INDEX=0"}</definedName>
    <definedName name="_1971__FDSAUDITLINK__" hidden="1">{"fdsup://directions/FAT Viewer?action=UPDATE&amp;creator=factset&amp;DYN_ARGS=TRUE&amp;DOC_NAME=FAT:FQL_AUDITING_CLIENT_TEMPLATE.FAT&amp;display_string=Audit&amp;VAR:KEY=KRKFGZKTKL&amp;VAR:QUERY=RkZfRElWX1lMRChBTk4sOC8yNy8wMyw4LzI3LzAzKQ==&amp;WINDOW=FIRST_POPUP&amp;HEIGHT=450&amp;WIDTH=450&amp;","START_MAXIMIZED=FALSE&amp;VAR:CALENDAR=US&amp;VAR:SYMBOL=KO&amp;VAR:INDEX=0"}</definedName>
    <definedName name="_1972__FDSAUDITLINK__" localSheetId="0" hidden="1">{"fdsup://directions/FAT Viewer?action=UPDATE&amp;creator=factset&amp;DYN_ARGS=TRUE&amp;DOC_NAME=FAT:FQL_AUDITING_CLIENT_TEMPLATE.FAT&amp;display_string=Audit&amp;VAR:KEY=ADSZMTYPOF&amp;VAR:QUERY=RkZfRElWX1lMRChBTk4sOC8yMC8wMyw4LzIwLzAzKQ==&amp;WINDOW=FIRST_POPUP&amp;HEIGHT=450&amp;WIDTH=450&amp;","START_MAXIMIZED=FALSE&amp;VAR:CALENDAR=US&amp;VAR:SYMBOL=KO&amp;VAR:INDEX=0"}</definedName>
    <definedName name="_1972__FDSAUDITLINK__" hidden="1">{"fdsup://directions/FAT Viewer?action=UPDATE&amp;creator=factset&amp;DYN_ARGS=TRUE&amp;DOC_NAME=FAT:FQL_AUDITING_CLIENT_TEMPLATE.FAT&amp;display_string=Audit&amp;VAR:KEY=ADSZMTYPOF&amp;VAR:QUERY=RkZfRElWX1lMRChBTk4sOC8yMC8wMyw4LzIwLzAzKQ==&amp;WINDOW=FIRST_POPUP&amp;HEIGHT=450&amp;WIDTH=450&amp;","START_MAXIMIZED=FALSE&amp;VAR:CALENDAR=US&amp;VAR:SYMBOL=KO&amp;VAR:INDEX=0"}</definedName>
    <definedName name="_1973__FDSAUDITLINK__" localSheetId="0" hidden="1">{"fdsup://directions/FAT Viewer?action=UPDATE&amp;creator=factset&amp;DYN_ARGS=TRUE&amp;DOC_NAME=FAT:FQL_AUDITING_CLIENT_TEMPLATE.FAT&amp;display_string=Audit&amp;VAR:KEY=EJWTGPOJEB&amp;VAR:QUERY=RkZfRElWX1lMRChBTk4sOC8xMy8wMyw4LzEzLzAzKQ==&amp;WINDOW=FIRST_POPUP&amp;HEIGHT=450&amp;WIDTH=450&amp;","START_MAXIMIZED=FALSE&amp;VAR:CALENDAR=US&amp;VAR:SYMBOL=KO&amp;VAR:INDEX=0"}</definedName>
    <definedName name="_1973__FDSAUDITLINK__" hidden="1">{"fdsup://directions/FAT Viewer?action=UPDATE&amp;creator=factset&amp;DYN_ARGS=TRUE&amp;DOC_NAME=FAT:FQL_AUDITING_CLIENT_TEMPLATE.FAT&amp;display_string=Audit&amp;VAR:KEY=EJWTGPOJEB&amp;VAR:QUERY=RkZfRElWX1lMRChBTk4sOC8xMy8wMyw4LzEzLzAzKQ==&amp;WINDOW=FIRST_POPUP&amp;HEIGHT=450&amp;WIDTH=450&amp;","START_MAXIMIZED=FALSE&amp;VAR:CALENDAR=US&amp;VAR:SYMBOL=KO&amp;VAR:INDEX=0"}</definedName>
    <definedName name="_1974__FDSAUDITLINK__" localSheetId="0" hidden="1">{"fdsup://directions/FAT Viewer?action=UPDATE&amp;creator=factset&amp;DYN_ARGS=TRUE&amp;DOC_NAME=FAT:FQL_AUDITING_CLIENT_TEMPLATE.FAT&amp;display_string=Audit&amp;VAR:KEY=CTQFMJETCL&amp;VAR:QUERY=RkZfRElWX1lMRChBTk4sOC8wNi8wMyw4LzA2LzAzKQ==&amp;WINDOW=FIRST_POPUP&amp;HEIGHT=450&amp;WIDTH=450&amp;","START_MAXIMIZED=FALSE&amp;VAR:CALENDAR=US&amp;VAR:SYMBOL=KO&amp;VAR:INDEX=0"}</definedName>
    <definedName name="_1974__FDSAUDITLINK__" hidden="1">{"fdsup://directions/FAT Viewer?action=UPDATE&amp;creator=factset&amp;DYN_ARGS=TRUE&amp;DOC_NAME=FAT:FQL_AUDITING_CLIENT_TEMPLATE.FAT&amp;display_string=Audit&amp;VAR:KEY=CTQFMJETCL&amp;VAR:QUERY=RkZfRElWX1lMRChBTk4sOC8wNi8wMyw4LzA2LzAzKQ==&amp;WINDOW=FIRST_POPUP&amp;HEIGHT=450&amp;WIDTH=450&amp;","START_MAXIMIZED=FALSE&amp;VAR:CALENDAR=US&amp;VAR:SYMBOL=KO&amp;VAR:INDEX=0"}</definedName>
    <definedName name="_1975">#REF!</definedName>
    <definedName name="_1975__FDSAUDITLINK__" localSheetId="0" hidden="1">{"fdsup://directions/FAT Viewer?action=UPDATE&amp;creator=factset&amp;DYN_ARGS=TRUE&amp;DOC_NAME=FAT:FQL_AUDITING_CLIENT_TEMPLATE.FAT&amp;display_string=Audit&amp;VAR:KEY=MHOVUJERUZ&amp;VAR:QUERY=RkZfRElWX1lMRChBTk4sNy8zMC8wMyw3LzMwLzAzKQ==&amp;WINDOW=FIRST_POPUP&amp;HEIGHT=450&amp;WIDTH=450&amp;","START_MAXIMIZED=FALSE&amp;VAR:CALENDAR=US&amp;VAR:SYMBOL=KO&amp;VAR:INDEX=0"}</definedName>
    <definedName name="_1975__FDSAUDITLINK__" hidden="1">{"fdsup://directions/FAT Viewer?action=UPDATE&amp;creator=factset&amp;DYN_ARGS=TRUE&amp;DOC_NAME=FAT:FQL_AUDITING_CLIENT_TEMPLATE.FAT&amp;display_string=Audit&amp;VAR:KEY=MHOVUJERUZ&amp;VAR:QUERY=RkZfRElWX1lMRChBTk4sNy8zMC8wMyw3LzMwLzAzKQ==&amp;WINDOW=FIRST_POPUP&amp;HEIGHT=450&amp;WIDTH=450&amp;","START_MAXIMIZED=FALSE&amp;VAR:CALENDAR=US&amp;VAR:SYMBOL=KO&amp;VAR:INDEX=0"}</definedName>
    <definedName name="_1976__FDSAUDITLINK__" localSheetId="0" hidden="1">{"fdsup://directions/FAT Viewer?action=UPDATE&amp;creator=factset&amp;DYN_ARGS=TRUE&amp;DOC_NAME=FAT:FQL_AUDITING_CLIENT_TEMPLATE.FAT&amp;display_string=Audit&amp;VAR:KEY=CDKDSZIXUF&amp;VAR:QUERY=RkZfRElWX1lMRChBTk4sNy8yMy8wMyw3LzIzLzAzKQ==&amp;WINDOW=FIRST_POPUP&amp;HEIGHT=450&amp;WIDTH=450&amp;","START_MAXIMIZED=FALSE&amp;VAR:CALENDAR=US&amp;VAR:SYMBOL=KO&amp;VAR:INDEX=0"}</definedName>
    <definedName name="_1976__FDSAUDITLINK__" hidden="1">{"fdsup://directions/FAT Viewer?action=UPDATE&amp;creator=factset&amp;DYN_ARGS=TRUE&amp;DOC_NAME=FAT:FQL_AUDITING_CLIENT_TEMPLATE.FAT&amp;display_string=Audit&amp;VAR:KEY=CDKDSZIXUF&amp;VAR:QUERY=RkZfRElWX1lMRChBTk4sNy8yMy8wMyw3LzIzLzAzKQ==&amp;WINDOW=FIRST_POPUP&amp;HEIGHT=450&amp;WIDTH=450&amp;","START_MAXIMIZED=FALSE&amp;VAR:CALENDAR=US&amp;VAR:SYMBOL=KO&amp;VAR:INDEX=0"}</definedName>
    <definedName name="_1977__FDSAUDITLINK__" localSheetId="0" hidden="1">{"fdsup://directions/FAT Viewer?action=UPDATE&amp;creator=factset&amp;DYN_ARGS=TRUE&amp;DOC_NAME=FAT:FQL_AUDITING_CLIENT_TEMPLATE.FAT&amp;display_string=Audit&amp;VAR:KEY=SHMRQRSBCH&amp;VAR:QUERY=RkZfRElWX1lMRChBTk4sNy8xNi8wMyw3LzE2LzAzKQ==&amp;WINDOW=FIRST_POPUP&amp;HEIGHT=450&amp;WIDTH=450&amp;","START_MAXIMIZED=FALSE&amp;VAR:CALENDAR=US&amp;VAR:SYMBOL=KO&amp;VAR:INDEX=0"}</definedName>
    <definedName name="_1977__FDSAUDITLINK__" hidden="1">{"fdsup://directions/FAT Viewer?action=UPDATE&amp;creator=factset&amp;DYN_ARGS=TRUE&amp;DOC_NAME=FAT:FQL_AUDITING_CLIENT_TEMPLATE.FAT&amp;display_string=Audit&amp;VAR:KEY=SHMRQRSBCH&amp;VAR:QUERY=RkZfRElWX1lMRChBTk4sNy8xNi8wMyw3LzE2LzAzKQ==&amp;WINDOW=FIRST_POPUP&amp;HEIGHT=450&amp;WIDTH=450&amp;","START_MAXIMIZED=FALSE&amp;VAR:CALENDAR=US&amp;VAR:SYMBOL=KO&amp;VAR:INDEX=0"}</definedName>
    <definedName name="_1978__FDSAUDITLINK__" localSheetId="0" hidden="1">{"fdsup://directions/FAT Viewer?action=UPDATE&amp;creator=factset&amp;DYN_ARGS=TRUE&amp;DOC_NAME=FAT:FQL_AUDITING_CLIENT_TEMPLATE.FAT&amp;display_string=Audit&amp;VAR:KEY=WJEPGBMLWH&amp;VAR:QUERY=RkZfRElWX1lMRChBTk4sNy8wOS8wMyw3LzA5LzAzKQ==&amp;WINDOW=FIRST_POPUP&amp;HEIGHT=450&amp;WIDTH=450&amp;","START_MAXIMIZED=FALSE&amp;VAR:CALENDAR=US&amp;VAR:SYMBOL=KO&amp;VAR:INDEX=0"}</definedName>
    <definedName name="_1978__FDSAUDITLINK__" hidden="1">{"fdsup://directions/FAT Viewer?action=UPDATE&amp;creator=factset&amp;DYN_ARGS=TRUE&amp;DOC_NAME=FAT:FQL_AUDITING_CLIENT_TEMPLATE.FAT&amp;display_string=Audit&amp;VAR:KEY=WJEPGBMLWH&amp;VAR:QUERY=RkZfRElWX1lMRChBTk4sNy8wOS8wMyw3LzA5LzAzKQ==&amp;WINDOW=FIRST_POPUP&amp;HEIGHT=450&amp;WIDTH=450&amp;","START_MAXIMIZED=FALSE&amp;VAR:CALENDAR=US&amp;VAR:SYMBOL=KO&amp;VAR:INDEX=0"}</definedName>
    <definedName name="_1979__FDSAUDITLINK__" localSheetId="0" hidden="1">{"fdsup://directions/FAT Viewer?action=UPDATE&amp;creator=factset&amp;DYN_ARGS=TRUE&amp;DOC_NAME=FAT:FQL_AUDITING_CLIENT_TEMPLATE.FAT&amp;display_string=Audit&amp;VAR:KEY=AHUBINMVWL&amp;VAR:QUERY=RkZfRElWX1lMRChBTk4sNy8wMi8wMyw3LzAyLzAzKQ==&amp;WINDOW=FIRST_POPUP&amp;HEIGHT=450&amp;WIDTH=450&amp;","START_MAXIMIZED=FALSE&amp;VAR:CALENDAR=US&amp;VAR:SYMBOL=KO&amp;VAR:INDEX=0"}</definedName>
    <definedName name="_1979__FDSAUDITLINK__" hidden="1">{"fdsup://directions/FAT Viewer?action=UPDATE&amp;creator=factset&amp;DYN_ARGS=TRUE&amp;DOC_NAME=FAT:FQL_AUDITING_CLIENT_TEMPLATE.FAT&amp;display_string=Audit&amp;VAR:KEY=AHUBINMVWL&amp;VAR:QUERY=RkZfRElWX1lMRChBTk4sNy8wMi8wMyw3LzAyLzAzKQ==&amp;WINDOW=FIRST_POPUP&amp;HEIGHT=450&amp;WIDTH=450&amp;","START_MAXIMIZED=FALSE&amp;VAR:CALENDAR=US&amp;VAR:SYMBOL=KO&amp;VAR:INDEX=0"}</definedName>
    <definedName name="_198">#REF!</definedName>
    <definedName name="_198__123Graph_XSUPPLIES_BY_B_U">#REF!</definedName>
    <definedName name="_198__FDSAUDITLINK__" localSheetId="0" hidden="1">{"fdsup://Directions/FactSet Auditing Viewer?action=AUDIT_VALUE&amp;DB=129&amp;ID1=98849810&amp;VALUEID=P05202&amp;SDATE=2011&amp;PERIODTYPE=ANN_STD&amp;SCFT=3&amp;window=popup_no_bar&amp;width=385&amp;height=120&amp;START_MAXIMIZED=FALSE&amp;creator=factset&amp;display_string=Audit"}</definedName>
    <definedName name="_198__FDSAUDITLINK__" hidden="1">{"fdsup://Directions/FactSet Auditing Viewer?action=AUDIT_VALUE&amp;DB=129&amp;ID1=98849810&amp;VALUEID=P05202&amp;SDATE=2011&amp;PERIODTYPE=ANN_STD&amp;SCFT=3&amp;window=popup_no_bar&amp;width=385&amp;height=120&amp;START_MAXIMIZED=FALSE&amp;creator=factset&amp;display_string=Audit"}</definedName>
    <definedName name="_1980">#REF!</definedName>
    <definedName name="_1980__FDSAUDITLINK__" localSheetId="0" hidden="1">{"fdsup://directions/FAT Viewer?action=UPDATE&amp;creator=factset&amp;DYN_ARGS=TRUE&amp;DOC_NAME=FAT:FQL_AUDITING_CLIENT_TEMPLATE.FAT&amp;display_string=Audit&amp;VAR:KEY=YVSDODMDMX&amp;VAR:QUERY=RkZfRElWX1lMRChBTk4sNi8yNS8wMyw2LzI1LzAzKQ==&amp;WINDOW=FIRST_POPUP&amp;HEIGHT=450&amp;WIDTH=450&amp;","START_MAXIMIZED=FALSE&amp;VAR:CALENDAR=US&amp;VAR:SYMBOL=KO&amp;VAR:INDEX=0"}</definedName>
    <definedName name="_1980__FDSAUDITLINK__" hidden="1">{"fdsup://directions/FAT Viewer?action=UPDATE&amp;creator=factset&amp;DYN_ARGS=TRUE&amp;DOC_NAME=FAT:FQL_AUDITING_CLIENT_TEMPLATE.FAT&amp;display_string=Audit&amp;VAR:KEY=YVSDODMDMX&amp;VAR:QUERY=RkZfRElWX1lMRChBTk4sNi8yNS8wMyw2LzI1LzAzKQ==&amp;WINDOW=FIRST_POPUP&amp;HEIGHT=450&amp;WIDTH=450&amp;","START_MAXIMIZED=FALSE&amp;VAR:CALENDAR=US&amp;VAR:SYMBOL=KO&amp;VAR:INDEX=0"}</definedName>
    <definedName name="_1981">#REF!</definedName>
    <definedName name="_1981__FDSAUDITLINK__" localSheetId="0" hidden="1">{"fdsup://directions/FAT Viewer?action=UPDATE&amp;creator=factset&amp;DYN_ARGS=TRUE&amp;DOC_NAME=FAT:FQL_AUDITING_CLIENT_TEMPLATE.FAT&amp;display_string=Audit&amp;VAR:KEY=OVILMLQJWX&amp;VAR:QUERY=RkZfRElWX1lMRChBTk4sNi8xOC8wMyw2LzE4LzAzKQ==&amp;WINDOW=FIRST_POPUP&amp;HEIGHT=450&amp;WIDTH=450&amp;","START_MAXIMIZED=FALSE&amp;VAR:CALENDAR=US&amp;VAR:SYMBOL=KO&amp;VAR:INDEX=0"}</definedName>
    <definedName name="_1981__FDSAUDITLINK__" hidden="1">{"fdsup://directions/FAT Viewer?action=UPDATE&amp;creator=factset&amp;DYN_ARGS=TRUE&amp;DOC_NAME=FAT:FQL_AUDITING_CLIENT_TEMPLATE.FAT&amp;display_string=Audit&amp;VAR:KEY=OVILMLQJWX&amp;VAR:QUERY=RkZfRElWX1lMRChBTk4sNi8xOC8wMyw2LzE4LzAzKQ==&amp;WINDOW=FIRST_POPUP&amp;HEIGHT=450&amp;WIDTH=450&amp;","START_MAXIMIZED=FALSE&amp;VAR:CALENDAR=US&amp;VAR:SYMBOL=KO&amp;VAR:INDEX=0"}</definedName>
    <definedName name="_1982__FDSAUDITLINK__" localSheetId="0" hidden="1">{"fdsup://directions/FAT Viewer?action=UPDATE&amp;creator=factset&amp;DYN_ARGS=TRUE&amp;DOC_NAME=FAT:FQL_AUDITING_CLIENT_TEMPLATE.FAT&amp;display_string=Audit&amp;VAR:KEY=OHEVGPWFAX&amp;VAR:QUERY=RkZfRElWX1lMRChBTk4sNi8xMS8wMyw2LzExLzAzKQ==&amp;WINDOW=FIRST_POPUP&amp;HEIGHT=450&amp;WIDTH=450&amp;","START_MAXIMIZED=FALSE&amp;VAR:CALENDAR=US&amp;VAR:SYMBOL=KO&amp;VAR:INDEX=0"}</definedName>
    <definedName name="_1982__FDSAUDITLINK__" hidden="1">{"fdsup://directions/FAT Viewer?action=UPDATE&amp;creator=factset&amp;DYN_ARGS=TRUE&amp;DOC_NAME=FAT:FQL_AUDITING_CLIENT_TEMPLATE.FAT&amp;display_string=Audit&amp;VAR:KEY=OHEVGPWFAX&amp;VAR:QUERY=RkZfRElWX1lMRChBTk4sNi8xMS8wMyw2LzExLzAzKQ==&amp;WINDOW=FIRST_POPUP&amp;HEIGHT=450&amp;WIDTH=450&amp;","START_MAXIMIZED=FALSE&amp;VAR:CALENDAR=US&amp;VAR:SYMBOL=KO&amp;VAR:INDEX=0"}</definedName>
    <definedName name="_1983">#REF!</definedName>
    <definedName name="_1983__FDSAUDITLINK__" localSheetId="0" hidden="1">{"fdsup://directions/FAT Viewer?action=UPDATE&amp;creator=factset&amp;DYN_ARGS=TRUE&amp;DOC_NAME=FAT:FQL_AUDITING_CLIENT_TEMPLATE.FAT&amp;display_string=Audit&amp;VAR:KEY=CRABMJKJAP&amp;VAR:QUERY=RkZfRElWX1lMRChBTk4sNi8wNC8wMyw2LzA0LzAzKQ==&amp;WINDOW=FIRST_POPUP&amp;HEIGHT=450&amp;WIDTH=450&amp;","START_MAXIMIZED=FALSE&amp;VAR:CALENDAR=US&amp;VAR:SYMBOL=KO&amp;VAR:INDEX=0"}</definedName>
    <definedName name="_1983__FDSAUDITLINK__" hidden="1">{"fdsup://directions/FAT Viewer?action=UPDATE&amp;creator=factset&amp;DYN_ARGS=TRUE&amp;DOC_NAME=FAT:FQL_AUDITING_CLIENT_TEMPLATE.FAT&amp;display_string=Audit&amp;VAR:KEY=CRABMJKJAP&amp;VAR:QUERY=RkZfRElWX1lMRChBTk4sNi8wNC8wMyw2LzA0LzAzKQ==&amp;WINDOW=FIRST_POPUP&amp;HEIGHT=450&amp;WIDTH=450&amp;","START_MAXIMIZED=FALSE&amp;VAR:CALENDAR=US&amp;VAR:SYMBOL=KO&amp;VAR:INDEX=0"}</definedName>
    <definedName name="_1984">#REF!</definedName>
    <definedName name="_1984__FDSAUDITLINK__" localSheetId="0" hidden="1">{"fdsup://directions/FAT Viewer?action=UPDATE&amp;creator=factset&amp;DYN_ARGS=TRUE&amp;DOC_NAME=FAT:FQL_AUDITING_CLIENT_TEMPLATE.FAT&amp;display_string=Audit&amp;VAR:KEY=AXMXSHINSD&amp;VAR:QUERY=RkZfRElWX1lMRChBTk4sNS8yOC8wMyw1LzI4LzAzKQ==&amp;WINDOW=FIRST_POPUP&amp;HEIGHT=450&amp;WIDTH=450&amp;","START_MAXIMIZED=FALSE&amp;VAR:CALENDAR=US&amp;VAR:SYMBOL=KO&amp;VAR:INDEX=0"}</definedName>
    <definedName name="_1984__FDSAUDITLINK__" hidden="1">{"fdsup://directions/FAT Viewer?action=UPDATE&amp;creator=factset&amp;DYN_ARGS=TRUE&amp;DOC_NAME=FAT:FQL_AUDITING_CLIENT_TEMPLATE.FAT&amp;display_string=Audit&amp;VAR:KEY=AXMXSHINSD&amp;VAR:QUERY=RkZfRElWX1lMRChBTk4sNS8yOC8wMyw1LzI4LzAzKQ==&amp;WINDOW=FIRST_POPUP&amp;HEIGHT=450&amp;WIDTH=450&amp;","START_MAXIMIZED=FALSE&amp;VAR:CALENDAR=US&amp;VAR:SYMBOL=KO&amp;VAR:INDEX=0"}</definedName>
    <definedName name="_1985__FDSAUDITLINK__" localSheetId="0" hidden="1">{"fdsup://directions/FAT Viewer?action=UPDATE&amp;creator=factset&amp;DYN_ARGS=TRUE&amp;DOC_NAME=FAT:FQL_AUDITING_CLIENT_TEMPLATE.FAT&amp;display_string=Audit&amp;VAR:KEY=ORQHANWJUL&amp;VAR:QUERY=RkZfRElWX1lMRChBTk4sNS8yMS8wMyw1LzIxLzAzKQ==&amp;WINDOW=FIRST_POPUP&amp;HEIGHT=450&amp;WIDTH=450&amp;","START_MAXIMIZED=FALSE&amp;VAR:CALENDAR=US&amp;VAR:SYMBOL=KO&amp;VAR:INDEX=0"}</definedName>
    <definedName name="_1985__FDSAUDITLINK__" hidden="1">{"fdsup://directions/FAT Viewer?action=UPDATE&amp;creator=factset&amp;DYN_ARGS=TRUE&amp;DOC_NAME=FAT:FQL_AUDITING_CLIENT_TEMPLATE.FAT&amp;display_string=Audit&amp;VAR:KEY=ORQHANWJUL&amp;VAR:QUERY=RkZfRElWX1lMRChBTk4sNS8yMS8wMyw1LzIxLzAzKQ==&amp;WINDOW=FIRST_POPUP&amp;HEIGHT=450&amp;WIDTH=450&amp;","START_MAXIMIZED=FALSE&amp;VAR:CALENDAR=US&amp;VAR:SYMBOL=KO&amp;VAR:INDEX=0"}</definedName>
    <definedName name="_1986">#REF!</definedName>
    <definedName name="_1986__FDSAUDITLINK__" localSheetId="0" hidden="1">{"fdsup://directions/FAT Viewer?action=UPDATE&amp;creator=factset&amp;DYN_ARGS=TRUE&amp;DOC_NAME=FAT:FQL_AUDITING_CLIENT_TEMPLATE.FAT&amp;display_string=Audit&amp;VAR:KEY=OZEFCLKNSF&amp;VAR:QUERY=RkZfRElWX1lMRChBTk4sNS8xNC8wMyw1LzE0LzAzKQ==&amp;WINDOW=FIRST_POPUP&amp;HEIGHT=450&amp;WIDTH=450&amp;","START_MAXIMIZED=FALSE&amp;VAR:CALENDAR=US&amp;VAR:SYMBOL=KO&amp;VAR:INDEX=0"}</definedName>
    <definedName name="_1986__FDSAUDITLINK__" hidden="1">{"fdsup://directions/FAT Viewer?action=UPDATE&amp;creator=factset&amp;DYN_ARGS=TRUE&amp;DOC_NAME=FAT:FQL_AUDITING_CLIENT_TEMPLATE.FAT&amp;display_string=Audit&amp;VAR:KEY=OZEFCLKNSF&amp;VAR:QUERY=RkZfRElWX1lMRChBTk4sNS8xNC8wMyw1LzE0LzAzKQ==&amp;WINDOW=FIRST_POPUP&amp;HEIGHT=450&amp;WIDTH=450&amp;","START_MAXIMIZED=FALSE&amp;VAR:CALENDAR=US&amp;VAR:SYMBOL=KO&amp;VAR:INDEX=0"}</definedName>
    <definedName name="_1987">#REF!</definedName>
    <definedName name="_1987__FDSAUDITLINK__" localSheetId="0" hidden="1">{"fdsup://directions/FAT Viewer?action=UPDATE&amp;creator=factset&amp;DYN_ARGS=TRUE&amp;DOC_NAME=FAT:FQL_AUDITING_CLIENT_TEMPLATE.FAT&amp;display_string=Audit&amp;VAR:KEY=EJAPKFKDAF&amp;VAR:QUERY=RkZfRElWX1lMRChBTk4sNS8wNy8wMyw1LzA3LzAzKQ==&amp;WINDOW=FIRST_POPUP&amp;HEIGHT=450&amp;WIDTH=450&amp;","START_MAXIMIZED=FALSE&amp;VAR:CALENDAR=US&amp;VAR:SYMBOL=KO&amp;VAR:INDEX=0"}</definedName>
    <definedName name="_1987__FDSAUDITLINK__" hidden="1">{"fdsup://directions/FAT Viewer?action=UPDATE&amp;creator=factset&amp;DYN_ARGS=TRUE&amp;DOC_NAME=FAT:FQL_AUDITING_CLIENT_TEMPLATE.FAT&amp;display_string=Audit&amp;VAR:KEY=EJAPKFKDAF&amp;VAR:QUERY=RkZfRElWX1lMRChBTk4sNS8wNy8wMyw1LzA3LzAzKQ==&amp;WINDOW=FIRST_POPUP&amp;HEIGHT=450&amp;WIDTH=450&amp;","START_MAXIMIZED=FALSE&amp;VAR:CALENDAR=US&amp;VAR:SYMBOL=KO&amp;VAR:INDEX=0"}</definedName>
    <definedName name="_1988__FDSAUDITLINK__" localSheetId="0" hidden="1">{"fdsup://directions/FAT Viewer?action=UPDATE&amp;creator=factset&amp;DYN_ARGS=TRUE&amp;DOC_NAME=FAT:FQL_AUDITING_CLIENT_TEMPLATE.FAT&amp;display_string=Audit&amp;VAR:KEY=KZQVQTUVAJ&amp;VAR:QUERY=RkZfRElWX1lMRChBTk4sNC8zMC8wMyw0LzMwLzAzKQ==&amp;WINDOW=FIRST_POPUP&amp;HEIGHT=450&amp;WIDTH=450&amp;","START_MAXIMIZED=FALSE&amp;VAR:CALENDAR=US&amp;VAR:SYMBOL=KO&amp;VAR:INDEX=0"}</definedName>
    <definedName name="_1988__FDSAUDITLINK__" hidden="1">{"fdsup://directions/FAT Viewer?action=UPDATE&amp;creator=factset&amp;DYN_ARGS=TRUE&amp;DOC_NAME=FAT:FQL_AUDITING_CLIENT_TEMPLATE.FAT&amp;display_string=Audit&amp;VAR:KEY=KZQVQTUVAJ&amp;VAR:QUERY=RkZfRElWX1lMRChBTk4sNC8zMC8wMyw0LzMwLzAzKQ==&amp;WINDOW=FIRST_POPUP&amp;HEIGHT=450&amp;WIDTH=450&amp;","START_MAXIMIZED=FALSE&amp;VAR:CALENDAR=US&amp;VAR:SYMBOL=KO&amp;VAR:INDEX=0"}</definedName>
    <definedName name="_1989">#REF!</definedName>
    <definedName name="_1989__FDSAUDITLINK__" localSheetId="0" hidden="1">{"fdsup://directions/FAT Viewer?action=UPDATE&amp;creator=factset&amp;DYN_ARGS=TRUE&amp;DOC_NAME=FAT:FQL_AUDITING_CLIENT_TEMPLATE.FAT&amp;display_string=Audit&amp;VAR:KEY=UFYZMHAJCF&amp;VAR:QUERY=RkZfRElWX1lMRChBTk4sNC8yMy8wMyw0LzIzLzAzKQ==&amp;WINDOW=FIRST_POPUP&amp;HEIGHT=450&amp;WIDTH=450&amp;","START_MAXIMIZED=FALSE&amp;VAR:CALENDAR=US&amp;VAR:SYMBOL=KO&amp;VAR:INDEX=0"}</definedName>
    <definedName name="_1989__FDSAUDITLINK__" hidden="1">{"fdsup://directions/FAT Viewer?action=UPDATE&amp;creator=factset&amp;DYN_ARGS=TRUE&amp;DOC_NAME=FAT:FQL_AUDITING_CLIENT_TEMPLATE.FAT&amp;display_string=Audit&amp;VAR:KEY=UFYZMHAJCF&amp;VAR:QUERY=RkZfRElWX1lMRChBTk4sNC8yMy8wMyw0LzIzLzAzKQ==&amp;WINDOW=FIRST_POPUP&amp;HEIGHT=450&amp;WIDTH=450&amp;","START_MAXIMIZED=FALSE&amp;VAR:CALENDAR=US&amp;VAR:SYMBOL=KO&amp;VAR:INDEX=0"}</definedName>
    <definedName name="_199">#REF!</definedName>
    <definedName name="_199__123Graph_XSUPPLIES_BY_B_U">#REF!</definedName>
    <definedName name="_199__FDSAUDITLINK__" localSheetId="0" hidden="1">{"fdsup://directions/FAT Viewer?action=UPDATE&amp;creator=factset&amp;DYN_ARGS=TRUE&amp;DOC_NAME=FAT:FQL_AUDITING_CLIENT_TEMPLATE.FAT&amp;display_string=Audit&amp;VAR:KEY=HKRAXERSBC&amp;VAR:QUERY=RkZfRElWX1lMRChBTk4sNi8xNC8wNyw2LzE0LzA3KQ==&amp;WINDOW=FIRST_POPUP&amp;HEIGHT=450&amp;WIDTH=450&amp;","START_MAXIMIZED=FALSE&amp;VAR:CALENDAR=US&amp;VAR:SYMBOL=RAI&amp;VAR:INDEX=0"}</definedName>
    <definedName name="_199__FDSAUDITLINK__" hidden="1">{"fdsup://directions/FAT Viewer?action=UPDATE&amp;creator=factset&amp;DYN_ARGS=TRUE&amp;DOC_NAME=FAT:FQL_AUDITING_CLIENT_TEMPLATE.FAT&amp;display_string=Audit&amp;VAR:KEY=HKRAXERSBC&amp;VAR:QUERY=RkZfRElWX1lMRChBTk4sNi8xNC8wNyw2LzE0LzA3KQ==&amp;WINDOW=FIRST_POPUP&amp;HEIGHT=450&amp;WIDTH=450&amp;","START_MAXIMIZED=FALSE&amp;VAR:CALENDAR=US&amp;VAR:SYMBOL=RAI&amp;VAR:INDEX=0"}</definedName>
    <definedName name="_1990">#REF!</definedName>
    <definedName name="_1990__FDSAUDITLINK__" localSheetId="0" hidden="1">{"fdsup://directions/FAT Viewer?action=UPDATE&amp;creator=factset&amp;DYN_ARGS=TRUE&amp;DOC_NAME=FAT:FQL_AUDITING_CLIENT_TEMPLATE.FAT&amp;display_string=Audit&amp;VAR:KEY=OBITYZSJSH&amp;VAR:QUERY=RkZfRElWX1lMRChBTk4sNC8xNi8wMyw0LzE2LzAzKQ==&amp;WINDOW=FIRST_POPUP&amp;HEIGHT=450&amp;WIDTH=450&amp;","START_MAXIMIZED=FALSE&amp;VAR:CALENDAR=US&amp;VAR:SYMBOL=KO&amp;VAR:INDEX=0"}</definedName>
    <definedName name="_1990__FDSAUDITLINK__" hidden="1">{"fdsup://directions/FAT Viewer?action=UPDATE&amp;creator=factset&amp;DYN_ARGS=TRUE&amp;DOC_NAME=FAT:FQL_AUDITING_CLIENT_TEMPLATE.FAT&amp;display_string=Audit&amp;VAR:KEY=OBITYZSJSH&amp;VAR:QUERY=RkZfRElWX1lMRChBTk4sNC8xNi8wMyw0LzE2LzAzKQ==&amp;WINDOW=FIRST_POPUP&amp;HEIGHT=450&amp;WIDTH=450&amp;","START_MAXIMIZED=FALSE&amp;VAR:CALENDAR=US&amp;VAR:SYMBOL=KO&amp;VAR:INDEX=0"}</definedName>
    <definedName name="_1991__FDSAUDITLINK__" localSheetId="0" hidden="1">{"fdsup://directions/FAT Viewer?action=UPDATE&amp;creator=factset&amp;DYN_ARGS=TRUE&amp;DOC_NAME=FAT:FQL_AUDITING_CLIENT_TEMPLATE.FAT&amp;display_string=Audit&amp;VAR:KEY=YJENQJUNAH&amp;VAR:QUERY=RkZfRElWX1lMRChBTk4sNC8wOS8wMyw0LzA5LzAzKQ==&amp;WINDOW=FIRST_POPUP&amp;HEIGHT=450&amp;WIDTH=450&amp;","START_MAXIMIZED=FALSE&amp;VAR:CALENDAR=US&amp;VAR:SYMBOL=KO&amp;VAR:INDEX=0"}</definedName>
    <definedName name="_1991__FDSAUDITLINK__" hidden="1">{"fdsup://directions/FAT Viewer?action=UPDATE&amp;creator=factset&amp;DYN_ARGS=TRUE&amp;DOC_NAME=FAT:FQL_AUDITING_CLIENT_TEMPLATE.FAT&amp;display_string=Audit&amp;VAR:KEY=YJENQJUNAH&amp;VAR:QUERY=RkZfRElWX1lMRChBTk4sNC8wOS8wMyw0LzA5LzAzKQ==&amp;WINDOW=FIRST_POPUP&amp;HEIGHT=450&amp;WIDTH=450&amp;","START_MAXIMIZED=FALSE&amp;VAR:CALENDAR=US&amp;VAR:SYMBOL=KO&amp;VAR:INDEX=0"}</definedName>
    <definedName name="_1992">#REF!</definedName>
    <definedName name="_1992__FDSAUDITLINK__" localSheetId="0" hidden="1">{"fdsup://directions/FAT Viewer?action=UPDATE&amp;creator=factset&amp;DYN_ARGS=TRUE&amp;DOC_NAME=FAT:FQL_AUDITING_CLIENT_TEMPLATE.FAT&amp;display_string=Audit&amp;VAR:KEY=MDAPGFWHGZ&amp;VAR:QUERY=RkZfRElWX1lMRChBTk4sNC8wMi8wMyw0LzAyLzAzKQ==&amp;WINDOW=FIRST_POPUP&amp;HEIGHT=450&amp;WIDTH=450&amp;","START_MAXIMIZED=FALSE&amp;VAR:CALENDAR=US&amp;VAR:SYMBOL=KO&amp;VAR:INDEX=0"}</definedName>
    <definedName name="_1992__FDSAUDITLINK__" hidden="1">{"fdsup://directions/FAT Viewer?action=UPDATE&amp;creator=factset&amp;DYN_ARGS=TRUE&amp;DOC_NAME=FAT:FQL_AUDITING_CLIENT_TEMPLATE.FAT&amp;display_string=Audit&amp;VAR:KEY=MDAPGFWHGZ&amp;VAR:QUERY=RkZfRElWX1lMRChBTk4sNC8wMi8wMyw0LzAyLzAzKQ==&amp;WINDOW=FIRST_POPUP&amp;HEIGHT=450&amp;WIDTH=450&amp;","START_MAXIMIZED=FALSE&amp;VAR:CALENDAR=US&amp;VAR:SYMBOL=KO&amp;VAR:INDEX=0"}</definedName>
    <definedName name="_1993__FDSAUDITLINK__" localSheetId="0" hidden="1">{"fdsup://directions/FAT Viewer?action=UPDATE&amp;creator=factset&amp;DYN_ARGS=TRUE&amp;DOC_NAME=FAT:FQL_AUDITING_CLIENT_TEMPLATE.FAT&amp;display_string=Audit&amp;VAR:KEY=WZQVKXCTWD&amp;VAR:QUERY=RkZfRElWX1lMRChBTk4sMy8yNi8wMywzLzI2LzAzKQ==&amp;WINDOW=FIRST_POPUP&amp;HEIGHT=450&amp;WIDTH=450&amp;","START_MAXIMIZED=FALSE&amp;VAR:CALENDAR=US&amp;VAR:SYMBOL=KO&amp;VAR:INDEX=0"}</definedName>
    <definedName name="_1993__FDSAUDITLINK__" hidden="1">{"fdsup://directions/FAT Viewer?action=UPDATE&amp;creator=factset&amp;DYN_ARGS=TRUE&amp;DOC_NAME=FAT:FQL_AUDITING_CLIENT_TEMPLATE.FAT&amp;display_string=Audit&amp;VAR:KEY=WZQVKXCTWD&amp;VAR:QUERY=RkZfRElWX1lMRChBTk4sMy8yNi8wMywzLzI2LzAzKQ==&amp;WINDOW=FIRST_POPUP&amp;HEIGHT=450&amp;WIDTH=450&amp;","START_MAXIMIZED=FALSE&amp;VAR:CALENDAR=US&amp;VAR:SYMBOL=KO&amp;VAR:INDEX=0"}</definedName>
    <definedName name="_1994__FDSAUDITLINK__" localSheetId="0" hidden="1">{"fdsup://directions/FAT Viewer?action=UPDATE&amp;creator=factset&amp;DYN_ARGS=TRUE&amp;DOC_NAME=FAT:FQL_AUDITING_CLIENT_TEMPLATE.FAT&amp;display_string=Audit&amp;VAR:KEY=GHAXIVOZEX&amp;VAR:QUERY=RkZfRElWX1lMRChBTk4sMy8xOS8wMywzLzE5LzAzKQ==&amp;WINDOW=FIRST_POPUP&amp;HEIGHT=450&amp;WIDTH=450&amp;","START_MAXIMIZED=FALSE&amp;VAR:CALENDAR=US&amp;VAR:SYMBOL=KO&amp;VAR:INDEX=0"}</definedName>
    <definedName name="_1994__FDSAUDITLINK__" hidden="1">{"fdsup://directions/FAT Viewer?action=UPDATE&amp;creator=factset&amp;DYN_ARGS=TRUE&amp;DOC_NAME=FAT:FQL_AUDITING_CLIENT_TEMPLATE.FAT&amp;display_string=Audit&amp;VAR:KEY=GHAXIVOZEX&amp;VAR:QUERY=RkZfRElWX1lMRChBTk4sMy8xOS8wMywzLzE5LzAzKQ==&amp;WINDOW=FIRST_POPUP&amp;HEIGHT=450&amp;WIDTH=450&amp;","START_MAXIMIZED=FALSE&amp;VAR:CALENDAR=US&amp;VAR:SYMBOL=KO&amp;VAR:INDEX=0"}</definedName>
    <definedName name="_1995__FDSAUDITLINK__" localSheetId="0" hidden="1">{"fdsup://directions/FAT Viewer?action=UPDATE&amp;creator=factset&amp;DYN_ARGS=TRUE&amp;DOC_NAME=FAT:FQL_AUDITING_CLIENT_TEMPLATE.FAT&amp;display_string=Audit&amp;VAR:KEY=WLUTAXAXSJ&amp;VAR:QUERY=RkZfRElWX1lMRChBTk4sMy8xMi8wMywzLzEyLzAzKQ==&amp;WINDOW=FIRST_POPUP&amp;HEIGHT=450&amp;WIDTH=450&amp;","START_MAXIMIZED=FALSE&amp;VAR:CALENDAR=US&amp;VAR:SYMBOL=KO&amp;VAR:INDEX=0"}</definedName>
    <definedName name="_1995__FDSAUDITLINK__" hidden="1">{"fdsup://directions/FAT Viewer?action=UPDATE&amp;creator=factset&amp;DYN_ARGS=TRUE&amp;DOC_NAME=FAT:FQL_AUDITING_CLIENT_TEMPLATE.FAT&amp;display_string=Audit&amp;VAR:KEY=WLUTAXAXSJ&amp;VAR:QUERY=RkZfRElWX1lMRChBTk4sMy8xMi8wMywzLzEyLzAzKQ==&amp;WINDOW=FIRST_POPUP&amp;HEIGHT=450&amp;WIDTH=450&amp;","START_MAXIMIZED=FALSE&amp;VAR:CALENDAR=US&amp;VAR:SYMBOL=KO&amp;VAR:INDEX=0"}</definedName>
    <definedName name="_1996__FDSAUDITLINK__" localSheetId="0" hidden="1">{"fdsup://directions/FAT Viewer?action=UPDATE&amp;creator=factset&amp;DYN_ARGS=TRUE&amp;DOC_NAME=FAT:FQL_AUDITING_CLIENT_TEMPLATE.FAT&amp;display_string=Audit&amp;VAR:KEY=GXWRETQBSR&amp;VAR:QUERY=RkZfRElWX1lMRChBTk4sMy8wNS8wMywzLzA1LzAzKQ==&amp;WINDOW=FIRST_POPUP&amp;HEIGHT=450&amp;WIDTH=450&amp;","START_MAXIMIZED=FALSE&amp;VAR:CALENDAR=US&amp;VAR:SYMBOL=KO&amp;VAR:INDEX=0"}</definedName>
    <definedName name="_1996__FDSAUDITLINK__" hidden="1">{"fdsup://directions/FAT Viewer?action=UPDATE&amp;creator=factset&amp;DYN_ARGS=TRUE&amp;DOC_NAME=FAT:FQL_AUDITING_CLIENT_TEMPLATE.FAT&amp;display_string=Audit&amp;VAR:KEY=GXWRETQBSR&amp;VAR:QUERY=RkZfRElWX1lMRChBTk4sMy8wNS8wMywzLzA1LzAzKQ==&amp;WINDOW=FIRST_POPUP&amp;HEIGHT=450&amp;WIDTH=450&amp;","START_MAXIMIZED=FALSE&amp;VAR:CALENDAR=US&amp;VAR:SYMBOL=KO&amp;VAR:INDEX=0"}</definedName>
    <definedName name="_1997">#REF!</definedName>
    <definedName name="_1997__FDSAUDITLINK__" localSheetId="0" hidden="1">{"fdsup://directions/FAT Viewer?action=UPDATE&amp;creator=factset&amp;DYN_ARGS=TRUE&amp;DOC_NAME=FAT:FQL_AUDITING_CLIENT_TEMPLATE.FAT&amp;display_string=Audit&amp;VAR:KEY=SROVKVAZOX&amp;VAR:QUERY=RkZfRElWX1lMRChBTk4sMi8yNi8wMywyLzI2LzAzKQ==&amp;WINDOW=FIRST_POPUP&amp;HEIGHT=450&amp;WIDTH=450&amp;","START_MAXIMIZED=FALSE&amp;VAR:CALENDAR=US&amp;VAR:SYMBOL=KO&amp;VAR:INDEX=0"}</definedName>
    <definedName name="_1997__FDSAUDITLINK__" hidden="1">{"fdsup://directions/FAT Viewer?action=UPDATE&amp;creator=factset&amp;DYN_ARGS=TRUE&amp;DOC_NAME=FAT:FQL_AUDITING_CLIENT_TEMPLATE.FAT&amp;display_string=Audit&amp;VAR:KEY=SROVKVAZOX&amp;VAR:QUERY=RkZfRElWX1lMRChBTk4sMi8yNi8wMywyLzI2LzAzKQ==&amp;WINDOW=FIRST_POPUP&amp;HEIGHT=450&amp;WIDTH=450&amp;","START_MAXIMIZED=FALSE&amp;VAR:CALENDAR=US&amp;VAR:SYMBOL=KO&amp;VAR:INDEX=0"}</definedName>
    <definedName name="_1998__FDSAUDITLINK__" localSheetId="0" hidden="1">{"fdsup://directions/FAT Viewer?action=UPDATE&amp;creator=factset&amp;DYN_ARGS=TRUE&amp;DOC_NAME=FAT:FQL_AUDITING_CLIENT_TEMPLATE.FAT&amp;display_string=Audit&amp;VAR:KEY=QZCNEHKTYB&amp;VAR:QUERY=RkZfRElWX1lMRChBTk4sMi8xOS8wMywyLzE5LzAzKQ==&amp;WINDOW=FIRST_POPUP&amp;HEIGHT=450&amp;WIDTH=450&amp;","START_MAXIMIZED=FALSE&amp;VAR:CALENDAR=US&amp;VAR:SYMBOL=KO&amp;VAR:INDEX=0"}</definedName>
    <definedName name="_1998__FDSAUDITLINK__" hidden="1">{"fdsup://directions/FAT Viewer?action=UPDATE&amp;creator=factset&amp;DYN_ARGS=TRUE&amp;DOC_NAME=FAT:FQL_AUDITING_CLIENT_TEMPLATE.FAT&amp;display_string=Audit&amp;VAR:KEY=QZCNEHKTYB&amp;VAR:QUERY=RkZfRElWX1lMRChBTk4sMi8xOS8wMywyLzE5LzAzKQ==&amp;WINDOW=FIRST_POPUP&amp;HEIGHT=450&amp;WIDTH=450&amp;","START_MAXIMIZED=FALSE&amp;VAR:CALENDAR=US&amp;VAR:SYMBOL=KO&amp;VAR:INDEX=0"}</definedName>
    <definedName name="_1999__FDSAUDITLINK__" localSheetId="0" hidden="1">{"fdsup://directions/FAT Viewer?action=UPDATE&amp;creator=factset&amp;DYN_ARGS=TRUE&amp;DOC_NAME=FAT:FQL_AUDITING_CLIENT_TEMPLATE.FAT&amp;display_string=Audit&amp;VAR:KEY=OBMTMXMTGT&amp;VAR:QUERY=RkZfRElWX1lMRChBTk4sMi8xMi8wMywyLzEyLzAzKQ==&amp;WINDOW=FIRST_POPUP&amp;HEIGHT=450&amp;WIDTH=450&amp;","START_MAXIMIZED=FALSE&amp;VAR:CALENDAR=US&amp;VAR:SYMBOL=KO&amp;VAR:INDEX=0"}</definedName>
    <definedName name="_1999__FDSAUDITLINK__" hidden="1">{"fdsup://directions/FAT Viewer?action=UPDATE&amp;creator=factset&amp;DYN_ARGS=TRUE&amp;DOC_NAME=FAT:FQL_AUDITING_CLIENT_TEMPLATE.FAT&amp;display_string=Audit&amp;VAR:KEY=OBMTMXMTGT&amp;VAR:QUERY=RkZfRElWX1lMRChBTk4sMi8xMi8wMywyLzEyLzAzKQ==&amp;WINDOW=FIRST_POPUP&amp;HEIGHT=450&amp;WIDTH=450&amp;","START_MAXIMIZED=FALSE&amp;VAR:CALENDAR=US&amp;VAR:SYMBOL=KO&amp;VAR:INDEX=0"}</definedName>
    <definedName name="_1999_01_29">#REF!</definedName>
    <definedName name="_19s14_" hidden="1">{#N/A,#N/A,FALSE,"UNIT";#N/A,#N/A,FALSE,"UNIT";#N/A,#N/A,FALSE,"계정"}</definedName>
    <definedName name="_19s6_" hidden="1">{#N/A,#N/A,FALSE,"UNIT";#N/A,#N/A,FALSE,"UNIT";#N/A,#N/A,FALSE,"계정"}</definedName>
    <definedName name="_1B">#NAME?</definedName>
    <definedName name="_1BORDER">#REF!</definedName>
    <definedName name="_1Bp2_" hidden="1">{#N/A,#N/A,FALSE,"BS";#N/A,#N/A,FALSE,"PL";#N/A,#N/A,FALSE,"처분";#N/A,#N/A,FALSE,"현금";#N/A,#N/A,FALSE,"매출";#N/A,#N/A,FALSE,"원가";#N/A,#N/A,FALSE,"경영"}</definedName>
    <definedName name="_1DD2_">#REF!</definedName>
    <definedName name="_1Excel_BuiltIn_Print_Titles_1_1_1">#REF!,#REF!</definedName>
    <definedName name="_1IQ_SALE_¤¤__CF_FIN">"c1140"</definedName>
    <definedName name="_1IQ_STOCK____ED_COMP">"c3512"</definedName>
    <definedName name="_1item">#REF!</definedName>
    <definedName name="_1M">#REF!</definedName>
    <definedName name="_1Table2_">#REF!</definedName>
    <definedName name="_2">#REF!</definedName>
    <definedName name="_2._COMPLETE_THE_ATTACHED_ANALYSIS_OF_CHANGES_IN_ALL_STOCKHOLDERS__EQUITY_ACCOUNTS___SALES">#REF!</definedName>
    <definedName name="_2_??_3">#REF!</definedName>
    <definedName name="_2_?__C">#REF!</definedName>
    <definedName name="_2____________NOTE10_12">#REF!</definedName>
    <definedName name="_2___123Graph_BCHART_3" hidden="1">#REF!</definedName>
    <definedName name="_2__123Graph_AChart_1" hidden="1">#REF!</definedName>
    <definedName name="_2__123Graph_AChart_18K">#REF!</definedName>
    <definedName name="_2__123Graph_ACHART_3" hidden="1">#REF!</definedName>
    <definedName name="_2__123Graph_ACONTRACT_BY_B_U">#REF!</definedName>
    <definedName name="_2__123Graph_AQRE_S_BY_CO.">#REF!</definedName>
    <definedName name="_2__123Graph_AQRE_S_BY_TYPE" hidden="1">#REF!</definedName>
    <definedName name="_2__123Graph_ASALES_PERIOD" hidden="1">#REF!</definedName>
    <definedName name="_2__123Graph_BCHART_3">#REF!</definedName>
    <definedName name="_2__123Graph_LBL_ACHART_3" hidden="1">#REF!</definedName>
    <definedName name="_2__123Graph_XCHART_3">#REF!</definedName>
    <definedName name="_2__FDSAUDITLINK__" localSheetId="0" hidden="1">{"fdsup://directions/FAT Viewer?action=UPDATE&amp;creator=factset&amp;DYN_ARGS=TRUE&amp;DOC_NAME=FAT:FQL_AUDITING_CLIENT_TEMPLATE.FAT&amp;display_string=Audit&amp;VAR:KEY=EDYTSDUFQV&amp;VAR:QUERY=Q1NGX0RJVl9ZTEQoUVRSX1IsOS8zMC8yMDEwKQ==&amp;WINDOW=FIRST_POPUP&amp;HEIGHT=450&amp;WIDTH=450&amp;STAR","T_MAXIMIZED=FALSE&amp;VAR:CALENDAR=US&amp;VAR:SYMBOL=MO&amp;VAR:INDEX=0"}</definedName>
    <definedName name="_2__FDSAUDITLINK__" hidden="1">{"fdsup://directions/FAT Viewer?action=UPDATE&amp;creator=factset&amp;DYN_ARGS=TRUE&amp;DOC_NAME=FAT:FQL_AUDITING_CLIENT_TEMPLATE.FAT&amp;display_string=Audit&amp;VAR:KEY=EDYTSDUFQV&amp;VAR:QUERY=Q1NGX0RJVl9ZTEQoUVRSX1IsOS8zMC8yMDEwKQ==&amp;WINDOW=FIRST_POPUP&amp;HEIGHT=450&amp;WIDTH=450&amp;STAR","T_MAXIMIZED=FALSE&amp;VAR:CALENDAR=US&amp;VAR:SYMBOL=MO&amp;VAR:INDEX=0"}</definedName>
    <definedName name="_2_0__123Grap" hidden="1">#REF!</definedName>
    <definedName name="_2_0_0BENEFIT">#REF!</definedName>
    <definedName name="_2_0_S">#REF!</definedName>
    <definedName name="_2_0_Table2_">#REF!</definedName>
    <definedName name="_2_0REPLA">#REF!</definedName>
    <definedName name="_2_100000">#NAME?</definedName>
    <definedName name="_2_123Graph_CEX">#REF!</definedName>
    <definedName name="_2_B1">#N/A</definedName>
    <definedName name="_20_??_3">#REF!</definedName>
    <definedName name="_20_??1???_3">#REF!</definedName>
    <definedName name="_20_________NOTE10_12">#REF!</definedName>
    <definedName name="_20__123Graph_ACHART_1">#REF!</definedName>
    <definedName name="_20__123Graph_ATAX_CREDIT">#REF!</definedName>
    <definedName name="_20__123Graph_BCHART_1">#REF!</definedName>
    <definedName name="_20__123Graph_BCHART_111" hidden="1">#REF!</definedName>
    <definedName name="_20__123Graph_BChart_30L">#REF!</definedName>
    <definedName name="_20__123Graph_BSENS_COMPARISON">#REF!</definedName>
    <definedName name="_20__123Graph_BSUPPLIES_BY_B_U">#REF!</definedName>
    <definedName name="_20__123Graph_CQRE_S_BY_CO.">#REF!</definedName>
    <definedName name="_20__123Graph_CSENS_COMPARISON">#REF!</definedName>
    <definedName name="_20__123Graph_CWAGES_BY_B_U" hidden="1">#REF!</definedName>
    <definedName name="_20__123Graph_DCONTRACT_BY_B_U">#REF!</definedName>
    <definedName name="_20__123Graph_DQRE_S_BY_CO.">#REF!</definedName>
    <definedName name="_20__123Graph_DSUPPLIES_BY_B_U">#REF!</definedName>
    <definedName name="_20__FDSAUDITLINK__" localSheetId="0" hidden="1">{"fdsup://directions/FAT Viewer?action=UPDATE&amp;creator=factset&amp;DYN_ARGS=TRUE&amp;DOC_NAME=FAT:FQL_AUDITING_CLIENT_TEMPLATE.FAT&amp;display_string=Audit&amp;VAR:KEY=KXIBOFSDIZ&amp;VAR:QUERY=Q1NGX0RJVl9ZTEQoUVRSX1IsMy8zMS8yMDA2KQ==&amp;WINDOW=FIRST_POPUP&amp;HEIGHT=450&amp;WIDTH=450&amp;STAR","T_MAXIMIZED=FALSE&amp;VAR:CALENDAR=US&amp;VAR:SYMBOL=MO&amp;VAR:INDEX=0"}</definedName>
    <definedName name="_20__FDSAUDITLINK__" hidden="1">{"fdsup://directions/FAT Viewer?action=UPDATE&amp;creator=factset&amp;DYN_ARGS=TRUE&amp;DOC_NAME=FAT:FQL_AUDITING_CLIENT_TEMPLATE.FAT&amp;display_string=Audit&amp;VAR:KEY=KXIBOFSDIZ&amp;VAR:QUERY=Q1NGX0RJVl9ZTEQoUVRSX1IsMy8zMS8yMDA2KQ==&amp;WINDOW=FIRST_POPUP&amp;HEIGHT=450&amp;WIDTH=450&amp;STAR","T_MAXIMIZED=FALSE&amp;VAR:CALENDAR=US&amp;VAR:SYMBOL=MO&amp;VAR:INDEX=0"}</definedName>
    <definedName name="_20_0_Table2_" hidden="1">#REF!</definedName>
    <definedName name="_20_04_2000">#REF!</definedName>
    <definedName name="_20_5__1_CRADDIN_Table">#REF!</definedName>
    <definedName name="_200">#REF!</definedName>
    <definedName name="_200__FDSAUDITLINK__" localSheetId="0" hidden="1">{"fdsup://directions/FAT Viewer?action=UPDATE&amp;creator=factset&amp;DYN_ARGS=TRUE&amp;DOC_NAME=FAT:FQL_AUDITING_CLIENT_TEMPLATE.FAT&amp;display_string=Audit&amp;VAR:KEY=TUZYFCHGFM&amp;VAR:QUERY=RkZfRElWX1lMRChBTk4sNi8wNy8wNyw2LzA3LzA3KQ==&amp;WINDOW=FIRST_POPUP&amp;HEIGHT=450&amp;WIDTH=450&amp;","START_MAXIMIZED=FALSE&amp;VAR:CALENDAR=US&amp;VAR:SYMBOL=RAI&amp;VAR:INDEX=0"}</definedName>
    <definedName name="_200__FDSAUDITLINK__" hidden="1">{"fdsup://directions/FAT Viewer?action=UPDATE&amp;creator=factset&amp;DYN_ARGS=TRUE&amp;DOC_NAME=FAT:FQL_AUDITING_CLIENT_TEMPLATE.FAT&amp;display_string=Audit&amp;VAR:KEY=TUZYFCHGFM&amp;VAR:QUERY=RkZfRElWX1lMRChBTk4sNi8wNy8wNyw2LzA3LzA3KQ==&amp;WINDOW=FIRST_POPUP&amp;HEIGHT=450&amp;WIDTH=450&amp;","START_MAXIMIZED=FALSE&amp;VAR:CALENDAR=US&amp;VAR:SYMBOL=RAI&amp;VAR:INDEX=0"}</definedName>
    <definedName name="_2000__FDSAUDITLINK__" localSheetId="0" hidden="1">{"fdsup://directions/FAT Viewer?action=UPDATE&amp;creator=factset&amp;DYN_ARGS=TRUE&amp;DOC_NAME=FAT:FQL_AUDITING_CLIENT_TEMPLATE.FAT&amp;display_string=Audit&amp;VAR:KEY=CFIPINKFUB&amp;VAR:QUERY=RkZfRElWX1lMRChBTk4sMi8wNS8wMywyLzA1LzAzKQ==&amp;WINDOW=FIRST_POPUP&amp;HEIGHT=450&amp;WIDTH=450&amp;","START_MAXIMIZED=FALSE&amp;VAR:CALENDAR=US&amp;VAR:SYMBOL=KO&amp;VAR:INDEX=0"}</definedName>
    <definedName name="_2000__FDSAUDITLINK__" hidden="1">{"fdsup://directions/FAT Viewer?action=UPDATE&amp;creator=factset&amp;DYN_ARGS=TRUE&amp;DOC_NAME=FAT:FQL_AUDITING_CLIENT_TEMPLATE.FAT&amp;display_string=Audit&amp;VAR:KEY=CFIPINKFUB&amp;VAR:QUERY=RkZfRElWX1lMRChBTk4sMi8wNS8wMywyLzA1LzAzKQ==&amp;WINDOW=FIRST_POPUP&amp;HEIGHT=450&amp;WIDTH=450&amp;","START_MAXIMIZED=FALSE&amp;VAR:CALENDAR=US&amp;VAR:SYMBOL=KO&amp;VAR:INDEX=0"}</definedName>
    <definedName name="_2001__FDSAUDITLINK__" localSheetId="0" hidden="1">{"fdsup://directions/FAT Viewer?action=UPDATE&amp;creator=factset&amp;DYN_ARGS=TRUE&amp;DOC_NAME=FAT:FQL_AUDITING_CLIENT_TEMPLATE.FAT&amp;display_string=Audit&amp;VAR:KEY=CRWBORQRYP&amp;VAR:QUERY=RkZfRElWX1lMRChBTk4sMS8yOS8wMywxLzI5LzAzKQ==&amp;WINDOW=FIRST_POPUP&amp;HEIGHT=450&amp;WIDTH=450&amp;","START_MAXIMIZED=FALSE&amp;VAR:CALENDAR=US&amp;VAR:SYMBOL=KO&amp;VAR:INDEX=0"}</definedName>
    <definedName name="_2001__FDSAUDITLINK__" hidden="1">{"fdsup://directions/FAT Viewer?action=UPDATE&amp;creator=factset&amp;DYN_ARGS=TRUE&amp;DOC_NAME=FAT:FQL_AUDITING_CLIENT_TEMPLATE.FAT&amp;display_string=Audit&amp;VAR:KEY=CRWBORQRYP&amp;VAR:QUERY=RkZfRElWX1lMRChBTk4sMS8yOS8wMywxLzI5LzAzKQ==&amp;WINDOW=FIRST_POPUP&amp;HEIGHT=450&amp;WIDTH=450&amp;","START_MAXIMIZED=FALSE&amp;VAR:CALENDAR=US&amp;VAR:SYMBOL=KO&amp;VAR:INDEX=0"}</definedName>
    <definedName name="_2002__FDSAUDITLINK__" localSheetId="0" hidden="1">{"fdsup://directions/FAT Viewer?action=UPDATE&amp;creator=factset&amp;DYN_ARGS=TRUE&amp;DOC_NAME=FAT:FQL_AUDITING_CLIENT_TEMPLATE.FAT&amp;display_string=Audit&amp;VAR:KEY=GHSDSFMJKX&amp;VAR:QUERY=RkZfRElWX1lMRChBTk4sMS8yMi8wMywxLzIyLzAzKQ==&amp;WINDOW=FIRST_POPUP&amp;HEIGHT=450&amp;WIDTH=450&amp;","START_MAXIMIZED=FALSE&amp;VAR:CALENDAR=US&amp;VAR:SYMBOL=KO&amp;VAR:INDEX=0"}</definedName>
    <definedName name="_2002__FDSAUDITLINK__" hidden="1">{"fdsup://directions/FAT Viewer?action=UPDATE&amp;creator=factset&amp;DYN_ARGS=TRUE&amp;DOC_NAME=FAT:FQL_AUDITING_CLIENT_TEMPLATE.FAT&amp;display_string=Audit&amp;VAR:KEY=GHSDSFMJKX&amp;VAR:QUERY=RkZfRElWX1lMRChBTk4sMS8yMi8wMywxLzIyLzAzKQ==&amp;WINDOW=FIRST_POPUP&amp;HEIGHT=450&amp;WIDTH=450&amp;","START_MAXIMIZED=FALSE&amp;VAR:CALENDAR=US&amp;VAR:SYMBOL=KO&amp;VAR:INDEX=0"}</definedName>
    <definedName name="_2003__FDSAUDITLINK__" localSheetId="0" hidden="1">{"fdsup://directions/FAT Viewer?action=UPDATE&amp;creator=factset&amp;DYN_ARGS=TRUE&amp;DOC_NAME=FAT:FQL_AUDITING_CLIENT_TEMPLATE.FAT&amp;display_string=Audit&amp;VAR:KEY=MTQPGVAFUB&amp;VAR:QUERY=RkZfRElWX1lMRChBTk4sMS8xNS8wMywxLzE1LzAzKQ==&amp;WINDOW=FIRST_POPUP&amp;HEIGHT=450&amp;WIDTH=450&amp;","START_MAXIMIZED=FALSE&amp;VAR:CALENDAR=US&amp;VAR:SYMBOL=KO&amp;VAR:INDEX=0"}</definedName>
    <definedName name="_2003__FDSAUDITLINK__" hidden="1">{"fdsup://directions/FAT Viewer?action=UPDATE&amp;creator=factset&amp;DYN_ARGS=TRUE&amp;DOC_NAME=FAT:FQL_AUDITING_CLIENT_TEMPLATE.FAT&amp;display_string=Audit&amp;VAR:KEY=MTQPGVAFUB&amp;VAR:QUERY=RkZfRElWX1lMRChBTk4sMS8xNS8wMywxLzE1LzAzKQ==&amp;WINDOW=FIRST_POPUP&amp;HEIGHT=450&amp;WIDTH=450&amp;","START_MAXIMIZED=FALSE&amp;VAR:CALENDAR=US&amp;VAR:SYMBOL=KO&amp;VAR:INDEX=0"}</definedName>
    <definedName name="_2004__FDSAUDITLINK__" localSheetId="0" hidden="1">{"fdsup://directions/FAT Viewer?action=UPDATE&amp;creator=factset&amp;DYN_ARGS=TRUE&amp;DOC_NAME=FAT:FQL_AUDITING_CLIENT_TEMPLATE.FAT&amp;display_string=Audit&amp;VAR:KEY=OPQHUBYXKD&amp;VAR:QUERY=RkZfRElWX1lMRChBTk4sMS8wOC8wMywxLzA4LzAzKQ==&amp;WINDOW=FIRST_POPUP&amp;HEIGHT=450&amp;WIDTH=450&amp;","START_MAXIMIZED=FALSE&amp;VAR:CALENDAR=US&amp;VAR:SYMBOL=KO&amp;VAR:INDEX=0"}</definedName>
    <definedName name="_2004__FDSAUDITLINK__" hidden="1">{"fdsup://directions/FAT Viewer?action=UPDATE&amp;creator=factset&amp;DYN_ARGS=TRUE&amp;DOC_NAME=FAT:FQL_AUDITING_CLIENT_TEMPLATE.FAT&amp;display_string=Audit&amp;VAR:KEY=OPQHUBYXKD&amp;VAR:QUERY=RkZfRElWX1lMRChBTk4sMS8wOC8wMywxLzA4LzAzKQ==&amp;WINDOW=FIRST_POPUP&amp;HEIGHT=450&amp;WIDTH=450&amp;","START_MAXIMIZED=FALSE&amp;VAR:CALENDAR=US&amp;VAR:SYMBOL=KO&amp;VAR:INDEX=0"}</definedName>
    <definedName name="_2005">#REF!</definedName>
    <definedName name="_2005__FDSAUDITLINK__" localSheetId="0" hidden="1">{"fdsup://directions/FAT Viewer?action=UPDATE&amp;creator=factset&amp;DYN_ARGS=TRUE&amp;DOC_NAME=FAT:FQL_AUDITING_CLIENT_TEMPLATE.FAT&amp;display_string=Audit&amp;VAR:KEY=YJALSRKJSN&amp;VAR:QUERY=RkZfRElWX1lMRChBTk4sMTIvMzEvMDIsMTIvMzEvMDIp&amp;WINDOW=FIRST_POPUP&amp;HEIGHT=450&amp;WIDTH=450&amp;","START_MAXIMIZED=FALSE&amp;VAR:CALENDAR=US&amp;VAR:SYMBOL=KO&amp;VAR:INDEX=0"}</definedName>
    <definedName name="_2005__FDSAUDITLINK__" hidden="1">{"fdsup://directions/FAT Viewer?action=UPDATE&amp;creator=factset&amp;DYN_ARGS=TRUE&amp;DOC_NAME=FAT:FQL_AUDITING_CLIENT_TEMPLATE.FAT&amp;display_string=Audit&amp;VAR:KEY=YJALSRKJSN&amp;VAR:QUERY=RkZfRElWX1lMRChBTk4sMTIvMzEvMDIsMTIvMzEvMDIp&amp;WINDOW=FIRST_POPUP&amp;HEIGHT=450&amp;WIDTH=450&amp;","START_MAXIMIZED=FALSE&amp;VAR:CALENDAR=US&amp;VAR:SYMBOL=KO&amp;VAR:INDEX=0"}</definedName>
    <definedName name="_2006__FDSAUDITLINK__" localSheetId="0" hidden="1">{"fdsup://directions/FAT Viewer?action=UPDATE&amp;creator=factset&amp;DYN_ARGS=TRUE&amp;DOC_NAME=FAT:FQL_AUDITING_CLIENT_TEMPLATE.FAT&amp;display_string=Audit&amp;VAR:KEY=STETKZKVAL&amp;VAR:QUERY=RkZfRElWX1lMRChBTk4sMTIvMjQvMDIsMTIvMjQvMDIp&amp;WINDOW=FIRST_POPUP&amp;HEIGHT=450&amp;WIDTH=450&amp;","START_MAXIMIZED=FALSE&amp;VAR:CALENDAR=US&amp;VAR:SYMBOL=KO&amp;VAR:INDEX=0"}</definedName>
    <definedName name="_2006__FDSAUDITLINK__" hidden="1">{"fdsup://directions/FAT Viewer?action=UPDATE&amp;creator=factset&amp;DYN_ARGS=TRUE&amp;DOC_NAME=FAT:FQL_AUDITING_CLIENT_TEMPLATE.FAT&amp;display_string=Audit&amp;VAR:KEY=STETKZKVAL&amp;VAR:QUERY=RkZfRElWX1lMRChBTk4sMTIvMjQvMDIsMTIvMjQvMDIp&amp;WINDOW=FIRST_POPUP&amp;HEIGHT=450&amp;WIDTH=450&amp;","START_MAXIMIZED=FALSE&amp;VAR:CALENDAR=US&amp;VAR:SYMBOL=KO&amp;VAR:INDEX=0"}</definedName>
    <definedName name="_2007__FDSAUDITLINK__" localSheetId="0" hidden="1">{"fdsup://directions/FAT Viewer?action=UPDATE&amp;creator=factset&amp;DYN_ARGS=TRUE&amp;DOC_NAME=FAT:FQL_AUDITING_CLIENT_TEMPLATE.FAT&amp;display_string=Audit&amp;VAR:KEY=CZGXERMHKT&amp;VAR:QUERY=RkZfRElWX1lMRChBTk4sMTIvMTgvMDIsMTIvMTgvMDIp&amp;WINDOW=FIRST_POPUP&amp;HEIGHT=450&amp;WIDTH=450&amp;","START_MAXIMIZED=FALSE&amp;VAR:CALENDAR=US&amp;VAR:SYMBOL=KO&amp;VAR:INDEX=0"}</definedName>
    <definedName name="_2007__FDSAUDITLINK__" hidden="1">{"fdsup://directions/FAT Viewer?action=UPDATE&amp;creator=factset&amp;DYN_ARGS=TRUE&amp;DOC_NAME=FAT:FQL_AUDITING_CLIENT_TEMPLATE.FAT&amp;display_string=Audit&amp;VAR:KEY=CZGXERMHKT&amp;VAR:QUERY=RkZfRElWX1lMRChBTk4sMTIvMTgvMDIsMTIvMTgvMDIp&amp;WINDOW=FIRST_POPUP&amp;HEIGHT=450&amp;WIDTH=450&amp;","START_MAXIMIZED=FALSE&amp;VAR:CALENDAR=US&amp;VAR:SYMBOL=KO&amp;VAR:INDEX=0"}</definedName>
    <definedName name="_2008__FDSAUDITLINK__" localSheetId="0" hidden="1">{"fdsup://directions/FAT Viewer?action=UPDATE&amp;creator=factset&amp;DYN_ARGS=TRUE&amp;DOC_NAME=FAT:FQL_AUDITING_CLIENT_TEMPLATE.FAT&amp;display_string=Audit&amp;VAR:KEY=WVSJAHWZWP&amp;VAR:QUERY=RkZfRElWX1lMRChBTk4sMTIvMTEvMDIsMTIvMTEvMDIp&amp;WINDOW=FIRST_POPUP&amp;HEIGHT=450&amp;WIDTH=450&amp;","START_MAXIMIZED=FALSE&amp;VAR:CALENDAR=US&amp;VAR:SYMBOL=KO&amp;VAR:INDEX=0"}</definedName>
    <definedName name="_2008__FDSAUDITLINK__" hidden="1">{"fdsup://directions/FAT Viewer?action=UPDATE&amp;creator=factset&amp;DYN_ARGS=TRUE&amp;DOC_NAME=FAT:FQL_AUDITING_CLIENT_TEMPLATE.FAT&amp;display_string=Audit&amp;VAR:KEY=WVSJAHWZWP&amp;VAR:QUERY=RkZfRElWX1lMRChBTk4sMTIvMTEvMDIsMTIvMTEvMDIp&amp;WINDOW=FIRST_POPUP&amp;HEIGHT=450&amp;WIDTH=450&amp;","START_MAXIMIZED=FALSE&amp;VAR:CALENDAR=US&amp;VAR:SYMBOL=KO&amp;VAR:INDEX=0"}</definedName>
    <definedName name="_2009">#REF!</definedName>
    <definedName name="_2009__FDSAUDITLINK__" localSheetId="0" hidden="1">{"fdsup://directions/FAT Viewer?action=UPDATE&amp;creator=factset&amp;DYN_ARGS=TRUE&amp;DOC_NAME=FAT:FQL_AUDITING_CLIENT_TEMPLATE.FAT&amp;display_string=Audit&amp;VAR:KEY=KPYFIRKVGL&amp;VAR:QUERY=RkZfRElWX1lMRChBTk4sMTIvMDQvMDIsMTIvMDQvMDIp&amp;WINDOW=FIRST_POPUP&amp;HEIGHT=450&amp;WIDTH=450&amp;","START_MAXIMIZED=FALSE&amp;VAR:CALENDAR=US&amp;VAR:SYMBOL=KO&amp;VAR:INDEX=0"}</definedName>
    <definedName name="_2009__FDSAUDITLINK__" hidden="1">{"fdsup://directions/FAT Viewer?action=UPDATE&amp;creator=factset&amp;DYN_ARGS=TRUE&amp;DOC_NAME=FAT:FQL_AUDITING_CLIENT_TEMPLATE.FAT&amp;display_string=Audit&amp;VAR:KEY=KPYFIRKVGL&amp;VAR:QUERY=RkZfRElWX1lMRChBTk4sMTIvMDQvMDIsMTIvMDQvMDIp&amp;WINDOW=FIRST_POPUP&amp;HEIGHT=450&amp;WIDTH=450&amp;","START_MAXIMIZED=FALSE&amp;VAR:CALENDAR=US&amp;VAR:SYMBOL=KO&amp;VAR:INDEX=0"}</definedName>
    <definedName name="_201">#REF!</definedName>
    <definedName name="_201__FDSAUDITLINK__" localSheetId="0" hidden="1">{"fdsup://directions/FAT Viewer?action=UPDATE&amp;creator=factset&amp;DYN_ARGS=TRUE&amp;DOC_NAME=FAT:FQL_AUDITING_CLIENT_TEMPLATE.FAT&amp;display_string=Audit&amp;VAR:KEY=RWHSZMZCFA&amp;VAR:QUERY=RkZfRElWX1lMRChBTk4sNS8zMS8wNyw1LzMxLzA3KQ==&amp;WINDOW=FIRST_POPUP&amp;HEIGHT=450&amp;WIDTH=450&amp;","START_MAXIMIZED=FALSE&amp;VAR:CALENDAR=US&amp;VAR:SYMBOL=RAI&amp;VAR:INDEX=0"}</definedName>
    <definedName name="_201__FDSAUDITLINK__" hidden="1">{"fdsup://directions/FAT Viewer?action=UPDATE&amp;creator=factset&amp;DYN_ARGS=TRUE&amp;DOC_NAME=FAT:FQL_AUDITING_CLIENT_TEMPLATE.FAT&amp;display_string=Audit&amp;VAR:KEY=RWHSZMZCFA&amp;VAR:QUERY=RkZfRElWX1lMRChBTk4sNS8zMS8wNyw1LzMxLzA3KQ==&amp;WINDOW=FIRST_POPUP&amp;HEIGHT=450&amp;WIDTH=450&amp;","START_MAXIMIZED=FALSE&amp;VAR:CALENDAR=US&amp;VAR:SYMBOL=RAI&amp;VAR:INDEX=0"}</definedName>
    <definedName name="_2010">#REF!</definedName>
    <definedName name="_2010__FDSAUDITLINK__" localSheetId="0" hidden="1">{"fdsup://directions/FAT Viewer?action=UPDATE&amp;creator=factset&amp;DYN_ARGS=TRUE&amp;DOC_NAME=FAT:FQL_AUDITING_CLIENT_TEMPLATE.FAT&amp;display_string=Audit&amp;VAR:KEY=GZIFMJUTWV&amp;VAR:QUERY=RkZfRElWX1lMRChBTk4sMTEvMjcvMDIsMTEvMjcvMDIp&amp;WINDOW=FIRST_POPUP&amp;HEIGHT=450&amp;WIDTH=450&amp;","START_MAXIMIZED=FALSE&amp;VAR:CALENDAR=US&amp;VAR:SYMBOL=KO&amp;VAR:INDEX=0"}</definedName>
    <definedName name="_2010__FDSAUDITLINK__" hidden="1">{"fdsup://directions/FAT Viewer?action=UPDATE&amp;creator=factset&amp;DYN_ARGS=TRUE&amp;DOC_NAME=FAT:FQL_AUDITING_CLIENT_TEMPLATE.FAT&amp;display_string=Audit&amp;VAR:KEY=GZIFMJUTWV&amp;VAR:QUERY=RkZfRElWX1lMRChBTk4sMTEvMjcvMDIsMTEvMjcvMDIp&amp;WINDOW=FIRST_POPUP&amp;HEIGHT=450&amp;WIDTH=450&amp;","START_MAXIMIZED=FALSE&amp;VAR:CALENDAR=US&amp;VAR:SYMBOL=KO&amp;VAR:INDEX=0"}</definedName>
    <definedName name="_2011__FDSAUDITLINK__" localSheetId="0" hidden="1">{"fdsup://directions/FAT Viewer?action=UPDATE&amp;creator=factset&amp;DYN_ARGS=TRUE&amp;DOC_NAME=FAT:FQL_AUDITING_CLIENT_TEMPLATE.FAT&amp;display_string=Audit&amp;VAR:KEY=YXELOBKNQF&amp;VAR:QUERY=RkZfRElWX1lMRChBTk4sMTEvMjAvMDIsMTEvMjAvMDIp&amp;WINDOW=FIRST_POPUP&amp;HEIGHT=450&amp;WIDTH=450&amp;","START_MAXIMIZED=FALSE&amp;VAR:CALENDAR=US&amp;VAR:SYMBOL=KO&amp;VAR:INDEX=0"}</definedName>
    <definedName name="_2011__FDSAUDITLINK__" hidden="1">{"fdsup://directions/FAT Viewer?action=UPDATE&amp;creator=factset&amp;DYN_ARGS=TRUE&amp;DOC_NAME=FAT:FQL_AUDITING_CLIENT_TEMPLATE.FAT&amp;display_string=Audit&amp;VAR:KEY=YXELOBKNQF&amp;VAR:QUERY=RkZfRElWX1lMRChBTk4sMTEvMjAvMDIsMTEvMjAvMDIp&amp;WINDOW=FIRST_POPUP&amp;HEIGHT=450&amp;WIDTH=450&amp;","START_MAXIMIZED=FALSE&amp;VAR:CALENDAR=US&amp;VAR:SYMBOL=KO&amp;VAR:INDEX=0"}</definedName>
    <definedName name="_2012">#REF!</definedName>
    <definedName name="_2012__FDSAUDITLINK__" localSheetId="0" hidden="1">{"fdsup://directions/FAT Viewer?action=UPDATE&amp;creator=factset&amp;DYN_ARGS=TRUE&amp;DOC_NAME=FAT:FQL_AUDITING_CLIENT_TEMPLATE.FAT&amp;display_string=Audit&amp;VAR:KEY=ODQBULOTWD&amp;VAR:QUERY=RkZfRElWX1lMRChBTk4sMTEvMTMvMDIsMTEvMTMvMDIp&amp;WINDOW=FIRST_POPUP&amp;HEIGHT=450&amp;WIDTH=450&amp;","START_MAXIMIZED=FALSE&amp;VAR:CALENDAR=US&amp;VAR:SYMBOL=KO&amp;VAR:INDEX=0"}</definedName>
    <definedName name="_2012__FDSAUDITLINK__" hidden="1">{"fdsup://directions/FAT Viewer?action=UPDATE&amp;creator=factset&amp;DYN_ARGS=TRUE&amp;DOC_NAME=FAT:FQL_AUDITING_CLIENT_TEMPLATE.FAT&amp;display_string=Audit&amp;VAR:KEY=ODQBULOTWD&amp;VAR:QUERY=RkZfRElWX1lMRChBTk4sMTEvMTMvMDIsMTEvMTMvMDIp&amp;WINDOW=FIRST_POPUP&amp;HEIGHT=450&amp;WIDTH=450&amp;","START_MAXIMIZED=FALSE&amp;VAR:CALENDAR=US&amp;VAR:SYMBOL=KO&amp;VAR:INDEX=0"}</definedName>
    <definedName name="_2013__FDSAUDITLINK__" localSheetId="0" hidden="1">{"fdsup://directions/FAT Viewer?action=UPDATE&amp;creator=factset&amp;DYN_ARGS=TRUE&amp;DOC_NAME=FAT:FQL_AUDITING_CLIENT_TEMPLATE.FAT&amp;display_string=Audit&amp;VAR:KEY=CZOJEZGDWN&amp;VAR:QUERY=RkZfRElWX1lMRChBTk4sMTEvMDYvMDIsMTEvMDYvMDIp&amp;WINDOW=FIRST_POPUP&amp;HEIGHT=450&amp;WIDTH=450&amp;","START_MAXIMIZED=FALSE&amp;VAR:CALENDAR=US&amp;VAR:SYMBOL=KO&amp;VAR:INDEX=0"}</definedName>
    <definedName name="_2013__FDSAUDITLINK__" hidden="1">{"fdsup://directions/FAT Viewer?action=UPDATE&amp;creator=factset&amp;DYN_ARGS=TRUE&amp;DOC_NAME=FAT:FQL_AUDITING_CLIENT_TEMPLATE.FAT&amp;display_string=Audit&amp;VAR:KEY=CZOJEZGDWN&amp;VAR:QUERY=RkZfRElWX1lMRChBTk4sMTEvMDYvMDIsMTEvMDYvMDIp&amp;WINDOW=FIRST_POPUP&amp;HEIGHT=450&amp;WIDTH=450&amp;","START_MAXIMIZED=FALSE&amp;VAR:CALENDAR=US&amp;VAR:SYMBOL=KO&amp;VAR:INDEX=0"}</definedName>
    <definedName name="_2014">#REF!</definedName>
    <definedName name="_2014__FDSAUDITLINK__" localSheetId="0" hidden="1">{"fdsup://directions/FAT Viewer?action=UPDATE&amp;creator=factset&amp;DYN_ARGS=TRUE&amp;DOC_NAME=FAT:FQL_AUDITING_CLIENT_TEMPLATE.FAT&amp;display_string=Audit&amp;VAR:KEY=EBQBKFSFQX&amp;VAR:QUERY=RkZfRElWX1lMRChBTk4sMTAvMzAvMDIsMTAvMzAvMDIp&amp;WINDOW=FIRST_POPUP&amp;HEIGHT=450&amp;WIDTH=450&amp;","START_MAXIMIZED=FALSE&amp;VAR:CALENDAR=US&amp;VAR:SYMBOL=KO&amp;VAR:INDEX=0"}</definedName>
    <definedName name="_2014__FDSAUDITLINK__" hidden="1">{"fdsup://directions/FAT Viewer?action=UPDATE&amp;creator=factset&amp;DYN_ARGS=TRUE&amp;DOC_NAME=FAT:FQL_AUDITING_CLIENT_TEMPLATE.FAT&amp;display_string=Audit&amp;VAR:KEY=EBQBKFSFQX&amp;VAR:QUERY=RkZfRElWX1lMRChBTk4sMTAvMzAvMDIsMTAvMzAvMDIp&amp;WINDOW=FIRST_POPUP&amp;HEIGHT=450&amp;WIDTH=450&amp;","START_MAXIMIZED=FALSE&amp;VAR:CALENDAR=US&amp;VAR:SYMBOL=KO&amp;VAR:INDEX=0"}</definedName>
    <definedName name="_2015__FDSAUDITLINK__" localSheetId="0" hidden="1">{"fdsup://directions/FAT Viewer?action=UPDATE&amp;creator=factset&amp;DYN_ARGS=TRUE&amp;DOC_NAME=FAT:FQL_AUDITING_CLIENT_TEMPLATE.FAT&amp;display_string=Audit&amp;VAR:KEY=QJSDQBEBQX&amp;VAR:QUERY=RkZfRElWX1lMRChBTk4sMTAvMjMvMDIsMTAvMjMvMDIp&amp;WINDOW=FIRST_POPUP&amp;HEIGHT=450&amp;WIDTH=450&amp;","START_MAXIMIZED=FALSE&amp;VAR:CALENDAR=US&amp;VAR:SYMBOL=KO&amp;VAR:INDEX=0"}</definedName>
    <definedName name="_2015__FDSAUDITLINK__" hidden="1">{"fdsup://directions/FAT Viewer?action=UPDATE&amp;creator=factset&amp;DYN_ARGS=TRUE&amp;DOC_NAME=FAT:FQL_AUDITING_CLIENT_TEMPLATE.FAT&amp;display_string=Audit&amp;VAR:KEY=QJSDQBEBQX&amp;VAR:QUERY=RkZfRElWX1lMRChBTk4sMTAvMjMvMDIsMTAvMjMvMDIp&amp;WINDOW=FIRST_POPUP&amp;HEIGHT=450&amp;WIDTH=450&amp;","START_MAXIMIZED=FALSE&amp;VAR:CALENDAR=US&amp;VAR:SYMBOL=KO&amp;VAR:INDEX=0"}</definedName>
    <definedName name="_2016__FDSAUDITLINK__" localSheetId="0" hidden="1">{"fdsup://directions/FAT Viewer?action=UPDATE&amp;creator=factset&amp;DYN_ARGS=TRUE&amp;DOC_NAME=FAT:FQL_AUDITING_CLIENT_TEMPLATE.FAT&amp;display_string=Audit&amp;VAR:KEY=SPKHAFYXAJ&amp;VAR:QUERY=RkZfRElWX1lMRChBTk4sMTAvMTYvMDIsMTAvMTYvMDIp&amp;WINDOW=FIRST_POPUP&amp;HEIGHT=450&amp;WIDTH=450&amp;","START_MAXIMIZED=FALSE&amp;VAR:CALENDAR=US&amp;VAR:SYMBOL=KO&amp;VAR:INDEX=0"}</definedName>
    <definedName name="_2016__FDSAUDITLINK__" hidden="1">{"fdsup://directions/FAT Viewer?action=UPDATE&amp;creator=factset&amp;DYN_ARGS=TRUE&amp;DOC_NAME=FAT:FQL_AUDITING_CLIENT_TEMPLATE.FAT&amp;display_string=Audit&amp;VAR:KEY=SPKHAFYXAJ&amp;VAR:QUERY=RkZfRElWX1lMRChBTk4sMTAvMTYvMDIsMTAvMTYvMDIp&amp;WINDOW=FIRST_POPUP&amp;HEIGHT=450&amp;WIDTH=450&amp;","START_MAXIMIZED=FALSE&amp;VAR:CALENDAR=US&amp;VAR:SYMBOL=KO&amp;VAR:INDEX=0"}</definedName>
    <definedName name="_2017__FDSAUDITLINK__" localSheetId="0" hidden="1">{"fdsup://directions/FAT Viewer?action=UPDATE&amp;creator=factset&amp;DYN_ARGS=TRUE&amp;DOC_NAME=FAT:FQL_AUDITING_CLIENT_TEMPLATE.FAT&amp;display_string=Audit&amp;VAR:KEY=ATKHITERQB&amp;VAR:QUERY=RkZfRElWX1lMRChBTk4sMTAvMDkvMDIsMTAvMDkvMDIp&amp;WINDOW=FIRST_POPUP&amp;HEIGHT=450&amp;WIDTH=450&amp;","START_MAXIMIZED=FALSE&amp;VAR:CALENDAR=US&amp;VAR:SYMBOL=KO&amp;VAR:INDEX=0"}</definedName>
    <definedName name="_2017__FDSAUDITLINK__" hidden="1">{"fdsup://directions/FAT Viewer?action=UPDATE&amp;creator=factset&amp;DYN_ARGS=TRUE&amp;DOC_NAME=FAT:FQL_AUDITING_CLIENT_TEMPLATE.FAT&amp;display_string=Audit&amp;VAR:KEY=ATKHITERQB&amp;VAR:QUERY=RkZfRElWX1lMRChBTk4sMTAvMDkvMDIsMTAvMDkvMDIp&amp;WINDOW=FIRST_POPUP&amp;HEIGHT=450&amp;WIDTH=450&amp;","START_MAXIMIZED=FALSE&amp;VAR:CALENDAR=US&amp;VAR:SYMBOL=KO&amp;VAR:INDEX=0"}</definedName>
    <definedName name="_2018__FDSAUDITLINK__" localSheetId="0" hidden="1">{"fdsup://directions/FAT Viewer?action=UPDATE&amp;creator=factset&amp;DYN_ARGS=TRUE&amp;DOC_NAME=FAT:FQL_AUDITING_CLIENT_TEMPLATE.FAT&amp;display_string=Audit&amp;VAR:KEY=EHWBSXAHEL&amp;VAR:QUERY=RkZfRElWX1lMRChBTk4sMTAvMDIvMDIsMTAvMDIvMDIp&amp;WINDOW=FIRST_POPUP&amp;HEIGHT=450&amp;WIDTH=450&amp;","START_MAXIMIZED=FALSE&amp;VAR:CALENDAR=US&amp;VAR:SYMBOL=KO&amp;VAR:INDEX=0"}</definedName>
    <definedName name="_2018__FDSAUDITLINK__" hidden="1">{"fdsup://directions/FAT Viewer?action=UPDATE&amp;creator=factset&amp;DYN_ARGS=TRUE&amp;DOC_NAME=FAT:FQL_AUDITING_CLIENT_TEMPLATE.FAT&amp;display_string=Audit&amp;VAR:KEY=EHWBSXAHEL&amp;VAR:QUERY=RkZfRElWX1lMRChBTk4sMTAvMDIvMDIsMTAvMDIvMDIp&amp;WINDOW=FIRST_POPUP&amp;HEIGHT=450&amp;WIDTH=450&amp;","START_MAXIMIZED=FALSE&amp;VAR:CALENDAR=US&amp;VAR:SYMBOL=KO&amp;VAR:INDEX=0"}</definedName>
    <definedName name="_2019">#REF!</definedName>
    <definedName name="_2019__FDSAUDITLINK__" localSheetId="0" hidden="1">{"fdsup://directions/FAT Viewer?action=UPDATE&amp;creator=factset&amp;DYN_ARGS=TRUE&amp;DOC_NAME=FAT:FQL_AUDITING_CLIENT_TEMPLATE.FAT&amp;display_string=Audit&amp;VAR:KEY=CHQPMZANOJ&amp;VAR:QUERY=RkZfRElWX1lMRChBTk4sOS8yNS8wMiw5LzI1LzAyKQ==&amp;WINDOW=FIRST_POPUP&amp;HEIGHT=450&amp;WIDTH=450&amp;","START_MAXIMIZED=FALSE&amp;VAR:CALENDAR=US&amp;VAR:SYMBOL=KO&amp;VAR:INDEX=0"}</definedName>
    <definedName name="_2019__FDSAUDITLINK__" hidden="1">{"fdsup://directions/FAT Viewer?action=UPDATE&amp;creator=factset&amp;DYN_ARGS=TRUE&amp;DOC_NAME=FAT:FQL_AUDITING_CLIENT_TEMPLATE.FAT&amp;display_string=Audit&amp;VAR:KEY=CHQPMZANOJ&amp;VAR:QUERY=RkZfRElWX1lMRChBTk4sOS8yNS8wMiw5LzI1LzAyKQ==&amp;WINDOW=FIRST_POPUP&amp;HEIGHT=450&amp;WIDTH=450&amp;","START_MAXIMIZED=FALSE&amp;VAR:CALENDAR=US&amp;VAR:SYMBOL=KO&amp;VAR:INDEX=0"}</definedName>
    <definedName name="_202">#REF!</definedName>
    <definedName name="_202__FDSAUDITLINK__" localSheetId="0" hidden="1">{"fdsup://directions/FAT Viewer?action=UPDATE&amp;creator=factset&amp;DYN_ARGS=TRUE&amp;DOC_NAME=FAT:FQL_AUDITING_CLIENT_TEMPLATE.FAT&amp;display_string=Audit&amp;VAR:KEY=JQNQBQXKHI&amp;VAR:QUERY=RkZfRElWX1lMRChBTk4sNS8yNC8wNyw1LzI0LzA3KQ==&amp;WINDOW=FIRST_POPUP&amp;HEIGHT=450&amp;WIDTH=450&amp;","START_MAXIMIZED=FALSE&amp;VAR:CALENDAR=US&amp;VAR:SYMBOL=RAI&amp;VAR:INDEX=0"}</definedName>
    <definedName name="_202__FDSAUDITLINK__" hidden="1">{"fdsup://directions/FAT Viewer?action=UPDATE&amp;creator=factset&amp;DYN_ARGS=TRUE&amp;DOC_NAME=FAT:FQL_AUDITING_CLIENT_TEMPLATE.FAT&amp;display_string=Audit&amp;VAR:KEY=JQNQBQXKHI&amp;VAR:QUERY=RkZfRElWX1lMRChBTk4sNS8yNC8wNyw1LzI0LzA3KQ==&amp;WINDOW=FIRST_POPUP&amp;HEIGHT=450&amp;WIDTH=450&amp;","START_MAXIMIZED=FALSE&amp;VAR:CALENDAR=US&amp;VAR:SYMBOL=RAI&amp;VAR:INDEX=0"}</definedName>
    <definedName name="_2020__FDSAUDITLINK__" localSheetId="0" hidden="1">{"fdsup://directions/FAT Viewer?action=UPDATE&amp;creator=factset&amp;DYN_ARGS=TRUE&amp;DOC_NAME=FAT:FQL_AUDITING_CLIENT_TEMPLATE.FAT&amp;display_string=Audit&amp;VAR:KEY=KDAHIHINWV&amp;VAR:QUERY=RkZfRElWX1lMRChBTk4sOS8xOC8wMiw5LzE4LzAyKQ==&amp;WINDOW=FIRST_POPUP&amp;HEIGHT=450&amp;WIDTH=450&amp;","START_MAXIMIZED=FALSE&amp;VAR:CALENDAR=US&amp;VAR:SYMBOL=KO&amp;VAR:INDEX=0"}</definedName>
    <definedName name="_2020__FDSAUDITLINK__" hidden="1">{"fdsup://directions/FAT Viewer?action=UPDATE&amp;creator=factset&amp;DYN_ARGS=TRUE&amp;DOC_NAME=FAT:FQL_AUDITING_CLIENT_TEMPLATE.FAT&amp;display_string=Audit&amp;VAR:KEY=KDAHIHINWV&amp;VAR:QUERY=RkZfRElWX1lMRChBTk4sOS8xOC8wMiw5LzE4LzAyKQ==&amp;WINDOW=FIRST_POPUP&amp;HEIGHT=450&amp;WIDTH=450&amp;","START_MAXIMIZED=FALSE&amp;VAR:CALENDAR=US&amp;VAR:SYMBOL=KO&amp;VAR:INDEX=0"}</definedName>
    <definedName name="_2021__FDSAUDITLINK__" localSheetId="0" hidden="1">{"fdsup://directions/FAT Viewer?action=UPDATE&amp;creator=factset&amp;DYN_ARGS=TRUE&amp;DOC_NAME=FAT:FQL_AUDITING_CLIENT_TEMPLATE.FAT&amp;display_string=Audit&amp;VAR:KEY=ITGXUTAPUZ&amp;VAR:QUERY=RkZfRElWX1lMRChBTk4sOS8xMS8wMiw5LzExLzAyKQ==&amp;WINDOW=FIRST_POPUP&amp;HEIGHT=450&amp;WIDTH=450&amp;","START_MAXIMIZED=FALSE&amp;VAR:CALENDAR=US&amp;VAR:SYMBOL=KO&amp;VAR:INDEX=0"}</definedName>
    <definedName name="_2021__FDSAUDITLINK__" hidden="1">{"fdsup://directions/FAT Viewer?action=UPDATE&amp;creator=factset&amp;DYN_ARGS=TRUE&amp;DOC_NAME=FAT:FQL_AUDITING_CLIENT_TEMPLATE.FAT&amp;display_string=Audit&amp;VAR:KEY=ITGXUTAPUZ&amp;VAR:QUERY=RkZfRElWX1lMRChBTk4sOS8xMS8wMiw5LzExLzAyKQ==&amp;WINDOW=FIRST_POPUP&amp;HEIGHT=450&amp;WIDTH=450&amp;","START_MAXIMIZED=FALSE&amp;VAR:CALENDAR=US&amp;VAR:SYMBOL=KO&amp;VAR:INDEX=0"}</definedName>
    <definedName name="_2022__FDSAUDITLINK__" localSheetId="0" hidden="1">{"fdsup://directions/FAT Viewer?action=UPDATE&amp;creator=factset&amp;DYN_ARGS=TRUE&amp;DOC_NAME=FAT:FQL_AUDITING_CLIENT_TEMPLATE.FAT&amp;display_string=Audit&amp;VAR:KEY=OVCVQFQFKH&amp;VAR:QUERY=RkZfRElWX1lMRChBTk4sOS8wNC8wMiw5LzA0LzAyKQ==&amp;WINDOW=FIRST_POPUP&amp;HEIGHT=450&amp;WIDTH=450&amp;","START_MAXIMIZED=FALSE&amp;VAR:CALENDAR=US&amp;VAR:SYMBOL=KO&amp;VAR:INDEX=0"}</definedName>
    <definedName name="_2022__FDSAUDITLINK__" hidden="1">{"fdsup://directions/FAT Viewer?action=UPDATE&amp;creator=factset&amp;DYN_ARGS=TRUE&amp;DOC_NAME=FAT:FQL_AUDITING_CLIENT_TEMPLATE.FAT&amp;display_string=Audit&amp;VAR:KEY=OVCVQFQFKH&amp;VAR:QUERY=RkZfRElWX1lMRChBTk4sOS8wNC8wMiw5LzA0LzAyKQ==&amp;WINDOW=FIRST_POPUP&amp;HEIGHT=450&amp;WIDTH=450&amp;","START_MAXIMIZED=FALSE&amp;VAR:CALENDAR=US&amp;VAR:SYMBOL=KO&amp;VAR:INDEX=0"}</definedName>
    <definedName name="_2023__FDSAUDITLINK__" localSheetId="0" hidden="1">{"fdsup://directions/FAT Viewer?action=UPDATE&amp;creator=factset&amp;DYN_ARGS=TRUE&amp;DOC_NAME=FAT:FQL_AUDITING_CLIENT_TEMPLATE.FAT&amp;display_string=Audit&amp;VAR:KEY=WXSFEFINWV&amp;VAR:QUERY=RkZfRElWX1lMRChBTk4sOC8yOC8wMiw4LzI4LzAyKQ==&amp;WINDOW=FIRST_POPUP&amp;HEIGHT=450&amp;WIDTH=450&amp;","START_MAXIMIZED=FALSE&amp;VAR:CALENDAR=US&amp;VAR:SYMBOL=KO&amp;VAR:INDEX=0"}</definedName>
    <definedName name="_2023__FDSAUDITLINK__" hidden="1">{"fdsup://directions/FAT Viewer?action=UPDATE&amp;creator=factset&amp;DYN_ARGS=TRUE&amp;DOC_NAME=FAT:FQL_AUDITING_CLIENT_TEMPLATE.FAT&amp;display_string=Audit&amp;VAR:KEY=WXSFEFINWV&amp;VAR:QUERY=RkZfRElWX1lMRChBTk4sOC8yOC8wMiw4LzI4LzAyKQ==&amp;WINDOW=FIRST_POPUP&amp;HEIGHT=450&amp;WIDTH=450&amp;","START_MAXIMIZED=FALSE&amp;VAR:CALENDAR=US&amp;VAR:SYMBOL=KO&amp;VAR:INDEX=0"}</definedName>
    <definedName name="_2024">#REF!</definedName>
    <definedName name="_2024__FDSAUDITLINK__" localSheetId="0" hidden="1">{"fdsup://directions/FAT Viewer?action=UPDATE&amp;creator=factset&amp;DYN_ARGS=TRUE&amp;DOC_NAME=FAT:FQL_AUDITING_CLIENT_TEMPLATE.FAT&amp;display_string=Audit&amp;VAR:KEY=MFSDUBIVUZ&amp;VAR:QUERY=RkZfRElWX1lMRChBTk4sOC8yMS8wMiw4LzIxLzAyKQ==&amp;WINDOW=FIRST_POPUP&amp;HEIGHT=450&amp;WIDTH=450&amp;","START_MAXIMIZED=FALSE&amp;VAR:CALENDAR=US&amp;VAR:SYMBOL=KO&amp;VAR:INDEX=0"}</definedName>
    <definedName name="_2024__FDSAUDITLINK__" hidden="1">{"fdsup://directions/FAT Viewer?action=UPDATE&amp;creator=factset&amp;DYN_ARGS=TRUE&amp;DOC_NAME=FAT:FQL_AUDITING_CLIENT_TEMPLATE.FAT&amp;display_string=Audit&amp;VAR:KEY=MFSDUBIVUZ&amp;VAR:QUERY=RkZfRElWX1lMRChBTk4sOC8yMS8wMiw4LzIxLzAyKQ==&amp;WINDOW=FIRST_POPUP&amp;HEIGHT=450&amp;WIDTH=450&amp;","START_MAXIMIZED=FALSE&amp;VAR:CALENDAR=US&amp;VAR:SYMBOL=KO&amp;VAR:INDEX=0"}</definedName>
    <definedName name="_2025__FDSAUDITLINK__" localSheetId="0" hidden="1">{"fdsup://directions/FAT Viewer?action=UPDATE&amp;creator=factset&amp;DYN_ARGS=TRUE&amp;DOC_NAME=FAT:FQL_AUDITING_CLIENT_TEMPLATE.FAT&amp;display_string=Audit&amp;VAR:KEY=IRUTOJGVSV&amp;VAR:QUERY=RkZfRElWX1lMRChBTk4sOC8xNC8wMiw4LzE0LzAyKQ==&amp;WINDOW=FIRST_POPUP&amp;HEIGHT=450&amp;WIDTH=450&amp;","START_MAXIMIZED=FALSE&amp;VAR:CALENDAR=US&amp;VAR:SYMBOL=KO&amp;VAR:INDEX=0"}</definedName>
    <definedName name="_2025__FDSAUDITLINK__" hidden="1">{"fdsup://directions/FAT Viewer?action=UPDATE&amp;creator=factset&amp;DYN_ARGS=TRUE&amp;DOC_NAME=FAT:FQL_AUDITING_CLIENT_TEMPLATE.FAT&amp;display_string=Audit&amp;VAR:KEY=IRUTOJGVSV&amp;VAR:QUERY=RkZfRElWX1lMRChBTk4sOC8xNC8wMiw4LzE0LzAyKQ==&amp;WINDOW=FIRST_POPUP&amp;HEIGHT=450&amp;WIDTH=450&amp;","START_MAXIMIZED=FALSE&amp;VAR:CALENDAR=US&amp;VAR:SYMBOL=KO&amp;VAR:INDEX=0"}</definedName>
    <definedName name="_2026__FDSAUDITLINK__" localSheetId="0" hidden="1">{"fdsup://directions/FAT Viewer?action=UPDATE&amp;creator=factset&amp;DYN_ARGS=TRUE&amp;DOC_NAME=FAT:FQL_AUDITING_CLIENT_TEMPLATE.FAT&amp;display_string=Audit&amp;VAR:KEY=GREDOXMJEL&amp;VAR:QUERY=RkZfRElWX1lMRChBTk4sOC8wNy8wMiw4LzA3LzAyKQ==&amp;WINDOW=FIRST_POPUP&amp;HEIGHT=450&amp;WIDTH=450&amp;","START_MAXIMIZED=FALSE&amp;VAR:CALENDAR=US&amp;VAR:SYMBOL=KO&amp;VAR:INDEX=0"}</definedName>
    <definedName name="_2026__FDSAUDITLINK__" hidden="1">{"fdsup://directions/FAT Viewer?action=UPDATE&amp;creator=factset&amp;DYN_ARGS=TRUE&amp;DOC_NAME=FAT:FQL_AUDITING_CLIENT_TEMPLATE.FAT&amp;display_string=Audit&amp;VAR:KEY=GREDOXMJEL&amp;VAR:QUERY=RkZfRElWX1lMRChBTk4sOC8wNy8wMiw4LzA3LzAyKQ==&amp;WINDOW=FIRST_POPUP&amp;HEIGHT=450&amp;WIDTH=450&amp;","START_MAXIMIZED=FALSE&amp;VAR:CALENDAR=US&amp;VAR:SYMBOL=KO&amp;VAR:INDEX=0"}</definedName>
    <definedName name="_2027">#REF!</definedName>
    <definedName name="_2027__FDSAUDITLINK__" localSheetId="0" hidden="1">{"fdsup://directions/FAT Viewer?action=UPDATE&amp;creator=factset&amp;DYN_ARGS=TRUE&amp;DOC_NAME=FAT:FQL_AUDITING_CLIENT_TEMPLATE.FAT&amp;display_string=Audit&amp;VAR:KEY=GXCBSNSFGJ&amp;VAR:QUERY=RkZfRElWX1lMRChBTk4sNy8zMS8wMiw3LzMxLzAyKQ==&amp;WINDOW=FIRST_POPUP&amp;HEIGHT=450&amp;WIDTH=450&amp;","START_MAXIMIZED=FALSE&amp;VAR:CALENDAR=US&amp;VAR:SYMBOL=KO&amp;VAR:INDEX=0"}</definedName>
    <definedName name="_2027__FDSAUDITLINK__" hidden="1">{"fdsup://directions/FAT Viewer?action=UPDATE&amp;creator=factset&amp;DYN_ARGS=TRUE&amp;DOC_NAME=FAT:FQL_AUDITING_CLIENT_TEMPLATE.FAT&amp;display_string=Audit&amp;VAR:KEY=GXCBSNSFGJ&amp;VAR:QUERY=RkZfRElWX1lMRChBTk4sNy8zMS8wMiw3LzMxLzAyKQ==&amp;WINDOW=FIRST_POPUP&amp;HEIGHT=450&amp;WIDTH=450&amp;","START_MAXIMIZED=FALSE&amp;VAR:CALENDAR=US&amp;VAR:SYMBOL=KO&amp;VAR:INDEX=0"}</definedName>
    <definedName name="_2028__FDSAUDITLINK__" localSheetId="0" hidden="1">{"fdsup://directions/FAT Viewer?action=UPDATE&amp;creator=factset&amp;DYN_ARGS=TRUE&amp;DOC_NAME=FAT:FQL_AUDITING_CLIENT_TEMPLATE.FAT&amp;display_string=Audit&amp;VAR:KEY=EZGREFYBAL&amp;VAR:QUERY=RkZfRElWX1lMRChBTk4sNy8yNC8wMiw3LzI0LzAyKQ==&amp;WINDOW=FIRST_POPUP&amp;HEIGHT=450&amp;WIDTH=450&amp;","START_MAXIMIZED=FALSE&amp;VAR:CALENDAR=US&amp;VAR:SYMBOL=KO&amp;VAR:INDEX=0"}</definedName>
    <definedName name="_2028__FDSAUDITLINK__" hidden="1">{"fdsup://directions/FAT Viewer?action=UPDATE&amp;creator=factset&amp;DYN_ARGS=TRUE&amp;DOC_NAME=FAT:FQL_AUDITING_CLIENT_TEMPLATE.FAT&amp;display_string=Audit&amp;VAR:KEY=EZGREFYBAL&amp;VAR:QUERY=RkZfRElWX1lMRChBTk4sNy8yNC8wMiw3LzI0LzAyKQ==&amp;WINDOW=FIRST_POPUP&amp;HEIGHT=450&amp;WIDTH=450&amp;","START_MAXIMIZED=FALSE&amp;VAR:CALENDAR=US&amp;VAR:SYMBOL=KO&amp;VAR:INDEX=0"}</definedName>
    <definedName name="_2029__FDSAUDITLINK__" localSheetId="0" hidden="1">{"fdsup://directions/FAT Viewer?action=UPDATE&amp;creator=factset&amp;DYN_ARGS=TRUE&amp;DOC_NAME=FAT:FQL_AUDITING_CLIENT_TEMPLATE.FAT&amp;display_string=Audit&amp;VAR:KEY=MBCZODYPAP&amp;VAR:QUERY=RkZfRElWX1lMRChBTk4sNy8xNy8wMiw3LzE3LzAyKQ==&amp;WINDOW=FIRST_POPUP&amp;HEIGHT=450&amp;WIDTH=450&amp;","START_MAXIMIZED=FALSE&amp;VAR:CALENDAR=US&amp;VAR:SYMBOL=KO&amp;VAR:INDEX=0"}</definedName>
    <definedName name="_2029__FDSAUDITLINK__" hidden="1">{"fdsup://directions/FAT Viewer?action=UPDATE&amp;creator=factset&amp;DYN_ARGS=TRUE&amp;DOC_NAME=FAT:FQL_AUDITING_CLIENT_TEMPLATE.FAT&amp;display_string=Audit&amp;VAR:KEY=MBCZODYPAP&amp;VAR:QUERY=RkZfRElWX1lMRChBTk4sNy8xNy8wMiw3LzE3LzAyKQ==&amp;WINDOW=FIRST_POPUP&amp;HEIGHT=450&amp;WIDTH=450&amp;","START_MAXIMIZED=FALSE&amp;VAR:CALENDAR=US&amp;VAR:SYMBOL=KO&amp;VAR:INDEX=0"}</definedName>
    <definedName name="_203">#REF!</definedName>
    <definedName name="_203__FDSAUDITLINK__" localSheetId="0" hidden="1">{"fdsup://directions/FAT Viewer?action=UPDATE&amp;creator=factset&amp;DYN_ARGS=TRUE&amp;DOC_NAME=FAT:FQL_AUDITING_CLIENT_TEMPLATE.FAT&amp;display_string=Audit&amp;VAR:KEY=LOPKLGNQZA&amp;VAR:QUERY=RkZfRElWX1lMRChBTk4sNS8xNy8wNyw1LzE3LzA3KQ==&amp;WINDOW=FIRST_POPUP&amp;HEIGHT=450&amp;WIDTH=450&amp;","START_MAXIMIZED=FALSE&amp;VAR:CALENDAR=US&amp;VAR:SYMBOL=RAI&amp;VAR:INDEX=0"}</definedName>
    <definedName name="_203__FDSAUDITLINK__" hidden="1">{"fdsup://directions/FAT Viewer?action=UPDATE&amp;creator=factset&amp;DYN_ARGS=TRUE&amp;DOC_NAME=FAT:FQL_AUDITING_CLIENT_TEMPLATE.FAT&amp;display_string=Audit&amp;VAR:KEY=LOPKLGNQZA&amp;VAR:QUERY=RkZfRElWX1lMRChBTk4sNS8xNy8wNyw1LzE3LzA3KQ==&amp;WINDOW=FIRST_POPUP&amp;HEIGHT=450&amp;WIDTH=450&amp;","START_MAXIMIZED=FALSE&amp;VAR:CALENDAR=US&amp;VAR:SYMBOL=RAI&amp;VAR:INDEX=0"}</definedName>
    <definedName name="_2030__FDSAUDITLINK__" localSheetId="0" hidden="1">{"fdsup://directions/FAT Viewer?action=UPDATE&amp;creator=factset&amp;DYN_ARGS=TRUE&amp;DOC_NAME=FAT:FQL_AUDITING_CLIENT_TEMPLATE.FAT&amp;display_string=Audit&amp;VAR:KEY=OTKDQVQHEP&amp;VAR:QUERY=RkZfRElWX1lMRChBTk4sNy8xMC8wMiw3LzEwLzAyKQ==&amp;WINDOW=FIRST_POPUP&amp;HEIGHT=450&amp;WIDTH=450&amp;","START_MAXIMIZED=FALSE&amp;VAR:CALENDAR=US&amp;VAR:SYMBOL=KO&amp;VAR:INDEX=0"}</definedName>
    <definedName name="_2030__FDSAUDITLINK__" hidden="1">{"fdsup://directions/FAT Viewer?action=UPDATE&amp;creator=factset&amp;DYN_ARGS=TRUE&amp;DOC_NAME=FAT:FQL_AUDITING_CLIENT_TEMPLATE.FAT&amp;display_string=Audit&amp;VAR:KEY=OTKDQVQHEP&amp;VAR:QUERY=RkZfRElWX1lMRChBTk4sNy8xMC8wMiw3LzEwLzAyKQ==&amp;WINDOW=FIRST_POPUP&amp;HEIGHT=450&amp;WIDTH=450&amp;","START_MAXIMIZED=FALSE&amp;VAR:CALENDAR=US&amp;VAR:SYMBOL=KO&amp;VAR:INDEX=0"}</definedName>
    <definedName name="_2031">#REF!</definedName>
    <definedName name="_2031__FDSAUDITLINK__" localSheetId="0" hidden="1">{"fdsup://directions/FAT Viewer?action=UPDATE&amp;creator=factset&amp;DYN_ARGS=TRUE&amp;DOC_NAME=FAT:FQL_AUDITING_CLIENT_TEMPLATE.FAT&amp;display_string=Audit&amp;VAR:KEY=EVSNAPGPIH&amp;VAR:QUERY=RkZfRElWX1lMRChBTk4sNy8wMy8wMiw3LzAzLzAyKQ==&amp;WINDOW=FIRST_POPUP&amp;HEIGHT=450&amp;WIDTH=450&amp;","START_MAXIMIZED=FALSE&amp;VAR:CALENDAR=US&amp;VAR:SYMBOL=KO&amp;VAR:INDEX=0"}</definedName>
    <definedName name="_2031__FDSAUDITLINK__" hidden="1">{"fdsup://directions/FAT Viewer?action=UPDATE&amp;creator=factset&amp;DYN_ARGS=TRUE&amp;DOC_NAME=FAT:FQL_AUDITING_CLIENT_TEMPLATE.FAT&amp;display_string=Audit&amp;VAR:KEY=EVSNAPGPIH&amp;VAR:QUERY=RkZfRElWX1lMRChBTk4sNy8wMy8wMiw3LzAzLzAyKQ==&amp;WINDOW=FIRST_POPUP&amp;HEIGHT=450&amp;WIDTH=450&amp;","START_MAXIMIZED=FALSE&amp;VAR:CALENDAR=US&amp;VAR:SYMBOL=KO&amp;VAR:INDEX=0"}</definedName>
    <definedName name="_2032__FDSAUDITLINK__" localSheetId="0" hidden="1">{"fdsup://directions/FAT Viewer?action=UPDATE&amp;creator=factset&amp;DYN_ARGS=TRUE&amp;DOC_NAME=FAT:FQL_AUDITING_CLIENT_TEMPLATE.FAT&amp;display_string=Audit&amp;VAR:KEY=CZOTIXEZKH&amp;VAR:QUERY=RkZfRElWX1lMRChBTk4sNi8yNi8wMiw2LzI2LzAyKQ==&amp;WINDOW=FIRST_POPUP&amp;HEIGHT=450&amp;WIDTH=450&amp;","START_MAXIMIZED=FALSE&amp;VAR:CALENDAR=US&amp;VAR:SYMBOL=KO&amp;VAR:INDEX=0"}</definedName>
    <definedName name="_2032__FDSAUDITLINK__" hidden="1">{"fdsup://directions/FAT Viewer?action=UPDATE&amp;creator=factset&amp;DYN_ARGS=TRUE&amp;DOC_NAME=FAT:FQL_AUDITING_CLIENT_TEMPLATE.FAT&amp;display_string=Audit&amp;VAR:KEY=CZOTIXEZKH&amp;VAR:QUERY=RkZfRElWX1lMRChBTk4sNi8yNi8wMiw2LzI2LzAyKQ==&amp;WINDOW=FIRST_POPUP&amp;HEIGHT=450&amp;WIDTH=450&amp;","START_MAXIMIZED=FALSE&amp;VAR:CALENDAR=US&amp;VAR:SYMBOL=KO&amp;VAR:INDEX=0"}</definedName>
    <definedName name="_2033__FDSAUDITLINK__" localSheetId="0" hidden="1">{"fdsup://directions/FAT Viewer?action=UPDATE&amp;creator=factset&amp;DYN_ARGS=TRUE&amp;DOC_NAME=FAT:FQL_AUDITING_CLIENT_TEMPLATE.FAT&amp;display_string=Audit&amp;VAR:KEY=QLONQRQJIR&amp;VAR:QUERY=RkZfRElWX1lMRChBTk4sNi8xOS8wMiw2LzE5LzAyKQ==&amp;WINDOW=FIRST_POPUP&amp;HEIGHT=450&amp;WIDTH=450&amp;","START_MAXIMIZED=FALSE&amp;VAR:CALENDAR=US&amp;VAR:SYMBOL=KO&amp;VAR:INDEX=0"}</definedName>
    <definedName name="_2033__FDSAUDITLINK__" hidden="1">{"fdsup://directions/FAT Viewer?action=UPDATE&amp;creator=factset&amp;DYN_ARGS=TRUE&amp;DOC_NAME=FAT:FQL_AUDITING_CLIENT_TEMPLATE.FAT&amp;display_string=Audit&amp;VAR:KEY=QLONQRQJIR&amp;VAR:QUERY=RkZfRElWX1lMRChBTk4sNi8xOS8wMiw2LzE5LzAyKQ==&amp;WINDOW=FIRST_POPUP&amp;HEIGHT=450&amp;WIDTH=450&amp;","START_MAXIMIZED=FALSE&amp;VAR:CALENDAR=US&amp;VAR:SYMBOL=KO&amp;VAR:INDEX=0"}</definedName>
    <definedName name="_2034__FDSAUDITLINK__" localSheetId="0" hidden="1">{"fdsup://directions/FAT Viewer?action=UPDATE&amp;creator=factset&amp;DYN_ARGS=TRUE&amp;DOC_NAME=FAT:FQL_AUDITING_CLIENT_TEMPLATE.FAT&amp;display_string=Audit&amp;VAR:KEY=OPWFQDCFOL&amp;VAR:QUERY=RkZfRElWX1lMRChBTk4sNi8xMi8wMiw2LzEyLzAyKQ==&amp;WINDOW=FIRST_POPUP&amp;HEIGHT=450&amp;WIDTH=450&amp;","START_MAXIMIZED=FALSE&amp;VAR:CALENDAR=US&amp;VAR:SYMBOL=KO&amp;VAR:INDEX=0"}</definedName>
    <definedName name="_2034__FDSAUDITLINK__" hidden="1">{"fdsup://directions/FAT Viewer?action=UPDATE&amp;creator=factset&amp;DYN_ARGS=TRUE&amp;DOC_NAME=FAT:FQL_AUDITING_CLIENT_TEMPLATE.FAT&amp;display_string=Audit&amp;VAR:KEY=OPWFQDCFOL&amp;VAR:QUERY=RkZfRElWX1lMRChBTk4sNi8xMi8wMiw2LzEyLzAyKQ==&amp;WINDOW=FIRST_POPUP&amp;HEIGHT=450&amp;WIDTH=450&amp;","START_MAXIMIZED=FALSE&amp;VAR:CALENDAR=US&amp;VAR:SYMBOL=KO&amp;VAR:INDEX=0"}</definedName>
    <definedName name="_2035__FDSAUDITLINK__" localSheetId="0" hidden="1">{"fdsup://directions/FAT Viewer?action=UPDATE&amp;creator=factset&amp;DYN_ARGS=TRUE&amp;DOC_NAME=FAT:FQL_AUDITING_CLIENT_TEMPLATE.FAT&amp;display_string=Audit&amp;VAR:KEY=IPWVWLSVUN&amp;VAR:QUERY=RkZfRElWX1lMRChBTk4sNi8wNS8wMiw2LzA1LzAyKQ==&amp;WINDOW=FIRST_POPUP&amp;HEIGHT=450&amp;WIDTH=450&amp;","START_MAXIMIZED=FALSE&amp;VAR:CALENDAR=US&amp;VAR:SYMBOL=KO&amp;VAR:INDEX=0"}</definedName>
    <definedName name="_2035__FDSAUDITLINK__" hidden="1">{"fdsup://directions/FAT Viewer?action=UPDATE&amp;creator=factset&amp;DYN_ARGS=TRUE&amp;DOC_NAME=FAT:FQL_AUDITING_CLIENT_TEMPLATE.FAT&amp;display_string=Audit&amp;VAR:KEY=IPWVWLSVUN&amp;VAR:QUERY=RkZfRElWX1lMRChBTk4sNi8wNS8wMiw2LzA1LzAyKQ==&amp;WINDOW=FIRST_POPUP&amp;HEIGHT=450&amp;WIDTH=450&amp;","START_MAXIMIZED=FALSE&amp;VAR:CALENDAR=US&amp;VAR:SYMBOL=KO&amp;VAR:INDEX=0"}</definedName>
    <definedName name="_2036">#REF!</definedName>
    <definedName name="_2036__FDSAUDITLINK__" localSheetId="0" hidden="1">{"fdsup://directions/FAT Viewer?action=UPDATE&amp;creator=factset&amp;DYN_ARGS=TRUE&amp;DOC_NAME=FAT:FQL_AUDITING_CLIENT_TEMPLATE.FAT&amp;display_string=Audit&amp;VAR:KEY=UNWNMJMPSP&amp;VAR:QUERY=RkZfRElWX1lMRChBTk4sNS8yOS8wMiw1LzI5LzAyKQ==&amp;WINDOW=FIRST_POPUP&amp;HEIGHT=450&amp;WIDTH=450&amp;","START_MAXIMIZED=FALSE&amp;VAR:CALENDAR=US&amp;VAR:SYMBOL=KO&amp;VAR:INDEX=0"}</definedName>
    <definedName name="_2036__FDSAUDITLINK__" hidden="1">{"fdsup://directions/FAT Viewer?action=UPDATE&amp;creator=factset&amp;DYN_ARGS=TRUE&amp;DOC_NAME=FAT:FQL_AUDITING_CLIENT_TEMPLATE.FAT&amp;display_string=Audit&amp;VAR:KEY=UNWNMJMPSP&amp;VAR:QUERY=RkZfRElWX1lMRChBTk4sNS8yOS8wMiw1LzI5LzAyKQ==&amp;WINDOW=FIRST_POPUP&amp;HEIGHT=450&amp;WIDTH=450&amp;","START_MAXIMIZED=FALSE&amp;VAR:CALENDAR=US&amp;VAR:SYMBOL=KO&amp;VAR:INDEX=0"}</definedName>
    <definedName name="_2037__FDSAUDITLINK__" localSheetId="0" hidden="1">{"fdsup://directions/FAT Viewer?action=UPDATE&amp;creator=factset&amp;DYN_ARGS=TRUE&amp;DOC_NAME=FAT:FQL_AUDITING_CLIENT_TEMPLATE.FAT&amp;display_string=Audit&amp;VAR:KEY=SVSJIVMRCJ&amp;VAR:QUERY=RkZfRElWX1lMRChBTk4sNS8yMi8wMiw1LzIyLzAyKQ==&amp;WINDOW=FIRST_POPUP&amp;HEIGHT=450&amp;WIDTH=450&amp;","START_MAXIMIZED=FALSE&amp;VAR:CALENDAR=US&amp;VAR:SYMBOL=KO&amp;VAR:INDEX=0"}</definedName>
    <definedName name="_2037__FDSAUDITLINK__" hidden="1">{"fdsup://directions/FAT Viewer?action=UPDATE&amp;creator=factset&amp;DYN_ARGS=TRUE&amp;DOC_NAME=FAT:FQL_AUDITING_CLIENT_TEMPLATE.FAT&amp;display_string=Audit&amp;VAR:KEY=SVSJIVMRCJ&amp;VAR:QUERY=RkZfRElWX1lMRChBTk4sNS8yMi8wMiw1LzIyLzAyKQ==&amp;WINDOW=FIRST_POPUP&amp;HEIGHT=450&amp;WIDTH=450&amp;","START_MAXIMIZED=FALSE&amp;VAR:CALENDAR=US&amp;VAR:SYMBOL=KO&amp;VAR:INDEX=0"}</definedName>
    <definedName name="_2038__FDSAUDITLINK__" localSheetId="0" hidden="1">{"fdsup://directions/FAT Viewer?action=UPDATE&amp;creator=factset&amp;DYN_ARGS=TRUE&amp;DOC_NAME=FAT:FQL_AUDITING_CLIENT_TEMPLATE.FAT&amp;display_string=Audit&amp;VAR:KEY=WNQPKZMBQV&amp;VAR:QUERY=RkZfRElWX1lMRChBTk4sNS8xNS8wMiw1LzE1LzAyKQ==&amp;WINDOW=FIRST_POPUP&amp;HEIGHT=450&amp;WIDTH=450&amp;","START_MAXIMIZED=FALSE&amp;VAR:CALENDAR=US&amp;VAR:SYMBOL=KO&amp;VAR:INDEX=0"}</definedName>
    <definedName name="_2038__FDSAUDITLINK__" hidden="1">{"fdsup://directions/FAT Viewer?action=UPDATE&amp;creator=factset&amp;DYN_ARGS=TRUE&amp;DOC_NAME=FAT:FQL_AUDITING_CLIENT_TEMPLATE.FAT&amp;display_string=Audit&amp;VAR:KEY=WNQPKZMBQV&amp;VAR:QUERY=RkZfRElWX1lMRChBTk4sNS8xNS8wMiw1LzE1LzAyKQ==&amp;WINDOW=FIRST_POPUP&amp;HEIGHT=450&amp;WIDTH=450&amp;","START_MAXIMIZED=FALSE&amp;VAR:CALENDAR=US&amp;VAR:SYMBOL=KO&amp;VAR:INDEX=0"}</definedName>
    <definedName name="_2039__FDSAUDITLINK__" localSheetId="0" hidden="1">{"fdsup://directions/FAT Viewer?action=UPDATE&amp;creator=factset&amp;DYN_ARGS=TRUE&amp;DOC_NAME=FAT:FQL_AUDITING_CLIENT_TEMPLATE.FAT&amp;display_string=Audit&amp;VAR:KEY=ALQRKJCJWB&amp;VAR:QUERY=RkZfRElWX1lMRChBTk4sNS8wOC8wMiw1LzA4LzAyKQ==&amp;WINDOW=FIRST_POPUP&amp;HEIGHT=450&amp;WIDTH=450&amp;","START_MAXIMIZED=FALSE&amp;VAR:CALENDAR=US&amp;VAR:SYMBOL=KO&amp;VAR:INDEX=0"}</definedName>
    <definedName name="_2039__FDSAUDITLINK__" hidden="1">{"fdsup://directions/FAT Viewer?action=UPDATE&amp;creator=factset&amp;DYN_ARGS=TRUE&amp;DOC_NAME=FAT:FQL_AUDITING_CLIENT_TEMPLATE.FAT&amp;display_string=Audit&amp;VAR:KEY=ALQRKJCJWB&amp;VAR:QUERY=RkZfRElWX1lMRChBTk4sNS8wOC8wMiw1LzA4LzAyKQ==&amp;WINDOW=FIRST_POPUP&amp;HEIGHT=450&amp;WIDTH=450&amp;","START_MAXIMIZED=FALSE&amp;VAR:CALENDAR=US&amp;VAR:SYMBOL=KO&amp;VAR:INDEX=0"}</definedName>
    <definedName name="_204">#REF!</definedName>
    <definedName name="_204__123Graph_XTAX_CREDIT">#REF!</definedName>
    <definedName name="_204__FDSAUDITLINK__" localSheetId="0" hidden="1">{"fdsup://directions/FAT Viewer?action=UPDATE&amp;creator=factset&amp;DYN_ARGS=TRUE&amp;DOC_NAME=FAT:FQL_AUDITING_CLIENT_TEMPLATE.FAT&amp;display_string=Audit&amp;VAR:KEY=DMDGHATGTS&amp;VAR:QUERY=RkZfRElWX1lMRChBTk4sNS8xMC8wNyw1LzEwLzA3KQ==&amp;WINDOW=FIRST_POPUP&amp;HEIGHT=450&amp;WIDTH=450&amp;","START_MAXIMIZED=FALSE&amp;VAR:CALENDAR=US&amp;VAR:SYMBOL=RAI&amp;VAR:INDEX=0"}</definedName>
    <definedName name="_204__FDSAUDITLINK__" hidden="1">{"fdsup://directions/FAT Viewer?action=UPDATE&amp;creator=factset&amp;DYN_ARGS=TRUE&amp;DOC_NAME=FAT:FQL_AUDITING_CLIENT_TEMPLATE.FAT&amp;display_string=Audit&amp;VAR:KEY=DMDGHATGTS&amp;VAR:QUERY=RkZfRElWX1lMRChBTk4sNS8xMC8wNyw1LzEwLzA3KQ==&amp;WINDOW=FIRST_POPUP&amp;HEIGHT=450&amp;WIDTH=450&amp;","START_MAXIMIZED=FALSE&amp;VAR:CALENDAR=US&amp;VAR:SYMBOL=RAI&amp;VAR:INDEX=0"}</definedName>
    <definedName name="_2040__FDSAUDITLINK__" localSheetId="0" hidden="1">{"fdsup://directions/FAT Viewer?action=UPDATE&amp;creator=factset&amp;DYN_ARGS=TRUE&amp;DOC_NAME=FAT:FQL_AUDITING_CLIENT_TEMPLATE.FAT&amp;display_string=Audit&amp;VAR:KEY=WBKHCRQVQT&amp;VAR:QUERY=RkZfRElWX1lMRChBTk4sNS8wMS8wMiw1LzAxLzAyKQ==&amp;WINDOW=FIRST_POPUP&amp;HEIGHT=450&amp;WIDTH=450&amp;","START_MAXIMIZED=FALSE&amp;VAR:CALENDAR=US&amp;VAR:SYMBOL=KO&amp;VAR:INDEX=0"}</definedName>
    <definedName name="_2040__FDSAUDITLINK__" hidden="1">{"fdsup://directions/FAT Viewer?action=UPDATE&amp;creator=factset&amp;DYN_ARGS=TRUE&amp;DOC_NAME=FAT:FQL_AUDITING_CLIENT_TEMPLATE.FAT&amp;display_string=Audit&amp;VAR:KEY=WBKHCRQVQT&amp;VAR:QUERY=RkZfRElWX1lMRChBTk4sNS8wMS8wMiw1LzAxLzAyKQ==&amp;WINDOW=FIRST_POPUP&amp;HEIGHT=450&amp;WIDTH=450&amp;","START_MAXIMIZED=FALSE&amp;VAR:CALENDAR=US&amp;VAR:SYMBOL=KO&amp;VAR:INDEX=0"}</definedName>
    <definedName name="_2041">#REF!</definedName>
    <definedName name="_2041__FDSAUDITLINK__" localSheetId="0" hidden="1">{"fdsup://directions/FAT Viewer?action=UPDATE&amp;creator=factset&amp;DYN_ARGS=TRUE&amp;DOC_NAME=FAT:FQL_AUDITING_CLIENT_TEMPLATE.FAT&amp;display_string=Audit&amp;VAR:KEY=GNQRMHKFWL&amp;VAR:QUERY=RkZfRElWX1lMRChBTk4sNC8yNC8wMiw0LzI0LzAyKQ==&amp;WINDOW=FIRST_POPUP&amp;HEIGHT=450&amp;WIDTH=450&amp;","START_MAXIMIZED=FALSE&amp;VAR:CALENDAR=US&amp;VAR:SYMBOL=KO&amp;VAR:INDEX=0"}</definedName>
    <definedName name="_2041__FDSAUDITLINK__" hidden="1">{"fdsup://directions/FAT Viewer?action=UPDATE&amp;creator=factset&amp;DYN_ARGS=TRUE&amp;DOC_NAME=FAT:FQL_AUDITING_CLIENT_TEMPLATE.FAT&amp;display_string=Audit&amp;VAR:KEY=GNQRMHKFWL&amp;VAR:QUERY=RkZfRElWX1lMRChBTk4sNC8yNC8wMiw0LzI0LzAyKQ==&amp;WINDOW=FIRST_POPUP&amp;HEIGHT=450&amp;WIDTH=450&amp;","START_MAXIMIZED=FALSE&amp;VAR:CALENDAR=US&amp;VAR:SYMBOL=KO&amp;VAR:INDEX=0"}</definedName>
    <definedName name="_2042__FDSAUDITLINK__" localSheetId="0" hidden="1">{"fdsup://directions/FAT Viewer?action=UPDATE&amp;creator=factset&amp;DYN_ARGS=TRUE&amp;DOC_NAME=FAT:FQL_AUDITING_CLIENT_TEMPLATE.FAT&amp;display_string=Audit&amp;VAR:KEY=ETANQNOXCP&amp;VAR:QUERY=RkZfRElWX1lMRChBTk4sNC8xNy8wMiw0LzE3LzAyKQ==&amp;WINDOW=FIRST_POPUP&amp;HEIGHT=450&amp;WIDTH=450&amp;","START_MAXIMIZED=FALSE&amp;VAR:CALENDAR=US&amp;VAR:SYMBOL=KO&amp;VAR:INDEX=0"}</definedName>
    <definedName name="_2042__FDSAUDITLINK__" hidden="1">{"fdsup://directions/FAT Viewer?action=UPDATE&amp;creator=factset&amp;DYN_ARGS=TRUE&amp;DOC_NAME=FAT:FQL_AUDITING_CLIENT_TEMPLATE.FAT&amp;display_string=Audit&amp;VAR:KEY=ETANQNOXCP&amp;VAR:QUERY=RkZfRElWX1lMRChBTk4sNC8xNy8wMiw0LzE3LzAyKQ==&amp;WINDOW=FIRST_POPUP&amp;HEIGHT=450&amp;WIDTH=450&amp;","START_MAXIMIZED=FALSE&amp;VAR:CALENDAR=US&amp;VAR:SYMBOL=KO&amp;VAR:INDEX=0"}</definedName>
    <definedName name="_2043__FDSAUDITLINK__" localSheetId="0" hidden="1">{"fdsup://directions/FAT Viewer?action=UPDATE&amp;creator=factset&amp;DYN_ARGS=TRUE&amp;DOC_NAME=FAT:FQL_AUDITING_CLIENT_TEMPLATE.FAT&amp;display_string=Audit&amp;VAR:KEY=KRWHEDODSH&amp;VAR:QUERY=RkZfRElWX1lMRChBTk4sNC8xMC8wMiw0LzEwLzAyKQ==&amp;WINDOW=FIRST_POPUP&amp;HEIGHT=450&amp;WIDTH=450&amp;","START_MAXIMIZED=FALSE&amp;VAR:CALENDAR=US&amp;VAR:SYMBOL=KO&amp;VAR:INDEX=0"}</definedName>
    <definedName name="_2043__FDSAUDITLINK__" hidden="1">{"fdsup://directions/FAT Viewer?action=UPDATE&amp;creator=factset&amp;DYN_ARGS=TRUE&amp;DOC_NAME=FAT:FQL_AUDITING_CLIENT_TEMPLATE.FAT&amp;display_string=Audit&amp;VAR:KEY=KRWHEDODSH&amp;VAR:QUERY=RkZfRElWX1lMRChBTk4sNC8xMC8wMiw0LzEwLzAyKQ==&amp;WINDOW=FIRST_POPUP&amp;HEIGHT=450&amp;WIDTH=450&amp;","START_MAXIMIZED=FALSE&amp;VAR:CALENDAR=US&amp;VAR:SYMBOL=KO&amp;VAR:INDEX=0"}</definedName>
    <definedName name="_2044__FDSAUDITLINK__" localSheetId="0" hidden="1">{"fdsup://directions/FAT Viewer?action=UPDATE&amp;creator=factset&amp;DYN_ARGS=TRUE&amp;DOC_NAME=FAT:FQL_AUDITING_CLIENT_TEMPLATE.FAT&amp;display_string=Audit&amp;VAR:KEY=UXUJYZWXST&amp;VAR:QUERY=RkZfRElWX1lMRChBTk4sNC8wMy8wMiw0LzAzLzAyKQ==&amp;WINDOW=FIRST_POPUP&amp;HEIGHT=450&amp;WIDTH=450&amp;","START_MAXIMIZED=FALSE&amp;VAR:CALENDAR=US&amp;VAR:SYMBOL=KO&amp;VAR:INDEX=0"}</definedName>
    <definedName name="_2044__FDSAUDITLINK__" hidden="1">{"fdsup://directions/FAT Viewer?action=UPDATE&amp;creator=factset&amp;DYN_ARGS=TRUE&amp;DOC_NAME=FAT:FQL_AUDITING_CLIENT_TEMPLATE.FAT&amp;display_string=Audit&amp;VAR:KEY=UXUJYZWXST&amp;VAR:QUERY=RkZfRElWX1lMRChBTk4sNC8wMy8wMiw0LzAzLzAyKQ==&amp;WINDOW=FIRST_POPUP&amp;HEIGHT=450&amp;WIDTH=450&amp;","START_MAXIMIZED=FALSE&amp;VAR:CALENDAR=US&amp;VAR:SYMBOL=KO&amp;VAR:INDEX=0"}</definedName>
    <definedName name="_2045__FDSAUDITLINK__" localSheetId="0" hidden="1">{"fdsup://directions/FAT Viewer?action=UPDATE&amp;creator=factset&amp;DYN_ARGS=TRUE&amp;DOC_NAME=FAT:FQL_AUDITING_CLIENT_TEMPLATE.FAT&amp;display_string=Audit&amp;VAR:KEY=MTKZUNUHER&amp;VAR:QUERY=RkZfRElWX1lMRChBTk4sMy8yNy8wMiwzLzI3LzAyKQ==&amp;WINDOW=FIRST_POPUP&amp;HEIGHT=450&amp;WIDTH=450&amp;","START_MAXIMIZED=FALSE&amp;VAR:CALENDAR=US&amp;VAR:SYMBOL=KO&amp;VAR:INDEX=0"}</definedName>
    <definedName name="_2045__FDSAUDITLINK__" hidden="1">{"fdsup://directions/FAT Viewer?action=UPDATE&amp;creator=factset&amp;DYN_ARGS=TRUE&amp;DOC_NAME=FAT:FQL_AUDITING_CLIENT_TEMPLATE.FAT&amp;display_string=Audit&amp;VAR:KEY=MTKZUNUHER&amp;VAR:QUERY=RkZfRElWX1lMRChBTk4sMy8yNy8wMiwzLzI3LzAyKQ==&amp;WINDOW=FIRST_POPUP&amp;HEIGHT=450&amp;WIDTH=450&amp;","START_MAXIMIZED=FALSE&amp;VAR:CALENDAR=US&amp;VAR:SYMBOL=KO&amp;VAR:INDEX=0"}</definedName>
    <definedName name="_2046__FDSAUDITLINK__" localSheetId="0" hidden="1">{"fdsup://directions/FAT Viewer?action=UPDATE&amp;creator=factset&amp;DYN_ARGS=TRUE&amp;DOC_NAME=FAT:FQL_AUDITING_CLIENT_TEMPLATE.FAT&amp;display_string=Audit&amp;VAR:KEY=YLSJWPWHIT&amp;VAR:QUERY=RkZfRElWX1lMRChBTk4sMy8yMC8wMiwzLzIwLzAyKQ==&amp;WINDOW=FIRST_POPUP&amp;HEIGHT=450&amp;WIDTH=450&amp;","START_MAXIMIZED=FALSE&amp;VAR:CALENDAR=US&amp;VAR:SYMBOL=KO&amp;VAR:INDEX=0"}</definedName>
    <definedName name="_2046__FDSAUDITLINK__" hidden="1">{"fdsup://directions/FAT Viewer?action=UPDATE&amp;creator=factset&amp;DYN_ARGS=TRUE&amp;DOC_NAME=FAT:FQL_AUDITING_CLIENT_TEMPLATE.FAT&amp;display_string=Audit&amp;VAR:KEY=YLSJWPWHIT&amp;VAR:QUERY=RkZfRElWX1lMRChBTk4sMy8yMC8wMiwzLzIwLzAyKQ==&amp;WINDOW=FIRST_POPUP&amp;HEIGHT=450&amp;WIDTH=450&amp;","START_MAXIMIZED=FALSE&amp;VAR:CALENDAR=US&amp;VAR:SYMBOL=KO&amp;VAR:INDEX=0"}</definedName>
    <definedName name="_2047__FDSAUDITLINK__" localSheetId="0" hidden="1">{"fdsup://directions/FAT Viewer?action=UPDATE&amp;creator=factset&amp;DYN_ARGS=TRUE&amp;DOC_NAME=FAT:FQL_AUDITING_CLIENT_TEMPLATE.FAT&amp;display_string=Audit&amp;VAR:KEY=KNUXYTGBCX&amp;VAR:QUERY=RkZfRElWX1lMRChBTk4sMy8xMy8wMiwzLzEzLzAyKQ==&amp;WINDOW=FIRST_POPUP&amp;HEIGHT=450&amp;WIDTH=450&amp;","START_MAXIMIZED=FALSE&amp;VAR:CALENDAR=US&amp;VAR:SYMBOL=KO&amp;VAR:INDEX=0"}</definedName>
    <definedName name="_2047__FDSAUDITLINK__" hidden="1">{"fdsup://directions/FAT Viewer?action=UPDATE&amp;creator=factset&amp;DYN_ARGS=TRUE&amp;DOC_NAME=FAT:FQL_AUDITING_CLIENT_TEMPLATE.FAT&amp;display_string=Audit&amp;VAR:KEY=KNUXYTGBCX&amp;VAR:QUERY=RkZfRElWX1lMRChBTk4sMy8xMy8wMiwzLzEzLzAyKQ==&amp;WINDOW=FIRST_POPUP&amp;HEIGHT=450&amp;WIDTH=450&amp;","START_MAXIMIZED=FALSE&amp;VAR:CALENDAR=US&amp;VAR:SYMBOL=KO&amp;VAR:INDEX=0"}</definedName>
    <definedName name="_2048__FDSAUDITLINK__" localSheetId="0" hidden="1">{"fdsup://directions/FAT Viewer?action=UPDATE&amp;creator=factset&amp;DYN_ARGS=TRUE&amp;DOC_NAME=FAT:FQL_AUDITING_CLIENT_TEMPLATE.FAT&amp;display_string=Audit&amp;VAR:KEY=WBMBUJWBWZ&amp;VAR:QUERY=RkZfRElWX1lMRChBTk4sMy8wNi8wMiwzLzA2LzAyKQ==&amp;WINDOW=FIRST_POPUP&amp;HEIGHT=450&amp;WIDTH=450&amp;","START_MAXIMIZED=FALSE&amp;VAR:CALENDAR=US&amp;VAR:SYMBOL=KO&amp;VAR:INDEX=0"}</definedName>
    <definedName name="_2048__FDSAUDITLINK__" hidden="1">{"fdsup://directions/FAT Viewer?action=UPDATE&amp;creator=factset&amp;DYN_ARGS=TRUE&amp;DOC_NAME=FAT:FQL_AUDITING_CLIENT_TEMPLATE.FAT&amp;display_string=Audit&amp;VAR:KEY=WBMBUJWBWZ&amp;VAR:QUERY=RkZfRElWX1lMRChBTk4sMy8wNi8wMiwzLzA2LzAyKQ==&amp;WINDOW=FIRST_POPUP&amp;HEIGHT=450&amp;WIDTH=450&amp;","START_MAXIMIZED=FALSE&amp;VAR:CALENDAR=US&amp;VAR:SYMBOL=KO&amp;VAR:INDEX=0"}</definedName>
    <definedName name="_2049">#REF!</definedName>
    <definedName name="_2049__FDSAUDITLINK__" localSheetId="0" hidden="1">{"fdsup://directions/FAT Viewer?action=UPDATE&amp;creator=factset&amp;DYN_ARGS=TRUE&amp;DOC_NAME=FAT:FQL_AUDITING_CLIENT_TEMPLATE.FAT&amp;display_string=Audit&amp;VAR:KEY=EVOTGJINQZ&amp;VAR:QUERY=RkZfRElWX1lMRChBTk4sMi8yNy8wMiwyLzI3LzAyKQ==&amp;WINDOW=FIRST_POPUP&amp;HEIGHT=450&amp;WIDTH=450&amp;","START_MAXIMIZED=FALSE&amp;VAR:CALENDAR=US&amp;VAR:SYMBOL=KO&amp;VAR:INDEX=0"}</definedName>
    <definedName name="_2049__FDSAUDITLINK__" hidden="1">{"fdsup://directions/FAT Viewer?action=UPDATE&amp;creator=factset&amp;DYN_ARGS=TRUE&amp;DOC_NAME=FAT:FQL_AUDITING_CLIENT_TEMPLATE.FAT&amp;display_string=Audit&amp;VAR:KEY=EVOTGJINQZ&amp;VAR:QUERY=RkZfRElWX1lMRChBTk4sMi8yNy8wMiwyLzI3LzAyKQ==&amp;WINDOW=FIRST_POPUP&amp;HEIGHT=450&amp;WIDTH=450&amp;","START_MAXIMIZED=FALSE&amp;VAR:CALENDAR=US&amp;VAR:SYMBOL=KO&amp;VAR:INDEX=0"}</definedName>
    <definedName name="_205">#REF!</definedName>
    <definedName name="_205__123Graph_XTAX_CREDIT">#REF!</definedName>
    <definedName name="_205__FDSAUDITLINK__" localSheetId="0" hidden="1">{"fdsup://directions/FAT Viewer?action=UPDATE&amp;creator=factset&amp;DYN_ARGS=TRUE&amp;DOC_NAME=FAT:FQL_AUDITING_CLIENT_TEMPLATE.FAT&amp;display_string=Audit&amp;VAR:KEY=JQRGLKNOHW&amp;VAR:QUERY=RkZfRElWX1lMRChBTk4sNS8wMy8wNyw1LzAzLzA3KQ==&amp;WINDOW=FIRST_POPUP&amp;HEIGHT=450&amp;WIDTH=450&amp;","START_MAXIMIZED=FALSE&amp;VAR:CALENDAR=US&amp;VAR:SYMBOL=RAI&amp;VAR:INDEX=0"}</definedName>
    <definedName name="_205__FDSAUDITLINK__" hidden="1">{"fdsup://directions/FAT Viewer?action=UPDATE&amp;creator=factset&amp;DYN_ARGS=TRUE&amp;DOC_NAME=FAT:FQL_AUDITING_CLIENT_TEMPLATE.FAT&amp;display_string=Audit&amp;VAR:KEY=JQRGLKNOHW&amp;VAR:QUERY=RkZfRElWX1lMRChBTk4sNS8wMy8wNyw1LzAzLzA3KQ==&amp;WINDOW=FIRST_POPUP&amp;HEIGHT=450&amp;WIDTH=450&amp;","START_MAXIMIZED=FALSE&amp;VAR:CALENDAR=US&amp;VAR:SYMBOL=RAI&amp;VAR:INDEX=0"}</definedName>
    <definedName name="_2050__FDSAUDITLINK__" localSheetId="0" hidden="1">{"fdsup://directions/FAT Viewer?action=UPDATE&amp;creator=factset&amp;DYN_ARGS=TRUE&amp;DOC_NAME=FAT:FQL_AUDITING_CLIENT_TEMPLATE.FAT&amp;display_string=Audit&amp;VAR:KEY=ENKBELWJYX&amp;VAR:QUERY=RkZfRElWX1lMRChBTk4sMi8yMC8wMiwyLzIwLzAyKQ==&amp;WINDOW=FIRST_POPUP&amp;HEIGHT=450&amp;WIDTH=450&amp;","START_MAXIMIZED=FALSE&amp;VAR:CALENDAR=US&amp;VAR:SYMBOL=KO&amp;VAR:INDEX=0"}</definedName>
    <definedName name="_2050__FDSAUDITLINK__" hidden="1">{"fdsup://directions/FAT Viewer?action=UPDATE&amp;creator=factset&amp;DYN_ARGS=TRUE&amp;DOC_NAME=FAT:FQL_AUDITING_CLIENT_TEMPLATE.FAT&amp;display_string=Audit&amp;VAR:KEY=ENKBELWJYX&amp;VAR:QUERY=RkZfRElWX1lMRChBTk4sMi8yMC8wMiwyLzIwLzAyKQ==&amp;WINDOW=FIRST_POPUP&amp;HEIGHT=450&amp;WIDTH=450&amp;","START_MAXIMIZED=FALSE&amp;VAR:CALENDAR=US&amp;VAR:SYMBOL=KO&amp;VAR:INDEX=0"}</definedName>
    <definedName name="_2051__FDSAUDITLINK__" localSheetId="0" hidden="1">{"fdsup://directions/FAT Viewer?action=UPDATE&amp;creator=factset&amp;DYN_ARGS=TRUE&amp;DOC_NAME=FAT:FQL_AUDITING_CLIENT_TEMPLATE.FAT&amp;display_string=Audit&amp;VAR:KEY=YPENULKFKD&amp;VAR:QUERY=RkZfRElWX1lMRChBTk4sMi8xMy8wMiwyLzEzLzAyKQ==&amp;WINDOW=FIRST_POPUP&amp;HEIGHT=450&amp;WIDTH=450&amp;","START_MAXIMIZED=FALSE&amp;VAR:CALENDAR=US&amp;VAR:SYMBOL=KO&amp;VAR:INDEX=0"}</definedName>
    <definedName name="_2051__FDSAUDITLINK__" hidden="1">{"fdsup://directions/FAT Viewer?action=UPDATE&amp;creator=factset&amp;DYN_ARGS=TRUE&amp;DOC_NAME=FAT:FQL_AUDITING_CLIENT_TEMPLATE.FAT&amp;display_string=Audit&amp;VAR:KEY=YPENULKFKD&amp;VAR:QUERY=RkZfRElWX1lMRChBTk4sMi8xMy8wMiwyLzEzLzAyKQ==&amp;WINDOW=FIRST_POPUP&amp;HEIGHT=450&amp;WIDTH=450&amp;","START_MAXIMIZED=FALSE&amp;VAR:CALENDAR=US&amp;VAR:SYMBOL=KO&amp;VAR:INDEX=0"}</definedName>
    <definedName name="_2052__FDSAUDITLINK__" localSheetId="0" hidden="1">{"fdsup://directions/FAT Viewer?action=UPDATE&amp;creator=factset&amp;DYN_ARGS=TRUE&amp;DOC_NAME=FAT:FQL_AUDITING_CLIENT_TEMPLATE.FAT&amp;display_string=Audit&amp;VAR:KEY=CNKDGPGXKN&amp;VAR:QUERY=RkZfRElWX1lMRChBTk4sMi8wNi8wMiwyLzA2LzAyKQ==&amp;WINDOW=FIRST_POPUP&amp;HEIGHT=450&amp;WIDTH=450&amp;","START_MAXIMIZED=FALSE&amp;VAR:CALENDAR=US&amp;VAR:SYMBOL=KO&amp;VAR:INDEX=0"}</definedName>
    <definedName name="_2052__FDSAUDITLINK__" hidden="1">{"fdsup://directions/FAT Viewer?action=UPDATE&amp;creator=factset&amp;DYN_ARGS=TRUE&amp;DOC_NAME=FAT:FQL_AUDITING_CLIENT_TEMPLATE.FAT&amp;display_string=Audit&amp;VAR:KEY=CNKDGPGXKN&amp;VAR:QUERY=RkZfRElWX1lMRChBTk4sMi8wNi8wMiwyLzA2LzAyKQ==&amp;WINDOW=FIRST_POPUP&amp;HEIGHT=450&amp;WIDTH=450&amp;","START_MAXIMIZED=FALSE&amp;VAR:CALENDAR=US&amp;VAR:SYMBOL=KO&amp;VAR:INDEX=0"}</definedName>
    <definedName name="_2053">#REF!</definedName>
    <definedName name="_2053__FDSAUDITLINK__" localSheetId="0" hidden="1">{"fdsup://directions/FAT Viewer?action=UPDATE&amp;creator=factset&amp;DYN_ARGS=TRUE&amp;DOC_NAME=FAT:FQL_AUDITING_CLIENT_TEMPLATE.FAT&amp;display_string=Audit&amp;VAR:KEY=QTAJGHSJGV&amp;VAR:QUERY=RkZfRElWX1lMRChBTk4sMS8zMC8wMiwxLzMwLzAyKQ==&amp;WINDOW=FIRST_POPUP&amp;HEIGHT=450&amp;WIDTH=450&amp;","START_MAXIMIZED=FALSE&amp;VAR:CALENDAR=US&amp;VAR:SYMBOL=KO&amp;VAR:INDEX=0"}</definedName>
    <definedName name="_2053__FDSAUDITLINK__" hidden="1">{"fdsup://directions/FAT Viewer?action=UPDATE&amp;creator=factset&amp;DYN_ARGS=TRUE&amp;DOC_NAME=FAT:FQL_AUDITING_CLIENT_TEMPLATE.FAT&amp;display_string=Audit&amp;VAR:KEY=QTAJGHSJGV&amp;VAR:QUERY=RkZfRElWX1lMRChBTk4sMS8zMC8wMiwxLzMwLzAyKQ==&amp;WINDOW=FIRST_POPUP&amp;HEIGHT=450&amp;WIDTH=450&amp;","START_MAXIMIZED=FALSE&amp;VAR:CALENDAR=US&amp;VAR:SYMBOL=KO&amp;VAR:INDEX=0"}</definedName>
    <definedName name="_2054__FDSAUDITLINK__" localSheetId="0" hidden="1">{"fdsup://directions/FAT Viewer?action=UPDATE&amp;creator=factset&amp;DYN_ARGS=TRUE&amp;DOC_NAME=FAT:FQL_AUDITING_CLIENT_TEMPLATE.FAT&amp;display_string=Audit&amp;VAR:KEY=CLSVWRGPKD&amp;VAR:QUERY=RkZfRElWX1lMRChBTk4sMS8yMy8wMiwxLzIzLzAyKQ==&amp;WINDOW=FIRST_POPUP&amp;HEIGHT=450&amp;WIDTH=450&amp;","START_MAXIMIZED=FALSE&amp;VAR:CALENDAR=US&amp;VAR:SYMBOL=KO&amp;VAR:INDEX=0"}</definedName>
    <definedName name="_2054__FDSAUDITLINK__" hidden="1">{"fdsup://directions/FAT Viewer?action=UPDATE&amp;creator=factset&amp;DYN_ARGS=TRUE&amp;DOC_NAME=FAT:FQL_AUDITING_CLIENT_TEMPLATE.FAT&amp;display_string=Audit&amp;VAR:KEY=CLSVWRGPKD&amp;VAR:QUERY=RkZfRElWX1lMRChBTk4sMS8yMy8wMiwxLzIzLzAyKQ==&amp;WINDOW=FIRST_POPUP&amp;HEIGHT=450&amp;WIDTH=450&amp;","START_MAXIMIZED=FALSE&amp;VAR:CALENDAR=US&amp;VAR:SYMBOL=KO&amp;VAR:INDEX=0"}</definedName>
    <definedName name="_2055__FDSAUDITLINK__" localSheetId="0" hidden="1">{"fdsup://directions/FAT Viewer?action=UPDATE&amp;creator=factset&amp;DYN_ARGS=TRUE&amp;DOC_NAME=FAT:FQL_AUDITING_CLIENT_TEMPLATE.FAT&amp;display_string=Audit&amp;VAR:KEY=KPOHMHCDED&amp;VAR:QUERY=RkZfRElWX1lMRChBTk4sMS8xNi8wMiwxLzE2LzAyKQ==&amp;WINDOW=FIRST_POPUP&amp;HEIGHT=450&amp;WIDTH=450&amp;","START_MAXIMIZED=FALSE&amp;VAR:CALENDAR=US&amp;VAR:SYMBOL=KO&amp;VAR:INDEX=0"}</definedName>
    <definedName name="_2055__FDSAUDITLINK__" hidden="1">{"fdsup://directions/FAT Viewer?action=UPDATE&amp;creator=factset&amp;DYN_ARGS=TRUE&amp;DOC_NAME=FAT:FQL_AUDITING_CLIENT_TEMPLATE.FAT&amp;display_string=Audit&amp;VAR:KEY=KPOHMHCDED&amp;VAR:QUERY=RkZfRElWX1lMRChBTk4sMS8xNi8wMiwxLzE2LzAyKQ==&amp;WINDOW=FIRST_POPUP&amp;HEIGHT=450&amp;WIDTH=450&amp;","START_MAXIMIZED=FALSE&amp;VAR:CALENDAR=US&amp;VAR:SYMBOL=KO&amp;VAR:INDEX=0"}</definedName>
    <definedName name="_2056__FDSAUDITLINK__" localSheetId="0" hidden="1">{"fdsup://directions/FAT Viewer?action=UPDATE&amp;creator=factset&amp;DYN_ARGS=TRUE&amp;DOC_NAME=FAT:FQL_AUDITING_CLIENT_TEMPLATE.FAT&amp;display_string=Audit&amp;VAR:KEY=OZAZEPSDAR&amp;VAR:QUERY=RkZfRElWX1lMRChBTk4sMS8wOS8wMiwxLzA5LzAyKQ==&amp;WINDOW=FIRST_POPUP&amp;HEIGHT=450&amp;WIDTH=450&amp;","START_MAXIMIZED=FALSE&amp;VAR:CALENDAR=US&amp;VAR:SYMBOL=KO&amp;VAR:INDEX=0"}</definedName>
    <definedName name="_2056__FDSAUDITLINK__" hidden="1">{"fdsup://directions/FAT Viewer?action=UPDATE&amp;creator=factset&amp;DYN_ARGS=TRUE&amp;DOC_NAME=FAT:FQL_AUDITING_CLIENT_TEMPLATE.FAT&amp;display_string=Audit&amp;VAR:KEY=OZAZEPSDAR&amp;VAR:QUERY=RkZfRElWX1lMRChBTk4sMS8wOS8wMiwxLzA5LzAyKQ==&amp;WINDOW=FIRST_POPUP&amp;HEIGHT=450&amp;WIDTH=450&amp;","START_MAXIMIZED=FALSE&amp;VAR:CALENDAR=US&amp;VAR:SYMBOL=KO&amp;VAR:INDEX=0"}</definedName>
    <definedName name="_2057__FDSAUDITLINK__" localSheetId="0" hidden="1">{"fdsup://directions/FAT Viewer?action=UPDATE&amp;creator=factset&amp;DYN_ARGS=TRUE&amp;DOC_NAME=FAT:FQL_AUDITING_CLIENT_TEMPLATE.FAT&amp;display_string=Audit&amp;VAR:KEY=CDIVCZWFEB&amp;VAR:QUERY=RkZfRElWX1lMRChBTk4sMS8wMi8wMiwxLzAyLzAyKQ==&amp;WINDOW=FIRST_POPUP&amp;HEIGHT=450&amp;WIDTH=450&amp;","START_MAXIMIZED=FALSE&amp;VAR:CALENDAR=US&amp;VAR:SYMBOL=KO&amp;VAR:INDEX=0"}</definedName>
    <definedName name="_2057__FDSAUDITLINK__" hidden="1">{"fdsup://directions/FAT Viewer?action=UPDATE&amp;creator=factset&amp;DYN_ARGS=TRUE&amp;DOC_NAME=FAT:FQL_AUDITING_CLIENT_TEMPLATE.FAT&amp;display_string=Audit&amp;VAR:KEY=CDIVCZWFEB&amp;VAR:QUERY=RkZfRElWX1lMRChBTk4sMS8wMi8wMiwxLzAyLzAyKQ==&amp;WINDOW=FIRST_POPUP&amp;HEIGHT=450&amp;WIDTH=450&amp;","START_MAXIMIZED=FALSE&amp;VAR:CALENDAR=US&amp;VAR:SYMBOL=KO&amp;VAR:INDEX=0"}</definedName>
    <definedName name="_2058">#REF!</definedName>
    <definedName name="_2058__FDSAUDITLINK__" localSheetId="0" hidden="1">{"fdsup://directions/FAT Viewer?action=UPDATE&amp;creator=factset&amp;DYN_ARGS=TRUE&amp;DOC_NAME=FAT:FQL_AUDITING_CLIENT_TEMPLATE.FAT&amp;display_string=Audit&amp;VAR:KEY=YDYFWDGDGL&amp;VAR:QUERY=RkZfRElWX1lMRChBTk4sMTIvMjYvMDEsMTIvMjYvMDEp&amp;WINDOW=FIRST_POPUP&amp;HEIGHT=450&amp;WIDTH=450&amp;","START_MAXIMIZED=FALSE&amp;VAR:CALENDAR=US&amp;VAR:SYMBOL=KO&amp;VAR:INDEX=0"}</definedName>
    <definedName name="_2058__FDSAUDITLINK__" hidden="1">{"fdsup://directions/FAT Viewer?action=UPDATE&amp;creator=factset&amp;DYN_ARGS=TRUE&amp;DOC_NAME=FAT:FQL_AUDITING_CLIENT_TEMPLATE.FAT&amp;display_string=Audit&amp;VAR:KEY=YDYFWDGDGL&amp;VAR:QUERY=RkZfRElWX1lMRChBTk4sMTIvMjYvMDEsMTIvMjYvMDEp&amp;WINDOW=FIRST_POPUP&amp;HEIGHT=450&amp;WIDTH=450&amp;","START_MAXIMIZED=FALSE&amp;VAR:CALENDAR=US&amp;VAR:SYMBOL=KO&amp;VAR:INDEX=0"}</definedName>
    <definedName name="_2059__FDSAUDITLINK__" localSheetId="0" hidden="1">{"fdsup://directions/FAT Viewer?action=UPDATE&amp;creator=factset&amp;DYN_ARGS=TRUE&amp;DOC_NAME=FAT:FQL_AUDITING_CLIENT_TEMPLATE.FAT&amp;display_string=Audit&amp;VAR:KEY=ILATKPMNQN&amp;VAR:QUERY=RkZfRElWX1lMRChBTk4sMTIvMTkvMDEsMTIvMTkvMDEp&amp;WINDOW=FIRST_POPUP&amp;HEIGHT=450&amp;WIDTH=450&amp;","START_MAXIMIZED=FALSE&amp;VAR:CALENDAR=US&amp;VAR:SYMBOL=KO&amp;VAR:INDEX=0"}</definedName>
    <definedName name="_2059__FDSAUDITLINK__" hidden="1">{"fdsup://directions/FAT Viewer?action=UPDATE&amp;creator=factset&amp;DYN_ARGS=TRUE&amp;DOC_NAME=FAT:FQL_AUDITING_CLIENT_TEMPLATE.FAT&amp;display_string=Audit&amp;VAR:KEY=ILATKPMNQN&amp;VAR:QUERY=RkZfRElWX1lMRChBTk4sMTIvMTkvMDEsMTIvMTkvMDEp&amp;WINDOW=FIRST_POPUP&amp;HEIGHT=450&amp;WIDTH=450&amp;","START_MAXIMIZED=FALSE&amp;VAR:CALENDAR=US&amp;VAR:SYMBOL=KO&amp;VAR:INDEX=0"}</definedName>
    <definedName name="_206__FDSAUDITLINK__" localSheetId="0" hidden="1">{"fdsup://directions/FAT Viewer?action=UPDATE&amp;creator=factset&amp;DYN_ARGS=TRUE&amp;DOC_NAME=FAT:FQL_AUDITING_CLIENT_TEMPLATE.FAT&amp;display_string=Audit&amp;VAR:KEY=PKNSLQHABC&amp;VAR:QUERY=RkZfRElWX1lMRChBTk4sNC8yNi8wNyw0LzI2LzA3KQ==&amp;WINDOW=FIRST_POPUP&amp;HEIGHT=450&amp;WIDTH=450&amp;","START_MAXIMIZED=FALSE&amp;VAR:CALENDAR=US&amp;VAR:SYMBOL=RAI&amp;VAR:INDEX=0"}</definedName>
    <definedName name="_206__FDSAUDITLINK__" hidden="1">{"fdsup://directions/FAT Viewer?action=UPDATE&amp;creator=factset&amp;DYN_ARGS=TRUE&amp;DOC_NAME=FAT:FQL_AUDITING_CLIENT_TEMPLATE.FAT&amp;display_string=Audit&amp;VAR:KEY=PKNSLQHABC&amp;VAR:QUERY=RkZfRElWX1lMRChBTk4sNC8yNi8wNyw0LzI2LzA3KQ==&amp;WINDOW=FIRST_POPUP&amp;HEIGHT=450&amp;WIDTH=450&amp;","START_MAXIMIZED=FALSE&amp;VAR:CALENDAR=US&amp;VAR:SYMBOL=RAI&amp;VAR:INDEX=0"}</definedName>
    <definedName name="_2060__FDSAUDITLINK__" localSheetId="0" hidden="1">{"fdsup://directions/FAT Viewer?action=UPDATE&amp;creator=factset&amp;DYN_ARGS=TRUE&amp;DOC_NAME=FAT:FQL_AUDITING_CLIENT_TEMPLATE.FAT&amp;display_string=Audit&amp;VAR:KEY=EZIRIJCDMB&amp;VAR:QUERY=RkZfRElWX1lMRChBTk4sMTIvMTIvMDEsMTIvMTIvMDEp&amp;WINDOW=FIRST_POPUP&amp;HEIGHT=450&amp;WIDTH=450&amp;","START_MAXIMIZED=FALSE&amp;VAR:CALENDAR=US&amp;VAR:SYMBOL=KO&amp;VAR:INDEX=0"}</definedName>
    <definedName name="_2060__FDSAUDITLINK__" hidden="1">{"fdsup://directions/FAT Viewer?action=UPDATE&amp;creator=factset&amp;DYN_ARGS=TRUE&amp;DOC_NAME=FAT:FQL_AUDITING_CLIENT_TEMPLATE.FAT&amp;display_string=Audit&amp;VAR:KEY=EZIRIJCDMB&amp;VAR:QUERY=RkZfRElWX1lMRChBTk4sMTIvMTIvMDEsMTIvMTIvMDEp&amp;WINDOW=FIRST_POPUP&amp;HEIGHT=450&amp;WIDTH=450&amp;","START_MAXIMIZED=FALSE&amp;VAR:CALENDAR=US&amp;VAR:SYMBOL=KO&amp;VAR:INDEX=0"}</definedName>
    <definedName name="_2061__FDSAUDITLINK__" localSheetId="0" hidden="1">{"fdsup://directions/FAT Viewer?action=UPDATE&amp;creator=factset&amp;DYN_ARGS=TRUE&amp;DOC_NAME=FAT:FQL_AUDITING_CLIENT_TEMPLATE.FAT&amp;display_string=Audit&amp;VAR:KEY=ULQBORQRMR&amp;VAR:QUERY=RkZfRElWX1lMRChBTk4sMTIvMDUvMDEsMTIvMDUvMDEp&amp;WINDOW=FIRST_POPUP&amp;HEIGHT=450&amp;WIDTH=450&amp;","START_MAXIMIZED=FALSE&amp;VAR:CALENDAR=US&amp;VAR:SYMBOL=KO&amp;VAR:INDEX=0"}</definedName>
    <definedName name="_2061__FDSAUDITLINK__" hidden="1">{"fdsup://directions/FAT Viewer?action=UPDATE&amp;creator=factset&amp;DYN_ARGS=TRUE&amp;DOC_NAME=FAT:FQL_AUDITING_CLIENT_TEMPLATE.FAT&amp;display_string=Audit&amp;VAR:KEY=ULQBORQRMR&amp;VAR:QUERY=RkZfRElWX1lMRChBTk4sMTIvMDUvMDEsMTIvMDUvMDEp&amp;WINDOW=FIRST_POPUP&amp;HEIGHT=450&amp;WIDTH=450&amp;","START_MAXIMIZED=FALSE&amp;VAR:CALENDAR=US&amp;VAR:SYMBOL=KO&amp;VAR:INDEX=0"}</definedName>
    <definedName name="_2062__FDSAUDITLINK__" localSheetId="0" hidden="1">{"fdsup://directions/FAT Viewer?action=UPDATE&amp;creator=factset&amp;DYN_ARGS=TRUE&amp;DOC_NAME=FAT:FQL_AUDITING_CLIENT_TEMPLATE.FAT&amp;display_string=Audit&amp;VAR:KEY=EXIPGVCHQF&amp;VAR:QUERY=RkZfRElWX1lMRChBTk4sMTEvMjgvMDEsMTEvMjgvMDEp&amp;WINDOW=FIRST_POPUP&amp;HEIGHT=450&amp;WIDTH=450&amp;","START_MAXIMIZED=FALSE&amp;VAR:CALENDAR=US&amp;VAR:SYMBOL=KO&amp;VAR:INDEX=0"}</definedName>
    <definedName name="_2062__FDSAUDITLINK__" hidden="1">{"fdsup://directions/FAT Viewer?action=UPDATE&amp;creator=factset&amp;DYN_ARGS=TRUE&amp;DOC_NAME=FAT:FQL_AUDITING_CLIENT_TEMPLATE.FAT&amp;display_string=Audit&amp;VAR:KEY=EXIPGVCHQF&amp;VAR:QUERY=RkZfRElWX1lMRChBTk4sMTEvMjgvMDEsMTEvMjgvMDEp&amp;WINDOW=FIRST_POPUP&amp;HEIGHT=450&amp;WIDTH=450&amp;","START_MAXIMIZED=FALSE&amp;VAR:CALENDAR=US&amp;VAR:SYMBOL=KO&amp;VAR:INDEX=0"}</definedName>
    <definedName name="_2063">#REF!</definedName>
    <definedName name="_2063__FDSAUDITLINK__" localSheetId="0" hidden="1">{"fdsup://directions/FAT Viewer?action=UPDATE&amp;creator=factset&amp;DYN_ARGS=TRUE&amp;DOC_NAME=FAT:FQL_AUDITING_CLIENT_TEMPLATE.FAT&amp;display_string=Audit&amp;VAR:KEY=CNMDSLQPYB&amp;VAR:QUERY=RkZfRElWX1lMRChBTk4sMTEvMjEvMDEsMTEvMjEvMDEp&amp;WINDOW=FIRST_POPUP&amp;HEIGHT=450&amp;WIDTH=450&amp;","START_MAXIMIZED=FALSE&amp;VAR:CALENDAR=US&amp;VAR:SYMBOL=KO&amp;VAR:INDEX=0"}</definedName>
    <definedName name="_2063__FDSAUDITLINK__" hidden="1">{"fdsup://directions/FAT Viewer?action=UPDATE&amp;creator=factset&amp;DYN_ARGS=TRUE&amp;DOC_NAME=FAT:FQL_AUDITING_CLIENT_TEMPLATE.FAT&amp;display_string=Audit&amp;VAR:KEY=CNMDSLQPYB&amp;VAR:QUERY=RkZfRElWX1lMRChBTk4sMTEvMjEvMDEsMTEvMjEvMDEp&amp;WINDOW=FIRST_POPUP&amp;HEIGHT=450&amp;WIDTH=450&amp;","START_MAXIMIZED=FALSE&amp;VAR:CALENDAR=US&amp;VAR:SYMBOL=KO&amp;VAR:INDEX=0"}</definedName>
    <definedName name="_2064__FDSAUDITLINK__" localSheetId="0" hidden="1">{"fdsup://directions/FAT Viewer?action=UPDATE&amp;creator=factset&amp;DYN_ARGS=TRUE&amp;DOC_NAME=FAT:FQL_AUDITING_CLIENT_TEMPLATE.FAT&amp;display_string=Audit&amp;VAR:KEY=UHYBGVATYN&amp;VAR:QUERY=RkZfRElWX1lMRChBTk4sMTEvMTQvMDEsMTEvMTQvMDEp&amp;WINDOW=FIRST_POPUP&amp;HEIGHT=450&amp;WIDTH=450&amp;","START_MAXIMIZED=FALSE&amp;VAR:CALENDAR=US&amp;VAR:SYMBOL=KO&amp;VAR:INDEX=0"}</definedName>
    <definedName name="_2064__FDSAUDITLINK__" hidden="1">{"fdsup://directions/FAT Viewer?action=UPDATE&amp;creator=factset&amp;DYN_ARGS=TRUE&amp;DOC_NAME=FAT:FQL_AUDITING_CLIENT_TEMPLATE.FAT&amp;display_string=Audit&amp;VAR:KEY=UHYBGVATYN&amp;VAR:QUERY=RkZfRElWX1lMRChBTk4sMTEvMTQvMDEsMTEvMTQvMDEp&amp;WINDOW=FIRST_POPUP&amp;HEIGHT=450&amp;WIDTH=450&amp;","START_MAXIMIZED=FALSE&amp;VAR:CALENDAR=US&amp;VAR:SYMBOL=KO&amp;VAR:INDEX=0"}</definedName>
    <definedName name="_2065__FDSAUDITLINK__" localSheetId="0" hidden="1">{"fdsup://directions/FAT Viewer?action=UPDATE&amp;creator=factset&amp;DYN_ARGS=TRUE&amp;DOC_NAME=FAT:FQL_AUDITING_CLIENT_TEMPLATE.FAT&amp;display_string=Audit&amp;VAR:KEY=CPGHGVWXAD&amp;VAR:QUERY=RkZfRElWX1lMRChBTk4sMTEvMDcvMDEsMTEvMDcvMDEp&amp;WINDOW=FIRST_POPUP&amp;HEIGHT=450&amp;WIDTH=450&amp;","START_MAXIMIZED=FALSE&amp;VAR:CALENDAR=US&amp;VAR:SYMBOL=KO&amp;VAR:INDEX=0"}</definedName>
    <definedName name="_2065__FDSAUDITLINK__" hidden="1">{"fdsup://directions/FAT Viewer?action=UPDATE&amp;creator=factset&amp;DYN_ARGS=TRUE&amp;DOC_NAME=FAT:FQL_AUDITING_CLIENT_TEMPLATE.FAT&amp;display_string=Audit&amp;VAR:KEY=CPGHGVWXAD&amp;VAR:QUERY=RkZfRElWX1lMRChBTk4sMTEvMDcvMDEsMTEvMDcvMDEp&amp;WINDOW=FIRST_POPUP&amp;HEIGHT=450&amp;WIDTH=450&amp;","START_MAXIMIZED=FALSE&amp;VAR:CALENDAR=US&amp;VAR:SYMBOL=KO&amp;VAR:INDEX=0"}</definedName>
    <definedName name="_2066__FDSAUDITLINK__" localSheetId="0" hidden="1">{"fdsup://directions/FAT Viewer?action=UPDATE&amp;creator=factset&amp;DYN_ARGS=TRUE&amp;DOC_NAME=FAT:FQL_AUDITING_CLIENT_TEMPLATE.FAT&amp;display_string=Audit&amp;VAR:KEY=SLUZEDGZKD&amp;VAR:QUERY=RkZfRElWX1lMRChBTk4sMTAvMzEvMDEsMTAvMzEvMDEp&amp;WINDOW=FIRST_POPUP&amp;HEIGHT=450&amp;WIDTH=450&amp;","START_MAXIMIZED=FALSE&amp;VAR:CALENDAR=US&amp;VAR:SYMBOL=KO&amp;VAR:INDEX=0"}</definedName>
    <definedName name="_2066__FDSAUDITLINK__" hidden="1">{"fdsup://directions/FAT Viewer?action=UPDATE&amp;creator=factset&amp;DYN_ARGS=TRUE&amp;DOC_NAME=FAT:FQL_AUDITING_CLIENT_TEMPLATE.FAT&amp;display_string=Audit&amp;VAR:KEY=SLUZEDGZKD&amp;VAR:QUERY=RkZfRElWX1lMRChBTk4sMTAvMzEvMDEsMTAvMzEvMDEp&amp;WINDOW=FIRST_POPUP&amp;HEIGHT=450&amp;WIDTH=450&amp;","START_MAXIMIZED=FALSE&amp;VAR:CALENDAR=US&amp;VAR:SYMBOL=KO&amp;VAR:INDEX=0"}</definedName>
    <definedName name="_2067__FDSAUDITLINK__" localSheetId="0" hidden="1">{"fdsup://directions/FAT Viewer?action=UPDATE&amp;creator=factset&amp;DYN_ARGS=TRUE&amp;DOC_NAME=FAT:FQL_AUDITING_CLIENT_TEMPLATE.FAT&amp;display_string=Audit&amp;VAR:KEY=EBSPAZUHUT&amp;VAR:QUERY=RkZfRElWX1lMRChBTk4sMTAvMjQvMDEsMTAvMjQvMDEp&amp;WINDOW=FIRST_POPUP&amp;HEIGHT=450&amp;WIDTH=450&amp;","START_MAXIMIZED=FALSE&amp;VAR:CALENDAR=US&amp;VAR:SYMBOL=KO&amp;VAR:INDEX=0"}</definedName>
    <definedName name="_2067__FDSAUDITLINK__" hidden="1">{"fdsup://directions/FAT Viewer?action=UPDATE&amp;creator=factset&amp;DYN_ARGS=TRUE&amp;DOC_NAME=FAT:FQL_AUDITING_CLIENT_TEMPLATE.FAT&amp;display_string=Audit&amp;VAR:KEY=EBSPAZUHUT&amp;VAR:QUERY=RkZfRElWX1lMRChBTk4sMTAvMjQvMDEsMTAvMjQvMDEp&amp;WINDOW=FIRST_POPUP&amp;HEIGHT=450&amp;WIDTH=450&amp;","START_MAXIMIZED=FALSE&amp;VAR:CALENDAR=US&amp;VAR:SYMBOL=KO&amp;VAR:INDEX=0"}</definedName>
    <definedName name="_2068__FDSAUDITLINK__" localSheetId="0" hidden="1">{"fdsup://directions/FAT Viewer?action=UPDATE&amp;creator=factset&amp;DYN_ARGS=TRUE&amp;DOC_NAME=FAT:FQL_AUDITING_CLIENT_TEMPLATE.FAT&amp;display_string=Audit&amp;VAR:KEY=QTSZCPCRUJ&amp;VAR:QUERY=RkZfRElWX1lMRChBTk4sMTAvMTcvMDEsMTAvMTcvMDEp&amp;WINDOW=FIRST_POPUP&amp;HEIGHT=450&amp;WIDTH=450&amp;","START_MAXIMIZED=FALSE&amp;VAR:CALENDAR=US&amp;VAR:SYMBOL=KO&amp;VAR:INDEX=0"}</definedName>
    <definedName name="_2068__FDSAUDITLINK__" hidden="1">{"fdsup://directions/FAT Viewer?action=UPDATE&amp;creator=factset&amp;DYN_ARGS=TRUE&amp;DOC_NAME=FAT:FQL_AUDITING_CLIENT_TEMPLATE.FAT&amp;display_string=Audit&amp;VAR:KEY=QTSZCPCRUJ&amp;VAR:QUERY=RkZfRElWX1lMRChBTk4sMTAvMTcvMDEsMTAvMTcvMDEp&amp;WINDOW=FIRST_POPUP&amp;HEIGHT=450&amp;WIDTH=450&amp;","START_MAXIMIZED=FALSE&amp;VAR:CALENDAR=US&amp;VAR:SYMBOL=KO&amp;VAR:INDEX=0"}</definedName>
    <definedName name="_2069__FDSAUDITLINK__" localSheetId="0" hidden="1">{"fdsup://directions/FAT Viewer?action=UPDATE&amp;creator=factset&amp;DYN_ARGS=TRUE&amp;DOC_NAME=FAT:FQL_AUDITING_CLIENT_TEMPLATE.FAT&amp;display_string=Audit&amp;VAR:KEY=UHOTANODUJ&amp;VAR:QUERY=RkZfRElWX1lMRChBTk4sMTAvMTAvMDEsMTAvMTAvMDEp&amp;WINDOW=FIRST_POPUP&amp;HEIGHT=450&amp;WIDTH=450&amp;","START_MAXIMIZED=FALSE&amp;VAR:CALENDAR=US&amp;VAR:SYMBOL=KO&amp;VAR:INDEX=0"}</definedName>
    <definedName name="_2069__FDSAUDITLINK__" hidden="1">{"fdsup://directions/FAT Viewer?action=UPDATE&amp;creator=factset&amp;DYN_ARGS=TRUE&amp;DOC_NAME=FAT:FQL_AUDITING_CLIENT_TEMPLATE.FAT&amp;display_string=Audit&amp;VAR:KEY=UHOTANODUJ&amp;VAR:QUERY=RkZfRElWX1lMRChBTk4sMTAvMTAvMDEsMTAvMTAvMDEp&amp;WINDOW=FIRST_POPUP&amp;HEIGHT=450&amp;WIDTH=450&amp;","START_MAXIMIZED=FALSE&amp;VAR:CALENDAR=US&amp;VAR:SYMBOL=KO&amp;VAR:INDEX=0"}</definedName>
    <definedName name="_207">#REF!</definedName>
    <definedName name="_207__FDSAUDITLINK__" localSheetId="0" hidden="1">{"fdsup://directions/FAT Viewer?action=UPDATE&amp;creator=factset&amp;DYN_ARGS=TRUE&amp;DOC_NAME=FAT:FQL_AUDITING_CLIENT_TEMPLATE.FAT&amp;display_string=Audit&amp;VAR:KEY=NEPIJWTOBE&amp;VAR:QUERY=RkZfRElWX1lMRChBTk4sNC8xOS8wNyw0LzE5LzA3KQ==&amp;WINDOW=FIRST_POPUP&amp;HEIGHT=450&amp;WIDTH=450&amp;","START_MAXIMIZED=FALSE&amp;VAR:CALENDAR=US&amp;VAR:SYMBOL=RAI&amp;VAR:INDEX=0"}</definedName>
    <definedName name="_207__FDSAUDITLINK__" hidden="1">{"fdsup://directions/FAT Viewer?action=UPDATE&amp;creator=factset&amp;DYN_ARGS=TRUE&amp;DOC_NAME=FAT:FQL_AUDITING_CLIENT_TEMPLATE.FAT&amp;display_string=Audit&amp;VAR:KEY=NEPIJWTOBE&amp;VAR:QUERY=RkZfRElWX1lMRChBTk4sNC8xOS8wNyw0LzE5LzA3KQ==&amp;WINDOW=FIRST_POPUP&amp;HEIGHT=450&amp;WIDTH=450&amp;","START_MAXIMIZED=FALSE&amp;VAR:CALENDAR=US&amp;VAR:SYMBOL=RAI&amp;VAR:INDEX=0"}</definedName>
    <definedName name="_2070__FDSAUDITLINK__" localSheetId="0" hidden="1">{"fdsup://directions/FAT Viewer?action=UPDATE&amp;creator=factset&amp;DYN_ARGS=TRUE&amp;DOC_NAME=FAT:FQL_AUDITING_CLIENT_TEMPLATE.FAT&amp;display_string=Audit&amp;VAR:KEY=MPWLIJCNEV&amp;VAR:QUERY=RkZfRElWX1lMRChBTk4sMTAvMDMvMDEsMTAvMDMvMDEp&amp;WINDOW=FIRST_POPUP&amp;HEIGHT=450&amp;WIDTH=450&amp;","START_MAXIMIZED=FALSE&amp;VAR:CALENDAR=US&amp;VAR:SYMBOL=KO&amp;VAR:INDEX=0"}</definedName>
    <definedName name="_2070__FDSAUDITLINK__" hidden="1">{"fdsup://directions/FAT Viewer?action=UPDATE&amp;creator=factset&amp;DYN_ARGS=TRUE&amp;DOC_NAME=FAT:FQL_AUDITING_CLIENT_TEMPLATE.FAT&amp;display_string=Audit&amp;VAR:KEY=MPWLIJCNEV&amp;VAR:QUERY=RkZfRElWX1lMRChBTk4sMTAvMDMvMDEsMTAvMDMvMDEp&amp;WINDOW=FIRST_POPUP&amp;HEIGHT=450&amp;WIDTH=450&amp;","START_MAXIMIZED=FALSE&amp;VAR:CALENDAR=US&amp;VAR:SYMBOL=KO&amp;VAR:INDEX=0"}</definedName>
    <definedName name="_2071">#REF!</definedName>
    <definedName name="_2071__FDSAUDITLINK__" localSheetId="0" hidden="1">{"fdsup://directions/FAT Viewer?action=UPDATE&amp;creator=factset&amp;DYN_ARGS=TRUE&amp;DOC_NAME=FAT:FQL_AUDITING_CLIENT_TEMPLATE.FAT&amp;display_string=Audit&amp;VAR:KEY=MRYTGRONGZ&amp;VAR:QUERY=RkZfRElWX1lMRChBTk4sOS8yNi8wMSw5LzI2LzAxKQ==&amp;WINDOW=FIRST_POPUP&amp;HEIGHT=450&amp;WIDTH=450&amp;","START_MAXIMIZED=FALSE&amp;VAR:CALENDAR=US&amp;VAR:SYMBOL=KO&amp;VAR:INDEX=0"}</definedName>
    <definedName name="_2071__FDSAUDITLINK__" hidden="1">{"fdsup://directions/FAT Viewer?action=UPDATE&amp;creator=factset&amp;DYN_ARGS=TRUE&amp;DOC_NAME=FAT:FQL_AUDITING_CLIENT_TEMPLATE.FAT&amp;display_string=Audit&amp;VAR:KEY=MRYTGRONGZ&amp;VAR:QUERY=RkZfRElWX1lMRChBTk4sOS8yNi8wMSw5LzI2LzAxKQ==&amp;WINDOW=FIRST_POPUP&amp;HEIGHT=450&amp;WIDTH=450&amp;","START_MAXIMIZED=FALSE&amp;VAR:CALENDAR=US&amp;VAR:SYMBOL=KO&amp;VAR:INDEX=0"}</definedName>
    <definedName name="_2072__FDSAUDITLINK__" localSheetId="0" hidden="1">{"fdsup://directions/FAT Viewer?action=UPDATE&amp;creator=factset&amp;DYN_ARGS=TRUE&amp;DOC_NAME=FAT:FQL_AUDITING_CLIENT_TEMPLATE.FAT&amp;display_string=Audit&amp;VAR:KEY=MNWRYVAXWD&amp;VAR:QUERY=RkZfRElWX1lMRChBTk4sOS8xOS8wMSw5LzE5LzAxKQ==&amp;WINDOW=FIRST_POPUP&amp;HEIGHT=450&amp;WIDTH=450&amp;","START_MAXIMIZED=FALSE&amp;VAR:CALENDAR=US&amp;VAR:SYMBOL=KO&amp;VAR:INDEX=0"}</definedName>
    <definedName name="_2072__FDSAUDITLINK__" hidden="1">{"fdsup://directions/FAT Viewer?action=UPDATE&amp;creator=factset&amp;DYN_ARGS=TRUE&amp;DOC_NAME=FAT:FQL_AUDITING_CLIENT_TEMPLATE.FAT&amp;display_string=Audit&amp;VAR:KEY=MNWRYVAXWD&amp;VAR:QUERY=RkZfRElWX1lMRChBTk4sOS8xOS8wMSw5LzE5LzAxKQ==&amp;WINDOW=FIRST_POPUP&amp;HEIGHT=450&amp;WIDTH=450&amp;","START_MAXIMIZED=FALSE&amp;VAR:CALENDAR=US&amp;VAR:SYMBOL=KO&amp;VAR:INDEX=0"}</definedName>
    <definedName name="_2073__FDSAUDITLINK__" localSheetId="0" hidden="1">{"fdsup://directions/FAT Viewer?action=UPDATE&amp;creator=factset&amp;DYN_ARGS=TRUE&amp;DOC_NAME=FAT:FQL_AUDITING_CLIENT_TEMPLATE.FAT&amp;display_string=Audit&amp;VAR:KEY=QZQBUBUVGB&amp;VAR:QUERY=RkZfRElWX1lMRChBTk4sOS8xMC8wMSw5LzEwLzAxKQ==&amp;WINDOW=FIRST_POPUP&amp;HEIGHT=450&amp;WIDTH=450&amp;","START_MAXIMIZED=FALSE&amp;VAR:CALENDAR=US&amp;VAR:SYMBOL=KO&amp;VAR:INDEX=0"}</definedName>
    <definedName name="_2073__FDSAUDITLINK__" hidden="1">{"fdsup://directions/FAT Viewer?action=UPDATE&amp;creator=factset&amp;DYN_ARGS=TRUE&amp;DOC_NAME=FAT:FQL_AUDITING_CLIENT_TEMPLATE.FAT&amp;display_string=Audit&amp;VAR:KEY=QZQBUBUVGB&amp;VAR:QUERY=RkZfRElWX1lMRChBTk4sOS8xMC8wMSw5LzEwLzAxKQ==&amp;WINDOW=FIRST_POPUP&amp;HEIGHT=450&amp;WIDTH=450&amp;","START_MAXIMIZED=FALSE&amp;VAR:CALENDAR=US&amp;VAR:SYMBOL=KO&amp;VAR:INDEX=0"}</definedName>
    <definedName name="_2074__FDSAUDITLINK__" localSheetId="0" hidden="1">{"fdsup://directions/FAT Viewer?action=UPDATE&amp;creator=factset&amp;DYN_ARGS=TRUE&amp;DOC_NAME=FAT:FQL_AUDITING_CLIENT_TEMPLATE.FAT&amp;display_string=Audit&amp;VAR:KEY=AZGHYLMHGN&amp;VAR:QUERY=RkZfRElWX1lMRChBTk4sOS8wNS8wMSw5LzA1LzAxKQ==&amp;WINDOW=FIRST_POPUP&amp;HEIGHT=450&amp;WIDTH=450&amp;","START_MAXIMIZED=FALSE&amp;VAR:CALENDAR=US&amp;VAR:SYMBOL=KO&amp;VAR:INDEX=0"}</definedName>
    <definedName name="_2074__FDSAUDITLINK__" hidden="1">{"fdsup://directions/FAT Viewer?action=UPDATE&amp;creator=factset&amp;DYN_ARGS=TRUE&amp;DOC_NAME=FAT:FQL_AUDITING_CLIENT_TEMPLATE.FAT&amp;display_string=Audit&amp;VAR:KEY=AZGHYLMHGN&amp;VAR:QUERY=RkZfRElWX1lMRChBTk4sOS8wNS8wMSw5LzA1LzAxKQ==&amp;WINDOW=FIRST_POPUP&amp;HEIGHT=450&amp;WIDTH=450&amp;","START_MAXIMIZED=FALSE&amp;VAR:CALENDAR=US&amp;VAR:SYMBOL=KO&amp;VAR:INDEX=0"}</definedName>
    <definedName name="_2075">#REF!</definedName>
    <definedName name="_2075__FDSAUDITLINK__" localSheetId="0" hidden="1">{"fdsup://directions/FAT Viewer?action=UPDATE&amp;creator=factset&amp;DYN_ARGS=TRUE&amp;DOC_NAME=FAT:FQL_AUDITING_CLIENT_TEMPLATE.FAT&amp;display_string=Audit&amp;VAR:KEY=OPKTABUBCV&amp;VAR:QUERY=RkZfRElWX1lMRChBTk4sOC8yOS8wMSw4LzI5LzAxKQ==&amp;WINDOW=FIRST_POPUP&amp;HEIGHT=450&amp;WIDTH=450&amp;","START_MAXIMIZED=FALSE&amp;VAR:CALENDAR=US&amp;VAR:SYMBOL=KO&amp;VAR:INDEX=0"}</definedName>
    <definedName name="_2075__FDSAUDITLINK__" hidden="1">{"fdsup://directions/FAT Viewer?action=UPDATE&amp;creator=factset&amp;DYN_ARGS=TRUE&amp;DOC_NAME=FAT:FQL_AUDITING_CLIENT_TEMPLATE.FAT&amp;display_string=Audit&amp;VAR:KEY=OPKTABUBCV&amp;VAR:QUERY=RkZfRElWX1lMRChBTk4sOC8yOS8wMSw4LzI5LzAxKQ==&amp;WINDOW=FIRST_POPUP&amp;HEIGHT=450&amp;WIDTH=450&amp;","START_MAXIMIZED=FALSE&amp;VAR:CALENDAR=US&amp;VAR:SYMBOL=KO&amp;VAR:INDEX=0"}</definedName>
    <definedName name="_2076__FDSAUDITLINK__" localSheetId="0" hidden="1">{"fdsup://directions/FAT Viewer?action=UPDATE&amp;creator=factset&amp;DYN_ARGS=TRUE&amp;DOC_NAME=FAT:FQL_AUDITING_CLIENT_TEMPLATE.FAT&amp;display_string=Audit&amp;VAR:KEY=KJCTGDUZGZ&amp;VAR:QUERY=RkZfRElWX1lMRChBTk4sOC8yMi8wMSw4LzIyLzAxKQ==&amp;WINDOW=FIRST_POPUP&amp;HEIGHT=450&amp;WIDTH=450&amp;","START_MAXIMIZED=FALSE&amp;VAR:CALENDAR=US&amp;VAR:SYMBOL=KO&amp;VAR:INDEX=0"}</definedName>
    <definedName name="_2076__FDSAUDITLINK__" hidden="1">{"fdsup://directions/FAT Viewer?action=UPDATE&amp;creator=factset&amp;DYN_ARGS=TRUE&amp;DOC_NAME=FAT:FQL_AUDITING_CLIENT_TEMPLATE.FAT&amp;display_string=Audit&amp;VAR:KEY=KJCTGDUZGZ&amp;VAR:QUERY=RkZfRElWX1lMRChBTk4sOC8yMi8wMSw4LzIyLzAxKQ==&amp;WINDOW=FIRST_POPUP&amp;HEIGHT=450&amp;WIDTH=450&amp;","START_MAXIMIZED=FALSE&amp;VAR:CALENDAR=US&amp;VAR:SYMBOL=KO&amp;VAR:INDEX=0"}</definedName>
    <definedName name="_2077__FDSAUDITLINK__" localSheetId="0" hidden="1">{"fdsup://directions/FAT Viewer?action=UPDATE&amp;creator=factset&amp;DYN_ARGS=TRUE&amp;DOC_NAME=FAT:FQL_AUDITING_CLIENT_TEMPLATE.FAT&amp;display_string=Audit&amp;VAR:KEY=ADKBAZSFCJ&amp;VAR:QUERY=RkZfRElWX1lMRChBTk4sOC8xNS8wMSw4LzE1LzAxKQ==&amp;WINDOW=FIRST_POPUP&amp;HEIGHT=450&amp;WIDTH=450&amp;","START_MAXIMIZED=FALSE&amp;VAR:CALENDAR=US&amp;VAR:SYMBOL=KO&amp;VAR:INDEX=0"}</definedName>
    <definedName name="_2077__FDSAUDITLINK__" hidden="1">{"fdsup://directions/FAT Viewer?action=UPDATE&amp;creator=factset&amp;DYN_ARGS=TRUE&amp;DOC_NAME=FAT:FQL_AUDITING_CLIENT_TEMPLATE.FAT&amp;display_string=Audit&amp;VAR:KEY=ADKBAZSFCJ&amp;VAR:QUERY=RkZfRElWX1lMRChBTk4sOC8xNS8wMSw4LzE1LzAxKQ==&amp;WINDOW=FIRST_POPUP&amp;HEIGHT=450&amp;WIDTH=450&amp;","START_MAXIMIZED=FALSE&amp;VAR:CALENDAR=US&amp;VAR:SYMBOL=KO&amp;VAR:INDEX=0"}</definedName>
    <definedName name="_2078__FDSAUDITLINK__" localSheetId="0" hidden="1">{"fdsup://directions/FAT Viewer?action=UPDATE&amp;creator=factset&amp;DYN_ARGS=TRUE&amp;DOC_NAME=FAT:FQL_AUDITING_CLIENT_TEMPLATE.FAT&amp;display_string=Audit&amp;VAR:KEY=SJITGLWVKD&amp;VAR:QUERY=RkZfRElWX1lMRChBTk4sOC8wOC8wMSw4LzA4LzAxKQ==&amp;WINDOW=FIRST_POPUP&amp;HEIGHT=450&amp;WIDTH=450&amp;","START_MAXIMIZED=FALSE&amp;VAR:CALENDAR=US&amp;VAR:SYMBOL=KO&amp;VAR:INDEX=0"}</definedName>
    <definedName name="_2078__FDSAUDITLINK__" hidden="1">{"fdsup://directions/FAT Viewer?action=UPDATE&amp;creator=factset&amp;DYN_ARGS=TRUE&amp;DOC_NAME=FAT:FQL_AUDITING_CLIENT_TEMPLATE.FAT&amp;display_string=Audit&amp;VAR:KEY=SJITGLWVKD&amp;VAR:QUERY=RkZfRElWX1lMRChBTk4sOC8wOC8wMSw4LzA4LzAxKQ==&amp;WINDOW=FIRST_POPUP&amp;HEIGHT=450&amp;WIDTH=450&amp;","START_MAXIMIZED=FALSE&amp;VAR:CALENDAR=US&amp;VAR:SYMBOL=KO&amp;VAR:INDEX=0"}</definedName>
    <definedName name="_2079__FDSAUDITLINK__" localSheetId="0" hidden="1">{"fdsup://directions/FAT Viewer?action=UPDATE&amp;creator=factset&amp;DYN_ARGS=TRUE&amp;DOC_NAME=FAT:FQL_AUDITING_CLIENT_TEMPLATE.FAT&amp;display_string=Audit&amp;VAR:KEY=KHKBKBGJKB&amp;VAR:QUERY=RkZfRElWX1lMRChBTk4sOC8wMS8wMSw4LzAxLzAxKQ==&amp;WINDOW=FIRST_POPUP&amp;HEIGHT=450&amp;WIDTH=450&amp;","START_MAXIMIZED=FALSE&amp;VAR:CALENDAR=US&amp;VAR:SYMBOL=KO&amp;VAR:INDEX=0"}</definedName>
    <definedName name="_2079__FDSAUDITLINK__" hidden="1">{"fdsup://directions/FAT Viewer?action=UPDATE&amp;creator=factset&amp;DYN_ARGS=TRUE&amp;DOC_NAME=FAT:FQL_AUDITING_CLIENT_TEMPLATE.FAT&amp;display_string=Audit&amp;VAR:KEY=KHKBKBGJKB&amp;VAR:QUERY=RkZfRElWX1lMRChBTk4sOC8wMS8wMSw4LzAxLzAxKQ==&amp;WINDOW=FIRST_POPUP&amp;HEIGHT=450&amp;WIDTH=450&amp;","START_MAXIMIZED=FALSE&amp;VAR:CALENDAR=US&amp;VAR:SYMBOL=KO&amp;VAR:INDEX=0"}</definedName>
    <definedName name="_208">#REF!</definedName>
    <definedName name="_208__FDSAUDITLINK__" localSheetId="0" hidden="1">{"fdsup://directions/FAT Viewer?action=UPDATE&amp;creator=factset&amp;DYN_ARGS=TRUE&amp;DOC_NAME=FAT:FQL_AUDITING_CLIENT_TEMPLATE.FAT&amp;display_string=Audit&amp;VAR:KEY=TUHOZUHWLG&amp;VAR:QUERY=RkZfRElWX1lMRChBTk4sNC8xMi8wNyw0LzEyLzA3KQ==&amp;WINDOW=FIRST_POPUP&amp;HEIGHT=450&amp;WIDTH=450&amp;","START_MAXIMIZED=FALSE&amp;VAR:CALENDAR=US&amp;VAR:SYMBOL=RAI&amp;VAR:INDEX=0"}</definedName>
    <definedName name="_208__FDSAUDITLINK__" hidden="1">{"fdsup://directions/FAT Viewer?action=UPDATE&amp;creator=factset&amp;DYN_ARGS=TRUE&amp;DOC_NAME=FAT:FQL_AUDITING_CLIENT_TEMPLATE.FAT&amp;display_string=Audit&amp;VAR:KEY=TUHOZUHWLG&amp;VAR:QUERY=RkZfRElWX1lMRChBTk4sNC8xMi8wNyw0LzEyLzA3KQ==&amp;WINDOW=FIRST_POPUP&amp;HEIGHT=450&amp;WIDTH=450&amp;","START_MAXIMIZED=FALSE&amp;VAR:CALENDAR=US&amp;VAR:SYMBOL=RAI&amp;VAR:INDEX=0"}</definedName>
    <definedName name="_2080">#REF!</definedName>
    <definedName name="_2080__FDSAUDITLINK__" localSheetId="0" hidden="1">{"fdsup://directions/FAT Viewer?action=UPDATE&amp;creator=factset&amp;DYN_ARGS=TRUE&amp;DOC_NAME=FAT:FQL_AUDITING_CLIENT_TEMPLATE.FAT&amp;display_string=Audit&amp;VAR:KEY=UFQBSVKTYR&amp;VAR:QUERY=RkZfRElWX1lMRChBTk4sNy8yNS8wMSw3LzI1LzAxKQ==&amp;WINDOW=FIRST_POPUP&amp;HEIGHT=450&amp;WIDTH=450&amp;","START_MAXIMIZED=FALSE&amp;VAR:CALENDAR=US&amp;VAR:SYMBOL=KO&amp;VAR:INDEX=0"}</definedName>
    <definedName name="_2080__FDSAUDITLINK__" hidden="1">{"fdsup://directions/FAT Viewer?action=UPDATE&amp;creator=factset&amp;DYN_ARGS=TRUE&amp;DOC_NAME=FAT:FQL_AUDITING_CLIENT_TEMPLATE.FAT&amp;display_string=Audit&amp;VAR:KEY=UFQBSVKTYR&amp;VAR:QUERY=RkZfRElWX1lMRChBTk4sNy8yNS8wMSw3LzI1LzAxKQ==&amp;WINDOW=FIRST_POPUP&amp;HEIGHT=450&amp;WIDTH=450&amp;","START_MAXIMIZED=FALSE&amp;VAR:CALENDAR=US&amp;VAR:SYMBOL=KO&amp;VAR:INDEX=0"}</definedName>
    <definedName name="_2081__FDSAUDITLINK__" localSheetId="0" hidden="1">{"fdsup://directions/FAT Viewer?action=UPDATE&amp;creator=factset&amp;DYN_ARGS=TRUE&amp;DOC_NAME=FAT:FQL_AUDITING_CLIENT_TEMPLATE.FAT&amp;display_string=Audit&amp;VAR:KEY=MBEXIFCXYR&amp;VAR:QUERY=RkZfRElWX1lMRChBTk4sNy8xOC8wMSw3LzE4LzAxKQ==&amp;WINDOW=FIRST_POPUP&amp;HEIGHT=450&amp;WIDTH=450&amp;","START_MAXIMIZED=FALSE&amp;VAR:CALENDAR=US&amp;VAR:SYMBOL=KO&amp;VAR:INDEX=0"}</definedName>
    <definedName name="_2081__FDSAUDITLINK__" hidden="1">{"fdsup://directions/FAT Viewer?action=UPDATE&amp;creator=factset&amp;DYN_ARGS=TRUE&amp;DOC_NAME=FAT:FQL_AUDITING_CLIENT_TEMPLATE.FAT&amp;display_string=Audit&amp;VAR:KEY=MBEXIFCXYR&amp;VAR:QUERY=RkZfRElWX1lMRChBTk4sNy8xOC8wMSw3LzE4LzAxKQ==&amp;WINDOW=FIRST_POPUP&amp;HEIGHT=450&amp;WIDTH=450&amp;","START_MAXIMIZED=FALSE&amp;VAR:CALENDAR=US&amp;VAR:SYMBOL=KO&amp;VAR:INDEX=0"}</definedName>
    <definedName name="_2082__FDSAUDITLINK__" localSheetId="0" hidden="1">{"fdsup://directions/FAT Viewer?action=UPDATE&amp;creator=factset&amp;DYN_ARGS=TRUE&amp;DOC_NAME=FAT:FQL_AUDITING_CLIENT_TEMPLATE.FAT&amp;display_string=Audit&amp;VAR:KEY=QJOPSHILSV&amp;VAR:QUERY=RkZfRElWX1lMRChBTk4sNy8xMS8wMSw3LzExLzAxKQ==&amp;WINDOW=FIRST_POPUP&amp;HEIGHT=450&amp;WIDTH=450&amp;","START_MAXIMIZED=FALSE&amp;VAR:CALENDAR=US&amp;VAR:SYMBOL=KO&amp;VAR:INDEX=0"}</definedName>
    <definedName name="_2082__FDSAUDITLINK__" hidden="1">{"fdsup://directions/FAT Viewer?action=UPDATE&amp;creator=factset&amp;DYN_ARGS=TRUE&amp;DOC_NAME=FAT:FQL_AUDITING_CLIENT_TEMPLATE.FAT&amp;display_string=Audit&amp;VAR:KEY=QJOPSHILSV&amp;VAR:QUERY=RkZfRElWX1lMRChBTk4sNy8xMS8wMSw3LzExLzAxKQ==&amp;WINDOW=FIRST_POPUP&amp;HEIGHT=450&amp;WIDTH=450&amp;","START_MAXIMIZED=FALSE&amp;VAR:CALENDAR=US&amp;VAR:SYMBOL=KO&amp;VAR:INDEX=0"}</definedName>
    <definedName name="_2083__FDSAUDITLINK__" localSheetId="0" hidden="1">{"fdsup://directions/FAT Viewer?action=UPDATE&amp;creator=factset&amp;DYN_ARGS=TRUE&amp;DOC_NAME=FAT:FQL_AUDITING_CLIENT_TEMPLATE.FAT&amp;display_string=Audit&amp;VAR:KEY=SXYXYLOVQF&amp;VAR:QUERY=RkZfRElWX1lMRChBTk4sNy8wMy8wMSw3LzAzLzAxKQ==&amp;WINDOW=FIRST_POPUP&amp;HEIGHT=450&amp;WIDTH=450&amp;","START_MAXIMIZED=FALSE&amp;VAR:CALENDAR=US&amp;VAR:SYMBOL=KO&amp;VAR:INDEX=0"}</definedName>
    <definedName name="_2083__FDSAUDITLINK__" hidden="1">{"fdsup://directions/FAT Viewer?action=UPDATE&amp;creator=factset&amp;DYN_ARGS=TRUE&amp;DOC_NAME=FAT:FQL_AUDITING_CLIENT_TEMPLATE.FAT&amp;display_string=Audit&amp;VAR:KEY=SXYXYLOVQF&amp;VAR:QUERY=RkZfRElWX1lMRChBTk4sNy8wMy8wMSw3LzAzLzAxKQ==&amp;WINDOW=FIRST_POPUP&amp;HEIGHT=450&amp;WIDTH=450&amp;","START_MAXIMIZED=FALSE&amp;VAR:CALENDAR=US&amp;VAR:SYMBOL=KO&amp;VAR:INDEX=0"}</definedName>
    <definedName name="_2084__FDSAUDITLINK__" localSheetId="0" hidden="1">{"fdsup://directions/FAT Viewer?action=UPDATE&amp;creator=factset&amp;DYN_ARGS=TRUE&amp;DOC_NAME=FAT:FQL_AUDITING_CLIENT_TEMPLATE.FAT&amp;display_string=Audit&amp;VAR:KEY=GVULKLSXSX&amp;VAR:QUERY=RkZfRElWX1lMRChBTk4sNi8yNy8wMSw2LzI3LzAxKQ==&amp;WINDOW=FIRST_POPUP&amp;HEIGHT=450&amp;WIDTH=450&amp;","START_MAXIMIZED=FALSE&amp;VAR:CALENDAR=US&amp;VAR:SYMBOL=KO&amp;VAR:INDEX=0"}</definedName>
    <definedName name="_2084__FDSAUDITLINK__" hidden="1">{"fdsup://directions/FAT Viewer?action=UPDATE&amp;creator=factset&amp;DYN_ARGS=TRUE&amp;DOC_NAME=FAT:FQL_AUDITING_CLIENT_TEMPLATE.FAT&amp;display_string=Audit&amp;VAR:KEY=GVULKLSXSX&amp;VAR:QUERY=RkZfRElWX1lMRChBTk4sNi8yNy8wMSw2LzI3LzAxKQ==&amp;WINDOW=FIRST_POPUP&amp;HEIGHT=450&amp;WIDTH=450&amp;","START_MAXIMIZED=FALSE&amp;VAR:CALENDAR=US&amp;VAR:SYMBOL=KO&amp;VAR:INDEX=0"}</definedName>
    <definedName name="_2085">#REF!</definedName>
    <definedName name="_2085__FDSAUDITLINK__" localSheetId="0" hidden="1">{"fdsup://directions/FAT Viewer?action=UPDATE&amp;creator=factset&amp;DYN_ARGS=TRUE&amp;DOC_NAME=FAT:FQL_AUDITING_CLIENT_TEMPLATE.FAT&amp;display_string=Audit&amp;VAR:KEY=UPOPKBMJMJ&amp;VAR:QUERY=RkZfRElWX1lMRChBTk4sNi8yMC8wMSw2LzIwLzAxKQ==&amp;WINDOW=FIRST_POPUP&amp;HEIGHT=450&amp;WIDTH=450&amp;","START_MAXIMIZED=FALSE&amp;VAR:CALENDAR=US&amp;VAR:SYMBOL=KO&amp;VAR:INDEX=0"}</definedName>
    <definedName name="_2085__FDSAUDITLINK__" hidden="1">{"fdsup://directions/FAT Viewer?action=UPDATE&amp;creator=factset&amp;DYN_ARGS=TRUE&amp;DOC_NAME=FAT:FQL_AUDITING_CLIENT_TEMPLATE.FAT&amp;display_string=Audit&amp;VAR:KEY=UPOPKBMJMJ&amp;VAR:QUERY=RkZfRElWX1lMRChBTk4sNi8yMC8wMSw2LzIwLzAxKQ==&amp;WINDOW=FIRST_POPUP&amp;HEIGHT=450&amp;WIDTH=450&amp;","START_MAXIMIZED=FALSE&amp;VAR:CALENDAR=US&amp;VAR:SYMBOL=KO&amp;VAR:INDEX=0"}</definedName>
    <definedName name="_2086__FDSAUDITLINK__" localSheetId="0" hidden="1">{"fdsup://directions/FAT Viewer?action=UPDATE&amp;creator=factset&amp;DYN_ARGS=TRUE&amp;DOC_NAME=FAT:FQL_AUDITING_CLIENT_TEMPLATE.FAT&amp;display_string=Audit&amp;VAR:KEY=WHAFKFEFYV&amp;VAR:QUERY=RkZfRElWX1lMRChBTk4sNi8xMy8wMSw2LzEzLzAxKQ==&amp;WINDOW=FIRST_POPUP&amp;HEIGHT=450&amp;WIDTH=450&amp;","START_MAXIMIZED=FALSE&amp;VAR:CALENDAR=US&amp;VAR:SYMBOL=KO&amp;VAR:INDEX=0"}</definedName>
    <definedName name="_2086__FDSAUDITLINK__" hidden="1">{"fdsup://directions/FAT Viewer?action=UPDATE&amp;creator=factset&amp;DYN_ARGS=TRUE&amp;DOC_NAME=FAT:FQL_AUDITING_CLIENT_TEMPLATE.FAT&amp;display_string=Audit&amp;VAR:KEY=WHAFKFEFYV&amp;VAR:QUERY=RkZfRElWX1lMRChBTk4sNi8xMy8wMSw2LzEzLzAxKQ==&amp;WINDOW=FIRST_POPUP&amp;HEIGHT=450&amp;WIDTH=450&amp;","START_MAXIMIZED=FALSE&amp;VAR:CALENDAR=US&amp;VAR:SYMBOL=KO&amp;VAR:INDEX=0"}</definedName>
    <definedName name="_2087__FDSAUDITLINK__" localSheetId="0" hidden="1">{"fdsup://directions/FAT Viewer?action=UPDATE&amp;creator=factset&amp;DYN_ARGS=TRUE&amp;DOC_NAME=FAT:FQL_AUDITING_CLIENT_TEMPLATE.FAT&amp;display_string=Audit&amp;VAR:KEY=IBSTGRINUH&amp;VAR:QUERY=RkZfRElWX1lMRChBTk4sNi8wNi8wMSw2LzA2LzAxKQ==&amp;WINDOW=FIRST_POPUP&amp;HEIGHT=450&amp;WIDTH=450&amp;","START_MAXIMIZED=FALSE&amp;VAR:CALENDAR=US&amp;VAR:SYMBOL=KO&amp;VAR:INDEX=0"}</definedName>
    <definedName name="_2087__FDSAUDITLINK__" hidden="1">{"fdsup://directions/FAT Viewer?action=UPDATE&amp;creator=factset&amp;DYN_ARGS=TRUE&amp;DOC_NAME=FAT:FQL_AUDITING_CLIENT_TEMPLATE.FAT&amp;display_string=Audit&amp;VAR:KEY=IBSTGRINUH&amp;VAR:QUERY=RkZfRElWX1lMRChBTk4sNi8wNi8wMSw2LzA2LzAxKQ==&amp;WINDOW=FIRST_POPUP&amp;HEIGHT=450&amp;WIDTH=450&amp;","START_MAXIMIZED=FALSE&amp;VAR:CALENDAR=US&amp;VAR:SYMBOL=KO&amp;VAR:INDEX=0"}</definedName>
    <definedName name="_2088__FDSAUDITLINK__" localSheetId="0" hidden="1">{"fdsup://directions/FAT Viewer?action=UPDATE&amp;creator=factset&amp;DYN_ARGS=TRUE&amp;DOC_NAME=FAT:FQL_AUDITING_CLIENT_TEMPLATE.FAT&amp;display_string=Audit&amp;VAR:KEY=UXYNYLGLIH&amp;VAR:QUERY=RkZfRElWX1lMRChBTk4sNS8zMC8wMSw1LzMwLzAxKQ==&amp;WINDOW=FIRST_POPUP&amp;HEIGHT=450&amp;WIDTH=450&amp;","START_MAXIMIZED=FALSE&amp;VAR:CALENDAR=US&amp;VAR:SYMBOL=KO&amp;VAR:INDEX=0"}</definedName>
    <definedName name="_2088__FDSAUDITLINK__" hidden="1">{"fdsup://directions/FAT Viewer?action=UPDATE&amp;creator=factset&amp;DYN_ARGS=TRUE&amp;DOC_NAME=FAT:FQL_AUDITING_CLIENT_TEMPLATE.FAT&amp;display_string=Audit&amp;VAR:KEY=UXYNYLGLIH&amp;VAR:QUERY=RkZfRElWX1lMRChBTk4sNS8zMC8wMSw1LzMwLzAxKQ==&amp;WINDOW=FIRST_POPUP&amp;HEIGHT=450&amp;WIDTH=450&amp;","START_MAXIMIZED=FALSE&amp;VAR:CALENDAR=US&amp;VAR:SYMBOL=KO&amp;VAR:INDEX=0"}</definedName>
    <definedName name="_2089__FDSAUDITLINK__" localSheetId="0" hidden="1">{"fdsup://directions/FAT Viewer?action=UPDATE&amp;creator=factset&amp;DYN_ARGS=TRUE&amp;DOC_NAME=FAT:FQL_AUDITING_CLIENT_TEMPLATE.FAT&amp;display_string=Audit&amp;VAR:KEY=MDAXIFQDON&amp;VAR:QUERY=RkZfRElWX1lMRChBTk4sNS8yMy8wMSw1LzIzLzAxKQ==&amp;WINDOW=FIRST_POPUP&amp;HEIGHT=450&amp;WIDTH=450&amp;","START_MAXIMIZED=FALSE&amp;VAR:CALENDAR=US&amp;VAR:SYMBOL=KO&amp;VAR:INDEX=0"}</definedName>
    <definedName name="_2089__FDSAUDITLINK__" hidden="1">{"fdsup://directions/FAT Viewer?action=UPDATE&amp;creator=factset&amp;DYN_ARGS=TRUE&amp;DOC_NAME=FAT:FQL_AUDITING_CLIENT_TEMPLATE.FAT&amp;display_string=Audit&amp;VAR:KEY=MDAXIFQDON&amp;VAR:QUERY=RkZfRElWX1lMRChBTk4sNS8yMy8wMSw1LzIzLzAxKQ==&amp;WINDOW=FIRST_POPUP&amp;HEIGHT=450&amp;WIDTH=450&amp;","START_MAXIMIZED=FALSE&amp;VAR:CALENDAR=US&amp;VAR:SYMBOL=KO&amp;VAR:INDEX=0"}</definedName>
    <definedName name="_209">#REF!</definedName>
    <definedName name="_209__FDSAUDITLINK__" localSheetId="0" hidden="1">{"fdsup://directions/FAT Viewer?action=UPDATE&amp;creator=factset&amp;DYN_ARGS=TRUE&amp;DOC_NAME=FAT:FQL_AUDITING_CLIENT_TEMPLATE.FAT&amp;display_string=Audit&amp;VAR:KEY=FQPYFETWBO&amp;VAR:QUERY=RkZfRElWX1lMRChBTk4sNC8wNS8wNyw0LzA1LzA3KQ==&amp;WINDOW=FIRST_POPUP&amp;HEIGHT=450&amp;WIDTH=450&amp;","START_MAXIMIZED=FALSE&amp;VAR:CALENDAR=US&amp;VAR:SYMBOL=RAI&amp;VAR:INDEX=0"}</definedName>
    <definedName name="_209__FDSAUDITLINK__" hidden="1">{"fdsup://directions/FAT Viewer?action=UPDATE&amp;creator=factset&amp;DYN_ARGS=TRUE&amp;DOC_NAME=FAT:FQL_AUDITING_CLIENT_TEMPLATE.FAT&amp;display_string=Audit&amp;VAR:KEY=FQPYFETWBO&amp;VAR:QUERY=RkZfRElWX1lMRChBTk4sNC8wNS8wNyw0LzA1LzA3KQ==&amp;WINDOW=FIRST_POPUP&amp;HEIGHT=450&amp;WIDTH=450&amp;","START_MAXIMIZED=FALSE&amp;VAR:CALENDAR=US&amp;VAR:SYMBOL=RAI&amp;VAR:INDEX=0"}</definedName>
    <definedName name="_2090__FDSAUDITLINK__" localSheetId="0" hidden="1">{"fdsup://directions/FAT Viewer?action=UPDATE&amp;creator=factset&amp;DYN_ARGS=TRUE&amp;DOC_NAME=FAT:FQL_AUDITING_CLIENT_TEMPLATE.FAT&amp;display_string=Audit&amp;VAR:KEY=OTWVKBGFCR&amp;VAR:QUERY=RkZfRElWX1lMRChBTk4sNS8xNi8wMSw1LzE2LzAxKQ==&amp;WINDOW=FIRST_POPUP&amp;HEIGHT=450&amp;WIDTH=450&amp;","START_MAXIMIZED=FALSE&amp;VAR:CALENDAR=US&amp;VAR:SYMBOL=KO&amp;VAR:INDEX=0"}</definedName>
    <definedName name="_2090__FDSAUDITLINK__" hidden="1">{"fdsup://directions/FAT Viewer?action=UPDATE&amp;creator=factset&amp;DYN_ARGS=TRUE&amp;DOC_NAME=FAT:FQL_AUDITING_CLIENT_TEMPLATE.FAT&amp;display_string=Audit&amp;VAR:KEY=OTWVKBGFCR&amp;VAR:QUERY=RkZfRElWX1lMRChBTk4sNS8xNi8wMSw1LzE2LzAxKQ==&amp;WINDOW=FIRST_POPUP&amp;HEIGHT=450&amp;WIDTH=450&amp;","START_MAXIMIZED=FALSE&amp;VAR:CALENDAR=US&amp;VAR:SYMBOL=KO&amp;VAR:INDEX=0"}</definedName>
    <definedName name="_2091__FDSAUDITLINK__" localSheetId="0" hidden="1">{"fdsup://directions/FAT Viewer?action=UPDATE&amp;creator=factset&amp;DYN_ARGS=TRUE&amp;DOC_NAME=FAT:FQL_AUDITING_CLIENT_TEMPLATE.FAT&amp;display_string=Audit&amp;VAR:KEY=ATYPOJIRSX&amp;VAR:QUERY=RkZfRElWX1lMRChBTk4sNS8wOS8wMSw1LzA5LzAxKQ==&amp;WINDOW=FIRST_POPUP&amp;HEIGHT=450&amp;WIDTH=450&amp;","START_MAXIMIZED=FALSE&amp;VAR:CALENDAR=US&amp;VAR:SYMBOL=KO&amp;VAR:INDEX=0"}</definedName>
    <definedName name="_2091__FDSAUDITLINK__" hidden="1">{"fdsup://directions/FAT Viewer?action=UPDATE&amp;creator=factset&amp;DYN_ARGS=TRUE&amp;DOC_NAME=FAT:FQL_AUDITING_CLIENT_TEMPLATE.FAT&amp;display_string=Audit&amp;VAR:KEY=ATYPOJIRSX&amp;VAR:QUERY=RkZfRElWX1lMRChBTk4sNS8wOS8wMSw1LzA5LzAxKQ==&amp;WINDOW=FIRST_POPUP&amp;HEIGHT=450&amp;WIDTH=450&amp;","START_MAXIMIZED=FALSE&amp;VAR:CALENDAR=US&amp;VAR:SYMBOL=KO&amp;VAR:INDEX=0"}</definedName>
    <definedName name="_2092__FDSAUDITLINK__" localSheetId="0" hidden="1">{"fdsup://directions/FAT Viewer?action=UPDATE&amp;creator=factset&amp;DYN_ARGS=TRUE&amp;DOC_NAME=FAT:FQL_AUDITING_CLIENT_TEMPLATE.FAT&amp;display_string=Audit&amp;VAR:KEY=UZCFOLINAF&amp;VAR:QUERY=RkZfRElWX1lMRChBTk4sNS8wMi8wMSw1LzAyLzAxKQ==&amp;WINDOW=FIRST_POPUP&amp;HEIGHT=450&amp;WIDTH=450&amp;","START_MAXIMIZED=FALSE&amp;VAR:CALENDAR=US&amp;VAR:SYMBOL=KO&amp;VAR:INDEX=0"}</definedName>
    <definedName name="_2092__FDSAUDITLINK__" hidden="1">{"fdsup://directions/FAT Viewer?action=UPDATE&amp;creator=factset&amp;DYN_ARGS=TRUE&amp;DOC_NAME=FAT:FQL_AUDITING_CLIENT_TEMPLATE.FAT&amp;display_string=Audit&amp;VAR:KEY=UZCFOLINAF&amp;VAR:QUERY=RkZfRElWX1lMRChBTk4sNS8wMi8wMSw1LzAyLzAxKQ==&amp;WINDOW=FIRST_POPUP&amp;HEIGHT=450&amp;WIDTH=450&amp;","START_MAXIMIZED=FALSE&amp;VAR:CALENDAR=US&amp;VAR:SYMBOL=KO&amp;VAR:INDEX=0"}</definedName>
    <definedName name="_2093">#REF!</definedName>
    <definedName name="_2093__FDSAUDITLINK__" localSheetId="0" hidden="1">{"fdsup://directions/FAT Viewer?action=UPDATE&amp;creator=factset&amp;DYN_ARGS=TRUE&amp;DOC_NAME=FAT:FQL_AUDITING_CLIENT_TEMPLATE.FAT&amp;display_string=Audit&amp;VAR:KEY=ULKLUBIFAZ&amp;VAR:QUERY=RkZfRElWX1lMRChBTk4sNC8yNS8wMSw0LzI1LzAxKQ==&amp;WINDOW=FIRST_POPUP&amp;HEIGHT=450&amp;WIDTH=450&amp;","START_MAXIMIZED=FALSE&amp;VAR:CALENDAR=US&amp;VAR:SYMBOL=KO&amp;VAR:INDEX=0"}</definedName>
    <definedName name="_2093__FDSAUDITLINK__" hidden="1">{"fdsup://directions/FAT Viewer?action=UPDATE&amp;creator=factset&amp;DYN_ARGS=TRUE&amp;DOC_NAME=FAT:FQL_AUDITING_CLIENT_TEMPLATE.FAT&amp;display_string=Audit&amp;VAR:KEY=ULKLUBIFAZ&amp;VAR:QUERY=RkZfRElWX1lMRChBTk4sNC8yNS8wMSw0LzI1LzAxKQ==&amp;WINDOW=FIRST_POPUP&amp;HEIGHT=450&amp;WIDTH=450&amp;","START_MAXIMIZED=FALSE&amp;VAR:CALENDAR=US&amp;VAR:SYMBOL=KO&amp;VAR:INDEX=0"}</definedName>
    <definedName name="_2094__FDSAUDITLINK__" localSheetId="0" hidden="1">{"fdsup://directions/FAT Viewer?action=UPDATE&amp;creator=factset&amp;DYN_ARGS=TRUE&amp;DOC_NAME=FAT:FQL_AUDITING_CLIENT_TEMPLATE.FAT&amp;display_string=Audit&amp;VAR:KEY=YHMVMNYZMF&amp;VAR:QUERY=RkZfRElWX1lMRChBTk4sNC8xOC8wMSw0LzE4LzAxKQ==&amp;WINDOW=FIRST_POPUP&amp;HEIGHT=450&amp;WIDTH=450&amp;","START_MAXIMIZED=FALSE&amp;VAR:CALENDAR=US&amp;VAR:SYMBOL=KO&amp;VAR:INDEX=0"}</definedName>
    <definedName name="_2094__FDSAUDITLINK__" hidden="1">{"fdsup://directions/FAT Viewer?action=UPDATE&amp;creator=factset&amp;DYN_ARGS=TRUE&amp;DOC_NAME=FAT:FQL_AUDITING_CLIENT_TEMPLATE.FAT&amp;display_string=Audit&amp;VAR:KEY=YHMVMNYZMF&amp;VAR:QUERY=RkZfRElWX1lMRChBTk4sNC8xOC8wMSw0LzE4LzAxKQ==&amp;WINDOW=FIRST_POPUP&amp;HEIGHT=450&amp;WIDTH=450&amp;","START_MAXIMIZED=FALSE&amp;VAR:CALENDAR=US&amp;VAR:SYMBOL=KO&amp;VAR:INDEX=0"}</definedName>
    <definedName name="_2095__FDSAUDITLINK__" localSheetId="0" hidden="1">{"fdsup://directions/FAT Viewer?action=UPDATE&amp;creator=factset&amp;DYN_ARGS=TRUE&amp;DOC_NAME=FAT:FQL_AUDITING_CLIENT_TEMPLATE.FAT&amp;display_string=Audit&amp;VAR:KEY=CDMDETWHSH&amp;VAR:QUERY=RkZfRElWX1lMRChBTk4sNC8xMS8wMSw0LzExLzAxKQ==&amp;WINDOW=FIRST_POPUP&amp;HEIGHT=450&amp;WIDTH=450&amp;","START_MAXIMIZED=FALSE&amp;VAR:CALENDAR=US&amp;VAR:SYMBOL=KO&amp;VAR:INDEX=0"}</definedName>
    <definedName name="_2095__FDSAUDITLINK__" hidden="1">{"fdsup://directions/FAT Viewer?action=UPDATE&amp;creator=factset&amp;DYN_ARGS=TRUE&amp;DOC_NAME=FAT:FQL_AUDITING_CLIENT_TEMPLATE.FAT&amp;display_string=Audit&amp;VAR:KEY=CDMDETWHSH&amp;VAR:QUERY=RkZfRElWX1lMRChBTk4sNC8xMS8wMSw0LzExLzAxKQ==&amp;WINDOW=FIRST_POPUP&amp;HEIGHT=450&amp;WIDTH=450&amp;","START_MAXIMIZED=FALSE&amp;VAR:CALENDAR=US&amp;VAR:SYMBOL=KO&amp;VAR:INDEX=0"}</definedName>
    <definedName name="_2096__FDSAUDITLINK__" localSheetId="0" hidden="1">{"fdsup://directions/FAT Viewer?action=UPDATE&amp;creator=factset&amp;DYN_ARGS=TRUE&amp;DOC_NAME=FAT:FQL_AUDITING_CLIENT_TEMPLATE.FAT&amp;display_string=Audit&amp;VAR:KEY=EZGZOHYZUH&amp;VAR:QUERY=RkZfRElWX1lMRChBTk4sNC8wNC8wMSw0LzA0LzAxKQ==&amp;WINDOW=FIRST_POPUP&amp;HEIGHT=450&amp;WIDTH=450&amp;","START_MAXIMIZED=FALSE&amp;VAR:CALENDAR=US&amp;VAR:SYMBOL=KO&amp;VAR:INDEX=0"}</definedName>
    <definedName name="_2096__FDSAUDITLINK__" hidden="1">{"fdsup://directions/FAT Viewer?action=UPDATE&amp;creator=factset&amp;DYN_ARGS=TRUE&amp;DOC_NAME=FAT:FQL_AUDITING_CLIENT_TEMPLATE.FAT&amp;display_string=Audit&amp;VAR:KEY=EZGZOHYZUH&amp;VAR:QUERY=RkZfRElWX1lMRChBTk4sNC8wNC8wMSw0LzA0LzAxKQ==&amp;WINDOW=FIRST_POPUP&amp;HEIGHT=450&amp;WIDTH=450&amp;","START_MAXIMIZED=FALSE&amp;VAR:CALENDAR=US&amp;VAR:SYMBOL=KO&amp;VAR:INDEX=0"}</definedName>
    <definedName name="_2097">#REF!</definedName>
    <definedName name="_2097__FDSAUDITLINK__" localSheetId="0" hidden="1">{"fdsup://directions/FAT Viewer?action=UPDATE&amp;creator=factset&amp;DYN_ARGS=TRUE&amp;DOC_NAME=FAT:FQL_AUDITING_CLIENT_TEMPLATE.FAT&amp;display_string=Audit&amp;VAR:KEY=UPKNWXSTMD&amp;VAR:QUERY=RkZfRElWX1lMRChBTk4sMy8zMC8xMSwzLzMwLzExKQ==&amp;WINDOW=FIRST_POPUP&amp;HEIGHT=450&amp;WIDTH=450&amp;","START_MAXIMIZED=FALSE&amp;VAR:CALENDAR=US&amp;VAR:SYMBOL=RAI&amp;VAR:INDEX=0"}</definedName>
    <definedName name="_2097__FDSAUDITLINK__" hidden="1">{"fdsup://directions/FAT Viewer?action=UPDATE&amp;creator=factset&amp;DYN_ARGS=TRUE&amp;DOC_NAME=FAT:FQL_AUDITING_CLIENT_TEMPLATE.FAT&amp;display_string=Audit&amp;VAR:KEY=UPKNWXSTMD&amp;VAR:QUERY=RkZfRElWX1lMRChBTk4sMy8zMC8xMSwzLzMwLzExKQ==&amp;WINDOW=FIRST_POPUP&amp;HEIGHT=450&amp;WIDTH=450&amp;","START_MAXIMIZED=FALSE&amp;VAR:CALENDAR=US&amp;VAR:SYMBOL=RAI&amp;VAR:INDEX=0"}</definedName>
    <definedName name="_2098__FDSAUDITLINK__" localSheetId="0" hidden="1">{"fdsup://directions/FAT Viewer?action=UPDATE&amp;creator=factset&amp;DYN_ARGS=TRUE&amp;DOC_NAME=FAT:FQL_AUDITING_CLIENT_TEMPLATE.FAT&amp;display_string=Audit&amp;VAR:KEY=UBSNIJMTET&amp;VAR:QUERY=RkZfRElWX1lMRChBTk4sMy8yMy8xMSwzLzIzLzExKQ==&amp;WINDOW=FIRST_POPUP&amp;HEIGHT=450&amp;WIDTH=450&amp;","START_MAXIMIZED=FALSE&amp;VAR:CALENDAR=US&amp;VAR:SYMBOL=RAI&amp;VAR:INDEX=0"}</definedName>
    <definedName name="_2098__FDSAUDITLINK__" hidden="1">{"fdsup://directions/FAT Viewer?action=UPDATE&amp;creator=factset&amp;DYN_ARGS=TRUE&amp;DOC_NAME=FAT:FQL_AUDITING_CLIENT_TEMPLATE.FAT&amp;display_string=Audit&amp;VAR:KEY=UBSNIJMTET&amp;VAR:QUERY=RkZfRElWX1lMRChBTk4sMy8yMy8xMSwzLzIzLzExKQ==&amp;WINDOW=FIRST_POPUP&amp;HEIGHT=450&amp;WIDTH=450&amp;","START_MAXIMIZED=FALSE&amp;VAR:CALENDAR=US&amp;VAR:SYMBOL=RAI&amp;VAR:INDEX=0"}</definedName>
    <definedName name="_2099__FDSAUDITLINK__" localSheetId="0" hidden="1">{"fdsup://directions/FAT Viewer?action=UPDATE&amp;creator=factset&amp;DYN_ARGS=TRUE&amp;DOC_NAME=FAT:FQL_AUDITING_CLIENT_TEMPLATE.FAT&amp;display_string=Audit&amp;VAR:KEY=AZIHUNAVSZ&amp;VAR:QUERY=RkZfRElWX1lMRChBTk4sMy8xNi8xMSwzLzE2LzExKQ==&amp;WINDOW=FIRST_POPUP&amp;HEIGHT=450&amp;WIDTH=450&amp;","START_MAXIMIZED=FALSE&amp;VAR:CALENDAR=US&amp;VAR:SYMBOL=RAI&amp;VAR:INDEX=0"}</definedName>
    <definedName name="_2099__FDSAUDITLINK__" hidden="1">{"fdsup://directions/FAT Viewer?action=UPDATE&amp;creator=factset&amp;DYN_ARGS=TRUE&amp;DOC_NAME=FAT:FQL_AUDITING_CLIENT_TEMPLATE.FAT&amp;display_string=Audit&amp;VAR:KEY=AZIHUNAVSZ&amp;VAR:QUERY=RkZfRElWX1lMRChBTk4sMy8xNi8xMSwzLzE2LzExKQ==&amp;WINDOW=FIRST_POPUP&amp;HEIGHT=450&amp;WIDTH=450&amp;","START_MAXIMIZED=FALSE&amp;VAR:CALENDAR=US&amp;VAR:SYMBOL=RAI&amp;VAR:INDEX=0"}</definedName>
    <definedName name="_20f3_" hidden="1">{"'분양원가'!$B$1:$F$113"}</definedName>
    <definedName name="_20main_form_account_grants_list_17_j_id1022">#REF!</definedName>
    <definedName name="_20MatInverse" hidden="1">#REF!</definedName>
    <definedName name="_20s16_" hidden="1">{#N/A,#N/A,FALSE,"UNIT";#N/A,#N/A,FALSE,"UNIT";#N/A,#N/A,FALSE,"계정"}</definedName>
    <definedName name="_20s9_" hidden="1">{#N/A,#N/A,FALSE,"UNIT";#N/A,#N/A,FALSE,"UNIT";#N/A,#N/A,FALSE,"계정"}</definedName>
    <definedName name="_20T1">#REF!</definedName>
    <definedName name="_20T2">#REF!</definedName>
    <definedName name="_21">#REF!</definedName>
    <definedName name="_21_________NOTE1_3">#REF!</definedName>
    <definedName name="_21__123Graph_AGROSS_MARGINS" hidden="1">#REF!</definedName>
    <definedName name="_21__123Graph_ASUPPLIES_BY_B_U">#REF!</definedName>
    <definedName name="_21__123Graph_BCHART_112" hidden="1">#REF!</definedName>
    <definedName name="_21__123Graph_BChart_31L">#REF!</definedName>
    <definedName name="_21__123Graph_BCONTRACT_BY_B_U">#REF!</definedName>
    <definedName name="_21__123Graph_BSUPPLIES_BY_B_U">#REF!</definedName>
    <definedName name="_21__123Graph_BTAX_CREDIT">#REF!</definedName>
    <definedName name="_21__123Graph_CQRE_S_BY_TYPE" hidden="1">#REF!</definedName>
    <definedName name="_21__123Graph_CSENS_COMPARISON">#REF!</definedName>
    <definedName name="_21__123Graph_CSUPPLIES_BY_B_U">#REF!</definedName>
    <definedName name="_21__123Graph_DCONTRACT_BY_B_U" hidden="1">#REF!</definedName>
    <definedName name="_21__123Graph_DQRE_S_BY_CO.">#REF!</definedName>
    <definedName name="_21__123Graph_DSUPPLIES_BY_B_U">#REF!</definedName>
    <definedName name="_21__123Graph_DWAGES_BY_B_U">#REF!</definedName>
    <definedName name="_21__FDSAUDITLINK__" localSheetId="0" hidden="1">{"fdsup://directions/FAT Viewer?action=UPDATE&amp;creator=factset&amp;DYN_ARGS=TRUE&amp;DOC_NAME=FAT:FQL_AUDITING_CLIENT_TEMPLATE.FAT&amp;display_string=Audit&amp;VAR:KEY=ALUBKXWBYN&amp;VAR:QUERY=Q1NGX0RJVl9ZTEQoUVRSX1IsMTIvMzAvMjAwNSk=&amp;WINDOW=FIRST_POPUP&amp;HEIGHT=450&amp;WIDTH=450&amp;STAR","T_MAXIMIZED=FALSE&amp;VAR:CALENDAR=US&amp;VAR:SYMBOL=MO&amp;VAR:INDEX=0"}</definedName>
    <definedName name="_21__FDSAUDITLINK__" hidden="1">{"fdsup://directions/FAT Viewer?action=UPDATE&amp;creator=factset&amp;DYN_ARGS=TRUE&amp;DOC_NAME=FAT:FQL_AUDITING_CLIENT_TEMPLATE.FAT&amp;display_string=Audit&amp;VAR:KEY=ALUBKXWBYN&amp;VAR:QUERY=Q1NGX0RJVl9ZTEQoUVRSX1IsMTIvMzAvMjAwNSk=&amp;WINDOW=FIRST_POPUP&amp;HEIGHT=450&amp;WIDTH=450&amp;STAR","T_MAXIMIZED=FALSE&amp;VAR:CALENDAR=US&amp;VAR:SYMBOL=MO&amp;VAR:INDEX=0"}</definedName>
    <definedName name="_21_0_Table2_" hidden="1">#REF!</definedName>
    <definedName name="_21_02_1999">#REF!</definedName>
    <definedName name="_21_6__1_CRADDIN_DataGrid">#REF!</definedName>
    <definedName name="_210">#REF!</definedName>
    <definedName name="_210__FDSAUDITLINK__" localSheetId="0" hidden="1">{"fdsup://directions/FAT Viewer?action=UPDATE&amp;creator=factset&amp;DYN_ARGS=TRUE&amp;DOC_NAME=FAT:FQL_AUDITING_CLIENT_TEMPLATE.FAT&amp;display_string=Audit&amp;VAR:KEY=JCPULKZWRS&amp;VAR:QUERY=RkZfRElWX1lMRChBTk4sMy8yOS8wNywzLzI5LzA3KQ==&amp;WINDOW=FIRST_POPUP&amp;HEIGHT=450&amp;WIDTH=450&amp;","START_MAXIMIZED=FALSE&amp;VAR:CALENDAR=US&amp;VAR:SYMBOL=RAI&amp;VAR:INDEX=0"}</definedName>
    <definedName name="_210__FDSAUDITLINK__" hidden="1">{"fdsup://directions/FAT Viewer?action=UPDATE&amp;creator=factset&amp;DYN_ARGS=TRUE&amp;DOC_NAME=FAT:FQL_AUDITING_CLIENT_TEMPLATE.FAT&amp;display_string=Audit&amp;VAR:KEY=JCPULKZWRS&amp;VAR:QUERY=RkZfRElWX1lMRChBTk4sMy8yOS8wNywzLzI5LzA3KQ==&amp;WINDOW=FIRST_POPUP&amp;HEIGHT=450&amp;WIDTH=450&amp;","START_MAXIMIZED=FALSE&amp;VAR:CALENDAR=US&amp;VAR:SYMBOL=RAI&amp;VAR:INDEX=0"}</definedName>
    <definedName name="_2100__FDSAUDITLINK__" localSheetId="0" hidden="1">{"fdsup://directions/FAT Viewer?action=UPDATE&amp;creator=factset&amp;DYN_ARGS=TRUE&amp;DOC_NAME=FAT:FQL_AUDITING_CLIENT_TEMPLATE.FAT&amp;display_string=Audit&amp;VAR:KEY=KJSBSJEXMT&amp;VAR:QUERY=RkZfRElWX1lMRChBTk4sMy8wOS8xMSwzLzA5LzExKQ==&amp;WINDOW=FIRST_POPUP&amp;HEIGHT=450&amp;WIDTH=450&amp;","START_MAXIMIZED=FALSE&amp;VAR:CALENDAR=US&amp;VAR:SYMBOL=RAI&amp;VAR:INDEX=0"}</definedName>
    <definedName name="_2100__FDSAUDITLINK__" hidden="1">{"fdsup://directions/FAT Viewer?action=UPDATE&amp;creator=factset&amp;DYN_ARGS=TRUE&amp;DOC_NAME=FAT:FQL_AUDITING_CLIENT_TEMPLATE.FAT&amp;display_string=Audit&amp;VAR:KEY=KJSBSJEXMT&amp;VAR:QUERY=RkZfRElWX1lMRChBTk4sMy8wOS8xMSwzLzA5LzExKQ==&amp;WINDOW=FIRST_POPUP&amp;HEIGHT=450&amp;WIDTH=450&amp;","START_MAXIMIZED=FALSE&amp;VAR:CALENDAR=US&amp;VAR:SYMBOL=RAI&amp;VAR:INDEX=0"}</definedName>
    <definedName name="_2101__FDSAUDITLINK__" localSheetId="0" hidden="1">{"fdsup://directions/FAT Viewer?action=UPDATE&amp;creator=factset&amp;DYN_ARGS=TRUE&amp;DOC_NAME=FAT:FQL_AUDITING_CLIENT_TEMPLATE.FAT&amp;display_string=Audit&amp;VAR:KEY=CDWNWXIFQF&amp;VAR:QUERY=RkZfRElWX1lMRChBTk4sMy8wMi8xMSwzLzAyLzExKQ==&amp;WINDOW=FIRST_POPUP&amp;HEIGHT=450&amp;WIDTH=450&amp;","START_MAXIMIZED=FALSE&amp;VAR:CALENDAR=US&amp;VAR:SYMBOL=RAI&amp;VAR:INDEX=0"}</definedName>
    <definedName name="_2101__FDSAUDITLINK__" hidden="1">{"fdsup://directions/FAT Viewer?action=UPDATE&amp;creator=factset&amp;DYN_ARGS=TRUE&amp;DOC_NAME=FAT:FQL_AUDITING_CLIENT_TEMPLATE.FAT&amp;display_string=Audit&amp;VAR:KEY=CDWNWXIFQF&amp;VAR:QUERY=RkZfRElWX1lMRChBTk4sMy8wMi8xMSwzLzAyLzExKQ==&amp;WINDOW=FIRST_POPUP&amp;HEIGHT=450&amp;WIDTH=450&amp;","START_MAXIMIZED=FALSE&amp;VAR:CALENDAR=US&amp;VAR:SYMBOL=RAI&amp;VAR:INDEX=0"}</definedName>
    <definedName name="_2102">#REF!</definedName>
    <definedName name="_2102__FDSAUDITLINK__" localSheetId="0" hidden="1">{"fdsup://directions/FAT Viewer?action=UPDATE&amp;creator=factset&amp;DYN_ARGS=TRUE&amp;DOC_NAME=FAT:FQL_AUDITING_CLIENT_TEMPLATE.FAT&amp;display_string=Audit&amp;VAR:KEY=AXUZUDOJOX&amp;VAR:QUERY=RkZfRElWX1lMRChBTk4sMi8yMy8xMSwyLzIzLzExKQ==&amp;WINDOW=FIRST_POPUP&amp;HEIGHT=450&amp;WIDTH=450&amp;","START_MAXIMIZED=FALSE&amp;VAR:CALENDAR=US&amp;VAR:SYMBOL=RAI&amp;VAR:INDEX=0"}</definedName>
    <definedName name="_2102__FDSAUDITLINK__" hidden="1">{"fdsup://directions/FAT Viewer?action=UPDATE&amp;creator=factset&amp;DYN_ARGS=TRUE&amp;DOC_NAME=FAT:FQL_AUDITING_CLIENT_TEMPLATE.FAT&amp;display_string=Audit&amp;VAR:KEY=AXUZUDOJOX&amp;VAR:QUERY=RkZfRElWX1lMRChBTk4sMi8yMy8xMSwyLzIzLzExKQ==&amp;WINDOW=FIRST_POPUP&amp;HEIGHT=450&amp;WIDTH=450&amp;","START_MAXIMIZED=FALSE&amp;VAR:CALENDAR=US&amp;VAR:SYMBOL=RAI&amp;VAR:INDEX=0"}</definedName>
    <definedName name="_2103__FDSAUDITLINK__" localSheetId="0" hidden="1">{"fdsup://directions/FAT Viewer?action=UPDATE&amp;creator=factset&amp;DYN_ARGS=TRUE&amp;DOC_NAME=FAT:FQL_AUDITING_CLIENT_TEMPLATE.FAT&amp;display_string=Audit&amp;VAR:KEY=WRIHGFSBOD&amp;VAR:QUERY=RkZfRElWX1lMRChBTk4sMi8xNi8xMSwyLzE2LzExKQ==&amp;WINDOW=FIRST_POPUP&amp;HEIGHT=450&amp;WIDTH=450&amp;","START_MAXIMIZED=FALSE&amp;VAR:CALENDAR=US&amp;VAR:SYMBOL=RAI&amp;VAR:INDEX=0"}</definedName>
    <definedName name="_2103__FDSAUDITLINK__" hidden="1">{"fdsup://directions/FAT Viewer?action=UPDATE&amp;creator=factset&amp;DYN_ARGS=TRUE&amp;DOC_NAME=FAT:FQL_AUDITING_CLIENT_TEMPLATE.FAT&amp;display_string=Audit&amp;VAR:KEY=WRIHGFSBOD&amp;VAR:QUERY=RkZfRElWX1lMRChBTk4sMi8xNi8xMSwyLzE2LzExKQ==&amp;WINDOW=FIRST_POPUP&amp;HEIGHT=450&amp;WIDTH=450&amp;","START_MAXIMIZED=FALSE&amp;VAR:CALENDAR=US&amp;VAR:SYMBOL=RAI&amp;VAR:INDEX=0"}</definedName>
    <definedName name="_2104__FDSAUDITLINK__" localSheetId="0" hidden="1">{"fdsup://directions/FAT Viewer?action=UPDATE&amp;creator=factset&amp;DYN_ARGS=TRUE&amp;DOC_NAME=FAT:FQL_AUDITING_CLIENT_TEMPLATE.FAT&amp;display_string=Audit&amp;VAR:KEY=GPQFWNWNWZ&amp;VAR:QUERY=RkZfRElWX1lMRChBTk4sMi8wOS8xMSwyLzA5LzExKQ==&amp;WINDOW=FIRST_POPUP&amp;HEIGHT=450&amp;WIDTH=450&amp;","START_MAXIMIZED=FALSE&amp;VAR:CALENDAR=US&amp;VAR:SYMBOL=RAI&amp;VAR:INDEX=0"}</definedName>
    <definedName name="_2104__FDSAUDITLINK__" hidden="1">{"fdsup://directions/FAT Viewer?action=UPDATE&amp;creator=factset&amp;DYN_ARGS=TRUE&amp;DOC_NAME=FAT:FQL_AUDITING_CLIENT_TEMPLATE.FAT&amp;display_string=Audit&amp;VAR:KEY=GPQFWNWNWZ&amp;VAR:QUERY=RkZfRElWX1lMRChBTk4sMi8wOS8xMSwyLzA5LzExKQ==&amp;WINDOW=FIRST_POPUP&amp;HEIGHT=450&amp;WIDTH=450&amp;","START_MAXIMIZED=FALSE&amp;VAR:CALENDAR=US&amp;VAR:SYMBOL=RAI&amp;VAR:INDEX=0"}</definedName>
    <definedName name="_2105__FDSAUDITLINK__" localSheetId="0" hidden="1">{"fdsup://directions/FAT Viewer?action=UPDATE&amp;creator=factset&amp;DYN_ARGS=TRUE&amp;DOC_NAME=FAT:FQL_AUDITING_CLIENT_TEMPLATE.FAT&amp;display_string=Audit&amp;VAR:KEY=SJOFGPCJSN&amp;VAR:QUERY=RkZfRElWX1lMRChBTk4sMi8wMi8xMSwyLzAyLzExKQ==&amp;WINDOW=FIRST_POPUP&amp;HEIGHT=450&amp;WIDTH=450&amp;","START_MAXIMIZED=FALSE&amp;VAR:CALENDAR=US&amp;VAR:SYMBOL=RAI&amp;VAR:INDEX=0"}</definedName>
    <definedName name="_2105__FDSAUDITLINK__" hidden="1">{"fdsup://directions/FAT Viewer?action=UPDATE&amp;creator=factset&amp;DYN_ARGS=TRUE&amp;DOC_NAME=FAT:FQL_AUDITING_CLIENT_TEMPLATE.FAT&amp;display_string=Audit&amp;VAR:KEY=SJOFGPCJSN&amp;VAR:QUERY=RkZfRElWX1lMRChBTk4sMi8wMi8xMSwyLzAyLzExKQ==&amp;WINDOW=FIRST_POPUP&amp;HEIGHT=450&amp;WIDTH=450&amp;","START_MAXIMIZED=FALSE&amp;VAR:CALENDAR=US&amp;VAR:SYMBOL=RAI&amp;VAR:INDEX=0"}</definedName>
    <definedName name="_2106__FDSAUDITLINK__" localSheetId="0" hidden="1">{"fdsup://directions/FAT Viewer?action=UPDATE&amp;creator=factset&amp;DYN_ARGS=TRUE&amp;DOC_NAME=FAT:FQL_AUDITING_CLIENT_TEMPLATE.FAT&amp;display_string=Audit&amp;VAR:KEY=AJKPSJINWN&amp;VAR:QUERY=RkZfRElWX1lMRChBTk4sMS8yNi8xMSwxLzI2LzExKQ==&amp;WINDOW=FIRST_POPUP&amp;HEIGHT=450&amp;WIDTH=450&amp;","START_MAXIMIZED=FALSE&amp;VAR:CALENDAR=US&amp;VAR:SYMBOL=RAI&amp;VAR:INDEX=0"}</definedName>
    <definedName name="_2106__FDSAUDITLINK__" hidden="1">{"fdsup://directions/FAT Viewer?action=UPDATE&amp;creator=factset&amp;DYN_ARGS=TRUE&amp;DOC_NAME=FAT:FQL_AUDITING_CLIENT_TEMPLATE.FAT&amp;display_string=Audit&amp;VAR:KEY=AJKPSJINWN&amp;VAR:QUERY=RkZfRElWX1lMRChBTk4sMS8yNi8xMSwxLzI2LzExKQ==&amp;WINDOW=FIRST_POPUP&amp;HEIGHT=450&amp;WIDTH=450&amp;","START_MAXIMIZED=FALSE&amp;VAR:CALENDAR=US&amp;VAR:SYMBOL=RAI&amp;VAR:INDEX=0"}</definedName>
    <definedName name="_2107">#REF!</definedName>
    <definedName name="_2107__FDSAUDITLINK__" localSheetId="0" hidden="1">{"fdsup://directions/FAT Viewer?action=UPDATE&amp;creator=factset&amp;DYN_ARGS=TRUE&amp;DOC_NAME=FAT:FQL_AUDITING_CLIENT_TEMPLATE.FAT&amp;display_string=Audit&amp;VAR:KEY=SDCXQZUTGF&amp;VAR:QUERY=RkZfRElWX1lMRChBTk4sMS8xOS8xMSwxLzE5LzExKQ==&amp;WINDOW=FIRST_POPUP&amp;HEIGHT=450&amp;WIDTH=450&amp;","START_MAXIMIZED=FALSE&amp;VAR:CALENDAR=US&amp;VAR:SYMBOL=RAI&amp;VAR:INDEX=0"}</definedName>
    <definedName name="_2107__FDSAUDITLINK__" hidden="1">{"fdsup://directions/FAT Viewer?action=UPDATE&amp;creator=factset&amp;DYN_ARGS=TRUE&amp;DOC_NAME=FAT:FQL_AUDITING_CLIENT_TEMPLATE.FAT&amp;display_string=Audit&amp;VAR:KEY=SDCXQZUTGF&amp;VAR:QUERY=RkZfRElWX1lMRChBTk4sMS8xOS8xMSwxLzE5LzExKQ==&amp;WINDOW=FIRST_POPUP&amp;HEIGHT=450&amp;WIDTH=450&amp;","START_MAXIMIZED=FALSE&amp;VAR:CALENDAR=US&amp;VAR:SYMBOL=RAI&amp;VAR:INDEX=0"}</definedName>
    <definedName name="_2108__FDSAUDITLINK__" localSheetId="0" hidden="1">{"fdsup://directions/FAT Viewer?action=UPDATE&amp;creator=factset&amp;DYN_ARGS=TRUE&amp;DOC_NAME=FAT:FQL_AUDITING_CLIENT_TEMPLATE.FAT&amp;display_string=Audit&amp;VAR:KEY=KDKXEPCTKL&amp;VAR:QUERY=RkZfRElWX1lMRChBTk4sMS8xMi8xMSwxLzEyLzExKQ==&amp;WINDOW=FIRST_POPUP&amp;HEIGHT=450&amp;WIDTH=450&amp;","START_MAXIMIZED=FALSE&amp;VAR:CALENDAR=US&amp;VAR:SYMBOL=RAI&amp;VAR:INDEX=0"}</definedName>
    <definedName name="_2108__FDSAUDITLINK__" hidden="1">{"fdsup://directions/FAT Viewer?action=UPDATE&amp;creator=factset&amp;DYN_ARGS=TRUE&amp;DOC_NAME=FAT:FQL_AUDITING_CLIENT_TEMPLATE.FAT&amp;display_string=Audit&amp;VAR:KEY=KDKXEPCTKL&amp;VAR:QUERY=RkZfRElWX1lMRChBTk4sMS8xMi8xMSwxLzEyLzExKQ==&amp;WINDOW=FIRST_POPUP&amp;HEIGHT=450&amp;WIDTH=450&amp;","START_MAXIMIZED=FALSE&amp;VAR:CALENDAR=US&amp;VAR:SYMBOL=RAI&amp;VAR:INDEX=0"}</definedName>
    <definedName name="_2109__FDSAUDITLINK__" localSheetId="0" hidden="1">{"fdsup://directions/FAT Viewer?action=UPDATE&amp;creator=factset&amp;DYN_ARGS=TRUE&amp;DOC_NAME=FAT:FQL_AUDITING_CLIENT_TEMPLATE.FAT&amp;display_string=Audit&amp;VAR:KEY=IHMRQNUBML&amp;VAR:QUERY=RkZfRElWX1lMRChBTk4sMS8wNS8xMSwxLzA1LzExKQ==&amp;WINDOW=FIRST_POPUP&amp;HEIGHT=450&amp;WIDTH=450&amp;","START_MAXIMIZED=FALSE&amp;VAR:CALENDAR=US&amp;VAR:SYMBOL=RAI&amp;VAR:INDEX=0"}</definedName>
    <definedName name="_2109__FDSAUDITLINK__" hidden="1">{"fdsup://directions/FAT Viewer?action=UPDATE&amp;creator=factset&amp;DYN_ARGS=TRUE&amp;DOC_NAME=FAT:FQL_AUDITING_CLIENT_TEMPLATE.FAT&amp;display_string=Audit&amp;VAR:KEY=IHMRQNUBML&amp;VAR:QUERY=RkZfRElWX1lMRChBTk4sMS8wNS8xMSwxLzA1LzExKQ==&amp;WINDOW=FIRST_POPUP&amp;HEIGHT=450&amp;WIDTH=450&amp;","START_MAXIMIZED=FALSE&amp;VAR:CALENDAR=US&amp;VAR:SYMBOL=RAI&amp;VAR:INDEX=0"}</definedName>
    <definedName name="_211" hidden="1">{#N/A,#N/A,FALSE,"ESI";#N/A,#N/A,FALSE,"LTI";#N/A,#N/A,FALSE,"Medical";#N/A,#N/A,FALSE,"DSG";#N/A,#N/A,FALSE,"PI";#N/A,#N/A,FALSE,"OI"}</definedName>
    <definedName name="_211__FDSAUDITLINK__" localSheetId="0" hidden="1">{"fdsup://directions/FAT Viewer?action=UPDATE&amp;creator=factset&amp;DYN_ARGS=TRUE&amp;DOC_NAME=FAT:FQL_AUDITING_CLIENT_TEMPLATE.FAT&amp;display_string=Audit&amp;VAR:KEY=HKBQHYTCVW&amp;VAR:QUERY=RkZfRElWX1lMRChBTk4sMy8yMi8wNywzLzIyLzA3KQ==&amp;WINDOW=FIRST_POPUP&amp;HEIGHT=450&amp;WIDTH=450&amp;","START_MAXIMIZED=FALSE&amp;VAR:CALENDAR=US&amp;VAR:SYMBOL=RAI&amp;VAR:INDEX=0"}</definedName>
    <definedName name="_211__FDSAUDITLINK__" hidden="1">{"fdsup://directions/FAT Viewer?action=UPDATE&amp;creator=factset&amp;DYN_ARGS=TRUE&amp;DOC_NAME=FAT:FQL_AUDITING_CLIENT_TEMPLATE.FAT&amp;display_string=Audit&amp;VAR:KEY=HKBQHYTCVW&amp;VAR:QUERY=RkZfRElWX1lMRChBTk4sMy8yMi8wNywzLzIyLzA3KQ==&amp;WINDOW=FIRST_POPUP&amp;HEIGHT=450&amp;WIDTH=450&amp;","START_MAXIMIZED=FALSE&amp;VAR:CALENDAR=US&amp;VAR:SYMBOL=RAI&amp;VAR:INDEX=0"}</definedName>
    <definedName name="_2110__FDSAUDITLINK__" localSheetId="0" hidden="1">{"fdsup://directions/FAT Viewer?action=UPDATE&amp;creator=factset&amp;DYN_ARGS=TRUE&amp;DOC_NAME=FAT:FQL_AUDITING_CLIENT_TEMPLATE.FAT&amp;display_string=Audit&amp;VAR:KEY=YDIDKFWDGX&amp;VAR:QUERY=RkZfRElWX1lMRChBTk4sMTIvMjkvMTAsMTIvMjkvMTAp&amp;WINDOW=FIRST_POPUP&amp;HEIGHT=450&amp;WIDTH=450&amp;","START_MAXIMIZED=FALSE&amp;VAR:CALENDAR=US&amp;VAR:SYMBOL=RAI&amp;VAR:INDEX=0"}</definedName>
    <definedName name="_2110__FDSAUDITLINK__" hidden="1">{"fdsup://directions/FAT Viewer?action=UPDATE&amp;creator=factset&amp;DYN_ARGS=TRUE&amp;DOC_NAME=FAT:FQL_AUDITING_CLIENT_TEMPLATE.FAT&amp;display_string=Audit&amp;VAR:KEY=YDIDKFWDGX&amp;VAR:QUERY=RkZfRElWX1lMRChBTk4sMTIvMjkvMTAsMTIvMjkvMTAp&amp;WINDOW=FIRST_POPUP&amp;HEIGHT=450&amp;WIDTH=450&amp;","START_MAXIMIZED=FALSE&amp;VAR:CALENDAR=US&amp;VAR:SYMBOL=RAI&amp;VAR:INDEX=0"}</definedName>
    <definedName name="_2111__FDSAUDITLINK__" localSheetId="0" hidden="1">{"fdsup://directions/FAT Viewer?action=UPDATE&amp;creator=factset&amp;DYN_ARGS=TRUE&amp;DOC_NAME=FAT:FQL_AUDITING_CLIENT_TEMPLATE.FAT&amp;display_string=Audit&amp;VAR:KEY=MPYJODWVIR&amp;VAR:QUERY=RkZfRElWX1lMRChBTk4sMTIvMjIvMTAsMTIvMjIvMTAp&amp;WINDOW=FIRST_POPUP&amp;HEIGHT=450&amp;WIDTH=450&amp;","START_MAXIMIZED=FALSE&amp;VAR:CALENDAR=US&amp;VAR:SYMBOL=RAI&amp;VAR:INDEX=0"}</definedName>
    <definedName name="_2111__FDSAUDITLINK__" hidden="1">{"fdsup://directions/FAT Viewer?action=UPDATE&amp;creator=factset&amp;DYN_ARGS=TRUE&amp;DOC_NAME=FAT:FQL_AUDITING_CLIENT_TEMPLATE.FAT&amp;display_string=Audit&amp;VAR:KEY=MPYJODWVIR&amp;VAR:QUERY=RkZfRElWX1lMRChBTk4sMTIvMjIvMTAsMTIvMjIvMTAp&amp;WINDOW=FIRST_POPUP&amp;HEIGHT=450&amp;WIDTH=450&amp;","START_MAXIMIZED=FALSE&amp;VAR:CALENDAR=US&amp;VAR:SYMBOL=RAI&amp;VAR:INDEX=0"}</definedName>
    <definedName name="_2112__FDSAUDITLINK__" localSheetId="0" hidden="1">{"fdsup://directions/FAT Viewer?action=UPDATE&amp;creator=factset&amp;DYN_ARGS=TRUE&amp;DOC_NAME=FAT:FQL_AUDITING_CLIENT_TEMPLATE.FAT&amp;display_string=Audit&amp;VAR:KEY=ODYNCNAZMT&amp;VAR:QUERY=RkZfRElWX1lMRChBTk4sMTIvMTUvMTAsMTIvMTUvMTAp&amp;WINDOW=FIRST_POPUP&amp;HEIGHT=450&amp;WIDTH=450&amp;","START_MAXIMIZED=FALSE&amp;VAR:CALENDAR=US&amp;VAR:SYMBOL=RAI&amp;VAR:INDEX=0"}</definedName>
    <definedName name="_2112__FDSAUDITLINK__" hidden="1">{"fdsup://directions/FAT Viewer?action=UPDATE&amp;creator=factset&amp;DYN_ARGS=TRUE&amp;DOC_NAME=FAT:FQL_AUDITING_CLIENT_TEMPLATE.FAT&amp;display_string=Audit&amp;VAR:KEY=ODYNCNAZMT&amp;VAR:QUERY=RkZfRElWX1lMRChBTk4sMTIvMTUvMTAsMTIvMTUvMTAp&amp;WINDOW=FIRST_POPUP&amp;HEIGHT=450&amp;WIDTH=450&amp;","START_MAXIMIZED=FALSE&amp;VAR:CALENDAR=US&amp;VAR:SYMBOL=RAI&amp;VAR:INDEX=0"}</definedName>
    <definedName name="_2113__FDSAUDITLINK__" localSheetId="0" hidden="1">{"fdsup://directions/FAT Viewer?action=UPDATE&amp;creator=factset&amp;DYN_ARGS=TRUE&amp;DOC_NAME=FAT:FQL_AUDITING_CLIENT_TEMPLATE.FAT&amp;display_string=Audit&amp;VAR:KEY=YFMPQZWRKX&amp;VAR:QUERY=RkZfRElWX1lMRChBTk4sMTIvMDgvMTAsMTIvMDgvMTAp&amp;WINDOW=FIRST_POPUP&amp;HEIGHT=450&amp;WIDTH=450&amp;","START_MAXIMIZED=FALSE&amp;VAR:CALENDAR=US&amp;VAR:SYMBOL=RAI&amp;VAR:INDEX=0"}</definedName>
    <definedName name="_2113__FDSAUDITLINK__" hidden="1">{"fdsup://directions/FAT Viewer?action=UPDATE&amp;creator=factset&amp;DYN_ARGS=TRUE&amp;DOC_NAME=FAT:FQL_AUDITING_CLIENT_TEMPLATE.FAT&amp;display_string=Audit&amp;VAR:KEY=YFMPQZWRKX&amp;VAR:QUERY=RkZfRElWX1lMRChBTk4sMTIvMDgvMTAsMTIvMDgvMTAp&amp;WINDOW=FIRST_POPUP&amp;HEIGHT=450&amp;WIDTH=450&amp;","START_MAXIMIZED=FALSE&amp;VAR:CALENDAR=US&amp;VAR:SYMBOL=RAI&amp;VAR:INDEX=0"}</definedName>
    <definedName name="_2114__FDSAUDITLINK__" localSheetId="0" hidden="1">{"fdsup://directions/FAT Viewer?action=UPDATE&amp;creator=factset&amp;DYN_ARGS=TRUE&amp;DOC_NAME=FAT:FQL_AUDITING_CLIENT_TEMPLATE.FAT&amp;display_string=Audit&amp;VAR:KEY=SJUXYPWVKX&amp;VAR:QUERY=RkZfRElWX1lMRChBTk4sMTIvMDEvMTAsMTIvMDEvMTAp&amp;WINDOW=FIRST_POPUP&amp;HEIGHT=450&amp;WIDTH=450&amp;","START_MAXIMIZED=FALSE&amp;VAR:CALENDAR=US&amp;VAR:SYMBOL=RAI&amp;VAR:INDEX=0"}</definedName>
    <definedName name="_2114__FDSAUDITLINK__" hidden="1">{"fdsup://directions/FAT Viewer?action=UPDATE&amp;creator=factset&amp;DYN_ARGS=TRUE&amp;DOC_NAME=FAT:FQL_AUDITING_CLIENT_TEMPLATE.FAT&amp;display_string=Audit&amp;VAR:KEY=SJUXYPWVKX&amp;VAR:QUERY=RkZfRElWX1lMRChBTk4sMTIvMDEvMTAsMTIvMDEvMTAp&amp;WINDOW=FIRST_POPUP&amp;HEIGHT=450&amp;WIDTH=450&amp;","START_MAXIMIZED=FALSE&amp;VAR:CALENDAR=US&amp;VAR:SYMBOL=RAI&amp;VAR:INDEX=0"}</definedName>
    <definedName name="_2115">#REF!</definedName>
    <definedName name="_2115__FDSAUDITLINK__" localSheetId="0" hidden="1">{"fdsup://directions/FAT Viewer?action=UPDATE&amp;creator=factset&amp;DYN_ARGS=TRUE&amp;DOC_NAME=FAT:FQL_AUDITING_CLIENT_TEMPLATE.FAT&amp;display_string=Audit&amp;VAR:KEY=WNUTKFMTAZ&amp;VAR:QUERY=RkZfRElWX1lMRChBTk4sMTEvMjQvMTAsMTEvMjQvMTAp&amp;WINDOW=FIRST_POPUP&amp;HEIGHT=450&amp;WIDTH=450&amp;","START_MAXIMIZED=FALSE&amp;VAR:CALENDAR=US&amp;VAR:SYMBOL=RAI&amp;VAR:INDEX=0"}</definedName>
    <definedName name="_2115__FDSAUDITLINK__" hidden="1">{"fdsup://directions/FAT Viewer?action=UPDATE&amp;creator=factset&amp;DYN_ARGS=TRUE&amp;DOC_NAME=FAT:FQL_AUDITING_CLIENT_TEMPLATE.FAT&amp;display_string=Audit&amp;VAR:KEY=WNUTKFMTAZ&amp;VAR:QUERY=RkZfRElWX1lMRChBTk4sMTEvMjQvMTAsMTEvMjQvMTAp&amp;WINDOW=FIRST_POPUP&amp;HEIGHT=450&amp;WIDTH=450&amp;","START_MAXIMIZED=FALSE&amp;VAR:CALENDAR=US&amp;VAR:SYMBOL=RAI&amp;VAR:INDEX=0"}</definedName>
    <definedName name="_2116__FDSAUDITLINK__" localSheetId="0" hidden="1">{"fdsup://directions/FAT Viewer?action=UPDATE&amp;creator=factset&amp;DYN_ARGS=TRUE&amp;DOC_NAME=FAT:FQL_AUDITING_CLIENT_TEMPLATE.FAT&amp;display_string=Audit&amp;VAR:KEY=CJSNGDIRSD&amp;VAR:QUERY=RkZfRElWX1lMRChBTk4sMTEvMTcvMTAsMTEvMTcvMTAp&amp;WINDOW=FIRST_POPUP&amp;HEIGHT=450&amp;WIDTH=450&amp;","START_MAXIMIZED=FALSE&amp;VAR:CALENDAR=US&amp;VAR:SYMBOL=RAI&amp;VAR:INDEX=0"}</definedName>
    <definedName name="_2116__FDSAUDITLINK__" hidden="1">{"fdsup://directions/FAT Viewer?action=UPDATE&amp;creator=factset&amp;DYN_ARGS=TRUE&amp;DOC_NAME=FAT:FQL_AUDITING_CLIENT_TEMPLATE.FAT&amp;display_string=Audit&amp;VAR:KEY=CJSNGDIRSD&amp;VAR:QUERY=RkZfRElWX1lMRChBTk4sMTEvMTcvMTAsMTEvMTcvMTAp&amp;WINDOW=FIRST_POPUP&amp;HEIGHT=450&amp;WIDTH=450&amp;","START_MAXIMIZED=FALSE&amp;VAR:CALENDAR=US&amp;VAR:SYMBOL=RAI&amp;VAR:INDEX=0"}</definedName>
    <definedName name="_2117__FDSAUDITLINK__" localSheetId="0" hidden="1">{"fdsup://directions/FAT Viewer?action=UPDATE&amp;creator=factset&amp;DYN_ARGS=TRUE&amp;DOC_NAME=FAT:FQL_AUDITING_CLIENT_TEMPLATE.FAT&amp;display_string=Audit&amp;VAR:KEY=WXWZMVGVMX&amp;VAR:QUERY=RkZfRElWX1lMRChBTk4sMTEvMTAvMTAsMTEvMTAvMTAp&amp;WINDOW=FIRST_POPUP&amp;HEIGHT=450&amp;WIDTH=450&amp;","START_MAXIMIZED=FALSE&amp;VAR:CALENDAR=US&amp;VAR:SYMBOL=RAI&amp;VAR:INDEX=0"}</definedName>
    <definedName name="_2117__FDSAUDITLINK__" hidden="1">{"fdsup://directions/FAT Viewer?action=UPDATE&amp;creator=factset&amp;DYN_ARGS=TRUE&amp;DOC_NAME=FAT:FQL_AUDITING_CLIENT_TEMPLATE.FAT&amp;display_string=Audit&amp;VAR:KEY=WXWZMVGVMX&amp;VAR:QUERY=RkZfRElWX1lMRChBTk4sMTEvMTAvMTAsMTEvMTAvMTAp&amp;WINDOW=FIRST_POPUP&amp;HEIGHT=450&amp;WIDTH=450&amp;","START_MAXIMIZED=FALSE&amp;VAR:CALENDAR=US&amp;VAR:SYMBOL=RAI&amp;VAR:INDEX=0"}</definedName>
    <definedName name="_2118__FDSAUDITLINK__" localSheetId="0" hidden="1">{"fdsup://directions/FAT Viewer?action=UPDATE&amp;creator=factset&amp;DYN_ARGS=TRUE&amp;DOC_NAME=FAT:FQL_AUDITING_CLIENT_TEMPLATE.FAT&amp;display_string=Audit&amp;VAR:KEY=KXKNCFCXGL&amp;VAR:QUERY=RkZfRElWX1lMRChBTk4sMTEvMDMvMTAsMTEvMDMvMTAp&amp;WINDOW=FIRST_POPUP&amp;HEIGHT=450&amp;WIDTH=450&amp;","START_MAXIMIZED=FALSE&amp;VAR:CALENDAR=US&amp;VAR:SYMBOL=RAI&amp;VAR:INDEX=0"}</definedName>
    <definedName name="_2118__FDSAUDITLINK__" hidden="1">{"fdsup://directions/FAT Viewer?action=UPDATE&amp;creator=factset&amp;DYN_ARGS=TRUE&amp;DOC_NAME=FAT:FQL_AUDITING_CLIENT_TEMPLATE.FAT&amp;display_string=Audit&amp;VAR:KEY=KXKNCFCXGL&amp;VAR:QUERY=RkZfRElWX1lMRChBTk4sMTEvMDMvMTAsMTEvMDMvMTAp&amp;WINDOW=FIRST_POPUP&amp;HEIGHT=450&amp;WIDTH=450&amp;","START_MAXIMIZED=FALSE&amp;VAR:CALENDAR=US&amp;VAR:SYMBOL=RAI&amp;VAR:INDEX=0"}</definedName>
    <definedName name="_2119">#REF!</definedName>
    <definedName name="_2119__FDSAUDITLINK__" localSheetId="0" hidden="1">{"fdsup://directions/FAT Viewer?action=UPDATE&amp;creator=factset&amp;DYN_ARGS=TRUE&amp;DOC_NAME=FAT:FQL_AUDITING_CLIENT_TEMPLATE.FAT&amp;display_string=Audit&amp;VAR:KEY=SLWJYFWDGB&amp;VAR:QUERY=RkZfRElWX1lMRChBTk4sMTAvMjcvMTAsMTAvMjcvMTAp&amp;WINDOW=FIRST_POPUP&amp;HEIGHT=450&amp;WIDTH=450&amp;","START_MAXIMIZED=FALSE&amp;VAR:CALENDAR=US&amp;VAR:SYMBOL=RAI&amp;VAR:INDEX=0"}</definedName>
    <definedName name="_2119__FDSAUDITLINK__" hidden="1">{"fdsup://directions/FAT Viewer?action=UPDATE&amp;creator=factset&amp;DYN_ARGS=TRUE&amp;DOC_NAME=FAT:FQL_AUDITING_CLIENT_TEMPLATE.FAT&amp;display_string=Audit&amp;VAR:KEY=SLWJYFWDGB&amp;VAR:QUERY=RkZfRElWX1lMRChBTk4sMTAvMjcvMTAsMTAvMjcvMTAp&amp;WINDOW=FIRST_POPUP&amp;HEIGHT=450&amp;WIDTH=450&amp;","START_MAXIMIZED=FALSE&amp;VAR:CALENDAR=US&amp;VAR:SYMBOL=RAI&amp;VAR:INDEX=0"}</definedName>
    <definedName name="_212__FDSAUDITLINK__" localSheetId="0" hidden="1">{"fdsup://directions/FAT Viewer?action=UPDATE&amp;creator=factset&amp;DYN_ARGS=TRUE&amp;DOC_NAME=FAT:FQL_AUDITING_CLIENT_TEMPLATE.FAT&amp;display_string=Audit&amp;VAR:KEY=TYRMTEREXW&amp;VAR:QUERY=RkZfRElWX1lMRChBTk4sMy8xNS8wNywzLzE1LzA3KQ==&amp;WINDOW=FIRST_POPUP&amp;HEIGHT=450&amp;WIDTH=450&amp;","START_MAXIMIZED=FALSE&amp;VAR:CALENDAR=US&amp;VAR:SYMBOL=RAI&amp;VAR:INDEX=0"}</definedName>
    <definedName name="_212__FDSAUDITLINK__" hidden="1">{"fdsup://directions/FAT Viewer?action=UPDATE&amp;creator=factset&amp;DYN_ARGS=TRUE&amp;DOC_NAME=FAT:FQL_AUDITING_CLIENT_TEMPLATE.FAT&amp;display_string=Audit&amp;VAR:KEY=TYRMTEREXW&amp;VAR:QUERY=RkZfRElWX1lMRChBTk4sMy8xNS8wNywzLzE1LzA3KQ==&amp;WINDOW=FIRST_POPUP&amp;HEIGHT=450&amp;WIDTH=450&amp;","START_MAXIMIZED=FALSE&amp;VAR:CALENDAR=US&amp;VAR:SYMBOL=RAI&amp;VAR:INDEX=0"}</definedName>
    <definedName name="_2120__FDSAUDITLINK__" localSheetId="0" hidden="1">{"fdsup://directions/FAT Viewer?action=UPDATE&amp;creator=factset&amp;DYN_ARGS=TRUE&amp;DOC_NAME=FAT:FQL_AUDITING_CLIENT_TEMPLATE.FAT&amp;display_string=Audit&amp;VAR:KEY=YPGRSHODIP&amp;VAR:QUERY=RkZfRElWX1lMRChBTk4sMTAvMjAvMTAsMTAvMjAvMTAp&amp;WINDOW=FIRST_POPUP&amp;HEIGHT=450&amp;WIDTH=450&amp;","START_MAXIMIZED=FALSE&amp;VAR:CALENDAR=US&amp;VAR:SYMBOL=RAI&amp;VAR:INDEX=0"}</definedName>
    <definedName name="_2120__FDSAUDITLINK__" hidden="1">{"fdsup://directions/FAT Viewer?action=UPDATE&amp;creator=factset&amp;DYN_ARGS=TRUE&amp;DOC_NAME=FAT:FQL_AUDITING_CLIENT_TEMPLATE.FAT&amp;display_string=Audit&amp;VAR:KEY=YPGRSHODIP&amp;VAR:QUERY=RkZfRElWX1lMRChBTk4sMTAvMjAvMTAsMTAvMjAvMTAp&amp;WINDOW=FIRST_POPUP&amp;HEIGHT=450&amp;WIDTH=450&amp;","START_MAXIMIZED=FALSE&amp;VAR:CALENDAR=US&amp;VAR:SYMBOL=RAI&amp;VAR:INDEX=0"}</definedName>
    <definedName name="_2121__FDSAUDITLINK__" localSheetId="0" hidden="1">{"fdsup://directions/FAT Viewer?action=UPDATE&amp;creator=factset&amp;DYN_ARGS=TRUE&amp;DOC_NAME=FAT:FQL_AUDITING_CLIENT_TEMPLATE.FAT&amp;display_string=Audit&amp;VAR:KEY=KBUPEPQXAJ&amp;VAR:QUERY=RkZfRElWX1lMRChBTk4sMTAvMTMvMTAsMTAvMTMvMTAp&amp;WINDOW=FIRST_POPUP&amp;HEIGHT=450&amp;WIDTH=450&amp;","START_MAXIMIZED=FALSE&amp;VAR:CALENDAR=US&amp;VAR:SYMBOL=RAI&amp;VAR:INDEX=0"}</definedName>
    <definedName name="_2121__FDSAUDITLINK__" hidden="1">{"fdsup://directions/FAT Viewer?action=UPDATE&amp;creator=factset&amp;DYN_ARGS=TRUE&amp;DOC_NAME=FAT:FQL_AUDITING_CLIENT_TEMPLATE.FAT&amp;display_string=Audit&amp;VAR:KEY=KBUPEPQXAJ&amp;VAR:QUERY=RkZfRElWX1lMRChBTk4sMTAvMTMvMTAsMTAvMTMvMTAp&amp;WINDOW=FIRST_POPUP&amp;HEIGHT=450&amp;WIDTH=450&amp;","START_MAXIMIZED=FALSE&amp;VAR:CALENDAR=US&amp;VAR:SYMBOL=RAI&amp;VAR:INDEX=0"}</definedName>
    <definedName name="_2122__FDSAUDITLINK__" localSheetId="0" hidden="1">{"fdsup://directions/FAT Viewer?action=UPDATE&amp;creator=factset&amp;DYN_ARGS=TRUE&amp;DOC_NAME=FAT:FQL_AUDITING_CLIENT_TEMPLATE.FAT&amp;display_string=Audit&amp;VAR:KEY=WDQZGLMBIT&amp;VAR:QUERY=RkZfRElWX1lMRChBTk4sMTAvMDYvMTAsMTAvMDYvMTAp&amp;WINDOW=FIRST_POPUP&amp;HEIGHT=450&amp;WIDTH=450&amp;","START_MAXIMIZED=FALSE&amp;VAR:CALENDAR=US&amp;VAR:SYMBOL=RAI&amp;VAR:INDEX=0"}</definedName>
    <definedName name="_2122__FDSAUDITLINK__" hidden="1">{"fdsup://directions/FAT Viewer?action=UPDATE&amp;creator=factset&amp;DYN_ARGS=TRUE&amp;DOC_NAME=FAT:FQL_AUDITING_CLIENT_TEMPLATE.FAT&amp;display_string=Audit&amp;VAR:KEY=WDQZGLMBIT&amp;VAR:QUERY=RkZfRElWX1lMRChBTk4sMTAvMDYvMTAsMTAvMDYvMTAp&amp;WINDOW=FIRST_POPUP&amp;HEIGHT=450&amp;WIDTH=450&amp;","START_MAXIMIZED=FALSE&amp;VAR:CALENDAR=US&amp;VAR:SYMBOL=RAI&amp;VAR:INDEX=0"}</definedName>
    <definedName name="_2123__FDSAUDITLINK__" localSheetId="0" hidden="1">{"fdsup://directions/FAT Viewer?action=UPDATE&amp;creator=factset&amp;DYN_ARGS=TRUE&amp;DOC_NAME=FAT:FQL_AUDITING_CLIENT_TEMPLATE.FAT&amp;display_string=Audit&amp;VAR:KEY=AZUNQLWZAN&amp;VAR:QUERY=RkZfRElWX1lMRChBTk4sOS8yOS8xMCw5LzI5LzEwKQ==&amp;WINDOW=FIRST_POPUP&amp;HEIGHT=450&amp;WIDTH=450&amp;","START_MAXIMIZED=FALSE&amp;VAR:CALENDAR=US&amp;VAR:SYMBOL=RAI&amp;VAR:INDEX=0"}</definedName>
    <definedName name="_2123__FDSAUDITLINK__" hidden="1">{"fdsup://directions/FAT Viewer?action=UPDATE&amp;creator=factset&amp;DYN_ARGS=TRUE&amp;DOC_NAME=FAT:FQL_AUDITING_CLIENT_TEMPLATE.FAT&amp;display_string=Audit&amp;VAR:KEY=AZUNQLWZAN&amp;VAR:QUERY=RkZfRElWX1lMRChBTk4sOS8yOS8xMCw5LzI5LzEwKQ==&amp;WINDOW=FIRST_POPUP&amp;HEIGHT=450&amp;WIDTH=450&amp;","START_MAXIMIZED=FALSE&amp;VAR:CALENDAR=US&amp;VAR:SYMBOL=RAI&amp;VAR:INDEX=0"}</definedName>
    <definedName name="_2124">#REF!</definedName>
    <definedName name="_2124__FDSAUDITLINK__" localSheetId="0" hidden="1">{"fdsup://directions/FAT Viewer?action=UPDATE&amp;creator=factset&amp;DYN_ARGS=TRUE&amp;DOC_NAME=FAT:FQL_AUDITING_CLIENT_TEMPLATE.FAT&amp;display_string=Audit&amp;VAR:KEY=IRIHGTIJIX&amp;VAR:QUERY=RkZfRElWX1lMRChBTk4sOS8yMi8xMCw5LzIyLzEwKQ==&amp;WINDOW=FIRST_POPUP&amp;HEIGHT=450&amp;WIDTH=450&amp;","START_MAXIMIZED=FALSE&amp;VAR:CALENDAR=US&amp;VAR:SYMBOL=RAI&amp;VAR:INDEX=0"}</definedName>
    <definedName name="_2124__FDSAUDITLINK__" hidden="1">{"fdsup://directions/FAT Viewer?action=UPDATE&amp;creator=factset&amp;DYN_ARGS=TRUE&amp;DOC_NAME=FAT:FQL_AUDITING_CLIENT_TEMPLATE.FAT&amp;display_string=Audit&amp;VAR:KEY=IRIHGTIJIX&amp;VAR:QUERY=RkZfRElWX1lMRChBTk4sOS8yMi8xMCw5LzIyLzEwKQ==&amp;WINDOW=FIRST_POPUP&amp;HEIGHT=450&amp;WIDTH=450&amp;","START_MAXIMIZED=FALSE&amp;VAR:CALENDAR=US&amp;VAR:SYMBOL=RAI&amp;VAR:INDEX=0"}</definedName>
    <definedName name="_2125__FDSAUDITLINK__" localSheetId="0" hidden="1">{"fdsup://directions/FAT Viewer?action=UPDATE&amp;creator=factset&amp;DYN_ARGS=TRUE&amp;DOC_NAME=FAT:FQL_AUDITING_CLIENT_TEMPLATE.FAT&amp;display_string=Audit&amp;VAR:KEY=UDKJWJSRCN&amp;VAR:QUERY=RkZfRElWX1lMRChBTk4sOS8xNS8xMCw5LzE1LzEwKQ==&amp;WINDOW=FIRST_POPUP&amp;HEIGHT=450&amp;WIDTH=450&amp;","START_MAXIMIZED=FALSE&amp;VAR:CALENDAR=US&amp;VAR:SYMBOL=RAI&amp;VAR:INDEX=0"}</definedName>
    <definedName name="_2125__FDSAUDITLINK__" hidden="1">{"fdsup://directions/FAT Viewer?action=UPDATE&amp;creator=factset&amp;DYN_ARGS=TRUE&amp;DOC_NAME=FAT:FQL_AUDITING_CLIENT_TEMPLATE.FAT&amp;display_string=Audit&amp;VAR:KEY=UDKJWJSRCN&amp;VAR:QUERY=RkZfRElWX1lMRChBTk4sOS8xNS8xMCw5LzE1LzEwKQ==&amp;WINDOW=FIRST_POPUP&amp;HEIGHT=450&amp;WIDTH=450&amp;","START_MAXIMIZED=FALSE&amp;VAR:CALENDAR=US&amp;VAR:SYMBOL=RAI&amp;VAR:INDEX=0"}</definedName>
    <definedName name="_2126__FDSAUDITLINK__" localSheetId="0" hidden="1">{"fdsup://directions/FAT Viewer?action=UPDATE&amp;creator=factset&amp;DYN_ARGS=TRUE&amp;DOC_NAME=FAT:FQL_AUDITING_CLIENT_TEMPLATE.FAT&amp;display_string=Audit&amp;VAR:KEY=EZWHKTQNSL&amp;VAR:QUERY=RkZfRElWX1lMRChBTk4sOS8wOC8xMCw5LzA4LzEwKQ==&amp;WINDOW=FIRST_POPUP&amp;HEIGHT=450&amp;WIDTH=450&amp;","START_MAXIMIZED=FALSE&amp;VAR:CALENDAR=US&amp;VAR:SYMBOL=RAI&amp;VAR:INDEX=0"}</definedName>
    <definedName name="_2126__FDSAUDITLINK__" hidden="1">{"fdsup://directions/FAT Viewer?action=UPDATE&amp;creator=factset&amp;DYN_ARGS=TRUE&amp;DOC_NAME=FAT:FQL_AUDITING_CLIENT_TEMPLATE.FAT&amp;display_string=Audit&amp;VAR:KEY=EZWHKTQNSL&amp;VAR:QUERY=RkZfRElWX1lMRChBTk4sOS8wOC8xMCw5LzA4LzEwKQ==&amp;WINDOW=FIRST_POPUP&amp;HEIGHT=450&amp;WIDTH=450&amp;","START_MAXIMIZED=FALSE&amp;VAR:CALENDAR=US&amp;VAR:SYMBOL=RAI&amp;VAR:INDEX=0"}</definedName>
    <definedName name="_2127__FDSAUDITLINK__" localSheetId="0" hidden="1">{"fdsup://directions/FAT Viewer?action=UPDATE&amp;creator=factset&amp;DYN_ARGS=TRUE&amp;DOC_NAME=FAT:FQL_AUDITING_CLIENT_TEMPLATE.FAT&amp;display_string=Audit&amp;VAR:KEY=MJAZMRWTGV&amp;VAR:QUERY=RkZfRElWX1lMRChBTk4sOS8wMS8xMCw5LzAxLzEwKQ==&amp;WINDOW=FIRST_POPUP&amp;HEIGHT=450&amp;WIDTH=450&amp;","START_MAXIMIZED=FALSE&amp;VAR:CALENDAR=US&amp;VAR:SYMBOL=RAI&amp;VAR:INDEX=0"}</definedName>
    <definedName name="_2127__FDSAUDITLINK__" hidden="1">{"fdsup://directions/FAT Viewer?action=UPDATE&amp;creator=factset&amp;DYN_ARGS=TRUE&amp;DOC_NAME=FAT:FQL_AUDITING_CLIENT_TEMPLATE.FAT&amp;display_string=Audit&amp;VAR:KEY=MJAZMRWTGV&amp;VAR:QUERY=RkZfRElWX1lMRChBTk4sOS8wMS8xMCw5LzAxLzEwKQ==&amp;WINDOW=FIRST_POPUP&amp;HEIGHT=450&amp;WIDTH=450&amp;","START_MAXIMIZED=FALSE&amp;VAR:CALENDAR=US&amp;VAR:SYMBOL=RAI&amp;VAR:INDEX=0"}</definedName>
    <definedName name="_2128__FDSAUDITLINK__" localSheetId="0" hidden="1">{"fdsup://directions/FAT Viewer?action=UPDATE&amp;creator=factset&amp;DYN_ARGS=TRUE&amp;DOC_NAME=FAT:FQL_AUDITING_CLIENT_TEMPLATE.FAT&amp;display_string=Audit&amp;VAR:KEY=UHMTUDCNAF&amp;VAR:QUERY=RkZfRElWX1lMRChBTk4sOC8yNS8xMCw4LzI1LzEwKQ==&amp;WINDOW=FIRST_POPUP&amp;HEIGHT=450&amp;WIDTH=450&amp;","START_MAXIMIZED=FALSE&amp;VAR:CALENDAR=US&amp;VAR:SYMBOL=RAI&amp;VAR:INDEX=0"}</definedName>
    <definedName name="_2128__FDSAUDITLINK__" hidden="1">{"fdsup://directions/FAT Viewer?action=UPDATE&amp;creator=factset&amp;DYN_ARGS=TRUE&amp;DOC_NAME=FAT:FQL_AUDITING_CLIENT_TEMPLATE.FAT&amp;display_string=Audit&amp;VAR:KEY=UHMTUDCNAF&amp;VAR:QUERY=RkZfRElWX1lMRChBTk4sOC8yNS8xMCw4LzI1LzEwKQ==&amp;WINDOW=FIRST_POPUP&amp;HEIGHT=450&amp;WIDTH=450&amp;","START_MAXIMIZED=FALSE&amp;VAR:CALENDAR=US&amp;VAR:SYMBOL=RAI&amp;VAR:INDEX=0"}</definedName>
    <definedName name="_2129">#REF!</definedName>
    <definedName name="_2129__FDSAUDITLINK__" localSheetId="0" hidden="1">{"fdsup://directions/FAT Viewer?action=UPDATE&amp;creator=factset&amp;DYN_ARGS=TRUE&amp;DOC_NAME=FAT:FQL_AUDITING_CLIENT_TEMPLATE.FAT&amp;display_string=Audit&amp;VAR:KEY=SJQFOVKLMB&amp;VAR:QUERY=RkZfRElWX1lMRChBTk4sOC8xOC8xMCw4LzE4LzEwKQ==&amp;WINDOW=FIRST_POPUP&amp;HEIGHT=450&amp;WIDTH=450&amp;","START_MAXIMIZED=FALSE&amp;VAR:CALENDAR=US&amp;VAR:SYMBOL=RAI&amp;VAR:INDEX=0"}</definedName>
    <definedName name="_2129__FDSAUDITLINK__" hidden="1">{"fdsup://directions/FAT Viewer?action=UPDATE&amp;creator=factset&amp;DYN_ARGS=TRUE&amp;DOC_NAME=FAT:FQL_AUDITING_CLIENT_TEMPLATE.FAT&amp;display_string=Audit&amp;VAR:KEY=SJQFOVKLMB&amp;VAR:QUERY=RkZfRElWX1lMRChBTk4sOC8xOC8xMCw4LzE4LzEwKQ==&amp;WINDOW=FIRST_POPUP&amp;HEIGHT=450&amp;WIDTH=450&amp;","START_MAXIMIZED=FALSE&amp;VAR:CALENDAR=US&amp;VAR:SYMBOL=RAI&amp;VAR:INDEX=0"}</definedName>
    <definedName name="_213__FDSAUDITLINK__" localSheetId="0" hidden="1">{"fdsup://directions/FAT Viewer?action=UPDATE&amp;creator=factset&amp;DYN_ARGS=TRUE&amp;DOC_NAME=FAT:FQL_AUDITING_CLIENT_TEMPLATE.FAT&amp;display_string=Audit&amp;VAR:KEY=FUHKPCNQRS&amp;VAR:QUERY=RkZfRElWX1lMRChBTk4sMy8wOC8wNywzLzA4LzA3KQ==&amp;WINDOW=FIRST_POPUP&amp;HEIGHT=450&amp;WIDTH=450&amp;","START_MAXIMIZED=FALSE&amp;VAR:CALENDAR=US&amp;VAR:SYMBOL=RAI&amp;VAR:INDEX=0"}</definedName>
    <definedName name="_213__FDSAUDITLINK__" hidden="1">{"fdsup://directions/FAT Viewer?action=UPDATE&amp;creator=factset&amp;DYN_ARGS=TRUE&amp;DOC_NAME=FAT:FQL_AUDITING_CLIENT_TEMPLATE.FAT&amp;display_string=Audit&amp;VAR:KEY=FUHKPCNQRS&amp;VAR:QUERY=RkZfRElWX1lMRChBTk4sMy8wOC8wNywzLzA4LzA3KQ==&amp;WINDOW=FIRST_POPUP&amp;HEIGHT=450&amp;WIDTH=450&amp;","START_MAXIMIZED=FALSE&amp;VAR:CALENDAR=US&amp;VAR:SYMBOL=RAI&amp;VAR:INDEX=0"}</definedName>
    <definedName name="_2130__FDSAUDITLINK__" localSheetId="0" hidden="1">{"fdsup://directions/FAT Viewer?action=UPDATE&amp;creator=factset&amp;DYN_ARGS=TRUE&amp;DOC_NAME=FAT:FQL_AUDITING_CLIENT_TEMPLATE.FAT&amp;display_string=Audit&amp;VAR:KEY=OBYHIHIROT&amp;VAR:QUERY=RkZfRElWX1lMRChBTk4sOC8xMS8xMCw4LzExLzEwKQ==&amp;WINDOW=FIRST_POPUP&amp;HEIGHT=450&amp;WIDTH=450&amp;","START_MAXIMIZED=FALSE&amp;VAR:CALENDAR=US&amp;VAR:SYMBOL=RAI&amp;VAR:INDEX=0"}</definedName>
    <definedName name="_2130__FDSAUDITLINK__" hidden="1">{"fdsup://directions/FAT Viewer?action=UPDATE&amp;creator=factset&amp;DYN_ARGS=TRUE&amp;DOC_NAME=FAT:FQL_AUDITING_CLIENT_TEMPLATE.FAT&amp;display_string=Audit&amp;VAR:KEY=OBYHIHIROT&amp;VAR:QUERY=RkZfRElWX1lMRChBTk4sOC8xMS8xMCw4LzExLzEwKQ==&amp;WINDOW=FIRST_POPUP&amp;HEIGHT=450&amp;WIDTH=450&amp;","START_MAXIMIZED=FALSE&amp;VAR:CALENDAR=US&amp;VAR:SYMBOL=RAI&amp;VAR:INDEX=0"}</definedName>
    <definedName name="_2131__FDSAUDITLINK__" localSheetId="0" hidden="1">{"fdsup://directions/FAT Viewer?action=UPDATE&amp;creator=factset&amp;DYN_ARGS=TRUE&amp;DOC_NAME=FAT:FQL_AUDITING_CLIENT_TEMPLATE.FAT&amp;display_string=Audit&amp;VAR:KEY=IPWHGZERAJ&amp;VAR:QUERY=RkZfRElWX1lMRChBTk4sOC8wNC8xMCw4LzA0LzEwKQ==&amp;WINDOW=FIRST_POPUP&amp;HEIGHT=450&amp;WIDTH=450&amp;","START_MAXIMIZED=FALSE&amp;VAR:CALENDAR=US&amp;VAR:SYMBOL=RAI&amp;VAR:INDEX=0"}</definedName>
    <definedName name="_2131__FDSAUDITLINK__" hidden="1">{"fdsup://directions/FAT Viewer?action=UPDATE&amp;creator=factset&amp;DYN_ARGS=TRUE&amp;DOC_NAME=FAT:FQL_AUDITING_CLIENT_TEMPLATE.FAT&amp;display_string=Audit&amp;VAR:KEY=IPWHGZERAJ&amp;VAR:QUERY=RkZfRElWX1lMRChBTk4sOC8wNC8xMCw4LzA0LzEwKQ==&amp;WINDOW=FIRST_POPUP&amp;HEIGHT=450&amp;WIDTH=450&amp;","START_MAXIMIZED=FALSE&amp;VAR:CALENDAR=US&amp;VAR:SYMBOL=RAI&amp;VAR:INDEX=0"}</definedName>
    <definedName name="_2132">#REF!</definedName>
    <definedName name="_2132__FDSAUDITLINK__" localSheetId="0" hidden="1">{"fdsup://directions/FAT Viewer?action=UPDATE&amp;creator=factset&amp;DYN_ARGS=TRUE&amp;DOC_NAME=FAT:FQL_AUDITING_CLIENT_TEMPLATE.FAT&amp;display_string=Audit&amp;VAR:KEY=SHIZIPQZIF&amp;VAR:QUERY=RkZfRElWX1lMRChBTk4sNy8yOC8xMCw3LzI4LzEwKQ==&amp;WINDOW=FIRST_POPUP&amp;HEIGHT=450&amp;WIDTH=450&amp;","START_MAXIMIZED=FALSE&amp;VAR:CALENDAR=US&amp;VAR:SYMBOL=RAI&amp;VAR:INDEX=0"}</definedName>
    <definedName name="_2132__FDSAUDITLINK__" hidden="1">{"fdsup://directions/FAT Viewer?action=UPDATE&amp;creator=factset&amp;DYN_ARGS=TRUE&amp;DOC_NAME=FAT:FQL_AUDITING_CLIENT_TEMPLATE.FAT&amp;display_string=Audit&amp;VAR:KEY=SHIZIPQZIF&amp;VAR:QUERY=RkZfRElWX1lMRChBTk4sNy8yOC8xMCw3LzI4LzEwKQ==&amp;WINDOW=FIRST_POPUP&amp;HEIGHT=450&amp;WIDTH=450&amp;","START_MAXIMIZED=FALSE&amp;VAR:CALENDAR=US&amp;VAR:SYMBOL=RAI&amp;VAR:INDEX=0"}</definedName>
    <definedName name="_2133">#REF!</definedName>
    <definedName name="_2133__FDSAUDITLINK__" localSheetId="0" hidden="1">{"fdsup://directions/FAT Viewer?action=UPDATE&amp;creator=factset&amp;DYN_ARGS=TRUE&amp;DOC_NAME=FAT:FQL_AUDITING_CLIENT_TEMPLATE.FAT&amp;display_string=Audit&amp;VAR:KEY=URONMRSJMH&amp;VAR:QUERY=RkZfRElWX1lMRChBTk4sNy8yMS8xMCw3LzIxLzEwKQ==&amp;WINDOW=FIRST_POPUP&amp;HEIGHT=450&amp;WIDTH=450&amp;","START_MAXIMIZED=FALSE&amp;VAR:CALENDAR=US&amp;VAR:SYMBOL=RAI&amp;VAR:INDEX=0"}</definedName>
    <definedName name="_2133__FDSAUDITLINK__" hidden="1">{"fdsup://directions/FAT Viewer?action=UPDATE&amp;creator=factset&amp;DYN_ARGS=TRUE&amp;DOC_NAME=FAT:FQL_AUDITING_CLIENT_TEMPLATE.FAT&amp;display_string=Audit&amp;VAR:KEY=URONMRSJMH&amp;VAR:QUERY=RkZfRElWX1lMRChBTk4sNy8yMS8xMCw3LzIxLzEwKQ==&amp;WINDOW=FIRST_POPUP&amp;HEIGHT=450&amp;WIDTH=450&amp;","START_MAXIMIZED=FALSE&amp;VAR:CALENDAR=US&amp;VAR:SYMBOL=RAI&amp;VAR:INDEX=0"}</definedName>
    <definedName name="_2134__FDSAUDITLINK__" localSheetId="0" hidden="1">{"fdsup://directions/FAT Viewer?action=UPDATE&amp;creator=factset&amp;DYN_ARGS=TRUE&amp;DOC_NAME=FAT:FQL_AUDITING_CLIENT_TEMPLATE.FAT&amp;display_string=Audit&amp;VAR:KEY=QZGVQNWZQH&amp;VAR:QUERY=RkZfRElWX1lMRChBTk4sNy8xNC8xMCw3LzE0LzEwKQ==&amp;WINDOW=FIRST_POPUP&amp;HEIGHT=450&amp;WIDTH=450&amp;","START_MAXIMIZED=FALSE&amp;VAR:CALENDAR=US&amp;VAR:SYMBOL=RAI&amp;VAR:INDEX=0"}</definedName>
    <definedName name="_2134__FDSAUDITLINK__" hidden="1">{"fdsup://directions/FAT Viewer?action=UPDATE&amp;creator=factset&amp;DYN_ARGS=TRUE&amp;DOC_NAME=FAT:FQL_AUDITING_CLIENT_TEMPLATE.FAT&amp;display_string=Audit&amp;VAR:KEY=QZGVQNWZQH&amp;VAR:QUERY=RkZfRElWX1lMRChBTk4sNy8xNC8xMCw3LzE0LzEwKQ==&amp;WINDOW=FIRST_POPUP&amp;HEIGHT=450&amp;WIDTH=450&amp;","START_MAXIMIZED=FALSE&amp;VAR:CALENDAR=US&amp;VAR:SYMBOL=RAI&amp;VAR:INDEX=0"}</definedName>
    <definedName name="_2135">#REF!</definedName>
    <definedName name="_2135__FDSAUDITLINK__" localSheetId="0" hidden="1">{"fdsup://directions/FAT Viewer?action=UPDATE&amp;creator=factset&amp;DYN_ARGS=TRUE&amp;DOC_NAME=FAT:FQL_AUDITING_CLIENT_TEMPLATE.FAT&amp;display_string=Audit&amp;VAR:KEY=MDYBGDKFYF&amp;VAR:QUERY=RkZfRElWX1lMRChBTk4sNy8wNy8xMCw3LzA3LzEwKQ==&amp;WINDOW=FIRST_POPUP&amp;HEIGHT=450&amp;WIDTH=450&amp;","START_MAXIMIZED=FALSE&amp;VAR:CALENDAR=US&amp;VAR:SYMBOL=RAI&amp;VAR:INDEX=0"}</definedName>
    <definedName name="_2135__FDSAUDITLINK__" hidden="1">{"fdsup://directions/FAT Viewer?action=UPDATE&amp;creator=factset&amp;DYN_ARGS=TRUE&amp;DOC_NAME=FAT:FQL_AUDITING_CLIENT_TEMPLATE.FAT&amp;display_string=Audit&amp;VAR:KEY=MDYBGDKFYF&amp;VAR:QUERY=RkZfRElWX1lMRChBTk4sNy8wNy8xMCw3LzA3LzEwKQ==&amp;WINDOW=FIRST_POPUP&amp;HEIGHT=450&amp;WIDTH=450&amp;","START_MAXIMIZED=FALSE&amp;VAR:CALENDAR=US&amp;VAR:SYMBOL=RAI&amp;VAR:INDEX=0"}</definedName>
    <definedName name="_2136">#REF!</definedName>
    <definedName name="_2136__FDSAUDITLINK__" localSheetId="0" hidden="1">{"fdsup://directions/FAT Viewer?action=UPDATE&amp;creator=factset&amp;DYN_ARGS=TRUE&amp;DOC_NAME=FAT:FQL_AUDITING_CLIENT_TEMPLATE.FAT&amp;display_string=Audit&amp;VAR:KEY=UVCLSDCXSJ&amp;VAR:QUERY=RkZfRElWX1lMRChBTk4sNi8zMC8xMCw2LzMwLzEwKQ==&amp;WINDOW=FIRST_POPUP&amp;HEIGHT=450&amp;WIDTH=450&amp;","START_MAXIMIZED=FALSE&amp;VAR:CALENDAR=US&amp;VAR:SYMBOL=RAI&amp;VAR:INDEX=0"}</definedName>
    <definedName name="_2136__FDSAUDITLINK__" hidden="1">{"fdsup://directions/FAT Viewer?action=UPDATE&amp;creator=factset&amp;DYN_ARGS=TRUE&amp;DOC_NAME=FAT:FQL_AUDITING_CLIENT_TEMPLATE.FAT&amp;display_string=Audit&amp;VAR:KEY=UVCLSDCXSJ&amp;VAR:QUERY=RkZfRElWX1lMRChBTk4sNi8zMC8xMCw2LzMwLzEwKQ==&amp;WINDOW=FIRST_POPUP&amp;HEIGHT=450&amp;WIDTH=450&amp;","START_MAXIMIZED=FALSE&amp;VAR:CALENDAR=US&amp;VAR:SYMBOL=RAI&amp;VAR:INDEX=0"}</definedName>
    <definedName name="_2137">#REF!</definedName>
    <definedName name="_2137__FDSAUDITLINK__" localSheetId="0" hidden="1">{"fdsup://directions/FAT Viewer?action=UPDATE&amp;creator=factset&amp;DYN_ARGS=TRUE&amp;DOC_NAME=FAT:FQL_AUDITING_CLIENT_TEMPLATE.FAT&amp;display_string=Audit&amp;VAR:KEY=CHYROFWVMT&amp;VAR:QUERY=RkZfRElWX1lMRChBTk4sNi8yMy8xMCw2LzIzLzEwKQ==&amp;WINDOW=FIRST_POPUP&amp;HEIGHT=450&amp;WIDTH=450&amp;","START_MAXIMIZED=FALSE&amp;VAR:CALENDAR=US&amp;VAR:SYMBOL=RAI&amp;VAR:INDEX=0"}</definedName>
    <definedName name="_2137__FDSAUDITLINK__" hidden="1">{"fdsup://directions/FAT Viewer?action=UPDATE&amp;creator=factset&amp;DYN_ARGS=TRUE&amp;DOC_NAME=FAT:FQL_AUDITING_CLIENT_TEMPLATE.FAT&amp;display_string=Audit&amp;VAR:KEY=CHYROFWVMT&amp;VAR:QUERY=RkZfRElWX1lMRChBTk4sNi8yMy8xMCw2LzIzLzEwKQ==&amp;WINDOW=FIRST_POPUP&amp;HEIGHT=450&amp;WIDTH=450&amp;","START_MAXIMIZED=FALSE&amp;VAR:CALENDAR=US&amp;VAR:SYMBOL=RAI&amp;VAR:INDEX=0"}</definedName>
    <definedName name="_2138">#REF!</definedName>
    <definedName name="_2138__FDSAUDITLINK__" localSheetId="0" hidden="1">{"fdsup://directions/FAT Viewer?action=UPDATE&amp;creator=factset&amp;DYN_ARGS=TRUE&amp;DOC_NAME=FAT:FQL_AUDITING_CLIENT_TEMPLATE.FAT&amp;display_string=Audit&amp;VAR:KEY=KZMPYDKFIX&amp;VAR:QUERY=RkZfRElWX1lMRChBTk4sNi8xNi8xMCw2LzE2LzEwKQ==&amp;WINDOW=FIRST_POPUP&amp;HEIGHT=450&amp;WIDTH=450&amp;","START_MAXIMIZED=FALSE&amp;VAR:CALENDAR=US&amp;VAR:SYMBOL=RAI&amp;VAR:INDEX=0"}</definedName>
    <definedName name="_2138__FDSAUDITLINK__" hidden="1">{"fdsup://directions/FAT Viewer?action=UPDATE&amp;creator=factset&amp;DYN_ARGS=TRUE&amp;DOC_NAME=FAT:FQL_AUDITING_CLIENT_TEMPLATE.FAT&amp;display_string=Audit&amp;VAR:KEY=KZMPYDKFIX&amp;VAR:QUERY=RkZfRElWX1lMRChBTk4sNi8xNi8xMCw2LzE2LzEwKQ==&amp;WINDOW=FIRST_POPUP&amp;HEIGHT=450&amp;WIDTH=450&amp;","START_MAXIMIZED=FALSE&amp;VAR:CALENDAR=US&amp;VAR:SYMBOL=RAI&amp;VAR:INDEX=0"}</definedName>
    <definedName name="_2139">#REF!</definedName>
    <definedName name="_2139__FDSAUDITLINK__" localSheetId="0" hidden="1">{"fdsup://directions/FAT Viewer?action=UPDATE&amp;creator=factset&amp;DYN_ARGS=TRUE&amp;DOC_NAME=FAT:FQL_AUDITING_CLIENT_TEMPLATE.FAT&amp;display_string=Audit&amp;VAR:KEY=ADKDEPCJOX&amp;VAR:QUERY=RkZfRElWX1lMRChBTk4sNi8wOS8xMCw2LzA5LzEwKQ==&amp;WINDOW=FIRST_POPUP&amp;HEIGHT=450&amp;WIDTH=450&amp;","START_MAXIMIZED=FALSE&amp;VAR:CALENDAR=US&amp;VAR:SYMBOL=RAI&amp;VAR:INDEX=0"}</definedName>
    <definedName name="_2139__FDSAUDITLINK__" hidden="1">{"fdsup://directions/FAT Viewer?action=UPDATE&amp;creator=factset&amp;DYN_ARGS=TRUE&amp;DOC_NAME=FAT:FQL_AUDITING_CLIENT_TEMPLATE.FAT&amp;display_string=Audit&amp;VAR:KEY=ADKDEPCJOX&amp;VAR:QUERY=RkZfRElWX1lMRChBTk4sNi8wOS8xMCw2LzA5LzEwKQ==&amp;WINDOW=FIRST_POPUP&amp;HEIGHT=450&amp;WIDTH=450&amp;","START_MAXIMIZED=FALSE&amp;VAR:CALENDAR=US&amp;VAR:SYMBOL=RAI&amp;VAR:INDEX=0"}</definedName>
    <definedName name="_214">#REF!</definedName>
    <definedName name="_214__FDSAUDITLINK__" localSheetId="0" hidden="1">{"fdsup://directions/FAT Viewer?action=UPDATE&amp;creator=factset&amp;DYN_ARGS=TRUE&amp;DOC_NAME=FAT:FQL_AUDITING_CLIENT_TEMPLATE.FAT&amp;display_string=Audit&amp;VAR:KEY=FKZEHIFOHC&amp;VAR:QUERY=RkZfRElWX1lMRChBTk4sMy8wMS8wNywzLzAxLzA3KQ==&amp;WINDOW=FIRST_POPUP&amp;HEIGHT=450&amp;WIDTH=450&amp;","START_MAXIMIZED=FALSE&amp;VAR:CALENDAR=US&amp;VAR:SYMBOL=RAI&amp;VAR:INDEX=0"}</definedName>
    <definedName name="_214__FDSAUDITLINK__" hidden="1">{"fdsup://directions/FAT Viewer?action=UPDATE&amp;creator=factset&amp;DYN_ARGS=TRUE&amp;DOC_NAME=FAT:FQL_AUDITING_CLIENT_TEMPLATE.FAT&amp;display_string=Audit&amp;VAR:KEY=FKZEHIFOHC&amp;VAR:QUERY=RkZfRElWX1lMRChBTk4sMy8wMS8wNywzLzAxLzA3KQ==&amp;WINDOW=FIRST_POPUP&amp;HEIGHT=450&amp;WIDTH=450&amp;","START_MAXIMIZED=FALSE&amp;VAR:CALENDAR=US&amp;VAR:SYMBOL=RAI&amp;VAR:INDEX=0"}</definedName>
    <definedName name="_2140__FDSAUDITLINK__" localSheetId="0" hidden="1">{"fdsup://directions/FAT Viewer?action=UPDATE&amp;creator=factset&amp;DYN_ARGS=TRUE&amp;DOC_NAME=FAT:FQL_AUDITING_CLIENT_TEMPLATE.FAT&amp;display_string=Audit&amp;VAR:KEY=MPYFCRSDWL&amp;VAR:QUERY=RkZfRElWX1lMRChBTk4sNi8wMi8xMCw2LzAyLzEwKQ==&amp;WINDOW=FIRST_POPUP&amp;HEIGHT=450&amp;WIDTH=450&amp;","START_MAXIMIZED=FALSE&amp;VAR:CALENDAR=US&amp;VAR:SYMBOL=RAI&amp;VAR:INDEX=0"}</definedName>
    <definedName name="_2140__FDSAUDITLINK__" hidden="1">{"fdsup://directions/FAT Viewer?action=UPDATE&amp;creator=factset&amp;DYN_ARGS=TRUE&amp;DOC_NAME=FAT:FQL_AUDITING_CLIENT_TEMPLATE.FAT&amp;display_string=Audit&amp;VAR:KEY=MPYFCRSDWL&amp;VAR:QUERY=RkZfRElWX1lMRChBTk4sNi8wMi8xMCw2LzAyLzEwKQ==&amp;WINDOW=FIRST_POPUP&amp;HEIGHT=450&amp;WIDTH=450&amp;","START_MAXIMIZED=FALSE&amp;VAR:CALENDAR=US&amp;VAR:SYMBOL=RAI&amp;VAR:INDEX=0"}</definedName>
    <definedName name="_2141">#REF!</definedName>
    <definedName name="_2141__FDSAUDITLINK__" localSheetId="0" hidden="1">{"fdsup://directions/FAT Viewer?action=UPDATE&amp;creator=factset&amp;DYN_ARGS=TRUE&amp;DOC_NAME=FAT:FQL_AUDITING_CLIENT_TEMPLATE.FAT&amp;display_string=Audit&amp;VAR:KEY=CHOFIXAVCH&amp;VAR:QUERY=RkZfRElWX1lMRChBTk4sNS8yNi8xMCw1LzI2LzEwKQ==&amp;WINDOW=FIRST_POPUP&amp;HEIGHT=450&amp;WIDTH=450&amp;","START_MAXIMIZED=FALSE&amp;VAR:CALENDAR=US&amp;VAR:SYMBOL=RAI&amp;VAR:INDEX=0"}</definedName>
    <definedName name="_2141__FDSAUDITLINK__" hidden="1">{"fdsup://directions/FAT Viewer?action=UPDATE&amp;creator=factset&amp;DYN_ARGS=TRUE&amp;DOC_NAME=FAT:FQL_AUDITING_CLIENT_TEMPLATE.FAT&amp;display_string=Audit&amp;VAR:KEY=CHOFIXAVCH&amp;VAR:QUERY=RkZfRElWX1lMRChBTk4sNS8yNi8xMCw1LzI2LzEwKQ==&amp;WINDOW=FIRST_POPUP&amp;HEIGHT=450&amp;WIDTH=450&amp;","START_MAXIMIZED=FALSE&amp;VAR:CALENDAR=US&amp;VAR:SYMBOL=RAI&amp;VAR:INDEX=0"}</definedName>
    <definedName name="_2142">#REF!</definedName>
    <definedName name="_2142__FDSAUDITLINK__" localSheetId="0" hidden="1">{"fdsup://directions/FAT Viewer?action=UPDATE&amp;creator=factset&amp;DYN_ARGS=TRUE&amp;DOC_NAME=FAT:FQL_AUDITING_CLIENT_TEMPLATE.FAT&amp;display_string=Audit&amp;VAR:KEY=AXOBYJYPKH&amp;VAR:QUERY=RkZfRElWX1lMRChBTk4sNS8xOS8xMCw1LzE5LzEwKQ==&amp;WINDOW=FIRST_POPUP&amp;HEIGHT=450&amp;WIDTH=450&amp;","START_MAXIMIZED=FALSE&amp;VAR:CALENDAR=US&amp;VAR:SYMBOL=RAI&amp;VAR:INDEX=0"}</definedName>
    <definedName name="_2142__FDSAUDITLINK__" hidden="1">{"fdsup://directions/FAT Viewer?action=UPDATE&amp;creator=factset&amp;DYN_ARGS=TRUE&amp;DOC_NAME=FAT:FQL_AUDITING_CLIENT_TEMPLATE.FAT&amp;display_string=Audit&amp;VAR:KEY=AXOBYJYPKH&amp;VAR:QUERY=RkZfRElWX1lMRChBTk4sNS8xOS8xMCw1LzE5LzEwKQ==&amp;WINDOW=FIRST_POPUP&amp;HEIGHT=450&amp;WIDTH=450&amp;","START_MAXIMIZED=FALSE&amp;VAR:CALENDAR=US&amp;VAR:SYMBOL=RAI&amp;VAR:INDEX=0"}</definedName>
    <definedName name="_2143__FDSAUDITLINK__" localSheetId="0" hidden="1">{"fdsup://directions/FAT Viewer?action=UPDATE&amp;creator=factset&amp;DYN_ARGS=TRUE&amp;DOC_NAME=FAT:FQL_AUDITING_CLIENT_TEMPLATE.FAT&amp;display_string=Audit&amp;VAR:KEY=EBIFMTSBUH&amp;VAR:QUERY=RkZfRElWX1lMRChBTk4sNS8xMi8xMCw1LzEyLzEwKQ==&amp;WINDOW=FIRST_POPUP&amp;HEIGHT=450&amp;WIDTH=450&amp;","START_MAXIMIZED=FALSE&amp;VAR:CALENDAR=US&amp;VAR:SYMBOL=RAI&amp;VAR:INDEX=0"}</definedName>
    <definedName name="_2143__FDSAUDITLINK__" hidden="1">{"fdsup://directions/FAT Viewer?action=UPDATE&amp;creator=factset&amp;DYN_ARGS=TRUE&amp;DOC_NAME=FAT:FQL_AUDITING_CLIENT_TEMPLATE.FAT&amp;display_string=Audit&amp;VAR:KEY=EBIFMTSBUH&amp;VAR:QUERY=RkZfRElWX1lMRChBTk4sNS8xMi8xMCw1LzEyLzEwKQ==&amp;WINDOW=FIRST_POPUP&amp;HEIGHT=450&amp;WIDTH=450&amp;","START_MAXIMIZED=FALSE&amp;VAR:CALENDAR=US&amp;VAR:SYMBOL=RAI&amp;VAR:INDEX=0"}</definedName>
    <definedName name="_2144__FDSAUDITLINK__" localSheetId="0" hidden="1">{"fdsup://directions/FAT Viewer?action=UPDATE&amp;creator=factset&amp;DYN_ARGS=TRUE&amp;DOC_NAME=FAT:FQL_AUDITING_CLIENT_TEMPLATE.FAT&amp;display_string=Audit&amp;VAR:KEY=OVUFWTCZKF&amp;VAR:QUERY=RkZfRElWX1lMRChBTk4sNS8wNS8xMCw1LzA1LzEwKQ==&amp;WINDOW=FIRST_POPUP&amp;HEIGHT=450&amp;WIDTH=450&amp;","START_MAXIMIZED=FALSE&amp;VAR:CALENDAR=US&amp;VAR:SYMBOL=RAI&amp;VAR:INDEX=0"}</definedName>
    <definedName name="_2144__FDSAUDITLINK__" hidden="1">{"fdsup://directions/FAT Viewer?action=UPDATE&amp;creator=factset&amp;DYN_ARGS=TRUE&amp;DOC_NAME=FAT:FQL_AUDITING_CLIENT_TEMPLATE.FAT&amp;display_string=Audit&amp;VAR:KEY=OVUFWTCZKF&amp;VAR:QUERY=RkZfRElWX1lMRChBTk4sNS8wNS8xMCw1LzA1LzEwKQ==&amp;WINDOW=FIRST_POPUP&amp;HEIGHT=450&amp;WIDTH=450&amp;","START_MAXIMIZED=FALSE&amp;VAR:CALENDAR=US&amp;VAR:SYMBOL=RAI&amp;VAR:INDEX=0"}</definedName>
    <definedName name="_2145__FDSAUDITLINK__" localSheetId="0" hidden="1">{"fdsup://directions/FAT Viewer?action=UPDATE&amp;creator=factset&amp;DYN_ARGS=TRUE&amp;DOC_NAME=FAT:FQL_AUDITING_CLIENT_TEMPLATE.FAT&amp;display_string=Audit&amp;VAR:KEY=GDQZGPUNYT&amp;VAR:QUERY=RkZfRElWX1lMRChBTk4sNC8yOC8xMCw0LzI4LzEwKQ==&amp;WINDOW=FIRST_POPUP&amp;HEIGHT=450&amp;WIDTH=450&amp;","START_MAXIMIZED=FALSE&amp;VAR:CALENDAR=US&amp;VAR:SYMBOL=RAI&amp;VAR:INDEX=0"}</definedName>
    <definedName name="_2145__FDSAUDITLINK__" hidden="1">{"fdsup://directions/FAT Viewer?action=UPDATE&amp;creator=factset&amp;DYN_ARGS=TRUE&amp;DOC_NAME=FAT:FQL_AUDITING_CLIENT_TEMPLATE.FAT&amp;display_string=Audit&amp;VAR:KEY=GDQZGPUNYT&amp;VAR:QUERY=RkZfRElWX1lMRChBTk4sNC8yOC8xMCw0LzI4LzEwKQ==&amp;WINDOW=FIRST_POPUP&amp;HEIGHT=450&amp;WIDTH=450&amp;","START_MAXIMIZED=FALSE&amp;VAR:CALENDAR=US&amp;VAR:SYMBOL=RAI&amp;VAR:INDEX=0"}</definedName>
    <definedName name="_2146">#REF!</definedName>
    <definedName name="_2146__FDSAUDITLINK__" localSheetId="0" hidden="1">{"fdsup://directions/FAT Viewer?action=UPDATE&amp;creator=factset&amp;DYN_ARGS=TRUE&amp;DOC_NAME=FAT:FQL_AUDITING_CLIENT_TEMPLATE.FAT&amp;display_string=Audit&amp;VAR:KEY=SROTYFIBSR&amp;VAR:QUERY=RkZfRElWX1lMRChBTk4sNC8yMS8xMCw0LzIxLzEwKQ==&amp;WINDOW=FIRST_POPUP&amp;HEIGHT=450&amp;WIDTH=450&amp;","START_MAXIMIZED=FALSE&amp;VAR:CALENDAR=US&amp;VAR:SYMBOL=RAI&amp;VAR:INDEX=0"}</definedName>
    <definedName name="_2146__FDSAUDITLINK__" hidden="1">{"fdsup://directions/FAT Viewer?action=UPDATE&amp;creator=factset&amp;DYN_ARGS=TRUE&amp;DOC_NAME=FAT:FQL_AUDITING_CLIENT_TEMPLATE.FAT&amp;display_string=Audit&amp;VAR:KEY=SROTYFIBSR&amp;VAR:QUERY=RkZfRElWX1lMRChBTk4sNC8yMS8xMCw0LzIxLzEwKQ==&amp;WINDOW=FIRST_POPUP&amp;HEIGHT=450&amp;WIDTH=450&amp;","START_MAXIMIZED=FALSE&amp;VAR:CALENDAR=US&amp;VAR:SYMBOL=RAI&amp;VAR:INDEX=0"}</definedName>
    <definedName name="_2147__FDSAUDITLINK__" localSheetId="0" hidden="1">{"fdsup://directions/FAT Viewer?action=UPDATE&amp;creator=factset&amp;DYN_ARGS=TRUE&amp;DOC_NAME=FAT:FQL_AUDITING_CLIENT_TEMPLATE.FAT&amp;display_string=Audit&amp;VAR:KEY=SJCHEBSRUV&amp;VAR:QUERY=RkZfRElWX1lMRChBTk4sNC8xNC8xMCw0LzE0LzEwKQ==&amp;WINDOW=FIRST_POPUP&amp;HEIGHT=450&amp;WIDTH=450&amp;","START_MAXIMIZED=FALSE&amp;VAR:CALENDAR=US&amp;VAR:SYMBOL=RAI&amp;VAR:INDEX=0"}</definedName>
    <definedName name="_2147__FDSAUDITLINK__" hidden="1">{"fdsup://directions/FAT Viewer?action=UPDATE&amp;creator=factset&amp;DYN_ARGS=TRUE&amp;DOC_NAME=FAT:FQL_AUDITING_CLIENT_TEMPLATE.FAT&amp;display_string=Audit&amp;VAR:KEY=SJCHEBSRUV&amp;VAR:QUERY=RkZfRElWX1lMRChBTk4sNC8xNC8xMCw0LzE0LzEwKQ==&amp;WINDOW=FIRST_POPUP&amp;HEIGHT=450&amp;WIDTH=450&amp;","START_MAXIMIZED=FALSE&amp;VAR:CALENDAR=US&amp;VAR:SYMBOL=RAI&amp;VAR:INDEX=0"}</definedName>
    <definedName name="_2148__FDSAUDITLINK__" localSheetId="0" hidden="1">{"fdsup://directions/FAT Viewer?action=UPDATE&amp;creator=factset&amp;DYN_ARGS=TRUE&amp;DOC_NAME=FAT:FQL_AUDITING_CLIENT_TEMPLATE.FAT&amp;display_string=Audit&amp;VAR:KEY=STQPYXYRID&amp;VAR:QUERY=RkZfRElWX1lMRChBTk4sNC8wNy8xMCw0LzA3LzEwKQ==&amp;WINDOW=FIRST_POPUP&amp;HEIGHT=450&amp;WIDTH=450&amp;","START_MAXIMIZED=FALSE&amp;VAR:CALENDAR=US&amp;VAR:SYMBOL=RAI&amp;VAR:INDEX=0"}</definedName>
    <definedName name="_2148__FDSAUDITLINK__" hidden="1">{"fdsup://directions/FAT Viewer?action=UPDATE&amp;creator=factset&amp;DYN_ARGS=TRUE&amp;DOC_NAME=FAT:FQL_AUDITING_CLIENT_TEMPLATE.FAT&amp;display_string=Audit&amp;VAR:KEY=STQPYXYRID&amp;VAR:QUERY=RkZfRElWX1lMRChBTk4sNC8wNy8xMCw0LzA3LzEwKQ==&amp;WINDOW=FIRST_POPUP&amp;HEIGHT=450&amp;WIDTH=450&amp;","START_MAXIMIZED=FALSE&amp;VAR:CALENDAR=US&amp;VAR:SYMBOL=RAI&amp;VAR:INDEX=0"}</definedName>
    <definedName name="_2149__FDSAUDITLINK__" localSheetId="0" hidden="1">{"fdsup://directions/FAT Viewer?action=UPDATE&amp;creator=factset&amp;DYN_ARGS=TRUE&amp;DOC_NAME=FAT:FQL_AUDITING_CLIENT_TEMPLATE.FAT&amp;display_string=Audit&amp;VAR:KEY=IBQHONWJUZ&amp;VAR:QUERY=RkZfRElWX1lMRChBTk4sMy8zMS8xMCwzLzMxLzEwKQ==&amp;WINDOW=FIRST_POPUP&amp;HEIGHT=450&amp;WIDTH=450&amp;","START_MAXIMIZED=FALSE&amp;VAR:CALENDAR=US&amp;VAR:SYMBOL=RAI&amp;VAR:INDEX=0"}</definedName>
    <definedName name="_2149__FDSAUDITLINK__" hidden="1">{"fdsup://directions/FAT Viewer?action=UPDATE&amp;creator=factset&amp;DYN_ARGS=TRUE&amp;DOC_NAME=FAT:FQL_AUDITING_CLIENT_TEMPLATE.FAT&amp;display_string=Audit&amp;VAR:KEY=IBQHONWJUZ&amp;VAR:QUERY=RkZfRElWX1lMRChBTk4sMy8zMS8xMCwzLzMxLzEwKQ==&amp;WINDOW=FIRST_POPUP&amp;HEIGHT=450&amp;WIDTH=450&amp;","START_MAXIMIZED=FALSE&amp;VAR:CALENDAR=US&amp;VAR:SYMBOL=RAI&amp;VAR:INDEX=0"}</definedName>
    <definedName name="_215__FDSAUDITLINK__" localSheetId="0" hidden="1">{"fdsup://directions/FAT Viewer?action=UPDATE&amp;creator=factset&amp;DYN_ARGS=TRUE&amp;DOC_NAME=FAT:FQL_AUDITING_CLIENT_TEMPLATE.FAT&amp;display_string=Audit&amp;VAR:KEY=BQDGXKDUVW&amp;VAR:QUERY=RkZfRElWX1lMRChBTk4sMi8yMi8wNywyLzIyLzA3KQ==&amp;WINDOW=FIRST_POPUP&amp;HEIGHT=450&amp;WIDTH=450&amp;","START_MAXIMIZED=FALSE&amp;VAR:CALENDAR=US&amp;VAR:SYMBOL=RAI&amp;VAR:INDEX=0"}</definedName>
    <definedName name="_215__FDSAUDITLINK__" hidden="1">{"fdsup://directions/FAT Viewer?action=UPDATE&amp;creator=factset&amp;DYN_ARGS=TRUE&amp;DOC_NAME=FAT:FQL_AUDITING_CLIENT_TEMPLATE.FAT&amp;display_string=Audit&amp;VAR:KEY=BQDGXKDUVW&amp;VAR:QUERY=RkZfRElWX1lMRChBTk4sMi8yMi8wNywyLzIyLzA3KQ==&amp;WINDOW=FIRST_POPUP&amp;HEIGHT=450&amp;WIDTH=450&amp;","START_MAXIMIZED=FALSE&amp;VAR:CALENDAR=US&amp;VAR:SYMBOL=RAI&amp;VAR:INDEX=0"}</definedName>
    <definedName name="_2150__FDSAUDITLINK__" localSheetId="0" hidden="1">{"fdsup://directions/FAT Viewer?action=UPDATE&amp;creator=factset&amp;DYN_ARGS=TRUE&amp;DOC_NAME=FAT:FQL_AUDITING_CLIENT_TEMPLATE.FAT&amp;display_string=Audit&amp;VAR:KEY=YDAZSZKNGB&amp;VAR:QUERY=RkZfRElWX1lMRChBTk4sMy8yNC8xMCwzLzI0LzEwKQ==&amp;WINDOW=FIRST_POPUP&amp;HEIGHT=450&amp;WIDTH=450&amp;","START_MAXIMIZED=FALSE&amp;VAR:CALENDAR=US&amp;VAR:SYMBOL=RAI&amp;VAR:INDEX=0"}</definedName>
    <definedName name="_2150__FDSAUDITLINK__" hidden="1">{"fdsup://directions/FAT Viewer?action=UPDATE&amp;creator=factset&amp;DYN_ARGS=TRUE&amp;DOC_NAME=FAT:FQL_AUDITING_CLIENT_TEMPLATE.FAT&amp;display_string=Audit&amp;VAR:KEY=YDAZSZKNGB&amp;VAR:QUERY=RkZfRElWX1lMRChBTk4sMy8yNC8xMCwzLzI0LzEwKQ==&amp;WINDOW=FIRST_POPUP&amp;HEIGHT=450&amp;WIDTH=450&amp;","START_MAXIMIZED=FALSE&amp;VAR:CALENDAR=US&amp;VAR:SYMBOL=RAI&amp;VAR:INDEX=0"}</definedName>
    <definedName name="_2151">#REF!</definedName>
    <definedName name="_2151__FDSAUDITLINK__" localSheetId="0" hidden="1">{"fdsup://directions/FAT Viewer?action=UPDATE&amp;creator=factset&amp;DYN_ARGS=TRUE&amp;DOC_NAME=FAT:FQL_AUDITING_CLIENT_TEMPLATE.FAT&amp;display_string=Audit&amp;VAR:KEY=OZSTYTQPSV&amp;VAR:QUERY=RkZfRElWX1lMRChBTk4sMy8xNy8xMCwzLzE3LzEwKQ==&amp;WINDOW=FIRST_POPUP&amp;HEIGHT=450&amp;WIDTH=450&amp;","START_MAXIMIZED=FALSE&amp;VAR:CALENDAR=US&amp;VAR:SYMBOL=RAI&amp;VAR:INDEX=0"}</definedName>
    <definedName name="_2151__FDSAUDITLINK__" hidden="1">{"fdsup://directions/FAT Viewer?action=UPDATE&amp;creator=factset&amp;DYN_ARGS=TRUE&amp;DOC_NAME=FAT:FQL_AUDITING_CLIENT_TEMPLATE.FAT&amp;display_string=Audit&amp;VAR:KEY=OZSTYTQPSV&amp;VAR:QUERY=RkZfRElWX1lMRChBTk4sMy8xNy8xMCwzLzE3LzEwKQ==&amp;WINDOW=FIRST_POPUP&amp;HEIGHT=450&amp;WIDTH=450&amp;","START_MAXIMIZED=FALSE&amp;VAR:CALENDAR=US&amp;VAR:SYMBOL=RAI&amp;VAR:INDEX=0"}</definedName>
    <definedName name="_2152">#REF!</definedName>
    <definedName name="_2152__FDSAUDITLINK__" localSheetId="0" hidden="1">{"fdsup://directions/FAT Viewer?action=UPDATE&amp;creator=factset&amp;DYN_ARGS=TRUE&amp;DOC_NAME=FAT:FQL_AUDITING_CLIENT_TEMPLATE.FAT&amp;display_string=Audit&amp;VAR:KEY=YXGXQJILMX&amp;VAR:QUERY=RkZfRElWX1lMRChBTk4sMy8xMC8xMCwzLzEwLzEwKQ==&amp;WINDOW=FIRST_POPUP&amp;HEIGHT=450&amp;WIDTH=450&amp;","START_MAXIMIZED=FALSE&amp;VAR:CALENDAR=US&amp;VAR:SYMBOL=RAI&amp;VAR:INDEX=0"}</definedName>
    <definedName name="_2152__FDSAUDITLINK__" hidden="1">{"fdsup://directions/FAT Viewer?action=UPDATE&amp;creator=factset&amp;DYN_ARGS=TRUE&amp;DOC_NAME=FAT:FQL_AUDITING_CLIENT_TEMPLATE.FAT&amp;display_string=Audit&amp;VAR:KEY=YXGXQJILMX&amp;VAR:QUERY=RkZfRElWX1lMRChBTk4sMy8xMC8xMCwzLzEwLzEwKQ==&amp;WINDOW=FIRST_POPUP&amp;HEIGHT=450&amp;WIDTH=450&amp;","START_MAXIMIZED=FALSE&amp;VAR:CALENDAR=US&amp;VAR:SYMBOL=RAI&amp;VAR:INDEX=0"}</definedName>
    <definedName name="_2153__FDSAUDITLINK__" localSheetId="0" hidden="1">{"fdsup://directions/FAT Viewer?action=UPDATE&amp;creator=factset&amp;DYN_ARGS=TRUE&amp;DOC_NAME=FAT:FQL_AUDITING_CLIENT_TEMPLATE.FAT&amp;display_string=Audit&amp;VAR:KEY=CZGXWZMDCB&amp;VAR:QUERY=RkZfRElWX1lMRChBTk4sMy8wMy8xMCwzLzAzLzEwKQ==&amp;WINDOW=FIRST_POPUP&amp;HEIGHT=450&amp;WIDTH=450&amp;","START_MAXIMIZED=FALSE&amp;VAR:CALENDAR=US&amp;VAR:SYMBOL=RAI&amp;VAR:INDEX=0"}</definedName>
    <definedName name="_2153__FDSAUDITLINK__" hidden="1">{"fdsup://directions/FAT Viewer?action=UPDATE&amp;creator=factset&amp;DYN_ARGS=TRUE&amp;DOC_NAME=FAT:FQL_AUDITING_CLIENT_TEMPLATE.FAT&amp;display_string=Audit&amp;VAR:KEY=CZGXWZMDCB&amp;VAR:QUERY=RkZfRElWX1lMRChBTk4sMy8wMy8xMCwzLzAzLzEwKQ==&amp;WINDOW=FIRST_POPUP&amp;HEIGHT=450&amp;WIDTH=450&amp;","START_MAXIMIZED=FALSE&amp;VAR:CALENDAR=US&amp;VAR:SYMBOL=RAI&amp;VAR:INDEX=0"}</definedName>
    <definedName name="_2154">#REF!</definedName>
    <definedName name="_2154__FDSAUDITLINK__" localSheetId="0" hidden="1">{"fdsup://directions/FAT Viewer?action=UPDATE&amp;creator=factset&amp;DYN_ARGS=TRUE&amp;DOC_NAME=FAT:FQL_AUDITING_CLIENT_TEMPLATE.FAT&amp;display_string=Audit&amp;VAR:KEY=GDMJIZGHWP&amp;VAR:QUERY=RkZfRElWX1lMRChBTk4sMi8yNC8xMCwyLzI0LzEwKQ==&amp;WINDOW=FIRST_POPUP&amp;HEIGHT=450&amp;WIDTH=450&amp;","START_MAXIMIZED=FALSE&amp;VAR:CALENDAR=US&amp;VAR:SYMBOL=RAI&amp;VAR:INDEX=0"}</definedName>
    <definedName name="_2154__FDSAUDITLINK__" hidden="1">{"fdsup://directions/FAT Viewer?action=UPDATE&amp;creator=factset&amp;DYN_ARGS=TRUE&amp;DOC_NAME=FAT:FQL_AUDITING_CLIENT_TEMPLATE.FAT&amp;display_string=Audit&amp;VAR:KEY=GDMJIZGHWP&amp;VAR:QUERY=RkZfRElWX1lMRChBTk4sMi8yNC8xMCwyLzI0LzEwKQ==&amp;WINDOW=FIRST_POPUP&amp;HEIGHT=450&amp;WIDTH=450&amp;","START_MAXIMIZED=FALSE&amp;VAR:CALENDAR=US&amp;VAR:SYMBOL=RAI&amp;VAR:INDEX=0"}</definedName>
    <definedName name="_2155">#REF!</definedName>
    <definedName name="_2155__FDSAUDITLINK__" localSheetId="0" hidden="1">{"fdsup://directions/FAT Viewer?action=UPDATE&amp;creator=factset&amp;DYN_ARGS=TRUE&amp;DOC_NAME=FAT:FQL_AUDITING_CLIENT_TEMPLATE.FAT&amp;display_string=Audit&amp;VAR:KEY=UPQRSHAJIF&amp;VAR:QUERY=RkZfRElWX1lMRChBTk4sMi8xNy8xMCwyLzE3LzEwKQ==&amp;WINDOW=FIRST_POPUP&amp;HEIGHT=450&amp;WIDTH=450&amp;","START_MAXIMIZED=FALSE&amp;VAR:CALENDAR=US&amp;VAR:SYMBOL=RAI&amp;VAR:INDEX=0"}</definedName>
    <definedName name="_2155__FDSAUDITLINK__" hidden="1">{"fdsup://directions/FAT Viewer?action=UPDATE&amp;creator=factset&amp;DYN_ARGS=TRUE&amp;DOC_NAME=FAT:FQL_AUDITING_CLIENT_TEMPLATE.FAT&amp;display_string=Audit&amp;VAR:KEY=UPQRSHAJIF&amp;VAR:QUERY=RkZfRElWX1lMRChBTk4sMi8xNy8xMCwyLzE3LzEwKQ==&amp;WINDOW=FIRST_POPUP&amp;HEIGHT=450&amp;WIDTH=450&amp;","START_MAXIMIZED=FALSE&amp;VAR:CALENDAR=US&amp;VAR:SYMBOL=RAI&amp;VAR:INDEX=0"}</definedName>
    <definedName name="_2156__FDSAUDITLINK__" localSheetId="0" hidden="1">{"fdsup://directions/FAT Viewer?action=UPDATE&amp;creator=factset&amp;DYN_ARGS=TRUE&amp;DOC_NAME=FAT:FQL_AUDITING_CLIENT_TEMPLATE.FAT&amp;display_string=Audit&amp;VAR:KEY=QLWFOXMFWH&amp;VAR:QUERY=RkZfRElWX1lMRChBTk4sMi8xMC8xMCwyLzEwLzEwKQ==&amp;WINDOW=FIRST_POPUP&amp;HEIGHT=450&amp;WIDTH=450&amp;","START_MAXIMIZED=FALSE&amp;VAR:CALENDAR=US&amp;VAR:SYMBOL=RAI&amp;VAR:INDEX=0"}</definedName>
    <definedName name="_2156__FDSAUDITLINK__" hidden="1">{"fdsup://directions/FAT Viewer?action=UPDATE&amp;creator=factset&amp;DYN_ARGS=TRUE&amp;DOC_NAME=FAT:FQL_AUDITING_CLIENT_TEMPLATE.FAT&amp;display_string=Audit&amp;VAR:KEY=QLWFOXMFWH&amp;VAR:QUERY=RkZfRElWX1lMRChBTk4sMi8xMC8xMCwyLzEwLzEwKQ==&amp;WINDOW=FIRST_POPUP&amp;HEIGHT=450&amp;WIDTH=450&amp;","START_MAXIMIZED=FALSE&amp;VAR:CALENDAR=US&amp;VAR:SYMBOL=RAI&amp;VAR:INDEX=0"}</definedName>
    <definedName name="_2157">#REF!</definedName>
    <definedName name="_2157__FDSAUDITLINK__" localSheetId="0" hidden="1">{"fdsup://directions/FAT Viewer?action=UPDATE&amp;creator=factset&amp;DYN_ARGS=TRUE&amp;DOC_NAME=FAT:FQL_AUDITING_CLIENT_TEMPLATE.FAT&amp;display_string=Audit&amp;VAR:KEY=IXMNEJODQB&amp;VAR:QUERY=RkZfRElWX1lMRChBTk4sMi8wMy8xMCwyLzAzLzEwKQ==&amp;WINDOW=FIRST_POPUP&amp;HEIGHT=450&amp;WIDTH=450&amp;","START_MAXIMIZED=FALSE&amp;VAR:CALENDAR=US&amp;VAR:SYMBOL=RAI&amp;VAR:INDEX=0"}</definedName>
    <definedName name="_2157__FDSAUDITLINK__" hidden="1">{"fdsup://directions/FAT Viewer?action=UPDATE&amp;creator=factset&amp;DYN_ARGS=TRUE&amp;DOC_NAME=FAT:FQL_AUDITING_CLIENT_TEMPLATE.FAT&amp;display_string=Audit&amp;VAR:KEY=IXMNEJODQB&amp;VAR:QUERY=RkZfRElWX1lMRChBTk4sMi8wMy8xMCwyLzAzLzEwKQ==&amp;WINDOW=FIRST_POPUP&amp;HEIGHT=450&amp;WIDTH=450&amp;","START_MAXIMIZED=FALSE&amp;VAR:CALENDAR=US&amp;VAR:SYMBOL=RAI&amp;VAR:INDEX=0"}</definedName>
    <definedName name="_2158">#REF!</definedName>
    <definedName name="_2158__FDSAUDITLINK__" localSheetId="0" hidden="1">{"fdsup://directions/FAT Viewer?action=UPDATE&amp;creator=factset&amp;DYN_ARGS=TRUE&amp;DOC_NAME=FAT:FQL_AUDITING_CLIENT_TEMPLATE.FAT&amp;display_string=Audit&amp;VAR:KEY=QDEVAZKHMV&amp;VAR:QUERY=RkZfRElWX1lMRChBTk4sMS8yNy8xMCwxLzI3LzEwKQ==&amp;WINDOW=FIRST_POPUP&amp;HEIGHT=450&amp;WIDTH=450&amp;","START_MAXIMIZED=FALSE&amp;VAR:CALENDAR=US&amp;VAR:SYMBOL=RAI&amp;VAR:INDEX=0"}</definedName>
    <definedName name="_2158__FDSAUDITLINK__" hidden="1">{"fdsup://directions/FAT Viewer?action=UPDATE&amp;creator=factset&amp;DYN_ARGS=TRUE&amp;DOC_NAME=FAT:FQL_AUDITING_CLIENT_TEMPLATE.FAT&amp;display_string=Audit&amp;VAR:KEY=QDEVAZKHMV&amp;VAR:QUERY=RkZfRElWX1lMRChBTk4sMS8yNy8xMCwxLzI3LzEwKQ==&amp;WINDOW=FIRST_POPUP&amp;HEIGHT=450&amp;WIDTH=450&amp;","START_MAXIMIZED=FALSE&amp;VAR:CALENDAR=US&amp;VAR:SYMBOL=RAI&amp;VAR:INDEX=0"}</definedName>
    <definedName name="_2159">#REF!</definedName>
    <definedName name="_2159__FDSAUDITLINK__" localSheetId="0" hidden="1">{"fdsup://directions/FAT Viewer?action=UPDATE&amp;creator=factset&amp;DYN_ARGS=TRUE&amp;DOC_NAME=FAT:FQL_AUDITING_CLIENT_TEMPLATE.FAT&amp;display_string=Audit&amp;VAR:KEY=EBYNKXYXYF&amp;VAR:QUERY=RkZfRElWX1lMRChBTk4sMS8yMC8xMCwxLzIwLzEwKQ==&amp;WINDOW=FIRST_POPUP&amp;HEIGHT=450&amp;WIDTH=450&amp;","START_MAXIMIZED=FALSE&amp;VAR:CALENDAR=US&amp;VAR:SYMBOL=RAI&amp;VAR:INDEX=0"}</definedName>
    <definedName name="_2159__FDSAUDITLINK__" hidden="1">{"fdsup://directions/FAT Viewer?action=UPDATE&amp;creator=factset&amp;DYN_ARGS=TRUE&amp;DOC_NAME=FAT:FQL_AUDITING_CLIENT_TEMPLATE.FAT&amp;display_string=Audit&amp;VAR:KEY=EBYNKXYXYF&amp;VAR:QUERY=RkZfRElWX1lMRChBTk4sMS8yMC8xMCwxLzIwLzEwKQ==&amp;WINDOW=FIRST_POPUP&amp;HEIGHT=450&amp;WIDTH=450&amp;","START_MAXIMIZED=FALSE&amp;VAR:CALENDAR=US&amp;VAR:SYMBOL=RAI&amp;VAR:INDEX=0"}</definedName>
    <definedName name="_216">#REF!</definedName>
    <definedName name="_216__FDSAUDITLINK__" localSheetId="0" hidden="1">{"fdsup://directions/FAT Viewer?action=UPDATE&amp;creator=factset&amp;DYN_ARGS=TRUE&amp;DOC_NAME=FAT:FQL_AUDITING_CLIENT_TEMPLATE.FAT&amp;display_string=Audit&amp;VAR:KEY=XMNWDADCXM&amp;VAR:QUERY=RkZfRElWX1lMRChBTk4sMi8xNS8wNywyLzE1LzA3KQ==&amp;WINDOW=FIRST_POPUP&amp;HEIGHT=450&amp;WIDTH=450&amp;","START_MAXIMIZED=FALSE&amp;VAR:CALENDAR=US&amp;VAR:SYMBOL=RAI&amp;VAR:INDEX=0"}</definedName>
    <definedName name="_216__FDSAUDITLINK__" hidden="1">{"fdsup://directions/FAT Viewer?action=UPDATE&amp;creator=factset&amp;DYN_ARGS=TRUE&amp;DOC_NAME=FAT:FQL_AUDITING_CLIENT_TEMPLATE.FAT&amp;display_string=Audit&amp;VAR:KEY=XMNWDADCXM&amp;VAR:QUERY=RkZfRElWX1lMRChBTk4sMi8xNS8wNywyLzE1LzA3KQ==&amp;WINDOW=FIRST_POPUP&amp;HEIGHT=450&amp;WIDTH=450&amp;","START_MAXIMIZED=FALSE&amp;VAR:CALENDAR=US&amp;VAR:SYMBOL=RAI&amp;VAR:INDEX=0"}</definedName>
    <definedName name="_2160__FDSAUDITLINK__" localSheetId="0" hidden="1">{"fdsup://directions/FAT Viewer?action=UPDATE&amp;creator=factset&amp;DYN_ARGS=TRUE&amp;DOC_NAME=FAT:FQL_AUDITING_CLIENT_TEMPLATE.FAT&amp;display_string=Audit&amp;VAR:KEY=SLABKLQPOX&amp;VAR:QUERY=RkZfRElWX1lMRChBTk4sMS8xMy8xMCwxLzEzLzEwKQ==&amp;WINDOW=FIRST_POPUP&amp;HEIGHT=450&amp;WIDTH=450&amp;","START_MAXIMIZED=FALSE&amp;VAR:CALENDAR=US&amp;VAR:SYMBOL=RAI&amp;VAR:INDEX=0"}</definedName>
    <definedName name="_2160__FDSAUDITLINK__" hidden="1">{"fdsup://directions/FAT Viewer?action=UPDATE&amp;creator=factset&amp;DYN_ARGS=TRUE&amp;DOC_NAME=FAT:FQL_AUDITING_CLIENT_TEMPLATE.FAT&amp;display_string=Audit&amp;VAR:KEY=SLABKLQPOX&amp;VAR:QUERY=RkZfRElWX1lMRChBTk4sMS8xMy8xMCwxLzEzLzEwKQ==&amp;WINDOW=FIRST_POPUP&amp;HEIGHT=450&amp;WIDTH=450&amp;","START_MAXIMIZED=FALSE&amp;VAR:CALENDAR=US&amp;VAR:SYMBOL=RAI&amp;VAR:INDEX=0"}</definedName>
    <definedName name="_2161__FDSAUDITLINK__" localSheetId="0" hidden="1">{"fdsup://directions/FAT Viewer?action=UPDATE&amp;creator=factset&amp;DYN_ARGS=TRUE&amp;DOC_NAME=FAT:FQL_AUDITING_CLIENT_TEMPLATE.FAT&amp;display_string=Audit&amp;VAR:KEY=YPEVIPYTEX&amp;VAR:QUERY=RkZfRElWX1lMRChBTk4sMS8wNi8xMCwxLzA2LzEwKQ==&amp;WINDOW=FIRST_POPUP&amp;HEIGHT=450&amp;WIDTH=450&amp;","START_MAXIMIZED=FALSE&amp;VAR:CALENDAR=US&amp;VAR:SYMBOL=RAI&amp;VAR:INDEX=0"}</definedName>
    <definedName name="_2161__FDSAUDITLINK__" hidden="1">{"fdsup://directions/FAT Viewer?action=UPDATE&amp;creator=factset&amp;DYN_ARGS=TRUE&amp;DOC_NAME=FAT:FQL_AUDITING_CLIENT_TEMPLATE.FAT&amp;display_string=Audit&amp;VAR:KEY=YPEVIPYTEX&amp;VAR:QUERY=RkZfRElWX1lMRChBTk4sMS8wNi8xMCwxLzA2LzEwKQ==&amp;WINDOW=FIRST_POPUP&amp;HEIGHT=450&amp;WIDTH=450&amp;","START_MAXIMIZED=FALSE&amp;VAR:CALENDAR=US&amp;VAR:SYMBOL=RAI&amp;VAR:INDEX=0"}</definedName>
    <definedName name="_2162__FDSAUDITLINK__" localSheetId="0" hidden="1">{"fdsup://directions/FAT Viewer?action=UPDATE&amp;creator=factset&amp;DYN_ARGS=TRUE&amp;DOC_NAME=FAT:FQL_AUDITING_CLIENT_TEMPLATE.FAT&amp;display_string=Audit&amp;VAR:KEY=IDWXURSNUP&amp;VAR:QUERY=RkZfRElWX1lMRChBTk4sMTIvMzAvMDksMTIvMzAvMDkp&amp;WINDOW=FIRST_POPUP&amp;HEIGHT=450&amp;WIDTH=450&amp;","START_MAXIMIZED=FALSE&amp;VAR:CALENDAR=US&amp;VAR:SYMBOL=RAI&amp;VAR:INDEX=0"}</definedName>
    <definedName name="_2162__FDSAUDITLINK__" hidden="1">{"fdsup://directions/FAT Viewer?action=UPDATE&amp;creator=factset&amp;DYN_ARGS=TRUE&amp;DOC_NAME=FAT:FQL_AUDITING_CLIENT_TEMPLATE.FAT&amp;display_string=Audit&amp;VAR:KEY=IDWXURSNUP&amp;VAR:QUERY=RkZfRElWX1lMRChBTk4sMTIvMzAvMDksMTIvMzAvMDkp&amp;WINDOW=FIRST_POPUP&amp;HEIGHT=450&amp;WIDTH=450&amp;","START_MAXIMIZED=FALSE&amp;VAR:CALENDAR=US&amp;VAR:SYMBOL=RAI&amp;VAR:INDEX=0"}</definedName>
    <definedName name="_2163">#REF!</definedName>
    <definedName name="_2163__FDSAUDITLINK__" localSheetId="0" hidden="1">{"fdsup://directions/FAT Viewer?action=UPDATE&amp;creator=factset&amp;DYN_ARGS=TRUE&amp;DOC_NAME=FAT:FQL_AUDITING_CLIENT_TEMPLATE.FAT&amp;display_string=Audit&amp;VAR:KEY=ARGFCVMRGJ&amp;VAR:QUERY=RkZfRElWX1lMRChBTk4sMTIvMjMvMDksMTIvMjMvMDkp&amp;WINDOW=FIRST_POPUP&amp;HEIGHT=450&amp;WIDTH=450&amp;","START_MAXIMIZED=FALSE&amp;VAR:CALENDAR=US&amp;VAR:SYMBOL=RAI&amp;VAR:INDEX=0"}</definedName>
    <definedName name="_2163__FDSAUDITLINK__" hidden="1">{"fdsup://directions/FAT Viewer?action=UPDATE&amp;creator=factset&amp;DYN_ARGS=TRUE&amp;DOC_NAME=FAT:FQL_AUDITING_CLIENT_TEMPLATE.FAT&amp;display_string=Audit&amp;VAR:KEY=ARGFCVMRGJ&amp;VAR:QUERY=RkZfRElWX1lMRChBTk4sMTIvMjMvMDksMTIvMjMvMDkp&amp;WINDOW=FIRST_POPUP&amp;HEIGHT=450&amp;WIDTH=450&amp;","START_MAXIMIZED=FALSE&amp;VAR:CALENDAR=US&amp;VAR:SYMBOL=RAI&amp;VAR:INDEX=0"}</definedName>
    <definedName name="_2164__FDSAUDITLINK__" localSheetId="0" hidden="1">{"fdsup://directions/FAT Viewer?action=UPDATE&amp;creator=factset&amp;DYN_ARGS=TRUE&amp;DOC_NAME=FAT:FQL_AUDITING_CLIENT_TEMPLATE.FAT&amp;display_string=Audit&amp;VAR:KEY=ATYFEVCVIZ&amp;VAR:QUERY=RkZfRElWX1lMRChBTk4sMTIvMTYvMDksMTIvMTYvMDkp&amp;WINDOW=FIRST_POPUP&amp;HEIGHT=450&amp;WIDTH=450&amp;","START_MAXIMIZED=FALSE&amp;VAR:CALENDAR=US&amp;VAR:SYMBOL=RAI&amp;VAR:INDEX=0"}</definedName>
    <definedName name="_2164__FDSAUDITLINK__" hidden="1">{"fdsup://directions/FAT Viewer?action=UPDATE&amp;creator=factset&amp;DYN_ARGS=TRUE&amp;DOC_NAME=FAT:FQL_AUDITING_CLIENT_TEMPLATE.FAT&amp;display_string=Audit&amp;VAR:KEY=ATYFEVCVIZ&amp;VAR:QUERY=RkZfRElWX1lMRChBTk4sMTIvMTYvMDksMTIvMTYvMDkp&amp;WINDOW=FIRST_POPUP&amp;HEIGHT=450&amp;WIDTH=450&amp;","START_MAXIMIZED=FALSE&amp;VAR:CALENDAR=US&amp;VAR:SYMBOL=RAI&amp;VAR:INDEX=0"}</definedName>
    <definedName name="_2165__FDSAUDITLINK__" localSheetId="0" hidden="1">{"fdsup://directions/FAT Viewer?action=UPDATE&amp;creator=factset&amp;DYN_ARGS=TRUE&amp;DOC_NAME=FAT:FQL_AUDITING_CLIENT_TEMPLATE.FAT&amp;display_string=Audit&amp;VAR:KEY=AROTERKLSF&amp;VAR:QUERY=RkZfRElWX1lMRChBTk4sMTIvMDkvMDksMTIvMDkvMDkp&amp;WINDOW=FIRST_POPUP&amp;HEIGHT=450&amp;WIDTH=450&amp;","START_MAXIMIZED=FALSE&amp;VAR:CALENDAR=US&amp;VAR:SYMBOL=RAI&amp;VAR:INDEX=0"}</definedName>
    <definedName name="_2165__FDSAUDITLINK__" hidden="1">{"fdsup://directions/FAT Viewer?action=UPDATE&amp;creator=factset&amp;DYN_ARGS=TRUE&amp;DOC_NAME=FAT:FQL_AUDITING_CLIENT_TEMPLATE.FAT&amp;display_string=Audit&amp;VAR:KEY=AROTERKLSF&amp;VAR:QUERY=RkZfRElWX1lMRChBTk4sMTIvMDkvMDksMTIvMDkvMDkp&amp;WINDOW=FIRST_POPUP&amp;HEIGHT=450&amp;WIDTH=450&amp;","START_MAXIMIZED=FALSE&amp;VAR:CALENDAR=US&amp;VAR:SYMBOL=RAI&amp;VAR:INDEX=0"}</definedName>
    <definedName name="_2166__FDSAUDITLINK__" localSheetId="0" hidden="1">{"fdsup://directions/FAT Viewer?action=UPDATE&amp;creator=factset&amp;DYN_ARGS=TRUE&amp;DOC_NAME=FAT:FQL_AUDITING_CLIENT_TEMPLATE.FAT&amp;display_string=Audit&amp;VAR:KEY=KVUPYPGPUX&amp;VAR:QUERY=RkZfRElWX1lMRChBTk4sMTIvMDIvMDksMTIvMDIvMDkp&amp;WINDOW=FIRST_POPUP&amp;HEIGHT=450&amp;WIDTH=450&amp;","START_MAXIMIZED=FALSE&amp;VAR:CALENDAR=US&amp;VAR:SYMBOL=RAI&amp;VAR:INDEX=0"}</definedName>
    <definedName name="_2166__FDSAUDITLINK__" hidden="1">{"fdsup://directions/FAT Viewer?action=UPDATE&amp;creator=factset&amp;DYN_ARGS=TRUE&amp;DOC_NAME=FAT:FQL_AUDITING_CLIENT_TEMPLATE.FAT&amp;display_string=Audit&amp;VAR:KEY=KVUPYPGPUX&amp;VAR:QUERY=RkZfRElWX1lMRChBTk4sMTIvMDIvMDksMTIvMDIvMDkp&amp;WINDOW=FIRST_POPUP&amp;HEIGHT=450&amp;WIDTH=450&amp;","START_MAXIMIZED=FALSE&amp;VAR:CALENDAR=US&amp;VAR:SYMBOL=RAI&amp;VAR:INDEX=0"}</definedName>
    <definedName name="_2167__FDSAUDITLINK__" localSheetId="0" hidden="1">{"fdsup://directions/FAT Viewer?action=UPDATE&amp;creator=factset&amp;DYN_ARGS=TRUE&amp;DOC_NAME=FAT:FQL_AUDITING_CLIENT_TEMPLATE.FAT&amp;display_string=Audit&amp;VAR:KEY=YRUVYRQJEV&amp;VAR:QUERY=RkZfRElWX1lMRChBTk4sMTEvMjUvMDksMTEvMjUvMDkp&amp;WINDOW=FIRST_POPUP&amp;HEIGHT=450&amp;WIDTH=450&amp;","START_MAXIMIZED=FALSE&amp;VAR:CALENDAR=US&amp;VAR:SYMBOL=RAI&amp;VAR:INDEX=0"}</definedName>
    <definedName name="_2167__FDSAUDITLINK__" hidden="1">{"fdsup://directions/FAT Viewer?action=UPDATE&amp;creator=factset&amp;DYN_ARGS=TRUE&amp;DOC_NAME=FAT:FQL_AUDITING_CLIENT_TEMPLATE.FAT&amp;display_string=Audit&amp;VAR:KEY=YRUVYRQJEV&amp;VAR:QUERY=RkZfRElWX1lMRChBTk4sMTEvMjUvMDksMTEvMjUvMDkp&amp;WINDOW=FIRST_POPUP&amp;HEIGHT=450&amp;WIDTH=450&amp;","START_MAXIMIZED=FALSE&amp;VAR:CALENDAR=US&amp;VAR:SYMBOL=RAI&amp;VAR:INDEX=0"}</definedName>
    <definedName name="_2168">#REF!</definedName>
    <definedName name="_2168__FDSAUDITLINK__" localSheetId="0" hidden="1">{"fdsup://directions/FAT Viewer?action=UPDATE&amp;creator=factset&amp;DYN_ARGS=TRUE&amp;DOC_NAME=FAT:FQL_AUDITING_CLIENT_TEMPLATE.FAT&amp;display_string=Audit&amp;VAR:KEY=IRSHEZQNSF&amp;VAR:QUERY=RkZfRElWX1lMRChBTk4sMTEvMTgvMDksMTEvMTgvMDkp&amp;WINDOW=FIRST_POPUP&amp;HEIGHT=450&amp;WIDTH=450&amp;","START_MAXIMIZED=FALSE&amp;VAR:CALENDAR=US&amp;VAR:SYMBOL=RAI&amp;VAR:INDEX=0"}</definedName>
    <definedName name="_2168__FDSAUDITLINK__" hidden="1">{"fdsup://directions/FAT Viewer?action=UPDATE&amp;creator=factset&amp;DYN_ARGS=TRUE&amp;DOC_NAME=FAT:FQL_AUDITING_CLIENT_TEMPLATE.FAT&amp;display_string=Audit&amp;VAR:KEY=IRSHEZQNSF&amp;VAR:QUERY=RkZfRElWX1lMRChBTk4sMTEvMTgvMDksMTEvMTgvMDkp&amp;WINDOW=FIRST_POPUP&amp;HEIGHT=450&amp;WIDTH=450&amp;","START_MAXIMIZED=FALSE&amp;VAR:CALENDAR=US&amp;VAR:SYMBOL=RAI&amp;VAR:INDEX=0"}</definedName>
    <definedName name="_2169__FDSAUDITLINK__" localSheetId="0" hidden="1">{"fdsup://directions/FAT Viewer?action=UPDATE&amp;creator=factset&amp;DYN_ARGS=TRUE&amp;DOC_NAME=FAT:FQL_AUDITING_CLIENT_TEMPLATE.FAT&amp;display_string=Audit&amp;VAR:KEY=YDYZMDOFST&amp;VAR:QUERY=RkZfRElWX1lMRChBTk4sMTEvMTEvMDksMTEvMTEvMDkp&amp;WINDOW=FIRST_POPUP&amp;HEIGHT=450&amp;WIDTH=450&amp;","START_MAXIMIZED=FALSE&amp;VAR:CALENDAR=US&amp;VAR:SYMBOL=RAI&amp;VAR:INDEX=0"}</definedName>
    <definedName name="_2169__FDSAUDITLINK__" hidden="1">{"fdsup://directions/FAT Viewer?action=UPDATE&amp;creator=factset&amp;DYN_ARGS=TRUE&amp;DOC_NAME=FAT:FQL_AUDITING_CLIENT_TEMPLATE.FAT&amp;display_string=Audit&amp;VAR:KEY=YDYZMDOFST&amp;VAR:QUERY=RkZfRElWX1lMRChBTk4sMTEvMTEvMDksMTEvMTEvMDkp&amp;WINDOW=FIRST_POPUP&amp;HEIGHT=450&amp;WIDTH=450&amp;","START_MAXIMIZED=FALSE&amp;VAR:CALENDAR=US&amp;VAR:SYMBOL=RAI&amp;VAR:INDEX=0"}</definedName>
    <definedName name="_217">#REF!</definedName>
    <definedName name="_217__FDSAUDITLINK__" localSheetId="0" hidden="1">{"fdsup://directions/FAT Viewer?action=UPDATE&amp;creator=factset&amp;DYN_ARGS=TRUE&amp;DOC_NAME=FAT:FQL_AUDITING_CLIENT_TEMPLATE.FAT&amp;display_string=Audit&amp;VAR:KEY=JEDARQTIXM&amp;VAR:QUERY=RkZfRElWX1lMRChBTk4sMi8wOC8wNywyLzA4LzA3KQ==&amp;WINDOW=FIRST_POPUP&amp;HEIGHT=450&amp;WIDTH=450&amp;","START_MAXIMIZED=FALSE&amp;VAR:CALENDAR=US&amp;VAR:SYMBOL=RAI&amp;VAR:INDEX=0"}</definedName>
    <definedName name="_217__FDSAUDITLINK__" hidden="1">{"fdsup://directions/FAT Viewer?action=UPDATE&amp;creator=factset&amp;DYN_ARGS=TRUE&amp;DOC_NAME=FAT:FQL_AUDITING_CLIENT_TEMPLATE.FAT&amp;display_string=Audit&amp;VAR:KEY=JEDARQTIXM&amp;VAR:QUERY=RkZfRElWX1lMRChBTk4sMi8wOC8wNywyLzA4LzA3KQ==&amp;WINDOW=FIRST_POPUP&amp;HEIGHT=450&amp;WIDTH=450&amp;","START_MAXIMIZED=FALSE&amp;VAR:CALENDAR=US&amp;VAR:SYMBOL=RAI&amp;VAR:INDEX=0"}</definedName>
    <definedName name="_2170__FDSAUDITLINK__" localSheetId="0" hidden="1">{"fdsup://directions/FAT Viewer?action=UPDATE&amp;creator=factset&amp;DYN_ARGS=TRUE&amp;DOC_NAME=FAT:FQL_AUDITING_CLIENT_TEMPLATE.FAT&amp;display_string=Audit&amp;VAR:KEY=IJMLQRKDCB&amp;VAR:QUERY=RkZfRElWX1lMRChBTk4sMTEvMDQvMDksMTEvMDQvMDkp&amp;WINDOW=FIRST_POPUP&amp;HEIGHT=450&amp;WIDTH=450&amp;","START_MAXIMIZED=FALSE&amp;VAR:CALENDAR=US&amp;VAR:SYMBOL=RAI&amp;VAR:INDEX=0"}</definedName>
    <definedName name="_2170__FDSAUDITLINK__" hidden="1">{"fdsup://directions/FAT Viewer?action=UPDATE&amp;creator=factset&amp;DYN_ARGS=TRUE&amp;DOC_NAME=FAT:FQL_AUDITING_CLIENT_TEMPLATE.FAT&amp;display_string=Audit&amp;VAR:KEY=IJMLQRKDCB&amp;VAR:QUERY=RkZfRElWX1lMRChBTk4sMTEvMDQvMDksMTEvMDQvMDkp&amp;WINDOW=FIRST_POPUP&amp;HEIGHT=450&amp;WIDTH=450&amp;","START_MAXIMIZED=FALSE&amp;VAR:CALENDAR=US&amp;VAR:SYMBOL=RAI&amp;VAR:INDEX=0"}</definedName>
    <definedName name="_2171__FDSAUDITLINK__" localSheetId="0" hidden="1">{"fdsup://directions/FAT Viewer?action=UPDATE&amp;creator=factset&amp;DYN_ARGS=TRUE&amp;DOC_NAME=FAT:FQL_AUDITING_CLIENT_TEMPLATE.FAT&amp;display_string=Audit&amp;VAR:KEY=GRSFWFEZSP&amp;VAR:QUERY=RkZfRElWX1lMRChBTk4sMTAvMjgvMDksMTAvMjgvMDkp&amp;WINDOW=FIRST_POPUP&amp;HEIGHT=450&amp;WIDTH=450&amp;","START_MAXIMIZED=FALSE&amp;VAR:CALENDAR=US&amp;VAR:SYMBOL=RAI&amp;VAR:INDEX=0"}</definedName>
    <definedName name="_2171__FDSAUDITLINK__" hidden="1">{"fdsup://directions/FAT Viewer?action=UPDATE&amp;creator=factset&amp;DYN_ARGS=TRUE&amp;DOC_NAME=FAT:FQL_AUDITING_CLIENT_TEMPLATE.FAT&amp;display_string=Audit&amp;VAR:KEY=GRSFWFEZSP&amp;VAR:QUERY=RkZfRElWX1lMRChBTk4sMTAvMjgvMDksMTAvMjgvMDkp&amp;WINDOW=FIRST_POPUP&amp;HEIGHT=450&amp;WIDTH=450&amp;","START_MAXIMIZED=FALSE&amp;VAR:CALENDAR=US&amp;VAR:SYMBOL=RAI&amp;VAR:INDEX=0"}</definedName>
    <definedName name="_2172__FDSAUDITLINK__" localSheetId="0" hidden="1">{"fdsup://directions/FAT Viewer?action=UPDATE&amp;creator=factset&amp;DYN_ARGS=TRUE&amp;DOC_NAME=FAT:FQL_AUDITING_CLIENT_TEMPLATE.FAT&amp;display_string=Audit&amp;VAR:KEY=WLYRWJWXMP&amp;VAR:QUERY=RkZfRElWX1lMRChBTk4sMTAvMjEvMDksMTAvMjEvMDkp&amp;WINDOW=FIRST_POPUP&amp;HEIGHT=450&amp;WIDTH=450&amp;","START_MAXIMIZED=FALSE&amp;VAR:CALENDAR=US&amp;VAR:SYMBOL=RAI&amp;VAR:INDEX=0"}</definedName>
    <definedName name="_2172__FDSAUDITLINK__" hidden="1">{"fdsup://directions/FAT Viewer?action=UPDATE&amp;creator=factset&amp;DYN_ARGS=TRUE&amp;DOC_NAME=FAT:FQL_AUDITING_CLIENT_TEMPLATE.FAT&amp;display_string=Audit&amp;VAR:KEY=WLYRWJWXMP&amp;VAR:QUERY=RkZfRElWX1lMRChBTk4sMTAvMjEvMDksMTAvMjEvMDkp&amp;WINDOW=FIRST_POPUP&amp;HEIGHT=450&amp;WIDTH=450&amp;","START_MAXIMIZED=FALSE&amp;VAR:CALENDAR=US&amp;VAR:SYMBOL=RAI&amp;VAR:INDEX=0"}</definedName>
    <definedName name="_2173">#REF!</definedName>
    <definedName name="_2173__FDSAUDITLINK__" localSheetId="0" hidden="1">{"fdsup://directions/FAT Viewer?action=UPDATE&amp;creator=factset&amp;DYN_ARGS=TRUE&amp;DOC_NAME=FAT:FQL_AUDITING_CLIENT_TEMPLATE.FAT&amp;display_string=Audit&amp;VAR:KEY=OXSHGJQDEZ&amp;VAR:QUERY=RkZfRElWX1lMRChBTk4sMTAvMTQvMDksMTAvMTQvMDkp&amp;WINDOW=FIRST_POPUP&amp;HEIGHT=450&amp;WIDTH=450&amp;","START_MAXIMIZED=FALSE&amp;VAR:CALENDAR=US&amp;VAR:SYMBOL=RAI&amp;VAR:INDEX=0"}</definedName>
    <definedName name="_2173__FDSAUDITLINK__" hidden="1">{"fdsup://directions/FAT Viewer?action=UPDATE&amp;creator=factset&amp;DYN_ARGS=TRUE&amp;DOC_NAME=FAT:FQL_AUDITING_CLIENT_TEMPLATE.FAT&amp;display_string=Audit&amp;VAR:KEY=OXSHGJQDEZ&amp;VAR:QUERY=RkZfRElWX1lMRChBTk4sMTAvMTQvMDksMTAvMTQvMDkp&amp;WINDOW=FIRST_POPUP&amp;HEIGHT=450&amp;WIDTH=450&amp;","START_MAXIMIZED=FALSE&amp;VAR:CALENDAR=US&amp;VAR:SYMBOL=RAI&amp;VAR:INDEX=0"}</definedName>
    <definedName name="_2174__FDSAUDITLINK__" localSheetId="0" hidden="1">{"fdsup://directions/FAT Viewer?action=UPDATE&amp;creator=factset&amp;DYN_ARGS=TRUE&amp;DOC_NAME=FAT:FQL_AUDITING_CLIENT_TEMPLATE.FAT&amp;display_string=Audit&amp;VAR:KEY=CPMFYRSLYZ&amp;VAR:QUERY=RkZfRElWX1lMRChBTk4sMTAvMDcvMDksMTAvMDcvMDkp&amp;WINDOW=FIRST_POPUP&amp;HEIGHT=450&amp;WIDTH=450&amp;","START_MAXIMIZED=FALSE&amp;VAR:CALENDAR=US&amp;VAR:SYMBOL=RAI&amp;VAR:INDEX=0"}</definedName>
    <definedName name="_2174__FDSAUDITLINK__" hidden="1">{"fdsup://directions/FAT Viewer?action=UPDATE&amp;creator=factset&amp;DYN_ARGS=TRUE&amp;DOC_NAME=FAT:FQL_AUDITING_CLIENT_TEMPLATE.FAT&amp;display_string=Audit&amp;VAR:KEY=CPMFYRSLYZ&amp;VAR:QUERY=RkZfRElWX1lMRChBTk4sMTAvMDcvMDksMTAvMDcvMDkp&amp;WINDOW=FIRST_POPUP&amp;HEIGHT=450&amp;WIDTH=450&amp;","START_MAXIMIZED=FALSE&amp;VAR:CALENDAR=US&amp;VAR:SYMBOL=RAI&amp;VAR:INDEX=0"}</definedName>
    <definedName name="_2175__FDSAUDITLINK__" localSheetId="0" hidden="1">{"fdsup://directions/FAT Viewer?action=UPDATE&amp;creator=factset&amp;DYN_ARGS=TRUE&amp;DOC_NAME=FAT:FQL_AUDITING_CLIENT_TEMPLATE.FAT&amp;display_string=Audit&amp;VAR:KEY=AFGHGRGDET&amp;VAR:QUERY=RkZfRElWX1lMRChBTk4sOS8zMC8wOSw5LzMwLzA5KQ==&amp;WINDOW=FIRST_POPUP&amp;HEIGHT=450&amp;WIDTH=450&amp;","START_MAXIMIZED=FALSE&amp;VAR:CALENDAR=US&amp;VAR:SYMBOL=RAI&amp;VAR:INDEX=0"}</definedName>
    <definedName name="_2175__FDSAUDITLINK__" hidden="1">{"fdsup://directions/FAT Viewer?action=UPDATE&amp;creator=factset&amp;DYN_ARGS=TRUE&amp;DOC_NAME=FAT:FQL_AUDITING_CLIENT_TEMPLATE.FAT&amp;display_string=Audit&amp;VAR:KEY=AFGHGRGDET&amp;VAR:QUERY=RkZfRElWX1lMRChBTk4sOS8zMC8wOSw5LzMwLzA5KQ==&amp;WINDOW=FIRST_POPUP&amp;HEIGHT=450&amp;WIDTH=450&amp;","START_MAXIMIZED=FALSE&amp;VAR:CALENDAR=US&amp;VAR:SYMBOL=RAI&amp;VAR:INDEX=0"}</definedName>
    <definedName name="_2176__FDSAUDITLINK__" localSheetId="0" hidden="1">{"fdsup://directions/FAT Viewer?action=UPDATE&amp;creator=factset&amp;DYN_ARGS=TRUE&amp;DOC_NAME=FAT:FQL_AUDITING_CLIENT_TEMPLATE.FAT&amp;display_string=Audit&amp;VAR:KEY=WDMNQXEVWT&amp;VAR:QUERY=RkZfRElWX1lMRChBTk4sOS8yMy8wOSw5LzIzLzA5KQ==&amp;WINDOW=FIRST_POPUP&amp;HEIGHT=450&amp;WIDTH=450&amp;","START_MAXIMIZED=FALSE&amp;VAR:CALENDAR=US&amp;VAR:SYMBOL=RAI&amp;VAR:INDEX=0"}</definedName>
    <definedName name="_2176__FDSAUDITLINK__" hidden="1">{"fdsup://directions/FAT Viewer?action=UPDATE&amp;creator=factset&amp;DYN_ARGS=TRUE&amp;DOC_NAME=FAT:FQL_AUDITING_CLIENT_TEMPLATE.FAT&amp;display_string=Audit&amp;VAR:KEY=WDMNQXEVWT&amp;VAR:QUERY=RkZfRElWX1lMRChBTk4sOS8yMy8wOSw5LzIzLzA5KQ==&amp;WINDOW=FIRST_POPUP&amp;HEIGHT=450&amp;WIDTH=450&amp;","START_MAXIMIZED=FALSE&amp;VAR:CALENDAR=US&amp;VAR:SYMBOL=RAI&amp;VAR:INDEX=0"}</definedName>
    <definedName name="_2177__FDSAUDITLINK__" localSheetId="0" hidden="1">{"fdsup://directions/FAT Viewer?action=UPDATE&amp;creator=factset&amp;DYN_ARGS=TRUE&amp;DOC_NAME=FAT:FQL_AUDITING_CLIENT_TEMPLATE.FAT&amp;display_string=Audit&amp;VAR:KEY=INWPULETWF&amp;VAR:QUERY=RkZfRElWX1lMRChBTk4sOS8xNi8wOSw5LzE2LzA5KQ==&amp;WINDOW=FIRST_POPUP&amp;HEIGHT=450&amp;WIDTH=450&amp;","START_MAXIMIZED=FALSE&amp;VAR:CALENDAR=US&amp;VAR:SYMBOL=RAI&amp;VAR:INDEX=0"}</definedName>
    <definedName name="_2177__FDSAUDITLINK__" hidden="1">{"fdsup://directions/FAT Viewer?action=UPDATE&amp;creator=factset&amp;DYN_ARGS=TRUE&amp;DOC_NAME=FAT:FQL_AUDITING_CLIENT_TEMPLATE.FAT&amp;display_string=Audit&amp;VAR:KEY=INWPULETWF&amp;VAR:QUERY=RkZfRElWX1lMRChBTk4sOS8xNi8wOSw5LzE2LzA5KQ==&amp;WINDOW=FIRST_POPUP&amp;HEIGHT=450&amp;WIDTH=450&amp;","START_MAXIMIZED=FALSE&amp;VAR:CALENDAR=US&amp;VAR:SYMBOL=RAI&amp;VAR:INDEX=0"}</definedName>
    <definedName name="_2178__FDSAUDITLINK__" localSheetId="0" hidden="1">{"fdsup://directions/FAT Viewer?action=UPDATE&amp;creator=factset&amp;DYN_ARGS=TRUE&amp;DOC_NAME=FAT:FQL_AUDITING_CLIENT_TEMPLATE.FAT&amp;display_string=Audit&amp;VAR:KEY=UBWNCTGPWV&amp;VAR:QUERY=RkZfRElWX1lMRChBTk4sOS8wOS8wOSw5LzA5LzA5KQ==&amp;WINDOW=FIRST_POPUP&amp;HEIGHT=450&amp;WIDTH=450&amp;","START_MAXIMIZED=FALSE&amp;VAR:CALENDAR=US&amp;VAR:SYMBOL=RAI&amp;VAR:INDEX=0"}</definedName>
    <definedName name="_2178__FDSAUDITLINK__" hidden="1">{"fdsup://directions/FAT Viewer?action=UPDATE&amp;creator=factset&amp;DYN_ARGS=TRUE&amp;DOC_NAME=FAT:FQL_AUDITING_CLIENT_TEMPLATE.FAT&amp;display_string=Audit&amp;VAR:KEY=UBWNCTGPWV&amp;VAR:QUERY=RkZfRElWX1lMRChBTk4sOS8wOS8wOSw5LzA5LzA5KQ==&amp;WINDOW=FIRST_POPUP&amp;HEIGHT=450&amp;WIDTH=450&amp;","START_MAXIMIZED=FALSE&amp;VAR:CALENDAR=US&amp;VAR:SYMBOL=RAI&amp;VAR:INDEX=0"}</definedName>
    <definedName name="_2179__FDSAUDITLINK__" localSheetId="0" hidden="1">{"fdsup://directions/FAT Viewer?action=UPDATE&amp;creator=factset&amp;DYN_ARGS=TRUE&amp;DOC_NAME=FAT:FQL_AUDITING_CLIENT_TEMPLATE.FAT&amp;display_string=Audit&amp;VAR:KEY=WJWRGJCZAH&amp;VAR:QUERY=RkZfRElWX1lMRChBTk4sOS8wMi8wOSw5LzAyLzA5KQ==&amp;WINDOW=FIRST_POPUP&amp;HEIGHT=450&amp;WIDTH=450&amp;","START_MAXIMIZED=FALSE&amp;VAR:CALENDAR=US&amp;VAR:SYMBOL=RAI&amp;VAR:INDEX=0"}</definedName>
    <definedName name="_2179__FDSAUDITLINK__" hidden="1">{"fdsup://directions/FAT Viewer?action=UPDATE&amp;creator=factset&amp;DYN_ARGS=TRUE&amp;DOC_NAME=FAT:FQL_AUDITING_CLIENT_TEMPLATE.FAT&amp;display_string=Audit&amp;VAR:KEY=WJWRGJCZAH&amp;VAR:QUERY=RkZfRElWX1lMRChBTk4sOS8wMi8wOSw5LzAyLzA5KQ==&amp;WINDOW=FIRST_POPUP&amp;HEIGHT=450&amp;WIDTH=450&amp;","START_MAXIMIZED=FALSE&amp;VAR:CALENDAR=US&amp;VAR:SYMBOL=RAI&amp;VAR:INDEX=0"}</definedName>
    <definedName name="_218">#REF!</definedName>
    <definedName name="_218__FDSAUDITLINK__" localSheetId="0" hidden="1">{"fdsup://directions/FAT Viewer?action=UPDATE&amp;creator=factset&amp;DYN_ARGS=TRUE&amp;DOC_NAME=FAT:FQL_AUDITING_CLIENT_TEMPLATE.FAT&amp;display_string=Audit&amp;VAR:KEY=ZCNYHILMTA&amp;VAR:QUERY=RkZfRElWX1lMRChBTk4sMi8wMS8wNywyLzAxLzA3KQ==&amp;WINDOW=FIRST_POPUP&amp;HEIGHT=450&amp;WIDTH=450&amp;","START_MAXIMIZED=FALSE&amp;VAR:CALENDAR=US&amp;VAR:SYMBOL=RAI&amp;VAR:INDEX=0"}</definedName>
    <definedName name="_218__FDSAUDITLINK__" hidden="1">{"fdsup://directions/FAT Viewer?action=UPDATE&amp;creator=factset&amp;DYN_ARGS=TRUE&amp;DOC_NAME=FAT:FQL_AUDITING_CLIENT_TEMPLATE.FAT&amp;display_string=Audit&amp;VAR:KEY=ZCNYHILMTA&amp;VAR:QUERY=RkZfRElWX1lMRChBTk4sMi8wMS8wNywyLzAxLzA3KQ==&amp;WINDOW=FIRST_POPUP&amp;HEIGHT=450&amp;WIDTH=450&amp;","START_MAXIMIZED=FALSE&amp;VAR:CALENDAR=US&amp;VAR:SYMBOL=RAI&amp;VAR:INDEX=0"}</definedName>
    <definedName name="_2180__FDSAUDITLINK__" localSheetId="0" hidden="1">{"fdsup://directions/FAT Viewer?action=UPDATE&amp;creator=factset&amp;DYN_ARGS=TRUE&amp;DOC_NAME=FAT:FQL_AUDITING_CLIENT_TEMPLATE.FAT&amp;display_string=Audit&amp;VAR:KEY=EHSNCPMZMF&amp;VAR:QUERY=RkZfRElWX1lMRChBTk4sOC8yNi8wOSw4LzI2LzA5KQ==&amp;WINDOW=FIRST_POPUP&amp;HEIGHT=450&amp;WIDTH=450&amp;","START_MAXIMIZED=FALSE&amp;VAR:CALENDAR=US&amp;VAR:SYMBOL=RAI&amp;VAR:INDEX=0"}</definedName>
    <definedName name="_2180__FDSAUDITLINK__" hidden="1">{"fdsup://directions/FAT Viewer?action=UPDATE&amp;creator=factset&amp;DYN_ARGS=TRUE&amp;DOC_NAME=FAT:FQL_AUDITING_CLIENT_TEMPLATE.FAT&amp;display_string=Audit&amp;VAR:KEY=EHSNCPMZMF&amp;VAR:QUERY=RkZfRElWX1lMRChBTk4sOC8yNi8wOSw4LzI2LzA5KQ==&amp;WINDOW=FIRST_POPUP&amp;HEIGHT=450&amp;WIDTH=450&amp;","START_MAXIMIZED=FALSE&amp;VAR:CALENDAR=US&amp;VAR:SYMBOL=RAI&amp;VAR:INDEX=0"}</definedName>
    <definedName name="_2181">#REF!</definedName>
    <definedName name="_2181__FDSAUDITLINK__" localSheetId="0" hidden="1">{"fdsup://directions/FAT Viewer?action=UPDATE&amp;creator=factset&amp;DYN_ARGS=TRUE&amp;DOC_NAME=FAT:FQL_AUDITING_CLIENT_TEMPLATE.FAT&amp;display_string=Audit&amp;VAR:KEY=QXAFQRIDWZ&amp;VAR:QUERY=RkZfRElWX1lMRChBTk4sOC8xOS8wOSw4LzE5LzA5KQ==&amp;WINDOW=FIRST_POPUP&amp;HEIGHT=450&amp;WIDTH=450&amp;","START_MAXIMIZED=FALSE&amp;VAR:CALENDAR=US&amp;VAR:SYMBOL=RAI&amp;VAR:INDEX=0"}</definedName>
    <definedName name="_2181__FDSAUDITLINK__" hidden="1">{"fdsup://directions/FAT Viewer?action=UPDATE&amp;creator=factset&amp;DYN_ARGS=TRUE&amp;DOC_NAME=FAT:FQL_AUDITING_CLIENT_TEMPLATE.FAT&amp;display_string=Audit&amp;VAR:KEY=QXAFQRIDWZ&amp;VAR:QUERY=RkZfRElWX1lMRChBTk4sOC8xOS8wOSw4LzE5LzA5KQ==&amp;WINDOW=FIRST_POPUP&amp;HEIGHT=450&amp;WIDTH=450&amp;","START_MAXIMIZED=FALSE&amp;VAR:CALENDAR=US&amp;VAR:SYMBOL=RAI&amp;VAR:INDEX=0"}</definedName>
    <definedName name="_2182__FDSAUDITLINK__" localSheetId="0" hidden="1">{"fdsup://directions/FAT Viewer?action=UPDATE&amp;creator=factset&amp;DYN_ARGS=TRUE&amp;DOC_NAME=FAT:FQL_AUDITING_CLIENT_TEMPLATE.FAT&amp;display_string=Audit&amp;VAR:KEY=EDUJKLKXUP&amp;VAR:QUERY=RkZfRElWX1lMRChBTk4sOC8xMi8wOSw4LzEyLzA5KQ==&amp;WINDOW=FIRST_POPUP&amp;HEIGHT=450&amp;WIDTH=450&amp;","START_MAXIMIZED=FALSE&amp;VAR:CALENDAR=US&amp;VAR:SYMBOL=RAI&amp;VAR:INDEX=0"}</definedName>
    <definedName name="_2182__FDSAUDITLINK__" hidden="1">{"fdsup://directions/FAT Viewer?action=UPDATE&amp;creator=factset&amp;DYN_ARGS=TRUE&amp;DOC_NAME=FAT:FQL_AUDITING_CLIENT_TEMPLATE.FAT&amp;display_string=Audit&amp;VAR:KEY=EDUJKLKXUP&amp;VAR:QUERY=RkZfRElWX1lMRChBTk4sOC8xMi8wOSw4LzEyLzA5KQ==&amp;WINDOW=FIRST_POPUP&amp;HEIGHT=450&amp;WIDTH=450&amp;","START_MAXIMIZED=FALSE&amp;VAR:CALENDAR=US&amp;VAR:SYMBOL=RAI&amp;VAR:INDEX=0"}</definedName>
    <definedName name="_2183__FDSAUDITLINK__" localSheetId="0" hidden="1">{"fdsup://directions/FAT Viewer?action=UPDATE&amp;creator=factset&amp;DYN_ARGS=TRUE&amp;DOC_NAME=FAT:FQL_AUDITING_CLIENT_TEMPLATE.FAT&amp;display_string=Audit&amp;VAR:KEY=MDMTIHMHWB&amp;VAR:QUERY=RkZfRElWX1lMRChBTk4sOC8wNS8wOSw4LzA1LzA5KQ==&amp;WINDOW=FIRST_POPUP&amp;HEIGHT=450&amp;WIDTH=450&amp;","START_MAXIMIZED=FALSE&amp;VAR:CALENDAR=US&amp;VAR:SYMBOL=RAI&amp;VAR:INDEX=0"}</definedName>
    <definedName name="_2183__FDSAUDITLINK__" hidden="1">{"fdsup://directions/FAT Viewer?action=UPDATE&amp;creator=factset&amp;DYN_ARGS=TRUE&amp;DOC_NAME=FAT:FQL_AUDITING_CLIENT_TEMPLATE.FAT&amp;display_string=Audit&amp;VAR:KEY=MDMTIHMHWB&amp;VAR:QUERY=RkZfRElWX1lMRChBTk4sOC8wNS8wOSw4LzA1LzA5KQ==&amp;WINDOW=FIRST_POPUP&amp;HEIGHT=450&amp;WIDTH=450&amp;","START_MAXIMIZED=FALSE&amp;VAR:CALENDAR=US&amp;VAR:SYMBOL=RAI&amp;VAR:INDEX=0"}</definedName>
    <definedName name="_2184__FDSAUDITLINK__" localSheetId="0" hidden="1">{"fdsup://directions/FAT Viewer?action=UPDATE&amp;creator=factset&amp;DYN_ARGS=TRUE&amp;DOC_NAME=FAT:FQL_AUDITING_CLIENT_TEMPLATE.FAT&amp;display_string=Audit&amp;VAR:KEY=YBCRYNILCB&amp;VAR:QUERY=RkZfRElWX1lMRChBTk4sNy8yOS8wOSw3LzI5LzA5KQ==&amp;WINDOW=FIRST_POPUP&amp;HEIGHT=450&amp;WIDTH=450&amp;","START_MAXIMIZED=FALSE&amp;VAR:CALENDAR=US&amp;VAR:SYMBOL=RAI&amp;VAR:INDEX=0"}</definedName>
    <definedName name="_2184__FDSAUDITLINK__" hidden="1">{"fdsup://directions/FAT Viewer?action=UPDATE&amp;creator=factset&amp;DYN_ARGS=TRUE&amp;DOC_NAME=FAT:FQL_AUDITING_CLIENT_TEMPLATE.FAT&amp;display_string=Audit&amp;VAR:KEY=YBCRYNILCB&amp;VAR:QUERY=RkZfRElWX1lMRChBTk4sNy8yOS8wOSw3LzI5LzA5KQ==&amp;WINDOW=FIRST_POPUP&amp;HEIGHT=450&amp;WIDTH=450&amp;","START_MAXIMIZED=FALSE&amp;VAR:CALENDAR=US&amp;VAR:SYMBOL=RAI&amp;VAR:INDEX=0"}</definedName>
    <definedName name="_2185">#REF!</definedName>
    <definedName name="_2185__FDSAUDITLINK__" localSheetId="0" hidden="1">{"fdsup://directions/FAT Viewer?action=UPDATE&amp;creator=factset&amp;DYN_ARGS=TRUE&amp;DOC_NAME=FAT:FQL_AUDITING_CLIENT_TEMPLATE.FAT&amp;display_string=Audit&amp;VAR:KEY=ENENIVSFSZ&amp;VAR:QUERY=RkZfRElWX1lMRChBTk4sNy8yMi8wOSw3LzIyLzA5KQ==&amp;WINDOW=FIRST_POPUP&amp;HEIGHT=450&amp;WIDTH=450&amp;","START_MAXIMIZED=FALSE&amp;VAR:CALENDAR=US&amp;VAR:SYMBOL=RAI&amp;VAR:INDEX=0"}</definedName>
    <definedName name="_2185__FDSAUDITLINK__" hidden="1">{"fdsup://directions/FAT Viewer?action=UPDATE&amp;creator=factset&amp;DYN_ARGS=TRUE&amp;DOC_NAME=FAT:FQL_AUDITING_CLIENT_TEMPLATE.FAT&amp;display_string=Audit&amp;VAR:KEY=ENENIVSFSZ&amp;VAR:QUERY=RkZfRElWX1lMRChBTk4sNy8yMi8wOSw3LzIyLzA5KQ==&amp;WINDOW=FIRST_POPUP&amp;HEIGHT=450&amp;WIDTH=450&amp;","START_MAXIMIZED=FALSE&amp;VAR:CALENDAR=US&amp;VAR:SYMBOL=RAI&amp;VAR:INDEX=0"}</definedName>
    <definedName name="_2186__FDSAUDITLINK__" localSheetId="0" hidden="1">{"fdsup://directions/FAT Viewer?action=UPDATE&amp;creator=factset&amp;DYN_ARGS=TRUE&amp;DOC_NAME=FAT:FQL_AUDITING_CLIENT_TEMPLATE.FAT&amp;display_string=Audit&amp;VAR:KEY=GBKHMVGTUB&amp;VAR:QUERY=RkZfRElWX1lMRChBTk4sNy8xNS8wOSw3LzE1LzA5KQ==&amp;WINDOW=FIRST_POPUP&amp;HEIGHT=450&amp;WIDTH=450&amp;","START_MAXIMIZED=FALSE&amp;VAR:CALENDAR=US&amp;VAR:SYMBOL=RAI&amp;VAR:INDEX=0"}</definedName>
    <definedName name="_2186__FDSAUDITLINK__" hidden="1">{"fdsup://directions/FAT Viewer?action=UPDATE&amp;creator=factset&amp;DYN_ARGS=TRUE&amp;DOC_NAME=FAT:FQL_AUDITING_CLIENT_TEMPLATE.FAT&amp;display_string=Audit&amp;VAR:KEY=GBKHMVGTUB&amp;VAR:QUERY=RkZfRElWX1lMRChBTk4sNy8xNS8wOSw3LzE1LzA5KQ==&amp;WINDOW=FIRST_POPUP&amp;HEIGHT=450&amp;WIDTH=450&amp;","START_MAXIMIZED=FALSE&amp;VAR:CALENDAR=US&amp;VAR:SYMBOL=RAI&amp;VAR:INDEX=0"}</definedName>
    <definedName name="_2187__FDSAUDITLINK__" localSheetId="0" hidden="1">{"fdsup://directions/FAT Viewer?action=UPDATE&amp;creator=factset&amp;DYN_ARGS=TRUE&amp;DOC_NAME=FAT:FQL_AUDITING_CLIENT_TEMPLATE.FAT&amp;display_string=Audit&amp;VAR:KEY=YDEVMXABQR&amp;VAR:QUERY=RkZfRElWX1lMRChBTk4sNy8wOC8wOSw3LzA4LzA5KQ==&amp;WINDOW=FIRST_POPUP&amp;HEIGHT=450&amp;WIDTH=450&amp;","START_MAXIMIZED=FALSE&amp;VAR:CALENDAR=US&amp;VAR:SYMBOL=RAI&amp;VAR:INDEX=0"}</definedName>
    <definedName name="_2187__FDSAUDITLINK__" hidden="1">{"fdsup://directions/FAT Viewer?action=UPDATE&amp;creator=factset&amp;DYN_ARGS=TRUE&amp;DOC_NAME=FAT:FQL_AUDITING_CLIENT_TEMPLATE.FAT&amp;display_string=Audit&amp;VAR:KEY=YDEVMXABQR&amp;VAR:QUERY=RkZfRElWX1lMRChBTk4sNy8wOC8wOSw3LzA4LzA5KQ==&amp;WINDOW=FIRST_POPUP&amp;HEIGHT=450&amp;WIDTH=450&amp;","START_MAXIMIZED=FALSE&amp;VAR:CALENDAR=US&amp;VAR:SYMBOL=RAI&amp;VAR:INDEX=0"}</definedName>
    <definedName name="_2188__FDSAUDITLINK__" localSheetId="0" hidden="1">{"fdsup://directions/FAT Viewer?action=UPDATE&amp;creator=factset&amp;DYN_ARGS=TRUE&amp;DOC_NAME=FAT:FQL_AUDITING_CLIENT_TEMPLATE.FAT&amp;display_string=Audit&amp;VAR:KEY=YHKRAPOVST&amp;VAR:QUERY=RkZfRElWX1lMRChBTk4sNy8wMS8wOSw3LzAxLzA5KQ==&amp;WINDOW=FIRST_POPUP&amp;HEIGHT=450&amp;WIDTH=450&amp;","START_MAXIMIZED=FALSE&amp;VAR:CALENDAR=US&amp;VAR:SYMBOL=RAI&amp;VAR:INDEX=0"}</definedName>
    <definedName name="_2188__FDSAUDITLINK__" hidden="1">{"fdsup://directions/FAT Viewer?action=UPDATE&amp;creator=factset&amp;DYN_ARGS=TRUE&amp;DOC_NAME=FAT:FQL_AUDITING_CLIENT_TEMPLATE.FAT&amp;display_string=Audit&amp;VAR:KEY=YHKRAPOVST&amp;VAR:QUERY=RkZfRElWX1lMRChBTk4sNy8wMS8wOSw3LzAxLzA5KQ==&amp;WINDOW=FIRST_POPUP&amp;HEIGHT=450&amp;WIDTH=450&amp;","START_MAXIMIZED=FALSE&amp;VAR:CALENDAR=US&amp;VAR:SYMBOL=RAI&amp;VAR:INDEX=0"}</definedName>
    <definedName name="_2189__FDSAUDITLINK__" localSheetId="0" hidden="1">{"fdsup://directions/FAT Viewer?action=UPDATE&amp;creator=factset&amp;DYN_ARGS=TRUE&amp;DOC_NAME=FAT:FQL_AUDITING_CLIENT_TEMPLATE.FAT&amp;display_string=Audit&amp;VAR:KEY=CHWXENEPMF&amp;VAR:QUERY=RkZfRElWX1lMRChBTk4sNi8yNC8wOSw2LzI0LzA5KQ==&amp;WINDOW=FIRST_POPUP&amp;HEIGHT=450&amp;WIDTH=450&amp;","START_MAXIMIZED=FALSE&amp;VAR:CALENDAR=US&amp;VAR:SYMBOL=RAI&amp;VAR:INDEX=0"}</definedName>
    <definedName name="_2189__FDSAUDITLINK__" hidden="1">{"fdsup://directions/FAT Viewer?action=UPDATE&amp;creator=factset&amp;DYN_ARGS=TRUE&amp;DOC_NAME=FAT:FQL_AUDITING_CLIENT_TEMPLATE.FAT&amp;display_string=Audit&amp;VAR:KEY=CHWXENEPMF&amp;VAR:QUERY=RkZfRElWX1lMRChBTk4sNi8yNC8wOSw2LzI0LzA5KQ==&amp;WINDOW=FIRST_POPUP&amp;HEIGHT=450&amp;WIDTH=450&amp;","START_MAXIMIZED=FALSE&amp;VAR:CALENDAR=US&amp;VAR:SYMBOL=RAI&amp;VAR:INDEX=0"}</definedName>
    <definedName name="_219">#REF!</definedName>
    <definedName name="_219__FDSAUDITLINK__" localSheetId="0" hidden="1">{"fdsup://directions/FAT Viewer?action=UPDATE&amp;creator=factset&amp;DYN_ARGS=TRUE&amp;DOC_NAME=FAT:FQL_AUDITING_CLIENT_TEMPLATE.FAT&amp;display_string=Audit&amp;VAR:KEY=VINOJKZADG&amp;VAR:QUERY=RkZfRElWX1lMRChBTk4sMS8yNS8wNywxLzI1LzA3KQ==&amp;WINDOW=FIRST_POPUP&amp;HEIGHT=450&amp;WIDTH=450&amp;","START_MAXIMIZED=FALSE&amp;VAR:CALENDAR=US&amp;VAR:SYMBOL=RAI&amp;VAR:INDEX=0"}</definedName>
    <definedName name="_219__FDSAUDITLINK__" hidden="1">{"fdsup://directions/FAT Viewer?action=UPDATE&amp;creator=factset&amp;DYN_ARGS=TRUE&amp;DOC_NAME=FAT:FQL_AUDITING_CLIENT_TEMPLATE.FAT&amp;display_string=Audit&amp;VAR:KEY=VINOJKZADG&amp;VAR:QUERY=RkZfRElWX1lMRChBTk4sMS8yNS8wNywxLzI1LzA3KQ==&amp;WINDOW=FIRST_POPUP&amp;HEIGHT=450&amp;WIDTH=450&amp;","START_MAXIMIZED=FALSE&amp;VAR:CALENDAR=US&amp;VAR:SYMBOL=RAI&amp;VAR:INDEX=0"}</definedName>
    <definedName name="_2190">#REF!</definedName>
    <definedName name="_2190__FDSAUDITLINK__" localSheetId="0" hidden="1">{"fdsup://directions/FAT Viewer?action=UPDATE&amp;creator=factset&amp;DYN_ARGS=TRUE&amp;DOC_NAME=FAT:FQL_AUDITING_CLIENT_TEMPLATE.FAT&amp;display_string=Audit&amp;VAR:KEY=MNUFQNWVAH&amp;VAR:QUERY=RkZfRElWX1lMRChBTk4sNi8xNy8wOSw2LzE3LzA5KQ==&amp;WINDOW=FIRST_POPUP&amp;HEIGHT=450&amp;WIDTH=450&amp;","START_MAXIMIZED=FALSE&amp;VAR:CALENDAR=US&amp;VAR:SYMBOL=RAI&amp;VAR:INDEX=0"}</definedName>
    <definedName name="_2190__FDSAUDITLINK__" hidden="1">{"fdsup://directions/FAT Viewer?action=UPDATE&amp;creator=factset&amp;DYN_ARGS=TRUE&amp;DOC_NAME=FAT:FQL_AUDITING_CLIENT_TEMPLATE.FAT&amp;display_string=Audit&amp;VAR:KEY=MNUFQNWVAH&amp;VAR:QUERY=RkZfRElWX1lMRChBTk4sNi8xNy8wOSw2LzE3LzA5KQ==&amp;WINDOW=FIRST_POPUP&amp;HEIGHT=450&amp;WIDTH=450&amp;","START_MAXIMIZED=FALSE&amp;VAR:CALENDAR=US&amp;VAR:SYMBOL=RAI&amp;VAR:INDEX=0"}</definedName>
    <definedName name="_2191__FDSAUDITLINK__" localSheetId="0" hidden="1">{"fdsup://directions/FAT Viewer?action=UPDATE&amp;creator=factset&amp;DYN_ARGS=TRUE&amp;DOC_NAME=FAT:FQL_AUDITING_CLIENT_TEMPLATE.FAT&amp;display_string=Audit&amp;VAR:KEY=SRABINGHYX&amp;VAR:QUERY=RkZfRElWX1lMRChBTk4sNi8xMC8wOSw2LzEwLzA5KQ==&amp;WINDOW=FIRST_POPUP&amp;HEIGHT=450&amp;WIDTH=450&amp;","START_MAXIMIZED=FALSE&amp;VAR:CALENDAR=US&amp;VAR:SYMBOL=RAI&amp;VAR:INDEX=0"}</definedName>
    <definedName name="_2191__FDSAUDITLINK__" hidden="1">{"fdsup://directions/FAT Viewer?action=UPDATE&amp;creator=factset&amp;DYN_ARGS=TRUE&amp;DOC_NAME=FAT:FQL_AUDITING_CLIENT_TEMPLATE.FAT&amp;display_string=Audit&amp;VAR:KEY=SRABINGHYX&amp;VAR:QUERY=RkZfRElWX1lMRChBTk4sNi8xMC8wOSw2LzEwLzA5KQ==&amp;WINDOW=FIRST_POPUP&amp;HEIGHT=450&amp;WIDTH=450&amp;","START_MAXIMIZED=FALSE&amp;VAR:CALENDAR=US&amp;VAR:SYMBOL=RAI&amp;VAR:INDEX=0"}</definedName>
    <definedName name="_2192__FDSAUDITLINK__" localSheetId="0" hidden="1">{"fdsup://directions/FAT Viewer?action=UPDATE&amp;creator=factset&amp;DYN_ARGS=TRUE&amp;DOC_NAME=FAT:FQL_AUDITING_CLIENT_TEMPLATE.FAT&amp;display_string=Audit&amp;VAR:KEY=SRURQRQRCF&amp;VAR:QUERY=RkZfRElWX1lMRChBTk4sNi8wMy8wOSw2LzAzLzA5KQ==&amp;WINDOW=FIRST_POPUP&amp;HEIGHT=450&amp;WIDTH=450&amp;","START_MAXIMIZED=FALSE&amp;VAR:CALENDAR=US&amp;VAR:SYMBOL=RAI&amp;VAR:INDEX=0"}</definedName>
    <definedName name="_2192__FDSAUDITLINK__" hidden="1">{"fdsup://directions/FAT Viewer?action=UPDATE&amp;creator=factset&amp;DYN_ARGS=TRUE&amp;DOC_NAME=FAT:FQL_AUDITING_CLIENT_TEMPLATE.FAT&amp;display_string=Audit&amp;VAR:KEY=SRURQRQRCF&amp;VAR:QUERY=RkZfRElWX1lMRChBTk4sNi8wMy8wOSw2LzAzLzA5KQ==&amp;WINDOW=FIRST_POPUP&amp;HEIGHT=450&amp;WIDTH=450&amp;","START_MAXIMIZED=FALSE&amp;VAR:CALENDAR=US&amp;VAR:SYMBOL=RAI&amp;VAR:INDEX=0"}</definedName>
    <definedName name="_2193__FDSAUDITLINK__" localSheetId="0" hidden="1">{"fdsup://directions/FAT Viewer?action=UPDATE&amp;creator=factset&amp;DYN_ARGS=TRUE&amp;DOC_NAME=FAT:FQL_AUDITING_CLIENT_TEMPLATE.FAT&amp;display_string=Audit&amp;VAR:KEY=GLOLOHGLWL&amp;VAR:QUERY=RkZfRElWX1lMRChBTk4sNS8yNy8wOSw1LzI3LzA5KQ==&amp;WINDOW=FIRST_POPUP&amp;HEIGHT=450&amp;WIDTH=450&amp;","START_MAXIMIZED=FALSE&amp;VAR:CALENDAR=US&amp;VAR:SYMBOL=RAI&amp;VAR:INDEX=0"}</definedName>
    <definedName name="_2193__FDSAUDITLINK__" hidden="1">{"fdsup://directions/FAT Viewer?action=UPDATE&amp;creator=factset&amp;DYN_ARGS=TRUE&amp;DOC_NAME=FAT:FQL_AUDITING_CLIENT_TEMPLATE.FAT&amp;display_string=Audit&amp;VAR:KEY=GLOLOHGLWL&amp;VAR:QUERY=RkZfRElWX1lMRChBTk4sNS8yNy8wOSw1LzI3LzA5KQ==&amp;WINDOW=FIRST_POPUP&amp;HEIGHT=450&amp;WIDTH=450&amp;","START_MAXIMIZED=FALSE&amp;VAR:CALENDAR=US&amp;VAR:SYMBOL=RAI&amp;VAR:INDEX=0"}</definedName>
    <definedName name="_2194__FDSAUDITLINK__" localSheetId="0" hidden="1">{"fdsup://directions/FAT Viewer?action=UPDATE&amp;creator=factset&amp;DYN_ARGS=TRUE&amp;DOC_NAME=FAT:FQL_AUDITING_CLIENT_TEMPLATE.FAT&amp;display_string=Audit&amp;VAR:KEY=EPEXSTGNUR&amp;VAR:QUERY=RkZfRElWX1lMRChBTk4sNS8yMC8wOSw1LzIwLzA5KQ==&amp;WINDOW=FIRST_POPUP&amp;HEIGHT=450&amp;WIDTH=450&amp;","START_MAXIMIZED=FALSE&amp;VAR:CALENDAR=US&amp;VAR:SYMBOL=RAI&amp;VAR:INDEX=0"}</definedName>
    <definedName name="_2194__FDSAUDITLINK__" hidden="1">{"fdsup://directions/FAT Viewer?action=UPDATE&amp;creator=factset&amp;DYN_ARGS=TRUE&amp;DOC_NAME=FAT:FQL_AUDITING_CLIENT_TEMPLATE.FAT&amp;display_string=Audit&amp;VAR:KEY=EPEXSTGNUR&amp;VAR:QUERY=RkZfRElWX1lMRChBTk4sNS8yMC8wOSw1LzIwLzA5KQ==&amp;WINDOW=FIRST_POPUP&amp;HEIGHT=450&amp;WIDTH=450&amp;","START_MAXIMIZED=FALSE&amp;VAR:CALENDAR=US&amp;VAR:SYMBOL=RAI&amp;VAR:INDEX=0"}</definedName>
    <definedName name="_2195">#REF!</definedName>
    <definedName name="_2195__FDSAUDITLINK__" localSheetId="0" hidden="1">{"fdsup://directions/FAT Viewer?action=UPDATE&amp;creator=factset&amp;DYN_ARGS=TRUE&amp;DOC_NAME=FAT:FQL_AUDITING_CLIENT_TEMPLATE.FAT&amp;display_string=Audit&amp;VAR:KEY=SXSJCPARQL&amp;VAR:QUERY=RkZfRElWX1lMRChBTk4sNS8xMy8wOSw1LzEzLzA5KQ==&amp;WINDOW=FIRST_POPUP&amp;HEIGHT=450&amp;WIDTH=450&amp;","START_MAXIMIZED=FALSE&amp;VAR:CALENDAR=US&amp;VAR:SYMBOL=RAI&amp;VAR:INDEX=0"}</definedName>
    <definedName name="_2195__FDSAUDITLINK__" hidden="1">{"fdsup://directions/FAT Viewer?action=UPDATE&amp;creator=factset&amp;DYN_ARGS=TRUE&amp;DOC_NAME=FAT:FQL_AUDITING_CLIENT_TEMPLATE.FAT&amp;display_string=Audit&amp;VAR:KEY=SXSJCPARQL&amp;VAR:QUERY=RkZfRElWX1lMRChBTk4sNS8xMy8wOSw1LzEzLzA5KQ==&amp;WINDOW=FIRST_POPUP&amp;HEIGHT=450&amp;WIDTH=450&amp;","START_MAXIMIZED=FALSE&amp;VAR:CALENDAR=US&amp;VAR:SYMBOL=RAI&amp;VAR:INDEX=0"}</definedName>
    <definedName name="_2196__FDSAUDITLINK__" localSheetId="0" hidden="1">{"fdsup://directions/FAT Viewer?action=UPDATE&amp;creator=factset&amp;DYN_ARGS=TRUE&amp;DOC_NAME=FAT:FQL_AUDITING_CLIENT_TEMPLATE.FAT&amp;display_string=Audit&amp;VAR:KEY=ALQHSBEZEZ&amp;VAR:QUERY=RkZfRElWX1lMRChBTk4sNS8wNi8wOSw1LzA2LzA5KQ==&amp;WINDOW=FIRST_POPUP&amp;HEIGHT=450&amp;WIDTH=450&amp;","START_MAXIMIZED=FALSE&amp;VAR:CALENDAR=US&amp;VAR:SYMBOL=RAI&amp;VAR:INDEX=0"}</definedName>
    <definedName name="_2196__FDSAUDITLINK__" hidden="1">{"fdsup://directions/FAT Viewer?action=UPDATE&amp;creator=factset&amp;DYN_ARGS=TRUE&amp;DOC_NAME=FAT:FQL_AUDITING_CLIENT_TEMPLATE.FAT&amp;display_string=Audit&amp;VAR:KEY=ALQHSBEZEZ&amp;VAR:QUERY=RkZfRElWX1lMRChBTk4sNS8wNi8wOSw1LzA2LzA5KQ==&amp;WINDOW=FIRST_POPUP&amp;HEIGHT=450&amp;WIDTH=450&amp;","START_MAXIMIZED=FALSE&amp;VAR:CALENDAR=US&amp;VAR:SYMBOL=RAI&amp;VAR:INDEX=0"}</definedName>
    <definedName name="_2197__FDSAUDITLINK__" localSheetId="0" hidden="1">{"fdsup://directions/FAT Viewer?action=UPDATE&amp;creator=factset&amp;DYN_ARGS=TRUE&amp;DOC_NAME=FAT:FQL_AUDITING_CLIENT_TEMPLATE.FAT&amp;display_string=Audit&amp;VAR:KEY=EBMJWRGJCJ&amp;VAR:QUERY=RkZfRElWX1lMRChBTk4sNC8yOS8wOSw0LzI5LzA5KQ==&amp;WINDOW=FIRST_POPUP&amp;HEIGHT=450&amp;WIDTH=450&amp;","START_MAXIMIZED=FALSE&amp;VAR:CALENDAR=US&amp;VAR:SYMBOL=RAI&amp;VAR:INDEX=0"}</definedName>
    <definedName name="_2197__FDSAUDITLINK__" hidden="1">{"fdsup://directions/FAT Viewer?action=UPDATE&amp;creator=factset&amp;DYN_ARGS=TRUE&amp;DOC_NAME=FAT:FQL_AUDITING_CLIENT_TEMPLATE.FAT&amp;display_string=Audit&amp;VAR:KEY=EBMJWRGJCJ&amp;VAR:QUERY=RkZfRElWX1lMRChBTk4sNC8yOS8wOSw0LzI5LzA5KQ==&amp;WINDOW=FIRST_POPUP&amp;HEIGHT=450&amp;WIDTH=450&amp;","START_MAXIMIZED=FALSE&amp;VAR:CALENDAR=US&amp;VAR:SYMBOL=RAI&amp;VAR:INDEX=0"}</definedName>
    <definedName name="_2198__FDSAUDITLINK__" localSheetId="0" hidden="1">{"fdsup://directions/FAT Viewer?action=UPDATE&amp;creator=factset&amp;DYN_ARGS=TRUE&amp;DOC_NAME=FAT:FQL_AUDITING_CLIENT_TEMPLATE.FAT&amp;display_string=Audit&amp;VAR:KEY=GTMLSRUBWL&amp;VAR:QUERY=RkZfRElWX1lMRChBTk4sNC8yMi8wOSw0LzIyLzA5KQ==&amp;WINDOW=FIRST_POPUP&amp;HEIGHT=450&amp;WIDTH=450&amp;","START_MAXIMIZED=FALSE&amp;VAR:CALENDAR=US&amp;VAR:SYMBOL=RAI&amp;VAR:INDEX=0"}</definedName>
    <definedName name="_2198__FDSAUDITLINK__" hidden="1">{"fdsup://directions/FAT Viewer?action=UPDATE&amp;creator=factset&amp;DYN_ARGS=TRUE&amp;DOC_NAME=FAT:FQL_AUDITING_CLIENT_TEMPLATE.FAT&amp;display_string=Audit&amp;VAR:KEY=GTMLSRUBWL&amp;VAR:QUERY=RkZfRElWX1lMRChBTk4sNC8yMi8wOSw0LzIyLzA5KQ==&amp;WINDOW=FIRST_POPUP&amp;HEIGHT=450&amp;WIDTH=450&amp;","START_MAXIMIZED=FALSE&amp;VAR:CALENDAR=US&amp;VAR:SYMBOL=RAI&amp;VAR:INDEX=0"}</definedName>
    <definedName name="_2199__FDSAUDITLINK__" localSheetId="0" hidden="1">{"fdsup://directions/FAT Viewer?action=UPDATE&amp;creator=factset&amp;DYN_ARGS=TRUE&amp;DOC_NAME=FAT:FQL_AUDITING_CLIENT_TEMPLATE.FAT&amp;display_string=Audit&amp;VAR:KEY=QRIDOVINYB&amp;VAR:QUERY=RkZfRElWX1lMRChBTk4sNC8xNS8wOSw0LzE1LzA5KQ==&amp;WINDOW=FIRST_POPUP&amp;HEIGHT=450&amp;WIDTH=450&amp;","START_MAXIMIZED=FALSE&amp;VAR:CALENDAR=US&amp;VAR:SYMBOL=RAI&amp;VAR:INDEX=0"}</definedName>
    <definedName name="_2199__FDSAUDITLINK__" hidden="1">{"fdsup://directions/FAT Viewer?action=UPDATE&amp;creator=factset&amp;DYN_ARGS=TRUE&amp;DOC_NAME=FAT:FQL_AUDITING_CLIENT_TEMPLATE.FAT&amp;display_string=Audit&amp;VAR:KEY=QRIDOVINYB&amp;VAR:QUERY=RkZfRElWX1lMRChBTk4sNC8xNS8wOSw0LzE1LzA5KQ==&amp;WINDOW=FIRST_POPUP&amp;HEIGHT=450&amp;WIDTH=450&amp;","START_MAXIMIZED=FALSE&amp;VAR:CALENDAR=US&amp;VAR:SYMBOL=RAI&amp;VAR:INDEX=0"}</definedName>
    <definedName name="_21s17_" hidden="1">{#N/A,#N/A,FALSE,"UNIT";#N/A,#N/A,FALSE,"UNIT";#N/A,#N/A,FALSE,"계정"}</definedName>
    <definedName name="_22">#REF!</definedName>
    <definedName name="_22_________NOTE5_7">#REF!</definedName>
    <definedName name="_22__123Graph_BCHART_26" hidden="1">#REF!</definedName>
    <definedName name="_22__123Graph_BChart_3I">#REF!</definedName>
    <definedName name="_22__123Graph_BSUPPLIES_BY_B_U">#REF!</definedName>
    <definedName name="_22__123Graph_BTAX_CREDIT">#REF!</definedName>
    <definedName name="_22__123Graph_BWAGES_BY_B_U">#REF!</definedName>
    <definedName name="_22__123Graph_CSUPPLIES_BY_B_U">#REF!</definedName>
    <definedName name="_22__123Graph_CWAGES_BY_B_U">#REF!</definedName>
    <definedName name="_22__123Graph_DQRE_S_BY_CO." hidden="1">#REF!</definedName>
    <definedName name="_22__123Graph_DSUPPLIES_BY_B_U">#REF!</definedName>
    <definedName name="_22__123Graph_DWAGES_BY_B_U">#REF!</definedName>
    <definedName name="_22__123Graph_ECONTRACT_BY_B_U">#REF!</definedName>
    <definedName name="_22__FDSAUDITLINK__" localSheetId="0" hidden="1">{"fdsup://directions/FAT Viewer?action=UPDATE&amp;creator=factset&amp;DYN_ARGS=TRUE&amp;DOC_NAME=FAT:FQL_AUDITING_CLIENT_TEMPLATE.FAT&amp;display_string=Audit&amp;VAR:KEY=GTYTEXGVQR&amp;VAR:QUERY=Q1NGX0RJVl9ZTEQoUVRSX1IsOS8zMC8yMDA1KQ==&amp;WINDOW=FIRST_POPUP&amp;HEIGHT=450&amp;WIDTH=450&amp;STAR","T_MAXIMIZED=FALSE&amp;VAR:CALENDAR=US&amp;VAR:SYMBOL=MO&amp;VAR:INDEX=0"}</definedName>
    <definedName name="_22__FDSAUDITLINK__" hidden="1">{"fdsup://directions/FAT Viewer?action=UPDATE&amp;creator=factset&amp;DYN_ARGS=TRUE&amp;DOC_NAME=FAT:FQL_AUDITING_CLIENT_TEMPLATE.FAT&amp;display_string=Audit&amp;VAR:KEY=GTYTEXGVQR&amp;VAR:QUERY=Q1NGX0RJVl9ZTEQoUVRSX1IsOS8zMC8yMDA1KQ==&amp;WINDOW=FIRST_POPUP&amp;HEIGHT=450&amp;WIDTH=450&amp;STAR","T_MAXIMIZED=FALSE&amp;VAR:CALENDAR=US&amp;VAR:SYMBOL=MO&amp;VAR:INDEX=0"}</definedName>
    <definedName name="_22_04_1999">#REF!</definedName>
    <definedName name="_22_1_0_F">#REF!</definedName>
    <definedName name="_22_10_1997">#REF!</definedName>
    <definedName name="_22_6__1_CRADDIN_Headings">#REF!</definedName>
    <definedName name="_220__FDSAUDITLINK__" localSheetId="0" hidden="1">{"fdsup://directions/FAT Viewer?action=UPDATE&amp;creator=factset&amp;DYN_ARGS=TRUE&amp;DOC_NAME=FAT:FQL_AUDITING_CLIENT_TEMPLATE.FAT&amp;display_string=Audit&amp;VAR:KEY=VYZAZIZKDO&amp;VAR:QUERY=RkZfRElWX1lMRChBTk4sMS8xOC8wNywxLzE4LzA3KQ==&amp;WINDOW=FIRST_POPUP&amp;HEIGHT=450&amp;WIDTH=450&amp;","START_MAXIMIZED=FALSE&amp;VAR:CALENDAR=US&amp;VAR:SYMBOL=RAI&amp;VAR:INDEX=0"}</definedName>
    <definedName name="_220__FDSAUDITLINK__" hidden="1">{"fdsup://directions/FAT Viewer?action=UPDATE&amp;creator=factset&amp;DYN_ARGS=TRUE&amp;DOC_NAME=FAT:FQL_AUDITING_CLIENT_TEMPLATE.FAT&amp;display_string=Audit&amp;VAR:KEY=VYZAZIZKDO&amp;VAR:QUERY=RkZfRElWX1lMRChBTk4sMS8xOC8wNywxLzE4LzA3KQ==&amp;WINDOW=FIRST_POPUP&amp;HEIGHT=450&amp;WIDTH=450&amp;","START_MAXIMIZED=FALSE&amp;VAR:CALENDAR=US&amp;VAR:SYMBOL=RAI&amp;VAR:INDEX=0"}</definedName>
    <definedName name="_2200__FDSAUDITLINK__" localSheetId="0" hidden="1">{"fdsup://directions/FAT Viewer?action=UPDATE&amp;creator=factset&amp;DYN_ARGS=TRUE&amp;DOC_NAME=FAT:FQL_AUDITING_CLIENT_TEMPLATE.FAT&amp;display_string=Audit&amp;VAR:KEY=OXYZOFKTMN&amp;VAR:QUERY=RkZfRElWX1lMRChBTk4sNC8wOC8wOSw0LzA4LzA5KQ==&amp;WINDOW=FIRST_POPUP&amp;HEIGHT=450&amp;WIDTH=450&amp;","START_MAXIMIZED=FALSE&amp;VAR:CALENDAR=US&amp;VAR:SYMBOL=RAI&amp;VAR:INDEX=0"}</definedName>
    <definedName name="_2200__FDSAUDITLINK__" hidden="1">{"fdsup://directions/FAT Viewer?action=UPDATE&amp;creator=factset&amp;DYN_ARGS=TRUE&amp;DOC_NAME=FAT:FQL_AUDITING_CLIENT_TEMPLATE.FAT&amp;display_string=Audit&amp;VAR:KEY=OXYZOFKTMN&amp;VAR:QUERY=RkZfRElWX1lMRChBTk4sNC8wOC8wOSw0LzA4LzA5KQ==&amp;WINDOW=FIRST_POPUP&amp;HEIGHT=450&amp;WIDTH=450&amp;","START_MAXIMIZED=FALSE&amp;VAR:CALENDAR=US&amp;VAR:SYMBOL=RAI&amp;VAR:INDEX=0"}</definedName>
    <definedName name="_2201__FDSAUDITLINK__" localSheetId="0" hidden="1">{"fdsup://directions/FAT Viewer?action=UPDATE&amp;creator=factset&amp;DYN_ARGS=TRUE&amp;DOC_NAME=FAT:FQL_AUDITING_CLIENT_TEMPLATE.FAT&amp;display_string=Audit&amp;VAR:KEY=WPENEZYRMV&amp;VAR:QUERY=RkZfRElWX1lMRChBTk4sNC8wMS8wOSw0LzAxLzA5KQ==&amp;WINDOW=FIRST_POPUP&amp;HEIGHT=450&amp;WIDTH=450&amp;","START_MAXIMIZED=FALSE&amp;VAR:CALENDAR=US&amp;VAR:SYMBOL=RAI&amp;VAR:INDEX=0"}</definedName>
    <definedName name="_2201__FDSAUDITLINK__" hidden="1">{"fdsup://directions/FAT Viewer?action=UPDATE&amp;creator=factset&amp;DYN_ARGS=TRUE&amp;DOC_NAME=FAT:FQL_AUDITING_CLIENT_TEMPLATE.FAT&amp;display_string=Audit&amp;VAR:KEY=WPENEZYRMV&amp;VAR:QUERY=RkZfRElWX1lMRChBTk4sNC8wMS8wOSw0LzAxLzA5KQ==&amp;WINDOW=FIRST_POPUP&amp;HEIGHT=450&amp;WIDTH=450&amp;","START_MAXIMIZED=FALSE&amp;VAR:CALENDAR=US&amp;VAR:SYMBOL=RAI&amp;VAR:INDEX=0"}</definedName>
    <definedName name="_2202__FDSAUDITLINK__" localSheetId="0" hidden="1">{"fdsup://directions/FAT Viewer?action=UPDATE&amp;creator=factset&amp;DYN_ARGS=TRUE&amp;DOC_NAME=FAT:FQL_AUDITING_CLIENT_TEMPLATE.FAT&amp;display_string=Audit&amp;VAR:KEY=QFUXWHSVYX&amp;VAR:QUERY=RkZfRElWX1lMRChBTk4sMy8yNS8wOSwzLzI1LzA5KQ==&amp;WINDOW=FIRST_POPUP&amp;HEIGHT=450&amp;WIDTH=450&amp;","START_MAXIMIZED=FALSE&amp;VAR:CALENDAR=US&amp;VAR:SYMBOL=RAI&amp;VAR:INDEX=0"}</definedName>
    <definedName name="_2202__FDSAUDITLINK__" hidden="1">{"fdsup://directions/FAT Viewer?action=UPDATE&amp;creator=factset&amp;DYN_ARGS=TRUE&amp;DOC_NAME=FAT:FQL_AUDITING_CLIENT_TEMPLATE.FAT&amp;display_string=Audit&amp;VAR:KEY=QFUXWHSVYX&amp;VAR:QUERY=RkZfRElWX1lMRChBTk4sMy8yNS8wOSwzLzI1LzA5KQ==&amp;WINDOW=FIRST_POPUP&amp;HEIGHT=450&amp;WIDTH=450&amp;","START_MAXIMIZED=FALSE&amp;VAR:CALENDAR=US&amp;VAR:SYMBOL=RAI&amp;VAR:INDEX=0"}</definedName>
    <definedName name="_2203">#REF!</definedName>
    <definedName name="_2203__FDSAUDITLINK__" localSheetId="0" hidden="1">{"fdsup://directions/FAT Viewer?action=UPDATE&amp;creator=factset&amp;DYN_ARGS=TRUE&amp;DOC_NAME=FAT:FQL_AUDITING_CLIENT_TEMPLATE.FAT&amp;display_string=Audit&amp;VAR:KEY=EZETOPYTWF&amp;VAR:QUERY=RkZfRElWX1lMRChBTk4sMy8xOC8wOSwzLzE4LzA5KQ==&amp;WINDOW=FIRST_POPUP&amp;HEIGHT=450&amp;WIDTH=450&amp;","START_MAXIMIZED=FALSE&amp;VAR:CALENDAR=US&amp;VAR:SYMBOL=RAI&amp;VAR:INDEX=0"}</definedName>
    <definedName name="_2203__FDSAUDITLINK__" hidden="1">{"fdsup://directions/FAT Viewer?action=UPDATE&amp;creator=factset&amp;DYN_ARGS=TRUE&amp;DOC_NAME=FAT:FQL_AUDITING_CLIENT_TEMPLATE.FAT&amp;display_string=Audit&amp;VAR:KEY=EZETOPYTWF&amp;VAR:QUERY=RkZfRElWX1lMRChBTk4sMy8xOC8wOSwzLzE4LzA5KQ==&amp;WINDOW=FIRST_POPUP&amp;HEIGHT=450&amp;WIDTH=450&amp;","START_MAXIMIZED=FALSE&amp;VAR:CALENDAR=US&amp;VAR:SYMBOL=RAI&amp;VAR:INDEX=0"}</definedName>
    <definedName name="_2204__FDSAUDITLINK__" localSheetId="0" hidden="1">{"fdsup://directions/FAT Viewer?action=UPDATE&amp;creator=factset&amp;DYN_ARGS=TRUE&amp;DOC_NAME=FAT:FQL_AUDITING_CLIENT_TEMPLATE.FAT&amp;display_string=Audit&amp;VAR:KEY=APKHWZCBSD&amp;VAR:QUERY=RkZfRElWX1lMRChBTk4sMy8xMS8wOSwzLzExLzA5KQ==&amp;WINDOW=FIRST_POPUP&amp;HEIGHT=450&amp;WIDTH=450&amp;","START_MAXIMIZED=FALSE&amp;VAR:CALENDAR=US&amp;VAR:SYMBOL=RAI&amp;VAR:INDEX=0"}</definedName>
    <definedName name="_2204__FDSAUDITLINK__" hidden="1">{"fdsup://directions/FAT Viewer?action=UPDATE&amp;creator=factset&amp;DYN_ARGS=TRUE&amp;DOC_NAME=FAT:FQL_AUDITING_CLIENT_TEMPLATE.FAT&amp;display_string=Audit&amp;VAR:KEY=APKHWZCBSD&amp;VAR:QUERY=RkZfRElWX1lMRChBTk4sMy8xMS8wOSwzLzExLzA5KQ==&amp;WINDOW=FIRST_POPUP&amp;HEIGHT=450&amp;WIDTH=450&amp;","START_MAXIMIZED=FALSE&amp;VAR:CALENDAR=US&amp;VAR:SYMBOL=RAI&amp;VAR:INDEX=0"}</definedName>
    <definedName name="_2205__FDSAUDITLINK__" localSheetId="0" hidden="1">{"fdsup://directions/FAT Viewer?action=UPDATE&amp;creator=factset&amp;DYN_ARGS=TRUE&amp;DOC_NAME=FAT:FQL_AUDITING_CLIENT_TEMPLATE.FAT&amp;display_string=Audit&amp;VAR:KEY=SNINCFIJIN&amp;VAR:QUERY=RkZfRElWX1lMRChBTk4sMy8wNC8wOSwzLzA0LzA5KQ==&amp;WINDOW=FIRST_POPUP&amp;HEIGHT=450&amp;WIDTH=450&amp;","START_MAXIMIZED=FALSE&amp;VAR:CALENDAR=US&amp;VAR:SYMBOL=RAI&amp;VAR:INDEX=0"}</definedName>
    <definedName name="_2205__FDSAUDITLINK__" hidden="1">{"fdsup://directions/FAT Viewer?action=UPDATE&amp;creator=factset&amp;DYN_ARGS=TRUE&amp;DOC_NAME=FAT:FQL_AUDITING_CLIENT_TEMPLATE.FAT&amp;display_string=Audit&amp;VAR:KEY=SNINCFIJIN&amp;VAR:QUERY=RkZfRElWX1lMRChBTk4sMy8wNC8wOSwzLzA0LzA5KQ==&amp;WINDOW=FIRST_POPUP&amp;HEIGHT=450&amp;WIDTH=450&amp;","START_MAXIMIZED=FALSE&amp;VAR:CALENDAR=US&amp;VAR:SYMBOL=RAI&amp;VAR:INDEX=0"}</definedName>
    <definedName name="_2206__FDSAUDITLINK__" localSheetId="0" hidden="1">{"fdsup://directions/FAT Viewer?action=UPDATE&amp;creator=factset&amp;DYN_ARGS=TRUE&amp;DOC_NAME=FAT:FQL_AUDITING_CLIENT_TEMPLATE.FAT&amp;display_string=Audit&amp;VAR:KEY=WZEDIVCXOZ&amp;VAR:QUERY=RkZfRElWX1lMRChBTk4sMi8yNS8wOSwyLzI1LzA5KQ==&amp;WINDOW=FIRST_POPUP&amp;HEIGHT=450&amp;WIDTH=450&amp;","START_MAXIMIZED=FALSE&amp;VAR:CALENDAR=US&amp;VAR:SYMBOL=RAI&amp;VAR:INDEX=0"}</definedName>
    <definedName name="_2206__FDSAUDITLINK__" hidden="1">{"fdsup://directions/FAT Viewer?action=UPDATE&amp;creator=factset&amp;DYN_ARGS=TRUE&amp;DOC_NAME=FAT:FQL_AUDITING_CLIENT_TEMPLATE.FAT&amp;display_string=Audit&amp;VAR:KEY=WZEDIVCXOZ&amp;VAR:QUERY=RkZfRElWX1lMRChBTk4sMi8yNS8wOSwyLzI1LzA5KQ==&amp;WINDOW=FIRST_POPUP&amp;HEIGHT=450&amp;WIDTH=450&amp;","START_MAXIMIZED=FALSE&amp;VAR:CALENDAR=US&amp;VAR:SYMBOL=RAI&amp;VAR:INDEX=0"}</definedName>
    <definedName name="_2207">#REF!</definedName>
    <definedName name="_2207__FDSAUDITLINK__" localSheetId="0" hidden="1">{"fdsup://directions/FAT Viewer?action=UPDATE&amp;creator=factset&amp;DYN_ARGS=TRUE&amp;DOC_NAME=FAT:FQL_AUDITING_CLIENT_TEMPLATE.FAT&amp;display_string=Audit&amp;VAR:KEY=CXSLCLMLCN&amp;VAR:QUERY=RkZfRElWX1lMRChBTk4sMi8xOC8wOSwyLzE4LzA5KQ==&amp;WINDOW=FIRST_POPUP&amp;HEIGHT=450&amp;WIDTH=450&amp;","START_MAXIMIZED=FALSE&amp;VAR:CALENDAR=US&amp;VAR:SYMBOL=RAI&amp;VAR:INDEX=0"}</definedName>
    <definedName name="_2207__FDSAUDITLINK__" hidden="1">{"fdsup://directions/FAT Viewer?action=UPDATE&amp;creator=factset&amp;DYN_ARGS=TRUE&amp;DOC_NAME=FAT:FQL_AUDITING_CLIENT_TEMPLATE.FAT&amp;display_string=Audit&amp;VAR:KEY=CXSLCLMLCN&amp;VAR:QUERY=RkZfRElWX1lMRChBTk4sMi8xOC8wOSwyLzE4LzA5KQ==&amp;WINDOW=FIRST_POPUP&amp;HEIGHT=450&amp;WIDTH=450&amp;","START_MAXIMIZED=FALSE&amp;VAR:CALENDAR=US&amp;VAR:SYMBOL=RAI&amp;VAR:INDEX=0"}</definedName>
    <definedName name="_2208__FDSAUDITLINK__" localSheetId="0" hidden="1">{"fdsup://directions/FAT Viewer?action=UPDATE&amp;creator=factset&amp;DYN_ARGS=TRUE&amp;DOC_NAME=FAT:FQL_AUDITING_CLIENT_TEMPLATE.FAT&amp;display_string=Audit&amp;VAR:KEY=WHMFONYHKV&amp;VAR:QUERY=RkZfRElWX1lMRChBTk4sMi8xMS8wOSwyLzExLzA5KQ==&amp;WINDOW=FIRST_POPUP&amp;HEIGHT=450&amp;WIDTH=450&amp;","START_MAXIMIZED=FALSE&amp;VAR:CALENDAR=US&amp;VAR:SYMBOL=RAI&amp;VAR:INDEX=0"}</definedName>
    <definedName name="_2208__FDSAUDITLINK__" hidden="1">{"fdsup://directions/FAT Viewer?action=UPDATE&amp;creator=factset&amp;DYN_ARGS=TRUE&amp;DOC_NAME=FAT:FQL_AUDITING_CLIENT_TEMPLATE.FAT&amp;display_string=Audit&amp;VAR:KEY=WHMFONYHKV&amp;VAR:QUERY=RkZfRElWX1lMRChBTk4sMi8xMS8wOSwyLzExLzA5KQ==&amp;WINDOW=FIRST_POPUP&amp;HEIGHT=450&amp;WIDTH=450&amp;","START_MAXIMIZED=FALSE&amp;VAR:CALENDAR=US&amp;VAR:SYMBOL=RAI&amp;VAR:INDEX=0"}</definedName>
    <definedName name="_2209__FDSAUDITLINK__" localSheetId="0" hidden="1">{"fdsup://directions/FAT Viewer?action=UPDATE&amp;creator=factset&amp;DYN_ARGS=TRUE&amp;DOC_NAME=FAT:FQL_AUDITING_CLIENT_TEMPLATE.FAT&amp;display_string=Audit&amp;VAR:KEY=UBQHENOXEX&amp;VAR:QUERY=RkZfRElWX1lMRChBTk4sMi8wNC8wOSwyLzA0LzA5KQ==&amp;WINDOW=FIRST_POPUP&amp;HEIGHT=450&amp;WIDTH=450&amp;","START_MAXIMIZED=FALSE&amp;VAR:CALENDAR=US&amp;VAR:SYMBOL=RAI&amp;VAR:INDEX=0"}</definedName>
    <definedName name="_2209__FDSAUDITLINK__" hidden="1">{"fdsup://directions/FAT Viewer?action=UPDATE&amp;creator=factset&amp;DYN_ARGS=TRUE&amp;DOC_NAME=FAT:FQL_AUDITING_CLIENT_TEMPLATE.FAT&amp;display_string=Audit&amp;VAR:KEY=UBQHENOXEX&amp;VAR:QUERY=RkZfRElWX1lMRChBTk4sMi8wNC8wOSwyLzA0LzA5KQ==&amp;WINDOW=FIRST_POPUP&amp;HEIGHT=450&amp;WIDTH=450&amp;","START_MAXIMIZED=FALSE&amp;VAR:CALENDAR=US&amp;VAR:SYMBOL=RAI&amp;VAR:INDEX=0"}</definedName>
    <definedName name="_221__FDSAUDITLINK__" localSheetId="0" hidden="1">{"fdsup://directions/FAT Viewer?action=UPDATE&amp;creator=factset&amp;DYN_ARGS=TRUE&amp;DOC_NAME=FAT:FQL_AUDITING_CLIENT_TEMPLATE.FAT&amp;display_string=Audit&amp;VAR:KEY=XQDEBQVCXU&amp;VAR:QUERY=RkZfRElWX1lMRChBTk4sMS8xMS8wNywxLzExLzA3KQ==&amp;WINDOW=FIRST_POPUP&amp;HEIGHT=450&amp;WIDTH=450&amp;","START_MAXIMIZED=FALSE&amp;VAR:CALENDAR=US&amp;VAR:SYMBOL=RAI&amp;VAR:INDEX=0"}</definedName>
    <definedName name="_221__FDSAUDITLINK__" hidden="1">{"fdsup://directions/FAT Viewer?action=UPDATE&amp;creator=factset&amp;DYN_ARGS=TRUE&amp;DOC_NAME=FAT:FQL_AUDITING_CLIENT_TEMPLATE.FAT&amp;display_string=Audit&amp;VAR:KEY=XQDEBQVCXU&amp;VAR:QUERY=RkZfRElWX1lMRChBTk4sMS8xMS8wNywxLzExLzA3KQ==&amp;WINDOW=FIRST_POPUP&amp;HEIGHT=450&amp;WIDTH=450&amp;","START_MAXIMIZED=FALSE&amp;VAR:CALENDAR=US&amp;VAR:SYMBOL=RAI&amp;VAR:INDEX=0"}</definedName>
    <definedName name="_2210__FDSAUDITLINK__" localSheetId="0" hidden="1">{"fdsup://directions/FAT Viewer?action=UPDATE&amp;creator=factset&amp;DYN_ARGS=TRUE&amp;DOC_NAME=FAT:FQL_AUDITING_CLIENT_TEMPLATE.FAT&amp;display_string=Audit&amp;VAR:KEY=QLENCBYJMP&amp;VAR:QUERY=RkZfRElWX1lMRChBTk4sMS8yOC8wOSwxLzI4LzA5KQ==&amp;WINDOW=FIRST_POPUP&amp;HEIGHT=450&amp;WIDTH=450&amp;","START_MAXIMIZED=FALSE&amp;VAR:CALENDAR=US&amp;VAR:SYMBOL=RAI&amp;VAR:INDEX=0"}</definedName>
    <definedName name="_2210__FDSAUDITLINK__" hidden="1">{"fdsup://directions/FAT Viewer?action=UPDATE&amp;creator=factset&amp;DYN_ARGS=TRUE&amp;DOC_NAME=FAT:FQL_AUDITING_CLIENT_TEMPLATE.FAT&amp;display_string=Audit&amp;VAR:KEY=QLENCBYJMP&amp;VAR:QUERY=RkZfRElWX1lMRChBTk4sMS8yOC8wOSwxLzI4LzA5KQ==&amp;WINDOW=FIRST_POPUP&amp;HEIGHT=450&amp;WIDTH=450&amp;","START_MAXIMIZED=FALSE&amp;VAR:CALENDAR=US&amp;VAR:SYMBOL=RAI&amp;VAR:INDEX=0"}</definedName>
    <definedName name="_2211__FDSAUDITLINK__" localSheetId="0" hidden="1">{"fdsup://directions/FAT Viewer?action=UPDATE&amp;creator=factset&amp;DYN_ARGS=TRUE&amp;DOC_NAME=FAT:FQL_AUDITING_CLIENT_TEMPLATE.FAT&amp;display_string=Audit&amp;VAR:KEY=WXIZGFSDYT&amp;VAR:QUERY=RkZfRElWX1lMRChBTk4sMS8yMS8wOSwxLzIxLzA5KQ==&amp;WINDOW=FIRST_POPUP&amp;HEIGHT=450&amp;WIDTH=450&amp;","START_MAXIMIZED=FALSE&amp;VAR:CALENDAR=US&amp;VAR:SYMBOL=RAI&amp;VAR:INDEX=0"}</definedName>
    <definedName name="_2211__FDSAUDITLINK__" hidden="1">{"fdsup://directions/FAT Viewer?action=UPDATE&amp;creator=factset&amp;DYN_ARGS=TRUE&amp;DOC_NAME=FAT:FQL_AUDITING_CLIENT_TEMPLATE.FAT&amp;display_string=Audit&amp;VAR:KEY=WXIZGFSDYT&amp;VAR:QUERY=RkZfRElWX1lMRChBTk4sMS8yMS8wOSwxLzIxLzA5KQ==&amp;WINDOW=FIRST_POPUP&amp;HEIGHT=450&amp;WIDTH=450&amp;","START_MAXIMIZED=FALSE&amp;VAR:CALENDAR=US&amp;VAR:SYMBOL=RAI&amp;VAR:INDEX=0"}</definedName>
    <definedName name="_2212">#REF!</definedName>
    <definedName name="_2212__FDSAUDITLINK__" localSheetId="0" hidden="1">{"fdsup://directions/FAT Viewer?action=UPDATE&amp;creator=factset&amp;DYN_ARGS=TRUE&amp;DOC_NAME=FAT:FQL_AUDITING_CLIENT_TEMPLATE.FAT&amp;display_string=Audit&amp;VAR:KEY=AJSTYREBKX&amp;VAR:QUERY=RkZfRElWX1lMRChBTk4sMS8xNC8wOSwxLzE0LzA5KQ==&amp;WINDOW=FIRST_POPUP&amp;HEIGHT=450&amp;WIDTH=450&amp;","START_MAXIMIZED=FALSE&amp;VAR:CALENDAR=US&amp;VAR:SYMBOL=RAI&amp;VAR:INDEX=0"}</definedName>
    <definedName name="_2212__FDSAUDITLINK__" hidden="1">{"fdsup://directions/FAT Viewer?action=UPDATE&amp;creator=factset&amp;DYN_ARGS=TRUE&amp;DOC_NAME=FAT:FQL_AUDITING_CLIENT_TEMPLATE.FAT&amp;display_string=Audit&amp;VAR:KEY=AJSTYREBKX&amp;VAR:QUERY=RkZfRElWX1lMRChBTk4sMS8xNC8wOSwxLzE0LzA5KQ==&amp;WINDOW=FIRST_POPUP&amp;HEIGHT=450&amp;WIDTH=450&amp;","START_MAXIMIZED=FALSE&amp;VAR:CALENDAR=US&amp;VAR:SYMBOL=RAI&amp;VAR:INDEX=0"}</definedName>
    <definedName name="_2213__FDSAUDITLINK__" localSheetId="0" hidden="1">{"fdsup://directions/FAT Viewer?action=UPDATE&amp;creator=factset&amp;DYN_ARGS=TRUE&amp;DOC_NAME=FAT:FQL_AUDITING_CLIENT_TEMPLATE.FAT&amp;display_string=Audit&amp;VAR:KEY=WDMRKXEXGD&amp;VAR:QUERY=RkZfRElWX1lMRChBTk4sMS8wNy8wOSwxLzA3LzA5KQ==&amp;WINDOW=FIRST_POPUP&amp;HEIGHT=450&amp;WIDTH=450&amp;","START_MAXIMIZED=FALSE&amp;VAR:CALENDAR=US&amp;VAR:SYMBOL=RAI&amp;VAR:INDEX=0"}</definedName>
    <definedName name="_2213__FDSAUDITLINK__" hidden="1">{"fdsup://directions/FAT Viewer?action=UPDATE&amp;creator=factset&amp;DYN_ARGS=TRUE&amp;DOC_NAME=FAT:FQL_AUDITING_CLIENT_TEMPLATE.FAT&amp;display_string=Audit&amp;VAR:KEY=WDMRKXEXGD&amp;VAR:QUERY=RkZfRElWX1lMRChBTk4sMS8wNy8wOSwxLzA3LzA5KQ==&amp;WINDOW=FIRST_POPUP&amp;HEIGHT=450&amp;WIDTH=450&amp;","START_MAXIMIZED=FALSE&amp;VAR:CALENDAR=US&amp;VAR:SYMBOL=RAI&amp;VAR:INDEX=0"}</definedName>
    <definedName name="_2214__FDSAUDITLINK__" localSheetId="0" hidden="1">{"fdsup://directions/FAT Viewer?action=UPDATE&amp;creator=factset&amp;DYN_ARGS=TRUE&amp;DOC_NAME=FAT:FQL_AUDITING_CLIENT_TEMPLATE.FAT&amp;display_string=Audit&amp;VAR:KEY=SBMLWPSLMJ&amp;VAR:QUERY=RkZfRElWX1lMRChBTk4sMTIvMzEvMDgsMTIvMzEvMDgp&amp;WINDOW=FIRST_POPUP&amp;HEIGHT=450&amp;WIDTH=450&amp;","START_MAXIMIZED=FALSE&amp;VAR:CALENDAR=US&amp;VAR:SYMBOL=RAI&amp;VAR:INDEX=0"}</definedName>
    <definedName name="_2214__FDSAUDITLINK__" hidden="1">{"fdsup://directions/FAT Viewer?action=UPDATE&amp;creator=factset&amp;DYN_ARGS=TRUE&amp;DOC_NAME=FAT:FQL_AUDITING_CLIENT_TEMPLATE.FAT&amp;display_string=Audit&amp;VAR:KEY=SBMLWPSLMJ&amp;VAR:QUERY=RkZfRElWX1lMRChBTk4sMTIvMzEvMDgsMTIvMzEvMDgp&amp;WINDOW=FIRST_POPUP&amp;HEIGHT=450&amp;WIDTH=450&amp;","START_MAXIMIZED=FALSE&amp;VAR:CALENDAR=US&amp;VAR:SYMBOL=RAI&amp;VAR:INDEX=0"}</definedName>
    <definedName name="_2215__FDSAUDITLINK__" localSheetId="0" hidden="1">{"fdsup://directions/FAT Viewer?action=UPDATE&amp;creator=factset&amp;DYN_ARGS=TRUE&amp;DOC_NAME=FAT:FQL_AUDITING_CLIENT_TEMPLATE.FAT&amp;display_string=Audit&amp;VAR:KEY=OBKPCNCZGP&amp;VAR:QUERY=RkZfRElWX1lMRChBTk4sMTIvMjQvMDgsMTIvMjQvMDgp&amp;WINDOW=FIRST_POPUP&amp;HEIGHT=450&amp;WIDTH=450&amp;","START_MAXIMIZED=FALSE&amp;VAR:CALENDAR=US&amp;VAR:SYMBOL=RAI&amp;VAR:INDEX=0"}</definedName>
    <definedName name="_2215__FDSAUDITLINK__" hidden="1">{"fdsup://directions/FAT Viewer?action=UPDATE&amp;creator=factset&amp;DYN_ARGS=TRUE&amp;DOC_NAME=FAT:FQL_AUDITING_CLIENT_TEMPLATE.FAT&amp;display_string=Audit&amp;VAR:KEY=OBKPCNCZGP&amp;VAR:QUERY=RkZfRElWX1lMRChBTk4sMTIvMjQvMDgsMTIvMjQvMDgp&amp;WINDOW=FIRST_POPUP&amp;HEIGHT=450&amp;WIDTH=450&amp;","START_MAXIMIZED=FALSE&amp;VAR:CALENDAR=US&amp;VAR:SYMBOL=RAI&amp;VAR:INDEX=0"}</definedName>
    <definedName name="_2216__FDSAUDITLINK__" localSheetId="0" hidden="1">{"fdsup://directions/FAT Viewer?action=UPDATE&amp;creator=factset&amp;DYN_ARGS=TRUE&amp;DOC_NAME=FAT:FQL_AUDITING_CLIENT_TEMPLATE.FAT&amp;display_string=Audit&amp;VAR:KEY=ELEBORKJMT&amp;VAR:QUERY=RkZfRElWX1lMRChBTk4sMTIvMTcvMDgsMTIvMTcvMDgp&amp;WINDOW=FIRST_POPUP&amp;HEIGHT=450&amp;WIDTH=450&amp;","START_MAXIMIZED=FALSE&amp;VAR:CALENDAR=US&amp;VAR:SYMBOL=RAI&amp;VAR:INDEX=0"}</definedName>
    <definedName name="_2216__FDSAUDITLINK__" hidden="1">{"fdsup://directions/FAT Viewer?action=UPDATE&amp;creator=factset&amp;DYN_ARGS=TRUE&amp;DOC_NAME=FAT:FQL_AUDITING_CLIENT_TEMPLATE.FAT&amp;display_string=Audit&amp;VAR:KEY=ELEBORKJMT&amp;VAR:QUERY=RkZfRElWX1lMRChBTk4sMTIvMTcvMDgsMTIvMTcvMDgp&amp;WINDOW=FIRST_POPUP&amp;HEIGHT=450&amp;WIDTH=450&amp;","START_MAXIMIZED=FALSE&amp;VAR:CALENDAR=US&amp;VAR:SYMBOL=RAI&amp;VAR:INDEX=0"}</definedName>
    <definedName name="_2217">#REF!</definedName>
    <definedName name="_2217__FDSAUDITLINK__" localSheetId="0" hidden="1">{"fdsup://directions/FAT Viewer?action=UPDATE&amp;creator=factset&amp;DYN_ARGS=TRUE&amp;DOC_NAME=FAT:FQL_AUDITING_CLIENT_TEMPLATE.FAT&amp;display_string=Audit&amp;VAR:KEY=EVYPONSDUD&amp;VAR:QUERY=RkZfRElWX1lMRChBTk4sMTIvMTAvMDgsMTIvMTAvMDgp&amp;WINDOW=FIRST_POPUP&amp;HEIGHT=450&amp;WIDTH=450&amp;","START_MAXIMIZED=FALSE&amp;VAR:CALENDAR=US&amp;VAR:SYMBOL=RAI&amp;VAR:INDEX=0"}</definedName>
    <definedName name="_2217__FDSAUDITLINK__" hidden="1">{"fdsup://directions/FAT Viewer?action=UPDATE&amp;creator=factset&amp;DYN_ARGS=TRUE&amp;DOC_NAME=FAT:FQL_AUDITING_CLIENT_TEMPLATE.FAT&amp;display_string=Audit&amp;VAR:KEY=EVYPONSDUD&amp;VAR:QUERY=RkZfRElWX1lMRChBTk4sMTIvMTAvMDgsMTIvMTAvMDgp&amp;WINDOW=FIRST_POPUP&amp;HEIGHT=450&amp;WIDTH=450&amp;","START_MAXIMIZED=FALSE&amp;VAR:CALENDAR=US&amp;VAR:SYMBOL=RAI&amp;VAR:INDEX=0"}</definedName>
    <definedName name="_2218__FDSAUDITLINK__" localSheetId="0" hidden="1">{"fdsup://directions/FAT Viewer?action=UPDATE&amp;creator=factset&amp;DYN_ARGS=TRUE&amp;DOC_NAME=FAT:FQL_AUDITING_CLIENT_TEMPLATE.FAT&amp;display_string=Audit&amp;VAR:KEY=GHSJKBQVMP&amp;VAR:QUERY=RkZfRElWX1lMRChBTk4sMTIvMDMvMDgsMTIvMDMvMDgp&amp;WINDOW=FIRST_POPUP&amp;HEIGHT=450&amp;WIDTH=450&amp;","START_MAXIMIZED=FALSE&amp;VAR:CALENDAR=US&amp;VAR:SYMBOL=RAI&amp;VAR:INDEX=0"}</definedName>
    <definedName name="_2218__FDSAUDITLINK__" hidden="1">{"fdsup://directions/FAT Viewer?action=UPDATE&amp;creator=factset&amp;DYN_ARGS=TRUE&amp;DOC_NAME=FAT:FQL_AUDITING_CLIENT_TEMPLATE.FAT&amp;display_string=Audit&amp;VAR:KEY=GHSJKBQVMP&amp;VAR:QUERY=RkZfRElWX1lMRChBTk4sMTIvMDMvMDgsMTIvMDMvMDgp&amp;WINDOW=FIRST_POPUP&amp;HEIGHT=450&amp;WIDTH=450&amp;","START_MAXIMIZED=FALSE&amp;VAR:CALENDAR=US&amp;VAR:SYMBOL=RAI&amp;VAR:INDEX=0"}</definedName>
    <definedName name="_2219__FDSAUDITLINK__" localSheetId="0" hidden="1">{"fdsup://directions/FAT Viewer?action=UPDATE&amp;creator=factset&amp;DYN_ARGS=TRUE&amp;DOC_NAME=FAT:FQL_AUDITING_CLIENT_TEMPLATE.FAT&amp;display_string=Audit&amp;VAR:KEY=YNGLIRMZWJ&amp;VAR:QUERY=RkZfRElWX1lMRChBTk4sMTEvMjYvMDgsMTEvMjYvMDgp&amp;WINDOW=FIRST_POPUP&amp;HEIGHT=450&amp;WIDTH=450&amp;","START_MAXIMIZED=FALSE&amp;VAR:CALENDAR=US&amp;VAR:SYMBOL=RAI&amp;VAR:INDEX=0"}</definedName>
    <definedName name="_2219__FDSAUDITLINK__" hidden="1">{"fdsup://directions/FAT Viewer?action=UPDATE&amp;creator=factset&amp;DYN_ARGS=TRUE&amp;DOC_NAME=FAT:FQL_AUDITING_CLIENT_TEMPLATE.FAT&amp;display_string=Audit&amp;VAR:KEY=YNGLIRMZWJ&amp;VAR:QUERY=RkZfRElWX1lMRChBTk4sMTEvMjYvMDgsMTEvMjYvMDgp&amp;WINDOW=FIRST_POPUP&amp;HEIGHT=450&amp;WIDTH=450&amp;","START_MAXIMIZED=FALSE&amp;VAR:CALENDAR=US&amp;VAR:SYMBOL=RAI&amp;VAR:INDEX=0"}</definedName>
    <definedName name="_222__FDSAUDITLINK__" localSheetId="0" hidden="1">{"fdsup://directions/FAT Viewer?action=UPDATE&amp;creator=factset&amp;DYN_ARGS=TRUE&amp;DOC_NAME=FAT:FQL_AUDITING_CLIENT_TEMPLATE.FAT&amp;display_string=Audit&amp;VAR:KEY=ZWRQLGHUDQ&amp;VAR:QUERY=RkZfRElWX1lMRChBTk4sMS8wNC8wNywxLzA0LzA3KQ==&amp;WINDOW=FIRST_POPUP&amp;HEIGHT=450&amp;WIDTH=450&amp;","START_MAXIMIZED=FALSE&amp;VAR:CALENDAR=US&amp;VAR:SYMBOL=RAI&amp;VAR:INDEX=0"}</definedName>
    <definedName name="_222__FDSAUDITLINK__" hidden="1">{"fdsup://directions/FAT Viewer?action=UPDATE&amp;creator=factset&amp;DYN_ARGS=TRUE&amp;DOC_NAME=FAT:FQL_AUDITING_CLIENT_TEMPLATE.FAT&amp;display_string=Audit&amp;VAR:KEY=ZWRQLGHUDQ&amp;VAR:QUERY=RkZfRElWX1lMRChBTk4sMS8wNC8wNywxLzA0LzA3KQ==&amp;WINDOW=FIRST_POPUP&amp;HEIGHT=450&amp;WIDTH=450&amp;","START_MAXIMIZED=FALSE&amp;VAR:CALENDAR=US&amp;VAR:SYMBOL=RAI&amp;VAR:INDEX=0"}</definedName>
    <definedName name="_2220__FDSAUDITLINK__" localSheetId="0" hidden="1">{"fdsup://directions/FAT Viewer?action=UPDATE&amp;creator=factset&amp;DYN_ARGS=TRUE&amp;DOC_NAME=FAT:FQL_AUDITING_CLIENT_TEMPLATE.FAT&amp;display_string=Audit&amp;VAR:KEY=QDOHMBSZEH&amp;VAR:QUERY=RkZfRElWX1lMRChBTk4sMTEvMTkvMDgsMTEvMTkvMDgp&amp;WINDOW=FIRST_POPUP&amp;HEIGHT=450&amp;WIDTH=450&amp;","START_MAXIMIZED=FALSE&amp;VAR:CALENDAR=US&amp;VAR:SYMBOL=RAI&amp;VAR:INDEX=0"}</definedName>
    <definedName name="_2220__FDSAUDITLINK__" hidden="1">{"fdsup://directions/FAT Viewer?action=UPDATE&amp;creator=factset&amp;DYN_ARGS=TRUE&amp;DOC_NAME=FAT:FQL_AUDITING_CLIENT_TEMPLATE.FAT&amp;display_string=Audit&amp;VAR:KEY=QDOHMBSZEH&amp;VAR:QUERY=RkZfRElWX1lMRChBTk4sMTEvMTkvMDgsMTEvMTkvMDgp&amp;WINDOW=FIRST_POPUP&amp;HEIGHT=450&amp;WIDTH=450&amp;","START_MAXIMIZED=FALSE&amp;VAR:CALENDAR=US&amp;VAR:SYMBOL=RAI&amp;VAR:INDEX=0"}</definedName>
    <definedName name="_2221__FDSAUDITLINK__" localSheetId="0" hidden="1">{"fdsup://directions/FAT Viewer?action=UPDATE&amp;creator=factset&amp;DYN_ARGS=TRUE&amp;DOC_NAME=FAT:FQL_AUDITING_CLIENT_TEMPLATE.FAT&amp;display_string=Audit&amp;VAR:KEY=CFSVEVYHAR&amp;VAR:QUERY=RkZfRElWX1lMRChBTk4sMTEvMTIvMDgsMTEvMTIvMDgp&amp;WINDOW=FIRST_POPUP&amp;HEIGHT=450&amp;WIDTH=450&amp;","START_MAXIMIZED=FALSE&amp;VAR:CALENDAR=US&amp;VAR:SYMBOL=RAI&amp;VAR:INDEX=0"}</definedName>
    <definedName name="_2221__FDSAUDITLINK__" hidden="1">{"fdsup://directions/FAT Viewer?action=UPDATE&amp;creator=factset&amp;DYN_ARGS=TRUE&amp;DOC_NAME=FAT:FQL_AUDITING_CLIENT_TEMPLATE.FAT&amp;display_string=Audit&amp;VAR:KEY=CFSVEVYHAR&amp;VAR:QUERY=RkZfRElWX1lMRChBTk4sMTEvMTIvMDgsMTEvMTIvMDgp&amp;WINDOW=FIRST_POPUP&amp;HEIGHT=450&amp;WIDTH=450&amp;","START_MAXIMIZED=FALSE&amp;VAR:CALENDAR=US&amp;VAR:SYMBOL=RAI&amp;VAR:INDEX=0"}</definedName>
    <definedName name="_2222__FDSAUDITLINK__" localSheetId="0" hidden="1">{"fdsup://directions/FAT Viewer?action=UPDATE&amp;creator=factset&amp;DYN_ARGS=TRUE&amp;DOC_NAME=FAT:FQL_AUDITING_CLIENT_TEMPLATE.FAT&amp;display_string=Audit&amp;VAR:KEY=GRIRYVUBSR&amp;VAR:QUERY=RkZfRElWX1lMRChBTk4sMTEvMDUvMDgsMTEvMDUvMDgp&amp;WINDOW=FIRST_POPUP&amp;HEIGHT=450&amp;WIDTH=450&amp;","START_MAXIMIZED=FALSE&amp;VAR:CALENDAR=US&amp;VAR:SYMBOL=RAI&amp;VAR:INDEX=0"}</definedName>
    <definedName name="_2222__FDSAUDITLINK__" hidden="1">{"fdsup://directions/FAT Viewer?action=UPDATE&amp;creator=factset&amp;DYN_ARGS=TRUE&amp;DOC_NAME=FAT:FQL_AUDITING_CLIENT_TEMPLATE.FAT&amp;display_string=Audit&amp;VAR:KEY=GRIRYVUBSR&amp;VAR:QUERY=RkZfRElWX1lMRChBTk4sMTEvMDUvMDgsMTEvMDUvMDgp&amp;WINDOW=FIRST_POPUP&amp;HEIGHT=450&amp;WIDTH=450&amp;","START_MAXIMIZED=FALSE&amp;VAR:CALENDAR=US&amp;VAR:SYMBOL=RAI&amp;VAR:INDEX=0"}</definedName>
    <definedName name="_2223__FDSAUDITLINK__" localSheetId="0" hidden="1">{"fdsup://directions/FAT Viewer?action=UPDATE&amp;creator=factset&amp;DYN_ARGS=TRUE&amp;DOC_NAME=FAT:FQL_AUDITING_CLIENT_TEMPLATE.FAT&amp;display_string=Audit&amp;VAR:KEY=WTEFERMDMF&amp;VAR:QUERY=RkZfRElWX1lMRChBTk4sMTAvMjkvMDgsMTAvMjkvMDgp&amp;WINDOW=FIRST_POPUP&amp;HEIGHT=450&amp;WIDTH=450&amp;","START_MAXIMIZED=FALSE&amp;VAR:CALENDAR=US&amp;VAR:SYMBOL=RAI&amp;VAR:INDEX=0"}</definedName>
    <definedName name="_2223__FDSAUDITLINK__" hidden="1">{"fdsup://directions/FAT Viewer?action=UPDATE&amp;creator=factset&amp;DYN_ARGS=TRUE&amp;DOC_NAME=FAT:FQL_AUDITING_CLIENT_TEMPLATE.FAT&amp;display_string=Audit&amp;VAR:KEY=WTEFERMDMF&amp;VAR:QUERY=RkZfRElWX1lMRChBTk4sMTAvMjkvMDgsMTAvMjkvMDgp&amp;WINDOW=FIRST_POPUP&amp;HEIGHT=450&amp;WIDTH=450&amp;","START_MAXIMIZED=FALSE&amp;VAR:CALENDAR=US&amp;VAR:SYMBOL=RAI&amp;VAR:INDEX=0"}</definedName>
    <definedName name="_2224__FDSAUDITLINK__" localSheetId="0" hidden="1">{"fdsup://directions/FAT Viewer?action=UPDATE&amp;creator=factset&amp;DYN_ARGS=TRUE&amp;DOC_NAME=FAT:FQL_AUDITING_CLIENT_TEMPLATE.FAT&amp;display_string=Audit&amp;VAR:KEY=YXSZKBQHQF&amp;VAR:QUERY=RkZfRElWX1lMRChBTk4sMTAvMjIvMDgsMTAvMjIvMDgp&amp;WINDOW=FIRST_POPUP&amp;HEIGHT=450&amp;WIDTH=450&amp;","START_MAXIMIZED=FALSE&amp;VAR:CALENDAR=US&amp;VAR:SYMBOL=RAI&amp;VAR:INDEX=0"}</definedName>
    <definedName name="_2224__FDSAUDITLINK__" hidden="1">{"fdsup://directions/FAT Viewer?action=UPDATE&amp;creator=factset&amp;DYN_ARGS=TRUE&amp;DOC_NAME=FAT:FQL_AUDITING_CLIENT_TEMPLATE.FAT&amp;display_string=Audit&amp;VAR:KEY=YXSZKBQHQF&amp;VAR:QUERY=RkZfRElWX1lMRChBTk4sMTAvMjIvMDgsMTAvMjIvMDgp&amp;WINDOW=FIRST_POPUP&amp;HEIGHT=450&amp;WIDTH=450&amp;","START_MAXIMIZED=FALSE&amp;VAR:CALENDAR=US&amp;VAR:SYMBOL=RAI&amp;VAR:INDEX=0"}</definedName>
    <definedName name="_2225">#REF!</definedName>
    <definedName name="_2225__FDSAUDITLINK__" localSheetId="0" hidden="1">{"fdsup://directions/FAT Viewer?action=UPDATE&amp;creator=factset&amp;DYN_ARGS=TRUE&amp;DOC_NAME=FAT:FQL_AUDITING_CLIENT_TEMPLATE.FAT&amp;display_string=Audit&amp;VAR:KEY=ERYNCVSBGB&amp;VAR:QUERY=RkZfRElWX1lMRChBTk4sMTAvMTUvMDgsMTAvMTUvMDgp&amp;WINDOW=FIRST_POPUP&amp;HEIGHT=450&amp;WIDTH=450&amp;","START_MAXIMIZED=FALSE&amp;VAR:CALENDAR=US&amp;VAR:SYMBOL=RAI&amp;VAR:INDEX=0"}</definedName>
    <definedName name="_2225__FDSAUDITLINK__" hidden="1">{"fdsup://directions/FAT Viewer?action=UPDATE&amp;creator=factset&amp;DYN_ARGS=TRUE&amp;DOC_NAME=FAT:FQL_AUDITING_CLIENT_TEMPLATE.FAT&amp;display_string=Audit&amp;VAR:KEY=ERYNCVSBGB&amp;VAR:QUERY=RkZfRElWX1lMRChBTk4sMTAvMTUvMDgsMTAvMTUvMDgp&amp;WINDOW=FIRST_POPUP&amp;HEIGHT=450&amp;WIDTH=450&amp;","START_MAXIMIZED=FALSE&amp;VAR:CALENDAR=US&amp;VAR:SYMBOL=RAI&amp;VAR:INDEX=0"}</definedName>
    <definedName name="_2226__FDSAUDITLINK__" localSheetId="0" hidden="1">{"fdsup://directions/FAT Viewer?action=UPDATE&amp;creator=factset&amp;DYN_ARGS=TRUE&amp;DOC_NAME=FAT:FQL_AUDITING_CLIENT_TEMPLATE.FAT&amp;display_string=Audit&amp;VAR:KEY=IDYJWDYDWZ&amp;VAR:QUERY=RkZfRElWX1lMRChBTk4sMTAvMDgvMDgsMTAvMDgvMDgp&amp;WINDOW=FIRST_POPUP&amp;HEIGHT=450&amp;WIDTH=450&amp;","START_MAXIMIZED=FALSE&amp;VAR:CALENDAR=US&amp;VAR:SYMBOL=RAI&amp;VAR:INDEX=0"}</definedName>
    <definedName name="_2226__FDSAUDITLINK__" hidden="1">{"fdsup://directions/FAT Viewer?action=UPDATE&amp;creator=factset&amp;DYN_ARGS=TRUE&amp;DOC_NAME=FAT:FQL_AUDITING_CLIENT_TEMPLATE.FAT&amp;display_string=Audit&amp;VAR:KEY=IDYJWDYDWZ&amp;VAR:QUERY=RkZfRElWX1lMRChBTk4sMTAvMDgvMDgsMTAvMDgvMDgp&amp;WINDOW=FIRST_POPUP&amp;HEIGHT=450&amp;WIDTH=450&amp;","START_MAXIMIZED=FALSE&amp;VAR:CALENDAR=US&amp;VAR:SYMBOL=RAI&amp;VAR:INDEX=0"}</definedName>
    <definedName name="_2227__FDSAUDITLINK__" localSheetId="0" hidden="1">{"fdsup://directions/FAT Viewer?action=UPDATE&amp;creator=factset&amp;DYN_ARGS=TRUE&amp;DOC_NAME=FAT:FQL_AUDITING_CLIENT_TEMPLATE.FAT&amp;display_string=Audit&amp;VAR:KEY=ANIPQXMTYP&amp;VAR:QUERY=RkZfRElWX1lMRChBTk4sMTAvMDEvMDgsMTAvMDEvMDgp&amp;WINDOW=FIRST_POPUP&amp;HEIGHT=450&amp;WIDTH=450&amp;","START_MAXIMIZED=FALSE&amp;VAR:CALENDAR=US&amp;VAR:SYMBOL=RAI&amp;VAR:INDEX=0"}</definedName>
    <definedName name="_2227__FDSAUDITLINK__" hidden="1">{"fdsup://directions/FAT Viewer?action=UPDATE&amp;creator=factset&amp;DYN_ARGS=TRUE&amp;DOC_NAME=FAT:FQL_AUDITING_CLIENT_TEMPLATE.FAT&amp;display_string=Audit&amp;VAR:KEY=ANIPQXMTYP&amp;VAR:QUERY=RkZfRElWX1lMRChBTk4sMTAvMDEvMDgsMTAvMDEvMDgp&amp;WINDOW=FIRST_POPUP&amp;HEIGHT=450&amp;WIDTH=450&amp;","START_MAXIMIZED=FALSE&amp;VAR:CALENDAR=US&amp;VAR:SYMBOL=RAI&amp;VAR:INDEX=0"}</definedName>
    <definedName name="_2228__FDSAUDITLINK__" localSheetId="0" hidden="1">{"fdsup://directions/FAT Viewer?action=UPDATE&amp;creator=factset&amp;DYN_ARGS=TRUE&amp;DOC_NAME=FAT:FQL_AUDITING_CLIENT_TEMPLATE.FAT&amp;display_string=Audit&amp;VAR:KEY=WLAHSRYTSL&amp;VAR:QUERY=RkZfRElWX1lMRChBTk4sOS8yNC8wOCw5LzI0LzA4KQ==&amp;WINDOW=FIRST_POPUP&amp;HEIGHT=450&amp;WIDTH=450&amp;","START_MAXIMIZED=FALSE&amp;VAR:CALENDAR=US&amp;VAR:SYMBOL=RAI&amp;VAR:INDEX=0"}</definedName>
    <definedName name="_2228__FDSAUDITLINK__" hidden="1">{"fdsup://directions/FAT Viewer?action=UPDATE&amp;creator=factset&amp;DYN_ARGS=TRUE&amp;DOC_NAME=FAT:FQL_AUDITING_CLIENT_TEMPLATE.FAT&amp;display_string=Audit&amp;VAR:KEY=WLAHSRYTSL&amp;VAR:QUERY=RkZfRElWX1lMRChBTk4sOS8yNC8wOCw5LzI0LzA4KQ==&amp;WINDOW=FIRST_POPUP&amp;HEIGHT=450&amp;WIDTH=450&amp;","START_MAXIMIZED=FALSE&amp;VAR:CALENDAR=US&amp;VAR:SYMBOL=RAI&amp;VAR:INDEX=0"}</definedName>
    <definedName name="_2229">#REF!</definedName>
    <definedName name="_2229__FDSAUDITLINK__" localSheetId="0" hidden="1">{"fdsup://directions/FAT Viewer?action=UPDATE&amp;creator=factset&amp;DYN_ARGS=TRUE&amp;DOC_NAME=FAT:FQL_AUDITING_CLIENT_TEMPLATE.FAT&amp;display_string=Audit&amp;VAR:KEY=CDMBSFQTUX&amp;VAR:QUERY=RkZfRElWX1lMRChBTk4sOS8xNy8wOCw5LzE3LzA4KQ==&amp;WINDOW=FIRST_POPUP&amp;HEIGHT=450&amp;WIDTH=450&amp;","START_MAXIMIZED=FALSE&amp;VAR:CALENDAR=US&amp;VAR:SYMBOL=RAI&amp;VAR:INDEX=0"}</definedName>
    <definedName name="_2229__FDSAUDITLINK__" hidden="1">{"fdsup://directions/FAT Viewer?action=UPDATE&amp;creator=factset&amp;DYN_ARGS=TRUE&amp;DOC_NAME=FAT:FQL_AUDITING_CLIENT_TEMPLATE.FAT&amp;display_string=Audit&amp;VAR:KEY=CDMBSFQTUX&amp;VAR:QUERY=RkZfRElWX1lMRChBTk4sOS8xNy8wOCw5LzE3LzA4KQ==&amp;WINDOW=FIRST_POPUP&amp;HEIGHT=450&amp;WIDTH=450&amp;","START_MAXIMIZED=FALSE&amp;VAR:CALENDAR=US&amp;VAR:SYMBOL=RAI&amp;VAR:INDEX=0"}</definedName>
    <definedName name="_223">#REF!</definedName>
    <definedName name="_223__FDSAUDITLINK__" localSheetId="0" hidden="1">{"fdsup://directions/FAT Viewer?action=UPDATE&amp;creator=factset&amp;DYN_ARGS=TRUE&amp;DOC_NAME=FAT:FQL_AUDITING_CLIENT_TEMPLATE.FAT&amp;display_string=Audit&amp;VAR:KEY=TCBCDQDAPE&amp;VAR:QUERY=RkZfRElWX1lMRChBTk4sMTIvMjgvMDYsMTIvMjgvMDYp&amp;WINDOW=FIRST_POPUP&amp;HEIGHT=450&amp;WIDTH=450&amp;","START_MAXIMIZED=FALSE&amp;VAR:CALENDAR=US&amp;VAR:SYMBOL=RAI&amp;VAR:INDEX=0"}</definedName>
    <definedName name="_223__FDSAUDITLINK__" hidden="1">{"fdsup://directions/FAT Viewer?action=UPDATE&amp;creator=factset&amp;DYN_ARGS=TRUE&amp;DOC_NAME=FAT:FQL_AUDITING_CLIENT_TEMPLATE.FAT&amp;display_string=Audit&amp;VAR:KEY=TCBCDQDAPE&amp;VAR:QUERY=RkZfRElWX1lMRChBTk4sMTIvMjgvMDYsMTIvMjgvMDYp&amp;WINDOW=FIRST_POPUP&amp;HEIGHT=450&amp;WIDTH=450&amp;","START_MAXIMIZED=FALSE&amp;VAR:CALENDAR=US&amp;VAR:SYMBOL=RAI&amp;VAR:INDEX=0"}</definedName>
    <definedName name="_2230__FDSAUDITLINK__" localSheetId="0" hidden="1">{"fdsup://directions/FAT Viewer?action=UPDATE&amp;creator=factset&amp;DYN_ARGS=TRUE&amp;DOC_NAME=FAT:FQL_AUDITING_CLIENT_TEMPLATE.FAT&amp;display_string=Audit&amp;VAR:KEY=OXUDMPUNEX&amp;VAR:QUERY=RkZfRElWX1lMRChBTk4sOS8xMC8wOCw5LzEwLzA4KQ==&amp;WINDOW=FIRST_POPUP&amp;HEIGHT=450&amp;WIDTH=450&amp;","START_MAXIMIZED=FALSE&amp;VAR:CALENDAR=US&amp;VAR:SYMBOL=RAI&amp;VAR:INDEX=0"}</definedName>
    <definedName name="_2230__FDSAUDITLINK__" hidden="1">{"fdsup://directions/FAT Viewer?action=UPDATE&amp;creator=factset&amp;DYN_ARGS=TRUE&amp;DOC_NAME=FAT:FQL_AUDITING_CLIENT_TEMPLATE.FAT&amp;display_string=Audit&amp;VAR:KEY=OXUDMPUNEX&amp;VAR:QUERY=RkZfRElWX1lMRChBTk4sOS8xMC8wOCw5LzEwLzA4KQ==&amp;WINDOW=FIRST_POPUP&amp;HEIGHT=450&amp;WIDTH=450&amp;","START_MAXIMIZED=FALSE&amp;VAR:CALENDAR=US&amp;VAR:SYMBOL=RAI&amp;VAR:INDEX=0"}</definedName>
    <definedName name="_2231__FDSAUDITLINK__" localSheetId="0" hidden="1">{"fdsup://directions/FAT Viewer?action=UPDATE&amp;creator=factset&amp;DYN_ARGS=TRUE&amp;DOC_NAME=FAT:FQL_AUDITING_CLIENT_TEMPLATE.FAT&amp;display_string=Audit&amp;VAR:KEY=GFGXUFABKR&amp;VAR:QUERY=RkZfRElWX1lMRChBTk4sOS8wMy8wOCw5LzAzLzA4KQ==&amp;WINDOW=FIRST_POPUP&amp;HEIGHT=450&amp;WIDTH=450&amp;","START_MAXIMIZED=FALSE&amp;VAR:CALENDAR=US&amp;VAR:SYMBOL=RAI&amp;VAR:INDEX=0"}</definedName>
    <definedName name="_2231__FDSAUDITLINK__" hidden="1">{"fdsup://directions/FAT Viewer?action=UPDATE&amp;creator=factset&amp;DYN_ARGS=TRUE&amp;DOC_NAME=FAT:FQL_AUDITING_CLIENT_TEMPLATE.FAT&amp;display_string=Audit&amp;VAR:KEY=GFGXUFABKR&amp;VAR:QUERY=RkZfRElWX1lMRChBTk4sOS8wMy8wOCw5LzAzLzA4KQ==&amp;WINDOW=FIRST_POPUP&amp;HEIGHT=450&amp;WIDTH=450&amp;","START_MAXIMIZED=FALSE&amp;VAR:CALENDAR=US&amp;VAR:SYMBOL=RAI&amp;VAR:INDEX=0"}</definedName>
    <definedName name="_2232__FDSAUDITLINK__" localSheetId="0" hidden="1">{"fdsup://directions/FAT Viewer?action=UPDATE&amp;creator=factset&amp;DYN_ARGS=TRUE&amp;DOC_NAME=FAT:FQL_AUDITING_CLIENT_TEMPLATE.FAT&amp;display_string=Audit&amp;VAR:KEY=MVULQLWNAV&amp;VAR:QUERY=RkZfRElWX1lMRChBTk4sOC8yNy8wOCw4LzI3LzA4KQ==&amp;WINDOW=FIRST_POPUP&amp;HEIGHT=450&amp;WIDTH=450&amp;","START_MAXIMIZED=FALSE&amp;VAR:CALENDAR=US&amp;VAR:SYMBOL=RAI&amp;VAR:INDEX=0"}</definedName>
    <definedName name="_2232__FDSAUDITLINK__" hidden="1">{"fdsup://directions/FAT Viewer?action=UPDATE&amp;creator=factset&amp;DYN_ARGS=TRUE&amp;DOC_NAME=FAT:FQL_AUDITING_CLIENT_TEMPLATE.FAT&amp;display_string=Audit&amp;VAR:KEY=MVULQLWNAV&amp;VAR:QUERY=RkZfRElWX1lMRChBTk4sOC8yNy8wOCw4LzI3LzA4KQ==&amp;WINDOW=FIRST_POPUP&amp;HEIGHT=450&amp;WIDTH=450&amp;","START_MAXIMIZED=FALSE&amp;VAR:CALENDAR=US&amp;VAR:SYMBOL=RAI&amp;VAR:INDEX=0"}</definedName>
    <definedName name="_2233__FDSAUDITLINK__" localSheetId="0" hidden="1">{"fdsup://directions/FAT Viewer?action=UPDATE&amp;creator=factset&amp;DYN_ARGS=TRUE&amp;DOC_NAME=FAT:FQL_AUDITING_CLIENT_TEMPLATE.FAT&amp;display_string=Audit&amp;VAR:KEY=IPQBMXEDOT&amp;VAR:QUERY=RkZfRElWX1lMRChBTk4sOC8yMC8wOCw4LzIwLzA4KQ==&amp;WINDOW=FIRST_POPUP&amp;HEIGHT=450&amp;WIDTH=450&amp;","START_MAXIMIZED=FALSE&amp;VAR:CALENDAR=US&amp;VAR:SYMBOL=RAI&amp;VAR:INDEX=0"}</definedName>
    <definedName name="_2233__FDSAUDITLINK__" hidden="1">{"fdsup://directions/FAT Viewer?action=UPDATE&amp;creator=factset&amp;DYN_ARGS=TRUE&amp;DOC_NAME=FAT:FQL_AUDITING_CLIENT_TEMPLATE.FAT&amp;display_string=Audit&amp;VAR:KEY=IPQBMXEDOT&amp;VAR:QUERY=RkZfRElWX1lMRChBTk4sOC8yMC8wOCw4LzIwLzA4KQ==&amp;WINDOW=FIRST_POPUP&amp;HEIGHT=450&amp;WIDTH=450&amp;","START_MAXIMIZED=FALSE&amp;VAR:CALENDAR=US&amp;VAR:SYMBOL=RAI&amp;VAR:INDEX=0"}</definedName>
    <definedName name="_2234">#REF!</definedName>
    <definedName name="_2234__FDSAUDITLINK__" localSheetId="0" hidden="1">{"fdsup://directions/FAT Viewer?action=UPDATE&amp;creator=factset&amp;DYN_ARGS=TRUE&amp;DOC_NAME=FAT:FQL_AUDITING_CLIENT_TEMPLATE.FAT&amp;display_string=Audit&amp;VAR:KEY=SNGJCDGDER&amp;VAR:QUERY=RkZfRElWX1lMRChBTk4sOC8xMy8wOCw4LzEzLzA4KQ==&amp;WINDOW=FIRST_POPUP&amp;HEIGHT=450&amp;WIDTH=450&amp;","START_MAXIMIZED=FALSE&amp;VAR:CALENDAR=US&amp;VAR:SYMBOL=RAI&amp;VAR:INDEX=0"}</definedName>
    <definedName name="_2234__FDSAUDITLINK__" hidden="1">{"fdsup://directions/FAT Viewer?action=UPDATE&amp;creator=factset&amp;DYN_ARGS=TRUE&amp;DOC_NAME=FAT:FQL_AUDITING_CLIENT_TEMPLATE.FAT&amp;display_string=Audit&amp;VAR:KEY=SNGJCDGDER&amp;VAR:QUERY=RkZfRElWX1lMRChBTk4sOC8xMy8wOCw4LzEzLzA4KQ==&amp;WINDOW=FIRST_POPUP&amp;HEIGHT=450&amp;WIDTH=450&amp;","START_MAXIMIZED=FALSE&amp;VAR:CALENDAR=US&amp;VAR:SYMBOL=RAI&amp;VAR:INDEX=0"}</definedName>
    <definedName name="_2235__FDSAUDITLINK__" localSheetId="0" hidden="1">{"fdsup://directions/FAT Viewer?action=UPDATE&amp;creator=factset&amp;DYN_ARGS=TRUE&amp;DOC_NAME=FAT:FQL_AUDITING_CLIENT_TEMPLATE.FAT&amp;display_string=Audit&amp;VAR:KEY=YPOFIZWDUX&amp;VAR:QUERY=RkZfRElWX1lMRChBTk4sOC8wNi8wOCw4LzA2LzA4KQ==&amp;WINDOW=FIRST_POPUP&amp;HEIGHT=450&amp;WIDTH=450&amp;","START_MAXIMIZED=FALSE&amp;VAR:CALENDAR=US&amp;VAR:SYMBOL=RAI&amp;VAR:INDEX=0"}</definedName>
    <definedName name="_2235__FDSAUDITLINK__" hidden="1">{"fdsup://directions/FAT Viewer?action=UPDATE&amp;creator=factset&amp;DYN_ARGS=TRUE&amp;DOC_NAME=FAT:FQL_AUDITING_CLIENT_TEMPLATE.FAT&amp;display_string=Audit&amp;VAR:KEY=YPOFIZWDUX&amp;VAR:QUERY=RkZfRElWX1lMRChBTk4sOC8wNi8wOCw4LzA2LzA4KQ==&amp;WINDOW=FIRST_POPUP&amp;HEIGHT=450&amp;WIDTH=450&amp;","START_MAXIMIZED=FALSE&amp;VAR:CALENDAR=US&amp;VAR:SYMBOL=RAI&amp;VAR:INDEX=0"}</definedName>
    <definedName name="_2236__FDSAUDITLINK__" localSheetId="0" hidden="1">{"fdsup://directions/FAT Viewer?action=UPDATE&amp;creator=factset&amp;DYN_ARGS=TRUE&amp;DOC_NAME=FAT:FQL_AUDITING_CLIENT_TEMPLATE.FAT&amp;display_string=Audit&amp;VAR:KEY=WPSLUJIFKT&amp;VAR:QUERY=RkZfRElWX1lMRChBTk4sNy8zMC8wOCw3LzMwLzA4KQ==&amp;WINDOW=FIRST_POPUP&amp;HEIGHT=450&amp;WIDTH=450&amp;","START_MAXIMIZED=FALSE&amp;VAR:CALENDAR=US&amp;VAR:SYMBOL=RAI&amp;VAR:INDEX=0"}</definedName>
    <definedName name="_2236__FDSAUDITLINK__" hidden="1">{"fdsup://directions/FAT Viewer?action=UPDATE&amp;creator=factset&amp;DYN_ARGS=TRUE&amp;DOC_NAME=FAT:FQL_AUDITING_CLIENT_TEMPLATE.FAT&amp;display_string=Audit&amp;VAR:KEY=WPSLUJIFKT&amp;VAR:QUERY=RkZfRElWX1lMRChBTk4sNy8zMC8wOCw3LzMwLzA4KQ==&amp;WINDOW=FIRST_POPUP&amp;HEIGHT=450&amp;WIDTH=450&amp;","START_MAXIMIZED=FALSE&amp;VAR:CALENDAR=US&amp;VAR:SYMBOL=RAI&amp;VAR:INDEX=0"}</definedName>
    <definedName name="_2237__FDSAUDITLINK__" localSheetId="0" hidden="1">{"fdsup://directions/FAT Viewer?action=UPDATE&amp;creator=factset&amp;DYN_ARGS=TRUE&amp;DOC_NAME=FAT:FQL_AUDITING_CLIENT_TEMPLATE.FAT&amp;display_string=Audit&amp;VAR:KEY=ITMZCHEJUF&amp;VAR:QUERY=RkZfRElWX1lMRChBTk4sNy8yMy8wOCw3LzIzLzA4KQ==&amp;WINDOW=FIRST_POPUP&amp;HEIGHT=450&amp;WIDTH=450&amp;","START_MAXIMIZED=FALSE&amp;VAR:CALENDAR=US&amp;VAR:SYMBOL=RAI&amp;VAR:INDEX=0"}</definedName>
    <definedName name="_2237__FDSAUDITLINK__" hidden="1">{"fdsup://directions/FAT Viewer?action=UPDATE&amp;creator=factset&amp;DYN_ARGS=TRUE&amp;DOC_NAME=FAT:FQL_AUDITING_CLIENT_TEMPLATE.FAT&amp;display_string=Audit&amp;VAR:KEY=ITMZCHEJUF&amp;VAR:QUERY=RkZfRElWX1lMRChBTk4sNy8yMy8wOCw3LzIzLzA4KQ==&amp;WINDOW=FIRST_POPUP&amp;HEIGHT=450&amp;WIDTH=450&amp;","START_MAXIMIZED=FALSE&amp;VAR:CALENDAR=US&amp;VAR:SYMBOL=RAI&amp;VAR:INDEX=0"}</definedName>
    <definedName name="_2238__FDSAUDITLINK__" localSheetId="0" hidden="1">{"fdsup://directions/FAT Viewer?action=UPDATE&amp;creator=factset&amp;DYN_ARGS=TRUE&amp;DOC_NAME=FAT:FQL_AUDITING_CLIENT_TEMPLATE.FAT&amp;display_string=Audit&amp;VAR:KEY=OPWXOZMPIT&amp;VAR:QUERY=RkZfRElWX1lMRChBTk4sNy8xNi8wOCw3LzE2LzA4KQ==&amp;WINDOW=FIRST_POPUP&amp;HEIGHT=450&amp;WIDTH=450&amp;","START_MAXIMIZED=FALSE&amp;VAR:CALENDAR=US&amp;VAR:SYMBOL=RAI&amp;VAR:INDEX=0"}</definedName>
    <definedName name="_2238__FDSAUDITLINK__" hidden="1">{"fdsup://directions/FAT Viewer?action=UPDATE&amp;creator=factset&amp;DYN_ARGS=TRUE&amp;DOC_NAME=FAT:FQL_AUDITING_CLIENT_TEMPLATE.FAT&amp;display_string=Audit&amp;VAR:KEY=OPWXOZMPIT&amp;VAR:QUERY=RkZfRElWX1lMRChBTk4sNy8xNi8wOCw3LzE2LzA4KQ==&amp;WINDOW=FIRST_POPUP&amp;HEIGHT=450&amp;WIDTH=450&amp;","START_MAXIMIZED=FALSE&amp;VAR:CALENDAR=US&amp;VAR:SYMBOL=RAI&amp;VAR:INDEX=0"}</definedName>
    <definedName name="_2239">#REF!</definedName>
    <definedName name="_2239__FDSAUDITLINK__" localSheetId="0" hidden="1">{"fdsup://directions/FAT Viewer?action=UPDATE&amp;creator=factset&amp;DYN_ARGS=TRUE&amp;DOC_NAME=FAT:FQL_AUDITING_CLIENT_TEMPLATE.FAT&amp;display_string=Audit&amp;VAR:KEY=EJOFOXSPOP&amp;VAR:QUERY=RkZfRElWX1lMRChBTk4sNy8wOS8wOCw3LzA5LzA4KQ==&amp;WINDOW=FIRST_POPUP&amp;HEIGHT=450&amp;WIDTH=450&amp;","START_MAXIMIZED=FALSE&amp;VAR:CALENDAR=US&amp;VAR:SYMBOL=RAI&amp;VAR:INDEX=0"}</definedName>
    <definedName name="_2239__FDSAUDITLINK__" hidden="1">{"fdsup://directions/FAT Viewer?action=UPDATE&amp;creator=factset&amp;DYN_ARGS=TRUE&amp;DOC_NAME=FAT:FQL_AUDITING_CLIENT_TEMPLATE.FAT&amp;display_string=Audit&amp;VAR:KEY=EJOFOXSPOP&amp;VAR:QUERY=RkZfRElWX1lMRChBTk4sNy8wOS8wOCw3LzA5LzA4KQ==&amp;WINDOW=FIRST_POPUP&amp;HEIGHT=450&amp;WIDTH=450&amp;","START_MAXIMIZED=FALSE&amp;VAR:CALENDAR=US&amp;VAR:SYMBOL=RAI&amp;VAR:INDEX=0"}</definedName>
    <definedName name="_224">#REF!</definedName>
    <definedName name="_224__FDSAUDITLINK__" localSheetId="0" hidden="1">{"fdsup://directions/FAT Viewer?action=UPDATE&amp;creator=factset&amp;DYN_ARGS=TRUE&amp;DOC_NAME=FAT:FQL_AUDITING_CLIENT_TEMPLATE.FAT&amp;display_string=Audit&amp;VAR:KEY=HQLQZMPABK&amp;VAR:QUERY=RkZfRElWX1lMRChBTk4sMTIvMjEvMDYsMTIvMjEvMDYp&amp;WINDOW=FIRST_POPUP&amp;HEIGHT=450&amp;WIDTH=450&amp;","START_MAXIMIZED=FALSE&amp;VAR:CALENDAR=US&amp;VAR:SYMBOL=RAI&amp;VAR:INDEX=0"}</definedName>
    <definedName name="_224__FDSAUDITLINK__" hidden="1">{"fdsup://directions/FAT Viewer?action=UPDATE&amp;creator=factset&amp;DYN_ARGS=TRUE&amp;DOC_NAME=FAT:FQL_AUDITING_CLIENT_TEMPLATE.FAT&amp;display_string=Audit&amp;VAR:KEY=HQLQZMPABK&amp;VAR:QUERY=RkZfRElWX1lMRChBTk4sMTIvMjEvMDYsMTIvMjEvMDYp&amp;WINDOW=FIRST_POPUP&amp;HEIGHT=450&amp;WIDTH=450&amp;","START_MAXIMIZED=FALSE&amp;VAR:CALENDAR=US&amp;VAR:SYMBOL=RAI&amp;VAR:INDEX=0"}</definedName>
    <definedName name="_2240__FDSAUDITLINK__" localSheetId="0" hidden="1">{"fdsup://directions/FAT Viewer?action=UPDATE&amp;creator=factset&amp;DYN_ARGS=TRUE&amp;DOC_NAME=FAT:FQL_AUDITING_CLIENT_TEMPLATE.FAT&amp;display_string=Audit&amp;VAR:KEY=MXQLGNWNWF&amp;VAR:QUERY=RkZfRElWX1lMRChBTk4sNy8wMi8wOCw3LzAyLzA4KQ==&amp;WINDOW=FIRST_POPUP&amp;HEIGHT=450&amp;WIDTH=450&amp;","START_MAXIMIZED=FALSE&amp;VAR:CALENDAR=US&amp;VAR:SYMBOL=RAI&amp;VAR:INDEX=0"}</definedName>
    <definedName name="_2240__FDSAUDITLINK__" hidden="1">{"fdsup://directions/FAT Viewer?action=UPDATE&amp;creator=factset&amp;DYN_ARGS=TRUE&amp;DOC_NAME=FAT:FQL_AUDITING_CLIENT_TEMPLATE.FAT&amp;display_string=Audit&amp;VAR:KEY=MXQLGNWNWF&amp;VAR:QUERY=RkZfRElWX1lMRChBTk4sNy8wMi8wOCw3LzAyLzA4KQ==&amp;WINDOW=FIRST_POPUP&amp;HEIGHT=450&amp;WIDTH=450&amp;","START_MAXIMIZED=FALSE&amp;VAR:CALENDAR=US&amp;VAR:SYMBOL=RAI&amp;VAR:INDEX=0"}</definedName>
    <definedName name="_2241__FDSAUDITLINK__" localSheetId="0" hidden="1">{"fdsup://directions/FAT Viewer?action=UPDATE&amp;creator=factset&amp;DYN_ARGS=TRUE&amp;DOC_NAME=FAT:FQL_AUDITING_CLIENT_TEMPLATE.FAT&amp;display_string=Audit&amp;VAR:KEY=WJWHEHCBOZ&amp;VAR:QUERY=RkZfRElWX1lMRChBTk4sNi8yNS8wOCw2LzI1LzA4KQ==&amp;WINDOW=FIRST_POPUP&amp;HEIGHT=450&amp;WIDTH=450&amp;","START_MAXIMIZED=FALSE&amp;VAR:CALENDAR=US&amp;VAR:SYMBOL=RAI&amp;VAR:INDEX=0"}</definedName>
    <definedName name="_2241__FDSAUDITLINK__" hidden="1">{"fdsup://directions/FAT Viewer?action=UPDATE&amp;creator=factset&amp;DYN_ARGS=TRUE&amp;DOC_NAME=FAT:FQL_AUDITING_CLIENT_TEMPLATE.FAT&amp;display_string=Audit&amp;VAR:KEY=WJWHEHCBOZ&amp;VAR:QUERY=RkZfRElWX1lMRChBTk4sNi8yNS8wOCw2LzI1LzA4KQ==&amp;WINDOW=FIRST_POPUP&amp;HEIGHT=450&amp;WIDTH=450&amp;","START_MAXIMIZED=FALSE&amp;VAR:CALENDAR=US&amp;VAR:SYMBOL=RAI&amp;VAR:INDEX=0"}</definedName>
    <definedName name="_2242__FDSAUDITLINK__" localSheetId="0" hidden="1">{"fdsup://directions/FAT Viewer?action=UPDATE&amp;creator=factset&amp;DYN_ARGS=TRUE&amp;DOC_NAME=FAT:FQL_AUDITING_CLIENT_TEMPLATE.FAT&amp;display_string=Audit&amp;VAR:KEY=KLGNKNCRSP&amp;VAR:QUERY=RkZfRElWX1lMRChBTk4sNi8xOC8wOCw2LzE4LzA4KQ==&amp;WINDOW=FIRST_POPUP&amp;HEIGHT=450&amp;WIDTH=450&amp;","START_MAXIMIZED=FALSE&amp;VAR:CALENDAR=US&amp;VAR:SYMBOL=RAI&amp;VAR:INDEX=0"}</definedName>
    <definedName name="_2242__FDSAUDITLINK__" hidden="1">{"fdsup://directions/FAT Viewer?action=UPDATE&amp;creator=factset&amp;DYN_ARGS=TRUE&amp;DOC_NAME=FAT:FQL_AUDITING_CLIENT_TEMPLATE.FAT&amp;display_string=Audit&amp;VAR:KEY=KLGNKNCRSP&amp;VAR:QUERY=RkZfRElWX1lMRChBTk4sNi8xOC8wOCw2LzE4LzA4KQ==&amp;WINDOW=FIRST_POPUP&amp;HEIGHT=450&amp;WIDTH=450&amp;","START_MAXIMIZED=FALSE&amp;VAR:CALENDAR=US&amp;VAR:SYMBOL=RAI&amp;VAR:INDEX=0"}</definedName>
    <definedName name="_2243__FDSAUDITLINK__" localSheetId="0" hidden="1">{"fdsup://directions/FAT Viewer?action=UPDATE&amp;creator=factset&amp;DYN_ARGS=TRUE&amp;DOC_NAME=FAT:FQL_AUDITING_CLIENT_TEMPLATE.FAT&amp;display_string=Audit&amp;VAR:KEY=UBCZGDSDAR&amp;VAR:QUERY=RkZfRElWX1lMRChBTk4sNi8xMS8wOCw2LzExLzA4KQ==&amp;WINDOW=FIRST_POPUP&amp;HEIGHT=450&amp;WIDTH=450&amp;","START_MAXIMIZED=FALSE&amp;VAR:CALENDAR=US&amp;VAR:SYMBOL=RAI&amp;VAR:INDEX=0"}</definedName>
    <definedName name="_2243__FDSAUDITLINK__" hidden="1">{"fdsup://directions/FAT Viewer?action=UPDATE&amp;creator=factset&amp;DYN_ARGS=TRUE&amp;DOC_NAME=FAT:FQL_AUDITING_CLIENT_TEMPLATE.FAT&amp;display_string=Audit&amp;VAR:KEY=UBCZGDSDAR&amp;VAR:QUERY=RkZfRElWX1lMRChBTk4sNi8xMS8wOCw2LzExLzA4KQ==&amp;WINDOW=FIRST_POPUP&amp;HEIGHT=450&amp;WIDTH=450&amp;","START_MAXIMIZED=FALSE&amp;VAR:CALENDAR=US&amp;VAR:SYMBOL=RAI&amp;VAR:INDEX=0"}</definedName>
    <definedName name="_2244__FDSAUDITLINK__" localSheetId="0" hidden="1">{"fdsup://directions/FAT Viewer?action=UPDATE&amp;creator=factset&amp;DYN_ARGS=TRUE&amp;DOC_NAME=FAT:FQL_AUDITING_CLIENT_TEMPLATE.FAT&amp;display_string=Audit&amp;VAR:KEY=AXYBAPUZAH&amp;VAR:QUERY=RkZfRElWX1lMRChBTk4sNi8wNC8wOCw2LzA0LzA4KQ==&amp;WINDOW=FIRST_POPUP&amp;HEIGHT=450&amp;WIDTH=450&amp;","START_MAXIMIZED=FALSE&amp;VAR:CALENDAR=US&amp;VAR:SYMBOL=RAI&amp;VAR:INDEX=0"}</definedName>
    <definedName name="_2244__FDSAUDITLINK__" hidden="1">{"fdsup://directions/FAT Viewer?action=UPDATE&amp;creator=factset&amp;DYN_ARGS=TRUE&amp;DOC_NAME=FAT:FQL_AUDITING_CLIENT_TEMPLATE.FAT&amp;display_string=Audit&amp;VAR:KEY=AXYBAPUZAH&amp;VAR:QUERY=RkZfRElWX1lMRChBTk4sNi8wNC8wOCw2LzA0LzA4KQ==&amp;WINDOW=FIRST_POPUP&amp;HEIGHT=450&amp;WIDTH=450&amp;","START_MAXIMIZED=FALSE&amp;VAR:CALENDAR=US&amp;VAR:SYMBOL=RAI&amp;VAR:INDEX=0"}</definedName>
    <definedName name="_2245__FDSAUDITLINK__" localSheetId="0" hidden="1">{"fdsup://directions/FAT Viewer?action=UPDATE&amp;creator=factset&amp;DYN_ARGS=TRUE&amp;DOC_NAME=FAT:FQL_AUDITING_CLIENT_TEMPLATE.FAT&amp;display_string=Audit&amp;VAR:KEY=MVWDWLMZAD&amp;VAR:QUERY=RkZfRElWX1lMRChBTk4sNS8yOC8wOCw1LzI4LzA4KQ==&amp;WINDOW=FIRST_POPUP&amp;HEIGHT=450&amp;WIDTH=450&amp;","START_MAXIMIZED=FALSE&amp;VAR:CALENDAR=US&amp;VAR:SYMBOL=RAI&amp;VAR:INDEX=0"}</definedName>
    <definedName name="_2245__FDSAUDITLINK__" hidden="1">{"fdsup://directions/FAT Viewer?action=UPDATE&amp;creator=factset&amp;DYN_ARGS=TRUE&amp;DOC_NAME=FAT:FQL_AUDITING_CLIENT_TEMPLATE.FAT&amp;display_string=Audit&amp;VAR:KEY=MVWDWLMZAD&amp;VAR:QUERY=RkZfRElWX1lMRChBTk4sNS8yOC8wOCw1LzI4LzA4KQ==&amp;WINDOW=FIRST_POPUP&amp;HEIGHT=450&amp;WIDTH=450&amp;","START_MAXIMIZED=FALSE&amp;VAR:CALENDAR=US&amp;VAR:SYMBOL=RAI&amp;VAR:INDEX=0"}</definedName>
    <definedName name="_2246__FDSAUDITLINK__" localSheetId="0" hidden="1">{"fdsup://directions/FAT Viewer?action=UPDATE&amp;creator=factset&amp;DYN_ARGS=TRUE&amp;DOC_NAME=FAT:FQL_AUDITING_CLIENT_TEMPLATE.FAT&amp;display_string=Audit&amp;VAR:KEY=SRKRMDSJKH&amp;VAR:QUERY=RkZfRElWX1lMRChBTk4sNS8yMS8wOCw1LzIxLzA4KQ==&amp;WINDOW=FIRST_POPUP&amp;HEIGHT=450&amp;WIDTH=450&amp;","START_MAXIMIZED=FALSE&amp;VAR:CALENDAR=US&amp;VAR:SYMBOL=RAI&amp;VAR:INDEX=0"}</definedName>
    <definedName name="_2246__FDSAUDITLINK__" hidden="1">{"fdsup://directions/FAT Viewer?action=UPDATE&amp;creator=factset&amp;DYN_ARGS=TRUE&amp;DOC_NAME=FAT:FQL_AUDITING_CLIENT_TEMPLATE.FAT&amp;display_string=Audit&amp;VAR:KEY=SRKRMDSJKH&amp;VAR:QUERY=RkZfRElWX1lMRChBTk4sNS8yMS8wOCw1LzIxLzA4KQ==&amp;WINDOW=FIRST_POPUP&amp;HEIGHT=450&amp;WIDTH=450&amp;","START_MAXIMIZED=FALSE&amp;VAR:CALENDAR=US&amp;VAR:SYMBOL=RAI&amp;VAR:INDEX=0"}</definedName>
    <definedName name="_2247">#REF!</definedName>
    <definedName name="_2247__FDSAUDITLINK__" localSheetId="0" hidden="1">{"fdsup://directions/FAT Viewer?action=UPDATE&amp;creator=factset&amp;DYN_ARGS=TRUE&amp;DOC_NAME=FAT:FQL_AUDITING_CLIENT_TEMPLATE.FAT&amp;display_string=Audit&amp;VAR:KEY=INYBQVWTST&amp;VAR:QUERY=RkZfRElWX1lMRChBTk4sNS8xNC8wOCw1LzE0LzA4KQ==&amp;WINDOW=FIRST_POPUP&amp;HEIGHT=450&amp;WIDTH=450&amp;","START_MAXIMIZED=FALSE&amp;VAR:CALENDAR=US&amp;VAR:SYMBOL=RAI&amp;VAR:INDEX=0"}</definedName>
    <definedName name="_2247__FDSAUDITLINK__" hidden="1">{"fdsup://directions/FAT Viewer?action=UPDATE&amp;creator=factset&amp;DYN_ARGS=TRUE&amp;DOC_NAME=FAT:FQL_AUDITING_CLIENT_TEMPLATE.FAT&amp;display_string=Audit&amp;VAR:KEY=INYBQVWTST&amp;VAR:QUERY=RkZfRElWX1lMRChBTk4sNS8xNC8wOCw1LzE0LzA4KQ==&amp;WINDOW=FIRST_POPUP&amp;HEIGHT=450&amp;WIDTH=450&amp;","START_MAXIMIZED=FALSE&amp;VAR:CALENDAR=US&amp;VAR:SYMBOL=RAI&amp;VAR:INDEX=0"}</definedName>
    <definedName name="_2248__FDSAUDITLINK__" localSheetId="0" hidden="1">{"fdsup://directions/FAT Viewer?action=UPDATE&amp;creator=factset&amp;DYN_ARGS=TRUE&amp;DOC_NAME=FAT:FQL_AUDITING_CLIENT_TEMPLATE.FAT&amp;display_string=Audit&amp;VAR:KEY=MHERCHSVKF&amp;VAR:QUERY=RkZfRElWX1lMRChBTk4sNS8wNy8wOCw1LzA3LzA4KQ==&amp;WINDOW=FIRST_POPUP&amp;HEIGHT=450&amp;WIDTH=450&amp;","START_MAXIMIZED=FALSE&amp;VAR:CALENDAR=US&amp;VAR:SYMBOL=RAI&amp;VAR:INDEX=0"}</definedName>
    <definedName name="_2248__FDSAUDITLINK__" hidden="1">{"fdsup://directions/FAT Viewer?action=UPDATE&amp;creator=factset&amp;DYN_ARGS=TRUE&amp;DOC_NAME=FAT:FQL_AUDITING_CLIENT_TEMPLATE.FAT&amp;display_string=Audit&amp;VAR:KEY=MHERCHSVKF&amp;VAR:QUERY=RkZfRElWX1lMRChBTk4sNS8wNy8wOCw1LzA3LzA4KQ==&amp;WINDOW=FIRST_POPUP&amp;HEIGHT=450&amp;WIDTH=450&amp;","START_MAXIMIZED=FALSE&amp;VAR:CALENDAR=US&amp;VAR:SYMBOL=RAI&amp;VAR:INDEX=0"}</definedName>
    <definedName name="_2249__FDSAUDITLINK__" localSheetId="0" hidden="1">{"fdsup://directions/FAT Viewer?action=UPDATE&amp;creator=factset&amp;DYN_ARGS=TRUE&amp;DOC_NAME=FAT:FQL_AUDITING_CLIENT_TEMPLATE.FAT&amp;display_string=Audit&amp;VAR:KEY=AXIVYXQJWB&amp;VAR:QUERY=RkZfRElWX1lMRChBTk4sNC8zMC8wOCw0LzMwLzA4KQ==&amp;WINDOW=FIRST_POPUP&amp;HEIGHT=450&amp;WIDTH=450&amp;","START_MAXIMIZED=FALSE&amp;VAR:CALENDAR=US&amp;VAR:SYMBOL=RAI&amp;VAR:INDEX=0"}</definedName>
    <definedName name="_2249__FDSAUDITLINK__" hidden="1">{"fdsup://directions/FAT Viewer?action=UPDATE&amp;creator=factset&amp;DYN_ARGS=TRUE&amp;DOC_NAME=FAT:FQL_AUDITING_CLIENT_TEMPLATE.FAT&amp;display_string=Audit&amp;VAR:KEY=AXIVYXQJWB&amp;VAR:QUERY=RkZfRElWX1lMRChBTk4sNC8zMC8wOCw0LzMwLzA4KQ==&amp;WINDOW=FIRST_POPUP&amp;HEIGHT=450&amp;WIDTH=450&amp;","START_MAXIMIZED=FALSE&amp;VAR:CALENDAR=US&amp;VAR:SYMBOL=RAI&amp;VAR:INDEX=0"}</definedName>
    <definedName name="_225">#REF!</definedName>
    <definedName name="_225__FDSAUDITLINK__" localSheetId="0" hidden="1">{"fdsup://directions/FAT Viewer?action=UPDATE&amp;creator=factset&amp;DYN_ARGS=TRUE&amp;DOC_NAME=FAT:FQL_AUDITING_CLIENT_TEMPLATE.FAT&amp;display_string=Audit&amp;VAR:KEY=NKRIZGDYRC&amp;VAR:QUERY=RkZfRElWX1lMRChBTk4sMTIvMTQvMDYsMTIvMTQvMDYp&amp;WINDOW=FIRST_POPUP&amp;HEIGHT=450&amp;WIDTH=450&amp;","START_MAXIMIZED=FALSE&amp;VAR:CALENDAR=US&amp;VAR:SYMBOL=RAI&amp;VAR:INDEX=0"}</definedName>
    <definedName name="_225__FDSAUDITLINK__" hidden="1">{"fdsup://directions/FAT Viewer?action=UPDATE&amp;creator=factset&amp;DYN_ARGS=TRUE&amp;DOC_NAME=FAT:FQL_AUDITING_CLIENT_TEMPLATE.FAT&amp;display_string=Audit&amp;VAR:KEY=NKRIZGDYRC&amp;VAR:QUERY=RkZfRElWX1lMRChBTk4sMTIvMTQvMDYsMTIvMTQvMDYp&amp;WINDOW=FIRST_POPUP&amp;HEIGHT=450&amp;WIDTH=450&amp;","START_MAXIMIZED=FALSE&amp;VAR:CALENDAR=US&amp;VAR:SYMBOL=RAI&amp;VAR:INDEX=0"}</definedName>
    <definedName name="_2250__FDSAUDITLINK__" localSheetId="0" hidden="1">{"fdsup://directions/FAT Viewer?action=UPDATE&amp;creator=factset&amp;DYN_ARGS=TRUE&amp;DOC_NAME=FAT:FQL_AUDITING_CLIENT_TEMPLATE.FAT&amp;display_string=Audit&amp;VAR:KEY=MRCRKPABYH&amp;VAR:QUERY=RkZfRElWX1lMRChBTk4sNC8yMy8wOCw0LzIzLzA4KQ==&amp;WINDOW=FIRST_POPUP&amp;HEIGHT=450&amp;WIDTH=450&amp;","START_MAXIMIZED=FALSE&amp;VAR:CALENDAR=US&amp;VAR:SYMBOL=RAI&amp;VAR:INDEX=0"}</definedName>
    <definedName name="_2250__FDSAUDITLINK__" hidden="1">{"fdsup://directions/FAT Viewer?action=UPDATE&amp;creator=factset&amp;DYN_ARGS=TRUE&amp;DOC_NAME=FAT:FQL_AUDITING_CLIENT_TEMPLATE.FAT&amp;display_string=Audit&amp;VAR:KEY=MRCRKPABYH&amp;VAR:QUERY=RkZfRElWX1lMRChBTk4sNC8yMy8wOCw0LzIzLzA4KQ==&amp;WINDOW=FIRST_POPUP&amp;HEIGHT=450&amp;WIDTH=450&amp;","START_MAXIMIZED=FALSE&amp;VAR:CALENDAR=US&amp;VAR:SYMBOL=RAI&amp;VAR:INDEX=0"}</definedName>
    <definedName name="_2251">#REF!</definedName>
    <definedName name="_2251__FDSAUDITLINK__" localSheetId="0" hidden="1">{"fdsup://directions/FAT Viewer?action=UPDATE&amp;creator=factset&amp;DYN_ARGS=TRUE&amp;DOC_NAME=FAT:FQL_AUDITING_CLIENT_TEMPLATE.FAT&amp;display_string=Audit&amp;VAR:KEY=QFOPGNQLMN&amp;VAR:QUERY=RkZfRElWX1lMRChBTk4sNC8xNi8wOCw0LzE2LzA4KQ==&amp;WINDOW=FIRST_POPUP&amp;HEIGHT=450&amp;WIDTH=450&amp;","START_MAXIMIZED=FALSE&amp;VAR:CALENDAR=US&amp;VAR:SYMBOL=RAI&amp;VAR:INDEX=0"}</definedName>
    <definedName name="_2251__FDSAUDITLINK__" hidden="1">{"fdsup://directions/FAT Viewer?action=UPDATE&amp;creator=factset&amp;DYN_ARGS=TRUE&amp;DOC_NAME=FAT:FQL_AUDITING_CLIENT_TEMPLATE.FAT&amp;display_string=Audit&amp;VAR:KEY=QFOPGNQLMN&amp;VAR:QUERY=RkZfRElWX1lMRChBTk4sNC8xNi8wOCw0LzE2LzA4KQ==&amp;WINDOW=FIRST_POPUP&amp;HEIGHT=450&amp;WIDTH=450&amp;","START_MAXIMIZED=FALSE&amp;VAR:CALENDAR=US&amp;VAR:SYMBOL=RAI&amp;VAR:INDEX=0"}</definedName>
    <definedName name="_2252__FDSAUDITLINK__" localSheetId="0" hidden="1">{"fdsup://directions/FAT Viewer?action=UPDATE&amp;creator=factset&amp;DYN_ARGS=TRUE&amp;DOC_NAME=FAT:FQL_AUDITING_CLIENT_TEMPLATE.FAT&amp;display_string=Audit&amp;VAR:KEY=KBSJOTOXYF&amp;VAR:QUERY=RkZfRElWX1lMRChBTk4sNC8wOS8wOCw0LzA5LzA4KQ==&amp;WINDOW=FIRST_POPUP&amp;HEIGHT=450&amp;WIDTH=450&amp;","START_MAXIMIZED=FALSE&amp;VAR:CALENDAR=US&amp;VAR:SYMBOL=RAI&amp;VAR:INDEX=0"}</definedName>
    <definedName name="_2252__FDSAUDITLINK__" hidden="1">{"fdsup://directions/FAT Viewer?action=UPDATE&amp;creator=factset&amp;DYN_ARGS=TRUE&amp;DOC_NAME=FAT:FQL_AUDITING_CLIENT_TEMPLATE.FAT&amp;display_string=Audit&amp;VAR:KEY=KBSJOTOXYF&amp;VAR:QUERY=RkZfRElWX1lMRChBTk4sNC8wOS8wOCw0LzA5LzA4KQ==&amp;WINDOW=FIRST_POPUP&amp;HEIGHT=450&amp;WIDTH=450&amp;","START_MAXIMIZED=FALSE&amp;VAR:CALENDAR=US&amp;VAR:SYMBOL=RAI&amp;VAR:INDEX=0"}</definedName>
    <definedName name="_2253__FDSAUDITLINK__" localSheetId="0" hidden="1">{"fdsup://directions/FAT Viewer?action=UPDATE&amp;creator=factset&amp;DYN_ARGS=TRUE&amp;DOC_NAME=FAT:FQL_AUDITING_CLIENT_TEMPLATE.FAT&amp;display_string=Audit&amp;VAR:KEY=SHYBETWVEP&amp;VAR:QUERY=RkZfRElWX1lMRChBTk4sNC8wMi8wOCw0LzAyLzA4KQ==&amp;WINDOW=FIRST_POPUP&amp;HEIGHT=450&amp;WIDTH=450&amp;","START_MAXIMIZED=FALSE&amp;VAR:CALENDAR=US&amp;VAR:SYMBOL=RAI&amp;VAR:INDEX=0"}</definedName>
    <definedName name="_2253__FDSAUDITLINK__" hidden="1">{"fdsup://directions/FAT Viewer?action=UPDATE&amp;creator=factset&amp;DYN_ARGS=TRUE&amp;DOC_NAME=FAT:FQL_AUDITING_CLIENT_TEMPLATE.FAT&amp;display_string=Audit&amp;VAR:KEY=SHYBETWVEP&amp;VAR:QUERY=RkZfRElWX1lMRChBTk4sNC8wMi8wOCw0LzAyLzA4KQ==&amp;WINDOW=FIRST_POPUP&amp;HEIGHT=450&amp;WIDTH=450&amp;","START_MAXIMIZED=FALSE&amp;VAR:CALENDAR=US&amp;VAR:SYMBOL=RAI&amp;VAR:INDEX=0"}</definedName>
    <definedName name="_2254__FDSAUDITLINK__" localSheetId="0" hidden="1">{"fdsup://directions/FAT Viewer?action=UPDATE&amp;creator=factset&amp;DYN_ARGS=TRUE&amp;DOC_NAME=FAT:FQL_AUDITING_CLIENT_TEMPLATE.FAT&amp;display_string=Audit&amp;VAR:KEY=UPYBCTENMB&amp;VAR:QUERY=RkZfRElWX1lMRChBTk4sMy8yNi8wOCwzLzI2LzA4KQ==&amp;WINDOW=FIRST_POPUP&amp;HEIGHT=450&amp;WIDTH=450&amp;","START_MAXIMIZED=FALSE&amp;VAR:CALENDAR=US&amp;VAR:SYMBOL=RAI&amp;VAR:INDEX=0"}</definedName>
    <definedName name="_2254__FDSAUDITLINK__" hidden="1">{"fdsup://directions/FAT Viewer?action=UPDATE&amp;creator=factset&amp;DYN_ARGS=TRUE&amp;DOC_NAME=FAT:FQL_AUDITING_CLIENT_TEMPLATE.FAT&amp;display_string=Audit&amp;VAR:KEY=UPYBCTENMB&amp;VAR:QUERY=RkZfRElWX1lMRChBTk4sMy8yNi8wOCwzLzI2LzA4KQ==&amp;WINDOW=FIRST_POPUP&amp;HEIGHT=450&amp;WIDTH=450&amp;","START_MAXIMIZED=FALSE&amp;VAR:CALENDAR=US&amp;VAR:SYMBOL=RAI&amp;VAR:INDEX=0"}</definedName>
    <definedName name="_2255__FDSAUDITLINK__" localSheetId="0" hidden="1">{"fdsup://directions/FAT Viewer?action=UPDATE&amp;creator=factset&amp;DYN_ARGS=TRUE&amp;DOC_NAME=FAT:FQL_AUDITING_CLIENT_TEMPLATE.FAT&amp;display_string=Audit&amp;VAR:KEY=EHSHGZUVMX&amp;VAR:QUERY=RkZfRElWX1lMRChBTk4sMy8xOS8wOCwzLzE5LzA4KQ==&amp;WINDOW=FIRST_POPUP&amp;HEIGHT=450&amp;WIDTH=450&amp;","START_MAXIMIZED=FALSE&amp;VAR:CALENDAR=US&amp;VAR:SYMBOL=RAI&amp;VAR:INDEX=0"}</definedName>
    <definedName name="_2255__FDSAUDITLINK__" hidden="1">{"fdsup://directions/FAT Viewer?action=UPDATE&amp;creator=factset&amp;DYN_ARGS=TRUE&amp;DOC_NAME=FAT:FQL_AUDITING_CLIENT_TEMPLATE.FAT&amp;display_string=Audit&amp;VAR:KEY=EHSHGZUVMX&amp;VAR:QUERY=RkZfRElWX1lMRChBTk4sMy8xOS8wOCwzLzE5LzA4KQ==&amp;WINDOW=FIRST_POPUP&amp;HEIGHT=450&amp;WIDTH=450&amp;","START_MAXIMIZED=FALSE&amp;VAR:CALENDAR=US&amp;VAR:SYMBOL=RAI&amp;VAR:INDEX=0"}</definedName>
    <definedName name="_2256">#REF!</definedName>
    <definedName name="_2256__FDSAUDITLINK__" localSheetId="0" hidden="1">{"fdsup://directions/FAT Viewer?action=UPDATE&amp;creator=factset&amp;DYN_ARGS=TRUE&amp;DOC_NAME=FAT:FQL_AUDITING_CLIENT_TEMPLATE.FAT&amp;display_string=Audit&amp;VAR:KEY=ENQZENSJUP&amp;VAR:QUERY=RkZfRElWX1lMRChBTk4sMy8xMi8wOCwzLzEyLzA4KQ==&amp;WINDOW=FIRST_POPUP&amp;HEIGHT=450&amp;WIDTH=450&amp;","START_MAXIMIZED=FALSE&amp;VAR:CALENDAR=US&amp;VAR:SYMBOL=RAI&amp;VAR:INDEX=0"}</definedName>
    <definedName name="_2256__FDSAUDITLINK__" hidden="1">{"fdsup://directions/FAT Viewer?action=UPDATE&amp;creator=factset&amp;DYN_ARGS=TRUE&amp;DOC_NAME=FAT:FQL_AUDITING_CLIENT_TEMPLATE.FAT&amp;display_string=Audit&amp;VAR:KEY=ENQZENSJUP&amp;VAR:QUERY=RkZfRElWX1lMRChBTk4sMy8xMi8wOCwzLzEyLzA4KQ==&amp;WINDOW=FIRST_POPUP&amp;HEIGHT=450&amp;WIDTH=450&amp;","START_MAXIMIZED=FALSE&amp;VAR:CALENDAR=US&amp;VAR:SYMBOL=RAI&amp;VAR:INDEX=0"}</definedName>
    <definedName name="_2257__FDSAUDITLINK__" localSheetId="0" hidden="1">{"fdsup://directions/FAT Viewer?action=UPDATE&amp;creator=factset&amp;DYN_ARGS=TRUE&amp;DOC_NAME=FAT:FQL_AUDITING_CLIENT_TEMPLATE.FAT&amp;display_string=Audit&amp;VAR:KEY=OHCDGJGHSR&amp;VAR:QUERY=RkZfRElWX1lMRChBTk4sMy8wNS8wOCwzLzA1LzA4KQ==&amp;WINDOW=FIRST_POPUP&amp;HEIGHT=450&amp;WIDTH=450&amp;","START_MAXIMIZED=FALSE&amp;VAR:CALENDAR=US&amp;VAR:SYMBOL=RAI&amp;VAR:INDEX=0"}</definedName>
    <definedName name="_2257__FDSAUDITLINK__" hidden="1">{"fdsup://directions/FAT Viewer?action=UPDATE&amp;creator=factset&amp;DYN_ARGS=TRUE&amp;DOC_NAME=FAT:FQL_AUDITING_CLIENT_TEMPLATE.FAT&amp;display_string=Audit&amp;VAR:KEY=OHCDGJGHSR&amp;VAR:QUERY=RkZfRElWX1lMRChBTk4sMy8wNS8wOCwzLzA1LzA4KQ==&amp;WINDOW=FIRST_POPUP&amp;HEIGHT=450&amp;WIDTH=450&amp;","START_MAXIMIZED=FALSE&amp;VAR:CALENDAR=US&amp;VAR:SYMBOL=RAI&amp;VAR:INDEX=0"}</definedName>
    <definedName name="_2258__FDSAUDITLINK__" localSheetId="0" hidden="1">{"fdsup://directions/FAT Viewer?action=UPDATE&amp;creator=factset&amp;DYN_ARGS=TRUE&amp;DOC_NAME=FAT:FQL_AUDITING_CLIENT_TEMPLATE.FAT&amp;display_string=Audit&amp;VAR:KEY=WBSRIXKPWZ&amp;VAR:QUERY=RkZfRElWX1lMRChBTk4sMi8yNy8wOCwyLzI3LzA4KQ==&amp;WINDOW=FIRST_POPUP&amp;HEIGHT=450&amp;WIDTH=450&amp;","START_MAXIMIZED=FALSE&amp;VAR:CALENDAR=US&amp;VAR:SYMBOL=RAI&amp;VAR:INDEX=0"}</definedName>
    <definedName name="_2258__FDSAUDITLINK__" hidden="1">{"fdsup://directions/FAT Viewer?action=UPDATE&amp;creator=factset&amp;DYN_ARGS=TRUE&amp;DOC_NAME=FAT:FQL_AUDITING_CLIENT_TEMPLATE.FAT&amp;display_string=Audit&amp;VAR:KEY=WBSRIXKPWZ&amp;VAR:QUERY=RkZfRElWX1lMRChBTk4sMi8yNy8wOCwyLzI3LzA4KQ==&amp;WINDOW=FIRST_POPUP&amp;HEIGHT=450&amp;WIDTH=450&amp;","START_MAXIMIZED=FALSE&amp;VAR:CALENDAR=US&amp;VAR:SYMBOL=RAI&amp;VAR:INDEX=0"}</definedName>
    <definedName name="_2259__FDSAUDITLINK__" localSheetId="0" hidden="1">{"fdsup://directions/FAT Viewer?action=UPDATE&amp;creator=factset&amp;DYN_ARGS=TRUE&amp;DOC_NAME=FAT:FQL_AUDITING_CLIENT_TEMPLATE.FAT&amp;display_string=Audit&amp;VAR:KEY=OJIHKHWTOF&amp;VAR:QUERY=RkZfRElWX1lMRChBTk4sMi8yMC8wOCwyLzIwLzA4KQ==&amp;WINDOW=FIRST_POPUP&amp;HEIGHT=450&amp;WIDTH=450&amp;","START_MAXIMIZED=FALSE&amp;VAR:CALENDAR=US&amp;VAR:SYMBOL=RAI&amp;VAR:INDEX=0"}</definedName>
    <definedName name="_2259__FDSAUDITLINK__" hidden="1">{"fdsup://directions/FAT Viewer?action=UPDATE&amp;creator=factset&amp;DYN_ARGS=TRUE&amp;DOC_NAME=FAT:FQL_AUDITING_CLIENT_TEMPLATE.FAT&amp;display_string=Audit&amp;VAR:KEY=OJIHKHWTOF&amp;VAR:QUERY=RkZfRElWX1lMRChBTk4sMi8yMC8wOCwyLzIwLzA4KQ==&amp;WINDOW=FIRST_POPUP&amp;HEIGHT=450&amp;WIDTH=450&amp;","START_MAXIMIZED=FALSE&amp;VAR:CALENDAR=US&amp;VAR:SYMBOL=RAI&amp;VAR:INDEX=0"}</definedName>
    <definedName name="_226">#REF!</definedName>
    <definedName name="_226__FDSAUDITLINK__" localSheetId="0" hidden="1">{"fdsup://directions/FAT Viewer?action=UPDATE&amp;creator=factset&amp;DYN_ARGS=TRUE&amp;DOC_NAME=FAT:FQL_AUDITING_CLIENT_TEMPLATE.FAT&amp;display_string=Audit&amp;VAR:KEY=LCHCTMVKTA&amp;VAR:QUERY=RkZfRElWX1lMRChBTk4sMTIvMDcvMDYsMTIvMDcvMDYp&amp;WINDOW=FIRST_POPUP&amp;HEIGHT=450&amp;WIDTH=450&amp;","START_MAXIMIZED=FALSE&amp;VAR:CALENDAR=US&amp;VAR:SYMBOL=RAI&amp;VAR:INDEX=0"}</definedName>
    <definedName name="_226__FDSAUDITLINK__" hidden="1">{"fdsup://directions/FAT Viewer?action=UPDATE&amp;creator=factset&amp;DYN_ARGS=TRUE&amp;DOC_NAME=FAT:FQL_AUDITING_CLIENT_TEMPLATE.FAT&amp;display_string=Audit&amp;VAR:KEY=LCHCTMVKTA&amp;VAR:QUERY=RkZfRElWX1lMRChBTk4sMTIvMDcvMDYsMTIvMDcvMDYp&amp;WINDOW=FIRST_POPUP&amp;HEIGHT=450&amp;WIDTH=450&amp;","START_MAXIMIZED=FALSE&amp;VAR:CALENDAR=US&amp;VAR:SYMBOL=RAI&amp;VAR:INDEX=0"}</definedName>
    <definedName name="_2260__FDSAUDITLINK__" localSheetId="0" hidden="1">{"fdsup://directions/FAT Viewer?action=UPDATE&amp;creator=factset&amp;DYN_ARGS=TRUE&amp;DOC_NAME=FAT:FQL_AUDITING_CLIENT_TEMPLATE.FAT&amp;display_string=Audit&amp;VAR:KEY=EJCZQRUVSD&amp;VAR:QUERY=RkZfRElWX1lMRChBTk4sMi8xMy8wOCwyLzEzLzA4KQ==&amp;WINDOW=FIRST_POPUP&amp;HEIGHT=450&amp;WIDTH=450&amp;","START_MAXIMIZED=FALSE&amp;VAR:CALENDAR=US&amp;VAR:SYMBOL=RAI&amp;VAR:INDEX=0"}</definedName>
    <definedName name="_2260__FDSAUDITLINK__" hidden="1">{"fdsup://directions/FAT Viewer?action=UPDATE&amp;creator=factset&amp;DYN_ARGS=TRUE&amp;DOC_NAME=FAT:FQL_AUDITING_CLIENT_TEMPLATE.FAT&amp;display_string=Audit&amp;VAR:KEY=EJCZQRUVSD&amp;VAR:QUERY=RkZfRElWX1lMRChBTk4sMi8xMy8wOCwyLzEzLzA4KQ==&amp;WINDOW=FIRST_POPUP&amp;HEIGHT=450&amp;WIDTH=450&amp;","START_MAXIMIZED=FALSE&amp;VAR:CALENDAR=US&amp;VAR:SYMBOL=RAI&amp;VAR:INDEX=0"}</definedName>
    <definedName name="_2261">#REF!</definedName>
    <definedName name="_2261__FDSAUDITLINK__" localSheetId="0" hidden="1">{"fdsup://directions/FAT Viewer?action=UPDATE&amp;creator=factset&amp;DYN_ARGS=TRUE&amp;DOC_NAME=FAT:FQL_AUDITING_CLIENT_TEMPLATE.FAT&amp;display_string=Audit&amp;VAR:KEY=YVCBODGTQF&amp;VAR:QUERY=RkZfRElWX1lMRChBTk4sMi8wNi8wOCwyLzA2LzA4KQ==&amp;WINDOW=FIRST_POPUP&amp;HEIGHT=450&amp;WIDTH=450&amp;","START_MAXIMIZED=FALSE&amp;VAR:CALENDAR=US&amp;VAR:SYMBOL=RAI&amp;VAR:INDEX=0"}</definedName>
    <definedName name="_2261__FDSAUDITLINK__" hidden="1">{"fdsup://directions/FAT Viewer?action=UPDATE&amp;creator=factset&amp;DYN_ARGS=TRUE&amp;DOC_NAME=FAT:FQL_AUDITING_CLIENT_TEMPLATE.FAT&amp;display_string=Audit&amp;VAR:KEY=YVCBODGTQF&amp;VAR:QUERY=RkZfRElWX1lMRChBTk4sMi8wNi8wOCwyLzA2LzA4KQ==&amp;WINDOW=FIRST_POPUP&amp;HEIGHT=450&amp;WIDTH=450&amp;","START_MAXIMIZED=FALSE&amp;VAR:CALENDAR=US&amp;VAR:SYMBOL=RAI&amp;VAR:INDEX=0"}</definedName>
    <definedName name="_2262__FDSAUDITLINK__" localSheetId="0" hidden="1">{"fdsup://directions/FAT Viewer?action=UPDATE&amp;creator=factset&amp;DYN_ARGS=TRUE&amp;DOC_NAME=FAT:FQL_AUDITING_CLIENT_TEMPLATE.FAT&amp;display_string=Audit&amp;VAR:KEY=CPUTIRKXOD&amp;VAR:QUERY=RkZfRElWX1lMRChBTk4sMS8zMC8wOCwxLzMwLzA4KQ==&amp;WINDOW=FIRST_POPUP&amp;HEIGHT=450&amp;WIDTH=450&amp;","START_MAXIMIZED=FALSE&amp;VAR:CALENDAR=US&amp;VAR:SYMBOL=RAI&amp;VAR:INDEX=0"}</definedName>
    <definedName name="_2262__FDSAUDITLINK__" hidden="1">{"fdsup://directions/FAT Viewer?action=UPDATE&amp;creator=factset&amp;DYN_ARGS=TRUE&amp;DOC_NAME=FAT:FQL_AUDITING_CLIENT_TEMPLATE.FAT&amp;display_string=Audit&amp;VAR:KEY=CPUTIRKXOD&amp;VAR:QUERY=RkZfRElWX1lMRChBTk4sMS8zMC8wOCwxLzMwLzA4KQ==&amp;WINDOW=FIRST_POPUP&amp;HEIGHT=450&amp;WIDTH=450&amp;","START_MAXIMIZED=FALSE&amp;VAR:CALENDAR=US&amp;VAR:SYMBOL=RAI&amp;VAR:INDEX=0"}</definedName>
    <definedName name="_2263__FDSAUDITLINK__" localSheetId="0" hidden="1">{"fdsup://directions/FAT Viewer?action=UPDATE&amp;creator=factset&amp;DYN_ARGS=TRUE&amp;DOC_NAME=FAT:FQL_AUDITING_CLIENT_TEMPLATE.FAT&amp;display_string=Audit&amp;VAR:KEY=CRAXWVSVIR&amp;VAR:QUERY=RkZfRElWX1lMRChBTk4sMS8yMy8wOCwxLzIzLzA4KQ==&amp;WINDOW=FIRST_POPUP&amp;HEIGHT=450&amp;WIDTH=450&amp;","START_MAXIMIZED=FALSE&amp;VAR:CALENDAR=US&amp;VAR:SYMBOL=RAI&amp;VAR:INDEX=0"}</definedName>
    <definedName name="_2263__FDSAUDITLINK__" hidden="1">{"fdsup://directions/FAT Viewer?action=UPDATE&amp;creator=factset&amp;DYN_ARGS=TRUE&amp;DOC_NAME=FAT:FQL_AUDITING_CLIENT_TEMPLATE.FAT&amp;display_string=Audit&amp;VAR:KEY=CRAXWVSVIR&amp;VAR:QUERY=RkZfRElWX1lMRChBTk4sMS8yMy8wOCwxLzIzLzA4KQ==&amp;WINDOW=FIRST_POPUP&amp;HEIGHT=450&amp;WIDTH=450&amp;","START_MAXIMIZED=FALSE&amp;VAR:CALENDAR=US&amp;VAR:SYMBOL=RAI&amp;VAR:INDEX=0"}</definedName>
    <definedName name="_2264__FDSAUDITLINK__" localSheetId="0" hidden="1">{"fdsup://directions/FAT Viewer?action=UPDATE&amp;creator=factset&amp;DYN_ARGS=TRUE&amp;DOC_NAME=FAT:FQL_AUDITING_CLIENT_TEMPLATE.FAT&amp;display_string=Audit&amp;VAR:KEY=SFSXQXYDSD&amp;VAR:QUERY=RkZfRElWX1lMRChBTk4sMS8xNi8wOCwxLzE2LzA4KQ==&amp;WINDOW=FIRST_POPUP&amp;HEIGHT=450&amp;WIDTH=450&amp;","START_MAXIMIZED=FALSE&amp;VAR:CALENDAR=US&amp;VAR:SYMBOL=RAI&amp;VAR:INDEX=0"}</definedName>
    <definedName name="_2264__FDSAUDITLINK__" hidden="1">{"fdsup://directions/FAT Viewer?action=UPDATE&amp;creator=factset&amp;DYN_ARGS=TRUE&amp;DOC_NAME=FAT:FQL_AUDITING_CLIENT_TEMPLATE.FAT&amp;display_string=Audit&amp;VAR:KEY=SFSXQXYDSD&amp;VAR:QUERY=RkZfRElWX1lMRChBTk4sMS8xNi8wOCwxLzE2LzA4KQ==&amp;WINDOW=FIRST_POPUP&amp;HEIGHT=450&amp;WIDTH=450&amp;","START_MAXIMIZED=FALSE&amp;VAR:CALENDAR=US&amp;VAR:SYMBOL=RAI&amp;VAR:INDEX=0"}</definedName>
    <definedName name="_2265__FDSAUDITLINK__" localSheetId="0" hidden="1">{"fdsup://directions/FAT Viewer?action=UPDATE&amp;creator=factset&amp;DYN_ARGS=TRUE&amp;DOC_NAME=FAT:FQL_AUDITING_CLIENT_TEMPLATE.FAT&amp;display_string=Audit&amp;VAR:KEY=YRYFOPEPAP&amp;VAR:QUERY=RkZfRElWX1lMRChBTk4sMS8wOS8wOCwxLzA5LzA4KQ==&amp;WINDOW=FIRST_POPUP&amp;HEIGHT=450&amp;WIDTH=450&amp;","START_MAXIMIZED=FALSE&amp;VAR:CALENDAR=US&amp;VAR:SYMBOL=RAI&amp;VAR:INDEX=0"}</definedName>
    <definedName name="_2265__FDSAUDITLINK__" hidden="1">{"fdsup://directions/FAT Viewer?action=UPDATE&amp;creator=factset&amp;DYN_ARGS=TRUE&amp;DOC_NAME=FAT:FQL_AUDITING_CLIENT_TEMPLATE.FAT&amp;display_string=Audit&amp;VAR:KEY=YRYFOPEPAP&amp;VAR:QUERY=RkZfRElWX1lMRChBTk4sMS8wOS8wOCwxLzA5LzA4KQ==&amp;WINDOW=FIRST_POPUP&amp;HEIGHT=450&amp;WIDTH=450&amp;","START_MAXIMIZED=FALSE&amp;VAR:CALENDAR=US&amp;VAR:SYMBOL=RAI&amp;VAR:INDEX=0"}</definedName>
    <definedName name="_2266__FDSAUDITLINK__" localSheetId="0" hidden="1">{"fdsup://directions/FAT Viewer?action=UPDATE&amp;creator=factset&amp;DYN_ARGS=TRUE&amp;DOC_NAME=FAT:FQL_AUDITING_CLIENT_TEMPLATE.FAT&amp;display_string=Audit&amp;VAR:KEY=GBORIPMRMF&amp;VAR:QUERY=RkZfRElWX1lMRChBTk4sMS8wMi8wOCwxLzAyLzA4KQ==&amp;WINDOW=FIRST_POPUP&amp;HEIGHT=450&amp;WIDTH=450&amp;","START_MAXIMIZED=FALSE&amp;VAR:CALENDAR=US&amp;VAR:SYMBOL=RAI&amp;VAR:INDEX=0"}</definedName>
    <definedName name="_2266__FDSAUDITLINK__" hidden="1">{"fdsup://directions/FAT Viewer?action=UPDATE&amp;creator=factset&amp;DYN_ARGS=TRUE&amp;DOC_NAME=FAT:FQL_AUDITING_CLIENT_TEMPLATE.FAT&amp;display_string=Audit&amp;VAR:KEY=GBORIPMRMF&amp;VAR:QUERY=RkZfRElWX1lMRChBTk4sMS8wMi8wOCwxLzAyLzA4KQ==&amp;WINDOW=FIRST_POPUP&amp;HEIGHT=450&amp;WIDTH=450&amp;","START_MAXIMIZED=FALSE&amp;VAR:CALENDAR=US&amp;VAR:SYMBOL=RAI&amp;VAR:INDEX=0"}</definedName>
    <definedName name="_2267__FDSAUDITLINK__" localSheetId="0" hidden="1">{"fdsup://directions/FAT Viewer?action=UPDATE&amp;creator=factset&amp;DYN_ARGS=TRUE&amp;DOC_NAME=FAT:FQL_AUDITING_CLIENT_TEMPLATE.FAT&amp;display_string=Audit&amp;VAR:KEY=GREDYBAJMN&amp;VAR:QUERY=RkZfRElWX1lMRChBTk4sMTIvMjYvMDcsMTIvMjYvMDcp&amp;WINDOW=FIRST_POPUP&amp;HEIGHT=450&amp;WIDTH=450&amp;","START_MAXIMIZED=FALSE&amp;VAR:CALENDAR=US&amp;VAR:SYMBOL=RAI&amp;VAR:INDEX=0"}</definedName>
    <definedName name="_2267__FDSAUDITLINK__" hidden="1">{"fdsup://directions/FAT Viewer?action=UPDATE&amp;creator=factset&amp;DYN_ARGS=TRUE&amp;DOC_NAME=FAT:FQL_AUDITING_CLIENT_TEMPLATE.FAT&amp;display_string=Audit&amp;VAR:KEY=GREDYBAJMN&amp;VAR:QUERY=RkZfRElWX1lMRChBTk4sMTIvMjYvMDcsMTIvMjYvMDcp&amp;WINDOW=FIRST_POPUP&amp;HEIGHT=450&amp;WIDTH=450&amp;","START_MAXIMIZED=FALSE&amp;VAR:CALENDAR=US&amp;VAR:SYMBOL=RAI&amp;VAR:INDEX=0"}</definedName>
    <definedName name="_2268__FDSAUDITLINK__" localSheetId="0" hidden="1">{"fdsup://directions/FAT Viewer?action=UPDATE&amp;creator=factset&amp;DYN_ARGS=TRUE&amp;DOC_NAME=FAT:FQL_AUDITING_CLIENT_TEMPLATE.FAT&amp;display_string=Audit&amp;VAR:KEY=CLUHUXWLCN&amp;VAR:QUERY=RkZfRElWX1lMRChBTk4sMTIvMTkvMDcsMTIvMTkvMDcp&amp;WINDOW=FIRST_POPUP&amp;HEIGHT=450&amp;WIDTH=450&amp;","START_MAXIMIZED=FALSE&amp;VAR:CALENDAR=US&amp;VAR:SYMBOL=RAI&amp;VAR:INDEX=0"}</definedName>
    <definedName name="_2268__FDSAUDITLINK__" hidden="1">{"fdsup://directions/FAT Viewer?action=UPDATE&amp;creator=factset&amp;DYN_ARGS=TRUE&amp;DOC_NAME=FAT:FQL_AUDITING_CLIENT_TEMPLATE.FAT&amp;display_string=Audit&amp;VAR:KEY=CLUHUXWLCN&amp;VAR:QUERY=RkZfRElWX1lMRChBTk4sMTIvMTkvMDcsMTIvMTkvMDcp&amp;WINDOW=FIRST_POPUP&amp;HEIGHT=450&amp;WIDTH=450&amp;","START_MAXIMIZED=FALSE&amp;VAR:CALENDAR=US&amp;VAR:SYMBOL=RAI&amp;VAR:INDEX=0"}</definedName>
    <definedName name="_2269">#REF!</definedName>
    <definedName name="_2269__FDSAUDITLINK__" localSheetId="0" hidden="1">{"fdsup://directions/FAT Viewer?action=UPDATE&amp;creator=factset&amp;DYN_ARGS=TRUE&amp;DOC_NAME=FAT:FQL_AUDITING_CLIENT_TEMPLATE.FAT&amp;display_string=Audit&amp;VAR:KEY=QXOJSXARAB&amp;VAR:QUERY=RkZfRElWX1lMRChBTk4sMTIvMTIvMDcsMTIvMTIvMDcp&amp;WINDOW=FIRST_POPUP&amp;HEIGHT=450&amp;WIDTH=450&amp;","START_MAXIMIZED=FALSE&amp;VAR:CALENDAR=US&amp;VAR:SYMBOL=RAI&amp;VAR:INDEX=0"}</definedName>
    <definedName name="_2269__FDSAUDITLINK__" hidden="1">{"fdsup://directions/FAT Viewer?action=UPDATE&amp;creator=factset&amp;DYN_ARGS=TRUE&amp;DOC_NAME=FAT:FQL_AUDITING_CLIENT_TEMPLATE.FAT&amp;display_string=Audit&amp;VAR:KEY=QXOJSXARAB&amp;VAR:QUERY=RkZfRElWX1lMRChBTk4sMTIvMTIvMDcsMTIvMTIvMDcp&amp;WINDOW=FIRST_POPUP&amp;HEIGHT=450&amp;WIDTH=450&amp;","START_MAXIMIZED=FALSE&amp;VAR:CALENDAR=US&amp;VAR:SYMBOL=RAI&amp;VAR:INDEX=0"}</definedName>
    <definedName name="_227">#REF!</definedName>
    <definedName name="_227__FDSAUDITLINK__" localSheetId="0" hidden="1">{"fdsup://directions/FAT Viewer?action=UPDATE&amp;creator=factset&amp;DYN_ARGS=TRUE&amp;DOC_NAME=FAT:FQL_AUDITING_CLIENT_TEMPLATE.FAT&amp;display_string=Audit&amp;VAR:KEY=XUJSNETYZE&amp;VAR:QUERY=RkZfRElWX1lMRChBTk4sMTEvMzAvMDYsMTEvMzAvMDYp&amp;WINDOW=FIRST_POPUP&amp;HEIGHT=450&amp;WIDTH=450&amp;","START_MAXIMIZED=FALSE&amp;VAR:CALENDAR=US&amp;VAR:SYMBOL=RAI&amp;VAR:INDEX=0"}</definedName>
    <definedName name="_227__FDSAUDITLINK__" hidden="1">{"fdsup://directions/FAT Viewer?action=UPDATE&amp;creator=factset&amp;DYN_ARGS=TRUE&amp;DOC_NAME=FAT:FQL_AUDITING_CLIENT_TEMPLATE.FAT&amp;display_string=Audit&amp;VAR:KEY=XUJSNETYZE&amp;VAR:QUERY=RkZfRElWX1lMRChBTk4sMTEvMzAvMDYsMTEvMzAvMDYp&amp;WINDOW=FIRST_POPUP&amp;HEIGHT=450&amp;WIDTH=450&amp;","START_MAXIMIZED=FALSE&amp;VAR:CALENDAR=US&amp;VAR:SYMBOL=RAI&amp;VAR:INDEX=0"}</definedName>
    <definedName name="_2270__FDSAUDITLINK__" localSheetId="0" hidden="1">{"fdsup://directions/FAT Viewer?action=UPDATE&amp;creator=factset&amp;DYN_ARGS=TRUE&amp;DOC_NAME=FAT:FQL_AUDITING_CLIENT_TEMPLATE.FAT&amp;display_string=Audit&amp;VAR:KEY=YBOBQVUTAH&amp;VAR:QUERY=RkZfRElWX1lMRChBTk4sMTIvMDUvMDcsMTIvMDUvMDcp&amp;WINDOW=FIRST_POPUP&amp;HEIGHT=450&amp;WIDTH=450&amp;","START_MAXIMIZED=FALSE&amp;VAR:CALENDAR=US&amp;VAR:SYMBOL=RAI&amp;VAR:INDEX=0"}</definedName>
    <definedName name="_2270__FDSAUDITLINK__" hidden="1">{"fdsup://directions/FAT Viewer?action=UPDATE&amp;creator=factset&amp;DYN_ARGS=TRUE&amp;DOC_NAME=FAT:FQL_AUDITING_CLIENT_TEMPLATE.FAT&amp;display_string=Audit&amp;VAR:KEY=YBOBQVUTAH&amp;VAR:QUERY=RkZfRElWX1lMRChBTk4sMTIvMDUvMDcsMTIvMDUvMDcp&amp;WINDOW=FIRST_POPUP&amp;HEIGHT=450&amp;WIDTH=450&amp;","START_MAXIMIZED=FALSE&amp;VAR:CALENDAR=US&amp;VAR:SYMBOL=RAI&amp;VAR:INDEX=0"}</definedName>
    <definedName name="_2271__FDSAUDITLINK__" localSheetId="0" hidden="1">{"fdsup://directions/FAT Viewer?action=UPDATE&amp;creator=factset&amp;DYN_ARGS=TRUE&amp;DOC_NAME=FAT:FQL_AUDITING_CLIENT_TEMPLATE.FAT&amp;display_string=Audit&amp;VAR:KEY=KLWLSLABGN&amp;VAR:QUERY=RkZfRElWX1lMRChBTk4sMTEvMjgvMDcsMTEvMjgvMDcp&amp;WINDOW=FIRST_POPUP&amp;HEIGHT=450&amp;WIDTH=450&amp;","START_MAXIMIZED=FALSE&amp;VAR:CALENDAR=US&amp;VAR:SYMBOL=RAI&amp;VAR:INDEX=0"}</definedName>
    <definedName name="_2271__FDSAUDITLINK__" hidden="1">{"fdsup://directions/FAT Viewer?action=UPDATE&amp;creator=factset&amp;DYN_ARGS=TRUE&amp;DOC_NAME=FAT:FQL_AUDITING_CLIENT_TEMPLATE.FAT&amp;display_string=Audit&amp;VAR:KEY=KLWLSLABGN&amp;VAR:QUERY=RkZfRElWX1lMRChBTk4sMTEvMjgvMDcsMTEvMjgvMDcp&amp;WINDOW=FIRST_POPUP&amp;HEIGHT=450&amp;WIDTH=450&amp;","START_MAXIMIZED=FALSE&amp;VAR:CALENDAR=US&amp;VAR:SYMBOL=RAI&amp;VAR:INDEX=0"}</definedName>
    <definedName name="_2272__FDSAUDITLINK__" localSheetId="0" hidden="1">{"fdsup://directions/FAT Viewer?action=UPDATE&amp;creator=factset&amp;DYN_ARGS=TRUE&amp;DOC_NAME=FAT:FQL_AUDITING_CLIENT_TEMPLATE.FAT&amp;display_string=Audit&amp;VAR:KEY=IDIVANUJOH&amp;VAR:QUERY=RkZfRElWX1lMRChBTk4sMTEvMjEvMDcsMTEvMjEvMDcp&amp;WINDOW=FIRST_POPUP&amp;HEIGHT=450&amp;WIDTH=450&amp;","START_MAXIMIZED=FALSE&amp;VAR:CALENDAR=US&amp;VAR:SYMBOL=RAI&amp;VAR:INDEX=0"}</definedName>
    <definedName name="_2272__FDSAUDITLINK__" hidden="1">{"fdsup://directions/FAT Viewer?action=UPDATE&amp;creator=factset&amp;DYN_ARGS=TRUE&amp;DOC_NAME=FAT:FQL_AUDITING_CLIENT_TEMPLATE.FAT&amp;display_string=Audit&amp;VAR:KEY=IDIVANUJOH&amp;VAR:QUERY=RkZfRElWX1lMRChBTk4sMTEvMjEvMDcsMTEvMjEvMDcp&amp;WINDOW=FIRST_POPUP&amp;HEIGHT=450&amp;WIDTH=450&amp;","START_MAXIMIZED=FALSE&amp;VAR:CALENDAR=US&amp;VAR:SYMBOL=RAI&amp;VAR:INDEX=0"}</definedName>
    <definedName name="_2273">#REF!</definedName>
    <definedName name="_2273__FDSAUDITLINK__" localSheetId="0" hidden="1">{"fdsup://directions/FAT Viewer?action=UPDATE&amp;creator=factset&amp;DYN_ARGS=TRUE&amp;DOC_NAME=FAT:FQL_AUDITING_CLIENT_TEMPLATE.FAT&amp;display_string=Audit&amp;VAR:KEY=CHYJSVKZWZ&amp;VAR:QUERY=RkZfRElWX1lMRChBTk4sMTEvMTQvMDcsMTEvMTQvMDcp&amp;WINDOW=FIRST_POPUP&amp;HEIGHT=450&amp;WIDTH=450&amp;","START_MAXIMIZED=FALSE&amp;VAR:CALENDAR=US&amp;VAR:SYMBOL=RAI&amp;VAR:INDEX=0"}</definedName>
    <definedName name="_2273__FDSAUDITLINK__" hidden="1">{"fdsup://directions/FAT Viewer?action=UPDATE&amp;creator=factset&amp;DYN_ARGS=TRUE&amp;DOC_NAME=FAT:FQL_AUDITING_CLIENT_TEMPLATE.FAT&amp;display_string=Audit&amp;VAR:KEY=CHYJSVKZWZ&amp;VAR:QUERY=RkZfRElWX1lMRChBTk4sMTEvMTQvMDcsMTEvMTQvMDcp&amp;WINDOW=FIRST_POPUP&amp;HEIGHT=450&amp;WIDTH=450&amp;","START_MAXIMIZED=FALSE&amp;VAR:CALENDAR=US&amp;VAR:SYMBOL=RAI&amp;VAR:INDEX=0"}</definedName>
    <definedName name="_2274__FDSAUDITLINK__" localSheetId="0" hidden="1">{"fdsup://directions/FAT Viewer?action=UPDATE&amp;creator=factset&amp;DYN_ARGS=TRUE&amp;DOC_NAME=FAT:FQL_AUDITING_CLIENT_TEMPLATE.FAT&amp;display_string=Audit&amp;VAR:KEY=UZMTWZCJCD&amp;VAR:QUERY=RkZfRElWX1lMRChBTk4sMTEvMDcvMDcsMTEvMDcvMDcp&amp;WINDOW=FIRST_POPUP&amp;HEIGHT=450&amp;WIDTH=450&amp;","START_MAXIMIZED=FALSE&amp;VAR:CALENDAR=US&amp;VAR:SYMBOL=RAI&amp;VAR:INDEX=0"}</definedName>
    <definedName name="_2274__FDSAUDITLINK__" hidden="1">{"fdsup://directions/FAT Viewer?action=UPDATE&amp;creator=factset&amp;DYN_ARGS=TRUE&amp;DOC_NAME=FAT:FQL_AUDITING_CLIENT_TEMPLATE.FAT&amp;display_string=Audit&amp;VAR:KEY=UZMTWZCJCD&amp;VAR:QUERY=RkZfRElWX1lMRChBTk4sMTEvMDcvMDcsMTEvMDcvMDcp&amp;WINDOW=FIRST_POPUP&amp;HEIGHT=450&amp;WIDTH=450&amp;","START_MAXIMIZED=FALSE&amp;VAR:CALENDAR=US&amp;VAR:SYMBOL=RAI&amp;VAR:INDEX=0"}</definedName>
    <definedName name="_2275__FDSAUDITLINK__" localSheetId="0" hidden="1">{"fdsup://directions/FAT Viewer?action=UPDATE&amp;creator=factset&amp;DYN_ARGS=TRUE&amp;DOC_NAME=FAT:FQL_AUDITING_CLIENT_TEMPLATE.FAT&amp;display_string=Audit&amp;VAR:KEY=IJGPSJCLIL&amp;VAR:QUERY=RkZfRElWX1lMRChBTk4sMTAvMzEvMDcsMTAvMzEvMDcp&amp;WINDOW=FIRST_POPUP&amp;HEIGHT=450&amp;WIDTH=450&amp;","START_MAXIMIZED=FALSE&amp;VAR:CALENDAR=US&amp;VAR:SYMBOL=RAI&amp;VAR:INDEX=0"}</definedName>
    <definedName name="_2275__FDSAUDITLINK__" hidden="1">{"fdsup://directions/FAT Viewer?action=UPDATE&amp;creator=factset&amp;DYN_ARGS=TRUE&amp;DOC_NAME=FAT:FQL_AUDITING_CLIENT_TEMPLATE.FAT&amp;display_string=Audit&amp;VAR:KEY=IJGPSJCLIL&amp;VAR:QUERY=RkZfRElWX1lMRChBTk4sMTAvMzEvMDcsMTAvMzEvMDcp&amp;WINDOW=FIRST_POPUP&amp;HEIGHT=450&amp;WIDTH=450&amp;","START_MAXIMIZED=FALSE&amp;VAR:CALENDAR=US&amp;VAR:SYMBOL=RAI&amp;VAR:INDEX=0"}</definedName>
    <definedName name="_2276__FDSAUDITLINK__" localSheetId="0" hidden="1">{"fdsup://directions/FAT Viewer?action=UPDATE&amp;creator=factset&amp;DYN_ARGS=TRUE&amp;DOC_NAME=FAT:FQL_AUDITING_CLIENT_TEMPLATE.FAT&amp;display_string=Audit&amp;VAR:KEY=OHIVKXSZSX&amp;VAR:QUERY=RkZfRElWX1lMRChBTk4sMTAvMjQvMDcsMTAvMjQvMDcp&amp;WINDOW=FIRST_POPUP&amp;HEIGHT=450&amp;WIDTH=450&amp;","START_MAXIMIZED=FALSE&amp;VAR:CALENDAR=US&amp;VAR:SYMBOL=RAI&amp;VAR:INDEX=0"}</definedName>
    <definedName name="_2276__FDSAUDITLINK__" hidden="1">{"fdsup://directions/FAT Viewer?action=UPDATE&amp;creator=factset&amp;DYN_ARGS=TRUE&amp;DOC_NAME=FAT:FQL_AUDITING_CLIENT_TEMPLATE.FAT&amp;display_string=Audit&amp;VAR:KEY=OHIVKXSZSX&amp;VAR:QUERY=RkZfRElWX1lMRChBTk4sMTAvMjQvMDcsMTAvMjQvMDcp&amp;WINDOW=FIRST_POPUP&amp;HEIGHT=450&amp;WIDTH=450&amp;","START_MAXIMIZED=FALSE&amp;VAR:CALENDAR=US&amp;VAR:SYMBOL=RAI&amp;VAR:INDEX=0"}</definedName>
    <definedName name="_2277__FDSAUDITLINK__" localSheetId="0" hidden="1">{"fdsup://directions/FAT Viewer?action=UPDATE&amp;creator=factset&amp;DYN_ARGS=TRUE&amp;DOC_NAME=FAT:FQL_AUDITING_CLIENT_TEMPLATE.FAT&amp;display_string=Audit&amp;VAR:KEY=ONMPMZUFMJ&amp;VAR:QUERY=RkZfRElWX1lMRChBTk4sMTAvMTcvMDcsMTAvMTcvMDcp&amp;WINDOW=FIRST_POPUP&amp;HEIGHT=450&amp;WIDTH=450&amp;","START_MAXIMIZED=FALSE&amp;VAR:CALENDAR=US&amp;VAR:SYMBOL=RAI&amp;VAR:INDEX=0"}</definedName>
    <definedName name="_2277__FDSAUDITLINK__" hidden="1">{"fdsup://directions/FAT Viewer?action=UPDATE&amp;creator=factset&amp;DYN_ARGS=TRUE&amp;DOC_NAME=FAT:FQL_AUDITING_CLIENT_TEMPLATE.FAT&amp;display_string=Audit&amp;VAR:KEY=ONMPMZUFMJ&amp;VAR:QUERY=RkZfRElWX1lMRChBTk4sMTAvMTcvMDcsMTAvMTcvMDcp&amp;WINDOW=FIRST_POPUP&amp;HEIGHT=450&amp;WIDTH=450&amp;","START_MAXIMIZED=FALSE&amp;VAR:CALENDAR=US&amp;VAR:SYMBOL=RAI&amp;VAR:INDEX=0"}</definedName>
    <definedName name="_2278">#REF!</definedName>
    <definedName name="_2278__FDSAUDITLINK__" localSheetId="0" hidden="1">{"fdsup://directions/FAT Viewer?action=UPDATE&amp;creator=factset&amp;DYN_ARGS=TRUE&amp;DOC_NAME=FAT:FQL_AUDITING_CLIENT_TEMPLATE.FAT&amp;display_string=Audit&amp;VAR:KEY=SFIDAZCBAT&amp;VAR:QUERY=RkZfRElWX1lMRChBTk4sMTAvMTAvMDcsMTAvMTAvMDcp&amp;WINDOW=FIRST_POPUP&amp;HEIGHT=450&amp;WIDTH=450&amp;","START_MAXIMIZED=FALSE&amp;VAR:CALENDAR=US&amp;VAR:SYMBOL=RAI&amp;VAR:INDEX=0"}</definedName>
    <definedName name="_2278__FDSAUDITLINK__" hidden="1">{"fdsup://directions/FAT Viewer?action=UPDATE&amp;creator=factset&amp;DYN_ARGS=TRUE&amp;DOC_NAME=FAT:FQL_AUDITING_CLIENT_TEMPLATE.FAT&amp;display_string=Audit&amp;VAR:KEY=SFIDAZCBAT&amp;VAR:QUERY=RkZfRElWX1lMRChBTk4sMTAvMTAvMDcsMTAvMTAvMDcp&amp;WINDOW=FIRST_POPUP&amp;HEIGHT=450&amp;WIDTH=450&amp;","START_MAXIMIZED=FALSE&amp;VAR:CALENDAR=US&amp;VAR:SYMBOL=RAI&amp;VAR:INDEX=0"}</definedName>
    <definedName name="_2279__FDSAUDITLINK__" localSheetId="0" hidden="1">{"fdsup://directions/FAT Viewer?action=UPDATE&amp;creator=factset&amp;DYN_ARGS=TRUE&amp;DOC_NAME=FAT:FQL_AUDITING_CLIENT_TEMPLATE.FAT&amp;display_string=Audit&amp;VAR:KEY=SRINAXOHWN&amp;VAR:QUERY=RkZfRElWX1lMRChBTk4sMTAvMDMvMDcsMTAvMDMvMDcp&amp;WINDOW=FIRST_POPUP&amp;HEIGHT=450&amp;WIDTH=450&amp;","START_MAXIMIZED=FALSE&amp;VAR:CALENDAR=US&amp;VAR:SYMBOL=RAI&amp;VAR:INDEX=0"}</definedName>
    <definedName name="_2279__FDSAUDITLINK__" hidden="1">{"fdsup://directions/FAT Viewer?action=UPDATE&amp;creator=factset&amp;DYN_ARGS=TRUE&amp;DOC_NAME=FAT:FQL_AUDITING_CLIENT_TEMPLATE.FAT&amp;display_string=Audit&amp;VAR:KEY=SRINAXOHWN&amp;VAR:QUERY=RkZfRElWX1lMRChBTk4sMTAvMDMvMDcsMTAvMDMvMDcp&amp;WINDOW=FIRST_POPUP&amp;HEIGHT=450&amp;WIDTH=450&amp;","START_MAXIMIZED=FALSE&amp;VAR:CALENDAR=US&amp;VAR:SYMBOL=RAI&amp;VAR:INDEX=0"}</definedName>
    <definedName name="_228">#REF!</definedName>
    <definedName name="_228__FDSAUDITLINK__" localSheetId="0" hidden="1">{"fdsup://directions/FAT Viewer?action=UPDATE&amp;creator=factset&amp;DYN_ARGS=TRUE&amp;DOC_NAME=FAT:FQL_AUDITING_CLIENT_TEMPLATE.FAT&amp;display_string=Audit&amp;VAR:KEY=XQPGNOZWRS&amp;VAR:QUERY=RkZfRElWX1lMRChBTk4sMTEvMjIvMDYsMTEvMjIvMDYp&amp;WINDOW=FIRST_POPUP&amp;HEIGHT=450&amp;WIDTH=450&amp;","START_MAXIMIZED=FALSE&amp;VAR:CALENDAR=US&amp;VAR:SYMBOL=RAI&amp;VAR:INDEX=0"}</definedName>
    <definedName name="_228__FDSAUDITLINK__" hidden="1">{"fdsup://directions/FAT Viewer?action=UPDATE&amp;creator=factset&amp;DYN_ARGS=TRUE&amp;DOC_NAME=FAT:FQL_AUDITING_CLIENT_TEMPLATE.FAT&amp;display_string=Audit&amp;VAR:KEY=XQPGNOZWRS&amp;VAR:QUERY=RkZfRElWX1lMRChBTk4sMTEvMjIvMDYsMTEvMjIvMDYp&amp;WINDOW=FIRST_POPUP&amp;HEIGHT=450&amp;WIDTH=450&amp;","START_MAXIMIZED=FALSE&amp;VAR:CALENDAR=US&amp;VAR:SYMBOL=RAI&amp;VAR:INDEX=0"}</definedName>
    <definedName name="_2280__FDSAUDITLINK__" localSheetId="0" hidden="1">{"fdsup://directions/FAT Viewer?action=UPDATE&amp;creator=factset&amp;DYN_ARGS=TRUE&amp;DOC_NAME=FAT:FQL_AUDITING_CLIENT_TEMPLATE.FAT&amp;display_string=Audit&amp;VAR:KEY=EBIJQHAXEF&amp;VAR:QUERY=RkZfRElWX1lMRChBTk4sOS8yNi8wNyw5LzI2LzA3KQ==&amp;WINDOW=FIRST_POPUP&amp;HEIGHT=450&amp;WIDTH=450&amp;","START_MAXIMIZED=FALSE&amp;VAR:CALENDAR=US&amp;VAR:SYMBOL=RAI&amp;VAR:INDEX=0"}</definedName>
    <definedName name="_2280__FDSAUDITLINK__" hidden="1">{"fdsup://directions/FAT Viewer?action=UPDATE&amp;creator=factset&amp;DYN_ARGS=TRUE&amp;DOC_NAME=FAT:FQL_AUDITING_CLIENT_TEMPLATE.FAT&amp;display_string=Audit&amp;VAR:KEY=EBIJQHAXEF&amp;VAR:QUERY=RkZfRElWX1lMRChBTk4sOS8yNi8wNyw5LzI2LzA3KQ==&amp;WINDOW=FIRST_POPUP&amp;HEIGHT=450&amp;WIDTH=450&amp;","START_MAXIMIZED=FALSE&amp;VAR:CALENDAR=US&amp;VAR:SYMBOL=RAI&amp;VAR:INDEX=0"}</definedName>
    <definedName name="_2281__FDSAUDITLINK__" localSheetId="0" hidden="1">{"fdsup://directions/FAT Viewer?action=UPDATE&amp;creator=factset&amp;DYN_ARGS=TRUE&amp;DOC_NAME=FAT:FQL_AUDITING_CLIENT_TEMPLATE.FAT&amp;display_string=Audit&amp;VAR:KEY=EVOHOJAVSP&amp;VAR:QUERY=RkZfRElWX1lMRChBTk4sOS8xOS8wNyw5LzE5LzA3KQ==&amp;WINDOW=FIRST_POPUP&amp;HEIGHT=450&amp;WIDTH=450&amp;","START_MAXIMIZED=FALSE&amp;VAR:CALENDAR=US&amp;VAR:SYMBOL=RAI&amp;VAR:INDEX=0"}</definedName>
    <definedName name="_2281__FDSAUDITLINK__" hidden="1">{"fdsup://directions/FAT Viewer?action=UPDATE&amp;creator=factset&amp;DYN_ARGS=TRUE&amp;DOC_NAME=FAT:FQL_AUDITING_CLIENT_TEMPLATE.FAT&amp;display_string=Audit&amp;VAR:KEY=EVOHOJAVSP&amp;VAR:QUERY=RkZfRElWX1lMRChBTk4sOS8xOS8wNyw5LzE5LzA3KQ==&amp;WINDOW=FIRST_POPUP&amp;HEIGHT=450&amp;WIDTH=450&amp;","START_MAXIMIZED=FALSE&amp;VAR:CALENDAR=US&amp;VAR:SYMBOL=RAI&amp;VAR:INDEX=0"}</definedName>
    <definedName name="_2282__FDSAUDITLINK__" localSheetId="0" hidden="1">{"fdsup://directions/FAT Viewer?action=UPDATE&amp;creator=factset&amp;DYN_ARGS=TRUE&amp;DOC_NAME=FAT:FQL_AUDITING_CLIENT_TEMPLATE.FAT&amp;display_string=Audit&amp;VAR:KEY=KPUZGNOVQT&amp;VAR:QUERY=RkZfRElWX1lMRChBTk4sOS8xMi8wNyw5LzEyLzA3KQ==&amp;WINDOW=FIRST_POPUP&amp;HEIGHT=450&amp;WIDTH=450&amp;","START_MAXIMIZED=FALSE&amp;VAR:CALENDAR=US&amp;VAR:SYMBOL=RAI&amp;VAR:INDEX=0"}</definedName>
    <definedName name="_2282__FDSAUDITLINK__" hidden="1">{"fdsup://directions/FAT Viewer?action=UPDATE&amp;creator=factset&amp;DYN_ARGS=TRUE&amp;DOC_NAME=FAT:FQL_AUDITING_CLIENT_TEMPLATE.FAT&amp;display_string=Audit&amp;VAR:KEY=KPUZGNOVQT&amp;VAR:QUERY=RkZfRElWX1lMRChBTk4sOS8xMi8wNyw5LzEyLzA3KQ==&amp;WINDOW=FIRST_POPUP&amp;HEIGHT=450&amp;WIDTH=450&amp;","START_MAXIMIZED=FALSE&amp;VAR:CALENDAR=US&amp;VAR:SYMBOL=RAI&amp;VAR:INDEX=0"}</definedName>
    <definedName name="_2283">#REF!</definedName>
    <definedName name="_2283__FDSAUDITLINK__" localSheetId="0" hidden="1">{"fdsup://directions/FAT Viewer?action=UPDATE&amp;creator=factset&amp;DYN_ARGS=TRUE&amp;DOC_NAME=FAT:FQL_AUDITING_CLIENT_TEMPLATE.FAT&amp;display_string=Audit&amp;VAR:KEY=QXYROBIFGN&amp;VAR:QUERY=RkZfRElWX1lMRChBTk4sOS8wNS8wNyw5LzA1LzA3KQ==&amp;WINDOW=FIRST_POPUP&amp;HEIGHT=450&amp;WIDTH=450&amp;","START_MAXIMIZED=FALSE&amp;VAR:CALENDAR=US&amp;VAR:SYMBOL=RAI&amp;VAR:INDEX=0"}</definedName>
    <definedName name="_2283__FDSAUDITLINK__" hidden="1">{"fdsup://directions/FAT Viewer?action=UPDATE&amp;creator=factset&amp;DYN_ARGS=TRUE&amp;DOC_NAME=FAT:FQL_AUDITING_CLIENT_TEMPLATE.FAT&amp;display_string=Audit&amp;VAR:KEY=QXYROBIFGN&amp;VAR:QUERY=RkZfRElWX1lMRChBTk4sOS8wNS8wNyw5LzA1LzA3KQ==&amp;WINDOW=FIRST_POPUP&amp;HEIGHT=450&amp;WIDTH=450&amp;","START_MAXIMIZED=FALSE&amp;VAR:CALENDAR=US&amp;VAR:SYMBOL=RAI&amp;VAR:INDEX=0"}</definedName>
    <definedName name="_2284__FDSAUDITLINK__" localSheetId="0" hidden="1">{"fdsup://directions/FAT Viewer?action=UPDATE&amp;creator=factset&amp;DYN_ARGS=TRUE&amp;DOC_NAME=FAT:FQL_AUDITING_CLIENT_TEMPLATE.FAT&amp;display_string=Audit&amp;VAR:KEY=MVINGVGNGN&amp;VAR:QUERY=RkZfRElWX1lMRChBTk4sOC8yOS8wNyw4LzI5LzA3KQ==&amp;WINDOW=FIRST_POPUP&amp;HEIGHT=450&amp;WIDTH=450&amp;","START_MAXIMIZED=FALSE&amp;VAR:CALENDAR=US&amp;VAR:SYMBOL=RAI&amp;VAR:INDEX=0"}</definedName>
    <definedName name="_2284__FDSAUDITLINK__" hidden="1">{"fdsup://directions/FAT Viewer?action=UPDATE&amp;creator=factset&amp;DYN_ARGS=TRUE&amp;DOC_NAME=FAT:FQL_AUDITING_CLIENT_TEMPLATE.FAT&amp;display_string=Audit&amp;VAR:KEY=MVINGVGNGN&amp;VAR:QUERY=RkZfRElWX1lMRChBTk4sOC8yOS8wNyw4LzI5LzA3KQ==&amp;WINDOW=FIRST_POPUP&amp;HEIGHT=450&amp;WIDTH=450&amp;","START_MAXIMIZED=FALSE&amp;VAR:CALENDAR=US&amp;VAR:SYMBOL=RAI&amp;VAR:INDEX=0"}</definedName>
    <definedName name="_2285__FDSAUDITLINK__" localSheetId="0" hidden="1">{"fdsup://directions/FAT Viewer?action=UPDATE&amp;creator=factset&amp;DYN_ARGS=TRUE&amp;DOC_NAME=FAT:FQL_AUDITING_CLIENT_TEMPLATE.FAT&amp;display_string=Audit&amp;VAR:KEY=WLQZONKJIR&amp;VAR:QUERY=RkZfRElWX1lMRChBTk4sOC8yMi8wNyw4LzIyLzA3KQ==&amp;WINDOW=FIRST_POPUP&amp;HEIGHT=450&amp;WIDTH=450&amp;","START_MAXIMIZED=FALSE&amp;VAR:CALENDAR=US&amp;VAR:SYMBOL=RAI&amp;VAR:INDEX=0"}</definedName>
    <definedName name="_2285__FDSAUDITLINK__" hidden="1">{"fdsup://directions/FAT Viewer?action=UPDATE&amp;creator=factset&amp;DYN_ARGS=TRUE&amp;DOC_NAME=FAT:FQL_AUDITING_CLIENT_TEMPLATE.FAT&amp;display_string=Audit&amp;VAR:KEY=WLQZONKJIR&amp;VAR:QUERY=RkZfRElWX1lMRChBTk4sOC8yMi8wNyw4LzIyLzA3KQ==&amp;WINDOW=FIRST_POPUP&amp;HEIGHT=450&amp;WIDTH=450&amp;","START_MAXIMIZED=FALSE&amp;VAR:CALENDAR=US&amp;VAR:SYMBOL=RAI&amp;VAR:INDEX=0"}</definedName>
    <definedName name="_2286__FDSAUDITLINK__" localSheetId="0" hidden="1">{"fdsup://directions/FAT Viewer?action=UPDATE&amp;creator=factset&amp;DYN_ARGS=TRUE&amp;DOC_NAME=FAT:FQL_AUDITING_CLIENT_TEMPLATE.FAT&amp;display_string=Audit&amp;VAR:KEY=UZITWVQBWL&amp;VAR:QUERY=RkZfRElWX1lMRChBTk4sOC8xNS8wNyw4LzE1LzA3KQ==&amp;WINDOW=FIRST_POPUP&amp;HEIGHT=450&amp;WIDTH=450&amp;","START_MAXIMIZED=FALSE&amp;VAR:CALENDAR=US&amp;VAR:SYMBOL=RAI&amp;VAR:INDEX=0"}</definedName>
    <definedName name="_2286__FDSAUDITLINK__" hidden="1">{"fdsup://directions/FAT Viewer?action=UPDATE&amp;creator=factset&amp;DYN_ARGS=TRUE&amp;DOC_NAME=FAT:FQL_AUDITING_CLIENT_TEMPLATE.FAT&amp;display_string=Audit&amp;VAR:KEY=UZITWVQBWL&amp;VAR:QUERY=RkZfRElWX1lMRChBTk4sOC8xNS8wNyw4LzE1LzA3KQ==&amp;WINDOW=FIRST_POPUP&amp;HEIGHT=450&amp;WIDTH=450&amp;","START_MAXIMIZED=FALSE&amp;VAR:CALENDAR=US&amp;VAR:SYMBOL=RAI&amp;VAR:INDEX=0"}</definedName>
    <definedName name="_2287__FDSAUDITLINK__" localSheetId="0" hidden="1">{"fdsup://directions/FAT Viewer?action=UPDATE&amp;creator=factset&amp;DYN_ARGS=TRUE&amp;DOC_NAME=FAT:FQL_AUDITING_CLIENT_TEMPLATE.FAT&amp;display_string=Audit&amp;VAR:KEY=KZSVMTWJIH&amp;VAR:QUERY=RkZfRElWX1lMRChBTk4sOC8wOC8wNyw4LzA4LzA3KQ==&amp;WINDOW=FIRST_POPUP&amp;HEIGHT=450&amp;WIDTH=450&amp;","START_MAXIMIZED=FALSE&amp;VAR:CALENDAR=US&amp;VAR:SYMBOL=RAI&amp;VAR:INDEX=0"}</definedName>
    <definedName name="_2287__FDSAUDITLINK__" hidden="1">{"fdsup://directions/FAT Viewer?action=UPDATE&amp;creator=factset&amp;DYN_ARGS=TRUE&amp;DOC_NAME=FAT:FQL_AUDITING_CLIENT_TEMPLATE.FAT&amp;display_string=Audit&amp;VAR:KEY=KZSVMTWJIH&amp;VAR:QUERY=RkZfRElWX1lMRChBTk4sOC8wOC8wNyw4LzA4LzA3KQ==&amp;WINDOW=FIRST_POPUP&amp;HEIGHT=450&amp;WIDTH=450&amp;","START_MAXIMIZED=FALSE&amp;VAR:CALENDAR=US&amp;VAR:SYMBOL=RAI&amp;VAR:INDEX=0"}</definedName>
    <definedName name="_2288__FDSAUDITLINK__" localSheetId="0" hidden="1">{"fdsup://directions/FAT Viewer?action=UPDATE&amp;creator=factset&amp;DYN_ARGS=TRUE&amp;DOC_NAME=FAT:FQL_AUDITING_CLIENT_TEMPLATE.FAT&amp;display_string=Audit&amp;VAR:KEY=OJOZUHMNUL&amp;VAR:QUERY=RkZfRElWX1lMRChBTk4sOC8wMS8wNyw4LzAxLzA3KQ==&amp;WINDOW=FIRST_POPUP&amp;HEIGHT=450&amp;WIDTH=450&amp;","START_MAXIMIZED=FALSE&amp;VAR:CALENDAR=US&amp;VAR:SYMBOL=RAI&amp;VAR:INDEX=0"}</definedName>
    <definedName name="_2288__FDSAUDITLINK__" hidden="1">{"fdsup://directions/FAT Viewer?action=UPDATE&amp;creator=factset&amp;DYN_ARGS=TRUE&amp;DOC_NAME=FAT:FQL_AUDITING_CLIENT_TEMPLATE.FAT&amp;display_string=Audit&amp;VAR:KEY=OJOZUHMNUL&amp;VAR:QUERY=RkZfRElWX1lMRChBTk4sOC8wMS8wNyw4LzAxLzA3KQ==&amp;WINDOW=FIRST_POPUP&amp;HEIGHT=450&amp;WIDTH=450&amp;","START_MAXIMIZED=FALSE&amp;VAR:CALENDAR=US&amp;VAR:SYMBOL=RAI&amp;VAR:INDEX=0"}</definedName>
    <definedName name="_2289__FDSAUDITLINK__" localSheetId="0" hidden="1">{"fdsup://directions/FAT Viewer?action=UPDATE&amp;creator=factset&amp;DYN_ARGS=TRUE&amp;DOC_NAME=FAT:FQL_AUDITING_CLIENT_TEMPLATE.FAT&amp;display_string=Audit&amp;VAR:KEY=QBCTWTGNCN&amp;VAR:QUERY=RkZfRElWX1lMRChBTk4sNy8yNS8wNyw3LzI1LzA3KQ==&amp;WINDOW=FIRST_POPUP&amp;HEIGHT=450&amp;WIDTH=450&amp;","START_MAXIMIZED=FALSE&amp;VAR:CALENDAR=US&amp;VAR:SYMBOL=RAI&amp;VAR:INDEX=0"}</definedName>
    <definedName name="_2289__FDSAUDITLINK__" hidden="1">{"fdsup://directions/FAT Viewer?action=UPDATE&amp;creator=factset&amp;DYN_ARGS=TRUE&amp;DOC_NAME=FAT:FQL_AUDITING_CLIENT_TEMPLATE.FAT&amp;display_string=Audit&amp;VAR:KEY=QBCTWTGNCN&amp;VAR:QUERY=RkZfRElWX1lMRChBTk4sNy8yNS8wNyw3LzI1LzA3KQ==&amp;WINDOW=FIRST_POPUP&amp;HEIGHT=450&amp;WIDTH=450&amp;","START_MAXIMIZED=FALSE&amp;VAR:CALENDAR=US&amp;VAR:SYMBOL=RAI&amp;VAR:INDEX=0"}</definedName>
    <definedName name="_229">#REF!</definedName>
    <definedName name="_229__FDSAUDITLINK__" localSheetId="0" hidden="1">{"fdsup://directions/FAT Viewer?action=UPDATE&amp;creator=factset&amp;DYN_ARGS=TRUE&amp;DOC_NAME=FAT:FQL_AUDITING_CLIENT_TEMPLATE.FAT&amp;display_string=Audit&amp;VAR:KEY=JWBMTITGJO&amp;VAR:QUERY=RkZfRElWX1lMRChBTk4sMTEvMTYvMDYsMTEvMTYvMDYp&amp;WINDOW=FIRST_POPUP&amp;HEIGHT=450&amp;WIDTH=450&amp;","START_MAXIMIZED=FALSE&amp;VAR:CALENDAR=US&amp;VAR:SYMBOL=RAI&amp;VAR:INDEX=0"}</definedName>
    <definedName name="_229__FDSAUDITLINK__" hidden="1">{"fdsup://directions/FAT Viewer?action=UPDATE&amp;creator=factset&amp;DYN_ARGS=TRUE&amp;DOC_NAME=FAT:FQL_AUDITING_CLIENT_TEMPLATE.FAT&amp;display_string=Audit&amp;VAR:KEY=JWBMTITGJO&amp;VAR:QUERY=RkZfRElWX1lMRChBTk4sMTEvMTYvMDYsMTEvMTYvMDYp&amp;WINDOW=FIRST_POPUP&amp;HEIGHT=450&amp;WIDTH=450&amp;","START_MAXIMIZED=FALSE&amp;VAR:CALENDAR=US&amp;VAR:SYMBOL=RAI&amp;VAR:INDEX=0"}</definedName>
    <definedName name="_2290__FDSAUDITLINK__" localSheetId="0" hidden="1">{"fdsup://directions/FAT Viewer?action=UPDATE&amp;creator=factset&amp;DYN_ARGS=TRUE&amp;DOC_NAME=FAT:FQL_AUDITING_CLIENT_TEMPLATE.FAT&amp;display_string=Audit&amp;VAR:KEY=EDQZSPSLER&amp;VAR:QUERY=RkZfRElWX1lMRChBTk4sNy8xOC8wNyw3LzE4LzA3KQ==&amp;WINDOW=FIRST_POPUP&amp;HEIGHT=450&amp;WIDTH=450&amp;","START_MAXIMIZED=FALSE&amp;VAR:CALENDAR=US&amp;VAR:SYMBOL=RAI&amp;VAR:INDEX=0"}</definedName>
    <definedName name="_2290__FDSAUDITLINK__" hidden="1">{"fdsup://directions/FAT Viewer?action=UPDATE&amp;creator=factset&amp;DYN_ARGS=TRUE&amp;DOC_NAME=FAT:FQL_AUDITING_CLIENT_TEMPLATE.FAT&amp;display_string=Audit&amp;VAR:KEY=EDQZSPSLER&amp;VAR:QUERY=RkZfRElWX1lMRChBTk4sNy8xOC8wNyw3LzE4LzA3KQ==&amp;WINDOW=FIRST_POPUP&amp;HEIGHT=450&amp;WIDTH=450&amp;","START_MAXIMIZED=FALSE&amp;VAR:CALENDAR=US&amp;VAR:SYMBOL=RAI&amp;VAR:INDEX=0"}</definedName>
    <definedName name="_2291">#REF!</definedName>
    <definedName name="_2291__FDSAUDITLINK__" localSheetId="0" hidden="1">{"fdsup://directions/FAT Viewer?action=UPDATE&amp;creator=factset&amp;DYN_ARGS=TRUE&amp;DOC_NAME=FAT:FQL_AUDITING_CLIENT_TEMPLATE.FAT&amp;display_string=Audit&amp;VAR:KEY=UPQHWLUTCF&amp;VAR:QUERY=RkZfRElWX1lMRChBTk4sNy8xMS8wNyw3LzExLzA3KQ==&amp;WINDOW=FIRST_POPUP&amp;HEIGHT=450&amp;WIDTH=450&amp;","START_MAXIMIZED=FALSE&amp;VAR:CALENDAR=US&amp;VAR:SYMBOL=RAI&amp;VAR:INDEX=0"}</definedName>
    <definedName name="_2291__FDSAUDITLINK__" hidden="1">{"fdsup://directions/FAT Viewer?action=UPDATE&amp;creator=factset&amp;DYN_ARGS=TRUE&amp;DOC_NAME=FAT:FQL_AUDITING_CLIENT_TEMPLATE.FAT&amp;display_string=Audit&amp;VAR:KEY=UPQHWLUTCF&amp;VAR:QUERY=RkZfRElWX1lMRChBTk4sNy8xMS8wNyw3LzExLzA3KQ==&amp;WINDOW=FIRST_POPUP&amp;HEIGHT=450&amp;WIDTH=450&amp;","START_MAXIMIZED=FALSE&amp;VAR:CALENDAR=US&amp;VAR:SYMBOL=RAI&amp;VAR:INDEX=0"}</definedName>
    <definedName name="_2292__FDSAUDITLINK__" localSheetId="0" hidden="1">{"fdsup://directions/FAT Viewer?action=UPDATE&amp;creator=factset&amp;DYN_ARGS=TRUE&amp;DOC_NAME=FAT:FQL_AUDITING_CLIENT_TEMPLATE.FAT&amp;display_string=Audit&amp;VAR:KEY=AHMHGPYJGL&amp;VAR:QUERY=RkZfRElWX1lMRChBTk4sNy8wMy8wNyw3LzAzLzA3KQ==&amp;WINDOW=FIRST_POPUP&amp;HEIGHT=450&amp;WIDTH=450&amp;","START_MAXIMIZED=FALSE&amp;VAR:CALENDAR=US&amp;VAR:SYMBOL=RAI&amp;VAR:INDEX=0"}</definedName>
    <definedName name="_2292__FDSAUDITLINK__" hidden="1">{"fdsup://directions/FAT Viewer?action=UPDATE&amp;creator=factset&amp;DYN_ARGS=TRUE&amp;DOC_NAME=FAT:FQL_AUDITING_CLIENT_TEMPLATE.FAT&amp;display_string=Audit&amp;VAR:KEY=AHMHGPYJGL&amp;VAR:QUERY=RkZfRElWX1lMRChBTk4sNy8wMy8wNyw3LzAzLzA3KQ==&amp;WINDOW=FIRST_POPUP&amp;HEIGHT=450&amp;WIDTH=450&amp;","START_MAXIMIZED=FALSE&amp;VAR:CALENDAR=US&amp;VAR:SYMBOL=RAI&amp;VAR:INDEX=0"}</definedName>
    <definedName name="_2293__FDSAUDITLINK__" localSheetId="0" hidden="1">{"fdsup://directions/FAT Viewer?action=UPDATE&amp;creator=factset&amp;DYN_ARGS=TRUE&amp;DOC_NAME=FAT:FQL_AUDITING_CLIENT_TEMPLATE.FAT&amp;display_string=Audit&amp;VAR:KEY=QJKBSZORUN&amp;VAR:QUERY=RkZfRElWX1lMRChBTk4sNi8yNy8wNyw2LzI3LzA3KQ==&amp;WINDOW=FIRST_POPUP&amp;HEIGHT=450&amp;WIDTH=450&amp;","START_MAXIMIZED=FALSE&amp;VAR:CALENDAR=US&amp;VAR:SYMBOL=RAI&amp;VAR:INDEX=0"}</definedName>
    <definedName name="_2293__FDSAUDITLINK__" hidden="1">{"fdsup://directions/FAT Viewer?action=UPDATE&amp;creator=factset&amp;DYN_ARGS=TRUE&amp;DOC_NAME=FAT:FQL_AUDITING_CLIENT_TEMPLATE.FAT&amp;display_string=Audit&amp;VAR:KEY=QJKBSZORUN&amp;VAR:QUERY=RkZfRElWX1lMRChBTk4sNi8yNy8wNyw2LzI3LzA3KQ==&amp;WINDOW=FIRST_POPUP&amp;HEIGHT=450&amp;WIDTH=450&amp;","START_MAXIMIZED=FALSE&amp;VAR:CALENDAR=US&amp;VAR:SYMBOL=RAI&amp;VAR:INDEX=0"}</definedName>
    <definedName name="_2294__FDSAUDITLINK__" localSheetId="0" hidden="1">{"fdsup://directions/FAT Viewer?action=UPDATE&amp;creator=factset&amp;DYN_ARGS=TRUE&amp;DOC_NAME=FAT:FQL_AUDITING_CLIENT_TEMPLATE.FAT&amp;display_string=Audit&amp;VAR:KEY=IVYDWRCLED&amp;VAR:QUERY=RkZfRElWX1lMRChBTk4sNi8yMC8wNyw2LzIwLzA3KQ==&amp;WINDOW=FIRST_POPUP&amp;HEIGHT=450&amp;WIDTH=450&amp;","START_MAXIMIZED=FALSE&amp;VAR:CALENDAR=US&amp;VAR:SYMBOL=RAI&amp;VAR:INDEX=0"}</definedName>
    <definedName name="_2294__FDSAUDITLINK__" hidden="1">{"fdsup://directions/FAT Viewer?action=UPDATE&amp;creator=factset&amp;DYN_ARGS=TRUE&amp;DOC_NAME=FAT:FQL_AUDITING_CLIENT_TEMPLATE.FAT&amp;display_string=Audit&amp;VAR:KEY=IVYDWRCLED&amp;VAR:QUERY=RkZfRElWX1lMRChBTk4sNi8yMC8wNyw2LzIwLzA3KQ==&amp;WINDOW=FIRST_POPUP&amp;HEIGHT=450&amp;WIDTH=450&amp;","START_MAXIMIZED=FALSE&amp;VAR:CALENDAR=US&amp;VAR:SYMBOL=RAI&amp;VAR:INDEX=0"}</definedName>
    <definedName name="_2295">#REF!</definedName>
    <definedName name="_2295__FDSAUDITLINK__" localSheetId="0" hidden="1">{"fdsup://directions/FAT Viewer?action=UPDATE&amp;creator=factset&amp;DYN_ARGS=TRUE&amp;DOC_NAME=FAT:FQL_AUDITING_CLIENT_TEMPLATE.FAT&amp;display_string=Audit&amp;VAR:KEY=YZIZQHCDWT&amp;VAR:QUERY=RkZfRElWX1lMRChBTk4sNi8xMy8wNyw2LzEzLzA3KQ==&amp;WINDOW=FIRST_POPUP&amp;HEIGHT=450&amp;WIDTH=450&amp;","START_MAXIMIZED=FALSE&amp;VAR:CALENDAR=US&amp;VAR:SYMBOL=RAI&amp;VAR:INDEX=0"}</definedName>
    <definedName name="_2295__FDSAUDITLINK__" hidden="1">{"fdsup://directions/FAT Viewer?action=UPDATE&amp;creator=factset&amp;DYN_ARGS=TRUE&amp;DOC_NAME=FAT:FQL_AUDITING_CLIENT_TEMPLATE.FAT&amp;display_string=Audit&amp;VAR:KEY=YZIZQHCDWT&amp;VAR:QUERY=RkZfRElWX1lMRChBTk4sNi8xMy8wNyw2LzEzLzA3KQ==&amp;WINDOW=FIRST_POPUP&amp;HEIGHT=450&amp;WIDTH=450&amp;","START_MAXIMIZED=FALSE&amp;VAR:CALENDAR=US&amp;VAR:SYMBOL=RAI&amp;VAR:INDEX=0"}</definedName>
    <definedName name="_2296__FDSAUDITLINK__" localSheetId="0" hidden="1">{"fdsup://directions/FAT Viewer?action=UPDATE&amp;creator=factset&amp;DYN_ARGS=TRUE&amp;DOC_NAME=FAT:FQL_AUDITING_CLIENT_TEMPLATE.FAT&amp;display_string=Audit&amp;VAR:KEY=ILUDMDGPSZ&amp;VAR:QUERY=RkZfRElWX1lMRChBTk4sNi8wNi8wNyw2LzA2LzA3KQ==&amp;WINDOW=FIRST_POPUP&amp;HEIGHT=450&amp;WIDTH=450&amp;","START_MAXIMIZED=FALSE&amp;VAR:CALENDAR=US&amp;VAR:SYMBOL=RAI&amp;VAR:INDEX=0"}</definedName>
    <definedName name="_2296__FDSAUDITLINK__" hidden="1">{"fdsup://directions/FAT Viewer?action=UPDATE&amp;creator=factset&amp;DYN_ARGS=TRUE&amp;DOC_NAME=FAT:FQL_AUDITING_CLIENT_TEMPLATE.FAT&amp;display_string=Audit&amp;VAR:KEY=ILUDMDGPSZ&amp;VAR:QUERY=RkZfRElWX1lMRChBTk4sNi8wNi8wNyw2LzA2LzA3KQ==&amp;WINDOW=FIRST_POPUP&amp;HEIGHT=450&amp;WIDTH=450&amp;","START_MAXIMIZED=FALSE&amp;VAR:CALENDAR=US&amp;VAR:SYMBOL=RAI&amp;VAR:INDEX=0"}</definedName>
    <definedName name="_2297__FDSAUDITLINK__" localSheetId="0" hidden="1">{"fdsup://directions/FAT Viewer?action=UPDATE&amp;creator=factset&amp;DYN_ARGS=TRUE&amp;DOC_NAME=FAT:FQL_AUDITING_CLIENT_TEMPLATE.FAT&amp;display_string=Audit&amp;VAR:KEY=YXCRCBCBSF&amp;VAR:QUERY=RkZfRElWX1lMRChBTk4sNS8zMC8wNyw1LzMwLzA3KQ==&amp;WINDOW=FIRST_POPUP&amp;HEIGHT=450&amp;WIDTH=450&amp;","START_MAXIMIZED=FALSE&amp;VAR:CALENDAR=US&amp;VAR:SYMBOL=RAI&amp;VAR:INDEX=0"}</definedName>
    <definedName name="_2297__FDSAUDITLINK__" hidden="1">{"fdsup://directions/FAT Viewer?action=UPDATE&amp;creator=factset&amp;DYN_ARGS=TRUE&amp;DOC_NAME=FAT:FQL_AUDITING_CLIENT_TEMPLATE.FAT&amp;display_string=Audit&amp;VAR:KEY=YXCRCBCBSF&amp;VAR:QUERY=RkZfRElWX1lMRChBTk4sNS8zMC8wNyw1LzMwLzA3KQ==&amp;WINDOW=FIRST_POPUP&amp;HEIGHT=450&amp;WIDTH=450&amp;","START_MAXIMIZED=FALSE&amp;VAR:CALENDAR=US&amp;VAR:SYMBOL=RAI&amp;VAR:INDEX=0"}</definedName>
    <definedName name="_2298__FDSAUDITLINK__" localSheetId="0" hidden="1">{"fdsup://directions/FAT Viewer?action=UPDATE&amp;creator=factset&amp;DYN_ARGS=TRUE&amp;DOC_NAME=FAT:FQL_AUDITING_CLIENT_TEMPLATE.FAT&amp;display_string=Audit&amp;VAR:KEY=MXOJCTIHEX&amp;VAR:QUERY=RkZfRElWX1lMRChBTk4sNS8yMy8wNyw1LzIzLzA3KQ==&amp;WINDOW=FIRST_POPUP&amp;HEIGHT=450&amp;WIDTH=450&amp;","START_MAXIMIZED=FALSE&amp;VAR:CALENDAR=US&amp;VAR:SYMBOL=RAI&amp;VAR:INDEX=0"}</definedName>
    <definedName name="_2298__FDSAUDITLINK__" hidden="1">{"fdsup://directions/FAT Viewer?action=UPDATE&amp;creator=factset&amp;DYN_ARGS=TRUE&amp;DOC_NAME=FAT:FQL_AUDITING_CLIENT_TEMPLATE.FAT&amp;display_string=Audit&amp;VAR:KEY=MXOJCTIHEX&amp;VAR:QUERY=RkZfRElWX1lMRChBTk4sNS8yMy8wNyw1LzIzLzA3KQ==&amp;WINDOW=FIRST_POPUP&amp;HEIGHT=450&amp;WIDTH=450&amp;","START_MAXIMIZED=FALSE&amp;VAR:CALENDAR=US&amp;VAR:SYMBOL=RAI&amp;VAR:INDEX=0"}</definedName>
    <definedName name="_2299__FDSAUDITLINK__" localSheetId="0" hidden="1">{"fdsup://directions/FAT Viewer?action=UPDATE&amp;creator=factset&amp;DYN_ARGS=TRUE&amp;DOC_NAME=FAT:FQL_AUDITING_CLIENT_TEMPLATE.FAT&amp;display_string=Audit&amp;VAR:KEY=KXUXMZUXUL&amp;VAR:QUERY=RkZfRElWX1lMRChBTk4sNS8xNi8wNyw1LzE2LzA3KQ==&amp;WINDOW=FIRST_POPUP&amp;HEIGHT=450&amp;WIDTH=450&amp;","START_MAXIMIZED=FALSE&amp;VAR:CALENDAR=US&amp;VAR:SYMBOL=RAI&amp;VAR:INDEX=0"}</definedName>
    <definedName name="_2299__FDSAUDITLINK__" hidden="1">{"fdsup://directions/FAT Viewer?action=UPDATE&amp;creator=factset&amp;DYN_ARGS=TRUE&amp;DOC_NAME=FAT:FQL_AUDITING_CLIENT_TEMPLATE.FAT&amp;display_string=Audit&amp;VAR:KEY=KXUXMZUXUL&amp;VAR:QUERY=RkZfRElWX1lMRChBTk4sNS8xNi8wNyw1LzE2LzA3KQ==&amp;WINDOW=FIRST_POPUP&amp;HEIGHT=450&amp;WIDTH=450&amp;","START_MAXIMIZED=FALSE&amp;VAR:CALENDAR=US&amp;VAR:SYMBOL=RAI&amp;VAR:INDEX=0"}</definedName>
    <definedName name="_22main_form_account_grants_list_18_j_id1022">#REF!</definedName>
    <definedName name="_22s2_" hidden="1">{#N/A,#N/A,FALSE,"UNIT";#N/A,#N/A,FALSE,"UNIT";#N/A,#N/A,FALSE,"계정"}</definedName>
    <definedName name="_23">#REF!</definedName>
    <definedName name="_23_________NOTE8_9">#REF!</definedName>
    <definedName name="_23__123Graph_BCHART_29" hidden="1">#REF!</definedName>
    <definedName name="_23__123Graph_BCHART_3">#REF!</definedName>
    <definedName name="_23__123Graph_BChart_6J">#REF!</definedName>
    <definedName name="_23__123Graph_BTAX_CREDIT">#REF!</definedName>
    <definedName name="_23__123Graph_CCONTRACT_BY_B_U">#REF!</definedName>
    <definedName name="_23__123Graph_CWAGES_BY_B_U">#REF!</definedName>
    <definedName name="_23__123Graph_DCONTRACT_BY_B_U">#REF!</definedName>
    <definedName name="_23__123Graph_DSUPPLIES_BY_B_U" hidden="1">#REF!</definedName>
    <definedName name="_23__123Graph_DWAGES_BY_B_U">#REF!</definedName>
    <definedName name="_23__123Graph_ECONTRACT_BY_B_U">#REF!</definedName>
    <definedName name="_23__123Graph_EQRE_S_BY_CO.">#REF!</definedName>
    <definedName name="_23__FDSAUDITLINK__" localSheetId="0" hidden="1">{"fdsup://directions/FAT Viewer?action=UPDATE&amp;creator=factset&amp;DYN_ARGS=TRUE&amp;DOC_NAME=FAT:FQL_AUDITING_CLIENT_TEMPLATE.FAT&amp;display_string=Audit&amp;VAR:KEY=MDOVSPAPON&amp;VAR:QUERY=Q1NGX0RJVl9ZTEQoUVRSX1IsNi8zMC8yMDA1KQ==&amp;WINDOW=FIRST_POPUP&amp;HEIGHT=450&amp;WIDTH=450&amp;STAR","T_MAXIMIZED=FALSE&amp;VAR:CALENDAR=US&amp;VAR:SYMBOL=MO&amp;VAR:INDEX=0"}</definedName>
    <definedName name="_23__FDSAUDITLINK__" hidden="1">{"fdsup://directions/FAT Viewer?action=UPDATE&amp;creator=factset&amp;DYN_ARGS=TRUE&amp;DOC_NAME=FAT:FQL_AUDITING_CLIENT_TEMPLATE.FAT&amp;display_string=Audit&amp;VAR:KEY=MDOVSPAPON&amp;VAR:QUERY=Q1NGX0RJVl9ZTEQoUVRSX1IsNi8zMC8yMDA1KQ==&amp;WINDOW=FIRST_POPUP&amp;HEIGHT=450&amp;WIDTH=450&amp;STAR","T_MAXIMIZED=FALSE&amp;VAR:CALENDAR=US&amp;VAR:SYMBOL=MO&amp;VAR:INDEX=0"}</definedName>
    <definedName name="_23_0_0_MatInverse" hidden="1">#REF!</definedName>
    <definedName name="_23_09_2000">#REF!</definedName>
    <definedName name="_23_1_0_F">#REF!</definedName>
    <definedName name="_23_6__1_CRADDIN_Table">#REF!</definedName>
    <definedName name="_230">#REF!</definedName>
    <definedName name="_230__FDSAUDITLINK__" localSheetId="0" hidden="1">{"fdsup://directions/FAT Viewer?action=UPDATE&amp;creator=factset&amp;DYN_ARGS=TRUE&amp;DOC_NAME=FAT:FQL_AUDITING_CLIENT_TEMPLATE.FAT&amp;display_string=Audit&amp;VAR:KEY=NSLOXKHCFC&amp;VAR:QUERY=RkZfRElWX1lMRChBTk4sMTEvMDkvMDYsMTEvMDkvMDYp&amp;WINDOW=FIRST_POPUP&amp;HEIGHT=450&amp;WIDTH=450&amp;","START_MAXIMIZED=FALSE&amp;VAR:CALENDAR=US&amp;VAR:SYMBOL=RAI&amp;VAR:INDEX=0"}</definedName>
    <definedName name="_230__FDSAUDITLINK__" hidden="1">{"fdsup://directions/FAT Viewer?action=UPDATE&amp;creator=factset&amp;DYN_ARGS=TRUE&amp;DOC_NAME=FAT:FQL_AUDITING_CLIENT_TEMPLATE.FAT&amp;display_string=Audit&amp;VAR:KEY=NSLOXKHCFC&amp;VAR:QUERY=RkZfRElWX1lMRChBTk4sMTEvMDkvMDYsMTEvMDkvMDYp&amp;WINDOW=FIRST_POPUP&amp;HEIGHT=450&amp;WIDTH=450&amp;","START_MAXIMIZED=FALSE&amp;VAR:CALENDAR=US&amp;VAR:SYMBOL=RAI&amp;VAR:INDEX=0"}</definedName>
    <definedName name="_2300">#REF!</definedName>
    <definedName name="_2300__FDSAUDITLINK__" localSheetId="0" hidden="1">{"fdsup://directions/FAT Viewer?action=UPDATE&amp;creator=factset&amp;DYN_ARGS=TRUE&amp;DOC_NAME=FAT:FQL_AUDITING_CLIENT_TEMPLATE.FAT&amp;display_string=Audit&amp;VAR:KEY=ONCFQJQHQF&amp;VAR:QUERY=RkZfRElWX1lMRChBTk4sNS8wOS8wNyw1LzA5LzA3KQ==&amp;WINDOW=FIRST_POPUP&amp;HEIGHT=450&amp;WIDTH=450&amp;","START_MAXIMIZED=FALSE&amp;VAR:CALENDAR=US&amp;VAR:SYMBOL=RAI&amp;VAR:INDEX=0"}</definedName>
    <definedName name="_2300__FDSAUDITLINK__" hidden="1">{"fdsup://directions/FAT Viewer?action=UPDATE&amp;creator=factset&amp;DYN_ARGS=TRUE&amp;DOC_NAME=FAT:FQL_AUDITING_CLIENT_TEMPLATE.FAT&amp;display_string=Audit&amp;VAR:KEY=ONCFQJQHQF&amp;VAR:QUERY=RkZfRElWX1lMRChBTk4sNS8wOS8wNyw1LzA5LzA3KQ==&amp;WINDOW=FIRST_POPUP&amp;HEIGHT=450&amp;WIDTH=450&amp;","START_MAXIMIZED=FALSE&amp;VAR:CALENDAR=US&amp;VAR:SYMBOL=RAI&amp;VAR:INDEX=0"}</definedName>
    <definedName name="_2301__FDSAUDITLINK__" localSheetId="0" hidden="1">{"fdsup://directions/FAT Viewer?action=UPDATE&amp;creator=factset&amp;DYN_ARGS=TRUE&amp;DOC_NAME=FAT:FQL_AUDITING_CLIENT_TEMPLATE.FAT&amp;display_string=Audit&amp;VAR:KEY=GPORGXAFGJ&amp;VAR:QUERY=RkZfRElWX1lMRChBTk4sNS8wMi8wNyw1LzAyLzA3KQ==&amp;WINDOW=FIRST_POPUP&amp;HEIGHT=450&amp;WIDTH=450&amp;","START_MAXIMIZED=FALSE&amp;VAR:CALENDAR=US&amp;VAR:SYMBOL=RAI&amp;VAR:INDEX=0"}</definedName>
    <definedName name="_2301__FDSAUDITLINK__" hidden="1">{"fdsup://directions/FAT Viewer?action=UPDATE&amp;creator=factset&amp;DYN_ARGS=TRUE&amp;DOC_NAME=FAT:FQL_AUDITING_CLIENT_TEMPLATE.FAT&amp;display_string=Audit&amp;VAR:KEY=GPORGXAFGJ&amp;VAR:QUERY=RkZfRElWX1lMRChBTk4sNS8wMi8wNyw1LzAyLzA3KQ==&amp;WINDOW=FIRST_POPUP&amp;HEIGHT=450&amp;WIDTH=450&amp;","START_MAXIMIZED=FALSE&amp;VAR:CALENDAR=US&amp;VAR:SYMBOL=RAI&amp;VAR:INDEX=0"}</definedName>
    <definedName name="_2302__FDSAUDITLINK__" localSheetId="0" hidden="1">{"fdsup://directions/FAT Viewer?action=UPDATE&amp;creator=factset&amp;DYN_ARGS=TRUE&amp;DOC_NAME=FAT:FQL_AUDITING_CLIENT_TEMPLATE.FAT&amp;display_string=Audit&amp;VAR:KEY=GVQRYNGZUF&amp;VAR:QUERY=RkZfRElWX1lMRChBTk4sNC8yNS8wNyw0LzI1LzA3KQ==&amp;WINDOW=FIRST_POPUP&amp;HEIGHT=450&amp;WIDTH=450&amp;","START_MAXIMIZED=FALSE&amp;VAR:CALENDAR=US&amp;VAR:SYMBOL=RAI&amp;VAR:INDEX=0"}</definedName>
    <definedName name="_2302__FDSAUDITLINK__" hidden="1">{"fdsup://directions/FAT Viewer?action=UPDATE&amp;creator=factset&amp;DYN_ARGS=TRUE&amp;DOC_NAME=FAT:FQL_AUDITING_CLIENT_TEMPLATE.FAT&amp;display_string=Audit&amp;VAR:KEY=GVQRYNGZUF&amp;VAR:QUERY=RkZfRElWX1lMRChBTk4sNC8yNS8wNyw0LzI1LzA3KQ==&amp;WINDOW=FIRST_POPUP&amp;HEIGHT=450&amp;WIDTH=450&amp;","START_MAXIMIZED=FALSE&amp;VAR:CALENDAR=US&amp;VAR:SYMBOL=RAI&amp;VAR:INDEX=0"}</definedName>
    <definedName name="_2303">#REF!</definedName>
    <definedName name="_2303__FDSAUDITLINK__" localSheetId="0" hidden="1">{"fdsup://directions/FAT Viewer?action=UPDATE&amp;creator=factset&amp;DYN_ARGS=TRUE&amp;DOC_NAME=FAT:FQL_AUDITING_CLIENT_TEMPLATE.FAT&amp;display_string=Audit&amp;VAR:KEY=INMPIBSJCH&amp;VAR:QUERY=RkZfRElWX1lMRChBTk4sNC8xOC8wNyw0LzE4LzA3KQ==&amp;WINDOW=FIRST_POPUP&amp;HEIGHT=450&amp;WIDTH=450&amp;","START_MAXIMIZED=FALSE&amp;VAR:CALENDAR=US&amp;VAR:SYMBOL=RAI&amp;VAR:INDEX=0"}</definedName>
    <definedName name="_2303__FDSAUDITLINK__" hidden="1">{"fdsup://directions/FAT Viewer?action=UPDATE&amp;creator=factset&amp;DYN_ARGS=TRUE&amp;DOC_NAME=FAT:FQL_AUDITING_CLIENT_TEMPLATE.FAT&amp;display_string=Audit&amp;VAR:KEY=INMPIBSJCH&amp;VAR:QUERY=RkZfRElWX1lMRChBTk4sNC8xOC8wNyw0LzE4LzA3KQ==&amp;WINDOW=FIRST_POPUP&amp;HEIGHT=450&amp;WIDTH=450&amp;","START_MAXIMIZED=FALSE&amp;VAR:CALENDAR=US&amp;VAR:SYMBOL=RAI&amp;VAR:INDEX=0"}</definedName>
    <definedName name="_2304">#REF!</definedName>
    <definedName name="_2304__FDSAUDITLINK__" localSheetId="0" hidden="1">{"fdsup://directions/FAT Viewer?action=UPDATE&amp;creator=factset&amp;DYN_ARGS=TRUE&amp;DOC_NAME=FAT:FQL_AUDITING_CLIENT_TEMPLATE.FAT&amp;display_string=Audit&amp;VAR:KEY=EVKNKLYBMZ&amp;VAR:QUERY=RkZfRElWX1lMRChBTk4sNC8xMS8wNyw0LzExLzA3KQ==&amp;WINDOW=FIRST_POPUP&amp;HEIGHT=450&amp;WIDTH=450&amp;","START_MAXIMIZED=FALSE&amp;VAR:CALENDAR=US&amp;VAR:SYMBOL=RAI&amp;VAR:INDEX=0"}</definedName>
    <definedName name="_2304__FDSAUDITLINK__" hidden="1">{"fdsup://directions/FAT Viewer?action=UPDATE&amp;creator=factset&amp;DYN_ARGS=TRUE&amp;DOC_NAME=FAT:FQL_AUDITING_CLIENT_TEMPLATE.FAT&amp;display_string=Audit&amp;VAR:KEY=EVKNKLYBMZ&amp;VAR:QUERY=RkZfRElWX1lMRChBTk4sNC8xMS8wNyw0LzExLzA3KQ==&amp;WINDOW=FIRST_POPUP&amp;HEIGHT=450&amp;WIDTH=450&amp;","START_MAXIMIZED=FALSE&amp;VAR:CALENDAR=US&amp;VAR:SYMBOL=RAI&amp;VAR:INDEX=0"}</definedName>
    <definedName name="_2305">#REF!</definedName>
    <definedName name="_2305__FDSAUDITLINK__" localSheetId="0" hidden="1">{"fdsup://directions/FAT Viewer?action=UPDATE&amp;creator=factset&amp;DYN_ARGS=TRUE&amp;DOC_NAME=FAT:FQL_AUDITING_CLIENT_TEMPLATE.FAT&amp;display_string=Audit&amp;VAR:KEY=OFWVMPSPWZ&amp;VAR:QUERY=RkZfRElWX1lMRChBTk4sNC8wNC8wNyw0LzA0LzA3KQ==&amp;WINDOW=FIRST_POPUP&amp;HEIGHT=450&amp;WIDTH=450&amp;","START_MAXIMIZED=FALSE&amp;VAR:CALENDAR=US&amp;VAR:SYMBOL=RAI&amp;VAR:INDEX=0"}</definedName>
    <definedName name="_2305__FDSAUDITLINK__" hidden="1">{"fdsup://directions/FAT Viewer?action=UPDATE&amp;creator=factset&amp;DYN_ARGS=TRUE&amp;DOC_NAME=FAT:FQL_AUDITING_CLIENT_TEMPLATE.FAT&amp;display_string=Audit&amp;VAR:KEY=OFWVMPSPWZ&amp;VAR:QUERY=RkZfRElWX1lMRChBTk4sNC8wNC8wNyw0LzA0LzA3KQ==&amp;WINDOW=FIRST_POPUP&amp;HEIGHT=450&amp;WIDTH=450&amp;","START_MAXIMIZED=FALSE&amp;VAR:CALENDAR=US&amp;VAR:SYMBOL=RAI&amp;VAR:INDEX=0"}</definedName>
    <definedName name="_2306">#REF!</definedName>
    <definedName name="_2306__FDSAUDITLINK__" localSheetId="0" hidden="1">{"fdsup://directions/FAT Viewer?action=UPDATE&amp;creator=factset&amp;DYN_ARGS=TRUE&amp;DOC_NAME=FAT:FQL_AUDITING_CLIENT_TEMPLATE.FAT&amp;display_string=Audit&amp;VAR:KEY=YRSZYTUVUV&amp;VAR:QUERY=RkZfRElWX1lMRChBTk4sMy8yOC8wNywzLzI4LzA3KQ==&amp;WINDOW=FIRST_POPUP&amp;HEIGHT=450&amp;WIDTH=450&amp;","START_MAXIMIZED=FALSE&amp;VAR:CALENDAR=US&amp;VAR:SYMBOL=RAI&amp;VAR:INDEX=0"}</definedName>
    <definedName name="_2306__FDSAUDITLINK__" hidden="1">{"fdsup://directions/FAT Viewer?action=UPDATE&amp;creator=factset&amp;DYN_ARGS=TRUE&amp;DOC_NAME=FAT:FQL_AUDITING_CLIENT_TEMPLATE.FAT&amp;display_string=Audit&amp;VAR:KEY=YRSZYTUVUV&amp;VAR:QUERY=RkZfRElWX1lMRChBTk4sMy8yOC8wNywzLzI4LzA3KQ==&amp;WINDOW=FIRST_POPUP&amp;HEIGHT=450&amp;WIDTH=450&amp;","START_MAXIMIZED=FALSE&amp;VAR:CALENDAR=US&amp;VAR:SYMBOL=RAI&amp;VAR:INDEX=0"}</definedName>
    <definedName name="_2307">#REF!</definedName>
    <definedName name="_2307__FDSAUDITLINK__" localSheetId="0" hidden="1">{"fdsup://directions/FAT Viewer?action=UPDATE&amp;creator=factset&amp;DYN_ARGS=TRUE&amp;DOC_NAME=FAT:FQL_AUDITING_CLIENT_TEMPLATE.FAT&amp;display_string=Audit&amp;VAR:KEY=KVOPUJEXGR&amp;VAR:QUERY=RkZfRElWX1lMRChBTk4sMy8yMS8wNywzLzIxLzA3KQ==&amp;WINDOW=FIRST_POPUP&amp;HEIGHT=450&amp;WIDTH=450&amp;","START_MAXIMIZED=FALSE&amp;VAR:CALENDAR=US&amp;VAR:SYMBOL=RAI&amp;VAR:INDEX=0"}</definedName>
    <definedName name="_2307__FDSAUDITLINK__" hidden="1">{"fdsup://directions/FAT Viewer?action=UPDATE&amp;creator=factset&amp;DYN_ARGS=TRUE&amp;DOC_NAME=FAT:FQL_AUDITING_CLIENT_TEMPLATE.FAT&amp;display_string=Audit&amp;VAR:KEY=KVOPUJEXGR&amp;VAR:QUERY=RkZfRElWX1lMRChBTk4sMy8yMS8wNywzLzIxLzA3KQ==&amp;WINDOW=FIRST_POPUP&amp;HEIGHT=450&amp;WIDTH=450&amp;","START_MAXIMIZED=FALSE&amp;VAR:CALENDAR=US&amp;VAR:SYMBOL=RAI&amp;VAR:INDEX=0"}</definedName>
    <definedName name="_2308__FDSAUDITLINK__" localSheetId="0" hidden="1">{"fdsup://directions/FAT Viewer?action=UPDATE&amp;creator=factset&amp;DYN_ARGS=TRUE&amp;DOC_NAME=FAT:FQL_AUDITING_CLIENT_TEMPLATE.FAT&amp;display_string=Audit&amp;VAR:KEY=QHAXUVQFEV&amp;VAR:QUERY=RkZfRElWX1lMRChBTk4sMy8xNC8wNywzLzE0LzA3KQ==&amp;WINDOW=FIRST_POPUP&amp;HEIGHT=450&amp;WIDTH=450&amp;","START_MAXIMIZED=FALSE&amp;VAR:CALENDAR=US&amp;VAR:SYMBOL=RAI&amp;VAR:INDEX=0"}</definedName>
    <definedName name="_2308__FDSAUDITLINK__" hidden="1">{"fdsup://directions/FAT Viewer?action=UPDATE&amp;creator=factset&amp;DYN_ARGS=TRUE&amp;DOC_NAME=FAT:FQL_AUDITING_CLIENT_TEMPLATE.FAT&amp;display_string=Audit&amp;VAR:KEY=QHAXUVQFEV&amp;VAR:QUERY=RkZfRElWX1lMRChBTk4sMy8xNC8wNywzLzE0LzA3KQ==&amp;WINDOW=FIRST_POPUP&amp;HEIGHT=450&amp;WIDTH=450&amp;","START_MAXIMIZED=FALSE&amp;VAR:CALENDAR=US&amp;VAR:SYMBOL=RAI&amp;VAR:INDEX=0"}</definedName>
    <definedName name="_2309">#REF!</definedName>
    <definedName name="_2309__FDSAUDITLINK__" localSheetId="0" hidden="1">{"fdsup://directions/FAT Viewer?action=UPDATE&amp;creator=factset&amp;DYN_ARGS=TRUE&amp;DOC_NAME=FAT:FQL_AUDITING_CLIENT_TEMPLATE.FAT&amp;display_string=Audit&amp;VAR:KEY=SJELGRGTUP&amp;VAR:QUERY=RkZfRElWX1lMRChBTk4sMy8wNy8wNywzLzA3LzA3KQ==&amp;WINDOW=FIRST_POPUP&amp;HEIGHT=450&amp;WIDTH=450&amp;","START_MAXIMIZED=FALSE&amp;VAR:CALENDAR=US&amp;VAR:SYMBOL=RAI&amp;VAR:INDEX=0"}</definedName>
    <definedName name="_2309__FDSAUDITLINK__" hidden="1">{"fdsup://directions/FAT Viewer?action=UPDATE&amp;creator=factset&amp;DYN_ARGS=TRUE&amp;DOC_NAME=FAT:FQL_AUDITING_CLIENT_TEMPLATE.FAT&amp;display_string=Audit&amp;VAR:KEY=SJELGRGTUP&amp;VAR:QUERY=RkZfRElWX1lMRChBTk4sMy8wNy8wNywzLzA3LzA3KQ==&amp;WINDOW=FIRST_POPUP&amp;HEIGHT=450&amp;WIDTH=450&amp;","START_MAXIMIZED=FALSE&amp;VAR:CALENDAR=US&amp;VAR:SYMBOL=RAI&amp;VAR:INDEX=0"}</definedName>
    <definedName name="_231">#REF!</definedName>
    <definedName name="_231__FDSAUDITLINK__" localSheetId="0" hidden="1">{"fdsup://directions/FAT Viewer?action=UPDATE&amp;creator=factset&amp;DYN_ARGS=TRUE&amp;DOC_NAME=FAT:FQL_AUDITING_CLIENT_TEMPLATE.FAT&amp;display_string=Audit&amp;VAR:KEY=ZKJGXOFKLK&amp;VAR:QUERY=RkZfRElWX1lMRChBTk4sMTEvMDIvMDYsMTEvMDIvMDYp&amp;WINDOW=FIRST_POPUP&amp;HEIGHT=450&amp;WIDTH=450&amp;","START_MAXIMIZED=FALSE&amp;VAR:CALENDAR=US&amp;VAR:SYMBOL=RAI&amp;VAR:INDEX=0"}</definedName>
    <definedName name="_231__FDSAUDITLINK__" hidden="1">{"fdsup://directions/FAT Viewer?action=UPDATE&amp;creator=factset&amp;DYN_ARGS=TRUE&amp;DOC_NAME=FAT:FQL_AUDITING_CLIENT_TEMPLATE.FAT&amp;display_string=Audit&amp;VAR:KEY=ZKJGXOFKLK&amp;VAR:QUERY=RkZfRElWX1lMRChBTk4sMTEvMDIvMDYsMTEvMDIvMDYp&amp;WINDOW=FIRST_POPUP&amp;HEIGHT=450&amp;WIDTH=450&amp;","START_MAXIMIZED=FALSE&amp;VAR:CALENDAR=US&amp;VAR:SYMBOL=RAI&amp;VAR:INDEX=0"}</definedName>
    <definedName name="_2310">#REF!</definedName>
    <definedName name="_2310__FDSAUDITLINK__" localSheetId="0" hidden="1">{"fdsup://directions/FAT Viewer?action=UPDATE&amp;creator=factset&amp;DYN_ARGS=TRUE&amp;DOC_NAME=FAT:FQL_AUDITING_CLIENT_TEMPLATE.FAT&amp;display_string=Audit&amp;VAR:KEY=WHMFWRCPKR&amp;VAR:QUERY=RkZfRElWX1lMRChBTk4sMi8yOC8wNywyLzI4LzA3KQ==&amp;WINDOW=FIRST_POPUP&amp;HEIGHT=450&amp;WIDTH=450&amp;","START_MAXIMIZED=FALSE&amp;VAR:CALENDAR=US&amp;VAR:SYMBOL=RAI&amp;VAR:INDEX=0"}</definedName>
    <definedName name="_2310__FDSAUDITLINK__" hidden="1">{"fdsup://directions/FAT Viewer?action=UPDATE&amp;creator=factset&amp;DYN_ARGS=TRUE&amp;DOC_NAME=FAT:FQL_AUDITING_CLIENT_TEMPLATE.FAT&amp;display_string=Audit&amp;VAR:KEY=WHMFWRCPKR&amp;VAR:QUERY=RkZfRElWX1lMRChBTk4sMi8yOC8wNywyLzI4LzA3KQ==&amp;WINDOW=FIRST_POPUP&amp;HEIGHT=450&amp;WIDTH=450&amp;","START_MAXIMIZED=FALSE&amp;VAR:CALENDAR=US&amp;VAR:SYMBOL=RAI&amp;VAR:INDEX=0"}</definedName>
    <definedName name="_2311__FDSAUDITLINK__" localSheetId="0" hidden="1">{"fdsup://directions/FAT Viewer?action=UPDATE&amp;creator=factset&amp;DYN_ARGS=TRUE&amp;DOC_NAME=FAT:FQL_AUDITING_CLIENT_TEMPLATE.FAT&amp;display_string=Audit&amp;VAR:KEY=IHYRSDKTOF&amp;VAR:QUERY=RkZfRElWX1lMRChBTk4sMi8yMS8wNywyLzIxLzA3KQ==&amp;WINDOW=FIRST_POPUP&amp;HEIGHT=450&amp;WIDTH=450&amp;","START_MAXIMIZED=FALSE&amp;VAR:CALENDAR=US&amp;VAR:SYMBOL=RAI&amp;VAR:INDEX=0"}</definedName>
    <definedName name="_2311__FDSAUDITLINK__" hidden="1">{"fdsup://directions/FAT Viewer?action=UPDATE&amp;creator=factset&amp;DYN_ARGS=TRUE&amp;DOC_NAME=FAT:FQL_AUDITING_CLIENT_TEMPLATE.FAT&amp;display_string=Audit&amp;VAR:KEY=IHYRSDKTOF&amp;VAR:QUERY=RkZfRElWX1lMRChBTk4sMi8yMS8wNywyLzIxLzA3KQ==&amp;WINDOW=FIRST_POPUP&amp;HEIGHT=450&amp;WIDTH=450&amp;","START_MAXIMIZED=FALSE&amp;VAR:CALENDAR=US&amp;VAR:SYMBOL=RAI&amp;VAR:INDEX=0"}</definedName>
    <definedName name="_2312__FDSAUDITLINK__" localSheetId="0" hidden="1">{"fdsup://directions/FAT Viewer?action=UPDATE&amp;creator=factset&amp;DYN_ARGS=TRUE&amp;DOC_NAME=FAT:FQL_AUDITING_CLIENT_TEMPLATE.FAT&amp;display_string=Audit&amp;VAR:KEY=EXIXQXMFOB&amp;VAR:QUERY=RkZfRElWX1lMRChBTk4sMi8xNC8wNywyLzE0LzA3KQ==&amp;WINDOW=FIRST_POPUP&amp;HEIGHT=450&amp;WIDTH=450&amp;","START_MAXIMIZED=FALSE&amp;VAR:CALENDAR=US&amp;VAR:SYMBOL=RAI&amp;VAR:INDEX=0"}</definedName>
    <definedName name="_2312__FDSAUDITLINK__" hidden="1">{"fdsup://directions/FAT Viewer?action=UPDATE&amp;creator=factset&amp;DYN_ARGS=TRUE&amp;DOC_NAME=FAT:FQL_AUDITING_CLIENT_TEMPLATE.FAT&amp;display_string=Audit&amp;VAR:KEY=EXIXQXMFOB&amp;VAR:QUERY=RkZfRElWX1lMRChBTk4sMi8xNC8wNywyLzE0LzA3KQ==&amp;WINDOW=FIRST_POPUP&amp;HEIGHT=450&amp;WIDTH=450&amp;","START_MAXIMIZED=FALSE&amp;VAR:CALENDAR=US&amp;VAR:SYMBOL=RAI&amp;VAR:INDEX=0"}</definedName>
    <definedName name="_2313__FDSAUDITLINK__" localSheetId="0" hidden="1">{"fdsup://directions/FAT Viewer?action=UPDATE&amp;creator=factset&amp;DYN_ARGS=TRUE&amp;DOC_NAME=FAT:FQL_AUDITING_CLIENT_TEMPLATE.FAT&amp;display_string=Audit&amp;VAR:KEY=SNMPUVSFYJ&amp;VAR:QUERY=RkZfRElWX1lMRChBTk4sMi8wNy8wNywyLzA3LzA3KQ==&amp;WINDOW=FIRST_POPUP&amp;HEIGHT=450&amp;WIDTH=450&amp;","START_MAXIMIZED=FALSE&amp;VAR:CALENDAR=US&amp;VAR:SYMBOL=RAI&amp;VAR:INDEX=0"}</definedName>
    <definedName name="_2313__FDSAUDITLINK__" hidden="1">{"fdsup://directions/FAT Viewer?action=UPDATE&amp;creator=factset&amp;DYN_ARGS=TRUE&amp;DOC_NAME=FAT:FQL_AUDITING_CLIENT_TEMPLATE.FAT&amp;display_string=Audit&amp;VAR:KEY=SNMPUVSFYJ&amp;VAR:QUERY=RkZfRElWX1lMRChBTk4sMi8wNy8wNywyLzA3LzA3KQ==&amp;WINDOW=FIRST_POPUP&amp;HEIGHT=450&amp;WIDTH=450&amp;","START_MAXIMIZED=FALSE&amp;VAR:CALENDAR=US&amp;VAR:SYMBOL=RAI&amp;VAR:INDEX=0"}</definedName>
    <definedName name="_2314__FDSAUDITLINK__" localSheetId="0" hidden="1">{"fdsup://directions/FAT Viewer?action=UPDATE&amp;creator=factset&amp;DYN_ARGS=TRUE&amp;DOC_NAME=FAT:FQL_AUDITING_CLIENT_TEMPLATE.FAT&amp;display_string=Audit&amp;VAR:KEY=ABKFERCTQD&amp;VAR:QUERY=RkZfRElWX1lMRChBTk4sMS8zMS8wNywxLzMxLzA3KQ==&amp;WINDOW=FIRST_POPUP&amp;HEIGHT=450&amp;WIDTH=450&amp;","START_MAXIMIZED=FALSE&amp;VAR:CALENDAR=US&amp;VAR:SYMBOL=RAI&amp;VAR:INDEX=0"}</definedName>
    <definedName name="_2314__FDSAUDITLINK__" hidden="1">{"fdsup://directions/FAT Viewer?action=UPDATE&amp;creator=factset&amp;DYN_ARGS=TRUE&amp;DOC_NAME=FAT:FQL_AUDITING_CLIENT_TEMPLATE.FAT&amp;display_string=Audit&amp;VAR:KEY=ABKFERCTQD&amp;VAR:QUERY=RkZfRElWX1lMRChBTk4sMS8zMS8wNywxLzMxLzA3KQ==&amp;WINDOW=FIRST_POPUP&amp;HEIGHT=450&amp;WIDTH=450&amp;","START_MAXIMIZED=FALSE&amp;VAR:CALENDAR=US&amp;VAR:SYMBOL=RAI&amp;VAR:INDEX=0"}</definedName>
    <definedName name="_2315__FDSAUDITLINK__" localSheetId="0" hidden="1">{"fdsup://directions/FAT Viewer?action=UPDATE&amp;creator=factset&amp;DYN_ARGS=TRUE&amp;DOC_NAME=FAT:FQL_AUDITING_CLIENT_TEMPLATE.FAT&amp;display_string=Audit&amp;VAR:KEY=WDATIDQTSN&amp;VAR:QUERY=RkZfRElWX1lMRChBTk4sMS8yNC8wNywxLzI0LzA3KQ==&amp;WINDOW=FIRST_POPUP&amp;HEIGHT=450&amp;WIDTH=450&amp;","START_MAXIMIZED=FALSE&amp;VAR:CALENDAR=US&amp;VAR:SYMBOL=RAI&amp;VAR:INDEX=0"}</definedName>
    <definedName name="_2315__FDSAUDITLINK__" hidden="1">{"fdsup://directions/FAT Viewer?action=UPDATE&amp;creator=factset&amp;DYN_ARGS=TRUE&amp;DOC_NAME=FAT:FQL_AUDITING_CLIENT_TEMPLATE.FAT&amp;display_string=Audit&amp;VAR:KEY=WDATIDQTSN&amp;VAR:QUERY=RkZfRElWX1lMRChBTk4sMS8yNC8wNywxLzI0LzA3KQ==&amp;WINDOW=FIRST_POPUP&amp;HEIGHT=450&amp;WIDTH=450&amp;","START_MAXIMIZED=FALSE&amp;VAR:CALENDAR=US&amp;VAR:SYMBOL=RAI&amp;VAR:INDEX=0"}</definedName>
    <definedName name="_2316__FDSAUDITLINK__" localSheetId="0" hidden="1">{"fdsup://directions/FAT Viewer?action=UPDATE&amp;creator=factset&amp;DYN_ARGS=TRUE&amp;DOC_NAME=FAT:FQL_AUDITING_CLIENT_TEMPLATE.FAT&amp;display_string=Audit&amp;VAR:KEY=STUDWVMDSP&amp;VAR:QUERY=RkZfRElWX1lMRChBTk4sMS8xNy8wNywxLzE3LzA3KQ==&amp;WINDOW=FIRST_POPUP&amp;HEIGHT=450&amp;WIDTH=450&amp;","START_MAXIMIZED=FALSE&amp;VAR:CALENDAR=US&amp;VAR:SYMBOL=RAI&amp;VAR:INDEX=0"}</definedName>
    <definedName name="_2316__FDSAUDITLINK__" hidden="1">{"fdsup://directions/FAT Viewer?action=UPDATE&amp;creator=factset&amp;DYN_ARGS=TRUE&amp;DOC_NAME=FAT:FQL_AUDITING_CLIENT_TEMPLATE.FAT&amp;display_string=Audit&amp;VAR:KEY=STUDWVMDSP&amp;VAR:QUERY=RkZfRElWX1lMRChBTk4sMS8xNy8wNywxLzE3LzA3KQ==&amp;WINDOW=FIRST_POPUP&amp;HEIGHT=450&amp;WIDTH=450&amp;","START_MAXIMIZED=FALSE&amp;VAR:CALENDAR=US&amp;VAR:SYMBOL=RAI&amp;VAR:INDEX=0"}</definedName>
    <definedName name="_2317__FDSAUDITLINK__" localSheetId="0" hidden="1">{"fdsup://directions/FAT Viewer?action=UPDATE&amp;creator=factset&amp;DYN_ARGS=TRUE&amp;DOC_NAME=FAT:FQL_AUDITING_CLIENT_TEMPLATE.FAT&amp;display_string=Audit&amp;VAR:KEY=YBQNEPMRIZ&amp;VAR:QUERY=RkZfRElWX1lMRChBTk4sMS8xMC8wNywxLzEwLzA3KQ==&amp;WINDOW=FIRST_POPUP&amp;HEIGHT=450&amp;WIDTH=450&amp;","START_MAXIMIZED=FALSE&amp;VAR:CALENDAR=US&amp;VAR:SYMBOL=RAI&amp;VAR:INDEX=0"}</definedName>
    <definedName name="_2317__FDSAUDITLINK__" hidden="1">{"fdsup://directions/FAT Viewer?action=UPDATE&amp;creator=factset&amp;DYN_ARGS=TRUE&amp;DOC_NAME=FAT:FQL_AUDITING_CLIENT_TEMPLATE.FAT&amp;display_string=Audit&amp;VAR:KEY=YBQNEPMRIZ&amp;VAR:QUERY=RkZfRElWX1lMRChBTk4sMS8xMC8wNywxLzEwLzA3KQ==&amp;WINDOW=FIRST_POPUP&amp;HEIGHT=450&amp;WIDTH=450&amp;","START_MAXIMIZED=FALSE&amp;VAR:CALENDAR=US&amp;VAR:SYMBOL=RAI&amp;VAR:INDEX=0"}</definedName>
    <definedName name="_2318__FDSAUDITLINK__" localSheetId="0" hidden="1">{"fdsup://directions/FAT Viewer?action=UPDATE&amp;creator=factset&amp;DYN_ARGS=TRUE&amp;DOC_NAME=FAT:FQL_AUDITING_CLIENT_TEMPLATE.FAT&amp;display_string=Audit&amp;VAR:KEY=CVOLKXIBQX&amp;VAR:QUERY=RkZfRElWX1lMRChBTk4sMS8wMy8wNywxLzAzLzA3KQ==&amp;WINDOW=FIRST_POPUP&amp;HEIGHT=450&amp;WIDTH=450&amp;","START_MAXIMIZED=FALSE&amp;VAR:CALENDAR=US&amp;VAR:SYMBOL=RAI&amp;VAR:INDEX=0"}</definedName>
    <definedName name="_2318__FDSAUDITLINK__" hidden="1">{"fdsup://directions/FAT Viewer?action=UPDATE&amp;creator=factset&amp;DYN_ARGS=TRUE&amp;DOC_NAME=FAT:FQL_AUDITING_CLIENT_TEMPLATE.FAT&amp;display_string=Audit&amp;VAR:KEY=CVOLKXIBQX&amp;VAR:QUERY=RkZfRElWX1lMRChBTk4sMS8wMy8wNywxLzAzLzA3KQ==&amp;WINDOW=FIRST_POPUP&amp;HEIGHT=450&amp;WIDTH=450&amp;","START_MAXIMIZED=FALSE&amp;VAR:CALENDAR=US&amp;VAR:SYMBOL=RAI&amp;VAR:INDEX=0"}</definedName>
    <definedName name="_2319__FDSAUDITLINK__" localSheetId="0" hidden="1">{"fdsup://directions/FAT Viewer?action=UPDATE&amp;creator=factset&amp;DYN_ARGS=TRUE&amp;DOC_NAME=FAT:FQL_AUDITING_CLIENT_TEMPLATE.FAT&amp;display_string=Audit&amp;VAR:KEY=AXQBGNYJSZ&amp;VAR:QUERY=RkZfRElWX1lMRChBTk4sMTIvMjcvMDYsMTIvMjcvMDYp&amp;WINDOW=FIRST_POPUP&amp;HEIGHT=450&amp;WIDTH=450&amp;","START_MAXIMIZED=FALSE&amp;VAR:CALENDAR=US&amp;VAR:SYMBOL=RAI&amp;VAR:INDEX=0"}</definedName>
    <definedName name="_2319__FDSAUDITLINK__" hidden="1">{"fdsup://directions/FAT Viewer?action=UPDATE&amp;creator=factset&amp;DYN_ARGS=TRUE&amp;DOC_NAME=FAT:FQL_AUDITING_CLIENT_TEMPLATE.FAT&amp;display_string=Audit&amp;VAR:KEY=AXQBGNYJSZ&amp;VAR:QUERY=RkZfRElWX1lMRChBTk4sMTIvMjcvMDYsMTIvMjcvMDYp&amp;WINDOW=FIRST_POPUP&amp;HEIGHT=450&amp;WIDTH=450&amp;","START_MAXIMIZED=FALSE&amp;VAR:CALENDAR=US&amp;VAR:SYMBOL=RAI&amp;VAR:INDEX=0"}</definedName>
    <definedName name="_232">#REF!</definedName>
    <definedName name="_232__FDSAUDITLINK__" localSheetId="0" hidden="1">{"fdsup://directions/FAT Viewer?action=UPDATE&amp;creator=factset&amp;DYN_ARGS=TRUE&amp;DOC_NAME=FAT:FQL_AUDITING_CLIENT_TEMPLATE.FAT&amp;display_string=Audit&amp;VAR:KEY=POHSLSNUPO&amp;VAR:QUERY=RkZfRElWX1lMRChBTk4sMTAvMjYvMDYsMTAvMjYvMDYp&amp;WINDOW=FIRST_POPUP&amp;HEIGHT=450&amp;WIDTH=450&amp;","START_MAXIMIZED=FALSE&amp;VAR:CALENDAR=US&amp;VAR:SYMBOL=RAI&amp;VAR:INDEX=0"}</definedName>
    <definedName name="_232__FDSAUDITLINK__" hidden="1">{"fdsup://directions/FAT Viewer?action=UPDATE&amp;creator=factset&amp;DYN_ARGS=TRUE&amp;DOC_NAME=FAT:FQL_AUDITING_CLIENT_TEMPLATE.FAT&amp;display_string=Audit&amp;VAR:KEY=POHSLSNUPO&amp;VAR:QUERY=RkZfRElWX1lMRChBTk4sMTAvMjYvMDYsMTAvMjYvMDYp&amp;WINDOW=FIRST_POPUP&amp;HEIGHT=450&amp;WIDTH=450&amp;","START_MAXIMIZED=FALSE&amp;VAR:CALENDAR=US&amp;VAR:SYMBOL=RAI&amp;VAR:INDEX=0"}</definedName>
    <definedName name="_2320__FDSAUDITLINK__" localSheetId="0" hidden="1">{"fdsup://directions/FAT Viewer?action=UPDATE&amp;creator=factset&amp;DYN_ARGS=TRUE&amp;DOC_NAME=FAT:FQL_AUDITING_CLIENT_TEMPLATE.FAT&amp;display_string=Audit&amp;VAR:KEY=UBCBSBARGH&amp;VAR:QUERY=RkZfRElWX1lMRChBTk4sMTIvMjAvMDYsMTIvMjAvMDYp&amp;WINDOW=FIRST_POPUP&amp;HEIGHT=450&amp;WIDTH=450&amp;","START_MAXIMIZED=FALSE&amp;VAR:CALENDAR=US&amp;VAR:SYMBOL=RAI&amp;VAR:INDEX=0"}</definedName>
    <definedName name="_2320__FDSAUDITLINK__" hidden="1">{"fdsup://directions/FAT Viewer?action=UPDATE&amp;creator=factset&amp;DYN_ARGS=TRUE&amp;DOC_NAME=FAT:FQL_AUDITING_CLIENT_TEMPLATE.FAT&amp;display_string=Audit&amp;VAR:KEY=UBCBSBARGH&amp;VAR:QUERY=RkZfRElWX1lMRChBTk4sMTIvMjAvMDYsMTIvMjAvMDYp&amp;WINDOW=FIRST_POPUP&amp;HEIGHT=450&amp;WIDTH=450&amp;","START_MAXIMIZED=FALSE&amp;VAR:CALENDAR=US&amp;VAR:SYMBOL=RAI&amp;VAR:INDEX=0"}</definedName>
    <definedName name="_2321__FDSAUDITLINK__" localSheetId="0" hidden="1">{"fdsup://directions/FAT Viewer?action=UPDATE&amp;creator=factset&amp;DYN_ARGS=TRUE&amp;DOC_NAME=FAT:FQL_AUDITING_CLIENT_TEMPLATE.FAT&amp;display_string=Audit&amp;VAR:KEY=KBQLGDOTSP&amp;VAR:QUERY=RkZfRElWX1lMRChBTk4sMTIvMTMvMDYsMTIvMTMvMDYp&amp;WINDOW=FIRST_POPUP&amp;HEIGHT=450&amp;WIDTH=450&amp;","START_MAXIMIZED=FALSE&amp;VAR:CALENDAR=US&amp;VAR:SYMBOL=RAI&amp;VAR:INDEX=0"}</definedName>
    <definedName name="_2321__FDSAUDITLINK__" hidden="1">{"fdsup://directions/FAT Viewer?action=UPDATE&amp;creator=factset&amp;DYN_ARGS=TRUE&amp;DOC_NAME=FAT:FQL_AUDITING_CLIENT_TEMPLATE.FAT&amp;display_string=Audit&amp;VAR:KEY=KBQLGDOTSP&amp;VAR:QUERY=RkZfRElWX1lMRChBTk4sMTIvMTMvMDYsMTIvMTMvMDYp&amp;WINDOW=FIRST_POPUP&amp;HEIGHT=450&amp;WIDTH=450&amp;","START_MAXIMIZED=FALSE&amp;VAR:CALENDAR=US&amp;VAR:SYMBOL=RAI&amp;VAR:INDEX=0"}</definedName>
    <definedName name="_2322__FDSAUDITLINK__" localSheetId="0" hidden="1">{"fdsup://directions/FAT Viewer?action=UPDATE&amp;creator=factset&amp;DYN_ARGS=TRUE&amp;DOC_NAME=FAT:FQL_AUDITING_CLIENT_TEMPLATE.FAT&amp;display_string=Audit&amp;VAR:KEY=CRGRELIRQL&amp;VAR:QUERY=RkZfRElWX1lMRChBTk4sMTIvMDYvMDYsMTIvMDYvMDYp&amp;WINDOW=FIRST_POPUP&amp;HEIGHT=450&amp;WIDTH=450&amp;","START_MAXIMIZED=FALSE&amp;VAR:CALENDAR=US&amp;VAR:SYMBOL=RAI&amp;VAR:INDEX=0"}</definedName>
    <definedName name="_2322__FDSAUDITLINK__" hidden="1">{"fdsup://directions/FAT Viewer?action=UPDATE&amp;creator=factset&amp;DYN_ARGS=TRUE&amp;DOC_NAME=FAT:FQL_AUDITING_CLIENT_TEMPLATE.FAT&amp;display_string=Audit&amp;VAR:KEY=CRGRELIRQL&amp;VAR:QUERY=RkZfRElWX1lMRChBTk4sMTIvMDYvMDYsMTIvMDYvMDYp&amp;WINDOW=FIRST_POPUP&amp;HEIGHT=450&amp;WIDTH=450&amp;","START_MAXIMIZED=FALSE&amp;VAR:CALENDAR=US&amp;VAR:SYMBOL=RAI&amp;VAR:INDEX=0"}</definedName>
    <definedName name="_2323__FDSAUDITLINK__" localSheetId="0" hidden="1">{"fdsup://directions/FAT Viewer?action=UPDATE&amp;creator=factset&amp;DYN_ARGS=TRUE&amp;DOC_NAME=FAT:FQL_AUDITING_CLIENT_TEMPLATE.FAT&amp;display_string=Audit&amp;VAR:KEY=MBSBSVKPYD&amp;VAR:QUERY=RkZfRElWX1lMRChBTk4sMTEvMjkvMDYsMTEvMjkvMDYp&amp;WINDOW=FIRST_POPUP&amp;HEIGHT=450&amp;WIDTH=450&amp;","START_MAXIMIZED=FALSE&amp;VAR:CALENDAR=US&amp;VAR:SYMBOL=RAI&amp;VAR:INDEX=0"}</definedName>
    <definedName name="_2323__FDSAUDITLINK__" hidden="1">{"fdsup://directions/FAT Viewer?action=UPDATE&amp;creator=factset&amp;DYN_ARGS=TRUE&amp;DOC_NAME=FAT:FQL_AUDITING_CLIENT_TEMPLATE.FAT&amp;display_string=Audit&amp;VAR:KEY=MBSBSVKPYD&amp;VAR:QUERY=RkZfRElWX1lMRChBTk4sMTEvMjkvMDYsMTEvMjkvMDYp&amp;WINDOW=FIRST_POPUP&amp;HEIGHT=450&amp;WIDTH=450&amp;","START_MAXIMIZED=FALSE&amp;VAR:CALENDAR=US&amp;VAR:SYMBOL=RAI&amp;VAR:INDEX=0"}</definedName>
    <definedName name="_2324__FDSAUDITLINK__" localSheetId="0" hidden="1">{"fdsup://directions/FAT Viewer?action=UPDATE&amp;creator=factset&amp;DYN_ARGS=TRUE&amp;DOC_NAME=FAT:FQL_AUDITING_CLIENT_TEMPLATE.FAT&amp;display_string=Audit&amp;VAR:KEY=CZGXYHSBSD&amp;VAR:QUERY=RkZfRElWX1lMRChBTk4sMTEvMjIvMDYsMTEvMjIvMDYp&amp;WINDOW=FIRST_POPUP&amp;HEIGHT=450&amp;WIDTH=450&amp;","START_MAXIMIZED=FALSE&amp;VAR:CALENDAR=US&amp;VAR:SYMBOL=RAI&amp;VAR:INDEX=0"}</definedName>
    <definedName name="_2324__FDSAUDITLINK__" hidden="1">{"fdsup://directions/FAT Viewer?action=UPDATE&amp;creator=factset&amp;DYN_ARGS=TRUE&amp;DOC_NAME=FAT:FQL_AUDITING_CLIENT_TEMPLATE.FAT&amp;display_string=Audit&amp;VAR:KEY=CZGXYHSBSD&amp;VAR:QUERY=RkZfRElWX1lMRChBTk4sMTEvMjIvMDYsMTEvMjIvMDYp&amp;WINDOW=FIRST_POPUP&amp;HEIGHT=450&amp;WIDTH=450&amp;","START_MAXIMIZED=FALSE&amp;VAR:CALENDAR=US&amp;VAR:SYMBOL=RAI&amp;VAR:INDEX=0"}</definedName>
    <definedName name="_2325__FDSAUDITLINK__" localSheetId="0" hidden="1">{"fdsup://directions/FAT Viewer?action=UPDATE&amp;creator=factset&amp;DYN_ARGS=TRUE&amp;DOC_NAME=FAT:FQL_AUDITING_CLIENT_TEMPLATE.FAT&amp;display_string=Audit&amp;VAR:KEY=MRCHWTIVCH&amp;VAR:QUERY=RkZfRElWX1lMRChBTk4sMTEvMTUvMDYsMTEvMTUvMDYp&amp;WINDOW=FIRST_POPUP&amp;HEIGHT=450&amp;WIDTH=450&amp;","START_MAXIMIZED=FALSE&amp;VAR:CALENDAR=US&amp;VAR:SYMBOL=RAI&amp;VAR:INDEX=0"}</definedName>
    <definedName name="_2325__FDSAUDITLINK__" hidden="1">{"fdsup://directions/FAT Viewer?action=UPDATE&amp;creator=factset&amp;DYN_ARGS=TRUE&amp;DOC_NAME=FAT:FQL_AUDITING_CLIENT_TEMPLATE.FAT&amp;display_string=Audit&amp;VAR:KEY=MRCHWTIVCH&amp;VAR:QUERY=RkZfRElWX1lMRChBTk4sMTEvMTUvMDYsMTEvMTUvMDYp&amp;WINDOW=FIRST_POPUP&amp;HEIGHT=450&amp;WIDTH=450&amp;","START_MAXIMIZED=FALSE&amp;VAR:CALENDAR=US&amp;VAR:SYMBOL=RAI&amp;VAR:INDEX=0"}</definedName>
    <definedName name="_2326__FDSAUDITLINK__" localSheetId="0" hidden="1">{"fdsup://directions/FAT Viewer?action=UPDATE&amp;creator=factset&amp;DYN_ARGS=TRUE&amp;DOC_NAME=FAT:FQL_AUDITING_CLIENT_TEMPLATE.FAT&amp;display_string=Audit&amp;VAR:KEY=ABKJEXUXYP&amp;VAR:QUERY=RkZfRElWX1lMRChBTk4sMTEvMDgvMDYsMTEvMDgvMDYp&amp;WINDOW=FIRST_POPUP&amp;HEIGHT=450&amp;WIDTH=450&amp;","START_MAXIMIZED=FALSE&amp;VAR:CALENDAR=US&amp;VAR:SYMBOL=RAI&amp;VAR:INDEX=0"}</definedName>
    <definedName name="_2326__FDSAUDITLINK__" hidden="1">{"fdsup://directions/FAT Viewer?action=UPDATE&amp;creator=factset&amp;DYN_ARGS=TRUE&amp;DOC_NAME=FAT:FQL_AUDITING_CLIENT_TEMPLATE.FAT&amp;display_string=Audit&amp;VAR:KEY=ABKJEXUXYP&amp;VAR:QUERY=RkZfRElWX1lMRChBTk4sMTEvMDgvMDYsMTEvMDgvMDYp&amp;WINDOW=FIRST_POPUP&amp;HEIGHT=450&amp;WIDTH=450&amp;","START_MAXIMIZED=FALSE&amp;VAR:CALENDAR=US&amp;VAR:SYMBOL=RAI&amp;VAR:INDEX=0"}</definedName>
    <definedName name="_2327__FDSAUDITLINK__" localSheetId="0" hidden="1">{"fdsup://directions/FAT Viewer?action=UPDATE&amp;creator=factset&amp;DYN_ARGS=TRUE&amp;DOC_NAME=FAT:FQL_AUDITING_CLIENT_TEMPLATE.FAT&amp;display_string=Audit&amp;VAR:KEY=CPOVINEBWZ&amp;VAR:QUERY=RkZfRElWX1lMRChBTk4sMTEvMDEvMDYsMTEvMDEvMDYp&amp;WINDOW=FIRST_POPUP&amp;HEIGHT=450&amp;WIDTH=450&amp;","START_MAXIMIZED=FALSE&amp;VAR:CALENDAR=US&amp;VAR:SYMBOL=RAI&amp;VAR:INDEX=0"}</definedName>
    <definedName name="_2327__FDSAUDITLINK__" hidden="1">{"fdsup://directions/FAT Viewer?action=UPDATE&amp;creator=factset&amp;DYN_ARGS=TRUE&amp;DOC_NAME=FAT:FQL_AUDITING_CLIENT_TEMPLATE.FAT&amp;display_string=Audit&amp;VAR:KEY=CPOVINEBWZ&amp;VAR:QUERY=RkZfRElWX1lMRChBTk4sMTEvMDEvMDYsMTEvMDEvMDYp&amp;WINDOW=FIRST_POPUP&amp;HEIGHT=450&amp;WIDTH=450&amp;","START_MAXIMIZED=FALSE&amp;VAR:CALENDAR=US&amp;VAR:SYMBOL=RAI&amp;VAR:INDEX=0"}</definedName>
    <definedName name="_2328__FDSAUDITLINK__" localSheetId="0" hidden="1">{"fdsup://directions/FAT Viewer?action=UPDATE&amp;creator=factset&amp;DYN_ARGS=TRUE&amp;DOC_NAME=FAT:FQL_AUDITING_CLIENT_TEMPLATE.FAT&amp;display_string=Audit&amp;VAR:KEY=YFKJKJODMF&amp;VAR:QUERY=RkZfRElWX1lMRChBTk4sMTAvMjUvMDYsMTAvMjUvMDYp&amp;WINDOW=FIRST_POPUP&amp;HEIGHT=450&amp;WIDTH=450&amp;","START_MAXIMIZED=FALSE&amp;VAR:CALENDAR=US&amp;VAR:SYMBOL=RAI&amp;VAR:INDEX=0"}</definedName>
    <definedName name="_2328__FDSAUDITLINK__" hidden="1">{"fdsup://directions/FAT Viewer?action=UPDATE&amp;creator=factset&amp;DYN_ARGS=TRUE&amp;DOC_NAME=FAT:FQL_AUDITING_CLIENT_TEMPLATE.FAT&amp;display_string=Audit&amp;VAR:KEY=YFKJKJODMF&amp;VAR:QUERY=RkZfRElWX1lMRChBTk4sMTAvMjUvMDYsMTAvMjUvMDYp&amp;WINDOW=FIRST_POPUP&amp;HEIGHT=450&amp;WIDTH=450&amp;","START_MAXIMIZED=FALSE&amp;VAR:CALENDAR=US&amp;VAR:SYMBOL=RAI&amp;VAR:INDEX=0"}</definedName>
    <definedName name="_2329__FDSAUDITLINK__" localSheetId="0" hidden="1">{"fdsup://directions/FAT Viewer?action=UPDATE&amp;creator=factset&amp;DYN_ARGS=TRUE&amp;DOC_NAME=FAT:FQL_AUDITING_CLIENT_TEMPLATE.FAT&amp;display_string=Audit&amp;VAR:KEY=EXOZIBSNQV&amp;VAR:QUERY=RkZfRElWX1lMRChBTk4sMTAvMTgvMDYsMTAvMTgvMDYp&amp;WINDOW=FIRST_POPUP&amp;HEIGHT=450&amp;WIDTH=450&amp;","START_MAXIMIZED=FALSE&amp;VAR:CALENDAR=US&amp;VAR:SYMBOL=RAI&amp;VAR:INDEX=0"}</definedName>
    <definedName name="_2329__FDSAUDITLINK__" hidden="1">{"fdsup://directions/FAT Viewer?action=UPDATE&amp;creator=factset&amp;DYN_ARGS=TRUE&amp;DOC_NAME=FAT:FQL_AUDITING_CLIENT_TEMPLATE.FAT&amp;display_string=Audit&amp;VAR:KEY=EXOZIBSNQV&amp;VAR:QUERY=RkZfRElWX1lMRChBTk4sMTAvMTgvMDYsMTAvMTgvMDYp&amp;WINDOW=FIRST_POPUP&amp;HEIGHT=450&amp;WIDTH=450&amp;","START_MAXIMIZED=FALSE&amp;VAR:CALENDAR=US&amp;VAR:SYMBOL=RAI&amp;VAR:INDEX=0"}</definedName>
    <definedName name="_233">#REF!</definedName>
    <definedName name="_233__FDSAUDITLINK__" localSheetId="0" hidden="1">{"fdsup://directions/FAT Viewer?action=UPDATE&amp;creator=factset&amp;DYN_ARGS=TRUE&amp;DOC_NAME=FAT:FQL_AUDITING_CLIENT_TEMPLATE.FAT&amp;display_string=Audit&amp;VAR:KEY=VQFIJSHSXQ&amp;VAR:QUERY=RkZfRElWX1lMRChBTk4sMTAvMTkvMDYsMTAvMTkvMDYp&amp;WINDOW=FIRST_POPUP&amp;HEIGHT=450&amp;WIDTH=450&amp;","START_MAXIMIZED=FALSE&amp;VAR:CALENDAR=US&amp;VAR:SYMBOL=RAI&amp;VAR:INDEX=0"}</definedName>
    <definedName name="_233__FDSAUDITLINK__" hidden="1">{"fdsup://directions/FAT Viewer?action=UPDATE&amp;creator=factset&amp;DYN_ARGS=TRUE&amp;DOC_NAME=FAT:FQL_AUDITING_CLIENT_TEMPLATE.FAT&amp;display_string=Audit&amp;VAR:KEY=VQFIJSHSXQ&amp;VAR:QUERY=RkZfRElWX1lMRChBTk4sMTAvMTkvMDYsMTAvMTkvMDYp&amp;WINDOW=FIRST_POPUP&amp;HEIGHT=450&amp;WIDTH=450&amp;","START_MAXIMIZED=FALSE&amp;VAR:CALENDAR=US&amp;VAR:SYMBOL=RAI&amp;VAR:INDEX=0"}</definedName>
    <definedName name="_2330__FDSAUDITLINK__" localSheetId="0" hidden="1">{"fdsup://directions/FAT Viewer?action=UPDATE&amp;creator=factset&amp;DYN_ARGS=TRUE&amp;DOC_NAME=FAT:FQL_AUDITING_CLIENT_TEMPLATE.FAT&amp;display_string=Audit&amp;VAR:KEY=KTQFKZGPUN&amp;VAR:QUERY=RkZfRElWX1lMRChBTk4sMTAvMTEvMDYsMTAvMTEvMDYp&amp;WINDOW=FIRST_POPUP&amp;HEIGHT=450&amp;WIDTH=450&amp;","START_MAXIMIZED=FALSE&amp;VAR:CALENDAR=US&amp;VAR:SYMBOL=RAI&amp;VAR:INDEX=0"}</definedName>
    <definedName name="_2330__FDSAUDITLINK__" hidden="1">{"fdsup://directions/FAT Viewer?action=UPDATE&amp;creator=factset&amp;DYN_ARGS=TRUE&amp;DOC_NAME=FAT:FQL_AUDITING_CLIENT_TEMPLATE.FAT&amp;display_string=Audit&amp;VAR:KEY=KTQFKZGPUN&amp;VAR:QUERY=RkZfRElWX1lMRChBTk4sMTAvMTEvMDYsMTAvMTEvMDYp&amp;WINDOW=FIRST_POPUP&amp;HEIGHT=450&amp;WIDTH=450&amp;","START_MAXIMIZED=FALSE&amp;VAR:CALENDAR=US&amp;VAR:SYMBOL=RAI&amp;VAR:INDEX=0"}</definedName>
    <definedName name="_2331__FDSAUDITLINK__" localSheetId="0" hidden="1">{"fdsup://directions/FAT Viewer?action=UPDATE&amp;creator=factset&amp;DYN_ARGS=TRUE&amp;DOC_NAME=FAT:FQL_AUDITING_CLIENT_TEMPLATE.FAT&amp;display_string=Audit&amp;VAR:KEY=AJQDSPEXQL&amp;VAR:QUERY=RkZfRElWX1lMRChBTk4sMTAvMDQvMDYsMTAvMDQvMDYp&amp;WINDOW=FIRST_POPUP&amp;HEIGHT=450&amp;WIDTH=450&amp;","START_MAXIMIZED=FALSE&amp;VAR:CALENDAR=US&amp;VAR:SYMBOL=RAI&amp;VAR:INDEX=0"}</definedName>
    <definedName name="_2331__FDSAUDITLINK__" hidden="1">{"fdsup://directions/FAT Viewer?action=UPDATE&amp;creator=factset&amp;DYN_ARGS=TRUE&amp;DOC_NAME=FAT:FQL_AUDITING_CLIENT_TEMPLATE.FAT&amp;display_string=Audit&amp;VAR:KEY=AJQDSPEXQL&amp;VAR:QUERY=RkZfRElWX1lMRChBTk4sMTAvMDQvMDYsMTAvMDQvMDYp&amp;WINDOW=FIRST_POPUP&amp;HEIGHT=450&amp;WIDTH=450&amp;","START_MAXIMIZED=FALSE&amp;VAR:CALENDAR=US&amp;VAR:SYMBOL=RAI&amp;VAR:INDEX=0"}</definedName>
    <definedName name="_2332__FDSAUDITLINK__" localSheetId="0" hidden="1">{"fdsup://directions/FAT Viewer?action=UPDATE&amp;creator=factset&amp;DYN_ARGS=TRUE&amp;DOC_NAME=FAT:FQL_AUDITING_CLIENT_TEMPLATE.FAT&amp;display_string=Audit&amp;VAR:KEY=WXMDQDAXOX&amp;VAR:QUERY=RkZfRElWX1lMRChBTk4sOS8yNy8wNiw5LzI3LzA2KQ==&amp;WINDOW=FIRST_POPUP&amp;HEIGHT=450&amp;WIDTH=450&amp;","START_MAXIMIZED=FALSE&amp;VAR:CALENDAR=US&amp;VAR:SYMBOL=RAI&amp;VAR:INDEX=0"}</definedName>
    <definedName name="_2332__FDSAUDITLINK__" hidden="1">{"fdsup://directions/FAT Viewer?action=UPDATE&amp;creator=factset&amp;DYN_ARGS=TRUE&amp;DOC_NAME=FAT:FQL_AUDITING_CLIENT_TEMPLATE.FAT&amp;display_string=Audit&amp;VAR:KEY=WXMDQDAXOX&amp;VAR:QUERY=RkZfRElWX1lMRChBTk4sOS8yNy8wNiw5LzI3LzA2KQ==&amp;WINDOW=FIRST_POPUP&amp;HEIGHT=450&amp;WIDTH=450&amp;","START_MAXIMIZED=FALSE&amp;VAR:CALENDAR=US&amp;VAR:SYMBOL=RAI&amp;VAR:INDEX=0"}</definedName>
    <definedName name="_2333__FDSAUDITLINK__" localSheetId="0" hidden="1">{"fdsup://directions/FAT Viewer?action=UPDATE&amp;creator=factset&amp;DYN_ARGS=TRUE&amp;DOC_NAME=FAT:FQL_AUDITING_CLIENT_TEMPLATE.FAT&amp;display_string=Audit&amp;VAR:KEY=KFALINWHCD&amp;VAR:QUERY=RkZfRElWX1lMRChBTk4sOS8yMC8wNiw5LzIwLzA2KQ==&amp;WINDOW=FIRST_POPUP&amp;HEIGHT=450&amp;WIDTH=450&amp;","START_MAXIMIZED=FALSE&amp;VAR:CALENDAR=US&amp;VAR:SYMBOL=RAI&amp;VAR:INDEX=0"}</definedName>
    <definedName name="_2333__FDSAUDITLINK__" hidden="1">{"fdsup://directions/FAT Viewer?action=UPDATE&amp;creator=factset&amp;DYN_ARGS=TRUE&amp;DOC_NAME=FAT:FQL_AUDITING_CLIENT_TEMPLATE.FAT&amp;display_string=Audit&amp;VAR:KEY=KFALINWHCD&amp;VAR:QUERY=RkZfRElWX1lMRChBTk4sOS8yMC8wNiw5LzIwLzA2KQ==&amp;WINDOW=FIRST_POPUP&amp;HEIGHT=450&amp;WIDTH=450&amp;","START_MAXIMIZED=FALSE&amp;VAR:CALENDAR=US&amp;VAR:SYMBOL=RAI&amp;VAR:INDEX=0"}</definedName>
    <definedName name="_2334__FDSAUDITLINK__" localSheetId="0" hidden="1">{"fdsup://directions/FAT Viewer?action=UPDATE&amp;creator=factset&amp;DYN_ARGS=TRUE&amp;DOC_NAME=FAT:FQL_AUDITING_CLIENT_TEMPLATE.FAT&amp;display_string=Audit&amp;VAR:KEY=ETYHKVWLGL&amp;VAR:QUERY=RkZfRElWX1lMRChBTk4sOS8xMy8wNiw5LzEzLzA2KQ==&amp;WINDOW=FIRST_POPUP&amp;HEIGHT=450&amp;WIDTH=450&amp;","START_MAXIMIZED=FALSE&amp;VAR:CALENDAR=US&amp;VAR:SYMBOL=RAI&amp;VAR:INDEX=0"}</definedName>
    <definedName name="_2334__FDSAUDITLINK__" hidden="1">{"fdsup://directions/FAT Viewer?action=UPDATE&amp;creator=factset&amp;DYN_ARGS=TRUE&amp;DOC_NAME=FAT:FQL_AUDITING_CLIENT_TEMPLATE.FAT&amp;display_string=Audit&amp;VAR:KEY=ETYHKVWLGL&amp;VAR:QUERY=RkZfRElWX1lMRChBTk4sOS8xMy8wNiw5LzEzLzA2KQ==&amp;WINDOW=FIRST_POPUP&amp;HEIGHT=450&amp;WIDTH=450&amp;","START_MAXIMIZED=FALSE&amp;VAR:CALENDAR=US&amp;VAR:SYMBOL=RAI&amp;VAR:INDEX=0"}</definedName>
    <definedName name="_2335__FDSAUDITLINK__" localSheetId="0" hidden="1">{"fdsup://directions/FAT Viewer?action=UPDATE&amp;creator=factset&amp;DYN_ARGS=TRUE&amp;DOC_NAME=FAT:FQL_AUDITING_CLIENT_TEMPLATE.FAT&amp;display_string=Audit&amp;VAR:KEY=EJKPKBUZWJ&amp;VAR:QUERY=RkZfRElWX1lMRChBTk4sOS8wNi8wNiw5LzA2LzA2KQ==&amp;WINDOW=FIRST_POPUP&amp;HEIGHT=450&amp;WIDTH=450&amp;","START_MAXIMIZED=FALSE&amp;VAR:CALENDAR=US&amp;VAR:SYMBOL=RAI&amp;VAR:INDEX=0"}</definedName>
    <definedName name="_2335__FDSAUDITLINK__" hidden="1">{"fdsup://directions/FAT Viewer?action=UPDATE&amp;creator=factset&amp;DYN_ARGS=TRUE&amp;DOC_NAME=FAT:FQL_AUDITING_CLIENT_TEMPLATE.FAT&amp;display_string=Audit&amp;VAR:KEY=EJKPKBUZWJ&amp;VAR:QUERY=RkZfRElWX1lMRChBTk4sOS8wNi8wNiw5LzA2LzA2KQ==&amp;WINDOW=FIRST_POPUP&amp;HEIGHT=450&amp;WIDTH=450&amp;","START_MAXIMIZED=FALSE&amp;VAR:CALENDAR=US&amp;VAR:SYMBOL=RAI&amp;VAR:INDEX=0"}</definedName>
    <definedName name="_2336__FDSAUDITLINK__" localSheetId="0" hidden="1">{"fdsup://directions/FAT Viewer?action=UPDATE&amp;creator=factset&amp;DYN_ARGS=TRUE&amp;DOC_NAME=FAT:FQL_AUDITING_CLIENT_TEMPLATE.FAT&amp;display_string=Audit&amp;VAR:KEY=OZEFQVGJAR&amp;VAR:QUERY=RkZfRElWX1lMRChBTk4sOC8zMC8wNiw4LzMwLzA2KQ==&amp;WINDOW=FIRST_POPUP&amp;HEIGHT=450&amp;WIDTH=450&amp;","START_MAXIMIZED=FALSE&amp;VAR:CALENDAR=US&amp;VAR:SYMBOL=RAI&amp;VAR:INDEX=0"}</definedName>
    <definedName name="_2336__FDSAUDITLINK__" hidden="1">{"fdsup://directions/FAT Viewer?action=UPDATE&amp;creator=factset&amp;DYN_ARGS=TRUE&amp;DOC_NAME=FAT:FQL_AUDITING_CLIENT_TEMPLATE.FAT&amp;display_string=Audit&amp;VAR:KEY=OZEFQVGJAR&amp;VAR:QUERY=RkZfRElWX1lMRChBTk4sOC8zMC8wNiw4LzMwLzA2KQ==&amp;WINDOW=FIRST_POPUP&amp;HEIGHT=450&amp;WIDTH=450&amp;","START_MAXIMIZED=FALSE&amp;VAR:CALENDAR=US&amp;VAR:SYMBOL=RAI&amp;VAR:INDEX=0"}</definedName>
    <definedName name="_2337__FDSAUDITLINK__" localSheetId="0" hidden="1">{"fdsup://directions/FAT Viewer?action=UPDATE&amp;creator=factset&amp;DYN_ARGS=TRUE&amp;DOC_NAME=FAT:FQL_AUDITING_CLIENT_TEMPLATE.FAT&amp;display_string=Audit&amp;VAR:KEY=YBWJONQRMP&amp;VAR:QUERY=RkZfRElWX1lMRChBTk4sOC8yMy8wNiw4LzIzLzA2KQ==&amp;WINDOW=FIRST_POPUP&amp;HEIGHT=450&amp;WIDTH=450&amp;","START_MAXIMIZED=FALSE&amp;VAR:CALENDAR=US&amp;VAR:SYMBOL=RAI&amp;VAR:INDEX=0"}</definedName>
    <definedName name="_2337__FDSAUDITLINK__" hidden="1">{"fdsup://directions/FAT Viewer?action=UPDATE&amp;creator=factset&amp;DYN_ARGS=TRUE&amp;DOC_NAME=FAT:FQL_AUDITING_CLIENT_TEMPLATE.FAT&amp;display_string=Audit&amp;VAR:KEY=YBWJONQRMP&amp;VAR:QUERY=RkZfRElWX1lMRChBTk4sOC8yMy8wNiw4LzIzLzA2KQ==&amp;WINDOW=FIRST_POPUP&amp;HEIGHT=450&amp;WIDTH=450&amp;","START_MAXIMIZED=FALSE&amp;VAR:CALENDAR=US&amp;VAR:SYMBOL=RAI&amp;VAR:INDEX=0"}</definedName>
    <definedName name="_2338">#REF!</definedName>
    <definedName name="_2338__FDSAUDITLINK__" localSheetId="0" hidden="1">{"fdsup://directions/FAT Viewer?action=UPDATE&amp;creator=factset&amp;DYN_ARGS=TRUE&amp;DOC_NAME=FAT:FQL_AUDITING_CLIENT_TEMPLATE.FAT&amp;display_string=Audit&amp;VAR:KEY=ONILMVKXIX&amp;VAR:QUERY=RkZfRElWX1lMRChBTk4sOC8xNi8wNiw4LzE2LzA2KQ==&amp;WINDOW=FIRST_POPUP&amp;HEIGHT=450&amp;WIDTH=450&amp;","START_MAXIMIZED=FALSE&amp;VAR:CALENDAR=US&amp;VAR:SYMBOL=RAI&amp;VAR:INDEX=0"}</definedName>
    <definedName name="_2338__FDSAUDITLINK__" hidden="1">{"fdsup://directions/FAT Viewer?action=UPDATE&amp;creator=factset&amp;DYN_ARGS=TRUE&amp;DOC_NAME=FAT:FQL_AUDITING_CLIENT_TEMPLATE.FAT&amp;display_string=Audit&amp;VAR:KEY=ONILMVKXIX&amp;VAR:QUERY=RkZfRElWX1lMRChBTk4sOC8xNi8wNiw4LzE2LzA2KQ==&amp;WINDOW=FIRST_POPUP&amp;HEIGHT=450&amp;WIDTH=450&amp;","START_MAXIMIZED=FALSE&amp;VAR:CALENDAR=US&amp;VAR:SYMBOL=RAI&amp;VAR:INDEX=0"}</definedName>
    <definedName name="_2339">#REF!</definedName>
    <definedName name="_2339__FDSAUDITLINK__" localSheetId="0" hidden="1">{"fdsup://directions/FAT Viewer?action=UPDATE&amp;creator=factset&amp;DYN_ARGS=TRUE&amp;DOC_NAME=FAT:FQL_AUDITING_CLIENT_TEMPLATE.FAT&amp;display_string=Audit&amp;VAR:KEY=UXCBAJUDAN&amp;VAR:QUERY=RkZfRElWX1lMRChBTk4sOC8wOS8wNiw4LzA5LzA2KQ==&amp;WINDOW=FIRST_POPUP&amp;HEIGHT=450&amp;WIDTH=450&amp;","START_MAXIMIZED=FALSE&amp;VAR:CALENDAR=US&amp;VAR:SYMBOL=RAI&amp;VAR:INDEX=0"}</definedName>
    <definedName name="_2339__FDSAUDITLINK__" hidden="1">{"fdsup://directions/FAT Viewer?action=UPDATE&amp;creator=factset&amp;DYN_ARGS=TRUE&amp;DOC_NAME=FAT:FQL_AUDITING_CLIENT_TEMPLATE.FAT&amp;display_string=Audit&amp;VAR:KEY=UXCBAJUDAN&amp;VAR:QUERY=RkZfRElWX1lMRChBTk4sOC8wOS8wNiw4LzA5LzA2KQ==&amp;WINDOW=FIRST_POPUP&amp;HEIGHT=450&amp;WIDTH=450&amp;","START_MAXIMIZED=FALSE&amp;VAR:CALENDAR=US&amp;VAR:SYMBOL=RAI&amp;VAR:INDEX=0"}</definedName>
    <definedName name="_234">#REF!</definedName>
    <definedName name="_234__FDSAUDITLINK__" localSheetId="0" hidden="1">{"fdsup://directions/FAT Viewer?action=UPDATE&amp;creator=factset&amp;DYN_ARGS=TRUE&amp;DOC_NAME=FAT:FQL_AUDITING_CLIENT_TEMPLATE.FAT&amp;display_string=Audit&amp;VAR:KEY=XAXENAXATY&amp;VAR:QUERY=RkZfRElWX1lMRChBTk4sMTAvMTIvMDYsMTAvMTIvMDYp&amp;WINDOW=FIRST_POPUP&amp;HEIGHT=450&amp;WIDTH=450&amp;","START_MAXIMIZED=FALSE&amp;VAR:CALENDAR=US&amp;VAR:SYMBOL=RAI&amp;VAR:INDEX=0"}</definedName>
    <definedName name="_234__FDSAUDITLINK__" hidden="1">{"fdsup://directions/FAT Viewer?action=UPDATE&amp;creator=factset&amp;DYN_ARGS=TRUE&amp;DOC_NAME=FAT:FQL_AUDITING_CLIENT_TEMPLATE.FAT&amp;display_string=Audit&amp;VAR:KEY=XAXENAXATY&amp;VAR:QUERY=RkZfRElWX1lMRChBTk4sMTAvMTIvMDYsMTAvMTIvMDYp&amp;WINDOW=FIRST_POPUP&amp;HEIGHT=450&amp;WIDTH=450&amp;","START_MAXIMIZED=FALSE&amp;VAR:CALENDAR=US&amp;VAR:SYMBOL=RAI&amp;VAR:INDEX=0"}</definedName>
    <definedName name="_2340__FDSAUDITLINK__" localSheetId="0" hidden="1">{"fdsup://directions/FAT Viewer?action=UPDATE&amp;creator=factset&amp;DYN_ARGS=TRUE&amp;DOC_NAME=FAT:FQL_AUDITING_CLIENT_TEMPLATE.FAT&amp;display_string=Audit&amp;VAR:KEY=OHWPGDWZUP&amp;VAR:QUERY=RkZfRElWX1lMRChBTk4sOC8wMi8wNiw4LzAyLzA2KQ==&amp;WINDOW=FIRST_POPUP&amp;HEIGHT=450&amp;WIDTH=450&amp;","START_MAXIMIZED=FALSE&amp;VAR:CALENDAR=US&amp;VAR:SYMBOL=RAI&amp;VAR:INDEX=0"}</definedName>
    <definedName name="_2340__FDSAUDITLINK__" hidden="1">{"fdsup://directions/FAT Viewer?action=UPDATE&amp;creator=factset&amp;DYN_ARGS=TRUE&amp;DOC_NAME=FAT:FQL_AUDITING_CLIENT_TEMPLATE.FAT&amp;display_string=Audit&amp;VAR:KEY=OHWPGDWZUP&amp;VAR:QUERY=RkZfRElWX1lMRChBTk4sOC8wMi8wNiw4LzAyLzA2KQ==&amp;WINDOW=FIRST_POPUP&amp;HEIGHT=450&amp;WIDTH=450&amp;","START_MAXIMIZED=FALSE&amp;VAR:CALENDAR=US&amp;VAR:SYMBOL=RAI&amp;VAR:INDEX=0"}</definedName>
    <definedName name="_2341">#REF!</definedName>
    <definedName name="_2341__FDSAUDITLINK__" localSheetId="0" hidden="1">{"fdsup://directions/FAT Viewer?action=UPDATE&amp;creator=factset&amp;DYN_ARGS=TRUE&amp;DOC_NAME=FAT:FQL_AUDITING_CLIENT_TEMPLATE.FAT&amp;display_string=Audit&amp;VAR:KEY=AZKTUFKNKB&amp;VAR:QUERY=RkZfRElWX1lMRChBTk4sNy8yNi8wNiw3LzI2LzA2KQ==&amp;WINDOW=FIRST_POPUP&amp;HEIGHT=450&amp;WIDTH=450&amp;","START_MAXIMIZED=FALSE&amp;VAR:CALENDAR=US&amp;VAR:SYMBOL=RAI&amp;VAR:INDEX=0"}</definedName>
    <definedName name="_2341__FDSAUDITLINK__" hidden="1">{"fdsup://directions/FAT Viewer?action=UPDATE&amp;creator=factset&amp;DYN_ARGS=TRUE&amp;DOC_NAME=FAT:FQL_AUDITING_CLIENT_TEMPLATE.FAT&amp;display_string=Audit&amp;VAR:KEY=AZKTUFKNKB&amp;VAR:QUERY=RkZfRElWX1lMRChBTk4sNy8yNi8wNiw3LzI2LzA2KQ==&amp;WINDOW=FIRST_POPUP&amp;HEIGHT=450&amp;WIDTH=450&amp;","START_MAXIMIZED=FALSE&amp;VAR:CALENDAR=US&amp;VAR:SYMBOL=RAI&amp;VAR:INDEX=0"}</definedName>
    <definedName name="_2342">#REF!</definedName>
    <definedName name="_2342__FDSAUDITLINK__" localSheetId="0" hidden="1">{"fdsup://directions/FAT Viewer?action=UPDATE&amp;creator=factset&amp;DYN_ARGS=TRUE&amp;DOC_NAME=FAT:FQL_AUDITING_CLIENT_TEMPLATE.FAT&amp;display_string=Audit&amp;VAR:KEY=SFUVUJKPAN&amp;VAR:QUERY=RkZfRElWX1lMRChBTk4sNy8xOS8wNiw3LzE5LzA2KQ==&amp;WINDOW=FIRST_POPUP&amp;HEIGHT=450&amp;WIDTH=450&amp;","START_MAXIMIZED=FALSE&amp;VAR:CALENDAR=US&amp;VAR:SYMBOL=RAI&amp;VAR:INDEX=0"}</definedName>
    <definedName name="_2342__FDSAUDITLINK__" hidden="1">{"fdsup://directions/FAT Viewer?action=UPDATE&amp;creator=factset&amp;DYN_ARGS=TRUE&amp;DOC_NAME=FAT:FQL_AUDITING_CLIENT_TEMPLATE.FAT&amp;display_string=Audit&amp;VAR:KEY=SFUVUJKPAN&amp;VAR:QUERY=RkZfRElWX1lMRChBTk4sNy8xOS8wNiw3LzE5LzA2KQ==&amp;WINDOW=FIRST_POPUP&amp;HEIGHT=450&amp;WIDTH=450&amp;","START_MAXIMIZED=FALSE&amp;VAR:CALENDAR=US&amp;VAR:SYMBOL=RAI&amp;VAR:INDEX=0"}</definedName>
    <definedName name="_2343__FDSAUDITLINK__" localSheetId="0" hidden="1">{"fdsup://directions/FAT Viewer?action=UPDATE&amp;creator=factset&amp;DYN_ARGS=TRUE&amp;DOC_NAME=FAT:FQL_AUDITING_CLIENT_TEMPLATE.FAT&amp;display_string=Audit&amp;VAR:KEY=GJYZUFGTIR&amp;VAR:QUERY=RkZfRElWX1lMRChBTk4sNy8xMi8wNiw3LzEyLzA2KQ==&amp;WINDOW=FIRST_POPUP&amp;HEIGHT=450&amp;WIDTH=450&amp;","START_MAXIMIZED=FALSE&amp;VAR:CALENDAR=US&amp;VAR:SYMBOL=RAI&amp;VAR:INDEX=0"}</definedName>
    <definedName name="_2343__FDSAUDITLINK__" hidden="1">{"fdsup://directions/FAT Viewer?action=UPDATE&amp;creator=factset&amp;DYN_ARGS=TRUE&amp;DOC_NAME=FAT:FQL_AUDITING_CLIENT_TEMPLATE.FAT&amp;display_string=Audit&amp;VAR:KEY=GJYZUFGTIR&amp;VAR:QUERY=RkZfRElWX1lMRChBTk4sNy8xMi8wNiw3LzEyLzA2KQ==&amp;WINDOW=FIRST_POPUP&amp;HEIGHT=450&amp;WIDTH=450&amp;","START_MAXIMIZED=FALSE&amp;VAR:CALENDAR=US&amp;VAR:SYMBOL=RAI&amp;VAR:INDEX=0"}</definedName>
    <definedName name="_2344">#REF!</definedName>
    <definedName name="_2344__FDSAUDITLINK__" localSheetId="0" hidden="1">{"fdsup://directions/FAT Viewer?action=UPDATE&amp;creator=factset&amp;DYN_ARGS=TRUE&amp;DOC_NAME=FAT:FQL_AUDITING_CLIENT_TEMPLATE.FAT&amp;display_string=Audit&amp;VAR:KEY=QFODEDWXUJ&amp;VAR:QUERY=RkZfRElWX1lMRChBTk4sNy8wNS8wNiw3LzA1LzA2KQ==&amp;WINDOW=FIRST_POPUP&amp;HEIGHT=450&amp;WIDTH=450&amp;","START_MAXIMIZED=FALSE&amp;VAR:CALENDAR=US&amp;VAR:SYMBOL=RAI&amp;VAR:INDEX=0"}</definedName>
    <definedName name="_2344__FDSAUDITLINK__" hidden="1">{"fdsup://directions/FAT Viewer?action=UPDATE&amp;creator=factset&amp;DYN_ARGS=TRUE&amp;DOC_NAME=FAT:FQL_AUDITING_CLIENT_TEMPLATE.FAT&amp;display_string=Audit&amp;VAR:KEY=QFODEDWXUJ&amp;VAR:QUERY=RkZfRElWX1lMRChBTk4sNy8wNS8wNiw3LzA1LzA2KQ==&amp;WINDOW=FIRST_POPUP&amp;HEIGHT=450&amp;WIDTH=450&amp;","START_MAXIMIZED=FALSE&amp;VAR:CALENDAR=US&amp;VAR:SYMBOL=RAI&amp;VAR:INDEX=0"}</definedName>
    <definedName name="_2345">#REF!</definedName>
    <definedName name="_2345__FDSAUDITLINK__" localSheetId="0" hidden="1">{"fdsup://directions/FAT Viewer?action=UPDATE&amp;creator=factset&amp;DYN_ARGS=TRUE&amp;DOC_NAME=FAT:FQL_AUDITING_CLIENT_TEMPLATE.FAT&amp;display_string=Audit&amp;VAR:KEY=EFIBSPIHIF&amp;VAR:QUERY=RkZfRElWX1lMRChBTk4sNi8yOC8wNiw2LzI4LzA2KQ==&amp;WINDOW=FIRST_POPUP&amp;HEIGHT=450&amp;WIDTH=450&amp;","START_MAXIMIZED=FALSE&amp;VAR:CALENDAR=US&amp;VAR:SYMBOL=RAI&amp;VAR:INDEX=0"}</definedName>
    <definedName name="_2345__FDSAUDITLINK__" hidden="1">{"fdsup://directions/FAT Viewer?action=UPDATE&amp;creator=factset&amp;DYN_ARGS=TRUE&amp;DOC_NAME=FAT:FQL_AUDITING_CLIENT_TEMPLATE.FAT&amp;display_string=Audit&amp;VAR:KEY=EFIBSPIHIF&amp;VAR:QUERY=RkZfRElWX1lMRChBTk4sNi8yOC8wNiw2LzI4LzA2KQ==&amp;WINDOW=FIRST_POPUP&amp;HEIGHT=450&amp;WIDTH=450&amp;","START_MAXIMIZED=FALSE&amp;VAR:CALENDAR=US&amp;VAR:SYMBOL=RAI&amp;VAR:INDEX=0"}</definedName>
    <definedName name="_2346__FDSAUDITLINK__" localSheetId="0" hidden="1">{"fdsup://directions/FAT Viewer?action=UPDATE&amp;creator=factset&amp;DYN_ARGS=TRUE&amp;DOC_NAME=FAT:FQL_AUDITING_CLIENT_TEMPLATE.FAT&amp;display_string=Audit&amp;VAR:KEY=YJGFAFSDIX&amp;VAR:QUERY=RkZfRElWX1lMRChBTk4sNi8yMS8wNiw2LzIxLzA2KQ==&amp;WINDOW=FIRST_POPUP&amp;HEIGHT=450&amp;WIDTH=450&amp;","START_MAXIMIZED=FALSE&amp;VAR:CALENDAR=US&amp;VAR:SYMBOL=RAI&amp;VAR:INDEX=0"}</definedName>
    <definedName name="_2346__FDSAUDITLINK__" hidden="1">{"fdsup://directions/FAT Viewer?action=UPDATE&amp;creator=factset&amp;DYN_ARGS=TRUE&amp;DOC_NAME=FAT:FQL_AUDITING_CLIENT_TEMPLATE.FAT&amp;display_string=Audit&amp;VAR:KEY=YJGFAFSDIX&amp;VAR:QUERY=RkZfRElWX1lMRChBTk4sNi8yMS8wNiw2LzIxLzA2KQ==&amp;WINDOW=FIRST_POPUP&amp;HEIGHT=450&amp;WIDTH=450&amp;","START_MAXIMIZED=FALSE&amp;VAR:CALENDAR=US&amp;VAR:SYMBOL=RAI&amp;VAR:INDEX=0"}</definedName>
    <definedName name="_2347">#REF!</definedName>
    <definedName name="_2347__FDSAUDITLINK__" localSheetId="0" hidden="1">{"fdsup://directions/FAT Viewer?action=UPDATE&amp;creator=factset&amp;DYN_ARGS=TRUE&amp;DOC_NAME=FAT:FQL_AUDITING_CLIENT_TEMPLATE.FAT&amp;display_string=Audit&amp;VAR:KEY=STUHWHKXSD&amp;VAR:QUERY=RkZfRElWX1lMRChBTk4sNi8xNC8wNiw2LzE0LzA2KQ==&amp;WINDOW=FIRST_POPUP&amp;HEIGHT=450&amp;WIDTH=450&amp;","START_MAXIMIZED=FALSE&amp;VAR:CALENDAR=US&amp;VAR:SYMBOL=RAI&amp;VAR:INDEX=0"}</definedName>
    <definedName name="_2347__FDSAUDITLINK__" hidden="1">{"fdsup://directions/FAT Viewer?action=UPDATE&amp;creator=factset&amp;DYN_ARGS=TRUE&amp;DOC_NAME=FAT:FQL_AUDITING_CLIENT_TEMPLATE.FAT&amp;display_string=Audit&amp;VAR:KEY=STUHWHKXSD&amp;VAR:QUERY=RkZfRElWX1lMRChBTk4sNi8xNC8wNiw2LzE0LzA2KQ==&amp;WINDOW=FIRST_POPUP&amp;HEIGHT=450&amp;WIDTH=450&amp;","START_MAXIMIZED=FALSE&amp;VAR:CALENDAR=US&amp;VAR:SYMBOL=RAI&amp;VAR:INDEX=0"}</definedName>
    <definedName name="_2348">#REF!</definedName>
    <definedName name="_2348__FDSAUDITLINK__" localSheetId="0" hidden="1">{"fdsup://directions/FAT Viewer?action=UPDATE&amp;creator=factset&amp;DYN_ARGS=TRUE&amp;DOC_NAME=FAT:FQL_AUDITING_CLIENT_TEMPLATE.FAT&amp;display_string=Audit&amp;VAR:KEY=INQTOVIPQL&amp;VAR:QUERY=RkZfRElWX1lMRChBTk4sNi8wNy8wNiw2LzA3LzA2KQ==&amp;WINDOW=FIRST_POPUP&amp;HEIGHT=450&amp;WIDTH=450&amp;","START_MAXIMIZED=FALSE&amp;VAR:CALENDAR=US&amp;VAR:SYMBOL=RAI&amp;VAR:INDEX=0"}</definedName>
    <definedName name="_2348__FDSAUDITLINK__" hidden="1">{"fdsup://directions/FAT Viewer?action=UPDATE&amp;creator=factset&amp;DYN_ARGS=TRUE&amp;DOC_NAME=FAT:FQL_AUDITING_CLIENT_TEMPLATE.FAT&amp;display_string=Audit&amp;VAR:KEY=INQTOVIPQL&amp;VAR:QUERY=RkZfRElWX1lMRChBTk4sNi8wNy8wNiw2LzA3LzA2KQ==&amp;WINDOW=FIRST_POPUP&amp;HEIGHT=450&amp;WIDTH=450&amp;","START_MAXIMIZED=FALSE&amp;VAR:CALENDAR=US&amp;VAR:SYMBOL=RAI&amp;VAR:INDEX=0"}</definedName>
    <definedName name="_2349__FDSAUDITLINK__" localSheetId="0" hidden="1">{"fdsup://directions/FAT Viewer?action=UPDATE&amp;creator=factset&amp;DYN_ARGS=TRUE&amp;DOC_NAME=FAT:FQL_AUDITING_CLIENT_TEMPLATE.FAT&amp;display_string=Audit&amp;VAR:KEY=AFAXMBOVMH&amp;VAR:QUERY=RkZfRElWX1lMRChBTk4sNS8zMS8wNiw1LzMxLzA2KQ==&amp;WINDOW=FIRST_POPUP&amp;HEIGHT=450&amp;WIDTH=450&amp;","START_MAXIMIZED=FALSE&amp;VAR:CALENDAR=US&amp;VAR:SYMBOL=RAI&amp;VAR:INDEX=0"}</definedName>
    <definedName name="_2349__FDSAUDITLINK__" hidden="1">{"fdsup://directions/FAT Viewer?action=UPDATE&amp;creator=factset&amp;DYN_ARGS=TRUE&amp;DOC_NAME=FAT:FQL_AUDITING_CLIENT_TEMPLATE.FAT&amp;display_string=Audit&amp;VAR:KEY=AFAXMBOVMH&amp;VAR:QUERY=RkZfRElWX1lMRChBTk4sNS8zMS8wNiw1LzMxLzA2KQ==&amp;WINDOW=FIRST_POPUP&amp;HEIGHT=450&amp;WIDTH=450&amp;","START_MAXIMIZED=FALSE&amp;VAR:CALENDAR=US&amp;VAR:SYMBOL=RAI&amp;VAR:INDEX=0"}</definedName>
    <definedName name="_235">#REF!</definedName>
    <definedName name="_235__FDSAUDITLINK__" localSheetId="0" hidden="1">{"fdsup://directions/FAT Viewer?action=UPDATE&amp;creator=factset&amp;DYN_ARGS=TRUE&amp;DOC_NAME=FAT:FQL_AUDITING_CLIENT_TEMPLATE.FAT&amp;display_string=Audit&amp;VAR:KEY=TEFKDGXEVA&amp;VAR:QUERY=RkZfRElWX1lMRChBTk4sMTAvMDUvMDYsMTAvMDUvMDYp&amp;WINDOW=FIRST_POPUP&amp;HEIGHT=450&amp;WIDTH=450&amp;","START_MAXIMIZED=FALSE&amp;VAR:CALENDAR=US&amp;VAR:SYMBOL=RAI&amp;VAR:INDEX=0"}</definedName>
    <definedName name="_235__FDSAUDITLINK__" hidden="1">{"fdsup://directions/FAT Viewer?action=UPDATE&amp;creator=factset&amp;DYN_ARGS=TRUE&amp;DOC_NAME=FAT:FQL_AUDITING_CLIENT_TEMPLATE.FAT&amp;display_string=Audit&amp;VAR:KEY=TEFKDGXEVA&amp;VAR:QUERY=RkZfRElWX1lMRChBTk4sMTAvMDUvMDYsMTAvMDUvMDYp&amp;WINDOW=FIRST_POPUP&amp;HEIGHT=450&amp;WIDTH=450&amp;","START_MAXIMIZED=FALSE&amp;VAR:CALENDAR=US&amp;VAR:SYMBOL=RAI&amp;VAR:INDEX=0"}</definedName>
    <definedName name="_2350__FDSAUDITLINK__" localSheetId="0" hidden="1">{"fdsup://directions/FAT Viewer?action=UPDATE&amp;creator=factset&amp;DYN_ARGS=TRUE&amp;DOC_NAME=FAT:FQL_AUDITING_CLIENT_TEMPLATE.FAT&amp;display_string=Audit&amp;VAR:KEY=EVIPKLYLGJ&amp;VAR:QUERY=RkZfRElWX1lMRChBTk4sNS8yNC8wNiw1LzI0LzA2KQ==&amp;WINDOW=FIRST_POPUP&amp;HEIGHT=450&amp;WIDTH=450&amp;","START_MAXIMIZED=FALSE&amp;VAR:CALENDAR=US&amp;VAR:SYMBOL=RAI&amp;VAR:INDEX=0"}</definedName>
    <definedName name="_2350__FDSAUDITLINK__" hidden="1">{"fdsup://directions/FAT Viewer?action=UPDATE&amp;creator=factset&amp;DYN_ARGS=TRUE&amp;DOC_NAME=FAT:FQL_AUDITING_CLIENT_TEMPLATE.FAT&amp;display_string=Audit&amp;VAR:KEY=EVIPKLYLGJ&amp;VAR:QUERY=RkZfRElWX1lMRChBTk4sNS8yNC8wNiw1LzI0LzA2KQ==&amp;WINDOW=FIRST_POPUP&amp;HEIGHT=450&amp;WIDTH=450&amp;","START_MAXIMIZED=FALSE&amp;VAR:CALENDAR=US&amp;VAR:SYMBOL=RAI&amp;VAR:INDEX=0"}</definedName>
    <definedName name="_2351__FDSAUDITLINK__" localSheetId="0" hidden="1">{"fdsup://directions/FAT Viewer?action=UPDATE&amp;creator=factset&amp;DYN_ARGS=TRUE&amp;DOC_NAME=FAT:FQL_AUDITING_CLIENT_TEMPLATE.FAT&amp;display_string=Audit&amp;VAR:KEY=ANKRINOTCL&amp;VAR:QUERY=RkZfRElWX1lMRChBTk4sNS8xNy8wNiw1LzE3LzA2KQ==&amp;WINDOW=FIRST_POPUP&amp;HEIGHT=450&amp;WIDTH=450&amp;","START_MAXIMIZED=FALSE&amp;VAR:CALENDAR=US&amp;VAR:SYMBOL=RAI&amp;VAR:INDEX=0"}</definedName>
    <definedName name="_2351__FDSAUDITLINK__" hidden="1">{"fdsup://directions/FAT Viewer?action=UPDATE&amp;creator=factset&amp;DYN_ARGS=TRUE&amp;DOC_NAME=FAT:FQL_AUDITING_CLIENT_TEMPLATE.FAT&amp;display_string=Audit&amp;VAR:KEY=ANKRINOTCL&amp;VAR:QUERY=RkZfRElWX1lMRChBTk4sNS8xNy8wNiw1LzE3LzA2KQ==&amp;WINDOW=FIRST_POPUP&amp;HEIGHT=450&amp;WIDTH=450&amp;","START_MAXIMIZED=FALSE&amp;VAR:CALENDAR=US&amp;VAR:SYMBOL=RAI&amp;VAR:INDEX=0"}</definedName>
    <definedName name="_2352__FDSAUDITLINK__" localSheetId="0" hidden="1">{"fdsup://directions/FAT Viewer?action=UPDATE&amp;creator=factset&amp;DYN_ARGS=TRUE&amp;DOC_NAME=FAT:FQL_AUDITING_CLIENT_TEMPLATE.FAT&amp;display_string=Audit&amp;VAR:KEY=CJKLYDYJGJ&amp;VAR:QUERY=RkZfRElWX1lMRChBTk4sNS8xMC8wNiw1LzEwLzA2KQ==&amp;WINDOW=FIRST_POPUP&amp;HEIGHT=450&amp;WIDTH=450&amp;","START_MAXIMIZED=FALSE&amp;VAR:CALENDAR=US&amp;VAR:SYMBOL=RAI&amp;VAR:INDEX=0"}</definedName>
    <definedName name="_2352__FDSAUDITLINK__" hidden="1">{"fdsup://directions/FAT Viewer?action=UPDATE&amp;creator=factset&amp;DYN_ARGS=TRUE&amp;DOC_NAME=FAT:FQL_AUDITING_CLIENT_TEMPLATE.FAT&amp;display_string=Audit&amp;VAR:KEY=CJKLYDYJGJ&amp;VAR:QUERY=RkZfRElWX1lMRChBTk4sNS8xMC8wNiw1LzEwLzA2KQ==&amp;WINDOW=FIRST_POPUP&amp;HEIGHT=450&amp;WIDTH=450&amp;","START_MAXIMIZED=FALSE&amp;VAR:CALENDAR=US&amp;VAR:SYMBOL=RAI&amp;VAR:INDEX=0"}</definedName>
    <definedName name="_2353__FDSAUDITLINK__" localSheetId="0" hidden="1">{"fdsup://directions/FAT Viewer?action=UPDATE&amp;creator=factset&amp;DYN_ARGS=TRUE&amp;DOC_NAME=FAT:FQL_AUDITING_CLIENT_TEMPLATE.FAT&amp;display_string=Audit&amp;VAR:KEY=GBYTIHOFIB&amp;VAR:QUERY=RkZfRElWX1lMRChBTk4sNS8wMy8wNiw1LzAzLzA2KQ==&amp;WINDOW=FIRST_POPUP&amp;HEIGHT=450&amp;WIDTH=450&amp;","START_MAXIMIZED=FALSE&amp;VAR:CALENDAR=US&amp;VAR:SYMBOL=RAI&amp;VAR:INDEX=0"}</definedName>
    <definedName name="_2353__FDSAUDITLINK__" hidden="1">{"fdsup://directions/FAT Viewer?action=UPDATE&amp;creator=factset&amp;DYN_ARGS=TRUE&amp;DOC_NAME=FAT:FQL_AUDITING_CLIENT_TEMPLATE.FAT&amp;display_string=Audit&amp;VAR:KEY=GBYTIHOFIB&amp;VAR:QUERY=RkZfRElWX1lMRChBTk4sNS8wMy8wNiw1LzAzLzA2KQ==&amp;WINDOW=FIRST_POPUP&amp;HEIGHT=450&amp;WIDTH=450&amp;","START_MAXIMIZED=FALSE&amp;VAR:CALENDAR=US&amp;VAR:SYMBOL=RAI&amp;VAR:INDEX=0"}</definedName>
    <definedName name="_2354__FDSAUDITLINK__" localSheetId="0" hidden="1">{"fdsup://directions/FAT Viewer?action=UPDATE&amp;creator=factset&amp;DYN_ARGS=TRUE&amp;DOC_NAME=FAT:FQL_AUDITING_CLIENT_TEMPLATE.FAT&amp;display_string=Audit&amp;VAR:KEY=EJSVKBKBOH&amp;VAR:QUERY=RkZfRElWX1lMRChBTk4sNC8yNi8wNiw0LzI2LzA2KQ==&amp;WINDOW=FIRST_POPUP&amp;HEIGHT=450&amp;WIDTH=450&amp;","START_MAXIMIZED=FALSE&amp;VAR:CALENDAR=US&amp;VAR:SYMBOL=RAI&amp;VAR:INDEX=0"}</definedName>
    <definedName name="_2354__FDSAUDITLINK__" hidden="1">{"fdsup://directions/FAT Viewer?action=UPDATE&amp;creator=factset&amp;DYN_ARGS=TRUE&amp;DOC_NAME=FAT:FQL_AUDITING_CLIENT_TEMPLATE.FAT&amp;display_string=Audit&amp;VAR:KEY=EJSVKBKBOH&amp;VAR:QUERY=RkZfRElWX1lMRChBTk4sNC8yNi8wNiw0LzI2LzA2KQ==&amp;WINDOW=FIRST_POPUP&amp;HEIGHT=450&amp;WIDTH=450&amp;","START_MAXIMIZED=FALSE&amp;VAR:CALENDAR=US&amp;VAR:SYMBOL=RAI&amp;VAR:INDEX=0"}</definedName>
    <definedName name="_2355__FDSAUDITLINK__" localSheetId="0" hidden="1">{"fdsup://directions/FAT Viewer?action=UPDATE&amp;creator=factset&amp;DYN_ARGS=TRUE&amp;DOC_NAME=FAT:FQL_AUDITING_CLIENT_TEMPLATE.FAT&amp;display_string=Audit&amp;VAR:KEY=CZKJGHIJWX&amp;VAR:QUERY=RkZfRElWX1lMRChBTk4sNC8xOS8wNiw0LzE5LzA2KQ==&amp;WINDOW=FIRST_POPUP&amp;HEIGHT=450&amp;WIDTH=450&amp;","START_MAXIMIZED=FALSE&amp;VAR:CALENDAR=US&amp;VAR:SYMBOL=RAI&amp;VAR:INDEX=0"}</definedName>
    <definedName name="_2355__FDSAUDITLINK__" hidden="1">{"fdsup://directions/FAT Viewer?action=UPDATE&amp;creator=factset&amp;DYN_ARGS=TRUE&amp;DOC_NAME=FAT:FQL_AUDITING_CLIENT_TEMPLATE.FAT&amp;display_string=Audit&amp;VAR:KEY=CZKJGHIJWX&amp;VAR:QUERY=RkZfRElWX1lMRChBTk4sNC8xOS8wNiw0LzE5LzA2KQ==&amp;WINDOW=FIRST_POPUP&amp;HEIGHT=450&amp;WIDTH=450&amp;","START_MAXIMIZED=FALSE&amp;VAR:CALENDAR=US&amp;VAR:SYMBOL=RAI&amp;VAR:INDEX=0"}</definedName>
    <definedName name="_2356__FDSAUDITLINK__" localSheetId="0" hidden="1">{"fdsup://directions/FAT Viewer?action=UPDATE&amp;creator=factset&amp;DYN_ARGS=TRUE&amp;DOC_NAME=FAT:FQL_AUDITING_CLIENT_TEMPLATE.FAT&amp;display_string=Audit&amp;VAR:KEY=OJWXOHIDKN&amp;VAR:QUERY=RkZfRElWX1lMRChBTk4sNC8xMi8wNiw0LzEyLzA2KQ==&amp;WINDOW=FIRST_POPUP&amp;HEIGHT=450&amp;WIDTH=450&amp;","START_MAXIMIZED=FALSE&amp;VAR:CALENDAR=US&amp;VAR:SYMBOL=RAI&amp;VAR:INDEX=0"}</definedName>
    <definedName name="_2356__FDSAUDITLINK__" hidden="1">{"fdsup://directions/FAT Viewer?action=UPDATE&amp;creator=factset&amp;DYN_ARGS=TRUE&amp;DOC_NAME=FAT:FQL_AUDITING_CLIENT_TEMPLATE.FAT&amp;display_string=Audit&amp;VAR:KEY=OJWXOHIDKN&amp;VAR:QUERY=RkZfRElWX1lMRChBTk4sNC8xMi8wNiw0LzEyLzA2KQ==&amp;WINDOW=FIRST_POPUP&amp;HEIGHT=450&amp;WIDTH=450&amp;","START_MAXIMIZED=FALSE&amp;VAR:CALENDAR=US&amp;VAR:SYMBOL=RAI&amp;VAR:INDEX=0"}</definedName>
    <definedName name="_2357__FDSAUDITLINK__" localSheetId="0" hidden="1">{"fdsup://directions/FAT Viewer?action=UPDATE&amp;creator=factset&amp;DYN_ARGS=TRUE&amp;DOC_NAME=FAT:FQL_AUDITING_CLIENT_TEMPLATE.FAT&amp;display_string=Audit&amp;VAR:KEY=IBGNIRWPUL&amp;VAR:QUERY=RkZfRElWX1lMRChBTk4sNC8wNS8wNiw0LzA1LzA2KQ==&amp;WINDOW=FIRST_POPUP&amp;HEIGHT=450&amp;WIDTH=450&amp;","START_MAXIMIZED=FALSE&amp;VAR:CALENDAR=US&amp;VAR:SYMBOL=RAI&amp;VAR:INDEX=0"}</definedName>
    <definedName name="_2357__FDSAUDITLINK__" hidden="1">{"fdsup://directions/FAT Viewer?action=UPDATE&amp;creator=factset&amp;DYN_ARGS=TRUE&amp;DOC_NAME=FAT:FQL_AUDITING_CLIENT_TEMPLATE.FAT&amp;display_string=Audit&amp;VAR:KEY=IBGNIRWPUL&amp;VAR:QUERY=RkZfRElWX1lMRChBTk4sNC8wNS8wNiw0LzA1LzA2KQ==&amp;WINDOW=FIRST_POPUP&amp;HEIGHT=450&amp;WIDTH=450&amp;","START_MAXIMIZED=FALSE&amp;VAR:CALENDAR=US&amp;VAR:SYMBOL=RAI&amp;VAR:INDEX=0"}</definedName>
    <definedName name="_2358__FDSAUDITLINK__" localSheetId="0" hidden="1">{"fdsup://directions/FAT Viewer?action=UPDATE&amp;creator=factset&amp;DYN_ARGS=TRUE&amp;DOC_NAME=FAT:FQL_AUDITING_CLIENT_TEMPLATE.FAT&amp;display_string=Audit&amp;VAR:KEY=QHODUFCRAR&amp;VAR:QUERY=RkZfRElWX1lMRChBTk4sMy8yOS8wNiwzLzI5LzA2KQ==&amp;WINDOW=FIRST_POPUP&amp;HEIGHT=450&amp;WIDTH=450&amp;","START_MAXIMIZED=FALSE&amp;VAR:CALENDAR=US&amp;VAR:SYMBOL=RAI&amp;VAR:INDEX=0"}</definedName>
    <definedName name="_2358__FDSAUDITLINK__" hidden="1">{"fdsup://directions/FAT Viewer?action=UPDATE&amp;creator=factset&amp;DYN_ARGS=TRUE&amp;DOC_NAME=FAT:FQL_AUDITING_CLIENT_TEMPLATE.FAT&amp;display_string=Audit&amp;VAR:KEY=QHODUFCRAR&amp;VAR:QUERY=RkZfRElWX1lMRChBTk4sMy8yOS8wNiwzLzI5LzA2KQ==&amp;WINDOW=FIRST_POPUP&amp;HEIGHT=450&amp;WIDTH=450&amp;","START_MAXIMIZED=FALSE&amp;VAR:CALENDAR=US&amp;VAR:SYMBOL=RAI&amp;VAR:INDEX=0"}</definedName>
    <definedName name="_2359__FDSAUDITLINK__" localSheetId="0" hidden="1">{"fdsup://directions/FAT Viewer?action=UPDATE&amp;creator=factset&amp;DYN_ARGS=TRUE&amp;DOC_NAME=FAT:FQL_AUDITING_CLIENT_TEMPLATE.FAT&amp;display_string=Audit&amp;VAR:KEY=ILMNQBKXKB&amp;VAR:QUERY=RkZfRElWX1lMRChBTk4sMy8yMi8wNiwzLzIyLzA2KQ==&amp;WINDOW=FIRST_POPUP&amp;HEIGHT=450&amp;WIDTH=450&amp;","START_MAXIMIZED=FALSE&amp;VAR:CALENDAR=US&amp;VAR:SYMBOL=RAI&amp;VAR:INDEX=0"}</definedName>
    <definedName name="_2359__FDSAUDITLINK__" hidden="1">{"fdsup://directions/FAT Viewer?action=UPDATE&amp;creator=factset&amp;DYN_ARGS=TRUE&amp;DOC_NAME=FAT:FQL_AUDITING_CLIENT_TEMPLATE.FAT&amp;display_string=Audit&amp;VAR:KEY=ILMNQBKXKB&amp;VAR:QUERY=RkZfRElWX1lMRChBTk4sMy8yMi8wNiwzLzIyLzA2KQ==&amp;WINDOW=FIRST_POPUP&amp;HEIGHT=450&amp;WIDTH=450&amp;","START_MAXIMIZED=FALSE&amp;VAR:CALENDAR=US&amp;VAR:SYMBOL=RAI&amp;VAR:INDEX=0"}</definedName>
    <definedName name="_236">#REF!</definedName>
    <definedName name="_236__FDSAUDITLINK__" localSheetId="0" hidden="1">{"fdsup://directions/FAT Viewer?action=UPDATE&amp;creator=factset&amp;DYN_ARGS=TRUE&amp;DOC_NAME=FAT:FQL_AUDITING_CLIENT_TEMPLATE.FAT&amp;display_string=Audit&amp;VAR:KEY=TMZGDIHEPQ&amp;VAR:QUERY=RkZfRElWX1lMRChBTk4sOS8yOC8wNiw5LzI4LzA2KQ==&amp;WINDOW=FIRST_POPUP&amp;HEIGHT=450&amp;WIDTH=450&amp;","START_MAXIMIZED=FALSE&amp;VAR:CALENDAR=US&amp;VAR:SYMBOL=RAI&amp;VAR:INDEX=0"}</definedName>
    <definedName name="_236__FDSAUDITLINK__" hidden="1">{"fdsup://directions/FAT Viewer?action=UPDATE&amp;creator=factset&amp;DYN_ARGS=TRUE&amp;DOC_NAME=FAT:FQL_AUDITING_CLIENT_TEMPLATE.FAT&amp;display_string=Audit&amp;VAR:KEY=TMZGDIHEPQ&amp;VAR:QUERY=RkZfRElWX1lMRChBTk4sOS8yOC8wNiw5LzI4LzA2KQ==&amp;WINDOW=FIRST_POPUP&amp;HEIGHT=450&amp;WIDTH=450&amp;","START_MAXIMIZED=FALSE&amp;VAR:CALENDAR=US&amp;VAR:SYMBOL=RAI&amp;VAR:INDEX=0"}</definedName>
    <definedName name="_2360__FDSAUDITLINK__" localSheetId="0" hidden="1">{"fdsup://directions/FAT Viewer?action=UPDATE&amp;creator=factset&amp;DYN_ARGS=TRUE&amp;DOC_NAME=FAT:FQL_AUDITING_CLIENT_TEMPLATE.FAT&amp;display_string=Audit&amp;VAR:KEY=OVQNGHMRCL&amp;VAR:QUERY=RkZfRElWX1lMRChBTk4sMy8xNS8wNiwzLzE1LzA2KQ==&amp;WINDOW=FIRST_POPUP&amp;HEIGHT=450&amp;WIDTH=450&amp;","START_MAXIMIZED=FALSE&amp;VAR:CALENDAR=US&amp;VAR:SYMBOL=RAI&amp;VAR:INDEX=0"}</definedName>
    <definedName name="_2360__FDSAUDITLINK__" hidden="1">{"fdsup://directions/FAT Viewer?action=UPDATE&amp;creator=factset&amp;DYN_ARGS=TRUE&amp;DOC_NAME=FAT:FQL_AUDITING_CLIENT_TEMPLATE.FAT&amp;display_string=Audit&amp;VAR:KEY=OVQNGHMRCL&amp;VAR:QUERY=RkZfRElWX1lMRChBTk4sMy8xNS8wNiwzLzE1LzA2KQ==&amp;WINDOW=FIRST_POPUP&amp;HEIGHT=450&amp;WIDTH=450&amp;","START_MAXIMIZED=FALSE&amp;VAR:CALENDAR=US&amp;VAR:SYMBOL=RAI&amp;VAR:INDEX=0"}</definedName>
    <definedName name="_2361__FDSAUDITLINK__" localSheetId="0" hidden="1">{"fdsup://directions/FAT Viewer?action=UPDATE&amp;creator=factset&amp;DYN_ARGS=TRUE&amp;DOC_NAME=FAT:FQL_AUDITING_CLIENT_TEMPLATE.FAT&amp;display_string=Audit&amp;VAR:KEY=UNOXYPIXQB&amp;VAR:QUERY=RkZfRElWX1lMRChBTk4sMy8wOC8wNiwzLzA4LzA2KQ==&amp;WINDOW=FIRST_POPUP&amp;HEIGHT=450&amp;WIDTH=450&amp;","START_MAXIMIZED=FALSE&amp;VAR:CALENDAR=US&amp;VAR:SYMBOL=RAI&amp;VAR:INDEX=0"}</definedName>
    <definedName name="_2361__FDSAUDITLINK__" hidden="1">{"fdsup://directions/FAT Viewer?action=UPDATE&amp;creator=factset&amp;DYN_ARGS=TRUE&amp;DOC_NAME=FAT:FQL_AUDITING_CLIENT_TEMPLATE.FAT&amp;display_string=Audit&amp;VAR:KEY=UNOXYPIXQB&amp;VAR:QUERY=RkZfRElWX1lMRChBTk4sMy8wOC8wNiwzLzA4LzA2KQ==&amp;WINDOW=FIRST_POPUP&amp;HEIGHT=450&amp;WIDTH=450&amp;","START_MAXIMIZED=FALSE&amp;VAR:CALENDAR=US&amp;VAR:SYMBOL=RAI&amp;VAR:INDEX=0"}</definedName>
    <definedName name="_2362__FDSAUDITLINK__" localSheetId="0" hidden="1">{"fdsup://directions/FAT Viewer?action=UPDATE&amp;creator=factset&amp;DYN_ARGS=TRUE&amp;DOC_NAME=FAT:FQL_AUDITING_CLIENT_TEMPLATE.FAT&amp;display_string=Audit&amp;VAR:KEY=CTYPUHELSN&amp;VAR:QUERY=RkZfRElWX1lMRChBTk4sMy8wMS8wNiwzLzAxLzA2KQ==&amp;WINDOW=FIRST_POPUP&amp;HEIGHT=450&amp;WIDTH=450&amp;","START_MAXIMIZED=FALSE&amp;VAR:CALENDAR=US&amp;VAR:SYMBOL=RAI&amp;VAR:INDEX=0"}</definedName>
    <definedName name="_2362__FDSAUDITLINK__" hidden="1">{"fdsup://directions/FAT Viewer?action=UPDATE&amp;creator=factset&amp;DYN_ARGS=TRUE&amp;DOC_NAME=FAT:FQL_AUDITING_CLIENT_TEMPLATE.FAT&amp;display_string=Audit&amp;VAR:KEY=CTYPUHELSN&amp;VAR:QUERY=RkZfRElWX1lMRChBTk4sMy8wMS8wNiwzLzAxLzA2KQ==&amp;WINDOW=FIRST_POPUP&amp;HEIGHT=450&amp;WIDTH=450&amp;","START_MAXIMIZED=FALSE&amp;VAR:CALENDAR=US&amp;VAR:SYMBOL=RAI&amp;VAR:INDEX=0"}</definedName>
    <definedName name="_2363__FDSAUDITLINK__" localSheetId="0" hidden="1">{"fdsup://directions/FAT Viewer?action=UPDATE&amp;creator=factset&amp;DYN_ARGS=TRUE&amp;DOC_NAME=FAT:FQL_AUDITING_CLIENT_TEMPLATE.FAT&amp;display_string=Audit&amp;VAR:KEY=KTMFUBQXWX&amp;VAR:QUERY=RkZfRElWX1lMRChBTk4sMi8yMi8wNiwyLzIyLzA2KQ==&amp;WINDOW=FIRST_POPUP&amp;HEIGHT=450&amp;WIDTH=450&amp;","START_MAXIMIZED=FALSE&amp;VAR:CALENDAR=US&amp;VAR:SYMBOL=RAI&amp;VAR:INDEX=0"}</definedName>
    <definedName name="_2363__FDSAUDITLINK__" hidden="1">{"fdsup://directions/FAT Viewer?action=UPDATE&amp;creator=factset&amp;DYN_ARGS=TRUE&amp;DOC_NAME=FAT:FQL_AUDITING_CLIENT_TEMPLATE.FAT&amp;display_string=Audit&amp;VAR:KEY=KTMFUBQXWX&amp;VAR:QUERY=RkZfRElWX1lMRChBTk4sMi8yMi8wNiwyLzIyLzA2KQ==&amp;WINDOW=FIRST_POPUP&amp;HEIGHT=450&amp;WIDTH=450&amp;","START_MAXIMIZED=FALSE&amp;VAR:CALENDAR=US&amp;VAR:SYMBOL=RAI&amp;VAR:INDEX=0"}</definedName>
    <definedName name="_2364__FDSAUDITLINK__" localSheetId="0" hidden="1">{"fdsup://directions/FAT Viewer?action=UPDATE&amp;creator=factset&amp;DYN_ARGS=TRUE&amp;DOC_NAME=FAT:FQL_AUDITING_CLIENT_TEMPLATE.FAT&amp;display_string=Audit&amp;VAR:KEY=YDOPKZATWL&amp;VAR:QUERY=RkZfRElWX1lMRChBTk4sMi8xNS8wNiwyLzE1LzA2KQ==&amp;WINDOW=FIRST_POPUP&amp;HEIGHT=450&amp;WIDTH=450&amp;","START_MAXIMIZED=FALSE&amp;VAR:CALENDAR=US&amp;VAR:SYMBOL=RAI&amp;VAR:INDEX=0"}</definedName>
    <definedName name="_2364__FDSAUDITLINK__" hidden="1">{"fdsup://directions/FAT Viewer?action=UPDATE&amp;creator=factset&amp;DYN_ARGS=TRUE&amp;DOC_NAME=FAT:FQL_AUDITING_CLIENT_TEMPLATE.FAT&amp;display_string=Audit&amp;VAR:KEY=YDOPKZATWL&amp;VAR:QUERY=RkZfRElWX1lMRChBTk4sMi8xNS8wNiwyLzE1LzA2KQ==&amp;WINDOW=FIRST_POPUP&amp;HEIGHT=450&amp;WIDTH=450&amp;","START_MAXIMIZED=FALSE&amp;VAR:CALENDAR=US&amp;VAR:SYMBOL=RAI&amp;VAR:INDEX=0"}</definedName>
    <definedName name="_2365__FDSAUDITLINK__" localSheetId="0" hidden="1">{"fdsup://directions/FAT Viewer?action=UPDATE&amp;creator=factset&amp;DYN_ARGS=TRUE&amp;DOC_NAME=FAT:FQL_AUDITING_CLIENT_TEMPLATE.FAT&amp;display_string=Audit&amp;VAR:KEY=SHWVCTSZQV&amp;VAR:QUERY=RkZfRElWX1lMRChBTk4sMi8wOC8wNiwyLzA4LzA2KQ==&amp;WINDOW=FIRST_POPUP&amp;HEIGHT=450&amp;WIDTH=450&amp;","START_MAXIMIZED=FALSE&amp;VAR:CALENDAR=US&amp;VAR:SYMBOL=RAI&amp;VAR:INDEX=0"}</definedName>
    <definedName name="_2365__FDSAUDITLINK__" hidden="1">{"fdsup://directions/FAT Viewer?action=UPDATE&amp;creator=factset&amp;DYN_ARGS=TRUE&amp;DOC_NAME=FAT:FQL_AUDITING_CLIENT_TEMPLATE.FAT&amp;display_string=Audit&amp;VAR:KEY=SHWVCTSZQV&amp;VAR:QUERY=RkZfRElWX1lMRChBTk4sMi8wOC8wNiwyLzA4LzA2KQ==&amp;WINDOW=FIRST_POPUP&amp;HEIGHT=450&amp;WIDTH=450&amp;","START_MAXIMIZED=FALSE&amp;VAR:CALENDAR=US&amp;VAR:SYMBOL=RAI&amp;VAR:INDEX=0"}</definedName>
    <definedName name="_2366__FDSAUDITLINK__" localSheetId="0" hidden="1">{"fdsup://directions/FAT Viewer?action=UPDATE&amp;creator=factset&amp;DYN_ARGS=TRUE&amp;DOC_NAME=FAT:FQL_AUDITING_CLIENT_TEMPLATE.FAT&amp;display_string=Audit&amp;VAR:KEY=YBABMVYVOP&amp;VAR:QUERY=RkZfRElWX1lMRChBTk4sMi8wMS8wNiwyLzAxLzA2KQ==&amp;WINDOW=FIRST_POPUP&amp;HEIGHT=450&amp;WIDTH=450&amp;","START_MAXIMIZED=FALSE&amp;VAR:CALENDAR=US&amp;VAR:SYMBOL=RAI&amp;VAR:INDEX=0"}</definedName>
    <definedName name="_2366__FDSAUDITLINK__" hidden="1">{"fdsup://directions/FAT Viewer?action=UPDATE&amp;creator=factset&amp;DYN_ARGS=TRUE&amp;DOC_NAME=FAT:FQL_AUDITING_CLIENT_TEMPLATE.FAT&amp;display_string=Audit&amp;VAR:KEY=YBABMVYVOP&amp;VAR:QUERY=RkZfRElWX1lMRChBTk4sMi8wMS8wNiwyLzAxLzA2KQ==&amp;WINDOW=FIRST_POPUP&amp;HEIGHT=450&amp;WIDTH=450&amp;","START_MAXIMIZED=FALSE&amp;VAR:CALENDAR=US&amp;VAR:SYMBOL=RAI&amp;VAR:INDEX=0"}</definedName>
    <definedName name="_2367__FDSAUDITLINK__" localSheetId="0" hidden="1">{"fdsup://directions/FAT Viewer?action=UPDATE&amp;creator=factset&amp;DYN_ARGS=TRUE&amp;DOC_NAME=FAT:FQL_AUDITING_CLIENT_TEMPLATE.FAT&amp;display_string=Audit&amp;VAR:KEY=OHOXQLORQT&amp;VAR:QUERY=RkZfRElWX1lMRChBTk4sMS8yNS8wNiwxLzI1LzA2KQ==&amp;WINDOW=FIRST_POPUP&amp;HEIGHT=450&amp;WIDTH=450&amp;","START_MAXIMIZED=FALSE&amp;VAR:CALENDAR=US&amp;VAR:SYMBOL=RAI&amp;VAR:INDEX=0"}</definedName>
    <definedName name="_2367__FDSAUDITLINK__" hidden="1">{"fdsup://directions/FAT Viewer?action=UPDATE&amp;creator=factset&amp;DYN_ARGS=TRUE&amp;DOC_NAME=FAT:FQL_AUDITING_CLIENT_TEMPLATE.FAT&amp;display_string=Audit&amp;VAR:KEY=OHOXQLORQT&amp;VAR:QUERY=RkZfRElWX1lMRChBTk4sMS8yNS8wNiwxLzI1LzA2KQ==&amp;WINDOW=FIRST_POPUP&amp;HEIGHT=450&amp;WIDTH=450&amp;","START_MAXIMIZED=FALSE&amp;VAR:CALENDAR=US&amp;VAR:SYMBOL=RAI&amp;VAR:INDEX=0"}</definedName>
    <definedName name="_2368__FDSAUDITLINK__" localSheetId="0" hidden="1">{"fdsup://directions/FAT Viewer?action=UPDATE&amp;creator=factset&amp;DYN_ARGS=TRUE&amp;DOC_NAME=FAT:FQL_AUDITING_CLIENT_TEMPLATE.FAT&amp;display_string=Audit&amp;VAR:KEY=MHSBKVCLYB&amp;VAR:QUERY=RkZfRElWX1lMRChBTk4sMS8xOC8wNiwxLzE4LzA2KQ==&amp;WINDOW=FIRST_POPUP&amp;HEIGHT=450&amp;WIDTH=450&amp;","START_MAXIMIZED=FALSE&amp;VAR:CALENDAR=US&amp;VAR:SYMBOL=RAI&amp;VAR:INDEX=0"}</definedName>
    <definedName name="_2368__FDSAUDITLINK__" hidden="1">{"fdsup://directions/FAT Viewer?action=UPDATE&amp;creator=factset&amp;DYN_ARGS=TRUE&amp;DOC_NAME=FAT:FQL_AUDITING_CLIENT_TEMPLATE.FAT&amp;display_string=Audit&amp;VAR:KEY=MHSBKVCLYB&amp;VAR:QUERY=RkZfRElWX1lMRChBTk4sMS8xOC8wNiwxLzE4LzA2KQ==&amp;WINDOW=FIRST_POPUP&amp;HEIGHT=450&amp;WIDTH=450&amp;","START_MAXIMIZED=FALSE&amp;VAR:CALENDAR=US&amp;VAR:SYMBOL=RAI&amp;VAR:INDEX=0"}</definedName>
    <definedName name="_2369__FDSAUDITLINK__" localSheetId="0" hidden="1">{"fdsup://directions/FAT Viewer?action=UPDATE&amp;creator=factset&amp;DYN_ARGS=TRUE&amp;DOC_NAME=FAT:FQL_AUDITING_CLIENT_TEMPLATE.FAT&amp;display_string=Audit&amp;VAR:KEY=KFCJMFGFIX&amp;VAR:QUERY=RkZfRElWX1lMRChBTk4sMS8xMS8wNiwxLzExLzA2KQ==&amp;WINDOW=FIRST_POPUP&amp;HEIGHT=450&amp;WIDTH=450&amp;","START_MAXIMIZED=FALSE&amp;VAR:CALENDAR=US&amp;VAR:SYMBOL=RAI&amp;VAR:INDEX=0"}</definedName>
    <definedName name="_2369__FDSAUDITLINK__" hidden="1">{"fdsup://directions/FAT Viewer?action=UPDATE&amp;creator=factset&amp;DYN_ARGS=TRUE&amp;DOC_NAME=FAT:FQL_AUDITING_CLIENT_TEMPLATE.FAT&amp;display_string=Audit&amp;VAR:KEY=KFCJMFGFIX&amp;VAR:QUERY=RkZfRElWX1lMRChBTk4sMS8xMS8wNiwxLzExLzA2KQ==&amp;WINDOW=FIRST_POPUP&amp;HEIGHT=450&amp;WIDTH=450&amp;","START_MAXIMIZED=FALSE&amp;VAR:CALENDAR=US&amp;VAR:SYMBOL=RAI&amp;VAR:INDEX=0"}</definedName>
    <definedName name="_237">#REF!</definedName>
    <definedName name="_237__FDSAUDITLINK__" localSheetId="0" hidden="1">{"fdsup://directions/FAT Viewer?action=UPDATE&amp;creator=factset&amp;DYN_ARGS=TRUE&amp;DOC_NAME=FAT:FQL_AUDITING_CLIENT_TEMPLATE.FAT&amp;display_string=Audit&amp;VAR:KEY=LEFUDORWPS&amp;VAR:QUERY=RkZfRElWX1lMRChBTk4sOS8yMS8wNiw5LzIxLzA2KQ==&amp;WINDOW=FIRST_POPUP&amp;HEIGHT=450&amp;WIDTH=450&amp;","START_MAXIMIZED=FALSE&amp;VAR:CALENDAR=US&amp;VAR:SYMBOL=RAI&amp;VAR:INDEX=0"}</definedName>
    <definedName name="_237__FDSAUDITLINK__" hidden="1">{"fdsup://directions/FAT Viewer?action=UPDATE&amp;creator=factset&amp;DYN_ARGS=TRUE&amp;DOC_NAME=FAT:FQL_AUDITING_CLIENT_TEMPLATE.FAT&amp;display_string=Audit&amp;VAR:KEY=LEFUDORWPS&amp;VAR:QUERY=RkZfRElWX1lMRChBTk4sOS8yMS8wNiw5LzIxLzA2KQ==&amp;WINDOW=FIRST_POPUP&amp;HEIGHT=450&amp;WIDTH=450&amp;","START_MAXIMIZED=FALSE&amp;VAR:CALENDAR=US&amp;VAR:SYMBOL=RAI&amp;VAR:INDEX=0"}</definedName>
    <definedName name="_2370__FDSAUDITLINK__" localSheetId="0" hidden="1">{"fdsup://directions/FAT Viewer?action=UPDATE&amp;creator=factset&amp;DYN_ARGS=TRUE&amp;DOC_NAME=FAT:FQL_AUDITING_CLIENT_TEMPLATE.FAT&amp;display_string=Audit&amp;VAR:KEY=UZAXWNWXYD&amp;VAR:QUERY=RkZfRElWX1lMRChBTk4sMS8wNC8wNiwxLzA0LzA2KQ==&amp;WINDOW=FIRST_POPUP&amp;HEIGHT=450&amp;WIDTH=450&amp;","START_MAXIMIZED=FALSE&amp;VAR:CALENDAR=US&amp;VAR:SYMBOL=RAI&amp;VAR:INDEX=0"}</definedName>
    <definedName name="_2370__FDSAUDITLINK__" hidden="1">{"fdsup://directions/FAT Viewer?action=UPDATE&amp;creator=factset&amp;DYN_ARGS=TRUE&amp;DOC_NAME=FAT:FQL_AUDITING_CLIENT_TEMPLATE.FAT&amp;display_string=Audit&amp;VAR:KEY=UZAXWNWXYD&amp;VAR:QUERY=RkZfRElWX1lMRChBTk4sMS8wNC8wNiwxLzA0LzA2KQ==&amp;WINDOW=FIRST_POPUP&amp;HEIGHT=450&amp;WIDTH=450&amp;","START_MAXIMIZED=FALSE&amp;VAR:CALENDAR=US&amp;VAR:SYMBOL=RAI&amp;VAR:INDEX=0"}</definedName>
    <definedName name="_2371__FDSAUDITLINK__" localSheetId="0" hidden="1">{"fdsup://directions/FAT Viewer?action=UPDATE&amp;creator=factset&amp;DYN_ARGS=TRUE&amp;DOC_NAME=FAT:FQL_AUDITING_CLIENT_TEMPLATE.FAT&amp;display_string=Audit&amp;VAR:KEY=OPMNKXGZYT&amp;VAR:QUERY=RkZfRElWX1lMRChBTk4sMTIvMjgvMDUsMTIvMjgvMDUp&amp;WINDOW=FIRST_POPUP&amp;HEIGHT=450&amp;WIDTH=450&amp;","START_MAXIMIZED=FALSE&amp;VAR:CALENDAR=US&amp;VAR:SYMBOL=RAI&amp;VAR:INDEX=0"}</definedName>
    <definedName name="_2371__FDSAUDITLINK__" hidden="1">{"fdsup://directions/FAT Viewer?action=UPDATE&amp;creator=factset&amp;DYN_ARGS=TRUE&amp;DOC_NAME=FAT:FQL_AUDITING_CLIENT_TEMPLATE.FAT&amp;display_string=Audit&amp;VAR:KEY=OPMNKXGZYT&amp;VAR:QUERY=RkZfRElWX1lMRChBTk4sMTIvMjgvMDUsMTIvMjgvMDUp&amp;WINDOW=FIRST_POPUP&amp;HEIGHT=450&amp;WIDTH=450&amp;","START_MAXIMIZED=FALSE&amp;VAR:CALENDAR=US&amp;VAR:SYMBOL=RAI&amp;VAR:INDEX=0"}</definedName>
    <definedName name="_2372__FDSAUDITLINK__" localSheetId="0" hidden="1">{"fdsup://directions/FAT Viewer?action=UPDATE&amp;creator=factset&amp;DYN_ARGS=TRUE&amp;DOC_NAME=FAT:FQL_AUDITING_CLIENT_TEMPLATE.FAT&amp;display_string=Audit&amp;VAR:KEY=EFGVKBEHIH&amp;VAR:QUERY=RkZfRElWX1lMRChBTk4sMTIvMjEvMDUsMTIvMjEvMDUp&amp;WINDOW=FIRST_POPUP&amp;HEIGHT=450&amp;WIDTH=450&amp;","START_MAXIMIZED=FALSE&amp;VAR:CALENDAR=US&amp;VAR:SYMBOL=RAI&amp;VAR:INDEX=0"}</definedName>
    <definedName name="_2372__FDSAUDITLINK__" hidden="1">{"fdsup://directions/FAT Viewer?action=UPDATE&amp;creator=factset&amp;DYN_ARGS=TRUE&amp;DOC_NAME=FAT:FQL_AUDITING_CLIENT_TEMPLATE.FAT&amp;display_string=Audit&amp;VAR:KEY=EFGVKBEHIH&amp;VAR:QUERY=RkZfRElWX1lMRChBTk4sMTIvMjEvMDUsMTIvMjEvMDUp&amp;WINDOW=FIRST_POPUP&amp;HEIGHT=450&amp;WIDTH=450&amp;","START_MAXIMIZED=FALSE&amp;VAR:CALENDAR=US&amp;VAR:SYMBOL=RAI&amp;VAR:INDEX=0"}</definedName>
    <definedName name="_2373__FDSAUDITLINK__" localSheetId="0" hidden="1">{"fdsup://directions/FAT Viewer?action=UPDATE&amp;creator=factset&amp;DYN_ARGS=TRUE&amp;DOC_NAME=FAT:FQL_AUDITING_CLIENT_TEMPLATE.FAT&amp;display_string=Audit&amp;VAR:KEY=YLYXEXIVIR&amp;VAR:QUERY=RkZfRElWX1lMRChBTk4sMTIvMTQvMDUsMTIvMTQvMDUp&amp;WINDOW=FIRST_POPUP&amp;HEIGHT=450&amp;WIDTH=450&amp;","START_MAXIMIZED=FALSE&amp;VAR:CALENDAR=US&amp;VAR:SYMBOL=RAI&amp;VAR:INDEX=0"}</definedName>
    <definedName name="_2373__FDSAUDITLINK__" hidden="1">{"fdsup://directions/FAT Viewer?action=UPDATE&amp;creator=factset&amp;DYN_ARGS=TRUE&amp;DOC_NAME=FAT:FQL_AUDITING_CLIENT_TEMPLATE.FAT&amp;display_string=Audit&amp;VAR:KEY=YLYXEXIVIR&amp;VAR:QUERY=RkZfRElWX1lMRChBTk4sMTIvMTQvMDUsMTIvMTQvMDUp&amp;WINDOW=FIRST_POPUP&amp;HEIGHT=450&amp;WIDTH=450&amp;","START_MAXIMIZED=FALSE&amp;VAR:CALENDAR=US&amp;VAR:SYMBOL=RAI&amp;VAR:INDEX=0"}</definedName>
    <definedName name="_2374__FDSAUDITLINK__" localSheetId="0" hidden="1">{"fdsup://directions/FAT Viewer?action=UPDATE&amp;creator=factset&amp;DYN_ARGS=TRUE&amp;DOC_NAME=FAT:FQL_AUDITING_CLIENT_TEMPLATE.FAT&amp;display_string=Audit&amp;VAR:KEY=MPIJCPKZCB&amp;VAR:QUERY=RkZfRElWX1lMRChBTk4sMTIvMDcvMDUsMTIvMDcvMDUp&amp;WINDOW=FIRST_POPUP&amp;HEIGHT=450&amp;WIDTH=450&amp;","START_MAXIMIZED=FALSE&amp;VAR:CALENDAR=US&amp;VAR:SYMBOL=RAI&amp;VAR:INDEX=0"}</definedName>
    <definedName name="_2374__FDSAUDITLINK__" hidden="1">{"fdsup://directions/FAT Viewer?action=UPDATE&amp;creator=factset&amp;DYN_ARGS=TRUE&amp;DOC_NAME=FAT:FQL_AUDITING_CLIENT_TEMPLATE.FAT&amp;display_string=Audit&amp;VAR:KEY=MPIJCPKZCB&amp;VAR:QUERY=RkZfRElWX1lMRChBTk4sMTIvMDcvMDUsMTIvMDcvMDUp&amp;WINDOW=FIRST_POPUP&amp;HEIGHT=450&amp;WIDTH=450&amp;","START_MAXIMIZED=FALSE&amp;VAR:CALENDAR=US&amp;VAR:SYMBOL=RAI&amp;VAR:INDEX=0"}</definedName>
    <definedName name="_2375__FDSAUDITLINK__" localSheetId="0" hidden="1">{"fdsup://directions/FAT Viewer?action=UPDATE&amp;creator=factset&amp;DYN_ARGS=TRUE&amp;DOC_NAME=FAT:FQL_AUDITING_CLIENT_TEMPLATE.FAT&amp;display_string=Audit&amp;VAR:KEY=WVYBQNILEJ&amp;VAR:QUERY=RkZfRElWX1lMRChBTk4sMTEvMzAvMDUsMTEvMzAvMDUp&amp;WINDOW=FIRST_POPUP&amp;HEIGHT=450&amp;WIDTH=450&amp;","START_MAXIMIZED=FALSE&amp;VAR:CALENDAR=US&amp;VAR:SYMBOL=RAI&amp;VAR:INDEX=0"}</definedName>
    <definedName name="_2375__FDSAUDITLINK__" hidden="1">{"fdsup://directions/FAT Viewer?action=UPDATE&amp;creator=factset&amp;DYN_ARGS=TRUE&amp;DOC_NAME=FAT:FQL_AUDITING_CLIENT_TEMPLATE.FAT&amp;display_string=Audit&amp;VAR:KEY=WVYBQNILEJ&amp;VAR:QUERY=RkZfRElWX1lMRChBTk4sMTEvMzAvMDUsMTEvMzAvMDUp&amp;WINDOW=FIRST_POPUP&amp;HEIGHT=450&amp;WIDTH=450&amp;","START_MAXIMIZED=FALSE&amp;VAR:CALENDAR=US&amp;VAR:SYMBOL=RAI&amp;VAR:INDEX=0"}</definedName>
    <definedName name="_2376__FDSAUDITLINK__" localSheetId="0" hidden="1">{"fdsup://directions/FAT Viewer?action=UPDATE&amp;creator=factset&amp;DYN_ARGS=TRUE&amp;DOC_NAME=FAT:FQL_AUDITING_CLIENT_TEMPLATE.FAT&amp;display_string=Audit&amp;VAR:KEY=ODQRWLIROL&amp;VAR:QUERY=RkZfRElWX1lMRChBTk4sMTEvMjMvMDUsMTEvMjMvMDUp&amp;WINDOW=FIRST_POPUP&amp;HEIGHT=450&amp;WIDTH=450&amp;","START_MAXIMIZED=FALSE&amp;VAR:CALENDAR=US&amp;VAR:SYMBOL=RAI&amp;VAR:INDEX=0"}</definedName>
    <definedName name="_2376__FDSAUDITLINK__" hidden="1">{"fdsup://directions/FAT Viewer?action=UPDATE&amp;creator=factset&amp;DYN_ARGS=TRUE&amp;DOC_NAME=FAT:FQL_AUDITING_CLIENT_TEMPLATE.FAT&amp;display_string=Audit&amp;VAR:KEY=ODQRWLIROL&amp;VAR:QUERY=RkZfRElWX1lMRChBTk4sMTEvMjMvMDUsMTEvMjMvMDUp&amp;WINDOW=FIRST_POPUP&amp;HEIGHT=450&amp;WIDTH=450&amp;","START_MAXIMIZED=FALSE&amp;VAR:CALENDAR=US&amp;VAR:SYMBOL=RAI&amp;VAR:INDEX=0"}</definedName>
    <definedName name="_2377__FDSAUDITLINK__" localSheetId="0" hidden="1">{"fdsup://directions/FAT Viewer?action=UPDATE&amp;creator=factset&amp;DYN_ARGS=TRUE&amp;DOC_NAME=FAT:FQL_AUDITING_CLIENT_TEMPLATE.FAT&amp;display_string=Audit&amp;VAR:KEY=KTAFQPWRKR&amp;VAR:QUERY=RkZfRElWX1lMRChBTk4sMTEvMTYvMDUsMTEvMTYvMDUp&amp;WINDOW=FIRST_POPUP&amp;HEIGHT=450&amp;WIDTH=450&amp;","START_MAXIMIZED=FALSE&amp;VAR:CALENDAR=US&amp;VAR:SYMBOL=RAI&amp;VAR:INDEX=0"}</definedName>
    <definedName name="_2377__FDSAUDITLINK__" hidden="1">{"fdsup://directions/FAT Viewer?action=UPDATE&amp;creator=factset&amp;DYN_ARGS=TRUE&amp;DOC_NAME=FAT:FQL_AUDITING_CLIENT_TEMPLATE.FAT&amp;display_string=Audit&amp;VAR:KEY=KTAFQPWRKR&amp;VAR:QUERY=RkZfRElWX1lMRChBTk4sMTEvMTYvMDUsMTEvMTYvMDUp&amp;WINDOW=FIRST_POPUP&amp;HEIGHT=450&amp;WIDTH=450&amp;","START_MAXIMIZED=FALSE&amp;VAR:CALENDAR=US&amp;VAR:SYMBOL=RAI&amp;VAR:INDEX=0"}</definedName>
    <definedName name="_2378__FDSAUDITLINK__" localSheetId="0" hidden="1">{"fdsup://directions/FAT Viewer?action=UPDATE&amp;creator=factset&amp;DYN_ARGS=TRUE&amp;DOC_NAME=FAT:FQL_AUDITING_CLIENT_TEMPLATE.FAT&amp;display_string=Audit&amp;VAR:KEY=ELAZYZAPSF&amp;VAR:QUERY=RkZfRElWX1lMRChBTk4sMTEvMDkvMDUsMTEvMDkvMDUp&amp;WINDOW=FIRST_POPUP&amp;HEIGHT=450&amp;WIDTH=450&amp;","START_MAXIMIZED=FALSE&amp;VAR:CALENDAR=US&amp;VAR:SYMBOL=RAI&amp;VAR:INDEX=0"}</definedName>
    <definedName name="_2378__FDSAUDITLINK__" hidden="1">{"fdsup://directions/FAT Viewer?action=UPDATE&amp;creator=factset&amp;DYN_ARGS=TRUE&amp;DOC_NAME=FAT:FQL_AUDITING_CLIENT_TEMPLATE.FAT&amp;display_string=Audit&amp;VAR:KEY=ELAZYZAPSF&amp;VAR:QUERY=RkZfRElWX1lMRChBTk4sMTEvMDkvMDUsMTEvMDkvMDUp&amp;WINDOW=FIRST_POPUP&amp;HEIGHT=450&amp;WIDTH=450&amp;","START_MAXIMIZED=FALSE&amp;VAR:CALENDAR=US&amp;VAR:SYMBOL=RAI&amp;VAR:INDEX=0"}</definedName>
    <definedName name="_2379__FDSAUDITLINK__" localSheetId="0" hidden="1">{"fdsup://directions/FAT Viewer?action=UPDATE&amp;creator=factset&amp;DYN_ARGS=TRUE&amp;DOC_NAME=FAT:FQL_AUDITING_CLIENT_TEMPLATE.FAT&amp;display_string=Audit&amp;VAR:KEY=GDUFENWVQJ&amp;VAR:QUERY=RkZfRElWX1lMRChBTk4sMTEvMDIvMDUsMTEvMDIvMDUp&amp;WINDOW=FIRST_POPUP&amp;HEIGHT=450&amp;WIDTH=450&amp;","START_MAXIMIZED=FALSE&amp;VAR:CALENDAR=US&amp;VAR:SYMBOL=RAI&amp;VAR:INDEX=0"}</definedName>
    <definedName name="_2379__FDSAUDITLINK__" hidden="1">{"fdsup://directions/FAT Viewer?action=UPDATE&amp;creator=factset&amp;DYN_ARGS=TRUE&amp;DOC_NAME=FAT:FQL_AUDITING_CLIENT_TEMPLATE.FAT&amp;display_string=Audit&amp;VAR:KEY=GDUFENWVQJ&amp;VAR:QUERY=RkZfRElWX1lMRChBTk4sMTEvMDIvMDUsMTEvMDIvMDUp&amp;WINDOW=FIRST_POPUP&amp;HEIGHT=450&amp;WIDTH=450&amp;","START_MAXIMIZED=FALSE&amp;VAR:CALENDAR=US&amp;VAR:SYMBOL=RAI&amp;VAR:INDEX=0"}</definedName>
    <definedName name="_238">#REF!</definedName>
    <definedName name="_238__FDSAUDITLINK__" localSheetId="0" hidden="1">{"fdsup://directions/FAT Viewer?action=UPDATE&amp;creator=factset&amp;DYN_ARGS=TRUE&amp;DOC_NAME=FAT:FQL_AUDITING_CLIENT_TEMPLATE.FAT&amp;display_string=Audit&amp;VAR:KEY=WPCJCFIVMV&amp;VAR:QUERY=QVZHKEZGX0RJVl9ZTEQoQU5OLDQxMDEyLC0xMEFZKSk=&amp;WINDOW=FIRST_POPUP&amp;HEIGHT=450&amp;WIDTH=450&amp;","START_MAXIMIZED=FALSE&amp;VAR:CALENDAR=US&amp;VAR:SYMBOL=SP50"}</definedName>
    <definedName name="_238__FDSAUDITLINK__" hidden="1">{"fdsup://directions/FAT Viewer?action=UPDATE&amp;creator=factset&amp;DYN_ARGS=TRUE&amp;DOC_NAME=FAT:FQL_AUDITING_CLIENT_TEMPLATE.FAT&amp;display_string=Audit&amp;VAR:KEY=WPCJCFIVMV&amp;VAR:QUERY=QVZHKEZGX0RJVl9ZTEQoQU5OLDQxMDEyLC0xMEFZKSk=&amp;WINDOW=FIRST_POPUP&amp;HEIGHT=450&amp;WIDTH=450&amp;","START_MAXIMIZED=FALSE&amp;VAR:CALENDAR=US&amp;VAR:SYMBOL=SP50"}</definedName>
    <definedName name="_2380__FDSAUDITLINK__" localSheetId="0" hidden="1">{"fdsup://directions/FAT Viewer?action=UPDATE&amp;creator=factset&amp;DYN_ARGS=TRUE&amp;DOC_NAME=FAT:FQL_AUDITING_CLIENT_TEMPLATE.FAT&amp;display_string=Audit&amp;VAR:KEY=AJCTSJODQJ&amp;VAR:QUERY=RkZfRElWX1lMRChBTk4sMTAvMjYvMDUsMTAvMjYvMDUp&amp;WINDOW=FIRST_POPUP&amp;HEIGHT=450&amp;WIDTH=450&amp;","START_MAXIMIZED=FALSE&amp;VAR:CALENDAR=US&amp;VAR:SYMBOL=RAI&amp;VAR:INDEX=0"}</definedName>
    <definedName name="_2380__FDSAUDITLINK__" hidden="1">{"fdsup://directions/FAT Viewer?action=UPDATE&amp;creator=factset&amp;DYN_ARGS=TRUE&amp;DOC_NAME=FAT:FQL_AUDITING_CLIENT_TEMPLATE.FAT&amp;display_string=Audit&amp;VAR:KEY=AJCTSJODQJ&amp;VAR:QUERY=RkZfRElWX1lMRChBTk4sMTAvMjYvMDUsMTAvMjYvMDUp&amp;WINDOW=FIRST_POPUP&amp;HEIGHT=450&amp;WIDTH=450&amp;","START_MAXIMIZED=FALSE&amp;VAR:CALENDAR=US&amp;VAR:SYMBOL=RAI&amp;VAR:INDEX=0"}</definedName>
    <definedName name="_2381__FDSAUDITLINK__" localSheetId="0" hidden="1">{"fdsup://directions/FAT Viewer?action=UPDATE&amp;creator=factset&amp;DYN_ARGS=TRUE&amp;DOC_NAME=FAT:FQL_AUDITING_CLIENT_TEMPLATE.FAT&amp;display_string=Audit&amp;VAR:KEY=KHSXINQPUT&amp;VAR:QUERY=RkZfRElWX1lMRChBTk4sMTAvMTkvMDUsMTAvMTkvMDUp&amp;WINDOW=FIRST_POPUP&amp;HEIGHT=450&amp;WIDTH=450&amp;","START_MAXIMIZED=FALSE&amp;VAR:CALENDAR=US&amp;VAR:SYMBOL=RAI&amp;VAR:INDEX=0"}</definedName>
    <definedName name="_2381__FDSAUDITLINK__" hidden="1">{"fdsup://directions/FAT Viewer?action=UPDATE&amp;creator=factset&amp;DYN_ARGS=TRUE&amp;DOC_NAME=FAT:FQL_AUDITING_CLIENT_TEMPLATE.FAT&amp;display_string=Audit&amp;VAR:KEY=KHSXINQPUT&amp;VAR:QUERY=RkZfRElWX1lMRChBTk4sMTAvMTkvMDUsMTAvMTkvMDUp&amp;WINDOW=FIRST_POPUP&amp;HEIGHT=450&amp;WIDTH=450&amp;","START_MAXIMIZED=FALSE&amp;VAR:CALENDAR=US&amp;VAR:SYMBOL=RAI&amp;VAR:INDEX=0"}</definedName>
    <definedName name="_2382__FDSAUDITLINK__" localSheetId="0" hidden="1">{"fdsup://directions/FAT Viewer?action=UPDATE&amp;creator=factset&amp;DYN_ARGS=TRUE&amp;DOC_NAME=FAT:FQL_AUDITING_CLIENT_TEMPLATE.FAT&amp;display_string=Audit&amp;VAR:KEY=CZWXEHMPSZ&amp;VAR:QUERY=RkZfRElWX1lMRChBTk4sMTAvMTIvMDUsMTAvMTIvMDUp&amp;WINDOW=FIRST_POPUP&amp;HEIGHT=450&amp;WIDTH=450&amp;","START_MAXIMIZED=FALSE&amp;VAR:CALENDAR=US&amp;VAR:SYMBOL=RAI&amp;VAR:INDEX=0"}</definedName>
    <definedName name="_2382__FDSAUDITLINK__" hidden="1">{"fdsup://directions/FAT Viewer?action=UPDATE&amp;creator=factset&amp;DYN_ARGS=TRUE&amp;DOC_NAME=FAT:FQL_AUDITING_CLIENT_TEMPLATE.FAT&amp;display_string=Audit&amp;VAR:KEY=CZWXEHMPSZ&amp;VAR:QUERY=RkZfRElWX1lMRChBTk4sMTAvMTIvMDUsMTAvMTIvMDUp&amp;WINDOW=FIRST_POPUP&amp;HEIGHT=450&amp;WIDTH=450&amp;","START_MAXIMIZED=FALSE&amp;VAR:CALENDAR=US&amp;VAR:SYMBOL=RAI&amp;VAR:INDEX=0"}</definedName>
    <definedName name="_2383__FDSAUDITLINK__" localSheetId="0" hidden="1">{"fdsup://directions/FAT Viewer?action=UPDATE&amp;creator=factset&amp;DYN_ARGS=TRUE&amp;DOC_NAME=FAT:FQL_AUDITING_CLIENT_TEMPLATE.FAT&amp;display_string=Audit&amp;VAR:KEY=QXKXEHADIF&amp;VAR:QUERY=RkZfRElWX1lMRChBTk4sMTAvMDUvMDUsMTAvMDUvMDUp&amp;WINDOW=FIRST_POPUP&amp;HEIGHT=450&amp;WIDTH=450&amp;","START_MAXIMIZED=FALSE&amp;VAR:CALENDAR=US&amp;VAR:SYMBOL=RAI&amp;VAR:INDEX=0"}</definedName>
    <definedName name="_2383__FDSAUDITLINK__" hidden="1">{"fdsup://directions/FAT Viewer?action=UPDATE&amp;creator=factset&amp;DYN_ARGS=TRUE&amp;DOC_NAME=FAT:FQL_AUDITING_CLIENT_TEMPLATE.FAT&amp;display_string=Audit&amp;VAR:KEY=QXKXEHADIF&amp;VAR:QUERY=RkZfRElWX1lMRChBTk4sMTAvMDUvMDUsMTAvMDUvMDUp&amp;WINDOW=FIRST_POPUP&amp;HEIGHT=450&amp;WIDTH=450&amp;","START_MAXIMIZED=FALSE&amp;VAR:CALENDAR=US&amp;VAR:SYMBOL=RAI&amp;VAR:INDEX=0"}</definedName>
    <definedName name="_2384__FDSAUDITLINK__" localSheetId="0" hidden="1">{"fdsup://directions/FAT Viewer?action=UPDATE&amp;creator=factset&amp;DYN_ARGS=TRUE&amp;DOC_NAME=FAT:FQL_AUDITING_CLIENT_TEMPLATE.FAT&amp;display_string=Audit&amp;VAR:KEY=EVCDSJIPMH&amp;VAR:QUERY=RkZfRElWX1lMRChBTk4sOS8yOC8wNSw5LzI4LzA1KQ==&amp;WINDOW=FIRST_POPUP&amp;HEIGHT=450&amp;WIDTH=450&amp;","START_MAXIMIZED=FALSE&amp;VAR:CALENDAR=US&amp;VAR:SYMBOL=RAI&amp;VAR:INDEX=0"}</definedName>
    <definedName name="_2384__FDSAUDITLINK__" hidden="1">{"fdsup://directions/FAT Viewer?action=UPDATE&amp;creator=factset&amp;DYN_ARGS=TRUE&amp;DOC_NAME=FAT:FQL_AUDITING_CLIENT_TEMPLATE.FAT&amp;display_string=Audit&amp;VAR:KEY=EVCDSJIPMH&amp;VAR:QUERY=RkZfRElWX1lMRChBTk4sOS8yOC8wNSw5LzI4LzA1KQ==&amp;WINDOW=FIRST_POPUP&amp;HEIGHT=450&amp;WIDTH=450&amp;","START_MAXIMIZED=FALSE&amp;VAR:CALENDAR=US&amp;VAR:SYMBOL=RAI&amp;VAR:INDEX=0"}</definedName>
    <definedName name="_2385__FDSAUDITLINK__" localSheetId="0" hidden="1">{"fdsup://directions/FAT Viewer?action=UPDATE&amp;creator=factset&amp;DYN_ARGS=TRUE&amp;DOC_NAME=FAT:FQL_AUDITING_CLIENT_TEMPLATE.FAT&amp;display_string=Audit&amp;VAR:KEY=YDQPMNETEX&amp;VAR:QUERY=RkZfRElWX1lMRChBTk4sOS8yMS8wNSw5LzIxLzA1KQ==&amp;WINDOW=FIRST_POPUP&amp;HEIGHT=450&amp;WIDTH=450&amp;","START_MAXIMIZED=FALSE&amp;VAR:CALENDAR=US&amp;VAR:SYMBOL=RAI&amp;VAR:INDEX=0"}</definedName>
    <definedName name="_2385__FDSAUDITLINK__" hidden="1">{"fdsup://directions/FAT Viewer?action=UPDATE&amp;creator=factset&amp;DYN_ARGS=TRUE&amp;DOC_NAME=FAT:FQL_AUDITING_CLIENT_TEMPLATE.FAT&amp;display_string=Audit&amp;VAR:KEY=YDQPMNETEX&amp;VAR:QUERY=RkZfRElWX1lMRChBTk4sOS8yMS8wNSw5LzIxLzA1KQ==&amp;WINDOW=FIRST_POPUP&amp;HEIGHT=450&amp;WIDTH=450&amp;","START_MAXIMIZED=FALSE&amp;VAR:CALENDAR=US&amp;VAR:SYMBOL=RAI&amp;VAR:INDEX=0"}</definedName>
    <definedName name="_2386__FDSAUDITLINK__" localSheetId="0" hidden="1">{"fdsup://directions/FAT Viewer?action=UPDATE&amp;creator=factset&amp;DYN_ARGS=TRUE&amp;DOC_NAME=FAT:FQL_AUDITING_CLIENT_TEMPLATE.FAT&amp;display_string=Audit&amp;VAR:KEY=GPOXMNMRYR&amp;VAR:QUERY=RkZfRElWX1lMRChBTk4sOS8xNC8wNSw5LzE0LzA1KQ==&amp;WINDOW=FIRST_POPUP&amp;HEIGHT=450&amp;WIDTH=450&amp;","START_MAXIMIZED=FALSE&amp;VAR:CALENDAR=US&amp;VAR:SYMBOL=RAI&amp;VAR:INDEX=0"}</definedName>
    <definedName name="_2386__FDSAUDITLINK__" hidden="1">{"fdsup://directions/FAT Viewer?action=UPDATE&amp;creator=factset&amp;DYN_ARGS=TRUE&amp;DOC_NAME=FAT:FQL_AUDITING_CLIENT_TEMPLATE.FAT&amp;display_string=Audit&amp;VAR:KEY=GPOXMNMRYR&amp;VAR:QUERY=RkZfRElWX1lMRChBTk4sOS8xNC8wNSw5LzE0LzA1KQ==&amp;WINDOW=FIRST_POPUP&amp;HEIGHT=450&amp;WIDTH=450&amp;","START_MAXIMIZED=FALSE&amp;VAR:CALENDAR=US&amp;VAR:SYMBOL=RAI&amp;VAR:INDEX=0"}</definedName>
    <definedName name="_2387__FDSAUDITLINK__" localSheetId="0" hidden="1">{"fdsup://directions/FAT Viewer?action=UPDATE&amp;creator=factset&amp;DYN_ARGS=TRUE&amp;DOC_NAME=FAT:FQL_AUDITING_CLIENT_TEMPLATE.FAT&amp;display_string=Audit&amp;VAR:KEY=IDANKDQXEX&amp;VAR:QUERY=RkZfRElWX1lMRChBTk4sOS8wNy8wNSw5LzA3LzA1KQ==&amp;WINDOW=FIRST_POPUP&amp;HEIGHT=450&amp;WIDTH=450&amp;","START_MAXIMIZED=FALSE&amp;VAR:CALENDAR=US&amp;VAR:SYMBOL=RAI&amp;VAR:INDEX=0"}</definedName>
    <definedName name="_2387__FDSAUDITLINK__" hidden="1">{"fdsup://directions/FAT Viewer?action=UPDATE&amp;creator=factset&amp;DYN_ARGS=TRUE&amp;DOC_NAME=FAT:FQL_AUDITING_CLIENT_TEMPLATE.FAT&amp;display_string=Audit&amp;VAR:KEY=IDANKDQXEX&amp;VAR:QUERY=RkZfRElWX1lMRChBTk4sOS8wNy8wNSw5LzA3LzA1KQ==&amp;WINDOW=FIRST_POPUP&amp;HEIGHT=450&amp;WIDTH=450&amp;","START_MAXIMIZED=FALSE&amp;VAR:CALENDAR=US&amp;VAR:SYMBOL=RAI&amp;VAR:INDEX=0"}</definedName>
    <definedName name="_2388__FDSAUDITLINK__" localSheetId="0" hidden="1">{"fdsup://directions/FAT Viewer?action=UPDATE&amp;creator=factset&amp;DYN_ARGS=TRUE&amp;DOC_NAME=FAT:FQL_AUDITING_CLIENT_TEMPLATE.FAT&amp;display_string=Audit&amp;VAR:KEY=ADMXMLEHSJ&amp;VAR:QUERY=RkZfRElWX1lMRChBTk4sOC8zMS8wNSw4LzMxLzA1KQ==&amp;WINDOW=FIRST_POPUP&amp;HEIGHT=450&amp;WIDTH=450&amp;","START_MAXIMIZED=FALSE&amp;VAR:CALENDAR=US&amp;VAR:SYMBOL=RAI&amp;VAR:INDEX=0"}</definedName>
    <definedName name="_2388__FDSAUDITLINK__" hidden="1">{"fdsup://directions/FAT Viewer?action=UPDATE&amp;creator=factset&amp;DYN_ARGS=TRUE&amp;DOC_NAME=FAT:FQL_AUDITING_CLIENT_TEMPLATE.FAT&amp;display_string=Audit&amp;VAR:KEY=ADMXMLEHSJ&amp;VAR:QUERY=RkZfRElWX1lMRChBTk4sOC8zMS8wNSw4LzMxLzA1KQ==&amp;WINDOW=FIRST_POPUP&amp;HEIGHT=450&amp;WIDTH=450&amp;","START_MAXIMIZED=FALSE&amp;VAR:CALENDAR=US&amp;VAR:SYMBOL=RAI&amp;VAR:INDEX=0"}</definedName>
    <definedName name="_2389__FDSAUDITLINK__" localSheetId="0" hidden="1">{"fdsup://directions/FAT Viewer?action=UPDATE&amp;creator=factset&amp;DYN_ARGS=TRUE&amp;DOC_NAME=FAT:FQL_AUDITING_CLIENT_TEMPLATE.FAT&amp;display_string=Audit&amp;VAR:KEY=KLMVWXADOR&amp;VAR:QUERY=RkZfRElWX1lMRChBTk4sOC8yNC8wNSw4LzI0LzA1KQ==&amp;WINDOW=FIRST_POPUP&amp;HEIGHT=450&amp;WIDTH=450&amp;","START_MAXIMIZED=FALSE&amp;VAR:CALENDAR=US&amp;VAR:SYMBOL=RAI&amp;VAR:INDEX=0"}</definedName>
    <definedName name="_2389__FDSAUDITLINK__" hidden="1">{"fdsup://directions/FAT Viewer?action=UPDATE&amp;creator=factset&amp;DYN_ARGS=TRUE&amp;DOC_NAME=FAT:FQL_AUDITING_CLIENT_TEMPLATE.FAT&amp;display_string=Audit&amp;VAR:KEY=KLMVWXADOR&amp;VAR:QUERY=RkZfRElWX1lMRChBTk4sOC8yNC8wNSw4LzI0LzA1KQ==&amp;WINDOW=FIRST_POPUP&amp;HEIGHT=450&amp;WIDTH=450&amp;","START_MAXIMIZED=FALSE&amp;VAR:CALENDAR=US&amp;VAR:SYMBOL=RAI&amp;VAR:INDEX=0"}</definedName>
    <definedName name="_239">#REF!</definedName>
    <definedName name="_239__FDSAUDITLINK__" localSheetId="0" hidden="1">{"fdsup://directions/FAT Viewer?action=UPDATE&amp;creator=factset&amp;DYN_ARGS=TRUE&amp;DOC_NAME=FAT:FQL_AUDITING_CLIENT_TEMPLATE.FAT&amp;display_string=Audit&amp;VAR:KEY=KZWJWNMRMV&amp;VAR:QUERY=QVZHKEZGX0RJVl9ZTEQoQU5OLDQxMDEyLC01QVkpKQ==&amp;WINDOW=FIRST_POPUP&amp;HEIGHT=450&amp;WIDTH=450&amp;","START_MAXIMIZED=FALSE&amp;VAR:CALENDAR=US&amp;VAR:SYMBOL=SP50"}</definedName>
    <definedName name="_239__FDSAUDITLINK__" hidden="1">{"fdsup://directions/FAT Viewer?action=UPDATE&amp;creator=factset&amp;DYN_ARGS=TRUE&amp;DOC_NAME=FAT:FQL_AUDITING_CLIENT_TEMPLATE.FAT&amp;display_string=Audit&amp;VAR:KEY=KZWJWNMRMV&amp;VAR:QUERY=QVZHKEZGX0RJVl9ZTEQoQU5OLDQxMDEyLC01QVkpKQ==&amp;WINDOW=FIRST_POPUP&amp;HEIGHT=450&amp;WIDTH=450&amp;","START_MAXIMIZED=FALSE&amp;VAR:CALENDAR=US&amp;VAR:SYMBOL=SP50"}</definedName>
    <definedName name="_2390__FDSAUDITLINK__" localSheetId="0" hidden="1">{"fdsup://directions/FAT Viewer?action=UPDATE&amp;creator=factset&amp;DYN_ARGS=TRUE&amp;DOC_NAME=FAT:FQL_AUDITING_CLIENT_TEMPLATE.FAT&amp;display_string=Audit&amp;VAR:KEY=YZMTWVAJKB&amp;VAR:QUERY=RkZfRElWX1lMRChBTk4sOC8xNy8wNSw4LzE3LzA1KQ==&amp;WINDOW=FIRST_POPUP&amp;HEIGHT=450&amp;WIDTH=450&amp;","START_MAXIMIZED=FALSE&amp;VAR:CALENDAR=US&amp;VAR:SYMBOL=RAI&amp;VAR:INDEX=0"}</definedName>
    <definedName name="_2390__FDSAUDITLINK__" hidden="1">{"fdsup://directions/FAT Viewer?action=UPDATE&amp;creator=factset&amp;DYN_ARGS=TRUE&amp;DOC_NAME=FAT:FQL_AUDITING_CLIENT_TEMPLATE.FAT&amp;display_string=Audit&amp;VAR:KEY=YZMTWVAJKB&amp;VAR:QUERY=RkZfRElWX1lMRChBTk4sOC8xNy8wNSw4LzE3LzA1KQ==&amp;WINDOW=FIRST_POPUP&amp;HEIGHT=450&amp;WIDTH=450&amp;","START_MAXIMIZED=FALSE&amp;VAR:CALENDAR=US&amp;VAR:SYMBOL=RAI&amp;VAR:INDEX=0"}</definedName>
    <definedName name="_2391__FDSAUDITLINK__" localSheetId="0" hidden="1">{"fdsup://directions/FAT Viewer?action=UPDATE&amp;creator=factset&amp;DYN_ARGS=TRUE&amp;DOC_NAME=FAT:FQL_AUDITING_CLIENT_TEMPLATE.FAT&amp;display_string=Audit&amp;VAR:KEY=YZOLUBWPID&amp;VAR:QUERY=RkZfRElWX1lMRChBTk4sOC8xMC8wNSw4LzEwLzA1KQ==&amp;WINDOW=FIRST_POPUP&amp;HEIGHT=450&amp;WIDTH=450&amp;","START_MAXIMIZED=FALSE&amp;VAR:CALENDAR=US&amp;VAR:SYMBOL=RAI&amp;VAR:INDEX=0"}</definedName>
    <definedName name="_2391__FDSAUDITLINK__" hidden="1">{"fdsup://directions/FAT Viewer?action=UPDATE&amp;creator=factset&amp;DYN_ARGS=TRUE&amp;DOC_NAME=FAT:FQL_AUDITING_CLIENT_TEMPLATE.FAT&amp;display_string=Audit&amp;VAR:KEY=YZOLUBWPID&amp;VAR:QUERY=RkZfRElWX1lMRChBTk4sOC8xMC8wNSw4LzEwLzA1KQ==&amp;WINDOW=FIRST_POPUP&amp;HEIGHT=450&amp;WIDTH=450&amp;","START_MAXIMIZED=FALSE&amp;VAR:CALENDAR=US&amp;VAR:SYMBOL=RAI&amp;VAR:INDEX=0"}</definedName>
    <definedName name="_2392__FDSAUDITLINK__" localSheetId="0" hidden="1">{"fdsup://directions/FAT Viewer?action=UPDATE&amp;creator=factset&amp;DYN_ARGS=TRUE&amp;DOC_NAME=FAT:FQL_AUDITING_CLIENT_TEMPLATE.FAT&amp;display_string=Audit&amp;VAR:KEY=WFYTGXYPYP&amp;VAR:QUERY=RkZfRElWX1lMRChBTk4sOC8wMy8wNSw4LzAzLzA1KQ==&amp;WINDOW=FIRST_POPUP&amp;HEIGHT=450&amp;WIDTH=450&amp;","START_MAXIMIZED=FALSE&amp;VAR:CALENDAR=US&amp;VAR:SYMBOL=RAI&amp;VAR:INDEX=0"}</definedName>
    <definedName name="_2392__FDSAUDITLINK__" hidden="1">{"fdsup://directions/FAT Viewer?action=UPDATE&amp;creator=factset&amp;DYN_ARGS=TRUE&amp;DOC_NAME=FAT:FQL_AUDITING_CLIENT_TEMPLATE.FAT&amp;display_string=Audit&amp;VAR:KEY=WFYTGXYPYP&amp;VAR:QUERY=RkZfRElWX1lMRChBTk4sOC8wMy8wNSw4LzAzLzA1KQ==&amp;WINDOW=FIRST_POPUP&amp;HEIGHT=450&amp;WIDTH=450&amp;","START_MAXIMIZED=FALSE&amp;VAR:CALENDAR=US&amp;VAR:SYMBOL=RAI&amp;VAR:INDEX=0"}</definedName>
    <definedName name="_2393__FDSAUDITLINK__" localSheetId="0" hidden="1">{"fdsup://directions/FAT Viewer?action=UPDATE&amp;creator=factset&amp;DYN_ARGS=TRUE&amp;DOC_NAME=FAT:FQL_AUDITING_CLIENT_TEMPLATE.FAT&amp;display_string=Audit&amp;VAR:KEY=OLMZEJSHUF&amp;VAR:QUERY=RkZfRElWX1lMRChBTk4sNy8yNy8wNSw3LzI3LzA1KQ==&amp;WINDOW=FIRST_POPUP&amp;HEIGHT=450&amp;WIDTH=450&amp;","START_MAXIMIZED=FALSE&amp;VAR:CALENDAR=US&amp;VAR:SYMBOL=RAI&amp;VAR:INDEX=0"}</definedName>
    <definedName name="_2393__FDSAUDITLINK__" hidden="1">{"fdsup://directions/FAT Viewer?action=UPDATE&amp;creator=factset&amp;DYN_ARGS=TRUE&amp;DOC_NAME=FAT:FQL_AUDITING_CLIENT_TEMPLATE.FAT&amp;display_string=Audit&amp;VAR:KEY=OLMZEJSHUF&amp;VAR:QUERY=RkZfRElWX1lMRChBTk4sNy8yNy8wNSw3LzI3LzA1KQ==&amp;WINDOW=FIRST_POPUP&amp;HEIGHT=450&amp;WIDTH=450&amp;","START_MAXIMIZED=FALSE&amp;VAR:CALENDAR=US&amp;VAR:SYMBOL=RAI&amp;VAR:INDEX=0"}</definedName>
    <definedName name="_2394__FDSAUDITLINK__" localSheetId="0" hidden="1">{"fdsup://directions/FAT Viewer?action=UPDATE&amp;creator=factset&amp;DYN_ARGS=TRUE&amp;DOC_NAME=FAT:FQL_AUDITING_CLIENT_TEMPLATE.FAT&amp;display_string=Audit&amp;VAR:KEY=MNUJEHOJQP&amp;VAR:QUERY=RkZfRElWX1lMRChBTk4sNy8yMC8wNSw3LzIwLzA1KQ==&amp;WINDOW=FIRST_POPUP&amp;HEIGHT=450&amp;WIDTH=450&amp;","START_MAXIMIZED=FALSE&amp;VAR:CALENDAR=US&amp;VAR:SYMBOL=RAI&amp;VAR:INDEX=0"}</definedName>
    <definedName name="_2394__FDSAUDITLINK__" hidden="1">{"fdsup://directions/FAT Viewer?action=UPDATE&amp;creator=factset&amp;DYN_ARGS=TRUE&amp;DOC_NAME=FAT:FQL_AUDITING_CLIENT_TEMPLATE.FAT&amp;display_string=Audit&amp;VAR:KEY=MNUJEHOJQP&amp;VAR:QUERY=RkZfRElWX1lMRChBTk4sNy8yMC8wNSw3LzIwLzA1KQ==&amp;WINDOW=FIRST_POPUP&amp;HEIGHT=450&amp;WIDTH=450&amp;","START_MAXIMIZED=FALSE&amp;VAR:CALENDAR=US&amp;VAR:SYMBOL=RAI&amp;VAR:INDEX=0"}</definedName>
    <definedName name="_2395__FDSAUDITLINK__" localSheetId="0" hidden="1">{"fdsup://directions/FAT Viewer?action=UPDATE&amp;creator=factset&amp;DYN_ARGS=TRUE&amp;DOC_NAME=FAT:FQL_AUDITING_CLIENT_TEMPLATE.FAT&amp;display_string=Audit&amp;VAR:KEY=GBOTMDGBMN&amp;VAR:QUERY=RkZfRElWX1lMRChBTk4sNy8xMy8wNSw3LzEzLzA1KQ==&amp;WINDOW=FIRST_POPUP&amp;HEIGHT=450&amp;WIDTH=450&amp;","START_MAXIMIZED=FALSE&amp;VAR:CALENDAR=US&amp;VAR:SYMBOL=RAI&amp;VAR:INDEX=0"}</definedName>
    <definedName name="_2395__FDSAUDITLINK__" hidden="1">{"fdsup://directions/FAT Viewer?action=UPDATE&amp;creator=factset&amp;DYN_ARGS=TRUE&amp;DOC_NAME=FAT:FQL_AUDITING_CLIENT_TEMPLATE.FAT&amp;display_string=Audit&amp;VAR:KEY=GBOTMDGBMN&amp;VAR:QUERY=RkZfRElWX1lMRChBTk4sNy8xMy8wNSw3LzEzLzA1KQ==&amp;WINDOW=FIRST_POPUP&amp;HEIGHT=450&amp;WIDTH=450&amp;","START_MAXIMIZED=FALSE&amp;VAR:CALENDAR=US&amp;VAR:SYMBOL=RAI&amp;VAR:INDEX=0"}</definedName>
    <definedName name="_2396__FDSAUDITLINK__" localSheetId="0" hidden="1">{"fdsup://directions/FAT Viewer?action=UPDATE&amp;creator=factset&amp;DYN_ARGS=TRUE&amp;DOC_NAME=FAT:FQL_AUDITING_CLIENT_TEMPLATE.FAT&amp;display_string=Audit&amp;VAR:KEY=KBCNGHAXWV&amp;VAR:QUERY=RkZfRElWX1lMRChBTk4sNy8wNi8wNSw3LzA2LzA1KQ==&amp;WINDOW=FIRST_POPUP&amp;HEIGHT=450&amp;WIDTH=450&amp;","START_MAXIMIZED=FALSE&amp;VAR:CALENDAR=US&amp;VAR:SYMBOL=RAI&amp;VAR:INDEX=0"}</definedName>
    <definedName name="_2396__FDSAUDITLINK__" hidden="1">{"fdsup://directions/FAT Viewer?action=UPDATE&amp;creator=factset&amp;DYN_ARGS=TRUE&amp;DOC_NAME=FAT:FQL_AUDITING_CLIENT_TEMPLATE.FAT&amp;display_string=Audit&amp;VAR:KEY=KBCNGHAXWV&amp;VAR:QUERY=RkZfRElWX1lMRChBTk4sNy8wNi8wNSw3LzA2LzA1KQ==&amp;WINDOW=FIRST_POPUP&amp;HEIGHT=450&amp;WIDTH=450&amp;","START_MAXIMIZED=FALSE&amp;VAR:CALENDAR=US&amp;VAR:SYMBOL=RAI&amp;VAR:INDEX=0"}</definedName>
    <definedName name="_2397__FDSAUDITLINK__" localSheetId="0" hidden="1">{"fdsup://directions/FAT Viewer?action=UPDATE&amp;creator=factset&amp;DYN_ARGS=TRUE&amp;DOC_NAME=FAT:FQL_AUDITING_CLIENT_TEMPLATE.FAT&amp;display_string=Audit&amp;VAR:KEY=KDQJETIPMF&amp;VAR:QUERY=RkZfRElWX1lMRChBTk4sNi8yOS8wNSw2LzI5LzA1KQ==&amp;WINDOW=FIRST_POPUP&amp;HEIGHT=450&amp;WIDTH=450&amp;","START_MAXIMIZED=FALSE&amp;VAR:CALENDAR=US&amp;VAR:SYMBOL=RAI&amp;VAR:INDEX=0"}</definedName>
    <definedName name="_2397__FDSAUDITLINK__" hidden="1">{"fdsup://directions/FAT Viewer?action=UPDATE&amp;creator=factset&amp;DYN_ARGS=TRUE&amp;DOC_NAME=FAT:FQL_AUDITING_CLIENT_TEMPLATE.FAT&amp;display_string=Audit&amp;VAR:KEY=KDQJETIPMF&amp;VAR:QUERY=RkZfRElWX1lMRChBTk4sNi8yOS8wNSw2LzI5LzA1KQ==&amp;WINDOW=FIRST_POPUP&amp;HEIGHT=450&amp;WIDTH=450&amp;","START_MAXIMIZED=FALSE&amp;VAR:CALENDAR=US&amp;VAR:SYMBOL=RAI&amp;VAR:INDEX=0"}</definedName>
    <definedName name="_2398__FDSAUDITLINK__" localSheetId="0" hidden="1">{"fdsup://directions/FAT Viewer?action=UPDATE&amp;creator=factset&amp;DYN_ARGS=TRUE&amp;DOC_NAME=FAT:FQL_AUDITING_CLIENT_TEMPLATE.FAT&amp;display_string=Audit&amp;VAR:KEY=IRQNGFKHMR&amp;VAR:QUERY=RkZfRElWX1lMRChBTk4sNi8yMi8wNSw2LzIyLzA1KQ==&amp;WINDOW=FIRST_POPUP&amp;HEIGHT=450&amp;WIDTH=450&amp;","START_MAXIMIZED=FALSE&amp;VAR:CALENDAR=US&amp;VAR:SYMBOL=RAI&amp;VAR:INDEX=0"}</definedName>
    <definedName name="_2398__FDSAUDITLINK__" hidden="1">{"fdsup://directions/FAT Viewer?action=UPDATE&amp;creator=factset&amp;DYN_ARGS=TRUE&amp;DOC_NAME=FAT:FQL_AUDITING_CLIENT_TEMPLATE.FAT&amp;display_string=Audit&amp;VAR:KEY=IRQNGFKHMR&amp;VAR:QUERY=RkZfRElWX1lMRChBTk4sNi8yMi8wNSw2LzIyLzA1KQ==&amp;WINDOW=FIRST_POPUP&amp;HEIGHT=450&amp;WIDTH=450&amp;","START_MAXIMIZED=FALSE&amp;VAR:CALENDAR=US&amp;VAR:SYMBOL=RAI&amp;VAR:INDEX=0"}</definedName>
    <definedName name="_2399__FDSAUDITLINK__" localSheetId="0" hidden="1">{"fdsup://directions/FAT Viewer?action=UPDATE&amp;creator=factset&amp;DYN_ARGS=TRUE&amp;DOC_NAME=FAT:FQL_AUDITING_CLIENT_TEMPLATE.FAT&amp;display_string=Audit&amp;VAR:KEY=SDYJCNCNWZ&amp;VAR:QUERY=RkZfRElWX1lMRChBTk4sNi8xNS8wNSw2LzE1LzA1KQ==&amp;WINDOW=FIRST_POPUP&amp;HEIGHT=450&amp;WIDTH=450&amp;","START_MAXIMIZED=FALSE&amp;VAR:CALENDAR=US&amp;VAR:SYMBOL=RAI&amp;VAR:INDEX=0"}</definedName>
    <definedName name="_2399__FDSAUDITLINK__" hidden="1">{"fdsup://directions/FAT Viewer?action=UPDATE&amp;creator=factset&amp;DYN_ARGS=TRUE&amp;DOC_NAME=FAT:FQL_AUDITING_CLIENT_TEMPLATE.FAT&amp;display_string=Audit&amp;VAR:KEY=SDYJCNCNWZ&amp;VAR:QUERY=RkZfRElWX1lMRChBTk4sNi8xNS8wNSw2LzE1LzA1KQ==&amp;WINDOW=FIRST_POPUP&amp;HEIGHT=450&amp;WIDTH=450&amp;","START_MAXIMIZED=FALSE&amp;VAR:CALENDAR=US&amp;VAR:SYMBOL=RAI&amp;VAR:INDEX=0"}</definedName>
    <definedName name="_23s3_" hidden="1">{#N/A,#N/A,FALSE,"UNIT";#N/A,#N/A,FALSE,"UNIT";#N/A,#N/A,FALSE,"계정"}</definedName>
    <definedName name="_24">#REF!</definedName>
    <definedName name="_24_????1_3">#REF!</definedName>
    <definedName name="_24_????8_3">#REF!</definedName>
    <definedName name="_24_________P_L">#REF!</definedName>
    <definedName name="_24__123Graph_AGROWTH_REVS_A" hidden="1">#REF!</definedName>
    <definedName name="_24__123Graph_ASUPPLIES_BY_B_U">#REF!</definedName>
    <definedName name="_24__123Graph_AWAGES_BY_B_U">#REF!</definedName>
    <definedName name="_24__123Graph_BChart_7J">#REF!</definedName>
    <definedName name="_24__123Graph_BGROSS_MARGINS" hidden="1">#REF!</definedName>
    <definedName name="_24__123Graph_BQRE_S_BY_CO.">#REF!</definedName>
    <definedName name="_24__123Graph_BTAX_CREDIT">#REF!</definedName>
    <definedName name="_24__123Graph_BWAGES_BY_B_U">#REF!</definedName>
    <definedName name="_24__123Graph_CQRE_S_BY_CO.">#REF!</definedName>
    <definedName name="_24__123Graph_DCONTRACT_BY_B_U">#REF!</definedName>
    <definedName name="_24__123Graph_DQRE_S_BY_CO.">#REF!</definedName>
    <definedName name="_24__123Graph_DWAGES_BY_B_U" hidden="1">#REF!</definedName>
    <definedName name="_24__123Graph_ECONTRACT_BY_B_U">#REF!</definedName>
    <definedName name="_24__123Graph_EQRE_S_BY_CO.">#REF!</definedName>
    <definedName name="_24__123Graph_ESUPPLIES_BY_B_U">#REF!</definedName>
    <definedName name="_24__FDSAUDITLINK__" localSheetId="0" hidden="1">{"fdsup://directions/FAT Viewer?action=UPDATE&amp;creator=factset&amp;DYN_ARGS=TRUE&amp;DOC_NAME=FAT:FQL_AUDITING_CLIENT_TEMPLATE.FAT&amp;display_string=Audit&amp;VAR:KEY=MPKHAJELOB&amp;VAR:QUERY=Q1NGX0RJVl9ZTEQoUVRSX1IsMy8zMS8yMDA1KQ==&amp;WINDOW=FIRST_POPUP&amp;HEIGHT=450&amp;WIDTH=450&amp;STAR","T_MAXIMIZED=FALSE&amp;VAR:CALENDAR=US&amp;VAR:SYMBOL=MO&amp;VAR:INDEX=0"}</definedName>
    <definedName name="_24__FDSAUDITLINK__" hidden="1">{"fdsup://directions/FAT Viewer?action=UPDATE&amp;creator=factset&amp;DYN_ARGS=TRUE&amp;DOC_NAME=FAT:FQL_AUDITING_CLIENT_TEMPLATE.FAT&amp;display_string=Audit&amp;VAR:KEY=MPKHAJELOB&amp;VAR:QUERY=Q1NGX0RJVl9ZTEQoUVRSX1IsMy8zMS8yMDA1KQ==&amp;WINDOW=FIRST_POPUP&amp;HEIGHT=450&amp;WIDTH=450&amp;STAR","T_MAXIMIZED=FALSE&amp;VAR:CALENDAR=US&amp;VAR:SYMBOL=MO&amp;VAR:INDEX=0"}</definedName>
    <definedName name="_24_0_Table2_" hidden="1">#REF!</definedName>
    <definedName name="_24_01_2000">#REF!</definedName>
    <definedName name="_24_04_1998">#REF!</definedName>
    <definedName name="_24_09_1997">#REF!</definedName>
    <definedName name="_240">#REF!</definedName>
    <definedName name="_240__FDSAUDITLINK__" localSheetId="0" hidden="1">{"fdsup://directions/FAT Viewer?action=UPDATE&amp;creator=factset&amp;DYN_ARGS=TRUE&amp;DOC_NAME=FAT:FQL_AUDITING_CLIENT_TEMPLATE.FAT&amp;display_string=Audit&amp;VAR:KEY=JAZYJWLQZY&amp;VAR:QUERY=RkZfRElWX1lMRChBTk4sOC8zMS8wNiw4LzMxLzA2KQ==&amp;WINDOW=FIRST_POPUP&amp;HEIGHT=450&amp;WIDTH=450&amp;","START_MAXIMIZED=FALSE&amp;VAR:CALENDAR=US&amp;VAR:SYMBOL=RAI&amp;VAR:INDEX=0"}</definedName>
    <definedName name="_240__FDSAUDITLINK__" hidden="1">{"fdsup://directions/FAT Viewer?action=UPDATE&amp;creator=factset&amp;DYN_ARGS=TRUE&amp;DOC_NAME=FAT:FQL_AUDITING_CLIENT_TEMPLATE.FAT&amp;display_string=Audit&amp;VAR:KEY=JAZYJWLQZY&amp;VAR:QUERY=RkZfRElWX1lMRChBTk4sOC8zMS8wNiw4LzMxLzA2KQ==&amp;WINDOW=FIRST_POPUP&amp;HEIGHT=450&amp;WIDTH=450&amp;","START_MAXIMIZED=FALSE&amp;VAR:CALENDAR=US&amp;VAR:SYMBOL=RAI&amp;VAR:INDEX=0"}</definedName>
    <definedName name="_2400__FDSAUDITLINK__" localSheetId="0" hidden="1">{"fdsup://directions/FAT Viewer?action=UPDATE&amp;creator=factset&amp;DYN_ARGS=TRUE&amp;DOC_NAME=FAT:FQL_AUDITING_CLIENT_TEMPLATE.FAT&amp;display_string=Audit&amp;VAR:KEY=GBETUVEFUR&amp;VAR:QUERY=RkZfRElWX1lMRChBTk4sNi8wOC8wNSw2LzA4LzA1KQ==&amp;WINDOW=FIRST_POPUP&amp;HEIGHT=450&amp;WIDTH=450&amp;","START_MAXIMIZED=FALSE&amp;VAR:CALENDAR=US&amp;VAR:SYMBOL=RAI&amp;VAR:INDEX=0"}</definedName>
    <definedName name="_2400__FDSAUDITLINK__" hidden="1">{"fdsup://directions/FAT Viewer?action=UPDATE&amp;creator=factset&amp;DYN_ARGS=TRUE&amp;DOC_NAME=FAT:FQL_AUDITING_CLIENT_TEMPLATE.FAT&amp;display_string=Audit&amp;VAR:KEY=GBETUVEFUR&amp;VAR:QUERY=RkZfRElWX1lMRChBTk4sNi8wOC8wNSw2LzA4LzA1KQ==&amp;WINDOW=FIRST_POPUP&amp;HEIGHT=450&amp;WIDTH=450&amp;","START_MAXIMIZED=FALSE&amp;VAR:CALENDAR=US&amp;VAR:SYMBOL=RAI&amp;VAR:INDEX=0"}</definedName>
    <definedName name="_2401__FDSAUDITLINK__" localSheetId="0" hidden="1">{"fdsup://directions/FAT Viewer?action=UPDATE&amp;creator=factset&amp;DYN_ARGS=TRUE&amp;DOC_NAME=FAT:FQL_AUDITING_CLIENT_TEMPLATE.FAT&amp;display_string=Audit&amp;VAR:KEY=MPULKREXMP&amp;VAR:QUERY=RkZfRElWX1lMRChBTk4sNi8wMS8wNSw2LzAxLzA1KQ==&amp;WINDOW=FIRST_POPUP&amp;HEIGHT=450&amp;WIDTH=450&amp;","START_MAXIMIZED=FALSE&amp;VAR:CALENDAR=US&amp;VAR:SYMBOL=RAI&amp;VAR:INDEX=0"}</definedName>
    <definedName name="_2401__FDSAUDITLINK__" hidden="1">{"fdsup://directions/FAT Viewer?action=UPDATE&amp;creator=factset&amp;DYN_ARGS=TRUE&amp;DOC_NAME=FAT:FQL_AUDITING_CLIENT_TEMPLATE.FAT&amp;display_string=Audit&amp;VAR:KEY=MPULKREXMP&amp;VAR:QUERY=RkZfRElWX1lMRChBTk4sNi8wMS8wNSw2LzAxLzA1KQ==&amp;WINDOW=FIRST_POPUP&amp;HEIGHT=450&amp;WIDTH=450&amp;","START_MAXIMIZED=FALSE&amp;VAR:CALENDAR=US&amp;VAR:SYMBOL=RAI&amp;VAR:INDEX=0"}</definedName>
    <definedName name="_2402__FDSAUDITLINK__" localSheetId="0" hidden="1">{"fdsup://directions/FAT Viewer?action=UPDATE&amp;creator=factset&amp;DYN_ARGS=TRUE&amp;DOC_NAME=FAT:FQL_AUDITING_CLIENT_TEMPLATE.FAT&amp;display_string=Audit&amp;VAR:KEY=IDIPAPIRCR&amp;VAR:QUERY=RkZfRElWX1lMRChBTk4sNS8yNS8wNSw1LzI1LzA1KQ==&amp;WINDOW=FIRST_POPUP&amp;HEIGHT=450&amp;WIDTH=450&amp;","START_MAXIMIZED=FALSE&amp;VAR:CALENDAR=US&amp;VAR:SYMBOL=RAI&amp;VAR:INDEX=0"}</definedName>
    <definedName name="_2402__FDSAUDITLINK__" hidden="1">{"fdsup://directions/FAT Viewer?action=UPDATE&amp;creator=factset&amp;DYN_ARGS=TRUE&amp;DOC_NAME=FAT:FQL_AUDITING_CLIENT_TEMPLATE.FAT&amp;display_string=Audit&amp;VAR:KEY=IDIPAPIRCR&amp;VAR:QUERY=RkZfRElWX1lMRChBTk4sNS8yNS8wNSw1LzI1LzA1KQ==&amp;WINDOW=FIRST_POPUP&amp;HEIGHT=450&amp;WIDTH=450&amp;","START_MAXIMIZED=FALSE&amp;VAR:CALENDAR=US&amp;VAR:SYMBOL=RAI&amp;VAR:INDEX=0"}</definedName>
    <definedName name="_2403__FDSAUDITLINK__" localSheetId="0" hidden="1">{"fdsup://directions/FAT Viewer?action=UPDATE&amp;creator=factset&amp;DYN_ARGS=TRUE&amp;DOC_NAME=FAT:FQL_AUDITING_CLIENT_TEMPLATE.FAT&amp;display_string=Audit&amp;VAR:KEY=ELYFOZOXGN&amp;VAR:QUERY=RkZfRElWX1lMRChBTk4sNS8xOC8wNSw1LzE4LzA1KQ==&amp;WINDOW=FIRST_POPUP&amp;HEIGHT=450&amp;WIDTH=450&amp;","START_MAXIMIZED=FALSE&amp;VAR:CALENDAR=US&amp;VAR:SYMBOL=RAI&amp;VAR:INDEX=0"}</definedName>
    <definedName name="_2403__FDSAUDITLINK__" hidden="1">{"fdsup://directions/FAT Viewer?action=UPDATE&amp;creator=factset&amp;DYN_ARGS=TRUE&amp;DOC_NAME=FAT:FQL_AUDITING_CLIENT_TEMPLATE.FAT&amp;display_string=Audit&amp;VAR:KEY=ELYFOZOXGN&amp;VAR:QUERY=RkZfRElWX1lMRChBTk4sNS8xOC8wNSw1LzE4LzA1KQ==&amp;WINDOW=FIRST_POPUP&amp;HEIGHT=450&amp;WIDTH=450&amp;","START_MAXIMIZED=FALSE&amp;VAR:CALENDAR=US&amp;VAR:SYMBOL=RAI&amp;VAR:INDEX=0"}</definedName>
    <definedName name="_2404__FDSAUDITLINK__" localSheetId="0" hidden="1">{"fdsup://directions/FAT Viewer?action=UPDATE&amp;creator=factset&amp;DYN_ARGS=TRUE&amp;DOC_NAME=FAT:FQL_AUDITING_CLIENT_TEMPLATE.FAT&amp;display_string=Audit&amp;VAR:KEY=AJYXIFWNGJ&amp;VAR:QUERY=RkZfRElWX1lMRChBTk4sNS8xMS8wNSw1LzExLzA1KQ==&amp;WINDOW=FIRST_POPUP&amp;HEIGHT=450&amp;WIDTH=450&amp;","START_MAXIMIZED=FALSE&amp;VAR:CALENDAR=US&amp;VAR:SYMBOL=RAI&amp;VAR:INDEX=0"}</definedName>
    <definedName name="_2404__FDSAUDITLINK__" hidden="1">{"fdsup://directions/FAT Viewer?action=UPDATE&amp;creator=factset&amp;DYN_ARGS=TRUE&amp;DOC_NAME=FAT:FQL_AUDITING_CLIENT_TEMPLATE.FAT&amp;display_string=Audit&amp;VAR:KEY=AJYXIFWNGJ&amp;VAR:QUERY=RkZfRElWX1lMRChBTk4sNS8xMS8wNSw1LzExLzA1KQ==&amp;WINDOW=FIRST_POPUP&amp;HEIGHT=450&amp;WIDTH=450&amp;","START_MAXIMIZED=FALSE&amp;VAR:CALENDAR=US&amp;VAR:SYMBOL=RAI&amp;VAR:INDEX=0"}</definedName>
    <definedName name="_2405__FDSAUDITLINK__" localSheetId="0" hidden="1">{"fdsup://directions/FAT Viewer?action=UPDATE&amp;creator=factset&amp;DYN_ARGS=TRUE&amp;DOC_NAME=FAT:FQL_AUDITING_CLIENT_TEMPLATE.FAT&amp;display_string=Audit&amp;VAR:KEY=OHCVUHOLAN&amp;VAR:QUERY=RkZfRElWX1lMRChBTk4sNS8wNC8wNSw1LzA0LzA1KQ==&amp;WINDOW=FIRST_POPUP&amp;HEIGHT=450&amp;WIDTH=450&amp;","START_MAXIMIZED=FALSE&amp;VAR:CALENDAR=US&amp;VAR:SYMBOL=RAI&amp;VAR:INDEX=0"}</definedName>
    <definedName name="_2405__FDSAUDITLINK__" hidden="1">{"fdsup://directions/FAT Viewer?action=UPDATE&amp;creator=factset&amp;DYN_ARGS=TRUE&amp;DOC_NAME=FAT:FQL_AUDITING_CLIENT_TEMPLATE.FAT&amp;display_string=Audit&amp;VAR:KEY=OHCVUHOLAN&amp;VAR:QUERY=RkZfRElWX1lMRChBTk4sNS8wNC8wNSw1LzA0LzA1KQ==&amp;WINDOW=FIRST_POPUP&amp;HEIGHT=450&amp;WIDTH=450&amp;","START_MAXIMIZED=FALSE&amp;VAR:CALENDAR=US&amp;VAR:SYMBOL=RAI&amp;VAR:INDEX=0"}</definedName>
    <definedName name="_2406__FDSAUDITLINK__" localSheetId="0" hidden="1">{"fdsup://directions/FAT Viewer?action=UPDATE&amp;creator=factset&amp;DYN_ARGS=TRUE&amp;DOC_NAME=FAT:FQL_AUDITING_CLIENT_TEMPLATE.FAT&amp;display_string=Audit&amp;VAR:KEY=QTAXSHUJAT&amp;VAR:QUERY=RkZfRElWX1lMRChBTk4sNC8yNy8wNSw0LzI3LzA1KQ==&amp;WINDOW=FIRST_POPUP&amp;HEIGHT=450&amp;WIDTH=450&amp;","START_MAXIMIZED=FALSE&amp;VAR:CALENDAR=US&amp;VAR:SYMBOL=RAI&amp;VAR:INDEX=0"}</definedName>
    <definedName name="_2406__FDSAUDITLINK__" hidden="1">{"fdsup://directions/FAT Viewer?action=UPDATE&amp;creator=factset&amp;DYN_ARGS=TRUE&amp;DOC_NAME=FAT:FQL_AUDITING_CLIENT_TEMPLATE.FAT&amp;display_string=Audit&amp;VAR:KEY=QTAXSHUJAT&amp;VAR:QUERY=RkZfRElWX1lMRChBTk4sNC8yNy8wNSw0LzI3LzA1KQ==&amp;WINDOW=FIRST_POPUP&amp;HEIGHT=450&amp;WIDTH=450&amp;","START_MAXIMIZED=FALSE&amp;VAR:CALENDAR=US&amp;VAR:SYMBOL=RAI&amp;VAR:INDEX=0"}</definedName>
    <definedName name="_2407__FDSAUDITLINK__" localSheetId="0" hidden="1">{"fdsup://directions/FAT Viewer?action=UPDATE&amp;creator=factset&amp;DYN_ARGS=TRUE&amp;DOC_NAME=FAT:FQL_AUDITING_CLIENT_TEMPLATE.FAT&amp;display_string=Audit&amp;VAR:KEY=IRAJITOLKD&amp;VAR:QUERY=RkZfRElWX1lMRChBTk4sNC8yMC8wNSw0LzIwLzA1KQ==&amp;WINDOW=FIRST_POPUP&amp;HEIGHT=450&amp;WIDTH=450&amp;","START_MAXIMIZED=FALSE&amp;VAR:CALENDAR=US&amp;VAR:SYMBOL=RAI&amp;VAR:INDEX=0"}</definedName>
    <definedName name="_2407__FDSAUDITLINK__" hidden="1">{"fdsup://directions/FAT Viewer?action=UPDATE&amp;creator=factset&amp;DYN_ARGS=TRUE&amp;DOC_NAME=FAT:FQL_AUDITING_CLIENT_TEMPLATE.FAT&amp;display_string=Audit&amp;VAR:KEY=IRAJITOLKD&amp;VAR:QUERY=RkZfRElWX1lMRChBTk4sNC8yMC8wNSw0LzIwLzA1KQ==&amp;WINDOW=FIRST_POPUP&amp;HEIGHT=450&amp;WIDTH=450&amp;","START_MAXIMIZED=FALSE&amp;VAR:CALENDAR=US&amp;VAR:SYMBOL=RAI&amp;VAR:INDEX=0"}</definedName>
    <definedName name="_2408__FDSAUDITLINK__" localSheetId="0" hidden="1">{"fdsup://directions/FAT Viewer?action=UPDATE&amp;creator=factset&amp;DYN_ARGS=TRUE&amp;DOC_NAME=FAT:FQL_AUDITING_CLIENT_TEMPLATE.FAT&amp;display_string=Audit&amp;VAR:KEY=EFYPQPQPGB&amp;VAR:QUERY=RkZfRElWX1lMRChBTk4sNC8xMy8wNSw0LzEzLzA1KQ==&amp;WINDOW=FIRST_POPUP&amp;HEIGHT=450&amp;WIDTH=450&amp;","START_MAXIMIZED=FALSE&amp;VAR:CALENDAR=US&amp;VAR:SYMBOL=RAI&amp;VAR:INDEX=0"}</definedName>
    <definedName name="_2408__FDSAUDITLINK__" hidden="1">{"fdsup://directions/FAT Viewer?action=UPDATE&amp;creator=factset&amp;DYN_ARGS=TRUE&amp;DOC_NAME=FAT:FQL_AUDITING_CLIENT_TEMPLATE.FAT&amp;display_string=Audit&amp;VAR:KEY=EFYPQPQPGB&amp;VAR:QUERY=RkZfRElWX1lMRChBTk4sNC8xMy8wNSw0LzEzLzA1KQ==&amp;WINDOW=FIRST_POPUP&amp;HEIGHT=450&amp;WIDTH=450&amp;","START_MAXIMIZED=FALSE&amp;VAR:CALENDAR=US&amp;VAR:SYMBOL=RAI&amp;VAR:INDEX=0"}</definedName>
    <definedName name="_2409__FDSAUDITLINK__" localSheetId="0" hidden="1">{"fdsup://directions/FAT Viewer?action=UPDATE&amp;creator=factset&amp;DYN_ARGS=TRUE&amp;DOC_NAME=FAT:FQL_AUDITING_CLIENT_TEMPLATE.FAT&amp;display_string=Audit&amp;VAR:KEY=CHUDQDYJCT&amp;VAR:QUERY=RkZfRElWX1lMRChBTk4sNC8wNi8wNSw0LzA2LzA1KQ==&amp;WINDOW=FIRST_POPUP&amp;HEIGHT=450&amp;WIDTH=450&amp;","START_MAXIMIZED=FALSE&amp;VAR:CALENDAR=US&amp;VAR:SYMBOL=RAI&amp;VAR:INDEX=0"}</definedName>
    <definedName name="_2409__FDSAUDITLINK__" hidden="1">{"fdsup://directions/FAT Viewer?action=UPDATE&amp;creator=factset&amp;DYN_ARGS=TRUE&amp;DOC_NAME=FAT:FQL_AUDITING_CLIENT_TEMPLATE.FAT&amp;display_string=Audit&amp;VAR:KEY=CHUDQDYJCT&amp;VAR:QUERY=RkZfRElWX1lMRChBTk4sNC8wNi8wNSw0LzA2LzA1KQ==&amp;WINDOW=FIRST_POPUP&amp;HEIGHT=450&amp;WIDTH=450&amp;","START_MAXIMIZED=FALSE&amp;VAR:CALENDAR=US&amp;VAR:SYMBOL=RAI&amp;VAR:INDEX=0"}</definedName>
    <definedName name="_241">#REF!</definedName>
    <definedName name="_241__FDSAUDITLINK__" localSheetId="0" hidden="1">{"fdsup://directions/FAT Viewer?action=UPDATE&amp;creator=factset&amp;DYN_ARGS=TRUE&amp;DOC_NAME=FAT:FQL_AUDITING_CLIENT_TEMPLATE.FAT&amp;display_string=Audit&amp;VAR:KEY=JQTITENMPW&amp;VAR:QUERY=RkZfRElWX1lMRChBTk4sOC8yNC8wNiw4LzI0LzA2KQ==&amp;WINDOW=FIRST_POPUP&amp;HEIGHT=450&amp;WIDTH=450&amp;","START_MAXIMIZED=FALSE&amp;VAR:CALENDAR=US&amp;VAR:SYMBOL=RAI&amp;VAR:INDEX=0"}</definedName>
    <definedName name="_241__FDSAUDITLINK__" hidden="1">{"fdsup://directions/FAT Viewer?action=UPDATE&amp;creator=factset&amp;DYN_ARGS=TRUE&amp;DOC_NAME=FAT:FQL_AUDITING_CLIENT_TEMPLATE.FAT&amp;display_string=Audit&amp;VAR:KEY=JQTITENMPW&amp;VAR:QUERY=RkZfRElWX1lMRChBTk4sOC8yNC8wNiw4LzI0LzA2KQ==&amp;WINDOW=FIRST_POPUP&amp;HEIGHT=450&amp;WIDTH=450&amp;","START_MAXIMIZED=FALSE&amp;VAR:CALENDAR=US&amp;VAR:SYMBOL=RAI&amp;VAR:INDEX=0"}</definedName>
    <definedName name="_2410__FDSAUDITLINK__" localSheetId="0" hidden="1">{"fdsup://directions/FAT Viewer?action=UPDATE&amp;creator=factset&amp;DYN_ARGS=TRUE&amp;DOC_NAME=FAT:FQL_AUDITING_CLIENT_TEMPLATE.FAT&amp;display_string=Audit&amp;VAR:KEY=IRADSFKLGR&amp;VAR:QUERY=RkZfRElWX1lMRChBTk4sMy8zMC8wNSwzLzMwLzA1KQ==&amp;WINDOW=FIRST_POPUP&amp;HEIGHT=450&amp;WIDTH=450&amp;","START_MAXIMIZED=FALSE&amp;VAR:CALENDAR=US&amp;VAR:SYMBOL=RAI&amp;VAR:INDEX=0"}</definedName>
    <definedName name="_2410__FDSAUDITLINK__" hidden="1">{"fdsup://directions/FAT Viewer?action=UPDATE&amp;creator=factset&amp;DYN_ARGS=TRUE&amp;DOC_NAME=FAT:FQL_AUDITING_CLIENT_TEMPLATE.FAT&amp;display_string=Audit&amp;VAR:KEY=IRADSFKLGR&amp;VAR:QUERY=RkZfRElWX1lMRChBTk4sMy8zMC8wNSwzLzMwLzA1KQ==&amp;WINDOW=FIRST_POPUP&amp;HEIGHT=450&amp;WIDTH=450&amp;","START_MAXIMIZED=FALSE&amp;VAR:CALENDAR=US&amp;VAR:SYMBOL=RAI&amp;VAR:INDEX=0"}</definedName>
    <definedName name="_2411__FDSAUDITLINK__" localSheetId="0" hidden="1">{"fdsup://directions/FAT Viewer?action=UPDATE&amp;creator=factset&amp;DYN_ARGS=TRUE&amp;DOC_NAME=FAT:FQL_AUDITING_CLIENT_TEMPLATE.FAT&amp;display_string=Audit&amp;VAR:KEY=YDYDQHSNMV&amp;VAR:QUERY=RkZfRElWX1lMRChBTk4sMy8yMy8wNSwzLzIzLzA1KQ==&amp;WINDOW=FIRST_POPUP&amp;HEIGHT=450&amp;WIDTH=450&amp;","START_MAXIMIZED=FALSE&amp;VAR:CALENDAR=US&amp;VAR:SYMBOL=RAI&amp;VAR:INDEX=0"}</definedName>
    <definedName name="_2411__FDSAUDITLINK__" hidden="1">{"fdsup://directions/FAT Viewer?action=UPDATE&amp;creator=factset&amp;DYN_ARGS=TRUE&amp;DOC_NAME=FAT:FQL_AUDITING_CLIENT_TEMPLATE.FAT&amp;display_string=Audit&amp;VAR:KEY=YDYDQHSNMV&amp;VAR:QUERY=RkZfRElWX1lMRChBTk4sMy8yMy8wNSwzLzIzLzA1KQ==&amp;WINDOW=FIRST_POPUP&amp;HEIGHT=450&amp;WIDTH=450&amp;","START_MAXIMIZED=FALSE&amp;VAR:CALENDAR=US&amp;VAR:SYMBOL=RAI&amp;VAR:INDEX=0"}</definedName>
    <definedName name="_2412__FDSAUDITLINK__" localSheetId="0" hidden="1">{"fdsup://directions/FAT Viewer?action=UPDATE&amp;creator=factset&amp;DYN_ARGS=TRUE&amp;DOC_NAME=FAT:FQL_AUDITING_CLIENT_TEMPLATE.FAT&amp;display_string=Audit&amp;VAR:KEY=EBWVKRGPYJ&amp;VAR:QUERY=RkZfRElWX1lMRChBTk4sMy8xNi8wNSwzLzE2LzA1KQ==&amp;WINDOW=FIRST_POPUP&amp;HEIGHT=450&amp;WIDTH=450&amp;","START_MAXIMIZED=FALSE&amp;VAR:CALENDAR=US&amp;VAR:SYMBOL=RAI&amp;VAR:INDEX=0"}</definedName>
    <definedName name="_2412__FDSAUDITLINK__" hidden="1">{"fdsup://directions/FAT Viewer?action=UPDATE&amp;creator=factset&amp;DYN_ARGS=TRUE&amp;DOC_NAME=FAT:FQL_AUDITING_CLIENT_TEMPLATE.FAT&amp;display_string=Audit&amp;VAR:KEY=EBWVKRGPYJ&amp;VAR:QUERY=RkZfRElWX1lMRChBTk4sMy8xNi8wNSwzLzE2LzA1KQ==&amp;WINDOW=FIRST_POPUP&amp;HEIGHT=450&amp;WIDTH=450&amp;","START_MAXIMIZED=FALSE&amp;VAR:CALENDAR=US&amp;VAR:SYMBOL=RAI&amp;VAR:INDEX=0"}</definedName>
    <definedName name="_2413__FDSAUDITLINK__" localSheetId="0" hidden="1">{"fdsup://directions/FAT Viewer?action=UPDATE&amp;creator=factset&amp;DYN_ARGS=TRUE&amp;DOC_NAME=FAT:FQL_AUDITING_CLIENT_TEMPLATE.FAT&amp;display_string=Audit&amp;VAR:KEY=EJUZGZCBOZ&amp;VAR:QUERY=RkZfRElWX1lMRChBTk4sMy8wOS8wNSwzLzA5LzA1KQ==&amp;WINDOW=FIRST_POPUP&amp;HEIGHT=450&amp;WIDTH=450&amp;","START_MAXIMIZED=FALSE&amp;VAR:CALENDAR=US&amp;VAR:SYMBOL=RAI&amp;VAR:INDEX=0"}</definedName>
    <definedName name="_2413__FDSAUDITLINK__" hidden="1">{"fdsup://directions/FAT Viewer?action=UPDATE&amp;creator=factset&amp;DYN_ARGS=TRUE&amp;DOC_NAME=FAT:FQL_AUDITING_CLIENT_TEMPLATE.FAT&amp;display_string=Audit&amp;VAR:KEY=EJUZGZCBOZ&amp;VAR:QUERY=RkZfRElWX1lMRChBTk4sMy8wOS8wNSwzLzA5LzA1KQ==&amp;WINDOW=FIRST_POPUP&amp;HEIGHT=450&amp;WIDTH=450&amp;","START_MAXIMIZED=FALSE&amp;VAR:CALENDAR=US&amp;VAR:SYMBOL=RAI&amp;VAR:INDEX=0"}</definedName>
    <definedName name="_2414__FDSAUDITLINK__" localSheetId="0" hidden="1">{"fdsup://directions/FAT Viewer?action=UPDATE&amp;creator=factset&amp;DYN_ARGS=TRUE&amp;DOC_NAME=FAT:FQL_AUDITING_CLIENT_TEMPLATE.FAT&amp;display_string=Audit&amp;VAR:KEY=GXSTGZQNKP&amp;VAR:QUERY=RkZfRElWX1lMRChBTk4sMy8wMi8wNSwzLzAyLzA1KQ==&amp;WINDOW=FIRST_POPUP&amp;HEIGHT=450&amp;WIDTH=450&amp;","START_MAXIMIZED=FALSE&amp;VAR:CALENDAR=US&amp;VAR:SYMBOL=RAI&amp;VAR:INDEX=0"}</definedName>
    <definedName name="_2414__FDSAUDITLINK__" hidden="1">{"fdsup://directions/FAT Viewer?action=UPDATE&amp;creator=factset&amp;DYN_ARGS=TRUE&amp;DOC_NAME=FAT:FQL_AUDITING_CLIENT_TEMPLATE.FAT&amp;display_string=Audit&amp;VAR:KEY=GXSTGZQNKP&amp;VAR:QUERY=RkZfRElWX1lMRChBTk4sMy8wMi8wNSwzLzAyLzA1KQ==&amp;WINDOW=FIRST_POPUP&amp;HEIGHT=450&amp;WIDTH=450&amp;","START_MAXIMIZED=FALSE&amp;VAR:CALENDAR=US&amp;VAR:SYMBOL=RAI&amp;VAR:INDEX=0"}</definedName>
    <definedName name="_2415__FDSAUDITLINK__" localSheetId="0" hidden="1">{"fdsup://directions/FAT Viewer?action=UPDATE&amp;creator=factset&amp;DYN_ARGS=TRUE&amp;DOC_NAME=FAT:FQL_AUDITING_CLIENT_TEMPLATE.FAT&amp;display_string=Audit&amp;VAR:KEY=WTSHQFWNSR&amp;VAR:QUERY=RkZfRElWX1lMRChBTk4sMi8yMy8wNSwyLzIzLzA1KQ==&amp;WINDOW=FIRST_POPUP&amp;HEIGHT=450&amp;WIDTH=450&amp;","START_MAXIMIZED=FALSE&amp;VAR:CALENDAR=US&amp;VAR:SYMBOL=RAI&amp;VAR:INDEX=0"}</definedName>
    <definedName name="_2415__FDSAUDITLINK__" hidden="1">{"fdsup://directions/FAT Viewer?action=UPDATE&amp;creator=factset&amp;DYN_ARGS=TRUE&amp;DOC_NAME=FAT:FQL_AUDITING_CLIENT_TEMPLATE.FAT&amp;display_string=Audit&amp;VAR:KEY=WTSHQFWNSR&amp;VAR:QUERY=RkZfRElWX1lMRChBTk4sMi8yMy8wNSwyLzIzLzA1KQ==&amp;WINDOW=FIRST_POPUP&amp;HEIGHT=450&amp;WIDTH=450&amp;","START_MAXIMIZED=FALSE&amp;VAR:CALENDAR=US&amp;VAR:SYMBOL=RAI&amp;VAR:INDEX=0"}</definedName>
    <definedName name="_2416__FDSAUDITLINK__" localSheetId="0" hidden="1">{"fdsup://directions/FAT Viewer?action=UPDATE&amp;creator=factset&amp;DYN_ARGS=TRUE&amp;DOC_NAME=FAT:FQL_AUDITING_CLIENT_TEMPLATE.FAT&amp;display_string=Audit&amp;VAR:KEY=EHIPEXUXCD&amp;VAR:QUERY=RkZfRElWX1lMRChBTk4sMi8xNi8wNSwyLzE2LzA1KQ==&amp;WINDOW=FIRST_POPUP&amp;HEIGHT=450&amp;WIDTH=450&amp;","START_MAXIMIZED=FALSE&amp;VAR:CALENDAR=US&amp;VAR:SYMBOL=RAI&amp;VAR:INDEX=0"}</definedName>
    <definedName name="_2416__FDSAUDITLINK__" hidden="1">{"fdsup://directions/FAT Viewer?action=UPDATE&amp;creator=factset&amp;DYN_ARGS=TRUE&amp;DOC_NAME=FAT:FQL_AUDITING_CLIENT_TEMPLATE.FAT&amp;display_string=Audit&amp;VAR:KEY=EHIPEXUXCD&amp;VAR:QUERY=RkZfRElWX1lMRChBTk4sMi8xNi8wNSwyLzE2LzA1KQ==&amp;WINDOW=FIRST_POPUP&amp;HEIGHT=450&amp;WIDTH=450&amp;","START_MAXIMIZED=FALSE&amp;VAR:CALENDAR=US&amp;VAR:SYMBOL=RAI&amp;VAR:INDEX=0"}</definedName>
    <definedName name="_2417__FDSAUDITLINK__" localSheetId="0" hidden="1">{"fdsup://directions/FAT Viewer?action=UPDATE&amp;creator=factset&amp;DYN_ARGS=TRUE&amp;DOC_NAME=FAT:FQL_AUDITING_CLIENT_TEMPLATE.FAT&amp;display_string=Audit&amp;VAR:KEY=YBWPKPSXGL&amp;VAR:QUERY=RkZfRElWX1lMRChBTk4sMi8wOS8wNSwyLzA5LzA1KQ==&amp;WINDOW=FIRST_POPUP&amp;HEIGHT=450&amp;WIDTH=450&amp;","START_MAXIMIZED=FALSE&amp;VAR:CALENDAR=US&amp;VAR:SYMBOL=RAI&amp;VAR:INDEX=0"}</definedName>
    <definedName name="_2417__FDSAUDITLINK__" hidden="1">{"fdsup://directions/FAT Viewer?action=UPDATE&amp;creator=factset&amp;DYN_ARGS=TRUE&amp;DOC_NAME=FAT:FQL_AUDITING_CLIENT_TEMPLATE.FAT&amp;display_string=Audit&amp;VAR:KEY=YBWPKPSXGL&amp;VAR:QUERY=RkZfRElWX1lMRChBTk4sMi8wOS8wNSwyLzA5LzA1KQ==&amp;WINDOW=FIRST_POPUP&amp;HEIGHT=450&amp;WIDTH=450&amp;","START_MAXIMIZED=FALSE&amp;VAR:CALENDAR=US&amp;VAR:SYMBOL=RAI&amp;VAR:INDEX=0"}</definedName>
    <definedName name="_2418__FDSAUDITLINK__" localSheetId="0" hidden="1">{"fdsup://directions/FAT Viewer?action=UPDATE&amp;creator=factset&amp;DYN_ARGS=TRUE&amp;DOC_NAME=FAT:FQL_AUDITING_CLIENT_TEMPLATE.FAT&amp;display_string=Audit&amp;VAR:KEY=SBYZAJQZYP&amp;VAR:QUERY=RkZfRElWX1lMRChBTk4sMi8wMi8wNSwyLzAyLzA1KQ==&amp;WINDOW=FIRST_POPUP&amp;HEIGHT=450&amp;WIDTH=450&amp;","START_MAXIMIZED=FALSE&amp;VAR:CALENDAR=US&amp;VAR:SYMBOL=RAI&amp;VAR:INDEX=0"}</definedName>
    <definedName name="_2418__FDSAUDITLINK__" hidden="1">{"fdsup://directions/FAT Viewer?action=UPDATE&amp;creator=factset&amp;DYN_ARGS=TRUE&amp;DOC_NAME=FAT:FQL_AUDITING_CLIENT_TEMPLATE.FAT&amp;display_string=Audit&amp;VAR:KEY=SBYZAJQZYP&amp;VAR:QUERY=RkZfRElWX1lMRChBTk4sMi8wMi8wNSwyLzAyLzA1KQ==&amp;WINDOW=FIRST_POPUP&amp;HEIGHT=450&amp;WIDTH=450&amp;","START_MAXIMIZED=FALSE&amp;VAR:CALENDAR=US&amp;VAR:SYMBOL=RAI&amp;VAR:INDEX=0"}</definedName>
    <definedName name="_2419__FDSAUDITLINK__" localSheetId="0" hidden="1">{"fdsup://directions/FAT Viewer?action=UPDATE&amp;creator=factset&amp;DYN_ARGS=TRUE&amp;DOC_NAME=FAT:FQL_AUDITING_CLIENT_TEMPLATE.FAT&amp;display_string=Audit&amp;VAR:KEY=QTOPIFYHOD&amp;VAR:QUERY=RkZfRElWX1lMRChBTk4sMS8yNi8wNSwxLzI2LzA1KQ==&amp;WINDOW=FIRST_POPUP&amp;HEIGHT=450&amp;WIDTH=450&amp;","START_MAXIMIZED=FALSE&amp;VAR:CALENDAR=US&amp;VAR:SYMBOL=RAI&amp;VAR:INDEX=0"}</definedName>
    <definedName name="_2419__FDSAUDITLINK__" hidden="1">{"fdsup://directions/FAT Viewer?action=UPDATE&amp;creator=factset&amp;DYN_ARGS=TRUE&amp;DOC_NAME=FAT:FQL_AUDITING_CLIENT_TEMPLATE.FAT&amp;display_string=Audit&amp;VAR:KEY=QTOPIFYHOD&amp;VAR:QUERY=RkZfRElWX1lMRChBTk4sMS8yNi8wNSwxLzI2LzA1KQ==&amp;WINDOW=FIRST_POPUP&amp;HEIGHT=450&amp;WIDTH=450&amp;","START_MAXIMIZED=FALSE&amp;VAR:CALENDAR=US&amp;VAR:SYMBOL=RAI&amp;VAR:INDEX=0"}</definedName>
    <definedName name="_242">#REF!</definedName>
    <definedName name="_242__FDSAUDITLINK__" localSheetId="0" hidden="1">{"fdsup://directions/FAT Viewer?action=UPDATE&amp;creator=factset&amp;DYN_ARGS=TRUE&amp;DOC_NAME=FAT:FQL_AUDITING_CLIENT_TEMPLATE.FAT&amp;display_string=Audit&amp;VAR:KEY=DWDOJWVMFS&amp;VAR:QUERY=RkZfRElWX1lMRChBTk4sOC8xNy8wNiw4LzE3LzA2KQ==&amp;WINDOW=FIRST_POPUP&amp;HEIGHT=450&amp;WIDTH=450&amp;","START_MAXIMIZED=FALSE&amp;VAR:CALENDAR=US&amp;VAR:SYMBOL=RAI&amp;VAR:INDEX=0"}</definedName>
    <definedName name="_242__FDSAUDITLINK__" hidden="1">{"fdsup://directions/FAT Viewer?action=UPDATE&amp;creator=factset&amp;DYN_ARGS=TRUE&amp;DOC_NAME=FAT:FQL_AUDITING_CLIENT_TEMPLATE.FAT&amp;display_string=Audit&amp;VAR:KEY=DWDOJWVMFS&amp;VAR:QUERY=RkZfRElWX1lMRChBTk4sOC8xNy8wNiw4LzE3LzA2KQ==&amp;WINDOW=FIRST_POPUP&amp;HEIGHT=450&amp;WIDTH=450&amp;","START_MAXIMIZED=FALSE&amp;VAR:CALENDAR=US&amp;VAR:SYMBOL=RAI&amp;VAR:INDEX=0"}</definedName>
    <definedName name="_2420__FDSAUDITLINK__" localSheetId="0" hidden="1">{"fdsup://directions/FAT Viewer?action=UPDATE&amp;creator=factset&amp;DYN_ARGS=TRUE&amp;DOC_NAME=FAT:FQL_AUDITING_CLIENT_TEMPLATE.FAT&amp;display_string=Audit&amp;VAR:KEY=QJOZOJKRWB&amp;VAR:QUERY=RkZfRElWX1lMRChBTk4sMS8xOS8wNSwxLzE5LzA1KQ==&amp;WINDOW=FIRST_POPUP&amp;HEIGHT=450&amp;WIDTH=450&amp;","START_MAXIMIZED=FALSE&amp;VAR:CALENDAR=US&amp;VAR:SYMBOL=RAI&amp;VAR:INDEX=0"}</definedName>
    <definedName name="_2420__FDSAUDITLINK__" hidden="1">{"fdsup://directions/FAT Viewer?action=UPDATE&amp;creator=factset&amp;DYN_ARGS=TRUE&amp;DOC_NAME=FAT:FQL_AUDITING_CLIENT_TEMPLATE.FAT&amp;display_string=Audit&amp;VAR:KEY=QJOZOJKRWB&amp;VAR:QUERY=RkZfRElWX1lMRChBTk4sMS8xOS8wNSwxLzE5LzA1KQ==&amp;WINDOW=FIRST_POPUP&amp;HEIGHT=450&amp;WIDTH=450&amp;","START_MAXIMIZED=FALSE&amp;VAR:CALENDAR=US&amp;VAR:SYMBOL=RAI&amp;VAR:INDEX=0"}</definedName>
    <definedName name="_2421__FDSAUDITLINK__" localSheetId="0" hidden="1">{"fdsup://directions/FAT Viewer?action=UPDATE&amp;creator=factset&amp;DYN_ARGS=TRUE&amp;DOC_NAME=FAT:FQL_AUDITING_CLIENT_TEMPLATE.FAT&amp;display_string=Audit&amp;VAR:KEY=OBWZWTCXQZ&amp;VAR:QUERY=RkZfRElWX1lMRChBTk4sMS8xMi8wNSwxLzEyLzA1KQ==&amp;WINDOW=FIRST_POPUP&amp;HEIGHT=450&amp;WIDTH=450&amp;","START_MAXIMIZED=FALSE&amp;VAR:CALENDAR=US&amp;VAR:SYMBOL=RAI&amp;VAR:INDEX=0"}</definedName>
    <definedName name="_2421__FDSAUDITLINK__" hidden="1">{"fdsup://directions/FAT Viewer?action=UPDATE&amp;creator=factset&amp;DYN_ARGS=TRUE&amp;DOC_NAME=FAT:FQL_AUDITING_CLIENT_TEMPLATE.FAT&amp;display_string=Audit&amp;VAR:KEY=OBWZWTCXQZ&amp;VAR:QUERY=RkZfRElWX1lMRChBTk4sMS8xMi8wNSwxLzEyLzA1KQ==&amp;WINDOW=FIRST_POPUP&amp;HEIGHT=450&amp;WIDTH=450&amp;","START_MAXIMIZED=FALSE&amp;VAR:CALENDAR=US&amp;VAR:SYMBOL=RAI&amp;VAR:INDEX=0"}</definedName>
    <definedName name="_2422__FDSAUDITLINK__" localSheetId="0" hidden="1">{"fdsup://directions/FAT Viewer?action=UPDATE&amp;creator=factset&amp;DYN_ARGS=TRUE&amp;DOC_NAME=FAT:FQL_AUDITING_CLIENT_TEMPLATE.FAT&amp;display_string=Audit&amp;VAR:KEY=IZUTWNYJEV&amp;VAR:QUERY=RkZfRElWX1lMRChBTk4sMS8wNS8wNSwxLzA1LzA1KQ==&amp;WINDOW=FIRST_POPUP&amp;HEIGHT=450&amp;WIDTH=450&amp;","START_MAXIMIZED=FALSE&amp;VAR:CALENDAR=US&amp;VAR:SYMBOL=RAI&amp;VAR:INDEX=0"}</definedName>
    <definedName name="_2422__FDSAUDITLINK__" hidden="1">{"fdsup://directions/FAT Viewer?action=UPDATE&amp;creator=factset&amp;DYN_ARGS=TRUE&amp;DOC_NAME=FAT:FQL_AUDITING_CLIENT_TEMPLATE.FAT&amp;display_string=Audit&amp;VAR:KEY=IZUTWNYJEV&amp;VAR:QUERY=RkZfRElWX1lMRChBTk4sMS8wNS8wNSwxLzA1LzA1KQ==&amp;WINDOW=FIRST_POPUP&amp;HEIGHT=450&amp;WIDTH=450&amp;","START_MAXIMIZED=FALSE&amp;VAR:CALENDAR=US&amp;VAR:SYMBOL=RAI&amp;VAR:INDEX=0"}</definedName>
    <definedName name="_2423__FDSAUDITLINK__" localSheetId="0" hidden="1">{"fdsup://directions/FAT Viewer?action=UPDATE&amp;creator=factset&amp;DYN_ARGS=TRUE&amp;DOC_NAME=FAT:FQL_AUDITING_CLIENT_TEMPLATE.FAT&amp;display_string=Audit&amp;VAR:KEY=QDMTQXCNST&amp;VAR:QUERY=RkZfRElWX1lMRChBTk4sMTIvMjkvMDQsMTIvMjkvMDQp&amp;WINDOW=FIRST_POPUP&amp;HEIGHT=450&amp;WIDTH=450&amp;","START_MAXIMIZED=FALSE&amp;VAR:CALENDAR=US&amp;VAR:SYMBOL=RAI&amp;VAR:INDEX=0"}</definedName>
    <definedName name="_2423__FDSAUDITLINK__" hidden="1">{"fdsup://directions/FAT Viewer?action=UPDATE&amp;creator=factset&amp;DYN_ARGS=TRUE&amp;DOC_NAME=FAT:FQL_AUDITING_CLIENT_TEMPLATE.FAT&amp;display_string=Audit&amp;VAR:KEY=QDMTQXCNST&amp;VAR:QUERY=RkZfRElWX1lMRChBTk4sMTIvMjkvMDQsMTIvMjkvMDQp&amp;WINDOW=FIRST_POPUP&amp;HEIGHT=450&amp;WIDTH=450&amp;","START_MAXIMIZED=FALSE&amp;VAR:CALENDAR=US&amp;VAR:SYMBOL=RAI&amp;VAR:INDEX=0"}</definedName>
    <definedName name="_2424__FDSAUDITLINK__" localSheetId="0" hidden="1">{"fdsup://directions/FAT Viewer?action=UPDATE&amp;creator=factset&amp;DYN_ARGS=TRUE&amp;DOC_NAME=FAT:FQL_AUDITING_CLIENT_TEMPLATE.FAT&amp;display_string=Audit&amp;VAR:KEY=UPIXGZKXCD&amp;VAR:QUERY=RkZfRElWX1lMRChBTk4sMTIvMjIvMDQsMTIvMjIvMDQp&amp;WINDOW=FIRST_POPUP&amp;HEIGHT=450&amp;WIDTH=450&amp;","START_MAXIMIZED=FALSE&amp;VAR:CALENDAR=US&amp;VAR:SYMBOL=RAI&amp;VAR:INDEX=0"}</definedName>
    <definedName name="_2424__FDSAUDITLINK__" hidden="1">{"fdsup://directions/FAT Viewer?action=UPDATE&amp;creator=factset&amp;DYN_ARGS=TRUE&amp;DOC_NAME=FAT:FQL_AUDITING_CLIENT_TEMPLATE.FAT&amp;display_string=Audit&amp;VAR:KEY=UPIXGZKXCD&amp;VAR:QUERY=RkZfRElWX1lMRChBTk4sMTIvMjIvMDQsMTIvMjIvMDQp&amp;WINDOW=FIRST_POPUP&amp;HEIGHT=450&amp;WIDTH=450&amp;","START_MAXIMIZED=FALSE&amp;VAR:CALENDAR=US&amp;VAR:SYMBOL=RAI&amp;VAR:INDEX=0"}</definedName>
    <definedName name="_2425__FDSAUDITLINK__" localSheetId="0" hidden="1">{"fdsup://directions/FAT Viewer?action=UPDATE&amp;creator=factset&amp;DYN_ARGS=TRUE&amp;DOC_NAME=FAT:FQL_AUDITING_CLIENT_TEMPLATE.FAT&amp;display_string=Audit&amp;VAR:KEY=URMBUNCPUB&amp;VAR:QUERY=RkZfRElWX1lMRChBTk4sMTIvMTUvMDQsMTIvMTUvMDQp&amp;WINDOW=FIRST_POPUP&amp;HEIGHT=450&amp;WIDTH=450&amp;","START_MAXIMIZED=FALSE&amp;VAR:CALENDAR=US&amp;VAR:SYMBOL=RAI&amp;VAR:INDEX=0"}</definedName>
    <definedName name="_2425__FDSAUDITLINK__" hidden="1">{"fdsup://directions/FAT Viewer?action=UPDATE&amp;creator=factset&amp;DYN_ARGS=TRUE&amp;DOC_NAME=FAT:FQL_AUDITING_CLIENT_TEMPLATE.FAT&amp;display_string=Audit&amp;VAR:KEY=URMBUNCPUB&amp;VAR:QUERY=RkZfRElWX1lMRChBTk4sMTIvMTUvMDQsMTIvMTUvMDQp&amp;WINDOW=FIRST_POPUP&amp;HEIGHT=450&amp;WIDTH=450&amp;","START_MAXIMIZED=FALSE&amp;VAR:CALENDAR=US&amp;VAR:SYMBOL=RAI&amp;VAR:INDEX=0"}</definedName>
    <definedName name="_2426__FDSAUDITLINK__" localSheetId="0" hidden="1">{"fdsup://directions/FAT Viewer?action=UPDATE&amp;creator=factset&amp;DYN_ARGS=TRUE&amp;DOC_NAME=FAT:FQL_AUDITING_CLIENT_TEMPLATE.FAT&amp;display_string=Audit&amp;VAR:KEY=WFGZEVGHWD&amp;VAR:QUERY=RkZfRElWX1lMRChBTk4sMTIvMDgvMDQsMTIvMDgvMDQp&amp;WINDOW=FIRST_POPUP&amp;HEIGHT=450&amp;WIDTH=450&amp;","START_MAXIMIZED=FALSE&amp;VAR:CALENDAR=US&amp;VAR:SYMBOL=RAI&amp;VAR:INDEX=0"}</definedName>
    <definedName name="_2426__FDSAUDITLINK__" hidden="1">{"fdsup://directions/FAT Viewer?action=UPDATE&amp;creator=factset&amp;DYN_ARGS=TRUE&amp;DOC_NAME=FAT:FQL_AUDITING_CLIENT_TEMPLATE.FAT&amp;display_string=Audit&amp;VAR:KEY=WFGZEVGHWD&amp;VAR:QUERY=RkZfRElWX1lMRChBTk4sMTIvMDgvMDQsMTIvMDgvMDQp&amp;WINDOW=FIRST_POPUP&amp;HEIGHT=450&amp;WIDTH=450&amp;","START_MAXIMIZED=FALSE&amp;VAR:CALENDAR=US&amp;VAR:SYMBOL=RAI&amp;VAR:INDEX=0"}</definedName>
    <definedName name="_2427__FDSAUDITLINK__" localSheetId="0" hidden="1">{"fdsup://directions/FAT Viewer?action=UPDATE&amp;creator=factset&amp;DYN_ARGS=TRUE&amp;DOC_NAME=FAT:FQL_AUDITING_CLIENT_TEMPLATE.FAT&amp;display_string=Audit&amp;VAR:KEY=SBSZUBKVIT&amp;VAR:QUERY=RkZfRElWX1lMRChBTk4sMTIvMDEvMDQsMTIvMDEvMDQp&amp;WINDOW=FIRST_POPUP&amp;HEIGHT=450&amp;WIDTH=450&amp;","START_MAXIMIZED=FALSE&amp;VAR:CALENDAR=US&amp;VAR:SYMBOL=RAI&amp;VAR:INDEX=0"}</definedName>
    <definedName name="_2427__FDSAUDITLINK__" hidden="1">{"fdsup://directions/FAT Viewer?action=UPDATE&amp;creator=factset&amp;DYN_ARGS=TRUE&amp;DOC_NAME=FAT:FQL_AUDITING_CLIENT_TEMPLATE.FAT&amp;display_string=Audit&amp;VAR:KEY=SBSZUBKVIT&amp;VAR:QUERY=RkZfRElWX1lMRChBTk4sMTIvMDEvMDQsMTIvMDEvMDQp&amp;WINDOW=FIRST_POPUP&amp;HEIGHT=450&amp;WIDTH=450&amp;","START_MAXIMIZED=FALSE&amp;VAR:CALENDAR=US&amp;VAR:SYMBOL=RAI&amp;VAR:INDEX=0"}</definedName>
    <definedName name="_2428__FDSAUDITLINK__" localSheetId="0" hidden="1">{"fdsup://directions/FAT Viewer?action=UPDATE&amp;creator=factset&amp;DYN_ARGS=TRUE&amp;DOC_NAME=FAT:FQL_AUDITING_CLIENT_TEMPLATE.FAT&amp;display_string=Audit&amp;VAR:KEY=EHQLWZWZQV&amp;VAR:QUERY=RkZfRElWX1lMRChBTk4sMTEvMjQvMDQsMTEvMjQvMDQp&amp;WINDOW=FIRST_POPUP&amp;HEIGHT=450&amp;WIDTH=450&amp;","START_MAXIMIZED=FALSE&amp;VAR:CALENDAR=US&amp;VAR:SYMBOL=RAI&amp;VAR:INDEX=0"}</definedName>
    <definedName name="_2428__FDSAUDITLINK__" hidden="1">{"fdsup://directions/FAT Viewer?action=UPDATE&amp;creator=factset&amp;DYN_ARGS=TRUE&amp;DOC_NAME=FAT:FQL_AUDITING_CLIENT_TEMPLATE.FAT&amp;display_string=Audit&amp;VAR:KEY=EHQLWZWZQV&amp;VAR:QUERY=RkZfRElWX1lMRChBTk4sMTEvMjQvMDQsMTEvMjQvMDQp&amp;WINDOW=FIRST_POPUP&amp;HEIGHT=450&amp;WIDTH=450&amp;","START_MAXIMIZED=FALSE&amp;VAR:CALENDAR=US&amp;VAR:SYMBOL=RAI&amp;VAR:INDEX=0"}</definedName>
    <definedName name="_2429__FDSAUDITLINK__" localSheetId="0" hidden="1">{"fdsup://directions/FAT Viewer?action=UPDATE&amp;creator=factset&amp;DYN_ARGS=TRUE&amp;DOC_NAME=FAT:FQL_AUDITING_CLIENT_TEMPLATE.FAT&amp;display_string=Audit&amp;VAR:KEY=GNGFUJWDWT&amp;VAR:QUERY=RkZfRElWX1lMRChBTk4sMTEvMTcvMDQsMTEvMTcvMDQp&amp;WINDOW=FIRST_POPUP&amp;HEIGHT=450&amp;WIDTH=450&amp;","START_MAXIMIZED=FALSE&amp;VAR:CALENDAR=US&amp;VAR:SYMBOL=RAI&amp;VAR:INDEX=0"}</definedName>
    <definedName name="_2429__FDSAUDITLINK__" hidden="1">{"fdsup://directions/FAT Viewer?action=UPDATE&amp;creator=factset&amp;DYN_ARGS=TRUE&amp;DOC_NAME=FAT:FQL_AUDITING_CLIENT_TEMPLATE.FAT&amp;display_string=Audit&amp;VAR:KEY=GNGFUJWDWT&amp;VAR:QUERY=RkZfRElWX1lMRChBTk4sMTEvMTcvMDQsMTEvMTcvMDQp&amp;WINDOW=FIRST_POPUP&amp;HEIGHT=450&amp;WIDTH=450&amp;","START_MAXIMIZED=FALSE&amp;VAR:CALENDAR=US&amp;VAR:SYMBOL=RAI&amp;VAR:INDEX=0"}</definedName>
    <definedName name="_243">#REF!</definedName>
    <definedName name="_243__FDSAUDITLINK__" localSheetId="0" hidden="1">{"fdsup://directions/FAT Viewer?action=UPDATE&amp;creator=factset&amp;DYN_ARGS=TRUE&amp;DOC_NAME=FAT:FQL_AUDITING_CLIENT_TEMPLATE.FAT&amp;display_string=Audit&amp;VAR:KEY=TOROBUJWPO&amp;VAR:QUERY=RkZfRElWX1lMRChBTk4sOC8xMC8wNiw4LzEwLzA2KQ==&amp;WINDOW=FIRST_POPUP&amp;HEIGHT=450&amp;WIDTH=450&amp;","START_MAXIMIZED=FALSE&amp;VAR:CALENDAR=US&amp;VAR:SYMBOL=RAI&amp;VAR:INDEX=0"}</definedName>
    <definedName name="_243__FDSAUDITLINK__" hidden="1">{"fdsup://directions/FAT Viewer?action=UPDATE&amp;creator=factset&amp;DYN_ARGS=TRUE&amp;DOC_NAME=FAT:FQL_AUDITING_CLIENT_TEMPLATE.FAT&amp;display_string=Audit&amp;VAR:KEY=TOROBUJWPO&amp;VAR:QUERY=RkZfRElWX1lMRChBTk4sOC8xMC8wNiw4LzEwLzA2KQ==&amp;WINDOW=FIRST_POPUP&amp;HEIGHT=450&amp;WIDTH=450&amp;","START_MAXIMIZED=FALSE&amp;VAR:CALENDAR=US&amp;VAR:SYMBOL=RAI&amp;VAR:INDEX=0"}</definedName>
    <definedName name="_2430__FDSAUDITLINK__" localSheetId="0" hidden="1">{"fdsup://directions/FAT Viewer?action=UPDATE&amp;creator=factset&amp;DYN_ARGS=TRUE&amp;DOC_NAME=FAT:FQL_AUDITING_CLIENT_TEMPLATE.FAT&amp;display_string=Audit&amp;VAR:KEY=OXGRADONCF&amp;VAR:QUERY=RkZfRElWX1lMRChBTk4sMTEvMTAvMDQsMTEvMTAvMDQp&amp;WINDOW=FIRST_POPUP&amp;HEIGHT=450&amp;WIDTH=450&amp;","START_MAXIMIZED=FALSE&amp;VAR:CALENDAR=US&amp;VAR:SYMBOL=RAI&amp;VAR:INDEX=0"}</definedName>
    <definedName name="_2430__FDSAUDITLINK__" hidden="1">{"fdsup://directions/FAT Viewer?action=UPDATE&amp;creator=factset&amp;DYN_ARGS=TRUE&amp;DOC_NAME=FAT:FQL_AUDITING_CLIENT_TEMPLATE.FAT&amp;display_string=Audit&amp;VAR:KEY=OXGRADONCF&amp;VAR:QUERY=RkZfRElWX1lMRChBTk4sMTEvMTAvMDQsMTEvMTAvMDQp&amp;WINDOW=FIRST_POPUP&amp;HEIGHT=450&amp;WIDTH=450&amp;","START_MAXIMIZED=FALSE&amp;VAR:CALENDAR=US&amp;VAR:SYMBOL=RAI&amp;VAR:INDEX=0"}</definedName>
    <definedName name="_2431__FDSAUDITLINK__" localSheetId="0" hidden="1">{"fdsup://directions/FAT Viewer?action=UPDATE&amp;creator=factset&amp;DYN_ARGS=TRUE&amp;DOC_NAME=FAT:FQL_AUDITING_CLIENT_TEMPLATE.FAT&amp;display_string=Audit&amp;VAR:KEY=EDMNKHQNUD&amp;VAR:QUERY=RkZfRElWX1lMRChBTk4sMTEvMDMvMDQsMTEvMDMvMDQp&amp;WINDOW=FIRST_POPUP&amp;HEIGHT=450&amp;WIDTH=450&amp;","START_MAXIMIZED=FALSE&amp;VAR:CALENDAR=US&amp;VAR:SYMBOL=RAI&amp;VAR:INDEX=0"}</definedName>
    <definedName name="_2431__FDSAUDITLINK__" hidden="1">{"fdsup://directions/FAT Viewer?action=UPDATE&amp;creator=factset&amp;DYN_ARGS=TRUE&amp;DOC_NAME=FAT:FQL_AUDITING_CLIENT_TEMPLATE.FAT&amp;display_string=Audit&amp;VAR:KEY=EDMNKHQNUD&amp;VAR:QUERY=RkZfRElWX1lMRChBTk4sMTEvMDMvMDQsMTEvMDMvMDQp&amp;WINDOW=FIRST_POPUP&amp;HEIGHT=450&amp;WIDTH=450&amp;","START_MAXIMIZED=FALSE&amp;VAR:CALENDAR=US&amp;VAR:SYMBOL=RAI&amp;VAR:INDEX=0"}</definedName>
    <definedName name="_2432__FDSAUDITLINK__" localSheetId="0" hidden="1">{"fdsup://directions/FAT Viewer?action=UPDATE&amp;creator=factset&amp;DYN_ARGS=TRUE&amp;DOC_NAME=FAT:FQL_AUDITING_CLIENT_TEMPLATE.FAT&amp;display_string=Audit&amp;VAR:KEY=YVOJOXYVIJ&amp;VAR:QUERY=RkZfRElWX1lMRChBTk4sMTAvMjcvMDQsMTAvMjcvMDQp&amp;WINDOW=FIRST_POPUP&amp;HEIGHT=450&amp;WIDTH=450&amp;","START_MAXIMIZED=FALSE&amp;VAR:CALENDAR=US&amp;VAR:SYMBOL=RAI&amp;VAR:INDEX=0"}</definedName>
    <definedName name="_2432__FDSAUDITLINK__" hidden="1">{"fdsup://directions/FAT Viewer?action=UPDATE&amp;creator=factset&amp;DYN_ARGS=TRUE&amp;DOC_NAME=FAT:FQL_AUDITING_CLIENT_TEMPLATE.FAT&amp;display_string=Audit&amp;VAR:KEY=YVOJOXYVIJ&amp;VAR:QUERY=RkZfRElWX1lMRChBTk4sMTAvMjcvMDQsMTAvMjcvMDQp&amp;WINDOW=FIRST_POPUP&amp;HEIGHT=450&amp;WIDTH=450&amp;","START_MAXIMIZED=FALSE&amp;VAR:CALENDAR=US&amp;VAR:SYMBOL=RAI&amp;VAR:INDEX=0"}</definedName>
    <definedName name="_2433__FDSAUDITLINK__" localSheetId="0" hidden="1">{"fdsup://directions/FAT Viewer?action=UPDATE&amp;creator=factset&amp;DYN_ARGS=TRUE&amp;DOC_NAME=FAT:FQL_AUDITING_CLIENT_TEMPLATE.FAT&amp;display_string=Audit&amp;VAR:KEY=ITABYLQXOT&amp;VAR:QUERY=RkZfRElWX1lMRChBTk4sMTAvMjAvMDQsMTAvMjAvMDQp&amp;WINDOW=FIRST_POPUP&amp;HEIGHT=450&amp;WIDTH=450&amp;","START_MAXIMIZED=FALSE&amp;VAR:CALENDAR=US&amp;VAR:SYMBOL=RAI&amp;VAR:INDEX=0"}</definedName>
    <definedName name="_2433__FDSAUDITLINK__" hidden="1">{"fdsup://directions/FAT Viewer?action=UPDATE&amp;creator=factset&amp;DYN_ARGS=TRUE&amp;DOC_NAME=FAT:FQL_AUDITING_CLIENT_TEMPLATE.FAT&amp;display_string=Audit&amp;VAR:KEY=ITABYLQXOT&amp;VAR:QUERY=RkZfRElWX1lMRChBTk4sMTAvMjAvMDQsMTAvMjAvMDQp&amp;WINDOW=FIRST_POPUP&amp;HEIGHT=450&amp;WIDTH=450&amp;","START_MAXIMIZED=FALSE&amp;VAR:CALENDAR=US&amp;VAR:SYMBOL=RAI&amp;VAR:INDEX=0"}</definedName>
    <definedName name="_2434__FDSAUDITLINK__" localSheetId="0" hidden="1">{"fdsup://directions/FAT Viewer?action=UPDATE&amp;creator=factset&amp;DYN_ARGS=TRUE&amp;DOC_NAME=FAT:FQL_AUDITING_CLIENT_TEMPLATE.FAT&amp;display_string=Audit&amp;VAR:KEY=GLWJIPSPAH&amp;VAR:QUERY=RkZfRElWX1lMRChBTk4sMTAvMTMvMDQsMTAvMTMvMDQp&amp;WINDOW=FIRST_POPUP&amp;HEIGHT=450&amp;WIDTH=450&amp;","START_MAXIMIZED=FALSE&amp;VAR:CALENDAR=US&amp;VAR:SYMBOL=RAI&amp;VAR:INDEX=0"}</definedName>
    <definedName name="_2434__FDSAUDITLINK__" hidden="1">{"fdsup://directions/FAT Viewer?action=UPDATE&amp;creator=factset&amp;DYN_ARGS=TRUE&amp;DOC_NAME=FAT:FQL_AUDITING_CLIENT_TEMPLATE.FAT&amp;display_string=Audit&amp;VAR:KEY=GLWJIPSPAH&amp;VAR:QUERY=RkZfRElWX1lMRChBTk4sMTAvMTMvMDQsMTAvMTMvMDQp&amp;WINDOW=FIRST_POPUP&amp;HEIGHT=450&amp;WIDTH=450&amp;","START_MAXIMIZED=FALSE&amp;VAR:CALENDAR=US&amp;VAR:SYMBOL=RAI&amp;VAR:INDEX=0"}</definedName>
    <definedName name="_2435__FDSAUDITLINK__" localSheetId="0" hidden="1">{"fdsup://directions/FAT Viewer?action=UPDATE&amp;creator=factset&amp;DYN_ARGS=TRUE&amp;DOC_NAME=FAT:FQL_AUDITING_CLIENT_TEMPLATE.FAT&amp;display_string=Audit&amp;VAR:KEY=ULYROJYZIP&amp;VAR:QUERY=RkZfRElWX1lMRChBTk4sMTAvMDYvMDQsMTAvMDYvMDQp&amp;WINDOW=FIRST_POPUP&amp;HEIGHT=450&amp;WIDTH=450&amp;","START_MAXIMIZED=FALSE&amp;VAR:CALENDAR=US&amp;VAR:SYMBOL=RAI&amp;VAR:INDEX=0"}</definedName>
    <definedName name="_2435__FDSAUDITLINK__" hidden="1">{"fdsup://directions/FAT Viewer?action=UPDATE&amp;creator=factset&amp;DYN_ARGS=TRUE&amp;DOC_NAME=FAT:FQL_AUDITING_CLIENT_TEMPLATE.FAT&amp;display_string=Audit&amp;VAR:KEY=ULYROJYZIP&amp;VAR:QUERY=RkZfRElWX1lMRChBTk4sMTAvMDYvMDQsMTAvMDYvMDQp&amp;WINDOW=FIRST_POPUP&amp;HEIGHT=450&amp;WIDTH=450&amp;","START_MAXIMIZED=FALSE&amp;VAR:CALENDAR=US&amp;VAR:SYMBOL=RAI&amp;VAR:INDEX=0"}</definedName>
    <definedName name="_2436__FDSAUDITLINK__" localSheetId="0" hidden="1">{"fdsup://directions/FAT Viewer?action=UPDATE&amp;creator=factset&amp;DYN_ARGS=TRUE&amp;DOC_NAME=FAT:FQL_AUDITING_CLIENT_TEMPLATE.FAT&amp;display_string=Audit&amp;VAR:KEY=WRGPQVQRGB&amp;VAR:QUERY=RkZfRElWX1lMRChBTk4sOS8yOS8wNCw5LzI5LzA0KQ==&amp;WINDOW=FIRST_POPUP&amp;HEIGHT=450&amp;WIDTH=450&amp;","START_MAXIMIZED=FALSE&amp;VAR:CALENDAR=US&amp;VAR:SYMBOL=RAI&amp;VAR:INDEX=0"}</definedName>
    <definedName name="_2436__FDSAUDITLINK__" hidden="1">{"fdsup://directions/FAT Viewer?action=UPDATE&amp;creator=factset&amp;DYN_ARGS=TRUE&amp;DOC_NAME=FAT:FQL_AUDITING_CLIENT_TEMPLATE.FAT&amp;display_string=Audit&amp;VAR:KEY=WRGPQVQRGB&amp;VAR:QUERY=RkZfRElWX1lMRChBTk4sOS8yOS8wNCw5LzI5LzA0KQ==&amp;WINDOW=FIRST_POPUP&amp;HEIGHT=450&amp;WIDTH=450&amp;","START_MAXIMIZED=FALSE&amp;VAR:CALENDAR=US&amp;VAR:SYMBOL=RAI&amp;VAR:INDEX=0"}</definedName>
    <definedName name="_2437__FDSAUDITLINK__" localSheetId="0" hidden="1">{"fdsup://directions/FAT Viewer?action=UPDATE&amp;creator=factset&amp;DYN_ARGS=TRUE&amp;DOC_NAME=FAT:FQL_AUDITING_CLIENT_TEMPLATE.FAT&amp;display_string=Audit&amp;VAR:KEY=ORWBUPGRMP&amp;VAR:QUERY=RkZfRElWX1lMRChBTk4sOS8yMi8wNCw5LzIyLzA0KQ==&amp;WINDOW=FIRST_POPUP&amp;HEIGHT=450&amp;WIDTH=450&amp;","START_MAXIMIZED=FALSE&amp;VAR:CALENDAR=US&amp;VAR:SYMBOL=RAI&amp;VAR:INDEX=0"}</definedName>
    <definedName name="_2437__FDSAUDITLINK__" hidden="1">{"fdsup://directions/FAT Viewer?action=UPDATE&amp;creator=factset&amp;DYN_ARGS=TRUE&amp;DOC_NAME=FAT:FQL_AUDITING_CLIENT_TEMPLATE.FAT&amp;display_string=Audit&amp;VAR:KEY=ORWBUPGRMP&amp;VAR:QUERY=RkZfRElWX1lMRChBTk4sOS8yMi8wNCw5LzIyLzA0KQ==&amp;WINDOW=FIRST_POPUP&amp;HEIGHT=450&amp;WIDTH=450&amp;","START_MAXIMIZED=FALSE&amp;VAR:CALENDAR=US&amp;VAR:SYMBOL=RAI&amp;VAR:INDEX=0"}</definedName>
    <definedName name="_2438">#REF!</definedName>
    <definedName name="_2438__FDSAUDITLINK__" localSheetId="0" hidden="1">{"fdsup://directions/FAT Viewer?action=UPDATE&amp;creator=factset&amp;DYN_ARGS=TRUE&amp;DOC_NAME=FAT:FQL_AUDITING_CLIENT_TEMPLATE.FAT&amp;display_string=Audit&amp;VAR:KEY=KJETYDUTYL&amp;VAR:QUERY=RkZfRElWX1lMRChBTk4sOS8xNS8wNCw5LzE1LzA0KQ==&amp;WINDOW=FIRST_POPUP&amp;HEIGHT=450&amp;WIDTH=450&amp;","START_MAXIMIZED=FALSE&amp;VAR:CALENDAR=US&amp;VAR:SYMBOL=RAI&amp;VAR:INDEX=0"}</definedName>
    <definedName name="_2438__FDSAUDITLINK__" hidden="1">{"fdsup://directions/FAT Viewer?action=UPDATE&amp;creator=factset&amp;DYN_ARGS=TRUE&amp;DOC_NAME=FAT:FQL_AUDITING_CLIENT_TEMPLATE.FAT&amp;display_string=Audit&amp;VAR:KEY=KJETYDUTYL&amp;VAR:QUERY=RkZfRElWX1lMRChBTk4sOS8xNS8wNCw5LzE1LzA0KQ==&amp;WINDOW=FIRST_POPUP&amp;HEIGHT=450&amp;WIDTH=450&amp;","START_MAXIMIZED=FALSE&amp;VAR:CALENDAR=US&amp;VAR:SYMBOL=RAI&amp;VAR:INDEX=0"}</definedName>
    <definedName name="_2439">#REF!</definedName>
    <definedName name="_2439__FDSAUDITLINK__" localSheetId="0" hidden="1">{"fdsup://directions/FAT Viewer?action=UPDATE&amp;creator=factset&amp;DYN_ARGS=TRUE&amp;DOC_NAME=FAT:FQL_AUDITING_CLIENT_TEMPLATE.FAT&amp;display_string=Audit&amp;VAR:KEY=CTSRIHEXEL&amp;VAR:QUERY=RkZfRElWX1lMRChBTk4sOS8wOC8wNCw5LzA4LzA0KQ==&amp;WINDOW=FIRST_POPUP&amp;HEIGHT=450&amp;WIDTH=450&amp;","START_MAXIMIZED=FALSE&amp;VAR:CALENDAR=US&amp;VAR:SYMBOL=RAI&amp;VAR:INDEX=0"}</definedName>
    <definedName name="_2439__FDSAUDITLINK__" hidden="1">{"fdsup://directions/FAT Viewer?action=UPDATE&amp;creator=factset&amp;DYN_ARGS=TRUE&amp;DOC_NAME=FAT:FQL_AUDITING_CLIENT_TEMPLATE.FAT&amp;display_string=Audit&amp;VAR:KEY=CTSRIHEXEL&amp;VAR:QUERY=RkZfRElWX1lMRChBTk4sOS8wOC8wNCw5LzA4LzA0KQ==&amp;WINDOW=FIRST_POPUP&amp;HEIGHT=450&amp;WIDTH=450&amp;","START_MAXIMIZED=FALSE&amp;VAR:CALENDAR=US&amp;VAR:SYMBOL=RAI&amp;VAR:INDEX=0"}</definedName>
    <definedName name="_244">#REF!</definedName>
    <definedName name="_244__FDSAUDITLINK__" localSheetId="0" hidden="1">{"fdsup://directions/FAT Viewer?action=UPDATE&amp;creator=factset&amp;DYN_ARGS=TRUE&amp;DOC_NAME=FAT:FQL_AUDITING_CLIENT_TEMPLATE.FAT&amp;display_string=Audit&amp;VAR:KEY=NKJODWLMHY&amp;VAR:QUERY=RkZfRElWX1lMRChBTk4sOC8wMy8wNiw4LzAzLzA2KQ==&amp;WINDOW=FIRST_POPUP&amp;HEIGHT=450&amp;WIDTH=450&amp;","START_MAXIMIZED=FALSE&amp;VAR:CALENDAR=US&amp;VAR:SYMBOL=RAI&amp;VAR:INDEX=0"}</definedName>
    <definedName name="_244__FDSAUDITLINK__" hidden="1">{"fdsup://directions/FAT Viewer?action=UPDATE&amp;creator=factset&amp;DYN_ARGS=TRUE&amp;DOC_NAME=FAT:FQL_AUDITING_CLIENT_TEMPLATE.FAT&amp;display_string=Audit&amp;VAR:KEY=NKJODWLMHY&amp;VAR:QUERY=RkZfRElWX1lMRChBTk4sOC8wMy8wNiw4LzAzLzA2KQ==&amp;WINDOW=FIRST_POPUP&amp;HEIGHT=450&amp;WIDTH=450&amp;","START_MAXIMIZED=FALSE&amp;VAR:CALENDAR=US&amp;VAR:SYMBOL=RAI&amp;VAR:INDEX=0"}</definedName>
    <definedName name="_2440__FDSAUDITLINK__" localSheetId="0" hidden="1">{"fdsup://directions/FAT Viewer?action=UPDATE&amp;creator=factset&amp;DYN_ARGS=TRUE&amp;DOC_NAME=FAT:FQL_AUDITING_CLIENT_TEMPLATE.FAT&amp;display_string=Audit&amp;VAR:KEY=INCJCBAHOJ&amp;VAR:QUERY=RkZfRElWX1lMRChBTk4sOS8wMS8wNCw5LzAxLzA0KQ==&amp;WINDOW=FIRST_POPUP&amp;HEIGHT=450&amp;WIDTH=450&amp;","START_MAXIMIZED=FALSE&amp;VAR:CALENDAR=US&amp;VAR:SYMBOL=RAI&amp;VAR:INDEX=0"}</definedName>
    <definedName name="_2440__FDSAUDITLINK__" hidden="1">{"fdsup://directions/FAT Viewer?action=UPDATE&amp;creator=factset&amp;DYN_ARGS=TRUE&amp;DOC_NAME=FAT:FQL_AUDITING_CLIENT_TEMPLATE.FAT&amp;display_string=Audit&amp;VAR:KEY=INCJCBAHOJ&amp;VAR:QUERY=RkZfRElWX1lMRChBTk4sOS8wMS8wNCw5LzAxLzA0KQ==&amp;WINDOW=FIRST_POPUP&amp;HEIGHT=450&amp;WIDTH=450&amp;","START_MAXIMIZED=FALSE&amp;VAR:CALENDAR=US&amp;VAR:SYMBOL=RAI&amp;VAR:INDEX=0"}</definedName>
    <definedName name="_2441">#REF!</definedName>
    <definedName name="_2441__FDSAUDITLINK__" localSheetId="0" hidden="1">{"fdsup://directions/FAT Viewer?action=UPDATE&amp;creator=factset&amp;DYN_ARGS=TRUE&amp;DOC_NAME=FAT:FQL_AUDITING_CLIENT_TEMPLATE.FAT&amp;display_string=Audit&amp;VAR:KEY=ATKPEHKVUX&amp;VAR:QUERY=RkZfRElWX1lMRChBTk4sOC8yNS8wNCw4LzI1LzA0KQ==&amp;WINDOW=FIRST_POPUP&amp;HEIGHT=450&amp;WIDTH=450&amp;","START_MAXIMIZED=FALSE&amp;VAR:CALENDAR=US&amp;VAR:SYMBOL=RAI&amp;VAR:INDEX=0"}</definedName>
    <definedName name="_2441__FDSAUDITLINK__" hidden="1">{"fdsup://directions/FAT Viewer?action=UPDATE&amp;creator=factset&amp;DYN_ARGS=TRUE&amp;DOC_NAME=FAT:FQL_AUDITING_CLIENT_TEMPLATE.FAT&amp;display_string=Audit&amp;VAR:KEY=ATKPEHKVUX&amp;VAR:QUERY=RkZfRElWX1lMRChBTk4sOC8yNS8wNCw4LzI1LzA0KQ==&amp;WINDOW=FIRST_POPUP&amp;HEIGHT=450&amp;WIDTH=450&amp;","START_MAXIMIZED=FALSE&amp;VAR:CALENDAR=US&amp;VAR:SYMBOL=RAI&amp;VAR:INDEX=0"}</definedName>
    <definedName name="_2442">#REF!</definedName>
    <definedName name="_2442__FDSAUDITLINK__" localSheetId="0" hidden="1">{"fdsup://directions/FAT Viewer?action=UPDATE&amp;creator=factset&amp;DYN_ARGS=TRUE&amp;DOC_NAME=FAT:FQL_AUDITING_CLIENT_TEMPLATE.FAT&amp;display_string=Audit&amp;VAR:KEY=KZUXSNIJYH&amp;VAR:QUERY=RkZfRElWX1lMRChBTk4sOC8xOC8wNCw4LzE4LzA0KQ==&amp;WINDOW=FIRST_POPUP&amp;HEIGHT=450&amp;WIDTH=450&amp;","START_MAXIMIZED=FALSE&amp;VAR:CALENDAR=US&amp;VAR:SYMBOL=RAI&amp;VAR:INDEX=0"}</definedName>
    <definedName name="_2442__FDSAUDITLINK__" hidden="1">{"fdsup://directions/FAT Viewer?action=UPDATE&amp;creator=factset&amp;DYN_ARGS=TRUE&amp;DOC_NAME=FAT:FQL_AUDITING_CLIENT_TEMPLATE.FAT&amp;display_string=Audit&amp;VAR:KEY=KZUXSNIJYH&amp;VAR:QUERY=RkZfRElWX1lMRChBTk4sOC8xOC8wNCw4LzE4LzA0KQ==&amp;WINDOW=FIRST_POPUP&amp;HEIGHT=450&amp;WIDTH=450&amp;","START_MAXIMIZED=FALSE&amp;VAR:CALENDAR=US&amp;VAR:SYMBOL=RAI&amp;VAR:INDEX=0"}</definedName>
    <definedName name="_2443__FDSAUDITLINK__" localSheetId="0" hidden="1">{"fdsup://directions/FAT Viewer?action=UPDATE&amp;creator=factset&amp;DYN_ARGS=TRUE&amp;DOC_NAME=FAT:FQL_AUDITING_CLIENT_TEMPLATE.FAT&amp;display_string=Audit&amp;VAR:KEY=QDWZGNEFMN&amp;VAR:QUERY=RkZfRElWX1lMRChBTk4sOC8xMS8wNCw4LzExLzA0KQ==&amp;WINDOW=FIRST_POPUP&amp;HEIGHT=450&amp;WIDTH=450&amp;","START_MAXIMIZED=FALSE&amp;VAR:CALENDAR=US&amp;VAR:SYMBOL=RAI&amp;VAR:INDEX=0"}</definedName>
    <definedName name="_2443__FDSAUDITLINK__" hidden="1">{"fdsup://directions/FAT Viewer?action=UPDATE&amp;creator=factset&amp;DYN_ARGS=TRUE&amp;DOC_NAME=FAT:FQL_AUDITING_CLIENT_TEMPLATE.FAT&amp;display_string=Audit&amp;VAR:KEY=QDWZGNEFMN&amp;VAR:QUERY=RkZfRElWX1lMRChBTk4sOC8xMS8wNCw4LzExLzA0KQ==&amp;WINDOW=FIRST_POPUP&amp;HEIGHT=450&amp;WIDTH=450&amp;","START_MAXIMIZED=FALSE&amp;VAR:CALENDAR=US&amp;VAR:SYMBOL=RAI&amp;VAR:INDEX=0"}</definedName>
    <definedName name="_2444">#REF!</definedName>
    <definedName name="_2444__FDSAUDITLINK__" localSheetId="0" hidden="1">{"fdsup://directions/FAT Viewer?action=UPDATE&amp;creator=factset&amp;DYN_ARGS=TRUE&amp;DOC_NAME=FAT:FQL_AUDITING_CLIENT_TEMPLATE.FAT&amp;display_string=Audit&amp;VAR:KEY=OVCDAFCHGX&amp;VAR:QUERY=RkZfRElWX1lMRChBTk4sOC8wNC8wNCw4LzA0LzA0KQ==&amp;WINDOW=FIRST_POPUP&amp;HEIGHT=450&amp;WIDTH=450&amp;","START_MAXIMIZED=FALSE&amp;VAR:CALENDAR=US&amp;VAR:SYMBOL=RAI&amp;VAR:INDEX=0"}</definedName>
    <definedName name="_2444__FDSAUDITLINK__" hidden="1">{"fdsup://directions/FAT Viewer?action=UPDATE&amp;creator=factset&amp;DYN_ARGS=TRUE&amp;DOC_NAME=FAT:FQL_AUDITING_CLIENT_TEMPLATE.FAT&amp;display_string=Audit&amp;VAR:KEY=OVCDAFCHGX&amp;VAR:QUERY=RkZfRElWX1lMRChBTk4sOC8wNC8wNCw4LzA0LzA0KQ==&amp;WINDOW=FIRST_POPUP&amp;HEIGHT=450&amp;WIDTH=450&amp;","START_MAXIMIZED=FALSE&amp;VAR:CALENDAR=US&amp;VAR:SYMBOL=RAI&amp;VAR:INDEX=0"}</definedName>
    <definedName name="_2445">#REF!</definedName>
    <definedName name="_2445__FDSAUDITLINK__" localSheetId="0" hidden="1">{"fdsup://directions/FAT Viewer?action=UPDATE&amp;creator=factset&amp;DYN_ARGS=TRUE&amp;DOC_NAME=FAT:FQL_AUDITING_CLIENT_TEMPLATE.FAT&amp;display_string=Audit&amp;VAR:KEY=OXAZYDYZQD&amp;VAR:QUERY=RkZfRElWX1lMRChBTk4sNy8yOC8wNCw3LzI4LzA0KQ==&amp;WINDOW=FIRST_POPUP&amp;HEIGHT=450&amp;WIDTH=450&amp;","START_MAXIMIZED=FALSE&amp;VAR:CALENDAR=US&amp;VAR:SYMBOL=RAI&amp;VAR:INDEX=0"}</definedName>
    <definedName name="_2445__FDSAUDITLINK__" hidden="1">{"fdsup://directions/FAT Viewer?action=UPDATE&amp;creator=factset&amp;DYN_ARGS=TRUE&amp;DOC_NAME=FAT:FQL_AUDITING_CLIENT_TEMPLATE.FAT&amp;display_string=Audit&amp;VAR:KEY=OXAZYDYZQD&amp;VAR:QUERY=RkZfRElWX1lMRChBTk4sNy8yOC8wNCw3LzI4LzA0KQ==&amp;WINDOW=FIRST_POPUP&amp;HEIGHT=450&amp;WIDTH=450&amp;","START_MAXIMIZED=FALSE&amp;VAR:CALENDAR=US&amp;VAR:SYMBOL=RAI&amp;VAR:INDEX=0"}</definedName>
    <definedName name="_2446__FDSAUDITLINK__" localSheetId="0" hidden="1">{"fdsup://directions/FAT Viewer?action=UPDATE&amp;creator=factset&amp;DYN_ARGS=TRUE&amp;DOC_NAME=FAT:FQL_AUDITING_CLIENT_TEMPLATE.FAT&amp;display_string=Audit&amp;VAR:KEY=SPCXYJONEN&amp;VAR:QUERY=RkZfRElWX1lMRChBTk4sNy8yMS8wNCw3LzIxLzA0KQ==&amp;WINDOW=FIRST_POPUP&amp;HEIGHT=450&amp;WIDTH=450&amp;","START_MAXIMIZED=FALSE&amp;VAR:CALENDAR=US&amp;VAR:SYMBOL=RAI&amp;VAR:INDEX=0"}</definedName>
    <definedName name="_2446__FDSAUDITLINK__" hidden="1">{"fdsup://directions/FAT Viewer?action=UPDATE&amp;creator=factset&amp;DYN_ARGS=TRUE&amp;DOC_NAME=FAT:FQL_AUDITING_CLIENT_TEMPLATE.FAT&amp;display_string=Audit&amp;VAR:KEY=SPCXYJONEN&amp;VAR:QUERY=RkZfRElWX1lMRChBTk4sNy8yMS8wNCw3LzIxLzA0KQ==&amp;WINDOW=FIRST_POPUP&amp;HEIGHT=450&amp;WIDTH=450&amp;","START_MAXIMIZED=FALSE&amp;VAR:CALENDAR=US&amp;VAR:SYMBOL=RAI&amp;VAR:INDEX=0"}</definedName>
    <definedName name="_2447">#REF!</definedName>
    <definedName name="_2447__FDSAUDITLINK__" localSheetId="0" hidden="1">{"fdsup://directions/FAT Viewer?action=UPDATE&amp;creator=factset&amp;DYN_ARGS=TRUE&amp;DOC_NAME=FAT:FQL_AUDITING_CLIENT_TEMPLATE.FAT&amp;display_string=Audit&amp;VAR:KEY=EZQDCTKLAN&amp;VAR:QUERY=RkZfRElWX1lMRChBTk4sNy8xNC8wNCw3LzE0LzA0KQ==&amp;WINDOW=FIRST_POPUP&amp;HEIGHT=450&amp;WIDTH=450&amp;","START_MAXIMIZED=FALSE&amp;VAR:CALENDAR=US&amp;VAR:SYMBOL=RAI&amp;VAR:INDEX=0"}</definedName>
    <definedName name="_2447__FDSAUDITLINK__" hidden="1">{"fdsup://directions/FAT Viewer?action=UPDATE&amp;creator=factset&amp;DYN_ARGS=TRUE&amp;DOC_NAME=FAT:FQL_AUDITING_CLIENT_TEMPLATE.FAT&amp;display_string=Audit&amp;VAR:KEY=EZQDCTKLAN&amp;VAR:QUERY=RkZfRElWX1lMRChBTk4sNy8xNC8wNCw3LzE0LzA0KQ==&amp;WINDOW=FIRST_POPUP&amp;HEIGHT=450&amp;WIDTH=450&amp;","START_MAXIMIZED=FALSE&amp;VAR:CALENDAR=US&amp;VAR:SYMBOL=RAI&amp;VAR:INDEX=0"}</definedName>
    <definedName name="_2448">#REF!</definedName>
    <definedName name="_2448__FDSAUDITLINK__" localSheetId="0" hidden="1">{"fdsup://directions/FAT Viewer?action=UPDATE&amp;creator=factset&amp;DYN_ARGS=TRUE&amp;DOC_NAME=FAT:FQL_AUDITING_CLIENT_TEMPLATE.FAT&amp;display_string=Audit&amp;VAR:KEY=YFSPOPKHSL&amp;VAR:QUERY=RkZfRElWX1lMRChBTk4sNy8wNy8wNCw3LzA3LzA0KQ==&amp;WINDOW=FIRST_POPUP&amp;HEIGHT=450&amp;WIDTH=450&amp;","START_MAXIMIZED=FALSE&amp;VAR:CALENDAR=US&amp;VAR:SYMBOL=RAI&amp;VAR:INDEX=0"}</definedName>
    <definedName name="_2448__FDSAUDITLINK__" hidden="1">{"fdsup://directions/FAT Viewer?action=UPDATE&amp;creator=factset&amp;DYN_ARGS=TRUE&amp;DOC_NAME=FAT:FQL_AUDITING_CLIENT_TEMPLATE.FAT&amp;display_string=Audit&amp;VAR:KEY=YFSPOPKHSL&amp;VAR:QUERY=RkZfRElWX1lMRChBTk4sNy8wNy8wNCw3LzA3LzA0KQ==&amp;WINDOW=FIRST_POPUP&amp;HEIGHT=450&amp;WIDTH=450&amp;","START_MAXIMIZED=FALSE&amp;VAR:CALENDAR=US&amp;VAR:SYMBOL=RAI&amp;VAR:INDEX=0"}</definedName>
    <definedName name="_2449__FDSAUDITLINK__" localSheetId="0" hidden="1">{"fdsup://directions/FAT Viewer?action=UPDATE&amp;creator=factset&amp;DYN_ARGS=TRUE&amp;DOC_NAME=FAT:FQL_AUDITING_CLIENT_TEMPLATE.FAT&amp;display_string=Audit&amp;VAR:KEY=CVIRMTGJSN&amp;VAR:QUERY=RkZfRElWX1lMRChBTk4sNi8zMC8wNCw2LzMwLzA0KQ==&amp;WINDOW=FIRST_POPUP&amp;HEIGHT=450&amp;WIDTH=450&amp;","START_MAXIMIZED=FALSE&amp;VAR:CALENDAR=US&amp;VAR:SYMBOL=RAI&amp;VAR:INDEX=0"}</definedName>
    <definedName name="_2449__FDSAUDITLINK__" hidden="1">{"fdsup://directions/FAT Viewer?action=UPDATE&amp;creator=factset&amp;DYN_ARGS=TRUE&amp;DOC_NAME=FAT:FQL_AUDITING_CLIENT_TEMPLATE.FAT&amp;display_string=Audit&amp;VAR:KEY=CVIRMTGJSN&amp;VAR:QUERY=RkZfRElWX1lMRChBTk4sNi8zMC8wNCw2LzMwLzA0KQ==&amp;WINDOW=FIRST_POPUP&amp;HEIGHT=450&amp;WIDTH=450&amp;","START_MAXIMIZED=FALSE&amp;VAR:CALENDAR=US&amp;VAR:SYMBOL=RAI&amp;VAR:INDEX=0"}</definedName>
    <definedName name="_245">#REF!</definedName>
    <definedName name="_245__FDSAUDITLINK__" localSheetId="0" hidden="1">{"fdsup://directions/FAT Viewer?action=UPDATE&amp;creator=factset&amp;DYN_ARGS=TRUE&amp;DOC_NAME=FAT:FQL_AUDITING_CLIENT_TEMPLATE.FAT&amp;display_string=Audit&amp;VAR:KEY=BEZQTGRQNE&amp;VAR:QUERY=RkZfRElWX1lMRChBTk4sNy8yNy8wNiw3LzI3LzA2KQ==&amp;WINDOW=FIRST_POPUP&amp;HEIGHT=450&amp;WIDTH=450&amp;","START_MAXIMIZED=FALSE&amp;VAR:CALENDAR=US&amp;VAR:SYMBOL=RAI&amp;VAR:INDEX=0"}</definedName>
    <definedName name="_245__FDSAUDITLINK__" hidden="1">{"fdsup://directions/FAT Viewer?action=UPDATE&amp;creator=factset&amp;DYN_ARGS=TRUE&amp;DOC_NAME=FAT:FQL_AUDITING_CLIENT_TEMPLATE.FAT&amp;display_string=Audit&amp;VAR:KEY=BEZQTGRQNE&amp;VAR:QUERY=RkZfRElWX1lMRChBTk4sNy8yNy8wNiw3LzI3LzA2KQ==&amp;WINDOW=FIRST_POPUP&amp;HEIGHT=450&amp;WIDTH=450&amp;","START_MAXIMIZED=FALSE&amp;VAR:CALENDAR=US&amp;VAR:SYMBOL=RAI&amp;VAR:INDEX=0"}</definedName>
    <definedName name="_2450__FDSAUDITLINK__" localSheetId="0" hidden="1">{"fdsup://directions/FAT Viewer?action=UPDATE&amp;creator=factset&amp;DYN_ARGS=TRUE&amp;DOC_NAME=FAT:FQL_AUDITING_CLIENT_TEMPLATE.FAT&amp;display_string=Audit&amp;VAR:KEY=OZKNGXIFQL&amp;VAR:QUERY=RkZfRElWX1lMRChBTk4sNi8yMy8wNCw2LzIzLzA0KQ==&amp;WINDOW=FIRST_POPUP&amp;HEIGHT=450&amp;WIDTH=450&amp;","START_MAXIMIZED=FALSE&amp;VAR:CALENDAR=US&amp;VAR:SYMBOL=RAI&amp;VAR:INDEX=0"}</definedName>
    <definedName name="_2450__FDSAUDITLINK__" hidden="1">{"fdsup://directions/FAT Viewer?action=UPDATE&amp;creator=factset&amp;DYN_ARGS=TRUE&amp;DOC_NAME=FAT:FQL_AUDITING_CLIENT_TEMPLATE.FAT&amp;display_string=Audit&amp;VAR:KEY=OZKNGXIFQL&amp;VAR:QUERY=RkZfRElWX1lMRChBTk4sNi8yMy8wNCw2LzIzLzA0KQ==&amp;WINDOW=FIRST_POPUP&amp;HEIGHT=450&amp;WIDTH=450&amp;","START_MAXIMIZED=FALSE&amp;VAR:CALENDAR=US&amp;VAR:SYMBOL=RAI&amp;VAR:INDEX=0"}</definedName>
    <definedName name="_2451__FDSAUDITLINK__" localSheetId="0" hidden="1">{"fdsup://directions/FAT Viewer?action=UPDATE&amp;creator=factset&amp;DYN_ARGS=TRUE&amp;DOC_NAME=FAT:FQL_AUDITING_CLIENT_TEMPLATE.FAT&amp;display_string=Audit&amp;VAR:KEY=UNKTAXKHKZ&amp;VAR:QUERY=RkZfRElWX1lMRChBTk4sNi8xNi8wNCw2LzE2LzA0KQ==&amp;WINDOW=FIRST_POPUP&amp;HEIGHT=450&amp;WIDTH=450&amp;","START_MAXIMIZED=FALSE&amp;VAR:CALENDAR=US&amp;VAR:SYMBOL=RAI&amp;VAR:INDEX=0"}</definedName>
    <definedName name="_2451__FDSAUDITLINK__" hidden="1">{"fdsup://directions/FAT Viewer?action=UPDATE&amp;creator=factset&amp;DYN_ARGS=TRUE&amp;DOC_NAME=FAT:FQL_AUDITING_CLIENT_TEMPLATE.FAT&amp;display_string=Audit&amp;VAR:KEY=UNKTAXKHKZ&amp;VAR:QUERY=RkZfRElWX1lMRChBTk4sNi8xNi8wNCw2LzE2LzA0KQ==&amp;WINDOW=FIRST_POPUP&amp;HEIGHT=450&amp;WIDTH=450&amp;","START_MAXIMIZED=FALSE&amp;VAR:CALENDAR=US&amp;VAR:SYMBOL=RAI&amp;VAR:INDEX=0"}</definedName>
    <definedName name="_2452__FDSAUDITLINK__" localSheetId="0" hidden="1">{"fdsup://directions/FAT Viewer?action=UPDATE&amp;creator=factset&amp;DYN_ARGS=TRUE&amp;DOC_NAME=FAT:FQL_AUDITING_CLIENT_TEMPLATE.FAT&amp;display_string=Audit&amp;VAR:KEY=AVGTCXKZKH&amp;VAR:QUERY=RkZfRElWX1lMRChBTk4sNi8wOS8wNCw2LzA5LzA0KQ==&amp;WINDOW=FIRST_POPUP&amp;HEIGHT=450&amp;WIDTH=450&amp;","START_MAXIMIZED=FALSE&amp;VAR:CALENDAR=US&amp;VAR:SYMBOL=RAI&amp;VAR:INDEX=0"}</definedName>
    <definedName name="_2452__FDSAUDITLINK__" hidden="1">{"fdsup://directions/FAT Viewer?action=UPDATE&amp;creator=factset&amp;DYN_ARGS=TRUE&amp;DOC_NAME=FAT:FQL_AUDITING_CLIENT_TEMPLATE.FAT&amp;display_string=Audit&amp;VAR:KEY=AVGTCXKZKH&amp;VAR:QUERY=RkZfRElWX1lMRChBTk4sNi8wOS8wNCw2LzA5LzA0KQ==&amp;WINDOW=FIRST_POPUP&amp;HEIGHT=450&amp;WIDTH=450&amp;","START_MAXIMIZED=FALSE&amp;VAR:CALENDAR=US&amp;VAR:SYMBOL=RAI&amp;VAR:INDEX=0"}</definedName>
    <definedName name="_2453__FDSAUDITLINK__" localSheetId="0" hidden="1">{"fdsup://directions/FAT Viewer?action=UPDATE&amp;creator=factset&amp;DYN_ARGS=TRUE&amp;DOC_NAME=FAT:FQL_AUDITING_CLIENT_TEMPLATE.FAT&amp;display_string=Audit&amp;VAR:KEY=CXCFYHABWV&amp;VAR:QUERY=RkZfRElWX1lMRChBTk4sNi8wMi8wNCw2LzAyLzA0KQ==&amp;WINDOW=FIRST_POPUP&amp;HEIGHT=450&amp;WIDTH=450&amp;","START_MAXIMIZED=FALSE&amp;VAR:CALENDAR=US&amp;VAR:SYMBOL=RAI&amp;VAR:INDEX=0"}</definedName>
    <definedName name="_2453__FDSAUDITLINK__" hidden="1">{"fdsup://directions/FAT Viewer?action=UPDATE&amp;creator=factset&amp;DYN_ARGS=TRUE&amp;DOC_NAME=FAT:FQL_AUDITING_CLIENT_TEMPLATE.FAT&amp;display_string=Audit&amp;VAR:KEY=CXCFYHABWV&amp;VAR:QUERY=RkZfRElWX1lMRChBTk4sNi8wMi8wNCw2LzAyLzA0KQ==&amp;WINDOW=FIRST_POPUP&amp;HEIGHT=450&amp;WIDTH=450&amp;","START_MAXIMIZED=FALSE&amp;VAR:CALENDAR=US&amp;VAR:SYMBOL=RAI&amp;VAR:INDEX=0"}</definedName>
    <definedName name="_2454__FDSAUDITLINK__" localSheetId="0" hidden="1">{"fdsup://directions/FAT Viewer?action=UPDATE&amp;creator=factset&amp;DYN_ARGS=TRUE&amp;DOC_NAME=FAT:FQL_AUDITING_CLIENT_TEMPLATE.FAT&amp;display_string=Audit&amp;VAR:KEY=QXKLATWNGP&amp;VAR:QUERY=RkZfRElWX1lMRChBTk4sNS8yNi8wNCw1LzI2LzA0KQ==&amp;WINDOW=FIRST_POPUP&amp;HEIGHT=450&amp;WIDTH=450&amp;","START_MAXIMIZED=FALSE&amp;VAR:CALENDAR=US&amp;VAR:SYMBOL=RAI&amp;VAR:INDEX=0"}</definedName>
    <definedName name="_2454__FDSAUDITLINK__" hidden="1">{"fdsup://directions/FAT Viewer?action=UPDATE&amp;creator=factset&amp;DYN_ARGS=TRUE&amp;DOC_NAME=FAT:FQL_AUDITING_CLIENT_TEMPLATE.FAT&amp;display_string=Audit&amp;VAR:KEY=QXKLATWNGP&amp;VAR:QUERY=RkZfRElWX1lMRChBTk4sNS8yNi8wNCw1LzI2LzA0KQ==&amp;WINDOW=FIRST_POPUP&amp;HEIGHT=450&amp;WIDTH=450&amp;","START_MAXIMIZED=FALSE&amp;VAR:CALENDAR=US&amp;VAR:SYMBOL=RAI&amp;VAR:INDEX=0"}</definedName>
    <definedName name="_2455__FDSAUDITLINK__" localSheetId="0" hidden="1">{"fdsup://directions/FAT Viewer?action=UPDATE&amp;creator=factset&amp;DYN_ARGS=TRUE&amp;DOC_NAME=FAT:FQL_AUDITING_CLIENT_TEMPLATE.FAT&amp;display_string=Audit&amp;VAR:KEY=UJSBITGNKB&amp;VAR:QUERY=RkZfRElWX1lMRChBTk4sNS8xOS8wNCw1LzE5LzA0KQ==&amp;WINDOW=FIRST_POPUP&amp;HEIGHT=450&amp;WIDTH=450&amp;","START_MAXIMIZED=FALSE&amp;VAR:CALENDAR=US&amp;VAR:SYMBOL=RAI&amp;VAR:INDEX=0"}</definedName>
    <definedName name="_2455__FDSAUDITLINK__" hidden="1">{"fdsup://directions/FAT Viewer?action=UPDATE&amp;creator=factset&amp;DYN_ARGS=TRUE&amp;DOC_NAME=FAT:FQL_AUDITING_CLIENT_TEMPLATE.FAT&amp;display_string=Audit&amp;VAR:KEY=UJSBITGNKB&amp;VAR:QUERY=RkZfRElWX1lMRChBTk4sNS8xOS8wNCw1LzE5LzA0KQ==&amp;WINDOW=FIRST_POPUP&amp;HEIGHT=450&amp;WIDTH=450&amp;","START_MAXIMIZED=FALSE&amp;VAR:CALENDAR=US&amp;VAR:SYMBOL=RAI&amp;VAR:INDEX=0"}</definedName>
    <definedName name="_2456__FDSAUDITLINK__" localSheetId="0" hidden="1">{"fdsup://directions/FAT Viewer?action=UPDATE&amp;creator=factset&amp;DYN_ARGS=TRUE&amp;DOC_NAME=FAT:FQL_AUDITING_CLIENT_TEMPLATE.FAT&amp;display_string=Audit&amp;VAR:KEY=ATIHMPWVED&amp;VAR:QUERY=RkZfRElWX1lMRChBTk4sNS8xMi8wNCw1LzEyLzA0KQ==&amp;WINDOW=FIRST_POPUP&amp;HEIGHT=450&amp;WIDTH=450&amp;","START_MAXIMIZED=FALSE&amp;VAR:CALENDAR=US&amp;VAR:SYMBOL=RAI&amp;VAR:INDEX=0"}</definedName>
    <definedName name="_2456__FDSAUDITLINK__" hidden="1">{"fdsup://directions/FAT Viewer?action=UPDATE&amp;creator=factset&amp;DYN_ARGS=TRUE&amp;DOC_NAME=FAT:FQL_AUDITING_CLIENT_TEMPLATE.FAT&amp;display_string=Audit&amp;VAR:KEY=ATIHMPWVED&amp;VAR:QUERY=RkZfRElWX1lMRChBTk4sNS8xMi8wNCw1LzEyLzA0KQ==&amp;WINDOW=FIRST_POPUP&amp;HEIGHT=450&amp;WIDTH=450&amp;","START_MAXIMIZED=FALSE&amp;VAR:CALENDAR=US&amp;VAR:SYMBOL=RAI&amp;VAR:INDEX=0"}</definedName>
    <definedName name="_2457__FDSAUDITLINK__" localSheetId="0" hidden="1">{"fdsup://directions/FAT Viewer?action=UPDATE&amp;creator=factset&amp;DYN_ARGS=TRUE&amp;DOC_NAME=FAT:FQL_AUDITING_CLIENT_TEMPLATE.FAT&amp;display_string=Audit&amp;VAR:KEY=ERALARGXYT&amp;VAR:QUERY=RkZfRElWX1lMRChBTk4sNS8wNS8wNCw1LzA1LzA0KQ==&amp;WINDOW=FIRST_POPUP&amp;HEIGHT=450&amp;WIDTH=450&amp;","START_MAXIMIZED=FALSE&amp;VAR:CALENDAR=US&amp;VAR:SYMBOL=RAI&amp;VAR:INDEX=0"}</definedName>
    <definedName name="_2457__FDSAUDITLINK__" hidden="1">{"fdsup://directions/FAT Viewer?action=UPDATE&amp;creator=factset&amp;DYN_ARGS=TRUE&amp;DOC_NAME=FAT:FQL_AUDITING_CLIENT_TEMPLATE.FAT&amp;display_string=Audit&amp;VAR:KEY=ERALARGXYT&amp;VAR:QUERY=RkZfRElWX1lMRChBTk4sNS8wNS8wNCw1LzA1LzA0KQ==&amp;WINDOW=FIRST_POPUP&amp;HEIGHT=450&amp;WIDTH=450&amp;","START_MAXIMIZED=FALSE&amp;VAR:CALENDAR=US&amp;VAR:SYMBOL=RAI&amp;VAR:INDEX=0"}</definedName>
    <definedName name="_2458__FDSAUDITLINK__" localSheetId="0" hidden="1">{"fdsup://directions/FAT Viewer?action=UPDATE&amp;creator=factset&amp;DYN_ARGS=TRUE&amp;DOC_NAME=FAT:FQL_AUDITING_CLIENT_TEMPLATE.FAT&amp;display_string=Audit&amp;VAR:KEY=ALSHUNUTAB&amp;VAR:QUERY=RkZfRElWX1lMRChBTk4sNC8yOC8wNCw0LzI4LzA0KQ==&amp;WINDOW=FIRST_POPUP&amp;HEIGHT=450&amp;WIDTH=450&amp;","START_MAXIMIZED=FALSE&amp;VAR:CALENDAR=US&amp;VAR:SYMBOL=RAI&amp;VAR:INDEX=0"}</definedName>
    <definedName name="_2458__FDSAUDITLINK__" hidden="1">{"fdsup://directions/FAT Viewer?action=UPDATE&amp;creator=factset&amp;DYN_ARGS=TRUE&amp;DOC_NAME=FAT:FQL_AUDITING_CLIENT_TEMPLATE.FAT&amp;display_string=Audit&amp;VAR:KEY=ALSHUNUTAB&amp;VAR:QUERY=RkZfRElWX1lMRChBTk4sNC8yOC8wNCw0LzI4LzA0KQ==&amp;WINDOW=FIRST_POPUP&amp;HEIGHT=450&amp;WIDTH=450&amp;","START_MAXIMIZED=FALSE&amp;VAR:CALENDAR=US&amp;VAR:SYMBOL=RAI&amp;VAR:INDEX=0"}</definedName>
    <definedName name="_2459__FDSAUDITLINK__" localSheetId="0" hidden="1">{"fdsup://directions/FAT Viewer?action=UPDATE&amp;creator=factset&amp;DYN_ARGS=TRUE&amp;DOC_NAME=FAT:FQL_AUDITING_CLIENT_TEMPLATE.FAT&amp;display_string=Audit&amp;VAR:KEY=OVCTOLCLIJ&amp;VAR:QUERY=RkZfRElWX1lMRChBTk4sNC8yMS8wNCw0LzIxLzA0KQ==&amp;WINDOW=FIRST_POPUP&amp;HEIGHT=450&amp;WIDTH=450&amp;","START_MAXIMIZED=FALSE&amp;VAR:CALENDAR=US&amp;VAR:SYMBOL=RAI&amp;VAR:INDEX=0"}</definedName>
    <definedName name="_2459__FDSAUDITLINK__" hidden="1">{"fdsup://directions/FAT Viewer?action=UPDATE&amp;creator=factset&amp;DYN_ARGS=TRUE&amp;DOC_NAME=FAT:FQL_AUDITING_CLIENT_TEMPLATE.FAT&amp;display_string=Audit&amp;VAR:KEY=OVCTOLCLIJ&amp;VAR:QUERY=RkZfRElWX1lMRChBTk4sNC8yMS8wNCw0LzIxLzA0KQ==&amp;WINDOW=FIRST_POPUP&amp;HEIGHT=450&amp;WIDTH=450&amp;","START_MAXIMIZED=FALSE&amp;VAR:CALENDAR=US&amp;VAR:SYMBOL=RAI&amp;VAR:INDEX=0"}</definedName>
    <definedName name="_246__FDSAUDITLINK__" localSheetId="0" hidden="1">{"fdsup://directions/FAT Viewer?action=UPDATE&amp;creator=factset&amp;DYN_ARGS=TRUE&amp;DOC_NAME=FAT:FQL_AUDITING_CLIENT_TEMPLATE.FAT&amp;display_string=Audit&amp;VAR:KEY=JMJMZINGHW&amp;VAR:QUERY=RkZfRElWX1lMRChBTk4sNy8yMC8wNiw3LzIwLzA2KQ==&amp;WINDOW=FIRST_POPUP&amp;HEIGHT=450&amp;WIDTH=450&amp;","START_MAXIMIZED=FALSE&amp;VAR:CALENDAR=US&amp;VAR:SYMBOL=RAI&amp;VAR:INDEX=0"}</definedName>
    <definedName name="_246__FDSAUDITLINK__" hidden="1">{"fdsup://directions/FAT Viewer?action=UPDATE&amp;creator=factset&amp;DYN_ARGS=TRUE&amp;DOC_NAME=FAT:FQL_AUDITING_CLIENT_TEMPLATE.FAT&amp;display_string=Audit&amp;VAR:KEY=JMJMZINGHW&amp;VAR:QUERY=RkZfRElWX1lMRChBTk4sNy8yMC8wNiw3LzIwLzA2KQ==&amp;WINDOW=FIRST_POPUP&amp;HEIGHT=450&amp;WIDTH=450&amp;","START_MAXIMIZED=FALSE&amp;VAR:CALENDAR=US&amp;VAR:SYMBOL=RAI&amp;VAR:INDEX=0"}</definedName>
    <definedName name="_2460__FDSAUDITLINK__" localSheetId="0" hidden="1">{"fdsup://directions/FAT Viewer?action=UPDATE&amp;creator=factset&amp;DYN_ARGS=TRUE&amp;DOC_NAME=FAT:FQL_AUDITING_CLIENT_TEMPLATE.FAT&amp;display_string=Audit&amp;VAR:KEY=WTCHMFYZOP&amp;VAR:QUERY=RkZfRElWX1lMRChBTk4sNC8xNC8wNCw0LzE0LzA0KQ==&amp;WINDOW=FIRST_POPUP&amp;HEIGHT=450&amp;WIDTH=450&amp;","START_MAXIMIZED=FALSE&amp;VAR:CALENDAR=US&amp;VAR:SYMBOL=RAI&amp;VAR:INDEX=0"}</definedName>
    <definedName name="_2460__FDSAUDITLINK__" hidden="1">{"fdsup://directions/FAT Viewer?action=UPDATE&amp;creator=factset&amp;DYN_ARGS=TRUE&amp;DOC_NAME=FAT:FQL_AUDITING_CLIENT_TEMPLATE.FAT&amp;display_string=Audit&amp;VAR:KEY=WTCHMFYZOP&amp;VAR:QUERY=RkZfRElWX1lMRChBTk4sNC8xNC8wNCw0LzE0LzA0KQ==&amp;WINDOW=FIRST_POPUP&amp;HEIGHT=450&amp;WIDTH=450&amp;","START_MAXIMIZED=FALSE&amp;VAR:CALENDAR=US&amp;VAR:SYMBOL=RAI&amp;VAR:INDEX=0"}</definedName>
    <definedName name="_2461__FDSAUDITLINK__" localSheetId="0" hidden="1">{"fdsup://directions/FAT Viewer?action=UPDATE&amp;creator=factset&amp;DYN_ARGS=TRUE&amp;DOC_NAME=FAT:FQL_AUDITING_CLIENT_TEMPLATE.FAT&amp;display_string=Audit&amp;VAR:KEY=GPGXOXCZIL&amp;VAR:QUERY=RkZfRElWX1lMRChBTk4sNC8wNy8wNCw0LzA3LzA0KQ==&amp;WINDOW=FIRST_POPUP&amp;HEIGHT=450&amp;WIDTH=450&amp;","START_MAXIMIZED=FALSE&amp;VAR:CALENDAR=US&amp;VAR:SYMBOL=RAI&amp;VAR:INDEX=0"}</definedName>
    <definedName name="_2461__FDSAUDITLINK__" hidden="1">{"fdsup://directions/FAT Viewer?action=UPDATE&amp;creator=factset&amp;DYN_ARGS=TRUE&amp;DOC_NAME=FAT:FQL_AUDITING_CLIENT_TEMPLATE.FAT&amp;display_string=Audit&amp;VAR:KEY=GPGXOXCZIL&amp;VAR:QUERY=RkZfRElWX1lMRChBTk4sNC8wNy8wNCw0LzA3LzA0KQ==&amp;WINDOW=FIRST_POPUP&amp;HEIGHT=450&amp;WIDTH=450&amp;","START_MAXIMIZED=FALSE&amp;VAR:CALENDAR=US&amp;VAR:SYMBOL=RAI&amp;VAR:INDEX=0"}</definedName>
    <definedName name="_2462__FDSAUDITLINK__" localSheetId="0" hidden="1">{"fdsup://directions/FAT Viewer?action=UPDATE&amp;creator=factset&amp;DYN_ARGS=TRUE&amp;DOC_NAME=FAT:FQL_AUDITING_CLIENT_TEMPLATE.FAT&amp;display_string=Audit&amp;VAR:KEY=INUFUJIPED&amp;VAR:QUERY=RkZfRElWX1lMRChBTk4sMy8zMS8wNCwzLzMxLzA0KQ==&amp;WINDOW=FIRST_POPUP&amp;HEIGHT=450&amp;WIDTH=450&amp;","START_MAXIMIZED=FALSE&amp;VAR:CALENDAR=US&amp;VAR:SYMBOL=RAI&amp;VAR:INDEX=0"}</definedName>
    <definedName name="_2462__FDSAUDITLINK__" hidden="1">{"fdsup://directions/FAT Viewer?action=UPDATE&amp;creator=factset&amp;DYN_ARGS=TRUE&amp;DOC_NAME=FAT:FQL_AUDITING_CLIENT_TEMPLATE.FAT&amp;display_string=Audit&amp;VAR:KEY=INUFUJIPED&amp;VAR:QUERY=RkZfRElWX1lMRChBTk4sMy8zMS8wNCwzLzMxLzA0KQ==&amp;WINDOW=FIRST_POPUP&amp;HEIGHT=450&amp;WIDTH=450&amp;","START_MAXIMIZED=FALSE&amp;VAR:CALENDAR=US&amp;VAR:SYMBOL=RAI&amp;VAR:INDEX=0"}</definedName>
    <definedName name="_2463__FDSAUDITLINK__" localSheetId="0" hidden="1">{"fdsup://directions/FAT Viewer?action=UPDATE&amp;creator=factset&amp;DYN_ARGS=TRUE&amp;DOC_NAME=FAT:FQL_AUDITING_CLIENT_TEMPLATE.FAT&amp;display_string=Audit&amp;VAR:KEY=EHEFSDGVYP&amp;VAR:QUERY=RkZfRElWX1lMRChBTk4sMy8yNC8wNCwzLzI0LzA0KQ==&amp;WINDOW=FIRST_POPUP&amp;HEIGHT=450&amp;WIDTH=450&amp;","START_MAXIMIZED=FALSE&amp;VAR:CALENDAR=US&amp;VAR:SYMBOL=RAI&amp;VAR:INDEX=0"}</definedName>
    <definedName name="_2463__FDSAUDITLINK__" hidden="1">{"fdsup://directions/FAT Viewer?action=UPDATE&amp;creator=factset&amp;DYN_ARGS=TRUE&amp;DOC_NAME=FAT:FQL_AUDITING_CLIENT_TEMPLATE.FAT&amp;display_string=Audit&amp;VAR:KEY=EHEFSDGVYP&amp;VAR:QUERY=RkZfRElWX1lMRChBTk4sMy8yNC8wNCwzLzI0LzA0KQ==&amp;WINDOW=FIRST_POPUP&amp;HEIGHT=450&amp;WIDTH=450&amp;","START_MAXIMIZED=FALSE&amp;VAR:CALENDAR=US&amp;VAR:SYMBOL=RAI&amp;VAR:INDEX=0"}</definedName>
    <definedName name="_2464__FDSAUDITLINK__" localSheetId="0" hidden="1">{"fdsup://directions/FAT Viewer?action=UPDATE&amp;creator=factset&amp;DYN_ARGS=TRUE&amp;DOC_NAME=FAT:FQL_AUDITING_CLIENT_TEMPLATE.FAT&amp;display_string=Audit&amp;VAR:KEY=YXERUNGBAL&amp;VAR:QUERY=RkZfRElWX1lMRChBTk4sMy8xNy8wNCwzLzE3LzA0KQ==&amp;WINDOW=FIRST_POPUP&amp;HEIGHT=450&amp;WIDTH=450&amp;","START_MAXIMIZED=FALSE&amp;VAR:CALENDAR=US&amp;VAR:SYMBOL=RAI&amp;VAR:INDEX=0"}</definedName>
    <definedName name="_2464__FDSAUDITLINK__" hidden="1">{"fdsup://directions/FAT Viewer?action=UPDATE&amp;creator=factset&amp;DYN_ARGS=TRUE&amp;DOC_NAME=FAT:FQL_AUDITING_CLIENT_TEMPLATE.FAT&amp;display_string=Audit&amp;VAR:KEY=YXERUNGBAL&amp;VAR:QUERY=RkZfRElWX1lMRChBTk4sMy8xNy8wNCwzLzE3LzA0KQ==&amp;WINDOW=FIRST_POPUP&amp;HEIGHT=450&amp;WIDTH=450&amp;","START_MAXIMIZED=FALSE&amp;VAR:CALENDAR=US&amp;VAR:SYMBOL=RAI&amp;VAR:INDEX=0"}</definedName>
    <definedName name="_2465__FDSAUDITLINK__" localSheetId="0" hidden="1">{"fdsup://directions/FAT Viewer?action=UPDATE&amp;creator=factset&amp;DYN_ARGS=TRUE&amp;DOC_NAME=FAT:FQL_AUDITING_CLIENT_TEMPLATE.FAT&amp;display_string=Audit&amp;VAR:KEY=QJAVCJGRKV&amp;VAR:QUERY=RkZfRElWX1lMRChBTk4sMy8xMC8wNCwzLzEwLzA0KQ==&amp;WINDOW=FIRST_POPUP&amp;HEIGHT=450&amp;WIDTH=450&amp;","START_MAXIMIZED=FALSE&amp;VAR:CALENDAR=US&amp;VAR:SYMBOL=RAI&amp;VAR:INDEX=0"}</definedName>
    <definedName name="_2465__FDSAUDITLINK__" hidden="1">{"fdsup://directions/FAT Viewer?action=UPDATE&amp;creator=factset&amp;DYN_ARGS=TRUE&amp;DOC_NAME=FAT:FQL_AUDITING_CLIENT_TEMPLATE.FAT&amp;display_string=Audit&amp;VAR:KEY=QJAVCJGRKV&amp;VAR:QUERY=RkZfRElWX1lMRChBTk4sMy8xMC8wNCwzLzEwLzA0KQ==&amp;WINDOW=FIRST_POPUP&amp;HEIGHT=450&amp;WIDTH=450&amp;","START_MAXIMIZED=FALSE&amp;VAR:CALENDAR=US&amp;VAR:SYMBOL=RAI&amp;VAR:INDEX=0"}</definedName>
    <definedName name="_2466__FDSAUDITLINK__" localSheetId="0" hidden="1">{"fdsup://directions/FAT Viewer?action=UPDATE&amp;creator=factset&amp;DYN_ARGS=TRUE&amp;DOC_NAME=FAT:FQL_AUDITING_CLIENT_TEMPLATE.FAT&amp;display_string=Audit&amp;VAR:KEY=IZEJQFILGD&amp;VAR:QUERY=RkZfRElWX1lMRChBTk4sMy8wMy8wNCwzLzAzLzA0KQ==&amp;WINDOW=FIRST_POPUP&amp;HEIGHT=450&amp;WIDTH=450&amp;","START_MAXIMIZED=FALSE&amp;VAR:CALENDAR=US&amp;VAR:SYMBOL=RAI&amp;VAR:INDEX=0"}</definedName>
    <definedName name="_2466__FDSAUDITLINK__" hidden="1">{"fdsup://directions/FAT Viewer?action=UPDATE&amp;creator=factset&amp;DYN_ARGS=TRUE&amp;DOC_NAME=FAT:FQL_AUDITING_CLIENT_TEMPLATE.FAT&amp;display_string=Audit&amp;VAR:KEY=IZEJQFILGD&amp;VAR:QUERY=RkZfRElWX1lMRChBTk4sMy8wMy8wNCwzLzAzLzA0KQ==&amp;WINDOW=FIRST_POPUP&amp;HEIGHT=450&amp;WIDTH=450&amp;","START_MAXIMIZED=FALSE&amp;VAR:CALENDAR=US&amp;VAR:SYMBOL=RAI&amp;VAR:INDEX=0"}</definedName>
    <definedName name="_2467__FDSAUDITLINK__" localSheetId="0" hidden="1">{"fdsup://directions/FAT Viewer?action=UPDATE&amp;creator=factset&amp;DYN_ARGS=TRUE&amp;DOC_NAME=FAT:FQL_AUDITING_CLIENT_TEMPLATE.FAT&amp;display_string=Audit&amp;VAR:KEY=CDUBWBGNIZ&amp;VAR:QUERY=RkZfRElWX1lMRChBTk4sMi8yNS8wNCwyLzI1LzA0KQ==&amp;WINDOW=FIRST_POPUP&amp;HEIGHT=450&amp;WIDTH=450&amp;","START_MAXIMIZED=FALSE&amp;VAR:CALENDAR=US&amp;VAR:SYMBOL=RAI&amp;VAR:INDEX=0"}</definedName>
    <definedName name="_2467__FDSAUDITLINK__" hidden="1">{"fdsup://directions/FAT Viewer?action=UPDATE&amp;creator=factset&amp;DYN_ARGS=TRUE&amp;DOC_NAME=FAT:FQL_AUDITING_CLIENT_TEMPLATE.FAT&amp;display_string=Audit&amp;VAR:KEY=CDUBWBGNIZ&amp;VAR:QUERY=RkZfRElWX1lMRChBTk4sMi8yNS8wNCwyLzI1LzA0KQ==&amp;WINDOW=FIRST_POPUP&amp;HEIGHT=450&amp;WIDTH=450&amp;","START_MAXIMIZED=FALSE&amp;VAR:CALENDAR=US&amp;VAR:SYMBOL=RAI&amp;VAR:INDEX=0"}</definedName>
    <definedName name="_2468__FDSAUDITLINK__" localSheetId="0" hidden="1">{"fdsup://directions/FAT Viewer?action=UPDATE&amp;creator=factset&amp;DYN_ARGS=TRUE&amp;DOC_NAME=FAT:FQL_AUDITING_CLIENT_TEMPLATE.FAT&amp;display_string=Audit&amp;VAR:KEY=CLALKPYFSR&amp;VAR:QUERY=RkZfRElWX1lMRChBTk4sMi8xOC8wNCwyLzE4LzA0KQ==&amp;WINDOW=FIRST_POPUP&amp;HEIGHT=450&amp;WIDTH=450&amp;","START_MAXIMIZED=FALSE&amp;VAR:CALENDAR=US&amp;VAR:SYMBOL=RAI&amp;VAR:INDEX=0"}</definedName>
    <definedName name="_2468__FDSAUDITLINK__" hidden="1">{"fdsup://directions/FAT Viewer?action=UPDATE&amp;creator=factset&amp;DYN_ARGS=TRUE&amp;DOC_NAME=FAT:FQL_AUDITING_CLIENT_TEMPLATE.FAT&amp;display_string=Audit&amp;VAR:KEY=CLALKPYFSR&amp;VAR:QUERY=RkZfRElWX1lMRChBTk4sMi8xOC8wNCwyLzE4LzA0KQ==&amp;WINDOW=FIRST_POPUP&amp;HEIGHT=450&amp;WIDTH=450&amp;","START_MAXIMIZED=FALSE&amp;VAR:CALENDAR=US&amp;VAR:SYMBOL=RAI&amp;VAR:INDEX=0"}</definedName>
    <definedName name="_2469__FDSAUDITLINK__" localSheetId="0" hidden="1">{"fdsup://directions/FAT Viewer?action=UPDATE&amp;creator=factset&amp;DYN_ARGS=TRUE&amp;DOC_NAME=FAT:FQL_AUDITING_CLIENT_TEMPLATE.FAT&amp;display_string=Audit&amp;VAR:KEY=WFOLOPYJGB&amp;VAR:QUERY=RkZfRElWX1lMRChBTk4sMi8xMS8wNCwyLzExLzA0KQ==&amp;WINDOW=FIRST_POPUP&amp;HEIGHT=450&amp;WIDTH=450&amp;","START_MAXIMIZED=FALSE&amp;VAR:CALENDAR=US&amp;VAR:SYMBOL=RAI&amp;VAR:INDEX=0"}</definedName>
    <definedName name="_2469__FDSAUDITLINK__" hidden="1">{"fdsup://directions/FAT Viewer?action=UPDATE&amp;creator=factset&amp;DYN_ARGS=TRUE&amp;DOC_NAME=FAT:FQL_AUDITING_CLIENT_TEMPLATE.FAT&amp;display_string=Audit&amp;VAR:KEY=WFOLOPYJGB&amp;VAR:QUERY=RkZfRElWX1lMRChBTk4sMi8xMS8wNCwyLzExLzA0KQ==&amp;WINDOW=FIRST_POPUP&amp;HEIGHT=450&amp;WIDTH=450&amp;","START_MAXIMIZED=FALSE&amp;VAR:CALENDAR=US&amp;VAR:SYMBOL=RAI&amp;VAR:INDEX=0"}</definedName>
    <definedName name="_247">#REF!</definedName>
    <definedName name="_247__FDSAUDITLINK__" localSheetId="0" hidden="1">{"fdsup://directions/FAT Viewer?action=UPDATE&amp;creator=factset&amp;DYN_ARGS=TRUE&amp;DOC_NAME=FAT:FQL_AUDITING_CLIENT_TEMPLATE.FAT&amp;display_string=Audit&amp;VAR:KEY=ROBYDULAVS&amp;VAR:QUERY=RkZfRElWX1lMRChBTk4sNy8xMy8wNiw3LzEzLzA2KQ==&amp;WINDOW=FIRST_POPUP&amp;HEIGHT=450&amp;WIDTH=450&amp;","START_MAXIMIZED=FALSE&amp;VAR:CALENDAR=US&amp;VAR:SYMBOL=RAI&amp;VAR:INDEX=0"}</definedName>
    <definedName name="_247__FDSAUDITLINK__" hidden="1">{"fdsup://directions/FAT Viewer?action=UPDATE&amp;creator=factset&amp;DYN_ARGS=TRUE&amp;DOC_NAME=FAT:FQL_AUDITING_CLIENT_TEMPLATE.FAT&amp;display_string=Audit&amp;VAR:KEY=ROBYDULAVS&amp;VAR:QUERY=RkZfRElWX1lMRChBTk4sNy8xMy8wNiw3LzEzLzA2KQ==&amp;WINDOW=FIRST_POPUP&amp;HEIGHT=450&amp;WIDTH=450&amp;","START_MAXIMIZED=FALSE&amp;VAR:CALENDAR=US&amp;VAR:SYMBOL=RAI&amp;VAR:INDEX=0"}</definedName>
    <definedName name="_2470__FDSAUDITLINK__" localSheetId="0" hidden="1">{"fdsup://directions/FAT Viewer?action=UPDATE&amp;creator=factset&amp;DYN_ARGS=TRUE&amp;DOC_NAME=FAT:FQL_AUDITING_CLIENT_TEMPLATE.FAT&amp;display_string=Audit&amp;VAR:KEY=INKXODCRGR&amp;VAR:QUERY=RkZfRElWX1lMRChBTk4sMi8wNC8wNCwyLzA0LzA0KQ==&amp;WINDOW=FIRST_POPUP&amp;HEIGHT=450&amp;WIDTH=450&amp;","START_MAXIMIZED=FALSE&amp;VAR:CALENDAR=US&amp;VAR:SYMBOL=RAI&amp;VAR:INDEX=0"}</definedName>
    <definedName name="_2470__FDSAUDITLINK__" hidden="1">{"fdsup://directions/FAT Viewer?action=UPDATE&amp;creator=factset&amp;DYN_ARGS=TRUE&amp;DOC_NAME=FAT:FQL_AUDITING_CLIENT_TEMPLATE.FAT&amp;display_string=Audit&amp;VAR:KEY=INKXODCRGR&amp;VAR:QUERY=RkZfRElWX1lMRChBTk4sMi8wNC8wNCwyLzA0LzA0KQ==&amp;WINDOW=FIRST_POPUP&amp;HEIGHT=450&amp;WIDTH=450&amp;","START_MAXIMIZED=FALSE&amp;VAR:CALENDAR=US&amp;VAR:SYMBOL=RAI&amp;VAR:INDEX=0"}</definedName>
    <definedName name="_2471__FDSAUDITLINK__" localSheetId="0" hidden="1">{"fdsup://directions/FAT Viewer?action=UPDATE&amp;creator=factset&amp;DYN_ARGS=TRUE&amp;DOC_NAME=FAT:FQL_AUDITING_CLIENT_TEMPLATE.FAT&amp;display_string=Audit&amp;VAR:KEY=GDCFSXYNUZ&amp;VAR:QUERY=RkZfRElWX1lMRChBTk4sMS8yOC8wNCwxLzI4LzA0KQ==&amp;WINDOW=FIRST_POPUP&amp;HEIGHT=450&amp;WIDTH=450&amp;","START_MAXIMIZED=FALSE&amp;VAR:CALENDAR=US&amp;VAR:SYMBOL=RAI&amp;VAR:INDEX=0"}</definedName>
    <definedName name="_2471__FDSAUDITLINK__" hidden="1">{"fdsup://directions/FAT Viewer?action=UPDATE&amp;creator=factset&amp;DYN_ARGS=TRUE&amp;DOC_NAME=FAT:FQL_AUDITING_CLIENT_TEMPLATE.FAT&amp;display_string=Audit&amp;VAR:KEY=GDCFSXYNUZ&amp;VAR:QUERY=RkZfRElWX1lMRChBTk4sMS8yOC8wNCwxLzI4LzA0KQ==&amp;WINDOW=FIRST_POPUP&amp;HEIGHT=450&amp;WIDTH=450&amp;","START_MAXIMIZED=FALSE&amp;VAR:CALENDAR=US&amp;VAR:SYMBOL=RAI&amp;VAR:INDEX=0"}</definedName>
    <definedName name="_2472__FDSAUDITLINK__" localSheetId="0" hidden="1">{"fdsup://directions/FAT Viewer?action=UPDATE&amp;creator=factset&amp;DYN_ARGS=TRUE&amp;DOC_NAME=FAT:FQL_AUDITING_CLIENT_TEMPLATE.FAT&amp;display_string=Audit&amp;VAR:KEY=IPKBITEXUD&amp;VAR:QUERY=RkZfRElWX1lMRChBTk4sMS8yMS8wNCwxLzIxLzA0KQ==&amp;WINDOW=FIRST_POPUP&amp;HEIGHT=450&amp;WIDTH=450&amp;","START_MAXIMIZED=FALSE&amp;VAR:CALENDAR=US&amp;VAR:SYMBOL=RAI&amp;VAR:INDEX=0"}</definedName>
    <definedName name="_2472__FDSAUDITLINK__" hidden="1">{"fdsup://directions/FAT Viewer?action=UPDATE&amp;creator=factset&amp;DYN_ARGS=TRUE&amp;DOC_NAME=FAT:FQL_AUDITING_CLIENT_TEMPLATE.FAT&amp;display_string=Audit&amp;VAR:KEY=IPKBITEXUD&amp;VAR:QUERY=RkZfRElWX1lMRChBTk4sMS8yMS8wNCwxLzIxLzA0KQ==&amp;WINDOW=FIRST_POPUP&amp;HEIGHT=450&amp;WIDTH=450&amp;","START_MAXIMIZED=FALSE&amp;VAR:CALENDAR=US&amp;VAR:SYMBOL=RAI&amp;VAR:INDEX=0"}</definedName>
    <definedName name="_2473__FDSAUDITLINK__" localSheetId="0" hidden="1">{"fdsup://directions/FAT Viewer?action=UPDATE&amp;creator=factset&amp;DYN_ARGS=TRUE&amp;DOC_NAME=FAT:FQL_AUDITING_CLIENT_TEMPLATE.FAT&amp;display_string=Audit&amp;VAR:KEY=YJETEFUZMB&amp;VAR:QUERY=RkZfRElWX1lMRChBTk4sMS8xNC8wNCwxLzE0LzA0KQ==&amp;WINDOW=FIRST_POPUP&amp;HEIGHT=450&amp;WIDTH=450&amp;","START_MAXIMIZED=FALSE&amp;VAR:CALENDAR=US&amp;VAR:SYMBOL=RAI&amp;VAR:INDEX=0"}</definedName>
    <definedName name="_2473__FDSAUDITLINK__" hidden="1">{"fdsup://directions/FAT Viewer?action=UPDATE&amp;creator=factset&amp;DYN_ARGS=TRUE&amp;DOC_NAME=FAT:FQL_AUDITING_CLIENT_TEMPLATE.FAT&amp;display_string=Audit&amp;VAR:KEY=YJETEFUZMB&amp;VAR:QUERY=RkZfRElWX1lMRChBTk4sMS8xNC8wNCwxLzE0LzA0KQ==&amp;WINDOW=FIRST_POPUP&amp;HEIGHT=450&amp;WIDTH=450&amp;","START_MAXIMIZED=FALSE&amp;VAR:CALENDAR=US&amp;VAR:SYMBOL=RAI&amp;VAR:INDEX=0"}</definedName>
    <definedName name="_2474__FDSAUDITLINK__" localSheetId="0" hidden="1">{"fdsup://directions/FAT Viewer?action=UPDATE&amp;creator=factset&amp;DYN_ARGS=TRUE&amp;DOC_NAME=FAT:FQL_AUDITING_CLIENT_TEMPLATE.FAT&amp;display_string=Audit&amp;VAR:KEY=WRQXQFEPIT&amp;VAR:QUERY=RkZfRElWX1lMRChBTk4sMS8wNy8wNCwxLzA3LzA0KQ==&amp;WINDOW=FIRST_POPUP&amp;HEIGHT=450&amp;WIDTH=450&amp;","START_MAXIMIZED=FALSE&amp;VAR:CALENDAR=US&amp;VAR:SYMBOL=RAI&amp;VAR:INDEX=0"}</definedName>
    <definedName name="_2474__FDSAUDITLINK__" hidden="1">{"fdsup://directions/FAT Viewer?action=UPDATE&amp;creator=factset&amp;DYN_ARGS=TRUE&amp;DOC_NAME=FAT:FQL_AUDITING_CLIENT_TEMPLATE.FAT&amp;display_string=Audit&amp;VAR:KEY=WRQXQFEPIT&amp;VAR:QUERY=RkZfRElWX1lMRChBTk4sMS8wNy8wNCwxLzA3LzA0KQ==&amp;WINDOW=FIRST_POPUP&amp;HEIGHT=450&amp;WIDTH=450&amp;","START_MAXIMIZED=FALSE&amp;VAR:CALENDAR=US&amp;VAR:SYMBOL=RAI&amp;VAR:INDEX=0"}</definedName>
    <definedName name="_2475__FDSAUDITLINK__" localSheetId="0" hidden="1">{"fdsup://directions/FAT Viewer?action=UPDATE&amp;creator=factset&amp;DYN_ARGS=TRUE&amp;DOC_NAME=FAT:FQL_AUDITING_CLIENT_TEMPLATE.FAT&amp;display_string=Audit&amp;VAR:KEY=YBMFMRAVSB&amp;VAR:QUERY=RkZfRElWX1lMRChBTk4sMTIvMzEvMDMsMTIvMzEvMDMp&amp;WINDOW=FIRST_POPUP&amp;HEIGHT=450&amp;WIDTH=450&amp;","START_MAXIMIZED=FALSE&amp;VAR:CALENDAR=US&amp;VAR:SYMBOL=RAI&amp;VAR:INDEX=0"}</definedName>
    <definedName name="_2475__FDSAUDITLINK__" hidden="1">{"fdsup://directions/FAT Viewer?action=UPDATE&amp;creator=factset&amp;DYN_ARGS=TRUE&amp;DOC_NAME=FAT:FQL_AUDITING_CLIENT_TEMPLATE.FAT&amp;display_string=Audit&amp;VAR:KEY=YBMFMRAVSB&amp;VAR:QUERY=RkZfRElWX1lMRChBTk4sMTIvMzEvMDMsMTIvMzEvMDMp&amp;WINDOW=FIRST_POPUP&amp;HEIGHT=450&amp;WIDTH=450&amp;","START_MAXIMIZED=FALSE&amp;VAR:CALENDAR=US&amp;VAR:SYMBOL=RAI&amp;VAR:INDEX=0"}</definedName>
    <definedName name="_2476__FDSAUDITLINK__" localSheetId="0" hidden="1">{"fdsup://directions/FAT Viewer?action=UPDATE&amp;creator=factset&amp;DYN_ARGS=TRUE&amp;DOC_NAME=FAT:FQL_AUDITING_CLIENT_TEMPLATE.FAT&amp;display_string=Audit&amp;VAR:KEY=GJOLQDEBUX&amp;VAR:QUERY=RkZfRElWX1lMRChBTk4sMTIvMjQvMDMsMTIvMjQvMDMp&amp;WINDOW=FIRST_POPUP&amp;HEIGHT=450&amp;WIDTH=450&amp;","START_MAXIMIZED=FALSE&amp;VAR:CALENDAR=US&amp;VAR:SYMBOL=RAI&amp;VAR:INDEX=0"}</definedName>
    <definedName name="_2476__FDSAUDITLINK__" hidden="1">{"fdsup://directions/FAT Viewer?action=UPDATE&amp;creator=factset&amp;DYN_ARGS=TRUE&amp;DOC_NAME=FAT:FQL_AUDITING_CLIENT_TEMPLATE.FAT&amp;display_string=Audit&amp;VAR:KEY=GJOLQDEBUX&amp;VAR:QUERY=RkZfRElWX1lMRChBTk4sMTIvMjQvMDMsMTIvMjQvMDMp&amp;WINDOW=FIRST_POPUP&amp;HEIGHT=450&amp;WIDTH=450&amp;","START_MAXIMIZED=FALSE&amp;VAR:CALENDAR=US&amp;VAR:SYMBOL=RAI&amp;VAR:INDEX=0"}</definedName>
    <definedName name="_2477__FDSAUDITLINK__" localSheetId="0" hidden="1">{"fdsup://directions/FAT Viewer?action=UPDATE&amp;creator=factset&amp;DYN_ARGS=TRUE&amp;DOC_NAME=FAT:FQL_AUDITING_CLIENT_TEMPLATE.FAT&amp;display_string=Audit&amp;VAR:KEY=QTSDAXONMX&amp;VAR:QUERY=RkZfRElWX1lMRChBTk4sMTIvMTcvMDMsMTIvMTcvMDMp&amp;WINDOW=FIRST_POPUP&amp;HEIGHT=450&amp;WIDTH=450&amp;","START_MAXIMIZED=FALSE&amp;VAR:CALENDAR=US&amp;VAR:SYMBOL=RAI&amp;VAR:INDEX=0"}</definedName>
    <definedName name="_2477__FDSAUDITLINK__" hidden="1">{"fdsup://directions/FAT Viewer?action=UPDATE&amp;creator=factset&amp;DYN_ARGS=TRUE&amp;DOC_NAME=FAT:FQL_AUDITING_CLIENT_TEMPLATE.FAT&amp;display_string=Audit&amp;VAR:KEY=QTSDAXONMX&amp;VAR:QUERY=RkZfRElWX1lMRChBTk4sMTIvMTcvMDMsMTIvMTcvMDMp&amp;WINDOW=FIRST_POPUP&amp;HEIGHT=450&amp;WIDTH=450&amp;","START_MAXIMIZED=FALSE&amp;VAR:CALENDAR=US&amp;VAR:SYMBOL=RAI&amp;VAR:INDEX=0"}</definedName>
    <definedName name="_2478__FDSAUDITLINK__" localSheetId="0" hidden="1">{"fdsup://directions/FAT Viewer?action=UPDATE&amp;creator=factset&amp;DYN_ARGS=TRUE&amp;DOC_NAME=FAT:FQL_AUDITING_CLIENT_TEMPLATE.FAT&amp;display_string=Audit&amp;VAR:KEY=YTQTYZUPMJ&amp;VAR:QUERY=RkZfRElWX1lMRChBTk4sMTIvMTAvMDMsMTIvMTAvMDMp&amp;WINDOW=FIRST_POPUP&amp;HEIGHT=450&amp;WIDTH=450&amp;","START_MAXIMIZED=FALSE&amp;VAR:CALENDAR=US&amp;VAR:SYMBOL=RAI&amp;VAR:INDEX=0"}</definedName>
    <definedName name="_2478__FDSAUDITLINK__" hidden="1">{"fdsup://directions/FAT Viewer?action=UPDATE&amp;creator=factset&amp;DYN_ARGS=TRUE&amp;DOC_NAME=FAT:FQL_AUDITING_CLIENT_TEMPLATE.FAT&amp;display_string=Audit&amp;VAR:KEY=YTQTYZUPMJ&amp;VAR:QUERY=RkZfRElWX1lMRChBTk4sMTIvMTAvMDMsMTIvMTAvMDMp&amp;WINDOW=FIRST_POPUP&amp;HEIGHT=450&amp;WIDTH=450&amp;","START_MAXIMIZED=FALSE&amp;VAR:CALENDAR=US&amp;VAR:SYMBOL=RAI&amp;VAR:INDEX=0"}</definedName>
    <definedName name="_2479__FDSAUDITLINK__" localSheetId="0" hidden="1">{"fdsup://directions/FAT Viewer?action=UPDATE&amp;creator=factset&amp;DYN_ARGS=TRUE&amp;DOC_NAME=FAT:FQL_AUDITING_CLIENT_TEMPLATE.FAT&amp;display_string=Audit&amp;VAR:KEY=IHGZKDGVSD&amp;VAR:QUERY=RkZfRElWX1lMRChBTk4sMTIvMDMvMDMsMTIvMDMvMDMp&amp;WINDOW=FIRST_POPUP&amp;HEIGHT=450&amp;WIDTH=450&amp;","START_MAXIMIZED=FALSE&amp;VAR:CALENDAR=US&amp;VAR:SYMBOL=RAI&amp;VAR:INDEX=0"}</definedName>
    <definedName name="_2479__FDSAUDITLINK__" hidden="1">{"fdsup://directions/FAT Viewer?action=UPDATE&amp;creator=factset&amp;DYN_ARGS=TRUE&amp;DOC_NAME=FAT:FQL_AUDITING_CLIENT_TEMPLATE.FAT&amp;display_string=Audit&amp;VAR:KEY=IHGZKDGVSD&amp;VAR:QUERY=RkZfRElWX1lMRChBTk4sMTIvMDMvMDMsMTIvMDMvMDMp&amp;WINDOW=FIRST_POPUP&amp;HEIGHT=450&amp;WIDTH=450&amp;","START_MAXIMIZED=FALSE&amp;VAR:CALENDAR=US&amp;VAR:SYMBOL=RAI&amp;VAR:INDEX=0"}</definedName>
    <definedName name="_248">#REF!</definedName>
    <definedName name="_248__FDSAUDITLINK__" localSheetId="0" hidden="1">{"fdsup://directions/FAT Viewer?action=UPDATE&amp;creator=factset&amp;DYN_ARGS=TRUE&amp;DOC_NAME=FAT:FQL_AUDITING_CLIENT_TEMPLATE.FAT&amp;display_string=Audit&amp;VAR:KEY=NAPKDQZWLW&amp;VAR:QUERY=RkZfRElWX1lMRChBTk4sNy8wNi8wNiw3LzA2LzA2KQ==&amp;WINDOW=FIRST_POPUP&amp;HEIGHT=450&amp;WIDTH=450&amp;","START_MAXIMIZED=FALSE&amp;VAR:CALENDAR=US&amp;VAR:SYMBOL=RAI&amp;VAR:INDEX=0"}</definedName>
    <definedName name="_248__FDSAUDITLINK__" hidden="1">{"fdsup://directions/FAT Viewer?action=UPDATE&amp;creator=factset&amp;DYN_ARGS=TRUE&amp;DOC_NAME=FAT:FQL_AUDITING_CLIENT_TEMPLATE.FAT&amp;display_string=Audit&amp;VAR:KEY=NAPKDQZWLW&amp;VAR:QUERY=RkZfRElWX1lMRChBTk4sNy8wNi8wNiw3LzA2LzA2KQ==&amp;WINDOW=FIRST_POPUP&amp;HEIGHT=450&amp;WIDTH=450&amp;","START_MAXIMIZED=FALSE&amp;VAR:CALENDAR=US&amp;VAR:SYMBOL=RAI&amp;VAR:INDEX=0"}</definedName>
    <definedName name="_2480__FDSAUDITLINK__" localSheetId="0" hidden="1">{"fdsup://directions/FAT Viewer?action=UPDATE&amp;creator=factset&amp;DYN_ARGS=TRUE&amp;DOC_NAME=FAT:FQL_AUDITING_CLIENT_TEMPLATE.FAT&amp;display_string=Audit&amp;VAR:KEY=MNIRWRSFKL&amp;VAR:QUERY=RkZfRElWX1lMRChBTk4sMTEvMjYvMDMsMTEvMjYvMDMp&amp;WINDOW=FIRST_POPUP&amp;HEIGHT=450&amp;WIDTH=450&amp;","START_MAXIMIZED=FALSE&amp;VAR:CALENDAR=US&amp;VAR:SYMBOL=RAI&amp;VAR:INDEX=0"}</definedName>
    <definedName name="_2480__FDSAUDITLINK__" hidden="1">{"fdsup://directions/FAT Viewer?action=UPDATE&amp;creator=factset&amp;DYN_ARGS=TRUE&amp;DOC_NAME=FAT:FQL_AUDITING_CLIENT_TEMPLATE.FAT&amp;display_string=Audit&amp;VAR:KEY=MNIRWRSFKL&amp;VAR:QUERY=RkZfRElWX1lMRChBTk4sMTEvMjYvMDMsMTEvMjYvMDMp&amp;WINDOW=FIRST_POPUP&amp;HEIGHT=450&amp;WIDTH=450&amp;","START_MAXIMIZED=FALSE&amp;VAR:CALENDAR=US&amp;VAR:SYMBOL=RAI&amp;VAR:INDEX=0"}</definedName>
    <definedName name="_2481__FDSAUDITLINK__" localSheetId="0" hidden="1">{"fdsup://directions/FAT Viewer?action=UPDATE&amp;creator=factset&amp;DYN_ARGS=TRUE&amp;DOC_NAME=FAT:FQL_AUDITING_CLIENT_TEMPLATE.FAT&amp;display_string=Audit&amp;VAR:KEY=UFGLQRANMN&amp;VAR:QUERY=RkZfRElWX1lMRChBTk4sMTEvMTkvMDMsMTEvMTkvMDMp&amp;WINDOW=FIRST_POPUP&amp;HEIGHT=450&amp;WIDTH=450&amp;","START_MAXIMIZED=FALSE&amp;VAR:CALENDAR=US&amp;VAR:SYMBOL=RAI&amp;VAR:INDEX=0"}</definedName>
    <definedName name="_2481__FDSAUDITLINK__" hidden="1">{"fdsup://directions/FAT Viewer?action=UPDATE&amp;creator=factset&amp;DYN_ARGS=TRUE&amp;DOC_NAME=FAT:FQL_AUDITING_CLIENT_TEMPLATE.FAT&amp;display_string=Audit&amp;VAR:KEY=UFGLQRANMN&amp;VAR:QUERY=RkZfRElWX1lMRChBTk4sMTEvMTkvMDMsMTEvMTkvMDMp&amp;WINDOW=FIRST_POPUP&amp;HEIGHT=450&amp;WIDTH=450&amp;","START_MAXIMIZED=FALSE&amp;VAR:CALENDAR=US&amp;VAR:SYMBOL=RAI&amp;VAR:INDEX=0"}</definedName>
    <definedName name="_2482__FDSAUDITLINK__" localSheetId="0" hidden="1">{"fdsup://directions/FAT Viewer?action=UPDATE&amp;creator=factset&amp;DYN_ARGS=TRUE&amp;DOC_NAME=FAT:FQL_AUDITING_CLIENT_TEMPLATE.FAT&amp;display_string=Audit&amp;VAR:KEY=EHALSNUXEF&amp;VAR:QUERY=RkZfRElWX1lMRChBTk4sMTEvMTIvMDMsMTEvMTIvMDMp&amp;WINDOW=FIRST_POPUP&amp;HEIGHT=450&amp;WIDTH=450&amp;","START_MAXIMIZED=FALSE&amp;VAR:CALENDAR=US&amp;VAR:SYMBOL=RAI&amp;VAR:INDEX=0"}</definedName>
    <definedName name="_2482__FDSAUDITLINK__" hidden="1">{"fdsup://directions/FAT Viewer?action=UPDATE&amp;creator=factset&amp;DYN_ARGS=TRUE&amp;DOC_NAME=FAT:FQL_AUDITING_CLIENT_TEMPLATE.FAT&amp;display_string=Audit&amp;VAR:KEY=EHALSNUXEF&amp;VAR:QUERY=RkZfRElWX1lMRChBTk4sMTEvMTIvMDMsMTEvMTIvMDMp&amp;WINDOW=FIRST_POPUP&amp;HEIGHT=450&amp;WIDTH=450&amp;","START_MAXIMIZED=FALSE&amp;VAR:CALENDAR=US&amp;VAR:SYMBOL=RAI&amp;VAR:INDEX=0"}</definedName>
    <definedName name="_2483__FDSAUDITLINK__" localSheetId="0" hidden="1">{"fdsup://directions/FAT Viewer?action=UPDATE&amp;creator=factset&amp;DYN_ARGS=TRUE&amp;DOC_NAME=FAT:FQL_AUDITING_CLIENT_TEMPLATE.FAT&amp;display_string=Audit&amp;VAR:KEY=CVKZOZMDKL&amp;VAR:QUERY=RkZfRElWX1lMRChBTk4sMTEvMDUvMDMsMTEvMDUvMDMp&amp;WINDOW=FIRST_POPUP&amp;HEIGHT=450&amp;WIDTH=450&amp;","START_MAXIMIZED=FALSE&amp;VAR:CALENDAR=US&amp;VAR:SYMBOL=RAI&amp;VAR:INDEX=0"}</definedName>
    <definedName name="_2483__FDSAUDITLINK__" hidden="1">{"fdsup://directions/FAT Viewer?action=UPDATE&amp;creator=factset&amp;DYN_ARGS=TRUE&amp;DOC_NAME=FAT:FQL_AUDITING_CLIENT_TEMPLATE.FAT&amp;display_string=Audit&amp;VAR:KEY=CVKZOZMDKL&amp;VAR:QUERY=RkZfRElWX1lMRChBTk4sMTEvMDUvMDMsMTEvMDUvMDMp&amp;WINDOW=FIRST_POPUP&amp;HEIGHT=450&amp;WIDTH=450&amp;","START_MAXIMIZED=FALSE&amp;VAR:CALENDAR=US&amp;VAR:SYMBOL=RAI&amp;VAR:INDEX=0"}</definedName>
    <definedName name="_2484__FDSAUDITLINK__" localSheetId="0" hidden="1">{"fdsup://directions/FAT Viewer?action=UPDATE&amp;creator=factset&amp;DYN_ARGS=TRUE&amp;DOC_NAME=FAT:FQL_AUDITING_CLIENT_TEMPLATE.FAT&amp;display_string=Audit&amp;VAR:KEY=ILCJANILIJ&amp;VAR:QUERY=RkZfRElWX1lMRChBTk4sMTAvMjkvMDMsMTAvMjkvMDMp&amp;WINDOW=FIRST_POPUP&amp;HEIGHT=450&amp;WIDTH=450&amp;","START_MAXIMIZED=FALSE&amp;VAR:CALENDAR=US&amp;VAR:SYMBOL=RAI&amp;VAR:INDEX=0"}</definedName>
    <definedName name="_2484__FDSAUDITLINK__" hidden="1">{"fdsup://directions/FAT Viewer?action=UPDATE&amp;creator=factset&amp;DYN_ARGS=TRUE&amp;DOC_NAME=FAT:FQL_AUDITING_CLIENT_TEMPLATE.FAT&amp;display_string=Audit&amp;VAR:KEY=ILCJANILIJ&amp;VAR:QUERY=RkZfRElWX1lMRChBTk4sMTAvMjkvMDMsMTAvMjkvMDMp&amp;WINDOW=FIRST_POPUP&amp;HEIGHT=450&amp;WIDTH=450&amp;","START_MAXIMIZED=FALSE&amp;VAR:CALENDAR=US&amp;VAR:SYMBOL=RAI&amp;VAR:INDEX=0"}</definedName>
    <definedName name="_2485__FDSAUDITLINK__" localSheetId="0" hidden="1">{"fdsup://directions/FAT Viewer?action=UPDATE&amp;creator=factset&amp;DYN_ARGS=TRUE&amp;DOC_NAME=FAT:FQL_AUDITING_CLIENT_TEMPLATE.FAT&amp;display_string=Audit&amp;VAR:KEY=UFEFMVABMJ&amp;VAR:QUERY=RkZfRElWX1lMRChBTk4sMTAvMjIvMDMsMTAvMjIvMDMp&amp;WINDOW=FIRST_POPUP&amp;HEIGHT=450&amp;WIDTH=450&amp;","START_MAXIMIZED=FALSE&amp;VAR:CALENDAR=US&amp;VAR:SYMBOL=RAI&amp;VAR:INDEX=0"}</definedName>
    <definedName name="_2485__FDSAUDITLINK__" hidden="1">{"fdsup://directions/FAT Viewer?action=UPDATE&amp;creator=factset&amp;DYN_ARGS=TRUE&amp;DOC_NAME=FAT:FQL_AUDITING_CLIENT_TEMPLATE.FAT&amp;display_string=Audit&amp;VAR:KEY=UFEFMVABMJ&amp;VAR:QUERY=RkZfRElWX1lMRChBTk4sMTAvMjIvMDMsMTAvMjIvMDMp&amp;WINDOW=FIRST_POPUP&amp;HEIGHT=450&amp;WIDTH=450&amp;","START_MAXIMIZED=FALSE&amp;VAR:CALENDAR=US&amp;VAR:SYMBOL=RAI&amp;VAR:INDEX=0"}</definedName>
    <definedName name="_2486__FDSAUDITLINK__" localSheetId="0" hidden="1">{"fdsup://directions/FAT Viewer?action=UPDATE&amp;creator=factset&amp;DYN_ARGS=TRUE&amp;DOC_NAME=FAT:FQL_AUDITING_CLIENT_TEMPLATE.FAT&amp;display_string=Audit&amp;VAR:KEY=EPWNSFKZYP&amp;VAR:QUERY=RkZfRElWX1lMRChBTk4sMTAvMTUvMDMsMTAvMTUvMDMp&amp;WINDOW=FIRST_POPUP&amp;HEIGHT=450&amp;WIDTH=450&amp;","START_MAXIMIZED=FALSE&amp;VAR:CALENDAR=US&amp;VAR:SYMBOL=RAI&amp;VAR:INDEX=0"}</definedName>
    <definedName name="_2486__FDSAUDITLINK__" hidden="1">{"fdsup://directions/FAT Viewer?action=UPDATE&amp;creator=factset&amp;DYN_ARGS=TRUE&amp;DOC_NAME=FAT:FQL_AUDITING_CLIENT_TEMPLATE.FAT&amp;display_string=Audit&amp;VAR:KEY=EPWNSFKZYP&amp;VAR:QUERY=RkZfRElWX1lMRChBTk4sMTAvMTUvMDMsMTAvMTUvMDMp&amp;WINDOW=FIRST_POPUP&amp;HEIGHT=450&amp;WIDTH=450&amp;","START_MAXIMIZED=FALSE&amp;VAR:CALENDAR=US&amp;VAR:SYMBOL=RAI&amp;VAR:INDEX=0"}</definedName>
    <definedName name="_2487__FDSAUDITLINK__" localSheetId="0" hidden="1">{"fdsup://directions/FAT Viewer?action=UPDATE&amp;creator=factset&amp;DYN_ARGS=TRUE&amp;DOC_NAME=FAT:FQL_AUDITING_CLIENT_TEMPLATE.FAT&amp;display_string=Audit&amp;VAR:KEY=CRYHSDSBMT&amp;VAR:QUERY=RkZfRElWX1lMRChBTk4sMTAvMDgvMDMsMTAvMDgvMDMp&amp;WINDOW=FIRST_POPUP&amp;HEIGHT=450&amp;WIDTH=450&amp;","START_MAXIMIZED=FALSE&amp;VAR:CALENDAR=US&amp;VAR:SYMBOL=RAI&amp;VAR:INDEX=0"}</definedName>
    <definedName name="_2487__FDSAUDITLINK__" hidden="1">{"fdsup://directions/FAT Viewer?action=UPDATE&amp;creator=factset&amp;DYN_ARGS=TRUE&amp;DOC_NAME=FAT:FQL_AUDITING_CLIENT_TEMPLATE.FAT&amp;display_string=Audit&amp;VAR:KEY=CRYHSDSBMT&amp;VAR:QUERY=RkZfRElWX1lMRChBTk4sMTAvMDgvMDMsMTAvMDgvMDMp&amp;WINDOW=FIRST_POPUP&amp;HEIGHT=450&amp;WIDTH=450&amp;","START_MAXIMIZED=FALSE&amp;VAR:CALENDAR=US&amp;VAR:SYMBOL=RAI&amp;VAR:INDEX=0"}</definedName>
    <definedName name="_2488__FDSAUDITLINK__" localSheetId="0" hidden="1">{"fdsup://directions/FAT Viewer?action=UPDATE&amp;creator=factset&amp;DYN_ARGS=TRUE&amp;DOC_NAME=FAT:FQL_AUDITING_CLIENT_TEMPLATE.FAT&amp;display_string=Audit&amp;VAR:KEY=OZYRUJSHAB&amp;VAR:QUERY=RkZfRElWX1lMRChBTk4sMTAvMDEvMDMsMTAvMDEvMDMp&amp;WINDOW=FIRST_POPUP&amp;HEIGHT=450&amp;WIDTH=450&amp;","START_MAXIMIZED=FALSE&amp;VAR:CALENDAR=US&amp;VAR:SYMBOL=RAI&amp;VAR:INDEX=0"}</definedName>
    <definedName name="_2488__FDSAUDITLINK__" hidden="1">{"fdsup://directions/FAT Viewer?action=UPDATE&amp;creator=factset&amp;DYN_ARGS=TRUE&amp;DOC_NAME=FAT:FQL_AUDITING_CLIENT_TEMPLATE.FAT&amp;display_string=Audit&amp;VAR:KEY=OZYRUJSHAB&amp;VAR:QUERY=RkZfRElWX1lMRChBTk4sMTAvMDEvMDMsMTAvMDEvMDMp&amp;WINDOW=FIRST_POPUP&amp;HEIGHT=450&amp;WIDTH=450&amp;","START_MAXIMIZED=FALSE&amp;VAR:CALENDAR=US&amp;VAR:SYMBOL=RAI&amp;VAR:INDEX=0"}</definedName>
    <definedName name="_2489__FDSAUDITLINK__" localSheetId="0" hidden="1">{"fdsup://directions/FAT Viewer?action=UPDATE&amp;creator=factset&amp;DYN_ARGS=TRUE&amp;DOC_NAME=FAT:FQL_AUDITING_CLIENT_TEMPLATE.FAT&amp;display_string=Audit&amp;VAR:KEY=APGDMXMBUZ&amp;VAR:QUERY=RkZfRElWX1lMRChBTk4sOS8yNC8wMyw5LzI0LzAzKQ==&amp;WINDOW=FIRST_POPUP&amp;HEIGHT=450&amp;WIDTH=450&amp;","START_MAXIMIZED=FALSE&amp;VAR:CALENDAR=US&amp;VAR:SYMBOL=RAI&amp;VAR:INDEX=0"}</definedName>
    <definedName name="_2489__FDSAUDITLINK__" hidden="1">{"fdsup://directions/FAT Viewer?action=UPDATE&amp;creator=factset&amp;DYN_ARGS=TRUE&amp;DOC_NAME=FAT:FQL_AUDITING_CLIENT_TEMPLATE.FAT&amp;display_string=Audit&amp;VAR:KEY=APGDMXMBUZ&amp;VAR:QUERY=RkZfRElWX1lMRChBTk4sOS8yNC8wMyw5LzI0LzAzKQ==&amp;WINDOW=FIRST_POPUP&amp;HEIGHT=450&amp;WIDTH=450&amp;","START_MAXIMIZED=FALSE&amp;VAR:CALENDAR=US&amp;VAR:SYMBOL=RAI&amp;VAR:INDEX=0"}</definedName>
    <definedName name="_249">#REF!</definedName>
    <definedName name="_249__FDSAUDITLINK__" localSheetId="0" hidden="1">{"fdsup://directions/FAT Viewer?action=UPDATE&amp;creator=factset&amp;DYN_ARGS=TRUE&amp;DOC_NAME=FAT:FQL_AUDITING_CLIENT_TEMPLATE.FAT&amp;display_string=Audit&amp;VAR:KEY=PKZOLULIJQ&amp;VAR:QUERY=RkZfRElWX1lMRChBTk4sNi8yOS8wNiw2LzI5LzA2KQ==&amp;WINDOW=FIRST_POPUP&amp;HEIGHT=450&amp;WIDTH=450&amp;","START_MAXIMIZED=FALSE&amp;VAR:CALENDAR=US&amp;VAR:SYMBOL=RAI&amp;VAR:INDEX=0"}</definedName>
    <definedName name="_249__FDSAUDITLINK__" hidden="1">{"fdsup://directions/FAT Viewer?action=UPDATE&amp;creator=factset&amp;DYN_ARGS=TRUE&amp;DOC_NAME=FAT:FQL_AUDITING_CLIENT_TEMPLATE.FAT&amp;display_string=Audit&amp;VAR:KEY=PKZOLULIJQ&amp;VAR:QUERY=RkZfRElWX1lMRChBTk4sNi8yOS8wNiw2LzI5LzA2KQ==&amp;WINDOW=FIRST_POPUP&amp;HEIGHT=450&amp;WIDTH=450&amp;","START_MAXIMIZED=FALSE&amp;VAR:CALENDAR=US&amp;VAR:SYMBOL=RAI&amp;VAR:INDEX=0"}</definedName>
    <definedName name="_2490__FDSAUDITLINK__" localSheetId="0" hidden="1">{"fdsup://directions/FAT Viewer?action=UPDATE&amp;creator=factset&amp;DYN_ARGS=TRUE&amp;DOC_NAME=FAT:FQL_AUDITING_CLIENT_TEMPLATE.FAT&amp;display_string=Audit&amp;VAR:KEY=ELEROFATIN&amp;VAR:QUERY=RkZfRElWX1lMRChBTk4sOS8xNy8wMyw5LzE3LzAzKQ==&amp;WINDOW=FIRST_POPUP&amp;HEIGHT=450&amp;WIDTH=450&amp;","START_MAXIMIZED=FALSE&amp;VAR:CALENDAR=US&amp;VAR:SYMBOL=RAI&amp;VAR:INDEX=0"}</definedName>
    <definedName name="_2490__FDSAUDITLINK__" hidden="1">{"fdsup://directions/FAT Viewer?action=UPDATE&amp;creator=factset&amp;DYN_ARGS=TRUE&amp;DOC_NAME=FAT:FQL_AUDITING_CLIENT_TEMPLATE.FAT&amp;display_string=Audit&amp;VAR:KEY=ELEROFATIN&amp;VAR:QUERY=RkZfRElWX1lMRChBTk4sOS8xNy8wMyw5LzE3LzAzKQ==&amp;WINDOW=FIRST_POPUP&amp;HEIGHT=450&amp;WIDTH=450&amp;","START_MAXIMIZED=FALSE&amp;VAR:CALENDAR=US&amp;VAR:SYMBOL=RAI&amp;VAR:INDEX=0"}</definedName>
    <definedName name="_2491__FDSAUDITLINK__" localSheetId="0" hidden="1">{"fdsup://directions/FAT Viewer?action=UPDATE&amp;creator=factset&amp;DYN_ARGS=TRUE&amp;DOC_NAME=FAT:FQL_AUDITING_CLIENT_TEMPLATE.FAT&amp;display_string=Audit&amp;VAR:KEY=AZOHYRWJIP&amp;VAR:QUERY=RkZfRElWX1lMRChBTk4sOS8xMC8wMyw5LzEwLzAzKQ==&amp;WINDOW=FIRST_POPUP&amp;HEIGHT=450&amp;WIDTH=450&amp;","START_MAXIMIZED=FALSE&amp;VAR:CALENDAR=US&amp;VAR:SYMBOL=RAI&amp;VAR:INDEX=0"}</definedName>
    <definedName name="_2491__FDSAUDITLINK__" hidden="1">{"fdsup://directions/FAT Viewer?action=UPDATE&amp;creator=factset&amp;DYN_ARGS=TRUE&amp;DOC_NAME=FAT:FQL_AUDITING_CLIENT_TEMPLATE.FAT&amp;display_string=Audit&amp;VAR:KEY=AZOHYRWJIP&amp;VAR:QUERY=RkZfRElWX1lMRChBTk4sOS8xMC8wMyw5LzEwLzAzKQ==&amp;WINDOW=FIRST_POPUP&amp;HEIGHT=450&amp;WIDTH=450&amp;","START_MAXIMIZED=FALSE&amp;VAR:CALENDAR=US&amp;VAR:SYMBOL=RAI&amp;VAR:INDEX=0"}</definedName>
    <definedName name="_2492__FDSAUDITLINK__" localSheetId="0" hidden="1">{"fdsup://directions/FAT Viewer?action=UPDATE&amp;creator=factset&amp;DYN_ARGS=TRUE&amp;DOC_NAME=FAT:FQL_AUDITING_CLIENT_TEMPLATE.FAT&amp;display_string=Audit&amp;VAR:KEY=KZWPWXGPQV&amp;VAR:QUERY=RkZfRElWX1lMRChBTk4sOS8wMy8wMyw5LzAzLzAzKQ==&amp;WINDOW=FIRST_POPUP&amp;HEIGHT=450&amp;WIDTH=450&amp;","START_MAXIMIZED=FALSE&amp;VAR:CALENDAR=US&amp;VAR:SYMBOL=RAI&amp;VAR:INDEX=0"}</definedName>
    <definedName name="_2492__FDSAUDITLINK__" hidden="1">{"fdsup://directions/FAT Viewer?action=UPDATE&amp;creator=factset&amp;DYN_ARGS=TRUE&amp;DOC_NAME=FAT:FQL_AUDITING_CLIENT_TEMPLATE.FAT&amp;display_string=Audit&amp;VAR:KEY=KZWPWXGPQV&amp;VAR:QUERY=RkZfRElWX1lMRChBTk4sOS8wMy8wMyw5LzAzLzAzKQ==&amp;WINDOW=FIRST_POPUP&amp;HEIGHT=450&amp;WIDTH=450&amp;","START_MAXIMIZED=FALSE&amp;VAR:CALENDAR=US&amp;VAR:SYMBOL=RAI&amp;VAR:INDEX=0"}</definedName>
    <definedName name="_2493__FDSAUDITLINK__" localSheetId="0" hidden="1">{"fdsup://directions/FAT Viewer?action=UPDATE&amp;creator=factset&amp;DYN_ARGS=TRUE&amp;DOC_NAME=FAT:FQL_AUDITING_CLIENT_TEMPLATE.FAT&amp;display_string=Audit&amp;VAR:KEY=GDONOHCDYP&amp;VAR:QUERY=RkZfRElWX1lMRChBTk4sOC8yNy8wMyw4LzI3LzAzKQ==&amp;WINDOW=FIRST_POPUP&amp;HEIGHT=450&amp;WIDTH=450&amp;","START_MAXIMIZED=FALSE&amp;VAR:CALENDAR=US&amp;VAR:SYMBOL=RAI&amp;VAR:INDEX=0"}</definedName>
    <definedName name="_2493__FDSAUDITLINK__" hidden="1">{"fdsup://directions/FAT Viewer?action=UPDATE&amp;creator=factset&amp;DYN_ARGS=TRUE&amp;DOC_NAME=FAT:FQL_AUDITING_CLIENT_TEMPLATE.FAT&amp;display_string=Audit&amp;VAR:KEY=GDONOHCDYP&amp;VAR:QUERY=RkZfRElWX1lMRChBTk4sOC8yNy8wMyw4LzI3LzAzKQ==&amp;WINDOW=FIRST_POPUP&amp;HEIGHT=450&amp;WIDTH=450&amp;","START_MAXIMIZED=FALSE&amp;VAR:CALENDAR=US&amp;VAR:SYMBOL=RAI&amp;VAR:INDEX=0"}</definedName>
    <definedName name="_2494__FDSAUDITLINK__" localSheetId="0" hidden="1">{"fdsup://directions/FAT Viewer?action=UPDATE&amp;creator=factset&amp;DYN_ARGS=TRUE&amp;DOC_NAME=FAT:FQL_AUDITING_CLIENT_TEMPLATE.FAT&amp;display_string=Audit&amp;VAR:KEY=YZQBABCHUB&amp;VAR:QUERY=RkZfRElWX1lMRChBTk4sOC8yMC8wMyw4LzIwLzAzKQ==&amp;WINDOW=FIRST_POPUP&amp;HEIGHT=450&amp;WIDTH=450&amp;","START_MAXIMIZED=FALSE&amp;VAR:CALENDAR=US&amp;VAR:SYMBOL=RAI&amp;VAR:INDEX=0"}</definedName>
    <definedName name="_2494__FDSAUDITLINK__" hidden="1">{"fdsup://directions/FAT Viewer?action=UPDATE&amp;creator=factset&amp;DYN_ARGS=TRUE&amp;DOC_NAME=FAT:FQL_AUDITING_CLIENT_TEMPLATE.FAT&amp;display_string=Audit&amp;VAR:KEY=YZQBABCHUB&amp;VAR:QUERY=RkZfRElWX1lMRChBTk4sOC8yMC8wMyw4LzIwLzAzKQ==&amp;WINDOW=FIRST_POPUP&amp;HEIGHT=450&amp;WIDTH=450&amp;","START_MAXIMIZED=FALSE&amp;VAR:CALENDAR=US&amp;VAR:SYMBOL=RAI&amp;VAR:INDEX=0"}</definedName>
    <definedName name="_2495__FDSAUDITLINK__" localSheetId="0" hidden="1">{"fdsup://directions/FAT Viewer?action=UPDATE&amp;creator=factset&amp;DYN_ARGS=TRUE&amp;DOC_NAME=FAT:FQL_AUDITING_CLIENT_TEMPLATE.FAT&amp;display_string=Audit&amp;VAR:KEY=KTUVQBIFIL&amp;VAR:QUERY=RkZfRElWX1lMRChBTk4sOC8xMy8wMyw4LzEzLzAzKQ==&amp;WINDOW=FIRST_POPUP&amp;HEIGHT=450&amp;WIDTH=450&amp;","START_MAXIMIZED=FALSE&amp;VAR:CALENDAR=US&amp;VAR:SYMBOL=RAI&amp;VAR:INDEX=0"}</definedName>
    <definedName name="_2495__FDSAUDITLINK__" hidden="1">{"fdsup://directions/FAT Viewer?action=UPDATE&amp;creator=factset&amp;DYN_ARGS=TRUE&amp;DOC_NAME=FAT:FQL_AUDITING_CLIENT_TEMPLATE.FAT&amp;display_string=Audit&amp;VAR:KEY=KTUVQBIFIL&amp;VAR:QUERY=RkZfRElWX1lMRChBTk4sOC8xMy8wMyw4LzEzLzAzKQ==&amp;WINDOW=FIRST_POPUP&amp;HEIGHT=450&amp;WIDTH=450&amp;","START_MAXIMIZED=FALSE&amp;VAR:CALENDAR=US&amp;VAR:SYMBOL=RAI&amp;VAR:INDEX=0"}</definedName>
    <definedName name="_2496__FDSAUDITLINK__" localSheetId="0" hidden="1">{"fdsup://directions/FAT Viewer?action=UPDATE&amp;creator=factset&amp;DYN_ARGS=TRUE&amp;DOC_NAME=FAT:FQL_AUDITING_CLIENT_TEMPLATE.FAT&amp;display_string=Audit&amp;VAR:KEY=GVYTGTKDST&amp;VAR:QUERY=RkZfRElWX1lMRChBTk4sOC8wNi8wMyw4LzA2LzAzKQ==&amp;WINDOW=FIRST_POPUP&amp;HEIGHT=450&amp;WIDTH=450&amp;","START_MAXIMIZED=FALSE&amp;VAR:CALENDAR=US&amp;VAR:SYMBOL=RAI&amp;VAR:INDEX=0"}</definedName>
    <definedName name="_2496__FDSAUDITLINK__" hidden="1">{"fdsup://directions/FAT Viewer?action=UPDATE&amp;creator=factset&amp;DYN_ARGS=TRUE&amp;DOC_NAME=FAT:FQL_AUDITING_CLIENT_TEMPLATE.FAT&amp;display_string=Audit&amp;VAR:KEY=GVYTGTKDST&amp;VAR:QUERY=RkZfRElWX1lMRChBTk4sOC8wNi8wMyw4LzA2LzAzKQ==&amp;WINDOW=FIRST_POPUP&amp;HEIGHT=450&amp;WIDTH=450&amp;","START_MAXIMIZED=FALSE&amp;VAR:CALENDAR=US&amp;VAR:SYMBOL=RAI&amp;VAR:INDEX=0"}</definedName>
    <definedName name="_2497__FDSAUDITLINK__" localSheetId="0" hidden="1">{"fdsup://directions/FAT Viewer?action=UPDATE&amp;creator=factset&amp;DYN_ARGS=TRUE&amp;DOC_NAME=FAT:FQL_AUDITING_CLIENT_TEMPLATE.FAT&amp;display_string=Audit&amp;VAR:KEY=KBYDODENUD&amp;VAR:QUERY=RkZfRElWX1lMRChBTk4sNy8zMC8wMyw3LzMwLzAzKQ==&amp;WINDOW=FIRST_POPUP&amp;HEIGHT=450&amp;WIDTH=450&amp;","START_MAXIMIZED=FALSE&amp;VAR:CALENDAR=US&amp;VAR:SYMBOL=RAI&amp;VAR:INDEX=0"}</definedName>
    <definedName name="_2497__FDSAUDITLINK__" hidden="1">{"fdsup://directions/FAT Viewer?action=UPDATE&amp;creator=factset&amp;DYN_ARGS=TRUE&amp;DOC_NAME=FAT:FQL_AUDITING_CLIENT_TEMPLATE.FAT&amp;display_string=Audit&amp;VAR:KEY=KBYDODENUD&amp;VAR:QUERY=RkZfRElWX1lMRChBTk4sNy8zMC8wMyw3LzMwLzAzKQ==&amp;WINDOW=FIRST_POPUP&amp;HEIGHT=450&amp;WIDTH=450&amp;","START_MAXIMIZED=FALSE&amp;VAR:CALENDAR=US&amp;VAR:SYMBOL=RAI&amp;VAR:INDEX=0"}</definedName>
    <definedName name="_2498__FDSAUDITLINK__" localSheetId="0" hidden="1">{"fdsup://directions/FAT Viewer?action=UPDATE&amp;creator=factset&amp;DYN_ARGS=TRUE&amp;DOC_NAME=FAT:FQL_AUDITING_CLIENT_TEMPLATE.FAT&amp;display_string=Audit&amp;VAR:KEY=SHALIXYTWX&amp;VAR:QUERY=RkZfRElWX1lMRChBTk4sNy8yMy8wMyw3LzIzLzAzKQ==&amp;WINDOW=FIRST_POPUP&amp;HEIGHT=450&amp;WIDTH=450&amp;","START_MAXIMIZED=FALSE&amp;VAR:CALENDAR=US&amp;VAR:SYMBOL=RAI&amp;VAR:INDEX=0"}</definedName>
    <definedName name="_2498__FDSAUDITLINK__" hidden="1">{"fdsup://directions/FAT Viewer?action=UPDATE&amp;creator=factset&amp;DYN_ARGS=TRUE&amp;DOC_NAME=FAT:FQL_AUDITING_CLIENT_TEMPLATE.FAT&amp;display_string=Audit&amp;VAR:KEY=SHALIXYTWX&amp;VAR:QUERY=RkZfRElWX1lMRChBTk4sNy8yMy8wMyw3LzIzLzAzKQ==&amp;WINDOW=FIRST_POPUP&amp;HEIGHT=450&amp;WIDTH=450&amp;","START_MAXIMIZED=FALSE&amp;VAR:CALENDAR=US&amp;VAR:SYMBOL=RAI&amp;VAR:INDEX=0"}</definedName>
    <definedName name="_2499__FDSAUDITLINK__" localSheetId="0" hidden="1">{"fdsup://directions/FAT Viewer?action=UPDATE&amp;creator=factset&amp;DYN_ARGS=TRUE&amp;DOC_NAME=FAT:FQL_AUDITING_CLIENT_TEMPLATE.FAT&amp;display_string=Audit&amp;VAR:KEY=ALAXSRYNQP&amp;VAR:QUERY=RkZfRElWX1lMRChBTk4sNy8xNi8wMyw3LzE2LzAzKQ==&amp;WINDOW=FIRST_POPUP&amp;HEIGHT=450&amp;WIDTH=450&amp;","START_MAXIMIZED=FALSE&amp;VAR:CALENDAR=US&amp;VAR:SYMBOL=RAI&amp;VAR:INDEX=0"}</definedName>
    <definedName name="_2499__FDSAUDITLINK__" hidden="1">{"fdsup://directions/FAT Viewer?action=UPDATE&amp;creator=factset&amp;DYN_ARGS=TRUE&amp;DOC_NAME=FAT:FQL_AUDITING_CLIENT_TEMPLATE.FAT&amp;display_string=Audit&amp;VAR:KEY=ALAXSRYNQP&amp;VAR:QUERY=RkZfRElWX1lMRChBTk4sNy8xNi8wMyw3LzE2LzAzKQ==&amp;WINDOW=FIRST_POPUP&amp;HEIGHT=450&amp;WIDTH=450&amp;","START_MAXIMIZED=FALSE&amp;VAR:CALENDAR=US&amp;VAR:SYMBOL=RAI&amp;VAR:INDEX=0"}</definedName>
    <definedName name="_24aa1_" hidden="1">{#N/A,#N/A,FALSE,"Aging Summary";#N/A,#N/A,FALSE,"Ratio Analysis";#N/A,#N/A,FALSE,"Test 120 Day Accts";#N/A,#N/A,FALSE,"Tickmarks"}</definedName>
    <definedName name="_24main_form_account_grants_list_19_j_id1022">#REF!</definedName>
    <definedName name="_24s4_" hidden="1">{#N/A,#N/A,FALSE,"UNIT";#N/A,#N/A,FALSE,"UNIT";#N/A,#N/A,FALSE,"계정"}</definedName>
    <definedName name="_25________B_S">#REF!</definedName>
    <definedName name="_25__123Graph_ACHART_3">#REF!</definedName>
    <definedName name="_25__123Graph_ASUPPLIES_BY_B_U">#REF!</definedName>
    <definedName name="_25__123Graph_BGROWTH_REVS_A" hidden="1">#REF!</definedName>
    <definedName name="_25__123Graph_BWAGES_BY_B_U">#REF!</definedName>
    <definedName name="_25__123Graph_CChart_18K">#REF!</definedName>
    <definedName name="_25__123Graph_CSENS_COMPARISON">#REF!</definedName>
    <definedName name="_25__123Graph_DQRE_S_BY_CO.">#REF!</definedName>
    <definedName name="_25__123Graph_DSUPPLIES_BY_B_U">#REF!</definedName>
    <definedName name="_25__123Graph_ECONTRACT_BY_B_U" hidden="1">#REF!</definedName>
    <definedName name="_25__123Graph_EQRE_S_BY_CO.">#REF!</definedName>
    <definedName name="_25__123Graph_ESUPPLIES_BY_B_U">#REF!</definedName>
    <definedName name="_25__123Graph_EWAGES_BY_B_U">#REF!</definedName>
    <definedName name="_25__FDSAUDITLINK__" localSheetId="0" hidden="1">{"fdsup://directions/FAT Viewer?action=UPDATE&amp;creator=factset&amp;DYN_ARGS=TRUE&amp;DOC_NAME=FAT:FQL_AUDITING_CLIENT_TEMPLATE.FAT&amp;display_string=Audit&amp;VAR:KEY=IROHGHYDCF&amp;VAR:QUERY=Q1NGX0RJVl9ZTEQoUVRSX1IsMTIvMzEvMjAwNCk=&amp;WINDOW=FIRST_POPUP&amp;HEIGHT=450&amp;WIDTH=450&amp;STAR","T_MAXIMIZED=FALSE&amp;VAR:CALENDAR=US&amp;VAR:SYMBOL=MO&amp;VAR:INDEX=0"}</definedName>
    <definedName name="_25__FDSAUDITLINK__" hidden="1">{"fdsup://directions/FAT Viewer?action=UPDATE&amp;creator=factset&amp;DYN_ARGS=TRUE&amp;DOC_NAME=FAT:FQL_AUDITING_CLIENT_TEMPLATE.FAT&amp;display_string=Audit&amp;VAR:KEY=IROHGHYDCF&amp;VAR:QUERY=Q1NGX0RJVl9ZTEQoUVRSX1IsMTIvMzEvMjAwNCk=&amp;WINDOW=FIRST_POPUP&amp;HEIGHT=450&amp;WIDTH=450&amp;STAR","T_MAXIMIZED=FALSE&amp;VAR:CALENDAR=US&amp;VAR:SYMBOL=MO&amp;VAR:INDEX=0"}</definedName>
    <definedName name="_25_09_1998">#REF!</definedName>
    <definedName name="_250">#REF!</definedName>
    <definedName name="_250__FDSAUDITLINK__" localSheetId="0" hidden="1">{"fdsup://directions/FAT Viewer?action=UPDATE&amp;creator=factset&amp;DYN_ARGS=TRUE&amp;DOC_NAME=FAT:FQL_AUDITING_CLIENT_TEMPLATE.FAT&amp;display_string=Audit&amp;VAR:KEY=VQPANSRGXO&amp;VAR:QUERY=RkZfRElWX1lMRChBTk4sNi8yMi8wNiw2LzIyLzA2KQ==&amp;WINDOW=FIRST_POPUP&amp;HEIGHT=450&amp;WIDTH=450&amp;","START_MAXIMIZED=FALSE&amp;VAR:CALENDAR=US&amp;VAR:SYMBOL=RAI&amp;VAR:INDEX=0"}</definedName>
    <definedName name="_250__FDSAUDITLINK__" hidden="1">{"fdsup://directions/FAT Viewer?action=UPDATE&amp;creator=factset&amp;DYN_ARGS=TRUE&amp;DOC_NAME=FAT:FQL_AUDITING_CLIENT_TEMPLATE.FAT&amp;display_string=Audit&amp;VAR:KEY=VQPANSRGXO&amp;VAR:QUERY=RkZfRElWX1lMRChBTk4sNi8yMi8wNiw2LzIyLzA2KQ==&amp;WINDOW=FIRST_POPUP&amp;HEIGHT=450&amp;WIDTH=450&amp;","START_MAXIMIZED=FALSE&amp;VAR:CALENDAR=US&amp;VAR:SYMBOL=RAI&amp;VAR:INDEX=0"}</definedName>
    <definedName name="_2500__FDSAUDITLINK__" localSheetId="0" hidden="1">{"fdsup://directions/FAT Viewer?action=UPDATE&amp;creator=factset&amp;DYN_ARGS=TRUE&amp;DOC_NAME=FAT:FQL_AUDITING_CLIENT_TEMPLATE.FAT&amp;display_string=Audit&amp;VAR:KEY=QPMDIVIZMN&amp;VAR:QUERY=RkZfRElWX1lMRChBTk4sNy8wOS8wMyw3LzA5LzAzKQ==&amp;WINDOW=FIRST_POPUP&amp;HEIGHT=450&amp;WIDTH=450&amp;","START_MAXIMIZED=FALSE&amp;VAR:CALENDAR=US&amp;VAR:SYMBOL=RAI&amp;VAR:INDEX=0"}</definedName>
    <definedName name="_2500__FDSAUDITLINK__" hidden="1">{"fdsup://directions/FAT Viewer?action=UPDATE&amp;creator=factset&amp;DYN_ARGS=TRUE&amp;DOC_NAME=FAT:FQL_AUDITING_CLIENT_TEMPLATE.FAT&amp;display_string=Audit&amp;VAR:KEY=QPMDIVIZMN&amp;VAR:QUERY=RkZfRElWX1lMRChBTk4sNy8wOS8wMyw3LzA5LzAzKQ==&amp;WINDOW=FIRST_POPUP&amp;HEIGHT=450&amp;WIDTH=450&amp;","START_MAXIMIZED=FALSE&amp;VAR:CALENDAR=US&amp;VAR:SYMBOL=RAI&amp;VAR:INDEX=0"}</definedName>
    <definedName name="_2501__FDSAUDITLINK__" localSheetId="0" hidden="1">{"fdsup://directions/FAT Viewer?action=UPDATE&amp;creator=factset&amp;DYN_ARGS=TRUE&amp;DOC_NAME=FAT:FQL_AUDITING_CLIENT_TEMPLATE.FAT&amp;display_string=Audit&amp;VAR:KEY=ABYPGLQTIT&amp;VAR:QUERY=RkZfRElWX1lMRChBTk4sNy8wMi8wMyw3LzAyLzAzKQ==&amp;WINDOW=FIRST_POPUP&amp;HEIGHT=450&amp;WIDTH=450&amp;","START_MAXIMIZED=FALSE&amp;VAR:CALENDAR=US&amp;VAR:SYMBOL=RAI&amp;VAR:INDEX=0"}</definedName>
    <definedName name="_2501__FDSAUDITLINK__" hidden="1">{"fdsup://directions/FAT Viewer?action=UPDATE&amp;creator=factset&amp;DYN_ARGS=TRUE&amp;DOC_NAME=FAT:FQL_AUDITING_CLIENT_TEMPLATE.FAT&amp;display_string=Audit&amp;VAR:KEY=ABYPGLQTIT&amp;VAR:QUERY=RkZfRElWX1lMRChBTk4sNy8wMi8wMyw3LzAyLzAzKQ==&amp;WINDOW=FIRST_POPUP&amp;HEIGHT=450&amp;WIDTH=450&amp;","START_MAXIMIZED=FALSE&amp;VAR:CALENDAR=US&amp;VAR:SYMBOL=RAI&amp;VAR:INDEX=0"}</definedName>
    <definedName name="_2502__FDSAUDITLINK__" localSheetId="0" hidden="1">{"fdsup://directions/FAT Viewer?action=UPDATE&amp;creator=factset&amp;DYN_ARGS=TRUE&amp;DOC_NAME=FAT:FQL_AUDITING_CLIENT_TEMPLATE.FAT&amp;display_string=Audit&amp;VAR:KEY=OBEXYXCDED&amp;VAR:QUERY=RkZfRElWX1lMRChBTk4sNi8yNS8wMyw2LzI1LzAzKQ==&amp;WINDOW=FIRST_POPUP&amp;HEIGHT=450&amp;WIDTH=450&amp;","START_MAXIMIZED=FALSE&amp;VAR:CALENDAR=US&amp;VAR:SYMBOL=RAI&amp;VAR:INDEX=0"}</definedName>
    <definedName name="_2502__FDSAUDITLINK__" hidden="1">{"fdsup://directions/FAT Viewer?action=UPDATE&amp;creator=factset&amp;DYN_ARGS=TRUE&amp;DOC_NAME=FAT:FQL_AUDITING_CLIENT_TEMPLATE.FAT&amp;display_string=Audit&amp;VAR:KEY=OBEXYXCDED&amp;VAR:QUERY=RkZfRElWX1lMRChBTk4sNi8yNS8wMyw2LzI1LzAzKQ==&amp;WINDOW=FIRST_POPUP&amp;HEIGHT=450&amp;WIDTH=450&amp;","START_MAXIMIZED=FALSE&amp;VAR:CALENDAR=US&amp;VAR:SYMBOL=RAI&amp;VAR:INDEX=0"}</definedName>
    <definedName name="_2503__FDSAUDITLINK__" localSheetId="0" hidden="1">{"fdsup://directions/FAT Viewer?action=UPDATE&amp;creator=factset&amp;DYN_ARGS=TRUE&amp;DOC_NAME=FAT:FQL_AUDITING_CLIENT_TEMPLATE.FAT&amp;display_string=Audit&amp;VAR:KEY=IRSVWTCLIH&amp;VAR:QUERY=RkZfRElWX1lMRChBTk4sNi8xOC8wMyw2LzE4LzAzKQ==&amp;WINDOW=FIRST_POPUP&amp;HEIGHT=450&amp;WIDTH=450&amp;","START_MAXIMIZED=FALSE&amp;VAR:CALENDAR=US&amp;VAR:SYMBOL=RAI&amp;VAR:INDEX=0"}</definedName>
    <definedName name="_2503__FDSAUDITLINK__" hidden="1">{"fdsup://directions/FAT Viewer?action=UPDATE&amp;creator=factset&amp;DYN_ARGS=TRUE&amp;DOC_NAME=FAT:FQL_AUDITING_CLIENT_TEMPLATE.FAT&amp;display_string=Audit&amp;VAR:KEY=IRSVWTCLIH&amp;VAR:QUERY=RkZfRElWX1lMRChBTk4sNi8xOC8wMyw2LzE4LzAzKQ==&amp;WINDOW=FIRST_POPUP&amp;HEIGHT=450&amp;WIDTH=450&amp;","START_MAXIMIZED=FALSE&amp;VAR:CALENDAR=US&amp;VAR:SYMBOL=RAI&amp;VAR:INDEX=0"}</definedName>
    <definedName name="_2504__FDSAUDITLINK__" localSheetId="0" hidden="1">{"fdsup://directions/FAT Viewer?action=UPDATE&amp;creator=factset&amp;DYN_ARGS=TRUE&amp;DOC_NAME=FAT:FQL_AUDITING_CLIENT_TEMPLATE.FAT&amp;display_string=Audit&amp;VAR:KEY=CNQFUZGBSR&amp;VAR:QUERY=RkZfRElWX1lMRChBTk4sNi8xMS8wMyw2LzExLzAzKQ==&amp;WINDOW=FIRST_POPUP&amp;HEIGHT=450&amp;WIDTH=450&amp;","START_MAXIMIZED=FALSE&amp;VAR:CALENDAR=US&amp;VAR:SYMBOL=RAI&amp;VAR:INDEX=0"}</definedName>
    <definedName name="_2504__FDSAUDITLINK__" hidden="1">{"fdsup://directions/FAT Viewer?action=UPDATE&amp;creator=factset&amp;DYN_ARGS=TRUE&amp;DOC_NAME=FAT:FQL_AUDITING_CLIENT_TEMPLATE.FAT&amp;display_string=Audit&amp;VAR:KEY=CNQFUZGBSR&amp;VAR:QUERY=RkZfRElWX1lMRChBTk4sNi8xMS8wMyw2LzExLzAzKQ==&amp;WINDOW=FIRST_POPUP&amp;HEIGHT=450&amp;WIDTH=450&amp;","START_MAXIMIZED=FALSE&amp;VAR:CALENDAR=US&amp;VAR:SYMBOL=RAI&amp;VAR:INDEX=0"}</definedName>
    <definedName name="_2505__FDSAUDITLINK__" localSheetId="0" hidden="1">{"fdsup://directions/FAT Viewer?action=UPDATE&amp;creator=factset&amp;DYN_ARGS=TRUE&amp;DOC_NAME=FAT:FQL_AUDITING_CLIENT_TEMPLATE.FAT&amp;display_string=Audit&amp;VAR:KEY=QZWDEXGLOR&amp;VAR:QUERY=RkZfRElWX1lMRChBTk4sNi8wNC8wMyw2LzA0LzAzKQ==&amp;WINDOW=FIRST_POPUP&amp;HEIGHT=450&amp;WIDTH=450&amp;","START_MAXIMIZED=FALSE&amp;VAR:CALENDAR=US&amp;VAR:SYMBOL=RAI&amp;VAR:INDEX=0"}</definedName>
    <definedName name="_2505__FDSAUDITLINK__" hidden="1">{"fdsup://directions/FAT Viewer?action=UPDATE&amp;creator=factset&amp;DYN_ARGS=TRUE&amp;DOC_NAME=FAT:FQL_AUDITING_CLIENT_TEMPLATE.FAT&amp;display_string=Audit&amp;VAR:KEY=QZWDEXGLOR&amp;VAR:QUERY=RkZfRElWX1lMRChBTk4sNi8wNC8wMyw2LzA0LzAzKQ==&amp;WINDOW=FIRST_POPUP&amp;HEIGHT=450&amp;WIDTH=450&amp;","START_MAXIMIZED=FALSE&amp;VAR:CALENDAR=US&amp;VAR:SYMBOL=RAI&amp;VAR:INDEX=0"}</definedName>
    <definedName name="_2506__FDSAUDITLINK__" localSheetId="0" hidden="1">{"fdsup://directions/FAT Viewer?action=UPDATE&amp;creator=factset&amp;DYN_ARGS=TRUE&amp;DOC_NAME=FAT:FQL_AUDITING_CLIENT_TEMPLATE.FAT&amp;display_string=Audit&amp;VAR:KEY=WVIDQDMXIZ&amp;VAR:QUERY=RkZfRElWX1lMRChBTk4sNS8yOC8wMyw1LzI4LzAzKQ==&amp;WINDOW=FIRST_POPUP&amp;HEIGHT=450&amp;WIDTH=450&amp;","START_MAXIMIZED=FALSE&amp;VAR:CALENDAR=US&amp;VAR:SYMBOL=RAI&amp;VAR:INDEX=0"}</definedName>
    <definedName name="_2506__FDSAUDITLINK__" hidden="1">{"fdsup://directions/FAT Viewer?action=UPDATE&amp;creator=factset&amp;DYN_ARGS=TRUE&amp;DOC_NAME=FAT:FQL_AUDITING_CLIENT_TEMPLATE.FAT&amp;display_string=Audit&amp;VAR:KEY=WVIDQDMXIZ&amp;VAR:QUERY=RkZfRElWX1lMRChBTk4sNS8yOC8wMyw1LzI4LzAzKQ==&amp;WINDOW=FIRST_POPUP&amp;HEIGHT=450&amp;WIDTH=450&amp;","START_MAXIMIZED=FALSE&amp;VAR:CALENDAR=US&amp;VAR:SYMBOL=RAI&amp;VAR:INDEX=0"}</definedName>
    <definedName name="_2507__FDSAUDITLINK__" localSheetId="0" hidden="1">{"fdsup://directions/FAT Viewer?action=UPDATE&amp;creator=factset&amp;DYN_ARGS=TRUE&amp;DOC_NAME=FAT:FQL_AUDITING_CLIENT_TEMPLATE.FAT&amp;display_string=Audit&amp;VAR:KEY=SFKXEVKPMN&amp;VAR:QUERY=RkZfRElWX1lMRChBTk4sNS8yMS8wMyw1LzIxLzAzKQ==&amp;WINDOW=FIRST_POPUP&amp;HEIGHT=450&amp;WIDTH=450&amp;","START_MAXIMIZED=FALSE&amp;VAR:CALENDAR=US&amp;VAR:SYMBOL=RAI&amp;VAR:INDEX=0"}</definedName>
    <definedName name="_2507__FDSAUDITLINK__" hidden="1">{"fdsup://directions/FAT Viewer?action=UPDATE&amp;creator=factset&amp;DYN_ARGS=TRUE&amp;DOC_NAME=FAT:FQL_AUDITING_CLIENT_TEMPLATE.FAT&amp;display_string=Audit&amp;VAR:KEY=SFKXEVKPMN&amp;VAR:QUERY=RkZfRElWX1lMRChBTk4sNS8yMS8wMyw1LzIxLzAzKQ==&amp;WINDOW=FIRST_POPUP&amp;HEIGHT=450&amp;WIDTH=450&amp;","START_MAXIMIZED=FALSE&amp;VAR:CALENDAR=US&amp;VAR:SYMBOL=RAI&amp;VAR:INDEX=0"}</definedName>
    <definedName name="_2508__FDSAUDITLINK__" localSheetId="0" hidden="1">{"fdsup://directions/FAT Viewer?action=UPDATE&amp;creator=factset&amp;DYN_ARGS=TRUE&amp;DOC_NAME=FAT:FQL_AUDITING_CLIENT_TEMPLATE.FAT&amp;display_string=Audit&amp;VAR:KEY=GBIXQZGFER&amp;VAR:QUERY=RkZfRElWX1lMRChBTk4sNS8xNC8wMyw1LzE0LzAzKQ==&amp;WINDOW=FIRST_POPUP&amp;HEIGHT=450&amp;WIDTH=450&amp;","START_MAXIMIZED=FALSE&amp;VAR:CALENDAR=US&amp;VAR:SYMBOL=RAI&amp;VAR:INDEX=0"}</definedName>
    <definedName name="_2508__FDSAUDITLINK__" hidden="1">{"fdsup://directions/FAT Viewer?action=UPDATE&amp;creator=factset&amp;DYN_ARGS=TRUE&amp;DOC_NAME=FAT:FQL_AUDITING_CLIENT_TEMPLATE.FAT&amp;display_string=Audit&amp;VAR:KEY=GBIXQZGFER&amp;VAR:QUERY=RkZfRElWX1lMRChBTk4sNS8xNC8wMyw1LzE0LzAzKQ==&amp;WINDOW=FIRST_POPUP&amp;HEIGHT=450&amp;WIDTH=450&amp;","START_MAXIMIZED=FALSE&amp;VAR:CALENDAR=US&amp;VAR:SYMBOL=RAI&amp;VAR:INDEX=0"}</definedName>
    <definedName name="_2509">#REF!</definedName>
    <definedName name="_2509__FDSAUDITLINK__" localSheetId="0" hidden="1">{"fdsup://directions/FAT Viewer?action=UPDATE&amp;creator=factset&amp;DYN_ARGS=TRUE&amp;DOC_NAME=FAT:FQL_AUDITING_CLIENT_TEMPLATE.FAT&amp;display_string=Audit&amp;VAR:KEY=WNOHEXYJWL&amp;VAR:QUERY=RkZfRElWX1lMRChBTk4sNS8wNy8wMyw1LzA3LzAzKQ==&amp;WINDOW=FIRST_POPUP&amp;HEIGHT=450&amp;WIDTH=450&amp;","START_MAXIMIZED=FALSE&amp;VAR:CALENDAR=US&amp;VAR:SYMBOL=RAI&amp;VAR:INDEX=0"}</definedName>
    <definedName name="_2509__FDSAUDITLINK__" hidden="1">{"fdsup://directions/FAT Viewer?action=UPDATE&amp;creator=factset&amp;DYN_ARGS=TRUE&amp;DOC_NAME=FAT:FQL_AUDITING_CLIENT_TEMPLATE.FAT&amp;display_string=Audit&amp;VAR:KEY=WNOHEXYJWL&amp;VAR:QUERY=RkZfRElWX1lMRChBTk4sNS8wNy8wMyw1LzA3LzAzKQ==&amp;WINDOW=FIRST_POPUP&amp;HEIGHT=450&amp;WIDTH=450&amp;","START_MAXIMIZED=FALSE&amp;VAR:CALENDAR=US&amp;VAR:SYMBOL=RAI&amp;VAR:INDEX=0"}</definedName>
    <definedName name="_251__FDSAUDITLINK__" localSheetId="0" hidden="1">{"fdsup://directions/FAT Viewer?action=UPDATE&amp;creator=factset&amp;DYN_ARGS=TRUE&amp;DOC_NAME=FAT:FQL_AUDITING_CLIENT_TEMPLATE.FAT&amp;display_string=Audit&amp;VAR:KEY=ZYLQLEHWZK&amp;VAR:QUERY=RkZfRElWX1lMRChBTk4sNi8xNS8wNiw2LzE1LzA2KQ==&amp;WINDOW=FIRST_POPUP&amp;HEIGHT=450&amp;WIDTH=450&amp;","START_MAXIMIZED=FALSE&amp;VAR:CALENDAR=US&amp;VAR:SYMBOL=RAI&amp;VAR:INDEX=0"}</definedName>
    <definedName name="_251__FDSAUDITLINK__" hidden="1">{"fdsup://directions/FAT Viewer?action=UPDATE&amp;creator=factset&amp;DYN_ARGS=TRUE&amp;DOC_NAME=FAT:FQL_AUDITING_CLIENT_TEMPLATE.FAT&amp;display_string=Audit&amp;VAR:KEY=ZYLQLEHWZK&amp;VAR:QUERY=RkZfRElWX1lMRChBTk4sNi8xNS8wNiw2LzE1LzA2KQ==&amp;WINDOW=FIRST_POPUP&amp;HEIGHT=450&amp;WIDTH=450&amp;","START_MAXIMIZED=FALSE&amp;VAR:CALENDAR=US&amp;VAR:SYMBOL=RAI&amp;VAR:INDEX=0"}</definedName>
    <definedName name="_2510">#REF!</definedName>
    <definedName name="_2510__FDSAUDITLINK__" localSheetId="0" hidden="1">{"fdsup://directions/FAT Viewer?action=UPDATE&amp;creator=factset&amp;DYN_ARGS=TRUE&amp;DOC_NAME=FAT:FQL_AUDITING_CLIENT_TEMPLATE.FAT&amp;display_string=Audit&amp;VAR:KEY=WLMBKRODIN&amp;VAR:QUERY=RkZfRElWX1lMRChBTk4sNC8zMC8wMyw0LzMwLzAzKQ==&amp;WINDOW=FIRST_POPUP&amp;HEIGHT=450&amp;WIDTH=450&amp;","START_MAXIMIZED=FALSE&amp;VAR:CALENDAR=US&amp;VAR:SYMBOL=RAI&amp;VAR:INDEX=0"}</definedName>
    <definedName name="_2510__FDSAUDITLINK__" hidden="1">{"fdsup://directions/FAT Viewer?action=UPDATE&amp;creator=factset&amp;DYN_ARGS=TRUE&amp;DOC_NAME=FAT:FQL_AUDITING_CLIENT_TEMPLATE.FAT&amp;display_string=Audit&amp;VAR:KEY=WLMBKRODIN&amp;VAR:QUERY=RkZfRElWX1lMRChBTk4sNC8zMC8wMyw0LzMwLzAzKQ==&amp;WINDOW=FIRST_POPUP&amp;HEIGHT=450&amp;WIDTH=450&amp;","START_MAXIMIZED=FALSE&amp;VAR:CALENDAR=US&amp;VAR:SYMBOL=RAI&amp;VAR:INDEX=0"}</definedName>
    <definedName name="_2511__FDSAUDITLINK__" localSheetId="0" hidden="1">{"fdsup://directions/FAT Viewer?action=UPDATE&amp;creator=factset&amp;DYN_ARGS=TRUE&amp;DOC_NAME=FAT:FQL_AUDITING_CLIENT_TEMPLATE.FAT&amp;display_string=Audit&amp;VAR:KEY=WPYDABMHOB&amp;VAR:QUERY=RkZfRElWX1lMRChBTk4sNC8yMy8wMyw0LzIzLzAzKQ==&amp;WINDOW=FIRST_POPUP&amp;HEIGHT=450&amp;WIDTH=450&amp;","START_MAXIMIZED=FALSE&amp;VAR:CALENDAR=US&amp;VAR:SYMBOL=RAI&amp;VAR:INDEX=0"}</definedName>
    <definedName name="_2511__FDSAUDITLINK__" hidden="1">{"fdsup://directions/FAT Viewer?action=UPDATE&amp;creator=factset&amp;DYN_ARGS=TRUE&amp;DOC_NAME=FAT:FQL_AUDITING_CLIENT_TEMPLATE.FAT&amp;display_string=Audit&amp;VAR:KEY=WPYDABMHOB&amp;VAR:QUERY=RkZfRElWX1lMRChBTk4sNC8yMy8wMyw0LzIzLzAzKQ==&amp;WINDOW=FIRST_POPUP&amp;HEIGHT=450&amp;WIDTH=450&amp;","START_MAXIMIZED=FALSE&amp;VAR:CALENDAR=US&amp;VAR:SYMBOL=RAI&amp;VAR:INDEX=0"}</definedName>
    <definedName name="_2512">#REF!</definedName>
    <definedName name="_2512__FDSAUDITLINK__" localSheetId="0" hidden="1">{"fdsup://directions/FAT Viewer?action=UPDATE&amp;creator=factset&amp;DYN_ARGS=TRUE&amp;DOC_NAME=FAT:FQL_AUDITING_CLIENT_TEMPLATE.FAT&amp;display_string=Audit&amp;VAR:KEY=QPWRMZWRYT&amp;VAR:QUERY=RkZfRElWX1lMRChBTk4sNC8xNi8wMyw0LzE2LzAzKQ==&amp;WINDOW=FIRST_POPUP&amp;HEIGHT=450&amp;WIDTH=450&amp;","START_MAXIMIZED=FALSE&amp;VAR:CALENDAR=US&amp;VAR:SYMBOL=RAI&amp;VAR:INDEX=0"}</definedName>
    <definedName name="_2512__FDSAUDITLINK__" hidden="1">{"fdsup://directions/FAT Viewer?action=UPDATE&amp;creator=factset&amp;DYN_ARGS=TRUE&amp;DOC_NAME=FAT:FQL_AUDITING_CLIENT_TEMPLATE.FAT&amp;display_string=Audit&amp;VAR:KEY=QPWRMZWRYT&amp;VAR:QUERY=RkZfRElWX1lMRChBTk4sNC8xNi8wMyw0LzE2LzAzKQ==&amp;WINDOW=FIRST_POPUP&amp;HEIGHT=450&amp;WIDTH=450&amp;","START_MAXIMIZED=FALSE&amp;VAR:CALENDAR=US&amp;VAR:SYMBOL=RAI&amp;VAR:INDEX=0"}</definedName>
    <definedName name="_2513">#REF!</definedName>
    <definedName name="_2513__FDSAUDITLINK__" localSheetId="0" hidden="1">{"fdsup://directions/FAT Viewer?action=UPDATE&amp;creator=factset&amp;DYN_ARGS=TRUE&amp;DOC_NAME=FAT:FQL_AUDITING_CLIENT_TEMPLATE.FAT&amp;display_string=Audit&amp;VAR:KEY=WJEXCRYJUF&amp;VAR:QUERY=RkZfRElWX1lMRChBTk4sNC8wOS8wMyw0LzA5LzAzKQ==&amp;WINDOW=FIRST_POPUP&amp;HEIGHT=450&amp;WIDTH=450&amp;","START_MAXIMIZED=FALSE&amp;VAR:CALENDAR=US&amp;VAR:SYMBOL=RAI&amp;VAR:INDEX=0"}</definedName>
    <definedName name="_2513__FDSAUDITLINK__" hidden="1">{"fdsup://directions/FAT Viewer?action=UPDATE&amp;creator=factset&amp;DYN_ARGS=TRUE&amp;DOC_NAME=FAT:FQL_AUDITING_CLIENT_TEMPLATE.FAT&amp;display_string=Audit&amp;VAR:KEY=WJEXCRYJUF&amp;VAR:QUERY=RkZfRElWX1lMRChBTk4sNC8wOS8wMyw0LzA5LzAzKQ==&amp;WINDOW=FIRST_POPUP&amp;HEIGHT=450&amp;WIDTH=450&amp;","START_MAXIMIZED=FALSE&amp;VAR:CALENDAR=US&amp;VAR:SYMBOL=RAI&amp;VAR:INDEX=0"}</definedName>
    <definedName name="_2514__FDSAUDITLINK__" localSheetId="0" hidden="1">{"fdsup://directions/FAT Viewer?action=UPDATE&amp;creator=factset&amp;DYN_ARGS=TRUE&amp;DOC_NAME=FAT:FQL_AUDITING_CLIENT_TEMPLATE.FAT&amp;display_string=Audit&amp;VAR:KEY=MBKJQNKDOH&amp;VAR:QUERY=RkZfRElWX1lMRChBTk4sNC8wMi8wMyw0LzAyLzAzKQ==&amp;WINDOW=FIRST_POPUP&amp;HEIGHT=450&amp;WIDTH=450&amp;","START_MAXIMIZED=FALSE&amp;VAR:CALENDAR=US&amp;VAR:SYMBOL=RAI&amp;VAR:INDEX=0"}</definedName>
    <definedName name="_2514__FDSAUDITLINK__" hidden="1">{"fdsup://directions/FAT Viewer?action=UPDATE&amp;creator=factset&amp;DYN_ARGS=TRUE&amp;DOC_NAME=FAT:FQL_AUDITING_CLIENT_TEMPLATE.FAT&amp;display_string=Audit&amp;VAR:KEY=MBKJQNKDOH&amp;VAR:QUERY=RkZfRElWX1lMRChBTk4sNC8wMi8wMyw0LzAyLzAzKQ==&amp;WINDOW=FIRST_POPUP&amp;HEIGHT=450&amp;WIDTH=450&amp;","START_MAXIMIZED=FALSE&amp;VAR:CALENDAR=US&amp;VAR:SYMBOL=RAI&amp;VAR:INDEX=0"}</definedName>
    <definedName name="_2515">#REF!</definedName>
    <definedName name="_2515__FDSAUDITLINK__" localSheetId="0" hidden="1">{"fdsup://directions/FAT Viewer?action=UPDATE&amp;creator=factset&amp;DYN_ARGS=TRUE&amp;DOC_NAME=FAT:FQL_AUDITING_CLIENT_TEMPLATE.FAT&amp;display_string=Audit&amp;VAR:KEY=OHYNYXMNWZ&amp;VAR:QUERY=RkZfRElWX1lMRChBTk4sMy8yNi8wMywzLzI2LzAzKQ==&amp;WINDOW=FIRST_POPUP&amp;HEIGHT=450&amp;WIDTH=450&amp;","START_MAXIMIZED=FALSE&amp;VAR:CALENDAR=US&amp;VAR:SYMBOL=RAI&amp;VAR:INDEX=0"}</definedName>
    <definedName name="_2515__FDSAUDITLINK__" hidden="1">{"fdsup://directions/FAT Viewer?action=UPDATE&amp;creator=factset&amp;DYN_ARGS=TRUE&amp;DOC_NAME=FAT:FQL_AUDITING_CLIENT_TEMPLATE.FAT&amp;display_string=Audit&amp;VAR:KEY=OHYNYXMNWZ&amp;VAR:QUERY=RkZfRElWX1lMRChBTk4sMy8yNi8wMywzLzI2LzAzKQ==&amp;WINDOW=FIRST_POPUP&amp;HEIGHT=450&amp;WIDTH=450&amp;","START_MAXIMIZED=FALSE&amp;VAR:CALENDAR=US&amp;VAR:SYMBOL=RAI&amp;VAR:INDEX=0"}</definedName>
    <definedName name="_2516">#REF!</definedName>
    <definedName name="_2516__FDSAUDITLINK__" localSheetId="0" hidden="1">{"fdsup://directions/FAT Viewer?action=UPDATE&amp;creator=factset&amp;DYN_ARGS=TRUE&amp;DOC_NAME=FAT:FQL_AUDITING_CLIENT_TEMPLATE.FAT&amp;display_string=Audit&amp;VAR:KEY=GXEHSHQRGF&amp;VAR:QUERY=RkZfRElWX1lMRChBTk4sMy8xOS8wMywzLzE5LzAzKQ==&amp;WINDOW=FIRST_POPUP&amp;HEIGHT=450&amp;WIDTH=450&amp;","START_MAXIMIZED=FALSE&amp;VAR:CALENDAR=US&amp;VAR:SYMBOL=RAI&amp;VAR:INDEX=0"}</definedName>
    <definedName name="_2516__FDSAUDITLINK__" hidden="1">{"fdsup://directions/FAT Viewer?action=UPDATE&amp;creator=factset&amp;DYN_ARGS=TRUE&amp;DOC_NAME=FAT:FQL_AUDITING_CLIENT_TEMPLATE.FAT&amp;display_string=Audit&amp;VAR:KEY=GXEHSHQRGF&amp;VAR:QUERY=RkZfRElWX1lMRChBTk4sMy8xOS8wMywzLzE5LzAzKQ==&amp;WINDOW=FIRST_POPUP&amp;HEIGHT=450&amp;WIDTH=450&amp;","START_MAXIMIZED=FALSE&amp;VAR:CALENDAR=US&amp;VAR:SYMBOL=RAI&amp;VAR:INDEX=0"}</definedName>
    <definedName name="_2517__FDSAUDITLINK__" localSheetId="0" hidden="1">{"fdsup://directions/FAT Viewer?action=UPDATE&amp;creator=factset&amp;DYN_ARGS=TRUE&amp;DOC_NAME=FAT:FQL_AUDITING_CLIENT_TEMPLATE.FAT&amp;display_string=Audit&amp;VAR:KEY=AXSFGJWBCB&amp;VAR:QUERY=RkZfRElWX1lMRChBTk4sMy8xMi8wMywzLzEyLzAzKQ==&amp;WINDOW=FIRST_POPUP&amp;HEIGHT=450&amp;WIDTH=450&amp;","START_MAXIMIZED=FALSE&amp;VAR:CALENDAR=US&amp;VAR:SYMBOL=RAI&amp;VAR:INDEX=0"}</definedName>
    <definedName name="_2517__FDSAUDITLINK__" hidden="1">{"fdsup://directions/FAT Viewer?action=UPDATE&amp;creator=factset&amp;DYN_ARGS=TRUE&amp;DOC_NAME=FAT:FQL_AUDITING_CLIENT_TEMPLATE.FAT&amp;display_string=Audit&amp;VAR:KEY=AXSFGJWBCB&amp;VAR:QUERY=RkZfRElWX1lMRChBTk4sMy8xMi8wMywzLzEyLzAzKQ==&amp;WINDOW=FIRST_POPUP&amp;HEIGHT=450&amp;WIDTH=450&amp;","START_MAXIMIZED=FALSE&amp;VAR:CALENDAR=US&amp;VAR:SYMBOL=RAI&amp;VAR:INDEX=0"}</definedName>
    <definedName name="_2518__FDSAUDITLINK__" localSheetId="0" hidden="1">{"fdsup://directions/FAT Viewer?action=UPDATE&amp;creator=factset&amp;DYN_ARGS=TRUE&amp;DOC_NAME=FAT:FQL_AUDITING_CLIENT_TEMPLATE.FAT&amp;display_string=Audit&amp;VAR:KEY=YPGBEFMRYL&amp;VAR:QUERY=RkZfRElWX1lMRChBTk4sMy8wNS8wMywzLzA1LzAzKQ==&amp;WINDOW=FIRST_POPUP&amp;HEIGHT=450&amp;WIDTH=450&amp;","START_MAXIMIZED=FALSE&amp;VAR:CALENDAR=US&amp;VAR:SYMBOL=RAI&amp;VAR:INDEX=0"}</definedName>
    <definedName name="_2518__FDSAUDITLINK__" hidden="1">{"fdsup://directions/FAT Viewer?action=UPDATE&amp;creator=factset&amp;DYN_ARGS=TRUE&amp;DOC_NAME=FAT:FQL_AUDITING_CLIENT_TEMPLATE.FAT&amp;display_string=Audit&amp;VAR:KEY=YPGBEFMRYL&amp;VAR:QUERY=RkZfRElWX1lMRChBTk4sMy8wNS8wMywzLzA1LzAzKQ==&amp;WINDOW=FIRST_POPUP&amp;HEIGHT=450&amp;WIDTH=450&amp;","START_MAXIMIZED=FALSE&amp;VAR:CALENDAR=US&amp;VAR:SYMBOL=RAI&amp;VAR:INDEX=0"}</definedName>
    <definedName name="_2519__FDSAUDITLINK__" localSheetId="0" hidden="1">{"fdsup://directions/FAT Viewer?action=UPDATE&amp;creator=factset&amp;DYN_ARGS=TRUE&amp;DOC_NAME=FAT:FQL_AUDITING_CLIENT_TEMPLATE.FAT&amp;display_string=Audit&amp;VAR:KEY=WJODYZQZUX&amp;VAR:QUERY=RkZfRElWX1lMRChBTk4sMi8yNi8wMywyLzI2LzAzKQ==&amp;WINDOW=FIRST_POPUP&amp;HEIGHT=450&amp;WIDTH=450&amp;","START_MAXIMIZED=FALSE&amp;VAR:CALENDAR=US&amp;VAR:SYMBOL=RAI&amp;VAR:INDEX=0"}</definedName>
    <definedName name="_2519__FDSAUDITLINK__" hidden="1">{"fdsup://directions/FAT Viewer?action=UPDATE&amp;creator=factset&amp;DYN_ARGS=TRUE&amp;DOC_NAME=FAT:FQL_AUDITING_CLIENT_TEMPLATE.FAT&amp;display_string=Audit&amp;VAR:KEY=WJODYZQZUX&amp;VAR:QUERY=RkZfRElWX1lMRChBTk4sMi8yNi8wMywyLzI2LzAzKQ==&amp;WINDOW=FIRST_POPUP&amp;HEIGHT=450&amp;WIDTH=450&amp;","START_MAXIMIZED=FALSE&amp;VAR:CALENDAR=US&amp;VAR:SYMBOL=RAI&amp;VAR:INDEX=0"}</definedName>
    <definedName name="_252__FDSAUDITLINK__" localSheetId="0" hidden="1">{"fdsup://directions/FAT Viewer?action=UPDATE&amp;creator=factset&amp;DYN_ARGS=TRUE&amp;DOC_NAME=FAT:FQL_AUDITING_CLIENT_TEMPLATE.FAT&amp;display_string=Audit&amp;VAR:KEY=NMDGDWDEXM&amp;VAR:QUERY=RkZfRElWX1lMRChBTk4sNi8wOC8wNiw2LzA4LzA2KQ==&amp;WINDOW=FIRST_POPUP&amp;HEIGHT=450&amp;WIDTH=450&amp;","START_MAXIMIZED=FALSE&amp;VAR:CALENDAR=US&amp;VAR:SYMBOL=RAI&amp;VAR:INDEX=0"}</definedName>
    <definedName name="_252__FDSAUDITLINK__" hidden="1">{"fdsup://directions/FAT Viewer?action=UPDATE&amp;creator=factset&amp;DYN_ARGS=TRUE&amp;DOC_NAME=FAT:FQL_AUDITING_CLIENT_TEMPLATE.FAT&amp;display_string=Audit&amp;VAR:KEY=NMDGDWDEXM&amp;VAR:QUERY=RkZfRElWX1lMRChBTk4sNi8wOC8wNiw2LzA4LzA2KQ==&amp;WINDOW=FIRST_POPUP&amp;HEIGHT=450&amp;WIDTH=450&amp;","START_MAXIMIZED=FALSE&amp;VAR:CALENDAR=US&amp;VAR:SYMBOL=RAI&amp;VAR:INDEX=0"}</definedName>
    <definedName name="_2520__FDSAUDITLINK__" localSheetId="0" hidden="1">{"fdsup://directions/FAT Viewer?action=UPDATE&amp;creator=factset&amp;DYN_ARGS=TRUE&amp;DOC_NAME=FAT:FQL_AUDITING_CLIENT_TEMPLATE.FAT&amp;display_string=Audit&amp;VAR:KEY=ADQJKPARGX&amp;VAR:QUERY=RkZfRElWX1lMRChBTk4sMi8xOS8wMywyLzE5LzAzKQ==&amp;WINDOW=FIRST_POPUP&amp;HEIGHT=450&amp;WIDTH=450&amp;","START_MAXIMIZED=FALSE&amp;VAR:CALENDAR=US&amp;VAR:SYMBOL=RAI&amp;VAR:INDEX=0"}</definedName>
    <definedName name="_2520__FDSAUDITLINK__" hidden="1">{"fdsup://directions/FAT Viewer?action=UPDATE&amp;creator=factset&amp;DYN_ARGS=TRUE&amp;DOC_NAME=FAT:FQL_AUDITING_CLIENT_TEMPLATE.FAT&amp;display_string=Audit&amp;VAR:KEY=ADQJKPARGX&amp;VAR:QUERY=RkZfRElWX1lMRChBTk4sMi8xOS8wMywyLzE5LzAzKQ==&amp;WINDOW=FIRST_POPUP&amp;HEIGHT=450&amp;WIDTH=450&amp;","START_MAXIMIZED=FALSE&amp;VAR:CALENDAR=US&amp;VAR:SYMBOL=RAI&amp;VAR:INDEX=0"}</definedName>
    <definedName name="_2521__FDSAUDITLINK__" localSheetId="0" hidden="1">{"fdsup://directions/FAT Viewer?action=UPDATE&amp;creator=factset&amp;DYN_ARGS=TRUE&amp;DOC_NAME=FAT:FQL_AUDITING_CLIENT_TEMPLATE.FAT&amp;display_string=Audit&amp;VAR:KEY=AXONKXMHQB&amp;VAR:QUERY=RkZfRElWX1lMRChBTk4sMi8xMi8wMywyLzEyLzAzKQ==&amp;WINDOW=FIRST_POPUP&amp;HEIGHT=450&amp;WIDTH=450&amp;","START_MAXIMIZED=FALSE&amp;VAR:CALENDAR=US&amp;VAR:SYMBOL=RAI&amp;VAR:INDEX=0"}</definedName>
    <definedName name="_2521__FDSAUDITLINK__" hidden="1">{"fdsup://directions/FAT Viewer?action=UPDATE&amp;creator=factset&amp;DYN_ARGS=TRUE&amp;DOC_NAME=FAT:FQL_AUDITING_CLIENT_TEMPLATE.FAT&amp;display_string=Audit&amp;VAR:KEY=AXONKXMHQB&amp;VAR:QUERY=RkZfRElWX1lMRChBTk4sMi8xMi8wMywyLzEyLzAzKQ==&amp;WINDOW=FIRST_POPUP&amp;HEIGHT=450&amp;WIDTH=450&amp;","START_MAXIMIZED=FALSE&amp;VAR:CALENDAR=US&amp;VAR:SYMBOL=RAI&amp;VAR:INDEX=0"}</definedName>
    <definedName name="_2522__FDSAUDITLINK__" localSheetId="0" hidden="1">{"fdsup://directions/FAT Viewer?action=UPDATE&amp;creator=factset&amp;DYN_ARGS=TRUE&amp;DOC_NAME=FAT:FQL_AUDITING_CLIENT_TEMPLATE.FAT&amp;display_string=Audit&amp;VAR:KEY=ETCZKNMRQL&amp;VAR:QUERY=RkZfRElWX1lMRChBTk4sMi8wNS8wMywyLzA1LzAzKQ==&amp;WINDOW=FIRST_POPUP&amp;HEIGHT=450&amp;WIDTH=450&amp;","START_MAXIMIZED=FALSE&amp;VAR:CALENDAR=US&amp;VAR:SYMBOL=RAI&amp;VAR:INDEX=0"}</definedName>
    <definedName name="_2522__FDSAUDITLINK__" hidden="1">{"fdsup://directions/FAT Viewer?action=UPDATE&amp;creator=factset&amp;DYN_ARGS=TRUE&amp;DOC_NAME=FAT:FQL_AUDITING_CLIENT_TEMPLATE.FAT&amp;display_string=Audit&amp;VAR:KEY=ETCZKNMRQL&amp;VAR:QUERY=RkZfRElWX1lMRChBTk4sMi8wNS8wMywyLzA1LzAzKQ==&amp;WINDOW=FIRST_POPUP&amp;HEIGHT=450&amp;WIDTH=450&amp;","START_MAXIMIZED=FALSE&amp;VAR:CALENDAR=US&amp;VAR:SYMBOL=RAI&amp;VAR:INDEX=0"}</definedName>
    <definedName name="_2523__FDSAUDITLINK__" localSheetId="0" hidden="1">{"fdsup://directions/FAT Viewer?action=UPDATE&amp;creator=factset&amp;DYN_ARGS=TRUE&amp;DOC_NAME=FAT:FQL_AUDITING_CLIENT_TEMPLATE.FAT&amp;display_string=Audit&amp;VAR:KEY=URKFQJQTKJ&amp;VAR:QUERY=RkZfRElWX1lMRChBTk4sMS8yOS8wMywxLzI5LzAzKQ==&amp;WINDOW=FIRST_POPUP&amp;HEIGHT=450&amp;WIDTH=450&amp;","START_MAXIMIZED=FALSE&amp;VAR:CALENDAR=US&amp;VAR:SYMBOL=RAI&amp;VAR:INDEX=0"}</definedName>
    <definedName name="_2523__FDSAUDITLINK__" hidden="1">{"fdsup://directions/FAT Viewer?action=UPDATE&amp;creator=factset&amp;DYN_ARGS=TRUE&amp;DOC_NAME=FAT:FQL_AUDITING_CLIENT_TEMPLATE.FAT&amp;display_string=Audit&amp;VAR:KEY=URKFQJQTKJ&amp;VAR:QUERY=RkZfRElWX1lMRChBTk4sMS8yOS8wMywxLzI5LzAzKQ==&amp;WINDOW=FIRST_POPUP&amp;HEIGHT=450&amp;WIDTH=450&amp;","START_MAXIMIZED=FALSE&amp;VAR:CALENDAR=US&amp;VAR:SYMBOL=RAI&amp;VAR:INDEX=0"}</definedName>
    <definedName name="_2524__FDSAUDITLINK__" localSheetId="0" hidden="1">{"fdsup://directions/FAT Viewer?action=UPDATE&amp;creator=factset&amp;DYN_ARGS=TRUE&amp;DOC_NAME=FAT:FQL_AUDITING_CLIENT_TEMPLATE.FAT&amp;display_string=Audit&amp;VAR:KEY=IZWHGLCVGT&amp;VAR:QUERY=RkZfRElWX1lMRChBTk4sMS8yMi8wMywxLzIyLzAzKQ==&amp;WINDOW=FIRST_POPUP&amp;HEIGHT=450&amp;WIDTH=450&amp;","START_MAXIMIZED=FALSE&amp;VAR:CALENDAR=US&amp;VAR:SYMBOL=RAI&amp;VAR:INDEX=0"}</definedName>
    <definedName name="_2524__FDSAUDITLINK__" hidden="1">{"fdsup://directions/FAT Viewer?action=UPDATE&amp;creator=factset&amp;DYN_ARGS=TRUE&amp;DOC_NAME=FAT:FQL_AUDITING_CLIENT_TEMPLATE.FAT&amp;display_string=Audit&amp;VAR:KEY=IZWHGLCVGT&amp;VAR:QUERY=RkZfRElWX1lMRChBTk4sMS8yMi8wMywxLzIyLzAzKQ==&amp;WINDOW=FIRST_POPUP&amp;HEIGHT=450&amp;WIDTH=450&amp;","START_MAXIMIZED=FALSE&amp;VAR:CALENDAR=US&amp;VAR:SYMBOL=RAI&amp;VAR:INDEX=0"}</definedName>
    <definedName name="_2525__FDSAUDITLINK__" localSheetId="0" hidden="1">{"fdsup://directions/FAT Viewer?action=UPDATE&amp;creator=factset&amp;DYN_ARGS=TRUE&amp;DOC_NAME=FAT:FQL_AUDITING_CLIENT_TEMPLATE.FAT&amp;display_string=Audit&amp;VAR:KEY=KJSPOTSXKD&amp;VAR:QUERY=RkZfRElWX1lMRChBTk4sMS8xNS8wMywxLzE1LzAzKQ==&amp;WINDOW=FIRST_POPUP&amp;HEIGHT=450&amp;WIDTH=450&amp;","START_MAXIMIZED=FALSE&amp;VAR:CALENDAR=US&amp;VAR:SYMBOL=RAI&amp;VAR:INDEX=0"}</definedName>
    <definedName name="_2525__FDSAUDITLINK__" hidden="1">{"fdsup://directions/FAT Viewer?action=UPDATE&amp;creator=factset&amp;DYN_ARGS=TRUE&amp;DOC_NAME=FAT:FQL_AUDITING_CLIENT_TEMPLATE.FAT&amp;display_string=Audit&amp;VAR:KEY=KJSPOTSXKD&amp;VAR:QUERY=RkZfRElWX1lMRChBTk4sMS8xNS8wMywxLzE1LzAzKQ==&amp;WINDOW=FIRST_POPUP&amp;HEIGHT=450&amp;WIDTH=450&amp;","START_MAXIMIZED=FALSE&amp;VAR:CALENDAR=US&amp;VAR:SYMBOL=RAI&amp;VAR:INDEX=0"}</definedName>
    <definedName name="_2526__FDSAUDITLINK__" localSheetId="0" hidden="1">{"fdsup://directions/FAT Viewer?action=UPDATE&amp;creator=factset&amp;DYN_ARGS=TRUE&amp;DOC_NAME=FAT:FQL_AUDITING_CLIENT_TEMPLATE.FAT&amp;display_string=Audit&amp;VAR:KEY=CBQXQVSPQX&amp;VAR:QUERY=RkZfRElWX1lMRChBTk4sMS8wOC8wMywxLzA4LzAzKQ==&amp;WINDOW=FIRST_POPUP&amp;HEIGHT=450&amp;WIDTH=450&amp;","START_MAXIMIZED=FALSE&amp;VAR:CALENDAR=US&amp;VAR:SYMBOL=RAI&amp;VAR:INDEX=0"}</definedName>
    <definedName name="_2526__FDSAUDITLINK__" hidden="1">{"fdsup://directions/FAT Viewer?action=UPDATE&amp;creator=factset&amp;DYN_ARGS=TRUE&amp;DOC_NAME=FAT:FQL_AUDITING_CLIENT_TEMPLATE.FAT&amp;display_string=Audit&amp;VAR:KEY=CBQXQVSPQX&amp;VAR:QUERY=RkZfRElWX1lMRChBTk4sMS8wOC8wMywxLzA4LzAzKQ==&amp;WINDOW=FIRST_POPUP&amp;HEIGHT=450&amp;WIDTH=450&amp;","START_MAXIMIZED=FALSE&amp;VAR:CALENDAR=US&amp;VAR:SYMBOL=RAI&amp;VAR:INDEX=0"}</definedName>
    <definedName name="_2527__FDSAUDITLINK__" localSheetId="0" hidden="1">{"fdsup://directions/FAT Viewer?action=UPDATE&amp;creator=factset&amp;DYN_ARGS=TRUE&amp;DOC_NAME=FAT:FQL_AUDITING_CLIENT_TEMPLATE.FAT&amp;display_string=Audit&amp;VAR:KEY=YJMLIHSZSD&amp;VAR:QUERY=RkZfRElWX1lMRChBTk4sMTIvMzEvMDIsMTIvMzEvMDIp&amp;WINDOW=FIRST_POPUP&amp;HEIGHT=450&amp;WIDTH=450&amp;","START_MAXIMIZED=FALSE&amp;VAR:CALENDAR=US&amp;VAR:SYMBOL=RAI&amp;VAR:INDEX=0"}</definedName>
    <definedName name="_2527__FDSAUDITLINK__" hidden="1">{"fdsup://directions/FAT Viewer?action=UPDATE&amp;creator=factset&amp;DYN_ARGS=TRUE&amp;DOC_NAME=FAT:FQL_AUDITING_CLIENT_TEMPLATE.FAT&amp;display_string=Audit&amp;VAR:KEY=YJMLIHSZSD&amp;VAR:QUERY=RkZfRElWX1lMRChBTk4sMTIvMzEvMDIsMTIvMzEvMDIp&amp;WINDOW=FIRST_POPUP&amp;HEIGHT=450&amp;WIDTH=450&amp;","START_MAXIMIZED=FALSE&amp;VAR:CALENDAR=US&amp;VAR:SYMBOL=RAI&amp;VAR:INDEX=0"}</definedName>
    <definedName name="_2528__FDSAUDITLINK__" localSheetId="0" hidden="1">{"fdsup://directions/FAT Viewer?action=UPDATE&amp;creator=factset&amp;DYN_ARGS=TRUE&amp;DOC_NAME=FAT:FQL_AUDITING_CLIENT_TEMPLATE.FAT&amp;display_string=Audit&amp;VAR:KEY=IVEHADGXUT&amp;VAR:QUERY=RkZfRElWX1lMRChBTk4sMTIvMjQvMDIsMTIvMjQvMDIp&amp;WINDOW=FIRST_POPUP&amp;HEIGHT=450&amp;WIDTH=450&amp;","START_MAXIMIZED=FALSE&amp;VAR:CALENDAR=US&amp;VAR:SYMBOL=RAI&amp;VAR:INDEX=0"}</definedName>
    <definedName name="_2528__FDSAUDITLINK__" hidden="1">{"fdsup://directions/FAT Viewer?action=UPDATE&amp;creator=factset&amp;DYN_ARGS=TRUE&amp;DOC_NAME=FAT:FQL_AUDITING_CLIENT_TEMPLATE.FAT&amp;display_string=Audit&amp;VAR:KEY=IVEHADGXUT&amp;VAR:QUERY=RkZfRElWX1lMRChBTk4sMTIvMjQvMDIsMTIvMjQvMDIp&amp;WINDOW=FIRST_POPUP&amp;HEIGHT=450&amp;WIDTH=450&amp;","START_MAXIMIZED=FALSE&amp;VAR:CALENDAR=US&amp;VAR:SYMBOL=RAI&amp;VAR:INDEX=0"}</definedName>
    <definedName name="_2529__FDSAUDITLINK__" localSheetId="0" hidden="1">{"fdsup://directions/FAT Viewer?action=UPDATE&amp;creator=factset&amp;DYN_ARGS=TRUE&amp;DOC_NAME=FAT:FQL_AUDITING_CLIENT_TEMPLATE.FAT&amp;display_string=Audit&amp;VAR:KEY=KPARIPYXSB&amp;VAR:QUERY=RkZfRElWX1lMRChBTk4sMTIvMTgvMDIsMTIvMTgvMDIp&amp;WINDOW=FIRST_POPUP&amp;HEIGHT=450&amp;WIDTH=450&amp;","START_MAXIMIZED=FALSE&amp;VAR:CALENDAR=US&amp;VAR:SYMBOL=RAI&amp;VAR:INDEX=0"}</definedName>
    <definedName name="_2529__FDSAUDITLINK__" hidden="1">{"fdsup://directions/FAT Viewer?action=UPDATE&amp;creator=factset&amp;DYN_ARGS=TRUE&amp;DOC_NAME=FAT:FQL_AUDITING_CLIENT_TEMPLATE.FAT&amp;display_string=Audit&amp;VAR:KEY=KPARIPYXSB&amp;VAR:QUERY=RkZfRElWX1lMRChBTk4sMTIvMTgvMDIsMTIvMTgvMDIp&amp;WINDOW=FIRST_POPUP&amp;HEIGHT=450&amp;WIDTH=450&amp;","START_MAXIMIZED=FALSE&amp;VAR:CALENDAR=US&amp;VAR:SYMBOL=RAI&amp;VAR:INDEX=0"}</definedName>
    <definedName name="_253">#REF!</definedName>
    <definedName name="_253__FDSAUDITLINK__" localSheetId="0" hidden="1">{"fdsup://directions/FAT Viewer?action=UPDATE&amp;creator=factset&amp;DYN_ARGS=TRUE&amp;DOC_NAME=FAT:FQL_AUDITING_CLIENT_TEMPLATE.FAT&amp;display_string=Audit&amp;VAR:KEY=XWTGTGTGXW&amp;VAR:QUERY=RkZfRElWX1lMRChBTk4sNi8wMS8wNiw2LzAxLzA2KQ==&amp;WINDOW=FIRST_POPUP&amp;HEIGHT=450&amp;WIDTH=450&amp;","START_MAXIMIZED=FALSE&amp;VAR:CALENDAR=US&amp;VAR:SYMBOL=RAI&amp;VAR:INDEX=0"}</definedName>
    <definedName name="_253__FDSAUDITLINK__" hidden="1">{"fdsup://directions/FAT Viewer?action=UPDATE&amp;creator=factset&amp;DYN_ARGS=TRUE&amp;DOC_NAME=FAT:FQL_AUDITING_CLIENT_TEMPLATE.FAT&amp;display_string=Audit&amp;VAR:KEY=XWTGTGTGXW&amp;VAR:QUERY=RkZfRElWX1lMRChBTk4sNi8wMS8wNiw2LzAxLzA2KQ==&amp;WINDOW=FIRST_POPUP&amp;HEIGHT=450&amp;WIDTH=450&amp;","START_MAXIMIZED=FALSE&amp;VAR:CALENDAR=US&amp;VAR:SYMBOL=RAI&amp;VAR:INDEX=0"}</definedName>
    <definedName name="_2530__FDSAUDITLINK__" localSheetId="0" hidden="1">{"fdsup://directions/FAT Viewer?action=UPDATE&amp;creator=factset&amp;DYN_ARGS=TRUE&amp;DOC_NAME=FAT:FQL_AUDITING_CLIENT_TEMPLATE.FAT&amp;display_string=Audit&amp;VAR:KEY=CJUTIPYDOV&amp;VAR:QUERY=RkZfRElWX1lMRChBTk4sMTIvMTEvMDIsMTIvMTEvMDIp&amp;WINDOW=FIRST_POPUP&amp;HEIGHT=450&amp;WIDTH=450&amp;","START_MAXIMIZED=FALSE&amp;VAR:CALENDAR=US&amp;VAR:SYMBOL=RAI&amp;VAR:INDEX=0"}</definedName>
    <definedName name="_2530__FDSAUDITLINK__" hidden="1">{"fdsup://directions/FAT Viewer?action=UPDATE&amp;creator=factset&amp;DYN_ARGS=TRUE&amp;DOC_NAME=FAT:FQL_AUDITING_CLIENT_TEMPLATE.FAT&amp;display_string=Audit&amp;VAR:KEY=CJUTIPYDOV&amp;VAR:QUERY=RkZfRElWX1lMRChBTk4sMTIvMTEvMDIsMTIvMTEvMDIp&amp;WINDOW=FIRST_POPUP&amp;HEIGHT=450&amp;WIDTH=450&amp;","START_MAXIMIZED=FALSE&amp;VAR:CALENDAR=US&amp;VAR:SYMBOL=RAI&amp;VAR:INDEX=0"}</definedName>
    <definedName name="_2531__FDSAUDITLINK__" localSheetId="0" hidden="1">{"fdsup://directions/FAT Viewer?action=UPDATE&amp;creator=factset&amp;DYN_ARGS=TRUE&amp;DOC_NAME=FAT:FQL_AUDITING_CLIENT_TEMPLATE.FAT&amp;display_string=Audit&amp;VAR:KEY=GZWLMJWNKN&amp;VAR:QUERY=RkZfRElWX1lMRChBTk4sMTIvMDQvMDIsMTIvMDQvMDIp&amp;WINDOW=FIRST_POPUP&amp;HEIGHT=450&amp;WIDTH=450&amp;","START_MAXIMIZED=FALSE&amp;VAR:CALENDAR=US&amp;VAR:SYMBOL=RAI&amp;VAR:INDEX=0"}</definedName>
    <definedName name="_2531__FDSAUDITLINK__" hidden="1">{"fdsup://directions/FAT Viewer?action=UPDATE&amp;creator=factset&amp;DYN_ARGS=TRUE&amp;DOC_NAME=FAT:FQL_AUDITING_CLIENT_TEMPLATE.FAT&amp;display_string=Audit&amp;VAR:KEY=GZWLMJWNKN&amp;VAR:QUERY=RkZfRElWX1lMRChBTk4sMTIvMDQvMDIsMTIvMDQvMDIp&amp;WINDOW=FIRST_POPUP&amp;HEIGHT=450&amp;WIDTH=450&amp;","START_MAXIMIZED=FALSE&amp;VAR:CALENDAR=US&amp;VAR:SYMBOL=RAI&amp;VAR:INDEX=0"}</definedName>
    <definedName name="_2532__FDSAUDITLINK__" localSheetId="0" hidden="1">{"fdsup://directions/FAT Viewer?action=UPDATE&amp;creator=factset&amp;DYN_ARGS=TRUE&amp;DOC_NAME=FAT:FQL_AUDITING_CLIENT_TEMPLATE.FAT&amp;display_string=Audit&amp;VAR:KEY=WLMBMFGNWZ&amp;VAR:QUERY=RkZfRElWX1lMRChBTk4sMTEvMjcvMDIsMTEvMjcvMDIp&amp;WINDOW=FIRST_POPUP&amp;HEIGHT=450&amp;WIDTH=450&amp;","START_MAXIMIZED=FALSE&amp;VAR:CALENDAR=US&amp;VAR:SYMBOL=RAI&amp;VAR:INDEX=0"}</definedName>
    <definedName name="_2532__FDSAUDITLINK__" hidden="1">{"fdsup://directions/FAT Viewer?action=UPDATE&amp;creator=factset&amp;DYN_ARGS=TRUE&amp;DOC_NAME=FAT:FQL_AUDITING_CLIENT_TEMPLATE.FAT&amp;display_string=Audit&amp;VAR:KEY=WLMBMFGNWZ&amp;VAR:QUERY=RkZfRElWX1lMRChBTk4sMTEvMjcvMDIsMTEvMjcvMDIp&amp;WINDOW=FIRST_POPUP&amp;HEIGHT=450&amp;WIDTH=450&amp;","START_MAXIMIZED=FALSE&amp;VAR:CALENDAR=US&amp;VAR:SYMBOL=RAI&amp;VAR:INDEX=0"}</definedName>
    <definedName name="_2533__FDSAUDITLINK__" localSheetId="0" hidden="1">{"fdsup://directions/FAT Viewer?action=UPDATE&amp;creator=factset&amp;DYN_ARGS=TRUE&amp;DOC_NAME=FAT:FQL_AUDITING_CLIENT_TEMPLATE.FAT&amp;display_string=Audit&amp;VAR:KEY=GRMJKVCREX&amp;VAR:QUERY=RkZfRElWX1lMRChBTk4sMTEvMjAvMDIsMTEvMjAvMDIp&amp;WINDOW=FIRST_POPUP&amp;HEIGHT=450&amp;WIDTH=450&amp;","START_MAXIMIZED=FALSE&amp;VAR:CALENDAR=US&amp;VAR:SYMBOL=RAI&amp;VAR:INDEX=0"}</definedName>
    <definedName name="_2533__FDSAUDITLINK__" hidden="1">{"fdsup://directions/FAT Viewer?action=UPDATE&amp;creator=factset&amp;DYN_ARGS=TRUE&amp;DOC_NAME=FAT:FQL_AUDITING_CLIENT_TEMPLATE.FAT&amp;display_string=Audit&amp;VAR:KEY=GRMJKVCREX&amp;VAR:QUERY=RkZfRElWX1lMRChBTk4sMTEvMjAvMDIsMTEvMjAvMDIp&amp;WINDOW=FIRST_POPUP&amp;HEIGHT=450&amp;WIDTH=450&amp;","START_MAXIMIZED=FALSE&amp;VAR:CALENDAR=US&amp;VAR:SYMBOL=RAI&amp;VAR:INDEX=0"}</definedName>
    <definedName name="_2534__FDSAUDITLINK__" localSheetId="0" hidden="1">{"fdsup://directions/FAT Viewer?action=UPDATE&amp;creator=factset&amp;DYN_ARGS=TRUE&amp;DOC_NAME=FAT:FQL_AUDITING_CLIENT_TEMPLATE.FAT&amp;display_string=Audit&amp;VAR:KEY=SFCNWJKVEJ&amp;VAR:QUERY=RkZfRElWX1lMRChBTk4sMTEvMTMvMDIsMTEvMTMvMDIp&amp;WINDOW=FIRST_POPUP&amp;HEIGHT=450&amp;WIDTH=450&amp;","START_MAXIMIZED=FALSE&amp;VAR:CALENDAR=US&amp;VAR:SYMBOL=RAI&amp;VAR:INDEX=0"}</definedName>
    <definedName name="_2534__FDSAUDITLINK__" hidden="1">{"fdsup://directions/FAT Viewer?action=UPDATE&amp;creator=factset&amp;DYN_ARGS=TRUE&amp;DOC_NAME=FAT:FQL_AUDITING_CLIENT_TEMPLATE.FAT&amp;display_string=Audit&amp;VAR:KEY=SFCNWJKVEJ&amp;VAR:QUERY=RkZfRElWX1lMRChBTk4sMTEvMTMvMDIsMTEvMTMvMDIp&amp;WINDOW=FIRST_POPUP&amp;HEIGHT=450&amp;WIDTH=450&amp;","START_MAXIMIZED=FALSE&amp;VAR:CALENDAR=US&amp;VAR:SYMBOL=RAI&amp;VAR:INDEX=0"}</definedName>
    <definedName name="_2535__FDSAUDITLINK__" localSheetId="0" hidden="1">{"fdsup://directions/FAT Viewer?action=UPDATE&amp;creator=factset&amp;DYN_ARGS=TRUE&amp;DOC_NAME=FAT:FQL_AUDITING_CLIENT_TEMPLATE.FAT&amp;display_string=Audit&amp;VAR:KEY=GJSVWTQHGF&amp;VAR:QUERY=RkZfRElWX1lMRChBTk4sMTEvMDYvMDIsMTEvMDYvMDIp&amp;WINDOW=FIRST_POPUP&amp;HEIGHT=450&amp;WIDTH=450&amp;","START_MAXIMIZED=FALSE&amp;VAR:CALENDAR=US&amp;VAR:SYMBOL=RAI&amp;VAR:INDEX=0"}</definedName>
    <definedName name="_2535__FDSAUDITLINK__" hidden="1">{"fdsup://directions/FAT Viewer?action=UPDATE&amp;creator=factset&amp;DYN_ARGS=TRUE&amp;DOC_NAME=FAT:FQL_AUDITING_CLIENT_TEMPLATE.FAT&amp;display_string=Audit&amp;VAR:KEY=GJSVWTQHGF&amp;VAR:QUERY=RkZfRElWX1lMRChBTk4sMTEvMDYvMDIsMTEvMDYvMDIp&amp;WINDOW=FIRST_POPUP&amp;HEIGHT=450&amp;WIDTH=450&amp;","START_MAXIMIZED=FALSE&amp;VAR:CALENDAR=US&amp;VAR:SYMBOL=RAI&amp;VAR:INDEX=0"}</definedName>
    <definedName name="_2536__FDSAUDITLINK__" localSheetId="0" hidden="1">{"fdsup://directions/FAT Viewer?action=UPDATE&amp;creator=factset&amp;DYN_ARGS=TRUE&amp;DOC_NAME=FAT:FQL_AUDITING_CLIENT_TEMPLATE.FAT&amp;display_string=Audit&amp;VAR:KEY=UTAVOTAXMR&amp;VAR:QUERY=RkZfRElWX1lMRChBTk4sMTAvMzAvMDIsMTAvMzAvMDIp&amp;WINDOW=FIRST_POPUP&amp;HEIGHT=450&amp;WIDTH=450&amp;","START_MAXIMIZED=FALSE&amp;VAR:CALENDAR=US&amp;VAR:SYMBOL=RAI&amp;VAR:INDEX=0"}</definedName>
    <definedName name="_2536__FDSAUDITLINK__" hidden="1">{"fdsup://directions/FAT Viewer?action=UPDATE&amp;creator=factset&amp;DYN_ARGS=TRUE&amp;DOC_NAME=FAT:FQL_AUDITING_CLIENT_TEMPLATE.FAT&amp;display_string=Audit&amp;VAR:KEY=UTAVOTAXMR&amp;VAR:QUERY=RkZfRElWX1lMRChBTk4sMTAvMzAvMDIsMTAvMzAvMDIp&amp;WINDOW=FIRST_POPUP&amp;HEIGHT=450&amp;WIDTH=450&amp;","START_MAXIMIZED=FALSE&amp;VAR:CALENDAR=US&amp;VAR:SYMBOL=RAI&amp;VAR:INDEX=0"}</definedName>
    <definedName name="_2537__FDSAUDITLINK__" localSheetId="0" hidden="1">{"fdsup://directions/FAT Viewer?action=UPDATE&amp;creator=factset&amp;DYN_ARGS=TRUE&amp;DOC_NAME=FAT:FQL_AUDITING_CLIENT_TEMPLATE.FAT&amp;display_string=Audit&amp;VAR:KEY=QVUZATCBAV&amp;VAR:QUERY=RkZfRElWX1lMRChBTk4sMTAvMjMvMDIsMTAvMjMvMDIp&amp;WINDOW=FIRST_POPUP&amp;HEIGHT=450&amp;WIDTH=450&amp;","START_MAXIMIZED=FALSE&amp;VAR:CALENDAR=US&amp;VAR:SYMBOL=RAI&amp;VAR:INDEX=0"}</definedName>
    <definedName name="_2537__FDSAUDITLINK__" hidden="1">{"fdsup://directions/FAT Viewer?action=UPDATE&amp;creator=factset&amp;DYN_ARGS=TRUE&amp;DOC_NAME=FAT:FQL_AUDITING_CLIENT_TEMPLATE.FAT&amp;display_string=Audit&amp;VAR:KEY=QVUZATCBAV&amp;VAR:QUERY=RkZfRElWX1lMRChBTk4sMTAvMjMvMDIsMTAvMjMvMDIp&amp;WINDOW=FIRST_POPUP&amp;HEIGHT=450&amp;WIDTH=450&amp;","START_MAXIMIZED=FALSE&amp;VAR:CALENDAR=US&amp;VAR:SYMBOL=RAI&amp;VAR:INDEX=0"}</definedName>
    <definedName name="_2538__FDSAUDITLINK__" localSheetId="0" hidden="1">{"fdsup://directions/FAT Viewer?action=UPDATE&amp;creator=factset&amp;DYN_ARGS=TRUE&amp;DOC_NAME=FAT:FQL_AUDITING_CLIENT_TEMPLATE.FAT&amp;display_string=Audit&amp;VAR:KEY=YRAJSJMLMT&amp;VAR:QUERY=RkZfRElWX1lMRChBTk4sMTAvMTYvMDIsMTAvMTYvMDIp&amp;WINDOW=FIRST_POPUP&amp;HEIGHT=450&amp;WIDTH=450&amp;","START_MAXIMIZED=FALSE&amp;VAR:CALENDAR=US&amp;VAR:SYMBOL=RAI&amp;VAR:INDEX=0"}</definedName>
    <definedName name="_2538__FDSAUDITLINK__" hidden="1">{"fdsup://directions/FAT Viewer?action=UPDATE&amp;creator=factset&amp;DYN_ARGS=TRUE&amp;DOC_NAME=FAT:FQL_AUDITING_CLIENT_TEMPLATE.FAT&amp;display_string=Audit&amp;VAR:KEY=YRAJSJMLMT&amp;VAR:QUERY=RkZfRElWX1lMRChBTk4sMTAvMTYvMDIsMTAvMTYvMDIp&amp;WINDOW=FIRST_POPUP&amp;HEIGHT=450&amp;WIDTH=450&amp;","START_MAXIMIZED=FALSE&amp;VAR:CALENDAR=US&amp;VAR:SYMBOL=RAI&amp;VAR:INDEX=0"}</definedName>
    <definedName name="_2539__FDSAUDITLINK__" localSheetId="0" hidden="1">{"fdsup://directions/FAT Viewer?action=UPDATE&amp;creator=factset&amp;DYN_ARGS=TRUE&amp;DOC_NAME=FAT:FQL_AUDITING_CLIENT_TEMPLATE.FAT&amp;display_string=Audit&amp;VAR:KEY=MNOLWJELUL&amp;VAR:QUERY=RkZfRElWX1lMRChBTk4sMTAvMDkvMDIsMTAvMDkvMDIp&amp;WINDOW=FIRST_POPUP&amp;HEIGHT=450&amp;WIDTH=450&amp;","START_MAXIMIZED=FALSE&amp;VAR:CALENDAR=US&amp;VAR:SYMBOL=RAI&amp;VAR:INDEX=0"}</definedName>
    <definedName name="_2539__FDSAUDITLINK__" hidden="1">{"fdsup://directions/FAT Viewer?action=UPDATE&amp;creator=factset&amp;DYN_ARGS=TRUE&amp;DOC_NAME=FAT:FQL_AUDITING_CLIENT_TEMPLATE.FAT&amp;display_string=Audit&amp;VAR:KEY=MNOLWJELUL&amp;VAR:QUERY=RkZfRElWX1lMRChBTk4sMTAvMDkvMDIsMTAvMDkvMDIp&amp;WINDOW=FIRST_POPUP&amp;HEIGHT=450&amp;WIDTH=450&amp;","START_MAXIMIZED=FALSE&amp;VAR:CALENDAR=US&amp;VAR:SYMBOL=RAI&amp;VAR:INDEX=0"}</definedName>
    <definedName name="_254">#REF!</definedName>
    <definedName name="_254__FDSAUDITLINK__" localSheetId="0" hidden="1">{"fdsup://directions/FAT Viewer?action=UPDATE&amp;creator=factset&amp;DYN_ARGS=TRUE&amp;DOC_NAME=FAT:FQL_AUDITING_CLIENT_TEMPLATE.FAT&amp;display_string=Audit&amp;VAR:KEY=HYJKZMJILW&amp;VAR:QUERY=RkZfRElWX1lMRChBTk4sNS8yNS8wNiw1LzI1LzA2KQ==&amp;WINDOW=FIRST_POPUP&amp;HEIGHT=450&amp;WIDTH=450&amp;","START_MAXIMIZED=FALSE&amp;VAR:CALENDAR=US&amp;VAR:SYMBOL=RAI&amp;VAR:INDEX=0"}</definedName>
    <definedName name="_254__FDSAUDITLINK__" hidden="1">{"fdsup://directions/FAT Viewer?action=UPDATE&amp;creator=factset&amp;DYN_ARGS=TRUE&amp;DOC_NAME=FAT:FQL_AUDITING_CLIENT_TEMPLATE.FAT&amp;display_string=Audit&amp;VAR:KEY=HYJKZMJILW&amp;VAR:QUERY=RkZfRElWX1lMRChBTk4sNS8yNS8wNiw1LzI1LzA2KQ==&amp;WINDOW=FIRST_POPUP&amp;HEIGHT=450&amp;WIDTH=450&amp;","START_MAXIMIZED=FALSE&amp;VAR:CALENDAR=US&amp;VAR:SYMBOL=RAI&amp;VAR:INDEX=0"}</definedName>
    <definedName name="_2540__FDSAUDITLINK__" localSheetId="0" hidden="1">{"fdsup://directions/FAT Viewer?action=UPDATE&amp;creator=factset&amp;DYN_ARGS=TRUE&amp;DOC_NAME=FAT:FQL_AUDITING_CLIENT_TEMPLATE.FAT&amp;display_string=Audit&amp;VAR:KEY=QLGJAVKPSH&amp;VAR:QUERY=RkZfRElWX1lMRChBTk4sMTAvMDIvMDIsMTAvMDIvMDIp&amp;WINDOW=FIRST_POPUP&amp;HEIGHT=450&amp;WIDTH=450&amp;","START_MAXIMIZED=FALSE&amp;VAR:CALENDAR=US&amp;VAR:SYMBOL=RAI&amp;VAR:INDEX=0"}</definedName>
    <definedName name="_2540__FDSAUDITLINK__" hidden="1">{"fdsup://directions/FAT Viewer?action=UPDATE&amp;creator=factset&amp;DYN_ARGS=TRUE&amp;DOC_NAME=FAT:FQL_AUDITING_CLIENT_TEMPLATE.FAT&amp;display_string=Audit&amp;VAR:KEY=QLGJAVKPSH&amp;VAR:QUERY=RkZfRElWX1lMRChBTk4sMTAvMDIvMDIsMTAvMDIvMDIp&amp;WINDOW=FIRST_POPUP&amp;HEIGHT=450&amp;WIDTH=450&amp;","START_MAXIMIZED=FALSE&amp;VAR:CALENDAR=US&amp;VAR:SYMBOL=RAI&amp;VAR:INDEX=0"}</definedName>
    <definedName name="_2541__FDSAUDITLINK__" localSheetId="0" hidden="1">{"fdsup://directions/FAT Viewer?action=UPDATE&amp;creator=factset&amp;DYN_ARGS=TRUE&amp;DOC_NAME=FAT:FQL_AUDITING_CLIENT_TEMPLATE.FAT&amp;display_string=Audit&amp;VAR:KEY=CDUXAFOPEJ&amp;VAR:QUERY=RkZfRElWX1lMRChBTk4sOS8yNS8wMiw5LzI1LzAyKQ==&amp;WINDOW=FIRST_POPUP&amp;HEIGHT=450&amp;WIDTH=450&amp;","START_MAXIMIZED=FALSE&amp;VAR:CALENDAR=US&amp;VAR:SYMBOL=RAI&amp;VAR:INDEX=0"}</definedName>
    <definedName name="_2541__FDSAUDITLINK__" hidden="1">{"fdsup://directions/FAT Viewer?action=UPDATE&amp;creator=factset&amp;DYN_ARGS=TRUE&amp;DOC_NAME=FAT:FQL_AUDITING_CLIENT_TEMPLATE.FAT&amp;display_string=Audit&amp;VAR:KEY=CDUXAFOPEJ&amp;VAR:QUERY=RkZfRElWX1lMRChBTk4sOS8yNS8wMiw5LzI1LzAyKQ==&amp;WINDOW=FIRST_POPUP&amp;HEIGHT=450&amp;WIDTH=450&amp;","START_MAXIMIZED=FALSE&amp;VAR:CALENDAR=US&amp;VAR:SYMBOL=RAI&amp;VAR:INDEX=0"}</definedName>
    <definedName name="_2542__FDSAUDITLINK__" localSheetId="0" hidden="1">{"fdsup://directions/FAT Viewer?action=UPDATE&amp;creator=factset&amp;DYN_ARGS=TRUE&amp;DOC_NAME=FAT:FQL_AUDITING_CLIENT_TEMPLATE.FAT&amp;display_string=Audit&amp;VAR:KEY=AFIFAVIBAV&amp;VAR:QUERY=RkZfRElWX1lMRChBTk4sOS8xOC8wMiw5LzE4LzAyKQ==&amp;WINDOW=FIRST_POPUP&amp;HEIGHT=450&amp;WIDTH=450&amp;","START_MAXIMIZED=FALSE&amp;VAR:CALENDAR=US&amp;VAR:SYMBOL=RAI&amp;VAR:INDEX=0"}</definedName>
    <definedName name="_2542__FDSAUDITLINK__" hidden="1">{"fdsup://directions/FAT Viewer?action=UPDATE&amp;creator=factset&amp;DYN_ARGS=TRUE&amp;DOC_NAME=FAT:FQL_AUDITING_CLIENT_TEMPLATE.FAT&amp;display_string=Audit&amp;VAR:KEY=AFIFAVIBAV&amp;VAR:QUERY=RkZfRElWX1lMRChBTk4sOS8xOC8wMiw5LzE4LzAyKQ==&amp;WINDOW=FIRST_POPUP&amp;HEIGHT=450&amp;WIDTH=450&amp;","START_MAXIMIZED=FALSE&amp;VAR:CALENDAR=US&amp;VAR:SYMBOL=RAI&amp;VAR:INDEX=0"}</definedName>
    <definedName name="_2543__FDSAUDITLINK__" localSheetId="0" hidden="1">{"fdsup://directions/FAT Viewer?action=UPDATE&amp;creator=factset&amp;DYN_ARGS=TRUE&amp;DOC_NAME=FAT:FQL_AUDITING_CLIENT_TEMPLATE.FAT&amp;display_string=Audit&amp;VAR:KEY=ORSHSRWVYT&amp;VAR:QUERY=RkZfRElWX1lMRChBTk4sOS8xMS8wMiw5LzExLzAyKQ==&amp;WINDOW=FIRST_POPUP&amp;HEIGHT=450&amp;WIDTH=450&amp;","START_MAXIMIZED=FALSE&amp;VAR:CALENDAR=US&amp;VAR:SYMBOL=RAI&amp;VAR:INDEX=0"}</definedName>
    <definedName name="_2543__FDSAUDITLINK__" hidden="1">{"fdsup://directions/FAT Viewer?action=UPDATE&amp;creator=factset&amp;DYN_ARGS=TRUE&amp;DOC_NAME=FAT:FQL_AUDITING_CLIENT_TEMPLATE.FAT&amp;display_string=Audit&amp;VAR:KEY=ORSHSRWVYT&amp;VAR:QUERY=RkZfRElWX1lMRChBTk4sOS8xMS8wMiw5LzExLzAyKQ==&amp;WINDOW=FIRST_POPUP&amp;HEIGHT=450&amp;WIDTH=450&amp;","START_MAXIMIZED=FALSE&amp;VAR:CALENDAR=US&amp;VAR:SYMBOL=RAI&amp;VAR:INDEX=0"}</definedName>
    <definedName name="_2544__FDSAUDITLINK__" localSheetId="0" hidden="1">{"fdsup://directions/FAT Viewer?action=UPDATE&amp;creator=factset&amp;DYN_ARGS=TRUE&amp;DOC_NAME=FAT:FQL_AUDITING_CLIENT_TEMPLATE.FAT&amp;display_string=Audit&amp;VAR:KEY=ONIBIRMFKJ&amp;VAR:QUERY=RkZfRElWX1lMRChBTk4sOS8wNC8wMiw5LzA0LzAyKQ==&amp;WINDOW=FIRST_POPUP&amp;HEIGHT=450&amp;WIDTH=450&amp;","START_MAXIMIZED=FALSE&amp;VAR:CALENDAR=US&amp;VAR:SYMBOL=RAI&amp;VAR:INDEX=0"}</definedName>
    <definedName name="_2544__FDSAUDITLINK__" hidden="1">{"fdsup://directions/FAT Viewer?action=UPDATE&amp;creator=factset&amp;DYN_ARGS=TRUE&amp;DOC_NAME=FAT:FQL_AUDITING_CLIENT_TEMPLATE.FAT&amp;display_string=Audit&amp;VAR:KEY=ONIBIRMFKJ&amp;VAR:QUERY=RkZfRElWX1lMRChBTk4sOS8wNC8wMiw5LzA0LzAyKQ==&amp;WINDOW=FIRST_POPUP&amp;HEIGHT=450&amp;WIDTH=450&amp;","START_MAXIMIZED=FALSE&amp;VAR:CALENDAR=US&amp;VAR:SYMBOL=RAI&amp;VAR:INDEX=0"}</definedName>
    <definedName name="_2545__FDSAUDITLINK__" localSheetId="0" hidden="1">{"fdsup://directions/FAT Viewer?action=UPDATE&amp;creator=factset&amp;DYN_ARGS=TRUE&amp;DOC_NAME=FAT:FQL_AUDITING_CLIENT_TEMPLATE.FAT&amp;display_string=Audit&amp;VAR:KEY=SXKPUNKDKZ&amp;VAR:QUERY=RkZfRElWX1lMRChBTk4sOC8yOC8wMiw4LzI4LzAyKQ==&amp;WINDOW=FIRST_POPUP&amp;HEIGHT=450&amp;WIDTH=450&amp;","START_MAXIMIZED=FALSE&amp;VAR:CALENDAR=US&amp;VAR:SYMBOL=RAI&amp;VAR:INDEX=0"}</definedName>
    <definedName name="_2545__FDSAUDITLINK__" hidden="1">{"fdsup://directions/FAT Viewer?action=UPDATE&amp;creator=factset&amp;DYN_ARGS=TRUE&amp;DOC_NAME=FAT:FQL_AUDITING_CLIENT_TEMPLATE.FAT&amp;display_string=Audit&amp;VAR:KEY=SXKPUNKDKZ&amp;VAR:QUERY=RkZfRElWX1lMRChBTk4sOC8yOC8wMiw4LzI4LzAyKQ==&amp;WINDOW=FIRST_POPUP&amp;HEIGHT=450&amp;WIDTH=450&amp;","START_MAXIMIZED=FALSE&amp;VAR:CALENDAR=US&amp;VAR:SYMBOL=RAI&amp;VAR:INDEX=0"}</definedName>
    <definedName name="_2546__FDSAUDITLINK__" localSheetId="0" hidden="1">{"fdsup://directions/FAT Viewer?action=UPDATE&amp;creator=factset&amp;DYN_ARGS=TRUE&amp;DOC_NAME=FAT:FQL_AUDITING_CLIENT_TEMPLATE.FAT&amp;display_string=Audit&amp;VAR:KEY=YHQHOLKPCT&amp;VAR:QUERY=RkZfRElWX1lMRChBTk4sOC8yMS8wMiw4LzIxLzAyKQ==&amp;WINDOW=FIRST_POPUP&amp;HEIGHT=450&amp;WIDTH=450&amp;","START_MAXIMIZED=FALSE&amp;VAR:CALENDAR=US&amp;VAR:SYMBOL=RAI&amp;VAR:INDEX=0"}</definedName>
    <definedName name="_2546__FDSAUDITLINK__" hidden="1">{"fdsup://directions/FAT Viewer?action=UPDATE&amp;creator=factset&amp;DYN_ARGS=TRUE&amp;DOC_NAME=FAT:FQL_AUDITING_CLIENT_TEMPLATE.FAT&amp;display_string=Audit&amp;VAR:KEY=YHQHOLKPCT&amp;VAR:QUERY=RkZfRElWX1lMRChBTk4sOC8yMS8wMiw4LzIxLzAyKQ==&amp;WINDOW=FIRST_POPUP&amp;HEIGHT=450&amp;WIDTH=450&amp;","START_MAXIMIZED=FALSE&amp;VAR:CALENDAR=US&amp;VAR:SYMBOL=RAI&amp;VAR:INDEX=0"}</definedName>
    <definedName name="_2547__FDSAUDITLINK__" localSheetId="0" hidden="1">{"fdsup://directions/FAT Viewer?action=UPDATE&amp;creator=factset&amp;DYN_ARGS=TRUE&amp;DOC_NAME=FAT:FQL_AUDITING_CLIENT_TEMPLATE.FAT&amp;display_string=Audit&amp;VAR:KEY=IHYLMLWROL&amp;VAR:QUERY=RkZfRElWX1lMRChBTk4sOC8xNC8wMiw4LzE0LzAyKQ==&amp;WINDOW=FIRST_POPUP&amp;HEIGHT=450&amp;WIDTH=450&amp;","START_MAXIMIZED=FALSE&amp;VAR:CALENDAR=US&amp;VAR:SYMBOL=RAI&amp;VAR:INDEX=0"}</definedName>
    <definedName name="_2547__FDSAUDITLINK__" hidden="1">{"fdsup://directions/FAT Viewer?action=UPDATE&amp;creator=factset&amp;DYN_ARGS=TRUE&amp;DOC_NAME=FAT:FQL_AUDITING_CLIENT_TEMPLATE.FAT&amp;display_string=Audit&amp;VAR:KEY=IHYLMLWROL&amp;VAR:QUERY=RkZfRElWX1lMRChBTk4sOC8xNC8wMiw4LzE0LzAyKQ==&amp;WINDOW=FIRST_POPUP&amp;HEIGHT=450&amp;WIDTH=450&amp;","START_MAXIMIZED=FALSE&amp;VAR:CALENDAR=US&amp;VAR:SYMBOL=RAI&amp;VAR:INDEX=0"}</definedName>
    <definedName name="_2548__FDSAUDITLINK__" localSheetId="0" hidden="1">{"fdsup://directions/FAT Viewer?action=UPDATE&amp;creator=factset&amp;DYN_ARGS=TRUE&amp;DOC_NAME=FAT:FQL_AUDITING_CLIENT_TEMPLATE.FAT&amp;display_string=Audit&amp;VAR:KEY=UJARYNIZGB&amp;VAR:QUERY=RkZfRElWX1lMRChBTk4sOC8wNy8wMiw4LzA3LzAyKQ==&amp;WINDOW=FIRST_POPUP&amp;HEIGHT=450&amp;WIDTH=450&amp;","START_MAXIMIZED=FALSE&amp;VAR:CALENDAR=US&amp;VAR:SYMBOL=RAI&amp;VAR:INDEX=0"}</definedName>
    <definedName name="_2548__FDSAUDITLINK__" hidden="1">{"fdsup://directions/FAT Viewer?action=UPDATE&amp;creator=factset&amp;DYN_ARGS=TRUE&amp;DOC_NAME=FAT:FQL_AUDITING_CLIENT_TEMPLATE.FAT&amp;display_string=Audit&amp;VAR:KEY=UJARYNIZGB&amp;VAR:QUERY=RkZfRElWX1lMRChBTk4sOC8wNy8wMiw4LzA3LzAyKQ==&amp;WINDOW=FIRST_POPUP&amp;HEIGHT=450&amp;WIDTH=450&amp;","START_MAXIMIZED=FALSE&amp;VAR:CALENDAR=US&amp;VAR:SYMBOL=RAI&amp;VAR:INDEX=0"}</definedName>
    <definedName name="_2549__FDSAUDITLINK__" localSheetId="0" hidden="1">{"fdsup://directions/FAT Viewer?action=UPDATE&amp;creator=factset&amp;DYN_ARGS=TRUE&amp;DOC_NAME=FAT:FQL_AUDITING_CLIENT_TEMPLATE.FAT&amp;display_string=Audit&amp;VAR:KEY=OFYVMJALEX&amp;VAR:QUERY=RkZfRElWX1lMRChBTk4sNy8zMS8wMiw3LzMxLzAyKQ==&amp;WINDOW=FIRST_POPUP&amp;HEIGHT=450&amp;WIDTH=450&amp;","START_MAXIMIZED=FALSE&amp;VAR:CALENDAR=US&amp;VAR:SYMBOL=RAI&amp;VAR:INDEX=0"}</definedName>
    <definedName name="_2549__FDSAUDITLINK__" hidden="1">{"fdsup://directions/FAT Viewer?action=UPDATE&amp;creator=factset&amp;DYN_ARGS=TRUE&amp;DOC_NAME=FAT:FQL_AUDITING_CLIENT_TEMPLATE.FAT&amp;display_string=Audit&amp;VAR:KEY=OFYVMJALEX&amp;VAR:QUERY=RkZfRElWX1lMRChBTk4sNy8zMS8wMiw3LzMxLzAyKQ==&amp;WINDOW=FIRST_POPUP&amp;HEIGHT=450&amp;WIDTH=450&amp;","START_MAXIMIZED=FALSE&amp;VAR:CALENDAR=US&amp;VAR:SYMBOL=RAI&amp;VAR:INDEX=0"}</definedName>
    <definedName name="_255">#REF!</definedName>
    <definedName name="_255__FDSAUDITLINK__" localSheetId="0" hidden="1">{"fdsup://directions/FAT Viewer?action=UPDATE&amp;creator=factset&amp;DYN_ARGS=TRUE&amp;DOC_NAME=FAT:FQL_AUDITING_CLIENT_TEMPLATE.FAT&amp;display_string=Audit&amp;VAR:KEY=LILWHOXWDQ&amp;VAR:QUERY=RkZfRElWX1lMRChBTk4sNS8xOC8wNiw1LzE4LzA2KQ==&amp;WINDOW=FIRST_POPUP&amp;HEIGHT=450&amp;WIDTH=450&amp;","START_MAXIMIZED=FALSE&amp;VAR:CALENDAR=US&amp;VAR:SYMBOL=RAI&amp;VAR:INDEX=0"}</definedName>
    <definedName name="_255__FDSAUDITLINK__" hidden="1">{"fdsup://directions/FAT Viewer?action=UPDATE&amp;creator=factset&amp;DYN_ARGS=TRUE&amp;DOC_NAME=FAT:FQL_AUDITING_CLIENT_TEMPLATE.FAT&amp;display_string=Audit&amp;VAR:KEY=LILWHOXWDQ&amp;VAR:QUERY=RkZfRElWX1lMRChBTk4sNS8xOC8wNiw1LzE4LzA2KQ==&amp;WINDOW=FIRST_POPUP&amp;HEIGHT=450&amp;WIDTH=450&amp;","START_MAXIMIZED=FALSE&amp;VAR:CALENDAR=US&amp;VAR:SYMBOL=RAI&amp;VAR:INDEX=0"}</definedName>
    <definedName name="_2550__FDSAUDITLINK__" localSheetId="0" hidden="1">{"fdsup://directions/FAT Viewer?action=UPDATE&amp;creator=factset&amp;DYN_ARGS=TRUE&amp;DOC_NAME=FAT:FQL_AUDITING_CLIENT_TEMPLATE.FAT&amp;display_string=Audit&amp;VAR:KEY=ETCXWPQTSH&amp;VAR:QUERY=RkZfRElWX1lMRChBTk4sNy8yNC8wMiw3LzI0LzAyKQ==&amp;WINDOW=FIRST_POPUP&amp;HEIGHT=450&amp;WIDTH=450&amp;","START_MAXIMIZED=FALSE&amp;VAR:CALENDAR=US&amp;VAR:SYMBOL=RAI&amp;VAR:INDEX=0"}</definedName>
    <definedName name="_2550__FDSAUDITLINK__" hidden="1">{"fdsup://directions/FAT Viewer?action=UPDATE&amp;creator=factset&amp;DYN_ARGS=TRUE&amp;DOC_NAME=FAT:FQL_AUDITING_CLIENT_TEMPLATE.FAT&amp;display_string=Audit&amp;VAR:KEY=ETCXWPQTSH&amp;VAR:QUERY=RkZfRElWX1lMRChBTk4sNy8yNC8wMiw3LzI0LzAyKQ==&amp;WINDOW=FIRST_POPUP&amp;HEIGHT=450&amp;WIDTH=450&amp;","START_MAXIMIZED=FALSE&amp;VAR:CALENDAR=US&amp;VAR:SYMBOL=RAI&amp;VAR:INDEX=0"}</definedName>
    <definedName name="_2551__FDSAUDITLINK__" localSheetId="0" hidden="1">{"fdsup://directions/FAT Viewer?action=UPDATE&amp;creator=factset&amp;DYN_ARGS=TRUE&amp;DOC_NAME=FAT:FQL_AUDITING_CLIENT_TEMPLATE.FAT&amp;display_string=Audit&amp;VAR:KEY=WNINUXMTOF&amp;VAR:QUERY=RkZfRElWX1lMRChBTk4sNy8xNy8wMiw3LzE3LzAyKQ==&amp;WINDOW=FIRST_POPUP&amp;HEIGHT=450&amp;WIDTH=450&amp;","START_MAXIMIZED=FALSE&amp;VAR:CALENDAR=US&amp;VAR:SYMBOL=RAI&amp;VAR:INDEX=0"}</definedName>
    <definedName name="_2551__FDSAUDITLINK__" hidden="1">{"fdsup://directions/FAT Viewer?action=UPDATE&amp;creator=factset&amp;DYN_ARGS=TRUE&amp;DOC_NAME=FAT:FQL_AUDITING_CLIENT_TEMPLATE.FAT&amp;display_string=Audit&amp;VAR:KEY=WNINUXMTOF&amp;VAR:QUERY=RkZfRElWX1lMRChBTk4sNy8xNy8wMiw3LzE3LzAyKQ==&amp;WINDOW=FIRST_POPUP&amp;HEIGHT=450&amp;WIDTH=450&amp;","START_MAXIMIZED=FALSE&amp;VAR:CALENDAR=US&amp;VAR:SYMBOL=RAI&amp;VAR:INDEX=0"}</definedName>
    <definedName name="_2552__FDSAUDITLINK__" localSheetId="0" hidden="1">{"fdsup://directions/FAT Viewer?action=UPDATE&amp;creator=factset&amp;DYN_ARGS=TRUE&amp;DOC_NAME=FAT:FQL_AUDITING_CLIENT_TEMPLATE.FAT&amp;display_string=Audit&amp;VAR:KEY=MNIBGTEVUD&amp;VAR:QUERY=RkZfRElWX1lMRChBTk4sNy8xMC8wMiw3LzEwLzAyKQ==&amp;WINDOW=FIRST_POPUP&amp;HEIGHT=450&amp;WIDTH=450&amp;","START_MAXIMIZED=FALSE&amp;VAR:CALENDAR=US&amp;VAR:SYMBOL=RAI&amp;VAR:INDEX=0"}</definedName>
    <definedName name="_2552__FDSAUDITLINK__" hidden="1">{"fdsup://directions/FAT Viewer?action=UPDATE&amp;creator=factset&amp;DYN_ARGS=TRUE&amp;DOC_NAME=FAT:FQL_AUDITING_CLIENT_TEMPLATE.FAT&amp;display_string=Audit&amp;VAR:KEY=MNIBGTEVUD&amp;VAR:QUERY=RkZfRElWX1lMRChBTk4sNy8xMC8wMiw3LzEwLzAyKQ==&amp;WINDOW=FIRST_POPUP&amp;HEIGHT=450&amp;WIDTH=450&amp;","START_MAXIMIZED=FALSE&amp;VAR:CALENDAR=US&amp;VAR:SYMBOL=RAI&amp;VAR:INDEX=0"}</definedName>
    <definedName name="_2553__FDSAUDITLINK__" localSheetId="0" hidden="1">{"fdsup://directions/FAT Viewer?action=UPDATE&amp;creator=factset&amp;DYN_ARGS=TRUE&amp;DOC_NAME=FAT:FQL_AUDITING_CLIENT_TEMPLATE.FAT&amp;display_string=Audit&amp;VAR:KEY=KRCNOVOHAR&amp;VAR:QUERY=RkZfRElWX1lMRChBTk4sNy8wMy8wMiw3LzAzLzAyKQ==&amp;WINDOW=FIRST_POPUP&amp;HEIGHT=450&amp;WIDTH=450&amp;","START_MAXIMIZED=FALSE&amp;VAR:CALENDAR=US&amp;VAR:SYMBOL=RAI&amp;VAR:INDEX=0"}</definedName>
    <definedName name="_2553__FDSAUDITLINK__" hidden="1">{"fdsup://directions/FAT Viewer?action=UPDATE&amp;creator=factset&amp;DYN_ARGS=TRUE&amp;DOC_NAME=FAT:FQL_AUDITING_CLIENT_TEMPLATE.FAT&amp;display_string=Audit&amp;VAR:KEY=KRCNOVOHAR&amp;VAR:QUERY=RkZfRElWX1lMRChBTk4sNy8wMy8wMiw3LzAzLzAyKQ==&amp;WINDOW=FIRST_POPUP&amp;HEIGHT=450&amp;WIDTH=450&amp;","START_MAXIMIZED=FALSE&amp;VAR:CALENDAR=US&amp;VAR:SYMBOL=RAI&amp;VAR:INDEX=0"}</definedName>
    <definedName name="_2554__FDSAUDITLINK__" localSheetId="0" hidden="1">{"fdsup://directions/FAT Viewer?action=UPDATE&amp;creator=factset&amp;DYN_ARGS=TRUE&amp;DOC_NAME=FAT:FQL_AUDITING_CLIENT_TEMPLATE.FAT&amp;display_string=Audit&amp;VAR:KEY=IPMRWJANCF&amp;VAR:QUERY=RkZfRElWX1lMRChBTk4sNi8yNi8wMiw2LzI2LzAyKQ==&amp;WINDOW=FIRST_POPUP&amp;HEIGHT=450&amp;WIDTH=450&amp;","START_MAXIMIZED=FALSE&amp;VAR:CALENDAR=US&amp;VAR:SYMBOL=RAI&amp;VAR:INDEX=0"}</definedName>
    <definedName name="_2554__FDSAUDITLINK__" hidden="1">{"fdsup://directions/FAT Viewer?action=UPDATE&amp;creator=factset&amp;DYN_ARGS=TRUE&amp;DOC_NAME=FAT:FQL_AUDITING_CLIENT_TEMPLATE.FAT&amp;display_string=Audit&amp;VAR:KEY=IPMRWJANCF&amp;VAR:QUERY=RkZfRElWX1lMRChBTk4sNi8yNi8wMiw2LzI2LzAyKQ==&amp;WINDOW=FIRST_POPUP&amp;HEIGHT=450&amp;WIDTH=450&amp;","START_MAXIMIZED=FALSE&amp;VAR:CALENDAR=US&amp;VAR:SYMBOL=RAI&amp;VAR:INDEX=0"}</definedName>
    <definedName name="_2555__FDSAUDITLINK__" localSheetId="0" hidden="1">{"fdsup://directions/FAT Viewer?action=UPDATE&amp;creator=factset&amp;DYN_ARGS=TRUE&amp;DOC_NAME=FAT:FQL_AUDITING_CLIENT_TEMPLATE.FAT&amp;display_string=Audit&amp;VAR:KEY=ALGXSTWDEZ&amp;VAR:QUERY=RkZfRElWX1lMRChBTk4sNi8xOS8wMiw2LzE5LzAyKQ==&amp;WINDOW=FIRST_POPUP&amp;HEIGHT=450&amp;WIDTH=450&amp;","START_MAXIMIZED=FALSE&amp;VAR:CALENDAR=US&amp;VAR:SYMBOL=RAI&amp;VAR:INDEX=0"}</definedName>
    <definedName name="_2555__FDSAUDITLINK__" hidden="1">{"fdsup://directions/FAT Viewer?action=UPDATE&amp;creator=factset&amp;DYN_ARGS=TRUE&amp;DOC_NAME=FAT:FQL_AUDITING_CLIENT_TEMPLATE.FAT&amp;display_string=Audit&amp;VAR:KEY=ALGXSTWDEZ&amp;VAR:QUERY=RkZfRElWX1lMRChBTk4sNi8xOS8wMiw2LzE5LzAyKQ==&amp;WINDOW=FIRST_POPUP&amp;HEIGHT=450&amp;WIDTH=450&amp;","START_MAXIMIZED=FALSE&amp;VAR:CALENDAR=US&amp;VAR:SYMBOL=RAI&amp;VAR:INDEX=0"}</definedName>
    <definedName name="_2556__FDSAUDITLINK__" localSheetId="0" hidden="1">{"fdsup://directions/FAT Viewer?action=UPDATE&amp;creator=factset&amp;DYN_ARGS=TRUE&amp;DOC_NAME=FAT:FQL_AUDITING_CLIENT_TEMPLATE.FAT&amp;display_string=Audit&amp;VAR:KEY=QDOVINMFIX&amp;VAR:QUERY=RkZfRElWX1lMRChBTk4sNi8xMi8wMiw2LzEyLzAyKQ==&amp;WINDOW=FIRST_POPUP&amp;HEIGHT=450&amp;WIDTH=450&amp;","START_MAXIMIZED=FALSE&amp;VAR:CALENDAR=US&amp;VAR:SYMBOL=RAI&amp;VAR:INDEX=0"}</definedName>
    <definedName name="_2556__FDSAUDITLINK__" hidden="1">{"fdsup://directions/FAT Viewer?action=UPDATE&amp;creator=factset&amp;DYN_ARGS=TRUE&amp;DOC_NAME=FAT:FQL_AUDITING_CLIENT_TEMPLATE.FAT&amp;display_string=Audit&amp;VAR:KEY=QDOVINMFIX&amp;VAR:QUERY=RkZfRElWX1lMRChBTk4sNi8xMi8wMiw2LzEyLzAyKQ==&amp;WINDOW=FIRST_POPUP&amp;HEIGHT=450&amp;WIDTH=450&amp;","START_MAXIMIZED=FALSE&amp;VAR:CALENDAR=US&amp;VAR:SYMBOL=RAI&amp;VAR:INDEX=0"}</definedName>
    <definedName name="_2557__FDSAUDITLINK__" localSheetId="0" hidden="1">{"fdsup://directions/FAT Viewer?action=UPDATE&amp;creator=factset&amp;DYN_ARGS=TRUE&amp;DOC_NAME=FAT:FQL_AUDITING_CLIENT_TEMPLATE.FAT&amp;display_string=Audit&amp;VAR:KEY=IZQHSDCJWN&amp;VAR:QUERY=RkZfRElWX1lMRChBTk4sNi8wNS8wMiw2LzA1LzAyKQ==&amp;WINDOW=FIRST_POPUP&amp;HEIGHT=450&amp;WIDTH=450&amp;","START_MAXIMIZED=FALSE&amp;VAR:CALENDAR=US&amp;VAR:SYMBOL=RAI&amp;VAR:INDEX=0"}</definedName>
    <definedName name="_2557__FDSAUDITLINK__" hidden="1">{"fdsup://directions/FAT Viewer?action=UPDATE&amp;creator=factset&amp;DYN_ARGS=TRUE&amp;DOC_NAME=FAT:FQL_AUDITING_CLIENT_TEMPLATE.FAT&amp;display_string=Audit&amp;VAR:KEY=IZQHSDCJWN&amp;VAR:QUERY=RkZfRElWX1lMRChBTk4sNi8wNS8wMiw2LzA1LzAyKQ==&amp;WINDOW=FIRST_POPUP&amp;HEIGHT=450&amp;WIDTH=450&amp;","START_MAXIMIZED=FALSE&amp;VAR:CALENDAR=US&amp;VAR:SYMBOL=RAI&amp;VAR:INDEX=0"}</definedName>
    <definedName name="_2558__FDSAUDITLINK__" localSheetId="0" hidden="1">{"fdsup://directions/FAT Viewer?action=UPDATE&amp;creator=factset&amp;DYN_ARGS=TRUE&amp;DOC_NAME=FAT:FQL_AUDITING_CLIENT_TEMPLATE.FAT&amp;display_string=Audit&amp;VAR:KEY=YBITEXMJWJ&amp;VAR:QUERY=RkZfRElWX1lMRChBTk4sNS8yOS8wMiw1LzI5LzAyKQ==&amp;WINDOW=FIRST_POPUP&amp;HEIGHT=450&amp;WIDTH=450&amp;","START_MAXIMIZED=FALSE&amp;VAR:CALENDAR=US&amp;VAR:SYMBOL=RAI&amp;VAR:INDEX=0"}</definedName>
    <definedName name="_2558__FDSAUDITLINK__" hidden="1">{"fdsup://directions/FAT Viewer?action=UPDATE&amp;creator=factset&amp;DYN_ARGS=TRUE&amp;DOC_NAME=FAT:FQL_AUDITING_CLIENT_TEMPLATE.FAT&amp;display_string=Audit&amp;VAR:KEY=YBITEXMJWJ&amp;VAR:QUERY=RkZfRElWX1lMRChBTk4sNS8yOS8wMiw1LzI5LzAyKQ==&amp;WINDOW=FIRST_POPUP&amp;HEIGHT=450&amp;WIDTH=450&amp;","START_MAXIMIZED=FALSE&amp;VAR:CALENDAR=US&amp;VAR:SYMBOL=RAI&amp;VAR:INDEX=0"}</definedName>
    <definedName name="_2559__FDSAUDITLINK__" localSheetId="0" hidden="1">{"fdsup://directions/FAT Viewer?action=UPDATE&amp;creator=factset&amp;DYN_ARGS=TRUE&amp;DOC_NAME=FAT:FQL_AUDITING_CLIENT_TEMPLATE.FAT&amp;display_string=Audit&amp;VAR:KEY=MNCJKXWXAR&amp;VAR:QUERY=RkZfRElWX1lMRChBTk4sNS8yMi8wMiw1LzIyLzAyKQ==&amp;WINDOW=FIRST_POPUP&amp;HEIGHT=450&amp;WIDTH=450&amp;","START_MAXIMIZED=FALSE&amp;VAR:CALENDAR=US&amp;VAR:SYMBOL=RAI&amp;VAR:INDEX=0"}</definedName>
    <definedName name="_2559__FDSAUDITLINK__" hidden="1">{"fdsup://directions/FAT Viewer?action=UPDATE&amp;creator=factset&amp;DYN_ARGS=TRUE&amp;DOC_NAME=FAT:FQL_AUDITING_CLIENT_TEMPLATE.FAT&amp;display_string=Audit&amp;VAR:KEY=MNCJKXWXAR&amp;VAR:QUERY=RkZfRElWX1lMRChBTk4sNS8yMi8wMiw1LzIyLzAyKQ==&amp;WINDOW=FIRST_POPUP&amp;HEIGHT=450&amp;WIDTH=450&amp;","START_MAXIMIZED=FALSE&amp;VAR:CALENDAR=US&amp;VAR:SYMBOL=RAI&amp;VAR:INDEX=0"}</definedName>
    <definedName name="_256">#REF!</definedName>
    <definedName name="_256__FDSAUDITLINK__" localSheetId="0" hidden="1">{"fdsup://directions/FAT Viewer?action=UPDATE&amp;creator=factset&amp;DYN_ARGS=TRUE&amp;DOC_NAME=FAT:FQL_AUDITING_CLIENT_TEMPLATE.FAT&amp;display_string=Audit&amp;VAR:KEY=NSXWTEZIRO&amp;VAR:QUERY=RkZfRElWX1lMRChBTk4sNS8xMS8wNiw1LzExLzA2KQ==&amp;WINDOW=FIRST_POPUP&amp;HEIGHT=450&amp;WIDTH=450&amp;","START_MAXIMIZED=FALSE&amp;VAR:CALENDAR=US&amp;VAR:SYMBOL=RAI&amp;VAR:INDEX=0"}</definedName>
    <definedName name="_256__FDSAUDITLINK__" hidden="1">{"fdsup://directions/FAT Viewer?action=UPDATE&amp;creator=factset&amp;DYN_ARGS=TRUE&amp;DOC_NAME=FAT:FQL_AUDITING_CLIENT_TEMPLATE.FAT&amp;display_string=Audit&amp;VAR:KEY=NSXWTEZIRO&amp;VAR:QUERY=RkZfRElWX1lMRChBTk4sNS8xMS8wNiw1LzExLzA2KQ==&amp;WINDOW=FIRST_POPUP&amp;HEIGHT=450&amp;WIDTH=450&amp;","START_MAXIMIZED=FALSE&amp;VAR:CALENDAR=US&amp;VAR:SYMBOL=RAI&amp;VAR:INDEX=0"}</definedName>
    <definedName name="_2560__FDSAUDITLINK__" localSheetId="0" hidden="1">{"fdsup://directions/FAT Viewer?action=UPDATE&amp;creator=factset&amp;DYN_ARGS=TRUE&amp;DOC_NAME=FAT:FQL_AUDITING_CLIENT_TEMPLATE.FAT&amp;display_string=Audit&amp;VAR:KEY=ARWLWRENEF&amp;VAR:QUERY=RkZfRElWX1lMRChBTk4sNS8xNS8wMiw1LzE1LzAyKQ==&amp;WINDOW=FIRST_POPUP&amp;HEIGHT=450&amp;WIDTH=450&amp;","START_MAXIMIZED=FALSE&amp;VAR:CALENDAR=US&amp;VAR:SYMBOL=RAI&amp;VAR:INDEX=0"}</definedName>
    <definedName name="_2560__FDSAUDITLINK__" hidden="1">{"fdsup://directions/FAT Viewer?action=UPDATE&amp;creator=factset&amp;DYN_ARGS=TRUE&amp;DOC_NAME=FAT:FQL_AUDITING_CLIENT_TEMPLATE.FAT&amp;display_string=Audit&amp;VAR:KEY=ARWLWRENEF&amp;VAR:QUERY=RkZfRElWX1lMRChBTk4sNS8xNS8wMiw1LzE1LzAyKQ==&amp;WINDOW=FIRST_POPUP&amp;HEIGHT=450&amp;WIDTH=450&amp;","START_MAXIMIZED=FALSE&amp;VAR:CALENDAR=US&amp;VAR:SYMBOL=RAI&amp;VAR:INDEX=0"}</definedName>
    <definedName name="_2561__FDSAUDITLINK__" localSheetId="0" hidden="1">{"fdsup://directions/FAT Viewer?action=UPDATE&amp;creator=factset&amp;DYN_ARGS=TRUE&amp;DOC_NAME=FAT:FQL_AUDITING_CLIENT_TEMPLATE.FAT&amp;display_string=Audit&amp;VAR:KEY=OLGRALUZSX&amp;VAR:QUERY=RkZfRElWX1lMRChBTk4sNS8wOC8wMiw1LzA4LzAyKQ==&amp;WINDOW=FIRST_POPUP&amp;HEIGHT=450&amp;WIDTH=450&amp;","START_MAXIMIZED=FALSE&amp;VAR:CALENDAR=US&amp;VAR:SYMBOL=RAI&amp;VAR:INDEX=0"}</definedName>
    <definedName name="_2561__FDSAUDITLINK__" hidden="1">{"fdsup://directions/FAT Viewer?action=UPDATE&amp;creator=factset&amp;DYN_ARGS=TRUE&amp;DOC_NAME=FAT:FQL_AUDITING_CLIENT_TEMPLATE.FAT&amp;display_string=Audit&amp;VAR:KEY=OLGRALUZSX&amp;VAR:QUERY=RkZfRElWX1lMRChBTk4sNS8wOC8wMiw1LzA4LzAyKQ==&amp;WINDOW=FIRST_POPUP&amp;HEIGHT=450&amp;WIDTH=450&amp;","START_MAXIMIZED=FALSE&amp;VAR:CALENDAR=US&amp;VAR:SYMBOL=RAI&amp;VAR:INDEX=0"}</definedName>
    <definedName name="_2562__FDSAUDITLINK__" localSheetId="0" hidden="1">{"fdsup://directions/FAT Viewer?action=UPDATE&amp;creator=factset&amp;DYN_ARGS=TRUE&amp;DOC_NAME=FAT:FQL_AUDITING_CLIENT_TEMPLATE.FAT&amp;display_string=Audit&amp;VAR:KEY=OREDANADKR&amp;VAR:QUERY=RkZfRElWX1lMRChBTk4sNS8wMS8wMiw1LzAxLzAyKQ==&amp;WINDOW=FIRST_POPUP&amp;HEIGHT=450&amp;WIDTH=450&amp;","START_MAXIMIZED=FALSE&amp;VAR:CALENDAR=US&amp;VAR:SYMBOL=RAI&amp;VAR:INDEX=0"}</definedName>
    <definedName name="_2562__FDSAUDITLINK__" hidden="1">{"fdsup://directions/FAT Viewer?action=UPDATE&amp;creator=factset&amp;DYN_ARGS=TRUE&amp;DOC_NAME=FAT:FQL_AUDITING_CLIENT_TEMPLATE.FAT&amp;display_string=Audit&amp;VAR:KEY=OREDANADKR&amp;VAR:QUERY=RkZfRElWX1lMRChBTk4sNS8wMS8wMiw1LzAxLzAyKQ==&amp;WINDOW=FIRST_POPUP&amp;HEIGHT=450&amp;WIDTH=450&amp;","START_MAXIMIZED=FALSE&amp;VAR:CALENDAR=US&amp;VAR:SYMBOL=RAI&amp;VAR:INDEX=0"}</definedName>
    <definedName name="_2563__FDSAUDITLINK__" localSheetId="0" hidden="1">{"fdsup://directions/FAT Viewer?action=UPDATE&amp;creator=factset&amp;DYN_ARGS=TRUE&amp;DOC_NAME=FAT:FQL_AUDITING_CLIENT_TEMPLATE.FAT&amp;display_string=Audit&amp;VAR:KEY=WRWFIPGLEJ&amp;VAR:QUERY=RkZfRElWX1lMRChBTk4sNC8yNC8wMiw0LzI0LzAyKQ==&amp;WINDOW=FIRST_POPUP&amp;HEIGHT=450&amp;WIDTH=450&amp;","START_MAXIMIZED=FALSE&amp;VAR:CALENDAR=US&amp;VAR:SYMBOL=RAI&amp;VAR:INDEX=0"}</definedName>
    <definedName name="_2563__FDSAUDITLINK__" hidden="1">{"fdsup://directions/FAT Viewer?action=UPDATE&amp;creator=factset&amp;DYN_ARGS=TRUE&amp;DOC_NAME=FAT:FQL_AUDITING_CLIENT_TEMPLATE.FAT&amp;display_string=Audit&amp;VAR:KEY=WRWFIPGLEJ&amp;VAR:QUERY=RkZfRElWX1lMRChBTk4sNC8yNC8wMiw0LzI0LzAyKQ==&amp;WINDOW=FIRST_POPUP&amp;HEIGHT=450&amp;WIDTH=450&amp;","START_MAXIMIZED=FALSE&amp;VAR:CALENDAR=US&amp;VAR:SYMBOL=RAI&amp;VAR:INDEX=0"}</definedName>
    <definedName name="_2564__FDSAUDITLINK__" localSheetId="0" hidden="1">{"fdsup://directions/FAT Viewer?action=UPDATE&amp;creator=factset&amp;DYN_ARGS=TRUE&amp;DOC_NAME=FAT:FQL_AUDITING_CLIENT_TEMPLATE.FAT&amp;display_string=Audit&amp;VAR:KEY=SXKDKVMTQD&amp;VAR:QUERY=RkZfRElWX1lMRChBTk4sNC8xNy8wMiw0LzE3LzAyKQ==&amp;WINDOW=FIRST_POPUP&amp;HEIGHT=450&amp;WIDTH=450&amp;","START_MAXIMIZED=FALSE&amp;VAR:CALENDAR=US&amp;VAR:SYMBOL=RAI&amp;VAR:INDEX=0"}</definedName>
    <definedName name="_2564__FDSAUDITLINK__" hidden="1">{"fdsup://directions/FAT Viewer?action=UPDATE&amp;creator=factset&amp;DYN_ARGS=TRUE&amp;DOC_NAME=FAT:FQL_AUDITING_CLIENT_TEMPLATE.FAT&amp;display_string=Audit&amp;VAR:KEY=SXKDKVMTQD&amp;VAR:QUERY=RkZfRElWX1lMRChBTk4sNC8xNy8wMiw0LzE3LzAyKQ==&amp;WINDOW=FIRST_POPUP&amp;HEIGHT=450&amp;WIDTH=450&amp;","START_MAXIMIZED=FALSE&amp;VAR:CALENDAR=US&amp;VAR:SYMBOL=RAI&amp;VAR:INDEX=0"}</definedName>
    <definedName name="_2565__FDSAUDITLINK__" localSheetId="0" hidden="1">{"fdsup://directions/FAT Viewer?action=UPDATE&amp;creator=factset&amp;DYN_ARGS=TRUE&amp;DOC_NAME=FAT:FQL_AUDITING_CLIENT_TEMPLATE.FAT&amp;display_string=Audit&amp;VAR:KEY=YFYFAXEJUJ&amp;VAR:QUERY=RkZfRElWX1lMRChBTk4sNC8xMC8wMiw0LzEwLzAyKQ==&amp;WINDOW=FIRST_POPUP&amp;HEIGHT=450&amp;WIDTH=450&amp;","START_MAXIMIZED=FALSE&amp;VAR:CALENDAR=US&amp;VAR:SYMBOL=RAI&amp;VAR:INDEX=0"}</definedName>
    <definedName name="_2565__FDSAUDITLINK__" hidden="1">{"fdsup://directions/FAT Viewer?action=UPDATE&amp;creator=factset&amp;DYN_ARGS=TRUE&amp;DOC_NAME=FAT:FQL_AUDITING_CLIENT_TEMPLATE.FAT&amp;display_string=Audit&amp;VAR:KEY=YFYFAXEJUJ&amp;VAR:QUERY=RkZfRElWX1lMRChBTk4sNC8xMC8wMiw0LzEwLzAyKQ==&amp;WINDOW=FIRST_POPUP&amp;HEIGHT=450&amp;WIDTH=450&amp;","START_MAXIMIZED=FALSE&amp;VAR:CALENDAR=US&amp;VAR:SYMBOL=RAI&amp;VAR:INDEX=0"}</definedName>
    <definedName name="_2566__FDSAUDITLINK__" localSheetId="0" hidden="1">{"fdsup://directions/FAT Viewer?action=UPDATE&amp;creator=factset&amp;DYN_ARGS=TRUE&amp;DOC_NAME=FAT:FQL_AUDITING_CLIENT_TEMPLATE.FAT&amp;display_string=Audit&amp;VAR:KEY=UPOHQDIPIF&amp;VAR:QUERY=RkZfRElWX1lMRChBTk4sNC8wMy8wMiw0LzAzLzAyKQ==&amp;WINDOW=FIRST_POPUP&amp;HEIGHT=450&amp;WIDTH=450&amp;","START_MAXIMIZED=FALSE&amp;VAR:CALENDAR=US&amp;VAR:SYMBOL=RAI&amp;VAR:INDEX=0"}</definedName>
    <definedName name="_2566__FDSAUDITLINK__" hidden="1">{"fdsup://directions/FAT Viewer?action=UPDATE&amp;creator=factset&amp;DYN_ARGS=TRUE&amp;DOC_NAME=FAT:FQL_AUDITING_CLIENT_TEMPLATE.FAT&amp;display_string=Audit&amp;VAR:KEY=UPOHQDIPIF&amp;VAR:QUERY=RkZfRElWX1lMRChBTk4sNC8wMy8wMiw0LzAzLzAyKQ==&amp;WINDOW=FIRST_POPUP&amp;HEIGHT=450&amp;WIDTH=450&amp;","START_MAXIMIZED=FALSE&amp;VAR:CALENDAR=US&amp;VAR:SYMBOL=RAI&amp;VAR:INDEX=0"}</definedName>
    <definedName name="_2567__FDSAUDITLINK__" localSheetId="0" hidden="1">{"fdsup://directions/FAT Viewer?action=UPDATE&amp;creator=factset&amp;DYN_ARGS=TRUE&amp;DOC_NAME=FAT:FQL_AUDITING_CLIENT_TEMPLATE.FAT&amp;display_string=Audit&amp;VAR:KEY=SZSZCFQFKD&amp;VAR:QUERY=RkZfRElWX1lMRChBTk4sMy8yNy8wMiwzLzI3LzAyKQ==&amp;WINDOW=FIRST_POPUP&amp;HEIGHT=450&amp;WIDTH=450&amp;","START_MAXIMIZED=FALSE&amp;VAR:CALENDAR=US&amp;VAR:SYMBOL=RAI&amp;VAR:INDEX=0"}</definedName>
    <definedName name="_2567__FDSAUDITLINK__" hidden="1">{"fdsup://directions/FAT Viewer?action=UPDATE&amp;creator=factset&amp;DYN_ARGS=TRUE&amp;DOC_NAME=FAT:FQL_AUDITING_CLIENT_TEMPLATE.FAT&amp;display_string=Audit&amp;VAR:KEY=SZSZCFQFKD&amp;VAR:QUERY=RkZfRElWX1lMRChBTk4sMy8yNy8wMiwzLzI3LzAyKQ==&amp;WINDOW=FIRST_POPUP&amp;HEIGHT=450&amp;WIDTH=450&amp;","START_MAXIMIZED=FALSE&amp;VAR:CALENDAR=US&amp;VAR:SYMBOL=RAI&amp;VAR:INDEX=0"}</definedName>
    <definedName name="_2568__FDSAUDITLINK__" localSheetId="0" hidden="1">{"fdsup://directions/FAT Viewer?action=UPDATE&amp;creator=factset&amp;DYN_ARGS=TRUE&amp;DOC_NAME=FAT:FQL_AUDITING_CLIENT_TEMPLATE.FAT&amp;display_string=Audit&amp;VAR:KEY=KLGNGJUBYJ&amp;VAR:QUERY=RkZfRElWX1lMRChBTk4sMy8yMC8wMiwzLzIwLzAyKQ==&amp;WINDOW=FIRST_POPUP&amp;HEIGHT=450&amp;WIDTH=450&amp;","START_MAXIMIZED=FALSE&amp;VAR:CALENDAR=US&amp;VAR:SYMBOL=RAI&amp;VAR:INDEX=0"}</definedName>
    <definedName name="_2568__FDSAUDITLINK__" hidden="1">{"fdsup://directions/FAT Viewer?action=UPDATE&amp;creator=factset&amp;DYN_ARGS=TRUE&amp;DOC_NAME=FAT:FQL_AUDITING_CLIENT_TEMPLATE.FAT&amp;display_string=Audit&amp;VAR:KEY=KLGNGJUBYJ&amp;VAR:QUERY=RkZfRElWX1lMRChBTk4sMy8yMC8wMiwzLzIwLzAyKQ==&amp;WINDOW=FIRST_POPUP&amp;HEIGHT=450&amp;WIDTH=450&amp;","START_MAXIMIZED=FALSE&amp;VAR:CALENDAR=US&amp;VAR:SYMBOL=RAI&amp;VAR:INDEX=0"}</definedName>
    <definedName name="_2569__FDSAUDITLINK__" localSheetId="0" hidden="1">{"fdsup://directions/FAT Viewer?action=UPDATE&amp;creator=factset&amp;DYN_ARGS=TRUE&amp;DOC_NAME=FAT:FQL_AUDITING_CLIENT_TEMPLATE.FAT&amp;display_string=Audit&amp;VAR:KEY=CPUVIPOLGZ&amp;VAR:QUERY=RkZfRElWX1lMRChBTk4sMy8xMy8wMiwzLzEzLzAyKQ==&amp;WINDOW=FIRST_POPUP&amp;HEIGHT=450&amp;WIDTH=450&amp;","START_MAXIMIZED=FALSE&amp;VAR:CALENDAR=US&amp;VAR:SYMBOL=RAI&amp;VAR:INDEX=0"}</definedName>
    <definedName name="_2569__FDSAUDITLINK__" hidden="1">{"fdsup://directions/FAT Viewer?action=UPDATE&amp;creator=factset&amp;DYN_ARGS=TRUE&amp;DOC_NAME=FAT:FQL_AUDITING_CLIENT_TEMPLATE.FAT&amp;display_string=Audit&amp;VAR:KEY=CPUVIPOLGZ&amp;VAR:QUERY=RkZfRElWX1lMRChBTk4sMy8xMy8wMiwzLzEzLzAyKQ==&amp;WINDOW=FIRST_POPUP&amp;HEIGHT=450&amp;WIDTH=450&amp;","START_MAXIMIZED=FALSE&amp;VAR:CALENDAR=US&amp;VAR:SYMBOL=RAI&amp;VAR:INDEX=0"}</definedName>
    <definedName name="_257">#REF!</definedName>
    <definedName name="_257__FDSAUDITLINK__" localSheetId="0" hidden="1">{"fdsup://directions/FAT Viewer?action=UPDATE&amp;creator=factset&amp;DYN_ARGS=TRUE&amp;DOC_NAME=FAT:FQL_AUDITING_CLIENT_TEMPLATE.FAT&amp;display_string=Audit&amp;VAR:KEY=VYTOFYFWPY&amp;VAR:QUERY=RkZfRElWX1lMRChBTk4sNS8wNC8wNiw1LzA0LzA2KQ==&amp;WINDOW=FIRST_POPUP&amp;HEIGHT=450&amp;WIDTH=450&amp;","START_MAXIMIZED=FALSE&amp;VAR:CALENDAR=US&amp;VAR:SYMBOL=RAI&amp;VAR:INDEX=0"}</definedName>
    <definedName name="_257__FDSAUDITLINK__" hidden="1">{"fdsup://directions/FAT Viewer?action=UPDATE&amp;creator=factset&amp;DYN_ARGS=TRUE&amp;DOC_NAME=FAT:FQL_AUDITING_CLIENT_TEMPLATE.FAT&amp;display_string=Audit&amp;VAR:KEY=VYTOFYFWPY&amp;VAR:QUERY=RkZfRElWX1lMRChBTk4sNS8wNC8wNiw1LzA0LzA2KQ==&amp;WINDOW=FIRST_POPUP&amp;HEIGHT=450&amp;WIDTH=450&amp;","START_MAXIMIZED=FALSE&amp;VAR:CALENDAR=US&amp;VAR:SYMBOL=RAI&amp;VAR:INDEX=0"}</definedName>
    <definedName name="_2570__FDSAUDITLINK__" localSheetId="0" hidden="1">{"fdsup://directions/FAT Viewer?action=UPDATE&amp;creator=factset&amp;DYN_ARGS=TRUE&amp;DOC_NAME=FAT:FQL_AUDITING_CLIENT_TEMPLATE.FAT&amp;display_string=Audit&amp;VAR:KEY=EFKRWRWZSZ&amp;VAR:QUERY=RkZfRElWX1lMRChBTk4sMy8wNi8wMiwzLzA2LzAyKQ==&amp;WINDOW=FIRST_POPUP&amp;HEIGHT=450&amp;WIDTH=450&amp;","START_MAXIMIZED=FALSE&amp;VAR:CALENDAR=US&amp;VAR:SYMBOL=RAI&amp;VAR:INDEX=0"}</definedName>
    <definedName name="_2570__FDSAUDITLINK__" hidden="1">{"fdsup://directions/FAT Viewer?action=UPDATE&amp;creator=factset&amp;DYN_ARGS=TRUE&amp;DOC_NAME=FAT:FQL_AUDITING_CLIENT_TEMPLATE.FAT&amp;display_string=Audit&amp;VAR:KEY=EFKRWRWZSZ&amp;VAR:QUERY=RkZfRElWX1lMRChBTk4sMy8wNi8wMiwzLzA2LzAyKQ==&amp;WINDOW=FIRST_POPUP&amp;HEIGHT=450&amp;WIDTH=450&amp;","START_MAXIMIZED=FALSE&amp;VAR:CALENDAR=US&amp;VAR:SYMBOL=RAI&amp;VAR:INDEX=0"}</definedName>
    <definedName name="_2571__FDSAUDITLINK__" localSheetId="0" hidden="1">{"fdsup://directions/FAT Viewer?action=UPDATE&amp;creator=factset&amp;DYN_ARGS=TRUE&amp;DOC_NAME=FAT:FQL_AUDITING_CLIENT_TEMPLATE.FAT&amp;display_string=Audit&amp;VAR:KEY=GJMXIHMRWX&amp;VAR:QUERY=RkZfRElWX1lMRChBTk4sMi8yNy8wMiwyLzI3LzAyKQ==&amp;WINDOW=FIRST_POPUP&amp;HEIGHT=450&amp;WIDTH=450&amp;","START_MAXIMIZED=FALSE&amp;VAR:CALENDAR=US&amp;VAR:SYMBOL=RAI&amp;VAR:INDEX=0"}</definedName>
    <definedName name="_2571__FDSAUDITLINK__" hidden="1">{"fdsup://directions/FAT Viewer?action=UPDATE&amp;creator=factset&amp;DYN_ARGS=TRUE&amp;DOC_NAME=FAT:FQL_AUDITING_CLIENT_TEMPLATE.FAT&amp;display_string=Audit&amp;VAR:KEY=GJMXIHMRWX&amp;VAR:QUERY=RkZfRElWX1lMRChBTk4sMi8yNy8wMiwyLzI3LzAyKQ==&amp;WINDOW=FIRST_POPUP&amp;HEIGHT=450&amp;WIDTH=450&amp;","START_MAXIMIZED=FALSE&amp;VAR:CALENDAR=US&amp;VAR:SYMBOL=RAI&amp;VAR:INDEX=0"}</definedName>
    <definedName name="_2572__FDSAUDITLINK__" localSheetId="0" hidden="1">{"fdsup://directions/FAT Viewer?action=UPDATE&amp;creator=factset&amp;DYN_ARGS=TRUE&amp;DOC_NAME=FAT:FQL_AUDITING_CLIENT_TEMPLATE.FAT&amp;display_string=Audit&amp;VAR:KEY=IXIZIHINCD&amp;VAR:QUERY=RkZfRElWX1lMRChBTk4sMi8yMC8wMiwyLzIwLzAyKQ==&amp;WINDOW=FIRST_POPUP&amp;HEIGHT=450&amp;WIDTH=450&amp;","START_MAXIMIZED=FALSE&amp;VAR:CALENDAR=US&amp;VAR:SYMBOL=RAI&amp;VAR:INDEX=0"}</definedName>
    <definedName name="_2572__FDSAUDITLINK__" hidden="1">{"fdsup://directions/FAT Viewer?action=UPDATE&amp;creator=factset&amp;DYN_ARGS=TRUE&amp;DOC_NAME=FAT:FQL_AUDITING_CLIENT_TEMPLATE.FAT&amp;display_string=Audit&amp;VAR:KEY=IXIZIHINCD&amp;VAR:QUERY=RkZfRElWX1lMRChBTk4sMi8yMC8wMiwyLzIwLzAyKQ==&amp;WINDOW=FIRST_POPUP&amp;HEIGHT=450&amp;WIDTH=450&amp;","START_MAXIMIZED=FALSE&amp;VAR:CALENDAR=US&amp;VAR:SYMBOL=RAI&amp;VAR:INDEX=0"}</definedName>
    <definedName name="_2573__FDSAUDITLINK__" localSheetId="0" hidden="1">{"fdsup://directions/FAT Viewer?action=UPDATE&amp;creator=factset&amp;DYN_ARGS=TRUE&amp;DOC_NAME=FAT:FQL_AUDITING_CLIENT_TEMPLATE.FAT&amp;display_string=Audit&amp;VAR:KEY=UBCRILIBIZ&amp;VAR:QUERY=RkZfRElWX1lMRChBTk4sMi8xMy8wMiwyLzEzLzAyKQ==&amp;WINDOW=FIRST_POPUP&amp;HEIGHT=450&amp;WIDTH=450&amp;","START_MAXIMIZED=FALSE&amp;VAR:CALENDAR=US&amp;VAR:SYMBOL=RAI&amp;VAR:INDEX=0"}</definedName>
    <definedName name="_2573__FDSAUDITLINK__" hidden="1">{"fdsup://directions/FAT Viewer?action=UPDATE&amp;creator=factset&amp;DYN_ARGS=TRUE&amp;DOC_NAME=FAT:FQL_AUDITING_CLIENT_TEMPLATE.FAT&amp;display_string=Audit&amp;VAR:KEY=UBCRILIBIZ&amp;VAR:QUERY=RkZfRElWX1lMRChBTk4sMi8xMy8wMiwyLzEzLzAyKQ==&amp;WINDOW=FIRST_POPUP&amp;HEIGHT=450&amp;WIDTH=450&amp;","START_MAXIMIZED=FALSE&amp;VAR:CALENDAR=US&amp;VAR:SYMBOL=RAI&amp;VAR:INDEX=0"}</definedName>
    <definedName name="_2574__FDSAUDITLINK__" localSheetId="0" hidden="1">{"fdsup://directions/FAT Viewer?action=UPDATE&amp;creator=factset&amp;DYN_ARGS=TRUE&amp;DOC_NAME=FAT:FQL_AUDITING_CLIENT_TEMPLATE.FAT&amp;display_string=Audit&amp;VAR:KEY=IFGXCLKROJ&amp;VAR:QUERY=RkZfRElWX1lMRChBTk4sMi8wNi8wMiwyLzA2LzAyKQ==&amp;WINDOW=FIRST_POPUP&amp;HEIGHT=450&amp;WIDTH=450&amp;","START_MAXIMIZED=FALSE&amp;VAR:CALENDAR=US&amp;VAR:SYMBOL=RAI&amp;VAR:INDEX=0"}</definedName>
    <definedName name="_2574__FDSAUDITLINK__" hidden="1">{"fdsup://directions/FAT Viewer?action=UPDATE&amp;creator=factset&amp;DYN_ARGS=TRUE&amp;DOC_NAME=FAT:FQL_AUDITING_CLIENT_TEMPLATE.FAT&amp;display_string=Audit&amp;VAR:KEY=IFGXCLKROJ&amp;VAR:QUERY=RkZfRElWX1lMRChBTk4sMi8wNi8wMiwyLzA2LzAyKQ==&amp;WINDOW=FIRST_POPUP&amp;HEIGHT=450&amp;WIDTH=450&amp;","START_MAXIMIZED=FALSE&amp;VAR:CALENDAR=US&amp;VAR:SYMBOL=RAI&amp;VAR:INDEX=0"}</definedName>
    <definedName name="_2575__FDSAUDITLINK__" localSheetId="0" hidden="1">{"fdsup://directions/FAT Viewer?action=UPDATE&amp;creator=factset&amp;DYN_ARGS=TRUE&amp;DOC_NAME=FAT:FQL_AUDITING_CLIENT_TEMPLATE.FAT&amp;display_string=Audit&amp;VAR:KEY=YJYLWPOXQX&amp;VAR:QUERY=RkZfRElWX1lMRChBTk4sMS8zMC8wMiwxLzMwLzAyKQ==&amp;WINDOW=FIRST_POPUP&amp;HEIGHT=450&amp;WIDTH=450&amp;","START_MAXIMIZED=FALSE&amp;VAR:CALENDAR=US&amp;VAR:SYMBOL=RAI&amp;VAR:INDEX=0"}</definedName>
    <definedName name="_2575__FDSAUDITLINK__" hidden="1">{"fdsup://directions/FAT Viewer?action=UPDATE&amp;creator=factset&amp;DYN_ARGS=TRUE&amp;DOC_NAME=FAT:FQL_AUDITING_CLIENT_TEMPLATE.FAT&amp;display_string=Audit&amp;VAR:KEY=YJYLWPOXQX&amp;VAR:QUERY=RkZfRElWX1lMRChBTk4sMS8zMC8wMiwxLzMwLzAyKQ==&amp;WINDOW=FIRST_POPUP&amp;HEIGHT=450&amp;WIDTH=450&amp;","START_MAXIMIZED=FALSE&amp;VAR:CALENDAR=US&amp;VAR:SYMBOL=RAI&amp;VAR:INDEX=0"}</definedName>
    <definedName name="_2576__FDSAUDITLINK__" localSheetId="0" hidden="1">{"fdsup://directions/FAT Viewer?action=UPDATE&amp;creator=factset&amp;DYN_ARGS=TRUE&amp;DOC_NAME=FAT:FQL_AUDITING_CLIENT_TEMPLATE.FAT&amp;display_string=Audit&amp;VAR:KEY=YNMRWPOVIZ&amp;VAR:QUERY=RkZfRElWX1lMRChBTk4sMS8yMy8wMiwxLzIzLzAyKQ==&amp;WINDOW=FIRST_POPUP&amp;HEIGHT=450&amp;WIDTH=450&amp;","START_MAXIMIZED=FALSE&amp;VAR:CALENDAR=US&amp;VAR:SYMBOL=RAI&amp;VAR:INDEX=0"}</definedName>
    <definedName name="_2576__FDSAUDITLINK__" hidden="1">{"fdsup://directions/FAT Viewer?action=UPDATE&amp;creator=factset&amp;DYN_ARGS=TRUE&amp;DOC_NAME=FAT:FQL_AUDITING_CLIENT_TEMPLATE.FAT&amp;display_string=Audit&amp;VAR:KEY=YNMRWPOVIZ&amp;VAR:QUERY=RkZfRElWX1lMRChBTk4sMS8yMy8wMiwxLzIzLzAyKQ==&amp;WINDOW=FIRST_POPUP&amp;HEIGHT=450&amp;WIDTH=450&amp;","START_MAXIMIZED=FALSE&amp;VAR:CALENDAR=US&amp;VAR:SYMBOL=RAI&amp;VAR:INDEX=0"}</definedName>
    <definedName name="_2577__FDSAUDITLINK__" localSheetId="0" hidden="1">{"fdsup://directions/FAT Viewer?action=UPDATE&amp;creator=factset&amp;DYN_ARGS=TRUE&amp;DOC_NAME=FAT:FQL_AUDITING_CLIENT_TEMPLATE.FAT&amp;display_string=Audit&amp;VAR:KEY=EBMNCNGRUR&amp;VAR:QUERY=RkZfRElWX1lMRChBTk4sMS8xNi8wMiwxLzE2LzAyKQ==&amp;WINDOW=FIRST_POPUP&amp;HEIGHT=450&amp;WIDTH=450&amp;","START_MAXIMIZED=FALSE&amp;VAR:CALENDAR=US&amp;VAR:SYMBOL=RAI&amp;VAR:INDEX=0"}</definedName>
    <definedName name="_2577__FDSAUDITLINK__" hidden="1">{"fdsup://directions/FAT Viewer?action=UPDATE&amp;creator=factset&amp;DYN_ARGS=TRUE&amp;DOC_NAME=FAT:FQL_AUDITING_CLIENT_TEMPLATE.FAT&amp;display_string=Audit&amp;VAR:KEY=EBMNCNGRUR&amp;VAR:QUERY=RkZfRElWX1lMRChBTk4sMS8xNi8wMiwxLzE2LzAyKQ==&amp;WINDOW=FIRST_POPUP&amp;HEIGHT=450&amp;WIDTH=450&amp;","START_MAXIMIZED=FALSE&amp;VAR:CALENDAR=US&amp;VAR:SYMBOL=RAI&amp;VAR:INDEX=0"}</definedName>
    <definedName name="_2578__FDSAUDITLINK__" localSheetId="0" hidden="1">{"fdsup://directions/FAT Viewer?action=UPDATE&amp;creator=factset&amp;DYN_ARGS=TRUE&amp;DOC_NAME=FAT:FQL_AUDITING_CLIENT_TEMPLATE.FAT&amp;display_string=Audit&amp;VAR:KEY=KZIRSJEHSZ&amp;VAR:QUERY=RkZfRElWX1lMRChBTk4sMS8wOS8wMiwxLzA5LzAyKQ==&amp;WINDOW=FIRST_POPUP&amp;HEIGHT=450&amp;WIDTH=450&amp;","START_MAXIMIZED=FALSE&amp;VAR:CALENDAR=US&amp;VAR:SYMBOL=RAI&amp;VAR:INDEX=0"}</definedName>
    <definedName name="_2578__FDSAUDITLINK__" hidden="1">{"fdsup://directions/FAT Viewer?action=UPDATE&amp;creator=factset&amp;DYN_ARGS=TRUE&amp;DOC_NAME=FAT:FQL_AUDITING_CLIENT_TEMPLATE.FAT&amp;display_string=Audit&amp;VAR:KEY=KZIRSJEHSZ&amp;VAR:QUERY=RkZfRElWX1lMRChBTk4sMS8wOS8wMiwxLzA5LzAyKQ==&amp;WINDOW=FIRST_POPUP&amp;HEIGHT=450&amp;WIDTH=450&amp;","START_MAXIMIZED=FALSE&amp;VAR:CALENDAR=US&amp;VAR:SYMBOL=RAI&amp;VAR:INDEX=0"}</definedName>
    <definedName name="_2579__FDSAUDITLINK__" localSheetId="0" hidden="1">{"fdsup://directions/FAT Viewer?action=UPDATE&amp;creator=factset&amp;DYN_ARGS=TRUE&amp;DOC_NAME=FAT:FQL_AUDITING_CLIENT_TEMPLATE.FAT&amp;display_string=Audit&amp;VAR:KEY=KNSXWZUFUH&amp;VAR:QUERY=RkZfRElWX1lMRChBTk4sMS8wMi8wMiwxLzAyLzAyKQ==&amp;WINDOW=FIRST_POPUP&amp;HEIGHT=450&amp;WIDTH=450&amp;","START_MAXIMIZED=FALSE&amp;VAR:CALENDAR=US&amp;VAR:SYMBOL=RAI&amp;VAR:INDEX=0"}</definedName>
    <definedName name="_2579__FDSAUDITLINK__" hidden="1">{"fdsup://directions/FAT Viewer?action=UPDATE&amp;creator=factset&amp;DYN_ARGS=TRUE&amp;DOC_NAME=FAT:FQL_AUDITING_CLIENT_TEMPLATE.FAT&amp;display_string=Audit&amp;VAR:KEY=KNSXWZUFUH&amp;VAR:QUERY=RkZfRElWX1lMRChBTk4sMS8wMi8wMiwxLzAyLzAyKQ==&amp;WINDOW=FIRST_POPUP&amp;HEIGHT=450&amp;WIDTH=450&amp;","START_MAXIMIZED=FALSE&amp;VAR:CALENDAR=US&amp;VAR:SYMBOL=RAI&amp;VAR:INDEX=0"}</definedName>
    <definedName name="_258">#REF!</definedName>
    <definedName name="_258__FDSAUDITLINK__" localSheetId="0" hidden="1">{"fdsup://directions/FAT Viewer?action=UPDATE&amp;creator=factset&amp;DYN_ARGS=TRUE&amp;DOC_NAME=FAT:FQL_AUDITING_CLIENT_TEMPLATE.FAT&amp;display_string=Audit&amp;VAR:KEY=XEPQHUREVI&amp;VAR:QUERY=RkZfRElWX1lMRChBTk4sNC8yNy8wNiw0LzI3LzA2KQ==&amp;WINDOW=FIRST_POPUP&amp;HEIGHT=450&amp;WIDTH=450&amp;","START_MAXIMIZED=FALSE&amp;VAR:CALENDAR=US&amp;VAR:SYMBOL=RAI&amp;VAR:INDEX=0"}</definedName>
    <definedName name="_258__FDSAUDITLINK__" hidden="1">{"fdsup://directions/FAT Viewer?action=UPDATE&amp;creator=factset&amp;DYN_ARGS=TRUE&amp;DOC_NAME=FAT:FQL_AUDITING_CLIENT_TEMPLATE.FAT&amp;display_string=Audit&amp;VAR:KEY=XEPQHUREVI&amp;VAR:QUERY=RkZfRElWX1lMRChBTk4sNC8yNy8wNiw0LzI3LzA2KQ==&amp;WINDOW=FIRST_POPUP&amp;HEIGHT=450&amp;WIDTH=450&amp;","START_MAXIMIZED=FALSE&amp;VAR:CALENDAR=US&amp;VAR:SYMBOL=RAI&amp;VAR:INDEX=0"}</definedName>
    <definedName name="_2580__FDSAUDITLINK__" localSheetId="0" hidden="1">{"fdsup://directions/FAT Viewer?action=UPDATE&amp;creator=factset&amp;DYN_ARGS=TRUE&amp;DOC_NAME=FAT:FQL_AUDITING_CLIENT_TEMPLATE.FAT&amp;display_string=Audit&amp;VAR:KEY=SJQFCFAZYT&amp;VAR:QUERY=RkZfRElWX1lMRChBTk4sMTIvMjYvMDEsMTIvMjYvMDEp&amp;WINDOW=FIRST_POPUP&amp;HEIGHT=450&amp;WIDTH=450&amp;","START_MAXIMIZED=FALSE&amp;VAR:CALENDAR=US&amp;VAR:SYMBOL=RAI&amp;VAR:INDEX=0"}</definedName>
    <definedName name="_2580__FDSAUDITLINK__" hidden="1">{"fdsup://directions/FAT Viewer?action=UPDATE&amp;creator=factset&amp;DYN_ARGS=TRUE&amp;DOC_NAME=FAT:FQL_AUDITING_CLIENT_TEMPLATE.FAT&amp;display_string=Audit&amp;VAR:KEY=SJQFCFAZYT&amp;VAR:QUERY=RkZfRElWX1lMRChBTk4sMTIvMjYvMDEsMTIvMjYvMDEp&amp;WINDOW=FIRST_POPUP&amp;HEIGHT=450&amp;WIDTH=450&amp;","START_MAXIMIZED=FALSE&amp;VAR:CALENDAR=US&amp;VAR:SYMBOL=RAI&amp;VAR:INDEX=0"}</definedName>
    <definedName name="_2581__FDSAUDITLINK__" localSheetId="0" hidden="1">{"fdsup://directions/FAT Viewer?action=UPDATE&amp;creator=factset&amp;DYN_ARGS=TRUE&amp;DOC_NAME=FAT:FQL_AUDITING_CLIENT_TEMPLATE.FAT&amp;display_string=Audit&amp;VAR:KEY=SDILARGLGN&amp;VAR:QUERY=RkZfRElWX1lMRChBTk4sMTIvMTkvMDEsMTIvMTkvMDEp&amp;WINDOW=FIRST_POPUP&amp;HEIGHT=450&amp;WIDTH=450&amp;","START_MAXIMIZED=FALSE&amp;VAR:CALENDAR=US&amp;VAR:SYMBOL=RAI&amp;VAR:INDEX=0"}</definedName>
    <definedName name="_2581__FDSAUDITLINK__" hidden="1">{"fdsup://directions/FAT Viewer?action=UPDATE&amp;creator=factset&amp;DYN_ARGS=TRUE&amp;DOC_NAME=FAT:FQL_AUDITING_CLIENT_TEMPLATE.FAT&amp;display_string=Audit&amp;VAR:KEY=SDILARGLGN&amp;VAR:QUERY=RkZfRElWX1lMRChBTk4sMTIvMTkvMDEsMTIvMTkvMDEp&amp;WINDOW=FIRST_POPUP&amp;HEIGHT=450&amp;WIDTH=450&amp;","START_MAXIMIZED=FALSE&amp;VAR:CALENDAR=US&amp;VAR:SYMBOL=RAI&amp;VAR:INDEX=0"}</definedName>
    <definedName name="_2582__FDSAUDITLINK__" localSheetId="0" hidden="1">{"fdsup://directions/FAT Viewer?action=UPDATE&amp;creator=factset&amp;DYN_ARGS=TRUE&amp;DOC_NAME=FAT:FQL_AUDITING_CLIENT_TEMPLATE.FAT&amp;display_string=Audit&amp;VAR:KEY=UPKDYPUDWT&amp;VAR:QUERY=RkZfRElWX1lMRChBTk4sMTIvMTIvMDEsMTIvMTIvMDEp&amp;WINDOW=FIRST_POPUP&amp;HEIGHT=450&amp;WIDTH=450&amp;","START_MAXIMIZED=FALSE&amp;VAR:CALENDAR=US&amp;VAR:SYMBOL=RAI&amp;VAR:INDEX=0"}</definedName>
    <definedName name="_2582__FDSAUDITLINK__" hidden="1">{"fdsup://directions/FAT Viewer?action=UPDATE&amp;creator=factset&amp;DYN_ARGS=TRUE&amp;DOC_NAME=FAT:FQL_AUDITING_CLIENT_TEMPLATE.FAT&amp;display_string=Audit&amp;VAR:KEY=UPKDYPUDWT&amp;VAR:QUERY=RkZfRElWX1lMRChBTk4sMTIvMTIvMDEsMTIvMTIvMDEp&amp;WINDOW=FIRST_POPUP&amp;HEIGHT=450&amp;WIDTH=450&amp;","START_MAXIMIZED=FALSE&amp;VAR:CALENDAR=US&amp;VAR:SYMBOL=RAI&amp;VAR:INDEX=0"}</definedName>
    <definedName name="_2583__FDSAUDITLINK__" localSheetId="0" hidden="1">{"fdsup://directions/FAT Viewer?action=UPDATE&amp;creator=factset&amp;DYN_ARGS=TRUE&amp;DOC_NAME=FAT:FQL_AUDITING_CLIENT_TEMPLATE.FAT&amp;display_string=Audit&amp;VAR:KEY=KLSBMZKFIT&amp;VAR:QUERY=RkZfRElWX1lMRChBTk4sMTIvMDUvMDEsMTIvMDUvMDEp&amp;WINDOW=FIRST_POPUP&amp;HEIGHT=450&amp;WIDTH=450&amp;","START_MAXIMIZED=FALSE&amp;VAR:CALENDAR=US&amp;VAR:SYMBOL=RAI&amp;VAR:INDEX=0"}</definedName>
    <definedName name="_2583__FDSAUDITLINK__" hidden="1">{"fdsup://directions/FAT Viewer?action=UPDATE&amp;creator=factset&amp;DYN_ARGS=TRUE&amp;DOC_NAME=FAT:FQL_AUDITING_CLIENT_TEMPLATE.FAT&amp;display_string=Audit&amp;VAR:KEY=KLSBMZKFIT&amp;VAR:QUERY=RkZfRElWX1lMRChBTk4sMTIvMDUvMDEsMTIvMDUvMDEp&amp;WINDOW=FIRST_POPUP&amp;HEIGHT=450&amp;WIDTH=450&amp;","START_MAXIMIZED=FALSE&amp;VAR:CALENDAR=US&amp;VAR:SYMBOL=RAI&amp;VAR:INDEX=0"}</definedName>
    <definedName name="_2584__FDSAUDITLINK__" localSheetId="0" hidden="1">{"fdsup://directions/FAT Viewer?action=UPDATE&amp;creator=factset&amp;DYN_ARGS=TRUE&amp;DOC_NAME=FAT:FQL_AUDITING_CLIENT_TEMPLATE.FAT&amp;display_string=Audit&amp;VAR:KEY=MXSFMBCFGT&amp;VAR:QUERY=RkZfRElWX1lMRChBTk4sMTEvMjgvMDEsMTEvMjgvMDEp&amp;WINDOW=FIRST_POPUP&amp;HEIGHT=450&amp;WIDTH=450&amp;","START_MAXIMIZED=FALSE&amp;VAR:CALENDAR=US&amp;VAR:SYMBOL=RAI&amp;VAR:INDEX=0"}</definedName>
    <definedName name="_2584__FDSAUDITLINK__" hidden="1">{"fdsup://directions/FAT Viewer?action=UPDATE&amp;creator=factset&amp;DYN_ARGS=TRUE&amp;DOC_NAME=FAT:FQL_AUDITING_CLIENT_TEMPLATE.FAT&amp;display_string=Audit&amp;VAR:KEY=MXSFMBCFGT&amp;VAR:QUERY=RkZfRElWX1lMRChBTk4sMTEvMjgvMDEsMTEvMjgvMDEp&amp;WINDOW=FIRST_POPUP&amp;HEIGHT=450&amp;WIDTH=450&amp;","START_MAXIMIZED=FALSE&amp;VAR:CALENDAR=US&amp;VAR:SYMBOL=RAI&amp;VAR:INDEX=0"}</definedName>
    <definedName name="_2585__FDSAUDITLINK__" localSheetId="0" hidden="1">{"fdsup://directions/FAT Viewer?action=UPDATE&amp;creator=factset&amp;DYN_ARGS=TRUE&amp;DOC_NAME=FAT:FQL_AUDITING_CLIENT_TEMPLATE.FAT&amp;display_string=Audit&amp;VAR:KEY=YLKJEFMHGZ&amp;VAR:QUERY=RkZfRElWX1lMRChBTk4sMTEvMjEvMDEsMTEvMjEvMDEp&amp;WINDOW=FIRST_POPUP&amp;HEIGHT=450&amp;WIDTH=450&amp;","START_MAXIMIZED=FALSE&amp;VAR:CALENDAR=US&amp;VAR:SYMBOL=RAI&amp;VAR:INDEX=0"}</definedName>
    <definedName name="_2585__FDSAUDITLINK__" hidden="1">{"fdsup://directions/FAT Viewer?action=UPDATE&amp;creator=factset&amp;DYN_ARGS=TRUE&amp;DOC_NAME=FAT:FQL_AUDITING_CLIENT_TEMPLATE.FAT&amp;display_string=Audit&amp;VAR:KEY=YLKJEFMHGZ&amp;VAR:QUERY=RkZfRElWX1lMRChBTk4sMTEvMjEvMDEsMTEvMjEvMDEp&amp;WINDOW=FIRST_POPUP&amp;HEIGHT=450&amp;WIDTH=450&amp;","START_MAXIMIZED=FALSE&amp;VAR:CALENDAR=US&amp;VAR:SYMBOL=RAI&amp;VAR:INDEX=0"}</definedName>
    <definedName name="_2586__FDSAUDITLINK__" localSheetId="0" hidden="1">{"fdsup://directions/FAT Viewer?action=UPDATE&amp;creator=factset&amp;DYN_ARGS=TRUE&amp;DOC_NAME=FAT:FQL_AUDITING_CLIENT_TEMPLATE.FAT&amp;display_string=Audit&amp;VAR:KEY=KPSPAHCTKR&amp;VAR:QUERY=RkZfRElWX1lMRChBTk4sMTEvMTQvMDEsMTEvMTQvMDEp&amp;WINDOW=FIRST_POPUP&amp;HEIGHT=450&amp;WIDTH=450&amp;","START_MAXIMIZED=FALSE&amp;VAR:CALENDAR=US&amp;VAR:SYMBOL=RAI&amp;VAR:INDEX=0"}</definedName>
    <definedName name="_2586__FDSAUDITLINK__" hidden="1">{"fdsup://directions/FAT Viewer?action=UPDATE&amp;creator=factset&amp;DYN_ARGS=TRUE&amp;DOC_NAME=FAT:FQL_AUDITING_CLIENT_TEMPLATE.FAT&amp;display_string=Audit&amp;VAR:KEY=KPSPAHCTKR&amp;VAR:QUERY=RkZfRElWX1lMRChBTk4sMTEvMTQvMDEsMTEvMTQvMDEp&amp;WINDOW=FIRST_POPUP&amp;HEIGHT=450&amp;WIDTH=450&amp;","START_MAXIMIZED=FALSE&amp;VAR:CALENDAR=US&amp;VAR:SYMBOL=RAI&amp;VAR:INDEX=0"}</definedName>
    <definedName name="_2587__FDSAUDITLINK__" localSheetId="0" hidden="1">{"fdsup://directions/FAT Viewer?action=UPDATE&amp;creator=factset&amp;DYN_ARGS=TRUE&amp;DOC_NAME=FAT:FQL_AUDITING_CLIENT_TEMPLATE.FAT&amp;display_string=Audit&amp;VAR:KEY=OPMZAPQRWF&amp;VAR:QUERY=RkZfRElWX1lMRChBTk4sMTEvMDcvMDEsMTEvMDcvMDEp&amp;WINDOW=FIRST_POPUP&amp;HEIGHT=450&amp;WIDTH=450&amp;","START_MAXIMIZED=FALSE&amp;VAR:CALENDAR=US&amp;VAR:SYMBOL=RAI&amp;VAR:INDEX=0"}</definedName>
    <definedName name="_2587__FDSAUDITLINK__" hidden="1">{"fdsup://directions/FAT Viewer?action=UPDATE&amp;creator=factset&amp;DYN_ARGS=TRUE&amp;DOC_NAME=FAT:FQL_AUDITING_CLIENT_TEMPLATE.FAT&amp;display_string=Audit&amp;VAR:KEY=OPMZAPQRWF&amp;VAR:QUERY=RkZfRElWX1lMRChBTk4sMTEvMDcvMDEsMTEvMDcvMDEp&amp;WINDOW=FIRST_POPUP&amp;HEIGHT=450&amp;WIDTH=450&amp;","START_MAXIMIZED=FALSE&amp;VAR:CALENDAR=US&amp;VAR:SYMBOL=RAI&amp;VAR:INDEX=0"}</definedName>
    <definedName name="_2588__FDSAUDITLINK__" localSheetId="0" hidden="1">{"fdsup://directions/FAT Viewer?action=UPDATE&amp;creator=factset&amp;DYN_ARGS=TRUE&amp;DOC_NAME=FAT:FQL_AUDITING_CLIENT_TEMPLATE.FAT&amp;display_string=Audit&amp;VAR:KEY=YPYFKPSVMP&amp;VAR:QUERY=RkZfRElWX1lMRChBTk4sMTAvMzEvMDEsMTAvMzEvMDEp&amp;WINDOW=FIRST_POPUP&amp;HEIGHT=450&amp;WIDTH=450&amp;","START_MAXIMIZED=FALSE&amp;VAR:CALENDAR=US&amp;VAR:SYMBOL=RAI&amp;VAR:INDEX=0"}</definedName>
    <definedName name="_2588__FDSAUDITLINK__" hidden="1">{"fdsup://directions/FAT Viewer?action=UPDATE&amp;creator=factset&amp;DYN_ARGS=TRUE&amp;DOC_NAME=FAT:FQL_AUDITING_CLIENT_TEMPLATE.FAT&amp;display_string=Audit&amp;VAR:KEY=YPYFKPSVMP&amp;VAR:QUERY=RkZfRElWX1lMRChBTk4sMTAvMzEvMDEsMTAvMzEvMDEp&amp;WINDOW=FIRST_POPUP&amp;HEIGHT=450&amp;WIDTH=450&amp;","START_MAXIMIZED=FALSE&amp;VAR:CALENDAR=US&amp;VAR:SYMBOL=RAI&amp;VAR:INDEX=0"}</definedName>
    <definedName name="_2589__FDSAUDITLINK__" localSheetId="0" hidden="1">{"fdsup://directions/FAT Viewer?action=UPDATE&amp;creator=factset&amp;DYN_ARGS=TRUE&amp;DOC_NAME=FAT:FQL_AUDITING_CLIENT_TEMPLATE.FAT&amp;display_string=Audit&amp;VAR:KEY=GFWFOTYVWR&amp;VAR:QUERY=RkZfRElWX1lMRChBTk4sMTAvMjQvMDEsMTAvMjQvMDEp&amp;WINDOW=FIRST_POPUP&amp;HEIGHT=450&amp;WIDTH=450&amp;","START_MAXIMIZED=FALSE&amp;VAR:CALENDAR=US&amp;VAR:SYMBOL=RAI&amp;VAR:INDEX=0"}</definedName>
    <definedName name="_2589__FDSAUDITLINK__" hidden="1">{"fdsup://directions/FAT Viewer?action=UPDATE&amp;creator=factset&amp;DYN_ARGS=TRUE&amp;DOC_NAME=FAT:FQL_AUDITING_CLIENT_TEMPLATE.FAT&amp;display_string=Audit&amp;VAR:KEY=GFWFOTYVWR&amp;VAR:QUERY=RkZfRElWX1lMRChBTk4sMTAvMjQvMDEsMTAvMjQvMDEp&amp;WINDOW=FIRST_POPUP&amp;HEIGHT=450&amp;WIDTH=450&amp;","START_MAXIMIZED=FALSE&amp;VAR:CALENDAR=US&amp;VAR:SYMBOL=RAI&amp;VAR:INDEX=0"}</definedName>
    <definedName name="_259">#REF!</definedName>
    <definedName name="_259__FDSAUDITLINK__" localSheetId="0" hidden="1">{"fdsup://directions/FAT Viewer?action=UPDATE&amp;creator=factset&amp;DYN_ARGS=TRUE&amp;DOC_NAME=FAT:FQL_AUDITING_CLIENT_TEMPLATE.FAT&amp;display_string=Audit&amp;VAR:KEY=VUBERURSHO&amp;VAR:QUERY=RkZfRElWX1lMRChBTk4sNC8yMC8wNiw0LzIwLzA2KQ==&amp;WINDOW=FIRST_POPUP&amp;HEIGHT=450&amp;WIDTH=450&amp;","START_MAXIMIZED=FALSE&amp;VAR:CALENDAR=US&amp;VAR:SYMBOL=RAI&amp;VAR:INDEX=0"}</definedName>
    <definedName name="_259__FDSAUDITLINK__" hidden="1">{"fdsup://directions/FAT Viewer?action=UPDATE&amp;creator=factset&amp;DYN_ARGS=TRUE&amp;DOC_NAME=FAT:FQL_AUDITING_CLIENT_TEMPLATE.FAT&amp;display_string=Audit&amp;VAR:KEY=VUBERURSHO&amp;VAR:QUERY=RkZfRElWX1lMRChBTk4sNC8yMC8wNiw0LzIwLzA2KQ==&amp;WINDOW=FIRST_POPUP&amp;HEIGHT=450&amp;WIDTH=450&amp;","START_MAXIMIZED=FALSE&amp;VAR:CALENDAR=US&amp;VAR:SYMBOL=RAI&amp;VAR:INDEX=0"}</definedName>
    <definedName name="_2590__FDSAUDITLINK__" localSheetId="0" hidden="1">{"fdsup://directions/FAT Viewer?action=UPDATE&amp;creator=factset&amp;DYN_ARGS=TRUE&amp;DOC_NAME=FAT:FQL_AUDITING_CLIENT_TEMPLATE.FAT&amp;display_string=Audit&amp;VAR:KEY=KVMFMXKRGH&amp;VAR:QUERY=RkZfRElWX1lMRChBTk4sMTAvMTcvMDEsMTAvMTcvMDEp&amp;WINDOW=FIRST_POPUP&amp;HEIGHT=450&amp;WIDTH=450&amp;","START_MAXIMIZED=FALSE&amp;VAR:CALENDAR=US&amp;VAR:SYMBOL=RAI&amp;VAR:INDEX=0"}</definedName>
    <definedName name="_2590__FDSAUDITLINK__" hidden="1">{"fdsup://directions/FAT Viewer?action=UPDATE&amp;creator=factset&amp;DYN_ARGS=TRUE&amp;DOC_NAME=FAT:FQL_AUDITING_CLIENT_TEMPLATE.FAT&amp;display_string=Audit&amp;VAR:KEY=KVMFMXKRGH&amp;VAR:QUERY=RkZfRElWX1lMRChBTk4sMTAvMTcvMDEsMTAvMTcvMDEp&amp;WINDOW=FIRST_POPUP&amp;HEIGHT=450&amp;WIDTH=450&amp;","START_MAXIMIZED=FALSE&amp;VAR:CALENDAR=US&amp;VAR:SYMBOL=RAI&amp;VAR:INDEX=0"}</definedName>
    <definedName name="_2591__FDSAUDITLINK__" localSheetId="0" hidden="1">{"fdsup://directions/FAT Viewer?action=UPDATE&amp;creator=factset&amp;DYN_ARGS=TRUE&amp;DOC_NAME=FAT:FQL_AUDITING_CLIENT_TEMPLATE.FAT&amp;display_string=Audit&amp;VAR:KEY=CZSNWFUFAR&amp;VAR:QUERY=RkZfRElWX1lMRChBTk4sMTAvMTAvMDEsMTAvMTAvMDEp&amp;WINDOW=FIRST_POPUP&amp;HEIGHT=450&amp;WIDTH=450&amp;","START_MAXIMIZED=FALSE&amp;VAR:CALENDAR=US&amp;VAR:SYMBOL=RAI&amp;VAR:INDEX=0"}</definedName>
    <definedName name="_2591__FDSAUDITLINK__" hidden="1">{"fdsup://directions/FAT Viewer?action=UPDATE&amp;creator=factset&amp;DYN_ARGS=TRUE&amp;DOC_NAME=FAT:FQL_AUDITING_CLIENT_TEMPLATE.FAT&amp;display_string=Audit&amp;VAR:KEY=CZSNWFUFAR&amp;VAR:QUERY=RkZfRElWX1lMRChBTk4sMTAvMTAvMDEsMTAvMTAvMDEp&amp;WINDOW=FIRST_POPUP&amp;HEIGHT=450&amp;WIDTH=450&amp;","START_MAXIMIZED=FALSE&amp;VAR:CALENDAR=US&amp;VAR:SYMBOL=RAI&amp;VAR:INDEX=0"}</definedName>
    <definedName name="_2592__FDSAUDITLINK__" localSheetId="0" hidden="1">{"fdsup://directions/FAT Viewer?action=UPDATE&amp;creator=factset&amp;DYN_ARGS=TRUE&amp;DOC_NAME=FAT:FQL_AUDITING_CLIENT_TEMPLATE.FAT&amp;display_string=Audit&amp;VAR:KEY=WJGXWVWTIP&amp;VAR:QUERY=RkZfRElWX1lMRChBTk4sMTAvMDMvMDEsMTAvMDMvMDEp&amp;WINDOW=FIRST_POPUP&amp;HEIGHT=450&amp;WIDTH=450&amp;","START_MAXIMIZED=FALSE&amp;VAR:CALENDAR=US&amp;VAR:SYMBOL=RAI&amp;VAR:INDEX=0"}</definedName>
    <definedName name="_2592__FDSAUDITLINK__" hidden="1">{"fdsup://directions/FAT Viewer?action=UPDATE&amp;creator=factset&amp;DYN_ARGS=TRUE&amp;DOC_NAME=FAT:FQL_AUDITING_CLIENT_TEMPLATE.FAT&amp;display_string=Audit&amp;VAR:KEY=WJGXWVWTIP&amp;VAR:QUERY=RkZfRElWX1lMRChBTk4sMTAvMDMvMDEsMTAvMDMvMDEp&amp;WINDOW=FIRST_POPUP&amp;HEIGHT=450&amp;WIDTH=450&amp;","START_MAXIMIZED=FALSE&amp;VAR:CALENDAR=US&amp;VAR:SYMBOL=RAI&amp;VAR:INDEX=0"}</definedName>
    <definedName name="_2593__FDSAUDITLINK__" localSheetId="0" hidden="1">{"fdsup://directions/FAT Viewer?action=UPDATE&amp;creator=factset&amp;DYN_ARGS=TRUE&amp;DOC_NAME=FAT:FQL_AUDITING_CLIENT_TEMPLATE.FAT&amp;display_string=Audit&amp;VAR:KEY=SNABULILWD&amp;VAR:QUERY=RkZfRElWX1lMRChBTk4sOS8yNi8wMSw5LzI2LzAxKQ==&amp;WINDOW=FIRST_POPUP&amp;HEIGHT=450&amp;WIDTH=450&amp;","START_MAXIMIZED=FALSE&amp;VAR:CALENDAR=US&amp;VAR:SYMBOL=RAI&amp;VAR:INDEX=0"}</definedName>
    <definedName name="_2593__FDSAUDITLINK__" hidden="1">{"fdsup://directions/FAT Viewer?action=UPDATE&amp;creator=factset&amp;DYN_ARGS=TRUE&amp;DOC_NAME=FAT:FQL_AUDITING_CLIENT_TEMPLATE.FAT&amp;display_string=Audit&amp;VAR:KEY=SNABULILWD&amp;VAR:QUERY=RkZfRElWX1lMRChBTk4sOS8yNi8wMSw5LzI2LzAxKQ==&amp;WINDOW=FIRST_POPUP&amp;HEIGHT=450&amp;WIDTH=450&amp;","START_MAXIMIZED=FALSE&amp;VAR:CALENDAR=US&amp;VAR:SYMBOL=RAI&amp;VAR:INDEX=0"}</definedName>
    <definedName name="_2594__FDSAUDITLINK__" localSheetId="0" hidden="1">{"fdsup://directions/FAT Viewer?action=UPDATE&amp;creator=factset&amp;DYN_ARGS=TRUE&amp;DOC_NAME=FAT:FQL_AUDITING_CLIENT_TEMPLATE.FAT&amp;display_string=Audit&amp;VAR:KEY=WHSTIPONAP&amp;VAR:QUERY=RkZfRElWX1lMRChBTk4sOS8xOS8wMSw5LzE5LzAxKQ==&amp;WINDOW=FIRST_POPUP&amp;HEIGHT=450&amp;WIDTH=450&amp;","START_MAXIMIZED=FALSE&amp;VAR:CALENDAR=US&amp;VAR:SYMBOL=RAI&amp;VAR:INDEX=0"}</definedName>
    <definedName name="_2594__FDSAUDITLINK__" hidden="1">{"fdsup://directions/FAT Viewer?action=UPDATE&amp;creator=factset&amp;DYN_ARGS=TRUE&amp;DOC_NAME=FAT:FQL_AUDITING_CLIENT_TEMPLATE.FAT&amp;display_string=Audit&amp;VAR:KEY=WHSTIPONAP&amp;VAR:QUERY=RkZfRElWX1lMRChBTk4sOS8xOS8wMSw5LzE5LzAxKQ==&amp;WINDOW=FIRST_POPUP&amp;HEIGHT=450&amp;WIDTH=450&amp;","START_MAXIMIZED=FALSE&amp;VAR:CALENDAR=US&amp;VAR:SYMBOL=RAI&amp;VAR:INDEX=0"}</definedName>
    <definedName name="_2595__FDSAUDITLINK__" localSheetId="0" hidden="1">{"fdsup://directions/FAT Viewer?action=UPDATE&amp;creator=factset&amp;DYN_ARGS=TRUE&amp;DOC_NAME=FAT:FQL_AUDITING_CLIENT_TEMPLATE.FAT&amp;display_string=Audit&amp;VAR:KEY=MZEJWRCTWN&amp;VAR:QUERY=RkZfRElWX1lMRChBTk4sOS8xMC8wMSw5LzEwLzAxKQ==&amp;WINDOW=FIRST_POPUP&amp;HEIGHT=450&amp;WIDTH=450&amp;","START_MAXIMIZED=FALSE&amp;VAR:CALENDAR=US&amp;VAR:SYMBOL=RAI&amp;VAR:INDEX=0"}</definedName>
    <definedName name="_2595__FDSAUDITLINK__" hidden="1">{"fdsup://directions/FAT Viewer?action=UPDATE&amp;creator=factset&amp;DYN_ARGS=TRUE&amp;DOC_NAME=FAT:FQL_AUDITING_CLIENT_TEMPLATE.FAT&amp;display_string=Audit&amp;VAR:KEY=MZEJWRCTWN&amp;VAR:QUERY=RkZfRElWX1lMRChBTk4sOS8xMC8wMSw5LzEwLzAxKQ==&amp;WINDOW=FIRST_POPUP&amp;HEIGHT=450&amp;WIDTH=450&amp;","START_MAXIMIZED=FALSE&amp;VAR:CALENDAR=US&amp;VAR:SYMBOL=RAI&amp;VAR:INDEX=0"}</definedName>
    <definedName name="_2596__FDSAUDITLINK__" localSheetId="0" hidden="1">{"fdsup://directions/FAT Viewer?action=UPDATE&amp;creator=factset&amp;DYN_ARGS=TRUE&amp;DOC_NAME=FAT:FQL_AUDITING_CLIENT_TEMPLATE.FAT&amp;display_string=Audit&amp;VAR:KEY=MHYPINEDGN&amp;VAR:QUERY=RkZfRElWX1lMRChBTk4sOS8wNS8wMSw5LzA1LzAxKQ==&amp;WINDOW=FIRST_POPUP&amp;HEIGHT=450&amp;WIDTH=450&amp;","START_MAXIMIZED=FALSE&amp;VAR:CALENDAR=US&amp;VAR:SYMBOL=RAI&amp;VAR:INDEX=0"}</definedName>
    <definedName name="_2596__FDSAUDITLINK__" hidden="1">{"fdsup://directions/FAT Viewer?action=UPDATE&amp;creator=factset&amp;DYN_ARGS=TRUE&amp;DOC_NAME=FAT:FQL_AUDITING_CLIENT_TEMPLATE.FAT&amp;display_string=Audit&amp;VAR:KEY=MHYPINEDGN&amp;VAR:QUERY=RkZfRElWX1lMRChBTk4sOS8wNS8wMSw5LzA1LzAxKQ==&amp;WINDOW=FIRST_POPUP&amp;HEIGHT=450&amp;WIDTH=450&amp;","START_MAXIMIZED=FALSE&amp;VAR:CALENDAR=US&amp;VAR:SYMBOL=RAI&amp;VAR:INDEX=0"}</definedName>
    <definedName name="_2597__FDSAUDITLINK__" localSheetId="0" hidden="1">{"fdsup://directions/FAT Viewer?action=UPDATE&amp;creator=factset&amp;DYN_ARGS=TRUE&amp;DOC_NAME=FAT:FQL_AUDITING_CLIENT_TEMPLATE.FAT&amp;display_string=Audit&amp;VAR:KEY=GHSDOJQTSL&amp;VAR:QUERY=RkZfRElWX1lMRChBTk4sOC8yOS8wMSw4LzI5LzAxKQ==&amp;WINDOW=FIRST_POPUP&amp;HEIGHT=450&amp;WIDTH=450&amp;","START_MAXIMIZED=FALSE&amp;VAR:CALENDAR=US&amp;VAR:SYMBOL=RAI&amp;VAR:INDEX=0"}</definedName>
    <definedName name="_2597__FDSAUDITLINK__" hidden="1">{"fdsup://directions/FAT Viewer?action=UPDATE&amp;creator=factset&amp;DYN_ARGS=TRUE&amp;DOC_NAME=FAT:FQL_AUDITING_CLIENT_TEMPLATE.FAT&amp;display_string=Audit&amp;VAR:KEY=GHSDOJQTSL&amp;VAR:QUERY=RkZfRElWX1lMRChBTk4sOC8yOS8wMSw4LzI5LzAxKQ==&amp;WINDOW=FIRST_POPUP&amp;HEIGHT=450&amp;WIDTH=450&amp;","START_MAXIMIZED=FALSE&amp;VAR:CALENDAR=US&amp;VAR:SYMBOL=RAI&amp;VAR:INDEX=0"}</definedName>
    <definedName name="_2598__FDSAUDITLINK__" localSheetId="0" hidden="1">{"fdsup://directions/FAT Viewer?action=UPDATE&amp;creator=factset&amp;DYN_ARGS=TRUE&amp;DOC_NAME=FAT:FQL_AUDITING_CLIENT_TEMPLATE.FAT&amp;display_string=Audit&amp;VAR:KEY=MLIFEJQBCD&amp;VAR:QUERY=RkZfRElWX1lMRChBTk4sOC8yMi8wMSw4LzIyLzAxKQ==&amp;WINDOW=FIRST_POPUP&amp;HEIGHT=450&amp;WIDTH=450&amp;","START_MAXIMIZED=FALSE&amp;VAR:CALENDAR=US&amp;VAR:SYMBOL=RAI&amp;VAR:INDEX=0"}</definedName>
    <definedName name="_2598__FDSAUDITLINK__" hidden="1">{"fdsup://directions/FAT Viewer?action=UPDATE&amp;creator=factset&amp;DYN_ARGS=TRUE&amp;DOC_NAME=FAT:FQL_AUDITING_CLIENT_TEMPLATE.FAT&amp;display_string=Audit&amp;VAR:KEY=MLIFEJQBCD&amp;VAR:QUERY=RkZfRElWX1lMRChBTk4sOC8yMi8wMSw4LzIyLzAxKQ==&amp;WINDOW=FIRST_POPUP&amp;HEIGHT=450&amp;WIDTH=450&amp;","START_MAXIMIZED=FALSE&amp;VAR:CALENDAR=US&amp;VAR:SYMBOL=RAI&amp;VAR:INDEX=0"}</definedName>
    <definedName name="_2599__FDSAUDITLINK__" localSheetId="0" hidden="1">{"fdsup://directions/FAT Viewer?action=UPDATE&amp;creator=factset&amp;DYN_ARGS=TRUE&amp;DOC_NAME=FAT:FQL_AUDITING_CLIENT_TEMPLATE.FAT&amp;display_string=Audit&amp;VAR:KEY=OTQRSVCVKX&amp;VAR:QUERY=RkZfRElWX1lMRChBTk4sOC8xNS8wMSw4LzE1LzAxKQ==&amp;WINDOW=FIRST_POPUP&amp;HEIGHT=450&amp;WIDTH=450&amp;","START_MAXIMIZED=FALSE&amp;VAR:CALENDAR=US&amp;VAR:SYMBOL=RAI&amp;VAR:INDEX=0"}</definedName>
    <definedName name="_2599__FDSAUDITLINK__" hidden="1">{"fdsup://directions/FAT Viewer?action=UPDATE&amp;creator=factset&amp;DYN_ARGS=TRUE&amp;DOC_NAME=FAT:FQL_AUDITING_CLIENT_TEMPLATE.FAT&amp;display_string=Audit&amp;VAR:KEY=OTQRSVCVKX&amp;VAR:QUERY=RkZfRElWX1lMRChBTk4sOC8xNS8wMSw4LzE1LzAxKQ==&amp;WINDOW=FIRST_POPUP&amp;HEIGHT=450&amp;WIDTH=450&amp;","START_MAXIMIZED=FALSE&amp;VAR:CALENDAR=US&amp;VAR:SYMBOL=RAI&amp;VAR:INDEX=0"}</definedName>
    <definedName name="_25s5_" hidden="1">{#N/A,#N/A,FALSE,"UNIT";#N/A,#N/A,FALSE,"UNIT";#N/A,#N/A,FALSE,"계정"}</definedName>
    <definedName name="_26">#REF!</definedName>
    <definedName name="_26________NOTE10_12">#REF!</definedName>
    <definedName name="_26__123Graph_ATAX_CREDIT">#REF!</definedName>
    <definedName name="_26__123Graph_BCHART_4">#REF!</definedName>
    <definedName name="_26__123Graph_BGROWTH_REVS_B" hidden="1">#REF!</definedName>
    <definedName name="_26__123Graph_BWAGES_BY_B_U">#REF!</definedName>
    <definedName name="_26__123Graph_CChart_19K">#REF!</definedName>
    <definedName name="_26__123Graph_CCONTRACT_BY_B_U">#REF!</definedName>
    <definedName name="_26__123Graph_CSUPPLIES_BY_B_U">#REF!</definedName>
    <definedName name="_26__123Graph_DSUPPLIES_BY_B_U">#REF!</definedName>
    <definedName name="_26__123Graph_DWAGES_BY_B_U">#REF!</definedName>
    <definedName name="_26__123Graph_EQRE_S_BY_CO." hidden="1">#REF!</definedName>
    <definedName name="_26__123Graph_ESUPPLIES_BY_B_U">#REF!</definedName>
    <definedName name="_26__123Graph_EWAGES_BY_B_U">#REF!</definedName>
    <definedName name="_26__123Graph_FCONTRACT_BY_B_U">#REF!</definedName>
    <definedName name="_26__FDSAUDITLINK__" localSheetId="0" hidden="1">{"fdsup://directions/FAT Viewer?action=UPDATE&amp;creator=factset&amp;DYN_ARGS=TRUE&amp;DOC_NAME=FAT:FQL_AUDITING_CLIENT_TEMPLATE.FAT&amp;display_string=Audit&amp;VAR:KEY=UFIBSBQHIV&amp;VAR:QUERY=RkZfRU5UUlBSX1ZBTF9EQUlMWSgwLCwsLCwnRElMJyk=&amp;WINDOW=FIRST_POPUP&amp;HEIGHT=450&amp;WIDTH=450&amp;","START_MAXIMIZED=FALSE&amp;VAR:CALENDAR=US&amp;VAR:SYMBOL=TAP&amp;VAR:INDEX=0"}</definedName>
    <definedName name="_26__FDSAUDITLINK__" hidden="1">{"fdsup://directions/FAT Viewer?action=UPDATE&amp;creator=factset&amp;DYN_ARGS=TRUE&amp;DOC_NAME=FAT:FQL_AUDITING_CLIENT_TEMPLATE.FAT&amp;display_string=Audit&amp;VAR:KEY=UFIBSBQHIV&amp;VAR:QUERY=RkZfRU5UUlBSX1ZBTF9EQUlMWSgwLCwsLCwnRElMJyk=&amp;WINDOW=FIRST_POPUP&amp;HEIGHT=450&amp;WIDTH=450&amp;","START_MAXIMIZED=FALSE&amp;VAR:CALENDAR=US&amp;VAR:SYMBOL=TAP&amp;VAR:INDEX=0"}</definedName>
    <definedName name="_26_10_1999">#REF!</definedName>
    <definedName name="_260__FDSAUDITLINK__" localSheetId="0" hidden="1">{"fdsup://directions/FAT Viewer?action=UPDATE&amp;creator=factset&amp;DYN_ARGS=TRUE&amp;DOC_NAME=FAT:FQL_AUDITING_CLIENT_TEMPLATE.FAT&amp;display_string=Audit&amp;VAR:KEY=LYTQBIPELC&amp;VAR:QUERY=RkZfRElWX1lMRChBTk4sNC8xMy8wNiw0LzEzLzA2KQ==&amp;WINDOW=FIRST_POPUP&amp;HEIGHT=450&amp;WIDTH=450&amp;","START_MAXIMIZED=FALSE&amp;VAR:CALENDAR=US&amp;VAR:SYMBOL=RAI&amp;VAR:INDEX=0"}</definedName>
    <definedName name="_260__FDSAUDITLINK__" hidden="1">{"fdsup://directions/FAT Viewer?action=UPDATE&amp;creator=factset&amp;DYN_ARGS=TRUE&amp;DOC_NAME=FAT:FQL_AUDITING_CLIENT_TEMPLATE.FAT&amp;display_string=Audit&amp;VAR:KEY=LYTQBIPELC&amp;VAR:QUERY=RkZfRElWX1lMRChBTk4sNC8xMy8wNiw0LzEzLzA2KQ==&amp;WINDOW=FIRST_POPUP&amp;HEIGHT=450&amp;WIDTH=450&amp;","START_MAXIMIZED=FALSE&amp;VAR:CALENDAR=US&amp;VAR:SYMBOL=RAI&amp;VAR:INDEX=0"}</definedName>
    <definedName name="_2600__FDSAUDITLINK__" localSheetId="0" hidden="1">{"fdsup://directions/FAT Viewer?action=UPDATE&amp;creator=factset&amp;DYN_ARGS=TRUE&amp;DOC_NAME=FAT:FQL_AUDITING_CLIENT_TEMPLATE.FAT&amp;display_string=Audit&amp;VAR:KEY=CDSFUVCPKN&amp;VAR:QUERY=RkZfRElWX1lMRChBTk4sOC8wOC8wMSw4LzA4LzAxKQ==&amp;WINDOW=FIRST_POPUP&amp;HEIGHT=450&amp;WIDTH=450&amp;","START_MAXIMIZED=FALSE&amp;VAR:CALENDAR=US&amp;VAR:SYMBOL=RAI&amp;VAR:INDEX=0"}</definedName>
    <definedName name="_2600__FDSAUDITLINK__" hidden="1">{"fdsup://directions/FAT Viewer?action=UPDATE&amp;creator=factset&amp;DYN_ARGS=TRUE&amp;DOC_NAME=FAT:FQL_AUDITING_CLIENT_TEMPLATE.FAT&amp;display_string=Audit&amp;VAR:KEY=CDSFUVCPKN&amp;VAR:QUERY=RkZfRElWX1lMRChBTk4sOC8wOC8wMSw4LzA4LzAxKQ==&amp;WINDOW=FIRST_POPUP&amp;HEIGHT=450&amp;WIDTH=450&amp;","START_MAXIMIZED=FALSE&amp;VAR:CALENDAR=US&amp;VAR:SYMBOL=RAI&amp;VAR:INDEX=0"}</definedName>
    <definedName name="_2601__FDSAUDITLINK__" localSheetId="0" hidden="1">{"fdsup://directions/FAT Viewer?action=UPDATE&amp;creator=factset&amp;DYN_ARGS=TRUE&amp;DOC_NAME=FAT:FQL_AUDITING_CLIENT_TEMPLATE.FAT&amp;display_string=Audit&amp;VAR:KEY=ITEZYXANEZ&amp;VAR:QUERY=RkZfRElWX1lMRChBTk4sOC8wMS8wMSw4LzAxLzAxKQ==&amp;WINDOW=FIRST_POPUP&amp;HEIGHT=450&amp;WIDTH=450&amp;","START_MAXIMIZED=FALSE&amp;VAR:CALENDAR=US&amp;VAR:SYMBOL=RAI&amp;VAR:INDEX=0"}</definedName>
    <definedName name="_2601__FDSAUDITLINK__" hidden="1">{"fdsup://directions/FAT Viewer?action=UPDATE&amp;creator=factset&amp;DYN_ARGS=TRUE&amp;DOC_NAME=FAT:FQL_AUDITING_CLIENT_TEMPLATE.FAT&amp;display_string=Audit&amp;VAR:KEY=ITEZYXANEZ&amp;VAR:QUERY=RkZfRElWX1lMRChBTk4sOC8wMS8wMSw4LzAxLzAxKQ==&amp;WINDOW=FIRST_POPUP&amp;HEIGHT=450&amp;WIDTH=450&amp;","START_MAXIMIZED=FALSE&amp;VAR:CALENDAR=US&amp;VAR:SYMBOL=RAI&amp;VAR:INDEX=0"}</definedName>
    <definedName name="_2602__FDSAUDITLINK__" localSheetId="0" hidden="1">{"fdsup://directions/FAT Viewer?action=UPDATE&amp;creator=factset&amp;DYN_ARGS=TRUE&amp;DOC_NAME=FAT:FQL_AUDITING_CLIENT_TEMPLATE.FAT&amp;display_string=Audit&amp;VAR:KEY=YTUTCLWRMJ&amp;VAR:QUERY=RkZfRElWX1lMRChBTk4sNy8yNS8wMSw3LzI1LzAxKQ==&amp;WINDOW=FIRST_POPUP&amp;HEIGHT=450&amp;WIDTH=450&amp;","START_MAXIMIZED=FALSE&amp;VAR:CALENDAR=US&amp;VAR:SYMBOL=RAI&amp;VAR:INDEX=0"}</definedName>
    <definedName name="_2602__FDSAUDITLINK__" hidden="1">{"fdsup://directions/FAT Viewer?action=UPDATE&amp;creator=factset&amp;DYN_ARGS=TRUE&amp;DOC_NAME=FAT:FQL_AUDITING_CLIENT_TEMPLATE.FAT&amp;display_string=Audit&amp;VAR:KEY=YTUTCLWRMJ&amp;VAR:QUERY=RkZfRElWX1lMRChBTk4sNy8yNS8wMSw3LzI1LzAxKQ==&amp;WINDOW=FIRST_POPUP&amp;HEIGHT=450&amp;WIDTH=450&amp;","START_MAXIMIZED=FALSE&amp;VAR:CALENDAR=US&amp;VAR:SYMBOL=RAI&amp;VAR:INDEX=0"}</definedName>
    <definedName name="_2603__FDSAUDITLINK__" localSheetId="0" hidden="1">{"fdsup://directions/FAT Viewer?action=UPDATE&amp;creator=factset&amp;DYN_ARGS=TRUE&amp;DOC_NAME=FAT:FQL_AUDITING_CLIENT_TEMPLATE.FAT&amp;display_string=Audit&amp;VAR:KEY=IRGTEBCDUN&amp;VAR:QUERY=RkZfRElWX1lMRChBTk4sNy8xOC8wMSw3LzE4LzAxKQ==&amp;WINDOW=FIRST_POPUP&amp;HEIGHT=450&amp;WIDTH=450&amp;","START_MAXIMIZED=FALSE&amp;VAR:CALENDAR=US&amp;VAR:SYMBOL=RAI&amp;VAR:INDEX=0"}</definedName>
    <definedName name="_2603__FDSAUDITLINK__" hidden="1">{"fdsup://directions/FAT Viewer?action=UPDATE&amp;creator=factset&amp;DYN_ARGS=TRUE&amp;DOC_NAME=FAT:FQL_AUDITING_CLIENT_TEMPLATE.FAT&amp;display_string=Audit&amp;VAR:KEY=IRGTEBCDUN&amp;VAR:QUERY=RkZfRElWX1lMRChBTk4sNy8xOC8wMSw3LzE4LzAxKQ==&amp;WINDOW=FIRST_POPUP&amp;HEIGHT=450&amp;WIDTH=450&amp;","START_MAXIMIZED=FALSE&amp;VAR:CALENDAR=US&amp;VAR:SYMBOL=RAI&amp;VAR:INDEX=0"}</definedName>
    <definedName name="_2604__FDSAUDITLINK__" localSheetId="0" hidden="1">{"fdsup://directions/FAT Viewer?action=UPDATE&amp;creator=factset&amp;DYN_ARGS=TRUE&amp;DOC_NAME=FAT:FQL_AUDITING_CLIENT_TEMPLATE.FAT&amp;display_string=Audit&amp;VAR:KEY=KDINOLCVMB&amp;VAR:QUERY=RkZfRElWX1lMRChBTk4sNy8xMS8wMSw3LzExLzAxKQ==&amp;WINDOW=FIRST_POPUP&amp;HEIGHT=450&amp;WIDTH=450&amp;","START_MAXIMIZED=FALSE&amp;VAR:CALENDAR=US&amp;VAR:SYMBOL=RAI&amp;VAR:INDEX=0"}</definedName>
    <definedName name="_2604__FDSAUDITLINK__" hidden="1">{"fdsup://directions/FAT Viewer?action=UPDATE&amp;creator=factset&amp;DYN_ARGS=TRUE&amp;DOC_NAME=FAT:FQL_AUDITING_CLIENT_TEMPLATE.FAT&amp;display_string=Audit&amp;VAR:KEY=KDINOLCVMB&amp;VAR:QUERY=RkZfRElWX1lMRChBTk4sNy8xMS8wMSw3LzExLzAxKQ==&amp;WINDOW=FIRST_POPUP&amp;HEIGHT=450&amp;WIDTH=450&amp;","START_MAXIMIZED=FALSE&amp;VAR:CALENDAR=US&amp;VAR:SYMBOL=RAI&amp;VAR:INDEX=0"}</definedName>
    <definedName name="_2605__FDSAUDITLINK__" localSheetId="0" hidden="1">{"fdsup://directions/FAT Viewer?action=UPDATE&amp;creator=factset&amp;DYN_ARGS=TRUE&amp;DOC_NAME=FAT:FQL_AUDITING_CLIENT_TEMPLATE.FAT&amp;display_string=Audit&amp;VAR:KEY=WHSZORUTST&amp;VAR:QUERY=RkZfRElWX1lMRChBTk4sNy8wMy8wMSw3LzAzLzAxKQ==&amp;WINDOW=FIRST_POPUP&amp;HEIGHT=450&amp;WIDTH=450&amp;","START_MAXIMIZED=FALSE&amp;VAR:CALENDAR=US&amp;VAR:SYMBOL=RAI&amp;VAR:INDEX=0"}</definedName>
    <definedName name="_2605__FDSAUDITLINK__" hidden="1">{"fdsup://directions/FAT Viewer?action=UPDATE&amp;creator=factset&amp;DYN_ARGS=TRUE&amp;DOC_NAME=FAT:FQL_AUDITING_CLIENT_TEMPLATE.FAT&amp;display_string=Audit&amp;VAR:KEY=WHSZORUTST&amp;VAR:QUERY=RkZfRElWX1lMRChBTk4sNy8wMy8wMSw3LzAzLzAxKQ==&amp;WINDOW=FIRST_POPUP&amp;HEIGHT=450&amp;WIDTH=450&amp;","START_MAXIMIZED=FALSE&amp;VAR:CALENDAR=US&amp;VAR:SYMBOL=RAI&amp;VAR:INDEX=0"}</definedName>
    <definedName name="_2606__FDSAUDITLINK__" localSheetId="0" hidden="1">{"fdsup://directions/FAT Viewer?action=UPDATE&amp;creator=factset&amp;DYN_ARGS=TRUE&amp;DOC_NAME=FAT:FQL_AUDITING_CLIENT_TEMPLATE.FAT&amp;display_string=Audit&amp;VAR:KEY=IXAPGXGBGB&amp;VAR:QUERY=RkZfRElWX1lMRChBTk4sNi8yNy8wMSw2LzI3LzAxKQ==&amp;WINDOW=FIRST_POPUP&amp;HEIGHT=450&amp;WIDTH=450&amp;","START_MAXIMIZED=FALSE&amp;VAR:CALENDAR=US&amp;VAR:SYMBOL=RAI&amp;VAR:INDEX=0"}</definedName>
    <definedName name="_2606__FDSAUDITLINK__" hidden="1">{"fdsup://directions/FAT Viewer?action=UPDATE&amp;creator=factset&amp;DYN_ARGS=TRUE&amp;DOC_NAME=FAT:FQL_AUDITING_CLIENT_TEMPLATE.FAT&amp;display_string=Audit&amp;VAR:KEY=IXAPGXGBGB&amp;VAR:QUERY=RkZfRElWX1lMRChBTk4sNi8yNy8wMSw2LzI3LzAxKQ==&amp;WINDOW=FIRST_POPUP&amp;HEIGHT=450&amp;WIDTH=450&amp;","START_MAXIMIZED=FALSE&amp;VAR:CALENDAR=US&amp;VAR:SYMBOL=RAI&amp;VAR:INDEX=0"}</definedName>
    <definedName name="_2607__FDSAUDITLINK__" localSheetId="0" hidden="1">{"fdsup://directions/FAT Viewer?action=UPDATE&amp;creator=factset&amp;DYN_ARGS=TRUE&amp;DOC_NAME=FAT:FQL_AUDITING_CLIENT_TEMPLATE.FAT&amp;display_string=Audit&amp;VAR:KEY=UJQNKZGRCR&amp;VAR:QUERY=RkZfRElWX1lMRChBTk4sNi8yMC8wMSw2LzIwLzAxKQ==&amp;WINDOW=FIRST_POPUP&amp;HEIGHT=450&amp;WIDTH=450&amp;","START_MAXIMIZED=FALSE&amp;VAR:CALENDAR=US&amp;VAR:SYMBOL=RAI&amp;VAR:INDEX=0"}</definedName>
    <definedName name="_2607__FDSAUDITLINK__" hidden="1">{"fdsup://directions/FAT Viewer?action=UPDATE&amp;creator=factset&amp;DYN_ARGS=TRUE&amp;DOC_NAME=FAT:FQL_AUDITING_CLIENT_TEMPLATE.FAT&amp;display_string=Audit&amp;VAR:KEY=UJQNKZGRCR&amp;VAR:QUERY=RkZfRElWX1lMRChBTk4sNi8yMC8wMSw2LzIwLzAxKQ==&amp;WINDOW=FIRST_POPUP&amp;HEIGHT=450&amp;WIDTH=450&amp;","START_MAXIMIZED=FALSE&amp;VAR:CALENDAR=US&amp;VAR:SYMBOL=RAI&amp;VAR:INDEX=0"}</definedName>
    <definedName name="_2608__FDSAUDITLINK__" localSheetId="0" hidden="1">{"fdsup://directions/FAT Viewer?action=UPDATE&amp;creator=factset&amp;DYN_ARGS=TRUE&amp;DOC_NAME=FAT:FQL_AUDITING_CLIENT_TEMPLATE.FAT&amp;display_string=Audit&amp;VAR:KEY=ARKBABUBAT&amp;VAR:QUERY=RkZfRElWX1lMRChBTk4sNi8xMy8wMSw2LzEzLzAxKQ==&amp;WINDOW=FIRST_POPUP&amp;HEIGHT=450&amp;WIDTH=450&amp;","START_MAXIMIZED=FALSE&amp;VAR:CALENDAR=US&amp;VAR:SYMBOL=RAI&amp;VAR:INDEX=0"}</definedName>
    <definedName name="_2608__FDSAUDITLINK__" hidden="1">{"fdsup://directions/FAT Viewer?action=UPDATE&amp;creator=factset&amp;DYN_ARGS=TRUE&amp;DOC_NAME=FAT:FQL_AUDITING_CLIENT_TEMPLATE.FAT&amp;display_string=Audit&amp;VAR:KEY=ARKBABUBAT&amp;VAR:QUERY=RkZfRElWX1lMRChBTk4sNi8xMy8wMSw2LzEzLzAxKQ==&amp;WINDOW=FIRST_POPUP&amp;HEIGHT=450&amp;WIDTH=450&amp;","START_MAXIMIZED=FALSE&amp;VAR:CALENDAR=US&amp;VAR:SYMBOL=RAI&amp;VAR:INDEX=0"}</definedName>
    <definedName name="_2609">#REF!</definedName>
    <definedName name="_2609__FDSAUDITLINK__" localSheetId="0" hidden="1">{"fdsup://directions/FAT Viewer?action=UPDATE&amp;creator=factset&amp;DYN_ARGS=TRUE&amp;DOC_NAME=FAT:FQL_AUDITING_CLIENT_TEMPLATE.FAT&amp;display_string=Audit&amp;VAR:KEY=SLSDSHANQT&amp;VAR:QUERY=RkZfRElWX1lMRChBTk4sNi8wNi8wMSw2LzA2LzAxKQ==&amp;WINDOW=FIRST_POPUP&amp;HEIGHT=450&amp;WIDTH=450&amp;","START_MAXIMIZED=FALSE&amp;VAR:CALENDAR=US&amp;VAR:SYMBOL=RAI&amp;VAR:INDEX=0"}</definedName>
    <definedName name="_2609__FDSAUDITLINK__" hidden="1">{"fdsup://directions/FAT Viewer?action=UPDATE&amp;creator=factset&amp;DYN_ARGS=TRUE&amp;DOC_NAME=FAT:FQL_AUDITING_CLIENT_TEMPLATE.FAT&amp;display_string=Audit&amp;VAR:KEY=SLSDSHANQT&amp;VAR:QUERY=RkZfRElWX1lMRChBTk4sNi8wNi8wMSw2LzA2LzAxKQ==&amp;WINDOW=FIRST_POPUP&amp;HEIGHT=450&amp;WIDTH=450&amp;","START_MAXIMIZED=FALSE&amp;VAR:CALENDAR=US&amp;VAR:SYMBOL=RAI&amp;VAR:INDEX=0"}</definedName>
    <definedName name="_261__FDSAUDITLINK__" localSheetId="0" hidden="1">{"fdsup://directions/FAT Viewer?action=UPDATE&amp;creator=factset&amp;DYN_ARGS=TRUE&amp;DOC_NAME=FAT:FQL_AUDITING_CLIENT_TEMPLATE.FAT&amp;display_string=Audit&amp;VAR:KEY=LAVKTSBCNY&amp;VAR:QUERY=RkZfRElWX1lMRChBTk4sNC8wNi8wNiw0LzA2LzA2KQ==&amp;WINDOW=FIRST_POPUP&amp;HEIGHT=450&amp;WIDTH=450&amp;","START_MAXIMIZED=FALSE&amp;VAR:CALENDAR=US&amp;VAR:SYMBOL=RAI&amp;VAR:INDEX=0"}</definedName>
    <definedName name="_261__FDSAUDITLINK__" hidden="1">{"fdsup://directions/FAT Viewer?action=UPDATE&amp;creator=factset&amp;DYN_ARGS=TRUE&amp;DOC_NAME=FAT:FQL_AUDITING_CLIENT_TEMPLATE.FAT&amp;display_string=Audit&amp;VAR:KEY=LAVKTSBCNY&amp;VAR:QUERY=RkZfRElWX1lMRChBTk4sNC8wNi8wNiw0LzA2LzA2KQ==&amp;WINDOW=FIRST_POPUP&amp;HEIGHT=450&amp;WIDTH=450&amp;","START_MAXIMIZED=FALSE&amp;VAR:CALENDAR=US&amp;VAR:SYMBOL=RAI&amp;VAR:INDEX=0"}</definedName>
    <definedName name="_2610">#REF!</definedName>
    <definedName name="_2610__FDSAUDITLINK__" localSheetId="0" hidden="1">{"fdsup://directions/FAT Viewer?action=UPDATE&amp;creator=factset&amp;DYN_ARGS=TRUE&amp;DOC_NAME=FAT:FQL_AUDITING_CLIENT_TEMPLATE.FAT&amp;display_string=Audit&amp;VAR:KEY=IDQNSXYXQZ&amp;VAR:QUERY=RkZfRElWX1lMRChBTk4sNS8zMC8wMSw1LzMwLzAxKQ==&amp;WINDOW=FIRST_POPUP&amp;HEIGHT=450&amp;WIDTH=450&amp;","START_MAXIMIZED=FALSE&amp;VAR:CALENDAR=US&amp;VAR:SYMBOL=RAI&amp;VAR:INDEX=0"}</definedName>
    <definedName name="_2610__FDSAUDITLINK__" hidden="1">{"fdsup://directions/FAT Viewer?action=UPDATE&amp;creator=factset&amp;DYN_ARGS=TRUE&amp;DOC_NAME=FAT:FQL_AUDITING_CLIENT_TEMPLATE.FAT&amp;display_string=Audit&amp;VAR:KEY=IDQNSXYXQZ&amp;VAR:QUERY=RkZfRElWX1lMRChBTk4sNS8zMC8wMSw1LzMwLzAxKQ==&amp;WINDOW=FIRST_POPUP&amp;HEIGHT=450&amp;WIDTH=450&amp;","START_MAXIMIZED=FALSE&amp;VAR:CALENDAR=US&amp;VAR:SYMBOL=RAI&amp;VAR:INDEX=0"}</definedName>
    <definedName name="_2611__FDSAUDITLINK__" localSheetId="0" hidden="1">{"fdsup://directions/FAT Viewer?action=UPDATE&amp;creator=factset&amp;DYN_ARGS=TRUE&amp;DOC_NAME=FAT:FQL_AUDITING_CLIENT_TEMPLATE.FAT&amp;display_string=Audit&amp;VAR:KEY=AHGVKLWLIP&amp;VAR:QUERY=RkZfRElWX1lMRChBTk4sNS8yMy8wMSw1LzIzLzAxKQ==&amp;WINDOW=FIRST_POPUP&amp;HEIGHT=450&amp;WIDTH=450&amp;","START_MAXIMIZED=FALSE&amp;VAR:CALENDAR=US&amp;VAR:SYMBOL=RAI&amp;VAR:INDEX=0"}</definedName>
    <definedName name="_2611__FDSAUDITLINK__" hidden="1">{"fdsup://directions/FAT Viewer?action=UPDATE&amp;creator=factset&amp;DYN_ARGS=TRUE&amp;DOC_NAME=FAT:FQL_AUDITING_CLIENT_TEMPLATE.FAT&amp;display_string=Audit&amp;VAR:KEY=AHGVKLWLIP&amp;VAR:QUERY=RkZfRElWX1lMRChBTk4sNS8yMy8wMSw1LzIzLzAxKQ==&amp;WINDOW=FIRST_POPUP&amp;HEIGHT=450&amp;WIDTH=450&amp;","START_MAXIMIZED=FALSE&amp;VAR:CALENDAR=US&amp;VAR:SYMBOL=RAI&amp;VAR:INDEX=0"}</definedName>
    <definedName name="_2612">#REF!</definedName>
    <definedName name="_2612__FDSAUDITLINK__" localSheetId="0" hidden="1">{"fdsup://directions/FAT Viewer?action=UPDATE&amp;creator=factset&amp;DYN_ARGS=TRUE&amp;DOC_NAME=FAT:FQL_AUDITING_CLIENT_TEMPLATE.FAT&amp;display_string=Audit&amp;VAR:KEY=CDSXCXSZIL&amp;VAR:QUERY=RkZfRElWX1lMRChBTk4sNS8xNi8wMSw1LzE2LzAxKQ==&amp;WINDOW=FIRST_POPUP&amp;HEIGHT=450&amp;WIDTH=450&amp;","START_MAXIMIZED=FALSE&amp;VAR:CALENDAR=US&amp;VAR:SYMBOL=RAI&amp;VAR:INDEX=0"}</definedName>
    <definedName name="_2612__FDSAUDITLINK__" hidden="1">{"fdsup://directions/FAT Viewer?action=UPDATE&amp;creator=factset&amp;DYN_ARGS=TRUE&amp;DOC_NAME=FAT:FQL_AUDITING_CLIENT_TEMPLATE.FAT&amp;display_string=Audit&amp;VAR:KEY=CDSXCXSZIL&amp;VAR:QUERY=RkZfRElWX1lMRChBTk4sNS8xNi8wMSw1LzE2LzAxKQ==&amp;WINDOW=FIRST_POPUP&amp;HEIGHT=450&amp;WIDTH=450&amp;","START_MAXIMIZED=FALSE&amp;VAR:CALENDAR=US&amp;VAR:SYMBOL=RAI&amp;VAR:INDEX=0"}</definedName>
    <definedName name="_2613">#REF!</definedName>
    <definedName name="_2613__FDSAUDITLINK__" localSheetId="0" hidden="1">{"fdsup://directions/FAT Viewer?action=UPDATE&amp;creator=factset&amp;DYN_ARGS=TRUE&amp;DOC_NAME=FAT:FQL_AUDITING_CLIENT_TEMPLATE.FAT&amp;display_string=Audit&amp;VAR:KEY=IZAPCXWNSX&amp;VAR:QUERY=RkZfRElWX1lMRChBTk4sNS8wOS8wMSw1LzA5LzAxKQ==&amp;WINDOW=FIRST_POPUP&amp;HEIGHT=450&amp;WIDTH=450&amp;","START_MAXIMIZED=FALSE&amp;VAR:CALENDAR=US&amp;VAR:SYMBOL=RAI&amp;VAR:INDEX=0"}</definedName>
    <definedName name="_2613__FDSAUDITLINK__" hidden="1">{"fdsup://directions/FAT Viewer?action=UPDATE&amp;creator=factset&amp;DYN_ARGS=TRUE&amp;DOC_NAME=FAT:FQL_AUDITING_CLIENT_TEMPLATE.FAT&amp;display_string=Audit&amp;VAR:KEY=IZAPCXWNSX&amp;VAR:QUERY=RkZfRElWX1lMRChBTk4sNS8wOS8wMSw1LzA5LzAxKQ==&amp;WINDOW=FIRST_POPUP&amp;HEIGHT=450&amp;WIDTH=450&amp;","START_MAXIMIZED=FALSE&amp;VAR:CALENDAR=US&amp;VAR:SYMBOL=RAI&amp;VAR:INDEX=0"}</definedName>
    <definedName name="_2614__FDSAUDITLINK__" localSheetId="0" hidden="1">{"fdsup://directions/FAT Viewer?action=UPDATE&amp;creator=factset&amp;DYN_ARGS=TRUE&amp;DOC_NAME=FAT:FQL_AUDITING_CLIENT_TEMPLATE.FAT&amp;display_string=Audit&amp;VAR:KEY=CDSNABOZUB&amp;VAR:QUERY=RkZfRElWX1lMRChBTk4sNS8wMi8wMSw1LzAyLzAxKQ==&amp;WINDOW=FIRST_POPUP&amp;HEIGHT=450&amp;WIDTH=450&amp;","START_MAXIMIZED=FALSE&amp;VAR:CALENDAR=US&amp;VAR:SYMBOL=RAI&amp;VAR:INDEX=0"}</definedName>
    <definedName name="_2614__FDSAUDITLINK__" hidden="1">{"fdsup://directions/FAT Viewer?action=UPDATE&amp;creator=factset&amp;DYN_ARGS=TRUE&amp;DOC_NAME=FAT:FQL_AUDITING_CLIENT_TEMPLATE.FAT&amp;display_string=Audit&amp;VAR:KEY=CDSNABOZUB&amp;VAR:QUERY=RkZfRElWX1lMRChBTk4sNS8wMi8wMSw1LzAyLzAxKQ==&amp;WINDOW=FIRST_POPUP&amp;HEIGHT=450&amp;WIDTH=450&amp;","START_MAXIMIZED=FALSE&amp;VAR:CALENDAR=US&amp;VAR:SYMBOL=RAI&amp;VAR:INDEX=0"}</definedName>
    <definedName name="_2615">#REF!</definedName>
    <definedName name="_2615__FDSAUDITLINK__" localSheetId="0" hidden="1">{"fdsup://directions/FAT Viewer?action=UPDATE&amp;creator=factset&amp;DYN_ARGS=TRUE&amp;DOC_NAME=FAT:FQL_AUDITING_CLIENT_TEMPLATE.FAT&amp;display_string=Audit&amp;VAR:KEY=GFKVWTWTMD&amp;VAR:QUERY=RkZfRElWX1lMRChBTk4sNC8yNS8wMSw0LzI1LzAxKQ==&amp;WINDOW=FIRST_POPUP&amp;HEIGHT=450&amp;WIDTH=450&amp;","START_MAXIMIZED=FALSE&amp;VAR:CALENDAR=US&amp;VAR:SYMBOL=RAI&amp;VAR:INDEX=0"}</definedName>
    <definedName name="_2615__FDSAUDITLINK__" hidden="1">{"fdsup://directions/FAT Viewer?action=UPDATE&amp;creator=factset&amp;DYN_ARGS=TRUE&amp;DOC_NAME=FAT:FQL_AUDITING_CLIENT_TEMPLATE.FAT&amp;display_string=Audit&amp;VAR:KEY=GFKVWTWTMD&amp;VAR:QUERY=RkZfRElWX1lMRChBTk4sNC8yNS8wMSw0LzI1LzAxKQ==&amp;WINDOW=FIRST_POPUP&amp;HEIGHT=450&amp;WIDTH=450&amp;","START_MAXIMIZED=FALSE&amp;VAR:CALENDAR=US&amp;VAR:SYMBOL=RAI&amp;VAR:INDEX=0"}</definedName>
    <definedName name="_2616">#REF!</definedName>
    <definedName name="_2616__FDSAUDITLINK__" localSheetId="0" hidden="1">{"fdsup://directions/FAT Viewer?action=UPDATE&amp;creator=factset&amp;DYN_ARGS=TRUE&amp;DOC_NAME=FAT:FQL_AUDITING_CLIENT_TEMPLATE.FAT&amp;display_string=Audit&amp;VAR:KEY=EPQLAFKRQF&amp;VAR:QUERY=RkZfRElWX1lMRChBTk4sNC8xOC8wMSw0LzE4LzAxKQ==&amp;WINDOW=FIRST_POPUP&amp;HEIGHT=450&amp;WIDTH=450&amp;","START_MAXIMIZED=FALSE&amp;VAR:CALENDAR=US&amp;VAR:SYMBOL=RAI&amp;VAR:INDEX=0"}</definedName>
    <definedName name="_2616__FDSAUDITLINK__" hidden="1">{"fdsup://directions/FAT Viewer?action=UPDATE&amp;creator=factset&amp;DYN_ARGS=TRUE&amp;DOC_NAME=FAT:FQL_AUDITING_CLIENT_TEMPLATE.FAT&amp;display_string=Audit&amp;VAR:KEY=EPQLAFKRQF&amp;VAR:QUERY=RkZfRElWX1lMRChBTk4sNC8xOC8wMSw0LzE4LzAxKQ==&amp;WINDOW=FIRST_POPUP&amp;HEIGHT=450&amp;WIDTH=450&amp;","START_MAXIMIZED=FALSE&amp;VAR:CALENDAR=US&amp;VAR:SYMBOL=RAI&amp;VAR:INDEX=0"}</definedName>
    <definedName name="_2617__FDSAUDITLINK__" localSheetId="0" hidden="1">{"fdsup://directions/FAT Viewer?action=UPDATE&amp;creator=factset&amp;DYN_ARGS=TRUE&amp;DOC_NAME=FAT:FQL_AUDITING_CLIENT_TEMPLATE.FAT&amp;display_string=Audit&amp;VAR:KEY=WFMDYHMBAV&amp;VAR:QUERY=RkZfRElWX1lMRChBTk4sNC8xMS8wMSw0LzExLzAxKQ==&amp;WINDOW=FIRST_POPUP&amp;HEIGHT=450&amp;WIDTH=450&amp;","START_MAXIMIZED=FALSE&amp;VAR:CALENDAR=US&amp;VAR:SYMBOL=RAI&amp;VAR:INDEX=0"}</definedName>
    <definedName name="_2617__FDSAUDITLINK__" hidden="1">{"fdsup://directions/FAT Viewer?action=UPDATE&amp;creator=factset&amp;DYN_ARGS=TRUE&amp;DOC_NAME=FAT:FQL_AUDITING_CLIENT_TEMPLATE.FAT&amp;display_string=Audit&amp;VAR:KEY=WFMDYHMBAV&amp;VAR:QUERY=RkZfRElWX1lMRChBTk4sNC8xMS8wMSw0LzExLzAxKQ==&amp;WINDOW=FIRST_POPUP&amp;HEIGHT=450&amp;WIDTH=450&amp;","START_MAXIMIZED=FALSE&amp;VAR:CALENDAR=US&amp;VAR:SYMBOL=RAI&amp;VAR:INDEX=0"}</definedName>
    <definedName name="_2618__FDSAUDITLINK__" localSheetId="0" hidden="1">{"fdsup://directions/FAT Viewer?action=UPDATE&amp;creator=factset&amp;DYN_ARGS=TRUE&amp;DOC_NAME=FAT:FQL_AUDITING_CLIENT_TEMPLATE.FAT&amp;display_string=Audit&amp;VAR:KEY=SXWBIHQLYB&amp;VAR:QUERY=RkZfRElWX1lMRChBTk4sNC8wNC8wMSw0LzA0LzAxKQ==&amp;WINDOW=FIRST_POPUP&amp;HEIGHT=450&amp;WIDTH=450&amp;","START_MAXIMIZED=FALSE&amp;VAR:CALENDAR=US&amp;VAR:SYMBOL=RAI&amp;VAR:INDEX=0"}</definedName>
    <definedName name="_2618__FDSAUDITLINK__" hidden="1">{"fdsup://directions/FAT Viewer?action=UPDATE&amp;creator=factset&amp;DYN_ARGS=TRUE&amp;DOC_NAME=FAT:FQL_AUDITING_CLIENT_TEMPLATE.FAT&amp;display_string=Audit&amp;VAR:KEY=SXWBIHQLYB&amp;VAR:QUERY=RkZfRElWX1lMRChBTk4sNC8wNC8wMSw0LzA0LzAxKQ==&amp;WINDOW=FIRST_POPUP&amp;HEIGHT=450&amp;WIDTH=450&amp;","START_MAXIMIZED=FALSE&amp;VAR:CALENDAR=US&amp;VAR:SYMBOL=RAI&amp;VAR:INDEX=0"}</definedName>
    <definedName name="_262">#REF!</definedName>
    <definedName name="_262__FDSAUDITLINK__" localSheetId="0" hidden="1">{"fdsup://directions/FAT Viewer?action=UPDATE&amp;creator=factset&amp;DYN_ARGS=TRUE&amp;DOC_NAME=FAT:FQL_AUDITING_CLIENT_TEMPLATE.FAT&amp;display_string=Audit&amp;VAR:KEY=ZMHEXGHQVS&amp;VAR:QUERY=RkZfRElWX1lMRChBTk4sMy8zMC8wNiwzLzMwLzA2KQ==&amp;WINDOW=FIRST_POPUP&amp;HEIGHT=450&amp;WIDTH=450&amp;","START_MAXIMIZED=FALSE&amp;VAR:CALENDAR=US&amp;VAR:SYMBOL=RAI&amp;VAR:INDEX=0"}</definedName>
    <definedName name="_262__FDSAUDITLINK__" hidden="1">{"fdsup://directions/FAT Viewer?action=UPDATE&amp;creator=factset&amp;DYN_ARGS=TRUE&amp;DOC_NAME=FAT:FQL_AUDITING_CLIENT_TEMPLATE.FAT&amp;display_string=Audit&amp;VAR:KEY=ZMHEXGHQVS&amp;VAR:QUERY=RkZfRElWX1lMRChBTk4sMy8zMC8wNiwzLzMwLzA2KQ==&amp;WINDOW=FIRST_POPUP&amp;HEIGHT=450&amp;WIDTH=450&amp;","START_MAXIMIZED=FALSE&amp;VAR:CALENDAR=US&amp;VAR:SYMBOL=RAI&amp;VAR:INDEX=0"}</definedName>
    <definedName name="_263">#REF!</definedName>
    <definedName name="_263__FDSAUDITLINK__" localSheetId="0" hidden="1">{"fdsup://directions/FAT Viewer?action=UPDATE&amp;creator=factset&amp;DYN_ARGS=TRUE&amp;DOC_NAME=FAT:FQL_AUDITING_CLIENT_TEMPLATE.FAT&amp;display_string=Audit&amp;VAR:KEY=LSRGDSRAXS&amp;VAR:QUERY=RkZfRElWX1lMRChBTk4sMy8yMy8wNiwzLzIzLzA2KQ==&amp;WINDOW=FIRST_POPUP&amp;HEIGHT=450&amp;WIDTH=450&amp;","START_MAXIMIZED=FALSE&amp;VAR:CALENDAR=US&amp;VAR:SYMBOL=RAI&amp;VAR:INDEX=0"}</definedName>
    <definedName name="_263__FDSAUDITLINK__" hidden="1">{"fdsup://directions/FAT Viewer?action=UPDATE&amp;creator=factset&amp;DYN_ARGS=TRUE&amp;DOC_NAME=FAT:FQL_AUDITING_CLIENT_TEMPLATE.FAT&amp;display_string=Audit&amp;VAR:KEY=LSRGDSRAXS&amp;VAR:QUERY=RkZfRElWX1lMRChBTk4sMy8yMy8wNiwzLzIzLzA2KQ==&amp;WINDOW=FIRST_POPUP&amp;HEIGHT=450&amp;WIDTH=450&amp;","START_MAXIMIZED=FALSE&amp;VAR:CALENDAR=US&amp;VAR:SYMBOL=RAI&amp;VAR:INDEX=0"}</definedName>
    <definedName name="_263A">#REF!</definedName>
    <definedName name="_264">#REF!</definedName>
    <definedName name="_264__FDSAUDITLINK__" localSheetId="0" hidden="1">{"fdsup://directions/FAT Viewer?action=UPDATE&amp;creator=factset&amp;DYN_ARGS=TRUE&amp;DOC_NAME=FAT:FQL_AUDITING_CLIENT_TEMPLATE.FAT&amp;display_string=Audit&amp;VAR:KEY=ZKHUJSDUBK&amp;VAR:QUERY=RkZfRElWX1lMRChBTk4sMy8xNi8wNiwzLzE2LzA2KQ==&amp;WINDOW=FIRST_POPUP&amp;HEIGHT=450&amp;WIDTH=450&amp;","START_MAXIMIZED=FALSE&amp;VAR:CALENDAR=US&amp;VAR:SYMBOL=RAI&amp;VAR:INDEX=0"}</definedName>
    <definedName name="_264__FDSAUDITLINK__" hidden="1">{"fdsup://directions/FAT Viewer?action=UPDATE&amp;creator=factset&amp;DYN_ARGS=TRUE&amp;DOC_NAME=FAT:FQL_AUDITING_CLIENT_TEMPLATE.FAT&amp;display_string=Audit&amp;VAR:KEY=ZKHUJSDUBK&amp;VAR:QUERY=RkZfRElWX1lMRChBTk4sMy8xNi8wNiwzLzE2LzA2KQ==&amp;WINDOW=FIRST_POPUP&amp;HEIGHT=450&amp;WIDTH=450&amp;","START_MAXIMIZED=FALSE&amp;VAR:CALENDAR=US&amp;VAR:SYMBOL=RAI&amp;VAR:INDEX=0"}</definedName>
    <definedName name="_265">#REF!</definedName>
    <definedName name="_265__FDSAUDITLINK__" localSheetId="0" hidden="1">{"fdsup://directions/FAT Viewer?action=UPDATE&amp;creator=factset&amp;DYN_ARGS=TRUE&amp;DOC_NAME=FAT:FQL_AUDITING_CLIENT_TEMPLATE.FAT&amp;display_string=Audit&amp;VAR:KEY=NGZSZUZYBI&amp;VAR:QUERY=RkZfRElWX1lMRChBTk4sMy8wOS8wNiwzLzA5LzA2KQ==&amp;WINDOW=FIRST_POPUP&amp;HEIGHT=450&amp;WIDTH=450&amp;","START_MAXIMIZED=FALSE&amp;VAR:CALENDAR=US&amp;VAR:SYMBOL=RAI&amp;VAR:INDEX=0"}</definedName>
    <definedName name="_265__FDSAUDITLINK__" hidden="1">{"fdsup://directions/FAT Viewer?action=UPDATE&amp;creator=factset&amp;DYN_ARGS=TRUE&amp;DOC_NAME=FAT:FQL_AUDITING_CLIENT_TEMPLATE.FAT&amp;display_string=Audit&amp;VAR:KEY=NGZSZUZYBI&amp;VAR:QUERY=RkZfRElWX1lMRChBTk4sMy8wOS8wNiwzLzA5LzA2KQ==&amp;WINDOW=FIRST_POPUP&amp;HEIGHT=450&amp;WIDTH=450&amp;","START_MAXIMIZED=FALSE&amp;VAR:CALENDAR=US&amp;VAR:SYMBOL=RAI&amp;VAR:INDEX=0"}</definedName>
    <definedName name="_266__FDSAUDITLINK__" localSheetId="0" hidden="1">{"fdsup://directions/FAT Viewer?action=UPDATE&amp;creator=factset&amp;DYN_ARGS=TRUE&amp;DOC_NAME=FAT:FQL_AUDITING_CLIENT_TEMPLATE.FAT&amp;display_string=Audit&amp;VAR:KEY=VIPWXWRAZO&amp;VAR:QUERY=RkZfRElWX1lMRChBTk4sMy8wMi8wNiwzLzAyLzA2KQ==&amp;WINDOW=FIRST_POPUP&amp;HEIGHT=450&amp;WIDTH=450&amp;","START_MAXIMIZED=FALSE&amp;VAR:CALENDAR=US&amp;VAR:SYMBOL=RAI&amp;VAR:INDEX=0"}</definedName>
    <definedName name="_266__FDSAUDITLINK__" hidden="1">{"fdsup://directions/FAT Viewer?action=UPDATE&amp;creator=factset&amp;DYN_ARGS=TRUE&amp;DOC_NAME=FAT:FQL_AUDITING_CLIENT_TEMPLATE.FAT&amp;display_string=Audit&amp;VAR:KEY=VIPWXWRAZO&amp;VAR:QUERY=RkZfRElWX1lMRChBTk4sMy8wMi8wNiwzLzAyLzA2KQ==&amp;WINDOW=FIRST_POPUP&amp;HEIGHT=450&amp;WIDTH=450&amp;","START_MAXIMIZED=FALSE&amp;VAR:CALENDAR=US&amp;VAR:SYMBOL=RAI&amp;VAR:INDEX=0"}</definedName>
    <definedName name="_267">#REF!</definedName>
    <definedName name="_267__FDSAUDITLINK__" localSheetId="0" hidden="1">{"fdsup://directions/FAT Viewer?action=UPDATE&amp;creator=factset&amp;DYN_ARGS=TRUE&amp;DOC_NAME=FAT:FQL_AUDITING_CLIENT_TEMPLATE.FAT&amp;display_string=Audit&amp;VAR:KEY=ZYRMHYHCHO&amp;VAR:QUERY=RkZfRElWX1lMRChBTk4sMi8yMy8wNiwyLzIzLzA2KQ==&amp;WINDOW=FIRST_POPUP&amp;HEIGHT=450&amp;WIDTH=450&amp;","START_MAXIMIZED=FALSE&amp;VAR:CALENDAR=US&amp;VAR:SYMBOL=RAI&amp;VAR:INDEX=0"}</definedName>
    <definedName name="_267__FDSAUDITLINK__" hidden="1">{"fdsup://directions/FAT Viewer?action=UPDATE&amp;creator=factset&amp;DYN_ARGS=TRUE&amp;DOC_NAME=FAT:FQL_AUDITING_CLIENT_TEMPLATE.FAT&amp;display_string=Audit&amp;VAR:KEY=ZYRMHYHCHO&amp;VAR:QUERY=RkZfRElWX1lMRChBTk4sMi8yMy8wNiwyLzIzLzA2KQ==&amp;WINDOW=FIRST_POPUP&amp;HEIGHT=450&amp;WIDTH=450&amp;","START_MAXIMIZED=FALSE&amp;VAR:CALENDAR=US&amp;VAR:SYMBOL=RAI&amp;VAR:INDEX=0"}</definedName>
    <definedName name="_268">#REF!</definedName>
    <definedName name="_268__FDSAUDITLINK__" localSheetId="0" hidden="1">{"fdsup://directions/FAT Viewer?action=UPDATE&amp;creator=factset&amp;DYN_ARGS=TRUE&amp;DOC_NAME=FAT:FQL_AUDITING_CLIENT_TEMPLATE.FAT&amp;display_string=Audit&amp;VAR:KEY=PANARIXCNM&amp;VAR:QUERY=RkZfRElWX1lMRChBTk4sMi8xNi8wNiwyLzE2LzA2KQ==&amp;WINDOW=FIRST_POPUP&amp;HEIGHT=450&amp;WIDTH=450&amp;","START_MAXIMIZED=FALSE&amp;VAR:CALENDAR=US&amp;VAR:SYMBOL=RAI&amp;VAR:INDEX=0"}</definedName>
    <definedName name="_268__FDSAUDITLINK__" hidden="1">{"fdsup://directions/FAT Viewer?action=UPDATE&amp;creator=factset&amp;DYN_ARGS=TRUE&amp;DOC_NAME=FAT:FQL_AUDITING_CLIENT_TEMPLATE.FAT&amp;display_string=Audit&amp;VAR:KEY=PANARIXCNM&amp;VAR:QUERY=RkZfRElWX1lMRChBTk4sMi8xNi8wNiwyLzE2LzA2KQ==&amp;WINDOW=FIRST_POPUP&amp;HEIGHT=450&amp;WIDTH=450&amp;","START_MAXIMIZED=FALSE&amp;VAR:CALENDAR=US&amp;VAR:SYMBOL=RAI&amp;VAR:INDEX=0"}</definedName>
    <definedName name="_269">#REF!</definedName>
    <definedName name="_269__FDSAUDITLINK__" localSheetId="0" hidden="1">{"fdsup://directions/FAT Viewer?action=UPDATE&amp;creator=factset&amp;DYN_ARGS=TRUE&amp;DOC_NAME=FAT:FQL_AUDITING_CLIENT_TEMPLATE.FAT&amp;display_string=Audit&amp;VAR:KEY=POPGXANKRE&amp;VAR:QUERY=RkZfRElWX1lMRChBTk4sMi8wOS8wNiwyLzA5LzA2KQ==&amp;WINDOW=FIRST_POPUP&amp;HEIGHT=450&amp;WIDTH=450&amp;","START_MAXIMIZED=FALSE&amp;VAR:CALENDAR=US&amp;VAR:SYMBOL=RAI&amp;VAR:INDEX=0"}</definedName>
    <definedName name="_269__FDSAUDITLINK__" hidden="1">{"fdsup://directions/FAT Viewer?action=UPDATE&amp;creator=factset&amp;DYN_ARGS=TRUE&amp;DOC_NAME=FAT:FQL_AUDITING_CLIENT_TEMPLATE.FAT&amp;display_string=Audit&amp;VAR:KEY=POPGXANKRE&amp;VAR:QUERY=RkZfRElWX1lMRChBTk4sMi8wOS8wNiwyLzA5LzA2KQ==&amp;WINDOW=FIRST_POPUP&amp;HEIGHT=450&amp;WIDTH=450&amp;","START_MAXIMIZED=FALSE&amp;VAR:CALENDAR=US&amp;VAR:SYMBOL=RAI&amp;VAR:INDEX=0"}</definedName>
    <definedName name="_26main_form_account_grants_list_2_j_id1022">#REF!</definedName>
    <definedName name="_26s6_" hidden="1">{#N/A,#N/A,FALSE,"UNIT";#N/A,#N/A,FALSE,"UNIT";#N/A,#N/A,FALSE,"계정"}</definedName>
    <definedName name="_27">#REF!</definedName>
    <definedName name="_27_????_3">#REF!</definedName>
    <definedName name="_27________NOTE1_3">#REF!</definedName>
    <definedName name="_27__123Graph_AGROWTH_REVS_B" hidden="1">#REF!</definedName>
    <definedName name="_27__123Graph_BSENS_COMPARISON">#REF!</definedName>
    <definedName name="_27__123Graph_CCHART_111" hidden="1">#REF!</definedName>
    <definedName name="_27__123Graph_CChart_2I">#REF!</definedName>
    <definedName name="_27__123Graph_CCONTRACT_BY_B_U">#REF!</definedName>
    <definedName name="_27__123Graph_CWAGES_BY_B_U">#REF!</definedName>
    <definedName name="_27__123Graph_DWAGES_BY_B_U">#REF!</definedName>
    <definedName name="_27__123Graph_ECONTRACT_BY_B_U">#REF!</definedName>
    <definedName name="_27__123Graph_ESUPPLIES_BY_B_U" hidden="1">#REF!</definedName>
    <definedName name="_27__123Graph_EWAGES_BY_B_U">#REF!</definedName>
    <definedName name="_27__123Graph_FCONTRACT_BY_B_U">#REF!</definedName>
    <definedName name="_27__123Graph_FQRE_S_BY_CO.">#REF!</definedName>
    <definedName name="_27__FDSAUDITLINK__" localSheetId="0" hidden="1">{"fdsup://directions/FAT Viewer?action=UPDATE&amp;creator=factset&amp;DYN_ARGS=TRUE&amp;DOC_NAME=FAT:FQL_AUDITING_CLIENT_TEMPLATE.FAT&amp;display_string=Audit&amp;VAR:KEY=KVIVSFATCL&amp;VAR:QUERY=RkZfRU5UUlBSX1ZBTF9EQUlMWSgwLCwsLCwnRElMJyk=&amp;WINDOW=FIRST_POPUP&amp;HEIGHT=450&amp;WIDTH=450&amp;","START_MAXIMIZED=FALSE&amp;VAR:CALENDAR=US&amp;VAR:SYMBOL=COKE&amp;VAR:INDEX=0"}</definedName>
    <definedName name="_27__FDSAUDITLINK__" hidden="1">{"fdsup://directions/FAT Viewer?action=UPDATE&amp;creator=factset&amp;DYN_ARGS=TRUE&amp;DOC_NAME=FAT:FQL_AUDITING_CLIENT_TEMPLATE.FAT&amp;display_string=Audit&amp;VAR:KEY=KVIVSFATCL&amp;VAR:QUERY=RkZfRU5UUlBSX1ZBTF9EQUlMWSgwLCwsLCwnRElMJyk=&amp;WINDOW=FIRST_POPUP&amp;HEIGHT=450&amp;WIDTH=450&amp;","START_MAXIMIZED=FALSE&amp;VAR:CALENDAR=US&amp;VAR:SYMBOL=COKE&amp;VAR:INDEX=0"}</definedName>
    <definedName name="_27_02_1998">#REF!</definedName>
    <definedName name="_270">#REF!</definedName>
    <definedName name="_270__FDSAUDITLINK__" localSheetId="0" hidden="1">{"fdsup://directions/FAT Viewer?action=UPDATE&amp;creator=factset&amp;DYN_ARGS=TRUE&amp;DOC_NAME=FAT:FQL_AUDITING_CLIENT_TEMPLATE.FAT&amp;display_string=Audit&amp;VAR:KEY=VWNOLEHIJA&amp;VAR:QUERY=RkZfRElWX1lMRChBTk4sMi8wMi8wNiwyLzAyLzA2KQ==&amp;WINDOW=FIRST_POPUP&amp;HEIGHT=450&amp;WIDTH=450&amp;","START_MAXIMIZED=FALSE&amp;VAR:CALENDAR=US&amp;VAR:SYMBOL=RAI&amp;VAR:INDEX=0"}</definedName>
    <definedName name="_270__FDSAUDITLINK__" hidden="1">{"fdsup://directions/FAT Viewer?action=UPDATE&amp;creator=factset&amp;DYN_ARGS=TRUE&amp;DOC_NAME=FAT:FQL_AUDITING_CLIENT_TEMPLATE.FAT&amp;display_string=Audit&amp;VAR:KEY=VWNOLEHIJA&amp;VAR:QUERY=RkZfRElWX1lMRChBTk4sMi8wMi8wNiwyLzAyLzA2KQ==&amp;WINDOW=FIRST_POPUP&amp;HEIGHT=450&amp;WIDTH=450&amp;","START_MAXIMIZED=FALSE&amp;VAR:CALENDAR=US&amp;VAR:SYMBOL=RAI&amp;VAR:INDEX=0"}</definedName>
    <definedName name="_2701">#REF!</definedName>
    <definedName name="_271">#REF!</definedName>
    <definedName name="_271__FDSAUDITLINK__" localSheetId="0" hidden="1">{"fdsup://directions/FAT Viewer?action=UPDATE&amp;creator=factset&amp;DYN_ARGS=TRUE&amp;DOC_NAME=FAT:FQL_AUDITING_CLIENT_TEMPLATE.FAT&amp;display_string=Audit&amp;VAR:KEY=TCBITYRIZY&amp;VAR:QUERY=RkZfRElWX1lMRChBTk4sMS8yNi8wNiwxLzI2LzA2KQ==&amp;WINDOW=FIRST_POPUP&amp;HEIGHT=450&amp;WIDTH=450&amp;","START_MAXIMIZED=FALSE&amp;VAR:CALENDAR=US&amp;VAR:SYMBOL=RAI&amp;VAR:INDEX=0"}</definedName>
    <definedName name="_271__FDSAUDITLINK__" hidden="1">{"fdsup://directions/FAT Viewer?action=UPDATE&amp;creator=factset&amp;DYN_ARGS=TRUE&amp;DOC_NAME=FAT:FQL_AUDITING_CLIENT_TEMPLATE.FAT&amp;display_string=Audit&amp;VAR:KEY=TCBITYRIZY&amp;VAR:QUERY=RkZfRElWX1lMRChBTk4sMS8yNi8wNiwxLzI2LzA2KQ==&amp;WINDOW=FIRST_POPUP&amp;HEIGHT=450&amp;WIDTH=450&amp;","START_MAXIMIZED=FALSE&amp;VAR:CALENDAR=US&amp;VAR:SYMBOL=RAI&amp;VAR:INDEX=0"}</definedName>
    <definedName name="_272">#REF!</definedName>
    <definedName name="_272__FDSAUDITLINK__" localSheetId="0" hidden="1">{"fdsup://directions/FAT Viewer?action=UPDATE&amp;creator=factset&amp;DYN_ARGS=TRUE&amp;DOC_NAME=FAT:FQL_AUDITING_CLIENT_TEMPLATE.FAT&amp;display_string=Audit&amp;VAR:KEY=VEPITUFMDO&amp;VAR:QUERY=RkZfRElWX1lMRChBTk4sMS8xOS8wNiwxLzE5LzA2KQ==&amp;WINDOW=FIRST_POPUP&amp;HEIGHT=450&amp;WIDTH=450&amp;","START_MAXIMIZED=FALSE&amp;VAR:CALENDAR=US&amp;VAR:SYMBOL=RAI&amp;VAR:INDEX=0"}</definedName>
    <definedName name="_272__FDSAUDITLINK__" hidden="1">{"fdsup://directions/FAT Viewer?action=UPDATE&amp;creator=factset&amp;DYN_ARGS=TRUE&amp;DOC_NAME=FAT:FQL_AUDITING_CLIENT_TEMPLATE.FAT&amp;display_string=Audit&amp;VAR:KEY=VEPITUFMDO&amp;VAR:QUERY=RkZfRElWX1lMRChBTk4sMS8xOS8wNiwxLzE5LzA2KQ==&amp;WINDOW=FIRST_POPUP&amp;HEIGHT=450&amp;WIDTH=450&amp;","START_MAXIMIZED=FALSE&amp;VAR:CALENDAR=US&amp;VAR:SYMBOL=RAI&amp;VAR:INDEX=0"}</definedName>
    <definedName name="_273">#REF!</definedName>
    <definedName name="_273__FDSAUDITLINK__" localSheetId="0" hidden="1">{"fdsup://directions/FAT Viewer?action=UPDATE&amp;creator=factset&amp;DYN_ARGS=TRUE&amp;DOC_NAME=FAT:FQL_AUDITING_CLIENT_TEMPLATE.FAT&amp;display_string=Audit&amp;VAR:KEY=NCTQZOBKHS&amp;VAR:QUERY=RkZfRElWX1lMRChBTk4sMS8xMi8wNiwxLzEyLzA2KQ==&amp;WINDOW=FIRST_POPUP&amp;HEIGHT=450&amp;WIDTH=450&amp;","START_MAXIMIZED=FALSE&amp;VAR:CALENDAR=US&amp;VAR:SYMBOL=RAI&amp;VAR:INDEX=0"}</definedName>
    <definedName name="_273__FDSAUDITLINK__" hidden="1">{"fdsup://directions/FAT Viewer?action=UPDATE&amp;creator=factset&amp;DYN_ARGS=TRUE&amp;DOC_NAME=FAT:FQL_AUDITING_CLIENT_TEMPLATE.FAT&amp;display_string=Audit&amp;VAR:KEY=NCTQZOBKHS&amp;VAR:QUERY=RkZfRElWX1lMRChBTk4sMS8xMi8wNiwxLzEyLzA2KQ==&amp;WINDOW=FIRST_POPUP&amp;HEIGHT=450&amp;WIDTH=450&amp;","START_MAXIMIZED=FALSE&amp;VAR:CALENDAR=US&amp;VAR:SYMBOL=RAI&amp;VAR:INDEX=0"}</definedName>
    <definedName name="_274">#REF!</definedName>
    <definedName name="_274__FDSAUDITLINK__" localSheetId="0" hidden="1">{"fdsup://directions/FAT Viewer?action=UPDATE&amp;creator=factset&amp;DYN_ARGS=TRUE&amp;DOC_NAME=FAT:FQL_AUDITING_CLIENT_TEMPLATE.FAT&amp;display_string=Audit&amp;VAR:KEY=FEVYLALAJQ&amp;VAR:QUERY=RkZfRElWX1lMRChBTk4sMS8wNS8wNiwxLzA1LzA2KQ==&amp;WINDOW=FIRST_POPUP&amp;HEIGHT=450&amp;WIDTH=450&amp;","START_MAXIMIZED=FALSE&amp;VAR:CALENDAR=US&amp;VAR:SYMBOL=RAI&amp;VAR:INDEX=0"}</definedName>
    <definedName name="_274__FDSAUDITLINK__" hidden="1">{"fdsup://directions/FAT Viewer?action=UPDATE&amp;creator=factset&amp;DYN_ARGS=TRUE&amp;DOC_NAME=FAT:FQL_AUDITING_CLIENT_TEMPLATE.FAT&amp;display_string=Audit&amp;VAR:KEY=FEVYLALAJQ&amp;VAR:QUERY=RkZfRElWX1lMRChBTk4sMS8wNS8wNiwxLzA1LzA2KQ==&amp;WINDOW=FIRST_POPUP&amp;HEIGHT=450&amp;WIDTH=450&amp;","START_MAXIMIZED=FALSE&amp;VAR:CALENDAR=US&amp;VAR:SYMBOL=RAI&amp;VAR:INDEX=0"}</definedName>
    <definedName name="_275">#REF!</definedName>
    <definedName name="_275__FDSAUDITLINK__" localSheetId="0" hidden="1">{"fdsup://directions/FAT Viewer?action=UPDATE&amp;creator=factset&amp;DYN_ARGS=TRUE&amp;DOC_NAME=FAT:FQL_AUDITING_CLIENT_TEMPLATE.FAT&amp;display_string=Audit&amp;VAR:KEY=BOHIRUVOVW&amp;VAR:QUERY=RkZfRElWX1lMRChBTk4sMTIvMjkvMDUsMTIvMjkvMDUp&amp;WINDOW=FIRST_POPUP&amp;HEIGHT=450&amp;WIDTH=450&amp;","START_MAXIMIZED=FALSE&amp;VAR:CALENDAR=US&amp;VAR:SYMBOL=RAI&amp;VAR:INDEX=0"}</definedName>
    <definedName name="_275__FDSAUDITLINK__" hidden="1">{"fdsup://directions/FAT Viewer?action=UPDATE&amp;creator=factset&amp;DYN_ARGS=TRUE&amp;DOC_NAME=FAT:FQL_AUDITING_CLIENT_TEMPLATE.FAT&amp;display_string=Audit&amp;VAR:KEY=BOHIRUVOVW&amp;VAR:QUERY=RkZfRElWX1lMRChBTk4sMTIvMjkvMDUsMTIvMjkvMDUp&amp;WINDOW=FIRST_POPUP&amp;HEIGHT=450&amp;WIDTH=450&amp;","START_MAXIMIZED=FALSE&amp;VAR:CALENDAR=US&amp;VAR:SYMBOL=RAI&amp;VAR:INDEX=0"}</definedName>
    <definedName name="_276">#REF!</definedName>
    <definedName name="_276__FDSAUDITLINK__" localSheetId="0" hidden="1">{"fdsup://directions/FAT Viewer?action=UPDATE&amp;creator=factset&amp;DYN_ARGS=TRUE&amp;DOC_NAME=FAT:FQL_AUDITING_CLIENT_TEMPLATE.FAT&amp;display_string=Audit&amp;VAR:KEY=JUHAXGPYJG&amp;VAR:QUERY=RkZfRElWX1lMRChBTk4sMTIvMjIvMDUsMTIvMjIvMDUp&amp;WINDOW=FIRST_POPUP&amp;HEIGHT=450&amp;WIDTH=450&amp;","START_MAXIMIZED=FALSE&amp;VAR:CALENDAR=US&amp;VAR:SYMBOL=RAI&amp;VAR:INDEX=0"}</definedName>
    <definedName name="_276__FDSAUDITLINK__" hidden="1">{"fdsup://directions/FAT Viewer?action=UPDATE&amp;creator=factset&amp;DYN_ARGS=TRUE&amp;DOC_NAME=FAT:FQL_AUDITING_CLIENT_TEMPLATE.FAT&amp;display_string=Audit&amp;VAR:KEY=JUHAXGPYJG&amp;VAR:QUERY=RkZfRElWX1lMRChBTk4sMTIvMjIvMDUsMTIvMjIvMDUp&amp;WINDOW=FIRST_POPUP&amp;HEIGHT=450&amp;WIDTH=450&amp;","START_MAXIMIZED=FALSE&amp;VAR:CALENDAR=US&amp;VAR:SYMBOL=RAI&amp;VAR:INDEX=0"}</definedName>
    <definedName name="_277">#REF!</definedName>
    <definedName name="_277__FDSAUDITLINK__" localSheetId="0" hidden="1">{"fdsup://directions/FAT Viewer?action=UPDATE&amp;creator=factset&amp;DYN_ARGS=TRUE&amp;DOC_NAME=FAT:FQL_AUDITING_CLIENT_TEMPLATE.FAT&amp;display_string=Audit&amp;VAR:KEY=ZYTIPCZOTA&amp;VAR:QUERY=RkZfRElWX1lMRChBTk4sMTIvMTUvMDUsMTIvMTUvMDUp&amp;WINDOW=FIRST_POPUP&amp;HEIGHT=450&amp;WIDTH=450&amp;","START_MAXIMIZED=FALSE&amp;VAR:CALENDAR=US&amp;VAR:SYMBOL=RAI&amp;VAR:INDEX=0"}</definedName>
    <definedName name="_277__FDSAUDITLINK__" hidden="1">{"fdsup://directions/FAT Viewer?action=UPDATE&amp;creator=factset&amp;DYN_ARGS=TRUE&amp;DOC_NAME=FAT:FQL_AUDITING_CLIENT_TEMPLATE.FAT&amp;display_string=Audit&amp;VAR:KEY=ZYTIPCZOTA&amp;VAR:QUERY=RkZfRElWX1lMRChBTk4sMTIvMTUvMDUsMTIvMTUvMDUp&amp;WINDOW=FIRST_POPUP&amp;HEIGHT=450&amp;WIDTH=450&amp;","START_MAXIMIZED=FALSE&amp;VAR:CALENDAR=US&amp;VAR:SYMBOL=RAI&amp;VAR:INDEX=0"}</definedName>
    <definedName name="_278">#REF!</definedName>
    <definedName name="_278__FDSAUDITLINK__" localSheetId="0" hidden="1">{"fdsup://directions/FAT Viewer?action=UPDATE&amp;creator=factset&amp;DYN_ARGS=TRUE&amp;DOC_NAME=FAT:FQL_AUDITING_CLIENT_TEMPLATE.FAT&amp;display_string=Audit&amp;VAR:KEY=VOZURYLIFA&amp;VAR:QUERY=RkZfRElWX1lMRChBTk4sMTIvMDgvMDUsMTIvMDgvMDUp&amp;WINDOW=FIRST_POPUP&amp;HEIGHT=450&amp;WIDTH=450&amp;","START_MAXIMIZED=FALSE&amp;VAR:CALENDAR=US&amp;VAR:SYMBOL=RAI&amp;VAR:INDEX=0"}</definedName>
    <definedName name="_278__FDSAUDITLINK__" hidden="1">{"fdsup://directions/FAT Viewer?action=UPDATE&amp;creator=factset&amp;DYN_ARGS=TRUE&amp;DOC_NAME=FAT:FQL_AUDITING_CLIENT_TEMPLATE.FAT&amp;display_string=Audit&amp;VAR:KEY=VOZURYLIFA&amp;VAR:QUERY=RkZfRElWX1lMRChBTk4sMTIvMDgvMDUsMTIvMDgvMDUp&amp;WINDOW=FIRST_POPUP&amp;HEIGHT=450&amp;WIDTH=450&amp;","START_MAXIMIZED=FALSE&amp;VAR:CALENDAR=US&amp;VAR:SYMBOL=RAI&amp;VAR:INDEX=0"}</definedName>
    <definedName name="_279">#REF!</definedName>
    <definedName name="_279__FDSAUDITLINK__" localSheetId="0" hidden="1">{"fdsup://directions/FAT Viewer?action=UPDATE&amp;creator=factset&amp;DYN_ARGS=TRUE&amp;DOC_NAME=FAT:FQL_AUDITING_CLIENT_TEMPLATE.FAT&amp;display_string=Audit&amp;VAR:KEY=POFSTIRIHK&amp;VAR:QUERY=RkZfRElWX1lMRChBTk4sMTIvMDEvMDUsMTIvMDEvMDUp&amp;WINDOW=FIRST_POPUP&amp;HEIGHT=450&amp;WIDTH=450&amp;","START_MAXIMIZED=FALSE&amp;VAR:CALENDAR=US&amp;VAR:SYMBOL=RAI&amp;VAR:INDEX=0"}</definedName>
    <definedName name="_279__FDSAUDITLINK__" hidden="1">{"fdsup://directions/FAT Viewer?action=UPDATE&amp;creator=factset&amp;DYN_ARGS=TRUE&amp;DOC_NAME=FAT:FQL_AUDITING_CLIENT_TEMPLATE.FAT&amp;display_string=Audit&amp;VAR:KEY=POFSTIRIHK&amp;VAR:QUERY=RkZfRElWX1lMRChBTk4sMTIvMDEvMDUsMTIvMDEvMDUp&amp;WINDOW=FIRST_POPUP&amp;HEIGHT=450&amp;WIDTH=450&amp;","START_MAXIMIZED=FALSE&amp;VAR:CALENDAR=US&amp;VAR:SYMBOL=RAI&amp;VAR:INDEX=0"}</definedName>
    <definedName name="_2798">#REF!</definedName>
    <definedName name="_2799">#REF!</definedName>
    <definedName name="_27s9_" hidden="1">{#N/A,#N/A,FALSE,"UNIT";#N/A,#N/A,FALSE,"UNIT";#N/A,#N/A,FALSE,"계정"}</definedName>
    <definedName name="_28">#REF!</definedName>
    <definedName name="_28________NOTE5_7">#REF!</definedName>
    <definedName name="_28__123Graph_BCHART_111" hidden="1">#REF!</definedName>
    <definedName name="_28__123Graph_BCHART_3">#REF!</definedName>
    <definedName name="_28__123Graph_BCONTRACT_BY_B_U">#REF!</definedName>
    <definedName name="_28__123Graph_CCHART_112" hidden="1">#REF!</definedName>
    <definedName name="_28__123Graph_CChart_30L">#REF!</definedName>
    <definedName name="_28__123Graph_CCONTRACT_BY_B_U">#REF!</definedName>
    <definedName name="_28__123Graph_CQRE_S_BY_CO.">#REF!</definedName>
    <definedName name="_28__123Graph_DCONTRACT_BY_B_U">#REF!</definedName>
    <definedName name="_28__123Graph_ECONTRACT_BY_B_U">#REF!</definedName>
    <definedName name="_28__123Graph_EQRE_S_BY_CO.">#REF!</definedName>
    <definedName name="_28__123Graph_EWAGES_BY_B_U" hidden="1">#REF!</definedName>
    <definedName name="_28__123Graph_FCONTRACT_BY_B_U">#REF!</definedName>
    <definedName name="_28__123Graph_FQRE_S_BY_CO.">#REF!</definedName>
    <definedName name="_28__123Graph_FSUPPLIES_BY_B_U">#REF!</definedName>
    <definedName name="_28__FDSAUDITLINK__" localSheetId="0" hidden="1">{"fdsup://directions/FAT Viewer?action=UPDATE&amp;creator=factset&amp;DYN_ARGS=TRUE&amp;DOC_NAME=FAT:FQL_AUDITING_CLIENT_TEMPLATE.FAT&amp;display_string=Audit&amp;VAR:KEY=EDILUJCXCR&amp;VAR:QUERY=RkZfRU5UUlBSX1ZBTF9EQUlMWSgwLCwsLCwnRElMJyk=&amp;WINDOW=FIRST_POPUP&amp;HEIGHT=450&amp;WIDTH=450&amp;","START_MAXIMIZED=FALSE&amp;VAR:CALENDAR=US&amp;VAR:SYMBOL=COT&amp;VAR:INDEX=0"}</definedName>
    <definedName name="_28__FDSAUDITLINK__" hidden="1">{"fdsup://directions/FAT Viewer?action=UPDATE&amp;creator=factset&amp;DYN_ARGS=TRUE&amp;DOC_NAME=FAT:FQL_AUDITING_CLIENT_TEMPLATE.FAT&amp;display_string=Audit&amp;VAR:KEY=EDILUJCXCR&amp;VAR:QUERY=RkZfRU5UUlBSX1ZBTF9EQUlMWSgwLCwsLCwnRElMJyk=&amp;WINDOW=FIRST_POPUP&amp;HEIGHT=450&amp;WIDTH=450&amp;","START_MAXIMIZED=FALSE&amp;VAR:CALENDAR=US&amp;VAR:SYMBOL=COT&amp;VAR:INDEX=0"}</definedName>
    <definedName name="_28_11_1999">#REF!</definedName>
    <definedName name="_280">#REF!</definedName>
    <definedName name="_280__FDSAUDITLINK__" localSheetId="0" hidden="1">{"fdsup://directions/FAT Viewer?action=UPDATE&amp;creator=factset&amp;DYN_ARGS=TRUE&amp;DOC_NAME=FAT:FQL_AUDITING_CLIENT_TEMPLATE.FAT&amp;display_string=Audit&amp;VAR:KEY=XAFWJYJAVY&amp;VAR:QUERY=RkZfRElWX1lMRChBTk4sMTEvMjMvMDUsMTEvMjMvMDUp&amp;WINDOW=FIRST_POPUP&amp;HEIGHT=450&amp;WIDTH=450&amp;","START_MAXIMIZED=FALSE&amp;VAR:CALENDAR=US&amp;VAR:SYMBOL=RAI&amp;VAR:INDEX=0"}</definedName>
    <definedName name="_280__FDSAUDITLINK__" hidden="1">{"fdsup://directions/FAT Viewer?action=UPDATE&amp;creator=factset&amp;DYN_ARGS=TRUE&amp;DOC_NAME=FAT:FQL_AUDITING_CLIENT_TEMPLATE.FAT&amp;display_string=Audit&amp;VAR:KEY=XAFWJYJAVY&amp;VAR:QUERY=RkZfRElWX1lMRChBTk4sMTEvMjMvMDUsMTEvMjMvMDUp&amp;WINDOW=FIRST_POPUP&amp;HEIGHT=450&amp;WIDTH=450&amp;","START_MAXIMIZED=FALSE&amp;VAR:CALENDAR=US&amp;VAR:SYMBOL=RAI&amp;VAR:INDEX=0"}</definedName>
    <definedName name="_2801">#REF!</definedName>
    <definedName name="_2802">#REF!</definedName>
    <definedName name="_2804">#REF!</definedName>
    <definedName name="_2805">#REF!</definedName>
    <definedName name="_2807">#REF!</definedName>
    <definedName name="_2808">#REF!</definedName>
    <definedName name="_281">#REF!</definedName>
    <definedName name="_281__FDSAUDITLINK__" localSheetId="0" hidden="1">{"fdsup://directions/FAT Viewer?action=UPDATE&amp;creator=factset&amp;DYN_ARGS=TRUE&amp;DOC_NAME=FAT:FQL_AUDITING_CLIENT_TEMPLATE.FAT&amp;display_string=Audit&amp;VAR:KEY=TEXGBUXCZA&amp;VAR:QUERY=RkZfRElWX1lMRChBTk4sMTEvMTcvMDUsMTEvMTcvMDUp&amp;WINDOW=FIRST_POPUP&amp;HEIGHT=450&amp;WIDTH=450&amp;","START_MAXIMIZED=FALSE&amp;VAR:CALENDAR=US&amp;VAR:SYMBOL=RAI&amp;VAR:INDEX=0"}</definedName>
    <definedName name="_281__FDSAUDITLINK__" hidden="1">{"fdsup://directions/FAT Viewer?action=UPDATE&amp;creator=factset&amp;DYN_ARGS=TRUE&amp;DOC_NAME=FAT:FQL_AUDITING_CLIENT_TEMPLATE.FAT&amp;display_string=Audit&amp;VAR:KEY=TEXGBUXCZA&amp;VAR:QUERY=RkZfRElWX1lMRChBTk4sMTEvMTcvMDUsMTEvMTcvMDUp&amp;WINDOW=FIRST_POPUP&amp;HEIGHT=450&amp;WIDTH=450&amp;","START_MAXIMIZED=FALSE&amp;VAR:CALENDAR=US&amp;VAR:SYMBOL=RAI&amp;VAR:INDEX=0"}</definedName>
    <definedName name="_282">#REF!</definedName>
    <definedName name="_282__FDSAUDITLINK__" localSheetId="0" hidden="1">{"fdsup://directions/FAT Viewer?action=UPDATE&amp;creator=factset&amp;DYN_ARGS=TRUE&amp;DOC_NAME=FAT:FQL_AUDITING_CLIENT_TEMPLATE.FAT&amp;display_string=Audit&amp;VAR:KEY=XQLIRSBSTY&amp;VAR:QUERY=RkZfRElWX1lMRChBTk4sMTEvMTAvMDUsMTEvMTAvMDUp&amp;WINDOW=FIRST_POPUP&amp;HEIGHT=450&amp;WIDTH=450&amp;","START_MAXIMIZED=FALSE&amp;VAR:CALENDAR=US&amp;VAR:SYMBOL=RAI&amp;VAR:INDEX=0"}</definedName>
    <definedName name="_282__FDSAUDITLINK__" hidden="1">{"fdsup://directions/FAT Viewer?action=UPDATE&amp;creator=factset&amp;DYN_ARGS=TRUE&amp;DOC_NAME=FAT:FQL_AUDITING_CLIENT_TEMPLATE.FAT&amp;display_string=Audit&amp;VAR:KEY=XQLIRSBSTY&amp;VAR:QUERY=RkZfRElWX1lMRChBTk4sMTEvMTAvMDUsMTEvMTAvMDUp&amp;WINDOW=FIRST_POPUP&amp;HEIGHT=450&amp;WIDTH=450&amp;","START_MAXIMIZED=FALSE&amp;VAR:CALENDAR=US&amp;VAR:SYMBOL=RAI&amp;VAR:INDEX=0"}</definedName>
    <definedName name="_283">#REF!</definedName>
    <definedName name="_283__FDSAUDITLINK__" localSheetId="0" hidden="1">{"fdsup://directions/FAT Viewer?action=UPDATE&amp;creator=factset&amp;DYN_ARGS=TRUE&amp;DOC_NAME=FAT:FQL_AUDITING_CLIENT_TEMPLATE.FAT&amp;display_string=Audit&amp;VAR:KEY=ZAXAZAFCHK&amp;VAR:QUERY=RkZfRElWX1lMRChBTk4sMTEvMDMvMDUsMTEvMDMvMDUp&amp;WINDOW=FIRST_POPUP&amp;HEIGHT=450&amp;WIDTH=450&amp;","START_MAXIMIZED=FALSE&amp;VAR:CALENDAR=US&amp;VAR:SYMBOL=RAI&amp;VAR:INDEX=0"}</definedName>
    <definedName name="_283__FDSAUDITLINK__" hidden="1">{"fdsup://directions/FAT Viewer?action=UPDATE&amp;creator=factset&amp;DYN_ARGS=TRUE&amp;DOC_NAME=FAT:FQL_AUDITING_CLIENT_TEMPLATE.FAT&amp;display_string=Audit&amp;VAR:KEY=ZAXAZAFCHK&amp;VAR:QUERY=RkZfRElWX1lMRChBTk4sMTEvMDMvMDUsMTEvMDMvMDUp&amp;WINDOW=FIRST_POPUP&amp;HEIGHT=450&amp;WIDTH=450&amp;","START_MAXIMIZED=FALSE&amp;VAR:CALENDAR=US&amp;VAR:SYMBOL=RAI&amp;VAR:INDEX=0"}</definedName>
    <definedName name="_284">#REF!</definedName>
    <definedName name="_284__FDSAUDITLINK__" localSheetId="0" hidden="1">{"fdsup://directions/FAT Viewer?action=UPDATE&amp;creator=factset&amp;DYN_ARGS=TRUE&amp;DOC_NAME=FAT:FQL_AUDITING_CLIENT_TEMPLATE.FAT&amp;display_string=Audit&amp;VAR:KEY=TAPWFETKNQ&amp;VAR:QUERY=RkZfRElWX1lMRChBTk4sMTAvMjcvMDUsMTAvMjcvMDUp&amp;WINDOW=FIRST_POPUP&amp;HEIGHT=450&amp;WIDTH=450&amp;","START_MAXIMIZED=FALSE&amp;VAR:CALENDAR=US&amp;VAR:SYMBOL=RAI&amp;VAR:INDEX=0"}</definedName>
    <definedName name="_284__FDSAUDITLINK__" hidden="1">{"fdsup://directions/FAT Viewer?action=UPDATE&amp;creator=factset&amp;DYN_ARGS=TRUE&amp;DOC_NAME=FAT:FQL_AUDITING_CLIENT_TEMPLATE.FAT&amp;display_string=Audit&amp;VAR:KEY=TAPWFETKNQ&amp;VAR:QUERY=RkZfRElWX1lMRChBTk4sMTAvMjcvMDUsMTAvMjcvMDUp&amp;WINDOW=FIRST_POPUP&amp;HEIGHT=450&amp;WIDTH=450&amp;","START_MAXIMIZED=FALSE&amp;VAR:CALENDAR=US&amp;VAR:SYMBOL=RAI&amp;VAR:INDEX=0"}</definedName>
    <definedName name="_285">#REF!</definedName>
    <definedName name="_285__FDSAUDITLINK__" localSheetId="0" hidden="1">{"fdsup://directions/FAT Viewer?action=UPDATE&amp;creator=factset&amp;DYN_ARGS=TRUE&amp;DOC_NAME=FAT:FQL_AUDITING_CLIENT_TEMPLATE.FAT&amp;display_string=Audit&amp;VAR:KEY=FQXKLWVAFS&amp;VAR:QUERY=RkZfRElWX1lMRChBTk4sMTAvMjAvMDUsMTAvMjAvMDUp&amp;WINDOW=FIRST_POPUP&amp;HEIGHT=450&amp;WIDTH=450&amp;","START_MAXIMIZED=FALSE&amp;VAR:CALENDAR=US&amp;VAR:SYMBOL=RAI&amp;VAR:INDEX=0"}</definedName>
    <definedName name="_285__FDSAUDITLINK__" hidden="1">{"fdsup://directions/FAT Viewer?action=UPDATE&amp;creator=factset&amp;DYN_ARGS=TRUE&amp;DOC_NAME=FAT:FQL_AUDITING_CLIENT_TEMPLATE.FAT&amp;display_string=Audit&amp;VAR:KEY=FQXKLWVAFS&amp;VAR:QUERY=RkZfRElWX1lMRChBTk4sMTAvMjAvMDUsMTAvMjAvMDUp&amp;WINDOW=FIRST_POPUP&amp;HEIGHT=450&amp;WIDTH=450&amp;","START_MAXIMIZED=FALSE&amp;VAR:CALENDAR=US&amp;VAR:SYMBOL=RAI&amp;VAR:INDEX=0"}</definedName>
    <definedName name="_286">#REF!</definedName>
    <definedName name="_286__FDSAUDITLINK__" localSheetId="0" hidden="1">{"fdsup://directions/FAT Viewer?action=UPDATE&amp;creator=factset&amp;DYN_ARGS=TRUE&amp;DOC_NAME=FAT:FQL_AUDITING_CLIENT_TEMPLATE.FAT&amp;display_string=Audit&amp;VAR:KEY=FEDMHKNQLG&amp;VAR:QUERY=RkZfRElWX1lMRChBTk4sMTAvMTMvMDUsMTAvMTMvMDUp&amp;WINDOW=FIRST_POPUP&amp;HEIGHT=450&amp;WIDTH=450&amp;","START_MAXIMIZED=FALSE&amp;VAR:CALENDAR=US&amp;VAR:SYMBOL=RAI&amp;VAR:INDEX=0"}</definedName>
    <definedName name="_286__FDSAUDITLINK__" hidden="1">{"fdsup://directions/FAT Viewer?action=UPDATE&amp;creator=factset&amp;DYN_ARGS=TRUE&amp;DOC_NAME=FAT:FQL_AUDITING_CLIENT_TEMPLATE.FAT&amp;display_string=Audit&amp;VAR:KEY=FEDMHKNQLG&amp;VAR:QUERY=RkZfRElWX1lMRChBTk4sMTAvMTMvMDUsMTAvMTMvMDUp&amp;WINDOW=FIRST_POPUP&amp;HEIGHT=450&amp;WIDTH=450&amp;","START_MAXIMIZED=FALSE&amp;VAR:CALENDAR=US&amp;VAR:SYMBOL=RAI&amp;VAR:INDEX=0"}</definedName>
    <definedName name="_287__FDSAUDITLINK__" localSheetId="0" hidden="1">{"fdsup://directions/FAT Viewer?action=UPDATE&amp;creator=factset&amp;DYN_ARGS=TRUE&amp;DOC_NAME=FAT:FQL_AUDITING_CLIENT_TEMPLATE.FAT&amp;display_string=Audit&amp;VAR:KEY=NCPGLEFGRG&amp;VAR:QUERY=RkZfRElWX1lMRChBTk4sMTAvMDYvMDUsMTAvMDYvMDUp&amp;WINDOW=FIRST_POPUP&amp;HEIGHT=450&amp;WIDTH=450&amp;","START_MAXIMIZED=FALSE&amp;VAR:CALENDAR=US&amp;VAR:SYMBOL=RAI&amp;VAR:INDEX=0"}</definedName>
    <definedName name="_287__FDSAUDITLINK__" hidden="1">{"fdsup://directions/FAT Viewer?action=UPDATE&amp;creator=factset&amp;DYN_ARGS=TRUE&amp;DOC_NAME=FAT:FQL_AUDITING_CLIENT_TEMPLATE.FAT&amp;display_string=Audit&amp;VAR:KEY=NCPGLEFGRG&amp;VAR:QUERY=RkZfRElWX1lMRChBTk4sMTAvMDYvMDUsMTAvMDYvMDUp&amp;WINDOW=FIRST_POPUP&amp;HEIGHT=450&amp;WIDTH=450&amp;","START_MAXIMIZED=FALSE&amp;VAR:CALENDAR=US&amp;VAR:SYMBOL=RAI&amp;VAR:INDEX=0"}</definedName>
    <definedName name="_288__FDSAUDITLINK__" localSheetId="0" hidden="1">{"fdsup://directions/FAT Viewer?action=UPDATE&amp;creator=factset&amp;DYN_ARGS=TRUE&amp;DOC_NAME=FAT:FQL_AUDITING_CLIENT_TEMPLATE.FAT&amp;display_string=Audit&amp;VAR:KEY=ZMTOFMTMXC&amp;VAR:QUERY=RkZfRElWX1lMRChBTk4sOS8yOS8wNSw5LzI5LzA1KQ==&amp;WINDOW=FIRST_POPUP&amp;HEIGHT=450&amp;WIDTH=450&amp;","START_MAXIMIZED=FALSE&amp;VAR:CALENDAR=US&amp;VAR:SYMBOL=RAI&amp;VAR:INDEX=0"}</definedName>
    <definedName name="_288__FDSAUDITLINK__" hidden="1">{"fdsup://directions/FAT Viewer?action=UPDATE&amp;creator=factset&amp;DYN_ARGS=TRUE&amp;DOC_NAME=FAT:FQL_AUDITING_CLIENT_TEMPLATE.FAT&amp;display_string=Audit&amp;VAR:KEY=ZMTOFMTMXC&amp;VAR:QUERY=RkZfRElWX1lMRChBTk4sOS8yOS8wNSw5LzI5LzA1KQ==&amp;WINDOW=FIRST_POPUP&amp;HEIGHT=450&amp;WIDTH=450&amp;","START_MAXIMIZED=FALSE&amp;VAR:CALENDAR=US&amp;VAR:SYMBOL=RAI&amp;VAR:INDEX=0"}</definedName>
    <definedName name="_289__FDSAUDITLINK__" localSheetId="0" hidden="1">{"fdsup://directions/FAT Viewer?action=UPDATE&amp;creator=factset&amp;DYN_ARGS=TRUE&amp;DOC_NAME=FAT:FQL_AUDITING_CLIENT_TEMPLATE.FAT&amp;display_string=Audit&amp;VAR:KEY=HOBMLYPWBI&amp;VAR:QUERY=RkZfRElWX1lMRChBTk4sOS8yMi8wNSw5LzIyLzA1KQ==&amp;WINDOW=FIRST_POPUP&amp;HEIGHT=450&amp;WIDTH=450&amp;","START_MAXIMIZED=FALSE&amp;VAR:CALENDAR=US&amp;VAR:SYMBOL=RAI&amp;VAR:INDEX=0"}</definedName>
    <definedName name="_289__FDSAUDITLINK__" hidden="1">{"fdsup://directions/FAT Viewer?action=UPDATE&amp;creator=factset&amp;DYN_ARGS=TRUE&amp;DOC_NAME=FAT:FQL_AUDITING_CLIENT_TEMPLATE.FAT&amp;display_string=Audit&amp;VAR:KEY=HOBMLYPWBI&amp;VAR:QUERY=RkZfRElWX1lMRChBTk4sOS8yMi8wNSw5LzIyLzA1KQ==&amp;WINDOW=FIRST_POPUP&amp;HEIGHT=450&amp;WIDTH=450&amp;","START_MAXIMIZED=FALSE&amp;VAR:CALENDAR=US&amp;VAR:SYMBOL=RAI&amp;VAR:INDEX=0"}</definedName>
    <definedName name="_28main_form_account_grants_list_20_j_id1022">#REF!</definedName>
    <definedName name="_29">#REF!</definedName>
    <definedName name="_29________NOTE8_9">#REF!</definedName>
    <definedName name="_29__123Graph_BCHART_112" hidden="1">#REF!</definedName>
    <definedName name="_29__123Graph_BCHART_8">#REF!</definedName>
    <definedName name="_29__123Graph_CCHART_26" hidden="1">#REF!</definedName>
    <definedName name="_29__123Graph_CChart_31L">#REF!</definedName>
    <definedName name="_29__123Graph_CQRE_S_BY_CO.">#REF!</definedName>
    <definedName name="_29__123Graph_DQRE_S_BY_CO.">#REF!</definedName>
    <definedName name="_29__123Graph_EQRE_S_BY_CO.">#REF!</definedName>
    <definedName name="_29__123Graph_ESUPPLIES_BY_B_U">#REF!</definedName>
    <definedName name="_29__123Graph_FCONTRACT_BY_B_U" hidden="1">#REF!</definedName>
    <definedName name="_29__123Graph_FQRE_S_BY_CO.">#REF!</definedName>
    <definedName name="_29__123Graph_FSUPPLIES_BY_B_U">#REF!</definedName>
    <definedName name="_29__123Graph_FWAGES_BY_B_U">#REF!</definedName>
    <definedName name="_29__FDSAUDITLINK__" localSheetId="0" hidden="1">{"fdsup://directions/FAT Viewer?action=UPDATE&amp;creator=factset&amp;DYN_ARGS=TRUE&amp;DOC_NAME=FAT:FQL_AUDITING_CLIENT_TEMPLATE.FAT&amp;display_string=Audit&amp;VAR:KEY=CHEZWFGXUB&amp;VAR:QUERY=RkZfRU5UUlBSX1ZBTF9EQUlMWSgwLCwsLCwnRElMJyk=&amp;WINDOW=FIRST_POPUP&amp;HEIGHT=450&amp;WIDTH=450&amp;","START_MAXIMIZED=FALSE&amp;VAR:CALENDAR=US&amp;VAR:SYMBOL=STZ&amp;VAR:INDEX=0"}</definedName>
    <definedName name="_29__FDSAUDITLINK__" hidden="1">{"fdsup://directions/FAT Viewer?action=UPDATE&amp;creator=factset&amp;DYN_ARGS=TRUE&amp;DOC_NAME=FAT:FQL_AUDITING_CLIENT_TEMPLATE.FAT&amp;display_string=Audit&amp;VAR:KEY=CHEZWFGXUB&amp;VAR:QUERY=RkZfRU5UUlBSX1ZBTF9EQUlMWSgwLCwsLCwnRElMJyk=&amp;WINDOW=FIRST_POPUP&amp;HEIGHT=450&amp;WIDTH=450&amp;","START_MAXIMIZED=FALSE&amp;VAR:CALENDAR=US&amp;VAR:SYMBOL=STZ&amp;VAR:INDEX=0"}</definedName>
    <definedName name="_29_12_1999">#REF!</definedName>
    <definedName name="_290__FDSAUDITLINK__" localSheetId="0" hidden="1">{"fdsup://directions/FAT Viewer?action=UPDATE&amp;creator=factset&amp;DYN_ARGS=TRUE&amp;DOC_NAME=FAT:FQL_AUDITING_CLIENT_TEMPLATE.FAT&amp;display_string=Audit&amp;VAR:KEY=PYXADKLARQ&amp;VAR:QUERY=RkZfRElWX1lMRChBTk4sOS8xNS8wNSw5LzE1LzA1KQ==&amp;WINDOW=FIRST_POPUP&amp;HEIGHT=450&amp;WIDTH=450&amp;","START_MAXIMIZED=FALSE&amp;VAR:CALENDAR=US&amp;VAR:SYMBOL=RAI&amp;VAR:INDEX=0"}</definedName>
    <definedName name="_290__FDSAUDITLINK__" hidden="1">{"fdsup://directions/FAT Viewer?action=UPDATE&amp;creator=factset&amp;DYN_ARGS=TRUE&amp;DOC_NAME=FAT:FQL_AUDITING_CLIENT_TEMPLATE.FAT&amp;display_string=Audit&amp;VAR:KEY=PYXADKLARQ&amp;VAR:QUERY=RkZfRElWX1lMRChBTk4sOS8xNS8wNSw5LzE1LzA1KQ==&amp;WINDOW=FIRST_POPUP&amp;HEIGHT=450&amp;WIDTH=450&amp;","START_MAXIMIZED=FALSE&amp;VAR:CALENDAR=US&amp;VAR:SYMBOL=RAI&amp;VAR:INDEX=0"}</definedName>
    <definedName name="_291">#REF!</definedName>
    <definedName name="_291__FDSAUDITLINK__" localSheetId="0" hidden="1">{"fdsup://directions/FAT Viewer?action=UPDATE&amp;creator=factset&amp;DYN_ARGS=TRUE&amp;DOC_NAME=FAT:FQL_AUDITING_CLIENT_TEMPLATE.FAT&amp;display_string=Audit&amp;VAR:KEY=HWNKJYDQPW&amp;VAR:QUERY=RkZfRElWX1lMRChBTk4sOS8wOC8wNSw5LzA4LzA1KQ==&amp;WINDOW=FIRST_POPUP&amp;HEIGHT=450&amp;WIDTH=450&amp;","START_MAXIMIZED=FALSE&amp;VAR:CALENDAR=US&amp;VAR:SYMBOL=RAI&amp;VAR:INDEX=0"}</definedName>
    <definedName name="_291__FDSAUDITLINK__" hidden="1">{"fdsup://directions/FAT Viewer?action=UPDATE&amp;creator=factset&amp;DYN_ARGS=TRUE&amp;DOC_NAME=FAT:FQL_AUDITING_CLIENT_TEMPLATE.FAT&amp;display_string=Audit&amp;VAR:KEY=HWNKJYDQPW&amp;VAR:QUERY=RkZfRElWX1lMRChBTk4sOS8wOC8wNSw5LzA4LzA1KQ==&amp;WINDOW=FIRST_POPUP&amp;HEIGHT=450&amp;WIDTH=450&amp;","START_MAXIMIZED=FALSE&amp;VAR:CALENDAR=US&amp;VAR:SYMBOL=RAI&amp;VAR:INDEX=0"}</definedName>
    <definedName name="_292">#REF!</definedName>
    <definedName name="_292__FDSAUDITLINK__" localSheetId="0" hidden="1">{"fdsup://directions/FAT Viewer?action=UPDATE&amp;creator=factset&amp;DYN_ARGS=TRUE&amp;DOC_NAME=FAT:FQL_AUDITING_CLIENT_TEMPLATE.FAT&amp;display_string=Audit&amp;VAR:KEY=LCLUFERAZK&amp;VAR:QUERY=RkZfRElWX1lMRChBTk4sOS8wMS8wNSw5LzAxLzA1KQ==&amp;WINDOW=FIRST_POPUP&amp;HEIGHT=450&amp;WIDTH=450&amp;","START_MAXIMIZED=FALSE&amp;VAR:CALENDAR=US&amp;VAR:SYMBOL=RAI&amp;VAR:INDEX=0"}</definedName>
    <definedName name="_292__FDSAUDITLINK__" hidden="1">{"fdsup://directions/FAT Viewer?action=UPDATE&amp;creator=factset&amp;DYN_ARGS=TRUE&amp;DOC_NAME=FAT:FQL_AUDITING_CLIENT_TEMPLATE.FAT&amp;display_string=Audit&amp;VAR:KEY=LCLUFERAZK&amp;VAR:QUERY=RkZfRElWX1lMRChBTk4sOS8wMS8wNSw5LzAxLzA1KQ==&amp;WINDOW=FIRST_POPUP&amp;HEIGHT=450&amp;WIDTH=450&amp;","START_MAXIMIZED=FALSE&amp;VAR:CALENDAR=US&amp;VAR:SYMBOL=RAI&amp;VAR:INDEX=0"}</definedName>
    <definedName name="_293">#REF!</definedName>
    <definedName name="_293__FDSAUDITLINK__" localSheetId="0" hidden="1">{"fdsup://directions/FAT Viewer?action=UPDATE&amp;creator=factset&amp;DYN_ARGS=TRUE&amp;DOC_NAME=FAT:FQL_AUDITING_CLIENT_TEMPLATE.FAT&amp;display_string=Audit&amp;VAR:KEY=NCTGDEFSFW&amp;VAR:QUERY=RkZfRElWX1lMRChBTk4sOC8yNS8wNSw4LzI1LzA1KQ==&amp;WINDOW=FIRST_POPUP&amp;HEIGHT=450&amp;WIDTH=450&amp;","START_MAXIMIZED=FALSE&amp;VAR:CALENDAR=US&amp;VAR:SYMBOL=RAI&amp;VAR:INDEX=0"}</definedName>
    <definedName name="_293__FDSAUDITLINK__" hidden="1">{"fdsup://directions/FAT Viewer?action=UPDATE&amp;creator=factset&amp;DYN_ARGS=TRUE&amp;DOC_NAME=FAT:FQL_AUDITING_CLIENT_TEMPLATE.FAT&amp;display_string=Audit&amp;VAR:KEY=NCTGDEFSFW&amp;VAR:QUERY=RkZfRElWX1lMRChBTk4sOC8yNS8wNSw4LzI1LzA1KQ==&amp;WINDOW=FIRST_POPUP&amp;HEIGHT=450&amp;WIDTH=450&amp;","START_MAXIMIZED=FALSE&amp;VAR:CALENDAR=US&amp;VAR:SYMBOL=RAI&amp;VAR:INDEX=0"}</definedName>
    <definedName name="_294">#REF!</definedName>
    <definedName name="_294__FDSAUDITLINK__" localSheetId="0" hidden="1">{"fdsup://directions/FAT Viewer?action=UPDATE&amp;creator=factset&amp;DYN_ARGS=TRUE&amp;DOC_NAME=FAT:FQL_AUDITING_CLIENT_TEMPLATE.FAT&amp;display_string=Audit&amp;VAR:KEY=LWTKZSZWZO&amp;VAR:QUERY=RkZfRElWX1lMRChBTk4sOC8xOC8wNSw4LzE4LzA1KQ==&amp;WINDOW=FIRST_POPUP&amp;HEIGHT=450&amp;WIDTH=450&amp;","START_MAXIMIZED=FALSE&amp;VAR:CALENDAR=US&amp;VAR:SYMBOL=RAI&amp;VAR:INDEX=0"}</definedName>
    <definedName name="_294__FDSAUDITLINK__" hidden="1">{"fdsup://directions/FAT Viewer?action=UPDATE&amp;creator=factset&amp;DYN_ARGS=TRUE&amp;DOC_NAME=FAT:FQL_AUDITING_CLIENT_TEMPLATE.FAT&amp;display_string=Audit&amp;VAR:KEY=LWTKZSZWZO&amp;VAR:QUERY=RkZfRElWX1lMRChBTk4sOC8xOC8wNSw4LzE4LzA1KQ==&amp;WINDOW=FIRST_POPUP&amp;HEIGHT=450&amp;WIDTH=450&amp;","START_MAXIMIZED=FALSE&amp;VAR:CALENDAR=US&amp;VAR:SYMBOL=RAI&amp;VAR:INDEX=0"}</definedName>
    <definedName name="_295">#REF!</definedName>
    <definedName name="_295__FDSAUDITLINK__" localSheetId="0" hidden="1">{"fdsup://directions/FAT Viewer?action=UPDATE&amp;creator=factset&amp;DYN_ARGS=TRUE&amp;DOC_NAME=FAT:FQL_AUDITING_CLIENT_TEMPLATE.FAT&amp;display_string=Audit&amp;VAR:KEY=DWBKHKJURO&amp;VAR:QUERY=RkZfRElWX1lMRChBTk4sOC8xMS8wNSw4LzExLzA1KQ==&amp;WINDOW=FIRST_POPUP&amp;HEIGHT=450&amp;WIDTH=450&amp;","START_MAXIMIZED=FALSE&amp;VAR:CALENDAR=US&amp;VAR:SYMBOL=RAI&amp;VAR:INDEX=0"}</definedName>
    <definedName name="_295__FDSAUDITLINK__" hidden="1">{"fdsup://directions/FAT Viewer?action=UPDATE&amp;creator=factset&amp;DYN_ARGS=TRUE&amp;DOC_NAME=FAT:FQL_AUDITING_CLIENT_TEMPLATE.FAT&amp;display_string=Audit&amp;VAR:KEY=DWBKHKJURO&amp;VAR:QUERY=RkZfRElWX1lMRChBTk4sOC8xMS8wNSw4LzExLzA1KQ==&amp;WINDOW=FIRST_POPUP&amp;HEIGHT=450&amp;WIDTH=450&amp;","START_MAXIMIZED=FALSE&amp;VAR:CALENDAR=US&amp;VAR:SYMBOL=RAI&amp;VAR:INDEX=0"}</definedName>
    <definedName name="_296">#REF!</definedName>
    <definedName name="_296__FDSAUDITLINK__" localSheetId="0" hidden="1">{"fdsup://directions/FAT Viewer?action=UPDATE&amp;creator=factset&amp;DYN_ARGS=TRUE&amp;DOC_NAME=FAT:FQL_AUDITING_CLIENT_TEMPLATE.FAT&amp;display_string=Audit&amp;VAR:KEY=RWXINOTANY&amp;VAR:QUERY=RkZfRElWX1lMRChBTk4sOC8wNC8wNSw4LzA0LzA1KQ==&amp;WINDOW=FIRST_POPUP&amp;HEIGHT=450&amp;WIDTH=450&amp;","START_MAXIMIZED=FALSE&amp;VAR:CALENDAR=US&amp;VAR:SYMBOL=RAI&amp;VAR:INDEX=0"}</definedName>
    <definedName name="_296__FDSAUDITLINK__" hidden="1">{"fdsup://directions/FAT Viewer?action=UPDATE&amp;creator=factset&amp;DYN_ARGS=TRUE&amp;DOC_NAME=FAT:FQL_AUDITING_CLIENT_TEMPLATE.FAT&amp;display_string=Audit&amp;VAR:KEY=RWXINOTANY&amp;VAR:QUERY=RkZfRElWX1lMRChBTk4sOC8wNC8wNSw4LzA0LzA1KQ==&amp;WINDOW=FIRST_POPUP&amp;HEIGHT=450&amp;WIDTH=450&amp;","START_MAXIMIZED=FALSE&amp;VAR:CALENDAR=US&amp;VAR:SYMBOL=RAI&amp;VAR:INDEX=0"}</definedName>
    <definedName name="_2969">#REF!</definedName>
    <definedName name="_297">#REF!</definedName>
    <definedName name="_297__FDSAUDITLINK__" localSheetId="0" hidden="1">{"fdsup://directions/FAT Viewer?action=UPDATE&amp;creator=factset&amp;DYN_ARGS=TRUE&amp;DOC_NAME=FAT:FQL_AUDITING_CLIENT_TEMPLATE.FAT&amp;display_string=Audit&amp;VAR:KEY=VWNOPSBALK&amp;VAR:QUERY=RkZfRElWX1lMRChBTk4sNy8yOC8wNSw3LzI4LzA1KQ==&amp;WINDOW=FIRST_POPUP&amp;HEIGHT=450&amp;WIDTH=450&amp;","START_MAXIMIZED=FALSE&amp;VAR:CALENDAR=US&amp;VAR:SYMBOL=RAI&amp;VAR:INDEX=0"}</definedName>
    <definedName name="_297__FDSAUDITLINK__" hidden="1">{"fdsup://directions/FAT Viewer?action=UPDATE&amp;creator=factset&amp;DYN_ARGS=TRUE&amp;DOC_NAME=FAT:FQL_AUDITING_CLIENT_TEMPLATE.FAT&amp;display_string=Audit&amp;VAR:KEY=VWNOPSBALK&amp;VAR:QUERY=RkZfRElWX1lMRChBTk4sNy8yOC8wNSw3LzI4LzA1KQ==&amp;WINDOW=FIRST_POPUP&amp;HEIGHT=450&amp;WIDTH=450&amp;","START_MAXIMIZED=FALSE&amp;VAR:CALENDAR=US&amp;VAR:SYMBOL=RAI&amp;VAR:INDEX=0"}</definedName>
    <definedName name="_2970">#REF!</definedName>
    <definedName name="_2972">#REF!</definedName>
    <definedName name="_2973">#REF!</definedName>
    <definedName name="_2975">#REF!</definedName>
    <definedName name="_2976">#REF!</definedName>
    <definedName name="_298__FDSAUDITLINK__" localSheetId="0" hidden="1">{"fdsup://directions/FAT Viewer?action=UPDATE&amp;creator=factset&amp;DYN_ARGS=TRUE&amp;DOC_NAME=FAT:FQL_AUDITING_CLIENT_TEMPLATE.FAT&amp;display_string=Audit&amp;VAR:KEY=FORWPKJADU&amp;VAR:QUERY=RkZfRElWX1lMRChBTk4sNy8yMS8wNSw3LzIxLzA1KQ==&amp;WINDOW=FIRST_POPUP&amp;HEIGHT=450&amp;WIDTH=450&amp;","START_MAXIMIZED=FALSE&amp;VAR:CALENDAR=US&amp;VAR:SYMBOL=RAI&amp;VAR:INDEX=0"}</definedName>
    <definedName name="_298__FDSAUDITLINK__" hidden="1">{"fdsup://directions/FAT Viewer?action=UPDATE&amp;creator=factset&amp;DYN_ARGS=TRUE&amp;DOC_NAME=FAT:FQL_AUDITING_CLIENT_TEMPLATE.FAT&amp;display_string=Audit&amp;VAR:KEY=FORWPKJADU&amp;VAR:QUERY=RkZfRElWX1lMRChBTk4sNy8yMS8wNSw3LzIxLzA1KQ==&amp;WINDOW=FIRST_POPUP&amp;HEIGHT=450&amp;WIDTH=450&amp;","START_MAXIMIZED=FALSE&amp;VAR:CALENDAR=US&amp;VAR:SYMBOL=RAI&amp;VAR:INDEX=0"}</definedName>
    <definedName name="_299">#REF!</definedName>
    <definedName name="_299__FDSAUDITLINK__" localSheetId="0" hidden="1">{"fdsup://directions/FAT Viewer?action=UPDATE&amp;creator=factset&amp;DYN_ARGS=TRUE&amp;DOC_NAME=FAT:FQL_AUDITING_CLIENT_TEMPLATE.FAT&amp;display_string=Audit&amp;VAR:KEY=HITEHCHGHA&amp;VAR:QUERY=RkZfRElWX1lMRChBTk4sNy8xNC8wNSw3LzE0LzA1KQ==&amp;WINDOW=FIRST_POPUP&amp;HEIGHT=450&amp;WIDTH=450&amp;","START_MAXIMIZED=FALSE&amp;VAR:CALENDAR=US&amp;VAR:SYMBOL=RAI&amp;VAR:INDEX=0"}</definedName>
    <definedName name="_299__FDSAUDITLINK__" hidden="1">{"fdsup://directions/FAT Viewer?action=UPDATE&amp;creator=factset&amp;DYN_ARGS=TRUE&amp;DOC_NAME=FAT:FQL_AUDITING_CLIENT_TEMPLATE.FAT&amp;display_string=Audit&amp;VAR:KEY=HITEHCHGHA&amp;VAR:QUERY=RkZfRElWX1lMRChBTk4sNy8xNC8wNSw3LzE0LzA1KQ==&amp;WINDOW=FIRST_POPUP&amp;HEIGHT=450&amp;WIDTH=450&amp;","START_MAXIMIZED=FALSE&amp;VAR:CALENDAR=US&amp;VAR:SYMBOL=RAI&amp;VAR:INDEX=0"}</definedName>
    <definedName name="_29번">#REF!</definedName>
    <definedName name="_2A1">#REF!</definedName>
    <definedName name="_2B_9">#REF!</definedName>
    <definedName name="_2C_65536">#NAME?</definedName>
    <definedName name="_2item">#REF!</definedName>
    <definedName name="_2M">#REF!</definedName>
    <definedName name="_2main_form_account_grants_list_0_j_id1022">#REF!</definedName>
    <definedName name="_2O1_">#REF!</definedName>
    <definedName name="_2Table2_">#REF!</definedName>
    <definedName name="_3">#REF!</definedName>
    <definedName name="_3____________NOTE1_3">#REF!</definedName>
    <definedName name="_3__123Graph_AChart_1" hidden="1">#REF!</definedName>
    <definedName name="_3__123Graph_AChart_19K">#REF!</definedName>
    <definedName name="_3__123Graph_ACONTRACT_BY_B_U">#REF!</definedName>
    <definedName name="_3__123Graph_AQRE_S_BY_CO.">#REF!</definedName>
    <definedName name="_3__123Graph_AQRE_S_BY_TYPE">#REF!</definedName>
    <definedName name="_3__123Graph_ASENS_COMPARISON">#REF!</definedName>
    <definedName name="_3__123Graph_BCHART_3" hidden="1">#REF!</definedName>
    <definedName name="_3__123Graph_XCHART_4">#REF!</definedName>
    <definedName name="_3__FDSAUDITLINK__" localSheetId="0" hidden="1">{"fdsup://directions/FAT Viewer?action=UPDATE&amp;creator=factset&amp;DYN_ARGS=TRUE&amp;DOC_NAME=FAT:FQL_AUDITING_CLIENT_TEMPLATE.FAT&amp;display_string=Audit&amp;VAR:KEY=IVGDCZUDYZ&amp;VAR:QUERY=Q1NGX0RJVl9ZTEQoUVRSX1IsNi8zMC8yMDEwKQ==&amp;WINDOW=FIRST_POPUP&amp;HEIGHT=450&amp;WIDTH=450&amp;STAR","T_MAXIMIZED=FALSE&amp;VAR:CALENDAR=US&amp;VAR:SYMBOL=MO&amp;VAR:INDEX=0"}</definedName>
    <definedName name="_3__FDSAUDITLINK__" hidden="1">{"fdsup://directions/FAT Viewer?action=UPDATE&amp;creator=factset&amp;DYN_ARGS=TRUE&amp;DOC_NAME=FAT:FQL_AUDITING_CLIENT_TEMPLATE.FAT&amp;display_string=Audit&amp;VAR:KEY=IVGDCZUDYZ&amp;VAR:QUERY=Q1NGX0RJVl9ZTEQoUVRSX1IsNi8zMC8yMDEwKQ==&amp;WINDOW=FIRST_POPUP&amp;HEIGHT=450&amp;WIDTH=450&amp;STAR","T_MAXIMIZED=FALSE&amp;VAR:CALENDAR=US&amp;VAR:SYMBOL=MO&amp;VAR:INDEX=0"}</definedName>
    <definedName name="_3_0__123Grap">#REF!</definedName>
    <definedName name="_3_0_0_MatInverse" hidden="1">#REF!</definedName>
    <definedName name="_3_0_0BENEFITS">#REF!</definedName>
    <definedName name="_3_0_Table2_" hidden="1">#REF!</definedName>
    <definedName name="_3_0TAB">#REF!</definedName>
    <definedName name="_3_123Grap" hidden="1">#REF!</definedName>
    <definedName name="_3_123Graph_CEX">#REF!</definedName>
    <definedName name="_3_12500">#NAME?</definedName>
    <definedName name="_30">#REF!</definedName>
    <definedName name="_30_??1???_3">#REF!</definedName>
    <definedName name="_30________P_L">#REF!</definedName>
    <definedName name="_30__123Graph_ACHART_4">#REF!</definedName>
    <definedName name="_30__123Graph_ATAX_CREDIT">#REF!</definedName>
    <definedName name="_30__123Graph_BCHART_26" hidden="1">#REF!</definedName>
    <definedName name="_30__123Graph_BSUPPLIES_BY_B_U">#REF!</definedName>
    <definedName name="_30__123Graph_CCHART_30" hidden="1">#REF!</definedName>
    <definedName name="_30__123Graph_CChart_3I">#REF!</definedName>
    <definedName name="_30__123Graph_CQRE_S_BY_CO.">#REF!</definedName>
    <definedName name="_30__123Graph_CSENS_COMPARISON">#REF!</definedName>
    <definedName name="_30__123Graph_DSUPPLIES_BY_B_U">#REF!</definedName>
    <definedName name="_30__123Graph_ESUPPLIES_BY_B_U">#REF!</definedName>
    <definedName name="_30__123Graph_EWAGES_BY_B_U">#REF!</definedName>
    <definedName name="_30__123Graph_FQRE_S_BY_CO." hidden="1">#REF!</definedName>
    <definedName name="_30__123Graph_FSUPPLIES_BY_B_U">#REF!</definedName>
    <definedName name="_30__123Graph_FWAGES_BY_B_U">#REF!</definedName>
    <definedName name="_30__123Graph_XCONTRACT_BY_B_U">#REF!</definedName>
    <definedName name="_30__FDSAUDITLINK__" localSheetId="0" hidden="1">{"fdsup://directions/FAT Viewer?action=UPDATE&amp;creator=factset&amp;DYN_ARGS=TRUE&amp;DOC_NAME=FAT:FQL_AUDITING_CLIENT_TEMPLATE.FAT&amp;display_string=Audit&amp;VAR:KEY=UVWNAPSFMV&amp;VAR:QUERY=RkZfRU5UUlBSX1ZBTF9EQUlMWSgwLCwsLCwnRElMJyk=&amp;WINDOW=FIRST_POPUP&amp;HEIGHT=450&amp;WIDTH=450&amp;","START_MAXIMIZED=FALSE&amp;VAR:CALENDAR=US&amp;VAR:SYMBOL=11563720&amp;VAR:INDEX=0"}</definedName>
    <definedName name="_30__FDSAUDITLINK__" hidden="1">{"fdsup://directions/FAT Viewer?action=UPDATE&amp;creator=factset&amp;DYN_ARGS=TRUE&amp;DOC_NAME=FAT:FQL_AUDITING_CLIENT_TEMPLATE.FAT&amp;display_string=Audit&amp;VAR:KEY=UVWNAPSFMV&amp;VAR:QUERY=RkZfRU5UUlBSX1ZBTF9EQUlMWSgwLCwsLCwnRElMJyk=&amp;WINDOW=FIRST_POPUP&amp;HEIGHT=450&amp;WIDTH=450&amp;","START_MAXIMIZED=FALSE&amp;VAR:CALENDAR=US&amp;VAR:SYMBOL=11563720&amp;VAR:INDEX=0"}</definedName>
    <definedName name="_30_10_2000">#REF!</definedName>
    <definedName name="_300">#REF!</definedName>
    <definedName name="_300__FDSAUDITLINK__" localSheetId="0" hidden="1">{"fdsup://directions/FAT Viewer?action=UPDATE&amp;creator=factset&amp;DYN_ARGS=TRUE&amp;DOC_NAME=FAT:FQL_AUDITING_CLIENT_TEMPLATE.FAT&amp;display_string=Audit&amp;VAR:KEY=NAHQPAVSPS&amp;VAR:QUERY=RkZfRElWX1lMRChBTk4sNy8wNy8wNSw3LzA3LzA1KQ==&amp;WINDOW=FIRST_POPUP&amp;HEIGHT=450&amp;WIDTH=450&amp;","START_MAXIMIZED=FALSE&amp;VAR:CALENDAR=US&amp;VAR:SYMBOL=RAI&amp;VAR:INDEX=0"}</definedName>
    <definedName name="_300__FDSAUDITLINK__" hidden="1">{"fdsup://directions/FAT Viewer?action=UPDATE&amp;creator=factset&amp;DYN_ARGS=TRUE&amp;DOC_NAME=FAT:FQL_AUDITING_CLIENT_TEMPLATE.FAT&amp;display_string=Audit&amp;VAR:KEY=NAHQPAVSPS&amp;VAR:QUERY=RkZfRElWX1lMRChBTk4sNy8wNy8wNSw3LzA3LzA1KQ==&amp;WINDOW=FIRST_POPUP&amp;HEIGHT=450&amp;WIDTH=450&amp;","START_MAXIMIZED=FALSE&amp;VAR:CALENDAR=US&amp;VAR:SYMBOL=RAI&amp;VAR:INDEX=0"}</definedName>
    <definedName name="_301">#REF!</definedName>
    <definedName name="_301__FDSAUDITLINK__" localSheetId="0" hidden="1">{"fdsup://directions/FAT Viewer?action=UPDATE&amp;creator=factset&amp;DYN_ARGS=TRUE&amp;DOC_NAME=FAT:FQL_AUDITING_CLIENT_TEMPLATE.FAT&amp;display_string=Audit&amp;VAR:KEY=TYRSDUHQBK&amp;VAR:QUERY=RkZfRElWX1lMRChBTk4sNi8zMC8wNSw2LzMwLzA1KQ==&amp;WINDOW=FIRST_POPUP&amp;HEIGHT=450&amp;WIDTH=450&amp;","START_MAXIMIZED=FALSE&amp;VAR:CALENDAR=US&amp;VAR:SYMBOL=RAI&amp;VAR:INDEX=0"}</definedName>
    <definedName name="_301__FDSAUDITLINK__" hidden="1">{"fdsup://directions/FAT Viewer?action=UPDATE&amp;creator=factset&amp;DYN_ARGS=TRUE&amp;DOC_NAME=FAT:FQL_AUDITING_CLIENT_TEMPLATE.FAT&amp;display_string=Audit&amp;VAR:KEY=TYRSDUHQBK&amp;VAR:QUERY=RkZfRElWX1lMRChBTk4sNi8zMC8wNSw2LzMwLzA1KQ==&amp;WINDOW=FIRST_POPUP&amp;HEIGHT=450&amp;WIDTH=450&amp;","START_MAXIMIZED=FALSE&amp;VAR:CALENDAR=US&amp;VAR:SYMBOL=RAI&amp;VAR:INDEX=0"}</definedName>
    <definedName name="_302">#REF!</definedName>
    <definedName name="_302__FDSAUDITLINK__" localSheetId="0" hidden="1">{"fdsup://directions/FAT Viewer?action=UPDATE&amp;creator=factset&amp;DYN_ARGS=TRUE&amp;DOC_NAME=FAT:FQL_AUDITING_CLIENT_TEMPLATE.FAT&amp;display_string=Audit&amp;VAR:KEY=XYRQZOTCRW&amp;VAR:QUERY=RkZfRElWX1lMRChBTk4sNi8yMy8wNSw2LzIzLzA1KQ==&amp;WINDOW=FIRST_POPUP&amp;HEIGHT=450&amp;WIDTH=450&amp;","START_MAXIMIZED=FALSE&amp;VAR:CALENDAR=US&amp;VAR:SYMBOL=RAI&amp;VAR:INDEX=0"}</definedName>
    <definedName name="_302__FDSAUDITLINK__" hidden="1">{"fdsup://directions/FAT Viewer?action=UPDATE&amp;creator=factset&amp;DYN_ARGS=TRUE&amp;DOC_NAME=FAT:FQL_AUDITING_CLIENT_TEMPLATE.FAT&amp;display_string=Audit&amp;VAR:KEY=XYRQZOTCRW&amp;VAR:QUERY=RkZfRElWX1lMRChBTk4sNi8yMy8wNSw2LzIzLzA1KQ==&amp;WINDOW=FIRST_POPUP&amp;HEIGHT=450&amp;WIDTH=450&amp;","START_MAXIMIZED=FALSE&amp;VAR:CALENDAR=US&amp;VAR:SYMBOL=RAI&amp;VAR:INDEX=0"}</definedName>
    <definedName name="_303__FDSAUDITLINK__" localSheetId="0" hidden="1">{"fdsup://directions/FAT Viewer?action=UPDATE&amp;creator=factset&amp;DYN_ARGS=TRUE&amp;DOC_NAME=FAT:FQL_AUDITING_CLIENT_TEMPLATE.FAT&amp;display_string=Audit&amp;VAR:KEY=XOFQFAXCFI&amp;VAR:QUERY=RkZfRElWX1lMRChBTk4sNi8xNi8wNSw2LzE2LzA1KQ==&amp;WINDOW=FIRST_POPUP&amp;HEIGHT=450&amp;WIDTH=450&amp;","START_MAXIMIZED=FALSE&amp;VAR:CALENDAR=US&amp;VAR:SYMBOL=RAI&amp;VAR:INDEX=0"}</definedName>
    <definedName name="_303__FDSAUDITLINK__" hidden="1">{"fdsup://directions/FAT Viewer?action=UPDATE&amp;creator=factset&amp;DYN_ARGS=TRUE&amp;DOC_NAME=FAT:FQL_AUDITING_CLIENT_TEMPLATE.FAT&amp;display_string=Audit&amp;VAR:KEY=XOFQFAXCFI&amp;VAR:QUERY=RkZfRElWX1lMRChBTk4sNi8xNi8wNSw2LzE2LzA1KQ==&amp;WINDOW=FIRST_POPUP&amp;HEIGHT=450&amp;WIDTH=450&amp;","START_MAXIMIZED=FALSE&amp;VAR:CALENDAR=US&amp;VAR:SYMBOL=RAI&amp;VAR:INDEX=0"}</definedName>
    <definedName name="_30360">2</definedName>
    <definedName name="_304__FDSAUDITLINK__" localSheetId="0" hidden="1">{"fdsup://directions/FAT Viewer?action=UPDATE&amp;creator=factset&amp;DYN_ARGS=TRUE&amp;DOC_NAME=FAT:FQL_AUDITING_CLIENT_TEMPLATE.FAT&amp;display_string=Audit&amp;VAR:KEY=FOJKZAHWFY&amp;VAR:QUERY=RkZfRElWX1lMRChBTk4sNi8wOS8wNSw2LzA5LzA1KQ==&amp;WINDOW=FIRST_POPUP&amp;HEIGHT=450&amp;WIDTH=450&amp;","START_MAXIMIZED=FALSE&amp;VAR:CALENDAR=US&amp;VAR:SYMBOL=RAI&amp;VAR:INDEX=0"}</definedName>
    <definedName name="_304__FDSAUDITLINK__" hidden="1">{"fdsup://directions/FAT Viewer?action=UPDATE&amp;creator=factset&amp;DYN_ARGS=TRUE&amp;DOC_NAME=FAT:FQL_AUDITING_CLIENT_TEMPLATE.FAT&amp;display_string=Audit&amp;VAR:KEY=FOJKZAHWFY&amp;VAR:QUERY=RkZfRElWX1lMRChBTk4sNi8wOS8wNSw2LzA5LzA1KQ==&amp;WINDOW=FIRST_POPUP&amp;HEIGHT=450&amp;WIDTH=450&amp;","START_MAXIMIZED=FALSE&amp;VAR:CALENDAR=US&amp;VAR:SYMBOL=RAI&amp;VAR:INDEX=0"}</definedName>
    <definedName name="_305__FDSAUDITLINK__" localSheetId="0" hidden="1">{"fdsup://directions/FAT Viewer?action=UPDATE&amp;creator=factset&amp;DYN_ARGS=TRUE&amp;DOC_NAME=FAT:FQL_AUDITING_CLIENT_TEMPLATE.FAT&amp;display_string=Audit&amp;VAR:KEY=HEXIXEVUHC&amp;VAR:QUERY=RkZfRElWX1lMRChBTk4sNi8wMi8wNSw2LzAyLzA1KQ==&amp;WINDOW=FIRST_POPUP&amp;HEIGHT=450&amp;WIDTH=450&amp;","START_MAXIMIZED=FALSE&amp;VAR:CALENDAR=US&amp;VAR:SYMBOL=RAI&amp;VAR:INDEX=0"}</definedName>
    <definedName name="_305__FDSAUDITLINK__" hidden="1">{"fdsup://directions/FAT Viewer?action=UPDATE&amp;creator=factset&amp;DYN_ARGS=TRUE&amp;DOC_NAME=FAT:FQL_AUDITING_CLIENT_TEMPLATE.FAT&amp;display_string=Audit&amp;VAR:KEY=HEXIXEVUHC&amp;VAR:QUERY=RkZfRElWX1lMRChBTk4sNi8wMi8wNSw2LzAyLzA1KQ==&amp;WINDOW=FIRST_POPUP&amp;HEIGHT=450&amp;WIDTH=450&amp;","START_MAXIMIZED=FALSE&amp;VAR:CALENDAR=US&amp;VAR:SYMBOL=RAI&amp;VAR:INDEX=0"}</definedName>
    <definedName name="_3054">#REF!</definedName>
    <definedName name="_3055">#REF!</definedName>
    <definedName name="_3057">#REF!</definedName>
    <definedName name="_3058">#REF!</definedName>
    <definedName name="_306__FDSAUDITLINK__" localSheetId="0" hidden="1">{"fdsup://directions/FAT Viewer?action=UPDATE&amp;creator=factset&amp;DYN_ARGS=TRUE&amp;DOC_NAME=FAT:FQL_AUDITING_CLIENT_TEMPLATE.FAT&amp;display_string=Audit&amp;VAR:KEY=XYXEHEJURQ&amp;VAR:QUERY=RkZfRElWX1lMRChBTk4sNS8yNi8wNSw1LzI2LzA1KQ==&amp;WINDOW=FIRST_POPUP&amp;HEIGHT=450&amp;WIDTH=450&amp;","START_MAXIMIZED=FALSE&amp;VAR:CALENDAR=US&amp;VAR:SYMBOL=RAI&amp;VAR:INDEX=0"}</definedName>
    <definedName name="_306__FDSAUDITLINK__" hidden="1">{"fdsup://directions/FAT Viewer?action=UPDATE&amp;creator=factset&amp;DYN_ARGS=TRUE&amp;DOC_NAME=FAT:FQL_AUDITING_CLIENT_TEMPLATE.FAT&amp;display_string=Audit&amp;VAR:KEY=XYXEHEJURQ&amp;VAR:QUERY=RkZfRElWX1lMRChBTk4sNS8yNi8wNSw1LzI2LzA1KQ==&amp;WINDOW=FIRST_POPUP&amp;HEIGHT=450&amp;WIDTH=450&amp;","START_MAXIMIZED=FALSE&amp;VAR:CALENDAR=US&amp;VAR:SYMBOL=RAI&amp;VAR:INDEX=0"}</definedName>
    <definedName name="_3060">#REF!</definedName>
    <definedName name="_3061">#REF!</definedName>
    <definedName name="_3063">#REF!</definedName>
    <definedName name="_3064">#REF!</definedName>
    <definedName name="_307">#REF!</definedName>
    <definedName name="_307__FDSAUDITLINK__" localSheetId="0" hidden="1">{"fdsup://directions/FAT Viewer?action=UPDATE&amp;creator=factset&amp;DYN_ARGS=TRUE&amp;DOC_NAME=FAT:FQL_AUDITING_CLIENT_TEMPLATE.FAT&amp;display_string=Audit&amp;VAR:KEY=ZSRMVQVMZC&amp;VAR:QUERY=RkZfRElWX1lMRChBTk4sNS8xOS8wNSw1LzE5LzA1KQ==&amp;WINDOW=FIRST_POPUP&amp;HEIGHT=450&amp;WIDTH=450&amp;","START_MAXIMIZED=FALSE&amp;VAR:CALENDAR=US&amp;VAR:SYMBOL=RAI&amp;VAR:INDEX=0"}</definedName>
    <definedName name="_307__FDSAUDITLINK__" hidden="1">{"fdsup://directions/FAT Viewer?action=UPDATE&amp;creator=factset&amp;DYN_ARGS=TRUE&amp;DOC_NAME=FAT:FQL_AUDITING_CLIENT_TEMPLATE.FAT&amp;display_string=Audit&amp;VAR:KEY=ZSRMVQVMZC&amp;VAR:QUERY=RkZfRElWX1lMRChBTk4sNS8xOS8wNSw1LzE5LzA1KQ==&amp;WINDOW=FIRST_POPUP&amp;HEIGHT=450&amp;WIDTH=450&amp;","START_MAXIMIZED=FALSE&amp;VAR:CALENDAR=US&amp;VAR:SYMBOL=RAI&amp;VAR:INDEX=0"}</definedName>
    <definedName name="_308">#REF!</definedName>
    <definedName name="_308__FDSAUDITLINK__" localSheetId="0" hidden="1">{"fdsup://directions/FAT Viewer?action=UPDATE&amp;creator=factset&amp;DYN_ARGS=TRUE&amp;DOC_NAME=FAT:FQL_AUDITING_CLIENT_TEMPLATE.FAT&amp;display_string=Audit&amp;VAR:KEY=NWLQXARGPC&amp;VAR:QUERY=RkZfRElWX1lMRChBTk4sNS8xMi8wNSw1LzEyLzA1KQ==&amp;WINDOW=FIRST_POPUP&amp;HEIGHT=450&amp;WIDTH=450&amp;","START_MAXIMIZED=FALSE&amp;VAR:CALENDAR=US&amp;VAR:SYMBOL=RAI&amp;VAR:INDEX=0"}</definedName>
    <definedName name="_308__FDSAUDITLINK__" hidden="1">{"fdsup://directions/FAT Viewer?action=UPDATE&amp;creator=factset&amp;DYN_ARGS=TRUE&amp;DOC_NAME=FAT:FQL_AUDITING_CLIENT_TEMPLATE.FAT&amp;display_string=Audit&amp;VAR:KEY=NWLQXARGPC&amp;VAR:QUERY=RkZfRElWX1lMRChBTk4sNS8xMi8wNSw1LzEyLzA1KQ==&amp;WINDOW=FIRST_POPUP&amp;HEIGHT=450&amp;WIDTH=450&amp;","START_MAXIMIZED=FALSE&amp;VAR:CALENDAR=US&amp;VAR:SYMBOL=RAI&amp;VAR:INDEX=0"}</definedName>
    <definedName name="_309">#REF!</definedName>
    <definedName name="_309__FDSAUDITLINK__" localSheetId="0" hidden="1">{"fdsup://directions/FAT Viewer?action=UPDATE&amp;creator=factset&amp;DYN_ARGS=TRUE&amp;DOC_NAME=FAT:FQL_AUDITING_CLIENT_TEMPLATE.FAT&amp;display_string=Audit&amp;VAR:KEY=DEZIXKBAFK&amp;VAR:QUERY=RkZfRElWX1lMRChBTk4sNS8wNS8wNSw1LzA1LzA1KQ==&amp;WINDOW=FIRST_POPUP&amp;HEIGHT=450&amp;WIDTH=450&amp;","START_MAXIMIZED=FALSE&amp;VAR:CALENDAR=US&amp;VAR:SYMBOL=RAI&amp;VAR:INDEX=0"}</definedName>
    <definedName name="_309__FDSAUDITLINK__" hidden="1">{"fdsup://directions/FAT Viewer?action=UPDATE&amp;creator=factset&amp;DYN_ARGS=TRUE&amp;DOC_NAME=FAT:FQL_AUDITING_CLIENT_TEMPLATE.FAT&amp;display_string=Audit&amp;VAR:KEY=DEZIXKBAFK&amp;VAR:QUERY=RkZfRElWX1lMRChBTk4sNS8wNS8wNSw1LzA1LzA1KQ==&amp;WINDOW=FIRST_POPUP&amp;HEIGHT=450&amp;WIDTH=450&amp;","START_MAXIMIZED=FALSE&amp;VAR:CALENDAR=US&amp;VAR:SYMBOL=RAI&amp;VAR:INDEX=0"}</definedName>
    <definedName name="_30main_form_account_grants_list_21_j_id1022">#REF!</definedName>
    <definedName name="_30번">#REF!</definedName>
    <definedName name="_31_????_3">#REF!</definedName>
    <definedName name="_31_______B_S">#REF!</definedName>
    <definedName name="_31__123Graph_ATAX_CREDIT">#REF!</definedName>
    <definedName name="_31__123Graph_AWAGES_BY_B_U">#REF!</definedName>
    <definedName name="_31__123Graph_CChart_6J">#REF!</definedName>
    <definedName name="_31__123Graph_CGROWTH_REVS_A" hidden="1">#REF!</definedName>
    <definedName name="_31__123Graph_CQRE_S_BY_TYPE">#REF!</definedName>
    <definedName name="_31__123Graph_CSENS_COMPARISON">#REF!</definedName>
    <definedName name="_31__123Graph_DWAGES_BY_B_U">#REF!</definedName>
    <definedName name="_31__123Graph_EWAGES_BY_B_U">#REF!</definedName>
    <definedName name="_31__123Graph_FCONTRACT_BY_B_U">#REF!</definedName>
    <definedName name="_31__123Graph_FSUPPLIES_BY_B_U" hidden="1">#REF!</definedName>
    <definedName name="_31__123Graph_FWAGES_BY_B_U">#REF!</definedName>
    <definedName name="_31__123Graph_XCONTRACT_BY_B_U">#REF!</definedName>
    <definedName name="_31__123Graph_XQRE_S_BY_CO.">#REF!</definedName>
    <definedName name="_31__FDSAUDITLINK__" localSheetId="0" hidden="1">{"fdsup://directions/FAT Viewer?action=UPDATE&amp;creator=factset&amp;DYN_ARGS=TRUE&amp;DOC_NAME=FAT:FQL_AUDITING_CLIENT_TEMPLATE.FAT&amp;display_string=Audit&amp;VAR:KEY=MPKHATGHUF&amp;VAR:QUERY=RkZfREVCVChBTk4sMCk=&amp;WINDOW=FIRST_POPUP&amp;HEIGHT=450&amp;WIDTH=450&amp;START_MAXIMIZED=FALSE&amp;VA","R:CALENDAR=US&amp;VAR:SYMBOL=PEET&amp;VAR:INDEX=0"}</definedName>
    <definedName name="_31__FDSAUDITLINK__" hidden="1">{"fdsup://directions/FAT Viewer?action=UPDATE&amp;creator=factset&amp;DYN_ARGS=TRUE&amp;DOC_NAME=FAT:FQL_AUDITING_CLIENT_TEMPLATE.FAT&amp;display_string=Audit&amp;VAR:KEY=MPKHATGHUF&amp;VAR:QUERY=RkZfREVCVChBTk4sMCk=&amp;WINDOW=FIRST_POPUP&amp;HEIGHT=450&amp;WIDTH=450&amp;START_MAXIMIZED=FALSE&amp;VA","R:CALENDAR=US&amp;VAR:SYMBOL=PEET&amp;VAR:INDEX=0"}</definedName>
    <definedName name="_31_01_2000">#REF!</definedName>
    <definedName name="_310">#REF!</definedName>
    <definedName name="_310__FDSAUDITLINK__" localSheetId="0" hidden="1">{"fdsup://directions/FAT Viewer?action=UPDATE&amp;creator=factset&amp;DYN_ARGS=TRUE&amp;DOC_NAME=FAT:FQL_AUDITING_CLIENT_TEMPLATE.FAT&amp;display_string=Audit&amp;VAR:KEY=HSZCFUFCVG&amp;VAR:QUERY=RkZfRElWX1lMRChBTk4sNC8yOC8wNSw0LzI4LzA1KQ==&amp;WINDOW=FIRST_POPUP&amp;HEIGHT=450&amp;WIDTH=450&amp;","START_MAXIMIZED=FALSE&amp;VAR:CALENDAR=US&amp;VAR:SYMBOL=RAI&amp;VAR:INDEX=0"}</definedName>
    <definedName name="_310__FDSAUDITLINK__" hidden="1">{"fdsup://directions/FAT Viewer?action=UPDATE&amp;creator=factset&amp;DYN_ARGS=TRUE&amp;DOC_NAME=FAT:FQL_AUDITING_CLIENT_TEMPLATE.FAT&amp;display_string=Audit&amp;VAR:KEY=HSZCFUFCVG&amp;VAR:QUERY=RkZfRElWX1lMRChBTk4sNC8yOC8wNSw0LzI4LzA1KQ==&amp;WINDOW=FIRST_POPUP&amp;HEIGHT=450&amp;WIDTH=450&amp;","START_MAXIMIZED=FALSE&amp;VAR:CALENDAR=US&amp;VAR:SYMBOL=RAI&amp;VAR:INDEX=0"}</definedName>
    <definedName name="_311">#REF!</definedName>
    <definedName name="_311__FDSAUDITLINK__" localSheetId="0" hidden="1">{"fdsup://directions/FAT Viewer?action=UPDATE&amp;creator=factset&amp;DYN_ARGS=TRUE&amp;DOC_NAME=FAT:FQL_AUDITING_CLIENT_TEMPLATE.FAT&amp;display_string=Audit&amp;VAR:KEY=BCPKFSTQFE&amp;VAR:QUERY=RkZfRElWX1lMRChBTk4sNC8yMS8wNSw0LzIxLzA1KQ==&amp;WINDOW=FIRST_POPUP&amp;HEIGHT=450&amp;WIDTH=450&amp;","START_MAXIMIZED=FALSE&amp;VAR:CALENDAR=US&amp;VAR:SYMBOL=RAI&amp;VAR:INDEX=0"}</definedName>
    <definedName name="_311__FDSAUDITLINK__" hidden="1">{"fdsup://directions/FAT Viewer?action=UPDATE&amp;creator=factset&amp;DYN_ARGS=TRUE&amp;DOC_NAME=FAT:FQL_AUDITING_CLIENT_TEMPLATE.FAT&amp;display_string=Audit&amp;VAR:KEY=BCPKFSTQFE&amp;VAR:QUERY=RkZfRElWX1lMRChBTk4sNC8yMS8wNSw0LzIxLzA1KQ==&amp;WINDOW=FIRST_POPUP&amp;HEIGHT=450&amp;WIDTH=450&amp;","START_MAXIMIZED=FALSE&amp;VAR:CALENDAR=US&amp;VAR:SYMBOL=RAI&amp;VAR:INDEX=0"}</definedName>
    <definedName name="_312">#REF!</definedName>
    <definedName name="_312__FDSAUDITLINK__" localSheetId="0" hidden="1">{"fdsup://directions/FAT Viewer?action=UPDATE&amp;creator=factset&amp;DYN_ARGS=TRUE&amp;DOC_NAME=FAT:FQL_AUDITING_CLIENT_TEMPLATE.FAT&amp;display_string=Audit&amp;VAR:KEY=JQZCFCJERO&amp;VAR:QUERY=RkZfRElWX1lMRChBTk4sNC8xNC8wNSw0LzE0LzA1KQ==&amp;WINDOW=FIRST_POPUP&amp;HEIGHT=450&amp;WIDTH=450&amp;","START_MAXIMIZED=FALSE&amp;VAR:CALENDAR=US&amp;VAR:SYMBOL=RAI&amp;VAR:INDEX=0"}</definedName>
    <definedName name="_312__FDSAUDITLINK__" hidden="1">{"fdsup://directions/FAT Viewer?action=UPDATE&amp;creator=factset&amp;DYN_ARGS=TRUE&amp;DOC_NAME=FAT:FQL_AUDITING_CLIENT_TEMPLATE.FAT&amp;display_string=Audit&amp;VAR:KEY=JQZCFCJERO&amp;VAR:QUERY=RkZfRElWX1lMRChBTk4sNC8xNC8wNSw0LzE0LzA1KQ==&amp;WINDOW=FIRST_POPUP&amp;HEIGHT=450&amp;WIDTH=450&amp;","START_MAXIMIZED=FALSE&amp;VAR:CALENDAR=US&amp;VAR:SYMBOL=RAI&amp;VAR:INDEX=0"}</definedName>
    <definedName name="_313">#REF!</definedName>
    <definedName name="_313__FDSAUDITLINK__" localSheetId="0" hidden="1">{"fdsup://directions/FAT Viewer?action=UPDATE&amp;creator=factset&amp;DYN_ARGS=TRUE&amp;DOC_NAME=FAT:FQL_AUDITING_CLIENT_TEMPLATE.FAT&amp;display_string=Audit&amp;VAR:KEY=RMLODMVQHS&amp;VAR:QUERY=RkZfRElWX1lMRChBTk4sNC8wNy8wNSw0LzA3LzA1KQ==&amp;WINDOW=FIRST_POPUP&amp;HEIGHT=450&amp;WIDTH=450&amp;","START_MAXIMIZED=FALSE&amp;VAR:CALENDAR=US&amp;VAR:SYMBOL=RAI&amp;VAR:INDEX=0"}</definedName>
    <definedName name="_313__FDSAUDITLINK__" hidden="1">{"fdsup://directions/FAT Viewer?action=UPDATE&amp;creator=factset&amp;DYN_ARGS=TRUE&amp;DOC_NAME=FAT:FQL_AUDITING_CLIENT_TEMPLATE.FAT&amp;display_string=Audit&amp;VAR:KEY=RMLODMVQHS&amp;VAR:QUERY=RkZfRElWX1lMRChBTk4sNC8wNy8wNSw0LzA3LzA1KQ==&amp;WINDOW=FIRST_POPUP&amp;HEIGHT=450&amp;WIDTH=450&amp;","START_MAXIMIZED=FALSE&amp;VAR:CALENDAR=US&amp;VAR:SYMBOL=RAI&amp;VAR:INDEX=0"}</definedName>
    <definedName name="_314">#REF!</definedName>
    <definedName name="_314__FDSAUDITLINK__" localSheetId="0" hidden="1">{"fdsup://directions/FAT Viewer?action=UPDATE&amp;creator=factset&amp;DYN_ARGS=TRUE&amp;DOC_NAME=FAT:FQL_AUDITING_CLIENT_TEMPLATE.FAT&amp;display_string=Audit&amp;VAR:KEY=XYPWXQLGFI&amp;VAR:QUERY=RkZfRElWX1lMRChBTk4sMy8zMS8wNSwzLzMxLzA1KQ==&amp;WINDOW=FIRST_POPUP&amp;HEIGHT=450&amp;WIDTH=450&amp;","START_MAXIMIZED=FALSE&amp;VAR:CALENDAR=US&amp;VAR:SYMBOL=RAI&amp;VAR:INDEX=0"}</definedName>
    <definedName name="_314__FDSAUDITLINK__" hidden="1">{"fdsup://directions/FAT Viewer?action=UPDATE&amp;creator=factset&amp;DYN_ARGS=TRUE&amp;DOC_NAME=FAT:FQL_AUDITING_CLIENT_TEMPLATE.FAT&amp;display_string=Audit&amp;VAR:KEY=XYPWXQLGFI&amp;VAR:QUERY=RkZfRElWX1lMRChBTk4sMy8zMS8wNSwzLzMxLzA1KQ==&amp;WINDOW=FIRST_POPUP&amp;HEIGHT=450&amp;WIDTH=450&amp;","START_MAXIMIZED=FALSE&amp;VAR:CALENDAR=US&amp;VAR:SYMBOL=RAI&amp;VAR:INDEX=0"}</definedName>
    <definedName name="_315">#REF!</definedName>
    <definedName name="_315__FDSAUDITLINK__" localSheetId="0" hidden="1">{"fdsup://directions/FAT Viewer?action=UPDATE&amp;creator=factset&amp;DYN_ARGS=TRUE&amp;DOC_NAME=FAT:FQL_AUDITING_CLIENT_TEMPLATE.FAT&amp;display_string=Audit&amp;VAR:KEY=VUHIDMXCNK&amp;VAR:QUERY=RkZfRElWX1lMRChBTk4sMy8yNC8wNSwzLzI0LzA1KQ==&amp;WINDOW=FIRST_POPUP&amp;HEIGHT=450&amp;WIDTH=450&amp;","START_MAXIMIZED=FALSE&amp;VAR:CALENDAR=US&amp;VAR:SYMBOL=RAI&amp;VAR:INDEX=0"}</definedName>
    <definedName name="_315__FDSAUDITLINK__" hidden="1">{"fdsup://directions/FAT Viewer?action=UPDATE&amp;creator=factset&amp;DYN_ARGS=TRUE&amp;DOC_NAME=FAT:FQL_AUDITING_CLIENT_TEMPLATE.FAT&amp;display_string=Audit&amp;VAR:KEY=VUHIDMXCNK&amp;VAR:QUERY=RkZfRElWX1lMRChBTk4sMy8yNC8wNSwzLzI0LzA1KQ==&amp;WINDOW=FIRST_POPUP&amp;HEIGHT=450&amp;WIDTH=450&amp;","START_MAXIMIZED=FALSE&amp;VAR:CALENDAR=US&amp;VAR:SYMBOL=RAI&amp;VAR:INDEX=0"}</definedName>
    <definedName name="_316">#REF!</definedName>
    <definedName name="_316__FDSAUDITLINK__" localSheetId="0" hidden="1">{"fdsup://directions/FAT Viewer?action=UPDATE&amp;creator=factset&amp;DYN_ARGS=TRUE&amp;DOC_NAME=FAT:FQL_AUDITING_CLIENT_TEMPLATE.FAT&amp;display_string=Audit&amp;VAR:KEY=ZGRORWXMVC&amp;VAR:QUERY=RkZfRElWX1lMRChBTk4sMy8xNy8wNSwzLzE3LzA1KQ==&amp;WINDOW=FIRST_POPUP&amp;HEIGHT=450&amp;WIDTH=450&amp;","START_MAXIMIZED=FALSE&amp;VAR:CALENDAR=US&amp;VAR:SYMBOL=RAI&amp;VAR:INDEX=0"}</definedName>
    <definedName name="_316__FDSAUDITLINK__" hidden="1">{"fdsup://directions/FAT Viewer?action=UPDATE&amp;creator=factset&amp;DYN_ARGS=TRUE&amp;DOC_NAME=FAT:FQL_AUDITING_CLIENT_TEMPLATE.FAT&amp;display_string=Audit&amp;VAR:KEY=ZGRORWXMVC&amp;VAR:QUERY=RkZfRElWX1lMRChBTk4sMy8xNy8wNSwzLzE3LzA1KQ==&amp;WINDOW=FIRST_POPUP&amp;HEIGHT=450&amp;WIDTH=450&amp;","START_MAXIMIZED=FALSE&amp;VAR:CALENDAR=US&amp;VAR:SYMBOL=RAI&amp;VAR:INDEX=0"}</definedName>
    <definedName name="_317">#REF!</definedName>
    <definedName name="_317__FDSAUDITLINK__" localSheetId="0" hidden="1">{"fdsup://directions/FAT Viewer?action=UPDATE&amp;creator=factset&amp;DYN_ARGS=TRUE&amp;DOC_NAME=FAT:FQL_AUDITING_CLIENT_TEMPLATE.FAT&amp;display_string=Audit&amp;VAR:KEY=NUHILADODG&amp;VAR:QUERY=RkZfRElWX1lMRChBTk4sMy8xMC8wNSwzLzEwLzA1KQ==&amp;WINDOW=FIRST_POPUP&amp;HEIGHT=450&amp;WIDTH=450&amp;","START_MAXIMIZED=FALSE&amp;VAR:CALENDAR=US&amp;VAR:SYMBOL=RAI&amp;VAR:INDEX=0"}</definedName>
    <definedName name="_317__FDSAUDITLINK__" hidden="1">{"fdsup://directions/FAT Viewer?action=UPDATE&amp;creator=factset&amp;DYN_ARGS=TRUE&amp;DOC_NAME=FAT:FQL_AUDITING_CLIENT_TEMPLATE.FAT&amp;display_string=Audit&amp;VAR:KEY=NUHILADODG&amp;VAR:QUERY=RkZfRElWX1lMRChBTk4sMy8xMC8wNSwzLzEwLzA1KQ==&amp;WINDOW=FIRST_POPUP&amp;HEIGHT=450&amp;WIDTH=450&amp;","START_MAXIMIZED=FALSE&amp;VAR:CALENDAR=US&amp;VAR:SYMBOL=RAI&amp;VAR:INDEX=0"}</definedName>
    <definedName name="_318">#REF!</definedName>
    <definedName name="_318__FDSAUDITLINK__" localSheetId="0" hidden="1">{"fdsup://directions/FAT Viewer?action=UPDATE&amp;creator=factset&amp;DYN_ARGS=TRUE&amp;DOC_NAME=FAT:FQL_AUDITING_CLIENT_TEMPLATE.FAT&amp;display_string=Audit&amp;VAR:KEY=RQJSRQBWFK&amp;VAR:QUERY=RkZfRElWX1lMRChBTk4sMy8wMy8wNSwzLzAzLzA1KQ==&amp;WINDOW=FIRST_POPUP&amp;HEIGHT=450&amp;WIDTH=450&amp;","START_MAXIMIZED=FALSE&amp;VAR:CALENDAR=US&amp;VAR:SYMBOL=RAI&amp;VAR:INDEX=0"}</definedName>
    <definedName name="_318__FDSAUDITLINK__" hidden="1">{"fdsup://directions/FAT Viewer?action=UPDATE&amp;creator=factset&amp;DYN_ARGS=TRUE&amp;DOC_NAME=FAT:FQL_AUDITING_CLIENT_TEMPLATE.FAT&amp;display_string=Audit&amp;VAR:KEY=RQJSRQBWFK&amp;VAR:QUERY=RkZfRElWX1lMRChBTk4sMy8wMy8wNSwzLzAzLzA1KQ==&amp;WINDOW=FIRST_POPUP&amp;HEIGHT=450&amp;WIDTH=450&amp;","START_MAXIMIZED=FALSE&amp;VAR:CALENDAR=US&amp;VAR:SYMBOL=RAI&amp;VAR:INDEX=0"}</definedName>
    <definedName name="_319">#REF!</definedName>
    <definedName name="_319__FDSAUDITLINK__" localSheetId="0" hidden="1">{"fdsup://directions/FAT Viewer?action=UPDATE&amp;creator=factset&amp;DYN_ARGS=TRUE&amp;DOC_NAME=FAT:FQL_AUDITING_CLIENT_TEMPLATE.FAT&amp;display_string=Audit&amp;VAR:KEY=POBGJUJWNE&amp;VAR:QUERY=RkZfRElWX1lMRChBTk4sMi8yNC8wNSwyLzI0LzA1KQ==&amp;WINDOW=FIRST_POPUP&amp;HEIGHT=450&amp;WIDTH=450&amp;","START_MAXIMIZED=FALSE&amp;VAR:CALENDAR=US&amp;VAR:SYMBOL=RAI&amp;VAR:INDEX=0"}</definedName>
    <definedName name="_319__FDSAUDITLINK__" hidden="1">{"fdsup://directions/FAT Viewer?action=UPDATE&amp;creator=factset&amp;DYN_ARGS=TRUE&amp;DOC_NAME=FAT:FQL_AUDITING_CLIENT_TEMPLATE.FAT&amp;display_string=Audit&amp;VAR:KEY=POBGJUJWNE&amp;VAR:QUERY=RkZfRElWX1lMRChBTk4sMi8yNC8wNSwyLzI0LzA1KQ==&amp;WINDOW=FIRST_POPUP&amp;HEIGHT=450&amp;WIDTH=450&amp;","START_MAXIMIZED=FALSE&amp;VAR:CALENDAR=US&amp;VAR:SYMBOL=RAI&amp;VAR:INDEX=0"}</definedName>
    <definedName name="_32" hidden="1">{#N/A,#N/A,FALSE,"Title";#N/A,#N/A,FALSE,"Index";#N/A,#N/A,FALSE,"1";#N/A,#N/A,FALSE,"2";#N/A,#N/A,FALSE,"3";#N/A,#N/A,FALSE,"4";#N/A,#N/A,FALSE,"5";#N/A,#N/A,FALSE,"6";#N/A,#N/A,FALSE,"7";#N/A,#N/A,FALSE,"8"}</definedName>
    <definedName name="_32_????8_3">#REF!</definedName>
    <definedName name="_32_______NOTE10_12">#REF!</definedName>
    <definedName name="_32__123Graph_BQRE_S_BY_CO.">#REF!</definedName>
    <definedName name="_32__123Graph_CCHART_1">#REF!</definedName>
    <definedName name="_32__123Graph_CChart_7J">#REF!</definedName>
    <definedName name="_32__123Graph_CGROWTH_REVS_B" hidden="1">#REF!</definedName>
    <definedName name="_32__123Graph_CSUPPLIES_BY_B_U">#REF!</definedName>
    <definedName name="_32__123Graph_ECONTRACT_BY_B_U">#REF!</definedName>
    <definedName name="_32__123Graph_FCONTRACT_BY_B_U">#REF!</definedName>
    <definedName name="_32__123Graph_FQRE_S_BY_CO.">#REF!</definedName>
    <definedName name="_32__123Graph_FWAGES_BY_B_U" hidden="1">#REF!</definedName>
    <definedName name="_32__123Graph_XCONTRACT_BY_B_U">#REF!</definedName>
    <definedName name="_32__123Graph_XQRE_S_BY_CO.">#REF!</definedName>
    <definedName name="_32__123Graph_XQRE_S_BY_TYPE">#REF!</definedName>
    <definedName name="_32__FDSAUDITLINK__" localSheetId="0" hidden="1">{"fdsup://Directions/FactSet Auditing Viewer?action=AUDIT_VALUE&amp;DB=129&amp;ID1=61174010&amp;VALUEID=02001&amp;SDATE=2011&amp;PERIODTYPE=ANN_STD&amp;SCFT=3&amp;window=popup_no_bar&amp;width=385&amp;height=120&amp;START_MAXIMIZED=FALSE&amp;creator=factset&amp;display_string=Audit"}</definedName>
    <definedName name="_32__FDSAUDITLINK__" hidden="1">{"fdsup://Directions/FactSet Auditing Viewer?action=AUDIT_VALUE&amp;DB=129&amp;ID1=61174010&amp;VALUEID=02001&amp;SDATE=2011&amp;PERIODTYPE=ANN_STD&amp;SCFT=3&amp;window=popup_no_bar&amp;width=385&amp;height=120&amp;START_MAXIMIZED=FALSE&amp;creator=factset&amp;display_string=Audit"}</definedName>
    <definedName name="_320">#REF!</definedName>
    <definedName name="_320__FDSAUDITLINK__" localSheetId="0" hidden="1">{"fdsup://directions/FAT Viewer?action=UPDATE&amp;creator=factset&amp;DYN_ARGS=TRUE&amp;DOC_NAME=FAT:FQL_AUDITING_CLIENT_TEMPLATE.FAT&amp;display_string=Audit&amp;VAR:KEY=JYXGZMHYTO&amp;VAR:QUERY=RkZfRElWX1lMRChBTk4sMi8xNy8wNSwyLzE3LzA1KQ==&amp;WINDOW=FIRST_POPUP&amp;HEIGHT=450&amp;WIDTH=450&amp;","START_MAXIMIZED=FALSE&amp;VAR:CALENDAR=US&amp;VAR:SYMBOL=RAI&amp;VAR:INDEX=0"}</definedName>
    <definedName name="_320__FDSAUDITLINK__" hidden="1">{"fdsup://directions/FAT Viewer?action=UPDATE&amp;creator=factset&amp;DYN_ARGS=TRUE&amp;DOC_NAME=FAT:FQL_AUDITING_CLIENT_TEMPLATE.FAT&amp;display_string=Audit&amp;VAR:KEY=JYXGZMHYTO&amp;VAR:QUERY=RkZfRElWX1lMRChBTk4sMi8xNy8wNSwyLzE3LzA1KQ==&amp;WINDOW=FIRST_POPUP&amp;HEIGHT=450&amp;WIDTH=450&amp;","START_MAXIMIZED=FALSE&amp;VAR:CALENDAR=US&amp;VAR:SYMBOL=RAI&amp;VAR:INDEX=0"}</definedName>
    <definedName name="_321">#REF!</definedName>
    <definedName name="_321__FDSAUDITLINK__" localSheetId="0" hidden="1">{"fdsup://directions/FAT Viewer?action=UPDATE&amp;creator=factset&amp;DYN_ARGS=TRUE&amp;DOC_NAME=FAT:FQL_AUDITING_CLIENT_TEMPLATE.FAT&amp;display_string=Audit&amp;VAR:KEY=BEPMNALMBC&amp;VAR:QUERY=RkZfRElWX1lMRChBTk4sMi8xMC8wNSwyLzEwLzA1KQ==&amp;WINDOW=FIRST_POPUP&amp;HEIGHT=450&amp;WIDTH=450&amp;","START_MAXIMIZED=FALSE&amp;VAR:CALENDAR=US&amp;VAR:SYMBOL=RAI&amp;VAR:INDEX=0"}</definedName>
    <definedName name="_321__FDSAUDITLINK__" hidden="1">{"fdsup://directions/FAT Viewer?action=UPDATE&amp;creator=factset&amp;DYN_ARGS=TRUE&amp;DOC_NAME=FAT:FQL_AUDITING_CLIENT_TEMPLATE.FAT&amp;display_string=Audit&amp;VAR:KEY=BEPMNALMBC&amp;VAR:QUERY=RkZfRElWX1lMRChBTk4sMi8xMC8wNSwyLzEwLzA1KQ==&amp;WINDOW=FIRST_POPUP&amp;HEIGHT=450&amp;WIDTH=450&amp;","START_MAXIMIZED=FALSE&amp;VAR:CALENDAR=US&amp;VAR:SYMBOL=RAI&amp;VAR:INDEX=0"}</definedName>
    <definedName name="_322">#REF!</definedName>
    <definedName name="_322__FDSAUDITLINK__" localSheetId="0" hidden="1">{"fdsup://directions/FAT Viewer?action=UPDATE&amp;creator=factset&amp;DYN_ARGS=TRUE&amp;DOC_NAME=FAT:FQL_AUDITING_CLIENT_TEMPLATE.FAT&amp;display_string=Audit&amp;VAR:KEY=TWNARKFENA&amp;VAR:QUERY=RkZfRElWX1lMRChBTk4sMi8wMy8wNSwyLzAzLzA1KQ==&amp;WINDOW=FIRST_POPUP&amp;HEIGHT=450&amp;WIDTH=450&amp;","START_MAXIMIZED=FALSE&amp;VAR:CALENDAR=US&amp;VAR:SYMBOL=RAI&amp;VAR:INDEX=0"}</definedName>
    <definedName name="_322__FDSAUDITLINK__" hidden="1">{"fdsup://directions/FAT Viewer?action=UPDATE&amp;creator=factset&amp;DYN_ARGS=TRUE&amp;DOC_NAME=FAT:FQL_AUDITING_CLIENT_TEMPLATE.FAT&amp;display_string=Audit&amp;VAR:KEY=TWNARKFENA&amp;VAR:QUERY=RkZfRElWX1lMRChBTk4sMi8wMy8wNSwyLzAzLzA1KQ==&amp;WINDOW=FIRST_POPUP&amp;HEIGHT=450&amp;WIDTH=450&amp;","START_MAXIMIZED=FALSE&amp;VAR:CALENDAR=US&amp;VAR:SYMBOL=RAI&amp;VAR:INDEX=0"}</definedName>
    <definedName name="_3225">#REF!</definedName>
    <definedName name="_3226">#REF!</definedName>
    <definedName name="_3228">#REF!</definedName>
    <definedName name="_3229">#REF!</definedName>
    <definedName name="_323">#REF!</definedName>
    <definedName name="_323__FDSAUDITLINK__" localSheetId="0" hidden="1">{"fdsup://directions/FAT Viewer?action=UPDATE&amp;creator=factset&amp;DYN_ARGS=TRUE&amp;DOC_NAME=FAT:FQL_AUDITING_CLIENT_TEMPLATE.FAT&amp;display_string=Audit&amp;VAR:KEY=PCJOBYNWZC&amp;VAR:QUERY=RkZfRElWX1lMRChBTk4sMS8yNy8wNSwxLzI3LzA1KQ==&amp;WINDOW=FIRST_POPUP&amp;HEIGHT=450&amp;WIDTH=450&amp;","START_MAXIMIZED=FALSE&amp;VAR:CALENDAR=US&amp;VAR:SYMBOL=RAI&amp;VAR:INDEX=0"}</definedName>
    <definedName name="_323__FDSAUDITLINK__" hidden="1">{"fdsup://directions/FAT Viewer?action=UPDATE&amp;creator=factset&amp;DYN_ARGS=TRUE&amp;DOC_NAME=FAT:FQL_AUDITING_CLIENT_TEMPLATE.FAT&amp;display_string=Audit&amp;VAR:KEY=PCJOBYNWZC&amp;VAR:QUERY=RkZfRElWX1lMRChBTk4sMS8yNy8wNSwxLzI3LzA1KQ==&amp;WINDOW=FIRST_POPUP&amp;HEIGHT=450&amp;WIDTH=450&amp;","START_MAXIMIZED=FALSE&amp;VAR:CALENDAR=US&amp;VAR:SYMBOL=RAI&amp;VAR:INDEX=0"}</definedName>
    <definedName name="_3231">#REF!</definedName>
    <definedName name="_3232">#REF!</definedName>
    <definedName name="_324">#REF!</definedName>
    <definedName name="_324__FDSAUDITLINK__" localSheetId="0" hidden="1">{"fdsup://directions/FAT Viewer?action=UPDATE&amp;creator=factset&amp;DYN_ARGS=TRUE&amp;DOC_NAME=FAT:FQL_AUDITING_CLIENT_TEMPLATE.FAT&amp;display_string=Audit&amp;VAR:KEY=XSLKVQNSHQ&amp;VAR:QUERY=RkZfRElWX1lMRChBTk4sMS8yMC8wNSwxLzIwLzA1KQ==&amp;WINDOW=FIRST_POPUP&amp;HEIGHT=450&amp;WIDTH=450&amp;","START_MAXIMIZED=FALSE&amp;VAR:CALENDAR=US&amp;VAR:SYMBOL=RAI&amp;VAR:INDEX=0"}</definedName>
    <definedName name="_324__FDSAUDITLINK__" hidden="1">{"fdsup://directions/FAT Viewer?action=UPDATE&amp;creator=factset&amp;DYN_ARGS=TRUE&amp;DOC_NAME=FAT:FQL_AUDITING_CLIENT_TEMPLATE.FAT&amp;display_string=Audit&amp;VAR:KEY=XSLKVQNSHQ&amp;VAR:QUERY=RkZfRElWX1lMRChBTk4sMS8yMC8wNSwxLzIwLzA1KQ==&amp;WINDOW=FIRST_POPUP&amp;HEIGHT=450&amp;WIDTH=450&amp;","START_MAXIMIZED=FALSE&amp;VAR:CALENDAR=US&amp;VAR:SYMBOL=RAI&amp;VAR:INDEX=0"}</definedName>
    <definedName name="_325">#REF!</definedName>
    <definedName name="_325__FDSAUDITLINK__" localSheetId="0" hidden="1">{"fdsup://directions/FAT Viewer?action=UPDATE&amp;creator=factset&amp;DYN_ARGS=TRUE&amp;DOC_NAME=FAT:FQL_AUDITING_CLIENT_TEMPLATE.FAT&amp;display_string=Audit&amp;VAR:KEY=LCVSLINKHC&amp;VAR:QUERY=RkZfRElWX1lMRChBTk4sMS8xMy8wNSwxLzEzLzA1KQ==&amp;WINDOW=FIRST_POPUP&amp;HEIGHT=450&amp;WIDTH=450&amp;","START_MAXIMIZED=FALSE&amp;VAR:CALENDAR=US&amp;VAR:SYMBOL=RAI&amp;VAR:INDEX=0"}</definedName>
    <definedName name="_325__FDSAUDITLINK__" hidden="1">{"fdsup://directions/FAT Viewer?action=UPDATE&amp;creator=factset&amp;DYN_ARGS=TRUE&amp;DOC_NAME=FAT:FQL_AUDITING_CLIENT_TEMPLATE.FAT&amp;display_string=Audit&amp;VAR:KEY=LCVSLINKHC&amp;VAR:QUERY=RkZfRElWX1lMRChBTk4sMS8xMy8wNSwxLzEzLzA1KQ==&amp;WINDOW=FIRST_POPUP&amp;HEIGHT=450&amp;WIDTH=450&amp;","START_MAXIMIZED=FALSE&amp;VAR:CALENDAR=US&amp;VAR:SYMBOL=RAI&amp;VAR:INDEX=0"}</definedName>
    <definedName name="_3258">#REF!</definedName>
    <definedName name="_3259">#REF!</definedName>
    <definedName name="_326">#REF!</definedName>
    <definedName name="_326__FDSAUDITLINK__" localSheetId="0" hidden="1">{"fdsup://directions/FAT Viewer?action=UPDATE&amp;creator=factset&amp;DYN_ARGS=TRUE&amp;DOC_NAME=FAT:FQL_AUDITING_CLIENT_TEMPLATE.FAT&amp;display_string=Audit&amp;VAR:KEY=DURABCBQHC&amp;VAR:QUERY=RkZfRElWX1lMRChBTk4sMS8wNi8wNSwxLzA2LzA1KQ==&amp;WINDOW=FIRST_POPUP&amp;HEIGHT=450&amp;WIDTH=450&amp;","START_MAXIMIZED=FALSE&amp;VAR:CALENDAR=US&amp;VAR:SYMBOL=RAI&amp;VAR:INDEX=0"}</definedName>
    <definedName name="_326__FDSAUDITLINK__" hidden="1">{"fdsup://directions/FAT Viewer?action=UPDATE&amp;creator=factset&amp;DYN_ARGS=TRUE&amp;DOC_NAME=FAT:FQL_AUDITING_CLIENT_TEMPLATE.FAT&amp;display_string=Audit&amp;VAR:KEY=DURABCBQHC&amp;VAR:QUERY=RkZfRElWX1lMRChBTk4sMS8wNi8wNSwxLzA2LzA1KQ==&amp;WINDOW=FIRST_POPUP&amp;HEIGHT=450&amp;WIDTH=450&amp;","START_MAXIMIZED=FALSE&amp;VAR:CALENDAR=US&amp;VAR:SYMBOL=RAI&amp;VAR:INDEX=0"}</definedName>
    <definedName name="_3261">#REF!</definedName>
    <definedName name="_3262">#REF!</definedName>
    <definedName name="_3264">#REF!</definedName>
    <definedName name="_3265">#REF!</definedName>
    <definedName name="_3267">#REF!</definedName>
    <definedName name="_3268">#REF!</definedName>
    <definedName name="_327">#REF!</definedName>
    <definedName name="_327__FDSAUDITLINK__" localSheetId="0" hidden="1">{"fdsup://directions/FAT Viewer?action=UPDATE&amp;creator=factset&amp;DYN_ARGS=TRUE&amp;DOC_NAME=FAT:FQL_AUDITING_CLIENT_TEMPLATE.FAT&amp;display_string=Audit&amp;VAR:KEY=BWJKLWBGJY&amp;VAR:QUERY=RkZfRElWX1lMRChBTk4sMTIvMzAvMDQsMTIvMzAvMDQp&amp;WINDOW=FIRST_POPUP&amp;HEIGHT=450&amp;WIDTH=450&amp;","START_MAXIMIZED=FALSE&amp;VAR:CALENDAR=US&amp;VAR:SYMBOL=RAI&amp;VAR:INDEX=0"}</definedName>
    <definedName name="_327__FDSAUDITLINK__" hidden="1">{"fdsup://directions/FAT Viewer?action=UPDATE&amp;creator=factset&amp;DYN_ARGS=TRUE&amp;DOC_NAME=FAT:FQL_AUDITING_CLIENT_TEMPLATE.FAT&amp;display_string=Audit&amp;VAR:KEY=BWJKLWBGJY&amp;VAR:QUERY=RkZfRElWX1lMRChBTk4sMTIvMzAvMDQsMTIvMzAvMDQp&amp;WINDOW=FIRST_POPUP&amp;HEIGHT=450&amp;WIDTH=450&amp;","START_MAXIMIZED=FALSE&amp;VAR:CALENDAR=US&amp;VAR:SYMBOL=RAI&amp;VAR:INDEX=0"}</definedName>
    <definedName name="_328">#REF!</definedName>
    <definedName name="_328__FDSAUDITLINK__" localSheetId="0" hidden="1">{"fdsup://directions/FAT Viewer?action=UPDATE&amp;creator=factset&amp;DYN_ARGS=TRUE&amp;DOC_NAME=FAT:FQL_AUDITING_CLIENT_TEMPLATE.FAT&amp;display_string=Audit&amp;VAR:KEY=RUNSZGFUHO&amp;VAR:QUERY=RkZfRElWX1lMRChBTk4sMTIvMjMvMDQsMTIvMjMvMDQp&amp;WINDOW=FIRST_POPUP&amp;HEIGHT=450&amp;WIDTH=450&amp;","START_MAXIMIZED=FALSE&amp;VAR:CALENDAR=US&amp;VAR:SYMBOL=RAI&amp;VAR:INDEX=0"}</definedName>
    <definedName name="_328__FDSAUDITLINK__" hidden="1">{"fdsup://directions/FAT Viewer?action=UPDATE&amp;creator=factset&amp;DYN_ARGS=TRUE&amp;DOC_NAME=FAT:FQL_AUDITING_CLIENT_TEMPLATE.FAT&amp;display_string=Audit&amp;VAR:KEY=RUNSZGFUHO&amp;VAR:QUERY=RkZfRElWX1lMRChBTk4sMTIvMjMvMDQsMTIvMjMvMDQp&amp;WINDOW=FIRST_POPUP&amp;HEIGHT=450&amp;WIDTH=450&amp;","START_MAXIMIZED=FALSE&amp;VAR:CALENDAR=US&amp;VAR:SYMBOL=RAI&amp;VAR:INDEX=0"}</definedName>
    <definedName name="_329">#REF!</definedName>
    <definedName name="_329__FDSAUDITLINK__" localSheetId="0" hidden="1">{"fdsup://directions/FAT Viewer?action=UPDATE&amp;creator=factset&amp;DYN_ARGS=TRUE&amp;DOC_NAME=FAT:FQL_AUDITING_CLIENT_TEMPLATE.FAT&amp;display_string=Audit&amp;VAR:KEY=NKVAHADONO&amp;VAR:QUERY=RkZfRElWX1lMRChBTk4sMTIvMTYvMDQsMTIvMTYvMDQp&amp;WINDOW=FIRST_POPUP&amp;HEIGHT=450&amp;WIDTH=450&amp;","START_MAXIMIZED=FALSE&amp;VAR:CALENDAR=US&amp;VAR:SYMBOL=RAI&amp;VAR:INDEX=0"}</definedName>
    <definedName name="_329__FDSAUDITLINK__" hidden="1">{"fdsup://directions/FAT Viewer?action=UPDATE&amp;creator=factset&amp;DYN_ARGS=TRUE&amp;DOC_NAME=FAT:FQL_AUDITING_CLIENT_TEMPLATE.FAT&amp;display_string=Audit&amp;VAR:KEY=NKVAHADONO&amp;VAR:QUERY=RkZfRElWX1lMRChBTk4sMTIvMTYvMDQsMTIvMTYvMDQp&amp;WINDOW=FIRST_POPUP&amp;HEIGHT=450&amp;WIDTH=450&amp;","START_MAXIMIZED=FALSE&amp;VAR:CALENDAR=US&amp;VAR:SYMBOL=RAI&amp;VAR:INDEX=0"}</definedName>
    <definedName name="_32main_form_account_grants_list_22_j_id1022">#REF!</definedName>
    <definedName name="_33_______NOTE1_3">#REF!</definedName>
    <definedName name="_33__123Graph_BCHART_29" hidden="1">#REF!</definedName>
    <definedName name="_33__123Graph_BTAX_CREDIT">#REF!</definedName>
    <definedName name="_33__123Graph_CSENS_COMPARISON">#REF!</definedName>
    <definedName name="_33__123Graph_CSUPPLIES_BY_B_U">#REF!</definedName>
    <definedName name="_33__123Graph_DCHART_112" hidden="1">#REF!</definedName>
    <definedName name="_33__123Graph_EQRE_S_BY_CO.">#REF!</definedName>
    <definedName name="_33__123Graph_FQRE_S_BY_CO.">#REF!</definedName>
    <definedName name="_33__123Graph_FSUPPLIES_BY_B_U">#REF!</definedName>
    <definedName name="_33__123Graph_XChart_17K">#REF!</definedName>
    <definedName name="_33__123Graph_XCONTRACT_BY_B_U" hidden="1">#REF!</definedName>
    <definedName name="_33__123Graph_XQRE_S_BY_CO.">#REF!</definedName>
    <definedName name="_33__123Graph_XQRE_S_BY_TYPE">#REF!</definedName>
    <definedName name="_33__123Graph_XSUPPLIES_BY_B_U">#REF!</definedName>
    <definedName name="_33__FDSAUDITLINK__" localSheetId="0" hidden="1">{"fdsup://directions/FAT Viewer?action=UPDATE&amp;creator=factset&amp;DYN_ARGS=TRUE&amp;DOC_NAME=FAT:FQL_AUDITING_CLIENT_TEMPLATE.FAT&amp;display_string=Audit&amp;VAR:KEY=EXYLEDYFGV&amp;VAR:QUERY=RkZfREVCVChBTk4sMCk=&amp;WINDOW=FIRST_POPUP&amp;HEIGHT=450&amp;WIDTH=450&amp;START_MAXIMIZED=FALSE&amp;VA","R:CALENDAR=US&amp;VAR:SYMBOL=MNST&amp;VAR:INDEX=0"}</definedName>
    <definedName name="_33__FDSAUDITLINK__" hidden="1">{"fdsup://directions/FAT Viewer?action=UPDATE&amp;creator=factset&amp;DYN_ARGS=TRUE&amp;DOC_NAME=FAT:FQL_AUDITING_CLIENT_TEMPLATE.FAT&amp;display_string=Audit&amp;VAR:KEY=EXYLEDYFGV&amp;VAR:QUERY=RkZfREVCVChBTk4sMCk=&amp;WINDOW=FIRST_POPUP&amp;HEIGHT=450&amp;WIDTH=450&amp;START_MAXIMIZED=FALSE&amp;VA","R:CALENDAR=US&amp;VAR:SYMBOL=MNST&amp;VAR:INDEX=0"}</definedName>
    <definedName name="_330">#REF!</definedName>
    <definedName name="_330__FDSAUDITLINK__" localSheetId="0" hidden="1">{"fdsup://directions/FAT Viewer?action=UPDATE&amp;creator=factset&amp;DYN_ARGS=TRUE&amp;DOC_NAME=FAT:FQL_AUDITING_CLIENT_TEMPLATE.FAT&amp;display_string=Audit&amp;VAR:KEY=LCNWJSNYZG&amp;VAR:QUERY=RkZfRElWX1lMRChBTk4sMTIvMDkvMDQsMTIvMDkvMDQp&amp;WINDOW=FIRST_POPUP&amp;HEIGHT=450&amp;WIDTH=450&amp;","START_MAXIMIZED=FALSE&amp;VAR:CALENDAR=US&amp;VAR:SYMBOL=RAI&amp;VAR:INDEX=0"}</definedName>
    <definedName name="_330__FDSAUDITLINK__" hidden="1">{"fdsup://directions/FAT Viewer?action=UPDATE&amp;creator=factset&amp;DYN_ARGS=TRUE&amp;DOC_NAME=FAT:FQL_AUDITING_CLIENT_TEMPLATE.FAT&amp;display_string=Audit&amp;VAR:KEY=LCNWJSNYZG&amp;VAR:QUERY=RkZfRElWX1lMRChBTk4sMTIvMDkvMDQsMTIvMDkvMDQp&amp;WINDOW=FIRST_POPUP&amp;HEIGHT=450&amp;WIDTH=450&amp;","START_MAXIMIZED=FALSE&amp;VAR:CALENDAR=US&amp;VAR:SYMBOL=RAI&amp;VAR:INDEX=0"}</definedName>
    <definedName name="_331">#REF!</definedName>
    <definedName name="_331__FDSAUDITLINK__" localSheetId="0" hidden="1">{"fdsup://directions/FAT Viewer?action=UPDATE&amp;creator=factset&amp;DYN_ARGS=TRUE&amp;DOC_NAME=FAT:FQL_AUDITING_CLIENT_TEMPLATE.FAT&amp;display_string=Audit&amp;VAR:KEY=NKJSZYPODK&amp;VAR:QUERY=RkZfRElWX1lMRChBTk4sMTIvMDIvMDQsMTIvMDIvMDQp&amp;WINDOW=FIRST_POPUP&amp;HEIGHT=450&amp;WIDTH=450&amp;","START_MAXIMIZED=FALSE&amp;VAR:CALENDAR=US&amp;VAR:SYMBOL=RAI&amp;VAR:INDEX=0"}</definedName>
    <definedName name="_331__FDSAUDITLINK__" hidden="1">{"fdsup://directions/FAT Viewer?action=UPDATE&amp;creator=factset&amp;DYN_ARGS=TRUE&amp;DOC_NAME=FAT:FQL_AUDITING_CLIENT_TEMPLATE.FAT&amp;display_string=Audit&amp;VAR:KEY=NKJSZYPODK&amp;VAR:QUERY=RkZfRElWX1lMRChBTk4sMTIvMDIvMDQsMTIvMDIvMDQp&amp;WINDOW=FIRST_POPUP&amp;HEIGHT=450&amp;WIDTH=450&amp;","START_MAXIMIZED=FALSE&amp;VAR:CALENDAR=US&amp;VAR:SYMBOL=RAI&amp;VAR:INDEX=0"}</definedName>
    <definedName name="_332__FDSAUDITLINK__" localSheetId="0" hidden="1">{"fdsup://directions/FAT Viewer?action=UPDATE&amp;creator=factset&amp;DYN_ARGS=TRUE&amp;DOC_NAME=FAT:FQL_AUDITING_CLIENT_TEMPLATE.FAT&amp;display_string=Audit&amp;VAR:KEY=XUHKFSTEFC&amp;VAR:QUERY=RkZfRElWX1lMRChBTk4sMTEvMjQvMDQsMTEvMjQvMDQp&amp;WINDOW=FIRST_POPUP&amp;HEIGHT=450&amp;WIDTH=450&amp;","START_MAXIMIZED=FALSE&amp;VAR:CALENDAR=US&amp;VAR:SYMBOL=RAI&amp;VAR:INDEX=0"}</definedName>
    <definedName name="_332__FDSAUDITLINK__" hidden="1">{"fdsup://directions/FAT Viewer?action=UPDATE&amp;creator=factset&amp;DYN_ARGS=TRUE&amp;DOC_NAME=FAT:FQL_AUDITING_CLIENT_TEMPLATE.FAT&amp;display_string=Audit&amp;VAR:KEY=XUHKFSTEFC&amp;VAR:QUERY=RkZfRElWX1lMRChBTk4sMTEvMjQvMDQsMTEvMjQvMDQp&amp;WINDOW=FIRST_POPUP&amp;HEIGHT=450&amp;WIDTH=450&amp;","START_MAXIMIZED=FALSE&amp;VAR:CALENDAR=US&amp;VAR:SYMBOL=RAI&amp;VAR:INDEX=0"}</definedName>
    <definedName name="_333__FDSAUDITLINK__" localSheetId="0" hidden="1">{"fdsup://directions/FAT Viewer?action=UPDATE&amp;creator=factset&amp;DYN_ARGS=TRUE&amp;DOC_NAME=FAT:FQL_AUDITING_CLIENT_TEMPLATE.FAT&amp;display_string=Audit&amp;VAR:KEY=DYXUTIXSRA&amp;VAR:QUERY=RkZfRElWX1lMRChBTk4sMTEvMTgvMDQsMTEvMTgvMDQp&amp;WINDOW=FIRST_POPUP&amp;HEIGHT=450&amp;WIDTH=450&amp;","START_MAXIMIZED=FALSE&amp;VAR:CALENDAR=US&amp;VAR:SYMBOL=RAI&amp;VAR:INDEX=0"}</definedName>
    <definedName name="_333__FDSAUDITLINK__" hidden="1">{"fdsup://directions/FAT Viewer?action=UPDATE&amp;creator=factset&amp;DYN_ARGS=TRUE&amp;DOC_NAME=FAT:FQL_AUDITING_CLIENT_TEMPLATE.FAT&amp;display_string=Audit&amp;VAR:KEY=DYXUTIXSRA&amp;VAR:QUERY=RkZfRElWX1lMRChBTk4sMTEvMTgvMDQsMTEvMTgvMDQp&amp;WINDOW=FIRST_POPUP&amp;HEIGHT=450&amp;WIDTH=450&amp;","START_MAXIMIZED=FALSE&amp;VAR:CALENDAR=US&amp;VAR:SYMBOL=RAI&amp;VAR:INDEX=0"}</definedName>
    <definedName name="_334__FDSAUDITLINK__" localSheetId="0" hidden="1">{"fdsup://directions/FAT Viewer?action=UPDATE&amp;creator=factset&amp;DYN_ARGS=TRUE&amp;DOC_NAME=FAT:FQL_AUDITING_CLIENT_TEMPLATE.FAT&amp;display_string=Audit&amp;VAR:KEY=DCDEVKXSJO&amp;VAR:QUERY=RkZfRElWX1lMRChBTk4sMTEvMTEvMDQsMTEvMTEvMDQp&amp;WINDOW=FIRST_POPUP&amp;HEIGHT=450&amp;WIDTH=450&amp;","START_MAXIMIZED=FALSE&amp;VAR:CALENDAR=US&amp;VAR:SYMBOL=RAI&amp;VAR:INDEX=0"}</definedName>
    <definedName name="_334__FDSAUDITLINK__" hidden="1">{"fdsup://directions/FAT Viewer?action=UPDATE&amp;creator=factset&amp;DYN_ARGS=TRUE&amp;DOC_NAME=FAT:FQL_AUDITING_CLIENT_TEMPLATE.FAT&amp;display_string=Audit&amp;VAR:KEY=DCDEVKXSJO&amp;VAR:QUERY=RkZfRElWX1lMRChBTk4sMTEvMTEvMDQsMTEvMTEvMDQp&amp;WINDOW=FIRST_POPUP&amp;HEIGHT=450&amp;WIDTH=450&amp;","START_MAXIMIZED=FALSE&amp;VAR:CALENDAR=US&amp;VAR:SYMBOL=RAI&amp;VAR:INDEX=0"}</definedName>
    <definedName name="_335__FDSAUDITLINK__" localSheetId="0" hidden="1">{"fdsup://directions/FAT Viewer?action=UPDATE&amp;creator=factset&amp;DYN_ARGS=TRUE&amp;DOC_NAME=FAT:FQL_AUDITING_CLIENT_TEMPLATE.FAT&amp;display_string=Audit&amp;VAR:KEY=LCNSJEHKBM&amp;VAR:QUERY=RkZfRElWX1lMRChBTk4sMTEvMDQvMDQsMTEvMDQvMDQp&amp;WINDOW=FIRST_POPUP&amp;HEIGHT=450&amp;WIDTH=450&amp;","START_MAXIMIZED=FALSE&amp;VAR:CALENDAR=US&amp;VAR:SYMBOL=RAI&amp;VAR:INDEX=0"}</definedName>
    <definedName name="_335__FDSAUDITLINK__" hidden="1">{"fdsup://directions/FAT Viewer?action=UPDATE&amp;creator=factset&amp;DYN_ARGS=TRUE&amp;DOC_NAME=FAT:FQL_AUDITING_CLIENT_TEMPLATE.FAT&amp;display_string=Audit&amp;VAR:KEY=LCNSJEHKBM&amp;VAR:QUERY=RkZfRElWX1lMRChBTk4sMTEvMDQvMDQsMTEvMDQvMDQp&amp;WINDOW=FIRST_POPUP&amp;HEIGHT=450&amp;WIDTH=450&amp;","START_MAXIMIZED=FALSE&amp;VAR:CALENDAR=US&amp;VAR:SYMBOL=RAI&amp;VAR:INDEX=0"}</definedName>
    <definedName name="_336">#REF!</definedName>
    <definedName name="_336__FDSAUDITLINK__" localSheetId="0" hidden="1">{"fdsup://directions/FAT Viewer?action=UPDATE&amp;creator=factset&amp;DYN_ARGS=TRUE&amp;DOC_NAME=FAT:FQL_AUDITING_CLIENT_TEMPLATE.FAT&amp;display_string=Audit&amp;VAR:KEY=XADUJGDYXG&amp;VAR:QUERY=RkZfRElWX1lMRChBTk4sMTAvMjgvMDQsMTAvMjgvMDQp&amp;WINDOW=FIRST_POPUP&amp;HEIGHT=450&amp;WIDTH=450&amp;","START_MAXIMIZED=FALSE&amp;VAR:CALENDAR=US&amp;VAR:SYMBOL=RAI&amp;VAR:INDEX=0"}</definedName>
    <definedName name="_336__FDSAUDITLINK__" hidden="1">{"fdsup://directions/FAT Viewer?action=UPDATE&amp;creator=factset&amp;DYN_ARGS=TRUE&amp;DOC_NAME=FAT:FQL_AUDITING_CLIENT_TEMPLATE.FAT&amp;display_string=Audit&amp;VAR:KEY=XADUJGDYXG&amp;VAR:QUERY=RkZfRElWX1lMRChBTk4sMTAvMjgvMDQsMTAvMjgvMDQp&amp;WINDOW=FIRST_POPUP&amp;HEIGHT=450&amp;WIDTH=450&amp;","START_MAXIMIZED=FALSE&amp;VAR:CALENDAR=US&amp;VAR:SYMBOL=RAI&amp;VAR:INDEX=0"}</definedName>
    <definedName name="_337">#REF!</definedName>
    <definedName name="_337__FDSAUDITLINK__" localSheetId="0" hidden="1">{"fdsup://directions/FAT Viewer?action=UPDATE&amp;creator=factset&amp;DYN_ARGS=TRUE&amp;DOC_NAME=FAT:FQL_AUDITING_CLIENT_TEMPLATE.FAT&amp;display_string=Audit&amp;VAR:KEY=PIRMFKRAJQ&amp;VAR:QUERY=RkZfRElWX1lMRChBTk4sMTAvMjEvMDQsMTAvMjEvMDQp&amp;WINDOW=FIRST_POPUP&amp;HEIGHT=450&amp;WIDTH=450&amp;","START_MAXIMIZED=FALSE&amp;VAR:CALENDAR=US&amp;VAR:SYMBOL=RAI&amp;VAR:INDEX=0"}</definedName>
    <definedName name="_337__FDSAUDITLINK__" hidden="1">{"fdsup://directions/FAT Viewer?action=UPDATE&amp;creator=factset&amp;DYN_ARGS=TRUE&amp;DOC_NAME=FAT:FQL_AUDITING_CLIENT_TEMPLATE.FAT&amp;display_string=Audit&amp;VAR:KEY=PIRMFKRAJQ&amp;VAR:QUERY=RkZfRElWX1lMRChBTk4sMTAvMjEvMDQsMTAvMjEvMDQp&amp;WINDOW=FIRST_POPUP&amp;HEIGHT=450&amp;WIDTH=450&amp;","START_MAXIMIZED=FALSE&amp;VAR:CALENDAR=US&amp;VAR:SYMBOL=RAI&amp;VAR:INDEX=0"}</definedName>
    <definedName name="_338">#REF!</definedName>
    <definedName name="_338__FDSAUDITLINK__" localSheetId="0" hidden="1">{"fdsup://directions/FAT Viewer?action=UPDATE&amp;creator=factset&amp;DYN_ARGS=TRUE&amp;DOC_NAME=FAT:FQL_AUDITING_CLIENT_TEMPLATE.FAT&amp;display_string=Audit&amp;VAR:KEY=BOHUHALOJM&amp;VAR:QUERY=RkZfRElWX1lMRChBTk4sMTAvMTQvMDQsMTAvMTQvMDQp&amp;WINDOW=FIRST_POPUP&amp;HEIGHT=450&amp;WIDTH=450&amp;","START_MAXIMIZED=FALSE&amp;VAR:CALENDAR=US&amp;VAR:SYMBOL=RAI&amp;VAR:INDEX=0"}</definedName>
    <definedName name="_338__FDSAUDITLINK__" hidden="1">{"fdsup://directions/FAT Viewer?action=UPDATE&amp;creator=factset&amp;DYN_ARGS=TRUE&amp;DOC_NAME=FAT:FQL_AUDITING_CLIENT_TEMPLATE.FAT&amp;display_string=Audit&amp;VAR:KEY=BOHUHALOJM&amp;VAR:QUERY=RkZfRElWX1lMRChBTk4sMTAvMTQvMDQsMTAvMTQvMDQp&amp;WINDOW=FIRST_POPUP&amp;HEIGHT=450&amp;WIDTH=450&amp;","START_MAXIMIZED=FALSE&amp;VAR:CALENDAR=US&amp;VAR:SYMBOL=RAI&amp;VAR:INDEX=0"}</definedName>
    <definedName name="_339">#REF!</definedName>
    <definedName name="_339__FDSAUDITLINK__" localSheetId="0" hidden="1">{"fdsup://directions/FAT Viewer?action=UPDATE&amp;creator=factset&amp;DYN_ARGS=TRUE&amp;DOC_NAME=FAT:FQL_AUDITING_CLIENT_TEMPLATE.FAT&amp;display_string=Audit&amp;VAR:KEY=NWNCRGTURE&amp;VAR:QUERY=RkZfRElWX1lMRChBTk4sMTAvMDcvMDQsMTAvMDcvMDQp&amp;WINDOW=FIRST_POPUP&amp;HEIGHT=450&amp;WIDTH=450&amp;","START_MAXIMIZED=FALSE&amp;VAR:CALENDAR=US&amp;VAR:SYMBOL=RAI&amp;VAR:INDEX=0"}</definedName>
    <definedName name="_339__FDSAUDITLINK__" hidden="1">{"fdsup://directions/FAT Viewer?action=UPDATE&amp;creator=factset&amp;DYN_ARGS=TRUE&amp;DOC_NAME=FAT:FQL_AUDITING_CLIENT_TEMPLATE.FAT&amp;display_string=Audit&amp;VAR:KEY=NWNCRGTURE&amp;VAR:QUERY=RkZfRElWX1lMRChBTk4sMTAvMDcvMDQsMTAvMDcvMDQp&amp;WINDOW=FIRST_POPUP&amp;HEIGHT=450&amp;WIDTH=450&amp;","START_MAXIMIZED=FALSE&amp;VAR:CALENDAR=US&amp;VAR:SYMBOL=RAI&amp;VAR:INDEX=0"}</definedName>
    <definedName name="_34_______NOTE5_7">#REF!</definedName>
    <definedName name="_34__123Graph_ACONTRACT_BY_B_U">#REF!</definedName>
    <definedName name="_34__123Graph_CWAGES_BY_B_U">#REF!</definedName>
    <definedName name="_34__123Graph_DGROWTH_REVS_A" hidden="1">#REF!</definedName>
    <definedName name="_34__123Graph_ESUPPLIES_BY_B_U">#REF!</definedName>
    <definedName name="_34__123Graph_FSUPPLIES_BY_B_U">#REF!</definedName>
    <definedName name="_34__123Graph_FWAGES_BY_B_U">#REF!</definedName>
    <definedName name="_34__123Graph_XChart_18K">#REF!</definedName>
    <definedName name="_34__123Graph_XQRE_S_BY_CO." hidden="1">#REF!</definedName>
    <definedName name="_34__123Graph_XQRE_S_BY_TYPE">#REF!</definedName>
    <definedName name="_34__123Graph_XSUPPLIES_BY_B_U">#REF!</definedName>
    <definedName name="_34__123Graph_XTAX_CREDIT">#REF!</definedName>
    <definedName name="_34__FDSAUDITLINK__" localSheetId="0" hidden="1">{"fdsup://directions/FAT Viewer?action=UPDATE&amp;creator=factset&amp;DYN_ARGS=TRUE&amp;DOC_NAME=FAT:FQL_AUDITING_CLIENT_TEMPLATE.FAT&amp;display_string=Audit&amp;VAR:KEY=DGXSHAFOHQ&amp;VAR:QUERY=RkZfRU5UUlBSX1ZBTF9EQUlMWSgwLCwsLCwnRElMJyk=&amp;WINDOW=FIRST_POPUP&amp;HEIGHT=450&amp;WIDTH=450&amp;","START_MAXIMIZED=FALSE&amp;VAR:CALENDAR=US&amp;VAR:SYMBOL=BEAM&amp;VAR:INDEX=0"}</definedName>
    <definedName name="_34__FDSAUDITLINK__" hidden="1">{"fdsup://directions/FAT Viewer?action=UPDATE&amp;creator=factset&amp;DYN_ARGS=TRUE&amp;DOC_NAME=FAT:FQL_AUDITING_CLIENT_TEMPLATE.FAT&amp;display_string=Audit&amp;VAR:KEY=DGXSHAFOHQ&amp;VAR:QUERY=RkZfRU5UUlBSX1ZBTF9EQUlMWSgwLCwsLCwnRElMJyk=&amp;WINDOW=FIRST_POPUP&amp;HEIGHT=450&amp;WIDTH=450&amp;","START_MAXIMIZED=FALSE&amp;VAR:CALENDAR=US&amp;VAR:SYMBOL=BEAM&amp;VAR:INDEX=0"}</definedName>
    <definedName name="_340">#REF!</definedName>
    <definedName name="_340__FDSAUDITLINK__" localSheetId="0" hidden="1">{"fdsup://directions/FAT Viewer?action=UPDATE&amp;creator=factset&amp;DYN_ARGS=TRUE&amp;DOC_NAME=FAT:FQL_AUDITING_CLIENT_TEMPLATE.FAT&amp;display_string=Audit&amp;VAR:KEY=RYFSVKVITC&amp;VAR:QUERY=RkZfRElWX1lMRChBTk4sOS8zMC8wNCw5LzMwLzA0KQ==&amp;WINDOW=FIRST_POPUP&amp;HEIGHT=450&amp;WIDTH=450&amp;","START_MAXIMIZED=FALSE&amp;VAR:CALENDAR=US&amp;VAR:SYMBOL=RAI&amp;VAR:INDEX=0"}</definedName>
    <definedName name="_340__FDSAUDITLINK__" hidden="1">{"fdsup://directions/FAT Viewer?action=UPDATE&amp;creator=factset&amp;DYN_ARGS=TRUE&amp;DOC_NAME=FAT:FQL_AUDITING_CLIENT_TEMPLATE.FAT&amp;display_string=Audit&amp;VAR:KEY=RYFSVKVITC&amp;VAR:QUERY=RkZfRElWX1lMRChBTk4sOS8zMC8wNCw5LzMwLzA0KQ==&amp;WINDOW=FIRST_POPUP&amp;HEIGHT=450&amp;WIDTH=450&amp;","START_MAXIMIZED=FALSE&amp;VAR:CALENDAR=US&amp;VAR:SYMBOL=RAI&amp;VAR:INDEX=0"}</definedName>
    <definedName name="_341">#REF!</definedName>
    <definedName name="_341__FDSAUDITLINK__" localSheetId="0" hidden="1">{"fdsup://directions/FAT Viewer?action=UPDATE&amp;creator=factset&amp;DYN_ARGS=TRUE&amp;DOC_NAME=FAT:FQL_AUDITING_CLIENT_TEMPLATE.FAT&amp;display_string=Audit&amp;VAR:KEY=HMLCZKBUHU&amp;VAR:QUERY=RkZfRElWX1lMRChBTk4sOS8yMy8wNCw5LzIzLzA0KQ==&amp;WINDOW=FIRST_POPUP&amp;HEIGHT=450&amp;WIDTH=450&amp;","START_MAXIMIZED=FALSE&amp;VAR:CALENDAR=US&amp;VAR:SYMBOL=RAI&amp;VAR:INDEX=0"}</definedName>
    <definedName name="_341__FDSAUDITLINK__" hidden="1">{"fdsup://directions/FAT Viewer?action=UPDATE&amp;creator=factset&amp;DYN_ARGS=TRUE&amp;DOC_NAME=FAT:FQL_AUDITING_CLIENT_TEMPLATE.FAT&amp;display_string=Audit&amp;VAR:KEY=HMLCZKBUHU&amp;VAR:QUERY=RkZfRElWX1lMRChBTk4sOS8yMy8wNCw5LzIzLzA0KQ==&amp;WINDOW=FIRST_POPUP&amp;HEIGHT=450&amp;WIDTH=450&amp;","START_MAXIMIZED=FALSE&amp;VAR:CALENDAR=US&amp;VAR:SYMBOL=RAI&amp;VAR:INDEX=0"}</definedName>
    <definedName name="_342">#REF!</definedName>
    <definedName name="_342__FDSAUDITLINK__" localSheetId="0" hidden="1">{"fdsup://directions/FAT Viewer?action=UPDATE&amp;creator=factset&amp;DYN_ARGS=TRUE&amp;DOC_NAME=FAT:FQL_AUDITING_CLIENT_TEMPLATE.FAT&amp;display_string=Audit&amp;VAR:KEY=TWVAZELIFO&amp;VAR:QUERY=RkZfRElWX1lMRChBTk4sOS8xNi8wNCw5LzE2LzA0KQ==&amp;WINDOW=FIRST_POPUP&amp;HEIGHT=450&amp;WIDTH=450&amp;","START_MAXIMIZED=FALSE&amp;VAR:CALENDAR=US&amp;VAR:SYMBOL=RAI&amp;VAR:INDEX=0"}</definedName>
    <definedName name="_342__FDSAUDITLINK__" hidden="1">{"fdsup://directions/FAT Viewer?action=UPDATE&amp;creator=factset&amp;DYN_ARGS=TRUE&amp;DOC_NAME=FAT:FQL_AUDITING_CLIENT_TEMPLATE.FAT&amp;display_string=Audit&amp;VAR:KEY=TWVAZELIFO&amp;VAR:QUERY=RkZfRElWX1lMRChBTk4sOS8xNi8wNCw5LzE2LzA0KQ==&amp;WINDOW=FIRST_POPUP&amp;HEIGHT=450&amp;WIDTH=450&amp;","START_MAXIMIZED=FALSE&amp;VAR:CALENDAR=US&amp;VAR:SYMBOL=RAI&amp;VAR:INDEX=0"}</definedName>
    <definedName name="_3429">#REF!</definedName>
    <definedName name="_343">#REF!</definedName>
    <definedName name="_343__FDSAUDITLINK__" localSheetId="0" hidden="1">{"fdsup://directions/FAT Viewer?action=UPDATE&amp;creator=factset&amp;DYN_ARGS=TRUE&amp;DOC_NAME=FAT:FQL_AUDITING_CLIENT_TEMPLATE.FAT&amp;display_string=Audit&amp;VAR:KEY=VUXQHWHKBU&amp;VAR:QUERY=RkZfRElWX1lMRChBTk4sOS8wOS8wNCw5LzA5LzA0KQ==&amp;WINDOW=FIRST_POPUP&amp;HEIGHT=450&amp;WIDTH=450&amp;","START_MAXIMIZED=FALSE&amp;VAR:CALENDAR=US&amp;VAR:SYMBOL=RAI&amp;VAR:INDEX=0"}</definedName>
    <definedName name="_343__FDSAUDITLINK__" hidden="1">{"fdsup://directions/FAT Viewer?action=UPDATE&amp;creator=factset&amp;DYN_ARGS=TRUE&amp;DOC_NAME=FAT:FQL_AUDITING_CLIENT_TEMPLATE.FAT&amp;display_string=Audit&amp;VAR:KEY=VUXQHWHKBU&amp;VAR:QUERY=RkZfRElWX1lMRChBTk4sOS8wOS8wNCw5LzA5LzA0KQ==&amp;WINDOW=FIRST_POPUP&amp;HEIGHT=450&amp;WIDTH=450&amp;","START_MAXIMIZED=FALSE&amp;VAR:CALENDAR=US&amp;VAR:SYMBOL=RAI&amp;VAR:INDEX=0"}</definedName>
    <definedName name="_3430">#REF!</definedName>
    <definedName name="_3432">#REF!</definedName>
    <definedName name="_3433">#REF!</definedName>
    <definedName name="_3435">#REF!</definedName>
    <definedName name="_3436">#REF!</definedName>
    <definedName name="_344">#REF!</definedName>
    <definedName name="_344__FDSAUDITLINK__" localSheetId="0" hidden="1">{"fdsup://directions/FAT Viewer?action=UPDATE&amp;creator=factset&amp;DYN_ARGS=TRUE&amp;DOC_NAME=FAT:FQL_AUDITING_CLIENT_TEMPLATE.FAT&amp;display_string=Audit&amp;VAR:KEY=VMXEJUXEZS&amp;VAR:QUERY=RkZfRElWX1lMRChBTk4sOS8wMi8wNCw5LzAyLzA0KQ==&amp;WINDOW=FIRST_POPUP&amp;HEIGHT=450&amp;WIDTH=450&amp;","START_MAXIMIZED=FALSE&amp;VAR:CALENDAR=US&amp;VAR:SYMBOL=RAI&amp;VAR:INDEX=0"}</definedName>
    <definedName name="_344__FDSAUDITLINK__" hidden="1">{"fdsup://directions/FAT Viewer?action=UPDATE&amp;creator=factset&amp;DYN_ARGS=TRUE&amp;DOC_NAME=FAT:FQL_AUDITING_CLIENT_TEMPLATE.FAT&amp;display_string=Audit&amp;VAR:KEY=VMXEJUXEZS&amp;VAR:QUERY=RkZfRElWX1lMRChBTk4sOS8wMi8wNCw5LzAyLzA0KQ==&amp;WINDOW=FIRST_POPUP&amp;HEIGHT=450&amp;WIDTH=450&amp;","START_MAXIMIZED=FALSE&amp;VAR:CALENDAR=US&amp;VAR:SYMBOL=RAI&amp;VAR:INDEX=0"}</definedName>
    <definedName name="_345__FDSAUDITLINK__" localSheetId="0" hidden="1">{"fdsup://directions/FAT Viewer?action=UPDATE&amp;creator=factset&amp;DYN_ARGS=TRUE&amp;DOC_NAME=FAT:FQL_AUDITING_CLIENT_TEMPLATE.FAT&amp;display_string=Audit&amp;VAR:KEY=VUPINCPELC&amp;VAR:QUERY=RkZfRElWX1lMRChBTk4sOC8yNi8wNCw4LzI2LzA0KQ==&amp;WINDOW=FIRST_POPUP&amp;HEIGHT=450&amp;WIDTH=450&amp;","START_MAXIMIZED=FALSE&amp;VAR:CALENDAR=US&amp;VAR:SYMBOL=RAI&amp;VAR:INDEX=0"}</definedName>
    <definedName name="_345__FDSAUDITLINK__" hidden="1">{"fdsup://directions/FAT Viewer?action=UPDATE&amp;creator=factset&amp;DYN_ARGS=TRUE&amp;DOC_NAME=FAT:FQL_AUDITING_CLIENT_TEMPLATE.FAT&amp;display_string=Audit&amp;VAR:KEY=VUPINCPELC&amp;VAR:QUERY=RkZfRElWX1lMRChBTk4sOC8yNi8wNCw4LzI2LzA0KQ==&amp;WINDOW=FIRST_POPUP&amp;HEIGHT=450&amp;WIDTH=450&amp;","START_MAXIMIZED=FALSE&amp;VAR:CALENDAR=US&amp;VAR:SYMBOL=RAI&amp;VAR:INDEX=0"}</definedName>
    <definedName name="_346">#REF!</definedName>
    <definedName name="_346__FDSAUDITLINK__" localSheetId="0" hidden="1">{"fdsup://directions/FAT Viewer?action=UPDATE&amp;creator=factset&amp;DYN_ARGS=TRUE&amp;DOC_NAME=FAT:FQL_AUDITING_CLIENT_TEMPLATE.FAT&amp;display_string=Audit&amp;VAR:KEY=DOLCPYDKRI&amp;VAR:QUERY=RkZfRElWX1lMRChBTk4sOC8xOS8wNCw4LzE5LzA0KQ==&amp;WINDOW=FIRST_POPUP&amp;HEIGHT=450&amp;WIDTH=450&amp;","START_MAXIMIZED=FALSE&amp;VAR:CALENDAR=US&amp;VAR:SYMBOL=RAI&amp;VAR:INDEX=0"}</definedName>
    <definedName name="_346__FDSAUDITLINK__" hidden="1">{"fdsup://directions/FAT Viewer?action=UPDATE&amp;creator=factset&amp;DYN_ARGS=TRUE&amp;DOC_NAME=FAT:FQL_AUDITING_CLIENT_TEMPLATE.FAT&amp;display_string=Audit&amp;VAR:KEY=DOLCPYDKRI&amp;VAR:QUERY=RkZfRElWX1lMRChBTk4sOC8xOS8wNCw4LzE5LzA0KQ==&amp;WINDOW=FIRST_POPUP&amp;HEIGHT=450&amp;WIDTH=450&amp;","START_MAXIMIZED=FALSE&amp;VAR:CALENDAR=US&amp;VAR:SYMBOL=RAI&amp;VAR:INDEX=0"}</definedName>
    <definedName name="_3462">#REF!</definedName>
    <definedName name="_3463">#REF!</definedName>
    <definedName name="_3465">#REF!</definedName>
    <definedName name="_3466">#REF!</definedName>
    <definedName name="_3468">#REF!</definedName>
    <definedName name="_3469">#REF!</definedName>
    <definedName name="_347">#REF!</definedName>
    <definedName name="_347__FDSAUDITLINK__" localSheetId="0" hidden="1">{"fdsup://directions/FAT Viewer?action=UPDATE&amp;creator=factset&amp;DYN_ARGS=TRUE&amp;DOC_NAME=FAT:FQL_AUDITING_CLIENT_TEMPLATE.FAT&amp;display_string=Audit&amp;VAR:KEY=ZAHINOZSZY&amp;VAR:QUERY=RkZfRElWX1lMRChBTk4sOC8xMi8wNCw4LzEyLzA0KQ==&amp;WINDOW=FIRST_POPUP&amp;HEIGHT=450&amp;WIDTH=450&amp;","START_MAXIMIZED=FALSE&amp;VAR:CALENDAR=US&amp;VAR:SYMBOL=RAI&amp;VAR:INDEX=0"}</definedName>
    <definedName name="_347__FDSAUDITLINK__" hidden="1">{"fdsup://directions/FAT Viewer?action=UPDATE&amp;creator=factset&amp;DYN_ARGS=TRUE&amp;DOC_NAME=FAT:FQL_AUDITING_CLIENT_TEMPLATE.FAT&amp;display_string=Audit&amp;VAR:KEY=ZAHINOZSZY&amp;VAR:QUERY=RkZfRElWX1lMRChBTk4sOC8xMi8wNCw4LzEyLzA0KQ==&amp;WINDOW=FIRST_POPUP&amp;HEIGHT=450&amp;WIDTH=450&amp;","START_MAXIMIZED=FALSE&amp;VAR:CALENDAR=US&amp;VAR:SYMBOL=RAI&amp;VAR:INDEX=0"}</definedName>
    <definedName name="_3471">#REF!</definedName>
    <definedName name="_3472">#REF!</definedName>
    <definedName name="_348__FDSAUDITLINK__" localSheetId="0" hidden="1">{"fdsup://directions/FAT Viewer?action=UPDATE&amp;creator=factset&amp;DYN_ARGS=TRUE&amp;DOC_NAME=FAT:FQL_AUDITING_CLIENT_TEMPLATE.FAT&amp;display_string=Audit&amp;VAR:KEY=LKBMHAXIDO&amp;VAR:QUERY=RkZfRElWX1lMRChBTk4sOC8wNS8wNCw4LzA1LzA0KQ==&amp;WINDOW=FIRST_POPUP&amp;HEIGHT=450&amp;WIDTH=450&amp;","START_MAXIMIZED=FALSE&amp;VAR:CALENDAR=US&amp;VAR:SYMBOL=RAI&amp;VAR:INDEX=0"}</definedName>
    <definedName name="_348__FDSAUDITLINK__" hidden="1">{"fdsup://directions/FAT Viewer?action=UPDATE&amp;creator=factset&amp;DYN_ARGS=TRUE&amp;DOC_NAME=FAT:FQL_AUDITING_CLIENT_TEMPLATE.FAT&amp;display_string=Audit&amp;VAR:KEY=LKBMHAXIDO&amp;VAR:QUERY=RkZfRElWX1lMRChBTk4sOC8wNS8wNCw4LzA1LzA0KQ==&amp;WINDOW=FIRST_POPUP&amp;HEIGHT=450&amp;WIDTH=450&amp;","START_MAXIMIZED=FALSE&amp;VAR:CALENDAR=US&amp;VAR:SYMBOL=RAI&amp;VAR:INDEX=0"}</definedName>
    <definedName name="_349">#REF!</definedName>
    <definedName name="_349__FDSAUDITLINK__" localSheetId="0" hidden="1">{"fdsup://directions/FAT Viewer?action=UPDATE&amp;creator=factset&amp;DYN_ARGS=TRUE&amp;DOC_NAME=FAT:FQL_AUDITING_CLIENT_TEMPLATE.FAT&amp;display_string=Audit&amp;VAR:KEY=TUBQJWBWJU&amp;VAR:QUERY=RkZfRElWX1lMRChBTk4sNy8yOS8wNCw3LzI5LzA0KQ==&amp;WINDOW=FIRST_POPUP&amp;HEIGHT=450&amp;WIDTH=450&amp;","START_MAXIMIZED=FALSE&amp;VAR:CALENDAR=US&amp;VAR:SYMBOL=RAI&amp;VAR:INDEX=0"}</definedName>
    <definedName name="_349__FDSAUDITLINK__" hidden="1">{"fdsup://directions/FAT Viewer?action=UPDATE&amp;creator=factset&amp;DYN_ARGS=TRUE&amp;DOC_NAME=FAT:FQL_AUDITING_CLIENT_TEMPLATE.FAT&amp;display_string=Audit&amp;VAR:KEY=TUBQJWBWJU&amp;VAR:QUERY=RkZfRElWX1lMRChBTk4sNy8yOS8wNCw3LzI5LzA0KQ==&amp;WINDOW=FIRST_POPUP&amp;HEIGHT=450&amp;WIDTH=450&amp;","START_MAXIMIZED=FALSE&amp;VAR:CALENDAR=US&amp;VAR:SYMBOL=RAI&amp;VAR:INDEX=0"}</definedName>
    <definedName name="_34main_form_account_grants_list_23_j_id1022">#REF!</definedName>
    <definedName name="_35_______NOTE8_9">#REF!</definedName>
    <definedName name="_35__123Graph_ACHART_8">#REF!</definedName>
    <definedName name="_35__123Graph_AQRE_S_BY_CO.">#REF!</definedName>
    <definedName name="_35__123Graph_CCHART_3">#REF!</definedName>
    <definedName name="_35__123Graph_CSUPPLIES_BY_B_U">#REF!</definedName>
    <definedName name="_35__123Graph_CWAGES_BY_B_U">#REF!</definedName>
    <definedName name="_35__123Graph_DGROWTH_REVS_B" hidden="1">#REF!</definedName>
    <definedName name="_35__123Graph_EWAGES_BY_B_U">#REF!</definedName>
    <definedName name="_35__123Graph_FWAGES_BY_B_U">#REF!</definedName>
    <definedName name="_35__123Graph_XChart_19K">#REF!</definedName>
    <definedName name="_35__123Graph_XCONTRACT_BY_B_U">#REF!</definedName>
    <definedName name="_35__123Graph_XQRE_S_BY_TYPE" hidden="1">#REF!</definedName>
    <definedName name="_35__123Graph_XSUPPLIES_BY_B_U">#REF!</definedName>
    <definedName name="_35__123Graph_XTAX_CREDIT">#REF!</definedName>
    <definedName name="_35__FDSAUDITLINK__" localSheetId="0" hidden="1">{"fdsup://directions/FAT Viewer?action=UPDATE&amp;creator=factset&amp;DYN_ARGS=TRUE&amp;DOC_NAME=FAT:FQL_AUDITING_CLIENT_TEMPLATE.FAT&amp;display_string=Audit&amp;VAR:KEY=WVMBYPAXSN&amp;VAR:QUERY=RkZfREVCVChBTk4sMCk=&amp;WINDOW=FIRST_POPUP&amp;HEIGHT=450&amp;WIDTH=450&amp;START_MAXIMIZED=FALSE&amp;VA","R:CALENDAR=US&amp;VAR:SYMBOL=TAP&amp;VAR:INDEX=0"}</definedName>
    <definedName name="_35__FDSAUDITLINK__" hidden="1">{"fdsup://directions/FAT Viewer?action=UPDATE&amp;creator=factset&amp;DYN_ARGS=TRUE&amp;DOC_NAME=FAT:FQL_AUDITING_CLIENT_TEMPLATE.FAT&amp;display_string=Audit&amp;VAR:KEY=WVMBYPAXSN&amp;VAR:QUERY=RkZfREVCVChBTk4sMCk=&amp;WINDOW=FIRST_POPUP&amp;HEIGHT=450&amp;WIDTH=450&amp;START_MAXIMIZED=FALSE&amp;VA","R:CALENDAR=US&amp;VAR:SYMBOL=TAP&amp;VAR:INDEX=0"}</definedName>
    <definedName name="_350">#REF!</definedName>
    <definedName name="_350__FDSAUDITLINK__" localSheetId="0" hidden="1">{"fdsup://directions/FAT Viewer?action=UPDATE&amp;creator=factset&amp;DYN_ARGS=TRUE&amp;DOC_NAME=FAT:FQL_AUDITING_CLIENT_TEMPLATE.FAT&amp;display_string=Audit&amp;VAR:KEY=DCXOVGBSLI&amp;VAR:QUERY=RkZfRElWX1lMRChBTk4sNy8yMi8wNCw3LzIyLzA0KQ==&amp;WINDOW=FIRST_POPUP&amp;HEIGHT=450&amp;WIDTH=450&amp;","START_MAXIMIZED=FALSE&amp;VAR:CALENDAR=US&amp;VAR:SYMBOL=RAI&amp;VAR:INDEX=0"}</definedName>
    <definedName name="_350__FDSAUDITLINK__" hidden="1">{"fdsup://directions/FAT Viewer?action=UPDATE&amp;creator=factset&amp;DYN_ARGS=TRUE&amp;DOC_NAME=FAT:FQL_AUDITING_CLIENT_TEMPLATE.FAT&amp;display_string=Audit&amp;VAR:KEY=DCXOVGBSLI&amp;VAR:QUERY=RkZfRElWX1lMRChBTk4sNy8yMi8wNCw3LzIyLzA0KQ==&amp;WINDOW=FIRST_POPUP&amp;HEIGHT=450&amp;WIDTH=450&amp;","START_MAXIMIZED=FALSE&amp;VAR:CALENDAR=US&amp;VAR:SYMBOL=RAI&amp;VAR:INDEX=0"}</definedName>
    <definedName name="_351">#REF!</definedName>
    <definedName name="_351__FDSAUDITLINK__" localSheetId="0" hidden="1">{"fdsup://directions/FAT Viewer?action=UPDATE&amp;creator=factset&amp;DYN_ARGS=TRUE&amp;DOC_NAME=FAT:FQL_AUDITING_CLIENT_TEMPLATE.FAT&amp;display_string=Audit&amp;VAR:KEY=VIVEFIHALA&amp;VAR:QUERY=RkZfRElWX1lMRChBTk4sNy8xNS8wNCw3LzE1LzA0KQ==&amp;WINDOW=FIRST_POPUP&amp;HEIGHT=450&amp;WIDTH=450&amp;","START_MAXIMIZED=FALSE&amp;VAR:CALENDAR=US&amp;VAR:SYMBOL=RAI&amp;VAR:INDEX=0"}</definedName>
    <definedName name="_351__FDSAUDITLINK__" hidden="1">{"fdsup://directions/FAT Viewer?action=UPDATE&amp;creator=factset&amp;DYN_ARGS=TRUE&amp;DOC_NAME=FAT:FQL_AUDITING_CLIENT_TEMPLATE.FAT&amp;display_string=Audit&amp;VAR:KEY=VIVEFIHALA&amp;VAR:QUERY=RkZfRElWX1lMRChBTk4sNy8xNS8wNCw3LzE1LzA0KQ==&amp;WINDOW=FIRST_POPUP&amp;HEIGHT=450&amp;WIDTH=450&amp;","START_MAXIMIZED=FALSE&amp;VAR:CALENDAR=US&amp;VAR:SYMBOL=RAI&amp;VAR:INDEX=0"}</definedName>
    <definedName name="_352__FDSAUDITLINK__" localSheetId="0" hidden="1">{"fdsup://directions/FAT Viewer?action=UPDATE&amp;creator=factset&amp;DYN_ARGS=TRUE&amp;DOC_NAME=FAT:FQL_AUDITING_CLIENT_TEMPLATE.FAT&amp;display_string=Audit&amp;VAR:KEY=ZSZEHUXKPW&amp;VAR:QUERY=RkZfRElWX1lMRChBTk4sNy8wOC8wNCw3LzA4LzA0KQ==&amp;WINDOW=FIRST_POPUP&amp;HEIGHT=450&amp;WIDTH=450&amp;","START_MAXIMIZED=FALSE&amp;VAR:CALENDAR=US&amp;VAR:SYMBOL=RAI&amp;VAR:INDEX=0"}</definedName>
    <definedName name="_352__FDSAUDITLINK__" hidden="1">{"fdsup://directions/FAT Viewer?action=UPDATE&amp;creator=factset&amp;DYN_ARGS=TRUE&amp;DOC_NAME=FAT:FQL_AUDITING_CLIENT_TEMPLATE.FAT&amp;display_string=Audit&amp;VAR:KEY=ZSZEHUXKPW&amp;VAR:QUERY=RkZfRElWX1lMRChBTk4sNy8wOC8wNCw3LzA4LzA0KQ==&amp;WINDOW=FIRST_POPUP&amp;HEIGHT=450&amp;WIDTH=450&amp;","START_MAXIMIZED=FALSE&amp;VAR:CALENDAR=US&amp;VAR:SYMBOL=RAI&amp;VAR:INDEX=0"}</definedName>
    <definedName name="_353__FDSAUDITLINK__" localSheetId="0" hidden="1">{"fdsup://directions/FAT Viewer?action=UPDATE&amp;creator=factset&amp;DYN_ARGS=TRUE&amp;DOC_NAME=FAT:FQL_AUDITING_CLIENT_TEMPLATE.FAT&amp;display_string=Audit&amp;VAR:KEY=BARGTGLCZQ&amp;VAR:QUERY=RkZfRElWX1lMRChBTk4sNy8wMS8wNCw3LzAxLzA0KQ==&amp;WINDOW=FIRST_POPUP&amp;HEIGHT=450&amp;WIDTH=450&amp;","START_MAXIMIZED=FALSE&amp;VAR:CALENDAR=US&amp;VAR:SYMBOL=RAI&amp;VAR:INDEX=0"}</definedName>
    <definedName name="_353__FDSAUDITLINK__" hidden="1">{"fdsup://directions/FAT Viewer?action=UPDATE&amp;creator=factset&amp;DYN_ARGS=TRUE&amp;DOC_NAME=FAT:FQL_AUDITING_CLIENT_TEMPLATE.FAT&amp;display_string=Audit&amp;VAR:KEY=BARGTGLCZQ&amp;VAR:QUERY=RkZfRElWX1lMRChBTk4sNy8wMS8wNCw3LzAxLzA0KQ==&amp;WINDOW=FIRST_POPUP&amp;HEIGHT=450&amp;WIDTH=450&amp;","START_MAXIMIZED=FALSE&amp;VAR:CALENDAR=US&amp;VAR:SYMBOL=RAI&amp;VAR:INDEX=0"}</definedName>
    <definedName name="_354">#REF!</definedName>
    <definedName name="_354__FDSAUDITLINK__" localSheetId="0" hidden="1">{"fdsup://directions/FAT Viewer?action=UPDATE&amp;creator=factset&amp;DYN_ARGS=TRUE&amp;DOC_NAME=FAT:FQL_AUDITING_CLIENT_TEMPLATE.FAT&amp;display_string=Audit&amp;VAR:KEY=XAVYZKTAHY&amp;VAR:QUERY=RkZfRElWX1lMRChBTk4sNi8yNC8wNCw2LzI0LzA0KQ==&amp;WINDOW=FIRST_POPUP&amp;HEIGHT=450&amp;WIDTH=450&amp;","START_MAXIMIZED=FALSE&amp;VAR:CALENDAR=US&amp;VAR:SYMBOL=RAI&amp;VAR:INDEX=0"}</definedName>
    <definedName name="_354__FDSAUDITLINK__" hidden="1">{"fdsup://directions/FAT Viewer?action=UPDATE&amp;creator=factset&amp;DYN_ARGS=TRUE&amp;DOC_NAME=FAT:FQL_AUDITING_CLIENT_TEMPLATE.FAT&amp;display_string=Audit&amp;VAR:KEY=XAVYZKTAHY&amp;VAR:QUERY=RkZfRElWX1lMRChBTk4sNi8yNC8wNCw2LzI0LzA0KQ==&amp;WINDOW=FIRST_POPUP&amp;HEIGHT=450&amp;WIDTH=450&amp;","START_MAXIMIZED=FALSE&amp;VAR:CALENDAR=US&amp;VAR:SYMBOL=RAI&amp;VAR:INDEX=0"}</definedName>
    <definedName name="_355">#REF!</definedName>
    <definedName name="_355__FDSAUDITLINK__" localSheetId="0" hidden="1">{"fdsup://directions/FAT Viewer?action=UPDATE&amp;creator=factset&amp;DYN_ARGS=TRUE&amp;DOC_NAME=FAT:FQL_AUDITING_CLIENT_TEMPLATE.FAT&amp;display_string=Audit&amp;VAR:KEY=TCVKPQBGXU&amp;VAR:QUERY=RkZfRElWX1lMRChBTk4sNi8xNy8wNCw2LzE3LzA0KQ==&amp;WINDOW=FIRST_POPUP&amp;HEIGHT=450&amp;WIDTH=450&amp;","START_MAXIMIZED=FALSE&amp;VAR:CALENDAR=US&amp;VAR:SYMBOL=RAI&amp;VAR:INDEX=0"}</definedName>
    <definedName name="_355__FDSAUDITLINK__" hidden="1">{"fdsup://directions/FAT Viewer?action=UPDATE&amp;creator=factset&amp;DYN_ARGS=TRUE&amp;DOC_NAME=FAT:FQL_AUDITING_CLIENT_TEMPLATE.FAT&amp;display_string=Audit&amp;VAR:KEY=TCVKPQBGXU&amp;VAR:QUERY=RkZfRElWX1lMRChBTk4sNi8xNy8wNCw2LzE3LzA0KQ==&amp;WINDOW=FIRST_POPUP&amp;HEIGHT=450&amp;WIDTH=450&amp;","START_MAXIMIZED=FALSE&amp;VAR:CALENDAR=US&amp;VAR:SYMBOL=RAI&amp;VAR:INDEX=0"}</definedName>
    <definedName name="_356">#REF!</definedName>
    <definedName name="_356__FDSAUDITLINK__" localSheetId="0" hidden="1">{"fdsup://directions/FAT Viewer?action=UPDATE&amp;creator=factset&amp;DYN_ARGS=TRUE&amp;DOC_NAME=FAT:FQL_AUDITING_CLIENT_TEMPLATE.FAT&amp;display_string=Audit&amp;VAR:KEY=HSVOBSZCDE&amp;VAR:QUERY=RkZfRElWX1lMRChBTk4sNi8xMC8wNCw2LzEwLzA0KQ==&amp;WINDOW=FIRST_POPUP&amp;HEIGHT=450&amp;WIDTH=450&amp;","START_MAXIMIZED=FALSE&amp;VAR:CALENDAR=US&amp;VAR:SYMBOL=RAI&amp;VAR:INDEX=0"}</definedName>
    <definedName name="_356__FDSAUDITLINK__" hidden="1">{"fdsup://directions/FAT Viewer?action=UPDATE&amp;creator=factset&amp;DYN_ARGS=TRUE&amp;DOC_NAME=FAT:FQL_AUDITING_CLIENT_TEMPLATE.FAT&amp;display_string=Audit&amp;VAR:KEY=HSVOBSZCDE&amp;VAR:QUERY=RkZfRElWX1lMRChBTk4sNi8xMC8wNCw2LzEwLzA0KQ==&amp;WINDOW=FIRST_POPUP&amp;HEIGHT=450&amp;WIDTH=450&amp;","START_MAXIMIZED=FALSE&amp;VAR:CALENDAR=US&amp;VAR:SYMBOL=RAI&amp;VAR:INDEX=0"}</definedName>
    <definedName name="_357">#REF!</definedName>
    <definedName name="_357__FDSAUDITLINK__" localSheetId="0" hidden="1">{"fdsup://directions/FAT Viewer?action=UPDATE&amp;creator=factset&amp;DYN_ARGS=TRUE&amp;DOC_NAME=FAT:FQL_AUDITING_CLIENT_TEMPLATE.FAT&amp;display_string=Audit&amp;VAR:KEY=VGNEREVURW&amp;VAR:QUERY=RkZfRElWX1lMRChBTk4sNi8wMy8wNCw2LzAzLzA0KQ==&amp;WINDOW=FIRST_POPUP&amp;HEIGHT=450&amp;WIDTH=450&amp;","START_MAXIMIZED=FALSE&amp;VAR:CALENDAR=US&amp;VAR:SYMBOL=RAI&amp;VAR:INDEX=0"}</definedName>
    <definedName name="_357__FDSAUDITLINK__" hidden="1">{"fdsup://directions/FAT Viewer?action=UPDATE&amp;creator=factset&amp;DYN_ARGS=TRUE&amp;DOC_NAME=FAT:FQL_AUDITING_CLIENT_TEMPLATE.FAT&amp;display_string=Audit&amp;VAR:KEY=VGNEREVURW&amp;VAR:QUERY=RkZfRElWX1lMRChBTk4sNi8wMy8wNCw2LzAzLzA0KQ==&amp;WINDOW=FIRST_POPUP&amp;HEIGHT=450&amp;WIDTH=450&amp;","START_MAXIMIZED=FALSE&amp;VAR:CALENDAR=US&amp;VAR:SYMBOL=RAI&amp;VAR:INDEX=0"}</definedName>
    <definedName name="_358">#REF!</definedName>
    <definedName name="_358__FDSAUDITLINK__" localSheetId="0" hidden="1">{"fdsup://directions/FAT Viewer?action=UPDATE&amp;creator=factset&amp;DYN_ARGS=TRUE&amp;DOC_NAME=FAT:FQL_AUDITING_CLIENT_TEMPLATE.FAT&amp;display_string=Audit&amp;VAR:KEY=XYFEBKZOPG&amp;VAR:QUERY=RkZfRElWX1lMRChBTk4sNS8yNy8wNCw1LzI3LzA0KQ==&amp;WINDOW=FIRST_POPUP&amp;HEIGHT=450&amp;WIDTH=450&amp;","START_MAXIMIZED=FALSE&amp;VAR:CALENDAR=US&amp;VAR:SYMBOL=RAI&amp;VAR:INDEX=0"}</definedName>
    <definedName name="_358__FDSAUDITLINK__" hidden="1">{"fdsup://directions/FAT Viewer?action=UPDATE&amp;creator=factset&amp;DYN_ARGS=TRUE&amp;DOC_NAME=FAT:FQL_AUDITING_CLIENT_TEMPLATE.FAT&amp;display_string=Audit&amp;VAR:KEY=XYFEBKZOPG&amp;VAR:QUERY=RkZfRElWX1lMRChBTk4sNS8yNy8wNCw1LzI3LzA0KQ==&amp;WINDOW=FIRST_POPUP&amp;HEIGHT=450&amp;WIDTH=450&amp;","START_MAXIMIZED=FALSE&amp;VAR:CALENDAR=US&amp;VAR:SYMBOL=RAI&amp;VAR:INDEX=0"}</definedName>
    <definedName name="_359">#REF!</definedName>
    <definedName name="_359__FDSAUDITLINK__" localSheetId="0" hidden="1">{"fdsup://directions/FAT Viewer?action=UPDATE&amp;creator=factset&amp;DYN_ARGS=TRUE&amp;DOC_NAME=FAT:FQL_AUDITING_CLIENT_TEMPLATE.FAT&amp;display_string=Audit&amp;VAR:KEY=VKBIHAXSHK&amp;VAR:QUERY=RkZfRElWX1lMRChBTk4sNS8yMC8wNCw1LzIwLzA0KQ==&amp;WINDOW=FIRST_POPUP&amp;HEIGHT=450&amp;WIDTH=450&amp;","START_MAXIMIZED=FALSE&amp;VAR:CALENDAR=US&amp;VAR:SYMBOL=RAI&amp;VAR:INDEX=0"}</definedName>
    <definedName name="_359__FDSAUDITLINK__" hidden="1">{"fdsup://directions/FAT Viewer?action=UPDATE&amp;creator=factset&amp;DYN_ARGS=TRUE&amp;DOC_NAME=FAT:FQL_AUDITING_CLIENT_TEMPLATE.FAT&amp;display_string=Audit&amp;VAR:KEY=VKBIHAXSHK&amp;VAR:QUERY=RkZfRElWX1lMRChBTk4sNS8yMC8wNCw1LzIwLzA0KQ==&amp;WINDOW=FIRST_POPUP&amp;HEIGHT=450&amp;WIDTH=450&amp;","START_MAXIMIZED=FALSE&amp;VAR:CALENDAR=US&amp;VAR:SYMBOL=RAI&amp;VAR:INDEX=0"}</definedName>
    <definedName name="_36_______P_L">#REF!</definedName>
    <definedName name="_36__123Graph_ASENS_COMPARISON">#REF!</definedName>
    <definedName name="_36__123Graph_AWAGES_BY_B_U">#REF!</definedName>
    <definedName name="_36__123Graph_BCONTRACT_BY_B_U">#REF!</definedName>
    <definedName name="_36__123Graph_BGROSS_MARGINS" hidden="1">#REF!</definedName>
    <definedName name="_36__123Graph_BSENS_COMPARISON">#REF!</definedName>
    <definedName name="_36__123Graph_BWAGES_BY_B_U">#REF!</definedName>
    <definedName name="_36__123Graph_DCONTRACT_BY_B_U">#REF!</definedName>
    <definedName name="_36__123Graph_FCONTRACT_BY_B_U">#REF!</definedName>
    <definedName name="_36__123Graph_XCHART_112" hidden="1">#REF!</definedName>
    <definedName name="_36__123Graph_XChart_20K">#REF!</definedName>
    <definedName name="_36__123Graph_XCONTRACT_BY_B_U">#REF!</definedName>
    <definedName name="_36__123Graph_XQRE_S_BY_CO.">#REF!</definedName>
    <definedName name="_36__123Graph_XSUPPLIES_BY_B_U" hidden="1">#REF!</definedName>
    <definedName name="_36__123Graph_XTAX_CREDIT">#REF!</definedName>
    <definedName name="_36__FDSAUDITLINK__" localSheetId="0" hidden="1">{"fdsup://Directions/FactSet Auditing Viewer?action=AUDIT_VALUE&amp;DB=129&amp;ID1=39312210&amp;VALUEID=02001&amp;SDATE=2011&amp;PERIODTYPE=ANN_STD&amp;SCFT=3&amp;window=popup_no_bar&amp;width=385&amp;height=120&amp;START_MAXIMIZED=FALSE&amp;creator=factset&amp;display_string=Audit"}</definedName>
    <definedName name="_36__FDSAUDITLINK__" hidden="1">{"fdsup://Directions/FactSet Auditing Viewer?action=AUDIT_VALUE&amp;DB=129&amp;ID1=39312210&amp;VALUEID=02001&amp;SDATE=2011&amp;PERIODTYPE=ANN_STD&amp;SCFT=3&amp;window=popup_no_bar&amp;width=385&amp;height=120&amp;START_MAXIMIZED=FALSE&amp;creator=factset&amp;display_string=Audit"}</definedName>
    <definedName name="_360">2</definedName>
    <definedName name="_360__FDSAUDITLINK__" localSheetId="0" hidden="1">{"fdsup://directions/FAT Viewer?action=UPDATE&amp;creator=factset&amp;DYN_ARGS=TRUE&amp;DOC_NAME=FAT:FQL_AUDITING_CLIENT_TEMPLATE.FAT&amp;display_string=Audit&amp;VAR:KEY=RSZADAZSDE&amp;VAR:QUERY=RkZfRElWX1lMRChBTk4sNS8xMy8wNCw1LzEzLzA0KQ==&amp;WINDOW=FIRST_POPUP&amp;HEIGHT=450&amp;WIDTH=450&amp;","START_MAXIMIZED=FALSE&amp;VAR:CALENDAR=US&amp;VAR:SYMBOL=RAI&amp;VAR:INDEX=0"}</definedName>
    <definedName name="_360__FDSAUDITLINK__" hidden="1">{"fdsup://directions/FAT Viewer?action=UPDATE&amp;creator=factset&amp;DYN_ARGS=TRUE&amp;DOC_NAME=FAT:FQL_AUDITING_CLIENT_TEMPLATE.FAT&amp;display_string=Audit&amp;VAR:KEY=RSZADAZSDE&amp;VAR:QUERY=RkZfRElWX1lMRChBTk4sNS8xMy8wNCw1LzEzLzA0KQ==&amp;WINDOW=FIRST_POPUP&amp;HEIGHT=450&amp;WIDTH=450&amp;","START_MAXIMIZED=FALSE&amp;VAR:CALENDAR=US&amp;VAR:SYMBOL=RAI&amp;VAR:INDEX=0"}</definedName>
    <definedName name="_361">#REF!</definedName>
    <definedName name="_361__FDSAUDITLINK__" localSheetId="0" hidden="1">{"fdsup://directions/FAT Viewer?action=UPDATE&amp;creator=factset&amp;DYN_ARGS=TRUE&amp;DOC_NAME=FAT:FQL_AUDITING_CLIENT_TEMPLATE.FAT&amp;display_string=Audit&amp;VAR:KEY=PAVWZOJQXY&amp;VAR:QUERY=RkZfRElWX1lMRChBTk4sNS8wNi8wNCw1LzA2LzA0KQ==&amp;WINDOW=FIRST_POPUP&amp;HEIGHT=450&amp;WIDTH=450&amp;","START_MAXIMIZED=FALSE&amp;VAR:CALENDAR=US&amp;VAR:SYMBOL=RAI&amp;VAR:INDEX=0"}</definedName>
    <definedName name="_361__FDSAUDITLINK__" hidden="1">{"fdsup://directions/FAT Viewer?action=UPDATE&amp;creator=factset&amp;DYN_ARGS=TRUE&amp;DOC_NAME=FAT:FQL_AUDITING_CLIENT_TEMPLATE.FAT&amp;display_string=Audit&amp;VAR:KEY=PAVWZOJQXY&amp;VAR:QUERY=RkZfRElWX1lMRChBTk4sNS8wNi8wNCw1LzA2LzA0KQ==&amp;WINDOW=FIRST_POPUP&amp;HEIGHT=450&amp;WIDTH=450&amp;","START_MAXIMIZED=FALSE&amp;VAR:CALENDAR=US&amp;VAR:SYMBOL=RAI&amp;VAR:INDEX=0"}</definedName>
    <definedName name="_362">#REF!</definedName>
    <definedName name="_362__FDSAUDITLINK__" localSheetId="0" hidden="1">{"fdsup://directions/FAT Viewer?action=UPDATE&amp;creator=factset&amp;DYN_ARGS=TRUE&amp;DOC_NAME=FAT:FQL_AUDITING_CLIENT_TEMPLATE.FAT&amp;display_string=Audit&amp;VAR:KEY=PAFCPCFGNM&amp;VAR:QUERY=RkZfRElWX1lMRChBTk4sNC8yOS8wNCw0LzI5LzA0KQ==&amp;WINDOW=FIRST_POPUP&amp;HEIGHT=450&amp;WIDTH=450&amp;","START_MAXIMIZED=FALSE&amp;VAR:CALENDAR=US&amp;VAR:SYMBOL=RAI&amp;VAR:INDEX=0"}</definedName>
    <definedName name="_362__FDSAUDITLINK__" hidden="1">{"fdsup://directions/FAT Viewer?action=UPDATE&amp;creator=factset&amp;DYN_ARGS=TRUE&amp;DOC_NAME=FAT:FQL_AUDITING_CLIENT_TEMPLATE.FAT&amp;display_string=Audit&amp;VAR:KEY=PAFCPCFGNM&amp;VAR:QUERY=RkZfRElWX1lMRChBTk4sNC8yOS8wNCw0LzI5LzA0KQ==&amp;WINDOW=FIRST_POPUP&amp;HEIGHT=450&amp;WIDTH=450&amp;","START_MAXIMIZED=FALSE&amp;VAR:CALENDAR=US&amp;VAR:SYMBOL=RAI&amp;VAR:INDEX=0"}</definedName>
    <definedName name="_363">#REF!</definedName>
    <definedName name="_363__FDSAUDITLINK__" localSheetId="0" hidden="1">{"fdsup://directions/FAT Viewer?action=UPDATE&amp;creator=factset&amp;DYN_ARGS=TRUE&amp;DOC_NAME=FAT:FQL_AUDITING_CLIENT_TEMPLATE.FAT&amp;display_string=Audit&amp;VAR:KEY=TODSRATUVA&amp;VAR:QUERY=RkZfRElWX1lMRChBTk4sNC8yMi8wNCw0LzIyLzA0KQ==&amp;WINDOW=FIRST_POPUP&amp;HEIGHT=450&amp;WIDTH=450&amp;","START_MAXIMIZED=FALSE&amp;VAR:CALENDAR=US&amp;VAR:SYMBOL=RAI&amp;VAR:INDEX=0"}</definedName>
    <definedName name="_363__FDSAUDITLINK__" hidden="1">{"fdsup://directions/FAT Viewer?action=UPDATE&amp;creator=factset&amp;DYN_ARGS=TRUE&amp;DOC_NAME=FAT:FQL_AUDITING_CLIENT_TEMPLATE.FAT&amp;display_string=Audit&amp;VAR:KEY=TODSRATUVA&amp;VAR:QUERY=RkZfRElWX1lMRChBTk4sNC8yMi8wNCw0LzIyLzA0KQ==&amp;WINDOW=FIRST_POPUP&amp;HEIGHT=450&amp;WIDTH=450&amp;","START_MAXIMIZED=FALSE&amp;VAR:CALENDAR=US&amp;VAR:SYMBOL=RAI&amp;VAR:INDEX=0"}</definedName>
    <definedName name="_364">#REF!</definedName>
    <definedName name="_364__FDSAUDITLINK__" localSheetId="0" hidden="1">{"fdsup://directions/FAT Viewer?action=UPDATE&amp;creator=factset&amp;DYN_ARGS=TRUE&amp;DOC_NAME=FAT:FQL_AUDITING_CLIENT_TEMPLATE.FAT&amp;display_string=Audit&amp;VAR:KEY=NKDKZITENA&amp;VAR:QUERY=RkZfRElWX1lMRChBTk4sNC8xNS8wNCw0LzE1LzA0KQ==&amp;WINDOW=FIRST_POPUP&amp;HEIGHT=450&amp;WIDTH=450&amp;","START_MAXIMIZED=FALSE&amp;VAR:CALENDAR=US&amp;VAR:SYMBOL=RAI&amp;VAR:INDEX=0"}</definedName>
    <definedName name="_364__FDSAUDITLINK__" hidden="1">{"fdsup://directions/FAT Viewer?action=UPDATE&amp;creator=factset&amp;DYN_ARGS=TRUE&amp;DOC_NAME=FAT:FQL_AUDITING_CLIENT_TEMPLATE.FAT&amp;display_string=Audit&amp;VAR:KEY=NKDKZITENA&amp;VAR:QUERY=RkZfRElWX1lMRChBTk4sNC8xNS8wNCw0LzE1LzA0KQ==&amp;WINDOW=FIRST_POPUP&amp;HEIGHT=450&amp;WIDTH=450&amp;","START_MAXIMIZED=FALSE&amp;VAR:CALENDAR=US&amp;VAR:SYMBOL=RAI&amp;VAR:INDEX=0"}</definedName>
    <definedName name="_365">#REF!</definedName>
    <definedName name="_365__FDSAUDITLINK__" localSheetId="0" hidden="1">{"fdsup://directions/FAT Viewer?action=UPDATE&amp;creator=factset&amp;DYN_ARGS=TRUE&amp;DOC_NAME=FAT:FQL_AUDITING_CLIENT_TEMPLATE.FAT&amp;display_string=Audit&amp;VAR:KEY=RYFSFMNGBE&amp;VAR:QUERY=RkZfRElWX1lMRChBTk4sNC8wOC8wNCw0LzA4LzA0KQ==&amp;WINDOW=FIRST_POPUP&amp;HEIGHT=450&amp;WIDTH=450&amp;","START_MAXIMIZED=FALSE&amp;VAR:CALENDAR=US&amp;VAR:SYMBOL=RAI&amp;VAR:INDEX=0"}</definedName>
    <definedName name="_365__FDSAUDITLINK__" hidden="1">{"fdsup://directions/FAT Viewer?action=UPDATE&amp;creator=factset&amp;DYN_ARGS=TRUE&amp;DOC_NAME=FAT:FQL_AUDITING_CLIENT_TEMPLATE.FAT&amp;display_string=Audit&amp;VAR:KEY=RYFSFMNGBE&amp;VAR:QUERY=RkZfRElWX1lMRChBTk4sNC8wOC8wNCw0LzA4LzA0KQ==&amp;WINDOW=FIRST_POPUP&amp;HEIGHT=450&amp;WIDTH=450&amp;","START_MAXIMIZED=FALSE&amp;VAR:CALENDAR=US&amp;VAR:SYMBOL=RAI&amp;VAR:INDEX=0"}</definedName>
    <definedName name="_366">#REF!</definedName>
    <definedName name="_366__FDSAUDITLINK__" localSheetId="0" hidden="1">{"fdsup://directions/FAT Viewer?action=UPDATE&amp;creator=factset&amp;DYN_ARGS=TRUE&amp;DOC_NAME=FAT:FQL_AUDITING_CLIENT_TEMPLATE.FAT&amp;display_string=Audit&amp;VAR:KEY=NULINKRMXW&amp;VAR:QUERY=RkZfRElWX1lMRChBTk4sNC8wMS8wNCw0LzAxLzA0KQ==&amp;WINDOW=FIRST_POPUP&amp;HEIGHT=450&amp;WIDTH=450&amp;","START_MAXIMIZED=FALSE&amp;VAR:CALENDAR=US&amp;VAR:SYMBOL=RAI&amp;VAR:INDEX=0"}</definedName>
    <definedName name="_366__FDSAUDITLINK__" hidden="1">{"fdsup://directions/FAT Viewer?action=UPDATE&amp;creator=factset&amp;DYN_ARGS=TRUE&amp;DOC_NAME=FAT:FQL_AUDITING_CLIENT_TEMPLATE.FAT&amp;display_string=Audit&amp;VAR:KEY=NULINKRMXW&amp;VAR:QUERY=RkZfRElWX1lMRChBTk4sNC8wMS8wNCw0LzAxLzA0KQ==&amp;WINDOW=FIRST_POPUP&amp;HEIGHT=450&amp;WIDTH=450&amp;","START_MAXIMIZED=FALSE&amp;VAR:CALENDAR=US&amp;VAR:SYMBOL=RAI&amp;VAR:INDEX=0"}</definedName>
    <definedName name="_367">#REF!</definedName>
    <definedName name="_367__FDSAUDITLINK__" localSheetId="0" hidden="1">{"fdsup://directions/FAT Viewer?action=UPDATE&amp;creator=factset&amp;DYN_ARGS=TRUE&amp;DOC_NAME=FAT:FQL_AUDITING_CLIENT_TEMPLATE.FAT&amp;display_string=Audit&amp;VAR:KEY=HETQDAJGZQ&amp;VAR:QUERY=RkZfRElWX1lMRChBTk4sMy8yNS8wNCwzLzI1LzA0KQ==&amp;WINDOW=FIRST_POPUP&amp;HEIGHT=450&amp;WIDTH=450&amp;","START_MAXIMIZED=FALSE&amp;VAR:CALENDAR=US&amp;VAR:SYMBOL=RAI&amp;VAR:INDEX=0"}</definedName>
    <definedName name="_367__FDSAUDITLINK__" hidden="1">{"fdsup://directions/FAT Viewer?action=UPDATE&amp;creator=factset&amp;DYN_ARGS=TRUE&amp;DOC_NAME=FAT:FQL_AUDITING_CLIENT_TEMPLATE.FAT&amp;display_string=Audit&amp;VAR:KEY=HETQDAJGZQ&amp;VAR:QUERY=RkZfRElWX1lMRChBTk4sMy8yNS8wNCwzLzI1LzA0KQ==&amp;WINDOW=FIRST_POPUP&amp;HEIGHT=450&amp;WIDTH=450&amp;","START_MAXIMIZED=FALSE&amp;VAR:CALENDAR=US&amp;VAR:SYMBOL=RAI&amp;VAR:INDEX=0"}</definedName>
    <definedName name="_368">#REF!</definedName>
    <definedName name="_368__FDSAUDITLINK__" localSheetId="0" hidden="1">{"fdsup://directions/FAT Viewer?action=UPDATE&amp;creator=factset&amp;DYN_ARGS=TRUE&amp;DOC_NAME=FAT:FQL_AUDITING_CLIENT_TEMPLATE.FAT&amp;display_string=Audit&amp;VAR:KEY=DWBEXWPKLG&amp;VAR:QUERY=RkZfRElWX1lMRChBTk4sMy8xOC8wNCwzLzE4LzA0KQ==&amp;WINDOW=FIRST_POPUP&amp;HEIGHT=450&amp;WIDTH=450&amp;","START_MAXIMIZED=FALSE&amp;VAR:CALENDAR=US&amp;VAR:SYMBOL=RAI&amp;VAR:INDEX=0"}</definedName>
    <definedName name="_368__FDSAUDITLINK__" hidden="1">{"fdsup://directions/FAT Viewer?action=UPDATE&amp;creator=factset&amp;DYN_ARGS=TRUE&amp;DOC_NAME=FAT:FQL_AUDITING_CLIENT_TEMPLATE.FAT&amp;display_string=Audit&amp;VAR:KEY=DWBEXWPKLG&amp;VAR:QUERY=RkZfRElWX1lMRChBTk4sMy8xOC8wNCwzLzE4LzA0KQ==&amp;WINDOW=FIRST_POPUP&amp;HEIGHT=450&amp;WIDTH=450&amp;","START_MAXIMIZED=FALSE&amp;VAR:CALENDAR=US&amp;VAR:SYMBOL=RAI&amp;VAR:INDEX=0"}</definedName>
    <definedName name="_369">#REF!</definedName>
    <definedName name="_369__FDSAUDITLINK__" localSheetId="0" hidden="1">{"fdsup://directions/FAT Viewer?action=UPDATE&amp;creator=factset&amp;DYN_ARGS=TRUE&amp;DOC_NAME=FAT:FQL_AUDITING_CLIENT_TEMPLATE.FAT&amp;display_string=Audit&amp;VAR:KEY=ZYFSXEFGRK&amp;VAR:QUERY=RkZfRElWX1lMRChBTk4sMy8xMS8wNCwzLzExLzA0KQ==&amp;WINDOW=FIRST_POPUP&amp;HEIGHT=450&amp;WIDTH=450&amp;","START_MAXIMIZED=FALSE&amp;VAR:CALENDAR=US&amp;VAR:SYMBOL=RAI&amp;VAR:INDEX=0"}</definedName>
    <definedName name="_369__FDSAUDITLINK__" hidden="1">{"fdsup://directions/FAT Viewer?action=UPDATE&amp;creator=factset&amp;DYN_ARGS=TRUE&amp;DOC_NAME=FAT:FQL_AUDITING_CLIENT_TEMPLATE.FAT&amp;display_string=Audit&amp;VAR:KEY=ZYFSXEFGRK&amp;VAR:QUERY=RkZfRElWX1lMRChBTk4sMy8xMS8wNCwzLzExLzA0KQ==&amp;WINDOW=FIRST_POPUP&amp;HEIGHT=450&amp;WIDTH=450&amp;","START_MAXIMIZED=FALSE&amp;VAR:CALENDAR=US&amp;VAR:SYMBOL=RAI&amp;VAR:INDEX=0"}</definedName>
    <definedName name="_36main_form_account_grants_list_24_j_id1022">#REF!</definedName>
    <definedName name="_37______B_S">#REF!</definedName>
    <definedName name="_37__123Graph_ASUPPLIES_BY_B_U">#REF!</definedName>
    <definedName name="_37__123Graph_AWAGES_BY_B_U">#REF!</definedName>
    <definedName name="_37__123Graph_CWAGES_BY_B_U">#REF!</definedName>
    <definedName name="_37__123Graph_DCONTRACT_BY_B_U">#REF!</definedName>
    <definedName name="_37__123Graph_FQRE_S_BY_CO.">#REF!</definedName>
    <definedName name="_37__123Graph_XChart_1A" hidden="1">#REF!</definedName>
    <definedName name="_37__123Graph_XQRE_S_BY_CO.">#REF!</definedName>
    <definedName name="_37__123Graph_XQRE_S_BY_TYPE">#REF!</definedName>
    <definedName name="_37__123Graph_XTAX_CREDIT" hidden="1">#REF!</definedName>
    <definedName name="_37__FDSAUDITLINK__" localSheetId="0" hidden="1">{"fdsup://directions/FAT Viewer?action=UPDATE&amp;creator=factset&amp;DYN_ARGS=TRUE&amp;DOC_NAME=FAT:FQL_AUDITING_CLIENT_TEMPLATE.FAT&amp;display_string=Audit&amp;VAR:KEY=DIBQVEXIXW&amp;VAR:QUERY=RkZfRU5UUlBSX1ZBTF9EQUlMWSgwLCwsLCwnRElMJyk=&amp;WINDOW=FIRST_POPUP&amp;HEIGHT=450&amp;WIDTH=450&amp;","START_MAXIMIZED=FALSE&amp;VAR:CALENDAR=US&amp;VAR:SYMBOL=BUD&amp;VAR:INDEX=0"}</definedName>
    <definedName name="_37__FDSAUDITLINK__" hidden="1">{"fdsup://directions/FAT Viewer?action=UPDATE&amp;creator=factset&amp;DYN_ARGS=TRUE&amp;DOC_NAME=FAT:FQL_AUDITING_CLIENT_TEMPLATE.FAT&amp;display_string=Audit&amp;VAR:KEY=DIBQVEXIXW&amp;VAR:QUERY=RkZfRU5UUlBSX1ZBTF9EQUlMWSgwLCwsLCwnRElMJyk=&amp;WINDOW=FIRST_POPUP&amp;HEIGHT=450&amp;WIDTH=450&amp;","START_MAXIMIZED=FALSE&amp;VAR:CALENDAR=US&amp;VAR:SYMBOL=BUD&amp;VAR:INDEX=0"}</definedName>
    <definedName name="_370">#REF!</definedName>
    <definedName name="_370__FDSAUDITLINK__" localSheetId="0" hidden="1">{"fdsup://directions/FAT Viewer?action=UPDATE&amp;creator=factset&amp;DYN_ARGS=TRUE&amp;DOC_NAME=FAT:FQL_AUDITING_CLIENT_TEMPLATE.FAT&amp;display_string=Audit&amp;VAR:KEY=DSJWBWDUTM&amp;VAR:QUERY=RkZfRElWX1lMRChBTk4sMy8wNC8wNCwzLzA0LzA0KQ==&amp;WINDOW=FIRST_POPUP&amp;HEIGHT=450&amp;WIDTH=450&amp;","START_MAXIMIZED=FALSE&amp;VAR:CALENDAR=US&amp;VAR:SYMBOL=RAI&amp;VAR:INDEX=0"}</definedName>
    <definedName name="_370__FDSAUDITLINK__" hidden="1">{"fdsup://directions/FAT Viewer?action=UPDATE&amp;creator=factset&amp;DYN_ARGS=TRUE&amp;DOC_NAME=FAT:FQL_AUDITING_CLIENT_TEMPLATE.FAT&amp;display_string=Audit&amp;VAR:KEY=DSJWBWDUTM&amp;VAR:QUERY=RkZfRElWX1lMRChBTk4sMy8wNC8wNCwzLzA0LzA0KQ==&amp;WINDOW=FIRST_POPUP&amp;HEIGHT=450&amp;WIDTH=450&amp;","START_MAXIMIZED=FALSE&amp;VAR:CALENDAR=US&amp;VAR:SYMBOL=RAI&amp;VAR:INDEX=0"}</definedName>
    <definedName name="_371">#REF!</definedName>
    <definedName name="_371__FDSAUDITLINK__" localSheetId="0" hidden="1">{"fdsup://directions/FAT Viewer?action=UPDATE&amp;creator=factset&amp;DYN_ARGS=TRUE&amp;DOC_NAME=FAT:FQL_AUDITING_CLIENT_TEMPLATE.FAT&amp;display_string=Audit&amp;VAR:KEY=HMPQBKHWJG&amp;VAR:QUERY=RkZfRElWX1lMRChBTk4sMi8yNi8wNCwyLzI2LzA0KQ==&amp;WINDOW=FIRST_POPUP&amp;HEIGHT=450&amp;WIDTH=450&amp;","START_MAXIMIZED=FALSE&amp;VAR:CALENDAR=US&amp;VAR:SYMBOL=RAI&amp;VAR:INDEX=0"}</definedName>
    <definedName name="_371__FDSAUDITLINK__" hidden="1">{"fdsup://directions/FAT Viewer?action=UPDATE&amp;creator=factset&amp;DYN_ARGS=TRUE&amp;DOC_NAME=FAT:FQL_AUDITING_CLIENT_TEMPLATE.FAT&amp;display_string=Audit&amp;VAR:KEY=HMPQBKHWJG&amp;VAR:QUERY=RkZfRElWX1lMRChBTk4sMi8yNi8wNCwyLzI2LzA0KQ==&amp;WINDOW=FIRST_POPUP&amp;HEIGHT=450&amp;WIDTH=450&amp;","START_MAXIMIZED=FALSE&amp;VAR:CALENDAR=US&amp;VAR:SYMBOL=RAI&amp;VAR:INDEX=0"}</definedName>
    <definedName name="_3718">#REF!</definedName>
    <definedName name="_3719">#REF!</definedName>
    <definedName name="_372">#REF!</definedName>
    <definedName name="_372__FDSAUDITLINK__" localSheetId="0" hidden="1">{"fdsup://directions/FAT Viewer?action=UPDATE&amp;creator=factset&amp;DYN_ARGS=TRUE&amp;DOC_NAME=FAT:FQL_AUDITING_CLIENT_TEMPLATE.FAT&amp;display_string=Audit&amp;VAR:KEY=ZWRGRELUHM&amp;VAR:QUERY=RkZfRElWX1lMRChBTk4sMi8xOS8wNCwyLzE5LzA0KQ==&amp;WINDOW=FIRST_POPUP&amp;HEIGHT=450&amp;WIDTH=450&amp;","START_MAXIMIZED=FALSE&amp;VAR:CALENDAR=US&amp;VAR:SYMBOL=RAI&amp;VAR:INDEX=0"}</definedName>
    <definedName name="_372__FDSAUDITLINK__" hidden="1">{"fdsup://directions/FAT Viewer?action=UPDATE&amp;creator=factset&amp;DYN_ARGS=TRUE&amp;DOC_NAME=FAT:FQL_AUDITING_CLIENT_TEMPLATE.FAT&amp;display_string=Audit&amp;VAR:KEY=ZWRGRELUHM&amp;VAR:QUERY=RkZfRElWX1lMRChBTk4sMi8xOS8wNCwyLzE5LzA0KQ==&amp;WINDOW=FIRST_POPUP&amp;HEIGHT=450&amp;WIDTH=450&amp;","START_MAXIMIZED=FALSE&amp;VAR:CALENDAR=US&amp;VAR:SYMBOL=RAI&amp;VAR:INDEX=0"}</definedName>
    <definedName name="_3721">#REF!</definedName>
    <definedName name="_3722">#REF!</definedName>
    <definedName name="_3724">#REF!</definedName>
    <definedName name="_3725">#REF!</definedName>
    <definedName name="_3727">#REF!</definedName>
    <definedName name="_3728">#REF!</definedName>
    <definedName name="_373">#REF!</definedName>
    <definedName name="_373__FDSAUDITLINK__" localSheetId="0" hidden="1">{"fdsup://directions/FAT Viewer?action=UPDATE&amp;creator=factset&amp;DYN_ARGS=TRUE&amp;DOC_NAME=FAT:FQL_AUDITING_CLIENT_TEMPLATE.FAT&amp;display_string=Audit&amp;VAR:KEY=PWNUNYPOXE&amp;VAR:QUERY=RkZfRElWX1lMRChBTk4sMi8xMi8wNCwyLzEyLzA0KQ==&amp;WINDOW=FIRST_POPUP&amp;HEIGHT=450&amp;WIDTH=450&amp;","START_MAXIMIZED=FALSE&amp;VAR:CALENDAR=US&amp;VAR:SYMBOL=RAI&amp;VAR:INDEX=0"}</definedName>
    <definedName name="_373__FDSAUDITLINK__" hidden="1">{"fdsup://directions/FAT Viewer?action=UPDATE&amp;creator=factset&amp;DYN_ARGS=TRUE&amp;DOC_NAME=FAT:FQL_AUDITING_CLIENT_TEMPLATE.FAT&amp;display_string=Audit&amp;VAR:KEY=PWNUNYPOXE&amp;VAR:QUERY=RkZfRElWX1lMRChBTk4sMi8xMi8wNCwyLzEyLzA0KQ==&amp;WINDOW=FIRST_POPUP&amp;HEIGHT=450&amp;WIDTH=450&amp;","START_MAXIMIZED=FALSE&amp;VAR:CALENDAR=US&amp;VAR:SYMBOL=RAI&amp;VAR:INDEX=0"}</definedName>
    <definedName name="_3737">#REF!</definedName>
    <definedName name="_3738">#REF!</definedName>
    <definedName name="_374__FDSAUDITLINK__" localSheetId="0" hidden="1">{"fdsup://directions/FAT Viewer?action=UPDATE&amp;creator=factset&amp;DYN_ARGS=TRUE&amp;DOC_NAME=FAT:FQL_AUDITING_CLIENT_TEMPLATE.FAT&amp;display_string=Audit&amp;VAR:KEY=RENMXUHGHW&amp;VAR:QUERY=RkZfRElWX1lMRChBTk4sMi8wNS8wNCwyLzA1LzA0KQ==&amp;WINDOW=FIRST_POPUP&amp;HEIGHT=450&amp;WIDTH=450&amp;","START_MAXIMIZED=FALSE&amp;VAR:CALENDAR=US&amp;VAR:SYMBOL=RAI&amp;VAR:INDEX=0"}</definedName>
    <definedName name="_374__FDSAUDITLINK__" hidden="1">{"fdsup://directions/FAT Viewer?action=UPDATE&amp;creator=factset&amp;DYN_ARGS=TRUE&amp;DOC_NAME=FAT:FQL_AUDITING_CLIENT_TEMPLATE.FAT&amp;display_string=Audit&amp;VAR:KEY=RENMXUHGHW&amp;VAR:QUERY=RkZfRElWX1lMRChBTk4sMi8wNS8wNCwyLzA1LzA0KQ==&amp;WINDOW=FIRST_POPUP&amp;HEIGHT=450&amp;WIDTH=450&amp;","START_MAXIMIZED=FALSE&amp;VAR:CALENDAR=US&amp;VAR:SYMBOL=RAI&amp;VAR:INDEX=0"}</definedName>
    <definedName name="_3740">#REF!</definedName>
    <definedName name="_3741">#REF!</definedName>
    <definedName name="_3743">#REF!</definedName>
    <definedName name="_3744">#REF!</definedName>
    <definedName name="_375__FDSAUDITLINK__" localSheetId="0" hidden="1">{"fdsup://directions/FAT Viewer?action=UPDATE&amp;creator=factset&amp;DYN_ARGS=TRUE&amp;DOC_NAME=FAT:FQL_AUDITING_CLIENT_TEMPLATE.FAT&amp;display_string=Audit&amp;VAR:KEY=HCJILGFMTM&amp;VAR:QUERY=RkZfRElWX1lMRChBTk4sMS8yOS8wNCwxLzI5LzA0KQ==&amp;WINDOW=FIRST_POPUP&amp;HEIGHT=450&amp;WIDTH=450&amp;","START_MAXIMIZED=FALSE&amp;VAR:CALENDAR=US&amp;VAR:SYMBOL=RAI&amp;VAR:INDEX=0"}</definedName>
    <definedName name="_375__FDSAUDITLINK__" hidden="1">{"fdsup://directions/FAT Viewer?action=UPDATE&amp;creator=factset&amp;DYN_ARGS=TRUE&amp;DOC_NAME=FAT:FQL_AUDITING_CLIENT_TEMPLATE.FAT&amp;display_string=Audit&amp;VAR:KEY=HCJILGFMTM&amp;VAR:QUERY=RkZfRElWX1lMRChBTk4sMS8yOS8wNCwxLzI5LzA0KQ==&amp;WINDOW=FIRST_POPUP&amp;HEIGHT=450&amp;WIDTH=450&amp;","START_MAXIMIZED=FALSE&amp;VAR:CALENDAR=US&amp;VAR:SYMBOL=RAI&amp;VAR:INDEX=0"}</definedName>
    <definedName name="_376__FDSAUDITLINK__" localSheetId="0" hidden="1">{"fdsup://directions/FAT Viewer?action=UPDATE&amp;creator=factset&amp;DYN_ARGS=TRUE&amp;DOC_NAME=FAT:FQL_AUDITING_CLIENT_TEMPLATE.FAT&amp;display_string=Audit&amp;VAR:KEY=RYTABGBQLC&amp;VAR:QUERY=RkZfRElWX1lMRChBTk4sMS8yMi8wNCwxLzIyLzA0KQ==&amp;WINDOW=FIRST_POPUP&amp;HEIGHT=450&amp;WIDTH=450&amp;","START_MAXIMIZED=FALSE&amp;VAR:CALENDAR=US&amp;VAR:SYMBOL=RAI&amp;VAR:INDEX=0"}</definedName>
    <definedName name="_376__FDSAUDITLINK__" hidden="1">{"fdsup://directions/FAT Viewer?action=UPDATE&amp;creator=factset&amp;DYN_ARGS=TRUE&amp;DOC_NAME=FAT:FQL_AUDITING_CLIENT_TEMPLATE.FAT&amp;display_string=Audit&amp;VAR:KEY=RYTABGBQLC&amp;VAR:QUERY=RkZfRElWX1lMRChBTk4sMS8yMi8wNCwxLzIyLzA0KQ==&amp;WINDOW=FIRST_POPUP&amp;HEIGHT=450&amp;WIDTH=450&amp;","START_MAXIMIZED=FALSE&amp;VAR:CALENDAR=US&amp;VAR:SYMBOL=RAI&amp;VAR:INDEX=0"}</definedName>
    <definedName name="_377">#REF!</definedName>
    <definedName name="_377__FDSAUDITLINK__" localSheetId="0" hidden="1">{"fdsup://directions/FAT Viewer?action=UPDATE&amp;creator=factset&amp;DYN_ARGS=TRUE&amp;DOC_NAME=FAT:FQL_AUDITING_CLIENT_TEMPLATE.FAT&amp;display_string=Audit&amp;VAR:KEY=BETETGDUZE&amp;VAR:QUERY=RkZfRElWX1lMRChBTk4sMS8xNS8wNCwxLzE1LzA0KQ==&amp;WINDOW=FIRST_POPUP&amp;HEIGHT=450&amp;WIDTH=450&amp;","START_MAXIMIZED=FALSE&amp;VAR:CALENDAR=US&amp;VAR:SYMBOL=RAI&amp;VAR:INDEX=0"}</definedName>
    <definedName name="_377__FDSAUDITLINK__" hidden="1">{"fdsup://directions/FAT Viewer?action=UPDATE&amp;creator=factset&amp;DYN_ARGS=TRUE&amp;DOC_NAME=FAT:FQL_AUDITING_CLIENT_TEMPLATE.FAT&amp;display_string=Audit&amp;VAR:KEY=BETETGDUZE&amp;VAR:QUERY=RkZfRElWX1lMRChBTk4sMS8xNS8wNCwxLzE1LzA0KQ==&amp;WINDOW=FIRST_POPUP&amp;HEIGHT=450&amp;WIDTH=450&amp;","START_MAXIMIZED=FALSE&amp;VAR:CALENDAR=US&amp;VAR:SYMBOL=RAI&amp;VAR:INDEX=0"}</definedName>
    <definedName name="_378__FDSAUDITLINK__" localSheetId="0" hidden="1">{"fdsup://directions/FAT Viewer?action=UPDATE&amp;creator=factset&amp;DYN_ARGS=TRUE&amp;DOC_NAME=FAT:FQL_AUDITING_CLIENT_TEMPLATE.FAT&amp;display_string=Audit&amp;VAR:KEY=JIPCBWXMBA&amp;VAR:QUERY=RkZfRElWX1lMRChBTk4sMS8wOC8wNCwxLzA4LzA0KQ==&amp;WINDOW=FIRST_POPUP&amp;HEIGHT=450&amp;WIDTH=450&amp;","START_MAXIMIZED=FALSE&amp;VAR:CALENDAR=US&amp;VAR:SYMBOL=RAI&amp;VAR:INDEX=0"}</definedName>
    <definedName name="_378__FDSAUDITLINK__" hidden="1">{"fdsup://directions/FAT Viewer?action=UPDATE&amp;creator=factset&amp;DYN_ARGS=TRUE&amp;DOC_NAME=FAT:FQL_AUDITING_CLIENT_TEMPLATE.FAT&amp;display_string=Audit&amp;VAR:KEY=JIPCBWXMBA&amp;VAR:QUERY=RkZfRElWX1lMRChBTk4sMS8wOC8wNCwxLzA4LzA0KQ==&amp;WINDOW=FIRST_POPUP&amp;HEIGHT=450&amp;WIDTH=450&amp;","START_MAXIMIZED=FALSE&amp;VAR:CALENDAR=US&amp;VAR:SYMBOL=RAI&amp;VAR:INDEX=0"}</definedName>
    <definedName name="_379__FDSAUDITLINK__" localSheetId="0" hidden="1">{"fdsup://directions/FAT Viewer?action=UPDATE&amp;creator=factset&amp;DYN_ARGS=TRUE&amp;DOC_NAME=FAT:FQL_AUDITING_CLIENT_TEMPLATE.FAT&amp;display_string=Audit&amp;VAR:KEY=HWJKBOTIFI&amp;VAR:QUERY=RkZfRElWX1lMRChBTk4sMTIvMzEvMDMsMTIvMzEvMDMp&amp;WINDOW=FIRST_POPUP&amp;HEIGHT=450&amp;WIDTH=450&amp;","START_MAXIMIZED=FALSE&amp;VAR:CALENDAR=US&amp;VAR:SYMBOL=RAI&amp;VAR:INDEX=0"}</definedName>
    <definedName name="_379__FDSAUDITLINK__" hidden="1">{"fdsup://directions/FAT Viewer?action=UPDATE&amp;creator=factset&amp;DYN_ARGS=TRUE&amp;DOC_NAME=FAT:FQL_AUDITING_CLIENT_TEMPLATE.FAT&amp;display_string=Audit&amp;VAR:KEY=HWJKBOTIFI&amp;VAR:QUERY=RkZfRElWX1lMRChBTk4sMTIvMzEvMDMsMTIvMzEvMDMp&amp;WINDOW=FIRST_POPUP&amp;HEIGHT=450&amp;WIDTH=450&amp;","START_MAXIMIZED=FALSE&amp;VAR:CALENDAR=US&amp;VAR:SYMBOL=RAI&amp;VAR:INDEX=0"}</definedName>
    <definedName name="_38_????1_3">#REF!</definedName>
    <definedName name="_38______NOTE10_12">#REF!</definedName>
    <definedName name="_38__123Graph_ATAX_CREDIT">#REF!</definedName>
    <definedName name="_38__123Graph_CCHART_8">#REF!</definedName>
    <definedName name="_38__123Graph_DQRE_S_BY_CO.">#REF!</definedName>
    <definedName name="_38__123Graph_FSUPPLIES_BY_B_U">#REF!</definedName>
    <definedName name="_38__123Graph_XChart_2A" hidden="1">#REF!</definedName>
    <definedName name="_38__123Graph_XQRE_S_BY_TYPE">#REF!</definedName>
    <definedName name="_38__123Graph_XSUPPLIES_BY_B_U">#REF!</definedName>
    <definedName name="_38__FDSAUDITLINK__" localSheetId="0" hidden="1">{"fdsup://directions/FAT Viewer?action=UPDATE&amp;creator=factset&amp;DYN_ARGS=TRUE&amp;DOC_NAME=FAT:FQL_AUDITING_CLIENT_TEMPLATE.FAT&amp;display_string=Audit&amp;VAR:KEY=BAJQNGFQJQ&amp;VAR:QUERY=RkZfREVCVChBTk4sMCk=&amp;WINDOW=FIRST_POPUP&amp;HEIGHT=450&amp;WIDTH=450&amp;START_MAXIMIZED=FALSE&amp;VA","R:CALENDAR=US&amp;VAR:SYMBOL=BUD&amp;VAR:INDEX=0"}</definedName>
    <definedName name="_38__FDSAUDITLINK__" hidden="1">{"fdsup://directions/FAT Viewer?action=UPDATE&amp;creator=factset&amp;DYN_ARGS=TRUE&amp;DOC_NAME=FAT:FQL_AUDITING_CLIENT_TEMPLATE.FAT&amp;display_string=Audit&amp;VAR:KEY=BAJQNGFQJQ&amp;VAR:QUERY=RkZfREVCVChBTk4sMCk=&amp;WINDOW=FIRST_POPUP&amp;HEIGHT=450&amp;WIDTH=450&amp;START_MAXIMIZED=FALSE&amp;VA","R:CALENDAR=US&amp;VAR:SYMBOL=BUD&amp;VAR:INDEX=0"}</definedName>
    <definedName name="_380__FDSAUDITLINK__" localSheetId="0" hidden="1">{"fdsup://directions/FAT Viewer?action=UPDATE&amp;creator=factset&amp;DYN_ARGS=TRUE&amp;DOC_NAME=FAT:FQL_AUDITING_CLIENT_TEMPLATE.FAT&amp;display_string=Audit&amp;VAR:KEY=PYDKPIPIDY&amp;VAR:QUERY=RkZfRElWX1lMRChBTk4sMTIvMjQvMDMsMTIvMjQvMDMp&amp;WINDOW=FIRST_POPUP&amp;HEIGHT=450&amp;WIDTH=450&amp;","START_MAXIMIZED=FALSE&amp;VAR:CALENDAR=US&amp;VAR:SYMBOL=RAI&amp;VAR:INDEX=0"}</definedName>
    <definedName name="_380__FDSAUDITLINK__" hidden="1">{"fdsup://directions/FAT Viewer?action=UPDATE&amp;creator=factset&amp;DYN_ARGS=TRUE&amp;DOC_NAME=FAT:FQL_AUDITING_CLIENT_TEMPLATE.FAT&amp;display_string=Audit&amp;VAR:KEY=PYDKPIPIDY&amp;VAR:QUERY=RkZfRElWX1lMRChBTk4sMTIvMjQvMDMsMTIvMjQvMDMp&amp;WINDOW=FIRST_POPUP&amp;HEIGHT=450&amp;WIDTH=450&amp;","START_MAXIMIZED=FALSE&amp;VAR:CALENDAR=US&amp;VAR:SYMBOL=RAI&amp;VAR:INDEX=0"}</definedName>
    <definedName name="_381">#REF!</definedName>
    <definedName name="_381__FDSAUDITLINK__" localSheetId="0" hidden="1">{"fdsup://directions/FAT Viewer?action=UPDATE&amp;creator=factset&amp;DYN_ARGS=TRUE&amp;DOC_NAME=FAT:FQL_AUDITING_CLIENT_TEMPLATE.FAT&amp;display_string=Audit&amp;VAR:KEY=NQZAJETEFI&amp;VAR:QUERY=RkZfRElWX1lMRChBTk4sMTIvMTgvMDMsMTIvMTgvMDMp&amp;WINDOW=FIRST_POPUP&amp;HEIGHT=450&amp;WIDTH=450&amp;","START_MAXIMIZED=FALSE&amp;VAR:CALENDAR=US&amp;VAR:SYMBOL=RAI&amp;VAR:INDEX=0"}</definedName>
    <definedName name="_381__FDSAUDITLINK__" hidden="1">{"fdsup://directions/FAT Viewer?action=UPDATE&amp;creator=factset&amp;DYN_ARGS=TRUE&amp;DOC_NAME=FAT:FQL_AUDITING_CLIENT_TEMPLATE.FAT&amp;display_string=Audit&amp;VAR:KEY=NQZAJETEFI&amp;VAR:QUERY=RkZfRElWX1lMRChBTk4sMTIvMTgvMDMsMTIvMTgvMDMp&amp;WINDOW=FIRST_POPUP&amp;HEIGHT=450&amp;WIDTH=450&amp;","START_MAXIMIZED=FALSE&amp;VAR:CALENDAR=US&amp;VAR:SYMBOL=RAI&amp;VAR:INDEX=0"}</definedName>
    <definedName name="_382">#REF!</definedName>
    <definedName name="_382__FDSAUDITLINK__" localSheetId="0" hidden="1">{"fdsup://directions/FAT Viewer?action=UPDATE&amp;creator=factset&amp;DYN_ARGS=TRUE&amp;DOC_NAME=FAT:FQL_AUDITING_CLIENT_TEMPLATE.FAT&amp;display_string=Audit&amp;VAR:KEY=LOFYFUBEFQ&amp;VAR:QUERY=RkZfRElWX1lMRChBTk4sMTIvMTEvMDMsMTIvMTEvMDMp&amp;WINDOW=FIRST_POPUP&amp;HEIGHT=450&amp;WIDTH=450&amp;","START_MAXIMIZED=FALSE&amp;VAR:CALENDAR=US&amp;VAR:SYMBOL=RAI&amp;VAR:INDEX=0"}</definedName>
    <definedName name="_382__FDSAUDITLINK__" hidden="1">{"fdsup://directions/FAT Viewer?action=UPDATE&amp;creator=factset&amp;DYN_ARGS=TRUE&amp;DOC_NAME=FAT:FQL_AUDITING_CLIENT_TEMPLATE.FAT&amp;display_string=Audit&amp;VAR:KEY=LOFYFUBEFQ&amp;VAR:QUERY=RkZfRElWX1lMRChBTk4sMTIvMTEvMDMsMTIvMTEvMDMp&amp;WINDOW=FIRST_POPUP&amp;HEIGHT=450&amp;WIDTH=450&amp;","START_MAXIMIZED=FALSE&amp;VAR:CALENDAR=US&amp;VAR:SYMBOL=RAI&amp;VAR:INDEX=0"}</definedName>
    <definedName name="_383">#REF!</definedName>
    <definedName name="_383__FDSAUDITLINK__" localSheetId="0" hidden="1">{"fdsup://directions/FAT Viewer?action=UPDATE&amp;creator=factset&amp;DYN_ARGS=TRUE&amp;DOC_NAME=FAT:FQL_AUDITING_CLIENT_TEMPLATE.FAT&amp;display_string=Audit&amp;VAR:KEY=XQNUVGJQXY&amp;VAR:QUERY=RkZfRElWX1lMRChBTk4sMTIvMDQvMDMsMTIvMDQvMDMp&amp;WINDOW=FIRST_POPUP&amp;HEIGHT=450&amp;WIDTH=450&amp;","START_MAXIMIZED=FALSE&amp;VAR:CALENDAR=US&amp;VAR:SYMBOL=RAI&amp;VAR:INDEX=0"}</definedName>
    <definedName name="_383__FDSAUDITLINK__" hidden="1">{"fdsup://directions/FAT Viewer?action=UPDATE&amp;creator=factset&amp;DYN_ARGS=TRUE&amp;DOC_NAME=FAT:FQL_AUDITING_CLIENT_TEMPLATE.FAT&amp;display_string=Audit&amp;VAR:KEY=XQNUVGJQXY&amp;VAR:QUERY=RkZfRElWX1lMRChBTk4sMTIvMDQvMDMsMTIvMDQvMDMp&amp;WINDOW=FIRST_POPUP&amp;HEIGHT=450&amp;WIDTH=450&amp;","START_MAXIMIZED=FALSE&amp;VAR:CALENDAR=US&amp;VAR:SYMBOL=RAI&amp;VAR:INDEX=0"}</definedName>
    <definedName name="_384">#REF!</definedName>
    <definedName name="_384__FDSAUDITLINK__" localSheetId="0" hidden="1">{"fdsup://directions/FAT Viewer?action=UPDATE&amp;creator=factset&amp;DYN_ARGS=TRUE&amp;DOC_NAME=FAT:FQL_AUDITING_CLIENT_TEMPLATE.FAT&amp;display_string=Audit&amp;VAR:KEY=PYZYPMBILS&amp;VAR:QUERY=RkZfRElWX1lMRChBTk4sMTEvMjYvMDMsMTEvMjYvMDMp&amp;WINDOW=FIRST_POPUP&amp;HEIGHT=450&amp;WIDTH=450&amp;","START_MAXIMIZED=FALSE&amp;VAR:CALENDAR=US&amp;VAR:SYMBOL=RAI&amp;VAR:INDEX=0"}</definedName>
    <definedName name="_384__FDSAUDITLINK__" hidden="1">{"fdsup://directions/FAT Viewer?action=UPDATE&amp;creator=factset&amp;DYN_ARGS=TRUE&amp;DOC_NAME=FAT:FQL_AUDITING_CLIENT_TEMPLATE.FAT&amp;display_string=Audit&amp;VAR:KEY=PYZYPMBILS&amp;VAR:QUERY=RkZfRElWX1lMRChBTk4sMTEvMjYvMDMsMTEvMjYvMDMp&amp;WINDOW=FIRST_POPUP&amp;HEIGHT=450&amp;WIDTH=450&amp;","START_MAXIMIZED=FALSE&amp;VAR:CALENDAR=US&amp;VAR:SYMBOL=RAI&amp;VAR:INDEX=0"}</definedName>
    <definedName name="_385">#REF!</definedName>
    <definedName name="_385__FDSAUDITLINK__" localSheetId="0" hidden="1">{"fdsup://directions/FAT Viewer?action=UPDATE&amp;creator=factset&amp;DYN_ARGS=TRUE&amp;DOC_NAME=FAT:FQL_AUDITING_CLIENT_TEMPLATE.FAT&amp;display_string=Audit&amp;VAR:KEY=JEDCBCXOTU&amp;VAR:QUERY=RkZfRElWX1lMRChBTk4sMTEvMjAvMDMsMTEvMjAvMDMp&amp;WINDOW=FIRST_POPUP&amp;HEIGHT=450&amp;WIDTH=450&amp;","START_MAXIMIZED=FALSE&amp;VAR:CALENDAR=US&amp;VAR:SYMBOL=RAI&amp;VAR:INDEX=0"}</definedName>
    <definedName name="_385__FDSAUDITLINK__" hidden="1">{"fdsup://directions/FAT Viewer?action=UPDATE&amp;creator=factset&amp;DYN_ARGS=TRUE&amp;DOC_NAME=FAT:FQL_AUDITING_CLIENT_TEMPLATE.FAT&amp;display_string=Audit&amp;VAR:KEY=JEDCBCXOTU&amp;VAR:QUERY=RkZfRElWX1lMRChBTk4sMTEvMjAvMDMsMTEvMjAvMDMp&amp;WINDOW=FIRST_POPUP&amp;HEIGHT=450&amp;WIDTH=450&amp;","START_MAXIMIZED=FALSE&amp;VAR:CALENDAR=US&amp;VAR:SYMBOL=RAI&amp;VAR:INDEX=0"}</definedName>
    <definedName name="_386">#REF!</definedName>
    <definedName name="_386__FDSAUDITLINK__" localSheetId="0" hidden="1">{"fdsup://directions/FAT Viewer?action=UPDATE&amp;creator=factset&amp;DYN_ARGS=TRUE&amp;DOC_NAME=FAT:FQL_AUDITING_CLIENT_TEMPLATE.FAT&amp;display_string=Audit&amp;VAR:KEY=DABULIDUFK&amp;VAR:QUERY=RkZfRElWX1lMRChBTk4sMTEvMTMvMDMsMTEvMTMvMDMp&amp;WINDOW=FIRST_POPUP&amp;HEIGHT=450&amp;WIDTH=450&amp;","START_MAXIMIZED=FALSE&amp;VAR:CALENDAR=US&amp;VAR:SYMBOL=RAI&amp;VAR:INDEX=0"}</definedName>
    <definedName name="_386__FDSAUDITLINK__" hidden="1">{"fdsup://directions/FAT Viewer?action=UPDATE&amp;creator=factset&amp;DYN_ARGS=TRUE&amp;DOC_NAME=FAT:FQL_AUDITING_CLIENT_TEMPLATE.FAT&amp;display_string=Audit&amp;VAR:KEY=DABULIDUFK&amp;VAR:QUERY=RkZfRElWX1lMRChBTk4sMTEvMTMvMDMsMTEvMTMvMDMp&amp;WINDOW=FIRST_POPUP&amp;HEIGHT=450&amp;WIDTH=450&amp;","START_MAXIMIZED=FALSE&amp;VAR:CALENDAR=US&amp;VAR:SYMBOL=RAI&amp;VAR:INDEX=0"}</definedName>
    <definedName name="_387">#REF!</definedName>
    <definedName name="_387__FDSAUDITLINK__" localSheetId="0" hidden="1">{"fdsup://directions/FAT Viewer?action=UPDATE&amp;creator=factset&amp;DYN_ARGS=TRUE&amp;DOC_NAME=FAT:FQL_AUDITING_CLIENT_TEMPLATE.FAT&amp;display_string=Audit&amp;VAR:KEY=ZYRKNKHALY&amp;VAR:QUERY=RkZfRElWX1lMRChBTk4sMTEvMDYvMDMsMTEvMDYvMDMp&amp;WINDOW=FIRST_POPUP&amp;HEIGHT=450&amp;WIDTH=450&amp;","START_MAXIMIZED=FALSE&amp;VAR:CALENDAR=US&amp;VAR:SYMBOL=RAI&amp;VAR:INDEX=0"}</definedName>
    <definedName name="_387__FDSAUDITLINK__" hidden="1">{"fdsup://directions/FAT Viewer?action=UPDATE&amp;creator=factset&amp;DYN_ARGS=TRUE&amp;DOC_NAME=FAT:FQL_AUDITING_CLIENT_TEMPLATE.FAT&amp;display_string=Audit&amp;VAR:KEY=ZYRKNKHALY&amp;VAR:QUERY=RkZfRElWX1lMRChBTk4sMTEvMDYvMDMsMTEvMDYvMDMp&amp;WINDOW=FIRST_POPUP&amp;HEIGHT=450&amp;WIDTH=450&amp;","START_MAXIMIZED=FALSE&amp;VAR:CALENDAR=US&amp;VAR:SYMBOL=RAI&amp;VAR:INDEX=0"}</definedName>
    <definedName name="_388__FDSAUDITLINK__" localSheetId="0" hidden="1">{"fdsup://directions/FAT Viewer?action=UPDATE&amp;creator=factset&amp;DYN_ARGS=TRUE&amp;DOC_NAME=FAT:FQL_AUDITING_CLIENT_TEMPLATE.FAT&amp;display_string=Audit&amp;VAR:KEY=NSJSVUHKRC&amp;VAR:QUERY=RkZfRElWX1lMRChBTk4sMTAvMzAvMDMsMTAvMzAvMDMp&amp;WINDOW=FIRST_POPUP&amp;HEIGHT=450&amp;WIDTH=450&amp;","START_MAXIMIZED=FALSE&amp;VAR:CALENDAR=US&amp;VAR:SYMBOL=RAI&amp;VAR:INDEX=0"}</definedName>
    <definedName name="_388__FDSAUDITLINK__" hidden="1">{"fdsup://directions/FAT Viewer?action=UPDATE&amp;creator=factset&amp;DYN_ARGS=TRUE&amp;DOC_NAME=FAT:FQL_AUDITING_CLIENT_TEMPLATE.FAT&amp;display_string=Audit&amp;VAR:KEY=NSJSVUHKRC&amp;VAR:QUERY=RkZfRElWX1lMRChBTk4sMTAvMzAvMDMsMTAvMzAvMDMp&amp;WINDOW=FIRST_POPUP&amp;HEIGHT=450&amp;WIDTH=450&amp;","START_MAXIMIZED=FALSE&amp;VAR:CALENDAR=US&amp;VAR:SYMBOL=RAI&amp;VAR:INDEX=0"}</definedName>
    <definedName name="_389__FDSAUDITLINK__" localSheetId="0" hidden="1">{"fdsup://directions/FAT Viewer?action=UPDATE&amp;creator=factset&amp;DYN_ARGS=TRUE&amp;DOC_NAME=FAT:FQL_AUDITING_CLIENT_TEMPLATE.FAT&amp;display_string=Audit&amp;VAR:KEY=LIZGJGRCBA&amp;VAR:QUERY=RkZfRElWX1lMRChBTk4sMTAvMjMvMDMsMTAvMjMvMDMp&amp;WINDOW=FIRST_POPUP&amp;HEIGHT=450&amp;WIDTH=450&amp;","START_MAXIMIZED=FALSE&amp;VAR:CALENDAR=US&amp;VAR:SYMBOL=RAI&amp;VAR:INDEX=0"}</definedName>
    <definedName name="_389__FDSAUDITLINK__" hidden="1">{"fdsup://directions/FAT Viewer?action=UPDATE&amp;creator=factset&amp;DYN_ARGS=TRUE&amp;DOC_NAME=FAT:FQL_AUDITING_CLIENT_TEMPLATE.FAT&amp;display_string=Audit&amp;VAR:KEY=LIZGJGRCBA&amp;VAR:QUERY=RkZfRElWX1lMRChBTk4sMTAvMjMvMDMsMTAvMjMvMDMp&amp;WINDOW=FIRST_POPUP&amp;HEIGHT=450&amp;WIDTH=450&amp;","START_MAXIMIZED=FALSE&amp;VAR:CALENDAR=US&amp;VAR:SYMBOL=RAI&amp;VAR:INDEX=0"}</definedName>
    <definedName name="_38main_form_account_grants_list_25_j_id1022">#REF!</definedName>
    <definedName name="_39______NOTE1_3">#REF!</definedName>
    <definedName name="_39__123Graph_AWAGES_BY_B_U">#REF!</definedName>
    <definedName name="_39__123Graph_BGROWTH_REVS_A" hidden="1">#REF!</definedName>
    <definedName name="_39__123Graph_CCONTRACT_BY_B_U">#REF!</definedName>
    <definedName name="_39__123Graph_DCONTRACT_BY_B_U">#REF!</definedName>
    <definedName name="_39__123Graph_DQRE_S_BY_CO.">#REF!</definedName>
    <definedName name="_39__123Graph_FWAGES_BY_B_U">#REF!</definedName>
    <definedName name="_39__123Graph_XCHART_30" hidden="1">#REF!</definedName>
    <definedName name="_39__123Graph_XSUPPLIES_BY_B_U">#REF!</definedName>
    <definedName name="_39__123Graph_XTAX_CREDIT">#REF!</definedName>
    <definedName name="_39__FDSAUDITLINK__" localSheetId="0" hidden="1">{"fdsup://directions/FAT Viewer?action=UPDATE&amp;creator=factset&amp;DYN_ARGS=TRUE&amp;DOC_NAME=FAT:FQL_AUDITING_CLIENT_TEMPLATE.FAT&amp;display_string=Audit&amp;VAR:KEY=XIPARWZSLC&amp;VAR:QUERY=RkZfRU5UUlBSX1ZBTF9EQUlMWSgwLCwsLCwnRElMJyk=&amp;WINDOW=FIRST_POPUP&amp;HEIGHT=450&amp;WIDTH=450&amp;","START_MAXIMIZED=FALSE&amp;VAR:CALENDAR=US&amp;VAR:SYMBOL=STZ&amp;VAR:INDEX=0"}</definedName>
    <definedName name="_39__FDSAUDITLINK__" hidden="1">{"fdsup://directions/FAT Viewer?action=UPDATE&amp;creator=factset&amp;DYN_ARGS=TRUE&amp;DOC_NAME=FAT:FQL_AUDITING_CLIENT_TEMPLATE.FAT&amp;display_string=Audit&amp;VAR:KEY=XIPARWZSLC&amp;VAR:QUERY=RkZfRU5UUlBSX1ZBTF9EQUlMWSgwLCwsLCwnRElMJyk=&amp;WINDOW=FIRST_POPUP&amp;HEIGHT=450&amp;WIDTH=450&amp;","START_MAXIMIZED=FALSE&amp;VAR:CALENDAR=US&amp;VAR:SYMBOL=STZ&amp;VAR:INDEX=0"}</definedName>
    <definedName name="_390">#REF!</definedName>
    <definedName name="_390__FDSAUDITLINK__" localSheetId="0" hidden="1">{"fdsup://directions/FAT Viewer?action=UPDATE&amp;creator=factset&amp;DYN_ARGS=TRUE&amp;DOC_NAME=FAT:FQL_AUDITING_CLIENT_TEMPLATE.FAT&amp;display_string=Audit&amp;VAR:KEY=BCFUTCPSLK&amp;VAR:QUERY=RkZfRElWX1lMRChBTk4sMTAvMTYvMDMsMTAvMTYvMDMp&amp;WINDOW=FIRST_POPUP&amp;HEIGHT=450&amp;WIDTH=450&amp;","START_MAXIMIZED=FALSE&amp;VAR:CALENDAR=US&amp;VAR:SYMBOL=RAI&amp;VAR:INDEX=0"}</definedName>
    <definedName name="_390__FDSAUDITLINK__" hidden="1">{"fdsup://directions/FAT Viewer?action=UPDATE&amp;creator=factset&amp;DYN_ARGS=TRUE&amp;DOC_NAME=FAT:FQL_AUDITING_CLIENT_TEMPLATE.FAT&amp;display_string=Audit&amp;VAR:KEY=BCFUTCPSLK&amp;VAR:QUERY=RkZfRElWX1lMRChBTk4sMTAvMTYvMDMsMTAvMTYvMDMp&amp;WINDOW=FIRST_POPUP&amp;HEIGHT=450&amp;WIDTH=450&amp;","START_MAXIMIZED=FALSE&amp;VAR:CALENDAR=US&amp;VAR:SYMBOL=RAI&amp;VAR:INDEX=0"}</definedName>
    <definedName name="_391">#REF!</definedName>
    <definedName name="_391__FDSAUDITLINK__" localSheetId="0" hidden="1">{"fdsup://directions/FAT Viewer?action=UPDATE&amp;creator=factset&amp;DYN_ARGS=TRUE&amp;DOC_NAME=FAT:FQL_AUDITING_CLIENT_TEMPLATE.FAT&amp;display_string=Audit&amp;VAR:KEY=LIXCXYRWDU&amp;VAR:QUERY=RkZfRElWX1lMRChBTk4sMTAvMDkvMDMsMTAvMDkvMDMp&amp;WINDOW=FIRST_POPUP&amp;HEIGHT=450&amp;WIDTH=450&amp;","START_MAXIMIZED=FALSE&amp;VAR:CALENDAR=US&amp;VAR:SYMBOL=RAI&amp;VAR:INDEX=0"}</definedName>
    <definedName name="_391__FDSAUDITLINK__" hidden="1">{"fdsup://directions/FAT Viewer?action=UPDATE&amp;creator=factset&amp;DYN_ARGS=TRUE&amp;DOC_NAME=FAT:FQL_AUDITING_CLIENT_TEMPLATE.FAT&amp;display_string=Audit&amp;VAR:KEY=LIXCXYRWDU&amp;VAR:QUERY=RkZfRElWX1lMRChBTk4sMTAvMDkvMDMsMTAvMDkvMDMp&amp;WINDOW=FIRST_POPUP&amp;HEIGHT=450&amp;WIDTH=450&amp;","START_MAXIMIZED=FALSE&amp;VAR:CALENDAR=US&amp;VAR:SYMBOL=RAI&amp;VAR:INDEX=0"}</definedName>
    <definedName name="_392">#REF!</definedName>
    <definedName name="_392__FDSAUDITLINK__" localSheetId="0" hidden="1">{"fdsup://directions/FAT Viewer?action=UPDATE&amp;creator=factset&amp;DYN_ARGS=TRUE&amp;DOC_NAME=FAT:FQL_AUDITING_CLIENT_TEMPLATE.FAT&amp;display_string=Audit&amp;VAR:KEY=XQRSZAFELE&amp;VAR:QUERY=RkZfRElWX1lMRChBTk4sMTAvMDIvMDMsMTAvMDIvMDMp&amp;WINDOW=FIRST_POPUP&amp;HEIGHT=450&amp;WIDTH=450&amp;","START_MAXIMIZED=FALSE&amp;VAR:CALENDAR=US&amp;VAR:SYMBOL=RAI&amp;VAR:INDEX=0"}</definedName>
    <definedName name="_392__FDSAUDITLINK__" hidden="1">{"fdsup://directions/FAT Viewer?action=UPDATE&amp;creator=factset&amp;DYN_ARGS=TRUE&amp;DOC_NAME=FAT:FQL_AUDITING_CLIENT_TEMPLATE.FAT&amp;display_string=Audit&amp;VAR:KEY=XQRSZAFELE&amp;VAR:QUERY=RkZfRElWX1lMRChBTk4sMTAvMDIvMDMsMTAvMDIvMDMp&amp;WINDOW=FIRST_POPUP&amp;HEIGHT=450&amp;WIDTH=450&amp;","START_MAXIMIZED=FALSE&amp;VAR:CALENDAR=US&amp;VAR:SYMBOL=RAI&amp;VAR:INDEX=0"}</definedName>
    <definedName name="_393">#REF!</definedName>
    <definedName name="_393__FDSAUDITLINK__" localSheetId="0" hidden="1">{"fdsup://directions/FAT Viewer?action=UPDATE&amp;creator=factset&amp;DYN_ARGS=TRUE&amp;DOC_NAME=FAT:FQL_AUDITING_CLIENT_TEMPLATE.FAT&amp;display_string=Audit&amp;VAR:KEY=TMRCTYFABG&amp;VAR:QUERY=RkZfRElWX1lMRChBTk4sOS8yNS8wMyw5LzI1LzAzKQ==&amp;WINDOW=FIRST_POPUP&amp;HEIGHT=450&amp;WIDTH=450&amp;","START_MAXIMIZED=FALSE&amp;VAR:CALENDAR=US&amp;VAR:SYMBOL=RAI&amp;VAR:INDEX=0"}</definedName>
    <definedName name="_393__FDSAUDITLINK__" hidden="1">{"fdsup://directions/FAT Viewer?action=UPDATE&amp;creator=factset&amp;DYN_ARGS=TRUE&amp;DOC_NAME=FAT:FQL_AUDITING_CLIENT_TEMPLATE.FAT&amp;display_string=Audit&amp;VAR:KEY=TMRCTYFABG&amp;VAR:QUERY=RkZfRElWX1lMRChBTk4sOS8yNS8wMyw5LzI1LzAzKQ==&amp;WINDOW=FIRST_POPUP&amp;HEIGHT=450&amp;WIDTH=450&amp;","START_MAXIMIZED=FALSE&amp;VAR:CALENDAR=US&amp;VAR:SYMBOL=RAI&amp;VAR:INDEX=0"}</definedName>
    <definedName name="_394">#REF!</definedName>
    <definedName name="_394__FDSAUDITLINK__" localSheetId="0" hidden="1">{"fdsup://directions/FAT Viewer?action=UPDATE&amp;creator=factset&amp;DYN_ARGS=TRUE&amp;DOC_NAME=FAT:FQL_AUDITING_CLIENT_TEMPLATE.FAT&amp;display_string=Audit&amp;VAR:KEY=DQFKDOZUPI&amp;VAR:QUERY=RkZfRElWX1lMRChBTk4sOS8xOC8wMyw5LzE4LzAzKQ==&amp;WINDOW=FIRST_POPUP&amp;HEIGHT=450&amp;WIDTH=450&amp;","START_MAXIMIZED=FALSE&amp;VAR:CALENDAR=US&amp;VAR:SYMBOL=RAI&amp;VAR:INDEX=0"}</definedName>
    <definedName name="_394__FDSAUDITLINK__" hidden="1">{"fdsup://directions/FAT Viewer?action=UPDATE&amp;creator=factset&amp;DYN_ARGS=TRUE&amp;DOC_NAME=FAT:FQL_AUDITING_CLIENT_TEMPLATE.FAT&amp;display_string=Audit&amp;VAR:KEY=DQFKDOZUPI&amp;VAR:QUERY=RkZfRElWX1lMRChBTk4sOS8xOC8wMyw5LzE4LzAzKQ==&amp;WINDOW=FIRST_POPUP&amp;HEIGHT=450&amp;WIDTH=450&amp;","START_MAXIMIZED=FALSE&amp;VAR:CALENDAR=US&amp;VAR:SYMBOL=RAI&amp;VAR:INDEX=0"}</definedName>
    <definedName name="_395">#REF!</definedName>
    <definedName name="_395__FDSAUDITLINK__" localSheetId="0" hidden="1">{"fdsup://directions/FAT Viewer?action=UPDATE&amp;creator=factset&amp;DYN_ARGS=TRUE&amp;DOC_NAME=FAT:FQL_AUDITING_CLIENT_TEMPLATE.FAT&amp;display_string=Audit&amp;VAR:KEY=VSDKFQTYRU&amp;VAR:QUERY=RkZfRElWX1lMRChBTk4sOS8xMS8wMyw5LzExLzAzKQ==&amp;WINDOW=FIRST_POPUP&amp;HEIGHT=450&amp;WIDTH=450&amp;","START_MAXIMIZED=FALSE&amp;VAR:CALENDAR=US&amp;VAR:SYMBOL=RAI&amp;VAR:INDEX=0"}</definedName>
    <definedName name="_395__FDSAUDITLINK__" hidden="1">{"fdsup://directions/FAT Viewer?action=UPDATE&amp;creator=factset&amp;DYN_ARGS=TRUE&amp;DOC_NAME=FAT:FQL_AUDITING_CLIENT_TEMPLATE.FAT&amp;display_string=Audit&amp;VAR:KEY=VSDKFQTYRU&amp;VAR:QUERY=RkZfRElWX1lMRChBTk4sOS8xMS8wMyw5LzExLzAzKQ==&amp;WINDOW=FIRST_POPUP&amp;HEIGHT=450&amp;WIDTH=450&amp;","START_MAXIMIZED=FALSE&amp;VAR:CALENDAR=US&amp;VAR:SYMBOL=RAI&amp;VAR:INDEX=0"}</definedName>
    <definedName name="_396">#REF!</definedName>
    <definedName name="_396__FDSAUDITLINK__" localSheetId="0" hidden="1">{"fdsup://directions/FAT Viewer?action=UPDATE&amp;creator=factset&amp;DYN_ARGS=TRUE&amp;DOC_NAME=FAT:FQL_AUDITING_CLIENT_TEMPLATE.FAT&amp;display_string=Audit&amp;VAR:KEY=TCZAHCPYBK&amp;VAR:QUERY=RkZfRElWX1lMRChBTk4sOS8wNC8wMyw5LzA0LzAzKQ==&amp;WINDOW=FIRST_POPUP&amp;HEIGHT=450&amp;WIDTH=450&amp;","START_MAXIMIZED=FALSE&amp;VAR:CALENDAR=US&amp;VAR:SYMBOL=RAI&amp;VAR:INDEX=0"}</definedName>
    <definedName name="_396__FDSAUDITLINK__" hidden="1">{"fdsup://directions/FAT Viewer?action=UPDATE&amp;creator=factset&amp;DYN_ARGS=TRUE&amp;DOC_NAME=FAT:FQL_AUDITING_CLIENT_TEMPLATE.FAT&amp;display_string=Audit&amp;VAR:KEY=TCZAHCPYBK&amp;VAR:QUERY=RkZfRElWX1lMRChBTk4sOS8wNC8wMyw5LzA0LzAzKQ==&amp;WINDOW=FIRST_POPUP&amp;HEIGHT=450&amp;WIDTH=450&amp;","START_MAXIMIZED=FALSE&amp;VAR:CALENDAR=US&amp;VAR:SYMBOL=RAI&amp;VAR:INDEX=0"}</definedName>
    <definedName name="_397__FDSAUDITLINK__" localSheetId="0" hidden="1">{"fdsup://directions/FAT Viewer?action=UPDATE&amp;creator=factset&amp;DYN_ARGS=TRUE&amp;DOC_NAME=FAT:FQL_AUDITING_CLIENT_TEMPLATE.FAT&amp;display_string=Audit&amp;VAR:KEY=NOZYLSXIHO&amp;VAR:QUERY=RkZfRElWX1lMRChBTk4sOC8yOC8wMyw4LzI4LzAzKQ==&amp;WINDOW=FIRST_POPUP&amp;HEIGHT=450&amp;WIDTH=450&amp;","START_MAXIMIZED=FALSE&amp;VAR:CALENDAR=US&amp;VAR:SYMBOL=RAI&amp;VAR:INDEX=0"}</definedName>
    <definedName name="_397__FDSAUDITLINK__" hidden="1">{"fdsup://directions/FAT Viewer?action=UPDATE&amp;creator=factset&amp;DYN_ARGS=TRUE&amp;DOC_NAME=FAT:FQL_AUDITING_CLIENT_TEMPLATE.FAT&amp;display_string=Audit&amp;VAR:KEY=NOZYLSXIHO&amp;VAR:QUERY=RkZfRElWX1lMRChBTk4sOC8yOC8wMyw4LzI4LzAzKQ==&amp;WINDOW=FIRST_POPUP&amp;HEIGHT=450&amp;WIDTH=450&amp;","START_MAXIMIZED=FALSE&amp;VAR:CALENDAR=US&amp;VAR:SYMBOL=RAI&amp;VAR:INDEX=0"}</definedName>
    <definedName name="_398__FDSAUDITLINK__" localSheetId="0" hidden="1">{"fdsup://directions/FAT Viewer?action=UPDATE&amp;creator=factset&amp;DYN_ARGS=TRUE&amp;DOC_NAME=FAT:FQL_AUDITING_CLIENT_TEMPLATE.FAT&amp;display_string=Audit&amp;VAR:KEY=XYTUXYFIBE&amp;VAR:QUERY=RkZfRElWX1lMRChBTk4sOC8yMS8wMyw4LzIxLzAzKQ==&amp;WINDOW=FIRST_POPUP&amp;HEIGHT=450&amp;WIDTH=450&amp;","START_MAXIMIZED=FALSE&amp;VAR:CALENDAR=US&amp;VAR:SYMBOL=RAI&amp;VAR:INDEX=0"}</definedName>
    <definedName name="_398__FDSAUDITLINK__" hidden="1">{"fdsup://directions/FAT Viewer?action=UPDATE&amp;creator=factset&amp;DYN_ARGS=TRUE&amp;DOC_NAME=FAT:FQL_AUDITING_CLIENT_TEMPLATE.FAT&amp;display_string=Audit&amp;VAR:KEY=XYTUXYFIBE&amp;VAR:QUERY=RkZfRElWX1lMRChBTk4sOC8yMS8wMyw4LzIxLzAzKQ==&amp;WINDOW=FIRST_POPUP&amp;HEIGHT=450&amp;WIDTH=450&amp;","START_MAXIMIZED=FALSE&amp;VAR:CALENDAR=US&amp;VAR:SYMBOL=RAI&amp;VAR:INDEX=0"}</definedName>
    <definedName name="_399">#REF!</definedName>
    <definedName name="_399__FDSAUDITLINK__" localSheetId="0" hidden="1">{"fdsup://directions/FAT Viewer?action=UPDATE&amp;creator=factset&amp;DYN_ARGS=TRUE&amp;DOC_NAME=FAT:FQL_AUDITING_CLIENT_TEMPLATE.FAT&amp;display_string=Audit&amp;VAR:KEY=VQDADQJEFS&amp;VAR:QUERY=RkZfRElWX1lMRChBTk4sOC8xNC8wMyw4LzE0LzAzKQ==&amp;WINDOW=FIRST_POPUP&amp;HEIGHT=450&amp;WIDTH=450&amp;","START_MAXIMIZED=FALSE&amp;VAR:CALENDAR=US&amp;VAR:SYMBOL=RAI&amp;VAR:INDEX=0"}</definedName>
    <definedName name="_399__FDSAUDITLINK__" hidden="1">{"fdsup://directions/FAT Viewer?action=UPDATE&amp;creator=factset&amp;DYN_ARGS=TRUE&amp;DOC_NAME=FAT:FQL_AUDITING_CLIENT_TEMPLATE.FAT&amp;display_string=Audit&amp;VAR:KEY=VQDADQJEFS&amp;VAR:QUERY=RkZfRElWX1lMRChBTk4sOC8xNC8wMyw4LzE0LzAzKQ==&amp;WINDOW=FIRST_POPUP&amp;HEIGHT=450&amp;WIDTH=450&amp;","START_MAXIMIZED=FALSE&amp;VAR:CALENDAR=US&amp;VAR:SYMBOL=RAI&amp;VAR:INDEX=0"}</definedName>
    <definedName name="_3item">#REF!</definedName>
    <definedName name="_3M">#REF!</definedName>
    <definedName name="_3MatInverse" hidden="1">#REF!</definedName>
    <definedName name="_3O2_">#REF!</definedName>
    <definedName name="_3S">#REF!</definedName>
    <definedName name="_3Table2_" hidden="1">#REF!</definedName>
    <definedName name="_4">#REF!</definedName>
    <definedName name="_4_????_3">#REF!</definedName>
    <definedName name="_4_??_3">#REF!</definedName>
    <definedName name="_4____________NOTE5_7">#REF!</definedName>
    <definedName name="_4__123Graph_AChart_1I">#REF!</definedName>
    <definedName name="_4__123Graph_ACHART_3">#REF!</definedName>
    <definedName name="_4__123Graph_ACONTRACT_BY_B_U">#REF!</definedName>
    <definedName name="_4__123Graph_AQRE_S_BY_CO.">#REF!</definedName>
    <definedName name="_4__123Graph_ASENS_COMPARISON">#REF!</definedName>
    <definedName name="_4__123Graph_ASUPPLIES_BY_B_U">#REF!</definedName>
    <definedName name="_4__123Graph_BCHART_3">#REF!</definedName>
    <definedName name="_4__123Graph_BQRE_S_BY_TYPE" hidden="1">#REF!</definedName>
    <definedName name="_4__FDSAUDITLINK__" localSheetId="0" hidden="1">{"fdsup://directions/FAT Viewer?action=UPDATE&amp;creator=factset&amp;DYN_ARGS=TRUE&amp;DOC_NAME=FAT:FQL_AUDITING_CLIENT_TEMPLATE.FAT&amp;display_string=Audit&amp;VAR:KEY=CBOVYBQVYB&amp;VAR:QUERY=Q1NGX0RJVl9ZTEQoUVRSX1IsMy8zMS8yMDEwKQ==&amp;WINDOW=FIRST_POPUP&amp;HEIGHT=450&amp;WIDTH=450&amp;STAR","T_MAXIMIZED=FALSE&amp;VAR:CALENDAR=US&amp;VAR:SYMBOL=MO&amp;VAR:INDEX=0"}</definedName>
    <definedName name="_4__FDSAUDITLINK__" hidden="1">{"fdsup://directions/FAT Viewer?action=UPDATE&amp;creator=factset&amp;DYN_ARGS=TRUE&amp;DOC_NAME=FAT:FQL_AUDITING_CLIENT_TEMPLATE.FAT&amp;display_string=Audit&amp;VAR:KEY=CBOVYBQVYB&amp;VAR:QUERY=Q1NGX0RJVl9ZTEQoUVRSX1IsMy8zMS8yMDEwKQ==&amp;WINDOW=FIRST_POPUP&amp;HEIGHT=450&amp;WIDTH=450&amp;STAR","T_MAXIMIZED=FALSE&amp;VAR:CALENDAR=US&amp;VAR:SYMBOL=MO&amp;VAR:INDEX=0"}</definedName>
    <definedName name="_4_0__123Grap" hidden="1">#REF!</definedName>
    <definedName name="_4_0_0_MatInverse" hidden="1">#REF!</definedName>
    <definedName name="_4_0_0Chargeba">#REF!</definedName>
    <definedName name="_4_0_Table2_">#REF!</definedName>
    <definedName name="_4_0TAB">#REF!</definedName>
    <definedName name="_4_0translation_">#REF!</definedName>
    <definedName name="_4_123Graph_FEX">#REF!</definedName>
    <definedName name="_4_15000">#NAME?</definedName>
    <definedName name="_40_??1???_3">#REF!</definedName>
    <definedName name="_40______NOTE5_7">#REF!</definedName>
    <definedName name="_40__123Graph_BCHART_1">#REF!</definedName>
    <definedName name="_40__123Graph_BCONTRACT_BY_B_U">#REF!</definedName>
    <definedName name="_40__123Graph_BSUPPLIES_BY_B_U">#REF!</definedName>
    <definedName name="_40__123Graph_DSUPPLIES_BY_B_U">#REF!</definedName>
    <definedName name="_40__123Graph_XCONTRACT_BY_B_U">#REF!</definedName>
    <definedName name="_40__123Graph_XTAX_CREDIT">#REF!</definedName>
    <definedName name="_40__FDSAUDITLINK__" localSheetId="0" hidden="1">{"fdsup://directions/FAT Viewer?action=UPDATE&amp;creator=factset&amp;DYN_ARGS=TRUE&amp;DOC_NAME=FAT:FQL_AUDITING_CLIENT_TEMPLATE.FAT&amp;display_string=Audit&amp;VAR:KEY=XABCVUPAFK&amp;VAR:QUERY=RkZfRU5UUlBSX1ZBTF9EQUlMWSgwLCwsLCwnRElMJyk=&amp;WINDOW=FIRST_POPUP&amp;HEIGHT=450&amp;WIDTH=450&amp;","START_MAXIMIZED=FALSE&amp;VAR:CALENDAR=US&amp;VAR:SYMBOL=BEAM&amp;VAR:INDEX=0"}</definedName>
    <definedName name="_40__FDSAUDITLINK__" hidden="1">{"fdsup://directions/FAT Viewer?action=UPDATE&amp;creator=factset&amp;DYN_ARGS=TRUE&amp;DOC_NAME=FAT:FQL_AUDITING_CLIENT_TEMPLATE.FAT&amp;display_string=Audit&amp;VAR:KEY=XABCVUPAFK&amp;VAR:QUERY=RkZfRU5UUlBSX1ZBTF9EQUlMWSgwLCwsLCwnRElMJyk=&amp;WINDOW=FIRST_POPUP&amp;HEIGHT=450&amp;WIDTH=450&amp;","START_MAXIMIZED=FALSE&amp;VAR:CALENDAR=US&amp;VAR:SYMBOL=BEAM&amp;VAR:INDEX=0"}</definedName>
    <definedName name="_400">#REF!</definedName>
    <definedName name="_400__FDSAUDITLINK__" localSheetId="0" hidden="1">{"fdsup://directions/FAT Viewer?action=UPDATE&amp;creator=factset&amp;DYN_ARGS=TRUE&amp;DOC_NAME=FAT:FQL_AUDITING_CLIENT_TEMPLATE.FAT&amp;display_string=Audit&amp;VAR:KEY=FAXAXSZILK&amp;VAR:QUERY=RkZfRElWX1lMRChBTk4sOC8wNy8wMyw4LzA3LzAzKQ==&amp;WINDOW=FIRST_POPUP&amp;HEIGHT=450&amp;WIDTH=450&amp;","START_MAXIMIZED=FALSE&amp;VAR:CALENDAR=US&amp;VAR:SYMBOL=RAI&amp;VAR:INDEX=0"}</definedName>
    <definedName name="_400__FDSAUDITLINK__" hidden="1">{"fdsup://directions/FAT Viewer?action=UPDATE&amp;creator=factset&amp;DYN_ARGS=TRUE&amp;DOC_NAME=FAT:FQL_AUDITING_CLIENT_TEMPLATE.FAT&amp;display_string=Audit&amp;VAR:KEY=FAXAXSZILK&amp;VAR:QUERY=RkZfRElWX1lMRChBTk4sOC8wNy8wMyw4LzA3LzAzKQ==&amp;WINDOW=FIRST_POPUP&amp;HEIGHT=450&amp;WIDTH=450&amp;","START_MAXIMIZED=FALSE&amp;VAR:CALENDAR=US&amp;VAR:SYMBOL=RAI&amp;VAR:INDEX=0"}</definedName>
    <definedName name="_401">#REF!</definedName>
    <definedName name="_401__FDSAUDITLINK__" localSheetId="0" hidden="1">{"fdsup://directions/FAT Viewer?action=UPDATE&amp;creator=factset&amp;DYN_ARGS=TRUE&amp;DOC_NAME=FAT:FQL_AUDITING_CLIENT_TEMPLATE.FAT&amp;display_string=Audit&amp;VAR:KEY=LMFARSFYVA&amp;VAR:QUERY=RkZfRElWX1lMRChBTk4sNy8zMS8wMyw3LzMxLzAzKQ==&amp;WINDOW=FIRST_POPUP&amp;HEIGHT=450&amp;WIDTH=450&amp;","START_MAXIMIZED=FALSE&amp;VAR:CALENDAR=US&amp;VAR:SYMBOL=RAI&amp;VAR:INDEX=0"}</definedName>
    <definedName name="_401__FDSAUDITLINK__" hidden="1">{"fdsup://directions/FAT Viewer?action=UPDATE&amp;creator=factset&amp;DYN_ARGS=TRUE&amp;DOC_NAME=FAT:FQL_AUDITING_CLIENT_TEMPLATE.FAT&amp;display_string=Audit&amp;VAR:KEY=LMFARSFYVA&amp;VAR:QUERY=RkZfRElWX1lMRChBTk4sNy8zMS8wMyw3LzMxLzAzKQ==&amp;WINDOW=FIRST_POPUP&amp;HEIGHT=450&amp;WIDTH=450&amp;","START_MAXIMIZED=FALSE&amp;VAR:CALENDAR=US&amp;VAR:SYMBOL=RAI&amp;VAR:INDEX=0"}</definedName>
    <definedName name="_402">#REF!</definedName>
    <definedName name="_402__FDSAUDITLINK__" localSheetId="0" hidden="1">{"fdsup://directions/FAT Viewer?action=UPDATE&amp;creator=factset&amp;DYN_ARGS=TRUE&amp;DOC_NAME=FAT:FQL_AUDITING_CLIENT_TEMPLATE.FAT&amp;display_string=Audit&amp;VAR:KEY=ZUXCTMLGDG&amp;VAR:QUERY=RkZfRElWX1lMRChBTk4sNy8yNC8wMyw3LzI0LzAzKQ==&amp;WINDOW=FIRST_POPUP&amp;HEIGHT=450&amp;WIDTH=450&amp;","START_MAXIMIZED=FALSE&amp;VAR:CALENDAR=US&amp;VAR:SYMBOL=RAI&amp;VAR:INDEX=0"}</definedName>
    <definedName name="_402__FDSAUDITLINK__" hidden="1">{"fdsup://directions/FAT Viewer?action=UPDATE&amp;creator=factset&amp;DYN_ARGS=TRUE&amp;DOC_NAME=FAT:FQL_AUDITING_CLIENT_TEMPLATE.FAT&amp;display_string=Audit&amp;VAR:KEY=ZUXCTMLGDG&amp;VAR:QUERY=RkZfRElWX1lMRChBTk4sNy8yNC8wMyw3LzI0LzAzKQ==&amp;WINDOW=FIRST_POPUP&amp;HEIGHT=450&amp;WIDTH=450&amp;","START_MAXIMIZED=FALSE&amp;VAR:CALENDAR=US&amp;VAR:SYMBOL=RAI&amp;VAR:INDEX=0"}</definedName>
    <definedName name="_403">#REF!</definedName>
    <definedName name="_403__FDSAUDITLINK__" localSheetId="0" hidden="1">{"fdsup://directions/FAT Viewer?action=UPDATE&amp;creator=factset&amp;DYN_ARGS=TRUE&amp;DOC_NAME=FAT:FQL_AUDITING_CLIENT_TEMPLATE.FAT&amp;display_string=Audit&amp;VAR:KEY=JILEZYXSRG&amp;VAR:QUERY=RkZfRElWX1lMRChBTk4sNy8xNy8wMyw3LzE3LzAzKQ==&amp;WINDOW=FIRST_POPUP&amp;HEIGHT=450&amp;WIDTH=450&amp;","START_MAXIMIZED=FALSE&amp;VAR:CALENDAR=US&amp;VAR:SYMBOL=RAI&amp;VAR:INDEX=0"}</definedName>
    <definedName name="_403__FDSAUDITLINK__" hidden="1">{"fdsup://directions/FAT Viewer?action=UPDATE&amp;creator=factset&amp;DYN_ARGS=TRUE&amp;DOC_NAME=FAT:FQL_AUDITING_CLIENT_TEMPLATE.FAT&amp;display_string=Audit&amp;VAR:KEY=JILEZYXSRG&amp;VAR:QUERY=RkZfRElWX1lMRChBTk4sNy8xNy8wMyw3LzE3LzAzKQ==&amp;WINDOW=FIRST_POPUP&amp;HEIGHT=450&amp;WIDTH=450&amp;","START_MAXIMIZED=FALSE&amp;VAR:CALENDAR=US&amp;VAR:SYMBOL=RAI&amp;VAR:INDEX=0"}</definedName>
    <definedName name="_404">#REF!</definedName>
    <definedName name="_404__FDSAUDITLINK__" localSheetId="0" hidden="1">{"fdsup://directions/FAT Viewer?action=UPDATE&amp;creator=factset&amp;DYN_ARGS=TRUE&amp;DOC_NAME=FAT:FQL_AUDITING_CLIENT_TEMPLATE.FAT&amp;display_string=Audit&amp;VAR:KEY=HSDKXQRQFA&amp;VAR:QUERY=RkZfRElWX1lMRChBTk4sNy8xMC8wMyw3LzEwLzAzKQ==&amp;WINDOW=FIRST_POPUP&amp;HEIGHT=450&amp;WIDTH=450&amp;","START_MAXIMIZED=FALSE&amp;VAR:CALENDAR=US&amp;VAR:SYMBOL=RAI&amp;VAR:INDEX=0"}</definedName>
    <definedName name="_404__FDSAUDITLINK__" hidden="1">{"fdsup://directions/FAT Viewer?action=UPDATE&amp;creator=factset&amp;DYN_ARGS=TRUE&amp;DOC_NAME=FAT:FQL_AUDITING_CLIENT_TEMPLATE.FAT&amp;display_string=Audit&amp;VAR:KEY=HSDKXQRQFA&amp;VAR:QUERY=RkZfRElWX1lMRChBTk4sNy8xMC8wMyw3LzEwLzAzKQ==&amp;WINDOW=FIRST_POPUP&amp;HEIGHT=450&amp;WIDTH=450&amp;","START_MAXIMIZED=FALSE&amp;VAR:CALENDAR=US&amp;VAR:SYMBOL=RAI&amp;VAR:INDEX=0"}</definedName>
    <definedName name="_405">#REF!</definedName>
    <definedName name="_405__FDSAUDITLINK__" localSheetId="0" hidden="1">{"fdsup://directions/FAT Viewer?action=UPDATE&amp;creator=factset&amp;DYN_ARGS=TRUE&amp;DOC_NAME=FAT:FQL_AUDITING_CLIENT_TEMPLATE.FAT&amp;display_string=Audit&amp;VAR:KEY=RAVWXIXCLC&amp;VAR:QUERY=RkZfRElWX1lMRChBTk4sNy8wMy8wMyw3LzAzLzAzKQ==&amp;WINDOW=FIRST_POPUP&amp;HEIGHT=450&amp;WIDTH=450&amp;","START_MAXIMIZED=FALSE&amp;VAR:CALENDAR=US&amp;VAR:SYMBOL=RAI&amp;VAR:INDEX=0"}</definedName>
    <definedName name="_405__FDSAUDITLINK__" hidden="1">{"fdsup://directions/FAT Viewer?action=UPDATE&amp;creator=factset&amp;DYN_ARGS=TRUE&amp;DOC_NAME=FAT:FQL_AUDITING_CLIENT_TEMPLATE.FAT&amp;display_string=Audit&amp;VAR:KEY=RAVWXIXCLC&amp;VAR:QUERY=RkZfRElWX1lMRChBTk4sNy8wMy8wMyw3LzAzLzAzKQ==&amp;WINDOW=FIRST_POPUP&amp;HEIGHT=450&amp;WIDTH=450&amp;","START_MAXIMIZED=FALSE&amp;VAR:CALENDAR=US&amp;VAR:SYMBOL=RAI&amp;VAR:INDEX=0"}</definedName>
    <definedName name="_406">#REF!</definedName>
    <definedName name="_406__FDSAUDITLINK__" localSheetId="0" hidden="1">{"fdsup://directions/FAT Viewer?action=UPDATE&amp;creator=factset&amp;DYN_ARGS=TRUE&amp;DOC_NAME=FAT:FQL_AUDITING_CLIENT_TEMPLATE.FAT&amp;display_string=Audit&amp;VAR:KEY=FKRCJWJQFE&amp;VAR:QUERY=RkZfRElWX1lMRChBTk4sNi8yNi8wMyw2LzI2LzAzKQ==&amp;WINDOW=FIRST_POPUP&amp;HEIGHT=450&amp;WIDTH=450&amp;","START_MAXIMIZED=FALSE&amp;VAR:CALENDAR=US&amp;VAR:SYMBOL=RAI&amp;VAR:INDEX=0"}</definedName>
    <definedName name="_406__FDSAUDITLINK__" hidden="1">{"fdsup://directions/FAT Viewer?action=UPDATE&amp;creator=factset&amp;DYN_ARGS=TRUE&amp;DOC_NAME=FAT:FQL_AUDITING_CLIENT_TEMPLATE.FAT&amp;display_string=Audit&amp;VAR:KEY=FKRCJWJQFE&amp;VAR:QUERY=RkZfRElWX1lMRChBTk4sNi8yNi8wMyw2LzI2LzAzKQ==&amp;WINDOW=FIRST_POPUP&amp;HEIGHT=450&amp;WIDTH=450&amp;","START_MAXIMIZED=FALSE&amp;VAR:CALENDAR=US&amp;VAR:SYMBOL=RAI&amp;VAR:INDEX=0"}</definedName>
    <definedName name="_407">#REF!</definedName>
    <definedName name="_407__FDSAUDITLINK__" localSheetId="0" hidden="1">{"fdsup://directions/FAT Viewer?action=UPDATE&amp;creator=factset&amp;DYN_ARGS=TRUE&amp;DOC_NAME=FAT:FQL_AUDITING_CLIENT_TEMPLATE.FAT&amp;display_string=Audit&amp;VAR:KEY=FQNYLYZKXY&amp;VAR:QUERY=RkZfRElWX1lMRChBTk4sNi8xOS8wMyw2LzE5LzAzKQ==&amp;WINDOW=FIRST_POPUP&amp;HEIGHT=450&amp;WIDTH=450&amp;","START_MAXIMIZED=FALSE&amp;VAR:CALENDAR=US&amp;VAR:SYMBOL=RAI&amp;VAR:INDEX=0"}</definedName>
    <definedName name="_407__FDSAUDITLINK__" hidden="1">{"fdsup://directions/FAT Viewer?action=UPDATE&amp;creator=factset&amp;DYN_ARGS=TRUE&amp;DOC_NAME=FAT:FQL_AUDITING_CLIENT_TEMPLATE.FAT&amp;display_string=Audit&amp;VAR:KEY=FQNYLYZKXY&amp;VAR:QUERY=RkZfRElWX1lMRChBTk4sNi8xOS8wMyw2LzE5LzAzKQ==&amp;WINDOW=FIRST_POPUP&amp;HEIGHT=450&amp;WIDTH=450&amp;","START_MAXIMIZED=FALSE&amp;VAR:CALENDAR=US&amp;VAR:SYMBOL=RAI&amp;VAR:INDEX=0"}</definedName>
    <definedName name="_408">#REF!</definedName>
    <definedName name="_408__FDSAUDITLINK__" localSheetId="0" hidden="1">{"fdsup://directions/FAT Viewer?action=UPDATE&amp;creator=factset&amp;DYN_ARGS=TRUE&amp;DOC_NAME=FAT:FQL_AUDITING_CLIENT_TEMPLATE.FAT&amp;display_string=Audit&amp;VAR:KEY=XSNWZCPMDY&amp;VAR:QUERY=RkZfRElWX1lMRChBTk4sNi8xMi8wMyw2LzEyLzAzKQ==&amp;WINDOW=FIRST_POPUP&amp;HEIGHT=450&amp;WIDTH=450&amp;","START_MAXIMIZED=FALSE&amp;VAR:CALENDAR=US&amp;VAR:SYMBOL=RAI&amp;VAR:INDEX=0"}</definedName>
    <definedName name="_408__FDSAUDITLINK__" hidden="1">{"fdsup://directions/FAT Viewer?action=UPDATE&amp;creator=factset&amp;DYN_ARGS=TRUE&amp;DOC_NAME=FAT:FQL_AUDITING_CLIENT_TEMPLATE.FAT&amp;display_string=Audit&amp;VAR:KEY=XSNWZCPMDY&amp;VAR:QUERY=RkZfRElWX1lMRChBTk4sNi8xMi8wMyw2LzEyLzAzKQ==&amp;WINDOW=FIRST_POPUP&amp;HEIGHT=450&amp;WIDTH=450&amp;","START_MAXIMIZED=FALSE&amp;VAR:CALENDAR=US&amp;VAR:SYMBOL=RAI&amp;VAR:INDEX=0"}</definedName>
    <definedName name="_409">#REF!</definedName>
    <definedName name="_409__FDSAUDITLINK__" localSheetId="0" hidden="1">{"fdsup://directions/FAT Viewer?action=UPDATE&amp;creator=factset&amp;DYN_ARGS=TRUE&amp;DOC_NAME=FAT:FQL_AUDITING_CLIENT_TEMPLATE.FAT&amp;display_string=Audit&amp;VAR:KEY=RCXWTGRUZI&amp;VAR:QUERY=RkZfRElWX1lMRChBTk4sNi8wNS8wMyw2LzA1LzAzKQ==&amp;WINDOW=FIRST_POPUP&amp;HEIGHT=450&amp;WIDTH=450&amp;","START_MAXIMIZED=FALSE&amp;VAR:CALENDAR=US&amp;VAR:SYMBOL=RAI&amp;VAR:INDEX=0"}</definedName>
    <definedName name="_409__FDSAUDITLINK__" hidden="1">{"fdsup://directions/FAT Viewer?action=UPDATE&amp;creator=factset&amp;DYN_ARGS=TRUE&amp;DOC_NAME=FAT:FQL_AUDITING_CLIENT_TEMPLATE.FAT&amp;display_string=Audit&amp;VAR:KEY=RCXWTGRUZI&amp;VAR:QUERY=RkZfRElWX1lMRChBTk4sNi8wNS8wMyw2LzA1LzAzKQ==&amp;WINDOW=FIRST_POPUP&amp;HEIGHT=450&amp;WIDTH=450&amp;","START_MAXIMIZED=FALSE&amp;VAR:CALENDAR=US&amp;VAR:SYMBOL=RAI&amp;VAR:INDEX=0"}</definedName>
    <definedName name="_40main_form_account_grants_list_26_j_id1022">#REF!</definedName>
    <definedName name="_40T1">#REF!</definedName>
    <definedName name="_40T2">#REF!</definedName>
    <definedName name="_41______NOTE8_9">#REF!</definedName>
    <definedName name="_41__123Graph_BQRE_S_BY_CO.">#REF!</definedName>
    <definedName name="_41__123Graph_DCHART_1">#REF!</definedName>
    <definedName name="_41__123Graph_DQRE_S_BY_CO.">#REF!</definedName>
    <definedName name="_41__123Graph_DSUPPLIES_BY_B_U">#REF!</definedName>
    <definedName name="_41__123Graph_XQRE_S_BY_CO.">#REF!</definedName>
    <definedName name="_41__FDSAUDITLINK__" localSheetId="0" hidden="1">{"fdsup://directions/FAT Viewer?action=UPDATE&amp;creator=factset&amp;DYN_ARGS=TRUE&amp;DOC_NAME=FAT:FQL_AUDITING_CLIENT_TEMPLATE.FAT&amp;display_string=Audit&amp;VAR:KEY=JYVABMRCRU&amp;VAR:QUERY=RkZfREVCVChBTk4sMCwsLCxVU0Qp&amp;WINDOW=FIRST_POPUP&amp;HEIGHT=450&amp;WIDTH=450&amp;START_MAXIMIZED=","FALSE&amp;VAR:CALENDAR=US&amp;VAR:SYMBOL=028758&amp;VAR:INDEX=0"}</definedName>
    <definedName name="_41__FDSAUDITLINK__" hidden="1">{"fdsup://directions/FAT Viewer?action=UPDATE&amp;creator=factset&amp;DYN_ARGS=TRUE&amp;DOC_NAME=FAT:FQL_AUDITING_CLIENT_TEMPLATE.FAT&amp;display_string=Audit&amp;VAR:KEY=JYVABMRCRU&amp;VAR:QUERY=RkZfREVCVChBTk4sMCwsLCxVU0Qp&amp;WINDOW=FIRST_POPUP&amp;HEIGHT=450&amp;WIDTH=450&amp;START_MAXIMIZED=","FALSE&amp;VAR:CALENDAR=US&amp;VAR:SYMBOL=028758&amp;VAR:INDEX=0"}</definedName>
    <definedName name="_410">#REF!</definedName>
    <definedName name="_410__FDSAUDITLINK__" localSheetId="0" hidden="1">{"fdsup://directions/FAT Viewer?action=UPDATE&amp;creator=factset&amp;DYN_ARGS=TRUE&amp;DOC_NAME=FAT:FQL_AUDITING_CLIENT_TEMPLATE.FAT&amp;display_string=Audit&amp;VAR:KEY=TIJGTEDETC&amp;VAR:QUERY=RkZfRElWX1lMRChBTk4sNS8yOS8wMyw1LzI5LzAzKQ==&amp;WINDOW=FIRST_POPUP&amp;HEIGHT=450&amp;WIDTH=450&amp;","START_MAXIMIZED=FALSE&amp;VAR:CALENDAR=US&amp;VAR:SYMBOL=RAI&amp;VAR:INDEX=0"}</definedName>
    <definedName name="_410__FDSAUDITLINK__" hidden="1">{"fdsup://directions/FAT Viewer?action=UPDATE&amp;creator=factset&amp;DYN_ARGS=TRUE&amp;DOC_NAME=FAT:FQL_AUDITING_CLIENT_TEMPLATE.FAT&amp;display_string=Audit&amp;VAR:KEY=TIJGTEDETC&amp;VAR:QUERY=RkZfRElWX1lMRChBTk4sNS8yOS8wMyw1LzI5LzAzKQ==&amp;WINDOW=FIRST_POPUP&amp;HEIGHT=450&amp;WIDTH=450&amp;","START_MAXIMIZED=FALSE&amp;VAR:CALENDAR=US&amp;VAR:SYMBOL=RAI&amp;VAR:INDEX=0"}</definedName>
    <definedName name="_411">#REF!</definedName>
    <definedName name="_411__FDSAUDITLINK__" localSheetId="0" hidden="1">{"fdsup://directions/FAT Viewer?action=UPDATE&amp;creator=factset&amp;DYN_ARGS=TRUE&amp;DOC_NAME=FAT:FQL_AUDITING_CLIENT_TEMPLATE.FAT&amp;display_string=Audit&amp;VAR:KEY=JCHOJMTSNE&amp;VAR:QUERY=RkZfRElWX1lMRChBTk4sNS8yMi8wMyw1LzIyLzAzKQ==&amp;WINDOW=FIRST_POPUP&amp;HEIGHT=450&amp;WIDTH=450&amp;","START_MAXIMIZED=FALSE&amp;VAR:CALENDAR=US&amp;VAR:SYMBOL=RAI&amp;VAR:INDEX=0"}</definedName>
    <definedName name="_411__FDSAUDITLINK__" hidden="1">{"fdsup://directions/FAT Viewer?action=UPDATE&amp;creator=factset&amp;DYN_ARGS=TRUE&amp;DOC_NAME=FAT:FQL_AUDITING_CLIENT_TEMPLATE.FAT&amp;display_string=Audit&amp;VAR:KEY=JCHOJMTSNE&amp;VAR:QUERY=RkZfRElWX1lMRChBTk4sNS8yMi8wMyw1LzIyLzAzKQ==&amp;WINDOW=FIRST_POPUP&amp;HEIGHT=450&amp;WIDTH=450&amp;","START_MAXIMIZED=FALSE&amp;VAR:CALENDAR=US&amp;VAR:SYMBOL=RAI&amp;VAR:INDEX=0"}</definedName>
    <definedName name="_412">#REF!</definedName>
    <definedName name="_412__FDSAUDITLINK__" localSheetId="0" hidden="1">{"fdsup://directions/FAT Viewer?action=UPDATE&amp;creator=factset&amp;DYN_ARGS=TRUE&amp;DOC_NAME=FAT:FQL_AUDITING_CLIENT_TEMPLATE.FAT&amp;display_string=Audit&amp;VAR:KEY=PGVMLWNKDA&amp;VAR:QUERY=RkZfRElWX1lMRChBTk4sNS8xNS8wMyw1LzE1LzAzKQ==&amp;WINDOW=FIRST_POPUP&amp;HEIGHT=450&amp;WIDTH=450&amp;","START_MAXIMIZED=FALSE&amp;VAR:CALENDAR=US&amp;VAR:SYMBOL=RAI&amp;VAR:INDEX=0"}</definedName>
    <definedName name="_412__FDSAUDITLINK__" hidden="1">{"fdsup://directions/FAT Viewer?action=UPDATE&amp;creator=factset&amp;DYN_ARGS=TRUE&amp;DOC_NAME=FAT:FQL_AUDITING_CLIENT_TEMPLATE.FAT&amp;display_string=Audit&amp;VAR:KEY=PGVMLWNKDA&amp;VAR:QUERY=RkZfRElWX1lMRChBTk4sNS8xNS8wMyw1LzE1LzAzKQ==&amp;WINDOW=FIRST_POPUP&amp;HEIGHT=450&amp;WIDTH=450&amp;","START_MAXIMIZED=FALSE&amp;VAR:CALENDAR=US&amp;VAR:SYMBOL=RAI&amp;VAR:INDEX=0"}</definedName>
    <definedName name="_413">#REF!</definedName>
    <definedName name="_413__FDSAUDITLINK__" localSheetId="0" hidden="1">{"fdsup://directions/FAT Viewer?action=UPDATE&amp;creator=factset&amp;DYN_ARGS=TRUE&amp;DOC_NAME=FAT:FQL_AUDITING_CLIENT_TEMPLATE.FAT&amp;display_string=Audit&amp;VAR:KEY=ZUDYBARKJC&amp;VAR:QUERY=RkZfRElWX1lMRChBTk4sNS8wOC8wMyw1LzA4LzAzKQ==&amp;WINDOW=FIRST_POPUP&amp;HEIGHT=450&amp;WIDTH=450&amp;","START_MAXIMIZED=FALSE&amp;VAR:CALENDAR=US&amp;VAR:SYMBOL=RAI&amp;VAR:INDEX=0"}</definedName>
    <definedName name="_413__FDSAUDITLINK__" hidden="1">{"fdsup://directions/FAT Viewer?action=UPDATE&amp;creator=factset&amp;DYN_ARGS=TRUE&amp;DOC_NAME=FAT:FQL_AUDITING_CLIENT_TEMPLATE.FAT&amp;display_string=Audit&amp;VAR:KEY=ZUDYBARKJC&amp;VAR:QUERY=RkZfRElWX1lMRChBTk4sNS8wOC8wMyw1LzA4LzAzKQ==&amp;WINDOW=FIRST_POPUP&amp;HEIGHT=450&amp;WIDTH=450&amp;","START_MAXIMIZED=FALSE&amp;VAR:CALENDAR=US&amp;VAR:SYMBOL=RAI&amp;VAR:INDEX=0"}</definedName>
    <definedName name="_4130">#REF!</definedName>
    <definedName name="_4131">#REF!</definedName>
    <definedName name="_4133">#REF!</definedName>
    <definedName name="_4134">#REF!</definedName>
    <definedName name="_4136">#REF!</definedName>
    <definedName name="_4137">#REF!</definedName>
    <definedName name="_4139">#REF!</definedName>
    <definedName name="_414">#REF!</definedName>
    <definedName name="_414__FDSAUDITLINK__" localSheetId="0" hidden="1">{"fdsup://directions/FAT Viewer?action=UPDATE&amp;creator=factset&amp;DYN_ARGS=TRUE&amp;DOC_NAME=FAT:FQL_AUDITING_CLIENT_TEMPLATE.FAT&amp;display_string=Audit&amp;VAR:KEY=DQFIJIBADI&amp;VAR:QUERY=RkZfRElWX1lMRChBTk4sNS8wMS8wMyw1LzAxLzAzKQ==&amp;WINDOW=FIRST_POPUP&amp;HEIGHT=450&amp;WIDTH=450&amp;","START_MAXIMIZED=FALSE&amp;VAR:CALENDAR=US&amp;VAR:SYMBOL=RAI&amp;VAR:INDEX=0"}</definedName>
    <definedName name="_414__FDSAUDITLINK__" hidden="1">{"fdsup://directions/FAT Viewer?action=UPDATE&amp;creator=factset&amp;DYN_ARGS=TRUE&amp;DOC_NAME=FAT:FQL_AUDITING_CLIENT_TEMPLATE.FAT&amp;display_string=Audit&amp;VAR:KEY=DQFIJIBADI&amp;VAR:QUERY=RkZfRElWX1lMRChBTk4sNS8wMS8wMyw1LzAxLzAzKQ==&amp;WINDOW=FIRST_POPUP&amp;HEIGHT=450&amp;WIDTH=450&amp;","START_MAXIMIZED=FALSE&amp;VAR:CALENDAR=US&amp;VAR:SYMBOL=RAI&amp;VAR:INDEX=0"}</definedName>
    <definedName name="_4140">#REF!</definedName>
    <definedName name="_4149">#REF!</definedName>
    <definedName name="_415">#REF!</definedName>
    <definedName name="_415__FDSAUDITLINK__" localSheetId="0" hidden="1">{"fdsup://directions/FAT Viewer?action=UPDATE&amp;creator=factset&amp;DYN_ARGS=TRUE&amp;DOC_NAME=FAT:FQL_AUDITING_CLIENT_TEMPLATE.FAT&amp;display_string=Audit&amp;VAR:KEY=ZEDMLIJARO&amp;VAR:QUERY=RkZfRElWX1lMRChBTk4sNC8yNC8wMyw0LzI0LzAzKQ==&amp;WINDOW=FIRST_POPUP&amp;HEIGHT=450&amp;WIDTH=450&amp;","START_MAXIMIZED=FALSE&amp;VAR:CALENDAR=US&amp;VAR:SYMBOL=RAI&amp;VAR:INDEX=0"}</definedName>
    <definedName name="_415__FDSAUDITLINK__" hidden="1">{"fdsup://directions/FAT Viewer?action=UPDATE&amp;creator=factset&amp;DYN_ARGS=TRUE&amp;DOC_NAME=FAT:FQL_AUDITING_CLIENT_TEMPLATE.FAT&amp;display_string=Audit&amp;VAR:KEY=ZEDMLIJARO&amp;VAR:QUERY=RkZfRElWX1lMRChBTk4sNC8yNC8wMyw0LzI0LzAzKQ==&amp;WINDOW=FIRST_POPUP&amp;HEIGHT=450&amp;WIDTH=450&amp;","START_MAXIMIZED=FALSE&amp;VAR:CALENDAR=US&amp;VAR:SYMBOL=RAI&amp;VAR:INDEX=0"}</definedName>
    <definedName name="_4150">#REF!</definedName>
    <definedName name="_4152">#REF!</definedName>
    <definedName name="_4153">#REF!</definedName>
    <definedName name="_4155">#REF!</definedName>
    <definedName name="_4156">#REF!</definedName>
    <definedName name="_416">#REF!</definedName>
    <definedName name="_416__FDSAUDITLINK__" localSheetId="0" hidden="1">{"fdsup://directions/FAT Viewer?action=UPDATE&amp;creator=factset&amp;DYN_ARGS=TRUE&amp;DOC_NAME=FAT:FQL_AUDITING_CLIENT_TEMPLATE.FAT&amp;display_string=Audit&amp;VAR:KEY=LCHQDYXOTA&amp;VAR:QUERY=RkZfRElWX1lMRChBTk4sNC8xNy8wMyw0LzE3LzAzKQ==&amp;WINDOW=FIRST_POPUP&amp;HEIGHT=450&amp;WIDTH=450&amp;","START_MAXIMIZED=FALSE&amp;VAR:CALENDAR=US&amp;VAR:SYMBOL=RAI&amp;VAR:INDEX=0"}</definedName>
    <definedName name="_416__FDSAUDITLINK__" hidden="1">{"fdsup://directions/FAT Viewer?action=UPDATE&amp;creator=factset&amp;DYN_ARGS=TRUE&amp;DOC_NAME=FAT:FQL_AUDITING_CLIENT_TEMPLATE.FAT&amp;display_string=Audit&amp;VAR:KEY=LCHQDYXOTA&amp;VAR:QUERY=RkZfRElWX1lMRChBTk4sNC8xNy8wMyw0LzE3LzAzKQ==&amp;WINDOW=FIRST_POPUP&amp;HEIGHT=450&amp;WIDTH=450&amp;","START_MAXIMIZED=FALSE&amp;VAR:CALENDAR=US&amp;VAR:SYMBOL=RAI&amp;VAR:INDEX=0"}</definedName>
    <definedName name="_417">#REF!</definedName>
    <definedName name="_417__FDSAUDITLINK__" localSheetId="0" hidden="1">{"fdsup://directions/FAT Viewer?action=UPDATE&amp;creator=factset&amp;DYN_ARGS=TRUE&amp;DOC_NAME=FAT:FQL_AUDITING_CLIENT_TEMPLATE.FAT&amp;display_string=Audit&amp;VAR:KEY=VYJYVULAXU&amp;VAR:QUERY=RkZfRElWX1lMRChBTk4sNC8xMC8wMyw0LzEwLzAzKQ==&amp;WINDOW=FIRST_POPUP&amp;HEIGHT=450&amp;WIDTH=450&amp;","START_MAXIMIZED=FALSE&amp;VAR:CALENDAR=US&amp;VAR:SYMBOL=RAI&amp;VAR:INDEX=0"}</definedName>
    <definedName name="_417__FDSAUDITLINK__" hidden="1">{"fdsup://directions/FAT Viewer?action=UPDATE&amp;creator=factset&amp;DYN_ARGS=TRUE&amp;DOC_NAME=FAT:FQL_AUDITING_CLIENT_TEMPLATE.FAT&amp;display_string=Audit&amp;VAR:KEY=VYJYVULAXU&amp;VAR:QUERY=RkZfRElWX1lMRChBTk4sNC8xMC8wMyw0LzEwLzAzKQ==&amp;WINDOW=FIRST_POPUP&amp;HEIGHT=450&amp;WIDTH=450&amp;","START_MAXIMIZED=FALSE&amp;VAR:CALENDAR=US&amp;VAR:SYMBOL=RAI&amp;VAR:INDEX=0"}</definedName>
    <definedName name="_418__FDSAUDITLINK__" localSheetId="0" hidden="1">{"fdsup://directions/FAT Viewer?action=UPDATE&amp;creator=factset&amp;DYN_ARGS=TRUE&amp;DOC_NAME=FAT:FQL_AUDITING_CLIENT_TEMPLATE.FAT&amp;display_string=Audit&amp;VAR:KEY=DWVWBSFYBY&amp;VAR:QUERY=RkZfRElWX1lMRChBTk4sNC8wMy8wMyw0LzAzLzAzKQ==&amp;WINDOW=FIRST_POPUP&amp;HEIGHT=450&amp;WIDTH=450&amp;","START_MAXIMIZED=FALSE&amp;VAR:CALENDAR=US&amp;VAR:SYMBOL=RAI&amp;VAR:INDEX=0"}</definedName>
    <definedName name="_418__FDSAUDITLINK__" hidden="1">{"fdsup://directions/FAT Viewer?action=UPDATE&amp;creator=factset&amp;DYN_ARGS=TRUE&amp;DOC_NAME=FAT:FQL_AUDITING_CLIENT_TEMPLATE.FAT&amp;display_string=Audit&amp;VAR:KEY=DWVWBSFYBY&amp;VAR:QUERY=RkZfRElWX1lMRChBTk4sNC8wMy8wMyw0LzAzLzAzKQ==&amp;WINDOW=FIRST_POPUP&amp;HEIGHT=450&amp;WIDTH=450&amp;","START_MAXIMIZED=FALSE&amp;VAR:CALENDAR=US&amp;VAR:SYMBOL=RAI&amp;VAR:INDEX=0"}</definedName>
    <definedName name="_419">#REF!</definedName>
    <definedName name="_419__FDSAUDITLINK__" localSheetId="0" hidden="1">{"fdsup://directions/FAT Viewer?action=UPDATE&amp;creator=factset&amp;DYN_ARGS=TRUE&amp;DOC_NAME=FAT:FQL_AUDITING_CLIENT_TEMPLATE.FAT&amp;display_string=Audit&amp;VAR:KEY=DIZCTYDYDG&amp;VAR:QUERY=RkZfRElWX1lMRChBTk4sMy8yNy8wMywzLzI3LzAzKQ==&amp;WINDOW=FIRST_POPUP&amp;HEIGHT=450&amp;WIDTH=450&amp;","START_MAXIMIZED=FALSE&amp;VAR:CALENDAR=US&amp;VAR:SYMBOL=RAI&amp;VAR:INDEX=0"}</definedName>
    <definedName name="_419__FDSAUDITLINK__" hidden="1">{"fdsup://directions/FAT Viewer?action=UPDATE&amp;creator=factset&amp;DYN_ARGS=TRUE&amp;DOC_NAME=FAT:FQL_AUDITING_CLIENT_TEMPLATE.FAT&amp;display_string=Audit&amp;VAR:KEY=DIZCTYDYDG&amp;VAR:QUERY=RkZfRElWX1lMRChBTk4sMy8yNy8wMywzLzI3LzAzKQ==&amp;WINDOW=FIRST_POPUP&amp;HEIGHT=450&amp;WIDTH=450&amp;","START_MAXIMIZED=FALSE&amp;VAR:CALENDAR=US&amp;VAR:SYMBOL=RAI&amp;VAR:INDEX=0"}</definedName>
    <definedName name="_42">#REF!</definedName>
    <definedName name="_42_????1_3">#REF!</definedName>
    <definedName name="_42______P_L">#REF!</definedName>
    <definedName name="_42__123Graph_BCONTRACT_BY_B_U">#REF!</definedName>
    <definedName name="_42__123Graph_BGROWTH_REVS_B" hidden="1">#REF!</definedName>
    <definedName name="_42__123Graph_BSENS_COMPARISON">#REF!</definedName>
    <definedName name="_42__123Graph_CQRE_S_BY_CO.">#REF!</definedName>
    <definedName name="_42__123Graph_DWAGES_BY_B_U">#REF!</definedName>
    <definedName name="_42__123Graph_XQRE_S_BY_TYPE">#REF!</definedName>
    <definedName name="_42__FDSAUDITLINK__" localSheetId="0" hidden="1">{"fdsup://directions/FAT Viewer?action=UPDATE&amp;creator=factset&amp;DYN_ARGS=TRUE&amp;DOC_NAME=FAT:FQL_AUDITING_CLIENT_TEMPLATE.FAT&amp;display_string=Audit&amp;VAR:KEY=PYXQXKXIHE&amp;VAR:QUERY=RkZfRU5UUlBSX1ZBTF9EQUlMWSgwLCwsLFVTRCwnRElMJyk=&amp;WINDOW=FIRST_POPUP&amp;HEIGHT=450&amp;WIDTH=","450&amp;START_MAXIMIZED=FALSE&amp;VAR:CALENDAR=US&amp;VAR:SYMBOL=504856&amp;VAR:INDEX=0"}</definedName>
    <definedName name="_42__FDSAUDITLINK__" hidden="1">{"fdsup://directions/FAT Viewer?action=UPDATE&amp;creator=factset&amp;DYN_ARGS=TRUE&amp;DOC_NAME=FAT:FQL_AUDITING_CLIENT_TEMPLATE.FAT&amp;display_string=Audit&amp;VAR:KEY=PYXQXKXIHE&amp;VAR:QUERY=RkZfRU5UUlBSX1ZBTF9EQUlMWSgwLCwsLFVTRCwnRElMJyk=&amp;WINDOW=FIRST_POPUP&amp;HEIGHT=450&amp;WIDTH=","450&amp;START_MAXIMIZED=FALSE&amp;VAR:CALENDAR=US&amp;VAR:SYMBOL=504856&amp;VAR:INDEX=0"}</definedName>
    <definedName name="_420">#REF!</definedName>
    <definedName name="_420__FDSAUDITLINK__" localSheetId="0" hidden="1">{"fdsup://directions/FAT Viewer?action=UPDATE&amp;creator=factset&amp;DYN_ARGS=TRUE&amp;DOC_NAME=FAT:FQL_AUDITING_CLIENT_TEMPLATE.FAT&amp;display_string=Audit&amp;VAR:KEY=DSHALAHKLW&amp;VAR:QUERY=RkZfRElWX1lMRChBTk4sMy8yMC8wMywzLzIwLzAzKQ==&amp;WINDOW=FIRST_POPUP&amp;HEIGHT=450&amp;WIDTH=450&amp;","START_MAXIMIZED=FALSE&amp;VAR:CALENDAR=US&amp;VAR:SYMBOL=RAI&amp;VAR:INDEX=0"}</definedName>
    <definedName name="_420__FDSAUDITLINK__" hidden="1">{"fdsup://directions/FAT Viewer?action=UPDATE&amp;creator=factset&amp;DYN_ARGS=TRUE&amp;DOC_NAME=FAT:FQL_AUDITING_CLIENT_TEMPLATE.FAT&amp;display_string=Audit&amp;VAR:KEY=DSHALAHKLW&amp;VAR:QUERY=RkZfRElWX1lMRChBTk4sMy8yMC8wMywzLzIwLzAzKQ==&amp;WINDOW=FIRST_POPUP&amp;HEIGHT=450&amp;WIDTH=450&amp;","START_MAXIMIZED=FALSE&amp;VAR:CALENDAR=US&amp;VAR:SYMBOL=RAI&amp;VAR:INDEX=0"}</definedName>
    <definedName name="_421">#REF!</definedName>
    <definedName name="_421__FDSAUDITLINK__" localSheetId="0" hidden="1">{"fdsup://directions/FAT Viewer?action=UPDATE&amp;creator=factset&amp;DYN_ARGS=TRUE&amp;DOC_NAME=FAT:FQL_AUDITING_CLIENT_TEMPLATE.FAT&amp;display_string=Audit&amp;VAR:KEY=XUVGPQXAPS&amp;VAR:QUERY=RkZfRElWX1lMRChBTk4sMy8xMy8wMywzLzEzLzAzKQ==&amp;WINDOW=FIRST_POPUP&amp;HEIGHT=450&amp;WIDTH=450&amp;","START_MAXIMIZED=FALSE&amp;VAR:CALENDAR=US&amp;VAR:SYMBOL=RAI&amp;VAR:INDEX=0"}</definedName>
    <definedName name="_421__FDSAUDITLINK__" hidden="1">{"fdsup://directions/FAT Viewer?action=UPDATE&amp;creator=factset&amp;DYN_ARGS=TRUE&amp;DOC_NAME=FAT:FQL_AUDITING_CLIENT_TEMPLATE.FAT&amp;display_string=Audit&amp;VAR:KEY=XUVGPQXAPS&amp;VAR:QUERY=RkZfRElWX1lMRChBTk4sMy8xMy8wMywzLzEzLzAzKQ==&amp;WINDOW=FIRST_POPUP&amp;HEIGHT=450&amp;WIDTH=450&amp;","START_MAXIMIZED=FALSE&amp;VAR:CALENDAR=US&amp;VAR:SYMBOL=RAI&amp;VAR:INDEX=0"}</definedName>
    <definedName name="_422">#REF!</definedName>
    <definedName name="_422__FDSAUDITLINK__" localSheetId="0" hidden="1">{"fdsup://directions/FAT Viewer?action=UPDATE&amp;creator=factset&amp;DYN_ARGS=TRUE&amp;DOC_NAME=FAT:FQL_AUDITING_CLIENT_TEMPLATE.FAT&amp;display_string=Audit&amp;VAR:KEY=JYBEFEHMXQ&amp;VAR:QUERY=RkZfRElWX1lMRChBTk4sMy8wNi8wMywzLzA2LzAzKQ==&amp;WINDOW=FIRST_POPUP&amp;HEIGHT=450&amp;WIDTH=450&amp;","START_MAXIMIZED=FALSE&amp;VAR:CALENDAR=US&amp;VAR:SYMBOL=RAI&amp;VAR:INDEX=0"}</definedName>
    <definedName name="_422__FDSAUDITLINK__" hidden="1">{"fdsup://directions/FAT Viewer?action=UPDATE&amp;creator=factset&amp;DYN_ARGS=TRUE&amp;DOC_NAME=FAT:FQL_AUDITING_CLIENT_TEMPLATE.FAT&amp;display_string=Audit&amp;VAR:KEY=JYBEFEHMXQ&amp;VAR:QUERY=RkZfRElWX1lMRChBTk4sMy8wNi8wMywzLzA2LzAzKQ==&amp;WINDOW=FIRST_POPUP&amp;HEIGHT=450&amp;WIDTH=450&amp;","START_MAXIMIZED=FALSE&amp;VAR:CALENDAR=US&amp;VAR:SYMBOL=RAI&amp;VAR:INDEX=0"}</definedName>
    <definedName name="_423">#REF!</definedName>
    <definedName name="_423__FDSAUDITLINK__" localSheetId="0" hidden="1">{"fdsup://directions/FAT Viewer?action=UPDATE&amp;creator=factset&amp;DYN_ARGS=TRUE&amp;DOC_NAME=FAT:FQL_AUDITING_CLIENT_TEMPLATE.FAT&amp;display_string=Audit&amp;VAR:KEY=LKJUZMRWFQ&amp;VAR:QUERY=RkZfRElWX1lMRChBTk4sMi8yNy8wMywyLzI3LzAzKQ==&amp;WINDOW=FIRST_POPUP&amp;HEIGHT=450&amp;WIDTH=450&amp;","START_MAXIMIZED=FALSE&amp;VAR:CALENDAR=US&amp;VAR:SYMBOL=RAI&amp;VAR:INDEX=0"}</definedName>
    <definedName name="_423__FDSAUDITLINK__" hidden="1">{"fdsup://directions/FAT Viewer?action=UPDATE&amp;creator=factset&amp;DYN_ARGS=TRUE&amp;DOC_NAME=FAT:FQL_AUDITING_CLIENT_TEMPLATE.FAT&amp;display_string=Audit&amp;VAR:KEY=LKJUZMRWFQ&amp;VAR:QUERY=RkZfRElWX1lMRChBTk4sMi8yNy8wMywyLzI3LzAzKQ==&amp;WINDOW=FIRST_POPUP&amp;HEIGHT=450&amp;WIDTH=450&amp;","START_MAXIMIZED=FALSE&amp;VAR:CALENDAR=US&amp;VAR:SYMBOL=RAI&amp;VAR:INDEX=0"}</definedName>
    <definedName name="_424__FDSAUDITLINK__" localSheetId="0" hidden="1">{"fdsup://directions/FAT Viewer?action=UPDATE&amp;creator=factset&amp;DYN_ARGS=TRUE&amp;DOC_NAME=FAT:FQL_AUDITING_CLIENT_TEMPLATE.FAT&amp;display_string=Audit&amp;VAR:KEY=XYLWBOFSBM&amp;VAR:QUERY=RkZfRElWX1lMRChBTk4sMi8yMC8wMywyLzIwLzAzKQ==&amp;WINDOW=FIRST_POPUP&amp;HEIGHT=450&amp;WIDTH=450&amp;","START_MAXIMIZED=FALSE&amp;VAR:CALENDAR=US&amp;VAR:SYMBOL=RAI&amp;VAR:INDEX=0"}</definedName>
    <definedName name="_424__FDSAUDITLINK__" hidden="1">{"fdsup://directions/FAT Viewer?action=UPDATE&amp;creator=factset&amp;DYN_ARGS=TRUE&amp;DOC_NAME=FAT:FQL_AUDITING_CLIENT_TEMPLATE.FAT&amp;display_string=Audit&amp;VAR:KEY=XYLWBOFSBM&amp;VAR:QUERY=RkZfRElWX1lMRChBTk4sMi8yMC8wMywyLzIwLzAzKQ==&amp;WINDOW=FIRST_POPUP&amp;HEIGHT=450&amp;WIDTH=450&amp;","START_MAXIMIZED=FALSE&amp;VAR:CALENDAR=US&amp;VAR:SYMBOL=RAI&amp;VAR:INDEX=0"}</definedName>
    <definedName name="_425__FDSAUDITLINK__" localSheetId="0" hidden="1">{"fdsup://directions/FAT Viewer?action=UPDATE&amp;creator=factset&amp;DYN_ARGS=TRUE&amp;DOC_NAME=FAT:FQL_AUDITING_CLIENT_TEMPLATE.FAT&amp;display_string=Audit&amp;VAR:KEY=DCBQJAXWVU&amp;VAR:QUERY=RkZfRElWX1lMRChBTk4sMi8xMy8wMywyLzEzLzAzKQ==&amp;WINDOW=FIRST_POPUP&amp;HEIGHT=450&amp;WIDTH=450&amp;","START_MAXIMIZED=FALSE&amp;VAR:CALENDAR=US&amp;VAR:SYMBOL=RAI&amp;VAR:INDEX=0"}</definedName>
    <definedName name="_425__FDSAUDITLINK__" hidden="1">{"fdsup://directions/FAT Viewer?action=UPDATE&amp;creator=factset&amp;DYN_ARGS=TRUE&amp;DOC_NAME=FAT:FQL_AUDITING_CLIENT_TEMPLATE.FAT&amp;display_string=Audit&amp;VAR:KEY=DCBQJAXWVU&amp;VAR:QUERY=RkZfRElWX1lMRChBTk4sMi8xMy8wMywyLzEzLzAzKQ==&amp;WINDOW=FIRST_POPUP&amp;HEIGHT=450&amp;WIDTH=450&amp;","START_MAXIMIZED=FALSE&amp;VAR:CALENDAR=US&amp;VAR:SYMBOL=RAI&amp;VAR:INDEX=0"}</definedName>
    <definedName name="_426__FDSAUDITLINK__" localSheetId="0" hidden="1">{"fdsup://directions/FAT Viewer?action=UPDATE&amp;creator=factset&amp;DYN_ARGS=TRUE&amp;DOC_NAME=FAT:FQL_AUDITING_CLIENT_TEMPLATE.FAT&amp;display_string=Audit&amp;VAR:KEY=BYJWHKVCHE&amp;VAR:QUERY=RkZfRElWX1lMRChBTk4sMi8wNi8wMywyLzA2LzAzKQ==&amp;WINDOW=FIRST_POPUP&amp;HEIGHT=450&amp;WIDTH=450&amp;","START_MAXIMIZED=FALSE&amp;VAR:CALENDAR=US&amp;VAR:SYMBOL=RAI&amp;VAR:INDEX=0"}</definedName>
    <definedName name="_426__FDSAUDITLINK__" hidden="1">{"fdsup://directions/FAT Viewer?action=UPDATE&amp;creator=factset&amp;DYN_ARGS=TRUE&amp;DOC_NAME=FAT:FQL_AUDITING_CLIENT_TEMPLATE.FAT&amp;display_string=Audit&amp;VAR:KEY=BYJWHKVCHE&amp;VAR:QUERY=RkZfRElWX1lMRChBTk4sMi8wNi8wMywyLzA2LzAzKQ==&amp;WINDOW=FIRST_POPUP&amp;HEIGHT=450&amp;WIDTH=450&amp;","START_MAXIMIZED=FALSE&amp;VAR:CALENDAR=US&amp;VAR:SYMBOL=RAI&amp;VAR:INDEX=0"}</definedName>
    <definedName name="_427__FDSAUDITLINK__" localSheetId="0" hidden="1">{"fdsup://directions/FAT Viewer?action=UPDATE&amp;creator=factset&amp;DYN_ARGS=TRUE&amp;DOC_NAME=FAT:FQL_AUDITING_CLIENT_TEMPLATE.FAT&amp;display_string=Audit&amp;VAR:KEY=XOBKXOXUTG&amp;VAR:QUERY=RkZfRElWX1lMRChBTk4sMS8zMC8wMywxLzMwLzAzKQ==&amp;WINDOW=FIRST_POPUP&amp;HEIGHT=450&amp;WIDTH=450&amp;","START_MAXIMIZED=FALSE&amp;VAR:CALENDAR=US&amp;VAR:SYMBOL=RAI&amp;VAR:INDEX=0"}</definedName>
    <definedName name="_427__FDSAUDITLINK__" hidden="1">{"fdsup://directions/FAT Viewer?action=UPDATE&amp;creator=factset&amp;DYN_ARGS=TRUE&amp;DOC_NAME=FAT:FQL_AUDITING_CLIENT_TEMPLATE.FAT&amp;display_string=Audit&amp;VAR:KEY=XOBKXOXUTG&amp;VAR:QUERY=RkZfRElWX1lMRChBTk4sMS8zMC8wMywxLzMwLzAzKQ==&amp;WINDOW=FIRST_POPUP&amp;HEIGHT=450&amp;WIDTH=450&amp;","START_MAXIMIZED=FALSE&amp;VAR:CALENDAR=US&amp;VAR:SYMBOL=RAI&amp;VAR:INDEX=0"}</definedName>
    <definedName name="_428">#REF!</definedName>
    <definedName name="_428__FDSAUDITLINK__" localSheetId="0" hidden="1">{"fdsup://directions/FAT Viewer?action=UPDATE&amp;creator=factset&amp;DYN_ARGS=TRUE&amp;DOC_NAME=FAT:FQL_AUDITING_CLIENT_TEMPLATE.FAT&amp;display_string=Audit&amp;VAR:KEY=LUHGRAHYTK&amp;VAR:QUERY=RkZfRElWX1lMRChBTk4sMS8yMy8wMywxLzIzLzAzKQ==&amp;WINDOW=FIRST_POPUP&amp;HEIGHT=450&amp;WIDTH=450&amp;","START_MAXIMIZED=FALSE&amp;VAR:CALENDAR=US&amp;VAR:SYMBOL=RAI&amp;VAR:INDEX=0"}</definedName>
    <definedName name="_428__FDSAUDITLINK__" hidden="1">{"fdsup://directions/FAT Viewer?action=UPDATE&amp;creator=factset&amp;DYN_ARGS=TRUE&amp;DOC_NAME=FAT:FQL_AUDITING_CLIENT_TEMPLATE.FAT&amp;display_string=Audit&amp;VAR:KEY=LUHGRAHYTK&amp;VAR:QUERY=RkZfRElWX1lMRChBTk4sMS8yMy8wMywxLzIzLzAzKQ==&amp;WINDOW=FIRST_POPUP&amp;HEIGHT=450&amp;WIDTH=450&amp;","START_MAXIMIZED=FALSE&amp;VAR:CALENDAR=US&amp;VAR:SYMBOL=RAI&amp;VAR:INDEX=0"}</definedName>
    <definedName name="_429__FDSAUDITLINK__" localSheetId="0" hidden="1">{"fdsup://directions/FAT Viewer?action=UPDATE&amp;creator=factset&amp;DYN_ARGS=TRUE&amp;DOC_NAME=FAT:FQL_AUDITING_CLIENT_TEMPLATE.FAT&amp;display_string=Audit&amp;VAR:KEY=RYFSTYJOTI&amp;VAR:QUERY=RkZfRElWX1lMRChBTk4sMS8xNi8wMywxLzE2LzAzKQ==&amp;WINDOW=FIRST_POPUP&amp;HEIGHT=450&amp;WIDTH=450&amp;","START_MAXIMIZED=FALSE&amp;VAR:CALENDAR=US&amp;VAR:SYMBOL=RAI&amp;VAR:INDEX=0"}</definedName>
    <definedName name="_429__FDSAUDITLINK__" hidden="1">{"fdsup://directions/FAT Viewer?action=UPDATE&amp;creator=factset&amp;DYN_ARGS=TRUE&amp;DOC_NAME=FAT:FQL_AUDITING_CLIENT_TEMPLATE.FAT&amp;display_string=Audit&amp;VAR:KEY=RYFSTYJOTI&amp;VAR:QUERY=RkZfRElWX1lMRChBTk4sMS8xNi8wMywxLzE2LzAzKQ==&amp;WINDOW=FIRST_POPUP&amp;HEIGHT=450&amp;WIDTH=450&amp;","START_MAXIMIZED=FALSE&amp;VAR:CALENDAR=US&amp;VAR:SYMBOL=RAI&amp;VAR:INDEX=0"}</definedName>
    <definedName name="_42main_form_account_grants_list_27_j_id1022">#REF!</definedName>
    <definedName name="_43">#REF!</definedName>
    <definedName name="_43_____B_S">#REF!</definedName>
    <definedName name="_43__123Graph_BCONTRACT_BY_B_U">#REF!</definedName>
    <definedName name="_43__123Graph_BSUPPLIES_BY_B_U">#REF!</definedName>
    <definedName name="_43__123Graph_CCHART_111" hidden="1">#REF!</definedName>
    <definedName name="_43__123Graph_DSUPPLIES_BY_B_U">#REF!</definedName>
    <definedName name="_43__123Graph_DWAGES_BY_B_U">#REF!</definedName>
    <definedName name="_43__123Graph_XSUPPLIES_BY_B_U">#REF!</definedName>
    <definedName name="_43__FDSAUDITLINK__" localSheetId="0" hidden="1">{"fdsup://directions/FAT Viewer?action=UPDATE&amp;creator=factset&amp;DYN_ARGS=TRUE&amp;DOC_NAME=FAT:FQL_AUDITING_CLIENT_TEMPLATE.FAT&amp;display_string=Audit&amp;VAR:KEY=JCTWDIJABK&amp;VAR:QUERY=RkZfRU5UUlBSX1ZBTF9EQUlMWSgwLCwsLFVTRCwnRElMJyk=&amp;WINDOW=FIRST_POPUP&amp;HEIGHT=450&amp;WIDTH=","450&amp;START_MAXIMIZED=FALSE&amp;VAR:CALENDAR=US&amp;VAR:SYMBOL=SWM&amp;VAR:INDEX=0"}</definedName>
    <definedName name="_43__FDSAUDITLINK__" hidden="1">{"fdsup://directions/FAT Viewer?action=UPDATE&amp;creator=factset&amp;DYN_ARGS=TRUE&amp;DOC_NAME=FAT:FQL_AUDITING_CLIENT_TEMPLATE.FAT&amp;display_string=Audit&amp;VAR:KEY=JCTWDIJABK&amp;VAR:QUERY=RkZfRU5UUlBSX1ZBTF9EQUlMWSgwLCwsLFVTRCwnRElMJyk=&amp;WINDOW=FIRST_POPUP&amp;HEIGHT=450&amp;WIDTH=","450&amp;START_MAXIMIZED=FALSE&amp;VAR:CALENDAR=US&amp;VAR:SYMBOL=SWM&amp;VAR:INDEX=0"}</definedName>
    <definedName name="_430">#REF!</definedName>
    <definedName name="_430__FDSAUDITLINK__" localSheetId="0" hidden="1">{"fdsup://directions/FAT Viewer?action=UPDATE&amp;creator=factset&amp;DYN_ARGS=TRUE&amp;DOC_NAME=FAT:FQL_AUDITING_CLIENT_TEMPLATE.FAT&amp;display_string=Audit&amp;VAR:KEY=JUTSRYHSFE&amp;VAR:QUERY=RkZfRElWX1lMRChBTk4sMS8wOS8wMywxLzA5LzAzKQ==&amp;WINDOW=FIRST_POPUP&amp;HEIGHT=450&amp;WIDTH=450&amp;","START_MAXIMIZED=FALSE&amp;VAR:CALENDAR=US&amp;VAR:SYMBOL=RAI&amp;VAR:INDEX=0"}</definedName>
    <definedName name="_430__FDSAUDITLINK__" hidden="1">{"fdsup://directions/FAT Viewer?action=UPDATE&amp;creator=factset&amp;DYN_ARGS=TRUE&amp;DOC_NAME=FAT:FQL_AUDITING_CLIENT_TEMPLATE.FAT&amp;display_string=Audit&amp;VAR:KEY=JUTSRYHSFE&amp;VAR:QUERY=RkZfRElWX1lMRChBTk4sMS8wOS8wMywxLzA5LzAzKQ==&amp;WINDOW=FIRST_POPUP&amp;HEIGHT=450&amp;WIDTH=450&amp;","START_MAXIMIZED=FALSE&amp;VAR:CALENDAR=US&amp;VAR:SYMBOL=RAI&amp;VAR:INDEX=0"}</definedName>
    <definedName name="_431">#REF!</definedName>
    <definedName name="_431__FDSAUDITLINK__" localSheetId="0" hidden="1">{"fdsup://directions/FAT Viewer?action=UPDATE&amp;creator=factset&amp;DYN_ARGS=TRUE&amp;DOC_NAME=FAT:FQL_AUDITING_CLIENT_TEMPLATE.FAT&amp;display_string=Audit&amp;VAR:KEY=BANAJUTIFA&amp;VAR:QUERY=RkZfRElWX1lMRChBTk4sMS8wMi8wMywxLzAyLzAzKQ==&amp;WINDOW=FIRST_POPUP&amp;HEIGHT=450&amp;WIDTH=450&amp;","START_MAXIMIZED=FALSE&amp;VAR:CALENDAR=US&amp;VAR:SYMBOL=RAI&amp;VAR:INDEX=0"}</definedName>
    <definedName name="_431__FDSAUDITLINK__" hidden="1">{"fdsup://directions/FAT Viewer?action=UPDATE&amp;creator=factset&amp;DYN_ARGS=TRUE&amp;DOC_NAME=FAT:FQL_AUDITING_CLIENT_TEMPLATE.FAT&amp;display_string=Audit&amp;VAR:KEY=BANAJUTIFA&amp;VAR:QUERY=RkZfRElWX1lMRChBTk4sMS8wMi8wMywxLzAyLzAzKQ==&amp;WINDOW=FIRST_POPUP&amp;HEIGHT=450&amp;WIDTH=450&amp;","START_MAXIMIZED=FALSE&amp;VAR:CALENDAR=US&amp;VAR:SYMBOL=RAI&amp;VAR:INDEX=0"}</definedName>
    <definedName name="_432">#REF!</definedName>
    <definedName name="_432__FDSAUDITLINK__" localSheetId="0" hidden="1">{"fdsup://directions/FAT Viewer?action=UPDATE&amp;creator=factset&amp;DYN_ARGS=TRUE&amp;DOC_NAME=FAT:FQL_AUDITING_CLIENT_TEMPLATE.FAT&amp;display_string=Audit&amp;VAR:KEY=HSZGDYFEFI&amp;VAR:QUERY=RkZfRElWX1lMRChBTk4sMTIvMjYvMDIsMTIvMjYvMDIp&amp;WINDOW=FIRST_POPUP&amp;HEIGHT=450&amp;WIDTH=450&amp;","START_MAXIMIZED=FALSE&amp;VAR:CALENDAR=US&amp;VAR:SYMBOL=RAI&amp;VAR:INDEX=0"}</definedName>
    <definedName name="_432__FDSAUDITLINK__" hidden="1">{"fdsup://directions/FAT Viewer?action=UPDATE&amp;creator=factset&amp;DYN_ARGS=TRUE&amp;DOC_NAME=FAT:FQL_AUDITING_CLIENT_TEMPLATE.FAT&amp;display_string=Audit&amp;VAR:KEY=HSZGDYFEFI&amp;VAR:QUERY=RkZfRElWX1lMRChBTk4sMTIvMjYvMDIsMTIvMjYvMDIp&amp;WINDOW=FIRST_POPUP&amp;HEIGHT=450&amp;WIDTH=450&amp;","START_MAXIMIZED=FALSE&amp;VAR:CALENDAR=US&amp;VAR:SYMBOL=RAI&amp;VAR:INDEX=0"}</definedName>
    <definedName name="_433">#REF!</definedName>
    <definedName name="_433__FDSAUDITLINK__" localSheetId="0" hidden="1">{"fdsup://directions/FAT Viewer?action=UPDATE&amp;creator=factset&amp;DYN_ARGS=TRUE&amp;DOC_NAME=FAT:FQL_AUDITING_CLIENT_TEMPLATE.FAT&amp;display_string=Audit&amp;VAR:KEY=NCRYNYHCDK&amp;VAR:QUERY=RkZfRElWX1lMRChBTk4sMTIvMTkvMDIsMTIvMTkvMDIp&amp;WINDOW=FIRST_POPUP&amp;HEIGHT=450&amp;WIDTH=450&amp;","START_MAXIMIZED=FALSE&amp;VAR:CALENDAR=US&amp;VAR:SYMBOL=RAI&amp;VAR:INDEX=0"}</definedName>
    <definedName name="_433__FDSAUDITLINK__" hidden="1">{"fdsup://directions/FAT Viewer?action=UPDATE&amp;creator=factset&amp;DYN_ARGS=TRUE&amp;DOC_NAME=FAT:FQL_AUDITING_CLIENT_TEMPLATE.FAT&amp;display_string=Audit&amp;VAR:KEY=NCRYNYHCDK&amp;VAR:QUERY=RkZfRElWX1lMRChBTk4sMTIvMTkvMDIsMTIvMTkvMDIp&amp;WINDOW=FIRST_POPUP&amp;HEIGHT=450&amp;WIDTH=450&amp;","START_MAXIMIZED=FALSE&amp;VAR:CALENDAR=US&amp;VAR:SYMBOL=RAI&amp;VAR:INDEX=0"}</definedName>
    <definedName name="_434">#REF!</definedName>
    <definedName name="_434__FDSAUDITLINK__" localSheetId="0" hidden="1">{"fdsup://directions/FAT Viewer?action=UPDATE&amp;creator=factset&amp;DYN_ARGS=TRUE&amp;DOC_NAME=FAT:FQL_AUDITING_CLIENT_TEMPLATE.FAT&amp;display_string=Audit&amp;VAR:KEY=XMJMDEVEVG&amp;VAR:QUERY=RkZfRElWX1lMRChBTk4sMTIvMTIvMDIsMTIvMTIvMDIp&amp;WINDOW=FIRST_POPUP&amp;HEIGHT=450&amp;WIDTH=450&amp;","START_MAXIMIZED=FALSE&amp;VAR:CALENDAR=US&amp;VAR:SYMBOL=RAI&amp;VAR:INDEX=0"}</definedName>
    <definedName name="_434__FDSAUDITLINK__" hidden="1">{"fdsup://directions/FAT Viewer?action=UPDATE&amp;creator=factset&amp;DYN_ARGS=TRUE&amp;DOC_NAME=FAT:FQL_AUDITING_CLIENT_TEMPLATE.FAT&amp;display_string=Audit&amp;VAR:KEY=XMJMDEVEVG&amp;VAR:QUERY=RkZfRElWX1lMRChBTk4sMTIvMTIvMDIsMTIvMTIvMDIp&amp;WINDOW=FIRST_POPUP&amp;HEIGHT=450&amp;WIDTH=450&amp;","START_MAXIMIZED=FALSE&amp;VAR:CALENDAR=US&amp;VAR:SYMBOL=RAI&amp;VAR:INDEX=0"}</definedName>
    <definedName name="_435">#REF!</definedName>
    <definedName name="_435__FDSAUDITLINK__" localSheetId="0" hidden="1">{"fdsup://directions/FAT Viewer?action=UPDATE&amp;creator=factset&amp;DYN_ARGS=TRUE&amp;DOC_NAME=FAT:FQL_AUDITING_CLIENT_TEMPLATE.FAT&amp;display_string=Audit&amp;VAR:KEY=LUZEHQFYZI&amp;VAR:QUERY=RkZfRElWX1lMRChBTk4sMTIvMDUvMDIsMTIvMDUvMDIp&amp;WINDOW=FIRST_POPUP&amp;HEIGHT=450&amp;WIDTH=450&amp;","START_MAXIMIZED=FALSE&amp;VAR:CALENDAR=US&amp;VAR:SYMBOL=RAI&amp;VAR:INDEX=0"}</definedName>
    <definedName name="_435__FDSAUDITLINK__" hidden="1">{"fdsup://directions/FAT Viewer?action=UPDATE&amp;creator=factset&amp;DYN_ARGS=TRUE&amp;DOC_NAME=FAT:FQL_AUDITING_CLIENT_TEMPLATE.FAT&amp;display_string=Audit&amp;VAR:KEY=LUZEHQFYZI&amp;VAR:QUERY=RkZfRElWX1lMRChBTk4sMTIvMDUvMDIsMTIvMDUvMDIp&amp;WINDOW=FIRST_POPUP&amp;HEIGHT=450&amp;WIDTH=450&amp;","START_MAXIMIZED=FALSE&amp;VAR:CALENDAR=US&amp;VAR:SYMBOL=RAI&amp;VAR:INDEX=0"}</definedName>
    <definedName name="_436__FDSAUDITLINK__" localSheetId="0" hidden="1">{"fdsup://directions/FAT Viewer?action=UPDATE&amp;creator=factset&amp;DYN_ARGS=TRUE&amp;DOC_NAME=FAT:FQL_AUDITING_CLIENT_TEMPLATE.FAT&amp;display_string=Audit&amp;VAR:KEY=RKPATMXMRY&amp;VAR:QUERY=RkZfRElWX1lMRChBTk4sMTEvMjcvMDIsMTEvMjcvMDIp&amp;WINDOW=FIRST_POPUP&amp;HEIGHT=450&amp;WIDTH=450&amp;","START_MAXIMIZED=FALSE&amp;VAR:CALENDAR=US&amp;VAR:SYMBOL=RAI&amp;VAR:INDEX=0"}</definedName>
    <definedName name="_436__FDSAUDITLINK__" hidden="1">{"fdsup://directions/FAT Viewer?action=UPDATE&amp;creator=factset&amp;DYN_ARGS=TRUE&amp;DOC_NAME=FAT:FQL_AUDITING_CLIENT_TEMPLATE.FAT&amp;display_string=Audit&amp;VAR:KEY=RKPATMXMRY&amp;VAR:QUERY=RkZfRElWX1lMRChBTk4sMTEvMjcvMDIsMTEvMjcvMDIp&amp;WINDOW=FIRST_POPUP&amp;HEIGHT=450&amp;WIDTH=450&amp;","START_MAXIMIZED=FALSE&amp;VAR:CALENDAR=US&amp;VAR:SYMBOL=RAI&amp;VAR:INDEX=0"}</definedName>
    <definedName name="_437__FDSAUDITLINK__" localSheetId="0" hidden="1">{"fdsup://directions/FAT Viewer?action=UPDATE&amp;creator=factset&amp;DYN_ARGS=TRUE&amp;DOC_NAME=FAT:FQL_AUDITING_CLIENT_TEMPLATE.FAT&amp;display_string=Audit&amp;VAR:KEY=XYVGVKPYRO&amp;VAR:QUERY=RkZfRElWX1lMRChBTk4sMTEvMjEvMDIsMTEvMjEvMDIp&amp;WINDOW=FIRST_POPUP&amp;HEIGHT=450&amp;WIDTH=450&amp;","START_MAXIMIZED=FALSE&amp;VAR:CALENDAR=US&amp;VAR:SYMBOL=RAI&amp;VAR:INDEX=0"}</definedName>
    <definedName name="_437__FDSAUDITLINK__" hidden="1">{"fdsup://directions/FAT Viewer?action=UPDATE&amp;creator=factset&amp;DYN_ARGS=TRUE&amp;DOC_NAME=FAT:FQL_AUDITING_CLIENT_TEMPLATE.FAT&amp;display_string=Audit&amp;VAR:KEY=XYVGVKPYRO&amp;VAR:QUERY=RkZfRElWX1lMRChBTk4sMTEvMjEvMDIsMTEvMjEvMDIp&amp;WINDOW=FIRST_POPUP&amp;HEIGHT=450&amp;WIDTH=450&amp;","START_MAXIMIZED=FALSE&amp;VAR:CALENDAR=US&amp;VAR:SYMBOL=RAI&amp;VAR:INDEX=0"}</definedName>
    <definedName name="_438__FDSAUDITLINK__" localSheetId="0" hidden="1">{"fdsup://directions/FAT Viewer?action=UPDATE&amp;creator=factset&amp;DYN_ARGS=TRUE&amp;DOC_NAME=FAT:FQL_AUDITING_CLIENT_TEMPLATE.FAT&amp;display_string=Audit&amp;VAR:KEY=VWJYHCTUTI&amp;VAR:QUERY=RkZfRElWX1lMRChBTk4sMTEvMTQvMDIsMTEvMTQvMDIp&amp;WINDOW=FIRST_POPUP&amp;HEIGHT=450&amp;WIDTH=450&amp;","START_MAXIMIZED=FALSE&amp;VAR:CALENDAR=US&amp;VAR:SYMBOL=RAI&amp;VAR:INDEX=0"}</definedName>
    <definedName name="_438__FDSAUDITLINK__" hidden="1">{"fdsup://directions/FAT Viewer?action=UPDATE&amp;creator=factset&amp;DYN_ARGS=TRUE&amp;DOC_NAME=FAT:FQL_AUDITING_CLIENT_TEMPLATE.FAT&amp;display_string=Audit&amp;VAR:KEY=VWJYHCTUTI&amp;VAR:QUERY=RkZfRElWX1lMRChBTk4sMTEvMTQvMDIsMTEvMTQvMDIp&amp;WINDOW=FIRST_POPUP&amp;HEIGHT=450&amp;WIDTH=450&amp;","START_MAXIMIZED=FALSE&amp;VAR:CALENDAR=US&amp;VAR:SYMBOL=RAI&amp;VAR:INDEX=0"}</definedName>
    <definedName name="_439__FDSAUDITLINK__" localSheetId="0" hidden="1">{"fdsup://directions/FAT Viewer?action=UPDATE&amp;creator=factset&amp;DYN_ARGS=TRUE&amp;DOC_NAME=FAT:FQL_AUDITING_CLIENT_TEMPLATE.FAT&amp;display_string=Audit&amp;VAR:KEY=VWNKTKRCHK&amp;VAR:QUERY=RkZfRElWX1lMRChBTk4sMTEvMDcvMDIsMTEvMDcvMDIp&amp;WINDOW=FIRST_POPUP&amp;HEIGHT=450&amp;WIDTH=450&amp;","START_MAXIMIZED=FALSE&amp;VAR:CALENDAR=US&amp;VAR:SYMBOL=RAI&amp;VAR:INDEX=0"}</definedName>
    <definedName name="_439__FDSAUDITLINK__" hidden="1">{"fdsup://directions/FAT Viewer?action=UPDATE&amp;creator=factset&amp;DYN_ARGS=TRUE&amp;DOC_NAME=FAT:FQL_AUDITING_CLIENT_TEMPLATE.FAT&amp;display_string=Audit&amp;VAR:KEY=VWNKTKRCHK&amp;VAR:QUERY=RkZfRElWX1lMRChBTk4sMTEvMDcvMDIsMTEvMDcvMDIp&amp;WINDOW=FIRST_POPUP&amp;HEIGHT=450&amp;WIDTH=450&amp;","START_MAXIMIZED=FALSE&amp;VAR:CALENDAR=US&amp;VAR:SYMBOL=RAI&amp;VAR:INDEX=0"}</definedName>
    <definedName name="_44">#REF!</definedName>
    <definedName name="_44_____NOTE10_12">#REF!</definedName>
    <definedName name="_44__123Graph_BTAX_CREDIT">#REF!</definedName>
    <definedName name="_44__123Graph_CCHART_112" hidden="1">#REF!</definedName>
    <definedName name="_44__123Graph_DCHART_8">#REF!</definedName>
    <definedName name="_44__123Graph_ECONTRACT_BY_B_U">#REF!</definedName>
    <definedName name="_44__123Graph_XChart_5J">#REF!</definedName>
    <definedName name="_44__123Graph_XTAX_CREDIT">#REF!</definedName>
    <definedName name="_44__FDSAUDITLINK__" localSheetId="0" hidden="1">{"fdsup://directions/FAT Viewer?action=UPDATE&amp;creator=factset&amp;DYN_ARGS=TRUE&amp;DOC_NAME=FAT:FQL_AUDITING_CLIENT_TEMPLATE.FAT&amp;display_string=Audit&amp;VAR:KEY=ZUZERMVAZY&amp;VAR:QUERY=RkZfRU5UUlBSX1ZBTF9EQUlMWSgwLCwsLFVTRCwnRElMJyk=&amp;WINDOW=FIRST_POPUP&amp;HEIGHT=450&amp;WIDTH=","450&amp;START_MAXIMIZED=FALSE&amp;VAR:CALENDAR=US&amp;VAR:SYMBOL=647453&amp;VAR:INDEX=0"}</definedName>
    <definedName name="_44__FDSAUDITLINK__" hidden="1">{"fdsup://directions/FAT Viewer?action=UPDATE&amp;creator=factset&amp;DYN_ARGS=TRUE&amp;DOC_NAME=FAT:FQL_AUDITING_CLIENT_TEMPLATE.FAT&amp;display_string=Audit&amp;VAR:KEY=ZUZERMVAZY&amp;VAR:QUERY=RkZfRU5UUlBSX1ZBTF9EQUlMWSgwLCwsLFVTRCwnRElMJyk=&amp;WINDOW=FIRST_POPUP&amp;HEIGHT=450&amp;WIDTH=","450&amp;START_MAXIMIZED=FALSE&amp;VAR:CALENDAR=US&amp;VAR:SYMBOL=647453&amp;VAR:INDEX=0"}</definedName>
    <definedName name="_440">#REF!</definedName>
    <definedName name="_440__FDSAUDITLINK__" localSheetId="0" hidden="1">{"fdsup://directions/FAT Viewer?action=UPDATE&amp;creator=factset&amp;DYN_ARGS=TRUE&amp;DOC_NAME=FAT:FQL_AUDITING_CLIENT_TEMPLATE.FAT&amp;display_string=Audit&amp;VAR:KEY=TWZMLOTCNU&amp;VAR:QUERY=RkZfRElWX1lMRChBTk4sMTAvMzEvMDIsMTAvMzEvMDIp&amp;WINDOW=FIRST_POPUP&amp;HEIGHT=450&amp;WIDTH=450&amp;","START_MAXIMIZED=FALSE&amp;VAR:CALENDAR=US&amp;VAR:SYMBOL=RAI&amp;VAR:INDEX=0"}</definedName>
    <definedName name="_440__FDSAUDITLINK__" hidden="1">{"fdsup://directions/FAT Viewer?action=UPDATE&amp;creator=factset&amp;DYN_ARGS=TRUE&amp;DOC_NAME=FAT:FQL_AUDITING_CLIENT_TEMPLATE.FAT&amp;display_string=Audit&amp;VAR:KEY=TWZMLOTCNU&amp;VAR:QUERY=RkZfRElWX1lMRChBTk4sMTAvMzEvMDIsMTAvMzEvMDIp&amp;WINDOW=FIRST_POPUP&amp;HEIGHT=450&amp;WIDTH=450&amp;","START_MAXIMIZED=FALSE&amp;VAR:CALENDAR=US&amp;VAR:SYMBOL=RAI&amp;VAR:INDEX=0"}</definedName>
    <definedName name="_441">#REF!</definedName>
    <definedName name="_441__FDSAUDITLINK__" localSheetId="0" hidden="1">{"fdsup://directions/FAT Viewer?action=UPDATE&amp;creator=factset&amp;DYN_ARGS=TRUE&amp;DOC_NAME=FAT:FQL_AUDITING_CLIENT_TEMPLATE.FAT&amp;display_string=Audit&amp;VAR:KEY=RORWZWBAZO&amp;VAR:QUERY=RkZfRElWX1lMRChBTk4sMTAvMjQvMDIsMTAvMjQvMDIp&amp;WINDOW=FIRST_POPUP&amp;HEIGHT=450&amp;WIDTH=450&amp;","START_MAXIMIZED=FALSE&amp;VAR:CALENDAR=US&amp;VAR:SYMBOL=RAI&amp;VAR:INDEX=0"}</definedName>
    <definedName name="_441__FDSAUDITLINK__" hidden="1">{"fdsup://directions/FAT Viewer?action=UPDATE&amp;creator=factset&amp;DYN_ARGS=TRUE&amp;DOC_NAME=FAT:FQL_AUDITING_CLIENT_TEMPLATE.FAT&amp;display_string=Audit&amp;VAR:KEY=RORWZWBAZO&amp;VAR:QUERY=RkZfRElWX1lMRChBTk4sMTAvMjQvMDIsMTAvMjQvMDIp&amp;WINDOW=FIRST_POPUP&amp;HEIGHT=450&amp;WIDTH=450&amp;","START_MAXIMIZED=FALSE&amp;VAR:CALENDAR=US&amp;VAR:SYMBOL=RAI&amp;VAR:INDEX=0"}</definedName>
    <definedName name="_442__FDSAUDITLINK__" localSheetId="0" hidden="1">{"fdsup://directions/FAT Viewer?action=UPDATE&amp;creator=factset&amp;DYN_ARGS=TRUE&amp;DOC_NAME=FAT:FQL_AUDITING_CLIENT_TEMPLATE.FAT&amp;display_string=Audit&amp;VAR:KEY=BIJMVURQVQ&amp;VAR:QUERY=RkZfRElWX1lMRChBTk4sMTAvMTcvMDIsMTAvMTcvMDIp&amp;WINDOW=FIRST_POPUP&amp;HEIGHT=450&amp;WIDTH=450&amp;","START_MAXIMIZED=FALSE&amp;VAR:CALENDAR=US&amp;VAR:SYMBOL=RAI&amp;VAR:INDEX=0"}</definedName>
    <definedName name="_442__FDSAUDITLINK__" hidden="1">{"fdsup://directions/FAT Viewer?action=UPDATE&amp;creator=factset&amp;DYN_ARGS=TRUE&amp;DOC_NAME=FAT:FQL_AUDITING_CLIENT_TEMPLATE.FAT&amp;display_string=Audit&amp;VAR:KEY=BIJMVURQVQ&amp;VAR:QUERY=RkZfRElWX1lMRChBTk4sMTAvMTcvMDIsMTAvMTcvMDIp&amp;WINDOW=FIRST_POPUP&amp;HEIGHT=450&amp;WIDTH=450&amp;","START_MAXIMIZED=FALSE&amp;VAR:CALENDAR=US&amp;VAR:SYMBOL=RAI&amp;VAR:INDEX=0"}</definedName>
    <definedName name="_443">#REF!</definedName>
    <definedName name="_443__FDSAUDITLINK__" localSheetId="0" hidden="1">{"fdsup://directions/FAT Viewer?action=UPDATE&amp;creator=factset&amp;DYN_ARGS=TRUE&amp;DOC_NAME=FAT:FQL_AUDITING_CLIENT_TEMPLATE.FAT&amp;display_string=Audit&amp;VAR:KEY=FYJEPWHKLS&amp;VAR:QUERY=RkZfRElWX1lMRChBTk4sMTAvMTAvMDIsMTAvMTAvMDIp&amp;WINDOW=FIRST_POPUP&amp;HEIGHT=450&amp;WIDTH=450&amp;","START_MAXIMIZED=FALSE&amp;VAR:CALENDAR=US&amp;VAR:SYMBOL=RAI&amp;VAR:INDEX=0"}</definedName>
    <definedName name="_443__FDSAUDITLINK__" hidden="1">{"fdsup://directions/FAT Viewer?action=UPDATE&amp;creator=factset&amp;DYN_ARGS=TRUE&amp;DOC_NAME=FAT:FQL_AUDITING_CLIENT_TEMPLATE.FAT&amp;display_string=Audit&amp;VAR:KEY=FYJEPWHKLS&amp;VAR:QUERY=RkZfRElWX1lMRChBTk4sMTAvMTAvMDIsMTAvMTAvMDIp&amp;WINDOW=FIRST_POPUP&amp;HEIGHT=450&amp;WIDTH=450&amp;","START_MAXIMIZED=FALSE&amp;VAR:CALENDAR=US&amp;VAR:SYMBOL=RAI&amp;VAR:INDEX=0"}</definedName>
    <definedName name="_444">#REF!</definedName>
    <definedName name="_444__FDSAUDITLINK__" localSheetId="0" hidden="1">{"fdsup://directions/FAT Viewer?action=UPDATE&amp;creator=factset&amp;DYN_ARGS=TRUE&amp;DOC_NAME=FAT:FQL_AUDITING_CLIENT_TEMPLATE.FAT&amp;display_string=Audit&amp;VAR:KEY=BUHMJINYVU&amp;VAR:QUERY=RkZfRElWX1lMRChBTk4sMTAvMDMvMDIsMTAvMDMvMDIp&amp;WINDOW=FIRST_POPUP&amp;HEIGHT=450&amp;WIDTH=450&amp;","START_MAXIMIZED=FALSE&amp;VAR:CALENDAR=US&amp;VAR:SYMBOL=RAI&amp;VAR:INDEX=0"}</definedName>
    <definedName name="_444__FDSAUDITLINK__" hidden="1">{"fdsup://directions/FAT Viewer?action=UPDATE&amp;creator=factset&amp;DYN_ARGS=TRUE&amp;DOC_NAME=FAT:FQL_AUDITING_CLIENT_TEMPLATE.FAT&amp;display_string=Audit&amp;VAR:KEY=BUHMJINYVU&amp;VAR:QUERY=RkZfRElWX1lMRChBTk4sMTAvMDMvMDIsMTAvMDMvMDIp&amp;WINDOW=FIRST_POPUP&amp;HEIGHT=450&amp;WIDTH=450&amp;","START_MAXIMIZED=FALSE&amp;VAR:CALENDAR=US&amp;VAR:SYMBOL=RAI&amp;VAR:INDEX=0"}</definedName>
    <definedName name="_445">#REF!</definedName>
    <definedName name="_445__FDSAUDITLINK__" localSheetId="0" hidden="1">{"fdsup://directions/FAT Viewer?action=UPDATE&amp;creator=factset&amp;DYN_ARGS=TRUE&amp;DOC_NAME=FAT:FQL_AUDITING_CLIENT_TEMPLATE.FAT&amp;display_string=Audit&amp;VAR:KEY=PCHGTEXUDE&amp;VAR:QUERY=RkZfRElWX1lMRChBTk4sOS8yNi8wMiw5LzI2LzAyKQ==&amp;WINDOW=FIRST_POPUP&amp;HEIGHT=450&amp;WIDTH=450&amp;","START_MAXIMIZED=FALSE&amp;VAR:CALENDAR=US&amp;VAR:SYMBOL=RAI&amp;VAR:INDEX=0"}</definedName>
    <definedName name="_445__FDSAUDITLINK__" hidden="1">{"fdsup://directions/FAT Viewer?action=UPDATE&amp;creator=factset&amp;DYN_ARGS=TRUE&amp;DOC_NAME=FAT:FQL_AUDITING_CLIENT_TEMPLATE.FAT&amp;display_string=Audit&amp;VAR:KEY=PCHGTEXUDE&amp;VAR:QUERY=RkZfRElWX1lMRChBTk4sOS8yNi8wMiw5LzI2LzAyKQ==&amp;WINDOW=FIRST_POPUP&amp;HEIGHT=450&amp;WIDTH=450&amp;","START_MAXIMIZED=FALSE&amp;VAR:CALENDAR=US&amp;VAR:SYMBOL=RAI&amp;VAR:INDEX=0"}</definedName>
    <definedName name="_446">#REF!</definedName>
    <definedName name="_446__FDSAUDITLINK__" localSheetId="0" hidden="1">{"fdsup://directions/FAT Viewer?action=UPDATE&amp;creator=factset&amp;DYN_ARGS=TRUE&amp;DOC_NAME=FAT:FQL_AUDITING_CLIENT_TEMPLATE.FAT&amp;display_string=Audit&amp;VAR:KEY=ZOHMROPIHA&amp;VAR:QUERY=RkZfRElWX1lMRChBTk4sOS8xOS8wMiw5LzE5LzAyKQ==&amp;WINDOW=FIRST_POPUP&amp;HEIGHT=450&amp;WIDTH=450&amp;","START_MAXIMIZED=FALSE&amp;VAR:CALENDAR=US&amp;VAR:SYMBOL=RAI&amp;VAR:INDEX=0"}</definedName>
    <definedName name="_446__FDSAUDITLINK__" hidden="1">{"fdsup://directions/FAT Viewer?action=UPDATE&amp;creator=factset&amp;DYN_ARGS=TRUE&amp;DOC_NAME=FAT:FQL_AUDITING_CLIENT_TEMPLATE.FAT&amp;display_string=Audit&amp;VAR:KEY=ZOHMROPIHA&amp;VAR:QUERY=RkZfRElWX1lMRChBTk4sOS8xOS8wMiw5LzE5LzAyKQ==&amp;WINDOW=FIRST_POPUP&amp;HEIGHT=450&amp;WIDTH=450&amp;","START_MAXIMIZED=FALSE&amp;VAR:CALENDAR=US&amp;VAR:SYMBOL=RAI&amp;VAR:INDEX=0"}</definedName>
    <definedName name="_447">#REF!</definedName>
    <definedName name="_447__FDSAUDITLINK__" localSheetId="0" hidden="1">{"fdsup://directions/FAT Viewer?action=UPDATE&amp;creator=factset&amp;DYN_ARGS=TRUE&amp;DOC_NAME=FAT:FQL_AUDITING_CLIENT_TEMPLATE.FAT&amp;display_string=Audit&amp;VAR:KEY=RABCVCTWFW&amp;VAR:QUERY=RkZfRElWX1lMRChBTk4sOS8xMi8wMiw5LzEyLzAyKQ==&amp;WINDOW=FIRST_POPUP&amp;HEIGHT=450&amp;WIDTH=450&amp;","START_MAXIMIZED=FALSE&amp;VAR:CALENDAR=US&amp;VAR:SYMBOL=RAI&amp;VAR:INDEX=0"}</definedName>
    <definedName name="_447__FDSAUDITLINK__" hidden="1">{"fdsup://directions/FAT Viewer?action=UPDATE&amp;creator=factset&amp;DYN_ARGS=TRUE&amp;DOC_NAME=FAT:FQL_AUDITING_CLIENT_TEMPLATE.FAT&amp;display_string=Audit&amp;VAR:KEY=RABCVCTWFW&amp;VAR:QUERY=RkZfRElWX1lMRChBTk4sOS8xMi8wMiw5LzEyLzAyKQ==&amp;WINDOW=FIRST_POPUP&amp;HEIGHT=450&amp;WIDTH=450&amp;","START_MAXIMIZED=FALSE&amp;VAR:CALENDAR=US&amp;VAR:SYMBOL=RAI&amp;VAR:INDEX=0"}</definedName>
    <definedName name="_448">#REF!</definedName>
    <definedName name="_448__FDSAUDITLINK__" localSheetId="0" hidden="1">{"fdsup://directions/FAT Viewer?action=UPDATE&amp;creator=factset&amp;DYN_ARGS=TRUE&amp;DOC_NAME=FAT:FQL_AUDITING_CLIENT_TEMPLATE.FAT&amp;display_string=Audit&amp;VAR:KEY=HIBANKBKLK&amp;VAR:QUERY=RkZfRElWX1lMRChBTk4sOS8wNS8wMiw5LzA1LzAyKQ==&amp;WINDOW=FIRST_POPUP&amp;HEIGHT=450&amp;WIDTH=450&amp;","START_MAXIMIZED=FALSE&amp;VAR:CALENDAR=US&amp;VAR:SYMBOL=RAI&amp;VAR:INDEX=0"}</definedName>
    <definedName name="_448__FDSAUDITLINK__" hidden="1">{"fdsup://directions/FAT Viewer?action=UPDATE&amp;creator=factset&amp;DYN_ARGS=TRUE&amp;DOC_NAME=FAT:FQL_AUDITING_CLIENT_TEMPLATE.FAT&amp;display_string=Audit&amp;VAR:KEY=HIBANKBKLK&amp;VAR:QUERY=RkZfRElWX1lMRChBTk4sOS8wNS8wMiw5LzA1LzAyKQ==&amp;WINDOW=FIRST_POPUP&amp;HEIGHT=450&amp;WIDTH=450&amp;","START_MAXIMIZED=FALSE&amp;VAR:CALENDAR=US&amp;VAR:SYMBOL=RAI&amp;VAR:INDEX=0"}</definedName>
    <definedName name="_449">#REF!</definedName>
    <definedName name="_449__FDSAUDITLINK__" localSheetId="0" hidden="1">{"fdsup://directions/FAT Viewer?action=UPDATE&amp;creator=factset&amp;DYN_ARGS=TRUE&amp;DOC_NAME=FAT:FQL_AUDITING_CLIENT_TEMPLATE.FAT&amp;display_string=Audit&amp;VAR:KEY=TEHATYHIHO&amp;VAR:QUERY=RkZfRElWX1lMRChBTk4sOC8yOS8wMiw4LzI5LzAyKQ==&amp;WINDOW=FIRST_POPUP&amp;HEIGHT=450&amp;WIDTH=450&amp;","START_MAXIMIZED=FALSE&amp;VAR:CALENDAR=US&amp;VAR:SYMBOL=RAI&amp;VAR:INDEX=0"}</definedName>
    <definedName name="_449__FDSAUDITLINK__" hidden="1">{"fdsup://directions/FAT Viewer?action=UPDATE&amp;creator=factset&amp;DYN_ARGS=TRUE&amp;DOC_NAME=FAT:FQL_AUDITING_CLIENT_TEMPLATE.FAT&amp;display_string=Audit&amp;VAR:KEY=TEHATYHIHO&amp;VAR:QUERY=RkZfRElWX1lMRChBTk4sOC8yOS8wMiw4LzI5LzAyKQ==&amp;WINDOW=FIRST_POPUP&amp;HEIGHT=450&amp;WIDTH=450&amp;","START_MAXIMIZED=FALSE&amp;VAR:CALENDAR=US&amp;VAR:SYMBOL=RAI&amp;VAR:INDEX=0"}</definedName>
    <definedName name="_44main_form_account_grants_list_28_j_id1022">#REF!</definedName>
    <definedName name="_45">#REF!</definedName>
    <definedName name="_45_____NOTE1_3">#REF!</definedName>
    <definedName name="_45__123Graph_BCHART_3">#REF!</definedName>
    <definedName name="_45__123Graph_BWAGES_BY_B_U">#REF!</definedName>
    <definedName name="_45__123Graph_CCHART_26" hidden="1">#REF!</definedName>
    <definedName name="_45__123Graph_CSENS_COMPARISON">#REF!</definedName>
    <definedName name="_45__123Graph_DWAGES_BY_B_U">#REF!</definedName>
    <definedName name="_45__123Graph_ECONTRACT_BY_B_U">#REF!</definedName>
    <definedName name="_45__123Graph_XChart_6J">#REF!</definedName>
    <definedName name="_45__FDSAUDITLINK__" localSheetId="0" hidden="1">{"fdsup://directions/FAT Viewer?action=UPDATE&amp;creator=factset&amp;DYN_ARGS=TRUE&amp;DOC_NAME=FAT:FQL_AUDITING_CLIENT_TEMPLATE.FAT&amp;display_string=Audit&amp;VAR:KEY=VEROLOXQDI&amp;VAR:QUERY=RkZfRU5UUlBSX1ZBTF9EQUlMWSgwLCwsLFVTRCwnRElMJyk=&amp;WINDOW=FIRST_POPUP&amp;HEIGHT=450&amp;WIDTH=","450&amp;START_MAXIMIZED=FALSE&amp;VAR:CALENDAR=US&amp;VAR:SYMBOL=028758&amp;VAR:INDEX=0"}</definedName>
    <definedName name="_45__FDSAUDITLINK__" hidden="1">{"fdsup://directions/FAT Viewer?action=UPDATE&amp;creator=factset&amp;DYN_ARGS=TRUE&amp;DOC_NAME=FAT:FQL_AUDITING_CLIENT_TEMPLATE.FAT&amp;display_string=Audit&amp;VAR:KEY=VEROLOXQDI&amp;VAR:QUERY=RkZfRU5UUlBSX1ZBTF9EQUlMWSgwLCwsLFVTRCwnRElMJyk=&amp;WINDOW=FIRST_POPUP&amp;HEIGHT=450&amp;WIDTH=","450&amp;START_MAXIMIZED=FALSE&amp;VAR:CALENDAR=US&amp;VAR:SYMBOL=028758&amp;VAR:INDEX=0"}</definedName>
    <definedName name="_450">#REF!</definedName>
    <definedName name="_450__FDSAUDITLINK__" localSheetId="0" hidden="1">{"fdsup://directions/FAT Viewer?action=UPDATE&amp;creator=factset&amp;DYN_ARGS=TRUE&amp;DOC_NAME=FAT:FQL_AUDITING_CLIENT_TEMPLATE.FAT&amp;display_string=Audit&amp;VAR:KEY=XCDAHSBQFM&amp;VAR:QUERY=RkZfRElWX1lMRChBTk4sOC8yMi8wMiw4LzIyLzAyKQ==&amp;WINDOW=FIRST_POPUP&amp;HEIGHT=450&amp;WIDTH=450&amp;","START_MAXIMIZED=FALSE&amp;VAR:CALENDAR=US&amp;VAR:SYMBOL=RAI&amp;VAR:INDEX=0"}</definedName>
    <definedName name="_450__FDSAUDITLINK__" hidden="1">{"fdsup://directions/FAT Viewer?action=UPDATE&amp;creator=factset&amp;DYN_ARGS=TRUE&amp;DOC_NAME=FAT:FQL_AUDITING_CLIENT_TEMPLATE.FAT&amp;display_string=Audit&amp;VAR:KEY=XCDAHSBQFM&amp;VAR:QUERY=RkZfRElWX1lMRChBTk4sOC8yMi8wMiw4LzIyLzAyKQ==&amp;WINDOW=FIRST_POPUP&amp;HEIGHT=450&amp;WIDTH=450&amp;","START_MAXIMIZED=FALSE&amp;VAR:CALENDAR=US&amp;VAR:SYMBOL=RAI&amp;VAR:INDEX=0"}</definedName>
    <definedName name="_451">#REF!</definedName>
    <definedName name="_451__FDSAUDITLINK__" localSheetId="0" hidden="1">{"fdsup://directions/FAT Viewer?action=UPDATE&amp;creator=factset&amp;DYN_ARGS=TRUE&amp;DOC_NAME=FAT:FQL_AUDITING_CLIENT_TEMPLATE.FAT&amp;display_string=Audit&amp;VAR:KEY=PIRYRUHGZQ&amp;VAR:QUERY=RkZfRElWX1lMRChBTk4sOC8xNS8wMiw4LzE1LzAyKQ==&amp;WINDOW=FIRST_POPUP&amp;HEIGHT=450&amp;WIDTH=450&amp;","START_MAXIMIZED=FALSE&amp;VAR:CALENDAR=US&amp;VAR:SYMBOL=RAI&amp;VAR:INDEX=0"}</definedName>
    <definedName name="_451__FDSAUDITLINK__" hidden="1">{"fdsup://directions/FAT Viewer?action=UPDATE&amp;creator=factset&amp;DYN_ARGS=TRUE&amp;DOC_NAME=FAT:FQL_AUDITING_CLIENT_TEMPLATE.FAT&amp;display_string=Audit&amp;VAR:KEY=PIRYRUHGZQ&amp;VAR:QUERY=RkZfRElWX1lMRChBTk4sOC8xNS8wMiw4LzE1LzAyKQ==&amp;WINDOW=FIRST_POPUP&amp;HEIGHT=450&amp;WIDTH=450&amp;","START_MAXIMIZED=FALSE&amp;VAR:CALENDAR=US&amp;VAR:SYMBOL=RAI&amp;VAR:INDEX=0"}</definedName>
    <definedName name="_452">#REF!</definedName>
    <definedName name="_452__FDSAUDITLINK__" localSheetId="0" hidden="1">{"fdsup://directions/FAT Viewer?action=UPDATE&amp;creator=factset&amp;DYN_ARGS=TRUE&amp;DOC_NAME=FAT:FQL_AUDITING_CLIENT_TEMPLATE.FAT&amp;display_string=Audit&amp;VAR:KEY=BGDCPUDORI&amp;VAR:QUERY=RkZfRElWX1lMRChBTk4sOC8wOC8wMiw4LzA4LzAyKQ==&amp;WINDOW=FIRST_POPUP&amp;HEIGHT=450&amp;WIDTH=450&amp;","START_MAXIMIZED=FALSE&amp;VAR:CALENDAR=US&amp;VAR:SYMBOL=RAI&amp;VAR:INDEX=0"}</definedName>
    <definedName name="_452__FDSAUDITLINK__" hidden="1">{"fdsup://directions/FAT Viewer?action=UPDATE&amp;creator=factset&amp;DYN_ARGS=TRUE&amp;DOC_NAME=FAT:FQL_AUDITING_CLIENT_TEMPLATE.FAT&amp;display_string=Audit&amp;VAR:KEY=BGDCPUDORI&amp;VAR:QUERY=RkZfRElWX1lMRChBTk4sOC8wOC8wMiw4LzA4LzAyKQ==&amp;WINDOW=FIRST_POPUP&amp;HEIGHT=450&amp;WIDTH=450&amp;","START_MAXIMIZED=FALSE&amp;VAR:CALENDAR=US&amp;VAR:SYMBOL=RAI&amp;VAR:INDEX=0"}</definedName>
    <definedName name="_453">#REF!</definedName>
    <definedName name="_453__FDSAUDITLINK__" localSheetId="0" hidden="1">{"fdsup://directions/FAT Viewer?action=UPDATE&amp;creator=factset&amp;DYN_ARGS=TRUE&amp;DOC_NAME=FAT:FQL_AUDITING_CLIENT_TEMPLATE.FAT&amp;display_string=Audit&amp;VAR:KEY=ZIXWXWVWZU&amp;VAR:QUERY=RkZfRElWX1lMRChBTk4sOC8wMS8wMiw4LzAxLzAyKQ==&amp;WINDOW=FIRST_POPUP&amp;HEIGHT=450&amp;WIDTH=450&amp;","START_MAXIMIZED=FALSE&amp;VAR:CALENDAR=US&amp;VAR:SYMBOL=RAI&amp;VAR:INDEX=0"}</definedName>
    <definedName name="_453__FDSAUDITLINK__" hidden="1">{"fdsup://directions/FAT Viewer?action=UPDATE&amp;creator=factset&amp;DYN_ARGS=TRUE&amp;DOC_NAME=FAT:FQL_AUDITING_CLIENT_TEMPLATE.FAT&amp;display_string=Audit&amp;VAR:KEY=ZIXWXWVWZU&amp;VAR:QUERY=RkZfRElWX1lMRChBTk4sOC8wMS8wMiw4LzAxLzAyKQ==&amp;WINDOW=FIRST_POPUP&amp;HEIGHT=450&amp;WIDTH=450&amp;","START_MAXIMIZED=FALSE&amp;VAR:CALENDAR=US&amp;VAR:SYMBOL=RAI&amp;VAR:INDEX=0"}</definedName>
    <definedName name="_454">#REF!</definedName>
    <definedName name="_454__FDSAUDITLINK__" localSheetId="0" hidden="1">{"fdsup://directions/FAT Viewer?action=UPDATE&amp;creator=factset&amp;DYN_ARGS=TRUE&amp;DOC_NAME=FAT:FQL_AUDITING_CLIENT_TEMPLATE.FAT&amp;display_string=Audit&amp;VAR:KEY=DKJCDCBYHE&amp;VAR:QUERY=RkZfRElWX1lMRChBTk4sNy8yNS8wMiw3LzI1LzAyKQ==&amp;WINDOW=FIRST_POPUP&amp;HEIGHT=450&amp;WIDTH=450&amp;","START_MAXIMIZED=FALSE&amp;VAR:CALENDAR=US&amp;VAR:SYMBOL=RAI&amp;VAR:INDEX=0"}</definedName>
    <definedName name="_454__FDSAUDITLINK__" hidden="1">{"fdsup://directions/FAT Viewer?action=UPDATE&amp;creator=factset&amp;DYN_ARGS=TRUE&amp;DOC_NAME=FAT:FQL_AUDITING_CLIENT_TEMPLATE.FAT&amp;display_string=Audit&amp;VAR:KEY=DKJCDCBYHE&amp;VAR:QUERY=RkZfRElWX1lMRChBTk4sNy8yNS8wMiw3LzI1LzAyKQ==&amp;WINDOW=FIRST_POPUP&amp;HEIGHT=450&amp;WIDTH=450&amp;","START_MAXIMIZED=FALSE&amp;VAR:CALENDAR=US&amp;VAR:SYMBOL=RAI&amp;VAR:INDEX=0"}</definedName>
    <definedName name="_455">#REF!</definedName>
    <definedName name="_455__FDSAUDITLINK__" localSheetId="0" hidden="1">{"fdsup://directions/FAT Viewer?action=UPDATE&amp;creator=factset&amp;DYN_ARGS=TRUE&amp;DOC_NAME=FAT:FQL_AUDITING_CLIENT_TEMPLATE.FAT&amp;display_string=Audit&amp;VAR:KEY=VMLEPYPIDY&amp;VAR:QUERY=RkZfRElWX1lMRChBTk4sNy8xOC8wMiw3LzE4LzAyKQ==&amp;WINDOW=FIRST_POPUP&amp;HEIGHT=450&amp;WIDTH=450&amp;","START_MAXIMIZED=FALSE&amp;VAR:CALENDAR=US&amp;VAR:SYMBOL=RAI&amp;VAR:INDEX=0"}</definedName>
    <definedName name="_455__FDSAUDITLINK__" hidden="1">{"fdsup://directions/FAT Viewer?action=UPDATE&amp;creator=factset&amp;DYN_ARGS=TRUE&amp;DOC_NAME=FAT:FQL_AUDITING_CLIENT_TEMPLATE.FAT&amp;display_string=Audit&amp;VAR:KEY=VMLEPYPIDY&amp;VAR:QUERY=RkZfRElWX1lMRChBTk4sNy8xOC8wMiw3LzE4LzAyKQ==&amp;WINDOW=FIRST_POPUP&amp;HEIGHT=450&amp;WIDTH=450&amp;","START_MAXIMIZED=FALSE&amp;VAR:CALENDAR=US&amp;VAR:SYMBOL=RAI&amp;VAR:INDEX=0"}</definedName>
    <definedName name="_456">#REF!</definedName>
    <definedName name="_456__FDSAUDITLINK__" localSheetId="0" hidden="1">{"fdsup://directions/FAT Viewer?action=UPDATE&amp;creator=factset&amp;DYN_ARGS=TRUE&amp;DOC_NAME=FAT:FQL_AUDITING_CLIENT_TEMPLATE.FAT&amp;display_string=Audit&amp;VAR:KEY=VSTAHQZSHM&amp;VAR:QUERY=RkZfRElWX1lMRChBTk4sNy8xMS8wMiw3LzExLzAyKQ==&amp;WINDOW=FIRST_POPUP&amp;HEIGHT=450&amp;WIDTH=450&amp;","START_MAXIMIZED=FALSE&amp;VAR:CALENDAR=US&amp;VAR:SYMBOL=RAI&amp;VAR:INDEX=0"}</definedName>
    <definedName name="_456__FDSAUDITLINK__" hidden="1">{"fdsup://directions/FAT Viewer?action=UPDATE&amp;creator=factset&amp;DYN_ARGS=TRUE&amp;DOC_NAME=FAT:FQL_AUDITING_CLIENT_TEMPLATE.FAT&amp;display_string=Audit&amp;VAR:KEY=VSTAHQZSHM&amp;VAR:QUERY=RkZfRElWX1lMRChBTk4sNy8xMS8wMiw3LzExLzAyKQ==&amp;WINDOW=FIRST_POPUP&amp;HEIGHT=450&amp;WIDTH=450&amp;","START_MAXIMIZED=FALSE&amp;VAR:CALENDAR=US&amp;VAR:SYMBOL=RAI&amp;VAR:INDEX=0"}</definedName>
    <definedName name="_4561">#REF!</definedName>
    <definedName name="_4562">#REF!</definedName>
    <definedName name="_4564">#REF!</definedName>
    <definedName name="_4565">#REF!</definedName>
    <definedName name="_4567">#REF!</definedName>
    <definedName name="_4568">#REF!</definedName>
    <definedName name="_457">#REF!</definedName>
    <definedName name="_457__FDSAUDITLINK__" localSheetId="0" hidden="1">{"fdsup://directions/FAT Viewer?action=UPDATE&amp;creator=factset&amp;DYN_ARGS=TRUE&amp;DOC_NAME=FAT:FQL_AUDITING_CLIENT_TEMPLATE.FAT&amp;display_string=Audit&amp;VAR:KEY=HQJKZKXSJC&amp;VAR:QUERY=RkZfRElWX1lMRChBTk4sNy8wMy8wMiw3LzAzLzAyKQ==&amp;WINDOW=FIRST_POPUP&amp;HEIGHT=450&amp;WIDTH=450&amp;","START_MAXIMIZED=FALSE&amp;VAR:CALENDAR=US&amp;VAR:SYMBOL=RAI&amp;VAR:INDEX=0"}</definedName>
    <definedName name="_457__FDSAUDITLINK__" hidden="1">{"fdsup://directions/FAT Viewer?action=UPDATE&amp;creator=factset&amp;DYN_ARGS=TRUE&amp;DOC_NAME=FAT:FQL_AUDITING_CLIENT_TEMPLATE.FAT&amp;display_string=Audit&amp;VAR:KEY=HQJKZKXSJC&amp;VAR:QUERY=RkZfRElWX1lMRChBTk4sNy8wMy8wMiw3LzAzLzAyKQ==&amp;WINDOW=FIRST_POPUP&amp;HEIGHT=450&amp;WIDTH=450&amp;","START_MAXIMIZED=FALSE&amp;VAR:CALENDAR=US&amp;VAR:SYMBOL=RAI&amp;VAR:INDEX=0"}</definedName>
    <definedName name="_458">#REF!</definedName>
    <definedName name="_458__FDSAUDITLINK__" localSheetId="0" hidden="1">{"fdsup://directions/FAT Viewer?action=UPDATE&amp;creator=factset&amp;DYN_ARGS=TRUE&amp;DOC_NAME=FAT:FQL_AUDITING_CLIENT_TEMPLATE.FAT&amp;display_string=Audit&amp;VAR:KEY=VKHIXONEHU&amp;VAR:QUERY=RkZfRElWX1lMRChBTk4sNi8yNy8wMiw2LzI3LzAyKQ==&amp;WINDOW=FIRST_POPUP&amp;HEIGHT=450&amp;WIDTH=450&amp;","START_MAXIMIZED=FALSE&amp;VAR:CALENDAR=US&amp;VAR:SYMBOL=RAI&amp;VAR:INDEX=0"}</definedName>
    <definedName name="_458__FDSAUDITLINK__" hidden="1">{"fdsup://directions/FAT Viewer?action=UPDATE&amp;creator=factset&amp;DYN_ARGS=TRUE&amp;DOC_NAME=FAT:FQL_AUDITING_CLIENT_TEMPLATE.FAT&amp;display_string=Audit&amp;VAR:KEY=VKHIXONEHU&amp;VAR:QUERY=RkZfRElWX1lMRChBTk4sNi8yNy8wMiw2LzI3LzAyKQ==&amp;WINDOW=FIRST_POPUP&amp;HEIGHT=450&amp;WIDTH=450&amp;","START_MAXIMIZED=FALSE&amp;VAR:CALENDAR=US&amp;VAR:SYMBOL=RAI&amp;VAR:INDEX=0"}</definedName>
    <definedName name="_459">#REF!</definedName>
    <definedName name="_459__FDSAUDITLINK__" localSheetId="0" hidden="1">{"fdsup://directions/FAT Viewer?action=UPDATE&amp;creator=factset&amp;DYN_ARGS=TRUE&amp;DOC_NAME=FAT:FQL_AUDITING_CLIENT_TEMPLATE.FAT&amp;display_string=Audit&amp;VAR:KEY=TWVUNWDIJG&amp;VAR:QUERY=RkZfRElWX1lMRChBTk4sNi8yMC8wMiw2LzIwLzAyKQ==&amp;WINDOW=FIRST_POPUP&amp;HEIGHT=450&amp;WIDTH=450&amp;","START_MAXIMIZED=FALSE&amp;VAR:CALENDAR=US&amp;VAR:SYMBOL=RAI&amp;VAR:INDEX=0"}</definedName>
    <definedName name="_459__FDSAUDITLINK__" hidden="1">{"fdsup://directions/FAT Viewer?action=UPDATE&amp;creator=factset&amp;DYN_ARGS=TRUE&amp;DOC_NAME=FAT:FQL_AUDITING_CLIENT_TEMPLATE.FAT&amp;display_string=Audit&amp;VAR:KEY=TWVUNWDIJG&amp;VAR:QUERY=RkZfRElWX1lMRChBTk4sNi8yMC8wMiw2LzIwLzAyKQ==&amp;WINDOW=FIRST_POPUP&amp;HEIGHT=450&amp;WIDTH=450&amp;","START_MAXIMIZED=FALSE&amp;VAR:CALENDAR=US&amp;VAR:SYMBOL=RAI&amp;VAR:INDEX=0"}</definedName>
    <definedName name="_46_____NOTE5_7">#REF!</definedName>
    <definedName name="_46__123Graph_BSENS_COMPARISON">#REF!</definedName>
    <definedName name="_46__123Graph_CCHART_30" hidden="1">#REF!</definedName>
    <definedName name="_46__123Graph_CCONTRACT_BY_B_U">#REF!</definedName>
    <definedName name="_46__123Graph_EQRE_S_BY_CO.">#REF!</definedName>
    <definedName name="_46__123Graph_XChart_7J">#REF!</definedName>
    <definedName name="_46__FDSAUDITLINK__" localSheetId="0" hidden="1">{"fdsup://directions/FAT Viewer?action=UPDATE&amp;creator=factset&amp;DYN_ARGS=TRUE&amp;DOC_NAME=FAT:FQL_AUDITING_CLIENT_TEMPLATE.FAT&amp;display_string=Audit&amp;VAR:KEY=XQTELYJUVI&amp;VAR:QUERY=RkZfREVCVChBTk4sMCk=&amp;WINDOW=FIRST_POPUP&amp;HEIGHT=450&amp;WIDTH=450&amp;START_MAXIMIZED=FALSE&amp;VA","R:CALENDAR=US&amp;VAR:SYMBOL=214189&amp;VAR:INDEX=0"}</definedName>
    <definedName name="_46__FDSAUDITLINK__" hidden="1">{"fdsup://directions/FAT Viewer?action=UPDATE&amp;creator=factset&amp;DYN_ARGS=TRUE&amp;DOC_NAME=FAT:FQL_AUDITING_CLIENT_TEMPLATE.FAT&amp;display_string=Audit&amp;VAR:KEY=XQTELYJUVI&amp;VAR:QUERY=RkZfREVCVChBTk4sMCk=&amp;WINDOW=FIRST_POPUP&amp;HEIGHT=450&amp;WIDTH=450&amp;START_MAXIMIZED=FALSE&amp;VA","R:CALENDAR=US&amp;VAR:SYMBOL=214189&amp;VAR:INDEX=0"}</definedName>
    <definedName name="_46_0_S" hidden="1">#REF!</definedName>
    <definedName name="_460">#REF!</definedName>
    <definedName name="_460__FDSAUDITLINK__" localSheetId="0" hidden="1">{"fdsup://directions/FAT Viewer?action=UPDATE&amp;creator=factset&amp;DYN_ARGS=TRUE&amp;DOC_NAME=FAT:FQL_AUDITING_CLIENT_TEMPLATE.FAT&amp;display_string=Audit&amp;VAR:KEY=XADOJMRODA&amp;VAR:QUERY=RkZfRElWX1lMRChBTk4sNi8xMy8wMiw2LzEzLzAyKQ==&amp;WINDOW=FIRST_POPUP&amp;HEIGHT=450&amp;WIDTH=450&amp;","START_MAXIMIZED=FALSE&amp;VAR:CALENDAR=US&amp;VAR:SYMBOL=RAI&amp;VAR:INDEX=0"}</definedName>
    <definedName name="_460__FDSAUDITLINK__" hidden="1">{"fdsup://directions/FAT Viewer?action=UPDATE&amp;creator=factset&amp;DYN_ARGS=TRUE&amp;DOC_NAME=FAT:FQL_AUDITING_CLIENT_TEMPLATE.FAT&amp;display_string=Audit&amp;VAR:KEY=XADOJMRODA&amp;VAR:QUERY=RkZfRElWX1lMRChBTk4sNi8xMy8wMiw2LzEzLzAyKQ==&amp;WINDOW=FIRST_POPUP&amp;HEIGHT=450&amp;WIDTH=450&amp;","START_MAXIMIZED=FALSE&amp;VAR:CALENDAR=US&amp;VAR:SYMBOL=RAI&amp;VAR:INDEX=0"}</definedName>
    <definedName name="_461">#REF!</definedName>
    <definedName name="_461__FDSAUDITLINK__" localSheetId="0" hidden="1">{"fdsup://directions/FAT Viewer?action=UPDATE&amp;creator=factset&amp;DYN_ARGS=TRUE&amp;DOC_NAME=FAT:FQL_AUDITING_CLIENT_TEMPLATE.FAT&amp;display_string=Audit&amp;VAR:KEY=HWHSDORYNA&amp;VAR:QUERY=RkZfRElWX1lMRChBTk4sNi8wNi8wMiw2LzA2LzAyKQ==&amp;WINDOW=FIRST_POPUP&amp;HEIGHT=450&amp;WIDTH=450&amp;","START_MAXIMIZED=FALSE&amp;VAR:CALENDAR=US&amp;VAR:SYMBOL=RAI&amp;VAR:INDEX=0"}</definedName>
    <definedName name="_461__FDSAUDITLINK__" hidden="1">{"fdsup://directions/FAT Viewer?action=UPDATE&amp;creator=factset&amp;DYN_ARGS=TRUE&amp;DOC_NAME=FAT:FQL_AUDITING_CLIENT_TEMPLATE.FAT&amp;display_string=Audit&amp;VAR:KEY=HWHSDORYNA&amp;VAR:QUERY=RkZfRElWX1lMRChBTk4sNi8wNi8wMiw2LzA2LzAyKQ==&amp;WINDOW=FIRST_POPUP&amp;HEIGHT=450&amp;WIDTH=450&amp;","START_MAXIMIZED=FALSE&amp;VAR:CALENDAR=US&amp;VAR:SYMBOL=RAI&amp;VAR:INDEX=0"}</definedName>
    <definedName name="_462">#REF!</definedName>
    <definedName name="_462__FDSAUDITLINK__" localSheetId="0" hidden="1">{"fdsup://directions/FAT Viewer?action=UPDATE&amp;creator=factset&amp;DYN_ARGS=TRUE&amp;DOC_NAME=FAT:FQL_AUDITING_CLIENT_TEMPLATE.FAT&amp;display_string=Audit&amp;VAR:KEY=PKRWVSDKHI&amp;VAR:QUERY=RkZfRElWX1lMRChBTk4sNS8zMC8wMiw1LzMwLzAyKQ==&amp;WINDOW=FIRST_POPUP&amp;HEIGHT=450&amp;WIDTH=450&amp;","START_MAXIMIZED=FALSE&amp;VAR:CALENDAR=US&amp;VAR:SYMBOL=RAI&amp;VAR:INDEX=0"}</definedName>
    <definedName name="_462__FDSAUDITLINK__" hidden="1">{"fdsup://directions/FAT Viewer?action=UPDATE&amp;creator=factset&amp;DYN_ARGS=TRUE&amp;DOC_NAME=FAT:FQL_AUDITING_CLIENT_TEMPLATE.FAT&amp;display_string=Audit&amp;VAR:KEY=PKRWVSDKHI&amp;VAR:QUERY=RkZfRElWX1lMRChBTk4sNS8zMC8wMiw1LzMwLzAyKQ==&amp;WINDOW=FIRST_POPUP&amp;HEIGHT=450&amp;WIDTH=450&amp;","START_MAXIMIZED=FALSE&amp;VAR:CALENDAR=US&amp;VAR:SYMBOL=RAI&amp;VAR:INDEX=0"}</definedName>
    <definedName name="_463">#REF!</definedName>
    <definedName name="_463__FDSAUDITLINK__" localSheetId="0" hidden="1">{"fdsup://directions/FAT Viewer?action=UPDATE&amp;creator=factset&amp;DYN_ARGS=TRUE&amp;DOC_NAME=FAT:FQL_AUDITING_CLIENT_TEMPLATE.FAT&amp;display_string=Audit&amp;VAR:KEY=HCBCFOVGDM&amp;VAR:QUERY=RkZfRElWX1lMRChBTk4sNS8yMy8wMiw1LzIzLzAyKQ==&amp;WINDOW=FIRST_POPUP&amp;HEIGHT=450&amp;WIDTH=450&amp;","START_MAXIMIZED=FALSE&amp;VAR:CALENDAR=US&amp;VAR:SYMBOL=RAI&amp;VAR:INDEX=0"}</definedName>
    <definedName name="_463__FDSAUDITLINK__" hidden="1">{"fdsup://directions/FAT Viewer?action=UPDATE&amp;creator=factset&amp;DYN_ARGS=TRUE&amp;DOC_NAME=FAT:FQL_AUDITING_CLIENT_TEMPLATE.FAT&amp;display_string=Audit&amp;VAR:KEY=HCBCFOVGDM&amp;VAR:QUERY=RkZfRElWX1lMRChBTk4sNS8yMy8wMiw1LzIzLzAyKQ==&amp;WINDOW=FIRST_POPUP&amp;HEIGHT=450&amp;WIDTH=450&amp;","START_MAXIMIZED=FALSE&amp;VAR:CALENDAR=US&amp;VAR:SYMBOL=RAI&amp;VAR:INDEX=0"}</definedName>
    <definedName name="_464">#REF!</definedName>
    <definedName name="_464__FDSAUDITLINK__" localSheetId="0" hidden="1">{"fdsup://directions/FAT Viewer?action=UPDATE&amp;creator=factset&amp;DYN_ARGS=TRUE&amp;DOC_NAME=FAT:FQL_AUDITING_CLIENT_TEMPLATE.FAT&amp;display_string=Audit&amp;VAR:KEY=TWZGDMNGLI&amp;VAR:QUERY=RkZfRElWX1lMRChBTk4sNS8xNi8wMiw1LzE2LzAyKQ==&amp;WINDOW=FIRST_POPUP&amp;HEIGHT=450&amp;WIDTH=450&amp;","START_MAXIMIZED=FALSE&amp;VAR:CALENDAR=US&amp;VAR:SYMBOL=RAI&amp;VAR:INDEX=0"}</definedName>
    <definedName name="_464__FDSAUDITLINK__" hidden="1">{"fdsup://directions/FAT Viewer?action=UPDATE&amp;creator=factset&amp;DYN_ARGS=TRUE&amp;DOC_NAME=FAT:FQL_AUDITING_CLIENT_TEMPLATE.FAT&amp;display_string=Audit&amp;VAR:KEY=TWZGDMNGLI&amp;VAR:QUERY=RkZfRElWX1lMRChBTk4sNS8xNi8wMiw1LzE2LzAyKQ==&amp;WINDOW=FIRST_POPUP&amp;HEIGHT=450&amp;WIDTH=450&amp;","START_MAXIMIZED=FALSE&amp;VAR:CALENDAR=US&amp;VAR:SYMBOL=RAI&amp;VAR:INDEX=0"}</definedName>
    <definedName name="_465__FDSAUDITLINK__" localSheetId="0" hidden="1">{"fdsup://directions/FAT Viewer?action=UPDATE&amp;creator=factset&amp;DYN_ARGS=TRUE&amp;DOC_NAME=FAT:FQL_AUDITING_CLIENT_TEMPLATE.FAT&amp;display_string=Audit&amp;VAR:KEY=FOJOFGJIHI&amp;VAR:QUERY=RkZfRElWX1lMRChBTk4sNS8wOS8wMiw1LzA5LzAyKQ==&amp;WINDOW=FIRST_POPUP&amp;HEIGHT=450&amp;WIDTH=450&amp;","START_MAXIMIZED=FALSE&amp;VAR:CALENDAR=US&amp;VAR:SYMBOL=RAI&amp;VAR:INDEX=0"}</definedName>
    <definedName name="_465__FDSAUDITLINK__" hidden="1">{"fdsup://directions/FAT Viewer?action=UPDATE&amp;creator=factset&amp;DYN_ARGS=TRUE&amp;DOC_NAME=FAT:FQL_AUDITING_CLIENT_TEMPLATE.FAT&amp;display_string=Audit&amp;VAR:KEY=FOJOFGJIHI&amp;VAR:QUERY=RkZfRElWX1lMRChBTk4sNS8wOS8wMiw1LzA5LzAyKQ==&amp;WINDOW=FIRST_POPUP&amp;HEIGHT=450&amp;WIDTH=450&amp;","START_MAXIMIZED=FALSE&amp;VAR:CALENDAR=US&amp;VAR:SYMBOL=RAI&amp;VAR:INDEX=0"}</definedName>
    <definedName name="_466__FDSAUDITLINK__" localSheetId="0" hidden="1">{"fdsup://directions/FAT Viewer?action=UPDATE&amp;creator=factset&amp;DYN_ARGS=TRUE&amp;DOC_NAME=FAT:FQL_AUDITING_CLIENT_TEMPLATE.FAT&amp;display_string=Audit&amp;VAR:KEY=VGLSLSDOBA&amp;VAR:QUERY=RkZfRElWX1lMRChBTk4sNS8wMi8wMiw1LzAyLzAyKQ==&amp;WINDOW=FIRST_POPUP&amp;HEIGHT=450&amp;WIDTH=450&amp;","START_MAXIMIZED=FALSE&amp;VAR:CALENDAR=US&amp;VAR:SYMBOL=RAI&amp;VAR:INDEX=0"}</definedName>
    <definedName name="_466__FDSAUDITLINK__" hidden="1">{"fdsup://directions/FAT Viewer?action=UPDATE&amp;creator=factset&amp;DYN_ARGS=TRUE&amp;DOC_NAME=FAT:FQL_AUDITING_CLIENT_TEMPLATE.FAT&amp;display_string=Audit&amp;VAR:KEY=VGLSLSDOBA&amp;VAR:QUERY=RkZfRElWX1lMRChBTk4sNS8wMi8wMiw1LzAyLzAyKQ==&amp;WINDOW=FIRST_POPUP&amp;HEIGHT=450&amp;WIDTH=450&amp;","START_MAXIMIZED=FALSE&amp;VAR:CALENDAR=US&amp;VAR:SYMBOL=RAI&amp;VAR:INDEX=0"}</definedName>
    <definedName name="_467__FDSAUDITLINK__" localSheetId="0" hidden="1">{"fdsup://directions/FAT Viewer?action=UPDATE&amp;creator=factset&amp;DYN_ARGS=TRUE&amp;DOC_NAME=FAT:FQL_AUDITING_CLIENT_TEMPLATE.FAT&amp;display_string=Audit&amp;VAR:KEY=PSTSDMRMBI&amp;VAR:QUERY=RkZfRElWX1lMRChBTk4sNC8yNS8wMiw0LzI1LzAyKQ==&amp;WINDOW=FIRST_POPUP&amp;HEIGHT=450&amp;WIDTH=450&amp;","START_MAXIMIZED=FALSE&amp;VAR:CALENDAR=US&amp;VAR:SYMBOL=RAI&amp;VAR:INDEX=0"}</definedName>
    <definedName name="_467__FDSAUDITLINK__" hidden="1">{"fdsup://directions/FAT Viewer?action=UPDATE&amp;creator=factset&amp;DYN_ARGS=TRUE&amp;DOC_NAME=FAT:FQL_AUDITING_CLIENT_TEMPLATE.FAT&amp;display_string=Audit&amp;VAR:KEY=PSTSDMRMBI&amp;VAR:QUERY=RkZfRElWX1lMRChBTk4sNC8yNS8wMiw0LzI1LzAyKQ==&amp;WINDOW=FIRST_POPUP&amp;HEIGHT=450&amp;WIDTH=450&amp;","START_MAXIMIZED=FALSE&amp;VAR:CALENDAR=US&amp;VAR:SYMBOL=RAI&amp;VAR:INDEX=0"}</definedName>
    <definedName name="_468">#REF!</definedName>
    <definedName name="_468__FDSAUDITLINK__" localSheetId="0" hidden="1">{"fdsup://directions/FAT Viewer?action=UPDATE&amp;creator=factset&amp;DYN_ARGS=TRUE&amp;DOC_NAME=FAT:FQL_AUDITING_CLIENT_TEMPLATE.FAT&amp;display_string=Audit&amp;VAR:KEY=ZGLMRYJIVW&amp;VAR:QUERY=RkZfRElWX1lMRChBTk4sNC8xOC8wMiw0LzE4LzAyKQ==&amp;WINDOW=FIRST_POPUP&amp;HEIGHT=450&amp;WIDTH=450&amp;","START_MAXIMIZED=FALSE&amp;VAR:CALENDAR=US&amp;VAR:SYMBOL=RAI&amp;VAR:INDEX=0"}</definedName>
    <definedName name="_468__FDSAUDITLINK__" hidden="1">{"fdsup://directions/FAT Viewer?action=UPDATE&amp;creator=factset&amp;DYN_ARGS=TRUE&amp;DOC_NAME=FAT:FQL_AUDITING_CLIENT_TEMPLATE.FAT&amp;display_string=Audit&amp;VAR:KEY=ZGLMRYJIVW&amp;VAR:QUERY=RkZfRElWX1lMRChBTk4sNC8xOC8wMiw0LzE4LzAyKQ==&amp;WINDOW=FIRST_POPUP&amp;HEIGHT=450&amp;WIDTH=450&amp;","START_MAXIMIZED=FALSE&amp;VAR:CALENDAR=US&amp;VAR:SYMBOL=RAI&amp;VAR:INDEX=0"}</definedName>
    <definedName name="_469__FDSAUDITLINK__" localSheetId="0" hidden="1">{"fdsup://directions/FAT Viewer?action=UPDATE&amp;creator=factset&amp;DYN_ARGS=TRUE&amp;DOC_NAME=FAT:FQL_AUDITING_CLIENT_TEMPLATE.FAT&amp;display_string=Audit&amp;VAR:KEY=TGHMTIVEDA&amp;VAR:QUERY=RkZfRElWX1lMRChBTk4sNC8xMS8wMiw0LzExLzAyKQ==&amp;WINDOW=FIRST_POPUP&amp;HEIGHT=450&amp;WIDTH=450&amp;","START_MAXIMIZED=FALSE&amp;VAR:CALENDAR=US&amp;VAR:SYMBOL=RAI&amp;VAR:INDEX=0"}</definedName>
    <definedName name="_469__FDSAUDITLINK__" hidden="1">{"fdsup://directions/FAT Viewer?action=UPDATE&amp;creator=factset&amp;DYN_ARGS=TRUE&amp;DOC_NAME=FAT:FQL_AUDITING_CLIENT_TEMPLATE.FAT&amp;display_string=Audit&amp;VAR:KEY=TGHMTIVEDA&amp;VAR:QUERY=RkZfRElWX1lMRChBTk4sNC8xMS8wMiw0LzExLzAyKQ==&amp;WINDOW=FIRST_POPUP&amp;HEIGHT=450&amp;WIDTH=450&amp;","START_MAXIMIZED=FALSE&amp;VAR:CALENDAR=US&amp;VAR:SYMBOL=RAI&amp;VAR:INDEX=0"}</definedName>
    <definedName name="_46main_form_account_grants_list_29_j_id1022">#REF!</definedName>
    <definedName name="_47">#REF!</definedName>
    <definedName name="_47_____NOTE8_9">#REF!</definedName>
    <definedName name="_47__123Graph_CQRE_S_BY_CO.">#REF!</definedName>
    <definedName name="_47__123Graph_ECONTRACT_BY_B_U">#REF!</definedName>
    <definedName name="_47__123Graph_EQRE_S_BY_CO.">#REF!</definedName>
    <definedName name="_47__123Graph_LBL_ACHART_3">#REF!</definedName>
    <definedName name="_47__123Graph_XChart_8J">#REF!</definedName>
    <definedName name="_47__FDSAUDITLINK__" localSheetId="0" hidden="1">{"fdsup://directions/FAT Viewer?action=UPDATE&amp;creator=factset&amp;DYN_ARGS=TRUE&amp;DOC_NAME=FAT:FQL_AUDITING_CLIENT_TEMPLATE.FAT&amp;display_string=Audit&amp;VAR:KEY=NIPAJQRYHA&amp;VAR:QUERY=QVZHKEZGX0RJVl9ZTEQoQU5OLDQwOTk0LC0xQVkpKQ==&amp;WINDOW=FIRST_POPUP&amp;HEIGHT=450&amp;WIDTH=450&amp;","START_MAXIMIZED=FALSE&amp;VAR:CALENDAR=US&amp;VAR:SYMBOL=MO"}</definedName>
    <definedName name="_47__FDSAUDITLINK__" hidden="1">{"fdsup://directions/FAT Viewer?action=UPDATE&amp;creator=factset&amp;DYN_ARGS=TRUE&amp;DOC_NAME=FAT:FQL_AUDITING_CLIENT_TEMPLATE.FAT&amp;display_string=Audit&amp;VAR:KEY=NIPAJQRYHA&amp;VAR:QUERY=QVZHKEZGX0RJVl9ZTEQoQU5OLDQwOTk0LC0xQVkpKQ==&amp;WINDOW=FIRST_POPUP&amp;HEIGHT=450&amp;WIDTH=450&amp;","START_MAXIMIZED=FALSE&amp;VAR:CALENDAR=US&amp;VAR:SYMBOL=MO"}</definedName>
    <definedName name="_47_0_S" hidden="1">#REF!</definedName>
    <definedName name="_470__FDSAUDITLINK__" localSheetId="0" hidden="1">{"fdsup://directions/FAT Viewer?action=UPDATE&amp;creator=factset&amp;DYN_ARGS=TRUE&amp;DOC_NAME=FAT:FQL_AUDITING_CLIENT_TEMPLATE.FAT&amp;display_string=Audit&amp;VAR:KEY=REZMBQBMDI&amp;VAR:QUERY=RkZfRElWX1lMRChBTk4sNC8wNC8wMiw0LzA0LzAyKQ==&amp;WINDOW=FIRST_POPUP&amp;HEIGHT=450&amp;WIDTH=450&amp;","START_MAXIMIZED=FALSE&amp;VAR:CALENDAR=US&amp;VAR:SYMBOL=RAI&amp;VAR:INDEX=0"}</definedName>
    <definedName name="_470__FDSAUDITLINK__" hidden="1">{"fdsup://directions/FAT Viewer?action=UPDATE&amp;creator=factset&amp;DYN_ARGS=TRUE&amp;DOC_NAME=FAT:FQL_AUDITING_CLIENT_TEMPLATE.FAT&amp;display_string=Audit&amp;VAR:KEY=REZMBQBMDI&amp;VAR:QUERY=RkZfRElWX1lMRChBTk4sNC8wNC8wMiw0LzA0LzAyKQ==&amp;WINDOW=FIRST_POPUP&amp;HEIGHT=450&amp;WIDTH=450&amp;","START_MAXIMIZED=FALSE&amp;VAR:CALENDAR=US&amp;VAR:SYMBOL=RAI&amp;VAR:INDEX=0"}</definedName>
    <definedName name="_471__FDSAUDITLINK__" localSheetId="0" hidden="1">{"fdsup://directions/FAT Viewer?action=UPDATE&amp;creator=factset&amp;DYN_ARGS=TRUE&amp;DOC_NAME=FAT:FQL_AUDITING_CLIENT_TEMPLATE.FAT&amp;display_string=Audit&amp;VAR:KEY=XMDEHSRYNS&amp;VAR:QUERY=RkZfRElWX1lMRChBTk4sMy8yOC8wMiwzLzI4LzAyKQ==&amp;WINDOW=FIRST_POPUP&amp;HEIGHT=450&amp;WIDTH=450&amp;","START_MAXIMIZED=FALSE&amp;VAR:CALENDAR=US&amp;VAR:SYMBOL=RAI&amp;VAR:INDEX=0"}</definedName>
    <definedName name="_471__FDSAUDITLINK__" hidden="1">{"fdsup://directions/FAT Viewer?action=UPDATE&amp;creator=factset&amp;DYN_ARGS=TRUE&amp;DOC_NAME=FAT:FQL_AUDITING_CLIENT_TEMPLATE.FAT&amp;display_string=Audit&amp;VAR:KEY=XMDEHSRYNS&amp;VAR:QUERY=RkZfRElWX1lMRChBTk4sMy8yOC8wMiwzLzI4LzAyKQ==&amp;WINDOW=FIRST_POPUP&amp;HEIGHT=450&amp;WIDTH=450&amp;","START_MAXIMIZED=FALSE&amp;VAR:CALENDAR=US&amp;VAR:SYMBOL=RAI&amp;VAR:INDEX=0"}</definedName>
    <definedName name="_472">#REF!</definedName>
    <definedName name="_472__FDSAUDITLINK__" localSheetId="0" hidden="1">{"fdsup://directions/FAT Viewer?action=UPDATE&amp;creator=factset&amp;DYN_ARGS=TRUE&amp;DOC_NAME=FAT:FQL_AUDITING_CLIENT_TEMPLATE.FAT&amp;display_string=Audit&amp;VAR:KEY=FIDCDIHQVW&amp;VAR:QUERY=RkZfRElWX1lMRChBTk4sMy8yMS8wMiwzLzIxLzAyKQ==&amp;WINDOW=FIRST_POPUP&amp;HEIGHT=450&amp;WIDTH=450&amp;","START_MAXIMIZED=FALSE&amp;VAR:CALENDAR=US&amp;VAR:SYMBOL=RAI&amp;VAR:INDEX=0"}</definedName>
    <definedName name="_472__FDSAUDITLINK__" hidden="1">{"fdsup://directions/FAT Viewer?action=UPDATE&amp;creator=factset&amp;DYN_ARGS=TRUE&amp;DOC_NAME=FAT:FQL_AUDITING_CLIENT_TEMPLATE.FAT&amp;display_string=Audit&amp;VAR:KEY=FIDCDIHQVW&amp;VAR:QUERY=RkZfRElWX1lMRChBTk4sMy8yMS8wMiwzLzIxLzAyKQ==&amp;WINDOW=FIRST_POPUP&amp;HEIGHT=450&amp;WIDTH=450&amp;","START_MAXIMIZED=FALSE&amp;VAR:CALENDAR=US&amp;VAR:SYMBOL=RAI&amp;VAR:INDEX=0"}</definedName>
    <definedName name="_473">#REF!</definedName>
    <definedName name="_473__FDSAUDITLINK__" localSheetId="0" hidden="1">{"fdsup://directions/FAT Viewer?action=UPDATE&amp;creator=factset&amp;DYN_ARGS=TRUE&amp;DOC_NAME=FAT:FQL_AUDITING_CLIENT_TEMPLATE.FAT&amp;display_string=Audit&amp;VAR:KEY=HEXENGRCDI&amp;VAR:QUERY=RkZfRElWX1lMRChBTk4sMy8xNC8wMiwzLzE0LzAyKQ==&amp;WINDOW=FIRST_POPUP&amp;HEIGHT=450&amp;WIDTH=450&amp;","START_MAXIMIZED=FALSE&amp;VAR:CALENDAR=US&amp;VAR:SYMBOL=RAI&amp;VAR:INDEX=0"}</definedName>
    <definedName name="_473__FDSAUDITLINK__" hidden="1">{"fdsup://directions/FAT Viewer?action=UPDATE&amp;creator=factset&amp;DYN_ARGS=TRUE&amp;DOC_NAME=FAT:FQL_AUDITING_CLIENT_TEMPLATE.FAT&amp;display_string=Audit&amp;VAR:KEY=HEXENGRCDI&amp;VAR:QUERY=RkZfRElWX1lMRChBTk4sMy8xNC8wMiwzLzE0LzAyKQ==&amp;WINDOW=FIRST_POPUP&amp;HEIGHT=450&amp;WIDTH=450&amp;","START_MAXIMIZED=FALSE&amp;VAR:CALENDAR=US&amp;VAR:SYMBOL=RAI&amp;VAR:INDEX=0"}</definedName>
    <definedName name="_474">#REF!</definedName>
    <definedName name="_474__FDSAUDITLINK__" localSheetId="0" hidden="1">{"fdsup://directions/FAT Viewer?action=UPDATE&amp;creator=factset&amp;DYN_ARGS=TRUE&amp;DOC_NAME=FAT:FQL_AUDITING_CLIENT_TEMPLATE.FAT&amp;display_string=Audit&amp;VAR:KEY=NKZKTOROPE&amp;VAR:QUERY=RkZfRElWX1lMRChBTk4sMy8wNy8wMiwzLzA3LzAyKQ==&amp;WINDOW=FIRST_POPUP&amp;HEIGHT=450&amp;WIDTH=450&amp;","START_MAXIMIZED=FALSE&amp;VAR:CALENDAR=US&amp;VAR:SYMBOL=RAI&amp;VAR:INDEX=0"}</definedName>
    <definedName name="_474__FDSAUDITLINK__" hidden="1">{"fdsup://directions/FAT Viewer?action=UPDATE&amp;creator=factset&amp;DYN_ARGS=TRUE&amp;DOC_NAME=FAT:FQL_AUDITING_CLIENT_TEMPLATE.FAT&amp;display_string=Audit&amp;VAR:KEY=NKZKTOROPE&amp;VAR:QUERY=RkZfRElWX1lMRChBTk4sMy8wNy8wMiwzLzA3LzAyKQ==&amp;WINDOW=FIRST_POPUP&amp;HEIGHT=450&amp;WIDTH=450&amp;","START_MAXIMIZED=FALSE&amp;VAR:CALENDAR=US&amp;VAR:SYMBOL=RAI&amp;VAR:INDEX=0"}</definedName>
    <definedName name="_475">#REF!</definedName>
    <definedName name="_475__FDSAUDITLINK__" localSheetId="0" hidden="1">{"fdsup://directions/FAT Viewer?action=UPDATE&amp;creator=factset&amp;DYN_ARGS=TRUE&amp;DOC_NAME=FAT:FQL_AUDITING_CLIENT_TEMPLATE.FAT&amp;display_string=Audit&amp;VAR:KEY=DCNCFOXGDM&amp;VAR:QUERY=RkZfRElWX1lMRChBTk4sMi8yOC8wMiwyLzI4LzAyKQ==&amp;WINDOW=FIRST_POPUP&amp;HEIGHT=450&amp;WIDTH=450&amp;","START_MAXIMIZED=FALSE&amp;VAR:CALENDAR=US&amp;VAR:SYMBOL=RAI&amp;VAR:INDEX=0"}</definedName>
    <definedName name="_475__FDSAUDITLINK__" hidden="1">{"fdsup://directions/FAT Viewer?action=UPDATE&amp;creator=factset&amp;DYN_ARGS=TRUE&amp;DOC_NAME=FAT:FQL_AUDITING_CLIENT_TEMPLATE.FAT&amp;display_string=Audit&amp;VAR:KEY=DCNCFOXGDM&amp;VAR:QUERY=RkZfRElWX1lMRChBTk4sMi8yOC8wMiwyLzI4LzAyKQ==&amp;WINDOW=FIRST_POPUP&amp;HEIGHT=450&amp;WIDTH=450&amp;","START_MAXIMIZED=FALSE&amp;VAR:CALENDAR=US&amp;VAR:SYMBOL=RAI&amp;VAR:INDEX=0"}</definedName>
    <definedName name="_476">#REF!</definedName>
    <definedName name="_476__FDSAUDITLINK__" localSheetId="0" hidden="1">{"fdsup://directions/FAT Viewer?action=UPDATE&amp;creator=factset&amp;DYN_ARGS=TRUE&amp;DOC_NAME=FAT:FQL_AUDITING_CLIENT_TEMPLATE.FAT&amp;display_string=Audit&amp;VAR:KEY=ZWLMHSBYRU&amp;VAR:QUERY=RkZfRElWX1lMRChBTk4sMi8yMS8wMiwyLzIxLzAyKQ==&amp;WINDOW=FIRST_POPUP&amp;HEIGHT=450&amp;WIDTH=450&amp;","START_MAXIMIZED=FALSE&amp;VAR:CALENDAR=US&amp;VAR:SYMBOL=RAI&amp;VAR:INDEX=0"}</definedName>
    <definedName name="_476__FDSAUDITLINK__" hidden="1">{"fdsup://directions/FAT Viewer?action=UPDATE&amp;creator=factset&amp;DYN_ARGS=TRUE&amp;DOC_NAME=FAT:FQL_AUDITING_CLIENT_TEMPLATE.FAT&amp;display_string=Audit&amp;VAR:KEY=ZWLMHSBYRU&amp;VAR:QUERY=RkZfRElWX1lMRChBTk4sMi8yMS8wMiwyLzIxLzAyKQ==&amp;WINDOW=FIRST_POPUP&amp;HEIGHT=450&amp;WIDTH=450&amp;","START_MAXIMIZED=FALSE&amp;VAR:CALENDAR=US&amp;VAR:SYMBOL=RAI&amp;VAR:INDEX=0"}</definedName>
    <definedName name="_477">#REF!</definedName>
    <definedName name="_477__FDSAUDITLINK__" localSheetId="0" hidden="1">{"fdsup://directions/FAT Viewer?action=UPDATE&amp;creator=factset&amp;DYN_ARGS=TRUE&amp;DOC_NAME=FAT:FQL_AUDITING_CLIENT_TEMPLATE.FAT&amp;display_string=Audit&amp;VAR:KEY=NENIXSXIHU&amp;VAR:QUERY=RkZfRElWX1lMRChBTk4sMi8xNC8wMiwyLzE0LzAyKQ==&amp;WINDOW=FIRST_POPUP&amp;HEIGHT=450&amp;WIDTH=450&amp;","START_MAXIMIZED=FALSE&amp;VAR:CALENDAR=US&amp;VAR:SYMBOL=RAI&amp;VAR:INDEX=0"}</definedName>
    <definedName name="_477__FDSAUDITLINK__" hidden="1">{"fdsup://directions/FAT Viewer?action=UPDATE&amp;creator=factset&amp;DYN_ARGS=TRUE&amp;DOC_NAME=FAT:FQL_AUDITING_CLIENT_TEMPLATE.FAT&amp;display_string=Audit&amp;VAR:KEY=NENIXSXIHU&amp;VAR:QUERY=RkZfRElWX1lMRChBTk4sMi8xNC8wMiwyLzE0LzAyKQ==&amp;WINDOW=FIRST_POPUP&amp;HEIGHT=450&amp;WIDTH=450&amp;","START_MAXIMIZED=FALSE&amp;VAR:CALENDAR=US&amp;VAR:SYMBOL=RAI&amp;VAR:INDEX=0"}</definedName>
    <definedName name="_478">#REF!</definedName>
    <definedName name="_478__FDSAUDITLINK__" localSheetId="0" hidden="1">{"fdsup://directions/FAT Viewer?action=UPDATE&amp;creator=factset&amp;DYN_ARGS=TRUE&amp;DOC_NAME=FAT:FQL_AUDITING_CLIENT_TEMPLATE.FAT&amp;display_string=Audit&amp;VAR:KEY=PWLAZONSJS&amp;VAR:QUERY=RkZfRElWX1lMRChBTk4sMi8wNy8wMiwyLzA3LzAyKQ==&amp;WINDOW=FIRST_POPUP&amp;HEIGHT=450&amp;WIDTH=450&amp;","START_MAXIMIZED=FALSE&amp;VAR:CALENDAR=US&amp;VAR:SYMBOL=RAI&amp;VAR:INDEX=0"}</definedName>
    <definedName name="_478__FDSAUDITLINK__" hidden="1">{"fdsup://directions/FAT Viewer?action=UPDATE&amp;creator=factset&amp;DYN_ARGS=TRUE&amp;DOC_NAME=FAT:FQL_AUDITING_CLIENT_TEMPLATE.FAT&amp;display_string=Audit&amp;VAR:KEY=PWLAZONSJS&amp;VAR:QUERY=RkZfRElWX1lMRChBTk4sMi8wNy8wMiwyLzA3LzAyKQ==&amp;WINDOW=FIRST_POPUP&amp;HEIGHT=450&amp;WIDTH=450&amp;","START_MAXIMIZED=FALSE&amp;VAR:CALENDAR=US&amp;VAR:SYMBOL=RAI&amp;VAR:INDEX=0"}</definedName>
    <definedName name="_479__FDSAUDITLINK__" localSheetId="0" hidden="1">{"fdsup://directions/FAT Viewer?action=UPDATE&amp;creator=factset&amp;DYN_ARGS=TRUE&amp;DOC_NAME=FAT:FQL_AUDITING_CLIENT_TEMPLATE.FAT&amp;display_string=Audit&amp;VAR:KEY=DYLAFGJOFO&amp;VAR:QUERY=RkZfRElWX1lMRChBTk4sMS8zMS8wMiwxLzMxLzAyKQ==&amp;WINDOW=FIRST_POPUP&amp;HEIGHT=450&amp;WIDTH=450&amp;","START_MAXIMIZED=FALSE&amp;VAR:CALENDAR=US&amp;VAR:SYMBOL=RAI&amp;VAR:INDEX=0"}</definedName>
    <definedName name="_479__FDSAUDITLINK__" hidden="1">{"fdsup://directions/FAT Viewer?action=UPDATE&amp;creator=factset&amp;DYN_ARGS=TRUE&amp;DOC_NAME=FAT:FQL_AUDITING_CLIENT_TEMPLATE.FAT&amp;display_string=Audit&amp;VAR:KEY=DYLAFGJOFO&amp;VAR:QUERY=RkZfRElWX1lMRChBTk4sMS8zMS8wMiwxLzMxLzAyKQ==&amp;WINDOW=FIRST_POPUP&amp;HEIGHT=450&amp;WIDTH=450&amp;","START_MAXIMIZED=FALSE&amp;VAR:CALENDAR=US&amp;VAR:SYMBOL=RAI&amp;VAR:INDEX=0"}</definedName>
    <definedName name="_47J_0_K" hidden="1">#REF!</definedName>
    <definedName name="_48">#REF!</definedName>
    <definedName name="_48_____P_L">#REF!</definedName>
    <definedName name="_48__123Graph_BQRE_S_BY_CO.">#REF!</definedName>
    <definedName name="_48__123Graph_BWAGES_BY_B_U">#REF!</definedName>
    <definedName name="_48__123Graph_CSENS_COMPARISON">#REF!</definedName>
    <definedName name="_48__123Graph_CSUPPLIES_BY_B_U">#REF!</definedName>
    <definedName name="_48__123Graph_ESUPPLIES_BY_B_U">#REF!</definedName>
    <definedName name="_48__FDSAUDITLINK__" localSheetId="0" hidden="1">{"fdsup://directions/FAT Viewer?action=UPDATE&amp;creator=factset&amp;DYN_ARGS=TRUE&amp;DOC_NAME=FAT:FQL_AUDITING_CLIENT_TEMPLATE.FAT&amp;display_string=Audit&amp;VAR:KEY=ALERAFMLYH&amp;VAR:QUERY=RkZfREVCVChBTk4sMCk=&amp;WINDOW=FIRST_POPUP&amp;HEIGHT=450&amp;WIDTH=450&amp;START_MAXIMIZED=FALSE&amp;VA","R:CALENDAR=US&amp;VAR:SYMBOL=COKE&amp;VAR:INDEX=0"}</definedName>
    <definedName name="_48__FDSAUDITLINK__" hidden="1">{"fdsup://directions/FAT Viewer?action=UPDATE&amp;creator=factset&amp;DYN_ARGS=TRUE&amp;DOC_NAME=FAT:FQL_AUDITING_CLIENT_TEMPLATE.FAT&amp;display_string=Audit&amp;VAR:KEY=ALERAFMLYH&amp;VAR:QUERY=RkZfREVCVChBTk4sMCk=&amp;WINDOW=FIRST_POPUP&amp;HEIGHT=450&amp;WIDTH=450&amp;START_MAXIMIZED=FALSE&amp;VA","R:CALENDAR=US&amp;VAR:SYMBOL=COKE&amp;VAR:INDEX=0"}</definedName>
    <definedName name="_48_0_S" hidden="1">#REF!</definedName>
    <definedName name="_480__FDSAUDITLINK__" localSheetId="0" hidden="1">{"fdsup://directions/FAT Viewer?action=UPDATE&amp;creator=factset&amp;DYN_ARGS=TRUE&amp;DOC_NAME=FAT:FQL_AUDITING_CLIENT_TEMPLATE.FAT&amp;display_string=Audit&amp;VAR:KEY=NERCVKPUZU&amp;VAR:QUERY=RkZfRElWX1lMRChBTk4sMS8yNC8wMiwxLzI0LzAyKQ==&amp;WINDOW=FIRST_POPUP&amp;HEIGHT=450&amp;WIDTH=450&amp;","START_MAXIMIZED=FALSE&amp;VAR:CALENDAR=US&amp;VAR:SYMBOL=RAI&amp;VAR:INDEX=0"}</definedName>
    <definedName name="_480__FDSAUDITLINK__" hidden="1">{"fdsup://directions/FAT Viewer?action=UPDATE&amp;creator=factset&amp;DYN_ARGS=TRUE&amp;DOC_NAME=FAT:FQL_AUDITING_CLIENT_TEMPLATE.FAT&amp;display_string=Audit&amp;VAR:KEY=NERCVKPUZU&amp;VAR:QUERY=RkZfRElWX1lMRChBTk4sMS8yNC8wMiwxLzI0LzAyKQ==&amp;WINDOW=FIRST_POPUP&amp;HEIGHT=450&amp;WIDTH=450&amp;","START_MAXIMIZED=FALSE&amp;VAR:CALENDAR=US&amp;VAR:SYMBOL=RAI&amp;VAR:INDEX=0"}</definedName>
    <definedName name="_481__FDSAUDITLINK__" localSheetId="0" hidden="1">{"fdsup://directions/FAT Viewer?action=UPDATE&amp;creator=factset&amp;DYN_ARGS=TRUE&amp;DOC_NAME=FAT:FQL_AUDITING_CLIENT_TEMPLATE.FAT&amp;display_string=Audit&amp;VAR:KEY=VGFEJODSLK&amp;VAR:QUERY=RkZfRElWX1lMRChBTk4sMS8xNy8wMiwxLzE3LzAyKQ==&amp;WINDOW=FIRST_POPUP&amp;HEIGHT=450&amp;WIDTH=450&amp;","START_MAXIMIZED=FALSE&amp;VAR:CALENDAR=US&amp;VAR:SYMBOL=RAI&amp;VAR:INDEX=0"}</definedName>
    <definedName name="_481__FDSAUDITLINK__" hidden="1">{"fdsup://directions/FAT Viewer?action=UPDATE&amp;creator=factset&amp;DYN_ARGS=TRUE&amp;DOC_NAME=FAT:FQL_AUDITING_CLIENT_TEMPLATE.FAT&amp;display_string=Audit&amp;VAR:KEY=VGFEJODSLK&amp;VAR:QUERY=RkZfRElWX1lMRChBTk4sMS8xNy8wMiwxLzE3LzAyKQ==&amp;WINDOW=FIRST_POPUP&amp;HEIGHT=450&amp;WIDTH=450&amp;","START_MAXIMIZED=FALSE&amp;VAR:CALENDAR=US&amp;VAR:SYMBOL=RAI&amp;VAR:INDEX=0"}</definedName>
    <definedName name="_482">#REF!</definedName>
    <definedName name="_482__FDSAUDITLINK__" localSheetId="0" hidden="1">{"fdsup://directions/FAT Viewer?action=UPDATE&amp;creator=factset&amp;DYN_ARGS=TRUE&amp;DOC_NAME=FAT:FQL_AUDITING_CLIENT_TEMPLATE.FAT&amp;display_string=Audit&amp;VAR:KEY=FUPQBQLMJO&amp;VAR:QUERY=RkZfRElWX1lMRChBTk4sMS8xMC8wMiwxLzEwLzAyKQ==&amp;WINDOW=FIRST_POPUP&amp;HEIGHT=450&amp;WIDTH=450&amp;","START_MAXIMIZED=FALSE&amp;VAR:CALENDAR=US&amp;VAR:SYMBOL=RAI&amp;VAR:INDEX=0"}</definedName>
    <definedName name="_482__FDSAUDITLINK__" hidden="1">{"fdsup://directions/FAT Viewer?action=UPDATE&amp;creator=factset&amp;DYN_ARGS=TRUE&amp;DOC_NAME=FAT:FQL_AUDITING_CLIENT_TEMPLATE.FAT&amp;display_string=Audit&amp;VAR:KEY=FUPQBQLMJO&amp;VAR:QUERY=RkZfRElWX1lMRChBTk4sMS8xMC8wMiwxLzEwLzAyKQ==&amp;WINDOW=FIRST_POPUP&amp;HEIGHT=450&amp;WIDTH=450&amp;","START_MAXIMIZED=FALSE&amp;VAR:CALENDAR=US&amp;VAR:SYMBOL=RAI&amp;VAR:INDEX=0"}</definedName>
    <definedName name="_483">#REF!</definedName>
    <definedName name="_483__FDSAUDITLINK__" localSheetId="0" hidden="1">{"fdsup://directions/FAT Viewer?action=UPDATE&amp;creator=factset&amp;DYN_ARGS=TRUE&amp;DOC_NAME=FAT:FQL_AUDITING_CLIENT_TEMPLATE.FAT&amp;display_string=Audit&amp;VAR:KEY=FOTQHOTQPQ&amp;VAR:QUERY=RkZfRElWX1lMRChBTk4sMS8wMy8wMiwxLzAzLzAyKQ==&amp;WINDOW=FIRST_POPUP&amp;HEIGHT=450&amp;WIDTH=450&amp;","START_MAXIMIZED=FALSE&amp;VAR:CALENDAR=US&amp;VAR:SYMBOL=RAI&amp;VAR:INDEX=0"}</definedName>
    <definedName name="_483__FDSAUDITLINK__" hidden="1">{"fdsup://directions/FAT Viewer?action=UPDATE&amp;creator=factset&amp;DYN_ARGS=TRUE&amp;DOC_NAME=FAT:FQL_AUDITING_CLIENT_TEMPLATE.FAT&amp;display_string=Audit&amp;VAR:KEY=FOTQHOTQPQ&amp;VAR:QUERY=RkZfRElWX1lMRChBTk4sMS8wMy8wMiwxLzAzLzAyKQ==&amp;WINDOW=FIRST_POPUP&amp;HEIGHT=450&amp;WIDTH=450&amp;","START_MAXIMIZED=FALSE&amp;VAR:CALENDAR=US&amp;VAR:SYMBOL=RAI&amp;VAR:INDEX=0"}</definedName>
    <definedName name="_484">#REF!</definedName>
    <definedName name="_484__FDSAUDITLINK__" localSheetId="0" hidden="1">{"fdsup://directions/FAT Viewer?action=UPDATE&amp;creator=factset&amp;DYN_ARGS=TRUE&amp;DOC_NAME=FAT:FQL_AUDITING_CLIENT_TEMPLATE.FAT&amp;display_string=Audit&amp;VAR:KEY=RIHYTETMZC&amp;VAR:QUERY=RkZfRElWX1lMRChBTk4sMTIvMjcvMDEsMTIvMjcvMDEp&amp;WINDOW=FIRST_POPUP&amp;HEIGHT=450&amp;WIDTH=450&amp;","START_MAXIMIZED=FALSE&amp;VAR:CALENDAR=US&amp;VAR:SYMBOL=RAI&amp;VAR:INDEX=0"}</definedName>
    <definedName name="_484__FDSAUDITLINK__" hidden="1">{"fdsup://directions/FAT Viewer?action=UPDATE&amp;creator=factset&amp;DYN_ARGS=TRUE&amp;DOC_NAME=FAT:FQL_AUDITING_CLIENT_TEMPLATE.FAT&amp;display_string=Audit&amp;VAR:KEY=RIHYTETMZC&amp;VAR:QUERY=RkZfRElWX1lMRChBTk4sMTIvMjcvMDEsMTIvMjcvMDEp&amp;WINDOW=FIRST_POPUP&amp;HEIGHT=450&amp;WIDTH=450&amp;","START_MAXIMIZED=FALSE&amp;VAR:CALENDAR=US&amp;VAR:SYMBOL=RAI&amp;VAR:INDEX=0"}</definedName>
    <definedName name="_485">#REF!</definedName>
    <definedName name="_485__FDSAUDITLINK__" localSheetId="0" hidden="1">{"fdsup://directions/FAT Viewer?action=UPDATE&amp;creator=factset&amp;DYN_ARGS=TRUE&amp;DOC_NAME=FAT:FQL_AUDITING_CLIENT_TEMPLATE.FAT&amp;display_string=Audit&amp;VAR:KEY=FKZMHALGFM&amp;VAR:QUERY=RkZfRElWX1lMRChBTk4sMTIvMjAvMDEsMTIvMjAvMDEp&amp;WINDOW=FIRST_POPUP&amp;HEIGHT=450&amp;WIDTH=450&amp;","START_MAXIMIZED=FALSE&amp;VAR:CALENDAR=US&amp;VAR:SYMBOL=RAI&amp;VAR:INDEX=0"}</definedName>
    <definedName name="_485__FDSAUDITLINK__" hidden="1">{"fdsup://directions/FAT Viewer?action=UPDATE&amp;creator=factset&amp;DYN_ARGS=TRUE&amp;DOC_NAME=FAT:FQL_AUDITING_CLIENT_TEMPLATE.FAT&amp;display_string=Audit&amp;VAR:KEY=FKZMHALGFM&amp;VAR:QUERY=RkZfRElWX1lMRChBTk4sMTIvMjAvMDEsMTIvMjAvMDEp&amp;WINDOW=FIRST_POPUP&amp;HEIGHT=450&amp;WIDTH=450&amp;","START_MAXIMIZED=FALSE&amp;VAR:CALENDAR=US&amp;VAR:SYMBOL=RAI&amp;VAR:INDEX=0"}</definedName>
    <definedName name="_486">#REF!</definedName>
    <definedName name="_486__FDSAUDITLINK__" localSheetId="0" hidden="1">{"fdsup://directions/FAT Viewer?action=UPDATE&amp;creator=factset&amp;DYN_ARGS=TRUE&amp;DOC_NAME=FAT:FQL_AUDITING_CLIENT_TEMPLATE.FAT&amp;display_string=Audit&amp;VAR:KEY=DYPURUDOTC&amp;VAR:QUERY=RkZfRElWX1lMRChBTk4sMTIvMTMvMDEsMTIvMTMvMDEp&amp;WINDOW=FIRST_POPUP&amp;HEIGHT=450&amp;WIDTH=450&amp;","START_MAXIMIZED=FALSE&amp;VAR:CALENDAR=US&amp;VAR:SYMBOL=RAI&amp;VAR:INDEX=0"}</definedName>
    <definedName name="_486__FDSAUDITLINK__" hidden="1">{"fdsup://directions/FAT Viewer?action=UPDATE&amp;creator=factset&amp;DYN_ARGS=TRUE&amp;DOC_NAME=FAT:FQL_AUDITING_CLIENT_TEMPLATE.FAT&amp;display_string=Audit&amp;VAR:KEY=DYPURUDOTC&amp;VAR:QUERY=RkZfRElWX1lMRChBTk4sMTIvMTMvMDEsMTIvMTMvMDEp&amp;WINDOW=FIRST_POPUP&amp;HEIGHT=450&amp;WIDTH=450&amp;","START_MAXIMIZED=FALSE&amp;VAR:CALENDAR=US&amp;VAR:SYMBOL=RAI&amp;VAR:INDEX=0"}</definedName>
    <definedName name="_487">#REF!</definedName>
    <definedName name="_487__FDSAUDITLINK__" localSheetId="0" hidden="1">{"fdsup://directions/FAT Viewer?action=UPDATE&amp;creator=factset&amp;DYN_ARGS=TRUE&amp;DOC_NAME=FAT:FQL_AUDITING_CLIENT_TEMPLATE.FAT&amp;display_string=Audit&amp;VAR:KEY=FEJKJATODE&amp;VAR:QUERY=RkZfRElWX1lMRChBTk4sMTIvMDYvMDEsMTIvMDYvMDEp&amp;WINDOW=FIRST_POPUP&amp;HEIGHT=450&amp;WIDTH=450&amp;","START_MAXIMIZED=FALSE&amp;VAR:CALENDAR=US&amp;VAR:SYMBOL=RAI&amp;VAR:INDEX=0"}</definedName>
    <definedName name="_487__FDSAUDITLINK__" hidden="1">{"fdsup://directions/FAT Viewer?action=UPDATE&amp;creator=factset&amp;DYN_ARGS=TRUE&amp;DOC_NAME=FAT:FQL_AUDITING_CLIENT_TEMPLATE.FAT&amp;display_string=Audit&amp;VAR:KEY=FEJKJATODE&amp;VAR:QUERY=RkZfRElWX1lMRChBTk4sMTIvMDYvMDEsMTIvMDYvMDEp&amp;WINDOW=FIRST_POPUP&amp;HEIGHT=450&amp;WIDTH=450&amp;","START_MAXIMIZED=FALSE&amp;VAR:CALENDAR=US&amp;VAR:SYMBOL=RAI&amp;VAR:INDEX=0"}</definedName>
    <definedName name="_488">#REF!</definedName>
    <definedName name="_488__FDSAUDITLINK__" localSheetId="0" hidden="1">{"fdsup://directions/FAT Viewer?action=UPDATE&amp;creator=factset&amp;DYN_ARGS=TRUE&amp;DOC_NAME=FAT:FQL_AUDITING_CLIENT_TEMPLATE.FAT&amp;display_string=Audit&amp;VAR:KEY=LINAHQZWZC&amp;VAR:QUERY=RkZfRElWX1lMRChBTk4sMTEvMjkvMDEsMTEvMjkvMDEp&amp;WINDOW=FIRST_POPUP&amp;HEIGHT=450&amp;WIDTH=450&amp;","START_MAXIMIZED=FALSE&amp;VAR:CALENDAR=US&amp;VAR:SYMBOL=RAI&amp;VAR:INDEX=0"}</definedName>
    <definedName name="_488__FDSAUDITLINK__" hidden="1">{"fdsup://directions/FAT Viewer?action=UPDATE&amp;creator=factset&amp;DYN_ARGS=TRUE&amp;DOC_NAME=FAT:FQL_AUDITING_CLIENT_TEMPLATE.FAT&amp;display_string=Audit&amp;VAR:KEY=LINAHQZWZC&amp;VAR:QUERY=RkZfRElWX1lMRChBTk4sMTEvMjkvMDEsMTEvMjkvMDEp&amp;WINDOW=FIRST_POPUP&amp;HEIGHT=450&amp;WIDTH=450&amp;","START_MAXIMIZED=FALSE&amp;VAR:CALENDAR=US&amp;VAR:SYMBOL=RAI&amp;VAR:INDEX=0"}</definedName>
    <definedName name="_489">#REF!</definedName>
    <definedName name="_489__FDSAUDITLINK__" localSheetId="0" hidden="1">{"fdsup://directions/FAT Viewer?action=UPDATE&amp;creator=factset&amp;DYN_ARGS=TRUE&amp;DOC_NAME=FAT:FQL_AUDITING_CLIENT_TEMPLATE.FAT&amp;display_string=Audit&amp;VAR:KEY=LIFINAJWRO&amp;VAR:QUERY=RkZfRElWX1lMRChBTk4sMTEvMjEvMDEsMTEvMjEvMDEp&amp;WINDOW=FIRST_POPUP&amp;HEIGHT=450&amp;WIDTH=450&amp;","START_MAXIMIZED=FALSE&amp;VAR:CALENDAR=US&amp;VAR:SYMBOL=RAI&amp;VAR:INDEX=0"}</definedName>
    <definedName name="_489__FDSAUDITLINK__" hidden="1">{"fdsup://directions/FAT Viewer?action=UPDATE&amp;creator=factset&amp;DYN_ARGS=TRUE&amp;DOC_NAME=FAT:FQL_AUDITING_CLIENT_TEMPLATE.FAT&amp;display_string=Audit&amp;VAR:KEY=LIFINAJWRO&amp;VAR:QUERY=RkZfRElWX1lMRChBTk4sMTEvMjEvMDEsMTEvMjEvMDEp&amp;WINDOW=FIRST_POPUP&amp;HEIGHT=450&amp;WIDTH=450&amp;","START_MAXIMIZED=FALSE&amp;VAR:CALENDAR=US&amp;VAR:SYMBOL=RAI&amp;VAR:INDEX=0"}</definedName>
    <definedName name="_48M_0_S" hidden="1">#REF!</definedName>
    <definedName name="_48main_form_account_grants_list_3_j_id1022">#REF!</definedName>
    <definedName name="_49">#REF!</definedName>
    <definedName name="_49_????8_3">#REF!</definedName>
    <definedName name="_49____B_S">#REF!</definedName>
    <definedName name="_49__123Graph_BQRE_S_BY_CO.">#REF!</definedName>
    <definedName name="_49__123Graph_CGROWTH_REVS_A" hidden="1">#REF!</definedName>
    <definedName name="_49__123Graph_CSUPPLIES_BY_B_U">#REF!</definedName>
    <definedName name="_49__123Graph_EQRE_S_BY_CO.">#REF!</definedName>
    <definedName name="_49__123Graph_ESUPPLIES_BY_B_U">#REF!</definedName>
    <definedName name="_49__FDSAUDITLINK__" localSheetId="0" hidden="1">{"fdsup://Directions/FactSet Auditing Viewer?action=AUDIT_VALUE&amp;DB=129&amp;ID1=11563720&amp;VALUEID=02001&amp;SDATE=2011&amp;PERIODTYPE=ANN_STD&amp;SCFT=3&amp;window=popup_no_bar&amp;width=385&amp;height=120&amp;START_MAXIMIZED=FALSE&amp;creator=factset&amp;display_string=Audit"}</definedName>
    <definedName name="_49__FDSAUDITLINK__" hidden="1">{"fdsup://Directions/FactSet Auditing Viewer?action=AUDIT_VALUE&amp;DB=129&amp;ID1=11563720&amp;VALUEID=02001&amp;SDATE=2011&amp;PERIODTYPE=ANN_STD&amp;SCFT=3&amp;window=popup_no_bar&amp;width=385&amp;height=120&amp;START_MAXIMIZED=FALSE&amp;creator=factset&amp;display_string=Audit"}</definedName>
    <definedName name="_490">#REF!</definedName>
    <definedName name="_490__FDSAUDITLINK__" localSheetId="0" hidden="1">{"fdsup://directions/FAT Viewer?action=UPDATE&amp;creator=factset&amp;DYN_ARGS=TRUE&amp;DOC_NAME=FAT:FQL_AUDITING_CLIENT_TEMPLATE.FAT&amp;display_string=Audit&amp;VAR:KEY=LUZYHMXIVQ&amp;VAR:QUERY=RkZfRElWX1lMRChBTk4sMTEvMTUvMDEsMTEvMTUvMDEp&amp;WINDOW=FIRST_POPUP&amp;HEIGHT=450&amp;WIDTH=450&amp;","START_MAXIMIZED=FALSE&amp;VAR:CALENDAR=US&amp;VAR:SYMBOL=RAI&amp;VAR:INDEX=0"}</definedName>
    <definedName name="_490__FDSAUDITLINK__" hidden="1">{"fdsup://directions/FAT Viewer?action=UPDATE&amp;creator=factset&amp;DYN_ARGS=TRUE&amp;DOC_NAME=FAT:FQL_AUDITING_CLIENT_TEMPLATE.FAT&amp;display_string=Audit&amp;VAR:KEY=LUZYHMXIVQ&amp;VAR:QUERY=RkZfRElWX1lMRChBTk4sMTEvMTUvMDEsMTEvMTUvMDEp&amp;WINDOW=FIRST_POPUP&amp;HEIGHT=450&amp;WIDTH=450&amp;","START_MAXIMIZED=FALSE&amp;VAR:CALENDAR=US&amp;VAR:SYMBOL=RAI&amp;VAR:INDEX=0"}</definedName>
    <definedName name="_491">#REF!</definedName>
    <definedName name="_491__FDSAUDITLINK__" localSheetId="0" hidden="1">{"fdsup://directions/FAT Viewer?action=UPDATE&amp;creator=factset&amp;DYN_ARGS=TRUE&amp;DOC_NAME=FAT:FQL_AUDITING_CLIENT_TEMPLATE.FAT&amp;display_string=Audit&amp;VAR:KEY=PGDIJIZELE&amp;VAR:QUERY=RkZfRElWX1lMRChBTk4sMTEvMDgvMDEsMTEvMDgvMDEp&amp;WINDOW=FIRST_POPUP&amp;HEIGHT=450&amp;WIDTH=450&amp;","START_MAXIMIZED=FALSE&amp;VAR:CALENDAR=US&amp;VAR:SYMBOL=RAI&amp;VAR:INDEX=0"}</definedName>
    <definedName name="_491__FDSAUDITLINK__" hidden="1">{"fdsup://directions/FAT Viewer?action=UPDATE&amp;creator=factset&amp;DYN_ARGS=TRUE&amp;DOC_NAME=FAT:FQL_AUDITING_CLIENT_TEMPLATE.FAT&amp;display_string=Audit&amp;VAR:KEY=PGDIJIZELE&amp;VAR:QUERY=RkZfRElWX1lMRChBTk4sMTEvMDgvMDEsMTEvMDgvMDEp&amp;WINDOW=FIRST_POPUP&amp;HEIGHT=450&amp;WIDTH=450&amp;","START_MAXIMIZED=FALSE&amp;VAR:CALENDAR=US&amp;VAR:SYMBOL=RAI&amp;VAR:INDEX=0"}</definedName>
    <definedName name="_492">#REF!</definedName>
    <definedName name="_492__FDSAUDITLINK__" localSheetId="0" hidden="1">{"fdsup://directions/FAT Viewer?action=UPDATE&amp;creator=factset&amp;DYN_ARGS=TRUE&amp;DOC_NAME=FAT:FQL_AUDITING_CLIENT_TEMPLATE.FAT&amp;display_string=Audit&amp;VAR:KEY=ZODUZIVIFM&amp;VAR:QUERY=RkZfRElWX1lMRChBTk4sMTEvMDEvMDEsMTEvMDEvMDEp&amp;WINDOW=FIRST_POPUP&amp;HEIGHT=450&amp;WIDTH=450&amp;","START_MAXIMIZED=FALSE&amp;VAR:CALENDAR=US&amp;VAR:SYMBOL=RAI&amp;VAR:INDEX=0"}</definedName>
    <definedName name="_492__FDSAUDITLINK__" hidden="1">{"fdsup://directions/FAT Viewer?action=UPDATE&amp;creator=factset&amp;DYN_ARGS=TRUE&amp;DOC_NAME=FAT:FQL_AUDITING_CLIENT_TEMPLATE.FAT&amp;display_string=Audit&amp;VAR:KEY=ZODUZIVIFM&amp;VAR:QUERY=RkZfRElWX1lMRChBTk4sMTEvMDEvMDEsMTEvMDEvMDEp&amp;WINDOW=FIRST_POPUP&amp;HEIGHT=450&amp;WIDTH=450&amp;","START_MAXIMIZED=FALSE&amp;VAR:CALENDAR=US&amp;VAR:SYMBOL=RAI&amp;VAR:INDEX=0"}</definedName>
    <definedName name="_493">#REF!</definedName>
    <definedName name="_493__FDSAUDITLINK__" localSheetId="0" hidden="1">{"fdsup://directions/FAT Viewer?action=UPDATE&amp;creator=factset&amp;DYN_ARGS=TRUE&amp;DOC_NAME=FAT:FQL_AUDITING_CLIENT_TEMPLATE.FAT&amp;display_string=Audit&amp;VAR:KEY=JMDWXMDEBU&amp;VAR:QUERY=RkZfRElWX1lMRChBTk4sMTAvMjUvMDEsMTAvMjUvMDEp&amp;WINDOW=FIRST_POPUP&amp;HEIGHT=450&amp;WIDTH=450&amp;","START_MAXIMIZED=FALSE&amp;VAR:CALENDAR=US&amp;VAR:SYMBOL=RAI&amp;VAR:INDEX=0"}</definedName>
    <definedName name="_493__FDSAUDITLINK__" hidden="1">{"fdsup://directions/FAT Viewer?action=UPDATE&amp;creator=factset&amp;DYN_ARGS=TRUE&amp;DOC_NAME=FAT:FQL_AUDITING_CLIENT_TEMPLATE.FAT&amp;display_string=Audit&amp;VAR:KEY=JMDWXMDEBU&amp;VAR:QUERY=RkZfRElWX1lMRChBTk4sMTAvMjUvMDEsMTAvMjUvMDEp&amp;WINDOW=FIRST_POPUP&amp;HEIGHT=450&amp;WIDTH=450&amp;","START_MAXIMIZED=FALSE&amp;VAR:CALENDAR=US&amp;VAR:SYMBOL=RAI&amp;VAR:INDEX=0"}</definedName>
    <definedName name="_494">#REF!</definedName>
    <definedName name="_494__FDSAUDITLINK__" localSheetId="0" hidden="1">{"fdsup://directions/FAT Viewer?action=UPDATE&amp;creator=factset&amp;DYN_ARGS=TRUE&amp;DOC_NAME=FAT:FQL_AUDITING_CLIENT_TEMPLATE.FAT&amp;display_string=Audit&amp;VAR:KEY=TYBGTAPURG&amp;VAR:QUERY=RkZfRElWX1lMRChBTk4sMTAvMTgvMDEsMTAvMTgvMDEp&amp;WINDOW=FIRST_POPUP&amp;HEIGHT=450&amp;WIDTH=450&amp;","START_MAXIMIZED=FALSE&amp;VAR:CALENDAR=US&amp;VAR:SYMBOL=RAI&amp;VAR:INDEX=0"}</definedName>
    <definedName name="_494__FDSAUDITLINK__" hidden="1">{"fdsup://directions/FAT Viewer?action=UPDATE&amp;creator=factset&amp;DYN_ARGS=TRUE&amp;DOC_NAME=FAT:FQL_AUDITING_CLIENT_TEMPLATE.FAT&amp;display_string=Audit&amp;VAR:KEY=TYBGTAPURG&amp;VAR:QUERY=RkZfRElWX1lMRChBTk4sMTAvMTgvMDEsMTAvMTgvMDEp&amp;WINDOW=FIRST_POPUP&amp;HEIGHT=450&amp;WIDTH=450&amp;","START_MAXIMIZED=FALSE&amp;VAR:CALENDAR=US&amp;VAR:SYMBOL=RAI&amp;VAR:INDEX=0"}</definedName>
    <definedName name="_495">#REF!</definedName>
    <definedName name="_495__FDSAUDITLINK__" localSheetId="0" hidden="1">{"fdsup://directions/FAT Viewer?action=UPDATE&amp;creator=factset&amp;DYN_ARGS=TRUE&amp;DOC_NAME=FAT:FQL_AUDITING_CLIENT_TEMPLATE.FAT&amp;display_string=Audit&amp;VAR:KEY=LIRMTQBYPM&amp;VAR:QUERY=RkZfRElWX1lMRChBTk4sMTAvMTEvMDEsMTAvMTEvMDEp&amp;WINDOW=FIRST_POPUP&amp;HEIGHT=450&amp;WIDTH=450&amp;","START_MAXIMIZED=FALSE&amp;VAR:CALENDAR=US&amp;VAR:SYMBOL=RAI&amp;VAR:INDEX=0"}</definedName>
    <definedName name="_495__FDSAUDITLINK__" hidden="1">{"fdsup://directions/FAT Viewer?action=UPDATE&amp;creator=factset&amp;DYN_ARGS=TRUE&amp;DOC_NAME=FAT:FQL_AUDITING_CLIENT_TEMPLATE.FAT&amp;display_string=Audit&amp;VAR:KEY=LIRMTQBYPM&amp;VAR:QUERY=RkZfRElWX1lMRChBTk4sMTAvMTEvMDEsMTAvMTEvMDEp&amp;WINDOW=FIRST_POPUP&amp;HEIGHT=450&amp;WIDTH=450&amp;","START_MAXIMIZED=FALSE&amp;VAR:CALENDAR=US&amp;VAR:SYMBOL=RAI&amp;VAR:INDEX=0"}</definedName>
    <definedName name="_496">#REF!</definedName>
    <definedName name="_496__FDSAUDITLINK__" localSheetId="0" hidden="1">{"fdsup://directions/FAT Viewer?action=UPDATE&amp;creator=factset&amp;DYN_ARGS=TRUE&amp;DOC_NAME=FAT:FQL_AUDITING_CLIENT_TEMPLATE.FAT&amp;display_string=Audit&amp;VAR:KEY=VUFWPQXCJG&amp;VAR:QUERY=RkZfRElWX1lMRChBTk4sMTAvMDQvMDEsMTAvMDQvMDEp&amp;WINDOW=FIRST_POPUP&amp;HEIGHT=450&amp;WIDTH=450&amp;","START_MAXIMIZED=FALSE&amp;VAR:CALENDAR=US&amp;VAR:SYMBOL=RAI&amp;VAR:INDEX=0"}</definedName>
    <definedName name="_496__FDSAUDITLINK__" hidden="1">{"fdsup://directions/FAT Viewer?action=UPDATE&amp;creator=factset&amp;DYN_ARGS=TRUE&amp;DOC_NAME=FAT:FQL_AUDITING_CLIENT_TEMPLATE.FAT&amp;display_string=Audit&amp;VAR:KEY=VUFWPQXCJG&amp;VAR:QUERY=RkZfRElWX1lMRChBTk4sMTAvMDQvMDEsMTAvMDQvMDEp&amp;WINDOW=FIRST_POPUP&amp;HEIGHT=450&amp;WIDTH=450&amp;","START_MAXIMIZED=FALSE&amp;VAR:CALENDAR=US&amp;VAR:SYMBOL=RAI&amp;VAR:INDEX=0"}</definedName>
    <definedName name="_497">#REF!</definedName>
    <definedName name="_497__FDSAUDITLINK__" localSheetId="0" hidden="1">{"fdsup://directions/FAT Viewer?action=UPDATE&amp;creator=factset&amp;DYN_ARGS=TRUE&amp;DOC_NAME=FAT:FQL_AUDITING_CLIENT_TEMPLATE.FAT&amp;display_string=Audit&amp;VAR:KEY=ZWFORMVQJU&amp;VAR:QUERY=RkZfRElWX1lMRChBTk4sOS8yNy8wMSw5LzI3LzAxKQ==&amp;WINDOW=FIRST_POPUP&amp;HEIGHT=450&amp;WIDTH=450&amp;","START_MAXIMIZED=FALSE&amp;VAR:CALENDAR=US&amp;VAR:SYMBOL=RAI&amp;VAR:INDEX=0"}</definedName>
    <definedName name="_497__FDSAUDITLINK__" hidden="1">{"fdsup://directions/FAT Viewer?action=UPDATE&amp;creator=factset&amp;DYN_ARGS=TRUE&amp;DOC_NAME=FAT:FQL_AUDITING_CLIENT_TEMPLATE.FAT&amp;display_string=Audit&amp;VAR:KEY=ZWFORMVQJU&amp;VAR:QUERY=RkZfRElWX1lMRChBTk4sOS8yNy8wMSw5LzI3LzAxKQ==&amp;WINDOW=FIRST_POPUP&amp;HEIGHT=450&amp;WIDTH=450&amp;","START_MAXIMIZED=FALSE&amp;VAR:CALENDAR=US&amp;VAR:SYMBOL=RAI&amp;VAR:INDEX=0"}</definedName>
    <definedName name="_498">#REF!</definedName>
    <definedName name="_498__FDSAUDITLINK__" localSheetId="0" hidden="1">{"fdsup://directions/FAT Viewer?action=UPDATE&amp;creator=factset&amp;DYN_ARGS=TRUE&amp;DOC_NAME=FAT:FQL_AUDITING_CLIENT_TEMPLATE.FAT&amp;display_string=Audit&amp;VAR:KEY=BWPWHKXOHY&amp;VAR:QUERY=RkZfRElWX1lMRChBTk4sOS8yMC8wMSw5LzIwLzAxKQ==&amp;WINDOW=FIRST_POPUP&amp;HEIGHT=450&amp;WIDTH=450&amp;","START_MAXIMIZED=FALSE&amp;VAR:CALENDAR=US&amp;VAR:SYMBOL=RAI&amp;VAR:INDEX=0"}</definedName>
    <definedName name="_498__FDSAUDITLINK__" hidden="1">{"fdsup://directions/FAT Viewer?action=UPDATE&amp;creator=factset&amp;DYN_ARGS=TRUE&amp;DOC_NAME=FAT:FQL_AUDITING_CLIENT_TEMPLATE.FAT&amp;display_string=Audit&amp;VAR:KEY=BWPWHKXOHY&amp;VAR:QUERY=RkZfRElWX1lMRChBTk4sOS8yMC8wMSw5LzIwLzAxKQ==&amp;WINDOW=FIRST_POPUP&amp;HEIGHT=450&amp;WIDTH=450&amp;","START_MAXIMIZED=FALSE&amp;VAR:CALENDAR=US&amp;VAR:SYMBOL=RAI&amp;VAR:INDEX=0"}</definedName>
    <definedName name="_499">#REF!</definedName>
    <definedName name="_499__FDSAUDITLINK__" localSheetId="0" hidden="1">{"fdsup://directions/FAT Viewer?action=UPDATE&amp;creator=factset&amp;DYN_ARGS=TRUE&amp;DOC_NAME=FAT:FQL_AUDITING_CLIENT_TEMPLATE.FAT&amp;display_string=Audit&amp;VAR:KEY=HKRKDCZUDQ&amp;VAR:QUERY=RkZfRElWX1lMRChBTk4sOS8xMC8wMSw5LzEwLzAxKQ==&amp;WINDOW=FIRST_POPUP&amp;HEIGHT=450&amp;WIDTH=450&amp;","START_MAXIMIZED=FALSE&amp;VAR:CALENDAR=US&amp;VAR:SYMBOL=RAI&amp;VAR:INDEX=0"}</definedName>
    <definedName name="_499__FDSAUDITLINK__" hidden="1">{"fdsup://directions/FAT Viewer?action=UPDATE&amp;creator=factset&amp;DYN_ARGS=TRUE&amp;DOC_NAME=FAT:FQL_AUDITING_CLIENT_TEMPLATE.FAT&amp;display_string=Audit&amp;VAR:KEY=HKRKDCZUDQ&amp;VAR:QUERY=RkZfRElWX1lMRChBTk4sOS8xMC8wMSw5LzEwLzAxKQ==&amp;WINDOW=FIRST_POPUP&amp;HEIGHT=450&amp;WIDTH=450&amp;","START_MAXIMIZED=FALSE&amp;VAR:CALENDAR=US&amp;VAR:SYMBOL=RAI&amp;VAR:INDEX=0"}</definedName>
    <definedName name="_4a01_" hidden="1">{#N/A,#N/A,FALSE,"Aging Summary";#N/A,#N/A,FALSE,"Ratio Analysis";#N/A,#N/A,FALSE,"Test 120 Day Accts";#N/A,#N/A,FALSE,"Tickmarks"}</definedName>
    <definedName name="_4item">#REF!</definedName>
    <definedName name="_4main_form_account_grants_list_1_j_id1022">#REF!</definedName>
    <definedName name="_4s1_" hidden="1">{#N/A,#N/A,FALSE,"UNIT";#N/A,#N/A,FALSE,"UNIT";#N/A,#N/A,FALSE,"계정"}</definedName>
    <definedName name="_4Table2_">#REF!</definedName>
    <definedName name="_5">#REF!</definedName>
    <definedName name="_5____________NOTE8_9">#REF!</definedName>
    <definedName name="_5__123Graph_AChart_20K">#REF!</definedName>
    <definedName name="_5__123Graph_ACHART_3">#REF!</definedName>
    <definedName name="_5__123Graph_ACONTRACT_BY_B_U">#REF!</definedName>
    <definedName name="_5__123Graph_AQRE_S_BY_CO.">#REF!</definedName>
    <definedName name="_5__123Graph_AQRE_S_BY_TYPE">#REF!</definedName>
    <definedName name="_5__123Graph_ASENS_COMPARISON" hidden="1">#REF!</definedName>
    <definedName name="_5__123Graph_ASUPPLIES_BY_B_U">#REF!</definedName>
    <definedName name="_5__123Graph_ATAX_CREDIT">#REF!</definedName>
    <definedName name="_5__123Graph_BCHART_3">#REF!</definedName>
    <definedName name="_5__123Graph_CQRE_S_BY_TYPE" hidden="1">#REF!</definedName>
    <definedName name="_5__FDSAUDITLINK__" localSheetId="0" hidden="1">{"fdsup://directions/FAT Viewer?action=UPDATE&amp;creator=factset&amp;DYN_ARGS=TRUE&amp;DOC_NAME=FAT:FQL_AUDITING_CLIENT_TEMPLATE.FAT&amp;display_string=Audit&amp;VAR:KEY=CNKVOBAVMR&amp;VAR:QUERY=Q1NGX0RJVl9ZTEQoUVRSX1IsMTIvMzEvMjAwOSk=&amp;WINDOW=FIRST_POPUP&amp;HEIGHT=450&amp;WIDTH=450&amp;STAR","T_MAXIMIZED=FALSE&amp;VAR:CALENDAR=US&amp;VAR:SYMBOL=MO&amp;VAR:INDEX=0"}</definedName>
    <definedName name="_5__FDSAUDITLINK__" hidden="1">{"fdsup://directions/FAT Viewer?action=UPDATE&amp;creator=factset&amp;DYN_ARGS=TRUE&amp;DOC_NAME=FAT:FQL_AUDITING_CLIENT_TEMPLATE.FAT&amp;display_string=Audit&amp;VAR:KEY=CNKVOBAVMR&amp;VAR:QUERY=Q1NGX0RJVl9ZTEQoUVRSX1IsMTIvMzEvMjAwOSk=&amp;WINDOW=FIRST_POPUP&amp;HEIGHT=450&amp;WIDTH=450&amp;STAR","T_MAXIMIZED=FALSE&amp;VAR:CALENDAR=US&amp;VAR:SYMBOL=MO&amp;VAR:INDEX=0"}</definedName>
    <definedName name="_5_0_0CO">#REF!</definedName>
    <definedName name="_5_0_Table2_" hidden="1">#REF!</definedName>
    <definedName name="_5_0TAB">#REF!</definedName>
    <definedName name="_5_25000">#NAME?</definedName>
    <definedName name="_50">#REF!</definedName>
    <definedName name="_50____NOTE10_12">#REF!</definedName>
    <definedName name="_50__123Graph_BCHART_4">#REF!</definedName>
    <definedName name="_50__123Graph_CWAGES_BY_B_U">#REF!</definedName>
    <definedName name="_50__123Graph_EWAGES_BY_B_U">#REF!</definedName>
    <definedName name="_50__123Graph_LBL_ACHART_4">#REF!</definedName>
    <definedName name="_50__FDSAUDITLINK__" localSheetId="0" hidden="1">{"fdsup://directions/FAT Viewer?action=UPDATE&amp;creator=factset&amp;DYN_ARGS=TRUE&amp;DOC_NAME=FAT:FQL_AUDITING_CLIENT_TEMPLATE.FAT&amp;display_string=Audit&amp;VAR:KEY=TCTUVSTIDM&amp;VAR:QUERY=RkZfREVCVChBTk4sMCk=&amp;WINDOW=FIRST_POPUP&amp;HEIGHT=450&amp;WIDTH=450&amp;START_MAXIMIZED=FALSE&amp;VA","R:CALENDAR=US&amp;VAR:SYMBOL=11563720&amp;VAR:INDEX=0"}</definedName>
    <definedName name="_50__FDSAUDITLINK__" hidden="1">{"fdsup://directions/FAT Viewer?action=UPDATE&amp;creator=factset&amp;DYN_ARGS=TRUE&amp;DOC_NAME=FAT:FQL_AUDITING_CLIENT_TEMPLATE.FAT&amp;display_string=Audit&amp;VAR:KEY=TCTUVSTIDM&amp;VAR:QUERY=RkZfREVCVChBTk4sMCk=&amp;WINDOW=FIRST_POPUP&amp;HEIGHT=450&amp;WIDTH=450&amp;START_MAXIMIZED=FALSE&amp;VA","R:CALENDAR=US&amp;VAR:SYMBOL=11563720&amp;VAR:INDEX=0"}</definedName>
    <definedName name="_500">#REF!</definedName>
    <definedName name="_500__FDSAUDITLINK__" localSheetId="0" hidden="1">{"fdsup://directions/FAT Viewer?action=UPDATE&amp;creator=factset&amp;DYN_ARGS=TRUE&amp;DOC_NAME=FAT:FQL_AUDITING_CLIENT_TEMPLATE.FAT&amp;display_string=Audit&amp;VAR:KEY=FYTQTWNQXC&amp;VAR:QUERY=RkZfRElWX1lMRChBTk4sOS8wNi8wMSw5LzA2LzAxKQ==&amp;WINDOW=FIRST_POPUP&amp;HEIGHT=450&amp;WIDTH=450&amp;","START_MAXIMIZED=FALSE&amp;VAR:CALENDAR=US&amp;VAR:SYMBOL=RAI&amp;VAR:INDEX=0"}</definedName>
    <definedName name="_500__FDSAUDITLINK__" hidden="1">{"fdsup://directions/FAT Viewer?action=UPDATE&amp;creator=factset&amp;DYN_ARGS=TRUE&amp;DOC_NAME=FAT:FQL_AUDITING_CLIENT_TEMPLATE.FAT&amp;display_string=Audit&amp;VAR:KEY=FYTQTWNQXC&amp;VAR:QUERY=RkZfRElWX1lMRChBTk4sOS8wNi8wMSw5LzA2LzAxKQ==&amp;WINDOW=FIRST_POPUP&amp;HEIGHT=450&amp;WIDTH=450&amp;","START_MAXIMIZED=FALSE&amp;VAR:CALENDAR=US&amp;VAR:SYMBOL=RAI&amp;VAR:INDEX=0"}</definedName>
    <definedName name="_501">#REF!</definedName>
    <definedName name="_501__FDSAUDITLINK__" localSheetId="0" hidden="1">{"fdsup://directions/FAT Viewer?action=UPDATE&amp;creator=factset&amp;DYN_ARGS=TRUE&amp;DOC_NAME=FAT:FQL_AUDITING_CLIENT_TEMPLATE.FAT&amp;display_string=Audit&amp;VAR:KEY=PYLOFAFCPQ&amp;VAR:QUERY=RkZfRElWX1lMRChBTk4sOC8zMC8wMSw4LzMwLzAxKQ==&amp;WINDOW=FIRST_POPUP&amp;HEIGHT=450&amp;WIDTH=450&amp;","START_MAXIMIZED=FALSE&amp;VAR:CALENDAR=US&amp;VAR:SYMBOL=RAI&amp;VAR:INDEX=0"}</definedName>
    <definedName name="_501__FDSAUDITLINK__" hidden="1">{"fdsup://directions/FAT Viewer?action=UPDATE&amp;creator=factset&amp;DYN_ARGS=TRUE&amp;DOC_NAME=FAT:FQL_AUDITING_CLIENT_TEMPLATE.FAT&amp;display_string=Audit&amp;VAR:KEY=PYLOFAFCPQ&amp;VAR:QUERY=RkZfRElWX1lMRChBTk4sOC8zMC8wMSw4LzMwLzAxKQ==&amp;WINDOW=FIRST_POPUP&amp;HEIGHT=450&amp;WIDTH=450&amp;","START_MAXIMIZED=FALSE&amp;VAR:CALENDAR=US&amp;VAR:SYMBOL=RAI&amp;VAR:INDEX=0"}</definedName>
    <definedName name="_502">#REF!</definedName>
    <definedName name="_502__FDSAUDITLINK__" localSheetId="0" hidden="1">{"fdsup://directions/FAT Viewer?action=UPDATE&amp;creator=factset&amp;DYN_ARGS=TRUE&amp;DOC_NAME=FAT:FQL_AUDITING_CLIENT_TEMPLATE.FAT&amp;display_string=Audit&amp;VAR:KEY=FSRUNIPWBA&amp;VAR:QUERY=RkZfRElWX1lMRChBTk4sOC8yMy8wMSw4LzIzLzAxKQ==&amp;WINDOW=FIRST_POPUP&amp;HEIGHT=450&amp;WIDTH=450&amp;","START_MAXIMIZED=FALSE&amp;VAR:CALENDAR=US&amp;VAR:SYMBOL=RAI&amp;VAR:INDEX=0"}</definedName>
    <definedName name="_502__FDSAUDITLINK__" hidden="1">{"fdsup://directions/FAT Viewer?action=UPDATE&amp;creator=factset&amp;DYN_ARGS=TRUE&amp;DOC_NAME=FAT:FQL_AUDITING_CLIENT_TEMPLATE.FAT&amp;display_string=Audit&amp;VAR:KEY=FSRUNIPWBA&amp;VAR:QUERY=RkZfRElWX1lMRChBTk4sOC8yMy8wMSw4LzIzLzAxKQ==&amp;WINDOW=FIRST_POPUP&amp;HEIGHT=450&amp;WIDTH=450&amp;","START_MAXIMIZED=FALSE&amp;VAR:CALENDAR=US&amp;VAR:SYMBOL=RAI&amp;VAR:INDEX=0"}</definedName>
    <definedName name="_503">#REF!</definedName>
    <definedName name="_503__FDSAUDITLINK__" localSheetId="0" hidden="1">{"fdsup://directions/FAT Viewer?action=UPDATE&amp;creator=factset&amp;DYN_ARGS=TRUE&amp;DOC_NAME=FAT:FQL_AUDITING_CLIENT_TEMPLATE.FAT&amp;display_string=Audit&amp;VAR:KEY=VUJIJKZYNY&amp;VAR:QUERY=RkZfRElWX1lMRChBTk4sOC8xNi8wMSw4LzE2LzAxKQ==&amp;WINDOW=FIRST_POPUP&amp;HEIGHT=450&amp;WIDTH=450&amp;","START_MAXIMIZED=FALSE&amp;VAR:CALENDAR=US&amp;VAR:SYMBOL=RAI&amp;VAR:INDEX=0"}</definedName>
    <definedName name="_503__FDSAUDITLINK__" hidden="1">{"fdsup://directions/FAT Viewer?action=UPDATE&amp;creator=factset&amp;DYN_ARGS=TRUE&amp;DOC_NAME=FAT:FQL_AUDITING_CLIENT_TEMPLATE.FAT&amp;display_string=Audit&amp;VAR:KEY=VUJIJKZYNY&amp;VAR:QUERY=RkZfRElWX1lMRChBTk4sOC8xNi8wMSw4LzE2LzAxKQ==&amp;WINDOW=FIRST_POPUP&amp;HEIGHT=450&amp;WIDTH=450&amp;","START_MAXIMIZED=FALSE&amp;VAR:CALENDAR=US&amp;VAR:SYMBOL=RAI&amp;VAR:INDEX=0"}</definedName>
    <definedName name="_504">#REF!</definedName>
    <definedName name="_504__FDSAUDITLINK__" localSheetId="0" hidden="1">{"fdsup://directions/FAT Viewer?action=UPDATE&amp;creator=factset&amp;DYN_ARGS=TRUE&amp;DOC_NAME=FAT:FQL_AUDITING_CLIENT_TEMPLATE.FAT&amp;display_string=Audit&amp;VAR:KEY=RCRMHOJMNW&amp;VAR:QUERY=RkZfRElWX1lMRChBTk4sOC8wOS8wMSw4LzA5LzAxKQ==&amp;WINDOW=FIRST_POPUP&amp;HEIGHT=450&amp;WIDTH=450&amp;","START_MAXIMIZED=FALSE&amp;VAR:CALENDAR=US&amp;VAR:SYMBOL=RAI&amp;VAR:INDEX=0"}</definedName>
    <definedName name="_504__FDSAUDITLINK__" hidden="1">{"fdsup://directions/FAT Viewer?action=UPDATE&amp;creator=factset&amp;DYN_ARGS=TRUE&amp;DOC_NAME=FAT:FQL_AUDITING_CLIENT_TEMPLATE.FAT&amp;display_string=Audit&amp;VAR:KEY=RCRMHOJMNW&amp;VAR:QUERY=RkZfRElWX1lMRChBTk4sOC8wOS8wMSw4LzA5LzAxKQ==&amp;WINDOW=FIRST_POPUP&amp;HEIGHT=450&amp;WIDTH=450&amp;","START_MAXIMIZED=FALSE&amp;VAR:CALENDAR=US&amp;VAR:SYMBOL=RAI&amp;VAR:INDEX=0"}</definedName>
    <definedName name="_505__FDSAUDITLINK__" localSheetId="0" hidden="1">{"fdsup://directions/FAT Viewer?action=UPDATE&amp;creator=factset&amp;DYN_ARGS=TRUE&amp;DOC_NAME=FAT:FQL_AUDITING_CLIENT_TEMPLATE.FAT&amp;display_string=Audit&amp;VAR:KEY=PUFGTEJSVO&amp;VAR:QUERY=RkZfRElWX1lMRChBTk4sOC8wMi8wMSw4LzAyLzAxKQ==&amp;WINDOW=FIRST_POPUP&amp;HEIGHT=450&amp;WIDTH=450&amp;","START_MAXIMIZED=FALSE&amp;VAR:CALENDAR=US&amp;VAR:SYMBOL=RAI&amp;VAR:INDEX=0"}</definedName>
    <definedName name="_505__FDSAUDITLINK__" hidden="1">{"fdsup://directions/FAT Viewer?action=UPDATE&amp;creator=factset&amp;DYN_ARGS=TRUE&amp;DOC_NAME=FAT:FQL_AUDITING_CLIENT_TEMPLATE.FAT&amp;display_string=Audit&amp;VAR:KEY=PUFGTEJSVO&amp;VAR:QUERY=RkZfRElWX1lMRChBTk4sOC8wMi8wMSw4LzAyLzAxKQ==&amp;WINDOW=FIRST_POPUP&amp;HEIGHT=450&amp;WIDTH=450&amp;","START_MAXIMIZED=FALSE&amp;VAR:CALENDAR=US&amp;VAR:SYMBOL=RAI&amp;VAR:INDEX=0"}</definedName>
    <definedName name="_506__FDSAUDITLINK__" localSheetId="0" hidden="1">{"fdsup://directions/FAT Viewer?action=UPDATE&amp;creator=factset&amp;DYN_ARGS=TRUE&amp;DOC_NAME=FAT:FQL_AUDITING_CLIENT_TEMPLATE.FAT&amp;display_string=Audit&amp;VAR:KEY=XITATQDGBA&amp;VAR:QUERY=RkZfRElWX1lMRChBTk4sNy8yNi8wMSw3LzI2LzAxKQ==&amp;WINDOW=FIRST_POPUP&amp;HEIGHT=450&amp;WIDTH=450&amp;","START_MAXIMIZED=FALSE&amp;VAR:CALENDAR=US&amp;VAR:SYMBOL=RAI&amp;VAR:INDEX=0"}</definedName>
    <definedName name="_506__FDSAUDITLINK__" hidden="1">{"fdsup://directions/FAT Viewer?action=UPDATE&amp;creator=factset&amp;DYN_ARGS=TRUE&amp;DOC_NAME=FAT:FQL_AUDITING_CLIENT_TEMPLATE.FAT&amp;display_string=Audit&amp;VAR:KEY=XITATQDGBA&amp;VAR:QUERY=RkZfRElWX1lMRChBTk4sNy8yNi8wMSw3LzI2LzAxKQ==&amp;WINDOW=FIRST_POPUP&amp;HEIGHT=450&amp;WIDTH=450&amp;","START_MAXIMIZED=FALSE&amp;VAR:CALENDAR=US&amp;VAR:SYMBOL=RAI&amp;VAR:INDEX=0"}</definedName>
    <definedName name="_507__FDSAUDITLINK__" localSheetId="0" hidden="1">{"fdsup://directions/FAT Viewer?action=UPDATE&amp;creator=factset&amp;DYN_ARGS=TRUE&amp;DOC_NAME=FAT:FQL_AUDITING_CLIENT_TEMPLATE.FAT&amp;display_string=Audit&amp;VAR:KEY=HWZUHCXMJU&amp;VAR:QUERY=RkZfRElWX1lMRChBTk4sNy8xOS8wMSw3LzE5LzAxKQ==&amp;WINDOW=FIRST_POPUP&amp;HEIGHT=450&amp;WIDTH=450&amp;","START_MAXIMIZED=FALSE&amp;VAR:CALENDAR=US&amp;VAR:SYMBOL=RAI&amp;VAR:INDEX=0"}</definedName>
    <definedName name="_507__FDSAUDITLINK__" hidden="1">{"fdsup://directions/FAT Viewer?action=UPDATE&amp;creator=factset&amp;DYN_ARGS=TRUE&amp;DOC_NAME=FAT:FQL_AUDITING_CLIENT_TEMPLATE.FAT&amp;display_string=Audit&amp;VAR:KEY=HWZUHCXMJU&amp;VAR:QUERY=RkZfRElWX1lMRChBTk4sNy8xOS8wMSw3LzE5LzAxKQ==&amp;WINDOW=FIRST_POPUP&amp;HEIGHT=450&amp;WIDTH=450&amp;","START_MAXIMIZED=FALSE&amp;VAR:CALENDAR=US&amp;VAR:SYMBOL=RAI&amp;VAR:INDEX=0"}</definedName>
    <definedName name="_508__FDSAUDITLINK__" localSheetId="0" hidden="1">{"fdsup://directions/FAT Viewer?action=UPDATE&amp;creator=factset&amp;DYN_ARGS=TRUE&amp;DOC_NAME=FAT:FQL_AUDITING_CLIENT_TEMPLATE.FAT&amp;display_string=Audit&amp;VAR:KEY=ZANINUBUFE&amp;VAR:QUERY=RkZfRElWX1lMRChBTk4sNy8xMi8wMSw3LzEyLzAxKQ==&amp;WINDOW=FIRST_POPUP&amp;HEIGHT=450&amp;WIDTH=450&amp;","START_MAXIMIZED=FALSE&amp;VAR:CALENDAR=US&amp;VAR:SYMBOL=RAI&amp;VAR:INDEX=0"}</definedName>
    <definedName name="_508__FDSAUDITLINK__" hidden="1">{"fdsup://directions/FAT Viewer?action=UPDATE&amp;creator=factset&amp;DYN_ARGS=TRUE&amp;DOC_NAME=FAT:FQL_AUDITING_CLIENT_TEMPLATE.FAT&amp;display_string=Audit&amp;VAR:KEY=ZANINUBUFE&amp;VAR:QUERY=RkZfRElWX1lMRChBTk4sNy8xMi8wMSw3LzEyLzAxKQ==&amp;WINDOW=FIRST_POPUP&amp;HEIGHT=450&amp;WIDTH=450&amp;","START_MAXIMIZED=FALSE&amp;VAR:CALENDAR=US&amp;VAR:SYMBOL=RAI&amp;VAR:INDEX=0"}</definedName>
    <definedName name="_509__FDSAUDITLINK__" localSheetId="0" hidden="1">{"fdsup://directions/FAT Viewer?action=UPDATE&amp;creator=factset&amp;DYN_ARGS=TRUE&amp;DOC_NAME=FAT:FQL_AUDITING_CLIENT_TEMPLATE.FAT&amp;display_string=Audit&amp;VAR:KEY=FWPCVKRGBW&amp;VAR:QUERY=RkZfRElWX1lMRChBTk4sNy8wNS8wMSw3LzA1LzAxKQ==&amp;WINDOW=FIRST_POPUP&amp;HEIGHT=450&amp;WIDTH=450&amp;","START_MAXIMIZED=FALSE&amp;VAR:CALENDAR=US&amp;VAR:SYMBOL=RAI&amp;VAR:INDEX=0"}</definedName>
    <definedName name="_509__FDSAUDITLINK__" hidden="1">{"fdsup://directions/FAT Viewer?action=UPDATE&amp;creator=factset&amp;DYN_ARGS=TRUE&amp;DOC_NAME=FAT:FQL_AUDITING_CLIENT_TEMPLATE.FAT&amp;display_string=Audit&amp;VAR:KEY=FWPCVKRGBW&amp;VAR:QUERY=RkZfRElWX1lMRChBTk4sNy8wNS8wMSw3LzA1LzAxKQ==&amp;WINDOW=FIRST_POPUP&amp;HEIGHT=450&amp;WIDTH=450&amp;","START_MAXIMIZED=FALSE&amp;VAR:CALENDAR=US&amp;VAR:SYMBOL=RAI&amp;VAR:INDEX=0"}</definedName>
    <definedName name="_50main_form_account_grants_list_30_j_id1022">#REF!</definedName>
    <definedName name="_50T1">#REF!</definedName>
    <definedName name="_50T2">#REF!</definedName>
    <definedName name="_51">#REF!</definedName>
    <definedName name="_51____NOTE1_3">#REF!</definedName>
    <definedName name="_51__123Graph_BSUPPLIES_BY_B_U">#REF!</definedName>
    <definedName name="_51__123Graph_CWAGES_BY_B_U">#REF!</definedName>
    <definedName name="_51__123Graph_DCONTRACT_BY_B_U">#REF!</definedName>
    <definedName name="_51__123Graph_ESUPPLIES_BY_B_U">#REF!</definedName>
    <definedName name="_51__123Graph_EWAGES_BY_B_U">#REF!</definedName>
    <definedName name="_51__FDSAUDITLINK__" localSheetId="0" hidden="1">{"fdsup://directions/FAT Viewer?action=UPDATE&amp;creator=factset&amp;DYN_ARGS=TRUE&amp;DOC_NAME=FAT:FQL_AUDITING_CLIENT_TEMPLATE.FAT&amp;display_string=Audit&amp;VAR:KEY=MVGBCFKFSB&amp;VAR:QUERY=RkZfREVCVChBTk4sMCk=&amp;WINDOW=FIRST_POPUP&amp;HEIGHT=450&amp;WIDTH=450&amp;START_MAXIMIZED=FALSE&amp;VA","R:CALENDAR=US&amp;VAR:SYMBOL=BEAM&amp;VAR:INDEX=0"}</definedName>
    <definedName name="_51__FDSAUDITLINK__" hidden="1">{"fdsup://directions/FAT Viewer?action=UPDATE&amp;creator=factset&amp;DYN_ARGS=TRUE&amp;DOC_NAME=FAT:FQL_AUDITING_CLIENT_TEMPLATE.FAT&amp;display_string=Audit&amp;VAR:KEY=MVGBCFKFSB&amp;VAR:QUERY=RkZfREVCVChBTk4sMCk=&amp;WINDOW=FIRST_POPUP&amp;HEIGHT=450&amp;WIDTH=450&amp;START_MAXIMIZED=FALSE&amp;VA","R:CALENDAR=US&amp;VAR:SYMBOL=BEAM&amp;VAR:INDEX=0"}</definedName>
    <definedName name="_510__FDSAUDITLINK__" localSheetId="0" hidden="1">{"fdsup://directions/FAT Viewer?action=UPDATE&amp;creator=factset&amp;DYN_ARGS=TRUE&amp;DOC_NAME=FAT:FQL_AUDITING_CLIENT_TEMPLATE.FAT&amp;display_string=Audit&amp;VAR:KEY=VSXSLUNKLA&amp;VAR:QUERY=RkZfRElWX1lMRChBTk4sNi8yOC8wMSw2LzI4LzAxKQ==&amp;WINDOW=FIRST_POPUP&amp;HEIGHT=450&amp;WIDTH=450&amp;","START_MAXIMIZED=FALSE&amp;VAR:CALENDAR=US&amp;VAR:SYMBOL=RAI&amp;VAR:INDEX=0"}</definedName>
    <definedName name="_510__FDSAUDITLINK__" hidden="1">{"fdsup://directions/FAT Viewer?action=UPDATE&amp;creator=factset&amp;DYN_ARGS=TRUE&amp;DOC_NAME=FAT:FQL_AUDITING_CLIENT_TEMPLATE.FAT&amp;display_string=Audit&amp;VAR:KEY=VSXSLUNKLA&amp;VAR:QUERY=RkZfRElWX1lMRChBTk4sNi8yOC8wMSw2LzI4LzAxKQ==&amp;WINDOW=FIRST_POPUP&amp;HEIGHT=450&amp;WIDTH=450&amp;","START_MAXIMIZED=FALSE&amp;VAR:CALENDAR=US&amp;VAR:SYMBOL=RAI&amp;VAR:INDEX=0"}</definedName>
    <definedName name="_511">#REF!</definedName>
    <definedName name="_511__FDSAUDITLINK__" localSheetId="0" hidden="1">{"fdsup://directions/FAT Viewer?action=UPDATE&amp;creator=factset&amp;DYN_ARGS=TRUE&amp;DOC_NAME=FAT:FQL_AUDITING_CLIENT_TEMPLATE.FAT&amp;display_string=Audit&amp;VAR:KEY=DATAHKPWDS&amp;VAR:QUERY=RkZfRElWX1lMRChBTk4sNi8yMS8wMSw2LzIxLzAxKQ==&amp;WINDOW=FIRST_POPUP&amp;HEIGHT=450&amp;WIDTH=450&amp;","START_MAXIMIZED=FALSE&amp;VAR:CALENDAR=US&amp;VAR:SYMBOL=RAI&amp;VAR:INDEX=0"}</definedName>
    <definedName name="_511__FDSAUDITLINK__" hidden="1">{"fdsup://directions/FAT Viewer?action=UPDATE&amp;creator=factset&amp;DYN_ARGS=TRUE&amp;DOC_NAME=FAT:FQL_AUDITING_CLIENT_TEMPLATE.FAT&amp;display_string=Audit&amp;VAR:KEY=DATAHKPWDS&amp;VAR:QUERY=RkZfRElWX1lMRChBTk4sNi8yMS8wMSw2LzIxLzAxKQ==&amp;WINDOW=FIRST_POPUP&amp;HEIGHT=450&amp;WIDTH=450&amp;","START_MAXIMIZED=FALSE&amp;VAR:CALENDAR=US&amp;VAR:SYMBOL=RAI&amp;VAR:INDEX=0"}</definedName>
    <definedName name="_512">#REF!</definedName>
    <definedName name="_512__FDSAUDITLINK__" localSheetId="0" hidden="1">{"fdsup://directions/FAT Viewer?action=UPDATE&amp;creator=factset&amp;DYN_ARGS=TRUE&amp;DOC_NAME=FAT:FQL_AUDITING_CLIENT_TEMPLATE.FAT&amp;display_string=Audit&amp;VAR:KEY=TWFOPYBAJU&amp;VAR:QUERY=RkZfRElWX1lMRChBTk4sNi8xNC8wMSw2LzE0LzAxKQ==&amp;WINDOW=FIRST_POPUP&amp;HEIGHT=450&amp;WIDTH=450&amp;","START_MAXIMIZED=FALSE&amp;VAR:CALENDAR=US&amp;VAR:SYMBOL=RAI&amp;VAR:INDEX=0"}</definedName>
    <definedName name="_512__FDSAUDITLINK__" hidden="1">{"fdsup://directions/FAT Viewer?action=UPDATE&amp;creator=factset&amp;DYN_ARGS=TRUE&amp;DOC_NAME=FAT:FQL_AUDITING_CLIENT_TEMPLATE.FAT&amp;display_string=Audit&amp;VAR:KEY=TWFOPYBAJU&amp;VAR:QUERY=RkZfRElWX1lMRChBTk4sNi8xNC8wMSw2LzE0LzAxKQ==&amp;WINDOW=FIRST_POPUP&amp;HEIGHT=450&amp;WIDTH=450&amp;","START_MAXIMIZED=FALSE&amp;VAR:CALENDAR=US&amp;VAR:SYMBOL=RAI&amp;VAR:INDEX=0"}</definedName>
    <definedName name="_513">#REF!</definedName>
    <definedName name="_513__FDSAUDITLINK__" localSheetId="0" hidden="1">{"fdsup://directions/FAT Viewer?action=UPDATE&amp;creator=factset&amp;DYN_ARGS=TRUE&amp;DOC_NAME=FAT:FQL_AUDITING_CLIENT_TEMPLATE.FAT&amp;display_string=Audit&amp;VAR:KEY=HEZQJKFAFA&amp;VAR:QUERY=RkZfRElWX1lMRChBTk4sNi8wNy8wMSw2LzA3LzAxKQ==&amp;WINDOW=FIRST_POPUP&amp;HEIGHT=450&amp;WIDTH=450&amp;","START_MAXIMIZED=FALSE&amp;VAR:CALENDAR=US&amp;VAR:SYMBOL=RAI&amp;VAR:INDEX=0"}</definedName>
    <definedName name="_513__FDSAUDITLINK__" hidden="1">{"fdsup://directions/FAT Viewer?action=UPDATE&amp;creator=factset&amp;DYN_ARGS=TRUE&amp;DOC_NAME=FAT:FQL_AUDITING_CLIENT_TEMPLATE.FAT&amp;display_string=Audit&amp;VAR:KEY=HEZQJKFAFA&amp;VAR:QUERY=RkZfRElWX1lMRChBTk4sNi8wNy8wMSw2LzA3LzAxKQ==&amp;WINDOW=FIRST_POPUP&amp;HEIGHT=450&amp;WIDTH=450&amp;","START_MAXIMIZED=FALSE&amp;VAR:CALENDAR=US&amp;VAR:SYMBOL=RAI&amp;VAR:INDEX=0"}</definedName>
    <definedName name="_514">#REF!</definedName>
    <definedName name="_514__FDSAUDITLINK__" localSheetId="0" hidden="1">{"fdsup://directions/FAT Viewer?action=UPDATE&amp;creator=factset&amp;DYN_ARGS=TRUE&amp;DOC_NAME=FAT:FQL_AUDITING_CLIENT_TEMPLATE.FAT&amp;display_string=Audit&amp;VAR:KEY=DOJMXSNKZG&amp;VAR:QUERY=RkZfRElWX1lMRChBTk4sNS8zMS8wMSw1LzMxLzAxKQ==&amp;WINDOW=FIRST_POPUP&amp;HEIGHT=450&amp;WIDTH=450&amp;","START_MAXIMIZED=FALSE&amp;VAR:CALENDAR=US&amp;VAR:SYMBOL=RAI&amp;VAR:INDEX=0"}</definedName>
    <definedName name="_514__FDSAUDITLINK__" hidden="1">{"fdsup://directions/FAT Viewer?action=UPDATE&amp;creator=factset&amp;DYN_ARGS=TRUE&amp;DOC_NAME=FAT:FQL_AUDITING_CLIENT_TEMPLATE.FAT&amp;display_string=Audit&amp;VAR:KEY=DOJMXSNKZG&amp;VAR:QUERY=RkZfRElWX1lMRChBTk4sNS8zMS8wMSw1LzMxLzAxKQ==&amp;WINDOW=FIRST_POPUP&amp;HEIGHT=450&amp;WIDTH=450&amp;","START_MAXIMIZED=FALSE&amp;VAR:CALENDAR=US&amp;VAR:SYMBOL=RAI&amp;VAR:INDEX=0"}</definedName>
    <definedName name="_515__FDSAUDITLINK__" localSheetId="0" hidden="1">{"fdsup://directions/FAT Viewer?action=UPDATE&amp;creator=factset&amp;DYN_ARGS=TRUE&amp;DOC_NAME=FAT:FQL_AUDITING_CLIENT_TEMPLATE.FAT&amp;display_string=Audit&amp;VAR:KEY=JABMBQBKZK&amp;VAR:QUERY=RkZfRElWX1lMRChBTk4sNS8yNC8wMSw1LzI0LzAxKQ==&amp;WINDOW=FIRST_POPUP&amp;HEIGHT=450&amp;WIDTH=450&amp;","START_MAXIMIZED=FALSE&amp;VAR:CALENDAR=US&amp;VAR:SYMBOL=RAI&amp;VAR:INDEX=0"}</definedName>
    <definedName name="_515__FDSAUDITLINK__" hidden="1">{"fdsup://directions/FAT Viewer?action=UPDATE&amp;creator=factset&amp;DYN_ARGS=TRUE&amp;DOC_NAME=FAT:FQL_AUDITING_CLIENT_TEMPLATE.FAT&amp;display_string=Audit&amp;VAR:KEY=JABMBQBKZK&amp;VAR:QUERY=RkZfRElWX1lMRChBTk4sNS8yNC8wMSw1LzI0LzAxKQ==&amp;WINDOW=FIRST_POPUP&amp;HEIGHT=450&amp;WIDTH=450&amp;","START_MAXIMIZED=FALSE&amp;VAR:CALENDAR=US&amp;VAR:SYMBOL=RAI&amp;VAR:INDEX=0"}</definedName>
    <definedName name="_516">#REF!</definedName>
    <definedName name="_516__FDSAUDITLINK__" localSheetId="0" hidden="1">{"fdsup://directions/FAT Viewer?action=UPDATE&amp;creator=factset&amp;DYN_ARGS=TRUE&amp;DOC_NAME=FAT:FQL_AUDITING_CLIENT_TEMPLATE.FAT&amp;display_string=Audit&amp;VAR:KEY=BMJEPQJMPA&amp;VAR:QUERY=RkZfRElWX1lMRChBTk4sNS8xNy8wMSw1LzE3LzAxKQ==&amp;WINDOW=FIRST_POPUP&amp;HEIGHT=450&amp;WIDTH=450&amp;","START_MAXIMIZED=FALSE&amp;VAR:CALENDAR=US&amp;VAR:SYMBOL=RAI&amp;VAR:INDEX=0"}</definedName>
    <definedName name="_516__FDSAUDITLINK__" hidden="1">{"fdsup://directions/FAT Viewer?action=UPDATE&amp;creator=factset&amp;DYN_ARGS=TRUE&amp;DOC_NAME=FAT:FQL_AUDITING_CLIENT_TEMPLATE.FAT&amp;display_string=Audit&amp;VAR:KEY=BMJEPQJMPA&amp;VAR:QUERY=RkZfRElWX1lMRChBTk4sNS8xNy8wMSw1LzE3LzAxKQ==&amp;WINDOW=FIRST_POPUP&amp;HEIGHT=450&amp;WIDTH=450&amp;","START_MAXIMIZED=FALSE&amp;VAR:CALENDAR=US&amp;VAR:SYMBOL=RAI&amp;VAR:INDEX=0"}</definedName>
    <definedName name="_5166">#REF!</definedName>
    <definedName name="_5167">#REF!</definedName>
    <definedName name="_5169">#REF!</definedName>
    <definedName name="_517__FDSAUDITLINK__" localSheetId="0" hidden="1">{"fdsup://directions/FAT Viewer?action=UPDATE&amp;creator=factset&amp;DYN_ARGS=TRUE&amp;DOC_NAME=FAT:FQL_AUDITING_CLIENT_TEMPLATE.FAT&amp;display_string=Audit&amp;VAR:KEY=NSZQHODKZO&amp;VAR:QUERY=RkZfRElWX1lMRChBTk4sNS8xMC8wMSw1LzEwLzAxKQ==&amp;WINDOW=FIRST_POPUP&amp;HEIGHT=450&amp;WIDTH=450&amp;","START_MAXIMIZED=FALSE&amp;VAR:CALENDAR=US&amp;VAR:SYMBOL=RAI&amp;VAR:INDEX=0"}</definedName>
    <definedName name="_517__FDSAUDITLINK__" hidden="1">{"fdsup://directions/FAT Viewer?action=UPDATE&amp;creator=factset&amp;DYN_ARGS=TRUE&amp;DOC_NAME=FAT:FQL_AUDITING_CLIENT_TEMPLATE.FAT&amp;display_string=Audit&amp;VAR:KEY=NSZQHODKZO&amp;VAR:QUERY=RkZfRElWX1lMRChBTk4sNS8xMC8wMSw1LzEwLzAxKQ==&amp;WINDOW=FIRST_POPUP&amp;HEIGHT=450&amp;WIDTH=450&amp;","START_MAXIMIZED=FALSE&amp;VAR:CALENDAR=US&amp;VAR:SYMBOL=RAI&amp;VAR:INDEX=0"}</definedName>
    <definedName name="_5170">#REF!</definedName>
    <definedName name="_5172">#REF!</definedName>
    <definedName name="_5173">#REF!</definedName>
    <definedName name="_5175">#REF!</definedName>
    <definedName name="_5176">#REF!</definedName>
    <definedName name="_518__FDSAUDITLINK__" localSheetId="0" hidden="1">{"fdsup://directions/FAT Viewer?action=UPDATE&amp;creator=factset&amp;DYN_ARGS=TRUE&amp;DOC_NAME=FAT:FQL_AUDITING_CLIENT_TEMPLATE.FAT&amp;display_string=Audit&amp;VAR:KEY=TQLCLUJKTW&amp;VAR:QUERY=RkZfRElWX1lMRChBTk4sNS8wMy8wMSw1LzAzLzAxKQ==&amp;WINDOW=FIRST_POPUP&amp;HEIGHT=450&amp;WIDTH=450&amp;","START_MAXIMIZED=FALSE&amp;VAR:CALENDAR=US&amp;VAR:SYMBOL=RAI&amp;VAR:INDEX=0"}</definedName>
    <definedName name="_518__FDSAUDITLINK__" hidden="1">{"fdsup://directions/FAT Viewer?action=UPDATE&amp;creator=factset&amp;DYN_ARGS=TRUE&amp;DOC_NAME=FAT:FQL_AUDITING_CLIENT_TEMPLATE.FAT&amp;display_string=Audit&amp;VAR:KEY=TQLCLUJKTW&amp;VAR:QUERY=RkZfRElWX1lMRChBTk4sNS8wMy8wMSw1LzAzLzAxKQ==&amp;WINDOW=FIRST_POPUP&amp;HEIGHT=450&amp;WIDTH=450&amp;","START_MAXIMIZED=FALSE&amp;VAR:CALENDAR=US&amp;VAR:SYMBOL=RAI&amp;VAR:INDEX=0"}</definedName>
    <definedName name="_519">#REF!</definedName>
    <definedName name="_519__FDSAUDITLINK__" localSheetId="0" hidden="1">{"fdsup://directions/FAT Viewer?action=UPDATE&amp;creator=factset&amp;DYN_ARGS=TRUE&amp;DOC_NAME=FAT:FQL_AUDITING_CLIENT_TEMPLATE.FAT&amp;display_string=Audit&amp;VAR:KEY=POBILATEBI&amp;VAR:QUERY=RkZfRElWX1lMRChBTk4sNC8yNi8wMSw0LzI2LzAxKQ==&amp;WINDOW=FIRST_POPUP&amp;HEIGHT=450&amp;WIDTH=450&amp;","START_MAXIMIZED=FALSE&amp;VAR:CALENDAR=US&amp;VAR:SYMBOL=RAI&amp;VAR:INDEX=0"}</definedName>
    <definedName name="_519__FDSAUDITLINK__" hidden="1">{"fdsup://directions/FAT Viewer?action=UPDATE&amp;creator=factset&amp;DYN_ARGS=TRUE&amp;DOC_NAME=FAT:FQL_AUDITING_CLIENT_TEMPLATE.FAT&amp;display_string=Audit&amp;VAR:KEY=POBILATEBI&amp;VAR:QUERY=RkZfRElWX1lMRChBTk4sNC8yNi8wMSw0LzI2LzAxKQ==&amp;WINDOW=FIRST_POPUP&amp;HEIGHT=450&amp;WIDTH=450&amp;","START_MAXIMIZED=FALSE&amp;VAR:CALENDAR=US&amp;VAR:SYMBOL=RAI&amp;VAR:INDEX=0"}</definedName>
    <definedName name="_52">#REF!</definedName>
    <definedName name="_52____NOTE5_7">#REF!</definedName>
    <definedName name="_52__123Graph_CCONTRACT_BY_B_U">#REF!</definedName>
    <definedName name="_52__123Graph_CGROWTH_REVS_B" hidden="1">#REF!</definedName>
    <definedName name="_52__123Graph_DQRE_S_BY_CO.">#REF!</definedName>
    <definedName name="_52__123Graph_FCONTRACT_BY_B_U">#REF!</definedName>
    <definedName name="_52__FDSAUDITLINK__" localSheetId="0" hidden="1">{"fdsup://directions/FAT Viewer?action=UPDATE&amp;creator=factset&amp;DYN_ARGS=TRUE&amp;DOC_NAME=FAT:FQL_AUDITING_CLIENT_TEMPLATE.FAT&amp;display_string=Audit&amp;VAR:KEY=KBGVMVUPGJ&amp;VAR:QUERY=RkZfREVCVChBTk4sMCk=&amp;WINDOW=FIRST_POPUP&amp;HEIGHT=450&amp;WIDTH=450&amp;START_MAXIMIZED=FALSE&amp;VA","R:CALENDAR=US&amp;VAR:SYMBOL=SAM&amp;VAR:INDEX=0"}</definedName>
    <definedName name="_52__FDSAUDITLINK__" hidden="1">{"fdsup://directions/FAT Viewer?action=UPDATE&amp;creator=factset&amp;DYN_ARGS=TRUE&amp;DOC_NAME=FAT:FQL_AUDITING_CLIENT_TEMPLATE.FAT&amp;display_string=Audit&amp;VAR:KEY=KBGVMVUPGJ&amp;VAR:QUERY=RkZfREVCVChBTk4sMCk=&amp;WINDOW=FIRST_POPUP&amp;HEIGHT=450&amp;WIDTH=450&amp;START_MAXIMIZED=FALSE&amp;VA","R:CALENDAR=US&amp;VAR:SYMBOL=SAM&amp;VAR:INDEX=0"}</definedName>
    <definedName name="_520">#REF!</definedName>
    <definedName name="_520__FDSAUDITLINK__" localSheetId="0" hidden="1">{"fdsup://directions/FAT Viewer?action=UPDATE&amp;creator=factset&amp;DYN_ARGS=TRUE&amp;DOC_NAME=FAT:FQL_AUDITING_CLIENT_TEMPLATE.FAT&amp;display_string=Audit&amp;VAR:KEY=TSZOXOHKNS&amp;VAR:QUERY=RkZfRElWX1lMRChBTk4sNC8xOS8wMSw0LzE5LzAxKQ==&amp;WINDOW=FIRST_POPUP&amp;HEIGHT=450&amp;WIDTH=450&amp;","START_MAXIMIZED=FALSE&amp;VAR:CALENDAR=US&amp;VAR:SYMBOL=RAI&amp;VAR:INDEX=0"}</definedName>
    <definedName name="_520__FDSAUDITLINK__" hidden="1">{"fdsup://directions/FAT Viewer?action=UPDATE&amp;creator=factset&amp;DYN_ARGS=TRUE&amp;DOC_NAME=FAT:FQL_AUDITING_CLIENT_TEMPLATE.FAT&amp;display_string=Audit&amp;VAR:KEY=TSZOXOHKNS&amp;VAR:QUERY=RkZfRElWX1lMRChBTk4sNC8xOS8wMSw0LzE5LzAxKQ==&amp;WINDOW=FIRST_POPUP&amp;HEIGHT=450&amp;WIDTH=450&amp;","START_MAXIMIZED=FALSE&amp;VAR:CALENDAR=US&amp;VAR:SYMBOL=RAI&amp;VAR:INDEX=0"}</definedName>
    <definedName name="_521">#REF!</definedName>
    <definedName name="_521__FDSAUDITLINK__" localSheetId="0" hidden="1">{"fdsup://directions/FAT Viewer?action=UPDATE&amp;creator=factset&amp;DYN_ARGS=TRUE&amp;DOC_NAME=FAT:FQL_AUDITING_CLIENT_TEMPLATE.FAT&amp;display_string=Audit&amp;VAR:KEY=DWXMZIVWXS&amp;VAR:QUERY=RkZfRElWX1lMRChBTk4sNC8xMi8wMSw0LzEyLzAxKQ==&amp;WINDOW=FIRST_POPUP&amp;HEIGHT=450&amp;WIDTH=450&amp;","START_MAXIMIZED=FALSE&amp;VAR:CALENDAR=US&amp;VAR:SYMBOL=RAI&amp;VAR:INDEX=0"}</definedName>
    <definedName name="_521__FDSAUDITLINK__" hidden="1">{"fdsup://directions/FAT Viewer?action=UPDATE&amp;creator=factset&amp;DYN_ARGS=TRUE&amp;DOC_NAME=FAT:FQL_AUDITING_CLIENT_TEMPLATE.FAT&amp;display_string=Audit&amp;VAR:KEY=DWXMZIVWXS&amp;VAR:QUERY=RkZfRElWX1lMRChBTk4sNC8xMi8wMSw0LzEyLzAxKQ==&amp;WINDOW=FIRST_POPUP&amp;HEIGHT=450&amp;WIDTH=450&amp;","START_MAXIMIZED=FALSE&amp;VAR:CALENDAR=US&amp;VAR:SYMBOL=RAI&amp;VAR:INDEX=0"}</definedName>
    <definedName name="_522">#REF!</definedName>
    <definedName name="_522__FDSAUDITLINK__" localSheetId="0" hidden="1">{"fdsup://directions/FAT Viewer?action=UPDATE&amp;creator=factset&amp;DYN_ARGS=TRUE&amp;DOC_NAME=FAT:FQL_AUDITING_CLIENT_TEMPLATE.FAT&amp;display_string=Audit&amp;VAR:KEY=JUTOFARQNO&amp;VAR:QUERY=RkZfRElWX1lMRChBTk4sNC8wNS8wMSw0LzA1LzAxKQ==&amp;WINDOW=FIRST_POPUP&amp;HEIGHT=450&amp;WIDTH=450&amp;","START_MAXIMIZED=FALSE&amp;VAR:CALENDAR=US&amp;VAR:SYMBOL=RAI&amp;VAR:INDEX=0"}</definedName>
    <definedName name="_522__FDSAUDITLINK__" hidden="1">{"fdsup://directions/FAT Viewer?action=UPDATE&amp;creator=factset&amp;DYN_ARGS=TRUE&amp;DOC_NAME=FAT:FQL_AUDITING_CLIENT_TEMPLATE.FAT&amp;display_string=Audit&amp;VAR:KEY=JUTOFARQNO&amp;VAR:QUERY=RkZfRElWX1lMRChBTk4sNC8wNS8wMSw0LzA1LzAxKQ==&amp;WINDOW=FIRST_POPUP&amp;HEIGHT=450&amp;WIDTH=450&amp;","START_MAXIMIZED=FALSE&amp;VAR:CALENDAR=US&amp;VAR:SYMBOL=RAI&amp;VAR:INDEX=0"}</definedName>
    <definedName name="_523__FDSAUDITLINK__" localSheetId="0" hidden="1">{"fdsup://directions/FAT Viewer?action=UPDATE&amp;creator=factset&amp;DYN_ARGS=TRUE&amp;DOC_NAME=FAT:FQL_AUDITING_CLIENT_TEMPLATE.FAT&amp;display_string=Audit&amp;VAR:KEY=DQBEJCHOJY&amp;VAR:QUERY=RkZfRElWX1lMRChBTk4sMy8zMS8xMSwzLzMxLzExKQ==&amp;WINDOW=FIRST_POPUP&amp;HEIGHT=450&amp;WIDTH=450&amp;","START_MAXIMIZED=FALSE&amp;VAR:CALENDAR=US&amp;VAR:SYMBOL=MO&amp;VAR:INDEX=0"}</definedName>
    <definedName name="_523__FDSAUDITLINK__" hidden="1">{"fdsup://directions/FAT Viewer?action=UPDATE&amp;creator=factset&amp;DYN_ARGS=TRUE&amp;DOC_NAME=FAT:FQL_AUDITING_CLIENT_TEMPLATE.FAT&amp;display_string=Audit&amp;VAR:KEY=DQBEJCHOJY&amp;VAR:QUERY=RkZfRElWX1lMRChBTk4sMy8zMS8xMSwzLzMxLzExKQ==&amp;WINDOW=FIRST_POPUP&amp;HEIGHT=450&amp;WIDTH=450&amp;","START_MAXIMIZED=FALSE&amp;VAR:CALENDAR=US&amp;VAR:SYMBOL=MO&amp;VAR:INDEX=0"}</definedName>
    <definedName name="_524__FDSAUDITLINK__" localSheetId="0" hidden="1">{"fdsup://directions/FAT Viewer?action=UPDATE&amp;creator=factset&amp;DYN_ARGS=TRUE&amp;DOC_NAME=FAT:FQL_AUDITING_CLIENT_TEMPLATE.FAT&amp;display_string=Audit&amp;VAR:KEY=ZWHMVWLMPS&amp;VAR:QUERY=RkZfRElWX1lMRChBTk4sMy8yNC8xMSwzLzI0LzExKQ==&amp;WINDOW=FIRST_POPUP&amp;HEIGHT=450&amp;WIDTH=450&amp;","START_MAXIMIZED=FALSE&amp;VAR:CALENDAR=US&amp;VAR:SYMBOL=MO&amp;VAR:INDEX=0"}</definedName>
    <definedName name="_524__FDSAUDITLINK__" hidden="1">{"fdsup://directions/FAT Viewer?action=UPDATE&amp;creator=factset&amp;DYN_ARGS=TRUE&amp;DOC_NAME=FAT:FQL_AUDITING_CLIENT_TEMPLATE.FAT&amp;display_string=Audit&amp;VAR:KEY=ZWHMVWLMPS&amp;VAR:QUERY=RkZfRElWX1lMRChBTk4sMy8yNC8xMSwzLzI0LzExKQ==&amp;WINDOW=FIRST_POPUP&amp;HEIGHT=450&amp;WIDTH=450&amp;","START_MAXIMIZED=FALSE&amp;VAR:CALENDAR=US&amp;VAR:SYMBOL=MO&amp;VAR:INDEX=0"}</definedName>
    <definedName name="_525__FDSAUDITLINK__" localSheetId="0" hidden="1">{"fdsup://directions/FAT Viewer?action=UPDATE&amp;creator=factset&amp;DYN_ARGS=TRUE&amp;DOC_NAME=FAT:FQL_AUDITING_CLIENT_TEMPLATE.FAT&amp;display_string=Audit&amp;VAR:KEY=BOFYDCLGLI&amp;VAR:QUERY=RkZfRElWX1lMRChBTk4sMy8xNy8xMSwzLzE3LzExKQ==&amp;WINDOW=FIRST_POPUP&amp;HEIGHT=450&amp;WIDTH=450&amp;","START_MAXIMIZED=FALSE&amp;VAR:CALENDAR=US&amp;VAR:SYMBOL=MO&amp;VAR:INDEX=0"}</definedName>
    <definedName name="_525__FDSAUDITLINK__" hidden="1">{"fdsup://directions/FAT Viewer?action=UPDATE&amp;creator=factset&amp;DYN_ARGS=TRUE&amp;DOC_NAME=FAT:FQL_AUDITING_CLIENT_TEMPLATE.FAT&amp;display_string=Audit&amp;VAR:KEY=BOFYDCLGLI&amp;VAR:QUERY=RkZfRElWX1lMRChBTk4sMy8xNy8xMSwzLzE3LzExKQ==&amp;WINDOW=FIRST_POPUP&amp;HEIGHT=450&amp;WIDTH=450&amp;","START_MAXIMIZED=FALSE&amp;VAR:CALENDAR=US&amp;VAR:SYMBOL=MO&amp;VAR:INDEX=0"}</definedName>
    <definedName name="_526">#REF!</definedName>
    <definedName name="_526__FDSAUDITLINK__" localSheetId="0" hidden="1">{"fdsup://directions/FAT Viewer?action=UPDATE&amp;creator=factset&amp;DYN_ARGS=TRUE&amp;DOC_NAME=FAT:FQL_AUDITING_CLIENT_TEMPLATE.FAT&amp;display_string=Audit&amp;VAR:KEY=PMDQRGXWBM&amp;VAR:QUERY=RkZfRElWX1lMRChBTk4sMy8xMC8xMSwzLzEwLzExKQ==&amp;WINDOW=FIRST_POPUP&amp;HEIGHT=450&amp;WIDTH=450&amp;","START_MAXIMIZED=FALSE&amp;VAR:CALENDAR=US&amp;VAR:SYMBOL=MO&amp;VAR:INDEX=0"}</definedName>
    <definedName name="_526__FDSAUDITLINK__" hidden="1">{"fdsup://directions/FAT Viewer?action=UPDATE&amp;creator=factset&amp;DYN_ARGS=TRUE&amp;DOC_NAME=FAT:FQL_AUDITING_CLIENT_TEMPLATE.FAT&amp;display_string=Audit&amp;VAR:KEY=PMDQRGXWBM&amp;VAR:QUERY=RkZfRElWX1lMRChBTk4sMy8xMC8xMSwzLzEwLzExKQ==&amp;WINDOW=FIRST_POPUP&amp;HEIGHT=450&amp;WIDTH=450&amp;","START_MAXIMIZED=FALSE&amp;VAR:CALENDAR=US&amp;VAR:SYMBOL=MO&amp;VAR:INDEX=0"}</definedName>
    <definedName name="_527__FDSAUDITLINK__" localSheetId="0" hidden="1">{"fdsup://directions/FAT Viewer?action=UPDATE&amp;creator=factset&amp;DYN_ARGS=TRUE&amp;DOC_NAME=FAT:FQL_AUDITING_CLIENT_TEMPLATE.FAT&amp;display_string=Audit&amp;VAR:KEY=ZSNSNARARS&amp;VAR:QUERY=RkZfRElWX1lMRChBTk4sMy8wMy8xMSwzLzAzLzExKQ==&amp;WINDOW=FIRST_POPUP&amp;HEIGHT=450&amp;WIDTH=450&amp;","START_MAXIMIZED=FALSE&amp;VAR:CALENDAR=US&amp;VAR:SYMBOL=MO&amp;VAR:INDEX=0"}</definedName>
    <definedName name="_527__FDSAUDITLINK__" hidden="1">{"fdsup://directions/FAT Viewer?action=UPDATE&amp;creator=factset&amp;DYN_ARGS=TRUE&amp;DOC_NAME=FAT:FQL_AUDITING_CLIENT_TEMPLATE.FAT&amp;display_string=Audit&amp;VAR:KEY=ZSNSNARARS&amp;VAR:QUERY=RkZfRElWX1lMRChBTk4sMy8wMy8xMSwzLzAzLzExKQ==&amp;WINDOW=FIRST_POPUP&amp;HEIGHT=450&amp;WIDTH=450&amp;","START_MAXIMIZED=FALSE&amp;VAR:CALENDAR=US&amp;VAR:SYMBOL=MO&amp;VAR:INDEX=0"}</definedName>
    <definedName name="_528__FDSAUDITLINK__" localSheetId="0" hidden="1">{"fdsup://directions/FAT Viewer?action=UPDATE&amp;creator=factset&amp;DYN_ARGS=TRUE&amp;DOC_NAME=FAT:FQL_AUDITING_CLIENT_TEMPLATE.FAT&amp;display_string=Audit&amp;VAR:KEY=XILOBGNSPG&amp;VAR:QUERY=RkZfRElWX1lMRChBTk4sMi8yNC8xMSwyLzI0LzExKQ==&amp;WINDOW=FIRST_POPUP&amp;HEIGHT=450&amp;WIDTH=450&amp;","START_MAXIMIZED=FALSE&amp;VAR:CALENDAR=US&amp;VAR:SYMBOL=MO&amp;VAR:INDEX=0"}</definedName>
    <definedName name="_528__FDSAUDITLINK__" hidden="1">{"fdsup://directions/FAT Viewer?action=UPDATE&amp;creator=factset&amp;DYN_ARGS=TRUE&amp;DOC_NAME=FAT:FQL_AUDITING_CLIENT_TEMPLATE.FAT&amp;display_string=Audit&amp;VAR:KEY=XILOBGNSPG&amp;VAR:QUERY=RkZfRElWX1lMRChBTk4sMi8yNC8xMSwyLzI0LzExKQ==&amp;WINDOW=FIRST_POPUP&amp;HEIGHT=450&amp;WIDTH=450&amp;","START_MAXIMIZED=FALSE&amp;VAR:CALENDAR=US&amp;VAR:SYMBOL=MO&amp;VAR:INDEX=0"}</definedName>
    <definedName name="_529">#REF!</definedName>
    <definedName name="_529__FDSAUDITLINK__" localSheetId="0" hidden="1">{"fdsup://directions/FAT Viewer?action=UPDATE&amp;creator=factset&amp;DYN_ARGS=TRUE&amp;DOC_NAME=FAT:FQL_AUDITING_CLIENT_TEMPLATE.FAT&amp;display_string=Audit&amp;VAR:KEY=VSZUNWROFI&amp;VAR:QUERY=RkZfRElWX1lMRChBTk4sMi8xNy8xMSwyLzE3LzExKQ==&amp;WINDOW=FIRST_POPUP&amp;HEIGHT=450&amp;WIDTH=450&amp;","START_MAXIMIZED=FALSE&amp;VAR:CALENDAR=US&amp;VAR:SYMBOL=MO&amp;VAR:INDEX=0"}</definedName>
    <definedName name="_529__FDSAUDITLINK__" hidden="1">{"fdsup://directions/FAT Viewer?action=UPDATE&amp;creator=factset&amp;DYN_ARGS=TRUE&amp;DOC_NAME=FAT:FQL_AUDITING_CLIENT_TEMPLATE.FAT&amp;display_string=Audit&amp;VAR:KEY=VSZUNWROFI&amp;VAR:QUERY=RkZfRElWX1lMRChBTk4sMi8xNy8xMSwyLzE3LzExKQ==&amp;WINDOW=FIRST_POPUP&amp;HEIGHT=450&amp;WIDTH=450&amp;","START_MAXIMIZED=FALSE&amp;VAR:CALENDAR=US&amp;VAR:SYMBOL=MO&amp;VAR:INDEX=0"}</definedName>
    <definedName name="_52main_form_account_grants_list_31_j_id1022">#REF!</definedName>
    <definedName name="_53">#REF!</definedName>
    <definedName name="_53_????8_3">#REF!</definedName>
    <definedName name="_53____NOTE8_9">#REF!</definedName>
    <definedName name="_53__123Graph_DCHART_112" hidden="1">#REF!</definedName>
    <definedName name="_53__123Graph_DSUPPLIES_BY_B_U">#REF!</definedName>
    <definedName name="_53__123Graph_EWAGES_BY_B_U">#REF!</definedName>
    <definedName name="_53__123Graph_FCONTRACT_BY_B_U">#REF!</definedName>
    <definedName name="_53__123Graph_LBL_BCHART_3">#REF!</definedName>
    <definedName name="_53__FDSAUDITLINK__" localSheetId="0" hidden="1">{"fdsup://Directions/FactSet Auditing Viewer?action=AUDIT_VALUE&amp;DB=129&amp;ID1=07373010&amp;VALUEID=02001&amp;SDATE=2011&amp;PERIODTYPE=ANN_STD&amp;SCFT=3&amp;window=popup_no_bar&amp;width=385&amp;height=120&amp;START_MAXIMIZED=FALSE&amp;creator=factset&amp;display_string=Audit"}</definedName>
    <definedName name="_53__FDSAUDITLINK__" hidden="1">{"fdsup://Directions/FactSet Auditing Viewer?action=AUDIT_VALUE&amp;DB=129&amp;ID1=07373010&amp;VALUEID=02001&amp;SDATE=2011&amp;PERIODTYPE=ANN_STD&amp;SCFT=3&amp;window=popup_no_bar&amp;width=385&amp;height=120&amp;START_MAXIMIZED=FALSE&amp;creator=factset&amp;display_string=Audit"}</definedName>
    <definedName name="_530">#REF!</definedName>
    <definedName name="_530__FDSAUDITLINK__" localSheetId="0" hidden="1">{"fdsup://directions/FAT Viewer?action=UPDATE&amp;creator=factset&amp;DYN_ARGS=TRUE&amp;DOC_NAME=FAT:FQL_AUDITING_CLIENT_TEMPLATE.FAT&amp;display_string=Audit&amp;VAR:KEY=LOROZAZCRS&amp;VAR:QUERY=RkZfRElWX1lMRChBTk4sMi8xMC8xMSwyLzEwLzExKQ==&amp;WINDOW=FIRST_POPUP&amp;HEIGHT=450&amp;WIDTH=450&amp;","START_MAXIMIZED=FALSE&amp;VAR:CALENDAR=US&amp;VAR:SYMBOL=MO&amp;VAR:INDEX=0"}</definedName>
    <definedName name="_530__FDSAUDITLINK__" hidden="1">{"fdsup://directions/FAT Viewer?action=UPDATE&amp;creator=factset&amp;DYN_ARGS=TRUE&amp;DOC_NAME=FAT:FQL_AUDITING_CLIENT_TEMPLATE.FAT&amp;display_string=Audit&amp;VAR:KEY=LOROZAZCRS&amp;VAR:QUERY=RkZfRElWX1lMRChBTk4sMi8xMC8xMSwyLzEwLzExKQ==&amp;WINDOW=FIRST_POPUP&amp;HEIGHT=450&amp;WIDTH=450&amp;","START_MAXIMIZED=FALSE&amp;VAR:CALENDAR=US&amp;VAR:SYMBOL=MO&amp;VAR:INDEX=0"}</definedName>
    <definedName name="_531">#REF!</definedName>
    <definedName name="_531__FDSAUDITLINK__" localSheetId="0" hidden="1">{"fdsup://directions/FAT Viewer?action=UPDATE&amp;creator=factset&amp;DYN_ARGS=TRUE&amp;DOC_NAME=FAT:FQL_AUDITING_CLIENT_TEMPLATE.FAT&amp;display_string=Audit&amp;VAR:KEY=VWDCPKNYDY&amp;VAR:QUERY=RkZfRElWX1lMRChBTk4sMi8wMy8xMSwyLzAzLzExKQ==&amp;WINDOW=FIRST_POPUP&amp;HEIGHT=450&amp;WIDTH=450&amp;","START_MAXIMIZED=FALSE&amp;VAR:CALENDAR=US&amp;VAR:SYMBOL=MO&amp;VAR:INDEX=0"}</definedName>
    <definedName name="_531__FDSAUDITLINK__" hidden="1">{"fdsup://directions/FAT Viewer?action=UPDATE&amp;creator=factset&amp;DYN_ARGS=TRUE&amp;DOC_NAME=FAT:FQL_AUDITING_CLIENT_TEMPLATE.FAT&amp;display_string=Audit&amp;VAR:KEY=VWDCPKNYDY&amp;VAR:QUERY=RkZfRElWX1lMRChBTk4sMi8wMy8xMSwyLzAzLzExKQ==&amp;WINDOW=FIRST_POPUP&amp;HEIGHT=450&amp;WIDTH=450&amp;","START_MAXIMIZED=FALSE&amp;VAR:CALENDAR=US&amp;VAR:SYMBOL=MO&amp;VAR:INDEX=0"}</definedName>
    <definedName name="_532">#REF!</definedName>
    <definedName name="_532__FDSAUDITLINK__" localSheetId="0" hidden="1">{"fdsup://directions/FAT Viewer?action=UPDATE&amp;creator=factset&amp;DYN_ARGS=TRUE&amp;DOC_NAME=FAT:FQL_AUDITING_CLIENT_TEMPLATE.FAT&amp;display_string=Audit&amp;VAR:KEY=HUXSLIHQVK&amp;VAR:QUERY=RkZfRElWX1lMRChBTk4sMS8yNy8xMSwxLzI3LzExKQ==&amp;WINDOW=FIRST_POPUP&amp;HEIGHT=450&amp;WIDTH=450&amp;","START_MAXIMIZED=FALSE&amp;VAR:CALENDAR=US&amp;VAR:SYMBOL=MO&amp;VAR:INDEX=0"}</definedName>
    <definedName name="_532__FDSAUDITLINK__" hidden="1">{"fdsup://directions/FAT Viewer?action=UPDATE&amp;creator=factset&amp;DYN_ARGS=TRUE&amp;DOC_NAME=FAT:FQL_AUDITING_CLIENT_TEMPLATE.FAT&amp;display_string=Audit&amp;VAR:KEY=HUXSLIHQVK&amp;VAR:QUERY=RkZfRElWX1lMRChBTk4sMS8yNy8xMSwxLzI3LzExKQ==&amp;WINDOW=FIRST_POPUP&amp;HEIGHT=450&amp;WIDTH=450&amp;","START_MAXIMIZED=FALSE&amp;VAR:CALENDAR=US&amp;VAR:SYMBOL=MO&amp;VAR:INDEX=0"}</definedName>
    <definedName name="_533">#REF!</definedName>
    <definedName name="_533__FDSAUDITLINK__" localSheetId="0" hidden="1">{"fdsup://directions/FAT Viewer?action=UPDATE&amp;creator=factset&amp;DYN_ARGS=TRUE&amp;DOC_NAME=FAT:FQL_AUDITING_CLIENT_TEMPLATE.FAT&amp;display_string=Audit&amp;VAR:KEY=BSDYTSVSLU&amp;VAR:QUERY=RkZfRElWX1lMRChBTk4sMS8yMC8xMSwxLzIwLzExKQ==&amp;WINDOW=FIRST_POPUP&amp;HEIGHT=450&amp;WIDTH=450&amp;","START_MAXIMIZED=FALSE&amp;VAR:CALENDAR=US&amp;VAR:SYMBOL=MO&amp;VAR:INDEX=0"}</definedName>
    <definedName name="_533__FDSAUDITLINK__" hidden="1">{"fdsup://directions/FAT Viewer?action=UPDATE&amp;creator=factset&amp;DYN_ARGS=TRUE&amp;DOC_NAME=FAT:FQL_AUDITING_CLIENT_TEMPLATE.FAT&amp;display_string=Audit&amp;VAR:KEY=BSDYTSVSLU&amp;VAR:QUERY=RkZfRElWX1lMRChBTk4sMS8yMC8xMSwxLzIwLzExKQ==&amp;WINDOW=FIRST_POPUP&amp;HEIGHT=450&amp;WIDTH=450&amp;","START_MAXIMIZED=FALSE&amp;VAR:CALENDAR=US&amp;VAR:SYMBOL=MO&amp;VAR:INDEX=0"}</definedName>
    <definedName name="_534">#REF!</definedName>
    <definedName name="_534__FDSAUDITLINK__" localSheetId="0" hidden="1">{"fdsup://directions/FAT Viewer?action=UPDATE&amp;creator=factset&amp;DYN_ARGS=TRUE&amp;DOC_NAME=FAT:FQL_AUDITING_CLIENT_TEMPLATE.FAT&amp;display_string=Audit&amp;VAR:KEY=PCXKDKVUVM&amp;VAR:QUERY=RkZfRElWX1lMRChBTk4sMS8xMy8xMSwxLzEzLzExKQ==&amp;WINDOW=FIRST_POPUP&amp;HEIGHT=450&amp;WIDTH=450&amp;","START_MAXIMIZED=FALSE&amp;VAR:CALENDAR=US&amp;VAR:SYMBOL=MO&amp;VAR:INDEX=0"}</definedName>
    <definedName name="_534__FDSAUDITLINK__" hidden="1">{"fdsup://directions/FAT Viewer?action=UPDATE&amp;creator=factset&amp;DYN_ARGS=TRUE&amp;DOC_NAME=FAT:FQL_AUDITING_CLIENT_TEMPLATE.FAT&amp;display_string=Audit&amp;VAR:KEY=PCXKDKVUVM&amp;VAR:QUERY=RkZfRElWX1lMRChBTk4sMS8xMy8xMSwxLzEzLzExKQ==&amp;WINDOW=FIRST_POPUP&amp;HEIGHT=450&amp;WIDTH=450&amp;","START_MAXIMIZED=FALSE&amp;VAR:CALENDAR=US&amp;VAR:SYMBOL=MO&amp;VAR:INDEX=0"}</definedName>
    <definedName name="_535">#REF!</definedName>
    <definedName name="_535__FDSAUDITLINK__" localSheetId="0" hidden="1">{"fdsup://directions/FAT Viewer?action=UPDATE&amp;creator=factset&amp;DYN_ARGS=TRUE&amp;DOC_NAME=FAT:FQL_AUDITING_CLIENT_TEMPLATE.FAT&amp;display_string=Audit&amp;VAR:KEY=HQXGXKFMVW&amp;VAR:QUERY=RkZfRElWX1lMRChBTk4sMS8wNi8xMSwxLzA2LzExKQ==&amp;WINDOW=FIRST_POPUP&amp;HEIGHT=450&amp;WIDTH=450&amp;","START_MAXIMIZED=FALSE&amp;VAR:CALENDAR=US&amp;VAR:SYMBOL=MO&amp;VAR:INDEX=0"}</definedName>
    <definedName name="_535__FDSAUDITLINK__" hidden="1">{"fdsup://directions/FAT Viewer?action=UPDATE&amp;creator=factset&amp;DYN_ARGS=TRUE&amp;DOC_NAME=FAT:FQL_AUDITING_CLIENT_TEMPLATE.FAT&amp;display_string=Audit&amp;VAR:KEY=HQXGXKFMVW&amp;VAR:QUERY=RkZfRElWX1lMRChBTk4sMS8wNi8xMSwxLzA2LzExKQ==&amp;WINDOW=FIRST_POPUP&amp;HEIGHT=450&amp;WIDTH=450&amp;","START_MAXIMIZED=FALSE&amp;VAR:CALENDAR=US&amp;VAR:SYMBOL=MO&amp;VAR:INDEX=0"}</definedName>
    <definedName name="_536">#REF!</definedName>
    <definedName name="_536__FDSAUDITLINK__" localSheetId="0" hidden="1">{"fdsup://directions/FAT Viewer?action=UPDATE&amp;creator=factset&amp;DYN_ARGS=TRUE&amp;DOC_NAME=FAT:FQL_AUDITING_CLIENT_TEMPLATE.FAT&amp;display_string=Audit&amp;VAR:KEY=BATYTATQTU&amp;VAR:QUERY=RkZfRElWX1lMRChBTk4sMTIvMzAvMTAsMTIvMzAvMTAp&amp;WINDOW=FIRST_POPUP&amp;HEIGHT=450&amp;WIDTH=450&amp;","START_MAXIMIZED=FALSE&amp;VAR:CALENDAR=US&amp;VAR:SYMBOL=MO&amp;VAR:INDEX=0"}</definedName>
    <definedName name="_536__FDSAUDITLINK__" hidden="1">{"fdsup://directions/FAT Viewer?action=UPDATE&amp;creator=factset&amp;DYN_ARGS=TRUE&amp;DOC_NAME=FAT:FQL_AUDITING_CLIENT_TEMPLATE.FAT&amp;display_string=Audit&amp;VAR:KEY=BATYTATQTU&amp;VAR:QUERY=RkZfRElWX1lMRChBTk4sMTIvMzAvMTAsMTIvMzAvMTAp&amp;WINDOW=FIRST_POPUP&amp;HEIGHT=450&amp;WIDTH=450&amp;","START_MAXIMIZED=FALSE&amp;VAR:CALENDAR=US&amp;VAR:SYMBOL=MO&amp;VAR:INDEX=0"}</definedName>
    <definedName name="_537">#REF!</definedName>
    <definedName name="_537__FDSAUDITLINK__" localSheetId="0" hidden="1">{"fdsup://directions/FAT Viewer?action=UPDATE&amp;creator=factset&amp;DYN_ARGS=TRUE&amp;DOC_NAME=FAT:FQL_AUDITING_CLIENT_TEMPLATE.FAT&amp;display_string=Audit&amp;VAR:KEY=VCLYRWJIJS&amp;VAR:QUERY=RkZfRElWX1lMRChBTk4sMTIvMjMvMTAsMTIvMjMvMTAp&amp;WINDOW=FIRST_POPUP&amp;HEIGHT=450&amp;WIDTH=450&amp;","START_MAXIMIZED=FALSE&amp;VAR:CALENDAR=US&amp;VAR:SYMBOL=MO&amp;VAR:INDEX=0"}</definedName>
    <definedName name="_537__FDSAUDITLINK__" hidden="1">{"fdsup://directions/FAT Viewer?action=UPDATE&amp;creator=factset&amp;DYN_ARGS=TRUE&amp;DOC_NAME=FAT:FQL_AUDITING_CLIENT_TEMPLATE.FAT&amp;display_string=Audit&amp;VAR:KEY=VCLYRWJIJS&amp;VAR:QUERY=RkZfRElWX1lMRChBTk4sMTIvMjMvMTAsMTIvMjMvMTAp&amp;WINDOW=FIRST_POPUP&amp;HEIGHT=450&amp;WIDTH=450&amp;","START_MAXIMIZED=FALSE&amp;VAR:CALENDAR=US&amp;VAR:SYMBOL=MO&amp;VAR:INDEX=0"}</definedName>
    <definedName name="_5370">#REF!</definedName>
    <definedName name="_5371">#REF!</definedName>
    <definedName name="_5373">#REF!</definedName>
    <definedName name="_5374">#REF!</definedName>
    <definedName name="_5376">#REF!</definedName>
    <definedName name="_5377">#REF!</definedName>
    <definedName name="_5379">#REF!</definedName>
    <definedName name="_538">#REF!</definedName>
    <definedName name="_538__FDSAUDITLINK__" localSheetId="0" hidden="1">{"fdsup://directions/FAT Viewer?action=UPDATE&amp;creator=factset&amp;DYN_ARGS=TRUE&amp;DOC_NAME=FAT:FQL_AUDITING_CLIENT_TEMPLATE.FAT&amp;display_string=Audit&amp;VAR:KEY=LGBQHOHINQ&amp;VAR:QUERY=RkZfRElWX1lMRChBTk4sMTIvMTYvMTAsMTIvMTYvMTAp&amp;WINDOW=FIRST_POPUP&amp;HEIGHT=450&amp;WIDTH=450&amp;","START_MAXIMIZED=FALSE&amp;VAR:CALENDAR=US&amp;VAR:SYMBOL=MO&amp;VAR:INDEX=0"}</definedName>
    <definedName name="_538__FDSAUDITLINK__" hidden="1">{"fdsup://directions/FAT Viewer?action=UPDATE&amp;creator=factset&amp;DYN_ARGS=TRUE&amp;DOC_NAME=FAT:FQL_AUDITING_CLIENT_TEMPLATE.FAT&amp;display_string=Audit&amp;VAR:KEY=LGBQHOHINQ&amp;VAR:QUERY=RkZfRElWX1lMRChBTk4sMTIvMTYvMTAsMTIvMTYvMTAp&amp;WINDOW=FIRST_POPUP&amp;HEIGHT=450&amp;WIDTH=450&amp;","START_MAXIMIZED=FALSE&amp;VAR:CALENDAR=US&amp;VAR:SYMBOL=MO&amp;VAR:INDEX=0"}</definedName>
    <definedName name="_5380">#REF!</definedName>
    <definedName name="_539">#REF!</definedName>
    <definedName name="_539__FDSAUDITLINK__" localSheetId="0" hidden="1">{"fdsup://directions/FAT Viewer?action=UPDATE&amp;creator=factset&amp;DYN_ARGS=TRUE&amp;DOC_NAME=FAT:FQL_AUDITING_CLIENT_TEMPLATE.FAT&amp;display_string=Audit&amp;VAR:KEY=ZARCNIXCHG&amp;VAR:QUERY=RkZfRElWX1lMRChBTk4sMTIvMDkvMTAsMTIvMDkvMTAp&amp;WINDOW=FIRST_POPUP&amp;HEIGHT=450&amp;WIDTH=450&amp;","START_MAXIMIZED=FALSE&amp;VAR:CALENDAR=US&amp;VAR:SYMBOL=MO&amp;VAR:INDEX=0"}</definedName>
    <definedName name="_539__FDSAUDITLINK__" hidden="1">{"fdsup://directions/FAT Viewer?action=UPDATE&amp;creator=factset&amp;DYN_ARGS=TRUE&amp;DOC_NAME=FAT:FQL_AUDITING_CLIENT_TEMPLATE.FAT&amp;display_string=Audit&amp;VAR:KEY=ZARCNIXCHG&amp;VAR:QUERY=RkZfRElWX1lMRChBTk4sMTIvMDkvMTAsMTIvMDkvMTAp&amp;WINDOW=FIRST_POPUP&amp;HEIGHT=450&amp;WIDTH=450&amp;","START_MAXIMIZED=FALSE&amp;VAR:CALENDAR=US&amp;VAR:SYMBOL=MO&amp;VAR:INDEX=0"}</definedName>
    <definedName name="_54">#REF!</definedName>
    <definedName name="_54____P_L">#REF!</definedName>
    <definedName name="_54__123Graph_BSENS_COMPARISON">#REF!</definedName>
    <definedName name="_54__123Graph_DCONTRACT_BY_B_U">#REF!</definedName>
    <definedName name="_54__123Graph_DWAGES_BY_B_U">#REF!</definedName>
    <definedName name="_54__123Graph_FQRE_S_BY_CO.">#REF!</definedName>
    <definedName name="_54__FDSAUDITLINK__" localSheetId="0" hidden="1">{"fdsup://directions/FAT Viewer?action=UPDATE&amp;creator=factset&amp;DYN_ARGS=TRUE&amp;DOC_NAME=FAT:FQL_AUDITING_CLIENT_TEMPLATE.FAT&amp;display_string=Audit&amp;VAR:KEY=DEVEBAXYJU&amp;VAR:QUERY=QVZHKEZGX0RJVl9ZTEQoQU5OLDQwOTk0LC01QVkpKQ==&amp;WINDOW=FIRST_POPUP&amp;HEIGHT=450&amp;WIDTH=450&amp;","START_MAXIMIZED=FALSE&amp;VAR:CALENDAR=US&amp;VAR:SYMBOL=PM"}</definedName>
    <definedName name="_54__FDSAUDITLINK__" hidden="1">{"fdsup://directions/FAT Viewer?action=UPDATE&amp;creator=factset&amp;DYN_ARGS=TRUE&amp;DOC_NAME=FAT:FQL_AUDITING_CLIENT_TEMPLATE.FAT&amp;display_string=Audit&amp;VAR:KEY=DEVEBAXYJU&amp;VAR:QUERY=QVZHKEZGX0RJVl9ZTEQoQU5OLDQwOTk0LC01QVkpKQ==&amp;WINDOW=FIRST_POPUP&amp;HEIGHT=450&amp;WIDTH=450&amp;","START_MAXIMIZED=FALSE&amp;VAR:CALENDAR=US&amp;VAR:SYMBOL=PM"}</definedName>
    <definedName name="_540">#REF!</definedName>
    <definedName name="_540__FDSAUDITLINK__" localSheetId="0" hidden="1">{"fdsup://directions/FAT Viewer?action=UPDATE&amp;creator=factset&amp;DYN_ARGS=TRUE&amp;DOC_NAME=FAT:FQL_AUDITING_CLIENT_TEMPLATE.FAT&amp;display_string=Audit&amp;VAR:KEY=FMLCBOVMXQ&amp;VAR:QUERY=RkZfRElWX1lMRChBTk4sMTIvMDIvMTAsMTIvMDIvMTAp&amp;WINDOW=FIRST_POPUP&amp;HEIGHT=450&amp;WIDTH=450&amp;","START_MAXIMIZED=FALSE&amp;VAR:CALENDAR=US&amp;VAR:SYMBOL=MO&amp;VAR:INDEX=0"}</definedName>
    <definedName name="_540__FDSAUDITLINK__" hidden="1">{"fdsup://directions/FAT Viewer?action=UPDATE&amp;creator=factset&amp;DYN_ARGS=TRUE&amp;DOC_NAME=FAT:FQL_AUDITING_CLIENT_TEMPLATE.FAT&amp;display_string=Audit&amp;VAR:KEY=FMLCBOVMXQ&amp;VAR:QUERY=RkZfRElWX1lMRChBTk4sMTIvMDIvMTAsMTIvMDIvMTAp&amp;WINDOW=FIRST_POPUP&amp;HEIGHT=450&amp;WIDTH=450&amp;","START_MAXIMIZED=FALSE&amp;VAR:CALENDAR=US&amp;VAR:SYMBOL=MO&amp;VAR:INDEX=0"}</definedName>
    <definedName name="_541">#REF!</definedName>
    <definedName name="_541__FDSAUDITLINK__" localSheetId="0" hidden="1">{"fdsup://directions/FAT Viewer?action=UPDATE&amp;creator=factset&amp;DYN_ARGS=TRUE&amp;DOC_NAME=FAT:FQL_AUDITING_CLIENT_TEMPLATE.FAT&amp;display_string=Audit&amp;VAR:KEY=XOPUDIVMDW&amp;VAR:QUERY=RkZfRElWX1lMRChBTk4sMTEvMjQvMTAsMTEvMjQvMTAp&amp;WINDOW=FIRST_POPUP&amp;HEIGHT=450&amp;WIDTH=450&amp;","START_MAXIMIZED=FALSE&amp;VAR:CALENDAR=US&amp;VAR:SYMBOL=MO&amp;VAR:INDEX=0"}</definedName>
    <definedName name="_541__FDSAUDITLINK__" hidden="1">{"fdsup://directions/FAT Viewer?action=UPDATE&amp;creator=factset&amp;DYN_ARGS=TRUE&amp;DOC_NAME=FAT:FQL_AUDITING_CLIENT_TEMPLATE.FAT&amp;display_string=Audit&amp;VAR:KEY=XOPUDIVMDW&amp;VAR:QUERY=RkZfRElWX1lMRChBTk4sMTEvMjQvMTAsMTEvMjQvMTAp&amp;WINDOW=FIRST_POPUP&amp;HEIGHT=450&amp;WIDTH=450&amp;","START_MAXIMIZED=FALSE&amp;VAR:CALENDAR=US&amp;VAR:SYMBOL=MO&amp;VAR:INDEX=0"}</definedName>
    <definedName name="_542">#REF!</definedName>
    <definedName name="_542__FDSAUDITLINK__" localSheetId="0" hidden="1">{"fdsup://directions/FAT Viewer?action=UPDATE&amp;creator=factset&amp;DYN_ARGS=TRUE&amp;DOC_NAME=FAT:FQL_AUDITING_CLIENT_TEMPLATE.FAT&amp;display_string=Audit&amp;VAR:KEY=BSTAVMNYDA&amp;VAR:QUERY=RkZfRElWX1lMRChBTk4sMTEvMTgvMTAsMTEvMTgvMTAp&amp;WINDOW=FIRST_POPUP&amp;HEIGHT=450&amp;WIDTH=450&amp;","START_MAXIMIZED=FALSE&amp;VAR:CALENDAR=US&amp;VAR:SYMBOL=MO&amp;VAR:INDEX=0"}</definedName>
    <definedName name="_542__FDSAUDITLINK__" hidden="1">{"fdsup://directions/FAT Viewer?action=UPDATE&amp;creator=factset&amp;DYN_ARGS=TRUE&amp;DOC_NAME=FAT:FQL_AUDITING_CLIENT_TEMPLATE.FAT&amp;display_string=Audit&amp;VAR:KEY=BSTAVMNYDA&amp;VAR:QUERY=RkZfRElWX1lMRChBTk4sMTEvMTgvMTAsMTEvMTgvMTAp&amp;WINDOW=FIRST_POPUP&amp;HEIGHT=450&amp;WIDTH=450&amp;","START_MAXIMIZED=FALSE&amp;VAR:CALENDAR=US&amp;VAR:SYMBOL=MO&amp;VAR:INDEX=0"}</definedName>
    <definedName name="_543">#REF!</definedName>
    <definedName name="_543__FDSAUDITLINK__" localSheetId="0" hidden="1">{"fdsup://directions/FAT Viewer?action=UPDATE&amp;creator=factset&amp;DYN_ARGS=TRUE&amp;DOC_NAME=FAT:FQL_AUDITING_CLIENT_TEMPLATE.FAT&amp;display_string=Audit&amp;VAR:KEY=TABMNGFEVY&amp;VAR:QUERY=RkZfRElWX1lMRChBTk4sMTEvMTEvMTAsMTEvMTEvMTAp&amp;WINDOW=FIRST_POPUP&amp;HEIGHT=450&amp;WIDTH=450&amp;","START_MAXIMIZED=FALSE&amp;VAR:CALENDAR=US&amp;VAR:SYMBOL=MO&amp;VAR:INDEX=0"}</definedName>
    <definedName name="_543__FDSAUDITLINK__" hidden="1">{"fdsup://directions/FAT Viewer?action=UPDATE&amp;creator=factset&amp;DYN_ARGS=TRUE&amp;DOC_NAME=FAT:FQL_AUDITING_CLIENT_TEMPLATE.FAT&amp;display_string=Audit&amp;VAR:KEY=TABMNGFEVY&amp;VAR:QUERY=RkZfRElWX1lMRChBTk4sMTEvMTEvMTAsMTEvMTEvMTAp&amp;WINDOW=FIRST_POPUP&amp;HEIGHT=450&amp;WIDTH=450&amp;","START_MAXIMIZED=FALSE&amp;VAR:CALENDAR=US&amp;VAR:SYMBOL=MO&amp;VAR:INDEX=0"}</definedName>
    <definedName name="_544">#REF!</definedName>
    <definedName name="_544__FDSAUDITLINK__" localSheetId="0" hidden="1">{"fdsup://directions/FAT Viewer?action=UPDATE&amp;creator=factset&amp;DYN_ARGS=TRUE&amp;DOC_NAME=FAT:FQL_AUDITING_CLIENT_TEMPLATE.FAT&amp;display_string=Audit&amp;VAR:KEY=JWDQDQPAZI&amp;VAR:QUERY=RkZfRElWX1lMRChBTk4sMTEvMDQvMTAsMTEvMDQvMTAp&amp;WINDOW=FIRST_POPUP&amp;HEIGHT=450&amp;WIDTH=450&amp;","START_MAXIMIZED=FALSE&amp;VAR:CALENDAR=US&amp;VAR:SYMBOL=MO&amp;VAR:INDEX=0"}</definedName>
    <definedName name="_544__FDSAUDITLINK__" hidden="1">{"fdsup://directions/FAT Viewer?action=UPDATE&amp;creator=factset&amp;DYN_ARGS=TRUE&amp;DOC_NAME=FAT:FQL_AUDITING_CLIENT_TEMPLATE.FAT&amp;display_string=Audit&amp;VAR:KEY=JWDQDQPAZI&amp;VAR:QUERY=RkZfRElWX1lMRChBTk4sMTEvMDQvMTAsMTEvMDQvMTAp&amp;WINDOW=FIRST_POPUP&amp;HEIGHT=450&amp;WIDTH=450&amp;","START_MAXIMIZED=FALSE&amp;VAR:CALENDAR=US&amp;VAR:SYMBOL=MO&amp;VAR:INDEX=0"}</definedName>
    <definedName name="_545">#REF!</definedName>
    <definedName name="_545__FDSAUDITLINK__" localSheetId="0" hidden="1">{"fdsup://directions/FAT Viewer?action=UPDATE&amp;creator=factset&amp;DYN_ARGS=TRUE&amp;DOC_NAME=FAT:FQL_AUDITING_CLIENT_TEMPLATE.FAT&amp;display_string=Audit&amp;VAR:KEY=XGZIDMHMBY&amp;VAR:QUERY=RkZfRElWX1lMRChBTk4sMTAvMjgvMTAsMTAvMjgvMTAp&amp;WINDOW=FIRST_POPUP&amp;HEIGHT=450&amp;WIDTH=450&amp;","START_MAXIMIZED=FALSE&amp;VAR:CALENDAR=US&amp;VAR:SYMBOL=MO&amp;VAR:INDEX=0"}</definedName>
    <definedName name="_545__FDSAUDITLINK__" hidden="1">{"fdsup://directions/FAT Viewer?action=UPDATE&amp;creator=factset&amp;DYN_ARGS=TRUE&amp;DOC_NAME=FAT:FQL_AUDITING_CLIENT_TEMPLATE.FAT&amp;display_string=Audit&amp;VAR:KEY=XGZIDMHMBY&amp;VAR:QUERY=RkZfRElWX1lMRChBTk4sMTAvMjgvMTAsMTAvMjgvMTAp&amp;WINDOW=FIRST_POPUP&amp;HEIGHT=450&amp;WIDTH=450&amp;","START_MAXIMIZED=FALSE&amp;VAR:CALENDAR=US&amp;VAR:SYMBOL=MO&amp;VAR:INDEX=0"}</definedName>
    <definedName name="_546">#REF!</definedName>
    <definedName name="_546__FDSAUDITLINK__" localSheetId="0" hidden="1">{"fdsup://directions/FAT Viewer?action=UPDATE&amp;creator=factset&amp;DYN_ARGS=TRUE&amp;DOC_NAME=FAT:FQL_AUDITING_CLIENT_TEMPLATE.FAT&amp;display_string=Audit&amp;VAR:KEY=FMBARKBCRW&amp;VAR:QUERY=RkZfRElWX1lMRChBTk4sMTAvMjEvMTAsMTAvMjEvMTAp&amp;WINDOW=FIRST_POPUP&amp;HEIGHT=450&amp;WIDTH=450&amp;","START_MAXIMIZED=FALSE&amp;VAR:CALENDAR=US&amp;VAR:SYMBOL=MO&amp;VAR:INDEX=0"}</definedName>
    <definedName name="_546__FDSAUDITLINK__" hidden="1">{"fdsup://directions/FAT Viewer?action=UPDATE&amp;creator=factset&amp;DYN_ARGS=TRUE&amp;DOC_NAME=FAT:FQL_AUDITING_CLIENT_TEMPLATE.FAT&amp;display_string=Audit&amp;VAR:KEY=FMBARKBCRW&amp;VAR:QUERY=RkZfRElWX1lMRChBTk4sMTAvMjEvMTAsMTAvMjEvMTAp&amp;WINDOW=FIRST_POPUP&amp;HEIGHT=450&amp;WIDTH=450&amp;","START_MAXIMIZED=FALSE&amp;VAR:CALENDAR=US&amp;VAR:SYMBOL=MO&amp;VAR:INDEX=0"}</definedName>
    <definedName name="_547">#REF!</definedName>
    <definedName name="_547__FDSAUDITLINK__" localSheetId="0" hidden="1">{"fdsup://directions/FAT Viewer?action=UPDATE&amp;creator=factset&amp;DYN_ARGS=TRUE&amp;DOC_NAME=FAT:FQL_AUDITING_CLIENT_TEMPLATE.FAT&amp;display_string=Audit&amp;VAR:KEY=XMTGVYFGPI&amp;VAR:QUERY=RkZfRElWX1lMRChBTk4sMTAvMTQvMTAsMTAvMTQvMTAp&amp;WINDOW=FIRST_POPUP&amp;HEIGHT=450&amp;WIDTH=450&amp;","START_MAXIMIZED=FALSE&amp;VAR:CALENDAR=US&amp;VAR:SYMBOL=MO&amp;VAR:INDEX=0"}</definedName>
    <definedName name="_547__FDSAUDITLINK__" hidden="1">{"fdsup://directions/FAT Viewer?action=UPDATE&amp;creator=factset&amp;DYN_ARGS=TRUE&amp;DOC_NAME=FAT:FQL_AUDITING_CLIENT_TEMPLATE.FAT&amp;display_string=Audit&amp;VAR:KEY=XMTGVYFGPI&amp;VAR:QUERY=RkZfRElWX1lMRChBTk4sMTAvMTQvMTAsMTAvMTQvMTAp&amp;WINDOW=FIRST_POPUP&amp;HEIGHT=450&amp;WIDTH=450&amp;","START_MAXIMIZED=FALSE&amp;VAR:CALENDAR=US&amp;VAR:SYMBOL=MO&amp;VAR:INDEX=0"}</definedName>
    <definedName name="_548">#REF!</definedName>
    <definedName name="_548__FDSAUDITLINK__" localSheetId="0" hidden="1">{"fdsup://directions/FAT Viewer?action=UPDATE&amp;creator=factset&amp;DYN_ARGS=TRUE&amp;DOC_NAME=FAT:FQL_AUDITING_CLIENT_TEMPLATE.FAT&amp;display_string=Audit&amp;VAR:KEY=PSNULCVMZQ&amp;VAR:QUERY=RkZfRElWX1lMRChBTk4sMTAvMDcvMTAsMTAvMDcvMTAp&amp;WINDOW=FIRST_POPUP&amp;HEIGHT=450&amp;WIDTH=450&amp;","START_MAXIMIZED=FALSE&amp;VAR:CALENDAR=US&amp;VAR:SYMBOL=MO&amp;VAR:INDEX=0"}</definedName>
    <definedName name="_548__FDSAUDITLINK__" hidden="1">{"fdsup://directions/FAT Viewer?action=UPDATE&amp;creator=factset&amp;DYN_ARGS=TRUE&amp;DOC_NAME=FAT:FQL_AUDITING_CLIENT_TEMPLATE.FAT&amp;display_string=Audit&amp;VAR:KEY=PSNULCVMZQ&amp;VAR:QUERY=RkZfRElWX1lMRChBTk4sMTAvMDcvMTAsMTAvMDcvMTAp&amp;WINDOW=FIRST_POPUP&amp;HEIGHT=450&amp;WIDTH=450&amp;","START_MAXIMIZED=FALSE&amp;VAR:CALENDAR=US&amp;VAR:SYMBOL=MO&amp;VAR:INDEX=0"}</definedName>
    <definedName name="_549__FDSAUDITLINK__" localSheetId="0" hidden="1">{"fdsup://directions/FAT Viewer?action=UPDATE&amp;creator=factset&amp;DYN_ARGS=TRUE&amp;DOC_NAME=FAT:FQL_AUDITING_CLIENT_TEMPLATE.FAT&amp;display_string=Audit&amp;VAR:KEY=JQNUXQRCLG&amp;VAR:QUERY=RkZfRElWX1lMRChBTk4sOS8zMC8xMCw5LzMwLzEwKQ==&amp;WINDOW=FIRST_POPUP&amp;HEIGHT=450&amp;WIDTH=450&amp;","START_MAXIMIZED=FALSE&amp;VAR:CALENDAR=US&amp;VAR:SYMBOL=MO&amp;VAR:INDEX=0"}</definedName>
    <definedName name="_549__FDSAUDITLINK__" hidden="1">{"fdsup://directions/FAT Viewer?action=UPDATE&amp;creator=factset&amp;DYN_ARGS=TRUE&amp;DOC_NAME=FAT:FQL_AUDITING_CLIENT_TEMPLATE.FAT&amp;display_string=Audit&amp;VAR:KEY=JQNUXQRCLG&amp;VAR:QUERY=RkZfRElWX1lMRChBTk4sOS8zMC8xMCw5LzMwLzEwKQ==&amp;WINDOW=FIRST_POPUP&amp;HEIGHT=450&amp;WIDTH=450&amp;","START_MAXIMIZED=FALSE&amp;VAR:CALENDAR=US&amp;VAR:SYMBOL=MO&amp;VAR:INDEX=0"}</definedName>
    <definedName name="_54main_form_account_grants_list_32_j_id1022">#REF!</definedName>
    <definedName name="_55">#REF!</definedName>
    <definedName name="_55___B_S">#REF!</definedName>
    <definedName name="_55__123Graph_BCHART_8">#REF!</definedName>
    <definedName name="_55__123Graph_BSENS_COMPARISON">#REF!</definedName>
    <definedName name="_55__123Graph_ECONTRACT_BY_B_U">#REF!</definedName>
    <definedName name="_55__123Graph_FCONTRACT_BY_B_U">#REF!</definedName>
    <definedName name="_55__123Graph_FQRE_S_BY_CO.">#REF!</definedName>
    <definedName name="_55__FDSAUDITLINK__" localSheetId="0" hidden="1">{"fdsup://directions/FAT Viewer?action=UPDATE&amp;creator=factset&amp;DYN_ARGS=TRUE&amp;DOC_NAME=FAT:FQL_AUDITING_CLIENT_TEMPLATE.FAT&amp;display_string=Audit&amp;VAR:KEY=LMFWZIFAVY&amp;VAR:QUERY=QVZHKEZGX0RJVl9ZTEQoQU5OLDQwOTk0LC0zQVkpKQ==&amp;WINDOW=FIRST_POPUP&amp;HEIGHT=450&amp;WIDTH=450&amp;","START_MAXIMIZED=FALSE&amp;VAR:CALENDAR=US&amp;VAR:SYMBOL=PM"}</definedName>
    <definedName name="_55__FDSAUDITLINK__" hidden="1">{"fdsup://directions/FAT Viewer?action=UPDATE&amp;creator=factset&amp;DYN_ARGS=TRUE&amp;DOC_NAME=FAT:FQL_AUDITING_CLIENT_TEMPLATE.FAT&amp;display_string=Audit&amp;VAR:KEY=LMFWZIFAVY&amp;VAR:QUERY=QVZHKEZGX0RJVl9ZTEQoQU5OLDQwOTk0LC0zQVkpKQ==&amp;WINDOW=FIRST_POPUP&amp;HEIGHT=450&amp;WIDTH=450&amp;","START_MAXIMIZED=FALSE&amp;VAR:CALENDAR=US&amp;VAR:SYMBOL=PM"}</definedName>
    <definedName name="_55_0_Table2_" hidden="1">#REF!</definedName>
    <definedName name="_550__FDSAUDITLINK__" localSheetId="0" hidden="1">{"fdsup://directions/FAT Viewer?action=UPDATE&amp;creator=factset&amp;DYN_ARGS=TRUE&amp;DOC_NAME=FAT:FQL_AUDITING_CLIENT_TEMPLATE.FAT&amp;display_string=Audit&amp;VAR:KEY=TWDIRAHYFG&amp;VAR:QUERY=RkZfRElWX1lMRChBTk4sOS8yMy8xMCw5LzIzLzEwKQ==&amp;WINDOW=FIRST_POPUP&amp;HEIGHT=450&amp;WIDTH=450&amp;","START_MAXIMIZED=FALSE&amp;VAR:CALENDAR=US&amp;VAR:SYMBOL=MO&amp;VAR:INDEX=0"}</definedName>
    <definedName name="_550__FDSAUDITLINK__" hidden="1">{"fdsup://directions/FAT Viewer?action=UPDATE&amp;creator=factset&amp;DYN_ARGS=TRUE&amp;DOC_NAME=FAT:FQL_AUDITING_CLIENT_TEMPLATE.FAT&amp;display_string=Audit&amp;VAR:KEY=TWDIRAHYFG&amp;VAR:QUERY=RkZfRElWX1lMRChBTk4sOS8yMy8xMCw5LzIzLzEwKQ==&amp;WINDOW=FIRST_POPUP&amp;HEIGHT=450&amp;WIDTH=450&amp;","START_MAXIMIZED=FALSE&amp;VAR:CALENDAR=US&amp;VAR:SYMBOL=MO&amp;VAR:INDEX=0"}</definedName>
    <definedName name="_551__FDSAUDITLINK__" localSheetId="0" hidden="1">{"fdsup://directions/FAT Viewer?action=UPDATE&amp;creator=factset&amp;DYN_ARGS=TRUE&amp;DOC_NAME=FAT:FQL_AUDITING_CLIENT_TEMPLATE.FAT&amp;display_string=Audit&amp;VAR:KEY=NEZALQXIZW&amp;VAR:QUERY=RkZfRElWX1lMRChBTk4sOS8xNi8xMCw5LzE2LzEwKQ==&amp;WINDOW=FIRST_POPUP&amp;HEIGHT=450&amp;WIDTH=450&amp;","START_MAXIMIZED=FALSE&amp;VAR:CALENDAR=US&amp;VAR:SYMBOL=MO&amp;VAR:INDEX=0"}</definedName>
    <definedName name="_551__FDSAUDITLINK__" hidden="1">{"fdsup://directions/FAT Viewer?action=UPDATE&amp;creator=factset&amp;DYN_ARGS=TRUE&amp;DOC_NAME=FAT:FQL_AUDITING_CLIENT_TEMPLATE.FAT&amp;display_string=Audit&amp;VAR:KEY=NEZALQXIZW&amp;VAR:QUERY=RkZfRElWX1lMRChBTk4sOS8xNi8xMCw5LzE2LzEwKQ==&amp;WINDOW=FIRST_POPUP&amp;HEIGHT=450&amp;WIDTH=450&amp;","START_MAXIMIZED=FALSE&amp;VAR:CALENDAR=US&amp;VAR:SYMBOL=MO&amp;VAR:INDEX=0"}</definedName>
    <definedName name="_552__FDSAUDITLINK__" localSheetId="0" hidden="1">{"fdsup://directions/FAT Viewer?action=UPDATE&amp;creator=factset&amp;DYN_ARGS=TRUE&amp;DOC_NAME=FAT:FQL_AUDITING_CLIENT_TEMPLATE.FAT&amp;display_string=Audit&amp;VAR:KEY=NMBQRSHAPE&amp;VAR:QUERY=RkZfRElWX1lMRChBTk4sOS8wOS8xMCw5LzA5LzEwKQ==&amp;WINDOW=FIRST_POPUP&amp;HEIGHT=450&amp;WIDTH=450&amp;","START_MAXIMIZED=FALSE&amp;VAR:CALENDAR=US&amp;VAR:SYMBOL=MO&amp;VAR:INDEX=0"}</definedName>
    <definedName name="_552__FDSAUDITLINK__" hidden="1">{"fdsup://directions/FAT Viewer?action=UPDATE&amp;creator=factset&amp;DYN_ARGS=TRUE&amp;DOC_NAME=FAT:FQL_AUDITING_CLIENT_TEMPLATE.FAT&amp;display_string=Audit&amp;VAR:KEY=NMBQRSHAPE&amp;VAR:QUERY=RkZfRElWX1lMRChBTk4sOS8wOS8xMCw5LzA5LzEwKQ==&amp;WINDOW=FIRST_POPUP&amp;HEIGHT=450&amp;WIDTH=450&amp;","START_MAXIMIZED=FALSE&amp;VAR:CALENDAR=US&amp;VAR:SYMBOL=MO&amp;VAR:INDEX=0"}</definedName>
    <definedName name="_553">#REF!</definedName>
    <definedName name="_553__FDSAUDITLINK__" localSheetId="0" hidden="1">{"fdsup://directions/FAT Viewer?action=UPDATE&amp;creator=factset&amp;DYN_ARGS=TRUE&amp;DOC_NAME=FAT:FQL_AUDITING_CLIENT_TEMPLATE.FAT&amp;display_string=Audit&amp;VAR:KEY=PQDOFIJWZW&amp;VAR:QUERY=RkZfRElWX1lMRChBTk4sOS8wMi8xMCw5LzAyLzEwKQ==&amp;WINDOW=FIRST_POPUP&amp;HEIGHT=450&amp;WIDTH=450&amp;","START_MAXIMIZED=FALSE&amp;VAR:CALENDAR=US&amp;VAR:SYMBOL=MO&amp;VAR:INDEX=0"}</definedName>
    <definedName name="_553__FDSAUDITLINK__" hidden="1">{"fdsup://directions/FAT Viewer?action=UPDATE&amp;creator=factset&amp;DYN_ARGS=TRUE&amp;DOC_NAME=FAT:FQL_AUDITING_CLIENT_TEMPLATE.FAT&amp;display_string=Audit&amp;VAR:KEY=PQDOFIJWZW&amp;VAR:QUERY=RkZfRElWX1lMRChBTk4sOS8wMi8xMCw5LzAyLzEwKQ==&amp;WINDOW=FIRST_POPUP&amp;HEIGHT=450&amp;WIDTH=450&amp;","START_MAXIMIZED=FALSE&amp;VAR:CALENDAR=US&amp;VAR:SYMBOL=MO&amp;VAR:INDEX=0"}</definedName>
    <definedName name="_554">#REF!</definedName>
    <definedName name="_554__FDSAUDITLINK__" localSheetId="0" hidden="1">{"fdsup://directions/FAT Viewer?action=UPDATE&amp;creator=factset&amp;DYN_ARGS=TRUE&amp;DOC_NAME=FAT:FQL_AUDITING_CLIENT_TEMPLATE.FAT&amp;display_string=Audit&amp;VAR:KEY=RCRGFQXONY&amp;VAR:QUERY=RkZfRElWX1lMRChBTk4sOC8yNi8xMCw4LzI2LzEwKQ==&amp;WINDOW=FIRST_POPUP&amp;HEIGHT=450&amp;WIDTH=450&amp;","START_MAXIMIZED=FALSE&amp;VAR:CALENDAR=US&amp;VAR:SYMBOL=MO&amp;VAR:INDEX=0"}</definedName>
    <definedName name="_554__FDSAUDITLINK__" hidden="1">{"fdsup://directions/FAT Viewer?action=UPDATE&amp;creator=factset&amp;DYN_ARGS=TRUE&amp;DOC_NAME=FAT:FQL_AUDITING_CLIENT_TEMPLATE.FAT&amp;display_string=Audit&amp;VAR:KEY=RCRGFQXONY&amp;VAR:QUERY=RkZfRElWX1lMRChBTk4sOC8yNi8xMCw4LzI2LzEwKQ==&amp;WINDOW=FIRST_POPUP&amp;HEIGHT=450&amp;WIDTH=450&amp;","START_MAXIMIZED=FALSE&amp;VAR:CALENDAR=US&amp;VAR:SYMBOL=MO&amp;VAR:INDEX=0"}</definedName>
    <definedName name="_555">#REF!</definedName>
    <definedName name="_555__FDSAUDITLINK__" localSheetId="0" hidden="1">{"fdsup://directions/FAT Viewer?action=UPDATE&amp;creator=factset&amp;DYN_ARGS=TRUE&amp;DOC_NAME=FAT:FQL_AUDITING_CLIENT_TEMPLATE.FAT&amp;display_string=Audit&amp;VAR:KEY=PODWTYNABC&amp;VAR:QUERY=RkZfRElWX1lMRChBTk4sOC8xOS8xMCw4LzE5LzEwKQ==&amp;WINDOW=FIRST_POPUP&amp;HEIGHT=450&amp;WIDTH=450&amp;","START_MAXIMIZED=FALSE&amp;VAR:CALENDAR=US&amp;VAR:SYMBOL=MO&amp;VAR:INDEX=0"}</definedName>
    <definedName name="_555__FDSAUDITLINK__" hidden="1">{"fdsup://directions/FAT Viewer?action=UPDATE&amp;creator=factset&amp;DYN_ARGS=TRUE&amp;DOC_NAME=FAT:FQL_AUDITING_CLIENT_TEMPLATE.FAT&amp;display_string=Audit&amp;VAR:KEY=PODWTYNABC&amp;VAR:QUERY=RkZfRElWX1lMRChBTk4sOC8xOS8xMCw4LzE5LzEwKQ==&amp;WINDOW=FIRST_POPUP&amp;HEIGHT=450&amp;WIDTH=450&amp;","START_MAXIMIZED=FALSE&amp;VAR:CALENDAR=US&amp;VAR:SYMBOL=MO&amp;VAR:INDEX=0"}</definedName>
    <definedName name="_556">#REF!</definedName>
    <definedName name="_556__FDSAUDITLINK__" localSheetId="0" hidden="1">{"fdsup://directions/FAT Viewer?action=UPDATE&amp;creator=factset&amp;DYN_ARGS=TRUE&amp;DOC_NAME=FAT:FQL_AUDITING_CLIENT_TEMPLATE.FAT&amp;display_string=Audit&amp;VAR:KEY=TWFONCRSHA&amp;VAR:QUERY=RkZfRElWX1lMRChBTk4sOC8xMi8xMCw4LzEyLzEwKQ==&amp;WINDOW=FIRST_POPUP&amp;HEIGHT=450&amp;WIDTH=450&amp;","START_MAXIMIZED=FALSE&amp;VAR:CALENDAR=US&amp;VAR:SYMBOL=MO&amp;VAR:INDEX=0"}</definedName>
    <definedName name="_556__FDSAUDITLINK__" hidden="1">{"fdsup://directions/FAT Viewer?action=UPDATE&amp;creator=factset&amp;DYN_ARGS=TRUE&amp;DOC_NAME=FAT:FQL_AUDITING_CLIENT_TEMPLATE.FAT&amp;display_string=Audit&amp;VAR:KEY=TWFONCRSHA&amp;VAR:QUERY=RkZfRElWX1lMRChBTk4sOC8xMi8xMCw4LzEyLzEwKQ==&amp;WINDOW=FIRST_POPUP&amp;HEIGHT=450&amp;WIDTH=450&amp;","START_MAXIMIZED=FALSE&amp;VAR:CALENDAR=US&amp;VAR:SYMBOL=MO&amp;VAR:INDEX=0"}</definedName>
    <definedName name="_557__FDSAUDITLINK__" localSheetId="0" hidden="1">{"fdsup://directions/FAT Viewer?action=UPDATE&amp;creator=factset&amp;DYN_ARGS=TRUE&amp;DOC_NAME=FAT:FQL_AUDITING_CLIENT_TEMPLATE.FAT&amp;display_string=Audit&amp;VAR:KEY=FGLADMXWDU&amp;VAR:QUERY=RkZfRElWX1lMRChBTk4sOC8wNS8xMCw4LzA1LzEwKQ==&amp;WINDOW=FIRST_POPUP&amp;HEIGHT=450&amp;WIDTH=450&amp;","START_MAXIMIZED=FALSE&amp;VAR:CALENDAR=US&amp;VAR:SYMBOL=MO&amp;VAR:INDEX=0"}</definedName>
    <definedName name="_557__FDSAUDITLINK__" hidden="1">{"fdsup://directions/FAT Viewer?action=UPDATE&amp;creator=factset&amp;DYN_ARGS=TRUE&amp;DOC_NAME=FAT:FQL_AUDITING_CLIENT_TEMPLATE.FAT&amp;display_string=Audit&amp;VAR:KEY=FGLADMXWDU&amp;VAR:QUERY=RkZfRElWX1lMRChBTk4sOC8wNS8xMCw4LzA1LzEwKQ==&amp;WINDOW=FIRST_POPUP&amp;HEIGHT=450&amp;WIDTH=450&amp;","START_MAXIMIZED=FALSE&amp;VAR:CALENDAR=US&amp;VAR:SYMBOL=MO&amp;VAR:INDEX=0"}</definedName>
    <definedName name="_558__FDSAUDITLINK__" localSheetId="0" hidden="1">{"fdsup://directions/FAT Viewer?action=UPDATE&amp;creator=factset&amp;DYN_ARGS=TRUE&amp;DOC_NAME=FAT:FQL_AUDITING_CLIENT_TEMPLATE.FAT&amp;display_string=Audit&amp;VAR:KEY=FGPEXGTYBQ&amp;VAR:QUERY=RkZfRElWX1lMRChBTk4sNy8yOS8xMCw3LzI5LzEwKQ==&amp;WINDOW=FIRST_POPUP&amp;HEIGHT=450&amp;WIDTH=450&amp;","START_MAXIMIZED=FALSE&amp;VAR:CALENDAR=US&amp;VAR:SYMBOL=MO&amp;VAR:INDEX=0"}</definedName>
    <definedName name="_558__FDSAUDITLINK__" hidden="1">{"fdsup://directions/FAT Viewer?action=UPDATE&amp;creator=factset&amp;DYN_ARGS=TRUE&amp;DOC_NAME=FAT:FQL_AUDITING_CLIENT_TEMPLATE.FAT&amp;display_string=Audit&amp;VAR:KEY=FGPEXGTYBQ&amp;VAR:QUERY=RkZfRElWX1lMRChBTk4sNy8yOS8xMCw3LzI5LzEwKQ==&amp;WINDOW=FIRST_POPUP&amp;HEIGHT=450&amp;WIDTH=450&amp;","START_MAXIMIZED=FALSE&amp;VAR:CALENDAR=US&amp;VAR:SYMBOL=MO&amp;VAR:INDEX=0"}</definedName>
    <definedName name="_559__FDSAUDITLINK__" localSheetId="0" hidden="1">{"fdsup://directions/FAT Viewer?action=UPDATE&amp;creator=factset&amp;DYN_ARGS=TRUE&amp;DOC_NAME=FAT:FQL_AUDITING_CLIENT_TEMPLATE.FAT&amp;display_string=Audit&amp;VAR:KEY=VQJWNKFMZQ&amp;VAR:QUERY=RkZfRElWX1lMRChBTk4sNy8yMi8xMCw3LzIyLzEwKQ==&amp;WINDOW=FIRST_POPUP&amp;HEIGHT=450&amp;WIDTH=450&amp;","START_MAXIMIZED=FALSE&amp;VAR:CALENDAR=US&amp;VAR:SYMBOL=MO&amp;VAR:INDEX=0"}</definedName>
    <definedName name="_559__FDSAUDITLINK__" hidden="1">{"fdsup://directions/FAT Viewer?action=UPDATE&amp;creator=factset&amp;DYN_ARGS=TRUE&amp;DOC_NAME=FAT:FQL_AUDITING_CLIENT_TEMPLATE.FAT&amp;display_string=Audit&amp;VAR:KEY=VQJWNKFMZQ&amp;VAR:QUERY=RkZfRElWX1lMRChBTk4sNy8yMi8xMCw3LzIyLzEwKQ==&amp;WINDOW=FIRST_POPUP&amp;HEIGHT=450&amp;WIDTH=450&amp;","START_MAXIMIZED=FALSE&amp;VAR:CALENDAR=US&amp;VAR:SYMBOL=MO&amp;VAR:INDEX=0"}</definedName>
    <definedName name="_56">#REF!</definedName>
    <definedName name="_56___NOTE10_12">#REF!</definedName>
    <definedName name="_56__123Graph_BTAX_CREDIT">#REF!</definedName>
    <definedName name="_56__123Graph_CQRE_S_BY_CO.">#REF!</definedName>
    <definedName name="_56__123Graph_DGROWTH_REVS_A" hidden="1">#REF!</definedName>
    <definedName name="_56__123Graph_EQRE_S_BY_CO.">#REF!</definedName>
    <definedName name="_56__123Graph_FSUPPLIES_BY_B_U">#REF!</definedName>
    <definedName name="_56__123Graph_LBL_BCHART_4">#REF!</definedName>
    <definedName name="_56__FDSAUDITLINK__" localSheetId="0" hidden="1">{"fdsup://directions/FAT Viewer?action=UPDATE&amp;creator=factset&amp;DYN_ARGS=TRUE&amp;DOC_NAME=FAT:FQL_AUDITING_CLIENT_TEMPLATE.FAT&amp;display_string=Audit&amp;VAR:KEY=RQDOPYVGJQ&amp;VAR:QUERY=QVZHKEZGX0RJVl9ZTEQoQU5OLDQwOTk0LC0yQVkpKQ==&amp;WINDOW=FIRST_POPUP&amp;HEIGHT=450&amp;WIDTH=450&amp;","START_MAXIMIZED=FALSE&amp;VAR:CALENDAR=US&amp;VAR:SYMBOL=PM"}</definedName>
    <definedName name="_56__FDSAUDITLINK__" hidden="1">{"fdsup://directions/FAT Viewer?action=UPDATE&amp;creator=factset&amp;DYN_ARGS=TRUE&amp;DOC_NAME=FAT:FQL_AUDITING_CLIENT_TEMPLATE.FAT&amp;display_string=Audit&amp;VAR:KEY=RQDOPYVGJQ&amp;VAR:QUERY=QVZHKEZGX0RJVl9ZTEQoQU5OLDQwOTk0LC0yQVkpKQ==&amp;WINDOW=FIRST_POPUP&amp;HEIGHT=450&amp;WIDTH=450&amp;","START_MAXIMIZED=FALSE&amp;VAR:CALENDAR=US&amp;VAR:SYMBOL=PM"}</definedName>
    <definedName name="_56_0_Table2_" hidden="1">#REF!</definedName>
    <definedName name="_560">#REF!</definedName>
    <definedName name="_560__FDSAUDITLINK__" localSheetId="0" hidden="1">{"fdsup://directions/FAT Viewer?action=UPDATE&amp;creator=factset&amp;DYN_ARGS=TRUE&amp;DOC_NAME=FAT:FQL_AUDITING_CLIENT_TEMPLATE.FAT&amp;display_string=Audit&amp;VAR:KEY=ZWVCFMLWJG&amp;VAR:QUERY=RkZfRElWX1lMRChBTk4sNy8xNS8xMCw3LzE1LzEwKQ==&amp;WINDOW=FIRST_POPUP&amp;HEIGHT=450&amp;WIDTH=450&amp;","START_MAXIMIZED=FALSE&amp;VAR:CALENDAR=US&amp;VAR:SYMBOL=MO&amp;VAR:INDEX=0"}</definedName>
    <definedName name="_560__FDSAUDITLINK__" hidden="1">{"fdsup://directions/FAT Viewer?action=UPDATE&amp;creator=factset&amp;DYN_ARGS=TRUE&amp;DOC_NAME=FAT:FQL_AUDITING_CLIENT_TEMPLATE.FAT&amp;display_string=Audit&amp;VAR:KEY=ZWVCFMLWJG&amp;VAR:QUERY=RkZfRElWX1lMRChBTk4sNy8xNS8xMCw3LzE1LzEwKQ==&amp;WINDOW=FIRST_POPUP&amp;HEIGHT=450&amp;WIDTH=450&amp;","START_MAXIMIZED=FALSE&amp;VAR:CALENDAR=US&amp;VAR:SYMBOL=MO&amp;VAR:INDEX=0"}</definedName>
    <definedName name="_561">#REF!</definedName>
    <definedName name="_561__FDSAUDITLINK__" localSheetId="0" hidden="1">{"fdsup://directions/FAT Viewer?action=UPDATE&amp;creator=factset&amp;DYN_ARGS=TRUE&amp;DOC_NAME=FAT:FQL_AUDITING_CLIENT_TEMPLATE.FAT&amp;display_string=Audit&amp;VAR:KEY=HETYZMLAXA&amp;VAR:QUERY=RkZfRElWX1lMRChBTk4sNy8wOC8xMCw3LzA4LzEwKQ==&amp;WINDOW=FIRST_POPUP&amp;HEIGHT=450&amp;WIDTH=450&amp;","START_MAXIMIZED=FALSE&amp;VAR:CALENDAR=US&amp;VAR:SYMBOL=MO&amp;VAR:INDEX=0"}</definedName>
    <definedName name="_561__FDSAUDITLINK__" hidden="1">{"fdsup://directions/FAT Viewer?action=UPDATE&amp;creator=factset&amp;DYN_ARGS=TRUE&amp;DOC_NAME=FAT:FQL_AUDITING_CLIENT_TEMPLATE.FAT&amp;display_string=Audit&amp;VAR:KEY=HETYZMLAXA&amp;VAR:QUERY=RkZfRElWX1lMRChBTk4sNy8wOC8xMCw3LzA4LzEwKQ==&amp;WINDOW=FIRST_POPUP&amp;HEIGHT=450&amp;WIDTH=450&amp;","START_MAXIMIZED=FALSE&amp;VAR:CALENDAR=US&amp;VAR:SYMBOL=MO&amp;VAR:INDEX=0"}</definedName>
    <definedName name="_562">#REF!</definedName>
    <definedName name="_562__FDSAUDITLINK__" localSheetId="0" hidden="1">{"fdsup://directions/FAT Viewer?action=UPDATE&amp;creator=factset&amp;DYN_ARGS=TRUE&amp;DOC_NAME=FAT:FQL_AUDITING_CLIENT_TEMPLATE.FAT&amp;display_string=Audit&amp;VAR:KEY=LGZWFUXMPO&amp;VAR:QUERY=RkZfRElWX1lMRChBTk4sNy8wMS8xMCw3LzAxLzEwKQ==&amp;WINDOW=FIRST_POPUP&amp;HEIGHT=450&amp;WIDTH=450&amp;","START_MAXIMIZED=FALSE&amp;VAR:CALENDAR=US&amp;VAR:SYMBOL=MO&amp;VAR:INDEX=0"}</definedName>
    <definedName name="_562__FDSAUDITLINK__" hidden="1">{"fdsup://directions/FAT Viewer?action=UPDATE&amp;creator=factset&amp;DYN_ARGS=TRUE&amp;DOC_NAME=FAT:FQL_AUDITING_CLIENT_TEMPLATE.FAT&amp;display_string=Audit&amp;VAR:KEY=LGZWFUXMPO&amp;VAR:QUERY=RkZfRElWX1lMRChBTk4sNy8wMS8xMCw3LzAxLzEwKQ==&amp;WINDOW=FIRST_POPUP&amp;HEIGHT=450&amp;WIDTH=450&amp;","START_MAXIMIZED=FALSE&amp;VAR:CALENDAR=US&amp;VAR:SYMBOL=MO&amp;VAR:INDEX=0"}</definedName>
    <definedName name="_5626">#REF!</definedName>
    <definedName name="_5627">#REF!</definedName>
    <definedName name="_5629">#REF!</definedName>
    <definedName name="_563">#REF!</definedName>
    <definedName name="_563__FDSAUDITLINK__" localSheetId="0" hidden="1">{"fdsup://directions/FAT Viewer?action=UPDATE&amp;creator=factset&amp;DYN_ARGS=TRUE&amp;DOC_NAME=FAT:FQL_AUDITING_CLIENT_TEMPLATE.FAT&amp;display_string=Audit&amp;VAR:KEY=RIFMDEBKFO&amp;VAR:QUERY=RkZfRElWX1lMRChBTk4sNi8yNC8xMCw2LzI0LzEwKQ==&amp;WINDOW=FIRST_POPUP&amp;HEIGHT=450&amp;WIDTH=450&amp;","START_MAXIMIZED=FALSE&amp;VAR:CALENDAR=US&amp;VAR:SYMBOL=MO&amp;VAR:INDEX=0"}</definedName>
    <definedName name="_563__FDSAUDITLINK__" hidden="1">{"fdsup://directions/FAT Viewer?action=UPDATE&amp;creator=factset&amp;DYN_ARGS=TRUE&amp;DOC_NAME=FAT:FQL_AUDITING_CLIENT_TEMPLATE.FAT&amp;display_string=Audit&amp;VAR:KEY=RIFMDEBKFO&amp;VAR:QUERY=RkZfRElWX1lMRChBTk4sNi8yNC8xMCw2LzI0LzEwKQ==&amp;WINDOW=FIRST_POPUP&amp;HEIGHT=450&amp;WIDTH=450&amp;","START_MAXIMIZED=FALSE&amp;VAR:CALENDAR=US&amp;VAR:SYMBOL=MO&amp;VAR:INDEX=0"}</definedName>
    <definedName name="_5630">#REF!</definedName>
    <definedName name="_5632">#REF!</definedName>
    <definedName name="_5633">#REF!</definedName>
    <definedName name="_5635">#REF!</definedName>
    <definedName name="_5636">#REF!</definedName>
    <definedName name="_564">#REF!</definedName>
    <definedName name="_564__FDSAUDITLINK__" localSheetId="0" hidden="1">{"fdsup://directions/FAT Viewer?action=UPDATE&amp;creator=factset&amp;DYN_ARGS=TRUE&amp;DOC_NAME=FAT:FQL_AUDITING_CLIENT_TEMPLATE.FAT&amp;display_string=Audit&amp;VAR:KEY=HQTOXEJSBW&amp;VAR:QUERY=RkZfRElWX1lMRChBTk4sNi8xNy8xMCw2LzE3LzEwKQ==&amp;WINDOW=FIRST_POPUP&amp;HEIGHT=450&amp;WIDTH=450&amp;","START_MAXIMIZED=FALSE&amp;VAR:CALENDAR=US&amp;VAR:SYMBOL=MO&amp;VAR:INDEX=0"}</definedName>
    <definedName name="_564__FDSAUDITLINK__" hidden="1">{"fdsup://directions/FAT Viewer?action=UPDATE&amp;creator=factset&amp;DYN_ARGS=TRUE&amp;DOC_NAME=FAT:FQL_AUDITING_CLIENT_TEMPLATE.FAT&amp;display_string=Audit&amp;VAR:KEY=HQTOXEJSBW&amp;VAR:QUERY=RkZfRElWX1lMRChBTk4sNi8xNy8xMCw2LzE3LzEwKQ==&amp;WINDOW=FIRST_POPUP&amp;HEIGHT=450&amp;WIDTH=450&amp;","START_MAXIMIZED=FALSE&amp;VAR:CALENDAR=US&amp;VAR:SYMBOL=MO&amp;VAR:INDEX=0"}</definedName>
    <definedName name="_565">#REF!</definedName>
    <definedName name="_565__FDSAUDITLINK__" localSheetId="0" hidden="1">{"fdsup://directions/FAT Viewer?action=UPDATE&amp;creator=factset&amp;DYN_ARGS=TRUE&amp;DOC_NAME=FAT:FQL_AUDITING_CLIENT_TEMPLATE.FAT&amp;display_string=Audit&amp;VAR:KEY=HOTSZGNOPM&amp;VAR:QUERY=RkZfRElWX1lMRChBTk4sNi8xMC8xMCw2LzEwLzEwKQ==&amp;WINDOW=FIRST_POPUP&amp;HEIGHT=450&amp;WIDTH=450&amp;","START_MAXIMIZED=FALSE&amp;VAR:CALENDAR=US&amp;VAR:SYMBOL=MO&amp;VAR:INDEX=0"}</definedName>
    <definedName name="_565__FDSAUDITLINK__" hidden="1">{"fdsup://directions/FAT Viewer?action=UPDATE&amp;creator=factset&amp;DYN_ARGS=TRUE&amp;DOC_NAME=FAT:FQL_AUDITING_CLIENT_TEMPLATE.FAT&amp;display_string=Audit&amp;VAR:KEY=HOTSZGNOPM&amp;VAR:QUERY=RkZfRElWX1lMRChBTk4sNi8xMC8xMCw2LzEwLzEwKQ==&amp;WINDOW=FIRST_POPUP&amp;HEIGHT=450&amp;WIDTH=450&amp;","START_MAXIMIZED=FALSE&amp;VAR:CALENDAR=US&amp;VAR:SYMBOL=MO&amp;VAR:INDEX=0"}</definedName>
    <definedName name="_566__FDSAUDITLINK__" localSheetId="0" hidden="1">{"fdsup://directions/FAT Viewer?action=UPDATE&amp;creator=factset&amp;DYN_ARGS=TRUE&amp;DOC_NAME=FAT:FQL_AUDITING_CLIENT_TEMPLATE.FAT&amp;display_string=Audit&amp;VAR:KEY=HSVKTKXMDM&amp;VAR:QUERY=RkZfRElWX1lMRChBTk4sNi8wMy8xMCw2LzAzLzEwKQ==&amp;WINDOW=FIRST_POPUP&amp;HEIGHT=450&amp;WIDTH=450&amp;","START_MAXIMIZED=FALSE&amp;VAR:CALENDAR=US&amp;VAR:SYMBOL=MO&amp;VAR:INDEX=0"}</definedName>
    <definedName name="_566__FDSAUDITLINK__" hidden="1">{"fdsup://directions/FAT Viewer?action=UPDATE&amp;creator=factset&amp;DYN_ARGS=TRUE&amp;DOC_NAME=FAT:FQL_AUDITING_CLIENT_TEMPLATE.FAT&amp;display_string=Audit&amp;VAR:KEY=HSVKTKXMDM&amp;VAR:QUERY=RkZfRElWX1lMRChBTk4sNi8wMy8xMCw2LzAzLzEwKQ==&amp;WINDOW=FIRST_POPUP&amp;HEIGHT=450&amp;WIDTH=450&amp;","START_MAXIMIZED=FALSE&amp;VAR:CALENDAR=US&amp;VAR:SYMBOL=MO&amp;VAR:INDEX=0"}</definedName>
    <definedName name="_567__FDSAUDITLINK__" localSheetId="0" hidden="1">{"fdsup://directions/FAT Viewer?action=UPDATE&amp;creator=factset&amp;DYN_ARGS=TRUE&amp;DOC_NAME=FAT:FQL_AUDITING_CLIENT_TEMPLATE.FAT&amp;display_string=Audit&amp;VAR:KEY=PGZYFGFMJU&amp;VAR:QUERY=RkZfRElWX1lMRChBTk4sNS8yNy8xMCw1LzI3LzEwKQ==&amp;WINDOW=FIRST_POPUP&amp;HEIGHT=450&amp;WIDTH=450&amp;","START_MAXIMIZED=FALSE&amp;VAR:CALENDAR=US&amp;VAR:SYMBOL=MO&amp;VAR:INDEX=0"}</definedName>
    <definedName name="_567__FDSAUDITLINK__" hidden="1">{"fdsup://directions/FAT Viewer?action=UPDATE&amp;creator=factset&amp;DYN_ARGS=TRUE&amp;DOC_NAME=FAT:FQL_AUDITING_CLIENT_TEMPLATE.FAT&amp;display_string=Audit&amp;VAR:KEY=PGZYFGFMJU&amp;VAR:QUERY=RkZfRElWX1lMRChBTk4sNS8yNy8xMCw1LzI3LzEwKQ==&amp;WINDOW=FIRST_POPUP&amp;HEIGHT=450&amp;WIDTH=450&amp;","START_MAXIMIZED=FALSE&amp;VAR:CALENDAR=US&amp;VAR:SYMBOL=MO&amp;VAR:INDEX=0"}</definedName>
    <definedName name="_568__FDSAUDITLINK__" localSheetId="0" hidden="1">{"fdsup://directions/FAT Viewer?action=UPDATE&amp;creator=factset&amp;DYN_ARGS=TRUE&amp;DOC_NAME=FAT:FQL_AUDITING_CLIENT_TEMPLATE.FAT&amp;display_string=Audit&amp;VAR:KEY=RIZERSPOBM&amp;VAR:QUERY=RkZfRElWX1lMRChBTk4sNS8yMC8xMCw1LzIwLzEwKQ==&amp;WINDOW=FIRST_POPUP&amp;HEIGHT=450&amp;WIDTH=450&amp;","START_MAXIMIZED=FALSE&amp;VAR:CALENDAR=US&amp;VAR:SYMBOL=MO&amp;VAR:INDEX=0"}</definedName>
    <definedName name="_568__FDSAUDITLINK__" hidden="1">{"fdsup://directions/FAT Viewer?action=UPDATE&amp;creator=factset&amp;DYN_ARGS=TRUE&amp;DOC_NAME=FAT:FQL_AUDITING_CLIENT_TEMPLATE.FAT&amp;display_string=Audit&amp;VAR:KEY=RIZERSPOBM&amp;VAR:QUERY=RkZfRElWX1lMRChBTk4sNS8yMC8xMCw1LzIwLzEwKQ==&amp;WINDOW=FIRST_POPUP&amp;HEIGHT=450&amp;WIDTH=450&amp;","START_MAXIMIZED=FALSE&amp;VAR:CALENDAR=US&amp;VAR:SYMBOL=MO&amp;VAR:INDEX=0"}</definedName>
    <definedName name="_569__FDSAUDITLINK__" localSheetId="0" hidden="1">{"fdsup://directions/FAT Viewer?action=UPDATE&amp;creator=factset&amp;DYN_ARGS=TRUE&amp;DOC_NAME=FAT:FQL_AUDITING_CLIENT_TEMPLATE.FAT&amp;display_string=Audit&amp;VAR:KEY=XAFSVCPYDS&amp;VAR:QUERY=RkZfRElWX1lMRChBTk4sNS8xMy8xMCw1LzEzLzEwKQ==&amp;WINDOW=FIRST_POPUP&amp;HEIGHT=450&amp;WIDTH=450&amp;","START_MAXIMIZED=FALSE&amp;VAR:CALENDAR=US&amp;VAR:SYMBOL=MO&amp;VAR:INDEX=0"}</definedName>
    <definedName name="_569__FDSAUDITLINK__" hidden="1">{"fdsup://directions/FAT Viewer?action=UPDATE&amp;creator=factset&amp;DYN_ARGS=TRUE&amp;DOC_NAME=FAT:FQL_AUDITING_CLIENT_TEMPLATE.FAT&amp;display_string=Audit&amp;VAR:KEY=XAFSVCPYDS&amp;VAR:QUERY=RkZfRElWX1lMRChBTk4sNS8xMy8xMCw1LzEzLzEwKQ==&amp;WINDOW=FIRST_POPUP&amp;HEIGHT=450&amp;WIDTH=450&amp;","START_MAXIMIZED=FALSE&amp;VAR:CALENDAR=US&amp;VAR:SYMBOL=MO&amp;VAR:INDEX=0"}</definedName>
    <definedName name="_56main_form_account_grants_list_33_j_id1022">#REF!</definedName>
    <definedName name="_57">#REF!</definedName>
    <definedName name="_57___NOTE1_3">#REF!</definedName>
    <definedName name="_57__123Graph_DQRE_S_BY_CO.">#REF!</definedName>
    <definedName name="_57__123Graph_ESUPPLIES_BY_B_U">#REF!</definedName>
    <definedName name="_57__123Graph_FQRE_S_BY_CO.">#REF!</definedName>
    <definedName name="_57__123Graph_FSUPPLIES_BY_B_U">#REF!</definedName>
    <definedName name="_57__FDSAUDITLINK__" localSheetId="0" hidden="1">{"fdsup://directions/FAT Viewer?action=UPDATE&amp;creator=factset&amp;DYN_ARGS=TRUE&amp;DOC_NAME=FAT:FQL_AUDITING_CLIENT_TEMPLATE.FAT&amp;display_string=Audit&amp;VAR:KEY=NKPUZQTMXY&amp;VAR:QUERY=QVZHKEZGX0RJVl9ZTEQoQU5OLDQwOTk0LC0xQVkpKQ==&amp;WINDOW=FIRST_POPUP&amp;HEIGHT=450&amp;WIDTH=450&amp;","START_MAXIMIZED=FALSE&amp;VAR:CALENDAR=US&amp;VAR:SYMBOL=PM"}</definedName>
    <definedName name="_57__FDSAUDITLINK__" hidden="1">{"fdsup://directions/FAT Viewer?action=UPDATE&amp;creator=factset&amp;DYN_ARGS=TRUE&amp;DOC_NAME=FAT:FQL_AUDITING_CLIENT_TEMPLATE.FAT&amp;display_string=Audit&amp;VAR:KEY=NKPUZQTMXY&amp;VAR:QUERY=QVZHKEZGX0RJVl9ZTEQoQU5OLDQwOTk0LC0xQVkpKQ==&amp;WINDOW=FIRST_POPUP&amp;HEIGHT=450&amp;WIDTH=450&amp;","START_MAXIMIZED=FALSE&amp;VAR:CALENDAR=US&amp;VAR:SYMBOL=PM"}</definedName>
    <definedName name="_57_0_Table2_" hidden="1">#REF!</definedName>
    <definedName name="_570">#REF!</definedName>
    <definedName name="_570__FDSAUDITLINK__" localSheetId="0" hidden="1">{"fdsup://directions/FAT Viewer?action=UPDATE&amp;creator=factset&amp;DYN_ARGS=TRUE&amp;DOC_NAME=FAT:FQL_AUDITING_CLIENT_TEMPLATE.FAT&amp;display_string=Audit&amp;VAR:KEY=XWNKPMXABG&amp;VAR:QUERY=RkZfRElWX1lMRChBTk4sNS8wNi8xMCw1LzA2LzEwKQ==&amp;WINDOW=FIRST_POPUP&amp;HEIGHT=450&amp;WIDTH=450&amp;","START_MAXIMIZED=FALSE&amp;VAR:CALENDAR=US&amp;VAR:SYMBOL=MO&amp;VAR:INDEX=0"}</definedName>
    <definedName name="_570__FDSAUDITLINK__" hidden="1">{"fdsup://directions/FAT Viewer?action=UPDATE&amp;creator=factset&amp;DYN_ARGS=TRUE&amp;DOC_NAME=FAT:FQL_AUDITING_CLIENT_TEMPLATE.FAT&amp;display_string=Audit&amp;VAR:KEY=XWNKPMXABG&amp;VAR:QUERY=RkZfRElWX1lMRChBTk4sNS8wNi8xMCw1LzA2LzEwKQ==&amp;WINDOW=FIRST_POPUP&amp;HEIGHT=450&amp;WIDTH=450&amp;","START_MAXIMIZED=FALSE&amp;VAR:CALENDAR=US&amp;VAR:SYMBOL=MO&amp;VAR:INDEX=0"}</definedName>
    <definedName name="_571__FDSAUDITLINK__" localSheetId="0" hidden="1">{"fdsup://directions/FAT Viewer?action=UPDATE&amp;creator=factset&amp;DYN_ARGS=TRUE&amp;DOC_NAME=FAT:FQL_AUDITING_CLIENT_TEMPLATE.FAT&amp;display_string=Audit&amp;VAR:KEY=JQXMVUBMLA&amp;VAR:QUERY=RkZfRElWX1lMRChBTk4sNC8yOS8xMCw0LzI5LzEwKQ==&amp;WINDOW=FIRST_POPUP&amp;HEIGHT=450&amp;WIDTH=450&amp;","START_MAXIMIZED=FALSE&amp;VAR:CALENDAR=US&amp;VAR:SYMBOL=MO&amp;VAR:INDEX=0"}</definedName>
    <definedName name="_571__FDSAUDITLINK__" hidden="1">{"fdsup://directions/FAT Viewer?action=UPDATE&amp;creator=factset&amp;DYN_ARGS=TRUE&amp;DOC_NAME=FAT:FQL_AUDITING_CLIENT_TEMPLATE.FAT&amp;display_string=Audit&amp;VAR:KEY=JQXMVUBMLA&amp;VAR:QUERY=RkZfRElWX1lMRChBTk4sNC8yOS8xMCw0LzI5LzEwKQ==&amp;WINDOW=FIRST_POPUP&amp;HEIGHT=450&amp;WIDTH=450&amp;","START_MAXIMIZED=FALSE&amp;VAR:CALENDAR=US&amp;VAR:SYMBOL=MO&amp;VAR:INDEX=0"}</definedName>
    <definedName name="_572__FDSAUDITLINK__" localSheetId="0" hidden="1">{"fdsup://directions/FAT Viewer?action=UPDATE&amp;creator=factset&amp;DYN_ARGS=TRUE&amp;DOC_NAME=FAT:FQL_AUDITING_CLIENT_TEMPLATE.FAT&amp;display_string=Audit&amp;VAR:KEY=DWLOJSHGLA&amp;VAR:QUERY=RkZfRElWX1lMRChBTk4sNC8yMi8xMCw0LzIyLzEwKQ==&amp;WINDOW=FIRST_POPUP&amp;HEIGHT=450&amp;WIDTH=450&amp;","START_MAXIMIZED=FALSE&amp;VAR:CALENDAR=US&amp;VAR:SYMBOL=MO&amp;VAR:INDEX=0"}</definedName>
    <definedName name="_572__FDSAUDITLINK__" hidden="1">{"fdsup://directions/FAT Viewer?action=UPDATE&amp;creator=factset&amp;DYN_ARGS=TRUE&amp;DOC_NAME=FAT:FQL_AUDITING_CLIENT_TEMPLATE.FAT&amp;display_string=Audit&amp;VAR:KEY=DWLOJSHGLA&amp;VAR:QUERY=RkZfRElWX1lMRChBTk4sNC8yMi8xMCw0LzIyLzEwKQ==&amp;WINDOW=FIRST_POPUP&amp;HEIGHT=450&amp;WIDTH=450&amp;","START_MAXIMIZED=FALSE&amp;VAR:CALENDAR=US&amp;VAR:SYMBOL=MO&amp;VAR:INDEX=0"}</definedName>
    <definedName name="_573">#REF!</definedName>
    <definedName name="_573__FDSAUDITLINK__" localSheetId="0" hidden="1">{"fdsup://directions/FAT Viewer?action=UPDATE&amp;creator=factset&amp;DYN_ARGS=TRUE&amp;DOC_NAME=FAT:FQL_AUDITING_CLIENT_TEMPLATE.FAT&amp;display_string=Audit&amp;VAR:KEY=ZKJKBEJGXS&amp;VAR:QUERY=RkZfRElWX1lMRChBTk4sNC8xNS8xMCw0LzE1LzEwKQ==&amp;WINDOW=FIRST_POPUP&amp;HEIGHT=450&amp;WIDTH=450&amp;","START_MAXIMIZED=FALSE&amp;VAR:CALENDAR=US&amp;VAR:SYMBOL=MO&amp;VAR:INDEX=0"}</definedName>
    <definedName name="_573__FDSAUDITLINK__" hidden="1">{"fdsup://directions/FAT Viewer?action=UPDATE&amp;creator=factset&amp;DYN_ARGS=TRUE&amp;DOC_NAME=FAT:FQL_AUDITING_CLIENT_TEMPLATE.FAT&amp;display_string=Audit&amp;VAR:KEY=ZKJKBEJGXS&amp;VAR:QUERY=RkZfRElWX1lMRChBTk4sNC8xNS8xMCw0LzE1LzEwKQ==&amp;WINDOW=FIRST_POPUP&amp;HEIGHT=450&amp;WIDTH=450&amp;","START_MAXIMIZED=FALSE&amp;VAR:CALENDAR=US&amp;VAR:SYMBOL=MO&amp;VAR:INDEX=0"}</definedName>
    <definedName name="_574">#REF!</definedName>
    <definedName name="_574__FDSAUDITLINK__" localSheetId="0" hidden="1">{"fdsup://directions/FAT Viewer?action=UPDATE&amp;creator=factset&amp;DYN_ARGS=TRUE&amp;DOC_NAME=FAT:FQL_AUDITING_CLIENT_TEMPLATE.FAT&amp;display_string=Audit&amp;VAR:KEY=HAHYLEBONG&amp;VAR:QUERY=RkZfRElWX1lMRChBTk4sNC8wOC8xMCw0LzA4LzEwKQ==&amp;WINDOW=FIRST_POPUP&amp;HEIGHT=450&amp;WIDTH=450&amp;","START_MAXIMIZED=FALSE&amp;VAR:CALENDAR=US&amp;VAR:SYMBOL=MO&amp;VAR:INDEX=0"}</definedName>
    <definedName name="_574__FDSAUDITLINK__" hidden="1">{"fdsup://directions/FAT Viewer?action=UPDATE&amp;creator=factset&amp;DYN_ARGS=TRUE&amp;DOC_NAME=FAT:FQL_AUDITING_CLIENT_TEMPLATE.FAT&amp;display_string=Audit&amp;VAR:KEY=HAHYLEBONG&amp;VAR:QUERY=RkZfRElWX1lMRChBTk4sNC8wOC8xMCw0LzA4LzEwKQ==&amp;WINDOW=FIRST_POPUP&amp;HEIGHT=450&amp;WIDTH=450&amp;","START_MAXIMIZED=FALSE&amp;VAR:CALENDAR=US&amp;VAR:SYMBOL=MO&amp;VAR:INDEX=0"}</definedName>
    <definedName name="_575">#REF!</definedName>
    <definedName name="_575__FDSAUDITLINK__" localSheetId="0" hidden="1">{"fdsup://directions/FAT Viewer?action=UPDATE&amp;creator=factset&amp;DYN_ARGS=TRUE&amp;DOC_NAME=FAT:FQL_AUDITING_CLIENT_TEMPLATE.FAT&amp;display_string=Audit&amp;VAR:KEY=RCXELIRGPI&amp;VAR:QUERY=RkZfRElWX1lMRChBTk4sNC8wMS8xMCw0LzAxLzEwKQ==&amp;WINDOW=FIRST_POPUP&amp;HEIGHT=450&amp;WIDTH=450&amp;","START_MAXIMIZED=FALSE&amp;VAR:CALENDAR=US&amp;VAR:SYMBOL=MO&amp;VAR:INDEX=0"}</definedName>
    <definedName name="_575__FDSAUDITLINK__" hidden="1">{"fdsup://directions/FAT Viewer?action=UPDATE&amp;creator=factset&amp;DYN_ARGS=TRUE&amp;DOC_NAME=FAT:FQL_AUDITING_CLIENT_TEMPLATE.FAT&amp;display_string=Audit&amp;VAR:KEY=RCXELIRGPI&amp;VAR:QUERY=RkZfRElWX1lMRChBTk4sNC8wMS8xMCw0LzAxLzEwKQ==&amp;WINDOW=FIRST_POPUP&amp;HEIGHT=450&amp;WIDTH=450&amp;","START_MAXIMIZED=FALSE&amp;VAR:CALENDAR=US&amp;VAR:SYMBOL=MO&amp;VAR:INDEX=0"}</definedName>
    <definedName name="_5753">#REF!</definedName>
    <definedName name="_5754">#REF!</definedName>
    <definedName name="_5756">#REF!</definedName>
    <definedName name="_5757">#REF!</definedName>
    <definedName name="_5759">#REF!</definedName>
    <definedName name="_576">#REF!</definedName>
    <definedName name="_576__FDSAUDITLINK__" localSheetId="0" hidden="1">{"fdsup://directions/FAT Viewer?action=UPDATE&amp;creator=factset&amp;DYN_ARGS=TRUE&amp;DOC_NAME=FAT:FQL_AUDITING_CLIENT_TEMPLATE.FAT&amp;display_string=Audit&amp;VAR:KEY=DINUVMXCXA&amp;VAR:QUERY=RkZfRElWX1lMRChBTk4sMy8yNS8xMCwzLzI1LzEwKQ==&amp;WINDOW=FIRST_POPUP&amp;HEIGHT=450&amp;WIDTH=450&amp;","START_MAXIMIZED=FALSE&amp;VAR:CALENDAR=US&amp;VAR:SYMBOL=MO&amp;VAR:INDEX=0"}</definedName>
    <definedName name="_576__FDSAUDITLINK__" hidden="1">{"fdsup://directions/FAT Viewer?action=UPDATE&amp;creator=factset&amp;DYN_ARGS=TRUE&amp;DOC_NAME=FAT:FQL_AUDITING_CLIENT_TEMPLATE.FAT&amp;display_string=Audit&amp;VAR:KEY=DINUVMXCXA&amp;VAR:QUERY=RkZfRElWX1lMRChBTk4sMy8yNS8xMCwzLzI1LzEwKQ==&amp;WINDOW=FIRST_POPUP&amp;HEIGHT=450&amp;WIDTH=450&amp;","START_MAXIMIZED=FALSE&amp;VAR:CALENDAR=US&amp;VAR:SYMBOL=MO&amp;VAR:INDEX=0"}</definedName>
    <definedName name="_5760">#REF!</definedName>
    <definedName name="_577">#REF!</definedName>
    <definedName name="_577__FDSAUDITLINK__" localSheetId="0" hidden="1">{"fdsup://directions/FAT Viewer?action=UPDATE&amp;creator=factset&amp;DYN_ARGS=TRUE&amp;DOC_NAME=FAT:FQL_AUDITING_CLIENT_TEMPLATE.FAT&amp;display_string=Audit&amp;VAR:KEY=ZKDMPILYZW&amp;VAR:QUERY=RkZfRElWX1lMRChBTk4sMy8xOC8xMCwzLzE4LzEwKQ==&amp;WINDOW=FIRST_POPUP&amp;HEIGHT=450&amp;WIDTH=450&amp;","START_MAXIMIZED=FALSE&amp;VAR:CALENDAR=US&amp;VAR:SYMBOL=MO&amp;VAR:INDEX=0"}</definedName>
    <definedName name="_577__FDSAUDITLINK__" hidden="1">{"fdsup://directions/FAT Viewer?action=UPDATE&amp;creator=factset&amp;DYN_ARGS=TRUE&amp;DOC_NAME=FAT:FQL_AUDITING_CLIENT_TEMPLATE.FAT&amp;display_string=Audit&amp;VAR:KEY=ZKDMPILYZW&amp;VAR:QUERY=RkZfRElWX1lMRChBTk4sMy8xOC8xMCwzLzE4LzEwKQ==&amp;WINDOW=FIRST_POPUP&amp;HEIGHT=450&amp;WIDTH=450&amp;","START_MAXIMIZED=FALSE&amp;VAR:CALENDAR=US&amp;VAR:SYMBOL=MO&amp;VAR:INDEX=0"}</definedName>
    <definedName name="_578">#REF!</definedName>
    <definedName name="_578__FDSAUDITLINK__" localSheetId="0" hidden="1">{"fdsup://directions/FAT Viewer?action=UPDATE&amp;creator=factset&amp;DYN_ARGS=TRUE&amp;DOC_NAME=FAT:FQL_AUDITING_CLIENT_TEMPLATE.FAT&amp;display_string=Audit&amp;VAR:KEY=PATAVUDQXQ&amp;VAR:QUERY=RkZfRElWX1lMRChBTk4sMy8xMS8xMCwzLzExLzEwKQ==&amp;WINDOW=FIRST_POPUP&amp;HEIGHT=450&amp;WIDTH=450&amp;","START_MAXIMIZED=FALSE&amp;VAR:CALENDAR=US&amp;VAR:SYMBOL=MO&amp;VAR:INDEX=0"}</definedName>
    <definedName name="_578__FDSAUDITLINK__" hidden="1">{"fdsup://directions/FAT Viewer?action=UPDATE&amp;creator=factset&amp;DYN_ARGS=TRUE&amp;DOC_NAME=FAT:FQL_AUDITING_CLIENT_TEMPLATE.FAT&amp;display_string=Audit&amp;VAR:KEY=PATAVUDQXQ&amp;VAR:QUERY=RkZfRElWX1lMRChBTk4sMy8xMS8xMCwzLzExLzEwKQ==&amp;WINDOW=FIRST_POPUP&amp;HEIGHT=450&amp;WIDTH=450&amp;","START_MAXIMIZED=FALSE&amp;VAR:CALENDAR=US&amp;VAR:SYMBOL=MO&amp;VAR:INDEX=0"}</definedName>
    <definedName name="_579">#REF!</definedName>
    <definedName name="_579__FDSAUDITLINK__" localSheetId="0" hidden="1">{"fdsup://directions/FAT Viewer?action=UPDATE&amp;creator=factset&amp;DYN_ARGS=TRUE&amp;DOC_NAME=FAT:FQL_AUDITING_CLIENT_TEMPLATE.FAT&amp;display_string=Audit&amp;VAR:KEY=BYNEDSXMPO&amp;VAR:QUERY=RkZfRElWX1lMRChBTk4sMy8wNC8xMCwzLzA0LzEwKQ==&amp;WINDOW=FIRST_POPUP&amp;HEIGHT=450&amp;WIDTH=450&amp;","START_MAXIMIZED=FALSE&amp;VAR:CALENDAR=US&amp;VAR:SYMBOL=MO&amp;VAR:INDEX=0"}</definedName>
    <definedName name="_579__FDSAUDITLINK__" hidden="1">{"fdsup://directions/FAT Viewer?action=UPDATE&amp;creator=factset&amp;DYN_ARGS=TRUE&amp;DOC_NAME=FAT:FQL_AUDITING_CLIENT_TEMPLATE.FAT&amp;display_string=Audit&amp;VAR:KEY=BYNEDSXMPO&amp;VAR:QUERY=RkZfRElWX1lMRChBTk4sMy8wNC8xMCwzLzA0LzEwKQ==&amp;WINDOW=FIRST_POPUP&amp;HEIGHT=450&amp;WIDTH=450&amp;","START_MAXIMIZED=FALSE&amp;VAR:CALENDAR=US&amp;VAR:SYMBOL=MO&amp;VAR:INDEX=0"}</definedName>
    <definedName name="_58">#REF!</definedName>
    <definedName name="_58___NOTE5_7">#REF!</definedName>
    <definedName name="_58__123Graph_EWAGES_BY_B_U">#REF!</definedName>
    <definedName name="_58__123Graph_FWAGES_BY_B_U">#REF!</definedName>
    <definedName name="_58__FDSAUDITLINK__" localSheetId="0" hidden="1">{"fdsup://directions/FAT Viewer?action=UPDATE&amp;creator=factset&amp;DYN_ARGS=TRUE&amp;DOC_NAME=FAT:FQL_AUDITING_CLIENT_TEMPLATE.FAT&amp;display_string=Audit&amp;VAR:KEY=WREXSNKBSH&amp;VAR:QUERY=RkZfREVCVChBTk4sMCk=&amp;WINDOW=FIRST_POPUP&amp;HEIGHT=450&amp;WIDTH=450&amp;START_MAXIMIZED=FALSE&amp;VA","R:CALENDAR=US&amp;VAR:SYMBOL=442072&amp;VAR:INDEX=0"}</definedName>
    <definedName name="_58__FDSAUDITLINK__" hidden="1">{"fdsup://directions/FAT Viewer?action=UPDATE&amp;creator=factset&amp;DYN_ARGS=TRUE&amp;DOC_NAME=FAT:FQL_AUDITING_CLIENT_TEMPLATE.FAT&amp;display_string=Audit&amp;VAR:KEY=WREXSNKBSH&amp;VAR:QUERY=RkZfREVCVChBTk4sMCk=&amp;WINDOW=FIRST_POPUP&amp;HEIGHT=450&amp;WIDTH=450&amp;START_MAXIMIZED=FALSE&amp;VA","R:CALENDAR=US&amp;VAR:SYMBOL=442072&amp;VAR:INDEX=0"}</definedName>
    <definedName name="_580">#REF!</definedName>
    <definedName name="_580__FDSAUDITLINK__" localSheetId="0" hidden="1">{"fdsup://directions/FAT Viewer?action=UPDATE&amp;creator=factset&amp;DYN_ARGS=TRUE&amp;DOC_NAME=FAT:FQL_AUDITING_CLIENT_TEMPLATE.FAT&amp;display_string=Audit&amp;VAR:KEY=HQLODEHQNW&amp;VAR:QUERY=RkZfRElWX1lMRChBTk4sMi8yNS8xMCwyLzI1LzEwKQ==&amp;WINDOW=FIRST_POPUP&amp;HEIGHT=450&amp;WIDTH=450&amp;","START_MAXIMIZED=FALSE&amp;VAR:CALENDAR=US&amp;VAR:SYMBOL=MO&amp;VAR:INDEX=0"}</definedName>
    <definedName name="_580__FDSAUDITLINK__" hidden="1">{"fdsup://directions/FAT Viewer?action=UPDATE&amp;creator=factset&amp;DYN_ARGS=TRUE&amp;DOC_NAME=FAT:FQL_AUDITING_CLIENT_TEMPLATE.FAT&amp;display_string=Audit&amp;VAR:KEY=HQLODEHQNW&amp;VAR:QUERY=RkZfRElWX1lMRChBTk4sMi8yNS8xMCwyLzI1LzEwKQ==&amp;WINDOW=FIRST_POPUP&amp;HEIGHT=450&amp;WIDTH=450&amp;","START_MAXIMIZED=FALSE&amp;VAR:CALENDAR=US&amp;VAR:SYMBOL=MO&amp;VAR:INDEX=0"}</definedName>
    <definedName name="_581">#REF!</definedName>
    <definedName name="_581__FDSAUDITLINK__" localSheetId="0" hidden="1">{"fdsup://directions/FAT Viewer?action=UPDATE&amp;creator=factset&amp;DYN_ARGS=TRUE&amp;DOC_NAME=FAT:FQL_AUDITING_CLIENT_TEMPLATE.FAT&amp;display_string=Audit&amp;VAR:KEY=TAPOVSRODK&amp;VAR:QUERY=RkZfRElWX1lMRChBTk4sMi8xOC8xMCwyLzE4LzEwKQ==&amp;WINDOW=FIRST_POPUP&amp;HEIGHT=450&amp;WIDTH=450&amp;","START_MAXIMIZED=FALSE&amp;VAR:CALENDAR=US&amp;VAR:SYMBOL=MO&amp;VAR:INDEX=0"}</definedName>
    <definedName name="_581__FDSAUDITLINK__" hidden="1">{"fdsup://directions/FAT Viewer?action=UPDATE&amp;creator=factset&amp;DYN_ARGS=TRUE&amp;DOC_NAME=FAT:FQL_AUDITING_CLIENT_TEMPLATE.FAT&amp;display_string=Audit&amp;VAR:KEY=TAPOVSRODK&amp;VAR:QUERY=RkZfRElWX1lMRChBTk4sMi8xOC8xMCwyLzE4LzEwKQ==&amp;WINDOW=FIRST_POPUP&amp;HEIGHT=450&amp;WIDTH=450&amp;","START_MAXIMIZED=FALSE&amp;VAR:CALENDAR=US&amp;VAR:SYMBOL=MO&amp;VAR:INDEX=0"}</definedName>
    <definedName name="_582">#REF!</definedName>
    <definedName name="_582__FDSAUDITLINK__" localSheetId="0" hidden="1">{"fdsup://directions/FAT Viewer?action=UPDATE&amp;creator=factset&amp;DYN_ARGS=TRUE&amp;DOC_NAME=FAT:FQL_AUDITING_CLIENT_TEMPLATE.FAT&amp;display_string=Audit&amp;VAR:KEY=LSPGVYTGRW&amp;VAR:QUERY=RkZfRElWX1lMRChBTk4sMi8xMS8xMCwyLzExLzEwKQ==&amp;WINDOW=FIRST_POPUP&amp;HEIGHT=450&amp;WIDTH=450&amp;","START_MAXIMIZED=FALSE&amp;VAR:CALENDAR=US&amp;VAR:SYMBOL=MO&amp;VAR:INDEX=0"}</definedName>
    <definedName name="_582__FDSAUDITLINK__" hidden="1">{"fdsup://directions/FAT Viewer?action=UPDATE&amp;creator=factset&amp;DYN_ARGS=TRUE&amp;DOC_NAME=FAT:FQL_AUDITING_CLIENT_TEMPLATE.FAT&amp;display_string=Audit&amp;VAR:KEY=LSPGVYTGRW&amp;VAR:QUERY=RkZfRElWX1lMRChBTk4sMi8xMS8xMCwyLzExLzEwKQ==&amp;WINDOW=FIRST_POPUP&amp;HEIGHT=450&amp;WIDTH=450&amp;","START_MAXIMIZED=FALSE&amp;VAR:CALENDAR=US&amp;VAR:SYMBOL=MO&amp;VAR:INDEX=0"}</definedName>
    <definedName name="_583">#REF!</definedName>
    <definedName name="_583__FDSAUDITLINK__" localSheetId="0" hidden="1">{"fdsup://directions/FAT Viewer?action=UPDATE&amp;creator=factset&amp;DYN_ARGS=TRUE&amp;DOC_NAME=FAT:FQL_AUDITING_CLIENT_TEMPLATE.FAT&amp;display_string=Audit&amp;VAR:KEY=ZABGPGXURW&amp;VAR:QUERY=RkZfRElWX1lMRChBTk4sMi8wNC8xMCwyLzA0LzEwKQ==&amp;WINDOW=FIRST_POPUP&amp;HEIGHT=450&amp;WIDTH=450&amp;","START_MAXIMIZED=FALSE&amp;VAR:CALENDAR=US&amp;VAR:SYMBOL=MO&amp;VAR:INDEX=0"}</definedName>
    <definedName name="_583__FDSAUDITLINK__" hidden="1">{"fdsup://directions/FAT Viewer?action=UPDATE&amp;creator=factset&amp;DYN_ARGS=TRUE&amp;DOC_NAME=FAT:FQL_AUDITING_CLIENT_TEMPLATE.FAT&amp;display_string=Audit&amp;VAR:KEY=ZABGPGXURW&amp;VAR:QUERY=RkZfRElWX1lMRChBTk4sMi8wNC8xMCwyLzA0LzEwKQ==&amp;WINDOW=FIRST_POPUP&amp;HEIGHT=450&amp;WIDTH=450&amp;","START_MAXIMIZED=FALSE&amp;VAR:CALENDAR=US&amp;VAR:SYMBOL=MO&amp;VAR:INDEX=0"}</definedName>
    <definedName name="_584">#REF!</definedName>
    <definedName name="_584__FDSAUDITLINK__" localSheetId="0" hidden="1">{"fdsup://directions/FAT Viewer?action=UPDATE&amp;creator=factset&amp;DYN_ARGS=TRUE&amp;DOC_NAME=FAT:FQL_AUDITING_CLIENT_TEMPLATE.FAT&amp;display_string=Audit&amp;VAR:KEY=VMFQREZARA&amp;VAR:QUERY=RkZfRElWX1lMRChBTk4sMS8yOC8xMCwxLzI4LzEwKQ==&amp;WINDOW=FIRST_POPUP&amp;HEIGHT=450&amp;WIDTH=450&amp;","START_MAXIMIZED=FALSE&amp;VAR:CALENDAR=US&amp;VAR:SYMBOL=MO&amp;VAR:INDEX=0"}</definedName>
    <definedName name="_584__FDSAUDITLINK__" hidden="1">{"fdsup://directions/FAT Viewer?action=UPDATE&amp;creator=factset&amp;DYN_ARGS=TRUE&amp;DOC_NAME=FAT:FQL_AUDITING_CLIENT_TEMPLATE.FAT&amp;display_string=Audit&amp;VAR:KEY=VMFQREZARA&amp;VAR:QUERY=RkZfRElWX1lMRChBTk4sMS8yOC8xMCwxLzI4LzEwKQ==&amp;WINDOW=FIRST_POPUP&amp;HEIGHT=450&amp;WIDTH=450&amp;","START_MAXIMIZED=FALSE&amp;VAR:CALENDAR=US&amp;VAR:SYMBOL=MO&amp;VAR:INDEX=0"}</definedName>
    <definedName name="_585">#REF!</definedName>
    <definedName name="_585__FDSAUDITLINK__" localSheetId="0" hidden="1">{"fdsup://directions/FAT Viewer?action=UPDATE&amp;creator=factset&amp;DYN_ARGS=TRUE&amp;DOC_NAME=FAT:FQL_AUDITING_CLIENT_TEMPLATE.FAT&amp;display_string=Audit&amp;VAR:KEY=JIFSLMPQFQ&amp;VAR:QUERY=RkZfRElWX1lMRChBTk4sMS8yMS8xMCwxLzIxLzEwKQ==&amp;WINDOW=FIRST_POPUP&amp;HEIGHT=450&amp;WIDTH=450&amp;","START_MAXIMIZED=FALSE&amp;VAR:CALENDAR=US&amp;VAR:SYMBOL=MO&amp;VAR:INDEX=0"}</definedName>
    <definedName name="_585__FDSAUDITLINK__" hidden="1">{"fdsup://directions/FAT Viewer?action=UPDATE&amp;creator=factset&amp;DYN_ARGS=TRUE&amp;DOC_NAME=FAT:FQL_AUDITING_CLIENT_TEMPLATE.FAT&amp;display_string=Audit&amp;VAR:KEY=JIFSLMPQFQ&amp;VAR:QUERY=RkZfRElWX1lMRChBTk4sMS8yMS8xMCwxLzIxLzEwKQ==&amp;WINDOW=FIRST_POPUP&amp;HEIGHT=450&amp;WIDTH=450&amp;","START_MAXIMIZED=FALSE&amp;VAR:CALENDAR=US&amp;VAR:SYMBOL=MO&amp;VAR:INDEX=0"}</definedName>
    <definedName name="_586">#REF!</definedName>
    <definedName name="_586__FDSAUDITLINK__" localSheetId="0" hidden="1">{"fdsup://directions/FAT Viewer?action=UPDATE&amp;creator=factset&amp;DYN_ARGS=TRUE&amp;DOC_NAME=FAT:FQL_AUDITING_CLIENT_TEMPLATE.FAT&amp;display_string=Audit&amp;VAR:KEY=VIHYXCDWPS&amp;VAR:QUERY=RkZfRElWX1lMRChBTk4sMS8xNC8xMCwxLzE0LzEwKQ==&amp;WINDOW=FIRST_POPUP&amp;HEIGHT=450&amp;WIDTH=450&amp;","START_MAXIMIZED=FALSE&amp;VAR:CALENDAR=US&amp;VAR:SYMBOL=MO&amp;VAR:INDEX=0"}</definedName>
    <definedName name="_586__FDSAUDITLINK__" hidden="1">{"fdsup://directions/FAT Viewer?action=UPDATE&amp;creator=factset&amp;DYN_ARGS=TRUE&amp;DOC_NAME=FAT:FQL_AUDITING_CLIENT_TEMPLATE.FAT&amp;display_string=Audit&amp;VAR:KEY=VIHYXCDWPS&amp;VAR:QUERY=RkZfRElWX1lMRChBTk4sMS8xNC8xMCwxLzE0LzEwKQ==&amp;WINDOW=FIRST_POPUP&amp;HEIGHT=450&amp;WIDTH=450&amp;","START_MAXIMIZED=FALSE&amp;VAR:CALENDAR=US&amp;VAR:SYMBOL=MO&amp;VAR:INDEX=0"}</definedName>
    <definedName name="_587">#REF!</definedName>
    <definedName name="_587__FDSAUDITLINK__" localSheetId="0" hidden="1">{"fdsup://directions/FAT Viewer?action=UPDATE&amp;creator=factset&amp;DYN_ARGS=TRUE&amp;DOC_NAME=FAT:FQL_AUDITING_CLIENT_TEMPLATE.FAT&amp;display_string=Audit&amp;VAR:KEY=RWLQJAPSBK&amp;VAR:QUERY=RkZfRElWX1lMRChBTk4sMS8wNy8xMCwxLzA3LzEwKQ==&amp;WINDOW=FIRST_POPUP&amp;HEIGHT=450&amp;WIDTH=450&amp;","START_MAXIMIZED=FALSE&amp;VAR:CALENDAR=US&amp;VAR:SYMBOL=MO&amp;VAR:INDEX=0"}</definedName>
    <definedName name="_587__FDSAUDITLINK__" hidden="1">{"fdsup://directions/FAT Viewer?action=UPDATE&amp;creator=factset&amp;DYN_ARGS=TRUE&amp;DOC_NAME=FAT:FQL_AUDITING_CLIENT_TEMPLATE.FAT&amp;display_string=Audit&amp;VAR:KEY=RWLQJAPSBK&amp;VAR:QUERY=RkZfRElWX1lMRChBTk4sMS8wNy8xMCwxLzA3LzEwKQ==&amp;WINDOW=FIRST_POPUP&amp;HEIGHT=450&amp;WIDTH=450&amp;","START_MAXIMIZED=FALSE&amp;VAR:CALENDAR=US&amp;VAR:SYMBOL=MO&amp;VAR:INDEX=0"}</definedName>
    <definedName name="_588">#REF!</definedName>
    <definedName name="_588__FDSAUDITLINK__" localSheetId="0" hidden="1">{"fdsup://directions/FAT Viewer?action=UPDATE&amp;creator=factset&amp;DYN_ARGS=TRUE&amp;DOC_NAME=FAT:FQL_AUDITING_CLIENT_TEMPLATE.FAT&amp;display_string=Audit&amp;VAR:KEY=PYBMFGBCTI&amp;VAR:QUERY=RkZfRElWX1lMRChBTk4sMTIvMzEvMDksMTIvMzEvMDkp&amp;WINDOW=FIRST_POPUP&amp;HEIGHT=450&amp;WIDTH=450&amp;","START_MAXIMIZED=FALSE&amp;VAR:CALENDAR=US&amp;VAR:SYMBOL=MO&amp;VAR:INDEX=0"}</definedName>
    <definedName name="_588__FDSAUDITLINK__" hidden="1">{"fdsup://directions/FAT Viewer?action=UPDATE&amp;creator=factset&amp;DYN_ARGS=TRUE&amp;DOC_NAME=FAT:FQL_AUDITING_CLIENT_TEMPLATE.FAT&amp;display_string=Audit&amp;VAR:KEY=PYBMFGBCTI&amp;VAR:QUERY=RkZfRElWX1lMRChBTk4sMTIvMzEvMDksMTIvMzEvMDkp&amp;WINDOW=FIRST_POPUP&amp;HEIGHT=450&amp;WIDTH=450&amp;","START_MAXIMIZED=FALSE&amp;VAR:CALENDAR=US&amp;VAR:SYMBOL=MO&amp;VAR:INDEX=0"}</definedName>
    <definedName name="_589">#REF!</definedName>
    <definedName name="_589__FDSAUDITLINK__" localSheetId="0" hidden="1">{"fdsup://directions/FAT Viewer?action=UPDATE&amp;creator=factset&amp;DYN_ARGS=TRUE&amp;DOC_NAME=FAT:FQL_AUDITING_CLIENT_TEMPLATE.FAT&amp;display_string=Audit&amp;VAR:KEY=HGFUVWHCDS&amp;VAR:QUERY=RkZfRElWX1lMRChBTk4sMTIvMjQvMDksMTIvMjQvMDkp&amp;WINDOW=FIRST_POPUP&amp;HEIGHT=450&amp;WIDTH=450&amp;","START_MAXIMIZED=FALSE&amp;VAR:CALENDAR=US&amp;VAR:SYMBOL=MO&amp;VAR:INDEX=0"}</definedName>
    <definedName name="_589__FDSAUDITLINK__" hidden="1">{"fdsup://directions/FAT Viewer?action=UPDATE&amp;creator=factset&amp;DYN_ARGS=TRUE&amp;DOC_NAME=FAT:FQL_AUDITING_CLIENT_TEMPLATE.FAT&amp;display_string=Audit&amp;VAR:KEY=HGFUVWHCDS&amp;VAR:QUERY=RkZfRElWX1lMRChBTk4sMTIvMjQvMDksMTIvMjQvMDkp&amp;WINDOW=FIRST_POPUP&amp;HEIGHT=450&amp;WIDTH=450&amp;","START_MAXIMIZED=FALSE&amp;VAR:CALENDAR=US&amp;VAR:SYMBOL=MO&amp;VAR:INDEX=0"}</definedName>
    <definedName name="_58main_form_account_grants_list_34_j_id1022">#REF!</definedName>
    <definedName name="_59">#REF!</definedName>
    <definedName name="_59___NOTE8_9">#REF!</definedName>
    <definedName name="_59__123Graph_DGROWTH_REVS_B" hidden="1">#REF!</definedName>
    <definedName name="_59__123Graph_FCONTRACT_BY_B_U">#REF!</definedName>
    <definedName name="_59__123Graph_FSUPPLIES_BY_B_U">#REF!</definedName>
    <definedName name="_59__123Graph_FWAGES_BY_B_U">#REF!</definedName>
    <definedName name="_59__123Graph_LBL_CCHART_3">#REF!</definedName>
    <definedName name="_59__FDSAUDITLINK__" localSheetId="0" hidden="1">{"fdsup://Directions/FactSet Auditing Viewer?action=AUDIT_VALUE&amp;DB=129&amp;ID1=80854110&amp;VALUEID=02001&amp;SDATE=2011&amp;PERIODTYPE=ANN_STD&amp;SCFT=3&amp;window=popup_no_bar&amp;width=385&amp;height=120&amp;START_MAXIMIZED=FALSE&amp;creator=factset&amp;display_string=Audit"}</definedName>
    <definedName name="_59__FDSAUDITLINK__" hidden="1">{"fdsup://Directions/FactSet Auditing Viewer?action=AUDIT_VALUE&amp;DB=129&amp;ID1=80854110&amp;VALUEID=02001&amp;SDATE=2011&amp;PERIODTYPE=ANN_STD&amp;SCFT=3&amp;window=popup_no_bar&amp;width=385&amp;height=120&amp;START_MAXIMIZED=FALSE&amp;creator=factset&amp;display_string=Audit"}</definedName>
    <definedName name="_590">#REF!</definedName>
    <definedName name="_590__FDSAUDITLINK__" localSheetId="0" hidden="1">{"fdsup://directions/FAT Viewer?action=UPDATE&amp;creator=factset&amp;DYN_ARGS=TRUE&amp;DOC_NAME=FAT:FQL_AUDITING_CLIENT_TEMPLATE.FAT&amp;display_string=Audit&amp;VAR:KEY=JENMRKJYHC&amp;VAR:QUERY=RkZfRElWX1lMRChBTk4sMTIvMTcvMDksMTIvMTcvMDkp&amp;WINDOW=FIRST_POPUP&amp;HEIGHT=450&amp;WIDTH=450&amp;","START_MAXIMIZED=FALSE&amp;VAR:CALENDAR=US&amp;VAR:SYMBOL=MO&amp;VAR:INDEX=0"}</definedName>
    <definedName name="_590__FDSAUDITLINK__" hidden="1">{"fdsup://directions/FAT Viewer?action=UPDATE&amp;creator=factset&amp;DYN_ARGS=TRUE&amp;DOC_NAME=FAT:FQL_AUDITING_CLIENT_TEMPLATE.FAT&amp;display_string=Audit&amp;VAR:KEY=JENMRKJYHC&amp;VAR:QUERY=RkZfRElWX1lMRChBTk4sMTIvMTcvMDksMTIvMTcvMDkp&amp;WINDOW=FIRST_POPUP&amp;HEIGHT=450&amp;WIDTH=450&amp;","START_MAXIMIZED=FALSE&amp;VAR:CALENDAR=US&amp;VAR:SYMBOL=MO&amp;VAR:INDEX=0"}</definedName>
    <definedName name="_591">#REF!</definedName>
    <definedName name="_591__FDSAUDITLINK__" localSheetId="0" hidden="1">{"fdsup://directions/FAT Viewer?action=UPDATE&amp;creator=factset&amp;DYN_ARGS=TRUE&amp;DOC_NAME=FAT:FQL_AUDITING_CLIENT_TEMPLATE.FAT&amp;display_string=Audit&amp;VAR:KEY=JYPMFATYRE&amp;VAR:QUERY=RkZfRElWX1lMRChBTk4sMTIvMTAvMDksMTIvMTAvMDkp&amp;WINDOW=FIRST_POPUP&amp;HEIGHT=450&amp;WIDTH=450&amp;","START_MAXIMIZED=FALSE&amp;VAR:CALENDAR=US&amp;VAR:SYMBOL=MO&amp;VAR:INDEX=0"}</definedName>
    <definedName name="_591__FDSAUDITLINK__" hidden="1">{"fdsup://directions/FAT Viewer?action=UPDATE&amp;creator=factset&amp;DYN_ARGS=TRUE&amp;DOC_NAME=FAT:FQL_AUDITING_CLIENT_TEMPLATE.FAT&amp;display_string=Audit&amp;VAR:KEY=JYPMFATYRE&amp;VAR:QUERY=RkZfRElWX1lMRChBTk4sMTIvMTAvMDksMTIvMTAvMDkp&amp;WINDOW=FIRST_POPUP&amp;HEIGHT=450&amp;WIDTH=450&amp;","START_MAXIMIZED=FALSE&amp;VAR:CALENDAR=US&amp;VAR:SYMBOL=MO&amp;VAR:INDEX=0"}</definedName>
    <definedName name="_592">#REF!</definedName>
    <definedName name="_592__FDSAUDITLINK__" localSheetId="0" hidden="1">{"fdsup://directions/FAT Viewer?action=UPDATE&amp;creator=factset&amp;DYN_ARGS=TRUE&amp;DOC_NAME=FAT:FQL_AUDITING_CLIENT_TEMPLATE.FAT&amp;display_string=Audit&amp;VAR:KEY=REHYNIVOLM&amp;VAR:QUERY=RkZfRElWX1lMRChBTk4sMTIvMDMvMDksMTIvMDMvMDkp&amp;WINDOW=FIRST_POPUP&amp;HEIGHT=450&amp;WIDTH=450&amp;","START_MAXIMIZED=FALSE&amp;VAR:CALENDAR=US&amp;VAR:SYMBOL=MO&amp;VAR:INDEX=0"}</definedName>
    <definedName name="_592__FDSAUDITLINK__" hidden="1">{"fdsup://directions/FAT Viewer?action=UPDATE&amp;creator=factset&amp;DYN_ARGS=TRUE&amp;DOC_NAME=FAT:FQL_AUDITING_CLIENT_TEMPLATE.FAT&amp;display_string=Audit&amp;VAR:KEY=REHYNIVOLM&amp;VAR:QUERY=RkZfRElWX1lMRChBTk4sMTIvMDMvMDksMTIvMDMvMDkp&amp;WINDOW=FIRST_POPUP&amp;HEIGHT=450&amp;WIDTH=450&amp;","START_MAXIMIZED=FALSE&amp;VAR:CALENDAR=US&amp;VAR:SYMBOL=MO&amp;VAR:INDEX=0"}</definedName>
    <definedName name="_593">#REF!</definedName>
    <definedName name="_593__FDSAUDITLINK__" localSheetId="0" hidden="1">{"fdsup://directions/FAT Viewer?action=UPDATE&amp;creator=factset&amp;DYN_ARGS=TRUE&amp;DOC_NAME=FAT:FQL_AUDITING_CLIENT_TEMPLATE.FAT&amp;display_string=Audit&amp;VAR:KEY=JABCNMZSDM&amp;VAR:QUERY=RkZfRElWX1lMRChBTk4sMTEvMjUvMDksMTEvMjUvMDkp&amp;WINDOW=FIRST_POPUP&amp;HEIGHT=450&amp;WIDTH=450&amp;","START_MAXIMIZED=FALSE&amp;VAR:CALENDAR=US&amp;VAR:SYMBOL=MO&amp;VAR:INDEX=0"}</definedName>
    <definedName name="_593__FDSAUDITLINK__" hidden="1">{"fdsup://directions/FAT Viewer?action=UPDATE&amp;creator=factset&amp;DYN_ARGS=TRUE&amp;DOC_NAME=FAT:FQL_AUDITING_CLIENT_TEMPLATE.FAT&amp;display_string=Audit&amp;VAR:KEY=JABCNMZSDM&amp;VAR:QUERY=RkZfRElWX1lMRChBTk4sMTEvMjUvMDksMTEvMjUvMDkp&amp;WINDOW=FIRST_POPUP&amp;HEIGHT=450&amp;WIDTH=450&amp;","START_MAXIMIZED=FALSE&amp;VAR:CALENDAR=US&amp;VAR:SYMBOL=MO&amp;VAR:INDEX=0"}</definedName>
    <definedName name="_594__FDSAUDITLINK__" localSheetId="0" hidden="1">{"fdsup://directions/FAT Viewer?action=UPDATE&amp;creator=factset&amp;DYN_ARGS=TRUE&amp;DOC_NAME=FAT:FQL_AUDITING_CLIENT_TEMPLATE.FAT&amp;display_string=Audit&amp;VAR:KEY=XCLKFONOHG&amp;VAR:QUERY=RkZfRElWX1lMRChBTk4sMTEvMTkvMDksMTEvMTkvMDkp&amp;WINDOW=FIRST_POPUP&amp;HEIGHT=450&amp;WIDTH=450&amp;","START_MAXIMIZED=FALSE&amp;VAR:CALENDAR=US&amp;VAR:SYMBOL=MO&amp;VAR:INDEX=0"}</definedName>
    <definedName name="_594__FDSAUDITLINK__" hidden="1">{"fdsup://directions/FAT Viewer?action=UPDATE&amp;creator=factset&amp;DYN_ARGS=TRUE&amp;DOC_NAME=FAT:FQL_AUDITING_CLIENT_TEMPLATE.FAT&amp;display_string=Audit&amp;VAR:KEY=XCLKFONOHG&amp;VAR:QUERY=RkZfRElWX1lMRChBTk4sMTEvMTkvMDksMTEvMTkvMDkp&amp;WINDOW=FIRST_POPUP&amp;HEIGHT=450&amp;WIDTH=450&amp;","START_MAXIMIZED=FALSE&amp;VAR:CALENDAR=US&amp;VAR:SYMBOL=MO&amp;VAR:INDEX=0"}</definedName>
    <definedName name="_595__FDSAUDITLINK__" localSheetId="0" hidden="1">{"fdsup://directions/FAT Viewer?action=UPDATE&amp;creator=factset&amp;DYN_ARGS=TRUE&amp;DOC_NAME=FAT:FQL_AUDITING_CLIENT_TEMPLATE.FAT&amp;display_string=Audit&amp;VAR:KEY=XSFMZKXCFI&amp;VAR:QUERY=RkZfRElWX1lMRChBTk4sMTEvMTIvMDksMTEvMTIvMDkp&amp;WINDOW=FIRST_POPUP&amp;HEIGHT=450&amp;WIDTH=450&amp;","START_MAXIMIZED=FALSE&amp;VAR:CALENDAR=US&amp;VAR:SYMBOL=MO&amp;VAR:INDEX=0"}</definedName>
    <definedName name="_595__FDSAUDITLINK__" hidden="1">{"fdsup://directions/FAT Viewer?action=UPDATE&amp;creator=factset&amp;DYN_ARGS=TRUE&amp;DOC_NAME=FAT:FQL_AUDITING_CLIENT_TEMPLATE.FAT&amp;display_string=Audit&amp;VAR:KEY=XSFMZKXCFI&amp;VAR:QUERY=RkZfRElWX1lMRChBTk4sMTEvMTIvMDksMTEvMTIvMDkp&amp;WINDOW=FIRST_POPUP&amp;HEIGHT=450&amp;WIDTH=450&amp;","START_MAXIMIZED=FALSE&amp;VAR:CALENDAR=US&amp;VAR:SYMBOL=MO&amp;VAR:INDEX=0"}</definedName>
    <definedName name="_5957">#REF!</definedName>
    <definedName name="_5958">#REF!</definedName>
    <definedName name="_596__FDSAUDITLINK__" localSheetId="0" hidden="1">{"fdsup://directions/FAT Viewer?action=UPDATE&amp;creator=factset&amp;DYN_ARGS=TRUE&amp;DOC_NAME=FAT:FQL_AUDITING_CLIENT_TEMPLATE.FAT&amp;display_string=Audit&amp;VAR:KEY=BQVQRSTYLG&amp;VAR:QUERY=RkZfRElWX1lMRChBTk4sMTEvMDUvMDksMTEvMDUvMDkp&amp;WINDOW=FIRST_POPUP&amp;HEIGHT=450&amp;WIDTH=450&amp;","START_MAXIMIZED=FALSE&amp;VAR:CALENDAR=US&amp;VAR:SYMBOL=MO&amp;VAR:INDEX=0"}</definedName>
    <definedName name="_596__FDSAUDITLINK__" hidden="1">{"fdsup://directions/FAT Viewer?action=UPDATE&amp;creator=factset&amp;DYN_ARGS=TRUE&amp;DOC_NAME=FAT:FQL_AUDITING_CLIENT_TEMPLATE.FAT&amp;display_string=Audit&amp;VAR:KEY=BQVQRSTYLG&amp;VAR:QUERY=RkZfRElWX1lMRChBTk4sMTEvMDUvMDksMTEvMDUvMDkp&amp;WINDOW=FIRST_POPUP&amp;HEIGHT=450&amp;WIDTH=450&amp;","START_MAXIMIZED=FALSE&amp;VAR:CALENDAR=US&amp;VAR:SYMBOL=MO&amp;VAR:INDEX=0"}</definedName>
    <definedName name="_5960">#REF!</definedName>
    <definedName name="_5961">#REF!</definedName>
    <definedName name="_5963">#REF!</definedName>
    <definedName name="_5964">#REF!</definedName>
    <definedName name="_597__FDSAUDITLINK__" localSheetId="0" hidden="1">{"fdsup://directions/FAT Viewer?action=UPDATE&amp;creator=factset&amp;DYN_ARGS=TRUE&amp;DOC_NAME=FAT:FQL_AUDITING_CLIENT_TEMPLATE.FAT&amp;display_string=Audit&amp;VAR:KEY=BCZGFWFMLK&amp;VAR:QUERY=RkZfRElWX1lMRChBTk4sMTAvMjkvMDksMTAvMjkvMDkp&amp;WINDOW=FIRST_POPUP&amp;HEIGHT=450&amp;WIDTH=450&amp;","START_MAXIMIZED=FALSE&amp;VAR:CALENDAR=US&amp;VAR:SYMBOL=MO&amp;VAR:INDEX=0"}</definedName>
    <definedName name="_597__FDSAUDITLINK__" hidden="1">{"fdsup://directions/FAT Viewer?action=UPDATE&amp;creator=factset&amp;DYN_ARGS=TRUE&amp;DOC_NAME=FAT:FQL_AUDITING_CLIENT_TEMPLATE.FAT&amp;display_string=Audit&amp;VAR:KEY=BCZGFWFMLK&amp;VAR:QUERY=RkZfRElWX1lMRChBTk4sMTAvMjkvMDksMTAvMjkvMDkp&amp;WINDOW=FIRST_POPUP&amp;HEIGHT=450&amp;WIDTH=450&amp;","START_MAXIMIZED=FALSE&amp;VAR:CALENDAR=US&amp;VAR:SYMBOL=MO&amp;VAR:INDEX=0"}</definedName>
    <definedName name="_598">#REF!</definedName>
    <definedName name="_598__FDSAUDITLINK__" localSheetId="0" hidden="1">{"fdsup://directions/FAT Viewer?action=UPDATE&amp;creator=factset&amp;DYN_ARGS=TRUE&amp;DOC_NAME=FAT:FQL_AUDITING_CLIENT_TEMPLATE.FAT&amp;display_string=Audit&amp;VAR:KEY=JEVIVSLUHE&amp;VAR:QUERY=RkZfRElWX1lMRChBTk4sMTAvMjIvMDksMTAvMjIvMDkp&amp;WINDOW=FIRST_POPUP&amp;HEIGHT=450&amp;WIDTH=450&amp;","START_MAXIMIZED=FALSE&amp;VAR:CALENDAR=US&amp;VAR:SYMBOL=MO&amp;VAR:INDEX=0"}</definedName>
    <definedName name="_598__FDSAUDITLINK__" hidden="1">{"fdsup://directions/FAT Viewer?action=UPDATE&amp;creator=factset&amp;DYN_ARGS=TRUE&amp;DOC_NAME=FAT:FQL_AUDITING_CLIENT_TEMPLATE.FAT&amp;display_string=Audit&amp;VAR:KEY=JEVIVSLUHE&amp;VAR:QUERY=RkZfRElWX1lMRChBTk4sMTAvMjIvMDksMTAvMjIvMDkp&amp;WINDOW=FIRST_POPUP&amp;HEIGHT=450&amp;WIDTH=450&amp;","START_MAXIMIZED=FALSE&amp;VAR:CALENDAR=US&amp;VAR:SYMBOL=MO&amp;VAR:INDEX=0"}</definedName>
    <definedName name="_5986">#REF!</definedName>
    <definedName name="_5987">#REF!</definedName>
    <definedName name="_5989">#REF!</definedName>
    <definedName name="_599">#REF!</definedName>
    <definedName name="_599__FDSAUDITLINK__" localSheetId="0" hidden="1">{"fdsup://directions/FAT Viewer?action=UPDATE&amp;creator=factset&amp;DYN_ARGS=TRUE&amp;DOC_NAME=FAT:FQL_AUDITING_CLIENT_TEMPLATE.FAT&amp;display_string=Audit&amp;VAR:KEY=PMDWHAPKPI&amp;VAR:QUERY=RkZfRElWX1lMRChBTk4sMTAvMTUvMDksMTAvMTUvMDkp&amp;WINDOW=FIRST_POPUP&amp;HEIGHT=450&amp;WIDTH=450&amp;","START_MAXIMIZED=FALSE&amp;VAR:CALENDAR=US&amp;VAR:SYMBOL=MO&amp;VAR:INDEX=0"}</definedName>
    <definedName name="_599__FDSAUDITLINK__" hidden="1">{"fdsup://directions/FAT Viewer?action=UPDATE&amp;creator=factset&amp;DYN_ARGS=TRUE&amp;DOC_NAME=FAT:FQL_AUDITING_CLIENT_TEMPLATE.FAT&amp;display_string=Audit&amp;VAR:KEY=PMDWHAPKPI&amp;VAR:QUERY=RkZfRElWX1lMRChBTk4sMTAvMTUvMDksMTAvMTUvMDkp&amp;WINDOW=FIRST_POPUP&amp;HEIGHT=450&amp;WIDTH=450&amp;","START_MAXIMIZED=FALSE&amp;VAR:CALENDAR=US&amp;VAR:SYMBOL=MO&amp;VAR:INDEX=0"}</definedName>
    <definedName name="_5990">#REF!</definedName>
    <definedName name="_5992">#REF!</definedName>
    <definedName name="_5993">#REF!</definedName>
    <definedName name="_5995">#REF!</definedName>
    <definedName name="_5996">#REF!</definedName>
    <definedName name="_5a01_" hidden="1">{#N/A,#N/A,FALSE,"Aging Summary";#N/A,#N/A,FALSE,"Ratio Analysis";#N/A,#N/A,FALSE,"Test 120 Day Accts";#N/A,#N/A,FALSE,"Tickmarks"}</definedName>
    <definedName name="_5a1_">{"'Sheet1'!$L$16"}</definedName>
    <definedName name="_5item">#REF!</definedName>
    <definedName name="_5s1_" hidden="1">{#N/A,#N/A,FALSE,"UNIT";#N/A,#N/A,FALSE,"UNIT";#N/A,#N/A,FALSE,"계정"}</definedName>
    <definedName name="_5s10_" hidden="1">{#N/A,#N/A,FALSE,"UNIT";#N/A,#N/A,FALSE,"UNIT";#N/A,#N/A,FALSE,"계정"}</definedName>
    <definedName name="_5Table2_">#REF!</definedName>
    <definedName name="_5월">#REF!</definedName>
    <definedName name="_6">#REF!</definedName>
    <definedName name="_6_????_3">#REF!</definedName>
    <definedName name="_6_????1_3">#REF!</definedName>
    <definedName name="_6_??_3">#REF!</definedName>
    <definedName name="_6____________P_L">#REF!</definedName>
    <definedName name="_6__123Graph_AChart_29L">#REF!</definedName>
    <definedName name="_6__123Graph_ACONTRACT_BY_B_U">#REF!</definedName>
    <definedName name="_6__123Graph_AQRE_S_BY_CO.">#REF!</definedName>
    <definedName name="_6__123Graph_ASENS_COMPARISON">#REF!</definedName>
    <definedName name="_6__123Graph_ASUPPLIES_BY_B_U" hidden="1">#REF!</definedName>
    <definedName name="_6__123Graph_ATAX_CREDIT">#REF!</definedName>
    <definedName name="_6__123Graph_AWAGES_BY_B_U">#REF!</definedName>
    <definedName name="_6__123Graph_BQRE_S_BY_TYPE">#REF!</definedName>
    <definedName name="_6__FDSAUDITLINK__" localSheetId="0" hidden="1">{"fdsup://directions/FAT Viewer?action=UPDATE&amp;creator=factset&amp;DYN_ARGS=TRUE&amp;DOC_NAME=FAT:FQL_AUDITING_CLIENT_TEMPLATE.FAT&amp;display_string=Audit&amp;VAR:KEY=CJOPIPIRUP&amp;VAR:QUERY=Q1NGX0RJVl9ZTEQoUVRSX1IsOS8zMC8yMDA5KQ==&amp;WINDOW=FIRST_POPUP&amp;HEIGHT=450&amp;WIDTH=450&amp;STAR","T_MAXIMIZED=FALSE&amp;VAR:CALENDAR=US&amp;VAR:SYMBOL=MO&amp;VAR:INDEX=0"}</definedName>
    <definedName name="_6__FDSAUDITLINK__" hidden="1">{"fdsup://directions/FAT Viewer?action=UPDATE&amp;creator=factset&amp;DYN_ARGS=TRUE&amp;DOC_NAME=FAT:FQL_AUDITING_CLIENT_TEMPLATE.FAT&amp;display_string=Audit&amp;VAR:KEY=CJOPIPIRUP&amp;VAR:QUERY=Q1NGX0RJVl9ZTEQoUVRSX1IsOS8zMC8yMDA5KQ==&amp;WINDOW=FIRST_POPUP&amp;HEIGHT=450&amp;WIDTH=450&amp;STAR","T_MAXIMIZED=FALSE&amp;VAR:CALENDAR=US&amp;VAR:SYMBOL=MO&amp;VAR:INDEX=0"}</definedName>
    <definedName name="_6_0__123Grap" hidden="1">#REF!</definedName>
    <definedName name="_6_0_0COS">#REF!</definedName>
    <definedName name="_6_0_S">#REF!</definedName>
    <definedName name="_6_0_Table2_" hidden="1">#REF!</definedName>
    <definedName name="_6_0translation_">#REF!</definedName>
    <definedName name="_6_40000">#NAME?</definedName>
    <definedName name="_60">#REF!</definedName>
    <definedName name="_60_??1???_3">#REF!</definedName>
    <definedName name="_60___P_L">#REF!</definedName>
    <definedName name="_60__123Graph_BSUPPLIES_BY_B_U">#REF!</definedName>
    <definedName name="_60__123Graph_CCHART_1">#REF!</definedName>
    <definedName name="_60__123Graph_CSENS_COMPARISON">#REF!</definedName>
    <definedName name="_60__123Graph_DSUPPLIES_BY_B_U">#REF!</definedName>
    <definedName name="_60__123Graph_FQRE_S_BY_CO.">#REF!</definedName>
    <definedName name="_60__123Graph_XCHART_112" hidden="1">#REF!</definedName>
    <definedName name="_60__123Graph_XCONTRACT_BY_B_U">#REF!</definedName>
    <definedName name="_60__FDSAUDITLINK__" localSheetId="0" hidden="1">{"fdsup://directions/FAT Viewer?action=UPDATE&amp;creator=factset&amp;DYN_ARGS=TRUE&amp;DOC_NAME=FAT:FQL_AUDITING_CLIENT_TEMPLATE.FAT&amp;display_string=Audit&amp;VAR:KEY=XQPCXATENG&amp;VAR:QUERY=QVZHKEZGX0RJVl9ZTEQoQU5OLDQxMTAyLC0xMEFZKSk=&amp;WINDOW=FIRST_POPUP&amp;HEIGHT=450&amp;WIDTH=450&amp;","START_MAXIMIZED=FALSE&amp;VAR:CALENDAR=US&amp;VAR:SYMBOL=SPX"}</definedName>
    <definedName name="_60__FDSAUDITLINK__" hidden="1">{"fdsup://directions/FAT Viewer?action=UPDATE&amp;creator=factset&amp;DYN_ARGS=TRUE&amp;DOC_NAME=FAT:FQL_AUDITING_CLIENT_TEMPLATE.FAT&amp;display_string=Audit&amp;VAR:KEY=XQPCXATENG&amp;VAR:QUERY=QVZHKEZGX0RJVl9ZTEQoQU5OLDQxMTAyLC0xMEFZKSk=&amp;WINDOW=FIRST_POPUP&amp;HEIGHT=450&amp;WIDTH=450&amp;","START_MAXIMIZED=FALSE&amp;VAR:CALENDAR=US&amp;VAR:SYMBOL=SPX"}</definedName>
    <definedName name="_600">#REF!</definedName>
    <definedName name="_600__FDSAUDITLINK__" localSheetId="0" hidden="1">{"fdsup://directions/FAT Viewer?action=UPDATE&amp;creator=factset&amp;DYN_ARGS=TRUE&amp;DOC_NAME=FAT:FQL_AUDITING_CLIENT_TEMPLATE.FAT&amp;display_string=Audit&amp;VAR:KEY=NQNMVMTGPY&amp;VAR:QUERY=RkZfRElWX1lMRChBTk4sMTAvMDgvMDksMTAvMDgvMDkp&amp;WINDOW=FIRST_POPUP&amp;HEIGHT=450&amp;WIDTH=450&amp;","START_MAXIMIZED=FALSE&amp;VAR:CALENDAR=US&amp;VAR:SYMBOL=MO&amp;VAR:INDEX=0"}</definedName>
    <definedName name="_600__FDSAUDITLINK__" hidden="1">{"fdsup://directions/FAT Viewer?action=UPDATE&amp;creator=factset&amp;DYN_ARGS=TRUE&amp;DOC_NAME=FAT:FQL_AUDITING_CLIENT_TEMPLATE.FAT&amp;display_string=Audit&amp;VAR:KEY=NQNMVMTGPY&amp;VAR:QUERY=RkZfRElWX1lMRChBTk4sMTAvMDgvMDksMTAvMDgvMDkp&amp;WINDOW=FIRST_POPUP&amp;HEIGHT=450&amp;WIDTH=450&amp;","START_MAXIMIZED=FALSE&amp;VAR:CALENDAR=US&amp;VAR:SYMBOL=MO&amp;VAR:INDEX=0"}</definedName>
    <definedName name="_601">#REF!</definedName>
    <definedName name="_601__FDSAUDITLINK__" localSheetId="0" hidden="1">{"fdsup://directions/FAT Viewer?action=UPDATE&amp;creator=factset&amp;DYN_ARGS=TRUE&amp;DOC_NAME=FAT:FQL_AUDITING_CLIENT_TEMPLATE.FAT&amp;display_string=Audit&amp;VAR:KEY=FCNMBAJWHC&amp;VAR:QUERY=RkZfRElWX1lMRChBTk4sMTAvMDEvMDksMTAvMDEvMDkp&amp;WINDOW=FIRST_POPUP&amp;HEIGHT=450&amp;WIDTH=450&amp;","START_MAXIMIZED=FALSE&amp;VAR:CALENDAR=US&amp;VAR:SYMBOL=MO&amp;VAR:INDEX=0"}</definedName>
    <definedName name="_601__FDSAUDITLINK__" hidden="1">{"fdsup://directions/FAT Viewer?action=UPDATE&amp;creator=factset&amp;DYN_ARGS=TRUE&amp;DOC_NAME=FAT:FQL_AUDITING_CLIENT_TEMPLATE.FAT&amp;display_string=Audit&amp;VAR:KEY=FCNMBAJWHC&amp;VAR:QUERY=RkZfRElWX1lMRChBTk4sMTAvMDEvMDksMTAvMDEvMDkp&amp;WINDOW=FIRST_POPUP&amp;HEIGHT=450&amp;WIDTH=450&amp;","START_MAXIMIZED=FALSE&amp;VAR:CALENDAR=US&amp;VAR:SYMBOL=MO&amp;VAR:INDEX=0"}</definedName>
    <definedName name="_602__FDSAUDITLINK__" localSheetId="0" hidden="1">{"fdsup://directions/FAT Viewer?action=UPDATE&amp;creator=factset&amp;DYN_ARGS=TRUE&amp;DOC_NAME=FAT:FQL_AUDITING_CLIENT_TEMPLATE.FAT&amp;display_string=Audit&amp;VAR:KEY=LILSDELYZM&amp;VAR:QUERY=RkZfRElWX1lMRChBTk4sOS8yNC8wOSw5LzI0LzA5KQ==&amp;WINDOW=FIRST_POPUP&amp;HEIGHT=450&amp;WIDTH=450&amp;","START_MAXIMIZED=FALSE&amp;VAR:CALENDAR=US&amp;VAR:SYMBOL=MO&amp;VAR:INDEX=0"}</definedName>
    <definedName name="_602__FDSAUDITLINK__" hidden="1">{"fdsup://directions/FAT Viewer?action=UPDATE&amp;creator=factset&amp;DYN_ARGS=TRUE&amp;DOC_NAME=FAT:FQL_AUDITING_CLIENT_TEMPLATE.FAT&amp;display_string=Audit&amp;VAR:KEY=LILSDELYZM&amp;VAR:QUERY=RkZfRElWX1lMRChBTk4sOS8yNC8wOSw5LzI0LzA5KQ==&amp;WINDOW=FIRST_POPUP&amp;HEIGHT=450&amp;WIDTH=450&amp;","START_MAXIMIZED=FALSE&amp;VAR:CALENDAR=US&amp;VAR:SYMBOL=MO&amp;VAR:INDEX=0"}</definedName>
    <definedName name="_603__FDSAUDITLINK__" localSheetId="0" hidden="1">{"fdsup://directions/FAT Viewer?action=UPDATE&amp;creator=factset&amp;DYN_ARGS=TRUE&amp;DOC_NAME=FAT:FQL_AUDITING_CLIENT_TEMPLATE.FAT&amp;display_string=Audit&amp;VAR:KEY=TQNUVKDKDU&amp;VAR:QUERY=RkZfRElWX1lMRChBTk4sOS8xNy8wOSw5LzE3LzA5KQ==&amp;WINDOW=FIRST_POPUP&amp;HEIGHT=450&amp;WIDTH=450&amp;","START_MAXIMIZED=FALSE&amp;VAR:CALENDAR=US&amp;VAR:SYMBOL=MO&amp;VAR:INDEX=0"}</definedName>
    <definedName name="_603__FDSAUDITLINK__" hidden="1">{"fdsup://directions/FAT Viewer?action=UPDATE&amp;creator=factset&amp;DYN_ARGS=TRUE&amp;DOC_NAME=FAT:FQL_AUDITING_CLIENT_TEMPLATE.FAT&amp;display_string=Audit&amp;VAR:KEY=TQNUVKDKDU&amp;VAR:QUERY=RkZfRElWX1lMRChBTk4sOS8xNy8wOSw5LzE3LzA5KQ==&amp;WINDOW=FIRST_POPUP&amp;HEIGHT=450&amp;WIDTH=450&amp;","START_MAXIMIZED=FALSE&amp;VAR:CALENDAR=US&amp;VAR:SYMBOL=MO&amp;VAR:INDEX=0"}</definedName>
    <definedName name="_604">#REF!</definedName>
    <definedName name="_604__FDSAUDITLINK__" localSheetId="0" hidden="1">{"fdsup://directions/FAT Viewer?action=UPDATE&amp;creator=factset&amp;DYN_ARGS=TRUE&amp;DOC_NAME=FAT:FQL_AUDITING_CLIENT_TEMPLATE.FAT&amp;display_string=Audit&amp;VAR:KEY=XIJYJKZGBE&amp;VAR:QUERY=RkZfRElWX1lMRChBTk4sOS8xMC8wOSw5LzEwLzA5KQ==&amp;WINDOW=FIRST_POPUP&amp;HEIGHT=450&amp;WIDTH=450&amp;","START_MAXIMIZED=FALSE&amp;VAR:CALENDAR=US&amp;VAR:SYMBOL=MO&amp;VAR:INDEX=0"}</definedName>
    <definedName name="_604__FDSAUDITLINK__" hidden="1">{"fdsup://directions/FAT Viewer?action=UPDATE&amp;creator=factset&amp;DYN_ARGS=TRUE&amp;DOC_NAME=FAT:FQL_AUDITING_CLIENT_TEMPLATE.FAT&amp;display_string=Audit&amp;VAR:KEY=XIJYJKZGBE&amp;VAR:QUERY=RkZfRElWX1lMRChBTk4sOS8xMC8wOSw5LzEwLzA5KQ==&amp;WINDOW=FIRST_POPUP&amp;HEIGHT=450&amp;WIDTH=450&amp;","START_MAXIMIZED=FALSE&amp;VAR:CALENDAR=US&amp;VAR:SYMBOL=MO&amp;VAR:INDEX=0"}</definedName>
    <definedName name="_605__FDSAUDITLINK__" localSheetId="0" hidden="1">{"fdsup://directions/FAT Viewer?action=UPDATE&amp;creator=factset&amp;DYN_ARGS=TRUE&amp;DOC_NAME=FAT:FQL_AUDITING_CLIENT_TEMPLATE.FAT&amp;display_string=Audit&amp;VAR:KEY=PQXGDCRMBQ&amp;VAR:QUERY=RkZfRElWX1lMRChBTk4sOS8wMy8wOSw5LzAzLzA5KQ==&amp;WINDOW=FIRST_POPUP&amp;HEIGHT=450&amp;WIDTH=450&amp;","START_MAXIMIZED=FALSE&amp;VAR:CALENDAR=US&amp;VAR:SYMBOL=MO&amp;VAR:INDEX=0"}</definedName>
    <definedName name="_605__FDSAUDITLINK__" hidden="1">{"fdsup://directions/FAT Viewer?action=UPDATE&amp;creator=factset&amp;DYN_ARGS=TRUE&amp;DOC_NAME=FAT:FQL_AUDITING_CLIENT_TEMPLATE.FAT&amp;display_string=Audit&amp;VAR:KEY=PQXGDCRMBQ&amp;VAR:QUERY=RkZfRElWX1lMRChBTk4sOS8wMy8wOSw5LzAzLzA5KQ==&amp;WINDOW=FIRST_POPUP&amp;HEIGHT=450&amp;WIDTH=450&amp;","START_MAXIMIZED=FALSE&amp;VAR:CALENDAR=US&amp;VAR:SYMBOL=MO&amp;VAR:INDEX=0"}</definedName>
    <definedName name="_606__FDSAUDITLINK__" localSheetId="0" hidden="1">{"fdsup://directions/FAT Viewer?action=UPDATE&amp;creator=factset&amp;DYN_ARGS=TRUE&amp;DOC_NAME=FAT:FQL_AUDITING_CLIENT_TEMPLATE.FAT&amp;display_string=Audit&amp;VAR:KEY=VENUDYBUHS&amp;VAR:QUERY=RkZfRElWX1lMRChBTk4sOC8yNy8wOSw4LzI3LzA5KQ==&amp;WINDOW=FIRST_POPUP&amp;HEIGHT=450&amp;WIDTH=450&amp;","START_MAXIMIZED=FALSE&amp;VAR:CALENDAR=US&amp;VAR:SYMBOL=MO&amp;VAR:INDEX=0"}</definedName>
    <definedName name="_606__FDSAUDITLINK__" hidden="1">{"fdsup://directions/FAT Viewer?action=UPDATE&amp;creator=factset&amp;DYN_ARGS=TRUE&amp;DOC_NAME=FAT:FQL_AUDITING_CLIENT_TEMPLATE.FAT&amp;display_string=Audit&amp;VAR:KEY=VENUDYBUHS&amp;VAR:QUERY=RkZfRElWX1lMRChBTk4sOC8yNy8wOSw4LzI3LzA5KQ==&amp;WINDOW=FIRST_POPUP&amp;HEIGHT=450&amp;WIDTH=450&amp;","START_MAXIMIZED=FALSE&amp;VAR:CALENDAR=US&amp;VAR:SYMBOL=MO&amp;VAR:INDEX=0"}</definedName>
    <definedName name="_607__FDSAUDITLINK__" localSheetId="0" hidden="1">{"fdsup://directions/FAT Viewer?action=UPDATE&amp;creator=factset&amp;DYN_ARGS=TRUE&amp;DOC_NAME=FAT:FQL_AUDITING_CLIENT_TEMPLATE.FAT&amp;display_string=Audit&amp;VAR:KEY=ZUFOJKTKHM&amp;VAR:QUERY=RkZfRElWX1lMRChBTk4sOC8yMC8wOSw4LzIwLzA5KQ==&amp;WINDOW=FIRST_POPUP&amp;HEIGHT=450&amp;WIDTH=450&amp;","START_MAXIMIZED=FALSE&amp;VAR:CALENDAR=US&amp;VAR:SYMBOL=MO&amp;VAR:INDEX=0"}</definedName>
    <definedName name="_607__FDSAUDITLINK__" hidden="1">{"fdsup://directions/FAT Viewer?action=UPDATE&amp;creator=factset&amp;DYN_ARGS=TRUE&amp;DOC_NAME=FAT:FQL_AUDITING_CLIENT_TEMPLATE.FAT&amp;display_string=Audit&amp;VAR:KEY=ZUFOJKTKHM&amp;VAR:QUERY=RkZfRElWX1lMRChBTk4sOC8yMC8wOSw4LzIwLzA5KQ==&amp;WINDOW=FIRST_POPUP&amp;HEIGHT=450&amp;WIDTH=450&amp;","START_MAXIMIZED=FALSE&amp;VAR:CALENDAR=US&amp;VAR:SYMBOL=MO&amp;VAR:INDEX=0"}</definedName>
    <definedName name="_608__FDSAUDITLINK__" localSheetId="0" hidden="1">{"fdsup://directions/FAT Viewer?action=UPDATE&amp;creator=factset&amp;DYN_ARGS=TRUE&amp;DOC_NAME=FAT:FQL_AUDITING_CLIENT_TEMPLATE.FAT&amp;display_string=Audit&amp;VAR:KEY=FWTIZCXCNY&amp;VAR:QUERY=RkZfRElWX1lMRChBTk4sOC8xMy8wOSw4LzEzLzA5KQ==&amp;WINDOW=FIRST_POPUP&amp;HEIGHT=450&amp;WIDTH=450&amp;","START_MAXIMIZED=FALSE&amp;VAR:CALENDAR=US&amp;VAR:SYMBOL=MO&amp;VAR:INDEX=0"}</definedName>
    <definedName name="_608__FDSAUDITLINK__" hidden="1">{"fdsup://directions/FAT Viewer?action=UPDATE&amp;creator=factset&amp;DYN_ARGS=TRUE&amp;DOC_NAME=FAT:FQL_AUDITING_CLIENT_TEMPLATE.FAT&amp;display_string=Audit&amp;VAR:KEY=FWTIZCXCNY&amp;VAR:QUERY=RkZfRElWX1lMRChBTk4sOC8xMy8wOSw4LzEzLzA5KQ==&amp;WINDOW=FIRST_POPUP&amp;HEIGHT=450&amp;WIDTH=450&amp;","START_MAXIMIZED=FALSE&amp;VAR:CALENDAR=US&amp;VAR:SYMBOL=MO&amp;VAR:INDEX=0"}</definedName>
    <definedName name="_609">#REF!</definedName>
    <definedName name="_609__FDSAUDITLINK__" localSheetId="0" hidden="1">{"fdsup://directions/FAT Viewer?action=UPDATE&amp;creator=factset&amp;DYN_ARGS=TRUE&amp;DOC_NAME=FAT:FQL_AUDITING_CLIENT_TEMPLATE.FAT&amp;display_string=Audit&amp;VAR:KEY=FYRYBGNOLE&amp;VAR:QUERY=RkZfRElWX1lMRChBTk4sOC8wNi8wOSw4LzA2LzA5KQ==&amp;WINDOW=FIRST_POPUP&amp;HEIGHT=450&amp;WIDTH=450&amp;","START_MAXIMIZED=FALSE&amp;VAR:CALENDAR=US&amp;VAR:SYMBOL=MO&amp;VAR:INDEX=0"}</definedName>
    <definedName name="_609__FDSAUDITLINK__" hidden="1">{"fdsup://directions/FAT Viewer?action=UPDATE&amp;creator=factset&amp;DYN_ARGS=TRUE&amp;DOC_NAME=FAT:FQL_AUDITING_CLIENT_TEMPLATE.FAT&amp;display_string=Audit&amp;VAR:KEY=FYRYBGNOLE&amp;VAR:QUERY=RkZfRElWX1lMRChBTk4sOC8wNi8wOSw4LzA2LzA5KQ==&amp;WINDOW=FIRST_POPUP&amp;HEIGHT=450&amp;WIDTH=450&amp;","START_MAXIMIZED=FALSE&amp;VAR:CALENDAR=US&amp;VAR:SYMBOL=MO&amp;VAR:INDEX=0"}</definedName>
    <definedName name="_60main_form_account_grants_list_35_j_id1022">#REF!</definedName>
    <definedName name="_60T1">#REF!</definedName>
    <definedName name="_60T2">#REF!</definedName>
    <definedName name="_61">#REF!</definedName>
    <definedName name="_61__123Graph_BSUPPLIES_BY_B_U">#REF!</definedName>
    <definedName name="_61__123Graph_BWAGES_BY_B_U">#REF!</definedName>
    <definedName name="_61__123Graph_FSUPPLIES_BY_B_U">#REF!</definedName>
    <definedName name="_61__123Graph_FWAGES_BY_B_U">#REF!</definedName>
    <definedName name="_61__123Graph_XChart_1A" hidden="1">#REF!</definedName>
    <definedName name="_61__123Graph_XCONTRACT_BY_B_U">#REF!</definedName>
    <definedName name="_61__B_S">#REF!</definedName>
    <definedName name="_61__FDSAUDITLINK__" localSheetId="0" hidden="1">{"fdsup://Directions/FactSet Auditing Viewer?action=AUDIT_VALUE&amp;DB=129&amp;ID1=045449&amp;VALUEID=02001&amp;SDATE=2011&amp;PERIODTYPE=ANN_STD&amp;SCFT=3&amp;window=popup_no_bar&amp;width=385&amp;height=120&amp;START_MAXIMIZED=FALSE&amp;creator=factset&amp;display_string=Audit"}</definedName>
    <definedName name="_61__FDSAUDITLINK__" hidden="1">{"fdsup://Directions/FactSet Auditing Viewer?action=AUDIT_VALUE&amp;DB=129&amp;ID1=045449&amp;VALUEID=02001&amp;SDATE=2011&amp;PERIODTYPE=ANN_STD&amp;SCFT=3&amp;window=popup_no_bar&amp;width=385&amp;height=120&amp;START_MAXIMIZED=FALSE&amp;creator=factset&amp;display_string=Audit"}</definedName>
    <definedName name="_610__FDSAUDITLINK__" localSheetId="0" hidden="1">{"fdsup://directions/FAT Viewer?action=UPDATE&amp;creator=factset&amp;DYN_ARGS=TRUE&amp;DOC_NAME=FAT:FQL_AUDITING_CLIENT_TEMPLATE.FAT&amp;display_string=Audit&amp;VAR:KEY=XGZWLGLQJW&amp;VAR:QUERY=RkZfRElWX1lMRChBTk4sNy8zMC8wOSw3LzMwLzA5KQ==&amp;WINDOW=FIRST_POPUP&amp;HEIGHT=450&amp;WIDTH=450&amp;","START_MAXIMIZED=FALSE&amp;VAR:CALENDAR=US&amp;VAR:SYMBOL=MO&amp;VAR:INDEX=0"}</definedName>
    <definedName name="_610__FDSAUDITLINK__" hidden="1">{"fdsup://directions/FAT Viewer?action=UPDATE&amp;creator=factset&amp;DYN_ARGS=TRUE&amp;DOC_NAME=FAT:FQL_AUDITING_CLIENT_TEMPLATE.FAT&amp;display_string=Audit&amp;VAR:KEY=XGZWLGLQJW&amp;VAR:QUERY=RkZfRElWX1lMRChBTk4sNy8zMC8wOSw3LzMwLzA5KQ==&amp;WINDOW=FIRST_POPUP&amp;HEIGHT=450&amp;WIDTH=450&amp;","START_MAXIMIZED=FALSE&amp;VAR:CALENDAR=US&amp;VAR:SYMBOL=MO&amp;VAR:INDEX=0"}</definedName>
    <definedName name="_611__FDSAUDITLINK__" localSheetId="0" hidden="1">{"fdsup://directions/FAT Viewer?action=UPDATE&amp;creator=factset&amp;DYN_ARGS=TRUE&amp;DOC_NAME=FAT:FQL_AUDITING_CLIENT_TEMPLATE.FAT&amp;display_string=Audit&amp;VAR:KEY=VAPCXUDWLQ&amp;VAR:QUERY=RkZfRElWX1lMRChBTk4sNy8yMy8wOSw3LzIzLzA5KQ==&amp;WINDOW=FIRST_POPUP&amp;HEIGHT=450&amp;WIDTH=450&amp;","START_MAXIMIZED=FALSE&amp;VAR:CALENDAR=US&amp;VAR:SYMBOL=MO&amp;VAR:INDEX=0"}</definedName>
    <definedName name="_611__FDSAUDITLINK__" hidden="1">{"fdsup://directions/FAT Viewer?action=UPDATE&amp;creator=factset&amp;DYN_ARGS=TRUE&amp;DOC_NAME=FAT:FQL_AUDITING_CLIENT_TEMPLATE.FAT&amp;display_string=Audit&amp;VAR:KEY=VAPCXUDWLQ&amp;VAR:QUERY=RkZfRElWX1lMRChBTk4sNy8yMy8wOSw3LzIzLzA5KQ==&amp;WINDOW=FIRST_POPUP&amp;HEIGHT=450&amp;WIDTH=450&amp;","START_MAXIMIZED=FALSE&amp;VAR:CALENDAR=US&amp;VAR:SYMBOL=MO&amp;VAR:INDEX=0"}</definedName>
    <definedName name="_612">#REF!</definedName>
    <definedName name="_612__FDSAUDITLINK__" localSheetId="0" hidden="1">{"fdsup://directions/FAT Viewer?action=UPDATE&amp;creator=factset&amp;DYN_ARGS=TRUE&amp;DOC_NAME=FAT:FQL_AUDITING_CLIENT_TEMPLATE.FAT&amp;display_string=Audit&amp;VAR:KEY=PELIZURWPE&amp;VAR:QUERY=RkZfRElWX1lMRChBTk4sNy8xNi8wOSw3LzE2LzA5KQ==&amp;WINDOW=FIRST_POPUP&amp;HEIGHT=450&amp;WIDTH=450&amp;","START_MAXIMIZED=FALSE&amp;VAR:CALENDAR=US&amp;VAR:SYMBOL=MO&amp;VAR:INDEX=0"}</definedName>
    <definedName name="_612__FDSAUDITLINK__" hidden="1">{"fdsup://directions/FAT Viewer?action=UPDATE&amp;creator=factset&amp;DYN_ARGS=TRUE&amp;DOC_NAME=FAT:FQL_AUDITING_CLIENT_TEMPLATE.FAT&amp;display_string=Audit&amp;VAR:KEY=PELIZURWPE&amp;VAR:QUERY=RkZfRElWX1lMRChBTk4sNy8xNi8wOSw3LzE2LzA5KQ==&amp;WINDOW=FIRST_POPUP&amp;HEIGHT=450&amp;WIDTH=450&amp;","START_MAXIMIZED=FALSE&amp;VAR:CALENDAR=US&amp;VAR:SYMBOL=MO&amp;VAR:INDEX=0"}</definedName>
    <definedName name="_613">#REF!</definedName>
    <definedName name="_613__FDSAUDITLINK__" localSheetId="0" hidden="1">{"fdsup://directions/FAT Viewer?action=UPDATE&amp;creator=factset&amp;DYN_ARGS=TRUE&amp;DOC_NAME=FAT:FQL_AUDITING_CLIENT_TEMPLATE.FAT&amp;display_string=Audit&amp;VAR:KEY=ZEVEXUVKJG&amp;VAR:QUERY=RkZfRElWX1lMRChBTk4sNy8wOS8wOSw3LzA5LzA5KQ==&amp;WINDOW=FIRST_POPUP&amp;HEIGHT=450&amp;WIDTH=450&amp;","START_MAXIMIZED=FALSE&amp;VAR:CALENDAR=US&amp;VAR:SYMBOL=MO&amp;VAR:INDEX=0"}</definedName>
    <definedName name="_613__FDSAUDITLINK__" hidden="1">{"fdsup://directions/FAT Viewer?action=UPDATE&amp;creator=factset&amp;DYN_ARGS=TRUE&amp;DOC_NAME=FAT:FQL_AUDITING_CLIENT_TEMPLATE.FAT&amp;display_string=Audit&amp;VAR:KEY=ZEVEXUVKJG&amp;VAR:QUERY=RkZfRElWX1lMRChBTk4sNy8wOS8wOSw3LzA5LzA5KQ==&amp;WINDOW=FIRST_POPUP&amp;HEIGHT=450&amp;WIDTH=450&amp;","START_MAXIMIZED=FALSE&amp;VAR:CALENDAR=US&amp;VAR:SYMBOL=MO&amp;VAR:INDEX=0"}</definedName>
    <definedName name="_614">#REF!</definedName>
    <definedName name="_614__FDSAUDITLINK__" localSheetId="0" hidden="1">{"fdsup://directions/FAT Viewer?action=UPDATE&amp;creator=factset&amp;DYN_ARGS=TRUE&amp;DOC_NAME=FAT:FQL_AUDITING_CLIENT_TEMPLATE.FAT&amp;display_string=Audit&amp;VAR:KEY=PSZEFOBUDO&amp;VAR:QUERY=RkZfRElWX1lMRChBTk4sNy8wMi8wOSw3LzAyLzA5KQ==&amp;WINDOW=FIRST_POPUP&amp;HEIGHT=450&amp;WIDTH=450&amp;","START_MAXIMIZED=FALSE&amp;VAR:CALENDAR=US&amp;VAR:SYMBOL=MO&amp;VAR:INDEX=0"}</definedName>
    <definedName name="_614__FDSAUDITLINK__" hidden="1">{"fdsup://directions/FAT Viewer?action=UPDATE&amp;creator=factset&amp;DYN_ARGS=TRUE&amp;DOC_NAME=FAT:FQL_AUDITING_CLIENT_TEMPLATE.FAT&amp;display_string=Audit&amp;VAR:KEY=PSZEFOBUDO&amp;VAR:QUERY=RkZfRElWX1lMRChBTk4sNy8wMi8wOSw3LzAyLzA5KQ==&amp;WINDOW=FIRST_POPUP&amp;HEIGHT=450&amp;WIDTH=450&amp;","START_MAXIMIZED=FALSE&amp;VAR:CALENDAR=US&amp;VAR:SYMBOL=MO&amp;VAR:INDEX=0"}</definedName>
    <definedName name="_615">#REF!</definedName>
    <definedName name="_615__FDSAUDITLINK__" localSheetId="0" hidden="1">{"fdsup://directions/FAT Viewer?action=UPDATE&amp;creator=factset&amp;DYN_ARGS=TRUE&amp;DOC_NAME=FAT:FQL_AUDITING_CLIENT_TEMPLATE.FAT&amp;display_string=Audit&amp;VAR:KEY=NSPGJMBQLQ&amp;VAR:QUERY=RkZfRElWX1lMRChBTk4sNi8yNS8wOSw2LzI1LzA5KQ==&amp;WINDOW=FIRST_POPUP&amp;HEIGHT=450&amp;WIDTH=450&amp;","START_MAXIMIZED=FALSE&amp;VAR:CALENDAR=US&amp;VAR:SYMBOL=MO&amp;VAR:INDEX=0"}</definedName>
    <definedName name="_615__FDSAUDITLINK__" hidden="1">{"fdsup://directions/FAT Viewer?action=UPDATE&amp;creator=factset&amp;DYN_ARGS=TRUE&amp;DOC_NAME=FAT:FQL_AUDITING_CLIENT_TEMPLATE.FAT&amp;display_string=Audit&amp;VAR:KEY=NSPGJMBQLQ&amp;VAR:QUERY=RkZfRElWX1lMRChBTk4sNi8yNS8wOSw2LzI1LzA5KQ==&amp;WINDOW=FIRST_POPUP&amp;HEIGHT=450&amp;WIDTH=450&amp;","START_MAXIMIZED=FALSE&amp;VAR:CALENDAR=US&amp;VAR:SYMBOL=MO&amp;VAR:INDEX=0"}</definedName>
    <definedName name="_616__FDSAUDITLINK__" localSheetId="0" hidden="1">{"fdsup://directions/FAT Viewer?action=UPDATE&amp;creator=factset&amp;DYN_ARGS=TRUE&amp;DOC_NAME=FAT:FQL_AUDITING_CLIENT_TEMPLATE.FAT&amp;display_string=Audit&amp;VAR:KEY=HEFSHIXCPC&amp;VAR:QUERY=RkZfRElWX1lMRChBTk4sNi8xOC8wOSw2LzE4LzA5KQ==&amp;WINDOW=FIRST_POPUP&amp;HEIGHT=450&amp;WIDTH=450&amp;","START_MAXIMIZED=FALSE&amp;VAR:CALENDAR=US&amp;VAR:SYMBOL=MO&amp;VAR:INDEX=0"}</definedName>
    <definedName name="_616__FDSAUDITLINK__" hidden="1">{"fdsup://directions/FAT Viewer?action=UPDATE&amp;creator=factset&amp;DYN_ARGS=TRUE&amp;DOC_NAME=FAT:FQL_AUDITING_CLIENT_TEMPLATE.FAT&amp;display_string=Audit&amp;VAR:KEY=HEFSHIXCPC&amp;VAR:QUERY=RkZfRElWX1lMRChBTk4sNi8xOC8wOSw2LzE4LzA5KQ==&amp;WINDOW=FIRST_POPUP&amp;HEIGHT=450&amp;WIDTH=450&amp;","START_MAXIMIZED=FALSE&amp;VAR:CALENDAR=US&amp;VAR:SYMBOL=MO&amp;VAR:INDEX=0"}</definedName>
    <definedName name="_617__FDSAUDITLINK__" localSheetId="0" hidden="1">{"fdsup://directions/FAT Viewer?action=UPDATE&amp;creator=factset&amp;DYN_ARGS=TRUE&amp;DOC_NAME=FAT:FQL_AUDITING_CLIENT_TEMPLATE.FAT&amp;display_string=Audit&amp;VAR:KEY=RITSJWPELG&amp;VAR:QUERY=RkZfRElWX1lMRChBTk4sNi8xMS8wOSw2LzExLzA5KQ==&amp;WINDOW=FIRST_POPUP&amp;HEIGHT=450&amp;WIDTH=450&amp;","START_MAXIMIZED=FALSE&amp;VAR:CALENDAR=US&amp;VAR:SYMBOL=MO&amp;VAR:INDEX=0"}</definedName>
    <definedName name="_617__FDSAUDITLINK__" hidden="1">{"fdsup://directions/FAT Viewer?action=UPDATE&amp;creator=factset&amp;DYN_ARGS=TRUE&amp;DOC_NAME=FAT:FQL_AUDITING_CLIENT_TEMPLATE.FAT&amp;display_string=Audit&amp;VAR:KEY=RITSJWPELG&amp;VAR:QUERY=RkZfRElWX1lMRChBTk4sNi8xMS8wOSw2LzExLzA5KQ==&amp;WINDOW=FIRST_POPUP&amp;HEIGHT=450&amp;WIDTH=450&amp;","START_MAXIMIZED=FALSE&amp;VAR:CALENDAR=US&amp;VAR:SYMBOL=MO&amp;VAR:INDEX=0"}</definedName>
    <definedName name="_618__FDSAUDITLINK__" localSheetId="0" hidden="1">{"fdsup://directions/FAT Viewer?action=UPDATE&amp;creator=factset&amp;DYN_ARGS=TRUE&amp;DOC_NAME=FAT:FQL_AUDITING_CLIENT_TEMPLATE.FAT&amp;display_string=Audit&amp;VAR:KEY=TGLQTAJGXC&amp;VAR:QUERY=RkZfRElWX1lMRChBTk4sNi8wNC8wOSw2LzA0LzA5KQ==&amp;WINDOW=FIRST_POPUP&amp;HEIGHT=450&amp;WIDTH=450&amp;","START_MAXIMIZED=FALSE&amp;VAR:CALENDAR=US&amp;VAR:SYMBOL=MO&amp;VAR:INDEX=0"}</definedName>
    <definedName name="_618__FDSAUDITLINK__" hidden="1">{"fdsup://directions/FAT Viewer?action=UPDATE&amp;creator=factset&amp;DYN_ARGS=TRUE&amp;DOC_NAME=FAT:FQL_AUDITING_CLIENT_TEMPLATE.FAT&amp;display_string=Audit&amp;VAR:KEY=TGLQTAJGXC&amp;VAR:QUERY=RkZfRElWX1lMRChBTk4sNi8wNC8wOSw2LzA0LzA5KQ==&amp;WINDOW=FIRST_POPUP&amp;HEIGHT=450&amp;WIDTH=450&amp;","START_MAXIMIZED=FALSE&amp;VAR:CALENDAR=US&amp;VAR:SYMBOL=MO&amp;VAR:INDEX=0"}</definedName>
    <definedName name="_619__FDSAUDITLINK__" localSheetId="0" hidden="1">{"fdsup://directions/FAT Viewer?action=UPDATE&amp;creator=factset&amp;DYN_ARGS=TRUE&amp;DOC_NAME=FAT:FQL_AUDITING_CLIENT_TEMPLATE.FAT&amp;display_string=Audit&amp;VAR:KEY=RGPCPAXGBK&amp;VAR:QUERY=RkZfRElWX1lMRChBTk4sNS8yOC8wOSw1LzI4LzA5KQ==&amp;WINDOW=FIRST_POPUP&amp;HEIGHT=450&amp;WIDTH=450&amp;","START_MAXIMIZED=FALSE&amp;VAR:CALENDAR=US&amp;VAR:SYMBOL=MO&amp;VAR:INDEX=0"}</definedName>
    <definedName name="_619__FDSAUDITLINK__" hidden="1">{"fdsup://directions/FAT Viewer?action=UPDATE&amp;creator=factset&amp;DYN_ARGS=TRUE&amp;DOC_NAME=FAT:FQL_AUDITING_CLIENT_TEMPLATE.FAT&amp;display_string=Audit&amp;VAR:KEY=RGPCPAXGBK&amp;VAR:QUERY=RkZfRElWX1lMRChBTk4sNS8yOC8wOSw1LzI4LzA5KQ==&amp;WINDOW=FIRST_POPUP&amp;HEIGHT=450&amp;WIDTH=450&amp;","START_MAXIMIZED=FALSE&amp;VAR:CALENDAR=US&amp;VAR:SYMBOL=MO&amp;VAR:INDEX=0"}</definedName>
    <definedName name="_62">#REF!</definedName>
    <definedName name="_62__123Graph_FWAGES_BY_B_U">#REF!</definedName>
    <definedName name="_62__123Graph_XCHART_1">#REF!</definedName>
    <definedName name="_62__123Graph_XChart_2A" hidden="1">#REF!</definedName>
    <definedName name="_62__123Graph_XQRE_S_BY_CO.">#REF!</definedName>
    <definedName name="_62__FDSAUDITLINK__" localSheetId="0" hidden="1">{"fdsup://directions/FAT Viewer?action=UPDATE&amp;creator=factset&amp;DYN_ARGS=TRUE&amp;DOC_NAME=FAT:FQL_AUDITING_CLIENT_TEMPLATE.FAT&amp;display_string=Audit&amp;VAR:KEY=PYROTMBGZO&amp;VAR:QUERY=RkZfREVCVChBTk4sMCwsLCxVU0Qp&amp;WINDOW=FIRST_POPUP&amp;HEIGHT=450&amp;WIDTH=450&amp;START_MAXIMIZED=","FALSE&amp;VAR:CALENDAR=US&amp;VAR:SYMBOL=045449&amp;VAR:INDEX=0"}</definedName>
    <definedName name="_62__FDSAUDITLINK__" hidden="1">{"fdsup://directions/FAT Viewer?action=UPDATE&amp;creator=factset&amp;DYN_ARGS=TRUE&amp;DOC_NAME=FAT:FQL_AUDITING_CLIENT_TEMPLATE.FAT&amp;display_string=Audit&amp;VAR:KEY=PYROTMBGZO&amp;VAR:QUERY=RkZfREVCVChBTk4sMCwsLCxVU0Qp&amp;WINDOW=FIRST_POPUP&amp;HEIGHT=450&amp;WIDTH=450&amp;START_MAXIMIZED=","FALSE&amp;VAR:CALENDAR=US&amp;VAR:SYMBOL=045449&amp;VAR:INDEX=0"}</definedName>
    <definedName name="_62__NOTE10_12">#REF!</definedName>
    <definedName name="_620__FDSAUDITLINK__" localSheetId="0" hidden="1">{"fdsup://directions/FAT Viewer?action=UPDATE&amp;creator=factset&amp;DYN_ARGS=TRUE&amp;DOC_NAME=FAT:FQL_AUDITING_CLIENT_TEMPLATE.FAT&amp;display_string=Audit&amp;VAR:KEY=LYFENGZKZU&amp;VAR:QUERY=RkZfRElWX1lMRChBTk4sNS8yMS8wOSw1LzIxLzA5KQ==&amp;WINDOW=FIRST_POPUP&amp;HEIGHT=450&amp;WIDTH=450&amp;","START_MAXIMIZED=FALSE&amp;VAR:CALENDAR=US&amp;VAR:SYMBOL=MO&amp;VAR:INDEX=0"}</definedName>
    <definedName name="_620__FDSAUDITLINK__" hidden="1">{"fdsup://directions/FAT Viewer?action=UPDATE&amp;creator=factset&amp;DYN_ARGS=TRUE&amp;DOC_NAME=FAT:FQL_AUDITING_CLIENT_TEMPLATE.FAT&amp;display_string=Audit&amp;VAR:KEY=LYFENGZKZU&amp;VAR:QUERY=RkZfRElWX1lMRChBTk4sNS8yMS8wOSw1LzIxLzA5KQ==&amp;WINDOW=FIRST_POPUP&amp;HEIGHT=450&amp;WIDTH=450&amp;","START_MAXIMIZED=FALSE&amp;VAR:CALENDAR=US&amp;VAR:SYMBOL=MO&amp;VAR:INDEX=0"}</definedName>
    <definedName name="_621__FDSAUDITLINK__" localSheetId="0" hidden="1">{"fdsup://directions/FAT Viewer?action=UPDATE&amp;creator=factset&amp;DYN_ARGS=TRUE&amp;DOC_NAME=FAT:FQL_AUDITING_CLIENT_TEMPLATE.FAT&amp;display_string=Audit&amp;VAR:KEY=XULGPGXKZK&amp;VAR:QUERY=RkZfRElWX1lMRChBTk4sNS8xNC8wOSw1LzE0LzA5KQ==&amp;WINDOW=FIRST_POPUP&amp;HEIGHT=450&amp;WIDTH=450&amp;","START_MAXIMIZED=FALSE&amp;VAR:CALENDAR=US&amp;VAR:SYMBOL=MO&amp;VAR:INDEX=0"}</definedName>
    <definedName name="_621__FDSAUDITLINK__" hidden="1">{"fdsup://directions/FAT Viewer?action=UPDATE&amp;creator=factset&amp;DYN_ARGS=TRUE&amp;DOC_NAME=FAT:FQL_AUDITING_CLIENT_TEMPLATE.FAT&amp;display_string=Audit&amp;VAR:KEY=XULGPGXKZK&amp;VAR:QUERY=RkZfRElWX1lMRChBTk4sNS8xNC8wOSw1LzE0LzA5KQ==&amp;WINDOW=FIRST_POPUP&amp;HEIGHT=450&amp;WIDTH=450&amp;","START_MAXIMIZED=FALSE&amp;VAR:CALENDAR=US&amp;VAR:SYMBOL=MO&amp;VAR:INDEX=0"}</definedName>
    <definedName name="_622">#REF!</definedName>
    <definedName name="_622__FDSAUDITLINK__" localSheetId="0" hidden="1">{"fdsup://directions/FAT Viewer?action=UPDATE&amp;creator=factset&amp;DYN_ARGS=TRUE&amp;DOC_NAME=FAT:FQL_AUDITING_CLIENT_TEMPLATE.FAT&amp;display_string=Audit&amp;VAR:KEY=DQPWHORGHS&amp;VAR:QUERY=RkZfRElWX1lMRChBTk4sNS8wNy8wOSw1LzA3LzA5KQ==&amp;WINDOW=FIRST_POPUP&amp;HEIGHT=450&amp;WIDTH=450&amp;","START_MAXIMIZED=FALSE&amp;VAR:CALENDAR=US&amp;VAR:SYMBOL=MO&amp;VAR:INDEX=0"}</definedName>
    <definedName name="_622__FDSAUDITLINK__" hidden="1">{"fdsup://directions/FAT Viewer?action=UPDATE&amp;creator=factset&amp;DYN_ARGS=TRUE&amp;DOC_NAME=FAT:FQL_AUDITING_CLIENT_TEMPLATE.FAT&amp;display_string=Audit&amp;VAR:KEY=DQPWHORGHS&amp;VAR:QUERY=RkZfRElWX1lMRChBTk4sNS8wNy8wOSw1LzA3LzA5KQ==&amp;WINDOW=FIRST_POPUP&amp;HEIGHT=450&amp;WIDTH=450&amp;","START_MAXIMIZED=FALSE&amp;VAR:CALENDAR=US&amp;VAR:SYMBOL=MO&amp;VAR:INDEX=0"}</definedName>
    <definedName name="_623__FDSAUDITLINK__" localSheetId="0" hidden="1">{"fdsup://directions/FAT Viewer?action=UPDATE&amp;creator=factset&amp;DYN_ARGS=TRUE&amp;DOC_NAME=FAT:FQL_AUDITING_CLIENT_TEMPLATE.FAT&amp;display_string=Audit&amp;VAR:KEY=NEXURMBMFO&amp;VAR:QUERY=RkZfRElWX1lMRChBTk4sNC8zMC8wOSw0LzMwLzA5KQ==&amp;WINDOW=FIRST_POPUP&amp;HEIGHT=450&amp;WIDTH=450&amp;","START_MAXIMIZED=FALSE&amp;VAR:CALENDAR=US&amp;VAR:SYMBOL=MO&amp;VAR:INDEX=0"}</definedName>
    <definedName name="_623__FDSAUDITLINK__" hidden="1">{"fdsup://directions/FAT Viewer?action=UPDATE&amp;creator=factset&amp;DYN_ARGS=TRUE&amp;DOC_NAME=FAT:FQL_AUDITING_CLIENT_TEMPLATE.FAT&amp;display_string=Audit&amp;VAR:KEY=NEXURMBMFO&amp;VAR:QUERY=RkZfRElWX1lMRChBTk4sNC8zMC8wOSw0LzMwLzA5KQ==&amp;WINDOW=FIRST_POPUP&amp;HEIGHT=450&amp;WIDTH=450&amp;","START_MAXIMIZED=FALSE&amp;VAR:CALENDAR=US&amp;VAR:SYMBOL=MO&amp;VAR:INDEX=0"}</definedName>
    <definedName name="_624">#REF!</definedName>
    <definedName name="_624__FDSAUDITLINK__" localSheetId="0" hidden="1">{"fdsup://directions/FAT Viewer?action=UPDATE&amp;creator=factset&amp;DYN_ARGS=TRUE&amp;DOC_NAME=FAT:FQL_AUDITING_CLIENT_TEMPLATE.FAT&amp;display_string=Audit&amp;VAR:KEY=ZQXAXARKBQ&amp;VAR:QUERY=RkZfRElWX1lMRChBTk4sNC8yMy8wOSw0LzIzLzA5KQ==&amp;WINDOW=FIRST_POPUP&amp;HEIGHT=450&amp;WIDTH=450&amp;","START_MAXIMIZED=FALSE&amp;VAR:CALENDAR=US&amp;VAR:SYMBOL=MO&amp;VAR:INDEX=0"}</definedName>
    <definedName name="_624__FDSAUDITLINK__" hidden="1">{"fdsup://directions/FAT Viewer?action=UPDATE&amp;creator=factset&amp;DYN_ARGS=TRUE&amp;DOC_NAME=FAT:FQL_AUDITING_CLIENT_TEMPLATE.FAT&amp;display_string=Audit&amp;VAR:KEY=ZQXAXARKBQ&amp;VAR:QUERY=RkZfRElWX1lMRChBTk4sNC8yMy8wOSw0LzIzLzA5KQ==&amp;WINDOW=FIRST_POPUP&amp;HEIGHT=450&amp;WIDTH=450&amp;","START_MAXIMIZED=FALSE&amp;VAR:CALENDAR=US&amp;VAR:SYMBOL=MO&amp;VAR:INDEX=0"}</definedName>
    <definedName name="_625">#REF!</definedName>
    <definedName name="_625__FDSAUDITLINK__" localSheetId="0" hidden="1">{"fdsup://directions/FAT Viewer?action=UPDATE&amp;creator=factset&amp;DYN_ARGS=TRUE&amp;DOC_NAME=FAT:FQL_AUDITING_CLIENT_TEMPLATE.FAT&amp;display_string=Audit&amp;VAR:KEY=PIDSJWVOFU&amp;VAR:QUERY=RkZfRElWX1lMRChBTk4sNC8xNi8wOSw0LzE2LzA5KQ==&amp;WINDOW=FIRST_POPUP&amp;HEIGHT=450&amp;WIDTH=450&amp;","START_MAXIMIZED=FALSE&amp;VAR:CALENDAR=US&amp;VAR:SYMBOL=MO&amp;VAR:INDEX=0"}</definedName>
    <definedName name="_625__FDSAUDITLINK__" hidden="1">{"fdsup://directions/FAT Viewer?action=UPDATE&amp;creator=factset&amp;DYN_ARGS=TRUE&amp;DOC_NAME=FAT:FQL_AUDITING_CLIENT_TEMPLATE.FAT&amp;display_string=Audit&amp;VAR:KEY=PIDSJWVOFU&amp;VAR:QUERY=RkZfRElWX1lMRChBTk4sNC8xNi8wOSw0LzE2LzA5KQ==&amp;WINDOW=FIRST_POPUP&amp;HEIGHT=450&amp;WIDTH=450&amp;","START_MAXIMIZED=FALSE&amp;VAR:CALENDAR=US&amp;VAR:SYMBOL=MO&amp;VAR:INDEX=0"}</definedName>
    <definedName name="_626">#REF!</definedName>
    <definedName name="_626__FDSAUDITLINK__" localSheetId="0" hidden="1">{"fdsup://directions/FAT Viewer?action=UPDATE&amp;creator=factset&amp;DYN_ARGS=TRUE&amp;DOC_NAME=FAT:FQL_AUDITING_CLIENT_TEMPLATE.FAT&amp;display_string=Audit&amp;VAR:KEY=DCHIPOLQDA&amp;VAR:QUERY=RkZfRElWX1lMRChBTk4sNC8wOS8wOSw0LzA5LzA5KQ==&amp;WINDOW=FIRST_POPUP&amp;HEIGHT=450&amp;WIDTH=450&amp;","START_MAXIMIZED=FALSE&amp;VAR:CALENDAR=US&amp;VAR:SYMBOL=MO&amp;VAR:INDEX=0"}</definedName>
    <definedName name="_626__FDSAUDITLINK__" hidden="1">{"fdsup://directions/FAT Viewer?action=UPDATE&amp;creator=factset&amp;DYN_ARGS=TRUE&amp;DOC_NAME=FAT:FQL_AUDITING_CLIENT_TEMPLATE.FAT&amp;display_string=Audit&amp;VAR:KEY=DCHIPOLQDA&amp;VAR:QUERY=RkZfRElWX1lMRChBTk4sNC8wOS8wOSw0LzA5LzA5KQ==&amp;WINDOW=FIRST_POPUP&amp;HEIGHT=450&amp;WIDTH=450&amp;","START_MAXIMIZED=FALSE&amp;VAR:CALENDAR=US&amp;VAR:SYMBOL=MO&amp;VAR:INDEX=0"}</definedName>
    <definedName name="_6265">#REF!</definedName>
    <definedName name="_6266">#REF!</definedName>
    <definedName name="_6268">#REF!</definedName>
    <definedName name="_6269">#REF!</definedName>
    <definedName name="_627">#REF!</definedName>
    <definedName name="_627__FDSAUDITLINK__" localSheetId="0" hidden="1">{"fdsup://directions/FAT Viewer?action=UPDATE&amp;creator=factset&amp;DYN_ARGS=TRUE&amp;DOC_NAME=FAT:FQL_AUDITING_CLIENT_TEMPLATE.FAT&amp;display_string=Audit&amp;VAR:KEY=FIHQTSVQLM&amp;VAR:QUERY=RkZfRElWX1lMRChBTk4sNC8wMi8wOSw0LzAyLzA5KQ==&amp;WINDOW=FIRST_POPUP&amp;HEIGHT=450&amp;WIDTH=450&amp;","START_MAXIMIZED=FALSE&amp;VAR:CALENDAR=US&amp;VAR:SYMBOL=MO&amp;VAR:INDEX=0"}</definedName>
    <definedName name="_627__FDSAUDITLINK__" hidden="1">{"fdsup://directions/FAT Viewer?action=UPDATE&amp;creator=factset&amp;DYN_ARGS=TRUE&amp;DOC_NAME=FAT:FQL_AUDITING_CLIENT_TEMPLATE.FAT&amp;display_string=Audit&amp;VAR:KEY=FIHQTSVQLM&amp;VAR:QUERY=RkZfRElWX1lMRChBTk4sNC8wMi8wOSw0LzAyLzA5KQ==&amp;WINDOW=FIRST_POPUP&amp;HEIGHT=450&amp;WIDTH=450&amp;","START_MAXIMIZED=FALSE&amp;VAR:CALENDAR=US&amp;VAR:SYMBOL=MO&amp;VAR:INDEX=0"}</definedName>
    <definedName name="_6271">#REF!</definedName>
    <definedName name="_6272">#REF!</definedName>
    <definedName name="_628__FDSAUDITLINK__" localSheetId="0" hidden="1">{"fdsup://directions/FAT Viewer?action=UPDATE&amp;creator=factset&amp;DYN_ARGS=TRUE&amp;DOC_NAME=FAT:FQL_AUDITING_CLIENT_TEMPLATE.FAT&amp;display_string=Audit&amp;VAR:KEY=PQBOTQXWJU&amp;VAR:QUERY=RkZfRElWX1lMRChBTk4sMy8yNi8wOSwzLzI2LzA5KQ==&amp;WINDOW=FIRST_POPUP&amp;HEIGHT=450&amp;WIDTH=450&amp;","START_MAXIMIZED=FALSE&amp;VAR:CALENDAR=US&amp;VAR:SYMBOL=MO&amp;VAR:INDEX=0"}</definedName>
    <definedName name="_628__FDSAUDITLINK__" hidden="1">{"fdsup://directions/FAT Viewer?action=UPDATE&amp;creator=factset&amp;DYN_ARGS=TRUE&amp;DOC_NAME=FAT:FQL_AUDITING_CLIENT_TEMPLATE.FAT&amp;display_string=Audit&amp;VAR:KEY=PQBOTQXWJU&amp;VAR:QUERY=RkZfRElWX1lMRChBTk4sMy8yNi8wOSwzLzI2LzA5KQ==&amp;WINDOW=FIRST_POPUP&amp;HEIGHT=450&amp;WIDTH=450&amp;","START_MAXIMIZED=FALSE&amp;VAR:CALENDAR=US&amp;VAR:SYMBOL=MO&amp;VAR:INDEX=0"}</definedName>
    <definedName name="_629__FDSAUDITLINK__" localSheetId="0" hidden="1">{"fdsup://directions/FAT Viewer?action=UPDATE&amp;creator=factset&amp;DYN_ARGS=TRUE&amp;DOC_NAME=FAT:FQL_AUDITING_CLIENT_TEMPLATE.FAT&amp;display_string=Audit&amp;VAR:KEY=NIFSHKTCXI&amp;VAR:QUERY=RkZfRElWX1lMRChBTk4sMy8xOS8wOSwzLzE5LzA5KQ==&amp;WINDOW=FIRST_POPUP&amp;HEIGHT=450&amp;WIDTH=450&amp;","START_MAXIMIZED=FALSE&amp;VAR:CALENDAR=US&amp;VAR:SYMBOL=MO&amp;VAR:INDEX=0"}</definedName>
    <definedName name="_629__FDSAUDITLINK__" hidden="1">{"fdsup://directions/FAT Viewer?action=UPDATE&amp;creator=factset&amp;DYN_ARGS=TRUE&amp;DOC_NAME=FAT:FQL_AUDITING_CLIENT_TEMPLATE.FAT&amp;display_string=Audit&amp;VAR:KEY=NIFSHKTCXI&amp;VAR:QUERY=RkZfRElWX1lMRChBTk4sMy8xOS8wOSwzLzE5LzA5KQ==&amp;WINDOW=FIRST_POPUP&amp;HEIGHT=450&amp;WIDTH=450&amp;","START_MAXIMIZED=FALSE&amp;VAR:CALENDAR=US&amp;VAR:SYMBOL=MO&amp;VAR:INDEX=0"}</definedName>
    <definedName name="_62main_form_account_grants_list_36_j_id1022">#REF!</definedName>
    <definedName name="_63">#REF!</definedName>
    <definedName name="_63__123Graph_DWAGES_BY_B_U">#REF!</definedName>
    <definedName name="_63__123Graph_XCHART_30" hidden="1">#REF!</definedName>
    <definedName name="_63__123Graph_XCONTRACT_BY_B_U">#REF!</definedName>
    <definedName name="_63__123Graph_XQRE_S_BY_CO.">#REF!</definedName>
    <definedName name="_63__FDSAUDITLINK__" localSheetId="0" hidden="1">{"fdsup://directions/FAT Viewer?action=UPDATE&amp;creator=factset&amp;DYN_ARGS=TRUE&amp;DOC_NAME=FAT:FQL_AUDITING_CLIENT_TEMPLATE.FAT&amp;display_string=Audit&amp;VAR:KEY=EFYTAPIJCP&amp;VAR:QUERY=RkZfRlJFRV9QU19DRihBTk4sMCkgLyBQX1BSSUNFKDAp&amp;WINDOW=FIRST_POPUP&amp;HEIGHT=450&amp;WIDTH=450&amp;","START_MAXIMIZED=FALSE&amp;VAR:CALENDAR=US&amp;VAR:SYMBOL=THI&amp;VAR:INDEX=0"}</definedName>
    <definedName name="_63__FDSAUDITLINK__" hidden="1">{"fdsup://directions/FAT Viewer?action=UPDATE&amp;creator=factset&amp;DYN_ARGS=TRUE&amp;DOC_NAME=FAT:FQL_AUDITING_CLIENT_TEMPLATE.FAT&amp;display_string=Audit&amp;VAR:KEY=EFYTAPIJCP&amp;VAR:QUERY=RkZfRlJFRV9QU19DRihBTk4sMCkgLyBQX1BSSUNFKDAp&amp;WINDOW=FIRST_POPUP&amp;HEIGHT=450&amp;WIDTH=450&amp;","START_MAXIMIZED=FALSE&amp;VAR:CALENDAR=US&amp;VAR:SYMBOL=THI&amp;VAR:INDEX=0"}</definedName>
    <definedName name="_63__NOTE1_3">#REF!</definedName>
    <definedName name="_630__FDSAUDITLINK__" localSheetId="0" hidden="1">{"fdsup://directions/FAT Viewer?action=UPDATE&amp;creator=factset&amp;DYN_ARGS=TRUE&amp;DOC_NAME=FAT:FQL_AUDITING_CLIENT_TEMPLATE.FAT&amp;display_string=Audit&amp;VAR:KEY=LWBGFYRWXG&amp;VAR:QUERY=RkZfRElWX1lMRChBTk4sMy8xMi8wOSwzLzEyLzA5KQ==&amp;WINDOW=FIRST_POPUP&amp;HEIGHT=450&amp;WIDTH=450&amp;","START_MAXIMIZED=FALSE&amp;VAR:CALENDAR=US&amp;VAR:SYMBOL=MO&amp;VAR:INDEX=0"}</definedName>
    <definedName name="_630__FDSAUDITLINK__" hidden="1">{"fdsup://directions/FAT Viewer?action=UPDATE&amp;creator=factset&amp;DYN_ARGS=TRUE&amp;DOC_NAME=FAT:FQL_AUDITING_CLIENT_TEMPLATE.FAT&amp;display_string=Audit&amp;VAR:KEY=LWBGFYRWXG&amp;VAR:QUERY=RkZfRElWX1lMRChBTk4sMy8xMi8wOSwzLzEyLzA5KQ==&amp;WINDOW=FIRST_POPUP&amp;HEIGHT=450&amp;WIDTH=450&amp;","START_MAXIMIZED=FALSE&amp;VAR:CALENDAR=US&amp;VAR:SYMBOL=MO&amp;VAR:INDEX=0"}</definedName>
    <definedName name="_631">#REF!</definedName>
    <definedName name="_631__FDSAUDITLINK__" localSheetId="0" hidden="1">{"fdsup://directions/FAT Viewer?action=UPDATE&amp;creator=factset&amp;DYN_ARGS=TRUE&amp;DOC_NAME=FAT:FQL_AUDITING_CLIENT_TEMPLATE.FAT&amp;display_string=Audit&amp;VAR:KEY=PONWJCHENW&amp;VAR:QUERY=RkZfRElWX1lMRChBTk4sMy8wNS8wOSwzLzA1LzA5KQ==&amp;WINDOW=FIRST_POPUP&amp;HEIGHT=450&amp;WIDTH=450&amp;","START_MAXIMIZED=FALSE&amp;VAR:CALENDAR=US&amp;VAR:SYMBOL=MO&amp;VAR:INDEX=0"}</definedName>
    <definedName name="_631__FDSAUDITLINK__" hidden="1">{"fdsup://directions/FAT Viewer?action=UPDATE&amp;creator=factset&amp;DYN_ARGS=TRUE&amp;DOC_NAME=FAT:FQL_AUDITING_CLIENT_TEMPLATE.FAT&amp;display_string=Audit&amp;VAR:KEY=PONWJCHENW&amp;VAR:QUERY=RkZfRElWX1lMRChBTk4sMy8wNS8wOSwzLzA1LzA5KQ==&amp;WINDOW=FIRST_POPUP&amp;HEIGHT=450&amp;WIDTH=450&amp;","START_MAXIMIZED=FALSE&amp;VAR:CALENDAR=US&amp;VAR:SYMBOL=MO&amp;VAR:INDEX=0"}</definedName>
    <definedName name="_632__FDSAUDITLINK__" localSheetId="0" hidden="1">{"fdsup://directions/FAT Viewer?action=UPDATE&amp;creator=factset&amp;DYN_ARGS=TRUE&amp;DOC_NAME=FAT:FQL_AUDITING_CLIENT_TEMPLATE.FAT&amp;display_string=Audit&amp;VAR:KEY=XGXQJMJGZY&amp;VAR:QUERY=RkZfRElWX1lMRChBTk4sMi8yNi8wOSwyLzI2LzA5KQ==&amp;WINDOW=FIRST_POPUP&amp;HEIGHT=450&amp;WIDTH=450&amp;","START_MAXIMIZED=FALSE&amp;VAR:CALENDAR=US&amp;VAR:SYMBOL=MO&amp;VAR:INDEX=0"}</definedName>
    <definedName name="_632__FDSAUDITLINK__" hidden="1">{"fdsup://directions/FAT Viewer?action=UPDATE&amp;creator=factset&amp;DYN_ARGS=TRUE&amp;DOC_NAME=FAT:FQL_AUDITING_CLIENT_TEMPLATE.FAT&amp;display_string=Audit&amp;VAR:KEY=XGXQJMJGZY&amp;VAR:QUERY=RkZfRElWX1lMRChBTk4sMi8yNi8wOSwyLzI2LzA5KQ==&amp;WINDOW=FIRST_POPUP&amp;HEIGHT=450&amp;WIDTH=450&amp;","START_MAXIMIZED=FALSE&amp;VAR:CALENDAR=US&amp;VAR:SYMBOL=MO&amp;VAR:INDEX=0"}</definedName>
    <definedName name="_633__FDSAUDITLINK__" localSheetId="0" hidden="1">{"fdsup://directions/FAT Viewer?action=UPDATE&amp;creator=factset&amp;DYN_ARGS=TRUE&amp;DOC_NAME=FAT:FQL_AUDITING_CLIENT_TEMPLATE.FAT&amp;display_string=Audit&amp;VAR:KEY=PITSXKNAHS&amp;VAR:QUERY=RkZfRElWX1lMRChBTk4sMi8xOS8wOSwyLzE5LzA5KQ==&amp;WINDOW=FIRST_POPUP&amp;HEIGHT=450&amp;WIDTH=450&amp;","START_MAXIMIZED=FALSE&amp;VAR:CALENDAR=US&amp;VAR:SYMBOL=MO&amp;VAR:INDEX=0"}</definedName>
    <definedName name="_633__FDSAUDITLINK__" hidden="1">{"fdsup://directions/FAT Viewer?action=UPDATE&amp;creator=factset&amp;DYN_ARGS=TRUE&amp;DOC_NAME=FAT:FQL_AUDITING_CLIENT_TEMPLATE.FAT&amp;display_string=Audit&amp;VAR:KEY=PITSXKNAHS&amp;VAR:QUERY=RkZfRElWX1lMRChBTk4sMi8xOS8wOSwyLzE5LzA5KQ==&amp;WINDOW=FIRST_POPUP&amp;HEIGHT=450&amp;WIDTH=450&amp;","START_MAXIMIZED=FALSE&amp;VAR:CALENDAR=US&amp;VAR:SYMBOL=MO&amp;VAR:INDEX=0"}</definedName>
    <definedName name="_634__FDSAUDITLINK__" localSheetId="0" hidden="1">{"fdsup://directions/FAT Viewer?action=UPDATE&amp;creator=factset&amp;DYN_ARGS=TRUE&amp;DOC_NAME=FAT:FQL_AUDITING_CLIENT_TEMPLATE.FAT&amp;display_string=Audit&amp;VAR:KEY=XKNOZSPKHK&amp;VAR:QUERY=RkZfRElWX1lMRChBTk4sMi8xMi8wOSwyLzEyLzA5KQ==&amp;WINDOW=FIRST_POPUP&amp;HEIGHT=450&amp;WIDTH=450&amp;","START_MAXIMIZED=FALSE&amp;VAR:CALENDAR=US&amp;VAR:SYMBOL=MO&amp;VAR:INDEX=0"}</definedName>
    <definedName name="_634__FDSAUDITLINK__" hidden="1">{"fdsup://directions/FAT Viewer?action=UPDATE&amp;creator=factset&amp;DYN_ARGS=TRUE&amp;DOC_NAME=FAT:FQL_AUDITING_CLIENT_TEMPLATE.FAT&amp;display_string=Audit&amp;VAR:KEY=XKNOZSPKHK&amp;VAR:QUERY=RkZfRElWX1lMRChBTk4sMi8xMi8wOSwyLzEyLzA5KQ==&amp;WINDOW=FIRST_POPUP&amp;HEIGHT=450&amp;WIDTH=450&amp;","START_MAXIMIZED=FALSE&amp;VAR:CALENDAR=US&amp;VAR:SYMBOL=MO&amp;VAR:INDEX=0"}</definedName>
    <definedName name="_635__FDSAUDITLINK__" localSheetId="0" hidden="1">{"fdsup://directions/FAT Viewer?action=UPDATE&amp;creator=factset&amp;DYN_ARGS=TRUE&amp;DOC_NAME=FAT:FQL_AUDITING_CLIENT_TEMPLATE.FAT&amp;display_string=Audit&amp;VAR:KEY=FCVMPQFIXQ&amp;VAR:QUERY=RkZfRElWX1lMRChBTk4sMi8wNS8wOSwyLzA1LzA5KQ==&amp;WINDOW=FIRST_POPUP&amp;HEIGHT=450&amp;WIDTH=450&amp;","START_MAXIMIZED=FALSE&amp;VAR:CALENDAR=US&amp;VAR:SYMBOL=MO&amp;VAR:INDEX=0"}</definedName>
    <definedName name="_635__FDSAUDITLINK__" hidden="1">{"fdsup://directions/FAT Viewer?action=UPDATE&amp;creator=factset&amp;DYN_ARGS=TRUE&amp;DOC_NAME=FAT:FQL_AUDITING_CLIENT_TEMPLATE.FAT&amp;display_string=Audit&amp;VAR:KEY=FCVMPQFIXQ&amp;VAR:QUERY=RkZfRElWX1lMRChBTk4sMi8wNS8wOSwyLzA1LzA5KQ==&amp;WINDOW=FIRST_POPUP&amp;HEIGHT=450&amp;WIDTH=450&amp;","START_MAXIMIZED=FALSE&amp;VAR:CALENDAR=US&amp;VAR:SYMBOL=MO&amp;VAR:INDEX=0"}</definedName>
    <definedName name="_636">#REF!</definedName>
    <definedName name="_636__FDSAUDITLINK__" localSheetId="0" hidden="1">{"fdsup://directions/FAT Viewer?action=UPDATE&amp;creator=factset&amp;DYN_ARGS=TRUE&amp;DOC_NAME=FAT:FQL_AUDITING_CLIENT_TEMPLATE.FAT&amp;display_string=Audit&amp;VAR:KEY=DMPWLETSPA&amp;VAR:QUERY=RkZfRElWX1lMRChBTk4sMS8yOS8wOSwxLzI5LzA5KQ==&amp;WINDOW=FIRST_POPUP&amp;HEIGHT=450&amp;WIDTH=450&amp;","START_MAXIMIZED=FALSE&amp;VAR:CALENDAR=US&amp;VAR:SYMBOL=MO&amp;VAR:INDEX=0"}</definedName>
    <definedName name="_636__FDSAUDITLINK__" hidden="1">{"fdsup://directions/FAT Viewer?action=UPDATE&amp;creator=factset&amp;DYN_ARGS=TRUE&amp;DOC_NAME=FAT:FQL_AUDITING_CLIENT_TEMPLATE.FAT&amp;display_string=Audit&amp;VAR:KEY=DMPWLETSPA&amp;VAR:QUERY=RkZfRElWX1lMRChBTk4sMS8yOS8wOSwxLzI5LzA5KQ==&amp;WINDOW=FIRST_POPUP&amp;HEIGHT=450&amp;WIDTH=450&amp;","START_MAXIMIZED=FALSE&amp;VAR:CALENDAR=US&amp;VAR:SYMBOL=MO&amp;VAR:INDEX=0"}</definedName>
    <definedName name="_637">#REF!</definedName>
    <definedName name="_637__FDSAUDITLINK__" localSheetId="0" hidden="1">{"fdsup://directions/FAT Viewer?action=UPDATE&amp;creator=factset&amp;DYN_ARGS=TRUE&amp;DOC_NAME=FAT:FQL_AUDITING_CLIENT_TEMPLATE.FAT&amp;display_string=Audit&amp;VAR:KEY=JIXGPUZMVO&amp;VAR:QUERY=RkZfRElWX1lMRChBTk4sMS8yMi8wOSwxLzIyLzA5KQ==&amp;WINDOW=FIRST_POPUP&amp;HEIGHT=450&amp;WIDTH=450&amp;","START_MAXIMIZED=FALSE&amp;VAR:CALENDAR=US&amp;VAR:SYMBOL=MO&amp;VAR:INDEX=0"}</definedName>
    <definedName name="_637__FDSAUDITLINK__" hidden="1">{"fdsup://directions/FAT Viewer?action=UPDATE&amp;creator=factset&amp;DYN_ARGS=TRUE&amp;DOC_NAME=FAT:FQL_AUDITING_CLIENT_TEMPLATE.FAT&amp;display_string=Audit&amp;VAR:KEY=JIXGPUZMVO&amp;VAR:QUERY=RkZfRElWX1lMRChBTk4sMS8yMi8wOSwxLzIyLzA5KQ==&amp;WINDOW=FIRST_POPUP&amp;HEIGHT=450&amp;WIDTH=450&amp;","START_MAXIMIZED=FALSE&amp;VAR:CALENDAR=US&amp;VAR:SYMBOL=MO&amp;VAR:INDEX=0"}</definedName>
    <definedName name="_638">#REF!</definedName>
    <definedName name="_638__FDSAUDITLINK__" localSheetId="0" hidden="1">{"fdsup://directions/FAT Viewer?action=UPDATE&amp;creator=factset&amp;DYN_ARGS=TRUE&amp;DOC_NAME=FAT:FQL_AUDITING_CLIENT_TEMPLATE.FAT&amp;display_string=Audit&amp;VAR:KEY=TIVOBMDWLA&amp;VAR:QUERY=RkZfRElWX1lMRChBTk4sMS8xNS8wOSwxLzE1LzA5KQ==&amp;WINDOW=FIRST_POPUP&amp;HEIGHT=450&amp;WIDTH=450&amp;","START_MAXIMIZED=FALSE&amp;VAR:CALENDAR=US&amp;VAR:SYMBOL=MO&amp;VAR:INDEX=0"}</definedName>
    <definedName name="_638__FDSAUDITLINK__" hidden="1">{"fdsup://directions/FAT Viewer?action=UPDATE&amp;creator=factset&amp;DYN_ARGS=TRUE&amp;DOC_NAME=FAT:FQL_AUDITING_CLIENT_TEMPLATE.FAT&amp;display_string=Audit&amp;VAR:KEY=TIVOBMDWLA&amp;VAR:QUERY=RkZfRElWX1lMRChBTk4sMS8xNS8wOSwxLzE1LzA5KQ==&amp;WINDOW=FIRST_POPUP&amp;HEIGHT=450&amp;WIDTH=450&amp;","START_MAXIMIZED=FALSE&amp;VAR:CALENDAR=US&amp;VAR:SYMBOL=MO&amp;VAR:INDEX=0"}</definedName>
    <definedName name="_639">#REF!</definedName>
    <definedName name="_639__FDSAUDITLINK__" localSheetId="0" hidden="1">{"fdsup://directions/FAT Viewer?action=UPDATE&amp;creator=factset&amp;DYN_ARGS=TRUE&amp;DOC_NAME=FAT:FQL_AUDITING_CLIENT_TEMPLATE.FAT&amp;display_string=Audit&amp;VAR:KEY=NMNKDWXKHQ&amp;VAR:QUERY=RkZfRElWX1lMRChBTk4sMS8wOC8wOSwxLzA4LzA5KQ==&amp;WINDOW=FIRST_POPUP&amp;HEIGHT=450&amp;WIDTH=450&amp;","START_MAXIMIZED=FALSE&amp;VAR:CALENDAR=US&amp;VAR:SYMBOL=MO&amp;VAR:INDEX=0"}</definedName>
    <definedName name="_639__FDSAUDITLINK__" hidden="1">{"fdsup://directions/FAT Viewer?action=UPDATE&amp;creator=factset&amp;DYN_ARGS=TRUE&amp;DOC_NAME=FAT:FQL_AUDITING_CLIENT_TEMPLATE.FAT&amp;display_string=Audit&amp;VAR:KEY=NMNKDWXKHQ&amp;VAR:QUERY=RkZfRElWX1lMRChBTk4sMS8wOC8wOSwxLzA4LzA5KQ==&amp;WINDOW=FIRST_POPUP&amp;HEIGHT=450&amp;WIDTH=450&amp;","START_MAXIMIZED=FALSE&amp;VAR:CALENDAR=US&amp;VAR:SYMBOL=MO&amp;VAR:INDEX=0"}</definedName>
    <definedName name="_64">#REF!</definedName>
    <definedName name="_64_??1???_3">#REF!</definedName>
    <definedName name="_64__123Graph_CSUPPLIES_BY_B_U">#REF!</definedName>
    <definedName name="_64__123Graph_XQRE_S_BY_CO.">#REF!</definedName>
    <definedName name="_64__123Graph_XQRE_S_BY_TYPE">#REF!</definedName>
    <definedName name="_64__FDSAUDITLINK__" localSheetId="0" hidden="1">{"fdsup://directions/FAT Viewer?action=UPDATE&amp;creator=factset&amp;DYN_ARGS=TRUE&amp;DOC_NAME=FAT:FQL_AUDITING_CLIENT_TEMPLATE.FAT&amp;display_string=Audit&amp;VAR:KEY=YPCNGPMPGX&amp;VAR:QUERY=RkZfREVCVChBTk4sMCwsLCxVU0Qp&amp;WINDOW=FIRST_POPUP&amp;HEIGHT=450&amp;WIDTH=450&amp;START_MAXIMIZED=","FALSE&amp;VAR:CALENDAR=US&amp;VAR:SYMBOL=647453&amp;VAR:INDEX=0"}</definedName>
    <definedName name="_64__FDSAUDITLINK__" hidden="1">{"fdsup://directions/FAT Viewer?action=UPDATE&amp;creator=factset&amp;DYN_ARGS=TRUE&amp;DOC_NAME=FAT:FQL_AUDITING_CLIENT_TEMPLATE.FAT&amp;display_string=Audit&amp;VAR:KEY=YPCNGPMPGX&amp;VAR:QUERY=RkZfREVCVChBTk4sMCwsLCxVU0Qp&amp;WINDOW=FIRST_POPUP&amp;HEIGHT=450&amp;WIDTH=450&amp;START_MAXIMIZED=","FALSE&amp;VAR:CALENDAR=US&amp;VAR:SYMBOL=647453&amp;VAR:INDEX=0"}</definedName>
    <definedName name="_64__NOTE5_7">#REF!</definedName>
    <definedName name="_64_0_Table2_" hidden="1">#REF!</definedName>
    <definedName name="_640__FDSAUDITLINK__" localSheetId="0" hidden="1">{"fdsup://directions/FAT Viewer?action=UPDATE&amp;creator=factset&amp;DYN_ARGS=TRUE&amp;DOC_NAME=FAT:FQL_AUDITING_CLIENT_TEMPLATE.FAT&amp;display_string=Audit&amp;VAR:KEY=NMZUDOJKTM&amp;VAR:QUERY=RkZfRElWX1lMRChBTk4sMTIvMzEvMDgsMTIvMzEvMDgp&amp;WINDOW=FIRST_POPUP&amp;HEIGHT=450&amp;WIDTH=450&amp;","START_MAXIMIZED=FALSE&amp;VAR:CALENDAR=US&amp;VAR:SYMBOL=MO&amp;VAR:INDEX=0"}</definedName>
    <definedName name="_640__FDSAUDITLINK__" hidden="1">{"fdsup://directions/FAT Viewer?action=UPDATE&amp;creator=factset&amp;DYN_ARGS=TRUE&amp;DOC_NAME=FAT:FQL_AUDITING_CLIENT_TEMPLATE.FAT&amp;display_string=Audit&amp;VAR:KEY=NMZUDOJKTM&amp;VAR:QUERY=RkZfRElWX1lMRChBTk4sMTIvMzEvMDgsMTIvMzEvMDgp&amp;WINDOW=FIRST_POPUP&amp;HEIGHT=450&amp;WIDTH=450&amp;","START_MAXIMIZED=FALSE&amp;VAR:CALENDAR=US&amp;VAR:SYMBOL=MO&amp;VAR:INDEX=0"}</definedName>
    <definedName name="_641">#REF!</definedName>
    <definedName name="_641__FDSAUDITLINK__" localSheetId="0" hidden="1">{"fdsup://directions/FAT Viewer?action=UPDATE&amp;creator=factset&amp;DYN_ARGS=TRUE&amp;DOC_NAME=FAT:FQL_AUDITING_CLIENT_TEMPLATE.FAT&amp;display_string=Audit&amp;VAR:KEY=XWPAJSPGHQ&amp;VAR:QUERY=RkZfRElWX1lMRChBTk4sMTIvMjQvMDgsMTIvMjQvMDgp&amp;WINDOW=FIRST_POPUP&amp;HEIGHT=450&amp;WIDTH=450&amp;","START_MAXIMIZED=FALSE&amp;VAR:CALENDAR=US&amp;VAR:SYMBOL=MO&amp;VAR:INDEX=0"}</definedName>
    <definedName name="_641__FDSAUDITLINK__" hidden="1">{"fdsup://directions/FAT Viewer?action=UPDATE&amp;creator=factset&amp;DYN_ARGS=TRUE&amp;DOC_NAME=FAT:FQL_AUDITING_CLIENT_TEMPLATE.FAT&amp;display_string=Audit&amp;VAR:KEY=XWPAJSPGHQ&amp;VAR:QUERY=RkZfRElWX1lMRChBTk4sMTIvMjQvMDgsMTIvMjQvMDgp&amp;WINDOW=FIRST_POPUP&amp;HEIGHT=450&amp;WIDTH=450&amp;","START_MAXIMIZED=FALSE&amp;VAR:CALENDAR=US&amp;VAR:SYMBOL=MO&amp;VAR:INDEX=0"}</definedName>
    <definedName name="_642">#REF!</definedName>
    <definedName name="_642__FDSAUDITLINK__" localSheetId="0" hidden="1">{"fdsup://directions/FAT Viewer?action=UPDATE&amp;creator=factset&amp;DYN_ARGS=TRUE&amp;DOC_NAME=FAT:FQL_AUDITING_CLIENT_TEMPLATE.FAT&amp;display_string=Audit&amp;VAR:KEY=FUZMXYHALQ&amp;VAR:QUERY=RkZfRElWX1lMRChBTk4sMTIvMTgvMDgsMTIvMTgvMDgp&amp;WINDOW=FIRST_POPUP&amp;HEIGHT=450&amp;WIDTH=450&amp;","START_MAXIMIZED=FALSE&amp;VAR:CALENDAR=US&amp;VAR:SYMBOL=MO&amp;VAR:INDEX=0"}</definedName>
    <definedName name="_642__FDSAUDITLINK__" hidden="1">{"fdsup://directions/FAT Viewer?action=UPDATE&amp;creator=factset&amp;DYN_ARGS=TRUE&amp;DOC_NAME=FAT:FQL_AUDITING_CLIENT_TEMPLATE.FAT&amp;display_string=Audit&amp;VAR:KEY=FUZMXYHALQ&amp;VAR:QUERY=RkZfRElWX1lMRChBTk4sMTIvMTgvMDgsMTIvMTgvMDgp&amp;WINDOW=FIRST_POPUP&amp;HEIGHT=450&amp;WIDTH=450&amp;","START_MAXIMIZED=FALSE&amp;VAR:CALENDAR=US&amp;VAR:SYMBOL=MO&amp;VAR:INDEX=0"}</definedName>
    <definedName name="_643">#REF!</definedName>
    <definedName name="_643__FDSAUDITLINK__" localSheetId="0" hidden="1">{"fdsup://directions/FAT Viewer?action=UPDATE&amp;creator=factset&amp;DYN_ARGS=TRUE&amp;DOC_NAME=FAT:FQL_AUDITING_CLIENT_TEMPLATE.FAT&amp;display_string=Audit&amp;VAR:KEY=NWRIPOJOFQ&amp;VAR:QUERY=RkZfRElWX1lMRChBTk4sMTIvMTEvMDgsMTIvMTEvMDgp&amp;WINDOW=FIRST_POPUP&amp;HEIGHT=450&amp;WIDTH=450&amp;","START_MAXIMIZED=FALSE&amp;VAR:CALENDAR=US&amp;VAR:SYMBOL=MO&amp;VAR:INDEX=0"}</definedName>
    <definedName name="_643__FDSAUDITLINK__" hidden="1">{"fdsup://directions/FAT Viewer?action=UPDATE&amp;creator=factset&amp;DYN_ARGS=TRUE&amp;DOC_NAME=FAT:FQL_AUDITING_CLIENT_TEMPLATE.FAT&amp;display_string=Audit&amp;VAR:KEY=NWRIPOJOFQ&amp;VAR:QUERY=RkZfRElWX1lMRChBTk4sMTIvMTEvMDgsMTIvMTEvMDgp&amp;WINDOW=FIRST_POPUP&amp;HEIGHT=450&amp;WIDTH=450&amp;","START_MAXIMIZED=FALSE&amp;VAR:CALENDAR=US&amp;VAR:SYMBOL=MO&amp;VAR:INDEX=0"}</definedName>
    <definedName name="_644">#REF!</definedName>
    <definedName name="_644__FDSAUDITLINK__" localSheetId="0" hidden="1">{"fdsup://directions/FAT Viewer?action=UPDATE&amp;creator=factset&amp;DYN_ARGS=TRUE&amp;DOC_NAME=FAT:FQL_AUDITING_CLIENT_TEMPLATE.FAT&amp;display_string=Audit&amp;VAR:KEY=JYBUTMFKPQ&amp;VAR:QUERY=RkZfRElWX1lMRChBTk4sMTIvMDQvMDgsMTIvMDQvMDgp&amp;WINDOW=FIRST_POPUP&amp;HEIGHT=450&amp;WIDTH=450&amp;","START_MAXIMIZED=FALSE&amp;VAR:CALENDAR=US&amp;VAR:SYMBOL=MO&amp;VAR:INDEX=0"}</definedName>
    <definedName name="_644__FDSAUDITLINK__" hidden="1">{"fdsup://directions/FAT Viewer?action=UPDATE&amp;creator=factset&amp;DYN_ARGS=TRUE&amp;DOC_NAME=FAT:FQL_AUDITING_CLIENT_TEMPLATE.FAT&amp;display_string=Audit&amp;VAR:KEY=JYBUTMFKPQ&amp;VAR:QUERY=RkZfRElWX1lMRChBTk4sMTIvMDQvMDgsMTIvMDQvMDgp&amp;WINDOW=FIRST_POPUP&amp;HEIGHT=450&amp;WIDTH=450&amp;","START_MAXIMIZED=FALSE&amp;VAR:CALENDAR=US&amp;VAR:SYMBOL=MO&amp;VAR:INDEX=0"}</definedName>
    <definedName name="_645">#REF!</definedName>
    <definedName name="_645__FDSAUDITLINK__" localSheetId="0" hidden="1">{"fdsup://directions/FAT Viewer?action=UPDATE&amp;creator=factset&amp;DYN_ARGS=TRUE&amp;DOC_NAME=FAT:FQL_AUDITING_CLIENT_TEMPLATE.FAT&amp;display_string=Audit&amp;VAR:KEY=BYFMVORAPM&amp;VAR:QUERY=RkZfRElWX1lMRChBTk4sMTEvMjYvMDgsMTEvMjYvMDgp&amp;WINDOW=FIRST_POPUP&amp;HEIGHT=450&amp;WIDTH=450&amp;","START_MAXIMIZED=FALSE&amp;VAR:CALENDAR=US&amp;VAR:SYMBOL=MO&amp;VAR:INDEX=0"}</definedName>
    <definedName name="_645__FDSAUDITLINK__" hidden="1">{"fdsup://directions/FAT Viewer?action=UPDATE&amp;creator=factset&amp;DYN_ARGS=TRUE&amp;DOC_NAME=FAT:FQL_AUDITING_CLIENT_TEMPLATE.FAT&amp;display_string=Audit&amp;VAR:KEY=BYFMVORAPM&amp;VAR:QUERY=RkZfRElWX1lMRChBTk4sMTEvMjYvMDgsMTEvMjYvMDgp&amp;WINDOW=FIRST_POPUP&amp;HEIGHT=450&amp;WIDTH=450&amp;","START_MAXIMIZED=FALSE&amp;VAR:CALENDAR=US&amp;VAR:SYMBOL=MO&amp;VAR:INDEX=0"}</definedName>
    <definedName name="_646">#REF!</definedName>
    <definedName name="_646__FDSAUDITLINK__" localSheetId="0" hidden="1">{"fdsup://directions/FAT Viewer?action=UPDATE&amp;creator=factset&amp;DYN_ARGS=TRUE&amp;DOC_NAME=FAT:FQL_AUDITING_CLIENT_TEMPLATE.FAT&amp;display_string=Audit&amp;VAR:KEY=NSDYLGDQBU&amp;VAR:QUERY=RkZfRElWX1lMRChBTk4sMTEvMjAvMDgsMTEvMjAvMDgp&amp;WINDOW=FIRST_POPUP&amp;HEIGHT=450&amp;WIDTH=450&amp;","START_MAXIMIZED=FALSE&amp;VAR:CALENDAR=US&amp;VAR:SYMBOL=MO&amp;VAR:INDEX=0"}</definedName>
    <definedName name="_646__FDSAUDITLINK__" hidden="1">{"fdsup://directions/FAT Viewer?action=UPDATE&amp;creator=factset&amp;DYN_ARGS=TRUE&amp;DOC_NAME=FAT:FQL_AUDITING_CLIENT_TEMPLATE.FAT&amp;display_string=Audit&amp;VAR:KEY=NSDYLGDQBU&amp;VAR:QUERY=RkZfRElWX1lMRChBTk4sMTEvMjAvMDgsMTEvMjAvMDgp&amp;WINDOW=FIRST_POPUP&amp;HEIGHT=450&amp;WIDTH=450&amp;","START_MAXIMIZED=FALSE&amp;VAR:CALENDAR=US&amp;VAR:SYMBOL=MO&amp;VAR:INDEX=0"}</definedName>
    <definedName name="_647">#REF!</definedName>
    <definedName name="_647__FDSAUDITLINK__" localSheetId="0" hidden="1">{"fdsup://directions/FAT Viewer?action=UPDATE&amp;creator=factset&amp;DYN_ARGS=TRUE&amp;DOC_NAME=FAT:FQL_AUDITING_CLIENT_TEMPLATE.FAT&amp;display_string=Audit&amp;VAR:KEY=HENUBSDSXG&amp;VAR:QUERY=RkZfRElWX1lMRChBTk4sMTEvMTMvMDgsMTEvMTMvMDgp&amp;WINDOW=FIRST_POPUP&amp;HEIGHT=450&amp;WIDTH=450&amp;","START_MAXIMIZED=FALSE&amp;VAR:CALENDAR=US&amp;VAR:SYMBOL=MO&amp;VAR:INDEX=0"}</definedName>
    <definedName name="_647__FDSAUDITLINK__" hidden="1">{"fdsup://directions/FAT Viewer?action=UPDATE&amp;creator=factset&amp;DYN_ARGS=TRUE&amp;DOC_NAME=FAT:FQL_AUDITING_CLIENT_TEMPLATE.FAT&amp;display_string=Audit&amp;VAR:KEY=HENUBSDSXG&amp;VAR:QUERY=RkZfRElWX1lMRChBTk4sMTEvMTMvMDgsMTEvMTMvMDgp&amp;WINDOW=FIRST_POPUP&amp;HEIGHT=450&amp;WIDTH=450&amp;","START_MAXIMIZED=FALSE&amp;VAR:CALENDAR=US&amp;VAR:SYMBOL=MO&amp;VAR:INDEX=0"}</definedName>
    <definedName name="_648">#REF!</definedName>
    <definedName name="_648__FDSAUDITLINK__" localSheetId="0" hidden="1">{"fdsup://directions/FAT Viewer?action=UPDATE&amp;creator=factset&amp;DYN_ARGS=TRUE&amp;DOC_NAME=FAT:FQL_AUDITING_CLIENT_TEMPLATE.FAT&amp;display_string=Audit&amp;VAR:KEY=BQPGNCXMPU&amp;VAR:QUERY=RkZfRElWX1lMRChBTk4sMTEvMDYvMDgsMTEvMDYvMDgp&amp;WINDOW=FIRST_POPUP&amp;HEIGHT=450&amp;WIDTH=450&amp;","START_MAXIMIZED=FALSE&amp;VAR:CALENDAR=US&amp;VAR:SYMBOL=MO&amp;VAR:INDEX=0"}</definedName>
    <definedName name="_648__FDSAUDITLINK__" hidden="1">{"fdsup://directions/FAT Viewer?action=UPDATE&amp;creator=factset&amp;DYN_ARGS=TRUE&amp;DOC_NAME=FAT:FQL_AUDITING_CLIENT_TEMPLATE.FAT&amp;display_string=Audit&amp;VAR:KEY=BQPGNCXMPU&amp;VAR:QUERY=RkZfRElWX1lMRChBTk4sMTEvMDYvMDgsMTEvMDYvMDgp&amp;WINDOW=FIRST_POPUP&amp;HEIGHT=450&amp;WIDTH=450&amp;","START_MAXIMIZED=FALSE&amp;VAR:CALENDAR=US&amp;VAR:SYMBOL=MO&amp;VAR:INDEX=0"}</definedName>
    <definedName name="_649">#REF!</definedName>
    <definedName name="_649__FDSAUDITLINK__" localSheetId="0" hidden="1">{"fdsup://directions/FAT Viewer?action=UPDATE&amp;creator=factset&amp;DYN_ARGS=TRUE&amp;DOC_NAME=FAT:FQL_AUDITING_CLIENT_TEMPLATE.FAT&amp;display_string=Audit&amp;VAR:KEY=BEDSDWZGXM&amp;VAR:QUERY=RkZfRElWX1lMRChBTk4sMTAvMzAvMDgsMTAvMzAvMDgp&amp;WINDOW=FIRST_POPUP&amp;HEIGHT=450&amp;WIDTH=450&amp;","START_MAXIMIZED=FALSE&amp;VAR:CALENDAR=US&amp;VAR:SYMBOL=MO&amp;VAR:INDEX=0"}</definedName>
    <definedName name="_649__FDSAUDITLINK__" hidden="1">{"fdsup://directions/FAT Viewer?action=UPDATE&amp;creator=factset&amp;DYN_ARGS=TRUE&amp;DOC_NAME=FAT:FQL_AUDITING_CLIENT_TEMPLATE.FAT&amp;display_string=Audit&amp;VAR:KEY=BEDSDWZGXM&amp;VAR:QUERY=RkZfRElWX1lMRChBTk4sMTAvMzAvMDgsMTAvMzAvMDgp&amp;WINDOW=FIRST_POPUP&amp;HEIGHT=450&amp;WIDTH=450&amp;","START_MAXIMIZED=FALSE&amp;VAR:CALENDAR=US&amp;VAR:SYMBOL=MO&amp;VAR:INDEX=0"}</definedName>
    <definedName name="_64main_form_account_grants_list_4_j_id1022">#REF!</definedName>
    <definedName name="_65">#REF!</definedName>
    <definedName name="_65__123Graph_CCHART_3">#REF!</definedName>
    <definedName name="_65__123Graph_XCHART_3">#REF!</definedName>
    <definedName name="_65__123Graph_XQRE_S_BY_CO.">#REF!</definedName>
    <definedName name="_65__123Graph_XQRE_S_BY_TYPE">#REF!</definedName>
    <definedName name="_65__FDSAUDITLINK__" localSheetId="0" hidden="1">{"fdsup://directions/FAT Viewer?action=UPDATE&amp;creator=factset&amp;DYN_ARGS=TRUE&amp;DOC_NAME=FAT:FQL_AUDITING_CLIENT_TEMPLATE.FAT&amp;display_string=Audit&amp;VAR:KEY=RYNUZULSNY&amp;VAR:QUERY=QVZHKEZGX0RJVl9ZTEQoQU5OLDQwOTk0LC0xMEFZKSk=&amp;WINDOW=FIRST_POPUP&amp;HEIGHT=450&amp;WIDTH=450&amp;","START_MAXIMIZED=FALSE&amp;VAR:CALENDAR=US&amp;VAR:SYMBOL=LO"}</definedName>
    <definedName name="_65__FDSAUDITLINK__" hidden="1">{"fdsup://directions/FAT Viewer?action=UPDATE&amp;creator=factset&amp;DYN_ARGS=TRUE&amp;DOC_NAME=FAT:FQL_AUDITING_CLIENT_TEMPLATE.FAT&amp;display_string=Audit&amp;VAR:KEY=RYNUZULSNY&amp;VAR:QUERY=QVZHKEZGX0RJVl9ZTEQoQU5OLDQwOTk0LC0xMEFZKSk=&amp;WINDOW=FIRST_POPUP&amp;HEIGHT=450&amp;WIDTH=450&amp;","START_MAXIMIZED=FALSE&amp;VAR:CALENDAR=US&amp;VAR:SYMBOL=LO"}</definedName>
    <definedName name="_65__NOTE8_9">#REF!</definedName>
    <definedName name="_65_0_Table2_" hidden="1">#REF!</definedName>
    <definedName name="_650">#REF!</definedName>
    <definedName name="_650__FDSAUDITLINK__" localSheetId="0" hidden="1">{"fdsup://directions/FAT Viewer?action=UPDATE&amp;creator=factset&amp;DYN_ARGS=TRUE&amp;DOC_NAME=FAT:FQL_AUDITING_CLIENT_TEMPLATE.FAT&amp;display_string=Audit&amp;VAR:KEY=ZMRGNCHMDE&amp;VAR:QUERY=RkZfRElWX1lMRChBTk4sMTAvMjMvMDgsMTAvMjMvMDgp&amp;WINDOW=FIRST_POPUP&amp;HEIGHT=450&amp;WIDTH=450&amp;","START_MAXIMIZED=FALSE&amp;VAR:CALENDAR=US&amp;VAR:SYMBOL=MO&amp;VAR:INDEX=0"}</definedName>
    <definedName name="_650__FDSAUDITLINK__" hidden="1">{"fdsup://directions/FAT Viewer?action=UPDATE&amp;creator=factset&amp;DYN_ARGS=TRUE&amp;DOC_NAME=FAT:FQL_AUDITING_CLIENT_TEMPLATE.FAT&amp;display_string=Audit&amp;VAR:KEY=ZMRGNCHMDE&amp;VAR:QUERY=RkZfRElWX1lMRChBTk4sMTAvMjMvMDgsMTAvMjMvMDgp&amp;WINDOW=FIRST_POPUP&amp;HEIGHT=450&amp;WIDTH=450&amp;","START_MAXIMIZED=FALSE&amp;VAR:CALENDAR=US&amp;VAR:SYMBOL=MO&amp;VAR:INDEX=0"}</definedName>
    <definedName name="_651">#REF!</definedName>
    <definedName name="_651__FDSAUDITLINK__" localSheetId="0" hidden="1">{"fdsup://directions/FAT Viewer?action=UPDATE&amp;creator=factset&amp;DYN_ARGS=TRUE&amp;DOC_NAME=FAT:FQL_AUDITING_CLIENT_TEMPLATE.FAT&amp;display_string=Audit&amp;VAR:KEY=FMTMDEJURY&amp;VAR:QUERY=RkZfRElWX1lMRChBTk4sMTAvMTYvMDgsMTAvMTYvMDgp&amp;WINDOW=FIRST_POPUP&amp;HEIGHT=450&amp;WIDTH=450&amp;","START_MAXIMIZED=FALSE&amp;VAR:CALENDAR=US&amp;VAR:SYMBOL=MO&amp;VAR:INDEX=0"}</definedName>
    <definedName name="_651__FDSAUDITLINK__" hidden="1">{"fdsup://directions/FAT Viewer?action=UPDATE&amp;creator=factset&amp;DYN_ARGS=TRUE&amp;DOC_NAME=FAT:FQL_AUDITING_CLIENT_TEMPLATE.FAT&amp;display_string=Audit&amp;VAR:KEY=FMTMDEJURY&amp;VAR:QUERY=RkZfRElWX1lMRChBTk4sMTAvMTYvMDgsMTAvMTYvMDgp&amp;WINDOW=FIRST_POPUP&amp;HEIGHT=450&amp;WIDTH=450&amp;","START_MAXIMIZED=FALSE&amp;VAR:CALENDAR=US&amp;VAR:SYMBOL=MO&amp;VAR:INDEX=0"}</definedName>
    <definedName name="_652">#REF!</definedName>
    <definedName name="_652__FDSAUDITLINK__" localSheetId="0" hidden="1">{"fdsup://directions/FAT Viewer?action=UPDATE&amp;creator=factset&amp;DYN_ARGS=TRUE&amp;DOC_NAME=FAT:FQL_AUDITING_CLIENT_TEMPLATE.FAT&amp;display_string=Audit&amp;VAR:KEY=NIXETOXUPK&amp;VAR:QUERY=RkZfRElWX1lMRChBTk4sMTAvMDkvMDgsMTAvMDkvMDgp&amp;WINDOW=FIRST_POPUP&amp;HEIGHT=450&amp;WIDTH=450&amp;","START_MAXIMIZED=FALSE&amp;VAR:CALENDAR=US&amp;VAR:SYMBOL=MO&amp;VAR:INDEX=0"}</definedName>
    <definedName name="_652__FDSAUDITLINK__" hidden="1">{"fdsup://directions/FAT Viewer?action=UPDATE&amp;creator=factset&amp;DYN_ARGS=TRUE&amp;DOC_NAME=FAT:FQL_AUDITING_CLIENT_TEMPLATE.FAT&amp;display_string=Audit&amp;VAR:KEY=NIXETOXUPK&amp;VAR:QUERY=RkZfRElWX1lMRChBTk4sMTAvMDkvMDgsMTAvMDkvMDgp&amp;WINDOW=FIRST_POPUP&amp;HEIGHT=450&amp;WIDTH=450&amp;","START_MAXIMIZED=FALSE&amp;VAR:CALENDAR=US&amp;VAR:SYMBOL=MO&amp;VAR:INDEX=0"}</definedName>
    <definedName name="_653">#REF!</definedName>
    <definedName name="_653__FDSAUDITLINK__" localSheetId="0" hidden="1">{"fdsup://directions/FAT Viewer?action=UPDATE&amp;creator=factset&amp;DYN_ARGS=TRUE&amp;DOC_NAME=FAT:FQL_AUDITING_CLIENT_TEMPLATE.FAT&amp;display_string=Audit&amp;VAR:KEY=NMPCJCNCPI&amp;VAR:QUERY=RkZfRElWX1lMRChBTk4sMTAvMDIvMDgsMTAvMDIvMDgp&amp;WINDOW=FIRST_POPUP&amp;HEIGHT=450&amp;WIDTH=450&amp;","START_MAXIMIZED=FALSE&amp;VAR:CALENDAR=US&amp;VAR:SYMBOL=MO&amp;VAR:INDEX=0"}</definedName>
    <definedName name="_653__FDSAUDITLINK__" hidden="1">{"fdsup://directions/FAT Viewer?action=UPDATE&amp;creator=factset&amp;DYN_ARGS=TRUE&amp;DOC_NAME=FAT:FQL_AUDITING_CLIENT_TEMPLATE.FAT&amp;display_string=Audit&amp;VAR:KEY=NMPCJCNCPI&amp;VAR:QUERY=RkZfRElWX1lMRChBTk4sMTAvMDIvMDgsMTAvMDIvMDgp&amp;WINDOW=FIRST_POPUP&amp;HEIGHT=450&amp;WIDTH=450&amp;","START_MAXIMIZED=FALSE&amp;VAR:CALENDAR=US&amp;VAR:SYMBOL=MO&amp;VAR:INDEX=0"}</definedName>
    <definedName name="_654">#REF!</definedName>
    <definedName name="_654__FDSAUDITLINK__" localSheetId="0" hidden="1">{"fdsup://directions/FAT Viewer?action=UPDATE&amp;creator=factset&amp;DYN_ARGS=TRUE&amp;DOC_NAME=FAT:FQL_AUDITING_CLIENT_TEMPLATE.FAT&amp;display_string=Audit&amp;VAR:KEY=HMBWXYTSXU&amp;VAR:QUERY=RkZfRElWX1lMRChBTk4sOS8yNS8wOCw5LzI1LzA4KQ==&amp;WINDOW=FIRST_POPUP&amp;HEIGHT=450&amp;WIDTH=450&amp;","START_MAXIMIZED=FALSE&amp;VAR:CALENDAR=US&amp;VAR:SYMBOL=MO&amp;VAR:INDEX=0"}</definedName>
    <definedName name="_654__FDSAUDITLINK__" hidden="1">{"fdsup://directions/FAT Viewer?action=UPDATE&amp;creator=factset&amp;DYN_ARGS=TRUE&amp;DOC_NAME=FAT:FQL_AUDITING_CLIENT_TEMPLATE.FAT&amp;display_string=Audit&amp;VAR:KEY=HMBWXYTSXU&amp;VAR:QUERY=RkZfRElWX1lMRChBTk4sOS8yNS8wOCw5LzI1LzA4KQ==&amp;WINDOW=FIRST_POPUP&amp;HEIGHT=450&amp;WIDTH=450&amp;","START_MAXIMIZED=FALSE&amp;VAR:CALENDAR=US&amp;VAR:SYMBOL=MO&amp;VAR:INDEX=0"}</definedName>
    <definedName name="_655">#REF!</definedName>
    <definedName name="_655__FDSAUDITLINK__" localSheetId="0" hidden="1">{"fdsup://directions/FAT Viewer?action=UPDATE&amp;creator=factset&amp;DYN_ARGS=TRUE&amp;DOC_NAME=FAT:FQL_AUDITING_CLIENT_TEMPLATE.FAT&amp;display_string=Audit&amp;VAR:KEY=PENGHUBOVU&amp;VAR:QUERY=RkZfRElWX1lMRChBTk4sOS8xOC8wOCw5LzE4LzA4KQ==&amp;WINDOW=FIRST_POPUP&amp;HEIGHT=450&amp;WIDTH=450&amp;","START_MAXIMIZED=FALSE&amp;VAR:CALENDAR=US&amp;VAR:SYMBOL=MO&amp;VAR:INDEX=0"}</definedName>
    <definedName name="_655__FDSAUDITLINK__" hidden="1">{"fdsup://directions/FAT Viewer?action=UPDATE&amp;creator=factset&amp;DYN_ARGS=TRUE&amp;DOC_NAME=FAT:FQL_AUDITING_CLIENT_TEMPLATE.FAT&amp;display_string=Audit&amp;VAR:KEY=PENGHUBOVU&amp;VAR:QUERY=RkZfRElWX1lMRChBTk4sOS8xOC8wOCw5LzE4LzA4KQ==&amp;WINDOW=FIRST_POPUP&amp;HEIGHT=450&amp;WIDTH=450&amp;","START_MAXIMIZED=FALSE&amp;VAR:CALENDAR=US&amp;VAR:SYMBOL=MO&amp;VAR:INDEX=0"}</definedName>
    <definedName name="_656">#REF!</definedName>
    <definedName name="_656__FDSAUDITLINK__" localSheetId="0" hidden="1">{"fdsup://directions/FAT Viewer?action=UPDATE&amp;creator=factset&amp;DYN_ARGS=TRUE&amp;DOC_NAME=FAT:FQL_AUDITING_CLIENT_TEMPLATE.FAT&amp;display_string=Audit&amp;VAR:KEY=HCNQPIFQVC&amp;VAR:QUERY=RkZfRElWX1lMRChBTk4sOS8xMS8wOCw5LzExLzA4KQ==&amp;WINDOW=FIRST_POPUP&amp;HEIGHT=450&amp;WIDTH=450&amp;","START_MAXIMIZED=FALSE&amp;VAR:CALENDAR=US&amp;VAR:SYMBOL=MO&amp;VAR:INDEX=0"}</definedName>
    <definedName name="_656__FDSAUDITLINK__" hidden="1">{"fdsup://directions/FAT Viewer?action=UPDATE&amp;creator=factset&amp;DYN_ARGS=TRUE&amp;DOC_NAME=FAT:FQL_AUDITING_CLIENT_TEMPLATE.FAT&amp;display_string=Audit&amp;VAR:KEY=HCNQPIFQVC&amp;VAR:QUERY=RkZfRElWX1lMRChBTk4sOS8xMS8wOCw5LzExLzA4KQ==&amp;WINDOW=FIRST_POPUP&amp;HEIGHT=450&amp;WIDTH=450&amp;","START_MAXIMIZED=FALSE&amp;VAR:CALENDAR=US&amp;VAR:SYMBOL=MO&amp;VAR:INDEX=0"}</definedName>
    <definedName name="_657">#REF!</definedName>
    <definedName name="_657__FDSAUDITLINK__" localSheetId="0" hidden="1">{"fdsup://directions/FAT Viewer?action=UPDATE&amp;creator=factset&amp;DYN_ARGS=TRUE&amp;DOC_NAME=FAT:FQL_AUDITING_CLIENT_TEMPLATE.FAT&amp;display_string=Audit&amp;VAR:KEY=ZQNYZYXCTM&amp;VAR:QUERY=RkZfRElWX1lMRChBTk4sOS8wNC8wOCw5LzA0LzA4KQ==&amp;WINDOW=FIRST_POPUP&amp;HEIGHT=450&amp;WIDTH=450&amp;","START_MAXIMIZED=FALSE&amp;VAR:CALENDAR=US&amp;VAR:SYMBOL=MO&amp;VAR:INDEX=0"}</definedName>
    <definedName name="_657__FDSAUDITLINK__" hidden="1">{"fdsup://directions/FAT Viewer?action=UPDATE&amp;creator=factset&amp;DYN_ARGS=TRUE&amp;DOC_NAME=FAT:FQL_AUDITING_CLIENT_TEMPLATE.FAT&amp;display_string=Audit&amp;VAR:KEY=ZQNYZYXCTM&amp;VAR:QUERY=RkZfRElWX1lMRChBTk4sOS8wNC8wOCw5LzA0LzA4KQ==&amp;WINDOW=FIRST_POPUP&amp;HEIGHT=450&amp;WIDTH=450&amp;","START_MAXIMIZED=FALSE&amp;VAR:CALENDAR=US&amp;VAR:SYMBOL=MO&amp;VAR:INDEX=0"}</definedName>
    <definedName name="_658">#REF!</definedName>
    <definedName name="_658__FDSAUDITLINK__" localSheetId="0" hidden="1">{"fdsup://directions/FAT Viewer?action=UPDATE&amp;creator=factset&amp;DYN_ARGS=TRUE&amp;DOC_NAME=FAT:FQL_AUDITING_CLIENT_TEMPLATE.FAT&amp;display_string=Audit&amp;VAR:KEY=ZMLGPOJOJS&amp;VAR:QUERY=RkZfRElWX1lMRChBTk4sOC8yOC8wOCw4LzI4LzA4KQ==&amp;WINDOW=FIRST_POPUP&amp;HEIGHT=450&amp;WIDTH=450&amp;","START_MAXIMIZED=FALSE&amp;VAR:CALENDAR=US&amp;VAR:SYMBOL=MO&amp;VAR:INDEX=0"}</definedName>
    <definedName name="_658__FDSAUDITLINK__" hidden="1">{"fdsup://directions/FAT Viewer?action=UPDATE&amp;creator=factset&amp;DYN_ARGS=TRUE&amp;DOC_NAME=FAT:FQL_AUDITING_CLIENT_TEMPLATE.FAT&amp;display_string=Audit&amp;VAR:KEY=ZMLGPOJOJS&amp;VAR:QUERY=RkZfRElWX1lMRChBTk4sOC8yOC8wOCw4LzI4LzA4KQ==&amp;WINDOW=FIRST_POPUP&amp;HEIGHT=450&amp;WIDTH=450&amp;","START_MAXIMIZED=FALSE&amp;VAR:CALENDAR=US&amp;VAR:SYMBOL=MO&amp;VAR:INDEX=0"}</definedName>
    <definedName name="_659">#REF!</definedName>
    <definedName name="_659__FDSAUDITLINK__" localSheetId="0" hidden="1">{"fdsup://directions/FAT Viewer?action=UPDATE&amp;creator=factset&amp;DYN_ARGS=TRUE&amp;DOC_NAME=FAT:FQL_AUDITING_CLIENT_TEMPLATE.FAT&amp;display_string=Audit&amp;VAR:KEY=RATCTCDARW&amp;VAR:QUERY=RkZfRElWX1lMRChBTk4sOC8yMS8wOCw4LzIxLzA4KQ==&amp;WINDOW=FIRST_POPUP&amp;HEIGHT=450&amp;WIDTH=450&amp;","START_MAXIMIZED=FALSE&amp;VAR:CALENDAR=US&amp;VAR:SYMBOL=MO&amp;VAR:INDEX=0"}</definedName>
    <definedName name="_659__FDSAUDITLINK__" hidden="1">{"fdsup://directions/FAT Viewer?action=UPDATE&amp;creator=factset&amp;DYN_ARGS=TRUE&amp;DOC_NAME=FAT:FQL_AUDITING_CLIENT_TEMPLATE.FAT&amp;display_string=Audit&amp;VAR:KEY=RATCTCDARW&amp;VAR:QUERY=RkZfRElWX1lMRChBTk4sOC8yMS8wOCw4LzIxLzA4KQ==&amp;WINDOW=FIRST_POPUP&amp;HEIGHT=450&amp;WIDTH=450&amp;","START_MAXIMIZED=FALSE&amp;VAR:CALENDAR=US&amp;VAR:SYMBOL=MO&amp;VAR:INDEX=0"}</definedName>
    <definedName name="_66">#REF!</definedName>
    <definedName name="_66__123Graph_BTAX_CREDIT">#REF!</definedName>
    <definedName name="_66__123Graph_CCONTRACT_BY_B_U">#REF!</definedName>
    <definedName name="_66__123Graph_ECONTRACT_BY_B_U">#REF!</definedName>
    <definedName name="_66__123Graph_XSUPPLIES_BY_B_U">#REF!</definedName>
    <definedName name="_66__FDSAUDITLINK__" localSheetId="0" hidden="1">{"fdsup://directions/FAT Viewer?action=UPDATE&amp;creator=factset&amp;DYN_ARGS=TRUE&amp;DOC_NAME=FAT:FQL_AUDITING_CLIENT_TEMPLATE.FAT&amp;display_string=Audit&amp;VAR:KEY=RMJUNITULQ&amp;VAR:QUERY=QVZHKEZGX0RJVl9ZTEQoQU5OLDQwOTk0LC01QVkpKQ==&amp;WINDOW=FIRST_POPUP&amp;HEIGHT=450&amp;WIDTH=450&amp;","START_MAXIMIZED=FALSE&amp;VAR:CALENDAR=US&amp;VAR:SYMBOL=LO"}</definedName>
    <definedName name="_66__FDSAUDITLINK__" hidden="1">{"fdsup://directions/FAT Viewer?action=UPDATE&amp;creator=factset&amp;DYN_ARGS=TRUE&amp;DOC_NAME=FAT:FQL_AUDITING_CLIENT_TEMPLATE.FAT&amp;display_string=Audit&amp;VAR:KEY=RMJUNITULQ&amp;VAR:QUERY=QVZHKEZGX0RJVl9ZTEQoQU5OLDQwOTk0LC01QVkpKQ==&amp;WINDOW=FIRST_POPUP&amp;HEIGHT=450&amp;WIDTH=450&amp;","START_MAXIMIZED=FALSE&amp;VAR:CALENDAR=US&amp;VAR:SYMBOL=LO"}</definedName>
    <definedName name="_66__P_L">#REF!</definedName>
    <definedName name="_66_0_Table2_" hidden="1">#REF!</definedName>
    <definedName name="_660">#REF!</definedName>
    <definedName name="_660__FDSAUDITLINK__" localSheetId="0" hidden="1">{"fdsup://directions/FAT Viewer?action=UPDATE&amp;creator=factset&amp;DYN_ARGS=TRUE&amp;DOC_NAME=FAT:FQL_AUDITING_CLIENT_TEMPLATE.FAT&amp;display_string=Audit&amp;VAR:KEY=VYXWTCZQTE&amp;VAR:QUERY=RkZfRElWX1lMRChBTk4sOC8xNC8wOCw4LzE0LzA4KQ==&amp;WINDOW=FIRST_POPUP&amp;HEIGHT=450&amp;WIDTH=450&amp;","START_MAXIMIZED=FALSE&amp;VAR:CALENDAR=US&amp;VAR:SYMBOL=MO&amp;VAR:INDEX=0"}</definedName>
    <definedName name="_660__FDSAUDITLINK__" hidden="1">{"fdsup://directions/FAT Viewer?action=UPDATE&amp;creator=factset&amp;DYN_ARGS=TRUE&amp;DOC_NAME=FAT:FQL_AUDITING_CLIENT_TEMPLATE.FAT&amp;display_string=Audit&amp;VAR:KEY=VYXWTCZQTE&amp;VAR:QUERY=RkZfRElWX1lMRChBTk4sOC8xNC8wOCw4LzE0LzA4KQ==&amp;WINDOW=FIRST_POPUP&amp;HEIGHT=450&amp;WIDTH=450&amp;","START_MAXIMIZED=FALSE&amp;VAR:CALENDAR=US&amp;VAR:SYMBOL=MO&amp;VAR:INDEX=0"}</definedName>
    <definedName name="_661__FDSAUDITLINK__" localSheetId="0" hidden="1">{"fdsup://directions/FAT Viewer?action=UPDATE&amp;creator=factset&amp;DYN_ARGS=TRUE&amp;DOC_NAME=FAT:FQL_AUDITING_CLIENT_TEMPLATE.FAT&amp;display_string=Audit&amp;VAR:KEY=JWDKNCDIFY&amp;VAR:QUERY=RkZfRElWX1lMRChBTk4sOC8wNy8wOCw4LzA3LzA4KQ==&amp;WINDOW=FIRST_POPUP&amp;HEIGHT=450&amp;WIDTH=450&amp;","START_MAXIMIZED=FALSE&amp;VAR:CALENDAR=US&amp;VAR:SYMBOL=MO&amp;VAR:INDEX=0"}</definedName>
    <definedName name="_661__FDSAUDITLINK__" hidden="1">{"fdsup://directions/FAT Viewer?action=UPDATE&amp;creator=factset&amp;DYN_ARGS=TRUE&amp;DOC_NAME=FAT:FQL_AUDITING_CLIENT_TEMPLATE.FAT&amp;display_string=Audit&amp;VAR:KEY=JWDKNCDIFY&amp;VAR:QUERY=RkZfRElWX1lMRChBTk4sOC8wNy8wOCw4LzA3LzA4KQ==&amp;WINDOW=FIRST_POPUP&amp;HEIGHT=450&amp;WIDTH=450&amp;","START_MAXIMIZED=FALSE&amp;VAR:CALENDAR=US&amp;VAR:SYMBOL=MO&amp;VAR:INDEX=0"}</definedName>
    <definedName name="_662__FDSAUDITLINK__" localSheetId="0" hidden="1">{"fdsup://directions/FAT Viewer?action=UPDATE&amp;creator=factset&amp;DYN_ARGS=TRUE&amp;DOC_NAME=FAT:FQL_AUDITING_CLIENT_TEMPLATE.FAT&amp;display_string=Audit&amp;VAR:KEY=LMBQHKFMJW&amp;VAR:QUERY=RkZfRElWX1lMRChBTk4sNy8zMS8wOCw3LzMxLzA4KQ==&amp;WINDOW=FIRST_POPUP&amp;HEIGHT=450&amp;WIDTH=450&amp;","START_MAXIMIZED=FALSE&amp;VAR:CALENDAR=US&amp;VAR:SYMBOL=MO&amp;VAR:INDEX=0"}</definedName>
    <definedName name="_662__FDSAUDITLINK__" hidden="1">{"fdsup://directions/FAT Viewer?action=UPDATE&amp;creator=factset&amp;DYN_ARGS=TRUE&amp;DOC_NAME=FAT:FQL_AUDITING_CLIENT_TEMPLATE.FAT&amp;display_string=Audit&amp;VAR:KEY=LMBQHKFMJW&amp;VAR:QUERY=RkZfRElWX1lMRChBTk4sNy8zMS8wOCw3LzMxLzA4KQ==&amp;WINDOW=FIRST_POPUP&amp;HEIGHT=450&amp;WIDTH=450&amp;","START_MAXIMIZED=FALSE&amp;VAR:CALENDAR=US&amp;VAR:SYMBOL=MO&amp;VAR:INDEX=0"}</definedName>
    <definedName name="_663__FDSAUDITLINK__" localSheetId="0" hidden="1">{"fdsup://directions/FAT Viewer?action=UPDATE&amp;creator=factset&amp;DYN_ARGS=TRUE&amp;DOC_NAME=FAT:FQL_AUDITING_CLIENT_TEMPLATE.FAT&amp;display_string=Audit&amp;VAR:KEY=FKVQNQTGPA&amp;VAR:QUERY=RkZfRElWX1lMRChBTk4sNy8yNC8wOCw3LzI0LzA4KQ==&amp;WINDOW=FIRST_POPUP&amp;HEIGHT=450&amp;WIDTH=450&amp;","START_MAXIMIZED=FALSE&amp;VAR:CALENDAR=US&amp;VAR:SYMBOL=MO&amp;VAR:INDEX=0"}</definedName>
    <definedName name="_663__FDSAUDITLINK__" hidden="1">{"fdsup://directions/FAT Viewer?action=UPDATE&amp;creator=factset&amp;DYN_ARGS=TRUE&amp;DOC_NAME=FAT:FQL_AUDITING_CLIENT_TEMPLATE.FAT&amp;display_string=Audit&amp;VAR:KEY=FKVQNQTGPA&amp;VAR:QUERY=RkZfRElWX1lMRChBTk4sNy8yNC8wOCw3LzI0LzA4KQ==&amp;WINDOW=FIRST_POPUP&amp;HEIGHT=450&amp;WIDTH=450&amp;","START_MAXIMIZED=FALSE&amp;VAR:CALENDAR=US&amp;VAR:SYMBOL=MO&amp;VAR:INDEX=0"}</definedName>
    <definedName name="_664__FDSAUDITLINK__" localSheetId="0" hidden="1">{"fdsup://directions/FAT Viewer?action=UPDATE&amp;creator=factset&amp;DYN_ARGS=TRUE&amp;DOC_NAME=FAT:FQL_AUDITING_CLIENT_TEMPLATE.FAT&amp;display_string=Audit&amp;VAR:KEY=VWJWDKDKDO&amp;VAR:QUERY=RkZfRElWX1lMRChBTk4sNy8xNy8wOCw3LzE3LzA4KQ==&amp;WINDOW=FIRST_POPUP&amp;HEIGHT=450&amp;WIDTH=450&amp;","START_MAXIMIZED=FALSE&amp;VAR:CALENDAR=US&amp;VAR:SYMBOL=MO&amp;VAR:INDEX=0"}</definedName>
    <definedName name="_664__FDSAUDITLINK__" hidden="1">{"fdsup://directions/FAT Viewer?action=UPDATE&amp;creator=factset&amp;DYN_ARGS=TRUE&amp;DOC_NAME=FAT:FQL_AUDITING_CLIENT_TEMPLATE.FAT&amp;display_string=Audit&amp;VAR:KEY=VWJWDKDKDO&amp;VAR:QUERY=RkZfRElWX1lMRChBTk4sNy8xNy8wOCw3LzE3LzA4KQ==&amp;WINDOW=FIRST_POPUP&amp;HEIGHT=450&amp;WIDTH=450&amp;","START_MAXIMIZED=FALSE&amp;VAR:CALENDAR=US&amp;VAR:SYMBOL=MO&amp;VAR:INDEX=0"}</definedName>
    <definedName name="_665__FDSAUDITLINK__" localSheetId="0" hidden="1">{"fdsup://directions/FAT Viewer?action=UPDATE&amp;creator=factset&amp;DYN_ARGS=TRUE&amp;DOC_NAME=FAT:FQL_AUDITING_CLIENT_TEMPLATE.FAT&amp;display_string=Audit&amp;VAR:KEY=NGXIJMLUJC&amp;VAR:QUERY=RkZfRElWX1lMRChBTk4sNy8xMC8wOCw3LzEwLzA4KQ==&amp;WINDOW=FIRST_POPUP&amp;HEIGHT=450&amp;WIDTH=450&amp;","START_MAXIMIZED=FALSE&amp;VAR:CALENDAR=US&amp;VAR:SYMBOL=MO&amp;VAR:INDEX=0"}</definedName>
    <definedName name="_665__FDSAUDITLINK__" hidden="1">{"fdsup://directions/FAT Viewer?action=UPDATE&amp;creator=factset&amp;DYN_ARGS=TRUE&amp;DOC_NAME=FAT:FQL_AUDITING_CLIENT_TEMPLATE.FAT&amp;display_string=Audit&amp;VAR:KEY=NGXIJMLUJC&amp;VAR:QUERY=RkZfRElWX1lMRChBTk4sNy8xMC8wOCw3LzEwLzA4KQ==&amp;WINDOW=FIRST_POPUP&amp;HEIGHT=450&amp;WIDTH=450&amp;","START_MAXIMIZED=FALSE&amp;VAR:CALENDAR=US&amp;VAR:SYMBOL=MO&amp;VAR:INDEX=0"}</definedName>
    <definedName name="_666">#REF!</definedName>
    <definedName name="_666__FDSAUDITLINK__" localSheetId="0" hidden="1">{"fdsup://directions/FAT Viewer?action=UPDATE&amp;creator=factset&amp;DYN_ARGS=TRUE&amp;DOC_NAME=FAT:FQL_AUDITING_CLIENT_TEMPLATE.FAT&amp;display_string=Audit&amp;VAR:KEY=LGXMTUTCJQ&amp;VAR:QUERY=RkZfRElWX1lMRChBTk4sNy8wMy8wOCw3LzAzLzA4KQ==&amp;WINDOW=FIRST_POPUP&amp;HEIGHT=450&amp;WIDTH=450&amp;","START_MAXIMIZED=FALSE&amp;VAR:CALENDAR=US&amp;VAR:SYMBOL=MO&amp;VAR:INDEX=0"}</definedName>
    <definedName name="_666__FDSAUDITLINK__" hidden="1">{"fdsup://directions/FAT Viewer?action=UPDATE&amp;creator=factset&amp;DYN_ARGS=TRUE&amp;DOC_NAME=FAT:FQL_AUDITING_CLIENT_TEMPLATE.FAT&amp;display_string=Audit&amp;VAR:KEY=LGXMTUTCJQ&amp;VAR:QUERY=RkZfRElWX1lMRChBTk4sNy8wMy8wOCw3LzAzLzA4KQ==&amp;WINDOW=FIRST_POPUP&amp;HEIGHT=450&amp;WIDTH=450&amp;","START_MAXIMIZED=FALSE&amp;VAR:CALENDAR=US&amp;VAR:SYMBOL=MO&amp;VAR:INDEX=0"}</definedName>
    <definedName name="_667__FDSAUDITLINK__" localSheetId="0" hidden="1">{"fdsup://directions/FAT Viewer?action=UPDATE&amp;creator=factset&amp;DYN_ARGS=TRUE&amp;DOC_NAME=FAT:FQL_AUDITING_CLIENT_TEMPLATE.FAT&amp;display_string=Audit&amp;VAR:KEY=FUPMRKZCZK&amp;VAR:QUERY=RkZfRElWX1lMRChBTk4sNi8yNi8wOCw2LzI2LzA4KQ==&amp;WINDOW=FIRST_POPUP&amp;HEIGHT=450&amp;WIDTH=450&amp;","START_MAXIMIZED=FALSE&amp;VAR:CALENDAR=US&amp;VAR:SYMBOL=MO&amp;VAR:INDEX=0"}</definedName>
    <definedName name="_667__FDSAUDITLINK__" hidden="1">{"fdsup://directions/FAT Viewer?action=UPDATE&amp;creator=factset&amp;DYN_ARGS=TRUE&amp;DOC_NAME=FAT:FQL_AUDITING_CLIENT_TEMPLATE.FAT&amp;display_string=Audit&amp;VAR:KEY=FUPMRKZCZK&amp;VAR:QUERY=RkZfRElWX1lMRChBTk4sNi8yNi8wOCw2LzI2LzA4KQ==&amp;WINDOW=FIRST_POPUP&amp;HEIGHT=450&amp;WIDTH=450&amp;","START_MAXIMIZED=FALSE&amp;VAR:CALENDAR=US&amp;VAR:SYMBOL=MO&amp;VAR:INDEX=0"}</definedName>
    <definedName name="_668__FDSAUDITLINK__" localSheetId="0" hidden="1">{"fdsup://directions/FAT Viewer?action=UPDATE&amp;creator=factset&amp;DYN_ARGS=TRUE&amp;DOC_NAME=FAT:FQL_AUDITING_CLIENT_TEMPLATE.FAT&amp;display_string=Audit&amp;VAR:KEY=VOVQNEZOHG&amp;VAR:QUERY=RkZfRElWX1lMRChBTk4sNi8xOS8wOCw2LzE5LzA4KQ==&amp;WINDOW=FIRST_POPUP&amp;HEIGHT=450&amp;WIDTH=450&amp;","START_MAXIMIZED=FALSE&amp;VAR:CALENDAR=US&amp;VAR:SYMBOL=MO&amp;VAR:INDEX=0"}</definedName>
    <definedName name="_668__FDSAUDITLINK__" hidden="1">{"fdsup://directions/FAT Viewer?action=UPDATE&amp;creator=factset&amp;DYN_ARGS=TRUE&amp;DOC_NAME=FAT:FQL_AUDITING_CLIENT_TEMPLATE.FAT&amp;display_string=Audit&amp;VAR:KEY=VOVQNEZOHG&amp;VAR:QUERY=RkZfRElWX1lMRChBTk4sNi8xOS8wOCw2LzE5LzA4KQ==&amp;WINDOW=FIRST_POPUP&amp;HEIGHT=450&amp;WIDTH=450&amp;","START_MAXIMIZED=FALSE&amp;VAR:CALENDAR=US&amp;VAR:SYMBOL=MO&amp;VAR:INDEX=0"}</definedName>
    <definedName name="_669__FDSAUDITLINK__" localSheetId="0" hidden="1">{"fdsup://directions/FAT Viewer?action=UPDATE&amp;creator=factset&amp;DYN_ARGS=TRUE&amp;DOC_NAME=FAT:FQL_AUDITING_CLIENT_TEMPLATE.FAT&amp;display_string=Audit&amp;VAR:KEY=HYRUDMREZA&amp;VAR:QUERY=RkZfRElWX1lMRChBTk4sNi8xMi8wOCw2LzEyLzA4KQ==&amp;WINDOW=FIRST_POPUP&amp;HEIGHT=450&amp;WIDTH=450&amp;","START_MAXIMIZED=FALSE&amp;VAR:CALENDAR=US&amp;VAR:SYMBOL=MO&amp;VAR:INDEX=0"}</definedName>
    <definedName name="_669__FDSAUDITLINK__" hidden="1">{"fdsup://directions/FAT Viewer?action=UPDATE&amp;creator=factset&amp;DYN_ARGS=TRUE&amp;DOC_NAME=FAT:FQL_AUDITING_CLIENT_TEMPLATE.FAT&amp;display_string=Audit&amp;VAR:KEY=HYRUDMREZA&amp;VAR:QUERY=RkZfRElWX1lMRChBTk4sNi8xMi8wOCw2LzEyLzA4KQ==&amp;WINDOW=FIRST_POPUP&amp;HEIGHT=450&amp;WIDTH=450&amp;","START_MAXIMIZED=FALSE&amp;VAR:CALENDAR=US&amp;VAR:SYMBOL=MO&amp;VAR:INDEX=0"}</definedName>
    <definedName name="_66main_form_account_grants_list_5_j_id1022">#REF!</definedName>
    <definedName name="_67">#REF!</definedName>
    <definedName name="_67__123Graph_BTAX_CREDIT">#REF!</definedName>
    <definedName name="_67__123Graph_XQRE_S_BY_TYPE">#REF!</definedName>
    <definedName name="_67__123Graph_XSUPPLIES_BY_B_U">#REF!</definedName>
    <definedName name="_67__123Graph_XTAX_CREDIT">#REF!</definedName>
    <definedName name="_67__FDSAUDITLINK__" localSheetId="0" hidden="1">{"fdsup://directions/FAT Viewer?action=UPDATE&amp;creator=factset&amp;DYN_ARGS=TRUE&amp;DOC_NAME=FAT:FQL_AUDITING_CLIENT_TEMPLATE.FAT&amp;display_string=Audit&amp;VAR:KEY=JYVABMRCRU&amp;VAR:QUERY=RkZfREVCVChBTk4sMCwsLCxVU0Qp&amp;WINDOW=FIRST_POPUP&amp;HEIGHT=450&amp;WIDTH=450&amp;START_MAXIMIZED=","FALSE&amp;VAR:CALENDAR=US&amp;VAR:SYMBOL=028758&amp;VAR:INDEX=0"}</definedName>
    <definedName name="_67__FDSAUDITLINK__" hidden="1">{"fdsup://directions/FAT Viewer?action=UPDATE&amp;creator=factset&amp;DYN_ARGS=TRUE&amp;DOC_NAME=FAT:FQL_AUDITING_CLIENT_TEMPLATE.FAT&amp;display_string=Audit&amp;VAR:KEY=JYVABMRCRU&amp;VAR:QUERY=RkZfREVCVChBTk4sMCwsLCxVU0Qp&amp;WINDOW=FIRST_POPUP&amp;HEIGHT=450&amp;WIDTH=450&amp;START_MAXIMIZED=","FALSE&amp;VAR:CALENDAR=US&amp;VAR:SYMBOL=028758&amp;VAR:INDEX=0"}</definedName>
    <definedName name="_67_B_S">#REF!</definedName>
    <definedName name="_670">#REF!</definedName>
    <definedName name="_670__FDSAUDITLINK__" localSheetId="0" hidden="1">{"fdsup://directions/FAT Viewer?action=UPDATE&amp;creator=factset&amp;DYN_ARGS=TRUE&amp;DOC_NAME=FAT:FQL_AUDITING_CLIENT_TEMPLATE.FAT&amp;display_string=Audit&amp;VAR:KEY=LEBQBSFITG&amp;VAR:QUERY=RkZfRElWX1lMRChBTk4sNi8wNS8wOCw2LzA1LzA4KQ==&amp;WINDOW=FIRST_POPUP&amp;HEIGHT=450&amp;WIDTH=450&amp;","START_MAXIMIZED=FALSE&amp;VAR:CALENDAR=US&amp;VAR:SYMBOL=MO&amp;VAR:INDEX=0"}</definedName>
    <definedName name="_670__FDSAUDITLINK__" hidden="1">{"fdsup://directions/FAT Viewer?action=UPDATE&amp;creator=factset&amp;DYN_ARGS=TRUE&amp;DOC_NAME=FAT:FQL_AUDITING_CLIENT_TEMPLATE.FAT&amp;display_string=Audit&amp;VAR:KEY=LEBQBSFITG&amp;VAR:QUERY=RkZfRElWX1lMRChBTk4sNi8wNS8wOCw2LzA1LzA4KQ==&amp;WINDOW=FIRST_POPUP&amp;HEIGHT=450&amp;WIDTH=450&amp;","START_MAXIMIZED=FALSE&amp;VAR:CALENDAR=US&amp;VAR:SYMBOL=MO&amp;VAR:INDEX=0"}</definedName>
    <definedName name="_671">#REF!</definedName>
    <definedName name="_671__FDSAUDITLINK__" localSheetId="0" hidden="1">{"fdsup://directions/FAT Viewer?action=UPDATE&amp;creator=factset&amp;DYN_ARGS=TRUE&amp;DOC_NAME=FAT:FQL_AUDITING_CLIENT_TEMPLATE.FAT&amp;display_string=Audit&amp;VAR:KEY=HQXAZUZQJE&amp;VAR:QUERY=RkZfRElWX1lMRChBTk4sNS8yOS8wOCw1LzI5LzA4KQ==&amp;WINDOW=FIRST_POPUP&amp;HEIGHT=450&amp;WIDTH=450&amp;","START_MAXIMIZED=FALSE&amp;VAR:CALENDAR=US&amp;VAR:SYMBOL=MO&amp;VAR:INDEX=0"}</definedName>
    <definedName name="_671__FDSAUDITLINK__" hidden="1">{"fdsup://directions/FAT Viewer?action=UPDATE&amp;creator=factset&amp;DYN_ARGS=TRUE&amp;DOC_NAME=FAT:FQL_AUDITING_CLIENT_TEMPLATE.FAT&amp;display_string=Audit&amp;VAR:KEY=HQXAZUZQJE&amp;VAR:QUERY=RkZfRElWX1lMRChBTk4sNS8yOS8wOCw1LzI5LzA4KQ==&amp;WINDOW=FIRST_POPUP&amp;HEIGHT=450&amp;WIDTH=450&amp;","START_MAXIMIZED=FALSE&amp;VAR:CALENDAR=US&amp;VAR:SYMBOL=MO&amp;VAR:INDEX=0"}</definedName>
    <definedName name="_672">#REF!</definedName>
    <definedName name="_672__FDSAUDITLINK__" localSheetId="0" hidden="1">{"fdsup://directions/FAT Viewer?action=UPDATE&amp;creator=factset&amp;DYN_ARGS=TRUE&amp;DOC_NAME=FAT:FQL_AUDITING_CLIENT_TEMPLATE.FAT&amp;display_string=Audit&amp;VAR:KEY=HWPGJIHUDU&amp;VAR:QUERY=RkZfRElWX1lMRChBTk4sNS8yMi8wOCw1LzIyLzA4KQ==&amp;WINDOW=FIRST_POPUP&amp;HEIGHT=450&amp;WIDTH=450&amp;","START_MAXIMIZED=FALSE&amp;VAR:CALENDAR=US&amp;VAR:SYMBOL=MO&amp;VAR:INDEX=0"}</definedName>
    <definedName name="_672__FDSAUDITLINK__" hidden="1">{"fdsup://directions/FAT Viewer?action=UPDATE&amp;creator=factset&amp;DYN_ARGS=TRUE&amp;DOC_NAME=FAT:FQL_AUDITING_CLIENT_TEMPLATE.FAT&amp;display_string=Audit&amp;VAR:KEY=HWPGJIHUDU&amp;VAR:QUERY=RkZfRElWX1lMRChBTk4sNS8yMi8wOCw1LzIyLzA4KQ==&amp;WINDOW=FIRST_POPUP&amp;HEIGHT=450&amp;WIDTH=450&amp;","START_MAXIMIZED=FALSE&amp;VAR:CALENDAR=US&amp;VAR:SYMBOL=MO&amp;VAR:INDEX=0"}</definedName>
    <definedName name="_6729">#REF!</definedName>
    <definedName name="_673">#REF!</definedName>
    <definedName name="_673__FDSAUDITLINK__" localSheetId="0" hidden="1">{"fdsup://directions/FAT Viewer?action=UPDATE&amp;creator=factset&amp;DYN_ARGS=TRUE&amp;DOC_NAME=FAT:FQL_AUDITING_CLIENT_TEMPLATE.FAT&amp;display_string=Audit&amp;VAR:KEY=VMFOXUNGZQ&amp;VAR:QUERY=RkZfRElWX1lMRChBTk4sNS8xNS8wOCw1LzE1LzA4KQ==&amp;WINDOW=FIRST_POPUP&amp;HEIGHT=450&amp;WIDTH=450&amp;","START_MAXIMIZED=FALSE&amp;VAR:CALENDAR=US&amp;VAR:SYMBOL=MO&amp;VAR:INDEX=0"}</definedName>
    <definedName name="_673__FDSAUDITLINK__" hidden="1">{"fdsup://directions/FAT Viewer?action=UPDATE&amp;creator=factset&amp;DYN_ARGS=TRUE&amp;DOC_NAME=FAT:FQL_AUDITING_CLIENT_TEMPLATE.FAT&amp;display_string=Audit&amp;VAR:KEY=VMFOXUNGZQ&amp;VAR:QUERY=RkZfRElWX1lMRChBTk4sNS8xNS8wOCw1LzE1LzA4KQ==&amp;WINDOW=FIRST_POPUP&amp;HEIGHT=450&amp;WIDTH=450&amp;","START_MAXIMIZED=FALSE&amp;VAR:CALENDAR=US&amp;VAR:SYMBOL=MO&amp;VAR:INDEX=0"}</definedName>
    <definedName name="_6730">#REF!</definedName>
    <definedName name="_6732">#REF!</definedName>
    <definedName name="_6733">#REF!</definedName>
    <definedName name="_6735">#REF!</definedName>
    <definedName name="_6736">#REF!</definedName>
    <definedName name="_674__FDSAUDITLINK__" localSheetId="0" hidden="1">{"fdsup://directions/FAT Viewer?action=UPDATE&amp;creator=factset&amp;DYN_ARGS=TRUE&amp;DOC_NAME=FAT:FQL_AUDITING_CLIENT_TEMPLATE.FAT&amp;display_string=Audit&amp;VAR:KEY=FQFEFIHMXM&amp;VAR:QUERY=RkZfRElWX1lMRChBTk4sNS8wOC8wOCw1LzA4LzA4KQ==&amp;WINDOW=FIRST_POPUP&amp;HEIGHT=450&amp;WIDTH=450&amp;","START_MAXIMIZED=FALSE&amp;VAR:CALENDAR=US&amp;VAR:SYMBOL=MO&amp;VAR:INDEX=0"}</definedName>
    <definedName name="_674__FDSAUDITLINK__" hidden="1">{"fdsup://directions/FAT Viewer?action=UPDATE&amp;creator=factset&amp;DYN_ARGS=TRUE&amp;DOC_NAME=FAT:FQL_AUDITING_CLIENT_TEMPLATE.FAT&amp;display_string=Audit&amp;VAR:KEY=FQFEFIHMXM&amp;VAR:QUERY=RkZfRElWX1lMRChBTk4sNS8wOC8wOCw1LzA4LzA4KQ==&amp;WINDOW=FIRST_POPUP&amp;HEIGHT=450&amp;WIDTH=450&amp;","START_MAXIMIZED=FALSE&amp;VAR:CALENDAR=US&amp;VAR:SYMBOL=MO&amp;VAR:INDEX=0"}</definedName>
    <definedName name="_675">#REF!</definedName>
    <definedName name="_675__FDSAUDITLINK__" localSheetId="0" hidden="1">{"fdsup://directions/FAT Viewer?action=UPDATE&amp;creator=factset&amp;DYN_ARGS=TRUE&amp;DOC_NAME=FAT:FQL_AUDITING_CLIENT_TEMPLATE.FAT&amp;display_string=Audit&amp;VAR:KEY=XAZOBSTKLA&amp;VAR:QUERY=RkZfRElWX1lMRChBTk4sNS8wMS8wOCw1LzAxLzA4KQ==&amp;WINDOW=FIRST_POPUP&amp;HEIGHT=450&amp;WIDTH=450&amp;","START_MAXIMIZED=FALSE&amp;VAR:CALENDAR=US&amp;VAR:SYMBOL=MO&amp;VAR:INDEX=0"}</definedName>
    <definedName name="_675__FDSAUDITLINK__" hidden="1">{"fdsup://directions/FAT Viewer?action=UPDATE&amp;creator=factset&amp;DYN_ARGS=TRUE&amp;DOC_NAME=FAT:FQL_AUDITING_CLIENT_TEMPLATE.FAT&amp;display_string=Audit&amp;VAR:KEY=XAZOBSTKLA&amp;VAR:QUERY=RkZfRElWX1lMRChBTk4sNS8wMS8wOCw1LzAxLzA4KQ==&amp;WINDOW=FIRST_POPUP&amp;HEIGHT=450&amp;WIDTH=450&amp;","START_MAXIMIZED=FALSE&amp;VAR:CALENDAR=US&amp;VAR:SYMBOL=MO&amp;VAR:INDEX=0"}</definedName>
    <definedName name="_676">#REF!</definedName>
    <definedName name="_676__FDSAUDITLINK__" localSheetId="0" hidden="1">{"fdsup://directions/FAT Viewer?action=UPDATE&amp;creator=factset&amp;DYN_ARGS=TRUE&amp;DOC_NAME=FAT:FQL_AUDITING_CLIENT_TEMPLATE.FAT&amp;display_string=Audit&amp;VAR:KEY=FYPATGRAZO&amp;VAR:QUERY=RkZfRElWX1lMRChBTk4sNC8yNC8wOCw0LzI0LzA4KQ==&amp;WINDOW=FIRST_POPUP&amp;HEIGHT=450&amp;WIDTH=450&amp;","START_MAXIMIZED=FALSE&amp;VAR:CALENDAR=US&amp;VAR:SYMBOL=MO&amp;VAR:INDEX=0"}</definedName>
    <definedName name="_676__FDSAUDITLINK__" hidden="1">{"fdsup://directions/FAT Viewer?action=UPDATE&amp;creator=factset&amp;DYN_ARGS=TRUE&amp;DOC_NAME=FAT:FQL_AUDITING_CLIENT_TEMPLATE.FAT&amp;display_string=Audit&amp;VAR:KEY=FYPATGRAZO&amp;VAR:QUERY=RkZfRElWX1lMRChBTk4sNC8yNC8wOCw0LzI0LzA4KQ==&amp;WINDOW=FIRST_POPUP&amp;HEIGHT=450&amp;WIDTH=450&amp;","START_MAXIMIZED=FALSE&amp;VAR:CALENDAR=US&amp;VAR:SYMBOL=MO&amp;VAR:INDEX=0"}</definedName>
    <definedName name="_677">#REF!</definedName>
    <definedName name="_677__FDSAUDITLINK__" localSheetId="0" hidden="1">{"fdsup://directions/FAT Viewer?action=UPDATE&amp;creator=factset&amp;DYN_ARGS=TRUE&amp;DOC_NAME=FAT:FQL_AUDITING_CLIENT_TEMPLATE.FAT&amp;display_string=Audit&amp;VAR:KEY=LOHQNYBYZM&amp;VAR:QUERY=RkZfRElWX1lMRChBTk4sNC8xNy8wOCw0LzE3LzA4KQ==&amp;WINDOW=FIRST_POPUP&amp;HEIGHT=450&amp;WIDTH=450&amp;","START_MAXIMIZED=FALSE&amp;VAR:CALENDAR=US&amp;VAR:SYMBOL=MO&amp;VAR:INDEX=0"}</definedName>
    <definedName name="_677__FDSAUDITLINK__" hidden="1">{"fdsup://directions/FAT Viewer?action=UPDATE&amp;creator=factset&amp;DYN_ARGS=TRUE&amp;DOC_NAME=FAT:FQL_AUDITING_CLIENT_TEMPLATE.FAT&amp;display_string=Audit&amp;VAR:KEY=LOHQNYBYZM&amp;VAR:QUERY=RkZfRElWX1lMRChBTk4sNC8xNy8wOCw0LzE3LzA4KQ==&amp;WINDOW=FIRST_POPUP&amp;HEIGHT=450&amp;WIDTH=450&amp;","START_MAXIMIZED=FALSE&amp;VAR:CALENDAR=US&amp;VAR:SYMBOL=MO&amp;VAR:INDEX=0"}</definedName>
    <definedName name="_678">#REF!</definedName>
    <definedName name="_678__FDSAUDITLINK__" localSheetId="0" hidden="1">{"fdsup://directions/FAT Viewer?action=UPDATE&amp;creator=factset&amp;DYN_ARGS=TRUE&amp;DOC_NAME=FAT:FQL_AUDITING_CLIENT_TEMPLATE.FAT&amp;display_string=Audit&amp;VAR:KEY=BKLSRCHGLM&amp;VAR:QUERY=RkZfRElWX1lMRChBTk4sNC8xMC8wOCw0LzEwLzA4KQ==&amp;WINDOW=FIRST_POPUP&amp;HEIGHT=450&amp;WIDTH=450&amp;","START_MAXIMIZED=FALSE&amp;VAR:CALENDAR=US&amp;VAR:SYMBOL=MO&amp;VAR:INDEX=0"}</definedName>
    <definedName name="_678__FDSAUDITLINK__" hidden="1">{"fdsup://directions/FAT Viewer?action=UPDATE&amp;creator=factset&amp;DYN_ARGS=TRUE&amp;DOC_NAME=FAT:FQL_AUDITING_CLIENT_TEMPLATE.FAT&amp;display_string=Audit&amp;VAR:KEY=BKLSRCHGLM&amp;VAR:QUERY=RkZfRElWX1lMRChBTk4sNC8xMC8wOCw0LzEwLzA4KQ==&amp;WINDOW=FIRST_POPUP&amp;HEIGHT=450&amp;WIDTH=450&amp;","START_MAXIMIZED=FALSE&amp;VAR:CALENDAR=US&amp;VAR:SYMBOL=MO&amp;VAR:INDEX=0"}</definedName>
    <definedName name="_679__FDSAUDITLINK__" localSheetId="0" hidden="1">{"fdsup://directions/FAT Viewer?action=UPDATE&amp;creator=factset&amp;DYN_ARGS=TRUE&amp;DOC_NAME=FAT:FQL_AUDITING_CLIENT_TEMPLATE.FAT&amp;display_string=Audit&amp;VAR:KEY=RCHYFQFCJG&amp;VAR:QUERY=RkZfRElWX1lMRChBTk4sNC8wMy8wOCw0LzAzLzA4KQ==&amp;WINDOW=FIRST_POPUP&amp;HEIGHT=450&amp;WIDTH=450&amp;","START_MAXIMIZED=FALSE&amp;VAR:CALENDAR=US&amp;VAR:SYMBOL=MO&amp;VAR:INDEX=0"}</definedName>
    <definedName name="_679__FDSAUDITLINK__" hidden="1">{"fdsup://directions/FAT Viewer?action=UPDATE&amp;creator=factset&amp;DYN_ARGS=TRUE&amp;DOC_NAME=FAT:FQL_AUDITING_CLIENT_TEMPLATE.FAT&amp;display_string=Audit&amp;VAR:KEY=RCHYFQFCJG&amp;VAR:QUERY=RkZfRElWX1lMRChBTk4sNC8wMy8wOCw0LzAzLzA4KQ==&amp;WINDOW=FIRST_POPUP&amp;HEIGHT=450&amp;WIDTH=450&amp;","START_MAXIMIZED=FALSE&amp;VAR:CALENDAR=US&amp;VAR:SYMBOL=MO&amp;VAR:INDEX=0"}</definedName>
    <definedName name="_68">#REF!</definedName>
    <definedName name="_68__123Graph_CWAGES_BY_B_U">#REF!</definedName>
    <definedName name="_68__123Graph_XCHART_4">#REF!</definedName>
    <definedName name="_68__123Graph_XTAX_CREDIT">#REF!</definedName>
    <definedName name="_68__FDSAUDITLINK__" localSheetId="0" hidden="1">{"fdsup://directions/FAT Viewer?action=UPDATE&amp;creator=factset&amp;DYN_ARGS=TRUE&amp;DOC_NAME=FAT:FQL_AUDITING_CLIENT_TEMPLATE.FAT&amp;display_string=Audit&amp;VAR:KEY=JKHYVYNIBG&amp;VAR:QUERY=QVZHKEZGX0RJVl9ZTEQoQU5OLDQwOTk0LC0yQVkpKQ==&amp;WINDOW=FIRST_POPUP&amp;HEIGHT=450&amp;WIDTH=450&amp;","START_MAXIMIZED=FALSE&amp;VAR:CALENDAR=US&amp;VAR:SYMBOL=LO"}</definedName>
    <definedName name="_68__FDSAUDITLINK__" hidden="1">{"fdsup://directions/FAT Viewer?action=UPDATE&amp;creator=factset&amp;DYN_ARGS=TRUE&amp;DOC_NAME=FAT:FQL_AUDITING_CLIENT_TEMPLATE.FAT&amp;display_string=Audit&amp;VAR:KEY=JKHYVYNIBG&amp;VAR:QUERY=QVZHKEZGX0RJVl9ZTEQoQU5OLDQwOTk0LC0yQVkpKQ==&amp;WINDOW=FIRST_POPUP&amp;HEIGHT=450&amp;WIDTH=450&amp;","START_MAXIMIZED=FALSE&amp;VAR:CALENDAR=US&amp;VAR:SYMBOL=LO"}</definedName>
    <definedName name="_68_NOTE10_12">#REF!</definedName>
    <definedName name="_680">#REF!</definedName>
    <definedName name="_680__FDSAUDITLINK__" localSheetId="0" hidden="1">{"fdsup://directions/FAT Viewer?action=UPDATE&amp;creator=factset&amp;DYN_ARGS=TRUE&amp;DOC_NAME=FAT:FQL_AUDITING_CLIENT_TEMPLATE.FAT&amp;display_string=Audit&amp;VAR:KEY=XGBKXYNWPA&amp;VAR:QUERY=RkZfRElWX1lMRChBTk4sMy8yNy8wOCwzLzI3LzA4KQ==&amp;WINDOW=FIRST_POPUP&amp;HEIGHT=450&amp;WIDTH=450&amp;","START_MAXIMIZED=FALSE&amp;VAR:CALENDAR=US&amp;VAR:SYMBOL=MO&amp;VAR:INDEX=0"}</definedName>
    <definedName name="_680__FDSAUDITLINK__" hidden="1">{"fdsup://directions/FAT Viewer?action=UPDATE&amp;creator=factset&amp;DYN_ARGS=TRUE&amp;DOC_NAME=FAT:FQL_AUDITING_CLIENT_TEMPLATE.FAT&amp;display_string=Audit&amp;VAR:KEY=XGBKXYNWPA&amp;VAR:QUERY=RkZfRElWX1lMRChBTk4sMy8yNy8wOCwzLzI3LzA4KQ==&amp;WINDOW=FIRST_POPUP&amp;HEIGHT=450&amp;WIDTH=450&amp;","START_MAXIMIZED=FALSE&amp;VAR:CALENDAR=US&amp;VAR:SYMBOL=MO&amp;VAR:INDEX=0"}</definedName>
    <definedName name="_681__FDSAUDITLINK__" localSheetId="0" hidden="1">{"fdsup://directions/FAT Viewer?action=UPDATE&amp;creator=factset&amp;DYN_ARGS=TRUE&amp;DOC_NAME=FAT:FQL_AUDITING_CLIENT_TEMPLATE.FAT&amp;display_string=Audit&amp;VAR:KEY=RIBIPMVALM&amp;VAR:QUERY=RkZfRElWX1lMRChBTk4sMy8yMC8wOCwzLzIwLzA4KQ==&amp;WINDOW=FIRST_POPUP&amp;HEIGHT=450&amp;WIDTH=450&amp;","START_MAXIMIZED=FALSE&amp;VAR:CALENDAR=US&amp;VAR:SYMBOL=MO&amp;VAR:INDEX=0"}</definedName>
    <definedName name="_681__FDSAUDITLINK__" hidden="1">{"fdsup://directions/FAT Viewer?action=UPDATE&amp;creator=factset&amp;DYN_ARGS=TRUE&amp;DOC_NAME=FAT:FQL_AUDITING_CLIENT_TEMPLATE.FAT&amp;display_string=Audit&amp;VAR:KEY=RIBIPMVALM&amp;VAR:QUERY=RkZfRElWX1lMRChBTk4sMy8yMC8wOCwzLzIwLzA4KQ==&amp;WINDOW=FIRST_POPUP&amp;HEIGHT=450&amp;WIDTH=450&amp;","START_MAXIMIZED=FALSE&amp;VAR:CALENDAR=US&amp;VAR:SYMBOL=MO&amp;VAR:INDEX=0"}</definedName>
    <definedName name="_682__FDSAUDITLINK__" localSheetId="0" hidden="1">{"fdsup://directions/FAT Viewer?action=UPDATE&amp;creator=factset&amp;DYN_ARGS=TRUE&amp;DOC_NAME=FAT:FQL_AUDITING_CLIENT_TEMPLATE.FAT&amp;display_string=Audit&amp;VAR:KEY=NUZAPWXEJC&amp;VAR:QUERY=RkZfRElWX1lMRChBTk4sMy8xMy8wOCwzLzEzLzA4KQ==&amp;WINDOW=FIRST_POPUP&amp;HEIGHT=450&amp;WIDTH=450&amp;","START_MAXIMIZED=FALSE&amp;VAR:CALENDAR=US&amp;VAR:SYMBOL=MO&amp;VAR:INDEX=0"}</definedName>
    <definedName name="_682__FDSAUDITLINK__" hidden="1">{"fdsup://directions/FAT Viewer?action=UPDATE&amp;creator=factset&amp;DYN_ARGS=TRUE&amp;DOC_NAME=FAT:FQL_AUDITING_CLIENT_TEMPLATE.FAT&amp;display_string=Audit&amp;VAR:KEY=NUZAPWXEJC&amp;VAR:QUERY=RkZfRElWX1lMRChBTk4sMy8xMy8wOCwzLzEzLzA4KQ==&amp;WINDOW=FIRST_POPUP&amp;HEIGHT=450&amp;WIDTH=450&amp;","START_MAXIMIZED=FALSE&amp;VAR:CALENDAR=US&amp;VAR:SYMBOL=MO&amp;VAR:INDEX=0"}</definedName>
    <definedName name="_683__FDSAUDITLINK__" localSheetId="0" hidden="1">{"fdsup://directions/FAT Viewer?action=UPDATE&amp;creator=factset&amp;DYN_ARGS=TRUE&amp;DOC_NAME=FAT:FQL_AUDITING_CLIENT_TEMPLATE.FAT&amp;display_string=Audit&amp;VAR:KEY=REJKHENWRK&amp;VAR:QUERY=RkZfRElWX1lMRChBTk4sMy8wNi8wOCwzLzA2LzA4KQ==&amp;WINDOW=FIRST_POPUP&amp;HEIGHT=450&amp;WIDTH=450&amp;","START_MAXIMIZED=FALSE&amp;VAR:CALENDAR=US&amp;VAR:SYMBOL=MO&amp;VAR:INDEX=0"}</definedName>
    <definedName name="_683__FDSAUDITLINK__" hidden="1">{"fdsup://directions/FAT Viewer?action=UPDATE&amp;creator=factset&amp;DYN_ARGS=TRUE&amp;DOC_NAME=FAT:FQL_AUDITING_CLIENT_TEMPLATE.FAT&amp;display_string=Audit&amp;VAR:KEY=REJKHENWRK&amp;VAR:QUERY=RkZfRElWX1lMRChBTk4sMy8wNi8wOCwzLzA2LzA4KQ==&amp;WINDOW=FIRST_POPUP&amp;HEIGHT=450&amp;WIDTH=450&amp;","START_MAXIMIZED=FALSE&amp;VAR:CALENDAR=US&amp;VAR:SYMBOL=MO&amp;VAR:INDEX=0"}</definedName>
    <definedName name="_684">#REF!</definedName>
    <definedName name="_684__FDSAUDITLINK__" localSheetId="0" hidden="1">{"fdsup://directions/FAT Viewer?action=UPDATE&amp;creator=factset&amp;DYN_ARGS=TRUE&amp;DOC_NAME=FAT:FQL_AUDITING_CLIENT_TEMPLATE.FAT&amp;display_string=Audit&amp;VAR:KEY=TAPINYDWPM&amp;VAR:QUERY=RkZfRElWX1lMRChBTk4sMi8yOC8wOCwyLzI4LzA4KQ==&amp;WINDOW=FIRST_POPUP&amp;HEIGHT=450&amp;WIDTH=450&amp;","START_MAXIMIZED=FALSE&amp;VAR:CALENDAR=US&amp;VAR:SYMBOL=MO&amp;VAR:INDEX=0"}</definedName>
    <definedName name="_684__FDSAUDITLINK__" hidden="1">{"fdsup://directions/FAT Viewer?action=UPDATE&amp;creator=factset&amp;DYN_ARGS=TRUE&amp;DOC_NAME=FAT:FQL_AUDITING_CLIENT_TEMPLATE.FAT&amp;display_string=Audit&amp;VAR:KEY=TAPINYDWPM&amp;VAR:QUERY=RkZfRElWX1lMRChBTk4sMi8yOC8wOCwyLzI4LzA4KQ==&amp;WINDOW=FIRST_POPUP&amp;HEIGHT=450&amp;WIDTH=450&amp;","START_MAXIMIZED=FALSE&amp;VAR:CALENDAR=US&amp;VAR:SYMBOL=MO&amp;VAR:INDEX=0"}</definedName>
    <definedName name="_685">#REF!</definedName>
    <definedName name="_685__FDSAUDITLINK__" localSheetId="0" hidden="1">{"fdsup://directions/FAT Viewer?action=UPDATE&amp;creator=factset&amp;DYN_ARGS=TRUE&amp;DOC_NAME=FAT:FQL_AUDITING_CLIENT_TEMPLATE.FAT&amp;display_string=Audit&amp;VAR:KEY=XSPMRGHOPQ&amp;VAR:QUERY=RkZfRElWX1lMRChBTk4sMi8yMS8wOCwyLzIxLzA4KQ==&amp;WINDOW=FIRST_POPUP&amp;HEIGHT=450&amp;WIDTH=450&amp;","START_MAXIMIZED=FALSE&amp;VAR:CALENDAR=US&amp;VAR:SYMBOL=MO&amp;VAR:INDEX=0"}</definedName>
    <definedName name="_685__FDSAUDITLINK__" hidden="1">{"fdsup://directions/FAT Viewer?action=UPDATE&amp;creator=factset&amp;DYN_ARGS=TRUE&amp;DOC_NAME=FAT:FQL_AUDITING_CLIENT_TEMPLATE.FAT&amp;display_string=Audit&amp;VAR:KEY=XSPMRGHOPQ&amp;VAR:QUERY=RkZfRElWX1lMRChBTk4sMi8yMS8wOCwyLzIxLzA4KQ==&amp;WINDOW=FIRST_POPUP&amp;HEIGHT=450&amp;WIDTH=450&amp;","START_MAXIMIZED=FALSE&amp;VAR:CALENDAR=US&amp;VAR:SYMBOL=MO&amp;VAR:INDEX=0"}</definedName>
    <definedName name="_686">#REF!</definedName>
    <definedName name="_686__FDSAUDITLINK__" localSheetId="0" hidden="1">{"fdsup://directions/FAT Viewer?action=UPDATE&amp;creator=factset&amp;DYN_ARGS=TRUE&amp;DOC_NAME=FAT:FQL_AUDITING_CLIENT_TEMPLATE.FAT&amp;display_string=Audit&amp;VAR:KEY=ZALSBMLUJA&amp;VAR:QUERY=RkZfRElWX1lMRChBTk4sMi8xNC8wOCwyLzE0LzA4KQ==&amp;WINDOW=FIRST_POPUP&amp;HEIGHT=450&amp;WIDTH=450&amp;","START_MAXIMIZED=FALSE&amp;VAR:CALENDAR=US&amp;VAR:SYMBOL=MO&amp;VAR:INDEX=0"}</definedName>
    <definedName name="_686__FDSAUDITLINK__" hidden="1">{"fdsup://directions/FAT Viewer?action=UPDATE&amp;creator=factset&amp;DYN_ARGS=TRUE&amp;DOC_NAME=FAT:FQL_AUDITING_CLIENT_TEMPLATE.FAT&amp;display_string=Audit&amp;VAR:KEY=ZALSBMLUJA&amp;VAR:QUERY=RkZfRElWX1lMRChBTk4sMi8xNC8wOCwyLzE0LzA4KQ==&amp;WINDOW=FIRST_POPUP&amp;HEIGHT=450&amp;WIDTH=450&amp;","START_MAXIMIZED=FALSE&amp;VAR:CALENDAR=US&amp;VAR:SYMBOL=MO&amp;VAR:INDEX=0"}</definedName>
    <definedName name="_687">#REF!</definedName>
    <definedName name="_687__FDSAUDITLINK__" localSheetId="0" hidden="1">{"fdsup://directions/FAT Viewer?action=UPDATE&amp;creator=factset&amp;DYN_ARGS=TRUE&amp;DOC_NAME=FAT:FQL_AUDITING_CLIENT_TEMPLATE.FAT&amp;display_string=Audit&amp;VAR:KEY=RIHAFUNKBA&amp;VAR:QUERY=RkZfRElWX1lMRChBTk4sMi8wNy8wOCwyLzA3LzA4KQ==&amp;WINDOW=FIRST_POPUP&amp;HEIGHT=450&amp;WIDTH=450&amp;","START_MAXIMIZED=FALSE&amp;VAR:CALENDAR=US&amp;VAR:SYMBOL=MO&amp;VAR:INDEX=0"}</definedName>
    <definedName name="_687__FDSAUDITLINK__" hidden="1">{"fdsup://directions/FAT Viewer?action=UPDATE&amp;creator=factset&amp;DYN_ARGS=TRUE&amp;DOC_NAME=FAT:FQL_AUDITING_CLIENT_TEMPLATE.FAT&amp;display_string=Audit&amp;VAR:KEY=RIHAFUNKBA&amp;VAR:QUERY=RkZfRElWX1lMRChBTk4sMi8wNy8wOCwyLzA3LzA4KQ==&amp;WINDOW=FIRST_POPUP&amp;HEIGHT=450&amp;WIDTH=450&amp;","START_MAXIMIZED=FALSE&amp;VAR:CALENDAR=US&amp;VAR:SYMBOL=MO&amp;VAR:INDEX=0"}</definedName>
    <definedName name="_688">#REF!</definedName>
    <definedName name="_688__FDSAUDITLINK__" localSheetId="0" hidden="1">{"fdsup://directions/FAT Viewer?action=UPDATE&amp;creator=factset&amp;DYN_ARGS=TRUE&amp;DOC_NAME=FAT:FQL_AUDITING_CLIENT_TEMPLATE.FAT&amp;display_string=Audit&amp;VAR:KEY=VWLSNQJSZQ&amp;VAR:QUERY=RkZfRElWX1lMRChBTk4sMS8zMS8wOCwxLzMxLzA4KQ==&amp;WINDOW=FIRST_POPUP&amp;HEIGHT=450&amp;WIDTH=450&amp;","START_MAXIMIZED=FALSE&amp;VAR:CALENDAR=US&amp;VAR:SYMBOL=MO&amp;VAR:INDEX=0"}</definedName>
    <definedName name="_688__FDSAUDITLINK__" hidden="1">{"fdsup://directions/FAT Viewer?action=UPDATE&amp;creator=factset&amp;DYN_ARGS=TRUE&amp;DOC_NAME=FAT:FQL_AUDITING_CLIENT_TEMPLATE.FAT&amp;display_string=Audit&amp;VAR:KEY=VWLSNQJSZQ&amp;VAR:QUERY=RkZfRElWX1lMRChBTk4sMS8zMS8wOCwxLzMxLzA4KQ==&amp;WINDOW=FIRST_POPUP&amp;HEIGHT=450&amp;WIDTH=450&amp;","START_MAXIMIZED=FALSE&amp;VAR:CALENDAR=US&amp;VAR:SYMBOL=MO&amp;VAR:INDEX=0"}</definedName>
    <definedName name="_689">#REF!</definedName>
    <definedName name="_689__FDSAUDITLINK__" localSheetId="0" hidden="1">{"fdsup://directions/FAT Viewer?action=UPDATE&amp;creator=factset&amp;DYN_ARGS=TRUE&amp;DOC_NAME=FAT:FQL_AUDITING_CLIENT_TEMPLATE.FAT&amp;display_string=Audit&amp;VAR:KEY=ZGJGPMRKXS&amp;VAR:QUERY=RkZfRElWX1lMRChBTk4sMS8yNC8wOCwxLzI0LzA4KQ==&amp;WINDOW=FIRST_POPUP&amp;HEIGHT=450&amp;WIDTH=450&amp;","START_MAXIMIZED=FALSE&amp;VAR:CALENDAR=US&amp;VAR:SYMBOL=MO&amp;VAR:INDEX=0"}</definedName>
    <definedName name="_689__FDSAUDITLINK__" hidden="1">{"fdsup://directions/FAT Viewer?action=UPDATE&amp;creator=factset&amp;DYN_ARGS=TRUE&amp;DOC_NAME=FAT:FQL_AUDITING_CLIENT_TEMPLATE.FAT&amp;display_string=Audit&amp;VAR:KEY=ZGJGPMRKXS&amp;VAR:QUERY=RkZfRElWX1lMRChBTk4sMS8yNC8wOCwxLzI0LzA4KQ==&amp;WINDOW=FIRST_POPUP&amp;HEIGHT=450&amp;WIDTH=450&amp;","START_MAXIMIZED=FALSE&amp;VAR:CALENDAR=US&amp;VAR:SYMBOL=MO&amp;VAR:INDEX=0"}</definedName>
    <definedName name="_68main_form_account_grants_list_6_j_id1022">#REF!</definedName>
    <definedName name="_69">#REF!</definedName>
    <definedName name="_69__123Graph_EQRE_S_BY_CO.">#REF!</definedName>
    <definedName name="_69__123Graph_XSUPPLIES_BY_B_U">#REF!</definedName>
    <definedName name="_69__123Graph_XTAX_CREDIT">#REF!</definedName>
    <definedName name="_69__FDSAUDITLINK__" localSheetId="0" hidden="1">{"fdsup://directions/FAT Viewer?action=UPDATE&amp;creator=factset&amp;DYN_ARGS=TRUE&amp;DOC_NAME=FAT:FQL_AUDITING_CLIENT_TEMPLATE.FAT&amp;display_string=Audit&amp;VAR:KEY=DIZWBYXEPK&amp;VAR:QUERY=QVZHKEZGX0RJVl9ZTEQoQU5OLDQwOTk0LC0xQVkpKQ==&amp;WINDOW=FIRST_POPUP&amp;HEIGHT=450&amp;WIDTH=450&amp;","START_MAXIMIZED=FALSE&amp;VAR:CALENDAR=US&amp;VAR:SYMBOL=LO"}</definedName>
    <definedName name="_69__FDSAUDITLINK__" hidden="1">{"fdsup://directions/FAT Viewer?action=UPDATE&amp;creator=factset&amp;DYN_ARGS=TRUE&amp;DOC_NAME=FAT:FQL_AUDITING_CLIENT_TEMPLATE.FAT&amp;display_string=Audit&amp;VAR:KEY=DIZWBYXEPK&amp;VAR:QUERY=QVZHKEZGX0RJVl9ZTEQoQU5OLDQwOTk0LC0xQVkpKQ==&amp;WINDOW=FIRST_POPUP&amp;HEIGHT=450&amp;WIDTH=450&amp;","START_MAXIMIZED=FALSE&amp;VAR:CALENDAR=US&amp;VAR:SYMBOL=LO"}</definedName>
    <definedName name="_69_NOTE1_3">#REF!</definedName>
    <definedName name="_690">#REF!</definedName>
    <definedName name="_690__FDSAUDITLINK__" localSheetId="0" hidden="1">{"fdsup://directions/FAT Viewer?action=UPDATE&amp;creator=factset&amp;DYN_ARGS=TRUE&amp;DOC_NAME=FAT:FQL_AUDITING_CLIENT_TEMPLATE.FAT&amp;display_string=Audit&amp;VAR:KEY=XAHEZWZOJK&amp;VAR:QUERY=RkZfRElWX1lMRChBTk4sMS8xNy8wOCwxLzE3LzA4KQ==&amp;WINDOW=FIRST_POPUP&amp;HEIGHT=450&amp;WIDTH=450&amp;","START_MAXIMIZED=FALSE&amp;VAR:CALENDAR=US&amp;VAR:SYMBOL=MO&amp;VAR:INDEX=0"}</definedName>
    <definedName name="_690__FDSAUDITLINK__" hidden="1">{"fdsup://directions/FAT Viewer?action=UPDATE&amp;creator=factset&amp;DYN_ARGS=TRUE&amp;DOC_NAME=FAT:FQL_AUDITING_CLIENT_TEMPLATE.FAT&amp;display_string=Audit&amp;VAR:KEY=XAHEZWZOJK&amp;VAR:QUERY=RkZfRElWX1lMRChBTk4sMS8xNy8wOCwxLzE3LzA4KQ==&amp;WINDOW=FIRST_POPUP&amp;HEIGHT=450&amp;WIDTH=450&amp;","START_MAXIMIZED=FALSE&amp;VAR:CALENDAR=US&amp;VAR:SYMBOL=MO&amp;VAR:INDEX=0"}</definedName>
    <definedName name="_691">#REF!</definedName>
    <definedName name="_691__FDSAUDITLINK__" localSheetId="0" hidden="1">{"fdsup://directions/FAT Viewer?action=UPDATE&amp;creator=factset&amp;DYN_ARGS=TRUE&amp;DOC_NAME=FAT:FQL_AUDITING_CLIENT_TEMPLATE.FAT&amp;display_string=Audit&amp;VAR:KEY=XGPGPETQDU&amp;VAR:QUERY=RkZfRElWX1lMRChBTk4sMS8xMC8wOCwxLzEwLzA4KQ==&amp;WINDOW=FIRST_POPUP&amp;HEIGHT=450&amp;WIDTH=450&amp;","START_MAXIMIZED=FALSE&amp;VAR:CALENDAR=US&amp;VAR:SYMBOL=MO&amp;VAR:INDEX=0"}</definedName>
    <definedName name="_691__FDSAUDITLINK__" hidden="1">{"fdsup://directions/FAT Viewer?action=UPDATE&amp;creator=factset&amp;DYN_ARGS=TRUE&amp;DOC_NAME=FAT:FQL_AUDITING_CLIENT_TEMPLATE.FAT&amp;display_string=Audit&amp;VAR:KEY=XGPGPETQDU&amp;VAR:QUERY=RkZfRElWX1lMRChBTk4sMS8xMC8wOCwxLzEwLzA4KQ==&amp;WINDOW=FIRST_POPUP&amp;HEIGHT=450&amp;WIDTH=450&amp;","START_MAXIMIZED=FALSE&amp;VAR:CALENDAR=US&amp;VAR:SYMBOL=MO&amp;VAR:INDEX=0"}</definedName>
    <definedName name="_692">#REF!</definedName>
    <definedName name="_692__FDSAUDITLINK__" localSheetId="0" hidden="1">{"fdsup://directions/FAT Viewer?action=UPDATE&amp;creator=factset&amp;DYN_ARGS=TRUE&amp;DOC_NAME=FAT:FQL_AUDITING_CLIENT_TEMPLATE.FAT&amp;display_string=Audit&amp;VAR:KEY=TGHERALSZQ&amp;VAR:QUERY=RkZfRElWX1lMRChBTk4sMS8wMy8wOCwxLzAzLzA4KQ==&amp;WINDOW=FIRST_POPUP&amp;HEIGHT=450&amp;WIDTH=450&amp;","START_MAXIMIZED=FALSE&amp;VAR:CALENDAR=US&amp;VAR:SYMBOL=MO&amp;VAR:INDEX=0"}</definedName>
    <definedName name="_692__FDSAUDITLINK__" hidden="1">{"fdsup://directions/FAT Viewer?action=UPDATE&amp;creator=factset&amp;DYN_ARGS=TRUE&amp;DOC_NAME=FAT:FQL_AUDITING_CLIENT_TEMPLATE.FAT&amp;display_string=Audit&amp;VAR:KEY=TGHERALSZQ&amp;VAR:QUERY=RkZfRElWX1lMRChBTk4sMS8wMy8wOCwxLzAzLzA4KQ==&amp;WINDOW=FIRST_POPUP&amp;HEIGHT=450&amp;WIDTH=450&amp;","START_MAXIMIZED=FALSE&amp;VAR:CALENDAR=US&amp;VAR:SYMBOL=MO&amp;VAR:INDEX=0"}</definedName>
    <definedName name="_693">#REF!</definedName>
    <definedName name="_693__FDSAUDITLINK__" localSheetId="0" hidden="1">{"fdsup://directions/FAT Viewer?action=UPDATE&amp;creator=factset&amp;DYN_ARGS=TRUE&amp;DOC_NAME=FAT:FQL_AUDITING_CLIENT_TEMPLATE.FAT&amp;display_string=Audit&amp;VAR:KEY=TWDMPWBOLE&amp;VAR:QUERY=RkZfRElWX1lMRChBTk4sMTIvMjcvMDcsMTIvMjcvMDcp&amp;WINDOW=FIRST_POPUP&amp;HEIGHT=450&amp;WIDTH=450&amp;","START_MAXIMIZED=FALSE&amp;VAR:CALENDAR=US&amp;VAR:SYMBOL=MO&amp;VAR:INDEX=0"}</definedName>
    <definedName name="_693__FDSAUDITLINK__" hidden="1">{"fdsup://directions/FAT Viewer?action=UPDATE&amp;creator=factset&amp;DYN_ARGS=TRUE&amp;DOC_NAME=FAT:FQL_AUDITING_CLIENT_TEMPLATE.FAT&amp;display_string=Audit&amp;VAR:KEY=TWDMPWBOLE&amp;VAR:QUERY=RkZfRElWX1lMRChBTk4sMTIvMjcvMDcsMTIvMjcvMDcp&amp;WINDOW=FIRST_POPUP&amp;HEIGHT=450&amp;WIDTH=450&amp;","START_MAXIMIZED=FALSE&amp;VAR:CALENDAR=US&amp;VAR:SYMBOL=MO&amp;VAR:INDEX=0"}</definedName>
    <definedName name="_694">#REF!</definedName>
    <definedName name="_694__FDSAUDITLINK__" localSheetId="0" hidden="1">{"fdsup://directions/FAT Viewer?action=UPDATE&amp;creator=factset&amp;DYN_ARGS=TRUE&amp;DOC_NAME=FAT:FQL_AUDITING_CLIENT_TEMPLATE.FAT&amp;display_string=Audit&amp;VAR:KEY=BETOZSBAHS&amp;VAR:QUERY=RkZfRElWX1lMRChBTk4sMTIvMjAvMDcsMTIvMjAvMDcp&amp;WINDOW=FIRST_POPUP&amp;HEIGHT=450&amp;WIDTH=450&amp;","START_MAXIMIZED=FALSE&amp;VAR:CALENDAR=US&amp;VAR:SYMBOL=MO&amp;VAR:INDEX=0"}</definedName>
    <definedName name="_694__FDSAUDITLINK__" hidden="1">{"fdsup://directions/FAT Viewer?action=UPDATE&amp;creator=factset&amp;DYN_ARGS=TRUE&amp;DOC_NAME=FAT:FQL_AUDITING_CLIENT_TEMPLATE.FAT&amp;display_string=Audit&amp;VAR:KEY=BETOZSBAHS&amp;VAR:QUERY=RkZfRElWX1lMRChBTk4sMTIvMjAvMDcsMTIvMjAvMDcp&amp;WINDOW=FIRST_POPUP&amp;HEIGHT=450&amp;WIDTH=450&amp;","START_MAXIMIZED=FALSE&amp;VAR:CALENDAR=US&amp;VAR:SYMBOL=MO&amp;VAR:INDEX=0"}</definedName>
    <definedName name="_695">#REF!</definedName>
    <definedName name="_695__FDSAUDITLINK__" localSheetId="0" hidden="1">{"fdsup://directions/FAT Viewer?action=UPDATE&amp;creator=factset&amp;DYN_ARGS=TRUE&amp;DOC_NAME=FAT:FQL_AUDITING_CLIENT_TEMPLATE.FAT&amp;display_string=Audit&amp;VAR:KEY=XEFYXCZOVC&amp;VAR:QUERY=RkZfRElWX1lMRChBTk4sMTIvMTMvMDcsMTIvMTMvMDcp&amp;WINDOW=FIRST_POPUP&amp;HEIGHT=450&amp;WIDTH=450&amp;","START_MAXIMIZED=FALSE&amp;VAR:CALENDAR=US&amp;VAR:SYMBOL=MO&amp;VAR:INDEX=0"}</definedName>
    <definedName name="_695__FDSAUDITLINK__" hidden="1">{"fdsup://directions/FAT Viewer?action=UPDATE&amp;creator=factset&amp;DYN_ARGS=TRUE&amp;DOC_NAME=FAT:FQL_AUDITING_CLIENT_TEMPLATE.FAT&amp;display_string=Audit&amp;VAR:KEY=XEFYXCZOVC&amp;VAR:QUERY=RkZfRElWX1lMRChBTk4sMTIvMTMvMDcsMTIvMTMvMDcp&amp;WINDOW=FIRST_POPUP&amp;HEIGHT=450&amp;WIDTH=450&amp;","START_MAXIMIZED=FALSE&amp;VAR:CALENDAR=US&amp;VAR:SYMBOL=MO&amp;VAR:INDEX=0"}</definedName>
    <definedName name="_696">#REF!</definedName>
    <definedName name="_696__FDSAUDITLINK__" localSheetId="0" hidden="1">{"fdsup://directions/FAT Viewer?action=UPDATE&amp;creator=factset&amp;DYN_ARGS=TRUE&amp;DOC_NAME=FAT:FQL_AUDITING_CLIENT_TEMPLATE.FAT&amp;display_string=Audit&amp;VAR:KEY=PSNAJKHITM&amp;VAR:QUERY=RkZfRElWX1lMRChBTk4sMTIvMDYvMDcsMTIvMDYvMDcp&amp;WINDOW=FIRST_POPUP&amp;HEIGHT=450&amp;WIDTH=450&amp;","START_MAXIMIZED=FALSE&amp;VAR:CALENDAR=US&amp;VAR:SYMBOL=MO&amp;VAR:INDEX=0"}</definedName>
    <definedName name="_696__FDSAUDITLINK__" hidden="1">{"fdsup://directions/FAT Viewer?action=UPDATE&amp;creator=factset&amp;DYN_ARGS=TRUE&amp;DOC_NAME=FAT:FQL_AUDITING_CLIENT_TEMPLATE.FAT&amp;display_string=Audit&amp;VAR:KEY=PSNAJKHITM&amp;VAR:QUERY=RkZfRElWX1lMRChBTk4sMTIvMDYvMDcsMTIvMDYvMDcp&amp;WINDOW=FIRST_POPUP&amp;HEIGHT=450&amp;WIDTH=450&amp;","START_MAXIMIZED=FALSE&amp;VAR:CALENDAR=US&amp;VAR:SYMBOL=MO&amp;VAR:INDEX=0"}</definedName>
    <definedName name="_697">#REF!</definedName>
    <definedName name="_697__FDSAUDITLINK__" localSheetId="0" hidden="1">{"fdsup://directions/FAT Viewer?action=UPDATE&amp;creator=factset&amp;DYN_ARGS=TRUE&amp;DOC_NAME=FAT:FQL_AUDITING_CLIENT_TEMPLATE.FAT&amp;display_string=Audit&amp;VAR:KEY=TUPUXAVCBC&amp;VAR:QUERY=RkZfRElWX1lMRChBTk4sMTEvMjkvMDcsMTEvMjkvMDcp&amp;WINDOW=FIRST_POPUP&amp;HEIGHT=450&amp;WIDTH=450&amp;","START_MAXIMIZED=FALSE&amp;VAR:CALENDAR=US&amp;VAR:SYMBOL=MO&amp;VAR:INDEX=0"}</definedName>
    <definedName name="_697__FDSAUDITLINK__" hidden="1">{"fdsup://directions/FAT Viewer?action=UPDATE&amp;creator=factset&amp;DYN_ARGS=TRUE&amp;DOC_NAME=FAT:FQL_AUDITING_CLIENT_TEMPLATE.FAT&amp;display_string=Audit&amp;VAR:KEY=TUPUXAVCBC&amp;VAR:QUERY=RkZfRElWX1lMRChBTk4sMTEvMjkvMDcsMTEvMjkvMDcp&amp;WINDOW=FIRST_POPUP&amp;HEIGHT=450&amp;WIDTH=450&amp;","START_MAXIMIZED=FALSE&amp;VAR:CALENDAR=US&amp;VAR:SYMBOL=MO&amp;VAR:INDEX=0"}</definedName>
    <definedName name="_698">#REF!</definedName>
    <definedName name="_698__FDSAUDITLINK__" localSheetId="0" hidden="1">{"fdsup://directions/FAT Viewer?action=UPDATE&amp;creator=factset&amp;DYN_ARGS=TRUE&amp;DOC_NAME=FAT:FQL_AUDITING_CLIENT_TEMPLATE.FAT&amp;display_string=Audit&amp;VAR:KEY=VMLKPMTEFG&amp;VAR:QUERY=RkZfRElWX1lMRChBTk4sMTEvMjEvMDcsMTEvMjEvMDcp&amp;WINDOW=FIRST_POPUP&amp;HEIGHT=450&amp;WIDTH=450&amp;","START_MAXIMIZED=FALSE&amp;VAR:CALENDAR=US&amp;VAR:SYMBOL=MO&amp;VAR:INDEX=0"}</definedName>
    <definedName name="_698__FDSAUDITLINK__" hidden="1">{"fdsup://directions/FAT Viewer?action=UPDATE&amp;creator=factset&amp;DYN_ARGS=TRUE&amp;DOC_NAME=FAT:FQL_AUDITING_CLIENT_TEMPLATE.FAT&amp;display_string=Audit&amp;VAR:KEY=VMLKPMTEFG&amp;VAR:QUERY=RkZfRElWX1lMRChBTk4sMTEvMjEvMDcsMTEvMjEvMDcp&amp;WINDOW=FIRST_POPUP&amp;HEIGHT=450&amp;WIDTH=450&amp;","START_MAXIMIZED=FALSE&amp;VAR:CALENDAR=US&amp;VAR:SYMBOL=MO&amp;VAR:INDEX=0"}</definedName>
    <definedName name="_699">#REF!</definedName>
    <definedName name="_699__FDSAUDITLINK__" localSheetId="0" hidden="1">{"fdsup://directions/FAT Viewer?action=UPDATE&amp;creator=factset&amp;DYN_ARGS=TRUE&amp;DOC_NAME=FAT:FQL_AUDITING_CLIENT_TEMPLATE.FAT&amp;display_string=Audit&amp;VAR:KEY=TYHCFERCBE&amp;VAR:QUERY=RkZfRElWX1lMRChBTk4sMTEvMTUvMDcsMTEvMTUvMDcp&amp;WINDOW=FIRST_POPUP&amp;HEIGHT=450&amp;WIDTH=450&amp;","START_MAXIMIZED=FALSE&amp;VAR:CALENDAR=US&amp;VAR:SYMBOL=MO&amp;VAR:INDEX=0"}</definedName>
    <definedName name="_699__FDSAUDITLINK__" hidden="1">{"fdsup://directions/FAT Viewer?action=UPDATE&amp;creator=factset&amp;DYN_ARGS=TRUE&amp;DOC_NAME=FAT:FQL_AUDITING_CLIENT_TEMPLATE.FAT&amp;display_string=Audit&amp;VAR:KEY=TYHCFERCBE&amp;VAR:QUERY=RkZfRElWX1lMRChBTk4sMTEvMTUvMDcsMTEvMTUvMDcp&amp;WINDOW=FIRST_POPUP&amp;HEIGHT=450&amp;WIDTH=450&amp;","START_MAXIMIZED=FALSE&amp;VAR:CALENDAR=US&amp;VAR:SYMBOL=MO&amp;VAR:INDEX=0"}</definedName>
    <definedName name="_6a1_">{"'Sheet1'!$L$16"}</definedName>
    <definedName name="_6M">#REF!</definedName>
    <definedName name="_6main_form_account_grants_list_10_j_id1022">#REF!</definedName>
    <definedName name="_6O2_">#REF!</definedName>
    <definedName name="_6S">#REF!</definedName>
    <definedName name="_6s10_" hidden="1">{#N/A,#N/A,FALSE,"UNIT";#N/A,#N/A,FALSE,"UNIT";#N/A,#N/A,FALSE,"계정"}</definedName>
    <definedName name="_6s11_" hidden="1">{#N/A,#N/A,FALSE,"UNIT";#N/A,#N/A,FALSE,"UNIT";#N/A,#N/A,FALSE,"계정"}</definedName>
    <definedName name="_6Table2_" hidden="1">#REF!</definedName>
    <definedName name="_6월">#REF!</definedName>
    <definedName name="_7">#REF!</definedName>
    <definedName name="_7___________B_S">#REF!</definedName>
    <definedName name="_7__123Graph_AChart_2I">#REF!</definedName>
    <definedName name="_7__123Graph_ACONTRACT_BY_B_U">#REF!</definedName>
    <definedName name="_7__123Graph_AQRE_S_BY_CO.">#REF!</definedName>
    <definedName name="_7__123Graph_AQRE_S_BY_TYPE" hidden="1">#REF!</definedName>
    <definedName name="_7__123Graph_ASENS_COMPARISON">#REF!</definedName>
    <definedName name="_7__123Graph_ASUPPLIES_BY_B_U">#REF!</definedName>
    <definedName name="_7__123Graph_ATAX_CREDIT" hidden="1">#REF!</definedName>
    <definedName name="_7__123Graph_AWAGES_BY_B_U">#REF!</definedName>
    <definedName name="_7__123Graph_BCONTRACT_BY_B_U">#REF!</definedName>
    <definedName name="_7__123Graph_CQRE_S_BY_TYPE">#REF!</definedName>
    <definedName name="_7__123Graph_DSALES_MONTH" hidden="1">#REF!</definedName>
    <definedName name="_7__FDSAUDITLINK__" localSheetId="0" hidden="1">{"fdsup://directions/FAT Viewer?action=UPDATE&amp;creator=factset&amp;DYN_ARGS=TRUE&amp;DOC_NAME=FAT:FQL_AUDITING_CLIENT_TEMPLATE.FAT&amp;display_string=Audit&amp;VAR:KEY=MFQRWZCBKZ&amp;VAR:QUERY=Q1NGX0RJVl9ZTEQoUVRSX1IsNi8zMC8yMDA5KQ==&amp;WINDOW=FIRST_POPUP&amp;HEIGHT=450&amp;WIDTH=450&amp;STAR","T_MAXIMIZED=FALSE&amp;VAR:CALENDAR=US&amp;VAR:SYMBOL=MO&amp;VAR:INDEX=0"}</definedName>
    <definedName name="_7__FDSAUDITLINK__" hidden="1">{"fdsup://directions/FAT Viewer?action=UPDATE&amp;creator=factset&amp;DYN_ARGS=TRUE&amp;DOC_NAME=FAT:FQL_AUDITING_CLIENT_TEMPLATE.FAT&amp;display_string=Audit&amp;VAR:KEY=MFQRWZCBKZ&amp;VAR:QUERY=Q1NGX0RJVl9ZTEQoUVRSX1IsNi8zMC8yMDA5KQ==&amp;WINDOW=FIRST_POPUP&amp;HEIGHT=450&amp;WIDTH=450&amp;STAR","T_MAXIMIZED=FALSE&amp;VAR:CALENDAR=US&amp;VAR:SYMBOL=MO&amp;VAR:INDEX=0"}</definedName>
    <definedName name="_7_0_0COST">#REF!</definedName>
    <definedName name="_7_0_S" hidden="1">#REF!</definedName>
    <definedName name="_7_0_Table2_">#REF!</definedName>
    <definedName name="_70">#REF!</definedName>
    <definedName name="_70__123Graph_CCHART_8">#REF!</definedName>
    <definedName name="_70__FDSAUDITLINK__" localSheetId="0" hidden="1">{"fdsup://directions/FAT Viewer?action=UPDATE&amp;creator=factset&amp;DYN_ARGS=TRUE&amp;DOC_NAME=FAT:FQL_AUDITING_CLIENT_TEMPLATE.FAT&amp;display_string=Audit&amp;VAR:KEY=XOPGPWFMRC&amp;VAR:QUERY=RkZfRElWX1lMRChBTk4sNDA5OTQp&amp;WINDOW=FIRST_POPUP&amp;HEIGHT=450&amp;WIDTH=450&amp;START_MAXIMIZED=","FALSE&amp;VAR:CALENDAR=US&amp;VAR:SYMBOL=PM&amp;VAR:INDEX=0"}</definedName>
    <definedName name="_70__FDSAUDITLINK__" hidden="1">{"fdsup://directions/FAT Viewer?action=UPDATE&amp;creator=factset&amp;DYN_ARGS=TRUE&amp;DOC_NAME=FAT:FQL_AUDITING_CLIENT_TEMPLATE.FAT&amp;display_string=Audit&amp;VAR:KEY=XOPGPWFMRC&amp;VAR:QUERY=RkZfRElWX1lMRChBTk4sNDA5OTQp&amp;WINDOW=FIRST_POPUP&amp;HEIGHT=450&amp;WIDTH=450&amp;START_MAXIMIZED=","FALSE&amp;VAR:CALENDAR=US&amp;VAR:SYMBOL=PM&amp;VAR:INDEX=0"}</definedName>
    <definedName name="_70_0_S" hidden="1">#REF!</definedName>
    <definedName name="_70_NOTE5_7">#REF!</definedName>
    <definedName name="_700">#REF!</definedName>
    <definedName name="_700__FDSAUDITLINK__" localSheetId="0" hidden="1">{"fdsup://directions/FAT Viewer?action=UPDATE&amp;creator=factset&amp;DYN_ARGS=TRUE&amp;DOC_NAME=FAT:FQL_AUDITING_CLIENT_TEMPLATE.FAT&amp;display_string=Audit&amp;VAR:KEY=PGNWZAPKXW&amp;VAR:QUERY=RkZfRElWX1lMRChBTk4sMTEvMDgvMDcsMTEvMDgvMDcp&amp;WINDOW=FIRST_POPUP&amp;HEIGHT=450&amp;WIDTH=450&amp;","START_MAXIMIZED=FALSE&amp;VAR:CALENDAR=US&amp;VAR:SYMBOL=MO&amp;VAR:INDEX=0"}</definedName>
    <definedName name="_700__FDSAUDITLINK__" hidden="1">{"fdsup://directions/FAT Viewer?action=UPDATE&amp;creator=factset&amp;DYN_ARGS=TRUE&amp;DOC_NAME=FAT:FQL_AUDITING_CLIENT_TEMPLATE.FAT&amp;display_string=Audit&amp;VAR:KEY=PGNWZAPKXW&amp;VAR:QUERY=RkZfRElWX1lMRChBTk4sMTEvMDgvMDcsMTEvMDgvMDcp&amp;WINDOW=FIRST_POPUP&amp;HEIGHT=450&amp;WIDTH=450&amp;","START_MAXIMIZED=FALSE&amp;VAR:CALENDAR=US&amp;VAR:SYMBOL=MO&amp;VAR:INDEX=0"}</definedName>
    <definedName name="_701">#REF!</definedName>
    <definedName name="_701__FDSAUDITLINK__" localSheetId="0" hidden="1">{"fdsup://directions/FAT Viewer?action=UPDATE&amp;creator=factset&amp;DYN_ARGS=TRUE&amp;DOC_NAME=FAT:FQL_AUDITING_CLIENT_TEMPLATE.FAT&amp;display_string=Audit&amp;VAR:KEY=XIVQVSTUTS&amp;VAR:QUERY=RkZfRElWX1lMRChBTk4sMTEvMDEvMDcsMTEvMDEvMDcp&amp;WINDOW=FIRST_POPUP&amp;HEIGHT=450&amp;WIDTH=450&amp;","START_MAXIMIZED=FALSE&amp;VAR:CALENDAR=US&amp;VAR:SYMBOL=MO&amp;VAR:INDEX=0"}</definedName>
    <definedName name="_701__FDSAUDITLINK__" hidden="1">{"fdsup://directions/FAT Viewer?action=UPDATE&amp;creator=factset&amp;DYN_ARGS=TRUE&amp;DOC_NAME=FAT:FQL_AUDITING_CLIENT_TEMPLATE.FAT&amp;display_string=Audit&amp;VAR:KEY=XIVQVSTUTS&amp;VAR:QUERY=RkZfRElWX1lMRChBTk4sMTEvMDEvMDcsMTEvMDEvMDcp&amp;WINDOW=FIRST_POPUP&amp;HEIGHT=450&amp;WIDTH=450&amp;","START_MAXIMIZED=FALSE&amp;VAR:CALENDAR=US&amp;VAR:SYMBOL=MO&amp;VAR:INDEX=0"}</definedName>
    <definedName name="_702">#REF!</definedName>
    <definedName name="_702__FDSAUDITLINK__" localSheetId="0" hidden="1">{"fdsup://directions/FAT Viewer?action=UPDATE&amp;creator=factset&amp;DYN_ARGS=TRUE&amp;DOC_NAME=FAT:FQL_AUDITING_CLIENT_TEMPLATE.FAT&amp;display_string=Audit&amp;VAR:KEY=TURYJKVKFY&amp;VAR:QUERY=RkZfRElWX1lMRChBTk4sMTAvMjUvMDcsMTAvMjUvMDcp&amp;WINDOW=FIRST_POPUP&amp;HEIGHT=450&amp;WIDTH=450&amp;","START_MAXIMIZED=FALSE&amp;VAR:CALENDAR=US&amp;VAR:SYMBOL=MO&amp;VAR:INDEX=0"}</definedName>
    <definedName name="_702__FDSAUDITLINK__" hidden="1">{"fdsup://directions/FAT Viewer?action=UPDATE&amp;creator=factset&amp;DYN_ARGS=TRUE&amp;DOC_NAME=FAT:FQL_AUDITING_CLIENT_TEMPLATE.FAT&amp;display_string=Audit&amp;VAR:KEY=TURYJKVKFY&amp;VAR:QUERY=RkZfRElWX1lMRChBTk4sMTAvMjUvMDcsMTAvMjUvMDcp&amp;WINDOW=FIRST_POPUP&amp;HEIGHT=450&amp;WIDTH=450&amp;","START_MAXIMIZED=FALSE&amp;VAR:CALENDAR=US&amp;VAR:SYMBOL=MO&amp;VAR:INDEX=0"}</definedName>
    <definedName name="_703__FDSAUDITLINK__" localSheetId="0" hidden="1">{"fdsup://directions/FAT Viewer?action=UPDATE&amp;creator=factset&amp;DYN_ARGS=TRUE&amp;DOC_NAME=FAT:FQL_AUDITING_CLIENT_TEMPLATE.FAT&amp;display_string=Audit&amp;VAR:KEY=ZOVINIJWZK&amp;VAR:QUERY=RkZfRElWX1lMRChBTk4sMTAvMTgvMDcsMTAvMTgvMDcp&amp;WINDOW=FIRST_POPUP&amp;HEIGHT=450&amp;WIDTH=450&amp;","START_MAXIMIZED=FALSE&amp;VAR:CALENDAR=US&amp;VAR:SYMBOL=MO&amp;VAR:INDEX=0"}</definedName>
    <definedName name="_703__FDSAUDITLINK__" hidden="1">{"fdsup://directions/FAT Viewer?action=UPDATE&amp;creator=factset&amp;DYN_ARGS=TRUE&amp;DOC_NAME=FAT:FQL_AUDITING_CLIENT_TEMPLATE.FAT&amp;display_string=Audit&amp;VAR:KEY=ZOVINIJWZK&amp;VAR:QUERY=RkZfRElWX1lMRChBTk4sMTAvMTgvMDcsMTAvMTgvMDcp&amp;WINDOW=FIRST_POPUP&amp;HEIGHT=450&amp;WIDTH=450&amp;","START_MAXIMIZED=FALSE&amp;VAR:CALENDAR=US&amp;VAR:SYMBOL=MO&amp;VAR:INDEX=0"}</definedName>
    <definedName name="_7037">#REF!</definedName>
    <definedName name="_7038">#REF!</definedName>
    <definedName name="_704__FDSAUDITLINK__" localSheetId="0" hidden="1">{"fdsup://directions/FAT Viewer?action=UPDATE&amp;creator=factset&amp;DYN_ARGS=TRUE&amp;DOC_NAME=FAT:FQL_AUDITING_CLIENT_TEMPLATE.FAT&amp;display_string=Audit&amp;VAR:KEY=FAROHOFUNI&amp;VAR:QUERY=RkZfRElWX1lMRChBTk4sMTAvMTEvMDcsMTAvMTEvMDcp&amp;WINDOW=FIRST_POPUP&amp;HEIGHT=450&amp;WIDTH=450&amp;","START_MAXIMIZED=FALSE&amp;VAR:CALENDAR=US&amp;VAR:SYMBOL=MO&amp;VAR:INDEX=0"}</definedName>
    <definedName name="_704__FDSAUDITLINK__" hidden="1">{"fdsup://directions/FAT Viewer?action=UPDATE&amp;creator=factset&amp;DYN_ARGS=TRUE&amp;DOC_NAME=FAT:FQL_AUDITING_CLIENT_TEMPLATE.FAT&amp;display_string=Audit&amp;VAR:KEY=FAROHOFUNI&amp;VAR:QUERY=RkZfRElWX1lMRChBTk4sMTAvMTEvMDcsMTAvMTEvMDcp&amp;WINDOW=FIRST_POPUP&amp;HEIGHT=450&amp;WIDTH=450&amp;","START_MAXIMIZED=FALSE&amp;VAR:CALENDAR=US&amp;VAR:SYMBOL=MO&amp;VAR:INDEX=0"}</definedName>
    <definedName name="_7040">#REF!</definedName>
    <definedName name="_7041">#REF!</definedName>
    <definedName name="_7043">#REF!</definedName>
    <definedName name="_7044">#REF!</definedName>
    <definedName name="_705__FDSAUDITLINK__" localSheetId="0" hidden="1">{"fdsup://directions/FAT Viewer?action=UPDATE&amp;creator=factset&amp;DYN_ARGS=TRUE&amp;DOC_NAME=FAT:FQL_AUDITING_CLIENT_TEMPLATE.FAT&amp;display_string=Audit&amp;VAR:KEY=DQLULEJGNY&amp;VAR:QUERY=RkZfRElWX1lMRChBTk4sMTAvMDQvMDcsMTAvMDQvMDcp&amp;WINDOW=FIRST_POPUP&amp;HEIGHT=450&amp;WIDTH=450&amp;","START_MAXIMIZED=FALSE&amp;VAR:CALENDAR=US&amp;VAR:SYMBOL=MO&amp;VAR:INDEX=0"}</definedName>
    <definedName name="_705__FDSAUDITLINK__" hidden="1">{"fdsup://directions/FAT Viewer?action=UPDATE&amp;creator=factset&amp;DYN_ARGS=TRUE&amp;DOC_NAME=FAT:FQL_AUDITING_CLIENT_TEMPLATE.FAT&amp;display_string=Audit&amp;VAR:KEY=DQLULEJGNY&amp;VAR:QUERY=RkZfRElWX1lMRChBTk4sMTAvMDQvMDcsMTAvMDQvMDcp&amp;WINDOW=FIRST_POPUP&amp;HEIGHT=450&amp;WIDTH=450&amp;","START_MAXIMIZED=FALSE&amp;VAR:CALENDAR=US&amp;VAR:SYMBOL=MO&amp;VAR:INDEX=0"}</definedName>
    <definedName name="_706__FDSAUDITLINK__" localSheetId="0" hidden="1">{"fdsup://directions/FAT Viewer?action=UPDATE&amp;creator=factset&amp;DYN_ARGS=TRUE&amp;DOC_NAME=FAT:FQL_AUDITING_CLIENT_TEMPLATE.FAT&amp;display_string=Audit&amp;VAR:KEY=ZKVUTORABI&amp;VAR:QUERY=RkZfRElWX1lMRChBTk4sOS8yNy8wNyw5LzI3LzA3KQ==&amp;WINDOW=FIRST_POPUP&amp;HEIGHT=450&amp;WIDTH=450&amp;","START_MAXIMIZED=FALSE&amp;VAR:CALENDAR=US&amp;VAR:SYMBOL=MO&amp;VAR:INDEX=0"}</definedName>
    <definedName name="_706__FDSAUDITLINK__" hidden="1">{"fdsup://directions/FAT Viewer?action=UPDATE&amp;creator=factset&amp;DYN_ARGS=TRUE&amp;DOC_NAME=FAT:FQL_AUDITING_CLIENT_TEMPLATE.FAT&amp;display_string=Audit&amp;VAR:KEY=ZKVUTORABI&amp;VAR:QUERY=RkZfRElWX1lMRChBTk4sOS8yNy8wNyw5LzI3LzA3KQ==&amp;WINDOW=FIRST_POPUP&amp;HEIGHT=450&amp;WIDTH=450&amp;","START_MAXIMIZED=FALSE&amp;VAR:CALENDAR=US&amp;VAR:SYMBOL=MO&amp;VAR:INDEX=0"}</definedName>
    <definedName name="_707__FDSAUDITLINK__" localSheetId="0" hidden="1">{"fdsup://directions/FAT Viewer?action=UPDATE&amp;creator=factset&amp;DYN_ARGS=TRUE&amp;DOC_NAME=FAT:FQL_AUDITING_CLIENT_TEMPLATE.FAT&amp;display_string=Audit&amp;VAR:KEY=JSFCVSVQDW&amp;VAR:QUERY=RkZfRElWX1lMRChBTk4sOS8yMC8wNyw5LzIwLzA3KQ==&amp;WINDOW=FIRST_POPUP&amp;HEIGHT=450&amp;WIDTH=450&amp;","START_MAXIMIZED=FALSE&amp;VAR:CALENDAR=US&amp;VAR:SYMBOL=MO&amp;VAR:INDEX=0"}</definedName>
    <definedName name="_707__FDSAUDITLINK__" hidden="1">{"fdsup://directions/FAT Viewer?action=UPDATE&amp;creator=factset&amp;DYN_ARGS=TRUE&amp;DOC_NAME=FAT:FQL_AUDITING_CLIENT_TEMPLATE.FAT&amp;display_string=Audit&amp;VAR:KEY=JSFCVSVQDW&amp;VAR:QUERY=RkZfRElWX1lMRChBTk4sOS8yMC8wNyw5LzIwLzA3KQ==&amp;WINDOW=FIRST_POPUP&amp;HEIGHT=450&amp;WIDTH=450&amp;","START_MAXIMIZED=FALSE&amp;VAR:CALENDAR=US&amp;VAR:SYMBOL=MO&amp;VAR:INDEX=0"}</definedName>
    <definedName name="_708__FDSAUDITLINK__" localSheetId="0" hidden="1">{"fdsup://directions/FAT Viewer?action=UPDATE&amp;creator=factset&amp;DYN_ARGS=TRUE&amp;DOC_NAME=FAT:FQL_AUDITING_CLIENT_TEMPLATE.FAT&amp;display_string=Audit&amp;VAR:KEY=BSRQTQHABA&amp;VAR:QUERY=RkZfRElWX1lMRChBTk4sOS8xMy8wNyw5LzEzLzA3KQ==&amp;WINDOW=FIRST_POPUP&amp;HEIGHT=450&amp;WIDTH=450&amp;","START_MAXIMIZED=FALSE&amp;VAR:CALENDAR=US&amp;VAR:SYMBOL=MO&amp;VAR:INDEX=0"}</definedName>
    <definedName name="_708__FDSAUDITLINK__" hidden="1">{"fdsup://directions/FAT Viewer?action=UPDATE&amp;creator=factset&amp;DYN_ARGS=TRUE&amp;DOC_NAME=FAT:FQL_AUDITING_CLIENT_TEMPLATE.FAT&amp;display_string=Audit&amp;VAR:KEY=BSRQTQHABA&amp;VAR:QUERY=RkZfRElWX1lMRChBTk4sOS8xMy8wNyw5LzEzLzA3KQ==&amp;WINDOW=FIRST_POPUP&amp;HEIGHT=450&amp;WIDTH=450&amp;","START_MAXIMIZED=FALSE&amp;VAR:CALENDAR=US&amp;VAR:SYMBOL=MO&amp;VAR:INDEX=0"}</definedName>
    <definedName name="_709__FDSAUDITLINK__" localSheetId="0" hidden="1">{"fdsup://directions/FAT Viewer?action=UPDATE&amp;creator=factset&amp;DYN_ARGS=TRUE&amp;DOC_NAME=FAT:FQL_AUDITING_CLIENT_TEMPLATE.FAT&amp;display_string=Audit&amp;VAR:KEY=BAFMNOHMHW&amp;VAR:QUERY=RkZfRElWX1lMRChBTk4sOS8wNi8wNyw5LzA2LzA3KQ==&amp;WINDOW=FIRST_POPUP&amp;HEIGHT=450&amp;WIDTH=450&amp;","START_MAXIMIZED=FALSE&amp;VAR:CALENDAR=US&amp;VAR:SYMBOL=MO&amp;VAR:INDEX=0"}</definedName>
    <definedName name="_709__FDSAUDITLINK__" hidden="1">{"fdsup://directions/FAT Viewer?action=UPDATE&amp;creator=factset&amp;DYN_ARGS=TRUE&amp;DOC_NAME=FAT:FQL_AUDITING_CLIENT_TEMPLATE.FAT&amp;display_string=Audit&amp;VAR:KEY=BAFMNOHMHW&amp;VAR:QUERY=RkZfRElWX1lMRChBTk4sOS8wNi8wNyw5LzA2LzA3KQ==&amp;WINDOW=FIRST_POPUP&amp;HEIGHT=450&amp;WIDTH=450&amp;","START_MAXIMIZED=FALSE&amp;VAR:CALENDAR=US&amp;VAR:SYMBOL=MO&amp;VAR:INDEX=0"}</definedName>
    <definedName name="_70main_form_account_grants_list_7_j_id1022">#REF!</definedName>
    <definedName name="_70T1">#REF!</definedName>
    <definedName name="_70T2">#REF!</definedName>
    <definedName name="_71__123Graph_CQRE_S_BY_CO.">#REF!</definedName>
    <definedName name="_71__123Graph_XCHART_8">#REF!</definedName>
    <definedName name="_71__123Graph_XTAX_CREDIT">#REF!</definedName>
    <definedName name="_71__FDSAUDITLINK__" localSheetId="0" hidden="1">{"fdsup://directions/FAT Viewer?action=UPDATE&amp;creator=factset&amp;DYN_ARGS=TRUE&amp;DOC_NAME=FAT:FQL_AUDITING_CLIENT_TEMPLATE.FAT&amp;display_string=Audit&amp;VAR:KEY=PYJOJGBUPG&amp;VAR:QUERY=RkZfRElWX1lMRChBTk4sNDA5OTQp&amp;WINDOW=FIRST_POPUP&amp;HEIGHT=450&amp;WIDTH=450&amp;START_MAXIMIZED=","FALSE&amp;VAR:CALENDAR=US&amp;VAR:SYMBOL=RAI&amp;VAR:INDEX=0"}</definedName>
    <definedName name="_71__FDSAUDITLINK__" hidden="1">{"fdsup://directions/FAT Viewer?action=UPDATE&amp;creator=factset&amp;DYN_ARGS=TRUE&amp;DOC_NAME=FAT:FQL_AUDITING_CLIENT_TEMPLATE.FAT&amp;display_string=Audit&amp;VAR:KEY=PYJOJGBUPG&amp;VAR:QUERY=RkZfRElWX1lMRChBTk4sNDA5OTQp&amp;WINDOW=FIRST_POPUP&amp;HEIGHT=450&amp;WIDTH=450&amp;START_MAXIMIZED=","FALSE&amp;VAR:CALENDAR=US&amp;VAR:SYMBOL=RAI&amp;VAR:INDEX=0"}</definedName>
    <definedName name="_71_0_S" hidden="1">#REF!</definedName>
    <definedName name="_71_NOTE8_9">#REF!</definedName>
    <definedName name="_710">#REF!</definedName>
    <definedName name="_710__FDSAUDITLINK__" localSheetId="0" hidden="1">{"fdsup://directions/FAT Viewer?action=UPDATE&amp;creator=factset&amp;DYN_ARGS=TRUE&amp;DOC_NAME=FAT:FQL_AUDITING_CLIENT_TEMPLATE.FAT&amp;display_string=Audit&amp;VAR:KEY=LQNKLMNOVA&amp;VAR:QUERY=RkZfRElWX1lMRChBTk4sOC8zMC8wNyw4LzMwLzA3KQ==&amp;WINDOW=FIRST_POPUP&amp;HEIGHT=450&amp;WIDTH=450&amp;","START_MAXIMIZED=FALSE&amp;VAR:CALENDAR=US&amp;VAR:SYMBOL=MO&amp;VAR:INDEX=0"}</definedName>
    <definedName name="_710__FDSAUDITLINK__" hidden="1">{"fdsup://directions/FAT Viewer?action=UPDATE&amp;creator=factset&amp;DYN_ARGS=TRUE&amp;DOC_NAME=FAT:FQL_AUDITING_CLIENT_TEMPLATE.FAT&amp;display_string=Audit&amp;VAR:KEY=LQNKLMNOVA&amp;VAR:QUERY=RkZfRElWX1lMRChBTk4sOC8zMC8wNyw4LzMwLzA3KQ==&amp;WINDOW=FIRST_POPUP&amp;HEIGHT=450&amp;WIDTH=450&amp;","START_MAXIMIZED=FALSE&amp;VAR:CALENDAR=US&amp;VAR:SYMBOL=MO&amp;VAR:INDEX=0"}</definedName>
    <definedName name="_711__FDSAUDITLINK__" localSheetId="0" hidden="1">{"fdsup://directions/FAT Viewer?action=UPDATE&amp;creator=factset&amp;DYN_ARGS=TRUE&amp;DOC_NAME=FAT:FQL_AUDITING_CLIENT_TEMPLATE.FAT&amp;display_string=Audit&amp;VAR:KEY=VKROXQFMNO&amp;VAR:QUERY=RkZfRElWX1lMRChBTk4sOC8yMy8wNyw4LzIzLzA3KQ==&amp;WINDOW=FIRST_POPUP&amp;HEIGHT=450&amp;WIDTH=450&amp;","START_MAXIMIZED=FALSE&amp;VAR:CALENDAR=US&amp;VAR:SYMBOL=MO&amp;VAR:INDEX=0"}</definedName>
    <definedName name="_711__FDSAUDITLINK__" hidden="1">{"fdsup://directions/FAT Viewer?action=UPDATE&amp;creator=factset&amp;DYN_ARGS=TRUE&amp;DOC_NAME=FAT:FQL_AUDITING_CLIENT_TEMPLATE.FAT&amp;display_string=Audit&amp;VAR:KEY=VKROXQFMNO&amp;VAR:QUERY=RkZfRElWX1lMRChBTk4sOC8yMy8wNyw4LzIzLzA3KQ==&amp;WINDOW=FIRST_POPUP&amp;HEIGHT=450&amp;WIDTH=450&amp;","START_MAXIMIZED=FALSE&amp;VAR:CALENDAR=US&amp;VAR:SYMBOL=MO&amp;VAR:INDEX=0"}</definedName>
    <definedName name="_712__FDSAUDITLINK__" localSheetId="0" hidden="1">{"fdsup://directions/FAT Viewer?action=UPDATE&amp;creator=factset&amp;DYN_ARGS=TRUE&amp;DOC_NAME=FAT:FQL_AUDITING_CLIENT_TEMPLATE.FAT&amp;display_string=Audit&amp;VAR:KEY=VYDOJUROXC&amp;VAR:QUERY=RkZfRElWX1lMRChBTk4sOC8xNi8wNyw4LzE2LzA3KQ==&amp;WINDOW=FIRST_POPUP&amp;HEIGHT=450&amp;WIDTH=450&amp;","START_MAXIMIZED=FALSE&amp;VAR:CALENDAR=US&amp;VAR:SYMBOL=MO&amp;VAR:INDEX=0"}</definedName>
    <definedName name="_712__FDSAUDITLINK__" hidden="1">{"fdsup://directions/FAT Viewer?action=UPDATE&amp;creator=factset&amp;DYN_ARGS=TRUE&amp;DOC_NAME=FAT:FQL_AUDITING_CLIENT_TEMPLATE.FAT&amp;display_string=Audit&amp;VAR:KEY=VYDOJUROXC&amp;VAR:QUERY=RkZfRElWX1lMRChBTk4sOC8xNi8wNyw4LzE2LzA3KQ==&amp;WINDOW=FIRST_POPUP&amp;HEIGHT=450&amp;WIDTH=450&amp;","START_MAXIMIZED=FALSE&amp;VAR:CALENDAR=US&amp;VAR:SYMBOL=MO&amp;VAR:INDEX=0"}</definedName>
    <definedName name="_713__FDSAUDITLINK__" localSheetId="0" hidden="1">{"fdsup://directions/FAT Viewer?action=UPDATE&amp;creator=factset&amp;DYN_ARGS=TRUE&amp;DOC_NAME=FAT:FQL_AUDITING_CLIENT_TEMPLATE.FAT&amp;display_string=Audit&amp;VAR:KEY=FMTUZGRALW&amp;VAR:QUERY=RkZfRElWX1lMRChBTk4sOC8wOS8wNyw4LzA5LzA3KQ==&amp;WINDOW=FIRST_POPUP&amp;HEIGHT=450&amp;WIDTH=450&amp;","START_MAXIMIZED=FALSE&amp;VAR:CALENDAR=US&amp;VAR:SYMBOL=MO&amp;VAR:INDEX=0"}</definedName>
    <definedName name="_713__FDSAUDITLINK__" hidden="1">{"fdsup://directions/FAT Viewer?action=UPDATE&amp;creator=factset&amp;DYN_ARGS=TRUE&amp;DOC_NAME=FAT:FQL_AUDITING_CLIENT_TEMPLATE.FAT&amp;display_string=Audit&amp;VAR:KEY=FMTUZGRALW&amp;VAR:QUERY=RkZfRElWX1lMRChBTk4sOC8wOS8wNyw4LzA5LzA3KQ==&amp;WINDOW=FIRST_POPUP&amp;HEIGHT=450&amp;WIDTH=450&amp;","START_MAXIMIZED=FALSE&amp;VAR:CALENDAR=US&amp;VAR:SYMBOL=MO&amp;VAR:INDEX=0"}</definedName>
    <definedName name="_714">#REF!</definedName>
    <definedName name="_714__FDSAUDITLINK__" localSheetId="0" hidden="1">{"fdsup://directions/FAT Viewer?action=UPDATE&amp;creator=factset&amp;DYN_ARGS=TRUE&amp;DOC_NAME=FAT:FQL_AUDITING_CLIENT_TEMPLATE.FAT&amp;display_string=Audit&amp;VAR:KEY=VUVMVGTCJY&amp;VAR:QUERY=RkZfRElWX1lMRChBTk4sOC8wMi8wNyw4LzAyLzA3KQ==&amp;WINDOW=FIRST_POPUP&amp;HEIGHT=450&amp;WIDTH=450&amp;","START_MAXIMIZED=FALSE&amp;VAR:CALENDAR=US&amp;VAR:SYMBOL=MO&amp;VAR:INDEX=0"}</definedName>
    <definedName name="_714__FDSAUDITLINK__" hidden="1">{"fdsup://directions/FAT Viewer?action=UPDATE&amp;creator=factset&amp;DYN_ARGS=TRUE&amp;DOC_NAME=FAT:FQL_AUDITING_CLIENT_TEMPLATE.FAT&amp;display_string=Audit&amp;VAR:KEY=VUVMVGTCJY&amp;VAR:QUERY=RkZfRElWX1lMRChBTk4sOC8wMi8wNyw4LzAyLzA3KQ==&amp;WINDOW=FIRST_POPUP&amp;HEIGHT=450&amp;WIDTH=450&amp;","START_MAXIMIZED=FALSE&amp;VAR:CALENDAR=US&amp;VAR:SYMBOL=MO&amp;VAR:INDEX=0"}</definedName>
    <definedName name="_715__FDSAUDITLINK__" localSheetId="0" hidden="1">{"fdsup://directions/FAT Viewer?action=UPDATE&amp;creator=factset&amp;DYN_ARGS=TRUE&amp;DOC_NAME=FAT:FQL_AUDITING_CLIENT_TEMPLATE.FAT&amp;display_string=Audit&amp;VAR:KEY=PGNABGFSNW&amp;VAR:QUERY=RkZfRElWX1lMRChBTk4sNy8yNi8wNyw3LzI2LzA3KQ==&amp;WINDOW=FIRST_POPUP&amp;HEIGHT=450&amp;WIDTH=450&amp;","START_MAXIMIZED=FALSE&amp;VAR:CALENDAR=US&amp;VAR:SYMBOL=MO&amp;VAR:INDEX=0"}</definedName>
    <definedName name="_715__FDSAUDITLINK__" hidden="1">{"fdsup://directions/FAT Viewer?action=UPDATE&amp;creator=factset&amp;DYN_ARGS=TRUE&amp;DOC_NAME=FAT:FQL_AUDITING_CLIENT_TEMPLATE.FAT&amp;display_string=Audit&amp;VAR:KEY=PGNABGFSNW&amp;VAR:QUERY=RkZfRElWX1lMRChBTk4sNy8yNi8wNyw3LzI2LzA3KQ==&amp;WINDOW=FIRST_POPUP&amp;HEIGHT=450&amp;WIDTH=450&amp;","START_MAXIMIZED=FALSE&amp;VAR:CALENDAR=US&amp;VAR:SYMBOL=MO&amp;VAR:INDEX=0"}</definedName>
    <definedName name="_716__FDSAUDITLINK__" localSheetId="0" hidden="1">{"fdsup://directions/FAT Viewer?action=UPDATE&amp;creator=factset&amp;DYN_ARGS=TRUE&amp;DOC_NAME=FAT:FQL_AUDITING_CLIENT_TEMPLATE.FAT&amp;display_string=Audit&amp;VAR:KEY=LKJEBUHWLW&amp;VAR:QUERY=RkZfRElWX1lMRChBTk4sNy8xOS8wNyw3LzE5LzA3KQ==&amp;WINDOW=FIRST_POPUP&amp;HEIGHT=450&amp;WIDTH=450&amp;","START_MAXIMIZED=FALSE&amp;VAR:CALENDAR=US&amp;VAR:SYMBOL=MO&amp;VAR:INDEX=0"}</definedName>
    <definedName name="_716__FDSAUDITLINK__" hidden="1">{"fdsup://directions/FAT Viewer?action=UPDATE&amp;creator=factset&amp;DYN_ARGS=TRUE&amp;DOC_NAME=FAT:FQL_AUDITING_CLIENT_TEMPLATE.FAT&amp;display_string=Audit&amp;VAR:KEY=LKJEBUHWLW&amp;VAR:QUERY=RkZfRElWX1lMRChBTk4sNy8xOS8wNyw3LzE5LzA3KQ==&amp;WINDOW=FIRST_POPUP&amp;HEIGHT=450&amp;WIDTH=450&amp;","START_MAXIMIZED=FALSE&amp;VAR:CALENDAR=US&amp;VAR:SYMBOL=MO&amp;VAR:INDEX=0"}</definedName>
    <definedName name="_717__FDSAUDITLINK__" localSheetId="0" hidden="1">{"fdsup://directions/FAT Viewer?action=UPDATE&amp;creator=factset&amp;DYN_ARGS=TRUE&amp;DOC_NAME=FAT:FQL_AUDITING_CLIENT_TEMPLATE.FAT&amp;display_string=Audit&amp;VAR:KEY=JYXYFEDAZC&amp;VAR:QUERY=RkZfRElWX1lMRChBTk4sNy8xMi8wNyw3LzEyLzA3KQ==&amp;WINDOW=FIRST_POPUP&amp;HEIGHT=450&amp;WIDTH=450&amp;","START_MAXIMIZED=FALSE&amp;VAR:CALENDAR=US&amp;VAR:SYMBOL=MO&amp;VAR:INDEX=0"}</definedName>
    <definedName name="_717__FDSAUDITLINK__" hidden="1">{"fdsup://directions/FAT Viewer?action=UPDATE&amp;creator=factset&amp;DYN_ARGS=TRUE&amp;DOC_NAME=FAT:FQL_AUDITING_CLIENT_TEMPLATE.FAT&amp;display_string=Audit&amp;VAR:KEY=JYXYFEDAZC&amp;VAR:QUERY=RkZfRElWX1lMRChBTk4sNy8xMi8wNyw3LzEyLzA3KQ==&amp;WINDOW=FIRST_POPUP&amp;HEIGHT=450&amp;WIDTH=450&amp;","START_MAXIMIZED=FALSE&amp;VAR:CALENDAR=US&amp;VAR:SYMBOL=MO&amp;VAR:INDEX=0"}</definedName>
    <definedName name="_718__FDSAUDITLINK__" localSheetId="0" hidden="1">{"fdsup://directions/FAT Viewer?action=UPDATE&amp;creator=factset&amp;DYN_ARGS=TRUE&amp;DOC_NAME=FAT:FQL_AUDITING_CLIENT_TEMPLATE.FAT&amp;display_string=Audit&amp;VAR:KEY=VIBCTMZGTW&amp;VAR:QUERY=RkZfRElWX1lMRChBTk4sNy8wNS8wNyw3LzA1LzA3KQ==&amp;WINDOW=FIRST_POPUP&amp;HEIGHT=450&amp;WIDTH=450&amp;","START_MAXIMIZED=FALSE&amp;VAR:CALENDAR=US&amp;VAR:SYMBOL=MO&amp;VAR:INDEX=0"}</definedName>
    <definedName name="_718__FDSAUDITLINK__" hidden="1">{"fdsup://directions/FAT Viewer?action=UPDATE&amp;creator=factset&amp;DYN_ARGS=TRUE&amp;DOC_NAME=FAT:FQL_AUDITING_CLIENT_TEMPLATE.FAT&amp;display_string=Audit&amp;VAR:KEY=VIBCTMZGTW&amp;VAR:QUERY=RkZfRElWX1lMRChBTk4sNy8wNS8wNyw3LzA1LzA3KQ==&amp;WINDOW=FIRST_POPUP&amp;HEIGHT=450&amp;WIDTH=450&amp;","START_MAXIMIZED=FALSE&amp;VAR:CALENDAR=US&amp;VAR:SYMBOL=MO&amp;VAR:INDEX=0"}</definedName>
    <definedName name="_7189">#REF!</definedName>
    <definedName name="_719">#REF!</definedName>
    <definedName name="_719__FDSAUDITLINK__" localSheetId="0" hidden="1">{"fdsup://directions/FAT Viewer?action=UPDATE&amp;creator=factset&amp;DYN_ARGS=TRUE&amp;DOC_NAME=FAT:FQL_AUDITING_CLIENT_TEMPLATE.FAT&amp;display_string=Audit&amp;VAR:KEY=DQLSVKLKBI&amp;VAR:QUERY=RkZfRElWX1lMRChBTk4sNi8yOC8wNyw2LzI4LzA3KQ==&amp;WINDOW=FIRST_POPUP&amp;HEIGHT=450&amp;WIDTH=450&amp;","START_MAXIMIZED=FALSE&amp;VAR:CALENDAR=US&amp;VAR:SYMBOL=MO&amp;VAR:INDEX=0"}</definedName>
    <definedName name="_719__FDSAUDITLINK__" hidden="1">{"fdsup://directions/FAT Viewer?action=UPDATE&amp;creator=factset&amp;DYN_ARGS=TRUE&amp;DOC_NAME=FAT:FQL_AUDITING_CLIENT_TEMPLATE.FAT&amp;display_string=Audit&amp;VAR:KEY=DQLSVKLKBI&amp;VAR:QUERY=RkZfRElWX1lMRChBTk4sNi8yOC8wNyw2LzI4LzA3KQ==&amp;WINDOW=FIRST_POPUP&amp;HEIGHT=450&amp;WIDTH=450&amp;","START_MAXIMIZED=FALSE&amp;VAR:CALENDAR=US&amp;VAR:SYMBOL=MO&amp;VAR:INDEX=0"}</definedName>
    <definedName name="_7190">#REF!</definedName>
    <definedName name="_7192">#REF!</definedName>
    <definedName name="_7193">#REF!</definedName>
    <definedName name="_7195">#REF!</definedName>
    <definedName name="_7196">#REF!</definedName>
    <definedName name="_72__123Graph_BWAGES_BY_B_U">#REF!</definedName>
    <definedName name="_72__123Graph_DCONTRACT_BY_B_U">#REF!</definedName>
    <definedName name="_72__123Graph_ESUPPLIES_BY_B_U">#REF!</definedName>
    <definedName name="_72__FDSAUDITLINK__" localSheetId="0" hidden="1">{"fdsup://directions/FAT Viewer?action=UPDATE&amp;creator=factset&amp;DYN_ARGS=TRUE&amp;DOC_NAME=FAT:FQL_AUDITING_CLIENT_TEMPLATE.FAT&amp;display_string=Audit&amp;VAR:KEY=RWRIBSVMRI&amp;VAR:QUERY=RkZfRElWX1lMRChBTk4sNDA5OTQp&amp;WINDOW=FIRST_POPUP&amp;HEIGHT=450&amp;WIDTH=450&amp;START_MAXIMIZED=","FALSE&amp;VAR:CALENDAR=US&amp;VAR:SYMBOL=MO&amp;VAR:INDEX=0"}</definedName>
    <definedName name="_72__FDSAUDITLINK__" hidden="1">{"fdsup://directions/FAT Viewer?action=UPDATE&amp;creator=factset&amp;DYN_ARGS=TRUE&amp;DOC_NAME=FAT:FQL_AUDITING_CLIENT_TEMPLATE.FAT&amp;display_string=Audit&amp;VAR:KEY=RWRIBSVMRI&amp;VAR:QUERY=RkZfRElWX1lMRChBTk4sNDA5OTQp&amp;WINDOW=FIRST_POPUP&amp;HEIGHT=450&amp;WIDTH=450&amp;START_MAXIMIZED=","FALSE&amp;VAR:CALENDAR=US&amp;VAR:SYMBOL=MO&amp;VAR:INDEX=0"}</definedName>
    <definedName name="_72_0_S" hidden="1">#REF!</definedName>
    <definedName name="_72_P_L">#REF!</definedName>
    <definedName name="_720__FDSAUDITLINK__" localSheetId="0" hidden="1">{"fdsup://directions/FAT Viewer?action=UPDATE&amp;creator=factset&amp;DYN_ARGS=TRUE&amp;DOC_NAME=FAT:FQL_AUDITING_CLIENT_TEMPLATE.FAT&amp;display_string=Audit&amp;VAR:KEY=ZUHSBSLSHM&amp;VAR:QUERY=RkZfRElWX1lMRChBTk4sNi8yMS8wNyw2LzIxLzA3KQ==&amp;WINDOW=FIRST_POPUP&amp;HEIGHT=450&amp;WIDTH=450&amp;","START_MAXIMIZED=FALSE&amp;VAR:CALENDAR=US&amp;VAR:SYMBOL=MO&amp;VAR:INDEX=0"}</definedName>
    <definedName name="_720__FDSAUDITLINK__" hidden="1">{"fdsup://directions/FAT Viewer?action=UPDATE&amp;creator=factset&amp;DYN_ARGS=TRUE&amp;DOC_NAME=FAT:FQL_AUDITING_CLIENT_TEMPLATE.FAT&amp;display_string=Audit&amp;VAR:KEY=ZUHSBSLSHM&amp;VAR:QUERY=RkZfRElWX1lMRChBTk4sNi8yMS8wNyw2LzIxLzA3KQ==&amp;WINDOW=FIRST_POPUP&amp;HEIGHT=450&amp;WIDTH=450&amp;","START_MAXIMIZED=FALSE&amp;VAR:CALENDAR=US&amp;VAR:SYMBOL=MO&amp;VAR:INDEX=0"}</definedName>
    <definedName name="_721__FDSAUDITLINK__" localSheetId="0" hidden="1">{"fdsup://directions/FAT Viewer?action=UPDATE&amp;creator=factset&amp;DYN_ARGS=TRUE&amp;DOC_NAME=FAT:FQL_AUDITING_CLIENT_TEMPLATE.FAT&amp;display_string=Audit&amp;VAR:KEY=PSFWRADYLY&amp;VAR:QUERY=RkZfRElWX1lMRChBTk4sNi8xNC8wNyw2LzE0LzA3KQ==&amp;WINDOW=FIRST_POPUP&amp;HEIGHT=450&amp;WIDTH=450&amp;","START_MAXIMIZED=FALSE&amp;VAR:CALENDAR=US&amp;VAR:SYMBOL=MO&amp;VAR:INDEX=0"}</definedName>
    <definedName name="_721__FDSAUDITLINK__" hidden="1">{"fdsup://directions/FAT Viewer?action=UPDATE&amp;creator=factset&amp;DYN_ARGS=TRUE&amp;DOC_NAME=FAT:FQL_AUDITING_CLIENT_TEMPLATE.FAT&amp;display_string=Audit&amp;VAR:KEY=PSFWRADYLY&amp;VAR:QUERY=RkZfRElWX1lMRChBTk4sNi8xNC8wNyw2LzE0LzA3KQ==&amp;WINDOW=FIRST_POPUP&amp;HEIGHT=450&amp;WIDTH=450&amp;","START_MAXIMIZED=FALSE&amp;VAR:CALENDAR=US&amp;VAR:SYMBOL=MO&amp;VAR:INDEX=0"}</definedName>
    <definedName name="_722__FDSAUDITLINK__" localSheetId="0" hidden="1">{"fdsup://directions/FAT Viewer?action=UPDATE&amp;creator=factset&amp;DYN_ARGS=TRUE&amp;DOC_NAME=FAT:FQL_AUDITING_CLIENT_TEMPLATE.FAT&amp;display_string=Audit&amp;VAR:KEY=RAPUXIBQHA&amp;VAR:QUERY=RkZfRElWX1lMRChBTk4sNi8wNy8wNyw2LzA3LzA3KQ==&amp;WINDOW=FIRST_POPUP&amp;HEIGHT=450&amp;WIDTH=450&amp;","START_MAXIMIZED=FALSE&amp;VAR:CALENDAR=US&amp;VAR:SYMBOL=MO&amp;VAR:INDEX=0"}</definedName>
    <definedName name="_722__FDSAUDITLINK__" hidden="1">{"fdsup://directions/FAT Viewer?action=UPDATE&amp;creator=factset&amp;DYN_ARGS=TRUE&amp;DOC_NAME=FAT:FQL_AUDITING_CLIENT_TEMPLATE.FAT&amp;display_string=Audit&amp;VAR:KEY=RAPUXIBQHA&amp;VAR:QUERY=RkZfRElWX1lMRChBTk4sNi8wNy8wNyw2LzA3LzA3KQ==&amp;WINDOW=FIRST_POPUP&amp;HEIGHT=450&amp;WIDTH=450&amp;","START_MAXIMIZED=FALSE&amp;VAR:CALENDAR=US&amp;VAR:SYMBOL=MO&amp;VAR:INDEX=0"}</definedName>
    <definedName name="_723__FDSAUDITLINK__" localSheetId="0" hidden="1">{"fdsup://directions/FAT Viewer?action=UPDATE&amp;creator=factset&amp;DYN_ARGS=TRUE&amp;DOC_NAME=FAT:FQL_AUDITING_CLIENT_TEMPLATE.FAT&amp;display_string=Audit&amp;VAR:KEY=XSHENATORY&amp;VAR:QUERY=RkZfRElWX1lMRChBTk4sNS8zMS8wNyw1LzMxLzA3KQ==&amp;WINDOW=FIRST_POPUP&amp;HEIGHT=450&amp;WIDTH=450&amp;","START_MAXIMIZED=FALSE&amp;VAR:CALENDAR=US&amp;VAR:SYMBOL=MO&amp;VAR:INDEX=0"}</definedName>
    <definedName name="_723__FDSAUDITLINK__" hidden="1">{"fdsup://directions/FAT Viewer?action=UPDATE&amp;creator=factset&amp;DYN_ARGS=TRUE&amp;DOC_NAME=FAT:FQL_AUDITING_CLIENT_TEMPLATE.FAT&amp;display_string=Audit&amp;VAR:KEY=XSHENATORY&amp;VAR:QUERY=RkZfRElWX1lMRChBTk4sNS8zMS8wNyw1LzMxLzA3KQ==&amp;WINDOW=FIRST_POPUP&amp;HEIGHT=450&amp;WIDTH=450&amp;","START_MAXIMIZED=FALSE&amp;VAR:CALENDAR=US&amp;VAR:SYMBOL=MO&amp;VAR:INDEX=0"}</definedName>
    <definedName name="_724">#REF!</definedName>
    <definedName name="_724__FDSAUDITLINK__" localSheetId="0" hidden="1">{"fdsup://directions/FAT Viewer?action=UPDATE&amp;creator=factset&amp;DYN_ARGS=TRUE&amp;DOC_NAME=FAT:FQL_AUDITING_CLIENT_TEMPLATE.FAT&amp;display_string=Audit&amp;VAR:KEY=HYRADOHCZY&amp;VAR:QUERY=RkZfRElWX1lMRChBTk4sNS8yNC8wNyw1LzI0LzA3KQ==&amp;WINDOW=FIRST_POPUP&amp;HEIGHT=450&amp;WIDTH=450&amp;","START_MAXIMIZED=FALSE&amp;VAR:CALENDAR=US&amp;VAR:SYMBOL=MO&amp;VAR:INDEX=0"}</definedName>
    <definedName name="_724__FDSAUDITLINK__" hidden="1">{"fdsup://directions/FAT Viewer?action=UPDATE&amp;creator=factset&amp;DYN_ARGS=TRUE&amp;DOC_NAME=FAT:FQL_AUDITING_CLIENT_TEMPLATE.FAT&amp;display_string=Audit&amp;VAR:KEY=HYRADOHCZY&amp;VAR:QUERY=RkZfRElWX1lMRChBTk4sNS8yNC8wNyw1LzI0LzA3KQ==&amp;WINDOW=FIRST_POPUP&amp;HEIGHT=450&amp;WIDTH=450&amp;","START_MAXIMIZED=FALSE&amp;VAR:CALENDAR=US&amp;VAR:SYMBOL=MO&amp;VAR:INDEX=0"}</definedName>
    <definedName name="_725__FDSAUDITLINK__" localSheetId="0" hidden="1">{"fdsup://directions/FAT Viewer?action=UPDATE&amp;creator=factset&amp;DYN_ARGS=TRUE&amp;DOC_NAME=FAT:FQL_AUDITING_CLIENT_TEMPLATE.FAT&amp;display_string=Audit&amp;VAR:KEY=NUBKXWRUTQ&amp;VAR:QUERY=RkZfRElWX1lMRChBTk4sNS8xNy8wNyw1LzE3LzA3KQ==&amp;WINDOW=FIRST_POPUP&amp;HEIGHT=450&amp;WIDTH=450&amp;","START_MAXIMIZED=FALSE&amp;VAR:CALENDAR=US&amp;VAR:SYMBOL=MO&amp;VAR:INDEX=0"}</definedName>
    <definedName name="_725__FDSAUDITLINK__" hidden="1">{"fdsup://directions/FAT Viewer?action=UPDATE&amp;creator=factset&amp;DYN_ARGS=TRUE&amp;DOC_NAME=FAT:FQL_AUDITING_CLIENT_TEMPLATE.FAT&amp;display_string=Audit&amp;VAR:KEY=NUBKXWRUTQ&amp;VAR:QUERY=RkZfRElWX1lMRChBTk4sNS8xNy8wNyw1LzE3LzA3KQ==&amp;WINDOW=FIRST_POPUP&amp;HEIGHT=450&amp;WIDTH=450&amp;","START_MAXIMIZED=FALSE&amp;VAR:CALENDAR=US&amp;VAR:SYMBOL=MO&amp;VAR:INDEX=0"}</definedName>
    <definedName name="_726__FDSAUDITLINK__" localSheetId="0" hidden="1">{"fdsup://directions/FAT Viewer?action=UPDATE&amp;creator=factset&amp;DYN_ARGS=TRUE&amp;DOC_NAME=FAT:FQL_AUDITING_CLIENT_TEMPLATE.FAT&amp;display_string=Audit&amp;VAR:KEY=HUVOTEZCBA&amp;VAR:QUERY=RkZfRElWX1lMRChBTk4sNS8xMC8wNyw1LzEwLzA3KQ==&amp;WINDOW=FIRST_POPUP&amp;HEIGHT=450&amp;WIDTH=450&amp;","START_MAXIMIZED=FALSE&amp;VAR:CALENDAR=US&amp;VAR:SYMBOL=MO&amp;VAR:INDEX=0"}</definedName>
    <definedName name="_726__FDSAUDITLINK__" hidden="1">{"fdsup://directions/FAT Viewer?action=UPDATE&amp;creator=factset&amp;DYN_ARGS=TRUE&amp;DOC_NAME=FAT:FQL_AUDITING_CLIENT_TEMPLATE.FAT&amp;display_string=Audit&amp;VAR:KEY=HUVOTEZCBA&amp;VAR:QUERY=RkZfRElWX1lMRChBTk4sNS8xMC8wNyw1LzEwLzA3KQ==&amp;WINDOW=FIRST_POPUP&amp;HEIGHT=450&amp;WIDTH=450&amp;","START_MAXIMIZED=FALSE&amp;VAR:CALENDAR=US&amp;VAR:SYMBOL=MO&amp;VAR:INDEX=0"}</definedName>
    <definedName name="_727">#REF!</definedName>
    <definedName name="_727__FDSAUDITLINK__" localSheetId="0" hidden="1">{"fdsup://directions/FAT Viewer?action=UPDATE&amp;creator=factset&amp;DYN_ARGS=TRUE&amp;DOC_NAME=FAT:FQL_AUDITING_CLIENT_TEMPLATE.FAT&amp;display_string=Audit&amp;VAR:KEY=JSHKPMNORS&amp;VAR:QUERY=RkZfRElWX1lMRChBTk4sNS8wMy8wNyw1LzAzLzA3KQ==&amp;WINDOW=FIRST_POPUP&amp;HEIGHT=450&amp;WIDTH=450&amp;","START_MAXIMIZED=FALSE&amp;VAR:CALENDAR=US&amp;VAR:SYMBOL=MO&amp;VAR:INDEX=0"}</definedName>
    <definedName name="_727__FDSAUDITLINK__" hidden="1">{"fdsup://directions/FAT Viewer?action=UPDATE&amp;creator=factset&amp;DYN_ARGS=TRUE&amp;DOC_NAME=FAT:FQL_AUDITING_CLIENT_TEMPLATE.FAT&amp;display_string=Audit&amp;VAR:KEY=JSHKPMNORS&amp;VAR:QUERY=RkZfRElWX1lMRChBTk4sNS8wMy8wNyw1LzAzLzA3KQ==&amp;WINDOW=FIRST_POPUP&amp;HEIGHT=450&amp;WIDTH=450&amp;","START_MAXIMIZED=FALSE&amp;VAR:CALENDAR=US&amp;VAR:SYMBOL=MO&amp;VAR:INDEX=0"}</definedName>
    <definedName name="_728">#REF!</definedName>
    <definedName name="_728__FDSAUDITLINK__" localSheetId="0" hidden="1">{"fdsup://directions/FAT Viewer?action=UPDATE&amp;creator=factset&amp;DYN_ARGS=TRUE&amp;DOC_NAME=FAT:FQL_AUDITING_CLIENT_TEMPLATE.FAT&amp;display_string=Audit&amp;VAR:KEY=BMLGTERYXU&amp;VAR:QUERY=RkZfRElWX1lMRChBTk4sNC8yNi8wNyw0LzI2LzA3KQ==&amp;WINDOW=FIRST_POPUP&amp;HEIGHT=450&amp;WIDTH=450&amp;","START_MAXIMIZED=FALSE&amp;VAR:CALENDAR=US&amp;VAR:SYMBOL=MO&amp;VAR:INDEX=0"}</definedName>
    <definedName name="_728__FDSAUDITLINK__" hidden="1">{"fdsup://directions/FAT Viewer?action=UPDATE&amp;creator=factset&amp;DYN_ARGS=TRUE&amp;DOC_NAME=FAT:FQL_AUDITING_CLIENT_TEMPLATE.FAT&amp;display_string=Audit&amp;VAR:KEY=BMLGTERYXU&amp;VAR:QUERY=RkZfRElWX1lMRChBTk4sNC8yNi8wNyw0LzI2LzA3KQ==&amp;WINDOW=FIRST_POPUP&amp;HEIGHT=450&amp;WIDTH=450&amp;","START_MAXIMIZED=FALSE&amp;VAR:CALENDAR=US&amp;VAR:SYMBOL=MO&amp;VAR:INDEX=0"}</definedName>
    <definedName name="_729">#REF!</definedName>
    <definedName name="_729__FDSAUDITLINK__" localSheetId="0" hidden="1">{"fdsup://directions/FAT Viewer?action=UPDATE&amp;creator=factset&amp;DYN_ARGS=TRUE&amp;DOC_NAME=FAT:FQL_AUDITING_CLIENT_TEMPLATE.FAT&amp;display_string=Audit&amp;VAR:KEY=VORYLEBKHG&amp;VAR:QUERY=RkZfRElWX1lMRChBTk4sNC8xOS8wNyw0LzE5LzA3KQ==&amp;WINDOW=FIRST_POPUP&amp;HEIGHT=450&amp;WIDTH=450&amp;","START_MAXIMIZED=FALSE&amp;VAR:CALENDAR=US&amp;VAR:SYMBOL=MO&amp;VAR:INDEX=0"}</definedName>
    <definedName name="_729__FDSAUDITLINK__" hidden="1">{"fdsup://directions/FAT Viewer?action=UPDATE&amp;creator=factset&amp;DYN_ARGS=TRUE&amp;DOC_NAME=FAT:FQL_AUDITING_CLIENT_TEMPLATE.FAT&amp;display_string=Audit&amp;VAR:KEY=VORYLEBKHG&amp;VAR:QUERY=RkZfRElWX1lMRChBTk4sNC8xOS8wNyw0LzE5LzA3KQ==&amp;WINDOW=FIRST_POPUP&amp;HEIGHT=450&amp;WIDTH=450&amp;","START_MAXIMIZED=FALSE&amp;VAR:CALENDAR=US&amp;VAR:SYMBOL=MO&amp;VAR:INDEX=0"}</definedName>
    <definedName name="_72main_form_account_grants_list_8_j_id1022">#REF!</definedName>
    <definedName name="_73__123Graph_BWAGES_BY_B_U">#REF!</definedName>
    <definedName name="_73__FDSAUDITLINK__" localSheetId="0" hidden="1">{"fdsup://directions/FAT Viewer?action=UPDATE&amp;creator=factset&amp;DYN_ARGS=TRUE&amp;DOC_NAME=FAT:FQL_AUDITING_CLIENT_TEMPLATE.FAT&amp;display_string=Audit&amp;VAR:KEY=TMVSXWTCZQ&amp;VAR:QUERY=RkZfRElWX1lMRChBTk4sNDA5OTQp&amp;WINDOW=FIRST_POPUP&amp;HEIGHT=450&amp;WIDTH=450&amp;START_MAXIMIZED=","FALSE&amp;VAR:CALENDAR=US&amp;VAR:SYMBOL=LO&amp;VAR:INDEX=0"}</definedName>
    <definedName name="_73__FDSAUDITLINK__" hidden="1">{"fdsup://directions/FAT Viewer?action=UPDATE&amp;creator=factset&amp;DYN_ARGS=TRUE&amp;DOC_NAME=FAT:FQL_AUDITING_CLIENT_TEMPLATE.FAT&amp;display_string=Audit&amp;VAR:KEY=TMVSXWTCZQ&amp;VAR:QUERY=RkZfRElWX1lMRChBTk4sNDA5OTQp&amp;WINDOW=FIRST_POPUP&amp;HEIGHT=450&amp;WIDTH=450&amp;START_MAXIMIZED=","FALSE&amp;VAR:CALENDAR=US&amp;VAR:SYMBOL=LO&amp;VAR:INDEX=0"}</definedName>
    <definedName name="_730">#REF!</definedName>
    <definedName name="_730__FDSAUDITLINK__" localSheetId="0" hidden="1">{"fdsup://directions/FAT Viewer?action=UPDATE&amp;creator=factset&amp;DYN_ARGS=TRUE&amp;DOC_NAME=FAT:FQL_AUDITING_CLIENT_TEMPLATE.FAT&amp;display_string=Audit&amp;VAR:KEY=HIHWBOVIFA&amp;VAR:QUERY=RkZfRElWX1lMRChBTk4sNC8xMi8wNyw0LzEyLzA3KQ==&amp;WINDOW=FIRST_POPUP&amp;HEIGHT=450&amp;WIDTH=450&amp;","START_MAXIMIZED=FALSE&amp;VAR:CALENDAR=US&amp;VAR:SYMBOL=MO&amp;VAR:INDEX=0"}</definedName>
    <definedName name="_730__FDSAUDITLINK__" hidden="1">{"fdsup://directions/FAT Viewer?action=UPDATE&amp;creator=factset&amp;DYN_ARGS=TRUE&amp;DOC_NAME=FAT:FQL_AUDITING_CLIENT_TEMPLATE.FAT&amp;display_string=Audit&amp;VAR:KEY=HIHWBOVIFA&amp;VAR:QUERY=RkZfRElWX1lMRChBTk4sNC8xMi8wNyw0LzEyLzA3KQ==&amp;WINDOW=FIRST_POPUP&amp;HEIGHT=450&amp;WIDTH=450&amp;","START_MAXIMIZED=FALSE&amp;VAR:CALENDAR=US&amp;VAR:SYMBOL=MO&amp;VAR:INDEX=0"}</definedName>
    <definedName name="_731">#REF!</definedName>
    <definedName name="_731__FDSAUDITLINK__" localSheetId="0" hidden="1">{"fdsup://directions/FAT Viewer?action=UPDATE&amp;creator=factset&amp;DYN_ARGS=TRUE&amp;DOC_NAME=FAT:FQL_AUDITING_CLIENT_TEMPLATE.FAT&amp;display_string=Audit&amp;VAR:KEY=FIRIRWXCFO&amp;VAR:QUERY=RkZfRElWX1lMRChBTk4sNC8wNS8wNyw0LzA1LzA3KQ==&amp;WINDOW=FIRST_POPUP&amp;HEIGHT=450&amp;WIDTH=450&amp;","START_MAXIMIZED=FALSE&amp;VAR:CALENDAR=US&amp;VAR:SYMBOL=MO&amp;VAR:INDEX=0"}</definedName>
    <definedName name="_731__FDSAUDITLINK__" hidden="1">{"fdsup://directions/FAT Viewer?action=UPDATE&amp;creator=factset&amp;DYN_ARGS=TRUE&amp;DOC_NAME=FAT:FQL_AUDITING_CLIENT_TEMPLATE.FAT&amp;display_string=Audit&amp;VAR:KEY=FIRIRWXCFO&amp;VAR:QUERY=RkZfRElWX1lMRChBTk4sNC8wNS8wNyw0LzA1LzA3KQ==&amp;WINDOW=FIRST_POPUP&amp;HEIGHT=450&amp;WIDTH=450&amp;","START_MAXIMIZED=FALSE&amp;VAR:CALENDAR=US&amp;VAR:SYMBOL=MO&amp;VAR:INDEX=0"}</definedName>
    <definedName name="_732">#REF!</definedName>
    <definedName name="_732__FDSAUDITLINK__" localSheetId="0" hidden="1">{"fdsup://directions/FAT Viewer?action=UPDATE&amp;creator=factset&amp;DYN_ARGS=TRUE&amp;DOC_NAME=FAT:FQL_AUDITING_CLIENT_TEMPLATE.FAT&amp;display_string=Audit&amp;VAR:KEY=POJSXWZYTO&amp;VAR:QUERY=RkZfRElWX1lMRChBTk4sMy8yOS8wNywzLzI5LzA3KQ==&amp;WINDOW=FIRST_POPUP&amp;HEIGHT=450&amp;WIDTH=450&amp;","START_MAXIMIZED=FALSE&amp;VAR:CALENDAR=US&amp;VAR:SYMBOL=MO&amp;VAR:INDEX=0"}</definedName>
    <definedName name="_732__FDSAUDITLINK__" hidden="1">{"fdsup://directions/FAT Viewer?action=UPDATE&amp;creator=factset&amp;DYN_ARGS=TRUE&amp;DOC_NAME=FAT:FQL_AUDITING_CLIENT_TEMPLATE.FAT&amp;display_string=Audit&amp;VAR:KEY=POJSXWZYTO&amp;VAR:QUERY=RkZfRElWX1lMRChBTk4sMy8yOS8wNywzLzI5LzA3KQ==&amp;WINDOW=FIRST_POPUP&amp;HEIGHT=450&amp;WIDTH=450&amp;","START_MAXIMIZED=FALSE&amp;VAR:CALENDAR=US&amp;VAR:SYMBOL=MO&amp;VAR:INDEX=0"}</definedName>
    <definedName name="_733">#REF!</definedName>
    <definedName name="_733__FDSAUDITLINK__" localSheetId="0" hidden="1">{"fdsup://directions/FAT Viewer?action=UPDATE&amp;creator=factset&amp;DYN_ARGS=TRUE&amp;DOC_NAME=FAT:FQL_AUDITING_CLIENT_TEMPLATE.FAT&amp;display_string=Audit&amp;VAR:KEY=LCNGJUXEZE&amp;VAR:QUERY=RkZfRElWX1lMRChBTk4sMy8yMi8wNywzLzIyLzA3KQ==&amp;WINDOW=FIRST_POPUP&amp;HEIGHT=450&amp;WIDTH=450&amp;","START_MAXIMIZED=FALSE&amp;VAR:CALENDAR=US&amp;VAR:SYMBOL=MO&amp;VAR:INDEX=0"}</definedName>
    <definedName name="_733__FDSAUDITLINK__" hidden="1">{"fdsup://directions/FAT Viewer?action=UPDATE&amp;creator=factset&amp;DYN_ARGS=TRUE&amp;DOC_NAME=FAT:FQL_AUDITING_CLIENT_TEMPLATE.FAT&amp;display_string=Audit&amp;VAR:KEY=LCNGJUXEZE&amp;VAR:QUERY=RkZfRElWX1lMRChBTk4sMy8yMi8wNywzLzIyLzA3KQ==&amp;WINDOW=FIRST_POPUP&amp;HEIGHT=450&amp;WIDTH=450&amp;","START_MAXIMIZED=FALSE&amp;VAR:CALENDAR=US&amp;VAR:SYMBOL=MO&amp;VAR:INDEX=0"}</definedName>
    <definedName name="_734">#REF!</definedName>
    <definedName name="_734__FDSAUDITLINK__" localSheetId="0" hidden="1">{"fdsup://directions/FAT Viewer?action=UPDATE&amp;creator=factset&amp;DYN_ARGS=TRUE&amp;DOC_NAME=FAT:FQL_AUDITING_CLIENT_TEMPLATE.FAT&amp;display_string=Audit&amp;VAR:KEY=FUPWTMZSNE&amp;VAR:QUERY=RkZfRElWX1lMRChBTk4sMy8xNS8wNywzLzE1LzA3KQ==&amp;WINDOW=FIRST_POPUP&amp;HEIGHT=450&amp;WIDTH=450&amp;","START_MAXIMIZED=FALSE&amp;VAR:CALENDAR=US&amp;VAR:SYMBOL=MO&amp;VAR:INDEX=0"}</definedName>
    <definedName name="_734__FDSAUDITLINK__" hidden="1">{"fdsup://directions/FAT Viewer?action=UPDATE&amp;creator=factset&amp;DYN_ARGS=TRUE&amp;DOC_NAME=FAT:FQL_AUDITING_CLIENT_TEMPLATE.FAT&amp;display_string=Audit&amp;VAR:KEY=FUPWTMZSNE&amp;VAR:QUERY=RkZfRElWX1lMRChBTk4sMy8xNS8wNywzLzE1LzA3KQ==&amp;WINDOW=FIRST_POPUP&amp;HEIGHT=450&amp;WIDTH=450&amp;","START_MAXIMIZED=FALSE&amp;VAR:CALENDAR=US&amp;VAR:SYMBOL=MO&amp;VAR:INDEX=0"}</definedName>
    <definedName name="_735">#REF!</definedName>
    <definedName name="_735__FDSAUDITLINK__" localSheetId="0" hidden="1">{"fdsup://directions/FAT Viewer?action=UPDATE&amp;creator=factset&amp;DYN_ARGS=TRUE&amp;DOC_NAME=FAT:FQL_AUDITING_CLIENT_TEMPLATE.FAT&amp;display_string=Audit&amp;VAR:KEY=VWLQFMVKZW&amp;VAR:QUERY=RkZfRElWX1lMRChBTk4sMy8wOC8wNywzLzA4LzA3KQ==&amp;WINDOW=FIRST_POPUP&amp;HEIGHT=450&amp;WIDTH=450&amp;","START_MAXIMIZED=FALSE&amp;VAR:CALENDAR=US&amp;VAR:SYMBOL=MO&amp;VAR:INDEX=0"}</definedName>
    <definedName name="_735__FDSAUDITLINK__" hidden="1">{"fdsup://directions/FAT Viewer?action=UPDATE&amp;creator=factset&amp;DYN_ARGS=TRUE&amp;DOC_NAME=FAT:FQL_AUDITING_CLIENT_TEMPLATE.FAT&amp;display_string=Audit&amp;VAR:KEY=VWLQFMVKZW&amp;VAR:QUERY=RkZfRElWX1lMRChBTk4sMy8wOC8wNywzLzA4LzA3KQ==&amp;WINDOW=FIRST_POPUP&amp;HEIGHT=450&amp;WIDTH=450&amp;","START_MAXIMIZED=FALSE&amp;VAR:CALENDAR=US&amp;VAR:SYMBOL=MO&amp;VAR:INDEX=0"}</definedName>
    <definedName name="_736">#REF!</definedName>
    <definedName name="_736__FDSAUDITLINK__" localSheetId="0" hidden="1">{"fdsup://directions/FAT Viewer?action=UPDATE&amp;creator=factset&amp;DYN_ARGS=TRUE&amp;DOC_NAME=FAT:FQL_AUDITING_CLIENT_TEMPLATE.FAT&amp;display_string=Audit&amp;VAR:KEY=PORQDUJCNE&amp;VAR:QUERY=RkZfRElWX1lMRChBTk4sMy8wMS8wNywzLzAxLzA3KQ==&amp;WINDOW=FIRST_POPUP&amp;HEIGHT=450&amp;WIDTH=450&amp;","START_MAXIMIZED=FALSE&amp;VAR:CALENDAR=US&amp;VAR:SYMBOL=MO&amp;VAR:INDEX=0"}</definedName>
    <definedName name="_736__FDSAUDITLINK__" hidden="1">{"fdsup://directions/FAT Viewer?action=UPDATE&amp;creator=factset&amp;DYN_ARGS=TRUE&amp;DOC_NAME=FAT:FQL_AUDITING_CLIENT_TEMPLATE.FAT&amp;display_string=Audit&amp;VAR:KEY=PORQDUJCNE&amp;VAR:QUERY=RkZfRElWX1lMRChBTk4sMy8wMS8wNywzLzAxLzA3KQ==&amp;WINDOW=FIRST_POPUP&amp;HEIGHT=450&amp;WIDTH=450&amp;","START_MAXIMIZED=FALSE&amp;VAR:CALENDAR=US&amp;VAR:SYMBOL=MO&amp;VAR:INDEX=0"}</definedName>
    <definedName name="_737">#REF!</definedName>
    <definedName name="_737__FDSAUDITLINK__" localSheetId="0" hidden="1">{"fdsup://directions/FAT Viewer?action=UPDATE&amp;creator=factset&amp;DYN_ARGS=TRUE&amp;DOC_NAME=FAT:FQL_AUDITING_CLIENT_TEMPLATE.FAT&amp;display_string=Audit&amp;VAR:KEY=RWNOJAZQJY&amp;VAR:QUERY=RkZfRElWX1lMRChBTk4sMi8yMi8wNywyLzIyLzA3KQ==&amp;WINDOW=FIRST_POPUP&amp;HEIGHT=450&amp;WIDTH=450&amp;","START_MAXIMIZED=FALSE&amp;VAR:CALENDAR=US&amp;VAR:SYMBOL=MO&amp;VAR:INDEX=0"}</definedName>
    <definedName name="_737__FDSAUDITLINK__" hidden="1">{"fdsup://directions/FAT Viewer?action=UPDATE&amp;creator=factset&amp;DYN_ARGS=TRUE&amp;DOC_NAME=FAT:FQL_AUDITING_CLIENT_TEMPLATE.FAT&amp;display_string=Audit&amp;VAR:KEY=RWNOJAZQJY&amp;VAR:QUERY=RkZfRElWX1lMRChBTk4sMi8yMi8wNywyLzIyLzA3KQ==&amp;WINDOW=FIRST_POPUP&amp;HEIGHT=450&amp;WIDTH=450&amp;","START_MAXIMIZED=FALSE&amp;VAR:CALENDAR=US&amp;VAR:SYMBOL=MO&amp;VAR:INDEX=0"}</definedName>
    <definedName name="_738">#REF!</definedName>
    <definedName name="_738__FDSAUDITLINK__" localSheetId="0" hidden="1">{"fdsup://directions/FAT Viewer?action=UPDATE&amp;creator=factset&amp;DYN_ARGS=TRUE&amp;DOC_NAME=FAT:FQL_AUDITING_CLIENT_TEMPLATE.FAT&amp;display_string=Audit&amp;VAR:KEY=FEJSNYBIRS&amp;VAR:QUERY=RkZfRElWX1lMRChBTk4sMi8xNS8wNywyLzE1LzA3KQ==&amp;WINDOW=FIRST_POPUP&amp;HEIGHT=450&amp;WIDTH=450&amp;","START_MAXIMIZED=FALSE&amp;VAR:CALENDAR=US&amp;VAR:SYMBOL=MO&amp;VAR:INDEX=0"}</definedName>
    <definedName name="_738__FDSAUDITLINK__" hidden="1">{"fdsup://directions/FAT Viewer?action=UPDATE&amp;creator=factset&amp;DYN_ARGS=TRUE&amp;DOC_NAME=FAT:FQL_AUDITING_CLIENT_TEMPLATE.FAT&amp;display_string=Audit&amp;VAR:KEY=FEJSNYBIRS&amp;VAR:QUERY=RkZfRElWX1lMRChBTk4sMi8xNS8wNywyLzE1LzA3KQ==&amp;WINDOW=FIRST_POPUP&amp;HEIGHT=450&amp;WIDTH=450&amp;","START_MAXIMIZED=FALSE&amp;VAR:CALENDAR=US&amp;VAR:SYMBOL=MO&amp;VAR:INDEX=0"}</definedName>
    <definedName name="_739">#REF!</definedName>
    <definedName name="_739__FDSAUDITLINK__" localSheetId="0" hidden="1">{"fdsup://directions/FAT Viewer?action=UPDATE&amp;creator=factset&amp;DYN_ARGS=TRUE&amp;DOC_NAME=FAT:FQL_AUDITING_CLIENT_TEMPLATE.FAT&amp;display_string=Audit&amp;VAR:KEY=XKPUVIPYVS&amp;VAR:QUERY=RkZfRElWX1lMRChBTk4sMi8wOC8wNywyLzA4LzA3KQ==&amp;WINDOW=FIRST_POPUP&amp;HEIGHT=450&amp;WIDTH=450&amp;","START_MAXIMIZED=FALSE&amp;VAR:CALENDAR=US&amp;VAR:SYMBOL=MO&amp;VAR:INDEX=0"}</definedName>
    <definedName name="_739__FDSAUDITLINK__" hidden="1">{"fdsup://directions/FAT Viewer?action=UPDATE&amp;creator=factset&amp;DYN_ARGS=TRUE&amp;DOC_NAME=FAT:FQL_AUDITING_CLIENT_TEMPLATE.FAT&amp;display_string=Audit&amp;VAR:KEY=XKPUVIPYVS&amp;VAR:QUERY=RkZfRElWX1lMRChBTk4sMi8wOC8wNywyLzA4LzA3KQ==&amp;WINDOW=FIRST_POPUP&amp;HEIGHT=450&amp;WIDTH=450&amp;","START_MAXIMIZED=FALSE&amp;VAR:CALENDAR=US&amp;VAR:SYMBOL=MO&amp;VAR:INDEX=0"}</definedName>
    <definedName name="_74__FDSAUDITLINK__" localSheetId="0" hidden="1">{"fdsup://directions/FAT Viewer?action=UPDATE&amp;creator=factset&amp;DYN_ARGS=TRUE&amp;DOC_NAME=FAT:FQL_AUDITING_CLIENT_TEMPLATE.FAT&amp;display_string=Audit&amp;VAR:KEY=FOVUTQPQXM&amp;VAR:QUERY=QVZHKEZGX0RJVl9ZTEQoQU5OLDQwOTk0LC0zQVkpKQ==&amp;WINDOW=FIRST_POPUP&amp;HEIGHT=450&amp;WIDTH=450&amp;","START_MAXIMIZED=FALSE&amp;VAR:CALENDAR=US&amp;VAR:SYMBOL=LO"}</definedName>
    <definedName name="_74__FDSAUDITLINK__" hidden="1">{"fdsup://directions/FAT Viewer?action=UPDATE&amp;creator=factset&amp;DYN_ARGS=TRUE&amp;DOC_NAME=FAT:FQL_AUDITING_CLIENT_TEMPLATE.FAT&amp;display_string=Audit&amp;VAR:KEY=FOVUTQPQXM&amp;VAR:QUERY=QVZHKEZGX0RJVl9ZTEQoQU5OLDQwOTk0LC0zQVkpKQ==&amp;WINDOW=FIRST_POPUP&amp;HEIGHT=450&amp;WIDTH=450&amp;","START_MAXIMIZED=FALSE&amp;VAR:CALENDAR=US&amp;VAR:SYMBOL=LO"}</definedName>
    <definedName name="_74_0_S">#REF!</definedName>
    <definedName name="_740">#REF!</definedName>
    <definedName name="_740__FDSAUDITLINK__" localSheetId="0" hidden="1">{"fdsup://directions/FAT Viewer?action=UPDATE&amp;creator=factset&amp;DYN_ARGS=TRUE&amp;DOC_NAME=FAT:FQL_AUDITING_CLIENT_TEMPLATE.FAT&amp;display_string=Audit&amp;VAR:KEY=HGNODMBEJM&amp;VAR:QUERY=RkZfRElWX1lMRChBTk4sMi8wMS8wNywyLzAxLzA3KQ==&amp;WINDOW=FIRST_POPUP&amp;HEIGHT=450&amp;WIDTH=450&amp;","START_MAXIMIZED=FALSE&amp;VAR:CALENDAR=US&amp;VAR:SYMBOL=MO&amp;VAR:INDEX=0"}</definedName>
    <definedName name="_740__FDSAUDITLINK__" hidden="1">{"fdsup://directions/FAT Viewer?action=UPDATE&amp;creator=factset&amp;DYN_ARGS=TRUE&amp;DOC_NAME=FAT:FQL_AUDITING_CLIENT_TEMPLATE.FAT&amp;display_string=Audit&amp;VAR:KEY=HGNODMBEJM&amp;VAR:QUERY=RkZfRElWX1lMRChBTk4sMi8wMS8wNywyLzAxLzA3KQ==&amp;WINDOW=FIRST_POPUP&amp;HEIGHT=450&amp;WIDTH=450&amp;","START_MAXIMIZED=FALSE&amp;VAR:CALENDAR=US&amp;VAR:SYMBOL=MO&amp;VAR:INDEX=0"}</definedName>
    <definedName name="_741">#REF!</definedName>
    <definedName name="_741__FDSAUDITLINK__" localSheetId="0" hidden="1">{"fdsup://directions/FAT Viewer?action=UPDATE&amp;creator=factset&amp;DYN_ARGS=TRUE&amp;DOC_NAME=FAT:FQL_AUDITING_CLIENT_TEMPLATE.FAT&amp;display_string=Audit&amp;VAR:KEY=LMLEZKLILA&amp;VAR:QUERY=RkZfRElWX1lMRChBTk4sMS8yNS8wNywxLzI1LzA3KQ==&amp;WINDOW=FIRST_POPUP&amp;HEIGHT=450&amp;WIDTH=450&amp;","START_MAXIMIZED=FALSE&amp;VAR:CALENDAR=US&amp;VAR:SYMBOL=MO&amp;VAR:INDEX=0"}</definedName>
    <definedName name="_741__FDSAUDITLINK__" hidden="1">{"fdsup://directions/FAT Viewer?action=UPDATE&amp;creator=factset&amp;DYN_ARGS=TRUE&amp;DOC_NAME=FAT:FQL_AUDITING_CLIENT_TEMPLATE.FAT&amp;display_string=Audit&amp;VAR:KEY=LMLEZKLILA&amp;VAR:QUERY=RkZfRElWX1lMRChBTk4sMS8yNS8wNywxLzI1LzA3KQ==&amp;WINDOW=FIRST_POPUP&amp;HEIGHT=450&amp;WIDTH=450&amp;","START_MAXIMIZED=FALSE&amp;VAR:CALENDAR=US&amp;VAR:SYMBOL=MO&amp;VAR:INDEX=0"}</definedName>
    <definedName name="_742">#REF!</definedName>
    <definedName name="_742__FDSAUDITLINK__" localSheetId="0" hidden="1">{"fdsup://directions/FAT Viewer?action=UPDATE&amp;creator=factset&amp;DYN_ARGS=TRUE&amp;DOC_NAME=FAT:FQL_AUDITING_CLIENT_TEMPLATE.FAT&amp;display_string=Audit&amp;VAR:KEY=PATGBKFGDM&amp;VAR:QUERY=RkZfRElWX1lMRChBTk4sMS8xOC8wNywxLzE4LzA3KQ==&amp;WINDOW=FIRST_POPUP&amp;HEIGHT=450&amp;WIDTH=450&amp;","START_MAXIMIZED=FALSE&amp;VAR:CALENDAR=US&amp;VAR:SYMBOL=MO&amp;VAR:INDEX=0"}</definedName>
    <definedName name="_742__FDSAUDITLINK__" hidden="1">{"fdsup://directions/FAT Viewer?action=UPDATE&amp;creator=factset&amp;DYN_ARGS=TRUE&amp;DOC_NAME=FAT:FQL_AUDITING_CLIENT_TEMPLATE.FAT&amp;display_string=Audit&amp;VAR:KEY=PATGBKFGDM&amp;VAR:QUERY=RkZfRElWX1lMRChBTk4sMS8xOC8wNywxLzE4LzA3KQ==&amp;WINDOW=FIRST_POPUP&amp;HEIGHT=450&amp;WIDTH=450&amp;","START_MAXIMIZED=FALSE&amp;VAR:CALENDAR=US&amp;VAR:SYMBOL=MO&amp;VAR:INDEX=0"}</definedName>
    <definedName name="_743">#REF!</definedName>
    <definedName name="_743__FDSAUDITLINK__" localSheetId="0" hidden="1">{"fdsup://directions/FAT Viewer?action=UPDATE&amp;creator=factset&amp;DYN_ARGS=TRUE&amp;DOC_NAME=FAT:FQL_AUDITING_CLIENT_TEMPLATE.FAT&amp;display_string=Audit&amp;VAR:KEY=FUFUVIHANQ&amp;VAR:QUERY=RkZfRElWX1lMRChBTk4sMS8xMS8wNywxLzExLzA3KQ==&amp;WINDOW=FIRST_POPUP&amp;HEIGHT=450&amp;WIDTH=450&amp;","START_MAXIMIZED=FALSE&amp;VAR:CALENDAR=US&amp;VAR:SYMBOL=MO&amp;VAR:INDEX=0"}</definedName>
    <definedName name="_743__FDSAUDITLINK__" hidden="1">{"fdsup://directions/FAT Viewer?action=UPDATE&amp;creator=factset&amp;DYN_ARGS=TRUE&amp;DOC_NAME=FAT:FQL_AUDITING_CLIENT_TEMPLATE.FAT&amp;display_string=Audit&amp;VAR:KEY=FUFUVIHANQ&amp;VAR:QUERY=RkZfRElWX1lMRChBTk4sMS8xMS8wNywxLzExLzA3KQ==&amp;WINDOW=FIRST_POPUP&amp;HEIGHT=450&amp;WIDTH=450&amp;","START_MAXIMIZED=FALSE&amp;VAR:CALENDAR=US&amp;VAR:SYMBOL=MO&amp;VAR:INDEX=0"}</definedName>
    <definedName name="_744">#REF!</definedName>
    <definedName name="_744__FDSAUDITLINK__" localSheetId="0" hidden="1">{"fdsup://directions/FAT Viewer?action=UPDATE&amp;creator=factset&amp;DYN_ARGS=TRUE&amp;DOC_NAME=FAT:FQL_AUDITING_CLIENT_TEMPLATE.FAT&amp;display_string=Audit&amp;VAR:KEY=NIPUNAZGHC&amp;VAR:QUERY=RkZfRElWX1lMRChBTk4sMS8wNC8wNywxLzA0LzA3KQ==&amp;WINDOW=FIRST_POPUP&amp;HEIGHT=450&amp;WIDTH=450&amp;","START_MAXIMIZED=FALSE&amp;VAR:CALENDAR=US&amp;VAR:SYMBOL=MO&amp;VAR:INDEX=0"}</definedName>
    <definedName name="_744__FDSAUDITLINK__" hidden="1">{"fdsup://directions/FAT Viewer?action=UPDATE&amp;creator=factset&amp;DYN_ARGS=TRUE&amp;DOC_NAME=FAT:FQL_AUDITING_CLIENT_TEMPLATE.FAT&amp;display_string=Audit&amp;VAR:KEY=NIPUNAZGHC&amp;VAR:QUERY=RkZfRElWX1lMRChBTk4sMS8wNC8wNywxLzA0LzA3KQ==&amp;WINDOW=FIRST_POPUP&amp;HEIGHT=450&amp;WIDTH=450&amp;","START_MAXIMIZED=FALSE&amp;VAR:CALENDAR=US&amp;VAR:SYMBOL=MO&amp;VAR:INDEX=0"}</definedName>
    <definedName name="_745">#REF!</definedName>
    <definedName name="_745__FDSAUDITLINK__" localSheetId="0" hidden="1">{"fdsup://directions/FAT Viewer?action=UPDATE&amp;creator=factset&amp;DYN_ARGS=TRUE&amp;DOC_NAME=FAT:FQL_AUDITING_CLIENT_TEMPLATE.FAT&amp;display_string=Audit&amp;VAR:KEY=TWXWXAPORA&amp;VAR:QUERY=RkZfRElWX1lMRChBTk4sMTIvMjgvMDYsMTIvMjgvMDYp&amp;WINDOW=FIRST_POPUP&amp;HEIGHT=450&amp;WIDTH=450&amp;","START_MAXIMIZED=FALSE&amp;VAR:CALENDAR=US&amp;VAR:SYMBOL=MO&amp;VAR:INDEX=0"}</definedName>
    <definedName name="_745__FDSAUDITLINK__" hidden="1">{"fdsup://directions/FAT Viewer?action=UPDATE&amp;creator=factset&amp;DYN_ARGS=TRUE&amp;DOC_NAME=FAT:FQL_AUDITING_CLIENT_TEMPLATE.FAT&amp;display_string=Audit&amp;VAR:KEY=TWXWXAPORA&amp;VAR:QUERY=RkZfRElWX1lMRChBTk4sMTIvMjgvMDYsMTIvMjgvMDYp&amp;WINDOW=FIRST_POPUP&amp;HEIGHT=450&amp;WIDTH=450&amp;","START_MAXIMIZED=FALSE&amp;VAR:CALENDAR=US&amp;VAR:SYMBOL=MO&amp;VAR:INDEX=0"}</definedName>
    <definedName name="_746">#REF!</definedName>
    <definedName name="_746__FDSAUDITLINK__" localSheetId="0" hidden="1">{"fdsup://directions/FAT Viewer?action=UPDATE&amp;creator=factset&amp;DYN_ARGS=TRUE&amp;DOC_NAME=FAT:FQL_AUDITING_CLIENT_TEMPLATE.FAT&amp;display_string=Audit&amp;VAR:KEY=ZGDCNOZUHW&amp;VAR:QUERY=RkZfRElWX1lMRChBTk4sMTIvMjEvMDYsMTIvMjEvMDYp&amp;WINDOW=FIRST_POPUP&amp;HEIGHT=450&amp;WIDTH=450&amp;","START_MAXIMIZED=FALSE&amp;VAR:CALENDAR=US&amp;VAR:SYMBOL=MO&amp;VAR:INDEX=0"}</definedName>
    <definedName name="_746__FDSAUDITLINK__" hidden="1">{"fdsup://directions/FAT Viewer?action=UPDATE&amp;creator=factset&amp;DYN_ARGS=TRUE&amp;DOC_NAME=FAT:FQL_AUDITING_CLIENT_TEMPLATE.FAT&amp;display_string=Audit&amp;VAR:KEY=ZGDCNOZUHW&amp;VAR:QUERY=RkZfRElWX1lMRChBTk4sMTIvMjEvMDYsMTIvMjEvMDYp&amp;WINDOW=FIRST_POPUP&amp;HEIGHT=450&amp;WIDTH=450&amp;","START_MAXIMIZED=FALSE&amp;VAR:CALENDAR=US&amp;VAR:SYMBOL=MO&amp;VAR:INDEX=0"}</definedName>
    <definedName name="_747__FDSAUDITLINK__" localSheetId="0" hidden="1">{"fdsup://directions/FAT Viewer?action=UPDATE&amp;creator=factset&amp;DYN_ARGS=TRUE&amp;DOC_NAME=FAT:FQL_AUDITING_CLIENT_TEMPLATE.FAT&amp;display_string=Audit&amp;VAR:KEY=JGXYPAVWDO&amp;VAR:QUERY=RkZfRElWX1lMRChBTk4sMTIvMTQvMDYsMTIvMTQvMDYp&amp;WINDOW=FIRST_POPUP&amp;HEIGHT=450&amp;WIDTH=450&amp;","START_MAXIMIZED=FALSE&amp;VAR:CALENDAR=US&amp;VAR:SYMBOL=MO&amp;VAR:INDEX=0"}</definedName>
    <definedName name="_747__FDSAUDITLINK__" hidden="1">{"fdsup://directions/FAT Viewer?action=UPDATE&amp;creator=factset&amp;DYN_ARGS=TRUE&amp;DOC_NAME=FAT:FQL_AUDITING_CLIENT_TEMPLATE.FAT&amp;display_string=Audit&amp;VAR:KEY=JGXYPAVWDO&amp;VAR:QUERY=RkZfRElWX1lMRChBTk4sMTIvMTQvMDYsMTIvMTQvMDYp&amp;WINDOW=FIRST_POPUP&amp;HEIGHT=450&amp;WIDTH=450&amp;","START_MAXIMIZED=FALSE&amp;VAR:CALENDAR=US&amp;VAR:SYMBOL=MO&amp;VAR:INDEX=0"}</definedName>
    <definedName name="_748__FDSAUDITLINK__" localSheetId="0" hidden="1">{"fdsup://directions/FAT Viewer?action=UPDATE&amp;creator=factset&amp;DYN_ARGS=TRUE&amp;DOC_NAME=FAT:FQL_AUDITING_CLIENT_TEMPLATE.FAT&amp;display_string=Audit&amp;VAR:KEY=JKXOZALIFW&amp;VAR:QUERY=RkZfRElWX1lMRChBTk4sMTIvMDcvMDYsMTIvMDcvMDYp&amp;WINDOW=FIRST_POPUP&amp;HEIGHT=450&amp;WIDTH=450&amp;","START_MAXIMIZED=FALSE&amp;VAR:CALENDAR=US&amp;VAR:SYMBOL=MO&amp;VAR:INDEX=0"}</definedName>
    <definedName name="_748__FDSAUDITLINK__" hidden="1">{"fdsup://directions/FAT Viewer?action=UPDATE&amp;creator=factset&amp;DYN_ARGS=TRUE&amp;DOC_NAME=FAT:FQL_AUDITING_CLIENT_TEMPLATE.FAT&amp;display_string=Audit&amp;VAR:KEY=JKXOZALIFW&amp;VAR:QUERY=RkZfRElWX1lMRChBTk4sMTIvMDcvMDYsMTIvMDcvMDYp&amp;WINDOW=FIRST_POPUP&amp;HEIGHT=450&amp;WIDTH=450&amp;","START_MAXIMIZED=FALSE&amp;VAR:CALENDAR=US&amp;VAR:SYMBOL=MO&amp;VAR:INDEX=0"}</definedName>
    <definedName name="_749__FDSAUDITLINK__" localSheetId="0" hidden="1">{"fdsup://directions/FAT Viewer?action=UPDATE&amp;creator=factset&amp;DYN_ARGS=TRUE&amp;DOC_NAME=FAT:FQL_AUDITING_CLIENT_TEMPLATE.FAT&amp;display_string=Audit&amp;VAR:KEY=TQLSPUFYDU&amp;VAR:QUERY=RkZfRElWX1lMRChBTk4sMTEvMzAvMDYsMTEvMzAvMDYp&amp;WINDOW=FIRST_POPUP&amp;HEIGHT=450&amp;WIDTH=450&amp;","START_MAXIMIZED=FALSE&amp;VAR:CALENDAR=US&amp;VAR:SYMBOL=MO&amp;VAR:INDEX=0"}</definedName>
    <definedName name="_749__FDSAUDITLINK__" hidden="1">{"fdsup://directions/FAT Viewer?action=UPDATE&amp;creator=factset&amp;DYN_ARGS=TRUE&amp;DOC_NAME=FAT:FQL_AUDITING_CLIENT_TEMPLATE.FAT&amp;display_string=Audit&amp;VAR:KEY=TQLSPUFYDU&amp;VAR:QUERY=RkZfRElWX1lMRChBTk4sMTEvMzAvMDYsMTEvMzAvMDYp&amp;WINDOW=FIRST_POPUP&amp;HEIGHT=450&amp;WIDTH=450&amp;","START_MAXIMIZED=FALSE&amp;VAR:CALENDAR=US&amp;VAR:SYMBOL=MO&amp;VAR:INDEX=0"}</definedName>
    <definedName name="_74main_form_account_grants_list_9_j_id1022">#REF!</definedName>
    <definedName name="_75">#REF!</definedName>
    <definedName name="_75__123Graph_DCHART_1">#REF!</definedName>
    <definedName name="_75__123Graph_EWAGES_BY_B_U">#REF!</definedName>
    <definedName name="_75__FDSAUDITLINK__" localSheetId="0" hidden="1">{"fdsup://directions/FAT Viewer?action=UPDATE&amp;creator=factset&amp;DYN_ARGS=TRUE&amp;DOC_NAME=FAT:FQL_AUDITING_CLIENT_TEMPLATE.FAT&amp;display_string=Audit&amp;VAR:KEY=LOXYFYNENI&amp;VAR:QUERY=QVZHKEZGX0RJVl9ZTEQoQU5OLDQwOTk0LC01QVkpKQ==&amp;WINDOW=FIRST_POPUP&amp;HEIGHT=450&amp;WIDTH=450&amp;","START_MAXIMIZED=FALSE&amp;VAR:CALENDAR=US&amp;VAR:SYMBOL=SBUX"}</definedName>
    <definedName name="_75__FDSAUDITLINK__" hidden="1">{"fdsup://directions/FAT Viewer?action=UPDATE&amp;creator=factset&amp;DYN_ARGS=TRUE&amp;DOC_NAME=FAT:FQL_AUDITING_CLIENT_TEMPLATE.FAT&amp;display_string=Audit&amp;VAR:KEY=LOXYFYNENI&amp;VAR:QUERY=QVZHKEZGX0RJVl9ZTEQoQU5OLDQwOTk0LC01QVkpKQ==&amp;WINDOW=FIRST_POPUP&amp;HEIGHT=450&amp;WIDTH=450&amp;","START_MAXIMIZED=FALSE&amp;VAR:CALENDAR=US&amp;VAR:SYMBOL=SBUX"}</definedName>
    <definedName name="_750__FDSAUDITLINK__" localSheetId="0" hidden="1">{"fdsup://directions/FAT Viewer?action=UPDATE&amp;creator=factset&amp;DYN_ARGS=TRUE&amp;DOC_NAME=FAT:FQL_AUDITING_CLIENT_TEMPLATE.FAT&amp;display_string=Audit&amp;VAR:KEY=BOLCLUDQFC&amp;VAR:QUERY=RkZfRElWX1lMRChBTk4sMTEvMjIvMDYsMTEvMjIvMDYp&amp;WINDOW=FIRST_POPUP&amp;HEIGHT=450&amp;WIDTH=450&amp;","START_MAXIMIZED=FALSE&amp;VAR:CALENDAR=US&amp;VAR:SYMBOL=MO&amp;VAR:INDEX=0"}</definedName>
    <definedName name="_750__FDSAUDITLINK__" hidden="1">{"fdsup://directions/FAT Viewer?action=UPDATE&amp;creator=factset&amp;DYN_ARGS=TRUE&amp;DOC_NAME=FAT:FQL_AUDITING_CLIENT_TEMPLATE.FAT&amp;display_string=Audit&amp;VAR:KEY=BOLCLUDQFC&amp;VAR:QUERY=RkZfRElWX1lMRChBTk4sMTEvMjIvMDYsMTEvMjIvMDYp&amp;WINDOW=FIRST_POPUP&amp;HEIGHT=450&amp;WIDTH=450&amp;","START_MAXIMIZED=FALSE&amp;VAR:CALENDAR=US&amp;VAR:SYMBOL=MO&amp;VAR:INDEX=0"}</definedName>
    <definedName name="_751__FDSAUDITLINK__" localSheetId="0" hidden="1">{"fdsup://directions/FAT Viewer?action=UPDATE&amp;creator=factset&amp;DYN_ARGS=TRUE&amp;DOC_NAME=FAT:FQL_AUDITING_CLIENT_TEMPLATE.FAT&amp;display_string=Audit&amp;VAR:KEY=TMTIFMPSHY&amp;VAR:QUERY=RkZfRElWX1lMRChBTk4sMTEvMTYvMDYsMTEvMTYvMDYp&amp;WINDOW=FIRST_POPUP&amp;HEIGHT=450&amp;WIDTH=450&amp;","START_MAXIMIZED=FALSE&amp;VAR:CALENDAR=US&amp;VAR:SYMBOL=MO&amp;VAR:INDEX=0"}</definedName>
    <definedName name="_751__FDSAUDITLINK__" hidden="1">{"fdsup://directions/FAT Viewer?action=UPDATE&amp;creator=factset&amp;DYN_ARGS=TRUE&amp;DOC_NAME=FAT:FQL_AUDITING_CLIENT_TEMPLATE.FAT&amp;display_string=Audit&amp;VAR:KEY=TMTIFMPSHY&amp;VAR:QUERY=RkZfRElWX1lMRChBTk4sMTEvMTYvMDYsMTEvMTYvMDYp&amp;WINDOW=FIRST_POPUP&amp;HEIGHT=450&amp;WIDTH=450&amp;","START_MAXIMIZED=FALSE&amp;VAR:CALENDAR=US&amp;VAR:SYMBOL=MO&amp;VAR:INDEX=0"}</definedName>
    <definedName name="_752__FDSAUDITLINK__" localSheetId="0" hidden="1">{"fdsup://directions/FAT Viewer?action=UPDATE&amp;creator=factset&amp;DYN_ARGS=TRUE&amp;DOC_NAME=FAT:FQL_AUDITING_CLIENT_TEMPLATE.FAT&amp;display_string=Audit&amp;VAR:KEY=VGLKBWJKZK&amp;VAR:QUERY=RkZfRElWX1lMRChBTk4sMTEvMDkvMDYsMTEvMDkvMDYp&amp;WINDOW=FIRST_POPUP&amp;HEIGHT=450&amp;WIDTH=450&amp;","START_MAXIMIZED=FALSE&amp;VAR:CALENDAR=US&amp;VAR:SYMBOL=MO&amp;VAR:INDEX=0"}</definedName>
    <definedName name="_752__FDSAUDITLINK__" hidden="1">{"fdsup://directions/FAT Viewer?action=UPDATE&amp;creator=factset&amp;DYN_ARGS=TRUE&amp;DOC_NAME=FAT:FQL_AUDITING_CLIENT_TEMPLATE.FAT&amp;display_string=Audit&amp;VAR:KEY=VGLKBWJKZK&amp;VAR:QUERY=RkZfRElWX1lMRChBTk4sMTEvMDkvMDYsMTEvMDkvMDYp&amp;WINDOW=FIRST_POPUP&amp;HEIGHT=450&amp;WIDTH=450&amp;","START_MAXIMIZED=FALSE&amp;VAR:CALENDAR=US&amp;VAR:SYMBOL=MO&amp;VAR:INDEX=0"}</definedName>
    <definedName name="_753__FDSAUDITLINK__" localSheetId="0" hidden="1">{"fdsup://directions/FAT Viewer?action=UPDATE&amp;creator=factset&amp;DYN_ARGS=TRUE&amp;DOC_NAME=FAT:FQL_AUDITING_CLIENT_TEMPLATE.FAT&amp;display_string=Audit&amp;VAR:KEY=JEHELGRWNK&amp;VAR:QUERY=RkZfRElWX1lMRChBTk4sMTEvMDIvMDYsMTEvMDIvMDYp&amp;WINDOW=FIRST_POPUP&amp;HEIGHT=450&amp;WIDTH=450&amp;","START_MAXIMIZED=FALSE&amp;VAR:CALENDAR=US&amp;VAR:SYMBOL=MO&amp;VAR:INDEX=0"}</definedName>
    <definedName name="_753__FDSAUDITLINK__" hidden="1">{"fdsup://directions/FAT Viewer?action=UPDATE&amp;creator=factset&amp;DYN_ARGS=TRUE&amp;DOC_NAME=FAT:FQL_AUDITING_CLIENT_TEMPLATE.FAT&amp;display_string=Audit&amp;VAR:KEY=JEHELGRWNK&amp;VAR:QUERY=RkZfRElWX1lMRChBTk4sMTEvMDIvMDYsMTEvMDIvMDYp&amp;WINDOW=FIRST_POPUP&amp;HEIGHT=450&amp;WIDTH=450&amp;","START_MAXIMIZED=FALSE&amp;VAR:CALENDAR=US&amp;VAR:SYMBOL=MO&amp;VAR:INDEX=0"}</definedName>
    <definedName name="_754">#REF!</definedName>
    <definedName name="_754__FDSAUDITLINK__" localSheetId="0" hidden="1">{"fdsup://directions/FAT Viewer?action=UPDATE&amp;creator=factset&amp;DYN_ARGS=TRUE&amp;DOC_NAME=FAT:FQL_AUDITING_CLIENT_TEMPLATE.FAT&amp;display_string=Audit&amp;VAR:KEY=TKTEDCBYRS&amp;VAR:QUERY=RkZfRElWX1lMRChBTk4sMTAvMjYvMDYsMTAvMjYvMDYp&amp;WINDOW=FIRST_POPUP&amp;HEIGHT=450&amp;WIDTH=450&amp;","START_MAXIMIZED=FALSE&amp;VAR:CALENDAR=US&amp;VAR:SYMBOL=MO&amp;VAR:INDEX=0"}</definedName>
    <definedName name="_754__FDSAUDITLINK__" hidden="1">{"fdsup://directions/FAT Viewer?action=UPDATE&amp;creator=factset&amp;DYN_ARGS=TRUE&amp;DOC_NAME=FAT:FQL_AUDITING_CLIENT_TEMPLATE.FAT&amp;display_string=Audit&amp;VAR:KEY=TKTEDCBYRS&amp;VAR:QUERY=RkZfRElWX1lMRChBTk4sMTAvMjYvMDYsMTAvMjYvMDYp&amp;WINDOW=FIRST_POPUP&amp;HEIGHT=450&amp;WIDTH=450&amp;","START_MAXIMIZED=FALSE&amp;VAR:CALENDAR=US&amp;VAR:SYMBOL=MO&amp;VAR:INDEX=0"}</definedName>
    <definedName name="_755__FDSAUDITLINK__" localSheetId="0" hidden="1">{"fdsup://directions/FAT Viewer?action=UPDATE&amp;creator=factset&amp;DYN_ARGS=TRUE&amp;DOC_NAME=FAT:FQL_AUDITING_CLIENT_TEMPLATE.FAT&amp;display_string=Audit&amp;VAR:KEY=LYTIFEDGNS&amp;VAR:QUERY=RkZfRElWX1lMRChBTk4sMTAvMTkvMDYsMTAvMTkvMDYp&amp;WINDOW=FIRST_POPUP&amp;HEIGHT=450&amp;WIDTH=450&amp;","START_MAXIMIZED=FALSE&amp;VAR:CALENDAR=US&amp;VAR:SYMBOL=MO&amp;VAR:INDEX=0"}</definedName>
    <definedName name="_755__FDSAUDITLINK__" hidden="1">{"fdsup://directions/FAT Viewer?action=UPDATE&amp;creator=factset&amp;DYN_ARGS=TRUE&amp;DOC_NAME=FAT:FQL_AUDITING_CLIENT_TEMPLATE.FAT&amp;display_string=Audit&amp;VAR:KEY=LYTIFEDGNS&amp;VAR:QUERY=RkZfRElWX1lMRChBTk4sMTAvMTkvMDYsMTAvMTkvMDYp&amp;WINDOW=FIRST_POPUP&amp;HEIGHT=450&amp;WIDTH=450&amp;","START_MAXIMIZED=FALSE&amp;VAR:CALENDAR=US&amp;VAR:SYMBOL=MO&amp;VAR:INDEX=0"}</definedName>
    <definedName name="_756__FDSAUDITLINK__" localSheetId="0" hidden="1">{"fdsup://directions/FAT Viewer?action=UPDATE&amp;creator=factset&amp;DYN_ARGS=TRUE&amp;DOC_NAME=FAT:FQL_AUDITING_CLIENT_TEMPLATE.FAT&amp;display_string=Audit&amp;VAR:KEY=LSZCDKDKDG&amp;VAR:QUERY=RkZfRElWX1lMRChBTk4sMTAvMTIvMDYsMTAvMTIvMDYp&amp;WINDOW=FIRST_POPUP&amp;HEIGHT=450&amp;WIDTH=450&amp;","START_MAXIMIZED=FALSE&amp;VAR:CALENDAR=US&amp;VAR:SYMBOL=MO&amp;VAR:INDEX=0"}</definedName>
    <definedName name="_756__FDSAUDITLINK__" hidden="1">{"fdsup://directions/FAT Viewer?action=UPDATE&amp;creator=factset&amp;DYN_ARGS=TRUE&amp;DOC_NAME=FAT:FQL_AUDITING_CLIENT_TEMPLATE.FAT&amp;display_string=Audit&amp;VAR:KEY=LSZCDKDKDG&amp;VAR:QUERY=RkZfRElWX1lMRChBTk4sMTAvMTIvMDYsMTAvMTIvMDYp&amp;WINDOW=FIRST_POPUP&amp;HEIGHT=450&amp;WIDTH=450&amp;","START_MAXIMIZED=FALSE&amp;VAR:CALENDAR=US&amp;VAR:SYMBOL=MO&amp;VAR:INDEX=0"}</definedName>
    <definedName name="_757__FDSAUDITLINK__" localSheetId="0" hidden="1">{"fdsup://directions/FAT Viewer?action=UPDATE&amp;creator=factset&amp;DYN_ARGS=TRUE&amp;DOC_NAME=FAT:FQL_AUDITING_CLIENT_TEMPLATE.FAT&amp;display_string=Audit&amp;VAR:KEY=RUDCDYPOFG&amp;VAR:QUERY=RkZfRElWX1lMRChBTk4sMTAvMDUvMDYsMTAvMDUvMDYp&amp;WINDOW=FIRST_POPUP&amp;HEIGHT=450&amp;WIDTH=450&amp;","START_MAXIMIZED=FALSE&amp;VAR:CALENDAR=US&amp;VAR:SYMBOL=MO&amp;VAR:INDEX=0"}</definedName>
    <definedName name="_757__FDSAUDITLINK__" hidden="1">{"fdsup://directions/FAT Viewer?action=UPDATE&amp;creator=factset&amp;DYN_ARGS=TRUE&amp;DOC_NAME=FAT:FQL_AUDITING_CLIENT_TEMPLATE.FAT&amp;display_string=Audit&amp;VAR:KEY=RUDCDYPOFG&amp;VAR:QUERY=RkZfRElWX1lMRChBTk4sMTAvMDUvMDYsMTAvMDUvMDYp&amp;WINDOW=FIRST_POPUP&amp;HEIGHT=450&amp;WIDTH=450&amp;","START_MAXIMIZED=FALSE&amp;VAR:CALENDAR=US&amp;VAR:SYMBOL=MO&amp;VAR:INDEX=0"}</definedName>
    <definedName name="_758">#REF!</definedName>
    <definedName name="_758__FDSAUDITLINK__" localSheetId="0" hidden="1">{"fdsup://directions/FAT Viewer?action=UPDATE&amp;creator=factset&amp;DYN_ARGS=TRUE&amp;DOC_NAME=FAT:FQL_AUDITING_CLIENT_TEMPLATE.FAT&amp;display_string=Audit&amp;VAR:KEY=RQFSJKBCHK&amp;VAR:QUERY=RkZfRElWX1lMRChBTk4sOS8yOC8wNiw5LzI4LzA2KQ==&amp;WINDOW=FIRST_POPUP&amp;HEIGHT=450&amp;WIDTH=450&amp;","START_MAXIMIZED=FALSE&amp;VAR:CALENDAR=US&amp;VAR:SYMBOL=MO&amp;VAR:INDEX=0"}</definedName>
    <definedName name="_758__FDSAUDITLINK__" hidden="1">{"fdsup://directions/FAT Viewer?action=UPDATE&amp;creator=factset&amp;DYN_ARGS=TRUE&amp;DOC_NAME=FAT:FQL_AUDITING_CLIENT_TEMPLATE.FAT&amp;display_string=Audit&amp;VAR:KEY=RQFSJKBCHK&amp;VAR:QUERY=RkZfRElWX1lMRChBTk4sOS8yOC8wNiw5LzI4LzA2KQ==&amp;WINDOW=FIRST_POPUP&amp;HEIGHT=450&amp;WIDTH=450&amp;","START_MAXIMIZED=FALSE&amp;VAR:CALENDAR=US&amp;VAR:SYMBOL=MO&amp;VAR:INDEX=0"}</definedName>
    <definedName name="_759__FDSAUDITLINK__" localSheetId="0" hidden="1">{"fdsup://directions/FAT Viewer?action=UPDATE&amp;creator=factset&amp;DYN_ARGS=TRUE&amp;DOC_NAME=FAT:FQL_AUDITING_CLIENT_TEMPLATE.FAT&amp;display_string=Audit&amp;VAR:KEY=ZIFWXGHEBG&amp;VAR:QUERY=RkZfRElWX1lMRChBTk4sOS8yMS8wNiw5LzIxLzA2KQ==&amp;WINDOW=FIRST_POPUP&amp;HEIGHT=450&amp;WIDTH=450&amp;","START_MAXIMIZED=FALSE&amp;VAR:CALENDAR=US&amp;VAR:SYMBOL=MO&amp;VAR:INDEX=0"}</definedName>
    <definedName name="_759__FDSAUDITLINK__" hidden="1">{"fdsup://directions/FAT Viewer?action=UPDATE&amp;creator=factset&amp;DYN_ARGS=TRUE&amp;DOC_NAME=FAT:FQL_AUDITING_CLIENT_TEMPLATE.FAT&amp;display_string=Audit&amp;VAR:KEY=ZIFWXGHEBG&amp;VAR:QUERY=RkZfRElWX1lMRChBTk4sOS8yMS8wNiw5LzIxLzA2KQ==&amp;WINDOW=FIRST_POPUP&amp;HEIGHT=450&amp;WIDTH=450&amp;","START_MAXIMIZED=FALSE&amp;VAR:CALENDAR=US&amp;VAR:SYMBOL=MO&amp;VAR:INDEX=0"}</definedName>
    <definedName name="_76">#REF!</definedName>
    <definedName name="_76__123Graph_CSENS_COMPARISON">#REF!</definedName>
    <definedName name="_76__123Graph_DQRE_S_BY_CO.">#REF!</definedName>
    <definedName name="_76__FDSAUDITLINK__" localSheetId="0" hidden="1">{"fdsup://directions/FAT Viewer?action=UPDATE&amp;creator=factset&amp;DYN_ARGS=TRUE&amp;DOC_NAME=FAT:FQL_AUDITING_CLIENT_TEMPLATE.FAT&amp;display_string=Audit&amp;VAR:KEY=JCNAXYRAZK&amp;VAR:QUERY=QVZHKEZGX0RJVl9ZTEQoQU5OLDQwOTk0LC0zQVkpKQ==&amp;WINDOW=FIRST_POPUP&amp;HEIGHT=450&amp;WIDTH=450&amp;","START_MAXIMIZED=FALSE&amp;VAR:CALENDAR=US&amp;VAR:SYMBOL=SBUX"}</definedName>
    <definedName name="_76__FDSAUDITLINK__" hidden="1">{"fdsup://directions/FAT Viewer?action=UPDATE&amp;creator=factset&amp;DYN_ARGS=TRUE&amp;DOC_NAME=FAT:FQL_AUDITING_CLIENT_TEMPLATE.FAT&amp;display_string=Audit&amp;VAR:KEY=JCNAXYRAZK&amp;VAR:QUERY=QVZHKEZGX0RJVl9ZTEQoQU5OLDQwOTk0LC0zQVkpKQ==&amp;WINDOW=FIRST_POPUP&amp;HEIGHT=450&amp;WIDTH=450&amp;","START_MAXIMIZED=FALSE&amp;VAR:CALENDAR=US&amp;VAR:SYMBOL=SBUX"}</definedName>
    <definedName name="_760__FDSAUDITLINK__" localSheetId="0" hidden="1">{"fdsup://directions/FAT Viewer?action=UPDATE&amp;creator=factset&amp;DYN_ARGS=TRUE&amp;DOC_NAME=FAT:FQL_AUDITING_CLIENT_TEMPLATE.FAT&amp;display_string=Audit&amp;VAR:KEY=TIVIPWJUDG&amp;VAR:QUERY=RkZfRElWX1lMRChBTk4sOS8xNC8wNiw5LzE0LzA2KQ==&amp;WINDOW=FIRST_POPUP&amp;HEIGHT=450&amp;WIDTH=450&amp;","START_MAXIMIZED=FALSE&amp;VAR:CALENDAR=US&amp;VAR:SYMBOL=MO&amp;VAR:INDEX=0"}</definedName>
    <definedName name="_760__FDSAUDITLINK__" hidden="1">{"fdsup://directions/FAT Viewer?action=UPDATE&amp;creator=factset&amp;DYN_ARGS=TRUE&amp;DOC_NAME=FAT:FQL_AUDITING_CLIENT_TEMPLATE.FAT&amp;display_string=Audit&amp;VAR:KEY=TIVIPWJUDG&amp;VAR:QUERY=RkZfRElWX1lMRChBTk4sOS8xNC8wNiw5LzE0LzA2KQ==&amp;WINDOW=FIRST_POPUP&amp;HEIGHT=450&amp;WIDTH=450&amp;","START_MAXIMIZED=FALSE&amp;VAR:CALENDAR=US&amp;VAR:SYMBOL=MO&amp;VAR:INDEX=0"}</definedName>
    <definedName name="_761__FDSAUDITLINK__" localSheetId="0" hidden="1">{"fdsup://directions/FAT Viewer?action=UPDATE&amp;creator=factset&amp;DYN_ARGS=TRUE&amp;DOC_NAME=FAT:FQL_AUDITING_CLIENT_TEMPLATE.FAT&amp;display_string=Audit&amp;VAR:KEY=LOTKNUBOTM&amp;VAR:QUERY=RkZfRElWX1lMRChBTk4sOS8wNy8wNiw5LzA3LzA2KQ==&amp;WINDOW=FIRST_POPUP&amp;HEIGHT=450&amp;WIDTH=450&amp;","START_MAXIMIZED=FALSE&amp;VAR:CALENDAR=US&amp;VAR:SYMBOL=MO&amp;VAR:INDEX=0"}</definedName>
    <definedName name="_761__FDSAUDITLINK__" hidden="1">{"fdsup://directions/FAT Viewer?action=UPDATE&amp;creator=factset&amp;DYN_ARGS=TRUE&amp;DOC_NAME=FAT:FQL_AUDITING_CLIENT_TEMPLATE.FAT&amp;display_string=Audit&amp;VAR:KEY=LOTKNUBOTM&amp;VAR:QUERY=RkZfRElWX1lMRChBTk4sOS8wNy8wNiw5LzA3LzA2KQ==&amp;WINDOW=FIRST_POPUP&amp;HEIGHT=450&amp;WIDTH=450&amp;","START_MAXIMIZED=FALSE&amp;VAR:CALENDAR=US&amp;VAR:SYMBOL=MO&amp;VAR:INDEX=0"}</definedName>
    <definedName name="_762__FDSAUDITLINK__" localSheetId="0" hidden="1">{"fdsup://directions/FAT Viewer?action=UPDATE&amp;creator=factset&amp;DYN_ARGS=TRUE&amp;DOC_NAME=FAT:FQL_AUDITING_CLIENT_TEMPLATE.FAT&amp;display_string=Audit&amp;VAR:KEY=ROFUDCVWFY&amp;VAR:QUERY=RkZfRElWX1lMRChBTk4sOC8zMS8wNiw4LzMxLzA2KQ==&amp;WINDOW=FIRST_POPUP&amp;HEIGHT=450&amp;WIDTH=450&amp;","START_MAXIMIZED=FALSE&amp;VAR:CALENDAR=US&amp;VAR:SYMBOL=MO&amp;VAR:INDEX=0"}</definedName>
    <definedName name="_762__FDSAUDITLINK__" hidden="1">{"fdsup://directions/FAT Viewer?action=UPDATE&amp;creator=factset&amp;DYN_ARGS=TRUE&amp;DOC_NAME=FAT:FQL_AUDITING_CLIENT_TEMPLATE.FAT&amp;display_string=Audit&amp;VAR:KEY=ROFUDCVWFY&amp;VAR:QUERY=RkZfRElWX1lMRChBTk4sOC8zMS8wNiw4LzMxLzA2KQ==&amp;WINDOW=FIRST_POPUP&amp;HEIGHT=450&amp;WIDTH=450&amp;","START_MAXIMIZED=FALSE&amp;VAR:CALENDAR=US&amp;VAR:SYMBOL=MO&amp;VAR:INDEX=0"}</definedName>
    <definedName name="_763">#REF!</definedName>
    <definedName name="_763__FDSAUDITLINK__" localSheetId="0" hidden="1">{"fdsup://directions/FAT Viewer?action=UPDATE&amp;creator=factset&amp;DYN_ARGS=TRUE&amp;DOC_NAME=FAT:FQL_AUDITING_CLIENT_TEMPLATE.FAT&amp;display_string=Audit&amp;VAR:KEY=PEDOFAXQFW&amp;VAR:QUERY=RkZfRElWX1lMRChBTk4sOC8yNC8wNiw4LzI0LzA2KQ==&amp;WINDOW=FIRST_POPUP&amp;HEIGHT=450&amp;WIDTH=450&amp;","START_MAXIMIZED=FALSE&amp;VAR:CALENDAR=US&amp;VAR:SYMBOL=MO&amp;VAR:INDEX=0"}</definedName>
    <definedName name="_763__FDSAUDITLINK__" hidden="1">{"fdsup://directions/FAT Viewer?action=UPDATE&amp;creator=factset&amp;DYN_ARGS=TRUE&amp;DOC_NAME=FAT:FQL_AUDITING_CLIENT_TEMPLATE.FAT&amp;display_string=Audit&amp;VAR:KEY=PEDOFAXQFW&amp;VAR:QUERY=RkZfRElWX1lMRChBTk4sOC8yNC8wNiw4LzI0LzA2KQ==&amp;WINDOW=FIRST_POPUP&amp;HEIGHT=450&amp;WIDTH=450&amp;","START_MAXIMIZED=FALSE&amp;VAR:CALENDAR=US&amp;VAR:SYMBOL=MO&amp;VAR:INDEX=0"}</definedName>
    <definedName name="_764__FDSAUDITLINK__" localSheetId="0" hidden="1">{"fdsup://directions/FAT Viewer?action=UPDATE&amp;creator=factset&amp;DYN_ARGS=TRUE&amp;DOC_NAME=FAT:FQL_AUDITING_CLIENT_TEMPLATE.FAT&amp;display_string=Audit&amp;VAR:KEY=JGTAPIDSPI&amp;VAR:QUERY=RkZfRElWX1lMRChBTk4sOC8xNy8wNiw4LzE3LzA2KQ==&amp;WINDOW=FIRST_POPUP&amp;HEIGHT=450&amp;WIDTH=450&amp;","START_MAXIMIZED=FALSE&amp;VAR:CALENDAR=US&amp;VAR:SYMBOL=MO&amp;VAR:INDEX=0"}</definedName>
    <definedName name="_764__FDSAUDITLINK__" hidden="1">{"fdsup://directions/FAT Viewer?action=UPDATE&amp;creator=factset&amp;DYN_ARGS=TRUE&amp;DOC_NAME=FAT:FQL_AUDITING_CLIENT_TEMPLATE.FAT&amp;display_string=Audit&amp;VAR:KEY=JGTAPIDSPI&amp;VAR:QUERY=RkZfRElWX1lMRChBTk4sOC8xNy8wNiw4LzE3LzA2KQ==&amp;WINDOW=FIRST_POPUP&amp;HEIGHT=450&amp;WIDTH=450&amp;","START_MAXIMIZED=FALSE&amp;VAR:CALENDAR=US&amp;VAR:SYMBOL=MO&amp;VAR:INDEX=0"}</definedName>
    <definedName name="_765__FDSAUDITLINK__" localSheetId="0" hidden="1">{"fdsup://directions/FAT Viewer?action=UPDATE&amp;creator=factset&amp;DYN_ARGS=TRUE&amp;DOC_NAME=FAT:FQL_AUDITING_CLIENT_TEMPLATE.FAT&amp;display_string=Audit&amp;VAR:KEY=HALOZIZSXG&amp;VAR:QUERY=RkZfRElWX1lMRChBTk4sOC8xMC8wNiw4LzEwLzA2KQ==&amp;WINDOW=FIRST_POPUP&amp;HEIGHT=450&amp;WIDTH=450&amp;","START_MAXIMIZED=FALSE&amp;VAR:CALENDAR=US&amp;VAR:SYMBOL=MO&amp;VAR:INDEX=0"}</definedName>
    <definedName name="_765__FDSAUDITLINK__" hidden="1">{"fdsup://directions/FAT Viewer?action=UPDATE&amp;creator=factset&amp;DYN_ARGS=TRUE&amp;DOC_NAME=FAT:FQL_AUDITING_CLIENT_TEMPLATE.FAT&amp;display_string=Audit&amp;VAR:KEY=HALOZIZSXG&amp;VAR:QUERY=RkZfRElWX1lMRChBTk4sOC8xMC8wNiw4LzEwLzA2KQ==&amp;WINDOW=FIRST_POPUP&amp;HEIGHT=450&amp;WIDTH=450&amp;","START_MAXIMIZED=FALSE&amp;VAR:CALENDAR=US&amp;VAR:SYMBOL=MO&amp;VAR:INDEX=0"}</definedName>
    <definedName name="_766__FDSAUDITLINK__" localSheetId="0" hidden="1">{"fdsup://directions/FAT Viewer?action=UPDATE&amp;creator=factset&amp;DYN_ARGS=TRUE&amp;DOC_NAME=FAT:FQL_AUDITING_CLIENT_TEMPLATE.FAT&amp;display_string=Audit&amp;VAR:KEY=RGHKNQFKRK&amp;VAR:QUERY=RkZfRElWX1lMRChBTk4sOC8wMy8wNiw4LzAzLzA2KQ==&amp;WINDOW=FIRST_POPUP&amp;HEIGHT=450&amp;WIDTH=450&amp;","START_MAXIMIZED=FALSE&amp;VAR:CALENDAR=US&amp;VAR:SYMBOL=MO&amp;VAR:INDEX=0"}</definedName>
    <definedName name="_766__FDSAUDITLINK__" hidden="1">{"fdsup://directions/FAT Viewer?action=UPDATE&amp;creator=factset&amp;DYN_ARGS=TRUE&amp;DOC_NAME=FAT:FQL_AUDITING_CLIENT_TEMPLATE.FAT&amp;display_string=Audit&amp;VAR:KEY=RGHKNQFKRK&amp;VAR:QUERY=RkZfRElWX1lMRChBTk4sOC8wMy8wNiw4LzAzLzA2KQ==&amp;WINDOW=FIRST_POPUP&amp;HEIGHT=450&amp;WIDTH=450&amp;","START_MAXIMIZED=FALSE&amp;VAR:CALENDAR=US&amp;VAR:SYMBOL=MO&amp;VAR:INDEX=0"}</definedName>
    <definedName name="_767__FDSAUDITLINK__" localSheetId="0" hidden="1">{"fdsup://directions/FAT Viewer?action=UPDATE&amp;creator=factset&amp;DYN_ARGS=TRUE&amp;DOC_NAME=FAT:FQL_AUDITING_CLIENT_TEMPLATE.FAT&amp;display_string=Audit&amp;VAR:KEY=LSBURQVCPQ&amp;VAR:QUERY=RkZfRElWX1lMRChBTk4sNy8yNy8wNiw3LzI3LzA2KQ==&amp;WINDOW=FIRST_POPUP&amp;HEIGHT=450&amp;WIDTH=450&amp;","START_MAXIMIZED=FALSE&amp;VAR:CALENDAR=US&amp;VAR:SYMBOL=MO&amp;VAR:INDEX=0"}</definedName>
    <definedName name="_767__FDSAUDITLINK__" hidden="1">{"fdsup://directions/FAT Viewer?action=UPDATE&amp;creator=factset&amp;DYN_ARGS=TRUE&amp;DOC_NAME=FAT:FQL_AUDITING_CLIENT_TEMPLATE.FAT&amp;display_string=Audit&amp;VAR:KEY=LSBURQVCPQ&amp;VAR:QUERY=RkZfRElWX1lMRChBTk4sNy8yNy8wNiw3LzI3LzA2KQ==&amp;WINDOW=FIRST_POPUP&amp;HEIGHT=450&amp;WIDTH=450&amp;","START_MAXIMIZED=FALSE&amp;VAR:CALENDAR=US&amp;VAR:SYMBOL=MO&amp;VAR:INDEX=0"}</definedName>
    <definedName name="_768">#REF!</definedName>
    <definedName name="_768__FDSAUDITLINK__" localSheetId="0" hidden="1">{"fdsup://directions/FAT Viewer?action=UPDATE&amp;creator=factset&amp;DYN_ARGS=TRUE&amp;DOC_NAME=FAT:FQL_AUDITING_CLIENT_TEMPLATE.FAT&amp;display_string=Audit&amp;VAR:KEY=FQRILCJEZW&amp;VAR:QUERY=RkZfRElWX1lMRChBTk4sNy8yMC8wNiw3LzIwLzA2KQ==&amp;WINDOW=FIRST_POPUP&amp;HEIGHT=450&amp;WIDTH=450&amp;","START_MAXIMIZED=FALSE&amp;VAR:CALENDAR=US&amp;VAR:SYMBOL=MO&amp;VAR:INDEX=0"}</definedName>
    <definedName name="_768__FDSAUDITLINK__" hidden="1">{"fdsup://directions/FAT Viewer?action=UPDATE&amp;creator=factset&amp;DYN_ARGS=TRUE&amp;DOC_NAME=FAT:FQL_AUDITING_CLIENT_TEMPLATE.FAT&amp;display_string=Audit&amp;VAR:KEY=FQRILCJEZW&amp;VAR:QUERY=RkZfRElWX1lMRChBTk4sNy8yMC8wNiw3LzIwLzA2KQ==&amp;WINDOW=FIRST_POPUP&amp;HEIGHT=450&amp;WIDTH=450&amp;","START_MAXIMIZED=FALSE&amp;VAR:CALENDAR=US&amp;VAR:SYMBOL=MO&amp;VAR:INDEX=0"}</definedName>
    <definedName name="_769__FDSAUDITLINK__" localSheetId="0" hidden="1">{"fdsup://directions/FAT Viewer?action=UPDATE&amp;creator=factset&amp;DYN_ARGS=TRUE&amp;DOC_NAME=FAT:FQL_AUDITING_CLIENT_TEMPLATE.FAT&amp;display_string=Audit&amp;VAR:KEY=RALENULCJK&amp;VAR:QUERY=RkZfRElWX1lMRChBTk4sNy8xMy8wNiw3LzEzLzA2KQ==&amp;WINDOW=FIRST_POPUP&amp;HEIGHT=450&amp;WIDTH=450&amp;","START_MAXIMIZED=FALSE&amp;VAR:CALENDAR=US&amp;VAR:SYMBOL=MO&amp;VAR:INDEX=0"}</definedName>
    <definedName name="_769__FDSAUDITLINK__" hidden="1">{"fdsup://directions/FAT Viewer?action=UPDATE&amp;creator=factset&amp;DYN_ARGS=TRUE&amp;DOC_NAME=FAT:FQL_AUDITING_CLIENT_TEMPLATE.FAT&amp;display_string=Audit&amp;VAR:KEY=RALENULCJK&amp;VAR:QUERY=RkZfRElWX1lMRChBTk4sNy8xMy8wNiw3LzEzLzA2KQ==&amp;WINDOW=FIRST_POPUP&amp;HEIGHT=450&amp;WIDTH=450&amp;","START_MAXIMIZED=FALSE&amp;VAR:CALENDAR=US&amp;VAR:SYMBOL=MO&amp;VAR:INDEX=0"}</definedName>
    <definedName name="_77">#REF!</definedName>
    <definedName name="_77__FDSAUDITLINK__" localSheetId="0" hidden="1">{"fdsup://directions/FAT Viewer?action=UPDATE&amp;creator=factset&amp;DYN_ARGS=TRUE&amp;DOC_NAME=FAT:FQL_AUDITING_CLIENT_TEMPLATE.FAT&amp;display_string=Audit&amp;VAR:KEY=DGDEHWRSTU&amp;VAR:QUERY=QVZHKEZGX0RJVl9ZTEQoQU5OLDQwOTk0LC0yQVkpKQ==&amp;WINDOW=FIRST_POPUP&amp;HEIGHT=450&amp;WIDTH=450&amp;","START_MAXIMIZED=FALSE&amp;VAR:CALENDAR=US&amp;VAR:SYMBOL=SBUX"}</definedName>
    <definedName name="_77__FDSAUDITLINK__" hidden="1">{"fdsup://directions/FAT Viewer?action=UPDATE&amp;creator=factset&amp;DYN_ARGS=TRUE&amp;DOC_NAME=FAT:FQL_AUDITING_CLIENT_TEMPLATE.FAT&amp;display_string=Audit&amp;VAR:KEY=DGDEHWRSTU&amp;VAR:QUERY=QVZHKEZGX0RJVl9ZTEQoQU5OLDQwOTk0LC0yQVkpKQ==&amp;WINDOW=FIRST_POPUP&amp;HEIGHT=450&amp;WIDTH=450&amp;","START_MAXIMIZED=FALSE&amp;VAR:CALENDAR=US&amp;VAR:SYMBOL=SBUX"}</definedName>
    <definedName name="_770">#REF!</definedName>
    <definedName name="_770__FDSAUDITLINK__" localSheetId="0" hidden="1">{"fdsup://directions/FAT Viewer?action=UPDATE&amp;creator=factset&amp;DYN_ARGS=TRUE&amp;DOC_NAME=FAT:FQL_AUDITING_CLIENT_TEMPLATE.FAT&amp;display_string=Audit&amp;VAR:KEY=VKBUZSTKBO&amp;VAR:QUERY=RkZfRElWX1lMRChBTk4sNy8wNi8wNiw3LzA2LzA2KQ==&amp;WINDOW=FIRST_POPUP&amp;HEIGHT=450&amp;WIDTH=450&amp;","START_MAXIMIZED=FALSE&amp;VAR:CALENDAR=US&amp;VAR:SYMBOL=MO&amp;VAR:INDEX=0"}</definedName>
    <definedName name="_770__FDSAUDITLINK__" hidden="1">{"fdsup://directions/FAT Viewer?action=UPDATE&amp;creator=factset&amp;DYN_ARGS=TRUE&amp;DOC_NAME=FAT:FQL_AUDITING_CLIENT_TEMPLATE.FAT&amp;display_string=Audit&amp;VAR:KEY=VKBUZSTKBO&amp;VAR:QUERY=RkZfRElWX1lMRChBTk4sNy8wNi8wNiw3LzA2LzA2KQ==&amp;WINDOW=FIRST_POPUP&amp;HEIGHT=450&amp;WIDTH=450&amp;","START_MAXIMIZED=FALSE&amp;VAR:CALENDAR=US&amp;VAR:SYMBOL=MO&amp;VAR:INDEX=0"}</definedName>
    <definedName name="_771">#REF!</definedName>
    <definedName name="_771__FDSAUDITLINK__" localSheetId="0" hidden="1">{"fdsup://directions/FAT Viewer?action=UPDATE&amp;creator=factset&amp;DYN_ARGS=TRUE&amp;DOC_NAME=FAT:FQL_AUDITING_CLIENT_TEMPLATE.FAT&amp;display_string=Audit&amp;VAR:KEY=PIXWNWPOPQ&amp;VAR:QUERY=RkZfRElWX1lMRChBTk4sNi8yOS8wNiw2LzI5LzA2KQ==&amp;WINDOW=FIRST_POPUP&amp;HEIGHT=450&amp;WIDTH=450&amp;","START_MAXIMIZED=FALSE&amp;VAR:CALENDAR=US&amp;VAR:SYMBOL=MO&amp;VAR:INDEX=0"}</definedName>
    <definedName name="_771__FDSAUDITLINK__" hidden="1">{"fdsup://directions/FAT Viewer?action=UPDATE&amp;creator=factset&amp;DYN_ARGS=TRUE&amp;DOC_NAME=FAT:FQL_AUDITING_CLIENT_TEMPLATE.FAT&amp;display_string=Audit&amp;VAR:KEY=PIXWNWPOPQ&amp;VAR:QUERY=RkZfRElWX1lMRChBTk4sNi8yOS8wNiw2LzI5LzA2KQ==&amp;WINDOW=FIRST_POPUP&amp;HEIGHT=450&amp;WIDTH=450&amp;","START_MAXIMIZED=FALSE&amp;VAR:CALENDAR=US&amp;VAR:SYMBOL=MO&amp;VAR:INDEX=0"}</definedName>
    <definedName name="_772">#REF!</definedName>
    <definedName name="_772__FDSAUDITLINK__" localSheetId="0" hidden="1">{"fdsup://directions/FAT Viewer?action=UPDATE&amp;creator=factset&amp;DYN_ARGS=TRUE&amp;DOC_NAME=FAT:FQL_AUDITING_CLIENT_TEMPLATE.FAT&amp;display_string=Audit&amp;VAR:KEY=XCXORMBWBU&amp;VAR:QUERY=RkZfRElWX1lMRChBTk4sNi8yMi8wNiw2LzIyLzA2KQ==&amp;WINDOW=FIRST_POPUP&amp;HEIGHT=450&amp;WIDTH=450&amp;","START_MAXIMIZED=FALSE&amp;VAR:CALENDAR=US&amp;VAR:SYMBOL=MO&amp;VAR:INDEX=0"}</definedName>
    <definedName name="_772__FDSAUDITLINK__" hidden="1">{"fdsup://directions/FAT Viewer?action=UPDATE&amp;creator=factset&amp;DYN_ARGS=TRUE&amp;DOC_NAME=FAT:FQL_AUDITING_CLIENT_TEMPLATE.FAT&amp;display_string=Audit&amp;VAR:KEY=XCXORMBWBU&amp;VAR:QUERY=RkZfRElWX1lMRChBTk4sNi8yMi8wNiw2LzIyLzA2KQ==&amp;WINDOW=FIRST_POPUP&amp;HEIGHT=450&amp;WIDTH=450&amp;","START_MAXIMIZED=FALSE&amp;VAR:CALENDAR=US&amp;VAR:SYMBOL=MO&amp;VAR:INDEX=0"}</definedName>
    <definedName name="_773">#REF!</definedName>
    <definedName name="_773__FDSAUDITLINK__" localSheetId="0" hidden="1">{"fdsup://directions/FAT Viewer?action=UPDATE&amp;creator=factset&amp;DYN_ARGS=TRUE&amp;DOC_NAME=FAT:FQL_AUDITING_CLIENT_TEMPLATE.FAT&amp;display_string=Audit&amp;VAR:KEY=JWBOJATSHS&amp;VAR:QUERY=RkZfRElWX1lMRChBTk4sNi8xNS8wNiw2LzE1LzA2KQ==&amp;WINDOW=FIRST_POPUP&amp;HEIGHT=450&amp;WIDTH=450&amp;","START_MAXIMIZED=FALSE&amp;VAR:CALENDAR=US&amp;VAR:SYMBOL=MO&amp;VAR:INDEX=0"}</definedName>
    <definedName name="_773__FDSAUDITLINK__" hidden="1">{"fdsup://directions/FAT Viewer?action=UPDATE&amp;creator=factset&amp;DYN_ARGS=TRUE&amp;DOC_NAME=FAT:FQL_AUDITING_CLIENT_TEMPLATE.FAT&amp;display_string=Audit&amp;VAR:KEY=JWBOJATSHS&amp;VAR:QUERY=RkZfRElWX1lMRChBTk4sNi8xNS8wNiw2LzE1LzA2KQ==&amp;WINDOW=FIRST_POPUP&amp;HEIGHT=450&amp;WIDTH=450&amp;","START_MAXIMIZED=FALSE&amp;VAR:CALENDAR=US&amp;VAR:SYMBOL=MO&amp;VAR:INDEX=0"}</definedName>
    <definedName name="_774">#REF!</definedName>
    <definedName name="_774__FDSAUDITLINK__" localSheetId="0" hidden="1">{"fdsup://directions/FAT Viewer?action=UPDATE&amp;creator=factset&amp;DYN_ARGS=TRUE&amp;DOC_NAME=FAT:FQL_AUDITING_CLIENT_TEMPLATE.FAT&amp;display_string=Audit&amp;VAR:KEY=RKXCBIBGVC&amp;VAR:QUERY=RkZfRElWX1lMRChBTk4sNi8wOC8wNiw2LzA4LzA2KQ==&amp;WINDOW=FIRST_POPUP&amp;HEIGHT=450&amp;WIDTH=450&amp;","START_MAXIMIZED=FALSE&amp;VAR:CALENDAR=US&amp;VAR:SYMBOL=MO&amp;VAR:INDEX=0"}</definedName>
    <definedName name="_774__FDSAUDITLINK__" hidden="1">{"fdsup://directions/FAT Viewer?action=UPDATE&amp;creator=factset&amp;DYN_ARGS=TRUE&amp;DOC_NAME=FAT:FQL_AUDITING_CLIENT_TEMPLATE.FAT&amp;display_string=Audit&amp;VAR:KEY=RKXCBIBGVC&amp;VAR:QUERY=RkZfRElWX1lMRChBTk4sNi8wOC8wNiw2LzA4LzA2KQ==&amp;WINDOW=FIRST_POPUP&amp;HEIGHT=450&amp;WIDTH=450&amp;","START_MAXIMIZED=FALSE&amp;VAR:CALENDAR=US&amp;VAR:SYMBOL=MO&amp;VAR:INDEX=0"}</definedName>
    <definedName name="_775">#REF!</definedName>
    <definedName name="_775__FDSAUDITLINK__" localSheetId="0" hidden="1">{"fdsup://directions/FAT Viewer?action=UPDATE&amp;creator=factset&amp;DYN_ARGS=TRUE&amp;DOC_NAME=FAT:FQL_AUDITING_CLIENT_TEMPLATE.FAT&amp;display_string=Audit&amp;VAR:KEY=XCRKDAFMFM&amp;VAR:QUERY=RkZfRElWX1lMRChBTk4sNi8wMS8wNiw2LzAxLzA2KQ==&amp;WINDOW=FIRST_POPUP&amp;HEIGHT=450&amp;WIDTH=450&amp;","START_MAXIMIZED=FALSE&amp;VAR:CALENDAR=US&amp;VAR:SYMBOL=MO&amp;VAR:INDEX=0"}</definedName>
    <definedName name="_775__FDSAUDITLINK__" hidden="1">{"fdsup://directions/FAT Viewer?action=UPDATE&amp;creator=factset&amp;DYN_ARGS=TRUE&amp;DOC_NAME=FAT:FQL_AUDITING_CLIENT_TEMPLATE.FAT&amp;display_string=Audit&amp;VAR:KEY=XCRKDAFMFM&amp;VAR:QUERY=RkZfRElWX1lMRChBTk4sNi8wMS8wNiw2LzAxLzA2KQ==&amp;WINDOW=FIRST_POPUP&amp;HEIGHT=450&amp;WIDTH=450&amp;","START_MAXIMIZED=FALSE&amp;VAR:CALENDAR=US&amp;VAR:SYMBOL=MO&amp;VAR:INDEX=0"}</definedName>
    <definedName name="_776">#REF!</definedName>
    <definedName name="_776__FDSAUDITLINK__" localSheetId="0" hidden="1">{"fdsup://directions/FAT Viewer?action=UPDATE&amp;creator=factset&amp;DYN_ARGS=TRUE&amp;DOC_NAME=FAT:FQL_AUDITING_CLIENT_TEMPLATE.FAT&amp;display_string=Audit&amp;VAR:KEY=DEVQFQHEFI&amp;VAR:QUERY=RkZfRElWX1lMRChBTk4sNS8yNS8wNiw1LzI1LzA2KQ==&amp;WINDOW=FIRST_POPUP&amp;HEIGHT=450&amp;WIDTH=450&amp;","START_MAXIMIZED=FALSE&amp;VAR:CALENDAR=US&amp;VAR:SYMBOL=MO&amp;VAR:INDEX=0"}</definedName>
    <definedName name="_776__FDSAUDITLINK__" hidden="1">{"fdsup://directions/FAT Viewer?action=UPDATE&amp;creator=factset&amp;DYN_ARGS=TRUE&amp;DOC_NAME=FAT:FQL_AUDITING_CLIENT_TEMPLATE.FAT&amp;display_string=Audit&amp;VAR:KEY=DEVQFQHEFI&amp;VAR:QUERY=RkZfRElWX1lMRChBTk4sNS8yNS8wNiw1LzI1LzA2KQ==&amp;WINDOW=FIRST_POPUP&amp;HEIGHT=450&amp;WIDTH=450&amp;","START_MAXIMIZED=FALSE&amp;VAR:CALENDAR=US&amp;VAR:SYMBOL=MO&amp;VAR:INDEX=0"}</definedName>
    <definedName name="_777">#REF!</definedName>
    <definedName name="_777__FDSAUDITLINK__" localSheetId="0" hidden="1">{"fdsup://directions/FAT Viewer?action=UPDATE&amp;creator=factset&amp;DYN_ARGS=TRUE&amp;DOC_NAME=FAT:FQL_AUDITING_CLIENT_TEMPLATE.FAT&amp;display_string=Audit&amp;VAR:KEY=XIVQPMFEJM&amp;VAR:QUERY=RkZfRElWX1lMRChBTk4sNS8xOC8wNiw1LzE4LzA2KQ==&amp;WINDOW=FIRST_POPUP&amp;HEIGHT=450&amp;WIDTH=450&amp;","START_MAXIMIZED=FALSE&amp;VAR:CALENDAR=US&amp;VAR:SYMBOL=MO&amp;VAR:INDEX=0"}</definedName>
    <definedName name="_777__FDSAUDITLINK__" hidden="1">{"fdsup://directions/FAT Viewer?action=UPDATE&amp;creator=factset&amp;DYN_ARGS=TRUE&amp;DOC_NAME=FAT:FQL_AUDITING_CLIENT_TEMPLATE.FAT&amp;display_string=Audit&amp;VAR:KEY=XIVQPMFEJM&amp;VAR:QUERY=RkZfRElWX1lMRChBTk4sNS8xOC8wNiw1LzE4LzA2KQ==&amp;WINDOW=FIRST_POPUP&amp;HEIGHT=450&amp;WIDTH=450&amp;","START_MAXIMIZED=FALSE&amp;VAR:CALENDAR=US&amp;VAR:SYMBOL=MO&amp;VAR:INDEX=0"}</definedName>
    <definedName name="_778">#REF!</definedName>
    <definedName name="_778__FDSAUDITLINK__" localSheetId="0" hidden="1">{"fdsup://directions/FAT Viewer?action=UPDATE&amp;creator=factset&amp;DYN_ARGS=TRUE&amp;DOC_NAME=FAT:FQL_AUDITING_CLIENT_TEMPLATE.FAT&amp;display_string=Audit&amp;VAR:KEY=HQJMLSDGTY&amp;VAR:QUERY=RkZfRElWX1lMRChBTk4sNS8xMS8wNiw1LzExLzA2KQ==&amp;WINDOW=FIRST_POPUP&amp;HEIGHT=450&amp;WIDTH=450&amp;","START_MAXIMIZED=FALSE&amp;VAR:CALENDAR=US&amp;VAR:SYMBOL=MO&amp;VAR:INDEX=0"}</definedName>
    <definedName name="_778__FDSAUDITLINK__" hidden="1">{"fdsup://directions/FAT Viewer?action=UPDATE&amp;creator=factset&amp;DYN_ARGS=TRUE&amp;DOC_NAME=FAT:FQL_AUDITING_CLIENT_TEMPLATE.FAT&amp;display_string=Audit&amp;VAR:KEY=HQJMLSDGTY&amp;VAR:QUERY=RkZfRElWX1lMRChBTk4sNS8xMS8wNiw1LzExLzA2KQ==&amp;WINDOW=FIRST_POPUP&amp;HEIGHT=450&amp;WIDTH=450&amp;","START_MAXIMIZED=FALSE&amp;VAR:CALENDAR=US&amp;VAR:SYMBOL=MO&amp;VAR:INDEX=0"}</definedName>
    <definedName name="_779">#REF!</definedName>
    <definedName name="_779__FDSAUDITLINK__" localSheetId="0" hidden="1">{"fdsup://directions/FAT Viewer?action=UPDATE&amp;creator=factset&amp;DYN_ARGS=TRUE&amp;DOC_NAME=FAT:FQL_AUDITING_CLIENT_TEMPLATE.FAT&amp;display_string=Audit&amp;VAR:KEY=PEPKTUJMZO&amp;VAR:QUERY=RkZfRElWX1lMRChBTk4sNS8wNC8wNiw1LzA0LzA2KQ==&amp;WINDOW=FIRST_POPUP&amp;HEIGHT=450&amp;WIDTH=450&amp;","START_MAXIMIZED=FALSE&amp;VAR:CALENDAR=US&amp;VAR:SYMBOL=MO&amp;VAR:INDEX=0"}</definedName>
    <definedName name="_779__FDSAUDITLINK__" hidden="1">{"fdsup://directions/FAT Viewer?action=UPDATE&amp;creator=factset&amp;DYN_ARGS=TRUE&amp;DOC_NAME=FAT:FQL_AUDITING_CLIENT_TEMPLATE.FAT&amp;display_string=Audit&amp;VAR:KEY=PEPKTUJMZO&amp;VAR:QUERY=RkZfRElWX1lMRChBTk4sNS8wNC8wNiw1LzA0LzA2KQ==&amp;WINDOW=FIRST_POPUP&amp;HEIGHT=450&amp;WIDTH=450&amp;","START_MAXIMIZED=FALSE&amp;VAR:CALENDAR=US&amp;VAR:SYMBOL=MO&amp;VAR:INDEX=0"}</definedName>
    <definedName name="_78">#REF!</definedName>
    <definedName name="_78__123Graph_CCONTRACT_BY_B_U">#REF!</definedName>
    <definedName name="_78__123Graph_FCONTRACT_BY_B_U">#REF!</definedName>
    <definedName name="_78__FDSAUDITLINK__" localSheetId="0" hidden="1">{"fdsup://directions/FAT Viewer?action=UPDATE&amp;creator=factset&amp;DYN_ARGS=TRUE&amp;DOC_NAME=FAT:FQL_AUDITING_CLIENT_TEMPLATE.FAT&amp;display_string=Audit&amp;VAR:KEY=TKJSPMVSZU&amp;VAR:QUERY=QVZHKEZGX0RJVl9ZTEQoQU5OLDQwOTk0LC0xQVkpKQ==&amp;WINDOW=FIRST_POPUP&amp;HEIGHT=450&amp;WIDTH=450&amp;","START_MAXIMIZED=FALSE&amp;VAR:CALENDAR=US&amp;VAR:SYMBOL=SBUX"}</definedName>
    <definedName name="_78__FDSAUDITLINK__" hidden="1">{"fdsup://directions/FAT Viewer?action=UPDATE&amp;creator=factset&amp;DYN_ARGS=TRUE&amp;DOC_NAME=FAT:FQL_AUDITING_CLIENT_TEMPLATE.FAT&amp;display_string=Audit&amp;VAR:KEY=TKJSPMVSZU&amp;VAR:QUERY=QVZHKEZGX0RJVl9ZTEQoQU5OLDQwOTk0LC0xQVkpKQ==&amp;WINDOW=FIRST_POPUP&amp;HEIGHT=450&amp;WIDTH=450&amp;","START_MAXIMIZED=FALSE&amp;VAR:CALENDAR=US&amp;VAR:SYMBOL=SBUX"}</definedName>
    <definedName name="_780">#REF!</definedName>
    <definedName name="_780__FDSAUDITLINK__" localSheetId="0" hidden="1">{"fdsup://directions/FAT Viewer?action=UPDATE&amp;creator=factset&amp;DYN_ARGS=TRUE&amp;DOC_NAME=FAT:FQL_AUDITING_CLIENT_TEMPLATE.FAT&amp;display_string=Audit&amp;VAR:KEY=XIDALYJQJI&amp;VAR:QUERY=RkZfRElWX1lMRChBTk4sNC8yNy8wNiw0LzI3LzA2KQ==&amp;WINDOW=FIRST_POPUP&amp;HEIGHT=450&amp;WIDTH=450&amp;","START_MAXIMIZED=FALSE&amp;VAR:CALENDAR=US&amp;VAR:SYMBOL=MO&amp;VAR:INDEX=0"}</definedName>
    <definedName name="_780__FDSAUDITLINK__" hidden="1">{"fdsup://directions/FAT Viewer?action=UPDATE&amp;creator=factset&amp;DYN_ARGS=TRUE&amp;DOC_NAME=FAT:FQL_AUDITING_CLIENT_TEMPLATE.FAT&amp;display_string=Audit&amp;VAR:KEY=XIDALYJQJI&amp;VAR:QUERY=RkZfRElWX1lMRChBTk4sNC8yNy8wNiw0LzI3LzA2KQ==&amp;WINDOW=FIRST_POPUP&amp;HEIGHT=450&amp;WIDTH=450&amp;","START_MAXIMIZED=FALSE&amp;VAR:CALENDAR=US&amp;VAR:SYMBOL=MO&amp;VAR:INDEX=0"}</definedName>
    <definedName name="_781">#REF!</definedName>
    <definedName name="_781__FDSAUDITLINK__" localSheetId="0" hidden="1">{"fdsup://directions/FAT Viewer?action=UPDATE&amp;creator=factset&amp;DYN_ARGS=TRUE&amp;DOC_NAME=FAT:FQL_AUDITING_CLIENT_TEMPLATE.FAT&amp;display_string=Audit&amp;VAR:KEY=HGNIPMJODI&amp;VAR:QUERY=RkZfRElWX1lMRChBTk4sNC8yMC8wNiw0LzIwLzA2KQ==&amp;WINDOW=FIRST_POPUP&amp;HEIGHT=450&amp;WIDTH=450&amp;","START_MAXIMIZED=FALSE&amp;VAR:CALENDAR=US&amp;VAR:SYMBOL=MO&amp;VAR:INDEX=0"}</definedName>
    <definedName name="_781__FDSAUDITLINK__" hidden="1">{"fdsup://directions/FAT Viewer?action=UPDATE&amp;creator=factset&amp;DYN_ARGS=TRUE&amp;DOC_NAME=FAT:FQL_AUDITING_CLIENT_TEMPLATE.FAT&amp;display_string=Audit&amp;VAR:KEY=HGNIPMJODI&amp;VAR:QUERY=RkZfRElWX1lMRChBTk4sNC8yMC8wNiw0LzIwLzA2KQ==&amp;WINDOW=FIRST_POPUP&amp;HEIGHT=450&amp;WIDTH=450&amp;","START_MAXIMIZED=FALSE&amp;VAR:CALENDAR=US&amp;VAR:SYMBOL=MO&amp;VAR:INDEX=0"}</definedName>
    <definedName name="_782">#REF!</definedName>
    <definedName name="_782__FDSAUDITLINK__" localSheetId="0" hidden="1">{"fdsup://directions/FAT Viewer?action=UPDATE&amp;creator=factset&amp;DYN_ARGS=TRUE&amp;DOC_NAME=FAT:FQL_AUDITING_CLIENT_TEMPLATE.FAT&amp;display_string=Audit&amp;VAR:KEY=JSVMFUDSTA&amp;VAR:QUERY=RkZfRElWX1lMRChBTk4sNC8xMy8wNiw0LzEzLzA2KQ==&amp;WINDOW=FIRST_POPUP&amp;HEIGHT=450&amp;WIDTH=450&amp;","START_MAXIMIZED=FALSE&amp;VAR:CALENDAR=US&amp;VAR:SYMBOL=MO&amp;VAR:INDEX=0"}</definedName>
    <definedName name="_782__FDSAUDITLINK__" hidden="1">{"fdsup://directions/FAT Viewer?action=UPDATE&amp;creator=factset&amp;DYN_ARGS=TRUE&amp;DOC_NAME=FAT:FQL_AUDITING_CLIENT_TEMPLATE.FAT&amp;display_string=Audit&amp;VAR:KEY=JSVMFUDSTA&amp;VAR:QUERY=RkZfRElWX1lMRChBTk4sNC8xMy8wNiw0LzEzLzA2KQ==&amp;WINDOW=FIRST_POPUP&amp;HEIGHT=450&amp;WIDTH=450&amp;","START_MAXIMIZED=FALSE&amp;VAR:CALENDAR=US&amp;VAR:SYMBOL=MO&amp;VAR:INDEX=0"}</definedName>
    <definedName name="_783">#REF!</definedName>
    <definedName name="_783__FDSAUDITLINK__" localSheetId="0" hidden="1">{"fdsup://directions/FAT Viewer?action=UPDATE&amp;creator=factset&amp;DYN_ARGS=TRUE&amp;DOC_NAME=FAT:FQL_AUDITING_CLIENT_TEMPLATE.FAT&amp;display_string=Audit&amp;VAR:KEY=BUNOVYXWBS&amp;VAR:QUERY=RkZfRElWX1lMRChBTk4sNC8wNi8wNiw0LzA2LzA2KQ==&amp;WINDOW=FIRST_POPUP&amp;HEIGHT=450&amp;WIDTH=450&amp;","START_MAXIMIZED=FALSE&amp;VAR:CALENDAR=US&amp;VAR:SYMBOL=MO&amp;VAR:INDEX=0"}</definedName>
    <definedName name="_783__FDSAUDITLINK__" hidden="1">{"fdsup://directions/FAT Viewer?action=UPDATE&amp;creator=factset&amp;DYN_ARGS=TRUE&amp;DOC_NAME=FAT:FQL_AUDITING_CLIENT_TEMPLATE.FAT&amp;display_string=Audit&amp;VAR:KEY=BUNOVYXWBS&amp;VAR:QUERY=RkZfRElWX1lMRChBTk4sNC8wNi8wNiw0LzA2LzA2KQ==&amp;WINDOW=FIRST_POPUP&amp;HEIGHT=450&amp;WIDTH=450&amp;","START_MAXIMIZED=FALSE&amp;VAR:CALENDAR=US&amp;VAR:SYMBOL=MO&amp;VAR:INDEX=0"}</definedName>
    <definedName name="_784">#REF!</definedName>
    <definedName name="_784__FDSAUDITLINK__" localSheetId="0" hidden="1">{"fdsup://directions/FAT Viewer?action=UPDATE&amp;creator=factset&amp;DYN_ARGS=TRUE&amp;DOC_NAME=FAT:FQL_AUDITING_CLIENT_TEMPLATE.FAT&amp;display_string=Audit&amp;VAR:KEY=XCPGXWJUPU&amp;VAR:QUERY=RkZfRElWX1lMRChBTk4sMy8zMC8wNiwzLzMwLzA2KQ==&amp;WINDOW=FIRST_POPUP&amp;HEIGHT=450&amp;WIDTH=450&amp;","START_MAXIMIZED=FALSE&amp;VAR:CALENDAR=US&amp;VAR:SYMBOL=MO&amp;VAR:INDEX=0"}</definedName>
    <definedName name="_784__FDSAUDITLINK__" hidden="1">{"fdsup://directions/FAT Viewer?action=UPDATE&amp;creator=factset&amp;DYN_ARGS=TRUE&amp;DOC_NAME=FAT:FQL_AUDITING_CLIENT_TEMPLATE.FAT&amp;display_string=Audit&amp;VAR:KEY=XCPGXWJUPU&amp;VAR:QUERY=RkZfRElWX1lMRChBTk4sMy8zMC8wNiwzLzMwLzA2KQ==&amp;WINDOW=FIRST_POPUP&amp;HEIGHT=450&amp;WIDTH=450&amp;","START_MAXIMIZED=FALSE&amp;VAR:CALENDAR=US&amp;VAR:SYMBOL=MO&amp;VAR:INDEX=0"}</definedName>
    <definedName name="_785">#REF!</definedName>
    <definedName name="_785__FDSAUDITLINK__" localSheetId="0" hidden="1">{"fdsup://directions/FAT Viewer?action=UPDATE&amp;creator=factset&amp;DYN_ARGS=TRUE&amp;DOC_NAME=FAT:FQL_AUDITING_CLIENT_TEMPLATE.FAT&amp;display_string=Audit&amp;VAR:KEY=HGDGJQFOVM&amp;VAR:QUERY=RkZfRElWX1lMRChBTk4sMy8yMy8wNiwzLzIzLzA2KQ==&amp;WINDOW=FIRST_POPUP&amp;HEIGHT=450&amp;WIDTH=450&amp;","START_MAXIMIZED=FALSE&amp;VAR:CALENDAR=US&amp;VAR:SYMBOL=MO&amp;VAR:INDEX=0"}</definedName>
    <definedName name="_785__FDSAUDITLINK__" hidden="1">{"fdsup://directions/FAT Viewer?action=UPDATE&amp;creator=factset&amp;DYN_ARGS=TRUE&amp;DOC_NAME=FAT:FQL_AUDITING_CLIENT_TEMPLATE.FAT&amp;display_string=Audit&amp;VAR:KEY=HGDGJQFOVM&amp;VAR:QUERY=RkZfRElWX1lMRChBTk4sMy8yMy8wNiwzLzIzLzA2KQ==&amp;WINDOW=FIRST_POPUP&amp;HEIGHT=450&amp;WIDTH=450&amp;","START_MAXIMIZED=FALSE&amp;VAR:CALENDAR=US&amp;VAR:SYMBOL=MO&amp;VAR:INDEX=0"}</definedName>
    <definedName name="_786">#REF!</definedName>
    <definedName name="_786__FDSAUDITLINK__" localSheetId="0" hidden="1">{"fdsup://directions/FAT Viewer?action=UPDATE&amp;creator=factset&amp;DYN_ARGS=TRUE&amp;DOC_NAME=FAT:FQL_AUDITING_CLIENT_TEMPLATE.FAT&amp;display_string=Audit&amp;VAR:KEY=ZIPAVYBKPE&amp;VAR:QUERY=RkZfRElWX1lMRChBTk4sMy8xNi8wNiwzLzE2LzA2KQ==&amp;WINDOW=FIRST_POPUP&amp;HEIGHT=450&amp;WIDTH=450&amp;","START_MAXIMIZED=FALSE&amp;VAR:CALENDAR=US&amp;VAR:SYMBOL=MO&amp;VAR:INDEX=0"}</definedName>
    <definedName name="_786__FDSAUDITLINK__" hidden="1">{"fdsup://directions/FAT Viewer?action=UPDATE&amp;creator=factset&amp;DYN_ARGS=TRUE&amp;DOC_NAME=FAT:FQL_AUDITING_CLIENT_TEMPLATE.FAT&amp;display_string=Audit&amp;VAR:KEY=ZIPAVYBKPE&amp;VAR:QUERY=RkZfRElWX1lMRChBTk4sMy8xNi8wNiwzLzE2LzA2KQ==&amp;WINDOW=FIRST_POPUP&amp;HEIGHT=450&amp;WIDTH=450&amp;","START_MAXIMIZED=FALSE&amp;VAR:CALENDAR=US&amp;VAR:SYMBOL=MO&amp;VAR:INDEX=0"}</definedName>
    <definedName name="_787">#REF!</definedName>
    <definedName name="_787__FDSAUDITLINK__" localSheetId="0" hidden="1">{"fdsup://directions/FAT Viewer?action=UPDATE&amp;creator=factset&amp;DYN_ARGS=TRUE&amp;DOC_NAME=FAT:FQL_AUDITING_CLIENT_TEMPLATE.FAT&amp;display_string=Audit&amp;VAR:KEY=LSPYVUDUPW&amp;VAR:QUERY=RkZfRElWX1lMRChBTk4sMy8wOS8wNiwzLzA5LzA2KQ==&amp;WINDOW=FIRST_POPUP&amp;HEIGHT=450&amp;WIDTH=450&amp;","START_MAXIMIZED=FALSE&amp;VAR:CALENDAR=US&amp;VAR:SYMBOL=MO&amp;VAR:INDEX=0"}</definedName>
    <definedName name="_787__FDSAUDITLINK__" hidden="1">{"fdsup://directions/FAT Viewer?action=UPDATE&amp;creator=factset&amp;DYN_ARGS=TRUE&amp;DOC_NAME=FAT:FQL_AUDITING_CLIENT_TEMPLATE.FAT&amp;display_string=Audit&amp;VAR:KEY=LSPYVUDUPW&amp;VAR:QUERY=RkZfRElWX1lMRChBTk4sMy8wOS8wNiwzLzA5LzA2KQ==&amp;WINDOW=FIRST_POPUP&amp;HEIGHT=450&amp;WIDTH=450&amp;","START_MAXIMIZED=FALSE&amp;VAR:CALENDAR=US&amp;VAR:SYMBOL=MO&amp;VAR:INDEX=0"}</definedName>
    <definedName name="_788">#REF!</definedName>
    <definedName name="_788__FDSAUDITLINK__" localSheetId="0" hidden="1">{"fdsup://directions/FAT Viewer?action=UPDATE&amp;creator=factset&amp;DYN_ARGS=TRUE&amp;DOC_NAME=FAT:FQL_AUDITING_CLIENT_TEMPLATE.FAT&amp;display_string=Audit&amp;VAR:KEY=DYPSHYZQHI&amp;VAR:QUERY=RkZfRElWX1lMRChBTk4sMy8wMi8wNiwzLzAyLzA2KQ==&amp;WINDOW=FIRST_POPUP&amp;HEIGHT=450&amp;WIDTH=450&amp;","START_MAXIMIZED=FALSE&amp;VAR:CALENDAR=US&amp;VAR:SYMBOL=MO&amp;VAR:INDEX=0"}</definedName>
    <definedName name="_788__FDSAUDITLINK__" hidden="1">{"fdsup://directions/FAT Viewer?action=UPDATE&amp;creator=factset&amp;DYN_ARGS=TRUE&amp;DOC_NAME=FAT:FQL_AUDITING_CLIENT_TEMPLATE.FAT&amp;display_string=Audit&amp;VAR:KEY=DYPSHYZQHI&amp;VAR:QUERY=RkZfRElWX1lMRChBTk4sMy8wMi8wNiwzLzAyLzA2KQ==&amp;WINDOW=FIRST_POPUP&amp;HEIGHT=450&amp;WIDTH=450&amp;","START_MAXIMIZED=FALSE&amp;VAR:CALENDAR=US&amp;VAR:SYMBOL=MO&amp;VAR:INDEX=0"}</definedName>
    <definedName name="_789__FDSAUDITLINK__" localSheetId="0" hidden="1">{"fdsup://directions/FAT Viewer?action=UPDATE&amp;creator=factset&amp;DYN_ARGS=TRUE&amp;DOC_NAME=FAT:FQL_AUDITING_CLIENT_TEMPLATE.FAT&amp;display_string=Audit&amp;VAR:KEY=BKDEPKBSDM&amp;VAR:QUERY=RkZfRElWX1lMRChBTk4sMi8yMy8wNiwyLzIzLzA2KQ==&amp;WINDOW=FIRST_POPUP&amp;HEIGHT=450&amp;WIDTH=450&amp;","START_MAXIMIZED=FALSE&amp;VAR:CALENDAR=US&amp;VAR:SYMBOL=MO&amp;VAR:INDEX=0"}</definedName>
    <definedName name="_789__FDSAUDITLINK__" hidden="1">{"fdsup://directions/FAT Viewer?action=UPDATE&amp;creator=factset&amp;DYN_ARGS=TRUE&amp;DOC_NAME=FAT:FQL_AUDITING_CLIENT_TEMPLATE.FAT&amp;display_string=Audit&amp;VAR:KEY=BKDEPKBSDM&amp;VAR:QUERY=RkZfRElWX1lMRChBTk4sMi8yMy8wNiwyLzIzLzA2KQ==&amp;WINDOW=FIRST_POPUP&amp;HEIGHT=450&amp;WIDTH=450&amp;","START_MAXIMIZED=FALSE&amp;VAR:CALENDAR=US&amp;VAR:SYMBOL=MO&amp;VAR:INDEX=0"}</definedName>
    <definedName name="_79__123Graph_CCONTRACT_BY_B_U">#REF!</definedName>
    <definedName name="_79__FDSAUDITLINK__" localSheetId="0" hidden="1">{"fdsup://directions/FAT Viewer?action=UPDATE&amp;creator=factset&amp;DYN_ARGS=TRUE&amp;DOC_NAME=FAT:FQL_AUDITING_CLIENT_TEMPLATE.FAT&amp;display_string=Audit&amp;VAR:KEY=LEDOZEXGTG&amp;VAR:QUERY=QVZHKEZGX0RJVl9ZTEQoQU5OLDQwOTk0LC0xMEFZKSk=&amp;WINDOW=FIRST_POPUP&amp;HEIGHT=450&amp;WIDTH=450&amp;","START_MAXIMIZED=FALSE&amp;VAR:CALENDAR=US&amp;VAR:SYMBOL=CCE"}</definedName>
    <definedName name="_79__FDSAUDITLINK__" hidden="1">{"fdsup://directions/FAT Viewer?action=UPDATE&amp;creator=factset&amp;DYN_ARGS=TRUE&amp;DOC_NAME=FAT:FQL_AUDITING_CLIENT_TEMPLATE.FAT&amp;display_string=Audit&amp;VAR:KEY=LEDOZEXGTG&amp;VAR:QUERY=QVZHKEZGX0RJVl9ZTEQoQU5OLDQwOTk0LC0xMEFZKSk=&amp;WINDOW=FIRST_POPUP&amp;HEIGHT=450&amp;WIDTH=450&amp;","START_MAXIMIZED=FALSE&amp;VAR:CALENDAR=US&amp;VAR:SYMBOL=CCE"}</definedName>
    <definedName name="_79_0_Table2_">#REF!</definedName>
    <definedName name="_790">#REF!</definedName>
    <definedName name="_790__FDSAUDITLINK__" localSheetId="0" hidden="1">{"fdsup://directions/FAT Viewer?action=UPDATE&amp;creator=factset&amp;DYN_ARGS=TRUE&amp;DOC_NAME=FAT:FQL_AUDITING_CLIENT_TEMPLATE.FAT&amp;display_string=Audit&amp;VAR:KEY=FILOHUXUFC&amp;VAR:QUERY=RkZfRElWX1lMRChBTk4sMi8xNi8wNiwyLzE2LzA2KQ==&amp;WINDOW=FIRST_POPUP&amp;HEIGHT=450&amp;WIDTH=450&amp;","START_MAXIMIZED=FALSE&amp;VAR:CALENDAR=US&amp;VAR:SYMBOL=MO&amp;VAR:INDEX=0"}</definedName>
    <definedName name="_790__FDSAUDITLINK__" hidden="1">{"fdsup://directions/FAT Viewer?action=UPDATE&amp;creator=factset&amp;DYN_ARGS=TRUE&amp;DOC_NAME=FAT:FQL_AUDITING_CLIENT_TEMPLATE.FAT&amp;display_string=Audit&amp;VAR:KEY=FILOHUXUFC&amp;VAR:QUERY=RkZfRElWX1lMRChBTk4sMi8xNi8wNiwyLzE2LzA2KQ==&amp;WINDOW=FIRST_POPUP&amp;HEIGHT=450&amp;WIDTH=450&amp;","START_MAXIMIZED=FALSE&amp;VAR:CALENDAR=US&amp;VAR:SYMBOL=MO&amp;VAR:INDEX=0"}</definedName>
    <definedName name="_791__FDSAUDITLINK__" localSheetId="0" hidden="1">{"fdsup://directions/FAT Viewer?action=UPDATE&amp;creator=factset&amp;DYN_ARGS=TRUE&amp;DOC_NAME=FAT:FQL_AUDITING_CLIENT_TEMPLATE.FAT&amp;display_string=Audit&amp;VAR:KEY=LURWPOXUNI&amp;VAR:QUERY=RkZfRElWX1lMRChBTk4sMi8wOS8wNiwyLzA5LzA2KQ==&amp;WINDOW=FIRST_POPUP&amp;HEIGHT=450&amp;WIDTH=450&amp;","START_MAXIMIZED=FALSE&amp;VAR:CALENDAR=US&amp;VAR:SYMBOL=MO&amp;VAR:INDEX=0"}</definedName>
    <definedName name="_791__FDSAUDITLINK__" hidden="1">{"fdsup://directions/FAT Viewer?action=UPDATE&amp;creator=factset&amp;DYN_ARGS=TRUE&amp;DOC_NAME=FAT:FQL_AUDITING_CLIENT_TEMPLATE.FAT&amp;display_string=Audit&amp;VAR:KEY=LURWPOXUNI&amp;VAR:QUERY=RkZfRElWX1lMRChBTk4sMi8wOS8wNiwyLzA5LzA2KQ==&amp;WINDOW=FIRST_POPUP&amp;HEIGHT=450&amp;WIDTH=450&amp;","START_MAXIMIZED=FALSE&amp;VAR:CALENDAR=US&amp;VAR:SYMBOL=MO&amp;VAR:INDEX=0"}</definedName>
    <definedName name="_792__FDSAUDITLINK__" localSheetId="0" hidden="1">{"fdsup://directions/FAT Viewer?action=UPDATE&amp;creator=factset&amp;DYN_ARGS=TRUE&amp;DOC_NAME=FAT:FQL_AUDITING_CLIENT_TEMPLATE.FAT&amp;display_string=Audit&amp;VAR:KEY=NCTQNGDUPA&amp;VAR:QUERY=RkZfRElWX1lMRChBTk4sMi8wMi8wNiwyLzAyLzA2KQ==&amp;WINDOW=FIRST_POPUP&amp;HEIGHT=450&amp;WIDTH=450&amp;","START_MAXIMIZED=FALSE&amp;VAR:CALENDAR=US&amp;VAR:SYMBOL=MO&amp;VAR:INDEX=0"}</definedName>
    <definedName name="_792__FDSAUDITLINK__" hidden="1">{"fdsup://directions/FAT Viewer?action=UPDATE&amp;creator=factset&amp;DYN_ARGS=TRUE&amp;DOC_NAME=FAT:FQL_AUDITING_CLIENT_TEMPLATE.FAT&amp;display_string=Audit&amp;VAR:KEY=NCTQNGDUPA&amp;VAR:QUERY=RkZfRElWX1lMRChBTk4sMi8wMi8wNiwyLzAyLzA2KQ==&amp;WINDOW=FIRST_POPUP&amp;HEIGHT=450&amp;WIDTH=450&amp;","START_MAXIMIZED=FALSE&amp;VAR:CALENDAR=US&amp;VAR:SYMBOL=MO&amp;VAR:INDEX=0"}</definedName>
    <definedName name="_793__FDSAUDITLINK__" localSheetId="0" hidden="1">{"fdsup://directions/FAT Viewer?action=UPDATE&amp;creator=factset&amp;DYN_ARGS=TRUE&amp;DOC_NAME=FAT:FQL_AUDITING_CLIENT_TEMPLATE.FAT&amp;display_string=Audit&amp;VAR:KEY=DGTYDADYNG&amp;VAR:QUERY=RkZfRElWX1lMRChBTk4sMS8yNi8wNiwxLzI2LzA2KQ==&amp;WINDOW=FIRST_POPUP&amp;HEIGHT=450&amp;WIDTH=450&amp;","START_MAXIMIZED=FALSE&amp;VAR:CALENDAR=US&amp;VAR:SYMBOL=MO&amp;VAR:INDEX=0"}</definedName>
    <definedName name="_793__FDSAUDITLINK__" hidden="1">{"fdsup://directions/FAT Viewer?action=UPDATE&amp;creator=factset&amp;DYN_ARGS=TRUE&amp;DOC_NAME=FAT:FQL_AUDITING_CLIENT_TEMPLATE.FAT&amp;display_string=Audit&amp;VAR:KEY=DGTYDADYNG&amp;VAR:QUERY=RkZfRElWX1lMRChBTk4sMS8yNi8wNiwxLzI2LzA2KQ==&amp;WINDOW=FIRST_POPUP&amp;HEIGHT=450&amp;WIDTH=450&amp;","START_MAXIMIZED=FALSE&amp;VAR:CALENDAR=US&amp;VAR:SYMBOL=MO&amp;VAR:INDEX=0"}</definedName>
    <definedName name="_794__FDSAUDITLINK__" localSheetId="0" hidden="1">{"fdsup://directions/FAT Viewer?action=UPDATE&amp;creator=factset&amp;DYN_ARGS=TRUE&amp;DOC_NAME=FAT:FQL_AUDITING_CLIENT_TEMPLATE.FAT&amp;display_string=Audit&amp;VAR:KEY=BEJQNSBITS&amp;VAR:QUERY=RkZfRElWX1lMRChBTk4sMS8xOS8wNiwxLzE5LzA2KQ==&amp;WINDOW=FIRST_POPUP&amp;HEIGHT=450&amp;WIDTH=450&amp;","START_MAXIMIZED=FALSE&amp;VAR:CALENDAR=US&amp;VAR:SYMBOL=MO&amp;VAR:INDEX=0"}</definedName>
    <definedName name="_794__FDSAUDITLINK__" hidden="1">{"fdsup://directions/FAT Viewer?action=UPDATE&amp;creator=factset&amp;DYN_ARGS=TRUE&amp;DOC_NAME=FAT:FQL_AUDITING_CLIENT_TEMPLATE.FAT&amp;display_string=Audit&amp;VAR:KEY=BEJQNSBITS&amp;VAR:QUERY=RkZfRElWX1lMRChBTk4sMS8xOS8wNiwxLzE5LzA2KQ==&amp;WINDOW=FIRST_POPUP&amp;HEIGHT=450&amp;WIDTH=450&amp;","START_MAXIMIZED=FALSE&amp;VAR:CALENDAR=US&amp;VAR:SYMBOL=MO&amp;VAR:INDEX=0"}</definedName>
    <definedName name="_795__FDSAUDITLINK__" localSheetId="0" hidden="1">{"fdsup://directions/FAT Viewer?action=UPDATE&amp;creator=factset&amp;DYN_ARGS=TRUE&amp;DOC_NAME=FAT:FQL_AUDITING_CLIENT_TEMPLATE.FAT&amp;display_string=Audit&amp;VAR:KEY=LEJQJOJOBQ&amp;VAR:QUERY=RkZfRElWX1lMRChBTk4sMS8xMi8wNiwxLzEyLzA2KQ==&amp;WINDOW=FIRST_POPUP&amp;HEIGHT=450&amp;WIDTH=450&amp;","START_MAXIMIZED=FALSE&amp;VAR:CALENDAR=US&amp;VAR:SYMBOL=MO&amp;VAR:INDEX=0"}</definedName>
    <definedName name="_795__FDSAUDITLINK__" hidden="1">{"fdsup://directions/FAT Viewer?action=UPDATE&amp;creator=factset&amp;DYN_ARGS=TRUE&amp;DOC_NAME=FAT:FQL_AUDITING_CLIENT_TEMPLATE.FAT&amp;display_string=Audit&amp;VAR:KEY=LEJQJOJOBQ&amp;VAR:QUERY=RkZfRElWX1lMRChBTk4sMS8xMi8wNiwxLzEyLzA2KQ==&amp;WINDOW=FIRST_POPUP&amp;HEIGHT=450&amp;WIDTH=450&amp;","START_MAXIMIZED=FALSE&amp;VAR:CALENDAR=US&amp;VAR:SYMBOL=MO&amp;VAR:INDEX=0"}</definedName>
    <definedName name="_796__FDSAUDITLINK__" localSheetId="0" hidden="1">{"fdsup://directions/FAT Viewer?action=UPDATE&amp;creator=factset&amp;DYN_ARGS=TRUE&amp;DOC_NAME=FAT:FQL_AUDITING_CLIENT_TEMPLATE.FAT&amp;display_string=Audit&amp;VAR:KEY=XMLWBMJQRW&amp;VAR:QUERY=RkZfRElWX1lMRChBTk4sMS8wNS8wNiwxLzA1LzA2KQ==&amp;WINDOW=FIRST_POPUP&amp;HEIGHT=450&amp;WIDTH=450&amp;","START_MAXIMIZED=FALSE&amp;VAR:CALENDAR=US&amp;VAR:SYMBOL=MO&amp;VAR:INDEX=0"}</definedName>
    <definedName name="_796__FDSAUDITLINK__" hidden="1">{"fdsup://directions/FAT Viewer?action=UPDATE&amp;creator=factset&amp;DYN_ARGS=TRUE&amp;DOC_NAME=FAT:FQL_AUDITING_CLIENT_TEMPLATE.FAT&amp;display_string=Audit&amp;VAR:KEY=XMLWBMJQRW&amp;VAR:QUERY=RkZfRElWX1lMRChBTk4sMS8wNS8wNiwxLzA1LzA2KQ==&amp;WINDOW=FIRST_POPUP&amp;HEIGHT=450&amp;WIDTH=450&amp;","START_MAXIMIZED=FALSE&amp;VAR:CALENDAR=US&amp;VAR:SYMBOL=MO&amp;VAR:INDEX=0"}</definedName>
    <definedName name="_797__FDSAUDITLINK__" localSheetId="0" hidden="1">{"fdsup://directions/FAT Viewer?action=UPDATE&amp;creator=factset&amp;DYN_ARGS=TRUE&amp;DOC_NAME=FAT:FQL_AUDITING_CLIENT_TEMPLATE.FAT&amp;display_string=Audit&amp;VAR:KEY=NQTUHMNIDG&amp;VAR:QUERY=RkZfRElWX1lMRChBTk4sMTIvMjkvMDUsMTIvMjkvMDUp&amp;WINDOW=FIRST_POPUP&amp;HEIGHT=450&amp;WIDTH=450&amp;","START_MAXIMIZED=FALSE&amp;VAR:CALENDAR=US&amp;VAR:SYMBOL=MO&amp;VAR:INDEX=0"}</definedName>
    <definedName name="_797__FDSAUDITLINK__" hidden="1">{"fdsup://directions/FAT Viewer?action=UPDATE&amp;creator=factset&amp;DYN_ARGS=TRUE&amp;DOC_NAME=FAT:FQL_AUDITING_CLIENT_TEMPLATE.FAT&amp;display_string=Audit&amp;VAR:KEY=NQTUHMNIDG&amp;VAR:QUERY=RkZfRElWX1lMRChBTk4sMTIvMjkvMDUsMTIvMjkvMDUp&amp;WINDOW=FIRST_POPUP&amp;HEIGHT=450&amp;WIDTH=450&amp;","START_MAXIMIZED=FALSE&amp;VAR:CALENDAR=US&amp;VAR:SYMBOL=MO&amp;VAR:INDEX=0"}</definedName>
    <definedName name="_798">#REF!</definedName>
    <definedName name="_798__FDSAUDITLINK__" localSheetId="0" hidden="1">{"fdsup://directions/FAT Viewer?action=UPDATE&amp;creator=factset&amp;DYN_ARGS=TRUE&amp;DOC_NAME=FAT:FQL_AUDITING_CLIENT_TEMPLATE.FAT&amp;display_string=Audit&amp;VAR:KEY=RYNYJYLALW&amp;VAR:QUERY=RkZfRElWX1lMRChBTk4sMTIvMjIvMDUsMTIvMjIvMDUp&amp;WINDOW=FIRST_POPUP&amp;HEIGHT=450&amp;WIDTH=450&amp;","START_MAXIMIZED=FALSE&amp;VAR:CALENDAR=US&amp;VAR:SYMBOL=MO&amp;VAR:INDEX=0"}</definedName>
    <definedName name="_798__FDSAUDITLINK__" hidden="1">{"fdsup://directions/FAT Viewer?action=UPDATE&amp;creator=factset&amp;DYN_ARGS=TRUE&amp;DOC_NAME=FAT:FQL_AUDITING_CLIENT_TEMPLATE.FAT&amp;display_string=Audit&amp;VAR:KEY=RYNYJYLALW&amp;VAR:QUERY=RkZfRElWX1lMRChBTk4sMTIvMjIvMDUsMTIvMjIvMDUp&amp;WINDOW=FIRST_POPUP&amp;HEIGHT=450&amp;WIDTH=450&amp;","START_MAXIMIZED=FALSE&amp;VAR:CALENDAR=US&amp;VAR:SYMBOL=MO&amp;VAR:INDEX=0"}</definedName>
    <definedName name="_799__FDSAUDITLINK__" localSheetId="0" hidden="1">{"fdsup://directions/FAT Viewer?action=UPDATE&amp;creator=factset&amp;DYN_ARGS=TRUE&amp;DOC_NAME=FAT:FQL_AUDITING_CLIENT_TEMPLATE.FAT&amp;display_string=Audit&amp;VAR:KEY=XUXCFSFGTG&amp;VAR:QUERY=RkZfRElWX1lMRChBTk4sMTIvMTUvMDUsMTIvMTUvMDUp&amp;WINDOW=FIRST_POPUP&amp;HEIGHT=450&amp;WIDTH=450&amp;","START_MAXIMIZED=FALSE&amp;VAR:CALENDAR=US&amp;VAR:SYMBOL=MO&amp;VAR:INDEX=0"}</definedName>
    <definedName name="_799__FDSAUDITLINK__" hidden="1">{"fdsup://directions/FAT Viewer?action=UPDATE&amp;creator=factset&amp;DYN_ARGS=TRUE&amp;DOC_NAME=FAT:FQL_AUDITING_CLIENT_TEMPLATE.FAT&amp;display_string=Audit&amp;VAR:KEY=XUXCFSFGTG&amp;VAR:QUERY=RkZfRElWX1lMRChBTk4sMTIvMTUvMDUsMTIvMTUvMDUp&amp;WINDOW=FIRST_POPUP&amp;HEIGHT=450&amp;WIDTH=450&amp;","START_MAXIMIZED=FALSE&amp;VAR:CALENDAR=US&amp;VAR:SYMBOL=MO&amp;VAR:INDEX=0"}</definedName>
    <definedName name="_7S" hidden="1">#REF!</definedName>
    <definedName name="_7s1_" hidden="1">{#N/A,#N/A,FALSE,"UNIT";#N/A,#N/A,FALSE,"UNIT";#N/A,#N/A,FALSE,"계정"}</definedName>
    <definedName name="_7s11_" hidden="1">{#N/A,#N/A,FALSE,"UNIT";#N/A,#N/A,FALSE,"UNIT";#N/A,#N/A,FALSE,"계정"}</definedName>
    <definedName name="_7s12_" hidden="1">{#N/A,#N/A,FALSE,"UNIT";#N/A,#N/A,FALSE,"UNIT";#N/A,#N/A,FALSE,"계정"}</definedName>
    <definedName name="_8">#REF!</definedName>
    <definedName name="_8_????_3">#REF!</definedName>
    <definedName name="_8_????1_3">#REF!</definedName>
    <definedName name="_8_????8_3">#REF!</definedName>
    <definedName name="_8_??_3">#REF!</definedName>
    <definedName name="_8___________NOTE10_12">#REF!</definedName>
    <definedName name="_8__123Graph_ACHART_1">#REF!</definedName>
    <definedName name="_8__123Graph_AChart_30L">#REF!</definedName>
    <definedName name="_8__123Graph_AQRE_S_BY_CO.">#REF!</definedName>
    <definedName name="_8__123Graph_ASENS_COMPARISON">#REF!</definedName>
    <definedName name="_8__123Graph_ASUPPLIES_BY_B_U">#REF!</definedName>
    <definedName name="_8__123Graph_ATAX_CREDIT">#REF!</definedName>
    <definedName name="_8__123Graph_AWAGES_BY_B_U" hidden="1">#REF!</definedName>
    <definedName name="_8__123Graph_BCONTRACT_BY_B_U">#REF!</definedName>
    <definedName name="_8__123Graph_BQRE_S_BY_CO.">#REF!</definedName>
    <definedName name="_8__123Graph_ESALES_MONTH" hidden="1">#REF!</definedName>
    <definedName name="_8__FDSAUDITLINK__" localSheetId="0" hidden="1">{"fdsup://directions/FAT Viewer?action=UPDATE&amp;creator=factset&amp;DYN_ARGS=TRUE&amp;DOC_NAME=FAT:FQL_AUDITING_CLIENT_TEMPLATE.FAT&amp;display_string=Audit&amp;VAR:KEY=WFIZMJCPID&amp;VAR:QUERY=Q1NGX0RJVl9ZTEQoUVRSX1IsMy8zMS8yMDA5KQ==&amp;WINDOW=FIRST_POPUP&amp;HEIGHT=450&amp;WIDTH=450&amp;STAR","T_MAXIMIZED=FALSE&amp;VAR:CALENDAR=US&amp;VAR:SYMBOL=MO&amp;VAR:INDEX=0"}</definedName>
    <definedName name="_8__FDSAUDITLINK__" hidden="1">{"fdsup://directions/FAT Viewer?action=UPDATE&amp;creator=factset&amp;DYN_ARGS=TRUE&amp;DOC_NAME=FAT:FQL_AUDITING_CLIENT_TEMPLATE.FAT&amp;display_string=Audit&amp;VAR:KEY=WFIZMJCPID&amp;VAR:QUERY=Q1NGX0RJVl9ZTEQoUVRSX1IsMy8zMS8yMDA5KQ==&amp;WINDOW=FIRST_POPUP&amp;HEIGHT=450&amp;WIDTH=450&amp;STAR","T_MAXIMIZED=FALSE&amp;VAR:CALENDAR=US&amp;VAR:SYMBOL=MO&amp;VAR:INDEX=0"}</definedName>
    <definedName name="_8_0_0COST_BENEF">#REF!</definedName>
    <definedName name="_8_0_S" hidden="1">#REF!</definedName>
    <definedName name="_8_0_Table2_">#REF!</definedName>
    <definedName name="_8_건가_개발비">#REF!</definedName>
    <definedName name="_80__123Graph_DCHART_8">#REF!</definedName>
    <definedName name="_80__123Graph_DSUPPLIES_BY_B_U">#REF!</definedName>
    <definedName name="_80__FDSAUDITLINK__" localSheetId="0" hidden="1">{"fdsup://directions/FAT Viewer?action=UPDATE&amp;creator=factset&amp;DYN_ARGS=TRUE&amp;DOC_NAME=FAT:FQL_AUDITING_CLIENT_TEMPLATE.FAT&amp;display_string=Audit&amp;VAR:KEY=XGBUPGPYTO&amp;VAR:QUERY=RkZfRElWX1lMRChBTk4sOS8yNC8wOSw5LzI0LzA5KQ==&amp;WINDOW=FIRST_POPUP&amp;HEIGHT=450&amp;WIDTH=450&amp;","START_MAXIMIZED=FALSE&amp;VAR:CALENDAR=US&amp;VAR:SYMBOL=RAI&amp;VAR:INDEX=0"}</definedName>
    <definedName name="_80__FDSAUDITLINK__" hidden="1">{"fdsup://directions/FAT Viewer?action=UPDATE&amp;creator=factset&amp;DYN_ARGS=TRUE&amp;DOC_NAME=FAT:FQL_AUDITING_CLIENT_TEMPLATE.FAT&amp;display_string=Audit&amp;VAR:KEY=XGBUPGPYTO&amp;VAR:QUERY=RkZfRElWX1lMRChBTk4sOS8yNC8wOSw5LzI0LzA5KQ==&amp;WINDOW=FIRST_POPUP&amp;HEIGHT=450&amp;WIDTH=450&amp;","START_MAXIMIZED=FALSE&amp;VAR:CALENDAR=US&amp;VAR:SYMBOL=RAI&amp;VAR:INDEX=0"}</definedName>
    <definedName name="_80_0_Table2_" hidden="1">#REF!</definedName>
    <definedName name="_800__FDSAUDITLINK__" localSheetId="0" hidden="1">{"fdsup://directions/FAT Viewer?action=UPDATE&amp;creator=factset&amp;DYN_ARGS=TRUE&amp;DOC_NAME=FAT:FQL_AUDITING_CLIENT_TEMPLATE.FAT&amp;display_string=Audit&amp;VAR:KEY=LUBOHYDUJI&amp;VAR:QUERY=RkZfRElWX1lMRChBTk4sMTIvMDgvMDUsMTIvMDgvMDUp&amp;WINDOW=FIRST_POPUP&amp;HEIGHT=450&amp;WIDTH=450&amp;","START_MAXIMIZED=FALSE&amp;VAR:CALENDAR=US&amp;VAR:SYMBOL=MO&amp;VAR:INDEX=0"}</definedName>
    <definedName name="_800__FDSAUDITLINK__" hidden="1">{"fdsup://directions/FAT Viewer?action=UPDATE&amp;creator=factset&amp;DYN_ARGS=TRUE&amp;DOC_NAME=FAT:FQL_AUDITING_CLIENT_TEMPLATE.FAT&amp;display_string=Audit&amp;VAR:KEY=LUBOHYDUJI&amp;VAR:QUERY=RkZfRElWX1lMRChBTk4sMTIvMDgvMDUsMTIvMDgvMDUp&amp;WINDOW=FIRST_POPUP&amp;HEIGHT=450&amp;WIDTH=450&amp;","START_MAXIMIZED=FALSE&amp;VAR:CALENDAR=US&amp;VAR:SYMBOL=MO&amp;VAR:INDEX=0"}</definedName>
    <definedName name="_801__FDSAUDITLINK__" localSheetId="0" hidden="1">{"fdsup://directions/FAT Viewer?action=UPDATE&amp;creator=factset&amp;DYN_ARGS=TRUE&amp;DOC_NAME=FAT:FQL_AUDITING_CLIENT_TEMPLATE.FAT&amp;display_string=Audit&amp;VAR:KEY=XKNKJSNAZQ&amp;VAR:QUERY=RkZfRElWX1lMRChBTk4sMTIvMDEvMDUsMTIvMDEvMDUp&amp;WINDOW=FIRST_POPUP&amp;HEIGHT=450&amp;WIDTH=450&amp;","START_MAXIMIZED=FALSE&amp;VAR:CALENDAR=US&amp;VAR:SYMBOL=MO&amp;VAR:INDEX=0"}</definedName>
    <definedName name="_801__FDSAUDITLINK__" hidden="1">{"fdsup://directions/FAT Viewer?action=UPDATE&amp;creator=factset&amp;DYN_ARGS=TRUE&amp;DOC_NAME=FAT:FQL_AUDITING_CLIENT_TEMPLATE.FAT&amp;display_string=Audit&amp;VAR:KEY=XKNKJSNAZQ&amp;VAR:QUERY=RkZfRElWX1lMRChBTk4sMTIvMDEvMDUsMTIvMDEvMDUp&amp;WINDOW=FIRST_POPUP&amp;HEIGHT=450&amp;WIDTH=450&amp;","START_MAXIMIZED=FALSE&amp;VAR:CALENDAR=US&amp;VAR:SYMBOL=MO&amp;VAR:INDEX=0"}</definedName>
    <definedName name="_802">#REF!</definedName>
    <definedName name="_802__FDSAUDITLINK__" localSheetId="0" hidden="1">{"fdsup://directions/FAT Viewer?action=UPDATE&amp;creator=factset&amp;DYN_ARGS=TRUE&amp;DOC_NAME=FAT:FQL_AUDITING_CLIENT_TEMPLATE.FAT&amp;display_string=Audit&amp;VAR:KEY=RILIDKJWBM&amp;VAR:QUERY=RkZfRElWX1lMRChBTk4sMTEvMjMvMDUsMTEvMjMvMDUp&amp;WINDOW=FIRST_POPUP&amp;HEIGHT=450&amp;WIDTH=450&amp;","START_MAXIMIZED=FALSE&amp;VAR:CALENDAR=US&amp;VAR:SYMBOL=MO&amp;VAR:INDEX=0"}</definedName>
    <definedName name="_802__FDSAUDITLINK__" hidden="1">{"fdsup://directions/FAT Viewer?action=UPDATE&amp;creator=factset&amp;DYN_ARGS=TRUE&amp;DOC_NAME=FAT:FQL_AUDITING_CLIENT_TEMPLATE.FAT&amp;display_string=Audit&amp;VAR:KEY=RILIDKJWBM&amp;VAR:QUERY=RkZfRElWX1lMRChBTk4sMTEvMjMvMDUsMTEvMjMvMDUp&amp;WINDOW=FIRST_POPUP&amp;HEIGHT=450&amp;WIDTH=450&amp;","START_MAXIMIZED=FALSE&amp;VAR:CALENDAR=US&amp;VAR:SYMBOL=MO&amp;VAR:INDEX=0"}</definedName>
    <definedName name="_803__FDSAUDITLINK__" localSheetId="0" hidden="1">{"fdsup://directions/FAT Viewer?action=UPDATE&amp;creator=factset&amp;DYN_ARGS=TRUE&amp;DOC_NAME=FAT:FQL_AUDITING_CLIENT_TEMPLATE.FAT&amp;display_string=Audit&amp;VAR:KEY=NADAVEBIXC&amp;VAR:QUERY=RkZfRElWX1lMRChBTk4sMTEvMTcvMDUsMTEvMTcvMDUp&amp;WINDOW=FIRST_POPUP&amp;HEIGHT=450&amp;WIDTH=450&amp;","START_MAXIMIZED=FALSE&amp;VAR:CALENDAR=US&amp;VAR:SYMBOL=MO&amp;VAR:INDEX=0"}</definedName>
    <definedName name="_803__FDSAUDITLINK__" hidden="1">{"fdsup://directions/FAT Viewer?action=UPDATE&amp;creator=factset&amp;DYN_ARGS=TRUE&amp;DOC_NAME=FAT:FQL_AUDITING_CLIENT_TEMPLATE.FAT&amp;display_string=Audit&amp;VAR:KEY=NADAVEBIXC&amp;VAR:QUERY=RkZfRElWX1lMRChBTk4sMTEvMTcvMDUsMTEvMTcvMDUp&amp;WINDOW=FIRST_POPUP&amp;HEIGHT=450&amp;WIDTH=450&amp;","START_MAXIMIZED=FALSE&amp;VAR:CALENDAR=US&amp;VAR:SYMBOL=MO&amp;VAR:INDEX=0"}</definedName>
    <definedName name="_804__FDSAUDITLINK__" localSheetId="0" hidden="1">{"fdsup://directions/FAT Viewer?action=UPDATE&amp;creator=factset&amp;DYN_ARGS=TRUE&amp;DOC_NAME=FAT:FQL_AUDITING_CLIENT_TEMPLATE.FAT&amp;display_string=Audit&amp;VAR:KEY=JIVOPMDWVO&amp;VAR:QUERY=RkZfRElWX1lMRChBTk4sMTEvMTAvMDUsMTEvMTAvMDUp&amp;WINDOW=FIRST_POPUP&amp;HEIGHT=450&amp;WIDTH=450&amp;","START_MAXIMIZED=FALSE&amp;VAR:CALENDAR=US&amp;VAR:SYMBOL=MO&amp;VAR:INDEX=0"}</definedName>
    <definedName name="_804__FDSAUDITLINK__" hidden="1">{"fdsup://directions/FAT Viewer?action=UPDATE&amp;creator=factset&amp;DYN_ARGS=TRUE&amp;DOC_NAME=FAT:FQL_AUDITING_CLIENT_TEMPLATE.FAT&amp;display_string=Audit&amp;VAR:KEY=JIVOPMDWVO&amp;VAR:QUERY=RkZfRElWX1lMRChBTk4sMTEvMTAvMDUsMTEvMTAvMDUp&amp;WINDOW=FIRST_POPUP&amp;HEIGHT=450&amp;WIDTH=450&amp;","START_MAXIMIZED=FALSE&amp;VAR:CALENDAR=US&amp;VAR:SYMBOL=MO&amp;VAR:INDEX=0"}</definedName>
    <definedName name="_805__FDSAUDITLINK__" localSheetId="0" hidden="1">{"fdsup://directions/FAT Viewer?action=UPDATE&amp;creator=factset&amp;DYN_ARGS=TRUE&amp;DOC_NAME=FAT:FQL_AUDITING_CLIENT_TEMPLATE.FAT&amp;display_string=Audit&amp;VAR:KEY=LMPURMFITC&amp;VAR:QUERY=RkZfRElWX1lMRChBTk4sMTEvMDMvMDUsMTEvMDMvMDUp&amp;WINDOW=FIRST_POPUP&amp;HEIGHT=450&amp;WIDTH=450&amp;","START_MAXIMIZED=FALSE&amp;VAR:CALENDAR=US&amp;VAR:SYMBOL=MO&amp;VAR:INDEX=0"}</definedName>
    <definedName name="_805__FDSAUDITLINK__" hidden="1">{"fdsup://directions/FAT Viewer?action=UPDATE&amp;creator=factset&amp;DYN_ARGS=TRUE&amp;DOC_NAME=FAT:FQL_AUDITING_CLIENT_TEMPLATE.FAT&amp;display_string=Audit&amp;VAR:KEY=LMPURMFITC&amp;VAR:QUERY=RkZfRElWX1lMRChBTk4sMTEvMDMvMDUsMTEvMDMvMDUp&amp;WINDOW=FIRST_POPUP&amp;HEIGHT=450&amp;WIDTH=450&amp;","START_MAXIMIZED=FALSE&amp;VAR:CALENDAR=US&amp;VAR:SYMBOL=MO&amp;VAR:INDEX=0"}</definedName>
    <definedName name="_806__FDSAUDITLINK__" localSheetId="0" hidden="1">{"fdsup://directions/FAT Viewer?action=UPDATE&amp;creator=factset&amp;DYN_ARGS=TRUE&amp;DOC_NAME=FAT:FQL_AUDITING_CLIENT_TEMPLATE.FAT&amp;display_string=Audit&amp;VAR:KEY=PMHGPGRCZA&amp;VAR:QUERY=RkZfRElWX1lMRChBTk4sMTAvMjcvMDUsMTAvMjcvMDUp&amp;WINDOW=FIRST_POPUP&amp;HEIGHT=450&amp;WIDTH=450&amp;","START_MAXIMIZED=FALSE&amp;VAR:CALENDAR=US&amp;VAR:SYMBOL=MO&amp;VAR:INDEX=0"}</definedName>
    <definedName name="_806__FDSAUDITLINK__" hidden="1">{"fdsup://directions/FAT Viewer?action=UPDATE&amp;creator=factset&amp;DYN_ARGS=TRUE&amp;DOC_NAME=FAT:FQL_AUDITING_CLIENT_TEMPLATE.FAT&amp;display_string=Audit&amp;VAR:KEY=PMHGPGRCZA&amp;VAR:QUERY=RkZfRElWX1lMRChBTk4sMTAvMjcvMDUsMTAvMjcvMDUp&amp;WINDOW=FIRST_POPUP&amp;HEIGHT=450&amp;WIDTH=450&amp;","START_MAXIMIZED=FALSE&amp;VAR:CALENDAR=US&amp;VAR:SYMBOL=MO&amp;VAR:INDEX=0"}</definedName>
    <definedName name="_807">#REF!</definedName>
    <definedName name="_807__FDSAUDITLINK__" localSheetId="0" hidden="1">{"fdsup://directions/FAT Viewer?action=UPDATE&amp;creator=factset&amp;DYN_ARGS=TRUE&amp;DOC_NAME=FAT:FQL_AUDITING_CLIENT_TEMPLATE.FAT&amp;display_string=Audit&amp;VAR:KEY=LAPOLMFATQ&amp;VAR:QUERY=RkZfRElWX1lMRChBTk4sMTAvMjAvMDUsMTAvMjAvMDUp&amp;WINDOW=FIRST_POPUP&amp;HEIGHT=450&amp;WIDTH=450&amp;","START_MAXIMIZED=FALSE&amp;VAR:CALENDAR=US&amp;VAR:SYMBOL=MO&amp;VAR:INDEX=0"}</definedName>
    <definedName name="_807__FDSAUDITLINK__" hidden="1">{"fdsup://directions/FAT Viewer?action=UPDATE&amp;creator=factset&amp;DYN_ARGS=TRUE&amp;DOC_NAME=FAT:FQL_AUDITING_CLIENT_TEMPLATE.FAT&amp;display_string=Audit&amp;VAR:KEY=LAPOLMFATQ&amp;VAR:QUERY=RkZfRElWX1lMRChBTk4sMTAvMjAvMDUsMTAvMjAvMDUp&amp;WINDOW=FIRST_POPUP&amp;HEIGHT=450&amp;WIDTH=450&amp;","START_MAXIMIZED=FALSE&amp;VAR:CALENDAR=US&amp;VAR:SYMBOL=MO&amp;VAR:INDEX=0"}</definedName>
    <definedName name="_808__FDSAUDITLINK__" localSheetId="0" hidden="1">{"fdsup://directions/FAT Viewer?action=UPDATE&amp;creator=factset&amp;DYN_ARGS=TRUE&amp;DOC_NAME=FAT:FQL_AUDITING_CLIENT_TEMPLATE.FAT&amp;display_string=Audit&amp;VAR:KEY=JCVAZADAJS&amp;VAR:QUERY=RkZfRElWX1lMRChBTk4sMTAvMTMvMDUsMTAvMTMvMDUp&amp;WINDOW=FIRST_POPUP&amp;HEIGHT=450&amp;WIDTH=450&amp;","START_MAXIMIZED=FALSE&amp;VAR:CALENDAR=US&amp;VAR:SYMBOL=MO&amp;VAR:INDEX=0"}</definedName>
    <definedName name="_808__FDSAUDITLINK__" hidden="1">{"fdsup://directions/FAT Viewer?action=UPDATE&amp;creator=factset&amp;DYN_ARGS=TRUE&amp;DOC_NAME=FAT:FQL_AUDITING_CLIENT_TEMPLATE.FAT&amp;display_string=Audit&amp;VAR:KEY=JCVAZADAJS&amp;VAR:QUERY=RkZfRElWX1lMRChBTk4sMTAvMTMvMDUsMTAvMTMvMDUp&amp;WINDOW=FIRST_POPUP&amp;HEIGHT=450&amp;WIDTH=450&amp;","START_MAXIMIZED=FALSE&amp;VAR:CALENDAR=US&amp;VAR:SYMBOL=MO&amp;VAR:INDEX=0"}</definedName>
    <definedName name="_809__FDSAUDITLINK__" localSheetId="0" hidden="1">{"fdsup://directions/FAT Viewer?action=UPDATE&amp;creator=factset&amp;DYN_ARGS=TRUE&amp;DOC_NAME=FAT:FQL_AUDITING_CLIENT_TEMPLATE.FAT&amp;display_string=Audit&amp;VAR:KEY=VCFUXKPCNO&amp;VAR:QUERY=RkZfRElWX1lMRChBTk4sMTAvMDYvMDUsMTAvMDYvMDUp&amp;WINDOW=FIRST_POPUP&amp;HEIGHT=450&amp;WIDTH=450&amp;","START_MAXIMIZED=FALSE&amp;VAR:CALENDAR=US&amp;VAR:SYMBOL=MO&amp;VAR:INDEX=0"}</definedName>
    <definedName name="_809__FDSAUDITLINK__" hidden="1">{"fdsup://directions/FAT Viewer?action=UPDATE&amp;creator=factset&amp;DYN_ARGS=TRUE&amp;DOC_NAME=FAT:FQL_AUDITING_CLIENT_TEMPLATE.FAT&amp;display_string=Audit&amp;VAR:KEY=VCFUXKPCNO&amp;VAR:QUERY=RkZfRElWX1lMRChBTk4sMTAvMDYvMDUsMTAvMDYvMDUp&amp;WINDOW=FIRST_POPUP&amp;HEIGHT=450&amp;WIDTH=450&amp;","START_MAXIMIZED=FALSE&amp;VAR:CALENDAR=US&amp;VAR:SYMBOL=MO&amp;VAR:INDEX=0"}</definedName>
    <definedName name="_81__123Graph_CSUPPLIES_BY_B_U">#REF!</definedName>
    <definedName name="_81__123Graph_FQRE_S_BY_CO.">#REF!</definedName>
    <definedName name="_81__FDSAUDITLINK__" localSheetId="0" hidden="1">{"fdsup://directions/FAT Viewer?action=UPDATE&amp;creator=factset&amp;DYN_ARGS=TRUE&amp;DOC_NAME=FAT:FQL_AUDITING_CLIENT_TEMPLATE.FAT&amp;display_string=Audit&amp;VAR:KEY=UHMTUFUTWJ&amp;VAR:QUERY=QVZHKEZGX0RJVl9ZTEQoQU5OLDQxMDA0LC0yQVkpKQ==&amp;WINDOW=FIRST_POPUP&amp;HEIGHT=450&amp;WIDTH=450&amp;","START_MAXIMIZED=FALSE&amp;VAR:CALENDAR=US&amp;VAR:SYMBOL=SBUX"}</definedName>
    <definedName name="_81__FDSAUDITLINK__" hidden="1">{"fdsup://directions/FAT Viewer?action=UPDATE&amp;creator=factset&amp;DYN_ARGS=TRUE&amp;DOC_NAME=FAT:FQL_AUDITING_CLIENT_TEMPLATE.FAT&amp;display_string=Audit&amp;VAR:KEY=UHMTUFUTWJ&amp;VAR:QUERY=QVZHKEZGX0RJVl9ZTEQoQU5OLDQxMDA0LC0yQVkpKQ==&amp;WINDOW=FIRST_POPUP&amp;HEIGHT=450&amp;WIDTH=450&amp;","START_MAXIMIZED=FALSE&amp;VAR:CALENDAR=US&amp;VAR:SYMBOL=SBUX"}</definedName>
    <definedName name="_81_0_Table2_" hidden="1">#REF!</definedName>
    <definedName name="_810__FDSAUDITLINK__" localSheetId="0" hidden="1">{"fdsup://directions/FAT Viewer?action=UPDATE&amp;creator=factset&amp;DYN_ARGS=TRUE&amp;DOC_NAME=FAT:FQL_AUDITING_CLIENT_TEMPLATE.FAT&amp;display_string=Audit&amp;VAR:KEY=XYPWBEFWBM&amp;VAR:QUERY=RkZfRElWX1lMRChBTk4sOS8yOS8wNSw5LzI5LzA1KQ==&amp;WINDOW=FIRST_POPUP&amp;HEIGHT=450&amp;WIDTH=450&amp;","START_MAXIMIZED=FALSE&amp;VAR:CALENDAR=US&amp;VAR:SYMBOL=MO&amp;VAR:INDEX=0"}</definedName>
    <definedName name="_810__FDSAUDITLINK__" hidden="1">{"fdsup://directions/FAT Viewer?action=UPDATE&amp;creator=factset&amp;DYN_ARGS=TRUE&amp;DOC_NAME=FAT:FQL_AUDITING_CLIENT_TEMPLATE.FAT&amp;display_string=Audit&amp;VAR:KEY=XYPWBEFWBM&amp;VAR:QUERY=RkZfRElWX1lMRChBTk4sOS8yOS8wNSw5LzI5LzA1KQ==&amp;WINDOW=FIRST_POPUP&amp;HEIGHT=450&amp;WIDTH=450&amp;","START_MAXIMIZED=FALSE&amp;VAR:CALENDAR=US&amp;VAR:SYMBOL=MO&amp;VAR:INDEX=0"}</definedName>
    <definedName name="_811__FDSAUDITLINK__" localSheetId="0" hidden="1">{"fdsup://directions/FAT Viewer?action=UPDATE&amp;creator=factset&amp;DYN_ARGS=TRUE&amp;DOC_NAME=FAT:FQL_AUDITING_CLIENT_TEMPLATE.FAT&amp;display_string=Audit&amp;VAR:KEY=NKBYXEFEVE&amp;VAR:QUERY=RkZfRElWX1lMRChBTk4sOS8yMi8wNSw5LzIyLzA1KQ==&amp;WINDOW=FIRST_POPUP&amp;HEIGHT=450&amp;WIDTH=450&amp;","START_MAXIMIZED=FALSE&amp;VAR:CALENDAR=US&amp;VAR:SYMBOL=MO&amp;VAR:INDEX=0"}</definedName>
    <definedName name="_811__FDSAUDITLINK__" hidden="1">{"fdsup://directions/FAT Viewer?action=UPDATE&amp;creator=factset&amp;DYN_ARGS=TRUE&amp;DOC_NAME=FAT:FQL_AUDITING_CLIENT_TEMPLATE.FAT&amp;display_string=Audit&amp;VAR:KEY=NKBYXEFEVE&amp;VAR:QUERY=RkZfRElWX1lMRChBTk4sOS8yMi8wNSw5LzIyLzA1KQ==&amp;WINDOW=FIRST_POPUP&amp;HEIGHT=450&amp;WIDTH=450&amp;","START_MAXIMIZED=FALSE&amp;VAR:CALENDAR=US&amp;VAR:SYMBOL=MO&amp;VAR:INDEX=0"}</definedName>
    <definedName name="_812">#REF!</definedName>
    <definedName name="_812__FDSAUDITLINK__" localSheetId="0" hidden="1">{"fdsup://directions/FAT Viewer?action=UPDATE&amp;creator=factset&amp;DYN_ARGS=TRUE&amp;DOC_NAME=FAT:FQL_AUDITING_CLIENT_TEMPLATE.FAT&amp;display_string=Audit&amp;VAR:KEY=XGRMDMFGBQ&amp;VAR:QUERY=RkZfRElWX1lMRChBTk4sOS8xNS8wNSw5LzE1LzA1KQ==&amp;WINDOW=FIRST_POPUP&amp;HEIGHT=450&amp;WIDTH=450&amp;","START_MAXIMIZED=FALSE&amp;VAR:CALENDAR=US&amp;VAR:SYMBOL=MO&amp;VAR:INDEX=0"}</definedName>
    <definedName name="_812__FDSAUDITLINK__" hidden="1">{"fdsup://directions/FAT Viewer?action=UPDATE&amp;creator=factset&amp;DYN_ARGS=TRUE&amp;DOC_NAME=FAT:FQL_AUDITING_CLIENT_TEMPLATE.FAT&amp;display_string=Audit&amp;VAR:KEY=XGRMDMFGBQ&amp;VAR:QUERY=RkZfRElWX1lMRChBTk4sOS8xNS8wNSw5LzE1LzA1KQ==&amp;WINDOW=FIRST_POPUP&amp;HEIGHT=450&amp;WIDTH=450&amp;","START_MAXIMIZED=FALSE&amp;VAR:CALENDAR=US&amp;VAR:SYMBOL=MO&amp;VAR:INDEX=0"}</definedName>
    <definedName name="_813">#REF!</definedName>
    <definedName name="_813__FDSAUDITLINK__" localSheetId="0" hidden="1">{"fdsup://directions/FAT Viewer?action=UPDATE&amp;creator=factset&amp;DYN_ARGS=TRUE&amp;DOC_NAME=FAT:FQL_AUDITING_CLIENT_TEMPLATE.FAT&amp;display_string=Audit&amp;VAR:KEY=ZCFWRGXKNW&amp;VAR:QUERY=RkZfRElWX1lMRChBTk4sOS8wOC8wNSw5LzA4LzA1KQ==&amp;WINDOW=FIRST_POPUP&amp;HEIGHT=450&amp;WIDTH=450&amp;","START_MAXIMIZED=FALSE&amp;VAR:CALENDAR=US&amp;VAR:SYMBOL=MO&amp;VAR:INDEX=0"}</definedName>
    <definedName name="_813__FDSAUDITLINK__" hidden="1">{"fdsup://directions/FAT Viewer?action=UPDATE&amp;creator=factset&amp;DYN_ARGS=TRUE&amp;DOC_NAME=FAT:FQL_AUDITING_CLIENT_TEMPLATE.FAT&amp;display_string=Audit&amp;VAR:KEY=ZCFWRGXKNW&amp;VAR:QUERY=RkZfRElWX1lMRChBTk4sOS8wOC8wNSw5LzA4LzA1KQ==&amp;WINDOW=FIRST_POPUP&amp;HEIGHT=450&amp;WIDTH=450&amp;","START_MAXIMIZED=FALSE&amp;VAR:CALENDAR=US&amp;VAR:SYMBOL=MO&amp;VAR:INDEX=0"}</definedName>
    <definedName name="_814">#REF!</definedName>
    <definedName name="_814__FDSAUDITLINK__" localSheetId="0" hidden="1">{"fdsup://directions/FAT Viewer?action=UPDATE&amp;creator=factset&amp;DYN_ARGS=TRUE&amp;DOC_NAME=FAT:FQL_AUDITING_CLIENT_TEMPLATE.FAT&amp;display_string=Audit&amp;VAR:KEY=ZCVINIVATK&amp;VAR:QUERY=RkZfRElWX1lMRChBTk4sOS8wMS8wNSw5LzAxLzA1KQ==&amp;WINDOW=FIRST_POPUP&amp;HEIGHT=450&amp;WIDTH=450&amp;","START_MAXIMIZED=FALSE&amp;VAR:CALENDAR=US&amp;VAR:SYMBOL=MO&amp;VAR:INDEX=0"}</definedName>
    <definedName name="_814__FDSAUDITLINK__" hidden="1">{"fdsup://directions/FAT Viewer?action=UPDATE&amp;creator=factset&amp;DYN_ARGS=TRUE&amp;DOC_NAME=FAT:FQL_AUDITING_CLIENT_TEMPLATE.FAT&amp;display_string=Audit&amp;VAR:KEY=ZCVINIVATK&amp;VAR:QUERY=RkZfRElWX1lMRChBTk4sOS8wMS8wNSw5LzAxLzA1KQ==&amp;WINDOW=FIRST_POPUP&amp;HEIGHT=450&amp;WIDTH=450&amp;","START_MAXIMIZED=FALSE&amp;VAR:CALENDAR=US&amp;VAR:SYMBOL=MO&amp;VAR:INDEX=0"}</definedName>
    <definedName name="_815">#REF!</definedName>
    <definedName name="_815__FDSAUDITLINK__" localSheetId="0" hidden="1">{"fdsup://directions/FAT Viewer?action=UPDATE&amp;creator=factset&amp;DYN_ARGS=TRUE&amp;DOC_NAME=FAT:FQL_AUDITING_CLIENT_TEMPLATE.FAT&amp;display_string=Audit&amp;VAR:KEY=ZYNMTQDYTC&amp;VAR:QUERY=RkZfRElWX1lMRChBTk4sOC8yNS8wNSw4LzI1LzA1KQ==&amp;WINDOW=FIRST_POPUP&amp;HEIGHT=450&amp;WIDTH=450&amp;","START_MAXIMIZED=FALSE&amp;VAR:CALENDAR=US&amp;VAR:SYMBOL=MO&amp;VAR:INDEX=0"}</definedName>
    <definedName name="_815__FDSAUDITLINK__" hidden="1">{"fdsup://directions/FAT Viewer?action=UPDATE&amp;creator=factset&amp;DYN_ARGS=TRUE&amp;DOC_NAME=FAT:FQL_AUDITING_CLIENT_TEMPLATE.FAT&amp;display_string=Audit&amp;VAR:KEY=ZYNMTQDYTC&amp;VAR:QUERY=RkZfRElWX1lMRChBTk4sOC8yNS8wNSw4LzI1LzA1KQ==&amp;WINDOW=FIRST_POPUP&amp;HEIGHT=450&amp;WIDTH=450&amp;","START_MAXIMIZED=FALSE&amp;VAR:CALENDAR=US&amp;VAR:SYMBOL=MO&amp;VAR:INDEX=0"}</definedName>
    <definedName name="_816">#REF!</definedName>
    <definedName name="_816__FDSAUDITLINK__" localSheetId="0" hidden="1">{"fdsup://directions/FAT Viewer?action=UPDATE&amp;creator=factset&amp;DYN_ARGS=TRUE&amp;DOC_NAME=FAT:FQL_AUDITING_CLIENT_TEMPLATE.FAT&amp;display_string=Audit&amp;VAR:KEY=DQBCLEJONI&amp;VAR:QUERY=RkZfRElWX1lMRChBTk4sOC8xOC8wNSw4LzE4LzA1KQ==&amp;WINDOW=FIRST_POPUP&amp;HEIGHT=450&amp;WIDTH=450&amp;","START_MAXIMIZED=FALSE&amp;VAR:CALENDAR=US&amp;VAR:SYMBOL=MO&amp;VAR:INDEX=0"}</definedName>
    <definedName name="_816__FDSAUDITLINK__" hidden="1">{"fdsup://directions/FAT Viewer?action=UPDATE&amp;creator=factset&amp;DYN_ARGS=TRUE&amp;DOC_NAME=FAT:FQL_AUDITING_CLIENT_TEMPLATE.FAT&amp;display_string=Audit&amp;VAR:KEY=DQBCLEJONI&amp;VAR:QUERY=RkZfRElWX1lMRChBTk4sOC8xOC8wNSw4LzE4LzA1KQ==&amp;WINDOW=FIRST_POPUP&amp;HEIGHT=450&amp;WIDTH=450&amp;","START_MAXIMIZED=FALSE&amp;VAR:CALENDAR=US&amp;VAR:SYMBOL=MO&amp;VAR:INDEX=0"}</definedName>
    <definedName name="_817">#REF!</definedName>
    <definedName name="_817__FDSAUDITLINK__" localSheetId="0" hidden="1">{"fdsup://directions/FAT Viewer?action=UPDATE&amp;creator=factset&amp;DYN_ARGS=TRUE&amp;DOC_NAME=FAT:FQL_AUDITING_CLIENT_TEMPLATE.FAT&amp;display_string=Audit&amp;VAR:KEY=XEXURAJCNK&amp;VAR:QUERY=RkZfRElWX1lMRChBTk4sOC8xMS8wNSw4LzExLzA1KQ==&amp;WINDOW=FIRST_POPUP&amp;HEIGHT=450&amp;WIDTH=450&amp;","START_MAXIMIZED=FALSE&amp;VAR:CALENDAR=US&amp;VAR:SYMBOL=MO&amp;VAR:INDEX=0"}</definedName>
    <definedName name="_817__FDSAUDITLINK__" hidden="1">{"fdsup://directions/FAT Viewer?action=UPDATE&amp;creator=factset&amp;DYN_ARGS=TRUE&amp;DOC_NAME=FAT:FQL_AUDITING_CLIENT_TEMPLATE.FAT&amp;display_string=Audit&amp;VAR:KEY=XEXURAJCNK&amp;VAR:QUERY=RkZfRElWX1lMRChBTk4sOC8xMS8wNSw4LzExLzA1KQ==&amp;WINDOW=FIRST_POPUP&amp;HEIGHT=450&amp;WIDTH=450&amp;","START_MAXIMIZED=FALSE&amp;VAR:CALENDAR=US&amp;VAR:SYMBOL=MO&amp;VAR:INDEX=0"}</definedName>
    <definedName name="_818">#REF!</definedName>
    <definedName name="_818__FDSAUDITLINK__" localSheetId="0" hidden="1">{"fdsup://directions/FAT Viewer?action=UPDATE&amp;creator=factset&amp;DYN_ARGS=TRUE&amp;DOC_NAME=FAT:FQL_AUDITING_CLIENT_TEMPLATE.FAT&amp;display_string=Audit&amp;VAR:KEY=PSNITIJINU&amp;VAR:QUERY=RkZfRElWX1lMRChBTk4sOC8wNC8wNSw4LzA0LzA1KQ==&amp;WINDOW=FIRST_POPUP&amp;HEIGHT=450&amp;WIDTH=450&amp;","START_MAXIMIZED=FALSE&amp;VAR:CALENDAR=US&amp;VAR:SYMBOL=MO&amp;VAR:INDEX=0"}</definedName>
    <definedName name="_818__FDSAUDITLINK__" hidden="1">{"fdsup://directions/FAT Viewer?action=UPDATE&amp;creator=factset&amp;DYN_ARGS=TRUE&amp;DOC_NAME=FAT:FQL_AUDITING_CLIENT_TEMPLATE.FAT&amp;display_string=Audit&amp;VAR:KEY=PSNITIJINU&amp;VAR:QUERY=RkZfRElWX1lMRChBTk4sOC8wNC8wNSw4LzA0LzA1KQ==&amp;WINDOW=FIRST_POPUP&amp;HEIGHT=450&amp;WIDTH=450&amp;","START_MAXIMIZED=FALSE&amp;VAR:CALENDAR=US&amp;VAR:SYMBOL=MO&amp;VAR:INDEX=0"}</definedName>
    <definedName name="_819">#REF!</definedName>
    <definedName name="_819__FDSAUDITLINK__" localSheetId="0" hidden="1">{"fdsup://directions/FAT Viewer?action=UPDATE&amp;creator=factset&amp;DYN_ARGS=TRUE&amp;DOC_NAME=FAT:FQL_AUDITING_CLIENT_TEMPLATE.FAT&amp;display_string=Audit&amp;VAR:KEY=PIPIDKPOZU&amp;VAR:QUERY=RkZfRElWX1lMRChBTk4sNy8yOC8wNSw3LzI4LzA1KQ==&amp;WINDOW=FIRST_POPUP&amp;HEIGHT=450&amp;WIDTH=450&amp;","START_MAXIMIZED=FALSE&amp;VAR:CALENDAR=US&amp;VAR:SYMBOL=MO&amp;VAR:INDEX=0"}</definedName>
    <definedName name="_819__FDSAUDITLINK__" hidden="1">{"fdsup://directions/FAT Viewer?action=UPDATE&amp;creator=factset&amp;DYN_ARGS=TRUE&amp;DOC_NAME=FAT:FQL_AUDITING_CLIENT_TEMPLATE.FAT&amp;display_string=Audit&amp;VAR:KEY=PIPIDKPOZU&amp;VAR:QUERY=RkZfRElWX1lMRChBTk4sNy8yOC8wNSw3LzI4LzA1KQ==&amp;WINDOW=FIRST_POPUP&amp;HEIGHT=450&amp;WIDTH=450&amp;","START_MAXIMIZED=FALSE&amp;VAR:CALENDAR=US&amp;VAR:SYMBOL=MO&amp;VAR:INDEX=0"}</definedName>
    <definedName name="_82__FDSAUDITLINK__" localSheetId="0" hidden="1">{"fdsup://directions/FAT Viewer?action=UPDATE&amp;creator=factset&amp;DYN_ARGS=TRUE&amp;DOC_NAME=FAT:FQL_AUDITING_CLIENT_TEMPLATE.FAT&amp;display_string=Audit&amp;VAR:KEY=HCZWJCNOTU&amp;VAR:QUERY=RkZfRElWX1lMRChBTk4sOS8xMC8wOSw5LzEwLzA5KQ==&amp;WINDOW=FIRST_POPUP&amp;HEIGHT=450&amp;WIDTH=450&amp;","START_MAXIMIZED=FALSE&amp;VAR:CALENDAR=US&amp;VAR:SYMBOL=RAI&amp;VAR:INDEX=0"}</definedName>
    <definedName name="_82__FDSAUDITLINK__" hidden="1">{"fdsup://directions/FAT Viewer?action=UPDATE&amp;creator=factset&amp;DYN_ARGS=TRUE&amp;DOC_NAME=FAT:FQL_AUDITING_CLIENT_TEMPLATE.FAT&amp;display_string=Audit&amp;VAR:KEY=HCZWJCNOTU&amp;VAR:QUERY=RkZfRElWX1lMRChBTk4sOS8xMC8wOSw5LzEwLzA5KQ==&amp;WINDOW=FIRST_POPUP&amp;HEIGHT=450&amp;WIDTH=450&amp;","START_MAXIMIZED=FALSE&amp;VAR:CALENDAR=US&amp;VAR:SYMBOL=RAI&amp;VAR:INDEX=0"}</definedName>
    <definedName name="_820">#REF!</definedName>
    <definedName name="_820__FDSAUDITLINK__" localSheetId="0" hidden="1">{"fdsup://directions/FAT Viewer?action=UPDATE&amp;creator=factset&amp;DYN_ARGS=TRUE&amp;DOC_NAME=FAT:FQL_AUDITING_CLIENT_TEMPLATE.FAT&amp;display_string=Audit&amp;VAR:KEY=JGPUNUJKXI&amp;VAR:QUERY=RkZfRElWX1lMRChBTk4sNy8yMS8wNSw3LzIxLzA1KQ==&amp;WINDOW=FIRST_POPUP&amp;HEIGHT=450&amp;WIDTH=450&amp;","START_MAXIMIZED=FALSE&amp;VAR:CALENDAR=US&amp;VAR:SYMBOL=MO&amp;VAR:INDEX=0"}</definedName>
    <definedName name="_820__FDSAUDITLINK__" hidden="1">{"fdsup://directions/FAT Viewer?action=UPDATE&amp;creator=factset&amp;DYN_ARGS=TRUE&amp;DOC_NAME=FAT:FQL_AUDITING_CLIENT_TEMPLATE.FAT&amp;display_string=Audit&amp;VAR:KEY=JGPUNUJKXI&amp;VAR:QUERY=RkZfRElWX1lMRChBTk4sNy8yMS8wNSw3LzIxLzA1KQ==&amp;WINDOW=FIRST_POPUP&amp;HEIGHT=450&amp;WIDTH=450&amp;","START_MAXIMIZED=FALSE&amp;VAR:CALENDAR=US&amp;VAR:SYMBOL=MO&amp;VAR:INDEX=0"}</definedName>
    <definedName name="_821">#REF!</definedName>
    <definedName name="_821__FDSAUDITLINK__" localSheetId="0" hidden="1">{"fdsup://directions/FAT Viewer?action=UPDATE&amp;creator=factset&amp;DYN_ARGS=TRUE&amp;DOC_NAME=FAT:FQL_AUDITING_CLIENT_TEMPLATE.FAT&amp;display_string=Audit&amp;VAR:KEY=TSLODARWJM&amp;VAR:QUERY=RkZfRElWX1lMRChBTk4sNy8xNC8wNSw3LzE0LzA1KQ==&amp;WINDOW=FIRST_POPUP&amp;HEIGHT=450&amp;WIDTH=450&amp;","START_MAXIMIZED=FALSE&amp;VAR:CALENDAR=US&amp;VAR:SYMBOL=MO&amp;VAR:INDEX=0"}</definedName>
    <definedName name="_821__FDSAUDITLINK__" hidden="1">{"fdsup://directions/FAT Viewer?action=UPDATE&amp;creator=factset&amp;DYN_ARGS=TRUE&amp;DOC_NAME=FAT:FQL_AUDITING_CLIENT_TEMPLATE.FAT&amp;display_string=Audit&amp;VAR:KEY=TSLODARWJM&amp;VAR:QUERY=RkZfRElWX1lMRChBTk4sNy8xNC8wNSw3LzE0LzA1KQ==&amp;WINDOW=FIRST_POPUP&amp;HEIGHT=450&amp;WIDTH=450&amp;","START_MAXIMIZED=FALSE&amp;VAR:CALENDAR=US&amp;VAR:SYMBOL=MO&amp;VAR:INDEX=0"}</definedName>
    <definedName name="_822">#REF!</definedName>
    <definedName name="_822__FDSAUDITLINK__" localSheetId="0" hidden="1">{"fdsup://directions/FAT Viewer?action=UPDATE&amp;creator=factset&amp;DYN_ARGS=TRUE&amp;DOC_NAME=FAT:FQL_AUDITING_CLIENT_TEMPLATE.FAT&amp;display_string=Audit&amp;VAR:KEY=NEPEJWTGRU&amp;VAR:QUERY=RkZfRElWX1lMRChBTk4sNy8wNy8wNSw3LzA3LzA1KQ==&amp;WINDOW=FIRST_POPUP&amp;HEIGHT=450&amp;WIDTH=450&amp;","START_MAXIMIZED=FALSE&amp;VAR:CALENDAR=US&amp;VAR:SYMBOL=MO&amp;VAR:INDEX=0"}</definedName>
    <definedName name="_822__FDSAUDITLINK__" hidden="1">{"fdsup://directions/FAT Viewer?action=UPDATE&amp;creator=factset&amp;DYN_ARGS=TRUE&amp;DOC_NAME=FAT:FQL_AUDITING_CLIENT_TEMPLATE.FAT&amp;display_string=Audit&amp;VAR:KEY=NEPEJWTGRU&amp;VAR:QUERY=RkZfRElWX1lMRChBTk4sNy8wNy8wNSw3LzA3LzA1KQ==&amp;WINDOW=FIRST_POPUP&amp;HEIGHT=450&amp;WIDTH=450&amp;","START_MAXIMIZED=FALSE&amp;VAR:CALENDAR=US&amp;VAR:SYMBOL=MO&amp;VAR:INDEX=0"}</definedName>
    <definedName name="_823">#REF!</definedName>
    <definedName name="_823__FDSAUDITLINK__" localSheetId="0" hidden="1">{"fdsup://directions/FAT Viewer?action=UPDATE&amp;creator=factset&amp;DYN_ARGS=TRUE&amp;DOC_NAME=FAT:FQL_AUDITING_CLIENT_TEMPLATE.FAT&amp;display_string=Audit&amp;VAR:KEY=ZKRIHUFIBG&amp;VAR:QUERY=RkZfRElWX1lMRChBTk4sNi8zMC8wNSw2LzMwLzA1KQ==&amp;WINDOW=FIRST_POPUP&amp;HEIGHT=450&amp;WIDTH=450&amp;","START_MAXIMIZED=FALSE&amp;VAR:CALENDAR=US&amp;VAR:SYMBOL=MO&amp;VAR:INDEX=0"}</definedName>
    <definedName name="_823__FDSAUDITLINK__" hidden="1">{"fdsup://directions/FAT Viewer?action=UPDATE&amp;creator=factset&amp;DYN_ARGS=TRUE&amp;DOC_NAME=FAT:FQL_AUDITING_CLIENT_TEMPLATE.FAT&amp;display_string=Audit&amp;VAR:KEY=ZKRIHUFIBG&amp;VAR:QUERY=RkZfRElWX1lMRChBTk4sNi8zMC8wNSw2LzMwLzA1KQ==&amp;WINDOW=FIRST_POPUP&amp;HEIGHT=450&amp;WIDTH=450&amp;","START_MAXIMIZED=FALSE&amp;VAR:CALENDAR=US&amp;VAR:SYMBOL=MO&amp;VAR:INDEX=0"}</definedName>
    <definedName name="_824">#REF!</definedName>
    <definedName name="_824__FDSAUDITLINK__" localSheetId="0" hidden="1">{"fdsup://directions/FAT Viewer?action=UPDATE&amp;creator=factset&amp;DYN_ARGS=TRUE&amp;DOC_NAME=FAT:FQL_AUDITING_CLIENT_TEMPLATE.FAT&amp;display_string=Audit&amp;VAR:KEY=TYVWXMFKVQ&amp;VAR:QUERY=RkZfRElWX1lMRChBTk4sNi8yMy8wNSw2LzIzLzA1KQ==&amp;WINDOW=FIRST_POPUP&amp;HEIGHT=450&amp;WIDTH=450&amp;","START_MAXIMIZED=FALSE&amp;VAR:CALENDAR=US&amp;VAR:SYMBOL=MO&amp;VAR:INDEX=0"}</definedName>
    <definedName name="_824__FDSAUDITLINK__" hidden="1">{"fdsup://directions/FAT Viewer?action=UPDATE&amp;creator=factset&amp;DYN_ARGS=TRUE&amp;DOC_NAME=FAT:FQL_AUDITING_CLIENT_TEMPLATE.FAT&amp;display_string=Audit&amp;VAR:KEY=TYVWXMFKVQ&amp;VAR:QUERY=RkZfRElWX1lMRChBTk4sNi8yMy8wNSw2LzIzLzA1KQ==&amp;WINDOW=FIRST_POPUP&amp;HEIGHT=450&amp;WIDTH=450&amp;","START_MAXIMIZED=FALSE&amp;VAR:CALENDAR=US&amp;VAR:SYMBOL=MO&amp;VAR:INDEX=0"}</definedName>
    <definedName name="_825">#REF!</definedName>
    <definedName name="_825__FDSAUDITLINK__" localSheetId="0" hidden="1">{"fdsup://directions/FAT Viewer?action=UPDATE&amp;creator=factset&amp;DYN_ARGS=TRUE&amp;DOC_NAME=FAT:FQL_AUDITING_CLIENT_TEMPLATE.FAT&amp;display_string=Audit&amp;VAR:KEY=RSDAROBMDM&amp;VAR:QUERY=RkZfRElWX1lMRChBTk4sNi8xNi8wNSw2LzE2LzA1KQ==&amp;WINDOW=FIRST_POPUP&amp;HEIGHT=450&amp;WIDTH=450&amp;","START_MAXIMIZED=FALSE&amp;VAR:CALENDAR=US&amp;VAR:SYMBOL=MO&amp;VAR:INDEX=0"}</definedName>
    <definedName name="_825__FDSAUDITLINK__" hidden="1">{"fdsup://directions/FAT Viewer?action=UPDATE&amp;creator=factset&amp;DYN_ARGS=TRUE&amp;DOC_NAME=FAT:FQL_AUDITING_CLIENT_TEMPLATE.FAT&amp;display_string=Audit&amp;VAR:KEY=RSDAROBMDM&amp;VAR:QUERY=RkZfRElWX1lMRChBTk4sNi8xNi8wNSw2LzE2LzA1KQ==&amp;WINDOW=FIRST_POPUP&amp;HEIGHT=450&amp;WIDTH=450&amp;","START_MAXIMIZED=FALSE&amp;VAR:CALENDAR=US&amp;VAR:SYMBOL=MO&amp;VAR:INDEX=0"}</definedName>
    <definedName name="_826">#REF!</definedName>
    <definedName name="_826__FDSAUDITLINK__" localSheetId="0" hidden="1">{"fdsup://directions/FAT Viewer?action=UPDATE&amp;creator=factset&amp;DYN_ARGS=TRUE&amp;DOC_NAME=FAT:FQL_AUDITING_CLIENT_TEMPLATE.FAT&amp;display_string=Audit&amp;VAR:KEY=HANMHSJATM&amp;VAR:QUERY=RkZfRElWX1lMRChBTk4sNi8wOS8wNSw2LzA5LzA1KQ==&amp;WINDOW=FIRST_POPUP&amp;HEIGHT=450&amp;WIDTH=450&amp;","START_MAXIMIZED=FALSE&amp;VAR:CALENDAR=US&amp;VAR:SYMBOL=MO&amp;VAR:INDEX=0"}</definedName>
    <definedName name="_826__FDSAUDITLINK__" hidden="1">{"fdsup://directions/FAT Viewer?action=UPDATE&amp;creator=factset&amp;DYN_ARGS=TRUE&amp;DOC_NAME=FAT:FQL_AUDITING_CLIENT_TEMPLATE.FAT&amp;display_string=Audit&amp;VAR:KEY=HANMHSJATM&amp;VAR:QUERY=RkZfRElWX1lMRChBTk4sNi8wOS8wNSw2LzA5LzA1KQ==&amp;WINDOW=FIRST_POPUP&amp;HEIGHT=450&amp;WIDTH=450&amp;","START_MAXIMIZED=FALSE&amp;VAR:CALENDAR=US&amp;VAR:SYMBOL=MO&amp;VAR:INDEX=0"}</definedName>
    <definedName name="_827">#REF!</definedName>
    <definedName name="_827__FDSAUDITLINK__" localSheetId="0" hidden="1">{"fdsup://directions/FAT Viewer?action=UPDATE&amp;creator=factset&amp;DYN_ARGS=TRUE&amp;DOC_NAME=FAT:FQL_AUDITING_CLIENT_TEMPLATE.FAT&amp;display_string=Audit&amp;VAR:KEY=RQVYFWLCPC&amp;VAR:QUERY=RkZfRElWX1lMRChBTk4sNi8wMi8wNSw2LzAyLzA1KQ==&amp;WINDOW=FIRST_POPUP&amp;HEIGHT=450&amp;WIDTH=450&amp;","START_MAXIMIZED=FALSE&amp;VAR:CALENDAR=US&amp;VAR:SYMBOL=MO&amp;VAR:INDEX=0"}</definedName>
    <definedName name="_827__FDSAUDITLINK__" hidden="1">{"fdsup://directions/FAT Viewer?action=UPDATE&amp;creator=factset&amp;DYN_ARGS=TRUE&amp;DOC_NAME=FAT:FQL_AUDITING_CLIENT_TEMPLATE.FAT&amp;display_string=Audit&amp;VAR:KEY=RQVYFWLCPC&amp;VAR:QUERY=RkZfRElWX1lMRChBTk4sNi8wMi8wNSw2LzAyLzA1KQ==&amp;WINDOW=FIRST_POPUP&amp;HEIGHT=450&amp;WIDTH=450&amp;","START_MAXIMIZED=FALSE&amp;VAR:CALENDAR=US&amp;VAR:SYMBOL=MO&amp;VAR:INDEX=0"}</definedName>
    <definedName name="_828">#REF!</definedName>
    <definedName name="_828__FDSAUDITLINK__" localSheetId="0" hidden="1">{"fdsup://directions/FAT Viewer?action=UPDATE&amp;creator=factset&amp;DYN_ARGS=TRUE&amp;DOC_NAME=FAT:FQL_AUDITING_CLIENT_TEMPLATE.FAT&amp;display_string=Audit&amp;VAR:KEY=XWVAPARCTE&amp;VAR:QUERY=RkZfRElWX1lMRChBTk4sNS8yNi8wNSw1LzI2LzA1KQ==&amp;WINDOW=FIRST_POPUP&amp;HEIGHT=450&amp;WIDTH=450&amp;","START_MAXIMIZED=FALSE&amp;VAR:CALENDAR=US&amp;VAR:SYMBOL=MO&amp;VAR:INDEX=0"}</definedName>
    <definedName name="_828__FDSAUDITLINK__" hidden="1">{"fdsup://directions/FAT Viewer?action=UPDATE&amp;creator=factset&amp;DYN_ARGS=TRUE&amp;DOC_NAME=FAT:FQL_AUDITING_CLIENT_TEMPLATE.FAT&amp;display_string=Audit&amp;VAR:KEY=XWVAPARCTE&amp;VAR:QUERY=RkZfRElWX1lMRChBTk4sNS8yNi8wNSw1LzI2LzA1KQ==&amp;WINDOW=FIRST_POPUP&amp;HEIGHT=450&amp;WIDTH=450&amp;","START_MAXIMIZED=FALSE&amp;VAR:CALENDAR=US&amp;VAR:SYMBOL=MO&amp;VAR:INDEX=0"}</definedName>
    <definedName name="_829">#REF!</definedName>
    <definedName name="_829__FDSAUDITLINK__" localSheetId="0" hidden="1">{"fdsup://directions/FAT Viewer?action=UPDATE&amp;creator=factset&amp;DYN_ARGS=TRUE&amp;DOC_NAME=FAT:FQL_AUDITING_CLIENT_TEMPLATE.FAT&amp;display_string=Audit&amp;VAR:KEY=XYFWJWPEDE&amp;VAR:QUERY=RkZfRElWX1lMRChBTk4sNS8xOS8wNSw1LzE5LzA1KQ==&amp;WINDOW=FIRST_POPUP&amp;HEIGHT=450&amp;WIDTH=450&amp;","START_MAXIMIZED=FALSE&amp;VAR:CALENDAR=US&amp;VAR:SYMBOL=MO&amp;VAR:INDEX=0"}</definedName>
    <definedName name="_829__FDSAUDITLINK__" hidden="1">{"fdsup://directions/FAT Viewer?action=UPDATE&amp;creator=factset&amp;DYN_ARGS=TRUE&amp;DOC_NAME=FAT:FQL_AUDITING_CLIENT_TEMPLATE.FAT&amp;display_string=Audit&amp;VAR:KEY=XYFWJWPEDE&amp;VAR:QUERY=RkZfRElWX1lMRChBTk4sNS8xOS8wNSw1LzE5LzA1KQ==&amp;WINDOW=FIRST_POPUP&amp;HEIGHT=450&amp;WIDTH=450&amp;","START_MAXIMIZED=FALSE&amp;VAR:CALENDAR=US&amp;VAR:SYMBOL=MO&amp;VAR:INDEX=0"}</definedName>
    <definedName name="_83__FDSAUDITLINK__" localSheetId="0" hidden="1">{"fdsup://directions/FAT Viewer?action=UPDATE&amp;creator=factset&amp;DYN_ARGS=TRUE&amp;DOC_NAME=FAT:FQL_AUDITING_CLIENT_TEMPLATE.FAT&amp;display_string=Audit&amp;VAR:KEY=RKBMNQHOBQ&amp;VAR:QUERY=RkZfRElWX1lMRChBTk4sOS8wMy8wOSw5LzAzLzA5KQ==&amp;WINDOW=FIRST_POPUP&amp;HEIGHT=450&amp;WIDTH=450&amp;","START_MAXIMIZED=FALSE&amp;VAR:CALENDAR=US&amp;VAR:SYMBOL=RAI&amp;VAR:INDEX=0"}</definedName>
    <definedName name="_83__FDSAUDITLINK__" hidden="1">{"fdsup://directions/FAT Viewer?action=UPDATE&amp;creator=factset&amp;DYN_ARGS=TRUE&amp;DOC_NAME=FAT:FQL_AUDITING_CLIENT_TEMPLATE.FAT&amp;display_string=Audit&amp;VAR:KEY=RKBMNQHOBQ&amp;VAR:QUERY=RkZfRElWX1lMRChBTk4sOS8wMy8wOSw5LzAzLzA5KQ==&amp;WINDOW=FIRST_POPUP&amp;HEIGHT=450&amp;WIDTH=450&amp;","START_MAXIMIZED=FALSE&amp;VAR:CALENDAR=US&amp;VAR:SYMBOL=RAI&amp;VAR:INDEX=0"}</definedName>
    <definedName name="_830">#REF!</definedName>
    <definedName name="_830__FDSAUDITLINK__" localSheetId="0" hidden="1">{"fdsup://directions/FAT Viewer?action=UPDATE&amp;creator=factset&amp;DYN_ARGS=TRUE&amp;DOC_NAME=FAT:FQL_AUDITING_CLIENT_TEMPLATE.FAT&amp;display_string=Audit&amp;VAR:KEY=ZUVIRAHWVA&amp;VAR:QUERY=RkZfRElWX1lMRChBTk4sNS8xMi8wNSw1LzEyLzA1KQ==&amp;WINDOW=FIRST_POPUP&amp;HEIGHT=450&amp;WIDTH=450&amp;","START_MAXIMIZED=FALSE&amp;VAR:CALENDAR=US&amp;VAR:SYMBOL=MO&amp;VAR:INDEX=0"}</definedName>
    <definedName name="_830__FDSAUDITLINK__" hidden="1">{"fdsup://directions/FAT Viewer?action=UPDATE&amp;creator=factset&amp;DYN_ARGS=TRUE&amp;DOC_NAME=FAT:FQL_AUDITING_CLIENT_TEMPLATE.FAT&amp;display_string=Audit&amp;VAR:KEY=ZUVIRAHWVA&amp;VAR:QUERY=RkZfRElWX1lMRChBTk4sNS8xMi8wNSw1LzEyLzA1KQ==&amp;WINDOW=FIRST_POPUP&amp;HEIGHT=450&amp;WIDTH=450&amp;","START_MAXIMIZED=FALSE&amp;VAR:CALENDAR=US&amp;VAR:SYMBOL=MO&amp;VAR:INDEX=0"}</definedName>
    <definedName name="_831">#REF!</definedName>
    <definedName name="_831__FDSAUDITLINK__" localSheetId="0" hidden="1">{"fdsup://directions/FAT Viewer?action=UPDATE&amp;creator=factset&amp;DYN_ARGS=TRUE&amp;DOC_NAME=FAT:FQL_AUDITING_CLIENT_TEMPLATE.FAT&amp;display_string=Audit&amp;VAR:KEY=BIJMPAHQVA&amp;VAR:QUERY=RkZfRElWX1lMRChBTk4sNS8wNS8wNSw1LzA1LzA1KQ==&amp;WINDOW=FIRST_POPUP&amp;HEIGHT=450&amp;WIDTH=450&amp;","START_MAXIMIZED=FALSE&amp;VAR:CALENDAR=US&amp;VAR:SYMBOL=MO&amp;VAR:INDEX=0"}</definedName>
    <definedName name="_831__FDSAUDITLINK__" hidden="1">{"fdsup://directions/FAT Viewer?action=UPDATE&amp;creator=factset&amp;DYN_ARGS=TRUE&amp;DOC_NAME=FAT:FQL_AUDITING_CLIENT_TEMPLATE.FAT&amp;display_string=Audit&amp;VAR:KEY=BIJMPAHQVA&amp;VAR:QUERY=RkZfRElWX1lMRChBTk4sNS8wNS8wNSw1LzA1LzA1KQ==&amp;WINDOW=FIRST_POPUP&amp;HEIGHT=450&amp;WIDTH=450&amp;","START_MAXIMIZED=FALSE&amp;VAR:CALENDAR=US&amp;VAR:SYMBOL=MO&amp;VAR:INDEX=0"}</definedName>
    <definedName name="_832__FDSAUDITLINK__" localSheetId="0" hidden="1">{"fdsup://directions/FAT Viewer?action=UPDATE&amp;creator=factset&amp;DYN_ARGS=TRUE&amp;DOC_NAME=FAT:FQL_AUDITING_CLIENT_TEMPLATE.FAT&amp;display_string=Audit&amp;VAR:KEY=XCZCJOLKTE&amp;VAR:QUERY=RkZfRElWX1lMRChBTk4sNC8yOC8wNSw0LzI4LzA1KQ==&amp;WINDOW=FIRST_POPUP&amp;HEIGHT=450&amp;WIDTH=450&amp;","START_MAXIMIZED=FALSE&amp;VAR:CALENDAR=US&amp;VAR:SYMBOL=MO&amp;VAR:INDEX=0"}</definedName>
    <definedName name="_832__FDSAUDITLINK__" hidden="1">{"fdsup://directions/FAT Viewer?action=UPDATE&amp;creator=factset&amp;DYN_ARGS=TRUE&amp;DOC_NAME=FAT:FQL_AUDITING_CLIENT_TEMPLATE.FAT&amp;display_string=Audit&amp;VAR:KEY=XCZCJOLKTE&amp;VAR:QUERY=RkZfRElWX1lMRChBTk4sNC8yOC8wNSw0LzI4LzA1KQ==&amp;WINDOW=FIRST_POPUP&amp;HEIGHT=450&amp;WIDTH=450&amp;","START_MAXIMIZED=FALSE&amp;VAR:CALENDAR=US&amp;VAR:SYMBOL=MO&amp;VAR:INDEX=0"}</definedName>
    <definedName name="_833">#REF!</definedName>
    <definedName name="_833__FDSAUDITLINK__" localSheetId="0" hidden="1">{"fdsup://directions/FAT Viewer?action=UPDATE&amp;creator=factset&amp;DYN_ARGS=TRUE&amp;DOC_NAME=FAT:FQL_AUDITING_CLIENT_TEMPLATE.FAT&amp;display_string=Audit&amp;VAR:KEY=PYPSNILCHQ&amp;VAR:QUERY=RkZfRElWX1lMRChBTk4sNC8yMS8wNSw0LzIxLzA1KQ==&amp;WINDOW=FIRST_POPUP&amp;HEIGHT=450&amp;WIDTH=450&amp;","START_MAXIMIZED=FALSE&amp;VAR:CALENDAR=US&amp;VAR:SYMBOL=MO&amp;VAR:INDEX=0"}</definedName>
    <definedName name="_833__FDSAUDITLINK__" hidden="1">{"fdsup://directions/FAT Viewer?action=UPDATE&amp;creator=factset&amp;DYN_ARGS=TRUE&amp;DOC_NAME=FAT:FQL_AUDITING_CLIENT_TEMPLATE.FAT&amp;display_string=Audit&amp;VAR:KEY=PYPSNILCHQ&amp;VAR:QUERY=RkZfRElWX1lMRChBTk4sNC8yMS8wNSw0LzIxLzA1KQ==&amp;WINDOW=FIRST_POPUP&amp;HEIGHT=450&amp;WIDTH=450&amp;","START_MAXIMIZED=FALSE&amp;VAR:CALENDAR=US&amp;VAR:SYMBOL=MO&amp;VAR:INDEX=0"}</definedName>
    <definedName name="_834">#REF!</definedName>
    <definedName name="_834__FDSAUDITLINK__" localSheetId="0" hidden="1">{"fdsup://directions/FAT Viewer?action=UPDATE&amp;creator=factset&amp;DYN_ARGS=TRUE&amp;DOC_NAME=FAT:FQL_AUDITING_CLIENT_TEMPLATE.FAT&amp;display_string=Audit&amp;VAR:KEY=RIPIJWBSZK&amp;VAR:QUERY=RkZfRElWX1lMRChBTk4sNC8xNC8wNSw0LzE0LzA1KQ==&amp;WINDOW=FIRST_POPUP&amp;HEIGHT=450&amp;WIDTH=450&amp;","START_MAXIMIZED=FALSE&amp;VAR:CALENDAR=US&amp;VAR:SYMBOL=MO&amp;VAR:INDEX=0"}</definedName>
    <definedName name="_834__FDSAUDITLINK__" hidden="1">{"fdsup://directions/FAT Viewer?action=UPDATE&amp;creator=factset&amp;DYN_ARGS=TRUE&amp;DOC_NAME=FAT:FQL_AUDITING_CLIENT_TEMPLATE.FAT&amp;display_string=Audit&amp;VAR:KEY=RIPIJWBSZK&amp;VAR:QUERY=RkZfRElWX1lMRChBTk4sNC8xNC8wNSw0LzE0LzA1KQ==&amp;WINDOW=FIRST_POPUP&amp;HEIGHT=450&amp;WIDTH=450&amp;","START_MAXIMIZED=FALSE&amp;VAR:CALENDAR=US&amp;VAR:SYMBOL=MO&amp;VAR:INDEX=0"}</definedName>
    <definedName name="_835">#REF!</definedName>
    <definedName name="_835__FDSAUDITLINK__" localSheetId="0" hidden="1">{"fdsup://directions/FAT Viewer?action=UPDATE&amp;creator=factset&amp;DYN_ARGS=TRUE&amp;DOC_NAME=FAT:FQL_AUDITING_CLIENT_TEMPLATE.FAT&amp;display_string=Audit&amp;VAR:KEY=ZOFQDOHKXG&amp;VAR:QUERY=RkZfRElWX1lMRChBTk4sNC8wNy8wNSw0LzA3LzA1KQ==&amp;WINDOW=FIRST_POPUP&amp;HEIGHT=450&amp;WIDTH=450&amp;","START_MAXIMIZED=FALSE&amp;VAR:CALENDAR=US&amp;VAR:SYMBOL=MO&amp;VAR:INDEX=0"}</definedName>
    <definedName name="_835__FDSAUDITLINK__" hidden="1">{"fdsup://directions/FAT Viewer?action=UPDATE&amp;creator=factset&amp;DYN_ARGS=TRUE&amp;DOC_NAME=FAT:FQL_AUDITING_CLIENT_TEMPLATE.FAT&amp;display_string=Audit&amp;VAR:KEY=ZOFQDOHKXG&amp;VAR:QUERY=RkZfRElWX1lMRChBTk4sNC8wNy8wNSw0LzA3LzA1KQ==&amp;WINDOW=FIRST_POPUP&amp;HEIGHT=450&amp;WIDTH=450&amp;","START_MAXIMIZED=FALSE&amp;VAR:CALENDAR=US&amp;VAR:SYMBOL=MO&amp;VAR:INDEX=0"}</definedName>
    <definedName name="_836">#REF!</definedName>
    <definedName name="_836__FDSAUDITLINK__" localSheetId="0" hidden="1">{"fdsup://directions/FAT Viewer?action=UPDATE&amp;creator=factset&amp;DYN_ARGS=TRUE&amp;DOC_NAME=FAT:FQL_AUDITING_CLIENT_TEMPLATE.FAT&amp;display_string=Audit&amp;VAR:KEY=PKFGVAPKTS&amp;VAR:QUERY=RkZfRElWX1lMRChBTk4sMy8zMS8wNSwzLzMxLzA1KQ==&amp;WINDOW=FIRST_POPUP&amp;HEIGHT=450&amp;WIDTH=450&amp;","START_MAXIMIZED=FALSE&amp;VAR:CALENDAR=US&amp;VAR:SYMBOL=MO&amp;VAR:INDEX=0"}</definedName>
    <definedName name="_836__FDSAUDITLINK__" hidden="1">{"fdsup://directions/FAT Viewer?action=UPDATE&amp;creator=factset&amp;DYN_ARGS=TRUE&amp;DOC_NAME=FAT:FQL_AUDITING_CLIENT_TEMPLATE.FAT&amp;display_string=Audit&amp;VAR:KEY=PKFGVAPKTS&amp;VAR:QUERY=RkZfRElWX1lMRChBTk4sMy8zMS8wNSwzLzMxLzA1KQ==&amp;WINDOW=FIRST_POPUP&amp;HEIGHT=450&amp;WIDTH=450&amp;","START_MAXIMIZED=FALSE&amp;VAR:CALENDAR=US&amp;VAR:SYMBOL=MO&amp;VAR:INDEX=0"}</definedName>
    <definedName name="_837">#REF!</definedName>
    <definedName name="_837__FDSAUDITLINK__" localSheetId="0" hidden="1">{"fdsup://directions/FAT Viewer?action=UPDATE&amp;creator=factset&amp;DYN_ARGS=TRUE&amp;DOC_NAME=FAT:FQL_AUDITING_CLIENT_TEMPLATE.FAT&amp;display_string=Audit&amp;VAR:KEY=LEBSNKFKPA&amp;VAR:QUERY=RkZfRElWX1lMRChBTk4sMy8yNC8wNSwzLzI0LzA1KQ==&amp;WINDOW=FIRST_POPUP&amp;HEIGHT=450&amp;WIDTH=450&amp;","START_MAXIMIZED=FALSE&amp;VAR:CALENDAR=US&amp;VAR:SYMBOL=MO&amp;VAR:INDEX=0"}</definedName>
    <definedName name="_837__FDSAUDITLINK__" hidden="1">{"fdsup://directions/FAT Viewer?action=UPDATE&amp;creator=factset&amp;DYN_ARGS=TRUE&amp;DOC_NAME=FAT:FQL_AUDITING_CLIENT_TEMPLATE.FAT&amp;display_string=Audit&amp;VAR:KEY=LEBSNKFKPA&amp;VAR:QUERY=RkZfRElWX1lMRChBTk4sMy8yNC8wNSwzLzI0LzA1KQ==&amp;WINDOW=FIRST_POPUP&amp;HEIGHT=450&amp;WIDTH=450&amp;","START_MAXIMIZED=FALSE&amp;VAR:CALENDAR=US&amp;VAR:SYMBOL=MO&amp;VAR:INDEX=0"}</definedName>
    <definedName name="_838">#REF!</definedName>
    <definedName name="_838__FDSAUDITLINK__" localSheetId="0" hidden="1">{"fdsup://directions/FAT Viewer?action=UPDATE&amp;creator=factset&amp;DYN_ARGS=TRUE&amp;DOC_NAME=FAT:FQL_AUDITING_CLIENT_TEMPLATE.FAT&amp;display_string=Audit&amp;VAR:KEY=RCPKJOVUZO&amp;VAR:QUERY=RkZfRElWX1lMRChBTk4sMy8xNy8wNSwzLzE3LzA1KQ==&amp;WINDOW=FIRST_POPUP&amp;HEIGHT=450&amp;WIDTH=450&amp;","START_MAXIMIZED=FALSE&amp;VAR:CALENDAR=US&amp;VAR:SYMBOL=MO&amp;VAR:INDEX=0"}</definedName>
    <definedName name="_838__FDSAUDITLINK__" hidden="1">{"fdsup://directions/FAT Viewer?action=UPDATE&amp;creator=factset&amp;DYN_ARGS=TRUE&amp;DOC_NAME=FAT:FQL_AUDITING_CLIENT_TEMPLATE.FAT&amp;display_string=Audit&amp;VAR:KEY=RCPKJOVUZO&amp;VAR:QUERY=RkZfRElWX1lMRChBTk4sMy8xNy8wNSwzLzE3LzA1KQ==&amp;WINDOW=FIRST_POPUP&amp;HEIGHT=450&amp;WIDTH=450&amp;","START_MAXIMIZED=FALSE&amp;VAR:CALENDAR=US&amp;VAR:SYMBOL=MO&amp;VAR:INDEX=0"}</definedName>
    <definedName name="_839">#REF!</definedName>
    <definedName name="_839__FDSAUDITLINK__" localSheetId="0" hidden="1">{"fdsup://directions/FAT Viewer?action=UPDATE&amp;creator=factset&amp;DYN_ARGS=TRUE&amp;DOC_NAME=FAT:FQL_AUDITING_CLIENT_TEMPLATE.FAT&amp;display_string=Audit&amp;VAR:KEY=VOTYXYZGVY&amp;VAR:QUERY=RkZfRElWX1lMRChBTk4sMy8xMC8wNSwzLzEwLzA1KQ==&amp;WINDOW=FIRST_POPUP&amp;HEIGHT=450&amp;WIDTH=450&amp;","START_MAXIMIZED=FALSE&amp;VAR:CALENDAR=US&amp;VAR:SYMBOL=MO&amp;VAR:INDEX=0"}</definedName>
    <definedName name="_839__FDSAUDITLINK__" hidden="1">{"fdsup://directions/FAT Viewer?action=UPDATE&amp;creator=factset&amp;DYN_ARGS=TRUE&amp;DOC_NAME=FAT:FQL_AUDITING_CLIENT_TEMPLATE.FAT&amp;display_string=Audit&amp;VAR:KEY=VOTYXYZGVY&amp;VAR:QUERY=RkZfRElWX1lMRChBTk4sMy8xMC8wNSwzLzEwLzA1KQ==&amp;WINDOW=FIRST_POPUP&amp;HEIGHT=450&amp;WIDTH=450&amp;","START_MAXIMIZED=FALSE&amp;VAR:CALENDAR=US&amp;VAR:SYMBOL=MO&amp;VAR:INDEX=0"}</definedName>
    <definedName name="_84">#REF!</definedName>
    <definedName name="_84__123Graph_CQRE_S_BY_CO.">#REF!</definedName>
    <definedName name="_84__123Graph_DWAGES_BY_B_U">#REF!</definedName>
    <definedName name="_84__123Graph_FSUPPLIES_BY_B_U">#REF!</definedName>
    <definedName name="_84__FDSAUDITLINK__" localSheetId="0" hidden="1">{"fdsup://directions/FAT Viewer?action=UPDATE&amp;creator=factset&amp;DYN_ARGS=TRUE&amp;DOC_NAME=FAT:FQL_AUDITING_CLIENT_TEMPLATE.FAT&amp;display_string=Audit&amp;VAR:KEY=VENYZIPYXM&amp;VAR:QUERY=RkZfRElWX1lMRChBTk4sOC8yNy8wOSw4LzI3LzA5KQ==&amp;WINDOW=FIRST_POPUP&amp;HEIGHT=450&amp;WIDTH=450&amp;","START_MAXIMIZED=FALSE&amp;VAR:CALENDAR=US&amp;VAR:SYMBOL=RAI&amp;VAR:INDEX=0"}</definedName>
    <definedName name="_84__FDSAUDITLINK__" hidden="1">{"fdsup://directions/FAT Viewer?action=UPDATE&amp;creator=factset&amp;DYN_ARGS=TRUE&amp;DOC_NAME=FAT:FQL_AUDITING_CLIENT_TEMPLATE.FAT&amp;display_string=Audit&amp;VAR:KEY=VENYZIPYXM&amp;VAR:QUERY=RkZfRElWX1lMRChBTk4sOC8yNy8wOSw4LzI3LzA5KQ==&amp;WINDOW=FIRST_POPUP&amp;HEIGHT=450&amp;WIDTH=450&amp;","START_MAXIMIZED=FALSE&amp;VAR:CALENDAR=US&amp;VAR:SYMBOL=RAI&amp;VAR:INDEX=0"}</definedName>
    <definedName name="_84_0_Table2_">#REF!</definedName>
    <definedName name="_840">#REF!</definedName>
    <definedName name="_840__FDSAUDITLINK__" localSheetId="0" hidden="1">{"fdsup://directions/FAT Viewer?action=UPDATE&amp;creator=factset&amp;DYN_ARGS=TRUE&amp;DOC_NAME=FAT:FQL_AUDITING_CLIENT_TEMPLATE.FAT&amp;display_string=Audit&amp;VAR:KEY=HCXOVELEFQ&amp;VAR:QUERY=RkZfRElWX1lMRChBTk4sMy8wMy8wNSwzLzAzLzA1KQ==&amp;WINDOW=FIRST_POPUP&amp;HEIGHT=450&amp;WIDTH=450&amp;","START_MAXIMIZED=FALSE&amp;VAR:CALENDAR=US&amp;VAR:SYMBOL=MO&amp;VAR:INDEX=0"}</definedName>
    <definedName name="_840__FDSAUDITLINK__" hidden="1">{"fdsup://directions/FAT Viewer?action=UPDATE&amp;creator=factset&amp;DYN_ARGS=TRUE&amp;DOC_NAME=FAT:FQL_AUDITING_CLIENT_TEMPLATE.FAT&amp;display_string=Audit&amp;VAR:KEY=HCXOVELEFQ&amp;VAR:QUERY=RkZfRElWX1lMRChBTk4sMy8wMy8wNSwzLzAzLzA1KQ==&amp;WINDOW=FIRST_POPUP&amp;HEIGHT=450&amp;WIDTH=450&amp;","START_MAXIMIZED=FALSE&amp;VAR:CALENDAR=US&amp;VAR:SYMBOL=MO&amp;VAR:INDEX=0"}</definedName>
    <definedName name="_841">#REF!</definedName>
    <definedName name="_841__FDSAUDITLINK__" localSheetId="0" hidden="1">{"fdsup://directions/FAT Viewer?action=UPDATE&amp;creator=factset&amp;DYN_ARGS=TRUE&amp;DOC_NAME=FAT:FQL_AUDITING_CLIENT_TEMPLATE.FAT&amp;display_string=Audit&amp;VAR:KEY=DWJOZKJWJW&amp;VAR:QUERY=RkZfRElWX1lMRChBTk4sMi8yNC8wNSwyLzI0LzA1KQ==&amp;WINDOW=FIRST_POPUP&amp;HEIGHT=450&amp;WIDTH=450&amp;","START_MAXIMIZED=FALSE&amp;VAR:CALENDAR=US&amp;VAR:SYMBOL=MO&amp;VAR:INDEX=0"}</definedName>
    <definedName name="_841__FDSAUDITLINK__" hidden="1">{"fdsup://directions/FAT Viewer?action=UPDATE&amp;creator=factset&amp;DYN_ARGS=TRUE&amp;DOC_NAME=FAT:FQL_AUDITING_CLIENT_TEMPLATE.FAT&amp;display_string=Audit&amp;VAR:KEY=DWJOZKJWJW&amp;VAR:QUERY=RkZfRElWX1lMRChBTk4sMi8yNC8wNSwyLzI0LzA1KQ==&amp;WINDOW=FIRST_POPUP&amp;HEIGHT=450&amp;WIDTH=450&amp;","START_MAXIMIZED=FALSE&amp;VAR:CALENDAR=US&amp;VAR:SYMBOL=MO&amp;VAR:INDEX=0"}</definedName>
    <definedName name="_842">#REF!</definedName>
    <definedName name="_842__FDSAUDITLINK__" localSheetId="0" hidden="1">{"fdsup://directions/FAT Viewer?action=UPDATE&amp;creator=factset&amp;DYN_ARGS=TRUE&amp;DOC_NAME=FAT:FQL_AUDITING_CLIENT_TEMPLATE.FAT&amp;display_string=Audit&amp;VAR:KEY=HQFYBUVOVG&amp;VAR:QUERY=RkZfRElWX1lMRChBTk4sMi8xNy8wNSwyLzE3LzA1KQ==&amp;WINDOW=FIRST_POPUP&amp;HEIGHT=450&amp;WIDTH=450&amp;","START_MAXIMIZED=FALSE&amp;VAR:CALENDAR=US&amp;VAR:SYMBOL=MO&amp;VAR:INDEX=0"}</definedName>
    <definedName name="_842__FDSAUDITLINK__" hidden="1">{"fdsup://directions/FAT Viewer?action=UPDATE&amp;creator=factset&amp;DYN_ARGS=TRUE&amp;DOC_NAME=FAT:FQL_AUDITING_CLIENT_TEMPLATE.FAT&amp;display_string=Audit&amp;VAR:KEY=HQFYBUVOVG&amp;VAR:QUERY=RkZfRElWX1lMRChBTk4sMi8xNy8wNSwyLzE3LzA1KQ==&amp;WINDOW=FIRST_POPUP&amp;HEIGHT=450&amp;WIDTH=450&amp;","START_MAXIMIZED=FALSE&amp;VAR:CALENDAR=US&amp;VAR:SYMBOL=MO&amp;VAR:INDEX=0"}</definedName>
    <definedName name="_843">#REF!</definedName>
    <definedName name="_843__FDSAUDITLINK__" localSheetId="0" hidden="1">{"fdsup://directions/FAT Viewer?action=UPDATE&amp;creator=factset&amp;DYN_ARGS=TRUE&amp;DOC_NAME=FAT:FQL_AUDITING_CLIENT_TEMPLATE.FAT&amp;display_string=Audit&amp;VAR:KEY=XYNWTKJCFI&amp;VAR:QUERY=RkZfRElWX1lMRChBTk4sMi8xMC8wNSwyLzEwLzA1KQ==&amp;WINDOW=FIRST_POPUP&amp;HEIGHT=450&amp;WIDTH=450&amp;","START_MAXIMIZED=FALSE&amp;VAR:CALENDAR=US&amp;VAR:SYMBOL=MO&amp;VAR:INDEX=0"}</definedName>
    <definedName name="_843__FDSAUDITLINK__" hidden="1">{"fdsup://directions/FAT Viewer?action=UPDATE&amp;creator=factset&amp;DYN_ARGS=TRUE&amp;DOC_NAME=FAT:FQL_AUDITING_CLIENT_TEMPLATE.FAT&amp;display_string=Audit&amp;VAR:KEY=XYNWTKJCFI&amp;VAR:QUERY=RkZfRElWX1lMRChBTk4sMi8xMC8wNSwyLzEwLzA1KQ==&amp;WINDOW=FIRST_POPUP&amp;HEIGHT=450&amp;WIDTH=450&amp;","START_MAXIMIZED=FALSE&amp;VAR:CALENDAR=US&amp;VAR:SYMBOL=MO&amp;VAR:INDEX=0"}</definedName>
    <definedName name="_844">#REF!</definedName>
    <definedName name="_844__FDSAUDITLINK__" localSheetId="0" hidden="1">{"fdsup://directions/FAT Viewer?action=UPDATE&amp;creator=factset&amp;DYN_ARGS=TRUE&amp;DOC_NAME=FAT:FQL_AUDITING_CLIENT_TEMPLATE.FAT&amp;display_string=Audit&amp;VAR:KEY=RKPKJAPMRO&amp;VAR:QUERY=RkZfRElWX1lMRChBTk4sMi8wMy8wNSwyLzAzLzA1KQ==&amp;WINDOW=FIRST_POPUP&amp;HEIGHT=450&amp;WIDTH=450&amp;","START_MAXIMIZED=FALSE&amp;VAR:CALENDAR=US&amp;VAR:SYMBOL=MO&amp;VAR:INDEX=0"}</definedName>
    <definedName name="_844__FDSAUDITLINK__" hidden="1">{"fdsup://directions/FAT Viewer?action=UPDATE&amp;creator=factset&amp;DYN_ARGS=TRUE&amp;DOC_NAME=FAT:FQL_AUDITING_CLIENT_TEMPLATE.FAT&amp;display_string=Audit&amp;VAR:KEY=RKPKJAPMRO&amp;VAR:QUERY=RkZfRElWX1lMRChBTk4sMi8wMy8wNSwyLzAzLzA1KQ==&amp;WINDOW=FIRST_POPUP&amp;HEIGHT=450&amp;WIDTH=450&amp;","START_MAXIMIZED=FALSE&amp;VAR:CALENDAR=US&amp;VAR:SYMBOL=MO&amp;VAR:INDEX=0"}</definedName>
    <definedName name="_845">#REF!</definedName>
    <definedName name="_845__FDSAUDITLINK__" localSheetId="0" hidden="1">{"fdsup://directions/FAT Viewer?action=UPDATE&amp;creator=factset&amp;DYN_ARGS=TRUE&amp;DOC_NAME=FAT:FQL_AUDITING_CLIENT_TEMPLATE.FAT&amp;display_string=Audit&amp;VAR:KEY=ZYXCTKNOHA&amp;VAR:QUERY=RkZfRElWX1lMRChBTk4sMS8yNy8wNSwxLzI3LzA1KQ==&amp;WINDOW=FIRST_POPUP&amp;HEIGHT=450&amp;WIDTH=450&amp;","START_MAXIMIZED=FALSE&amp;VAR:CALENDAR=US&amp;VAR:SYMBOL=MO&amp;VAR:INDEX=0"}</definedName>
    <definedName name="_845__FDSAUDITLINK__" hidden="1">{"fdsup://directions/FAT Viewer?action=UPDATE&amp;creator=factset&amp;DYN_ARGS=TRUE&amp;DOC_NAME=FAT:FQL_AUDITING_CLIENT_TEMPLATE.FAT&amp;display_string=Audit&amp;VAR:KEY=ZYXCTKNOHA&amp;VAR:QUERY=RkZfRElWX1lMRChBTk4sMS8yNy8wNSwxLzI3LzA1KQ==&amp;WINDOW=FIRST_POPUP&amp;HEIGHT=450&amp;WIDTH=450&amp;","START_MAXIMIZED=FALSE&amp;VAR:CALENDAR=US&amp;VAR:SYMBOL=MO&amp;VAR:INDEX=0"}</definedName>
    <definedName name="_846">#REF!</definedName>
    <definedName name="_846__FDSAUDITLINK__" localSheetId="0" hidden="1">{"fdsup://directions/FAT Viewer?action=UPDATE&amp;creator=factset&amp;DYN_ARGS=TRUE&amp;DOC_NAME=FAT:FQL_AUDITING_CLIENT_TEMPLATE.FAT&amp;display_string=Audit&amp;VAR:KEY=JQPKLSJGZO&amp;VAR:QUERY=RkZfRElWX1lMRChBTk4sMS8yMC8wNSwxLzIwLzA1KQ==&amp;WINDOW=FIRST_POPUP&amp;HEIGHT=450&amp;WIDTH=450&amp;","START_MAXIMIZED=FALSE&amp;VAR:CALENDAR=US&amp;VAR:SYMBOL=MO&amp;VAR:INDEX=0"}</definedName>
    <definedName name="_846__FDSAUDITLINK__" hidden="1">{"fdsup://directions/FAT Viewer?action=UPDATE&amp;creator=factset&amp;DYN_ARGS=TRUE&amp;DOC_NAME=FAT:FQL_AUDITING_CLIENT_TEMPLATE.FAT&amp;display_string=Audit&amp;VAR:KEY=JQPKLSJGZO&amp;VAR:QUERY=RkZfRElWX1lMRChBTk4sMS8yMC8wNSwxLzIwLzA1KQ==&amp;WINDOW=FIRST_POPUP&amp;HEIGHT=450&amp;WIDTH=450&amp;","START_MAXIMIZED=FALSE&amp;VAR:CALENDAR=US&amp;VAR:SYMBOL=MO&amp;VAR:INDEX=0"}</definedName>
    <definedName name="_847">#REF!</definedName>
    <definedName name="_847__FDSAUDITLINK__" localSheetId="0" hidden="1">{"fdsup://directions/FAT Viewer?action=UPDATE&amp;creator=factset&amp;DYN_ARGS=TRUE&amp;DOC_NAME=FAT:FQL_AUDITING_CLIENT_TEMPLATE.FAT&amp;display_string=Audit&amp;VAR:KEY=VYZQJOHMPW&amp;VAR:QUERY=RkZfRElWX1lMRChBTk4sMS8xMy8wNSwxLzEzLzA1KQ==&amp;WINDOW=FIRST_POPUP&amp;HEIGHT=450&amp;WIDTH=450&amp;","START_MAXIMIZED=FALSE&amp;VAR:CALENDAR=US&amp;VAR:SYMBOL=MO&amp;VAR:INDEX=0"}</definedName>
    <definedName name="_847__FDSAUDITLINK__" hidden="1">{"fdsup://directions/FAT Viewer?action=UPDATE&amp;creator=factset&amp;DYN_ARGS=TRUE&amp;DOC_NAME=FAT:FQL_AUDITING_CLIENT_TEMPLATE.FAT&amp;display_string=Audit&amp;VAR:KEY=VYZQJOHMPW&amp;VAR:QUERY=RkZfRElWX1lMRChBTk4sMS8xMy8wNSwxLzEzLzA1KQ==&amp;WINDOW=FIRST_POPUP&amp;HEIGHT=450&amp;WIDTH=450&amp;","START_MAXIMIZED=FALSE&amp;VAR:CALENDAR=US&amp;VAR:SYMBOL=MO&amp;VAR:INDEX=0"}</definedName>
    <definedName name="_848">#REF!</definedName>
    <definedName name="_848__FDSAUDITLINK__" localSheetId="0" hidden="1">{"fdsup://directions/FAT Viewer?action=UPDATE&amp;creator=factset&amp;DYN_ARGS=TRUE&amp;DOC_NAME=FAT:FQL_AUDITING_CLIENT_TEMPLATE.FAT&amp;display_string=Audit&amp;VAR:KEY=DQNKBKTSJG&amp;VAR:QUERY=RkZfRElWX1lMRChBTk4sMS8wNi8wNSwxLzA2LzA1KQ==&amp;WINDOW=FIRST_POPUP&amp;HEIGHT=450&amp;WIDTH=450&amp;","START_MAXIMIZED=FALSE&amp;VAR:CALENDAR=US&amp;VAR:SYMBOL=MO&amp;VAR:INDEX=0"}</definedName>
    <definedName name="_848__FDSAUDITLINK__" hidden="1">{"fdsup://directions/FAT Viewer?action=UPDATE&amp;creator=factset&amp;DYN_ARGS=TRUE&amp;DOC_NAME=FAT:FQL_AUDITING_CLIENT_TEMPLATE.FAT&amp;display_string=Audit&amp;VAR:KEY=DQNKBKTSJG&amp;VAR:QUERY=RkZfRElWX1lMRChBTk4sMS8wNi8wNSwxLzA2LzA1KQ==&amp;WINDOW=FIRST_POPUP&amp;HEIGHT=450&amp;WIDTH=450&amp;","START_MAXIMIZED=FALSE&amp;VAR:CALENDAR=US&amp;VAR:SYMBOL=MO&amp;VAR:INDEX=0"}</definedName>
    <definedName name="_849">#REF!</definedName>
    <definedName name="_849__FDSAUDITLINK__" localSheetId="0" hidden="1">{"fdsup://directions/FAT Viewer?action=UPDATE&amp;creator=factset&amp;DYN_ARGS=TRUE&amp;DOC_NAME=FAT:FQL_AUDITING_CLIENT_TEMPLATE.FAT&amp;display_string=Audit&amp;VAR:KEY=DMDSXSZAJS&amp;VAR:QUERY=RkZfRElWX1lMRChBTk4sMTIvMzAvMDQsMTIvMzAvMDQp&amp;WINDOW=FIRST_POPUP&amp;HEIGHT=450&amp;WIDTH=450&amp;","START_MAXIMIZED=FALSE&amp;VAR:CALENDAR=US&amp;VAR:SYMBOL=MO&amp;VAR:INDEX=0"}</definedName>
    <definedName name="_849__FDSAUDITLINK__" hidden="1">{"fdsup://directions/FAT Viewer?action=UPDATE&amp;creator=factset&amp;DYN_ARGS=TRUE&amp;DOC_NAME=FAT:FQL_AUDITING_CLIENT_TEMPLATE.FAT&amp;display_string=Audit&amp;VAR:KEY=DMDSXSZAJS&amp;VAR:QUERY=RkZfRElWX1lMRChBTk4sMTIvMzAvMDQsMTIvMzAvMDQp&amp;WINDOW=FIRST_POPUP&amp;HEIGHT=450&amp;WIDTH=450&amp;","START_MAXIMIZED=FALSE&amp;VAR:CALENDAR=US&amp;VAR:SYMBOL=MO&amp;VAR:INDEX=0"}</definedName>
    <definedName name="_85">#REF!</definedName>
    <definedName name="_85__123Graph_CQRE_S_BY_CO.">#REF!</definedName>
    <definedName name="_85__123Graph_LBL_ACHART_3">#REF!</definedName>
    <definedName name="_85__FDSAUDITLINK__" localSheetId="0" hidden="1">{"fdsup://directions/FAT Viewer?action=UPDATE&amp;creator=factset&amp;DYN_ARGS=TRUE&amp;DOC_NAME=FAT:FQL_AUDITING_CLIENT_TEMPLATE.FAT&amp;display_string=Audit&amp;VAR:KEY=FMHIFQZUXY&amp;VAR:QUERY=RkZfRElWX1lMRChBTk4sOC8yMC8wOSw4LzIwLzA5KQ==&amp;WINDOW=FIRST_POPUP&amp;HEIGHT=450&amp;WIDTH=450&amp;","START_MAXIMIZED=FALSE&amp;VAR:CALENDAR=US&amp;VAR:SYMBOL=RAI&amp;VAR:INDEX=0"}</definedName>
    <definedName name="_85__FDSAUDITLINK__" hidden="1">{"fdsup://directions/FAT Viewer?action=UPDATE&amp;creator=factset&amp;DYN_ARGS=TRUE&amp;DOC_NAME=FAT:FQL_AUDITING_CLIENT_TEMPLATE.FAT&amp;display_string=Audit&amp;VAR:KEY=FMHIFQZUXY&amp;VAR:QUERY=RkZfRElWX1lMRChBTk4sOC8yMC8wOSw4LzIwLzA5KQ==&amp;WINDOW=FIRST_POPUP&amp;HEIGHT=450&amp;WIDTH=450&amp;","START_MAXIMIZED=FALSE&amp;VAR:CALENDAR=US&amp;VAR:SYMBOL=RAI&amp;VAR:INDEX=0"}</definedName>
    <definedName name="_850">#REF!</definedName>
    <definedName name="_850__FDSAUDITLINK__" localSheetId="0" hidden="1">{"fdsup://directions/FAT Viewer?action=UPDATE&amp;creator=factset&amp;DYN_ARGS=TRUE&amp;DOC_NAME=FAT:FQL_AUDITING_CLIENT_TEMPLATE.FAT&amp;display_string=Audit&amp;VAR:KEY=RWJSBWZMPE&amp;VAR:QUERY=RkZfRElWX1lMRChBTk4sMTIvMjMvMDQsMTIvMjMvMDQp&amp;WINDOW=FIRST_POPUP&amp;HEIGHT=450&amp;WIDTH=450&amp;","START_MAXIMIZED=FALSE&amp;VAR:CALENDAR=US&amp;VAR:SYMBOL=MO&amp;VAR:INDEX=0"}</definedName>
    <definedName name="_850__FDSAUDITLINK__" hidden="1">{"fdsup://directions/FAT Viewer?action=UPDATE&amp;creator=factset&amp;DYN_ARGS=TRUE&amp;DOC_NAME=FAT:FQL_AUDITING_CLIENT_TEMPLATE.FAT&amp;display_string=Audit&amp;VAR:KEY=RWJSBWZMPE&amp;VAR:QUERY=RkZfRElWX1lMRChBTk4sMTIvMjMvMDQsMTIvMjMvMDQp&amp;WINDOW=FIRST_POPUP&amp;HEIGHT=450&amp;WIDTH=450&amp;","START_MAXIMIZED=FALSE&amp;VAR:CALENDAR=US&amp;VAR:SYMBOL=MO&amp;VAR:INDEX=0"}</definedName>
    <definedName name="_851__FDSAUDITLINK__" localSheetId="0" hidden="1">{"fdsup://directions/FAT Viewer?action=UPDATE&amp;creator=factset&amp;DYN_ARGS=TRUE&amp;DOC_NAME=FAT:FQL_AUDITING_CLIENT_TEMPLATE.FAT&amp;display_string=Audit&amp;VAR:KEY=ZSHQHCTSRC&amp;VAR:QUERY=RkZfRElWX1lMRChBTk4sMTIvMTYvMDQsMTIvMTYvMDQp&amp;WINDOW=FIRST_POPUP&amp;HEIGHT=450&amp;WIDTH=450&amp;","START_MAXIMIZED=FALSE&amp;VAR:CALENDAR=US&amp;VAR:SYMBOL=MO&amp;VAR:INDEX=0"}</definedName>
    <definedName name="_851__FDSAUDITLINK__" hidden="1">{"fdsup://directions/FAT Viewer?action=UPDATE&amp;creator=factset&amp;DYN_ARGS=TRUE&amp;DOC_NAME=FAT:FQL_AUDITING_CLIENT_TEMPLATE.FAT&amp;display_string=Audit&amp;VAR:KEY=ZSHQHCTSRC&amp;VAR:QUERY=RkZfRElWX1lMRChBTk4sMTIvMTYvMDQsMTIvMTYvMDQp&amp;WINDOW=FIRST_POPUP&amp;HEIGHT=450&amp;WIDTH=450&amp;","START_MAXIMIZED=FALSE&amp;VAR:CALENDAR=US&amp;VAR:SYMBOL=MO&amp;VAR:INDEX=0"}</definedName>
    <definedName name="_852__FDSAUDITLINK__" localSheetId="0" hidden="1">{"fdsup://directions/FAT Viewer?action=UPDATE&amp;creator=factset&amp;DYN_ARGS=TRUE&amp;DOC_NAME=FAT:FQL_AUDITING_CLIENT_TEMPLATE.FAT&amp;display_string=Audit&amp;VAR:KEY=BCJONIJSXY&amp;VAR:QUERY=RkZfRElWX1lMRChBTk4sMTIvMDkvMDQsMTIvMDkvMDQp&amp;WINDOW=FIRST_POPUP&amp;HEIGHT=450&amp;WIDTH=450&amp;","START_MAXIMIZED=FALSE&amp;VAR:CALENDAR=US&amp;VAR:SYMBOL=MO&amp;VAR:INDEX=0"}</definedName>
    <definedName name="_852__FDSAUDITLINK__" hidden="1">{"fdsup://directions/FAT Viewer?action=UPDATE&amp;creator=factset&amp;DYN_ARGS=TRUE&amp;DOC_NAME=FAT:FQL_AUDITING_CLIENT_TEMPLATE.FAT&amp;display_string=Audit&amp;VAR:KEY=BCJONIJSXY&amp;VAR:QUERY=RkZfRElWX1lMRChBTk4sMTIvMDkvMDQsMTIvMDkvMDQp&amp;WINDOW=FIRST_POPUP&amp;HEIGHT=450&amp;WIDTH=450&amp;","START_MAXIMIZED=FALSE&amp;VAR:CALENDAR=US&amp;VAR:SYMBOL=MO&amp;VAR:INDEX=0"}</definedName>
    <definedName name="_853__FDSAUDITLINK__" localSheetId="0" hidden="1">{"fdsup://directions/FAT Viewer?action=UPDATE&amp;creator=factset&amp;DYN_ARGS=TRUE&amp;DOC_NAME=FAT:FQL_AUDITING_CLIENT_TEMPLATE.FAT&amp;display_string=Audit&amp;VAR:KEY=NIVSBCNWJS&amp;VAR:QUERY=RkZfRElWX1lMRChBTk4sMTIvMDIvMDQsMTIvMDIvMDQp&amp;WINDOW=FIRST_POPUP&amp;HEIGHT=450&amp;WIDTH=450&amp;","START_MAXIMIZED=FALSE&amp;VAR:CALENDAR=US&amp;VAR:SYMBOL=MO&amp;VAR:INDEX=0"}</definedName>
    <definedName name="_853__FDSAUDITLINK__" hidden="1">{"fdsup://directions/FAT Viewer?action=UPDATE&amp;creator=factset&amp;DYN_ARGS=TRUE&amp;DOC_NAME=FAT:FQL_AUDITING_CLIENT_TEMPLATE.FAT&amp;display_string=Audit&amp;VAR:KEY=NIVSBCNWJS&amp;VAR:QUERY=RkZfRElWX1lMRChBTk4sMTIvMDIvMDQsMTIvMDIvMDQp&amp;WINDOW=FIRST_POPUP&amp;HEIGHT=450&amp;WIDTH=450&amp;","START_MAXIMIZED=FALSE&amp;VAR:CALENDAR=US&amp;VAR:SYMBOL=MO&amp;VAR:INDEX=0"}</definedName>
    <definedName name="_854__FDSAUDITLINK__" localSheetId="0" hidden="1">{"fdsup://directions/FAT Viewer?action=UPDATE&amp;creator=factset&amp;DYN_ARGS=TRUE&amp;DOC_NAME=FAT:FQL_AUDITING_CLIENT_TEMPLATE.FAT&amp;display_string=Audit&amp;VAR:KEY=RYFADYBMVQ&amp;VAR:QUERY=RkZfRElWX1lMRChBTk4sMTEvMjQvMDQsMTEvMjQvMDQp&amp;WINDOW=FIRST_POPUP&amp;HEIGHT=450&amp;WIDTH=450&amp;","START_MAXIMIZED=FALSE&amp;VAR:CALENDAR=US&amp;VAR:SYMBOL=MO&amp;VAR:INDEX=0"}</definedName>
    <definedName name="_854__FDSAUDITLINK__" hidden="1">{"fdsup://directions/FAT Viewer?action=UPDATE&amp;creator=factset&amp;DYN_ARGS=TRUE&amp;DOC_NAME=FAT:FQL_AUDITING_CLIENT_TEMPLATE.FAT&amp;display_string=Audit&amp;VAR:KEY=RYFADYBMVQ&amp;VAR:QUERY=RkZfRElWX1lMRChBTk4sMTEvMjQvMDQsMTEvMjQvMDQp&amp;WINDOW=FIRST_POPUP&amp;HEIGHT=450&amp;WIDTH=450&amp;","START_MAXIMIZED=FALSE&amp;VAR:CALENDAR=US&amp;VAR:SYMBOL=MO&amp;VAR:INDEX=0"}</definedName>
    <definedName name="_855">#REF!</definedName>
    <definedName name="_855__FDSAUDITLINK__" localSheetId="0" hidden="1">{"fdsup://directions/FAT Viewer?action=UPDATE&amp;creator=factset&amp;DYN_ARGS=TRUE&amp;DOC_NAME=FAT:FQL_AUDITING_CLIENT_TEMPLATE.FAT&amp;display_string=Audit&amp;VAR:KEY=PABURATIBQ&amp;VAR:QUERY=RkZfRElWX1lMRChBTk4sMTEvMTgvMDQsMTEvMTgvMDQp&amp;WINDOW=FIRST_POPUP&amp;HEIGHT=450&amp;WIDTH=450&amp;","START_MAXIMIZED=FALSE&amp;VAR:CALENDAR=US&amp;VAR:SYMBOL=MO&amp;VAR:INDEX=0"}</definedName>
    <definedName name="_855__FDSAUDITLINK__" hidden="1">{"fdsup://directions/FAT Viewer?action=UPDATE&amp;creator=factset&amp;DYN_ARGS=TRUE&amp;DOC_NAME=FAT:FQL_AUDITING_CLIENT_TEMPLATE.FAT&amp;display_string=Audit&amp;VAR:KEY=PABURATIBQ&amp;VAR:QUERY=RkZfRElWX1lMRChBTk4sMTEvMTgvMDQsMTEvMTgvMDQp&amp;WINDOW=FIRST_POPUP&amp;HEIGHT=450&amp;WIDTH=450&amp;","START_MAXIMIZED=FALSE&amp;VAR:CALENDAR=US&amp;VAR:SYMBOL=MO&amp;VAR:INDEX=0"}</definedName>
    <definedName name="_856">#REF!</definedName>
    <definedName name="_856__FDSAUDITLINK__" localSheetId="0" hidden="1">{"fdsup://directions/FAT Viewer?action=UPDATE&amp;creator=factset&amp;DYN_ARGS=TRUE&amp;DOC_NAME=FAT:FQL_AUDITING_CLIENT_TEMPLATE.FAT&amp;display_string=Audit&amp;VAR:KEY=HQHELEJQZI&amp;VAR:QUERY=RkZfRElWX1lMRChBTk4sMTEvMTEvMDQsMTEvMTEvMDQp&amp;WINDOW=FIRST_POPUP&amp;HEIGHT=450&amp;WIDTH=450&amp;","START_MAXIMIZED=FALSE&amp;VAR:CALENDAR=US&amp;VAR:SYMBOL=MO&amp;VAR:INDEX=0"}</definedName>
    <definedName name="_856__FDSAUDITLINK__" hidden="1">{"fdsup://directions/FAT Viewer?action=UPDATE&amp;creator=factset&amp;DYN_ARGS=TRUE&amp;DOC_NAME=FAT:FQL_AUDITING_CLIENT_TEMPLATE.FAT&amp;display_string=Audit&amp;VAR:KEY=HQHELEJQZI&amp;VAR:QUERY=RkZfRElWX1lMRChBTk4sMTEvMTEvMDQsMTEvMTEvMDQp&amp;WINDOW=FIRST_POPUP&amp;HEIGHT=450&amp;WIDTH=450&amp;","START_MAXIMIZED=FALSE&amp;VAR:CALENDAR=US&amp;VAR:SYMBOL=MO&amp;VAR:INDEX=0"}</definedName>
    <definedName name="_857">#REF!</definedName>
    <definedName name="_857__FDSAUDITLINK__" localSheetId="0" hidden="1">{"fdsup://directions/FAT Viewer?action=UPDATE&amp;creator=factset&amp;DYN_ARGS=TRUE&amp;DOC_NAME=FAT:FQL_AUDITING_CLIENT_TEMPLATE.FAT&amp;display_string=Audit&amp;VAR:KEY=NKXQDUFQPS&amp;VAR:QUERY=RkZfRElWX1lMRChBTk4sMTEvMDQvMDQsMTEvMDQvMDQp&amp;WINDOW=FIRST_POPUP&amp;HEIGHT=450&amp;WIDTH=450&amp;","START_MAXIMIZED=FALSE&amp;VAR:CALENDAR=US&amp;VAR:SYMBOL=MO&amp;VAR:INDEX=0"}</definedName>
    <definedName name="_857__FDSAUDITLINK__" hidden="1">{"fdsup://directions/FAT Viewer?action=UPDATE&amp;creator=factset&amp;DYN_ARGS=TRUE&amp;DOC_NAME=FAT:FQL_AUDITING_CLIENT_TEMPLATE.FAT&amp;display_string=Audit&amp;VAR:KEY=NKXQDUFQPS&amp;VAR:QUERY=RkZfRElWX1lMRChBTk4sMTEvMDQvMDQsMTEvMDQvMDQp&amp;WINDOW=FIRST_POPUP&amp;HEIGHT=450&amp;WIDTH=450&amp;","START_MAXIMIZED=FALSE&amp;VAR:CALENDAR=US&amp;VAR:SYMBOL=MO&amp;VAR:INDEX=0"}</definedName>
    <definedName name="_858">#REF!</definedName>
    <definedName name="_858__FDSAUDITLINK__" localSheetId="0" hidden="1">{"fdsup://directions/FAT Viewer?action=UPDATE&amp;creator=factset&amp;DYN_ARGS=TRUE&amp;DOC_NAME=FAT:FQL_AUDITING_CLIENT_TEMPLATE.FAT&amp;display_string=Audit&amp;VAR:KEY=NGXSXODQPS&amp;VAR:QUERY=RkZfRElWX1lMRChBTk4sMTAvMjgvMDQsMTAvMjgvMDQp&amp;WINDOW=FIRST_POPUP&amp;HEIGHT=450&amp;WIDTH=450&amp;","START_MAXIMIZED=FALSE&amp;VAR:CALENDAR=US&amp;VAR:SYMBOL=MO&amp;VAR:INDEX=0"}</definedName>
    <definedName name="_858__FDSAUDITLINK__" hidden="1">{"fdsup://directions/FAT Viewer?action=UPDATE&amp;creator=factset&amp;DYN_ARGS=TRUE&amp;DOC_NAME=FAT:FQL_AUDITING_CLIENT_TEMPLATE.FAT&amp;display_string=Audit&amp;VAR:KEY=NGXSXODQPS&amp;VAR:QUERY=RkZfRElWX1lMRChBTk4sMTAvMjgvMDQsMTAvMjgvMDQp&amp;WINDOW=FIRST_POPUP&amp;HEIGHT=450&amp;WIDTH=450&amp;","START_MAXIMIZED=FALSE&amp;VAR:CALENDAR=US&amp;VAR:SYMBOL=MO&amp;VAR:INDEX=0"}</definedName>
    <definedName name="_859">#REF!</definedName>
    <definedName name="_859__FDSAUDITLINK__" localSheetId="0" hidden="1">{"fdsup://directions/FAT Viewer?action=UPDATE&amp;creator=factset&amp;DYN_ARGS=TRUE&amp;DOC_NAME=FAT:FQL_AUDITING_CLIENT_TEMPLATE.FAT&amp;display_string=Audit&amp;VAR:KEY=VEJOHYTGVW&amp;VAR:QUERY=RkZfRElWX1lMRChBTk4sMTAvMjEvMDQsMTAvMjEvMDQp&amp;WINDOW=FIRST_POPUP&amp;HEIGHT=450&amp;WIDTH=450&amp;","START_MAXIMIZED=FALSE&amp;VAR:CALENDAR=US&amp;VAR:SYMBOL=MO&amp;VAR:INDEX=0"}</definedName>
    <definedName name="_859__FDSAUDITLINK__" hidden="1">{"fdsup://directions/FAT Viewer?action=UPDATE&amp;creator=factset&amp;DYN_ARGS=TRUE&amp;DOC_NAME=FAT:FQL_AUDITING_CLIENT_TEMPLATE.FAT&amp;display_string=Audit&amp;VAR:KEY=VEJOHYTGVW&amp;VAR:QUERY=RkZfRElWX1lMRChBTk4sMTAvMjEvMDQsMTAvMjEvMDQp&amp;WINDOW=FIRST_POPUP&amp;HEIGHT=450&amp;WIDTH=450&amp;","START_MAXIMIZED=FALSE&amp;VAR:CALENDAR=US&amp;VAR:SYMBOL=MO&amp;VAR:INDEX=0"}</definedName>
    <definedName name="_86">#REF!</definedName>
    <definedName name="_86__123Graph_CWAGES_BY_B_U">#REF!</definedName>
    <definedName name="_86__FDSAUDITLINK__" localSheetId="0" hidden="1">{"fdsup://directions/FAT Viewer?action=UPDATE&amp;creator=factset&amp;DYN_ARGS=TRUE&amp;DOC_NAME=FAT:FQL_AUDITING_CLIENT_TEMPLATE.FAT&amp;display_string=Audit&amp;VAR:KEY=RYDYNIBGTW&amp;VAR:QUERY=RkZfRElWX1lMRChBTk4sOC8xMy8wOSw4LzEzLzA5KQ==&amp;WINDOW=FIRST_POPUP&amp;HEIGHT=450&amp;WIDTH=450&amp;","START_MAXIMIZED=FALSE&amp;VAR:CALENDAR=US&amp;VAR:SYMBOL=RAI&amp;VAR:INDEX=0"}</definedName>
    <definedName name="_86__FDSAUDITLINK__" hidden="1">{"fdsup://directions/FAT Viewer?action=UPDATE&amp;creator=factset&amp;DYN_ARGS=TRUE&amp;DOC_NAME=FAT:FQL_AUDITING_CLIENT_TEMPLATE.FAT&amp;display_string=Audit&amp;VAR:KEY=RYDYNIBGTW&amp;VAR:QUERY=RkZfRElWX1lMRChBTk4sOC8xMy8wOSw4LzEzLzA5KQ==&amp;WINDOW=FIRST_POPUP&amp;HEIGHT=450&amp;WIDTH=450&amp;","START_MAXIMIZED=FALSE&amp;VAR:CALENDAR=US&amp;VAR:SYMBOL=RAI&amp;VAR:INDEX=0"}</definedName>
    <definedName name="_860">#REF!</definedName>
    <definedName name="_860__FDSAUDITLINK__" localSheetId="0" hidden="1">{"fdsup://directions/FAT Viewer?action=UPDATE&amp;creator=factset&amp;DYN_ARGS=TRUE&amp;DOC_NAME=FAT:FQL_AUDITING_CLIENT_TEMPLATE.FAT&amp;display_string=Audit&amp;VAR:KEY=JORSHALADW&amp;VAR:QUERY=RkZfRElWX1lMRChBTk4sMTAvMTQvMDQsMTAvMTQvMDQp&amp;WINDOW=FIRST_POPUP&amp;HEIGHT=450&amp;WIDTH=450&amp;","START_MAXIMIZED=FALSE&amp;VAR:CALENDAR=US&amp;VAR:SYMBOL=MO&amp;VAR:INDEX=0"}</definedName>
    <definedName name="_860__FDSAUDITLINK__" hidden="1">{"fdsup://directions/FAT Viewer?action=UPDATE&amp;creator=factset&amp;DYN_ARGS=TRUE&amp;DOC_NAME=FAT:FQL_AUDITING_CLIENT_TEMPLATE.FAT&amp;display_string=Audit&amp;VAR:KEY=JORSHALADW&amp;VAR:QUERY=RkZfRElWX1lMRChBTk4sMTAvMTQvMDQsMTAvMTQvMDQp&amp;WINDOW=FIRST_POPUP&amp;HEIGHT=450&amp;WIDTH=450&amp;","START_MAXIMIZED=FALSE&amp;VAR:CALENDAR=US&amp;VAR:SYMBOL=MO&amp;VAR:INDEX=0"}</definedName>
    <definedName name="_861">#REF!</definedName>
    <definedName name="_861__FDSAUDITLINK__" localSheetId="0" hidden="1">{"fdsup://directions/FAT Viewer?action=UPDATE&amp;creator=factset&amp;DYN_ARGS=TRUE&amp;DOC_NAME=FAT:FQL_AUDITING_CLIENT_TEMPLATE.FAT&amp;display_string=Audit&amp;VAR:KEY=HIVGBUTGNK&amp;VAR:QUERY=RkZfRElWX1lMRChBTk4sMTAvMDcvMDQsMTAvMDcvMDQp&amp;WINDOW=FIRST_POPUP&amp;HEIGHT=450&amp;WIDTH=450&amp;","START_MAXIMIZED=FALSE&amp;VAR:CALENDAR=US&amp;VAR:SYMBOL=MO&amp;VAR:INDEX=0"}</definedName>
    <definedName name="_861__FDSAUDITLINK__" hidden="1">{"fdsup://directions/FAT Viewer?action=UPDATE&amp;creator=factset&amp;DYN_ARGS=TRUE&amp;DOC_NAME=FAT:FQL_AUDITING_CLIENT_TEMPLATE.FAT&amp;display_string=Audit&amp;VAR:KEY=HIVGBUTGNK&amp;VAR:QUERY=RkZfRElWX1lMRChBTk4sMTAvMDcvMDQsMTAvMDcvMDQp&amp;WINDOW=FIRST_POPUP&amp;HEIGHT=450&amp;WIDTH=450&amp;","START_MAXIMIZED=FALSE&amp;VAR:CALENDAR=US&amp;VAR:SYMBOL=MO&amp;VAR:INDEX=0"}</definedName>
    <definedName name="_862">#REF!</definedName>
    <definedName name="_862__FDSAUDITLINK__" localSheetId="0" hidden="1">{"fdsup://directions/FAT Viewer?action=UPDATE&amp;creator=factset&amp;DYN_ARGS=TRUE&amp;DOC_NAME=FAT:FQL_AUDITING_CLIENT_TEMPLATE.FAT&amp;display_string=Audit&amp;VAR:KEY=BOBCDWRKNY&amp;VAR:QUERY=RkZfRElWX1lMRChBTk4sOS8zMC8wNCw5LzMwLzA0KQ==&amp;WINDOW=FIRST_POPUP&amp;HEIGHT=450&amp;WIDTH=450&amp;","START_MAXIMIZED=FALSE&amp;VAR:CALENDAR=US&amp;VAR:SYMBOL=MO&amp;VAR:INDEX=0"}</definedName>
    <definedName name="_862__FDSAUDITLINK__" hidden="1">{"fdsup://directions/FAT Viewer?action=UPDATE&amp;creator=factset&amp;DYN_ARGS=TRUE&amp;DOC_NAME=FAT:FQL_AUDITING_CLIENT_TEMPLATE.FAT&amp;display_string=Audit&amp;VAR:KEY=BOBCDWRKNY&amp;VAR:QUERY=RkZfRElWX1lMRChBTk4sOS8zMC8wNCw5LzMwLzA0KQ==&amp;WINDOW=FIRST_POPUP&amp;HEIGHT=450&amp;WIDTH=450&amp;","START_MAXIMIZED=FALSE&amp;VAR:CALENDAR=US&amp;VAR:SYMBOL=MO&amp;VAR:INDEX=0"}</definedName>
    <definedName name="_863">#REF!</definedName>
    <definedName name="_863__FDSAUDITLINK__" localSheetId="0" hidden="1">{"fdsup://directions/FAT Viewer?action=UPDATE&amp;creator=factset&amp;DYN_ARGS=TRUE&amp;DOC_NAME=FAT:FQL_AUDITING_CLIENT_TEMPLATE.FAT&amp;display_string=Audit&amp;VAR:KEY=XWNEBMZQRK&amp;VAR:QUERY=RkZfRElWX1lMRChBTk4sOS8yMy8wNCw5LzIzLzA0KQ==&amp;WINDOW=FIRST_POPUP&amp;HEIGHT=450&amp;WIDTH=450&amp;","START_MAXIMIZED=FALSE&amp;VAR:CALENDAR=US&amp;VAR:SYMBOL=MO&amp;VAR:INDEX=0"}</definedName>
    <definedName name="_863__FDSAUDITLINK__" hidden="1">{"fdsup://directions/FAT Viewer?action=UPDATE&amp;creator=factset&amp;DYN_ARGS=TRUE&amp;DOC_NAME=FAT:FQL_AUDITING_CLIENT_TEMPLATE.FAT&amp;display_string=Audit&amp;VAR:KEY=XWNEBMZQRK&amp;VAR:QUERY=RkZfRElWX1lMRChBTk4sOS8yMy8wNCw5LzIzLzA0KQ==&amp;WINDOW=FIRST_POPUP&amp;HEIGHT=450&amp;WIDTH=450&amp;","START_MAXIMIZED=FALSE&amp;VAR:CALENDAR=US&amp;VAR:SYMBOL=MO&amp;VAR:INDEX=0"}</definedName>
    <definedName name="_864">#REF!</definedName>
    <definedName name="_864__FDSAUDITLINK__" localSheetId="0" hidden="1">{"fdsup://directions/FAT Viewer?action=UPDATE&amp;creator=factset&amp;DYN_ARGS=TRUE&amp;DOC_NAME=FAT:FQL_AUDITING_CLIENT_TEMPLATE.FAT&amp;display_string=Audit&amp;VAR:KEY=XGVCRIHULM&amp;VAR:QUERY=RkZfRElWX1lMRChBTk4sOS8xNi8wNCw5LzE2LzA0KQ==&amp;WINDOW=FIRST_POPUP&amp;HEIGHT=450&amp;WIDTH=450&amp;","START_MAXIMIZED=FALSE&amp;VAR:CALENDAR=US&amp;VAR:SYMBOL=MO&amp;VAR:INDEX=0"}</definedName>
    <definedName name="_864__FDSAUDITLINK__" hidden="1">{"fdsup://directions/FAT Viewer?action=UPDATE&amp;creator=factset&amp;DYN_ARGS=TRUE&amp;DOC_NAME=FAT:FQL_AUDITING_CLIENT_TEMPLATE.FAT&amp;display_string=Audit&amp;VAR:KEY=XGVCRIHULM&amp;VAR:QUERY=RkZfRElWX1lMRChBTk4sOS8xNi8wNCw5LzE2LzA0KQ==&amp;WINDOW=FIRST_POPUP&amp;HEIGHT=450&amp;WIDTH=450&amp;","START_MAXIMIZED=FALSE&amp;VAR:CALENDAR=US&amp;VAR:SYMBOL=MO&amp;VAR:INDEX=0"}</definedName>
    <definedName name="_865">#REF!</definedName>
    <definedName name="_865__FDSAUDITLINK__" localSheetId="0" hidden="1">{"fdsup://directions/FAT Viewer?action=UPDATE&amp;creator=factset&amp;DYN_ARGS=TRUE&amp;DOC_NAME=FAT:FQL_AUDITING_CLIENT_TEMPLATE.FAT&amp;display_string=Audit&amp;VAR:KEY=PABSPUXQNM&amp;VAR:QUERY=RkZfRElWX1lMRChBTk4sOS8wOS8wNCw5LzA5LzA0KQ==&amp;WINDOW=FIRST_POPUP&amp;HEIGHT=450&amp;WIDTH=450&amp;","START_MAXIMIZED=FALSE&amp;VAR:CALENDAR=US&amp;VAR:SYMBOL=MO&amp;VAR:INDEX=0"}</definedName>
    <definedName name="_865__FDSAUDITLINK__" hidden="1">{"fdsup://directions/FAT Viewer?action=UPDATE&amp;creator=factset&amp;DYN_ARGS=TRUE&amp;DOC_NAME=FAT:FQL_AUDITING_CLIENT_TEMPLATE.FAT&amp;display_string=Audit&amp;VAR:KEY=PABSPUXQNM&amp;VAR:QUERY=RkZfRElWX1lMRChBTk4sOS8wOS8wNCw5LzA5LzA0KQ==&amp;WINDOW=FIRST_POPUP&amp;HEIGHT=450&amp;WIDTH=450&amp;","START_MAXIMIZED=FALSE&amp;VAR:CALENDAR=US&amp;VAR:SYMBOL=MO&amp;VAR:INDEX=0"}</definedName>
    <definedName name="_866">#REF!</definedName>
    <definedName name="_866__FDSAUDITLINK__" localSheetId="0" hidden="1">{"fdsup://directions/FAT Viewer?action=UPDATE&amp;creator=factset&amp;DYN_ARGS=TRUE&amp;DOC_NAME=FAT:FQL_AUDITING_CLIENT_TEMPLATE.FAT&amp;display_string=Audit&amp;VAR:KEY=NMDYPSROPW&amp;VAR:QUERY=RkZfRElWX1lMRChBTk4sOS8wMi8wNCw5LzAyLzA0KQ==&amp;WINDOW=FIRST_POPUP&amp;HEIGHT=450&amp;WIDTH=450&amp;","START_MAXIMIZED=FALSE&amp;VAR:CALENDAR=US&amp;VAR:SYMBOL=MO&amp;VAR:INDEX=0"}</definedName>
    <definedName name="_866__FDSAUDITLINK__" hidden="1">{"fdsup://directions/FAT Viewer?action=UPDATE&amp;creator=factset&amp;DYN_ARGS=TRUE&amp;DOC_NAME=FAT:FQL_AUDITING_CLIENT_TEMPLATE.FAT&amp;display_string=Audit&amp;VAR:KEY=NMDYPSROPW&amp;VAR:QUERY=RkZfRElWX1lMRChBTk4sOS8wMi8wNCw5LzAyLzA0KQ==&amp;WINDOW=FIRST_POPUP&amp;HEIGHT=450&amp;WIDTH=450&amp;","START_MAXIMIZED=FALSE&amp;VAR:CALENDAR=US&amp;VAR:SYMBOL=MO&amp;VAR:INDEX=0"}</definedName>
    <definedName name="_867">#REF!</definedName>
    <definedName name="_867__FDSAUDITLINK__" localSheetId="0" hidden="1">{"fdsup://directions/FAT Viewer?action=UPDATE&amp;creator=factset&amp;DYN_ARGS=TRUE&amp;DOC_NAME=FAT:FQL_AUDITING_CLIENT_TEMPLATE.FAT&amp;display_string=Audit&amp;VAR:KEY=TQHMLYNQBQ&amp;VAR:QUERY=RkZfRElWX1lMRChBTk4sOC8yNi8wNCw4LzI2LzA0KQ==&amp;WINDOW=FIRST_POPUP&amp;HEIGHT=450&amp;WIDTH=450&amp;","START_MAXIMIZED=FALSE&amp;VAR:CALENDAR=US&amp;VAR:SYMBOL=MO&amp;VAR:INDEX=0"}</definedName>
    <definedName name="_867__FDSAUDITLINK__" hidden="1">{"fdsup://directions/FAT Viewer?action=UPDATE&amp;creator=factset&amp;DYN_ARGS=TRUE&amp;DOC_NAME=FAT:FQL_AUDITING_CLIENT_TEMPLATE.FAT&amp;display_string=Audit&amp;VAR:KEY=TQHMLYNQBQ&amp;VAR:QUERY=RkZfRElWX1lMRChBTk4sOC8yNi8wNCw4LzI2LzA0KQ==&amp;WINDOW=FIRST_POPUP&amp;HEIGHT=450&amp;WIDTH=450&amp;","START_MAXIMIZED=FALSE&amp;VAR:CALENDAR=US&amp;VAR:SYMBOL=MO&amp;VAR:INDEX=0"}</definedName>
    <definedName name="_868">#REF!</definedName>
    <definedName name="_868__FDSAUDITLINK__" localSheetId="0" hidden="1">{"fdsup://directions/FAT Viewer?action=UPDATE&amp;creator=factset&amp;DYN_ARGS=TRUE&amp;DOC_NAME=FAT:FQL_AUDITING_CLIENT_TEMPLATE.FAT&amp;display_string=Audit&amp;VAR:KEY=DKBQPCFINS&amp;VAR:QUERY=RkZfRElWX1lMRChBTk4sOC8xOS8wNCw4LzE5LzA0KQ==&amp;WINDOW=FIRST_POPUP&amp;HEIGHT=450&amp;WIDTH=450&amp;","START_MAXIMIZED=FALSE&amp;VAR:CALENDAR=US&amp;VAR:SYMBOL=MO&amp;VAR:INDEX=0"}</definedName>
    <definedName name="_868__FDSAUDITLINK__" hidden="1">{"fdsup://directions/FAT Viewer?action=UPDATE&amp;creator=factset&amp;DYN_ARGS=TRUE&amp;DOC_NAME=FAT:FQL_AUDITING_CLIENT_TEMPLATE.FAT&amp;display_string=Audit&amp;VAR:KEY=DKBQPCFINS&amp;VAR:QUERY=RkZfRElWX1lMRChBTk4sOC8xOS8wNCw4LzE5LzA0KQ==&amp;WINDOW=FIRST_POPUP&amp;HEIGHT=450&amp;WIDTH=450&amp;","START_MAXIMIZED=FALSE&amp;VAR:CALENDAR=US&amp;VAR:SYMBOL=MO&amp;VAR:INDEX=0"}</definedName>
    <definedName name="_869">#REF!</definedName>
    <definedName name="_869__FDSAUDITLINK__" localSheetId="0" hidden="1">{"fdsup://directions/FAT Viewer?action=UPDATE&amp;creator=factset&amp;DYN_ARGS=TRUE&amp;DOC_NAME=FAT:FQL_AUDITING_CLIENT_TEMPLATE.FAT&amp;display_string=Audit&amp;VAR:KEY=ZEDKVQPSZU&amp;VAR:QUERY=RkZfRElWX1lMRChBTk4sOC8xMi8wNCw4LzEyLzA0KQ==&amp;WINDOW=FIRST_POPUP&amp;HEIGHT=450&amp;WIDTH=450&amp;","START_MAXIMIZED=FALSE&amp;VAR:CALENDAR=US&amp;VAR:SYMBOL=MO&amp;VAR:INDEX=0"}</definedName>
    <definedName name="_869__FDSAUDITLINK__" hidden="1">{"fdsup://directions/FAT Viewer?action=UPDATE&amp;creator=factset&amp;DYN_ARGS=TRUE&amp;DOC_NAME=FAT:FQL_AUDITING_CLIENT_TEMPLATE.FAT&amp;display_string=Audit&amp;VAR:KEY=ZEDKVQPSZU&amp;VAR:QUERY=RkZfRElWX1lMRChBTk4sOC8xMi8wNCw4LzEyLzA0KQ==&amp;WINDOW=FIRST_POPUP&amp;HEIGHT=450&amp;WIDTH=450&amp;","START_MAXIMIZED=FALSE&amp;VAR:CALENDAR=US&amp;VAR:SYMBOL=MO&amp;VAR:INDEX=0"}</definedName>
    <definedName name="_87">#REF!</definedName>
    <definedName name="_87__123Graph_FWAGES_BY_B_U">#REF!</definedName>
    <definedName name="_87__FDSAUDITLINK__" localSheetId="0" hidden="1">{"fdsup://directions/FAT Viewer?action=UPDATE&amp;creator=factset&amp;DYN_ARGS=TRUE&amp;DOC_NAME=FAT:FQL_AUDITING_CLIENT_TEMPLATE.FAT&amp;display_string=Audit&amp;VAR:KEY=FALGROXGNY&amp;VAR:QUERY=RkZfRElWX1lMRChBTk4sOC8wNi8wOSw4LzA2LzA5KQ==&amp;WINDOW=FIRST_POPUP&amp;HEIGHT=450&amp;WIDTH=450&amp;","START_MAXIMIZED=FALSE&amp;VAR:CALENDAR=US&amp;VAR:SYMBOL=RAI&amp;VAR:INDEX=0"}</definedName>
    <definedName name="_87__FDSAUDITLINK__" hidden="1">{"fdsup://directions/FAT Viewer?action=UPDATE&amp;creator=factset&amp;DYN_ARGS=TRUE&amp;DOC_NAME=FAT:FQL_AUDITING_CLIENT_TEMPLATE.FAT&amp;display_string=Audit&amp;VAR:KEY=FALGROXGNY&amp;VAR:QUERY=RkZfRElWX1lMRChBTk4sOC8wNi8wOSw4LzA2LzA5KQ==&amp;WINDOW=FIRST_POPUP&amp;HEIGHT=450&amp;WIDTH=450&amp;","START_MAXIMIZED=FALSE&amp;VAR:CALENDAR=US&amp;VAR:SYMBOL=RAI&amp;VAR:INDEX=0"}</definedName>
    <definedName name="_870">#REF!</definedName>
    <definedName name="_870__FDSAUDITLINK__" localSheetId="0" hidden="1">{"fdsup://directions/FAT Viewer?action=UPDATE&amp;creator=factset&amp;DYN_ARGS=TRUE&amp;DOC_NAME=FAT:FQL_AUDITING_CLIENT_TEMPLATE.FAT&amp;display_string=Audit&amp;VAR:KEY=PUHYNGXUZQ&amp;VAR:QUERY=RkZfRElWX1lMRChBTk4sOC8wNS8wNCw4LzA1LzA0KQ==&amp;WINDOW=FIRST_POPUP&amp;HEIGHT=450&amp;WIDTH=450&amp;","START_MAXIMIZED=FALSE&amp;VAR:CALENDAR=US&amp;VAR:SYMBOL=MO&amp;VAR:INDEX=0"}</definedName>
    <definedName name="_870__FDSAUDITLINK__" hidden="1">{"fdsup://directions/FAT Viewer?action=UPDATE&amp;creator=factset&amp;DYN_ARGS=TRUE&amp;DOC_NAME=FAT:FQL_AUDITING_CLIENT_TEMPLATE.FAT&amp;display_string=Audit&amp;VAR:KEY=PUHYNGXUZQ&amp;VAR:QUERY=RkZfRElWX1lMRChBTk4sOC8wNS8wNCw4LzA1LzA0KQ==&amp;WINDOW=FIRST_POPUP&amp;HEIGHT=450&amp;WIDTH=450&amp;","START_MAXIMIZED=FALSE&amp;VAR:CALENDAR=US&amp;VAR:SYMBOL=MO&amp;VAR:INDEX=0"}</definedName>
    <definedName name="_871">#REF!</definedName>
    <definedName name="_871__FDSAUDITLINK__" localSheetId="0" hidden="1">{"fdsup://directions/FAT Viewer?action=UPDATE&amp;creator=factset&amp;DYN_ARGS=TRUE&amp;DOC_NAME=FAT:FQL_AUDITING_CLIENT_TEMPLATE.FAT&amp;display_string=Audit&amp;VAR:KEY=RGNWBIVMTA&amp;VAR:QUERY=RkZfRElWX1lMRChBTk4sNy8yOS8wNCw3LzI5LzA0KQ==&amp;WINDOW=FIRST_POPUP&amp;HEIGHT=450&amp;WIDTH=450&amp;","START_MAXIMIZED=FALSE&amp;VAR:CALENDAR=US&amp;VAR:SYMBOL=MO&amp;VAR:INDEX=0"}</definedName>
    <definedName name="_871__FDSAUDITLINK__" hidden="1">{"fdsup://directions/FAT Viewer?action=UPDATE&amp;creator=factset&amp;DYN_ARGS=TRUE&amp;DOC_NAME=FAT:FQL_AUDITING_CLIENT_TEMPLATE.FAT&amp;display_string=Audit&amp;VAR:KEY=RGNWBIVMTA&amp;VAR:QUERY=RkZfRElWX1lMRChBTk4sNy8yOS8wNCw3LzI5LzA0KQ==&amp;WINDOW=FIRST_POPUP&amp;HEIGHT=450&amp;WIDTH=450&amp;","START_MAXIMIZED=FALSE&amp;VAR:CALENDAR=US&amp;VAR:SYMBOL=MO&amp;VAR:INDEX=0"}</definedName>
    <definedName name="_872">#REF!</definedName>
    <definedName name="_872__FDSAUDITLINK__" localSheetId="0" hidden="1">{"fdsup://directions/FAT Viewer?action=UPDATE&amp;creator=factset&amp;DYN_ARGS=TRUE&amp;DOC_NAME=FAT:FQL_AUDITING_CLIENT_TEMPLATE.FAT&amp;display_string=Audit&amp;VAR:KEY=PMXGHORELA&amp;VAR:QUERY=RkZfRElWX1lMRChBTk4sNy8yMi8wNCw3LzIyLzA0KQ==&amp;WINDOW=FIRST_POPUP&amp;HEIGHT=450&amp;WIDTH=450&amp;","START_MAXIMIZED=FALSE&amp;VAR:CALENDAR=US&amp;VAR:SYMBOL=MO&amp;VAR:INDEX=0"}</definedName>
    <definedName name="_872__FDSAUDITLINK__" hidden="1">{"fdsup://directions/FAT Viewer?action=UPDATE&amp;creator=factset&amp;DYN_ARGS=TRUE&amp;DOC_NAME=FAT:FQL_AUDITING_CLIENT_TEMPLATE.FAT&amp;display_string=Audit&amp;VAR:KEY=PMXGHORELA&amp;VAR:QUERY=RkZfRElWX1lMRChBTk4sNy8yMi8wNCw3LzIyLzA0KQ==&amp;WINDOW=FIRST_POPUP&amp;HEIGHT=450&amp;WIDTH=450&amp;","START_MAXIMIZED=FALSE&amp;VAR:CALENDAR=US&amp;VAR:SYMBOL=MO&amp;VAR:INDEX=0"}</definedName>
    <definedName name="_873">#REF!</definedName>
    <definedName name="_873__FDSAUDITLINK__" localSheetId="0" hidden="1">{"fdsup://directions/FAT Viewer?action=UPDATE&amp;creator=factset&amp;DYN_ARGS=TRUE&amp;DOC_NAME=FAT:FQL_AUDITING_CLIENT_TEMPLATE.FAT&amp;display_string=Audit&amp;VAR:KEY=ZYZQNKPURQ&amp;VAR:QUERY=RkZfRElWX1lMRChBTk4sNy8xNS8wNCw3LzE1LzA0KQ==&amp;WINDOW=FIRST_POPUP&amp;HEIGHT=450&amp;WIDTH=450&amp;","START_MAXIMIZED=FALSE&amp;VAR:CALENDAR=US&amp;VAR:SYMBOL=MO&amp;VAR:INDEX=0"}</definedName>
    <definedName name="_873__FDSAUDITLINK__" hidden="1">{"fdsup://directions/FAT Viewer?action=UPDATE&amp;creator=factset&amp;DYN_ARGS=TRUE&amp;DOC_NAME=FAT:FQL_AUDITING_CLIENT_TEMPLATE.FAT&amp;display_string=Audit&amp;VAR:KEY=ZYZQNKPURQ&amp;VAR:QUERY=RkZfRElWX1lMRChBTk4sNy8xNS8wNCw3LzE1LzA0KQ==&amp;WINDOW=FIRST_POPUP&amp;HEIGHT=450&amp;WIDTH=450&amp;","START_MAXIMIZED=FALSE&amp;VAR:CALENDAR=US&amp;VAR:SYMBOL=MO&amp;VAR:INDEX=0"}</definedName>
    <definedName name="_874">#REF!</definedName>
    <definedName name="_874__FDSAUDITLINK__" localSheetId="0" hidden="1">{"fdsup://directions/FAT Viewer?action=UPDATE&amp;creator=factset&amp;DYN_ARGS=TRUE&amp;DOC_NAME=FAT:FQL_AUDITING_CLIENT_TEMPLATE.FAT&amp;display_string=Audit&amp;VAR:KEY=LOHCXABWFU&amp;VAR:QUERY=RkZfRElWX1lMRChBTk4sNy8wOC8wNCw3LzA4LzA0KQ==&amp;WINDOW=FIRST_POPUP&amp;HEIGHT=450&amp;WIDTH=450&amp;","START_MAXIMIZED=FALSE&amp;VAR:CALENDAR=US&amp;VAR:SYMBOL=MO&amp;VAR:INDEX=0"}</definedName>
    <definedName name="_874__FDSAUDITLINK__" hidden="1">{"fdsup://directions/FAT Viewer?action=UPDATE&amp;creator=factset&amp;DYN_ARGS=TRUE&amp;DOC_NAME=FAT:FQL_AUDITING_CLIENT_TEMPLATE.FAT&amp;display_string=Audit&amp;VAR:KEY=LOHCXABWFU&amp;VAR:QUERY=RkZfRElWX1lMRChBTk4sNy8wOC8wNCw3LzA4LzA0KQ==&amp;WINDOW=FIRST_POPUP&amp;HEIGHT=450&amp;WIDTH=450&amp;","START_MAXIMIZED=FALSE&amp;VAR:CALENDAR=US&amp;VAR:SYMBOL=MO&amp;VAR:INDEX=0"}</definedName>
    <definedName name="_875">#REF!</definedName>
    <definedName name="_875__FDSAUDITLINK__" localSheetId="0" hidden="1">{"fdsup://directions/FAT Viewer?action=UPDATE&amp;creator=factset&amp;DYN_ARGS=TRUE&amp;DOC_NAME=FAT:FQL_AUDITING_CLIENT_TEMPLATE.FAT&amp;display_string=Audit&amp;VAR:KEY=ZILSTGFWBO&amp;VAR:QUERY=RkZfRElWX1lMRChBTk4sNy8wMS8wNCw3LzAxLzA0KQ==&amp;WINDOW=FIRST_POPUP&amp;HEIGHT=450&amp;WIDTH=450&amp;","START_MAXIMIZED=FALSE&amp;VAR:CALENDAR=US&amp;VAR:SYMBOL=MO&amp;VAR:INDEX=0"}</definedName>
    <definedName name="_875__FDSAUDITLINK__" hidden="1">{"fdsup://directions/FAT Viewer?action=UPDATE&amp;creator=factset&amp;DYN_ARGS=TRUE&amp;DOC_NAME=FAT:FQL_AUDITING_CLIENT_TEMPLATE.FAT&amp;display_string=Audit&amp;VAR:KEY=ZILSTGFWBO&amp;VAR:QUERY=RkZfRElWX1lMRChBTk4sNy8wMS8wNCw3LzAxLzA0KQ==&amp;WINDOW=FIRST_POPUP&amp;HEIGHT=450&amp;WIDTH=450&amp;","START_MAXIMIZED=FALSE&amp;VAR:CALENDAR=US&amp;VAR:SYMBOL=MO&amp;VAR:INDEX=0"}</definedName>
    <definedName name="_876">#REF!</definedName>
    <definedName name="_876__FDSAUDITLINK__" localSheetId="0" hidden="1">{"fdsup://directions/FAT Viewer?action=UPDATE&amp;creator=factset&amp;DYN_ARGS=TRUE&amp;DOC_NAME=FAT:FQL_AUDITING_CLIENT_TEMPLATE.FAT&amp;display_string=Audit&amp;VAR:KEY=ZULSPKRAFO&amp;VAR:QUERY=RkZfRElWX1lMRChBTk4sNi8yNC8wNCw2LzI0LzA0KQ==&amp;WINDOW=FIRST_POPUP&amp;HEIGHT=450&amp;WIDTH=450&amp;","START_MAXIMIZED=FALSE&amp;VAR:CALENDAR=US&amp;VAR:SYMBOL=MO&amp;VAR:INDEX=0"}</definedName>
    <definedName name="_876__FDSAUDITLINK__" hidden="1">{"fdsup://directions/FAT Viewer?action=UPDATE&amp;creator=factset&amp;DYN_ARGS=TRUE&amp;DOC_NAME=FAT:FQL_AUDITING_CLIENT_TEMPLATE.FAT&amp;display_string=Audit&amp;VAR:KEY=ZULSPKRAFO&amp;VAR:QUERY=RkZfRElWX1lMRChBTk4sNi8yNC8wNCw2LzI0LzA0KQ==&amp;WINDOW=FIRST_POPUP&amp;HEIGHT=450&amp;WIDTH=450&amp;","START_MAXIMIZED=FALSE&amp;VAR:CALENDAR=US&amp;VAR:SYMBOL=MO&amp;VAR:INDEX=0"}</definedName>
    <definedName name="_877">#REF!</definedName>
    <definedName name="_877__FDSAUDITLINK__" localSheetId="0" hidden="1">{"fdsup://directions/FAT Viewer?action=UPDATE&amp;creator=factset&amp;DYN_ARGS=TRUE&amp;DOC_NAME=FAT:FQL_AUDITING_CLIENT_TEMPLATE.FAT&amp;display_string=Audit&amp;VAR:KEY=DWNCHYLQXY&amp;VAR:QUERY=RkZfRElWX1lMRChBTk4sNi8xNy8wNCw2LzE3LzA0KQ==&amp;WINDOW=FIRST_POPUP&amp;HEIGHT=450&amp;WIDTH=450&amp;","START_MAXIMIZED=FALSE&amp;VAR:CALENDAR=US&amp;VAR:SYMBOL=MO&amp;VAR:INDEX=0"}</definedName>
    <definedName name="_877__FDSAUDITLINK__" hidden="1">{"fdsup://directions/FAT Viewer?action=UPDATE&amp;creator=factset&amp;DYN_ARGS=TRUE&amp;DOC_NAME=FAT:FQL_AUDITING_CLIENT_TEMPLATE.FAT&amp;display_string=Audit&amp;VAR:KEY=DWNCHYLQXY&amp;VAR:QUERY=RkZfRElWX1lMRChBTk4sNi8xNy8wNCw2LzE3LzA0KQ==&amp;WINDOW=FIRST_POPUP&amp;HEIGHT=450&amp;WIDTH=450&amp;","START_MAXIMIZED=FALSE&amp;VAR:CALENDAR=US&amp;VAR:SYMBOL=MO&amp;VAR:INDEX=0"}</definedName>
    <definedName name="_878">#REF!</definedName>
    <definedName name="_878__FDSAUDITLINK__" localSheetId="0" hidden="1">{"fdsup://directions/FAT Viewer?action=UPDATE&amp;creator=factset&amp;DYN_ARGS=TRUE&amp;DOC_NAME=FAT:FQL_AUDITING_CLIENT_TEMPLATE.FAT&amp;display_string=Audit&amp;VAR:KEY=ZSXWNULYVI&amp;VAR:QUERY=RkZfRElWX1lMRChBTk4sNi8xMC8wNCw2LzEwLzA0KQ==&amp;WINDOW=FIRST_POPUP&amp;HEIGHT=450&amp;WIDTH=450&amp;","START_MAXIMIZED=FALSE&amp;VAR:CALENDAR=US&amp;VAR:SYMBOL=MO&amp;VAR:INDEX=0"}</definedName>
    <definedName name="_878__FDSAUDITLINK__" hidden="1">{"fdsup://directions/FAT Viewer?action=UPDATE&amp;creator=factset&amp;DYN_ARGS=TRUE&amp;DOC_NAME=FAT:FQL_AUDITING_CLIENT_TEMPLATE.FAT&amp;display_string=Audit&amp;VAR:KEY=ZSXWNULYVI&amp;VAR:QUERY=RkZfRElWX1lMRChBTk4sNi8xMC8wNCw2LzEwLzA0KQ==&amp;WINDOW=FIRST_POPUP&amp;HEIGHT=450&amp;WIDTH=450&amp;","START_MAXIMIZED=FALSE&amp;VAR:CALENDAR=US&amp;VAR:SYMBOL=MO&amp;VAR:INDEX=0"}</definedName>
    <definedName name="_879">#REF!</definedName>
    <definedName name="_879__FDSAUDITLINK__" localSheetId="0" hidden="1">{"fdsup://directions/FAT Viewer?action=UPDATE&amp;creator=factset&amp;DYN_ARGS=TRUE&amp;DOC_NAME=FAT:FQL_AUDITING_CLIENT_TEMPLATE.FAT&amp;display_string=Audit&amp;VAR:KEY=RETCVKBOFK&amp;VAR:QUERY=RkZfRElWX1lMRChBTk4sNi8wMy8wNCw2LzAzLzA0KQ==&amp;WINDOW=FIRST_POPUP&amp;HEIGHT=450&amp;WIDTH=450&amp;","START_MAXIMIZED=FALSE&amp;VAR:CALENDAR=US&amp;VAR:SYMBOL=MO&amp;VAR:INDEX=0"}</definedName>
    <definedName name="_879__FDSAUDITLINK__" hidden="1">{"fdsup://directions/FAT Viewer?action=UPDATE&amp;creator=factset&amp;DYN_ARGS=TRUE&amp;DOC_NAME=FAT:FQL_AUDITING_CLIENT_TEMPLATE.FAT&amp;display_string=Audit&amp;VAR:KEY=RETCVKBOFK&amp;VAR:QUERY=RkZfRElWX1lMRChBTk4sNi8wMy8wNCw2LzAzLzA0KQ==&amp;WINDOW=FIRST_POPUP&amp;HEIGHT=450&amp;WIDTH=450&amp;","START_MAXIMIZED=FALSE&amp;VAR:CALENDAR=US&amp;VAR:SYMBOL=MO&amp;VAR:INDEX=0"}</definedName>
    <definedName name="_88__123Graph_ECONTRACT_BY_B_U">#REF!</definedName>
    <definedName name="_88__FDSAUDITLINK__" localSheetId="0" hidden="1">{"fdsup://directions/FAT Viewer?action=UPDATE&amp;creator=factset&amp;DYN_ARGS=TRUE&amp;DOC_NAME=FAT:FQL_AUDITING_CLIENT_TEMPLATE.FAT&amp;display_string=Audit&amp;VAR:KEY=MNEFGTETGJ&amp;VAR:QUERY=QVZHKEZGX0RJVl9ZTEQoQU5OLDQxMDA0LC0zQVkpKQ==&amp;WINDOW=FIRST_POPUP&amp;HEIGHT=450&amp;WIDTH=450&amp;","START_MAXIMIZED=FALSE&amp;VAR:CALENDAR=US&amp;VAR:SYMBOL=CCE"}</definedName>
    <definedName name="_88__FDSAUDITLINK__" hidden="1">{"fdsup://directions/FAT Viewer?action=UPDATE&amp;creator=factset&amp;DYN_ARGS=TRUE&amp;DOC_NAME=FAT:FQL_AUDITING_CLIENT_TEMPLATE.FAT&amp;display_string=Audit&amp;VAR:KEY=MNEFGTETGJ&amp;VAR:QUERY=QVZHKEZGX0RJVl9ZTEQoQU5OLDQxMDA0LC0zQVkpKQ==&amp;WINDOW=FIRST_POPUP&amp;HEIGHT=450&amp;WIDTH=450&amp;","START_MAXIMIZED=FALSE&amp;VAR:CALENDAR=US&amp;VAR:SYMBOL=CCE"}</definedName>
    <definedName name="_88_0_Table2_" hidden="1">#REF!</definedName>
    <definedName name="_880">#REF!</definedName>
    <definedName name="_880__FDSAUDITLINK__" localSheetId="0" hidden="1">{"fdsup://directions/FAT Viewer?action=UPDATE&amp;creator=factset&amp;DYN_ARGS=TRUE&amp;DOC_NAME=FAT:FQL_AUDITING_CLIENT_TEMPLATE.FAT&amp;display_string=Audit&amp;VAR:KEY=VOFYPAHWJM&amp;VAR:QUERY=RkZfRElWX1lMRChBTk4sNS8yNy8wNCw1LzI3LzA0KQ==&amp;WINDOW=FIRST_POPUP&amp;HEIGHT=450&amp;WIDTH=450&amp;","START_MAXIMIZED=FALSE&amp;VAR:CALENDAR=US&amp;VAR:SYMBOL=MO&amp;VAR:INDEX=0"}</definedName>
    <definedName name="_880__FDSAUDITLINK__" hidden="1">{"fdsup://directions/FAT Viewer?action=UPDATE&amp;creator=factset&amp;DYN_ARGS=TRUE&amp;DOC_NAME=FAT:FQL_AUDITING_CLIENT_TEMPLATE.FAT&amp;display_string=Audit&amp;VAR:KEY=VOFYPAHWJM&amp;VAR:QUERY=RkZfRElWX1lMRChBTk4sNS8yNy8wNCw1LzI3LzA0KQ==&amp;WINDOW=FIRST_POPUP&amp;HEIGHT=450&amp;WIDTH=450&amp;","START_MAXIMIZED=FALSE&amp;VAR:CALENDAR=US&amp;VAR:SYMBOL=MO&amp;VAR:INDEX=0"}</definedName>
    <definedName name="_881">#REF!</definedName>
    <definedName name="_881__FDSAUDITLINK__" localSheetId="0" hidden="1">{"fdsup://directions/FAT Viewer?action=UPDATE&amp;creator=factset&amp;DYN_ARGS=TRUE&amp;DOC_NAME=FAT:FQL_AUDITING_CLIENT_TEMPLATE.FAT&amp;display_string=Audit&amp;VAR:KEY=NIBSFOPKPK&amp;VAR:QUERY=RkZfRElWX1lMRChBTk4sNS8yMC8wNCw1LzIwLzA0KQ==&amp;WINDOW=FIRST_POPUP&amp;HEIGHT=450&amp;WIDTH=450&amp;","START_MAXIMIZED=FALSE&amp;VAR:CALENDAR=US&amp;VAR:SYMBOL=MO&amp;VAR:INDEX=0"}</definedName>
    <definedName name="_881__FDSAUDITLINK__" hidden="1">{"fdsup://directions/FAT Viewer?action=UPDATE&amp;creator=factset&amp;DYN_ARGS=TRUE&amp;DOC_NAME=FAT:FQL_AUDITING_CLIENT_TEMPLATE.FAT&amp;display_string=Audit&amp;VAR:KEY=NIBSFOPKPK&amp;VAR:QUERY=RkZfRElWX1lMRChBTk4sNS8yMC8wNCw1LzIwLzA0KQ==&amp;WINDOW=FIRST_POPUP&amp;HEIGHT=450&amp;WIDTH=450&amp;","START_MAXIMIZED=FALSE&amp;VAR:CALENDAR=US&amp;VAR:SYMBOL=MO&amp;VAR:INDEX=0"}</definedName>
    <definedName name="_882">#REF!</definedName>
    <definedName name="_882__FDSAUDITLINK__" localSheetId="0" hidden="1">{"fdsup://directions/FAT Viewer?action=UPDATE&amp;creator=factset&amp;DYN_ARGS=TRUE&amp;DOC_NAME=FAT:FQL_AUDITING_CLIENT_TEMPLATE.FAT&amp;display_string=Audit&amp;VAR:KEY=JOJILWHGHQ&amp;VAR:QUERY=RkZfRElWX1lMRChBTk4sNS8xMy8wNCw1LzEzLzA0KQ==&amp;WINDOW=FIRST_POPUP&amp;HEIGHT=450&amp;WIDTH=450&amp;","START_MAXIMIZED=FALSE&amp;VAR:CALENDAR=US&amp;VAR:SYMBOL=MO&amp;VAR:INDEX=0"}</definedName>
    <definedName name="_882__FDSAUDITLINK__" hidden="1">{"fdsup://directions/FAT Viewer?action=UPDATE&amp;creator=factset&amp;DYN_ARGS=TRUE&amp;DOC_NAME=FAT:FQL_AUDITING_CLIENT_TEMPLATE.FAT&amp;display_string=Audit&amp;VAR:KEY=JOJILWHGHQ&amp;VAR:QUERY=RkZfRElWX1lMRChBTk4sNS8xMy8wNCw1LzEzLzA0KQ==&amp;WINDOW=FIRST_POPUP&amp;HEIGHT=450&amp;WIDTH=450&amp;","START_MAXIMIZED=FALSE&amp;VAR:CALENDAR=US&amp;VAR:SYMBOL=MO&amp;VAR:INDEX=0"}</definedName>
    <definedName name="_883">#REF!</definedName>
    <definedName name="_883__FDSAUDITLINK__" localSheetId="0" hidden="1">{"fdsup://directions/FAT Viewer?action=UPDATE&amp;creator=factset&amp;DYN_ARGS=TRUE&amp;DOC_NAME=FAT:FQL_AUDITING_CLIENT_TEMPLATE.FAT&amp;display_string=Audit&amp;VAR:KEY=FGPIXKJOVE&amp;VAR:QUERY=RkZfRElWX1lMRChBTk4sNS8wNi8wNCw1LzA2LzA0KQ==&amp;WINDOW=FIRST_POPUP&amp;HEIGHT=450&amp;WIDTH=450&amp;","START_MAXIMIZED=FALSE&amp;VAR:CALENDAR=US&amp;VAR:SYMBOL=MO&amp;VAR:INDEX=0"}</definedName>
    <definedName name="_883__FDSAUDITLINK__" hidden="1">{"fdsup://directions/FAT Viewer?action=UPDATE&amp;creator=factset&amp;DYN_ARGS=TRUE&amp;DOC_NAME=FAT:FQL_AUDITING_CLIENT_TEMPLATE.FAT&amp;display_string=Audit&amp;VAR:KEY=FGPIXKJOVE&amp;VAR:QUERY=RkZfRElWX1lMRChBTk4sNS8wNi8wNCw1LzA2LzA0KQ==&amp;WINDOW=FIRST_POPUP&amp;HEIGHT=450&amp;WIDTH=450&amp;","START_MAXIMIZED=FALSE&amp;VAR:CALENDAR=US&amp;VAR:SYMBOL=MO&amp;VAR:INDEX=0"}</definedName>
    <definedName name="_884">#REF!</definedName>
    <definedName name="_884__FDSAUDITLINK__" localSheetId="0" hidden="1">{"fdsup://directions/FAT Viewer?action=UPDATE&amp;creator=factset&amp;DYN_ARGS=TRUE&amp;DOC_NAME=FAT:FQL_AUDITING_CLIENT_TEMPLATE.FAT&amp;display_string=Audit&amp;VAR:KEY=FCTWHENCPM&amp;VAR:QUERY=RkZfRElWX1lMRChBTk4sNC8yOS8wNCw0LzI5LzA0KQ==&amp;WINDOW=FIRST_POPUP&amp;HEIGHT=450&amp;WIDTH=450&amp;","START_MAXIMIZED=FALSE&amp;VAR:CALENDAR=US&amp;VAR:SYMBOL=MO&amp;VAR:INDEX=0"}</definedName>
    <definedName name="_884__FDSAUDITLINK__" hidden="1">{"fdsup://directions/FAT Viewer?action=UPDATE&amp;creator=factset&amp;DYN_ARGS=TRUE&amp;DOC_NAME=FAT:FQL_AUDITING_CLIENT_TEMPLATE.FAT&amp;display_string=Audit&amp;VAR:KEY=FCTWHENCPM&amp;VAR:QUERY=RkZfRElWX1lMRChBTk4sNC8yOS8wNCw0LzI5LzA0KQ==&amp;WINDOW=FIRST_POPUP&amp;HEIGHT=450&amp;WIDTH=450&amp;","START_MAXIMIZED=FALSE&amp;VAR:CALENDAR=US&amp;VAR:SYMBOL=MO&amp;VAR:INDEX=0"}</definedName>
    <definedName name="_885">#REF!</definedName>
    <definedName name="_885__FDSAUDITLINK__" localSheetId="0" hidden="1">{"fdsup://directions/FAT Viewer?action=UPDATE&amp;creator=factset&amp;DYN_ARGS=TRUE&amp;DOC_NAME=FAT:FQL_AUDITING_CLIENT_TEMPLATE.FAT&amp;display_string=Audit&amp;VAR:KEY=NGPSZMHEZC&amp;VAR:QUERY=RkZfRElWX1lMRChBTk4sNC8yMi8wNCw0LzIyLzA0KQ==&amp;WINDOW=FIRST_POPUP&amp;HEIGHT=450&amp;WIDTH=450&amp;","START_MAXIMIZED=FALSE&amp;VAR:CALENDAR=US&amp;VAR:SYMBOL=MO&amp;VAR:INDEX=0"}</definedName>
    <definedName name="_885__FDSAUDITLINK__" hidden="1">{"fdsup://directions/FAT Viewer?action=UPDATE&amp;creator=factset&amp;DYN_ARGS=TRUE&amp;DOC_NAME=FAT:FQL_AUDITING_CLIENT_TEMPLATE.FAT&amp;display_string=Audit&amp;VAR:KEY=NGPSZMHEZC&amp;VAR:QUERY=RkZfRElWX1lMRChBTk4sNC8yMi8wNCw0LzIyLzA0KQ==&amp;WINDOW=FIRST_POPUP&amp;HEIGHT=450&amp;WIDTH=450&amp;","START_MAXIMIZED=FALSE&amp;VAR:CALENDAR=US&amp;VAR:SYMBOL=MO&amp;VAR:INDEX=0"}</definedName>
    <definedName name="_886">#REF!</definedName>
    <definedName name="_886__FDSAUDITLINK__" localSheetId="0" hidden="1">{"fdsup://directions/FAT Viewer?action=UPDATE&amp;creator=factset&amp;DYN_ARGS=TRUE&amp;DOC_NAME=FAT:FQL_AUDITING_CLIENT_TEMPLATE.FAT&amp;display_string=Audit&amp;VAR:KEY=FUJEHSBOLK&amp;VAR:QUERY=RkZfRElWX1lMRChBTk4sNC8xNS8wNCw0LzE1LzA0KQ==&amp;WINDOW=FIRST_POPUP&amp;HEIGHT=450&amp;WIDTH=450&amp;","START_MAXIMIZED=FALSE&amp;VAR:CALENDAR=US&amp;VAR:SYMBOL=MO&amp;VAR:INDEX=0"}</definedName>
    <definedName name="_886__FDSAUDITLINK__" hidden="1">{"fdsup://directions/FAT Viewer?action=UPDATE&amp;creator=factset&amp;DYN_ARGS=TRUE&amp;DOC_NAME=FAT:FQL_AUDITING_CLIENT_TEMPLATE.FAT&amp;display_string=Audit&amp;VAR:KEY=FUJEHSBOLK&amp;VAR:QUERY=RkZfRElWX1lMRChBTk4sNC8xNS8wNCw0LzE1LzA0KQ==&amp;WINDOW=FIRST_POPUP&amp;HEIGHT=450&amp;WIDTH=450&amp;","START_MAXIMIZED=FALSE&amp;VAR:CALENDAR=US&amp;VAR:SYMBOL=MO&amp;VAR:INDEX=0"}</definedName>
    <definedName name="_887">#REF!</definedName>
    <definedName name="_887__FDSAUDITLINK__" localSheetId="0" hidden="1">{"fdsup://directions/FAT Viewer?action=UPDATE&amp;creator=factset&amp;DYN_ARGS=TRUE&amp;DOC_NAME=FAT:FQL_AUDITING_CLIENT_TEMPLATE.FAT&amp;display_string=Audit&amp;VAR:KEY=JWVCDSNSPW&amp;VAR:QUERY=RkZfRElWX1lMRChBTk4sNC8wOC8wNCw0LzA4LzA0KQ==&amp;WINDOW=FIRST_POPUP&amp;HEIGHT=450&amp;WIDTH=450&amp;","START_MAXIMIZED=FALSE&amp;VAR:CALENDAR=US&amp;VAR:SYMBOL=MO&amp;VAR:INDEX=0"}</definedName>
    <definedName name="_887__FDSAUDITLINK__" hidden="1">{"fdsup://directions/FAT Viewer?action=UPDATE&amp;creator=factset&amp;DYN_ARGS=TRUE&amp;DOC_NAME=FAT:FQL_AUDITING_CLIENT_TEMPLATE.FAT&amp;display_string=Audit&amp;VAR:KEY=JWVCDSNSPW&amp;VAR:QUERY=RkZfRElWX1lMRChBTk4sNC8wOC8wNCw0LzA4LzA0KQ==&amp;WINDOW=FIRST_POPUP&amp;HEIGHT=450&amp;WIDTH=450&amp;","START_MAXIMIZED=FALSE&amp;VAR:CALENDAR=US&amp;VAR:SYMBOL=MO&amp;VAR:INDEX=0"}</definedName>
    <definedName name="_888">#REF!</definedName>
    <definedName name="_888__FDSAUDITLINK__" localSheetId="0" hidden="1">{"fdsup://directions/FAT Viewer?action=UPDATE&amp;creator=factset&amp;DYN_ARGS=TRUE&amp;DOC_NAME=FAT:FQL_AUDITING_CLIENT_TEMPLATE.FAT&amp;display_string=Audit&amp;VAR:KEY=PGROHQTANS&amp;VAR:QUERY=RkZfRElWX1lMRChBTk4sNC8wMS8wNCw0LzAxLzA0KQ==&amp;WINDOW=FIRST_POPUP&amp;HEIGHT=450&amp;WIDTH=450&amp;","START_MAXIMIZED=FALSE&amp;VAR:CALENDAR=US&amp;VAR:SYMBOL=MO&amp;VAR:INDEX=0"}</definedName>
    <definedName name="_888__FDSAUDITLINK__" hidden="1">{"fdsup://directions/FAT Viewer?action=UPDATE&amp;creator=factset&amp;DYN_ARGS=TRUE&amp;DOC_NAME=FAT:FQL_AUDITING_CLIENT_TEMPLATE.FAT&amp;display_string=Audit&amp;VAR:KEY=PGROHQTANS&amp;VAR:QUERY=RkZfRElWX1lMRChBTk4sNC8wMS8wNCw0LzAxLzA0KQ==&amp;WINDOW=FIRST_POPUP&amp;HEIGHT=450&amp;WIDTH=450&amp;","START_MAXIMIZED=FALSE&amp;VAR:CALENDAR=US&amp;VAR:SYMBOL=MO&amp;VAR:INDEX=0"}</definedName>
    <definedName name="_889">#REF!</definedName>
    <definedName name="_889__FDSAUDITLINK__" localSheetId="0" hidden="1">{"fdsup://directions/FAT Viewer?action=UPDATE&amp;creator=factset&amp;DYN_ARGS=TRUE&amp;DOC_NAME=FAT:FQL_AUDITING_CLIENT_TEMPLATE.FAT&amp;display_string=Audit&amp;VAR:KEY=NKPEBGJGPS&amp;VAR:QUERY=RkZfRElWX1lMRChBTk4sMy8yNS8wNCwzLzI1LzA0KQ==&amp;WINDOW=FIRST_POPUP&amp;HEIGHT=450&amp;WIDTH=450&amp;","START_MAXIMIZED=FALSE&amp;VAR:CALENDAR=US&amp;VAR:SYMBOL=MO&amp;VAR:INDEX=0"}</definedName>
    <definedName name="_889__FDSAUDITLINK__" hidden="1">{"fdsup://directions/FAT Viewer?action=UPDATE&amp;creator=factset&amp;DYN_ARGS=TRUE&amp;DOC_NAME=FAT:FQL_AUDITING_CLIENT_TEMPLATE.FAT&amp;display_string=Audit&amp;VAR:KEY=NKPEBGJGPS&amp;VAR:QUERY=RkZfRElWX1lMRChBTk4sMy8yNS8wNCwzLzI1LzA0KQ==&amp;WINDOW=FIRST_POPUP&amp;HEIGHT=450&amp;WIDTH=450&amp;","START_MAXIMIZED=FALSE&amp;VAR:CALENDAR=US&amp;VAR:SYMBOL=MO&amp;VAR:INDEX=0"}</definedName>
    <definedName name="_89__FDSAUDITLINK__" localSheetId="0" hidden="1">{"fdsup://directions/FAT Viewer?action=UPDATE&amp;creator=factset&amp;DYN_ARGS=TRUE&amp;DOC_NAME=FAT:FQL_AUDITING_CLIENT_TEMPLATE.FAT&amp;display_string=Audit&amp;VAR:KEY=LKDINAVQFS&amp;VAR:QUERY=RkZfRElWX1lMRChBTk4sNy8yMy8wOSw3LzIzLzA5KQ==&amp;WINDOW=FIRST_POPUP&amp;HEIGHT=450&amp;WIDTH=450&amp;","START_MAXIMIZED=FALSE&amp;VAR:CALENDAR=US&amp;VAR:SYMBOL=RAI&amp;VAR:INDEX=0"}</definedName>
    <definedName name="_89__FDSAUDITLINK__" hidden="1">{"fdsup://directions/FAT Viewer?action=UPDATE&amp;creator=factset&amp;DYN_ARGS=TRUE&amp;DOC_NAME=FAT:FQL_AUDITING_CLIENT_TEMPLATE.FAT&amp;display_string=Audit&amp;VAR:KEY=LKDINAVQFS&amp;VAR:QUERY=RkZfRElWX1lMRChBTk4sNy8yMy8wOSw3LzIzLzA5KQ==&amp;WINDOW=FIRST_POPUP&amp;HEIGHT=450&amp;WIDTH=450&amp;","START_MAXIMIZED=FALSE&amp;VAR:CALENDAR=US&amp;VAR:SYMBOL=RAI&amp;VAR:INDEX=0"}</definedName>
    <definedName name="_89_0_Table2_" hidden="1">#REF!</definedName>
    <definedName name="_890">#REF!</definedName>
    <definedName name="_890__FDSAUDITLINK__" localSheetId="0" hidden="1">{"fdsup://directions/FAT Viewer?action=UPDATE&amp;creator=factset&amp;DYN_ARGS=TRUE&amp;DOC_NAME=FAT:FQL_AUDITING_CLIENT_TEMPLATE.FAT&amp;display_string=Audit&amp;VAR:KEY=PMFKPOBKFS&amp;VAR:QUERY=RkZfRElWX1lMRChBTk4sMy8xOC8wNCwzLzE4LzA0KQ==&amp;WINDOW=FIRST_POPUP&amp;HEIGHT=450&amp;WIDTH=450&amp;","START_MAXIMIZED=FALSE&amp;VAR:CALENDAR=US&amp;VAR:SYMBOL=MO&amp;VAR:INDEX=0"}</definedName>
    <definedName name="_890__FDSAUDITLINK__" hidden="1">{"fdsup://directions/FAT Viewer?action=UPDATE&amp;creator=factset&amp;DYN_ARGS=TRUE&amp;DOC_NAME=FAT:FQL_AUDITING_CLIENT_TEMPLATE.FAT&amp;display_string=Audit&amp;VAR:KEY=PMFKPOBKFS&amp;VAR:QUERY=RkZfRElWX1lMRChBTk4sMy8xOC8wNCwzLzE4LzA0KQ==&amp;WINDOW=FIRST_POPUP&amp;HEIGHT=450&amp;WIDTH=450&amp;","START_MAXIMIZED=FALSE&amp;VAR:CALENDAR=US&amp;VAR:SYMBOL=MO&amp;VAR:INDEX=0"}</definedName>
    <definedName name="_891__FDSAUDITLINK__" localSheetId="0" hidden="1">{"fdsup://directions/FAT Viewer?action=UPDATE&amp;creator=factset&amp;DYN_ARGS=TRUE&amp;DOC_NAME=FAT:FQL_AUDITING_CLIENT_TEMPLATE.FAT&amp;display_string=Audit&amp;VAR:KEY=TEHSRGNKNG&amp;VAR:QUERY=RkZfRElWX1lMRChBTk4sMy8xMS8wNCwzLzExLzA0KQ==&amp;WINDOW=FIRST_POPUP&amp;HEIGHT=450&amp;WIDTH=450&amp;","START_MAXIMIZED=FALSE&amp;VAR:CALENDAR=US&amp;VAR:SYMBOL=MO&amp;VAR:INDEX=0"}</definedName>
    <definedName name="_891__FDSAUDITLINK__" hidden="1">{"fdsup://directions/FAT Viewer?action=UPDATE&amp;creator=factset&amp;DYN_ARGS=TRUE&amp;DOC_NAME=FAT:FQL_AUDITING_CLIENT_TEMPLATE.FAT&amp;display_string=Audit&amp;VAR:KEY=TEHSRGNKNG&amp;VAR:QUERY=RkZfRElWX1lMRChBTk4sMy8xMS8wNCwzLzExLzA0KQ==&amp;WINDOW=FIRST_POPUP&amp;HEIGHT=450&amp;WIDTH=450&amp;","START_MAXIMIZED=FALSE&amp;VAR:CALENDAR=US&amp;VAR:SYMBOL=MO&amp;VAR:INDEX=0"}</definedName>
    <definedName name="_892__FDSAUDITLINK__" localSheetId="0" hidden="1">{"fdsup://directions/FAT Viewer?action=UPDATE&amp;creator=factset&amp;DYN_ARGS=TRUE&amp;DOC_NAME=FAT:FQL_AUDITING_CLIENT_TEMPLATE.FAT&amp;display_string=Audit&amp;VAR:KEY=ZEJONCPWPA&amp;VAR:QUERY=RkZfRElWX1lMRChBTk4sMy8wNC8wNCwzLzA0LzA0KQ==&amp;WINDOW=FIRST_POPUP&amp;HEIGHT=450&amp;WIDTH=450&amp;","START_MAXIMIZED=FALSE&amp;VAR:CALENDAR=US&amp;VAR:SYMBOL=MO&amp;VAR:INDEX=0"}</definedName>
    <definedName name="_892__FDSAUDITLINK__" hidden="1">{"fdsup://directions/FAT Viewer?action=UPDATE&amp;creator=factset&amp;DYN_ARGS=TRUE&amp;DOC_NAME=FAT:FQL_AUDITING_CLIENT_TEMPLATE.FAT&amp;display_string=Audit&amp;VAR:KEY=ZEJONCPWPA&amp;VAR:QUERY=RkZfRElWX1lMRChBTk4sMy8wNC8wNCwzLzA0LzA0KQ==&amp;WINDOW=FIRST_POPUP&amp;HEIGHT=450&amp;WIDTH=450&amp;","START_MAXIMIZED=FALSE&amp;VAR:CALENDAR=US&amp;VAR:SYMBOL=MO&amp;VAR:INDEX=0"}</definedName>
    <definedName name="_893__FDSAUDITLINK__" localSheetId="0" hidden="1">{"fdsup://directions/FAT Viewer?action=UPDATE&amp;creator=factset&amp;DYN_ARGS=TRUE&amp;DOC_NAME=FAT:FQL_AUDITING_CLIENT_TEMPLATE.FAT&amp;display_string=Audit&amp;VAR:KEY=HULSJUZWPS&amp;VAR:QUERY=RkZfRElWX1lMRChBTk4sMi8yNi8wNCwyLzI2LzA0KQ==&amp;WINDOW=FIRST_POPUP&amp;HEIGHT=450&amp;WIDTH=450&amp;","START_MAXIMIZED=FALSE&amp;VAR:CALENDAR=US&amp;VAR:SYMBOL=MO&amp;VAR:INDEX=0"}</definedName>
    <definedName name="_893__FDSAUDITLINK__" hidden="1">{"fdsup://directions/FAT Viewer?action=UPDATE&amp;creator=factset&amp;DYN_ARGS=TRUE&amp;DOC_NAME=FAT:FQL_AUDITING_CLIENT_TEMPLATE.FAT&amp;display_string=Audit&amp;VAR:KEY=HULSJUZWPS&amp;VAR:QUERY=RkZfRElWX1lMRChBTk4sMi8yNi8wNCwyLzI2LzA0KQ==&amp;WINDOW=FIRST_POPUP&amp;HEIGHT=450&amp;WIDTH=450&amp;","START_MAXIMIZED=FALSE&amp;VAR:CALENDAR=US&amp;VAR:SYMBOL=MO&amp;VAR:INDEX=0"}</definedName>
    <definedName name="_894">#REF!</definedName>
    <definedName name="_894__FDSAUDITLINK__" localSheetId="0" hidden="1">{"fdsup://directions/FAT Viewer?action=UPDATE&amp;creator=factset&amp;DYN_ARGS=TRUE&amp;DOC_NAME=FAT:FQL_AUDITING_CLIENT_TEMPLATE.FAT&amp;display_string=Audit&amp;VAR:KEY=ZKRCBEDWNE&amp;VAR:QUERY=RkZfRElWX1lMRChBTk4sMi8xOS8wNCwyLzE5LzA0KQ==&amp;WINDOW=FIRST_POPUP&amp;HEIGHT=450&amp;WIDTH=450&amp;","START_MAXIMIZED=FALSE&amp;VAR:CALENDAR=US&amp;VAR:SYMBOL=MO&amp;VAR:INDEX=0"}</definedName>
    <definedName name="_894__FDSAUDITLINK__" hidden="1">{"fdsup://directions/FAT Viewer?action=UPDATE&amp;creator=factset&amp;DYN_ARGS=TRUE&amp;DOC_NAME=FAT:FQL_AUDITING_CLIENT_TEMPLATE.FAT&amp;display_string=Audit&amp;VAR:KEY=ZKRCBEDWNE&amp;VAR:QUERY=RkZfRElWX1lMRChBTk4sMi8xOS8wNCwyLzE5LzA0KQ==&amp;WINDOW=FIRST_POPUP&amp;HEIGHT=450&amp;WIDTH=450&amp;","START_MAXIMIZED=FALSE&amp;VAR:CALENDAR=US&amp;VAR:SYMBOL=MO&amp;VAR:INDEX=0"}</definedName>
    <definedName name="_895">#REF!</definedName>
    <definedName name="_895__FDSAUDITLINK__" localSheetId="0" hidden="1">{"fdsup://directions/FAT Viewer?action=UPDATE&amp;creator=factset&amp;DYN_ARGS=TRUE&amp;DOC_NAME=FAT:FQL_AUDITING_CLIENT_TEMPLATE.FAT&amp;display_string=Audit&amp;VAR:KEY=FSXCHOPYNO&amp;VAR:QUERY=RkZfRElWX1lMRChBTk4sMi8xMi8wNCwyLzEyLzA0KQ==&amp;WINDOW=FIRST_POPUP&amp;HEIGHT=450&amp;WIDTH=450&amp;","START_MAXIMIZED=FALSE&amp;VAR:CALENDAR=US&amp;VAR:SYMBOL=MO&amp;VAR:INDEX=0"}</definedName>
    <definedName name="_895__FDSAUDITLINK__" hidden="1">{"fdsup://directions/FAT Viewer?action=UPDATE&amp;creator=factset&amp;DYN_ARGS=TRUE&amp;DOC_NAME=FAT:FQL_AUDITING_CLIENT_TEMPLATE.FAT&amp;display_string=Audit&amp;VAR:KEY=FSXCHOPYNO&amp;VAR:QUERY=RkZfRElWX1lMRChBTk4sMi8xMi8wNCwyLzEyLzA0KQ==&amp;WINDOW=FIRST_POPUP&amp;HEIGHT=450&amp;WIDTH=450&amp;","START_MAXIMIZED=FALSE&amp;VAR:CALENDAR=US&amp;VAR:SYMBOL=MO&amp;VAR:INDEX=0"}</definedName>
    <definedName name="_896">#REF!</definedName>
    <definedName name="_896__FDSAUDITLINK__" localSheetId="0" hidden="1">{"fdsup://directions/FAT Viewer?action=UPDATE&amp;creator=factset&amp;DYN_ARGS=TRUE&amp;DOC_NAME=FAT:FQL_AUDITING_CLIENT_TEMPLATE.FAT&amp;display_string=Audit&amp;VAR:KEY=HEPCZMJILQ&amp;VAR:QUERY=RkZfRElWX1lMRChBTk4sMi8wNS8wNCwyLzA1LzA0KQ==&amp;WINDOW=FIRST_POPUP&amp;HEIGHT=450&amp;WIDTH=450&amp;","START_MAXIMIZED=FALSE&amp;VAR:CALENDAR=US&amp;VAR:SYMBOL=MO&amp;VAR:INDEX=0"}</definedName>
    <definedName name="_896__FDSAUDITLINK__" hidden="1">{"fdsup://directions/FAT Viewer?action=UPDATE&amp;creator=factset&amp;DYN_ARGS=TRUE&amp;DOC_NAME=FAT:FQL_AUDITING_CLIENT_TEMPLATE.FAT&amp;display_string=Audit&amp;VAR:KEY=HEPCZMJILQ&amp;VAR:QUERY=RkZfRElWX1lMRChBTk4sMi8wNS8wNCwyLzA1LzA0KQ==&amp;WINDOW=FIRST_POPUP&amp;HEIGHT=450&amp;WIDTH=450&amp;","START_MAXIMIZED=FALSE&amp;VAR:CALENDAR=US&amp;VAR:SYMBOL=MO&amp;VAR:INDEX=0"}</definedName>
    <definedName name="_897">#REF!</definedName>
    <definedName name="_897__FDSAUDITLINK__" localSheetId="0" hidden="1">{"fdsup://directions/FAT Viewer?action=UPDATE&amp;creator=factset&amp;DYN_ARGS=TRUE&amp;DOC_NAME=FAT:FQL_AUDITING_CLIENT_TEMPLATE.FAT&amp;display_string=Audit&amp;VAR:KEY=ZOVWFSBKVE&amp;VAR:QUERY=RkZfRElWX1lMRChBTk4sMS8yOS8wNCwxLzI5LzA0KQ==&amp;WINDOW=FIRST_POPUP&amp;HEIGHT=450&amp;WIDTH=450&amp;","START_MAXIMIZED=FALSE&amp;VAR:CALENDAR=US&amp;VAR:SYMBOL=MO&amp;VAR:INDEX=0"}</definedName>
    <definedName name="_897__FDSAUDITLINK__" hidden="1">{"fdsup://directions/FAT Viewer?action=UPDATE&amp;creator=factset&amp;DYN_ARGS=TRUE&amp;DOC_NAME=FAT:FQL_AUDITING_CLIENT_TEMPLATE.FAT&amp;display_string=Audit&amp;VAR:KEY=ZOVWFSBKVE&amp;VAR:QUERY=RkZfRElWX1lMRChBTk4sMS8yOS8wNCwxLzI5LzA0KQ==&amp;WINDOW=FIRST_POPUP&amp;HEIGHT=450&amp;WIDTH=450&amp;","START_MAXIMIZED=FALSE&amp;VAR:CALENDAR=US&amp;VAR:SYMBOL=MO&amp;VAR:INDEX=0"}</definedName>
    <definedName name="_898">#REF!</definedName>
    <definedName name="_898__FDSAUDITLINK__" localSheetId="0" hidden="1">{"fdsup://directions/FAT Viewer?action=UPDATE&amp;creator=factset&amp;DYN_ARGS=TRUE&amp;DOC_NAME=FAT:FQL_AUDITING_CLIENT_TEMPLATE.FAT&amp;display_string=Audit&amp;VAR:KEY=JMFELCHMDW&amp;VAR:QUERY=RkZfRElWX1lMRChBTk4sMS8yMi8wNCwxLzIyLzA0KQ==&amp;WINDOW=FIRST_POPUP&amp;HEIGHT=450&amp;WIDTH=450&amp;","START_MAXIMIZED=FALSE&amp;VAR:CALENDAR=US&amp;VAR:SYMBOL=MO&amp;VAR:INDEX=0"}</definedName>
    <definedName name="_898__FDSAUDITLINK__" hidden="1">{"fdsup://directions/FAT Viewer?action=UPDATE&amp;creator=factset&amp;DYN_ARGS=TRUE&amp;DOC_NAME=FAT:FQL_AUDITING_CLIENT_TEMPLATE.FAT&amp;display_string=Audit&amp;VAR:KEY=JMFELCHMDW&amp;VAR:QUERY=RkZfRElWX1lMRChBTk4sMS8yMi8wNCwxLzIyLzA0KQ==&amp;WINDOW=FIRST_POPUP&amp;HEIGHT=450&amp;WIDTH=450&amp;","START_MAXIMIZED=FALSE&amp;VAR:CALENDAR=US&amp;VAR:SYMBOL=MO&amp;VAR:INDEX=0"}</definedName>
    <definedName name="_899">#REF!</definedName>
    <definedName name="_899__FDSAUDITLINK__" localSheetId="0" hidden="1">{"fdsup://directions/FAT Viewer?action=UPDATE&amp;creator=factset&amp;DYN_ARGS=TRUE&amp;DOC_NAME=FAT:FQL_AUDITING_CLIENT_TEMPLATE.FAT&amp;display_string=Audit&amp;VAR:KEY=FIBWFMFELE&amp;VAR:QUERY=RkZfRElWX1lMRChBTk4sMS8xNS8wNCwxLzE1LzA0KQ==&amp;WINDOW=FIRST_POPUP&amp;HEIGHT=450&amp;WIDTH=450&amp;","START_MAXIMIZED=FALSE&amp;VAR:CALENDAR=US&amp;VAR:SYMBOL=MO&amp;VAR:INDEX=0"}</definedName>
    <definedName name="_899__FDSAUDITLINK__" hidden="1">{"fdsup://directions/FAT Viewer?action=UPDATE&amp;creator=factset&amp;DYN_ARGS=TRUE&amp;DOC_NAME=FAT:FQL_AUDITING_CLIENT_TEMPLATE.FAT&amp;display_string=Audit&amp;VAR:KEY=FIBWFMFELE&amp;VAR:QUERY=RkZfRElWX1lMRChBTk4sMS8xNS8wNCwxLzE1LzA0KQ==&amp;WINDOW=FIRST_POPUP&amp;HEIGHT=450&amp;WIDTH=450&amp;","START_MAXIMIZED=FALSE&amp;VAR:CALENDAR=US&amp;VAR:SYMBOL=MO&amp;VAR:INDEX=0"}</definedName>
    <definedName name="_8D">#REF!</definedName>
    <definedName name="_8main_form_account_grants_list_11_j_id1022">#REF!</definedName>
    <definedName name="_8s10_" hidden="1">{#N/A,#N/A,FALSE,"UNIT";#N/A,#N/A,FALSE,"UNIT";#N/A,#N/A,FALSE,"계정"}</definedName>
    <definedName name="_8s12_" hidden="1">{#N/A,#N/A,FALSE,"UNIT";#N/A,#N/A,FALSE,"UNIT";#N/A,#N/A,FALSE,"계정"}</definedName>
    <definedName name="_8s13_" hidden="1">{#N/A,#N/A,FALSE,"UNIT";#N/A,#N/A,FALSE,"UNIT";#N/A,#N/A,FALSE,"계정"}</definedName>
    <definedName name="_8Table2_">#REF!</definedName>
    <definedName name="_9">#REF!</definedName>
    <definedName name="_9___________NOTE1_3">#REF!</definedName>
    <definedName name="_9__123Graph_AChart_31L">#REF!</definedName>
    <definedName name="_9__123Graph_ASENS_COMPARISON">#REF!</definedName>
    <definedName name="_9__123Graph_ASUPPLIES_BY_B_U">#REF!</definedName>
    <definedName name="_9__123Graph_ATAX_CREDIT">#REF!</definedName>
    <definedName name="_9__123Graph_AWAGES_BY_B_U">#REF!</definedName>
    <definedName name="_9__123Graph_BCHART_3" hidden="1">#REF!</definedName>
    <definedName name="_9__123Graph_BCONTRACT_BY_B_U">#REF!</definedName>
    <definedName name="_9__123Graph_BQRE_S_BY_CO.">#REF!</definedName>
    <definedName name="_9__123Graph_BSENS_COMPARISON">#REF!</definedName>
    <definedName name="_9__123Graph_FSALES_MONTH" hidden="1">#REF!</definedName>
    <definedName name="_9__FDSAUDITLINK__" localSheetId="0" hidden="1">{"fdsup://directions/FAT Viewer?action=UPDATE&amp;creator=factset&amp;DYN_ARGS=TRUE&amp;DOC_NAME=FAT:FQL_AUDITING_CLIENT_TEMPLATE.FAT&amp;display_string=Audit&amp;VAR:KEY=AHWPAVYFCN&amp;VAR:QUERY=Q1NGX0RJVl9ZTEQoUVRSX1IsMTIvMzEvMjAwOCk=&amp;WINDOW=FIRST_POPUP&amp;HEIGHT=450&amp;WIDTH=450&amp;STAR","T_MAXIMIZED=FALSE&amp;VAR:CALENDAR=US&amp;VAR:SYMBOL=MO&amp;VAR:INDEX=0"}</definedName>
    <definedName name="_9__FDSAUDITLINK__" hidden="1">{"fdsup://directions/FAT Viewer?action=UPDATE&amp;creator=factset&amp;DYN_ARGS=TRUE&amp;DOC_NAME=FAT:FQL_AUDITING_CLIENT_TEMPLATE.FAT&amp;display_string=Audit&amp;VAR:KEY=AHWPAVYFCN&amp;VAR:QUERY=Q1NGX0RJVl9ZTEQoUVRSX1IsMTIvMzEvMjAwOCk=&amp;WINDOW=FIRST_POPUP&amp;HEIGHT=450&amp;WIDTH=450&amp;STAR","T_MAXIMIZED=FALSE&amp;VAR:CALENDAR=US&amp;VAR:SYMBOL=MO&amp;VAR:INDEX=0"}</definedName>
    <definedName name="_9_0_0ISTJBM">#REF!</definedName>
    <definedName name="_9_0_Table2_" hidden="1">#REF!</definedName>
    <definedName name="_90">#REF!</definedName>
    <definedName name="_90__123Graph_CSENS_COMPARISON">#REF!</definedName>
    <definedName name="_90__123Graph_LBL_ACHART_4">#REF!</definedName>
    <definedName name="_90__123Graph_XCONTRACT_BY_B_U">#REF!</definedName>
    <definedName name="_90__FDSAUDITLINK__" localSheetId="0" hidden="1">{"fdsup://directions/FAT Viewer?action=UPDATE&amp;creator=factset&amp;DYN_ARGS=TRUE&amp;DOC_NAME=FAT:FQL_AUDITING_CLIENT_TEMPLATE.FAT&amp;display_string=Audit&amp;VAR:KEY=RYVYLWFANI&amp;VAR:QUERY=RkZfRElWX1lMRChBTk4sNy8xNi8wOSw3LzE2LzA5KQ==&amp;WINDOW=FIRST_POPUP&amp;HEIGHT=450&amp;WIDTH=450&amp;","START_MAXIMIZED=FALSE&amp;VAR:CALENDAR=US&amp;VAR:SYMBOL=RAI&amp;VAR:INDEX=0"}</definedName>
    <definedName name="_90__FDSAUDITLINK__" hidden="1">{"fdsup://directions/FAT Viewer?action=UPDATE&amp;creator=factset&amp;DYN_ARGS=TRUE&amp;DOC_NAME=FAT:FQL_AUDITING_CLIENT_TEMPLATE.FAT&amp;display_string=Audit&amp;VAR:KEY=RYVYLWFANI&amp;VAR:QUERY=RkZfRElWX1lMRChBTk4sNy8xNi8wOSw3LzE2LzA5KQ==&amp;WINDOW=FIRST_POPUP&amp;HEIGHT=450&amp;WIDTH=450&amp;","START_MAXIMIZED=FALSE&amp;VAR:CALENDAR=US&amp;VAR:SYMBOL=RAI&amp;VAR:INDEX=0"}</definedName>
    <definedName name="_90_0_Table2_" hidden="1">#REF!</definedName>
    <definedName name="_900">#REF!</definedName>
    <definedName name="_900__FDSAUDITLINK__" localSheetId="0" hidden="1">{"fdsup://directions/FAT Viewer?action=UPDATE&amp;creator=factset&amp;DYN_ARGS=TRUE&amp;DOC_NAME=FAT:FQL_AUDITING_CLIENT_TEMPLATE.FAT&amp;display_string=Audit&amp;VAR:KEY=XUFGTGJWJM&amp;VAR:QUERY=RkZfRElWX1lMRChBTk4sMS8wOC8wNCwxLzA4LzA0KQ==&amp;WINDOW=FIRST_POPUP&amp;HEIGHT=450&amp;WIDTH=450&amp;","START_MAXIMIZED=FALSE&amp;VAR:CALENDAR=US&amp;VAR:SYMBOL=MO&amp;VAR:INDEX=0"}</definedName>
    <definedName name="_900__FDSAUDITLINK__" hidden="1">{"fdsup://directions/FAT Viewer?action=UPDATE&amp;creator=factset&amp;DYN_ARGS=TRUE&amp;DOC_NAME=FAT:FQL_AUDITING_CLIENT_TEMPLATE.FAT&amp;display_string=Audit&amp;VAR:KEY=XUFGTGJWJM&amp;VAR:QUERY=RkZfRElWX1lMRChBTk4sMS8wOC8wNCwxLzA4LzA0KQ==&amp;WINDOW=FIRST_POPUP&amp;HEIGHT=450&amp;WIDTH=450&amp;","START_MAXIMIZED=FALSE&amp;VAR:CALENDAR=US&amp;VAR:SYMBOL=MO&amp;VAR:INDEX=0"}</definedName>
    <definedName name="_901">#REF!</definedName>
    <definedName name="_901__FDSAUDITLINK__" localSheetId="0" hidden="1">{"fdsup://directions/FAT Viewer?action=UPDATE&amp;creator=factset&amp;DYN_ARGS=TRUE&amp;DOC_NAME=FAT:FQL_AUDITING_CLIENT_TEMPLATE.FAT&amp;display_string=Audit&amp;VAR:KEY=XKVUHYVIJA&amp;VAR:QUERY=RkZfRElWX1lMRChBTk4sMTIvMzEvMDMsMTIvMzEvMDMp&amp;WINDOW=FIRST_POPUP&amp;HEIGHT=450&amp;WIDTH=450&amp;","START_MAXIMIZED=FALSE&amp;VAR:CALENDAR=US&amp;VAR:SYMBOL=MO&amp;VAR:INDEX=0"}</definedName>
    <definedName name="_901__FDSAUDITLINK__" hidden="1">{"fdsup://directions/FAT Viewer?action=UPDATE&amp;creator=factset&amp;DYN_ARGS=TRUE&amp;DOC_NAME=FAT:FQL_AUDITING_CLIENT_TEMPLATE.FAT&amp;display_string=Audit&amp;VAR:KEY=XKVUHYVIJA&amp;VAR:QUERY=RkZfRElWX1lMRChBTk4sMTIvMzEvMDMsMTIvMzEvMDMp&amp;WINDOW=FIRST_POPUP&amp;HEIGHT=450&amp;WIDTH=450&amp;","START_MAXIMIZED=FALSE&amp;VAR:CALENDAR=US&amp;VAR:SYMBOL=MO&amp;VAR:INDEX=0"}</definedName>
    <definedName name="_902">#REF!</definedName>
    <definedName name="_902__FDSAUDITLINK__" localSheetId="0" hidden="1">{"fdsup://directions/FAT Viewer?action=UPDATE&amp;creator=factset&amp;DYN_ARGS=TRUE&amp;DOC_NAME=FAT:FQL_AUDITING_CLIENT_TEMPLATE.FAT&amp;display_string=Audit&amp;VAR:KEY=ROZQRWTEJU&amp;VAR:QUERY=RkZfRElWX1lMRChBTk4sMTIvMjQvMDMsMTIvMjQvMDMp&amp;WINDOW=FIRST_POPUP&amp;HEIGHT=450&amp;WIDTH=450&amp;","START_MAXIMIZED=FALSE&amp;VAR:CALENDAR=US&amp;VAR:SYMBOL=MO&amp;VAR:INDEX=0"}</definedName>
    <definedName name="_902__FDSAUDITLINK__" hidden="1">{"fdsup://directions/FAT Viewer?action=UPDATE&amp;creator=factset&amp;DYN_ARGS=TRUE&amp;DOC_NAME=FAT:FQL_AUDITING_CLIENT_TEMPLATE.FAT&amp;display_string=Audit&amp;VAR:KEY=ROZQRWTEJU&amp;VAR:QUERY=RkZfRElWX1lMRChBTk4sMTIvMjQvMDMsMTIvMjQvMDMp&amp;WINDOW=FIRST_POPUP&amp;HEIGHT=450&amp;WIDTH=450&amp;","START_MAXIMIZED=FALSE&amp;VAR:CALENDAR=US&amp;VAR:SYMBOL=MO&amp;VAR:INDEX=0"}</definedName>
    <definedName name="_903">#REF!</definedName>
    <definedName name="_903__FDSAUDITLINK__" localSheetId="0" hidden="1">{"fdsup://directions/FAT Viewer?action=UPDATE&amp;creator=factset&amp;DYN_ARGS=TRUE&amp;DOC_NAME=FAT:FQL_AUDITING_CLIENT_TEMPLATE.FAT&amp;display_string=Audit&amp;VAR:KEY=XEZADSLGFW&amp;VAR:QUERY=RkZfRElWX1lMRChBTk4sMTIvMTgvMDMsMTIvMTgvMDMp&amp;WINDOW=FIRST_POPUP&amp;HEIGHT=450&amp;WIDTH=450&amp;","START_MAXIMIZED=FALSE&amp;VAR:CALENDAR=US&amp;VAR:SYMBOL=MO&amp;VAR:INDEX=0"}</definedName>
    <definedName name="_903__FDSAUDITLINK__" hidden="1">{"fdsup://directions/FAT Viewer?action=UPDATE&amp;creator=factset&amp;DYN_ARGS=TRUE&amp;DOC_NAME=FAT:FQL_AUDITING_CLIENT_TEMPLATE.FAT&amp;display_string=Audit&amp;VAR:KEY=XEZADSLGFW&amp;VAR:QUERY=RkZfRElWX1lMRChBTk4sMTIvMTgvMDMsMTIvMTgvMDMp&amp;WINDOW=FIRST_POPUP&amp;HEIGHT=450&amp;WIDTH=450&amp;","START_MAXIMIZED=FALSE&amp;VAR:CALENDAR=US&amp;VAR:SYMBOL=MO&amp;VAR:INDEX=0"}</definedName>
    <definedName name="_904">#REF!</definedName>
    <definedName name="_904__FDSAUDITLINK__" localSheetId="0" hidden="1">{"fdsup://directions/FAT Viewer?action=UPDATE&amp;creator=factset&amp;DYN_ARGS=TRUE&amp;DOC_NAME=FAT:FQL_AUDITING_CLIENT_TEMPLATE.FAT&amp;display_string=Audit&amp;VAR:KEY=JIFMHAXKNG&amp;VAR:QUERY=RkZfRElWX1lMRChBTk4sMTIvMTEvMDMsMTIvMTEvMDMp&amp;WINDOW=FIRST_POPUP&amp;HEIGHT=450&amp;WIDTH=450&amp;","START_MAXIMIZED=FALSE&amp;VAR:CALENDAR=US&amp;VAR:SYMBOL=MO&amp;VAR:INDEX=0"}</definedName>
    <definedName name="_904__FDSAUDITLINK__" hidden="1">{"fdsup://directions/FAT Viewer?action=UPDATE&amp;creator=factset&amp;DYN_ARGS=TRUE&amp;DOC_NAME=FAT:FQL_AUDITING_CLIENT_TEMPLATE.FAT&amp;display_string=Audit&amp;VAR:KEY=JIFMHAXKNG&amp;VAR:QUERY=RkZfRElWX1lMRChBTk4sMTIvMTEvMDMsMTIvMTEvMDMp&amp;WINDOW=FIRST_POPUP&amp;HEIGHT=450&amp;WIDTH=450&amp;","START_MAXIMIZED=FALSE&amp;VAR:CALENDAR=US&amp;VAR:SYMBOL=MO&amp;VAR:INDEX=0"}</definedName>
    <definedName name="_905">#REF!</definedName>
    <definedName name="_905__FDSAUDITLINK__" localSheetId="0" hidden="1">{"fdsup://directions/FAT Viewer?action=UPDATE&amp;creator=factset&amp;DYN_ARGS=TRUE&amp;DOC_NAME=FAT:FQL_AUDITING_CLIENT_TEMPLATE.FAT&amp;display_string=Audit&amp;VAR:KEY=ZEFCTYVKVO&amp;VAR:QUERY=RkZfRElWX1lMRChBTk4sMTIvMDQvMDMsMTIvMDQvMDMp&amp;WINDOW=FIRST_POPUP&amp;HEIGHT=450&amp;WIDTH=450&amp;","START_MAXIMIZED=FALSE&amp;VAR:CALENDAR=US&amp;VAR:SYMBOL=MO&amp;VAR:INDEX=0"}</definedName>
    <definedName name="_905__FDSAUDITLINK__" hidden="1">{"fdsup://directions/FAT Viewer?action=UPDATE&amp;creator=factset&amp;DYN_ARGS=TRUE&amp;DOC_NAME=FAT:FQL_AUDITING_CLIENT_TEMPLATE.FAT&amp;display_string=Audit&amp;VAR:KEY=ZEFCTYVKVO&amp;VAR:QUERY=RkZfRElWX1lMRChBTk4sMTIvMDQvMDMsMTIvMDQvMDMp&amp;WINDOW=FIRST_POPUP&amp;HEIGHT=450&amp;WIDTH=450&amp;","START_MAXIMIZED=FALSE&amp;VAR:CALENDAR=US&amp;VAR:SYMBOL=MO&amp;VAR:INDEX=0"}</definedName>
    <definedName name="_906">#REF!</definedName>
    <definedName name="_906__FDSAUDITLINK__" localSheetId="0" hidden="1">{"fdsup://directions/FAT Viewer?action=UPDATE&amp;creator=factset&amp;DYN_ARGS=TRUE&amp;DOC_NAME=FAT:FQL_AUDITING_CLIENT_TEMPLATE.FAT&amp;display_string=Audit&amp;VAR:KEY=TEFYJSNSXW&amp;VAR:QUERY=RkZfRElWX1lMRChBTk4sMTEvMjYvMDMsMTEvMjYvMDMp&amp;WINDOW=FIRST_POPUP&amp;HEIGHT=450&amp;WIDTH=450&amp;","START_MAXIMIZED=FALSE&amp;VAR:CALENDAR=US&amp;VAR:SYMBOL=MO&amp;VAR:INDEX=0"}</definedName>
    <definedName name="_906__FDSAUDITLINK__" hidden="1">{"fdsup://directions/FAT Viewer?action=UPDATE&amp;creator=factset&amp;DYN_ARGS=TRUE&amp;DOC_NAME=FAT:FQL_AUDITING_CLIENT_TEMPLATE.FAT&amp;display_string=Audit&amp;VAR:KEY=TEFYJSNSXW&amp;VAR:QUERY=RkZfRElWX1lMRChBTk4sMTEvMjYvMDMsMTEvMjYvMDMp&amp;WINDOW=FIRST_POPUP&amp;HEIGHT=450&amp;WIDTH=450&amp;","START_MAXIMIZED=FALSE&amp;VAR:CALENDAR=US&amp;VAR:SYMBOL=MO&amp;VAR:INDEX=0"}</definedName>
    <definedName name="_907">#REF!</definedName>
    <definedName name="_907__FDSAUDITLINK__" localSheetId="0" hidden="1">{"fdsup://directions/FAT Viewer?action=UPDATE&amp;creator=factset&amp;DYN_ARGS=TRUE&amp;DOC_NAME=FAT:FQL_AUDITING_CLIENT_TEMPLATE.FAT&amp;display_string=Audit&amp;VAR:KEY=LMZQRUPORS&amp;VAR:QUERY=RkZfRElWX1lMRChBTk4sMTEvMjAvMDMsMTEvMjAvMDMp&amp;WINDOW=FIRST_POPUP&amp;HEIGHT=450&amp;WIDTH=450&amp;","START_MAXIMIZED=FALSE&amp;VAR:CALENDAR=US&amp;VAR:SYMBOL=MO&amp;VAR:INDEX=0"}</definedName>
    <definedName name="_907__FDSAUDITLINK__" hidden="1">{"fdsup://directions/FAT Viewer?action=UPDATE&amp;creator=factset&amp;DYN_ARGS=TRUE&amp;DOC_NAME=FAT:FQL_AUDITING_CLIENT_TEMPLATE.FAT&amp;display_string=Audit&amp;VAR:KEY=LMZQRUPORS&amp;VAR:QUERY=RkZfRElWX1lMRChBTk4sMTEvMjAvMDMsMTEvMjAvMDMp&amp;WINDOW=FIRST_POPUP&amp;HEIGHT=450&amp;WIDTH=450&amp;","START_MAXIMIZED=FALSE&amp;VAR:CALENDAR=US&amp;VAR:SYMBOL=MO&amp;VAR:INDEX=0"}</definedName>
    <definedName name="_908">#REF!</definedName>
    <definedName name="_908__FDSAUDITLINK__" localSheetId="0" hidden="1">{"fdsup://directions/FAT Viewer?action=UPDATE&amp;creator=factset&amp;DYN_ARGS=TRUE&amp;DOC_NAME=FAT:FQL_AUDITING_CLIENT_TEMPLATE.FAT&amp;display_string=Audit&amp;VAR:KEY=JUJWFADWJI&amp;VAR:QUERY=RkZfRElWX1lMRChBTk4sMTEvMTMvMDMsMTEvMTMvMDMp&amp;WINDOW=FIRST_POPUP&amp;HEIGHT=450&amp;WIDTH=450&amp;","START_MAXIMIZED=FALSE&amp;VAR:CALENDAR=US&amp;VAR:SYMBOL=MO&amp;VAR:INDEX=0"}</definedName>
    <definedName name="_908__FDSAUDITLINK__" hidden="1">{"fdsup://directions/FAT Viewer?action=UPDATE&amp;creator=factset&amp;DYN_ARGS=TRUE&amp;DOC_NAME=FAT:FQL_AUDITING_CLIENT_TEMPLATE.FAT&amp;display_string=Audit&amp;VAR:KEY=JUJWFADWJI&amp;VAR:QUERY=RkZfRElWX1lMRChBTk4sMTEvMTMvMDMsMTEvMTMvMDMp&amp;WINDOW=FIRST_POPUP&amp;HEIGHT=450&amp;WIDTH=450&amp;","START_MAXIMIZED=FALSE&amp;VAR:CALENDAR=US&amp;VAR:SYMBOL=MO&amp;VAR:INDEX=0"}</definedName>
    <definedName name="_909">#REF!</definedName>
    <definedName name="_909__FDSAUDITLINK__" localSheetId="0" hidden="1">{"fdsup://directions/FAT Viewer?action=UPDATE&amp;creator=factset&amp;DYN_ARGS=TRUE&amp;DOC_NAME=FAT:FQL_AUDITING_CLIENT_TEMPLATE.FAT&amp;display_string=Audit&amp;VAR:KEY=VQLKBGPSJG&amp;VAR:QUERY=RkZfRElWX1lMRChBTk4sMTEvMDYvMDMsMTEvMDYvMDMp&amp;WINDOW=FIRST_POPUP&amp;HEIGHT=450&amp;WIDTH=450&amp;","START_MAXIMIZED=FALSE&amp;VAR:CALENDAR=US&amp;VAR:SYMBOL=MO&amp;VAR:INDEX=0"}</definedName>
    <definedName name="_909__FDSAUDITLINK__" hidden="1">{"fdsup://directions/FAT Viewer?action=UPDATE&amp;creator=factset&amp;DYN_ARGS=TRUE&amp;DOC_NAME=FAT:FQL_AUDITING_CLIENT_TEMPLATE.FAT&amp;display_string=Audit&amp;VAR:KEY=VQLKBGPSJG&amp;VAR:QUERY=RkZfRElWX1lMRChBTk4sMTEvMDYvMDMsMTEvMDYvMDMp&amp;WINDOW=FIRST_POPUP&amp;HEIGHT=450&amp;WIDTH=450&amp;","START_MAXIMIZED=FALSE&amp;VAR:CALENDAR=US&amp;VAR:SYMBOL=MO&amp;VAR:INDEX=0"}</definedName>
    <definedName name="_90T1">#REF!</definedName>
    <definedName name="_90T2">#REF!</definedName>
    <definedName name="_91">#REF!</definedName>
    <definedName name="_91__123Graph_CSENS_COMPARISON">#REF!</definedName>
    <definedName name="_91__123Graph_DCONTRACT_BY_B_U">#REF!</definedName>
    <definedName name="_91__FDSAUDITLINK__" localSheetId="0" hidden="1">{"fdsup://directions/FAT Viewer?action=UPDATE&amp;creator=factset&amp;DYN_ARGS=TRUE&amp;DOC_NAME=FAT:FQL_AUDITING_CLIENT_TEMPLATE.FAT&amp;display_string=Audit&amp;VAR:KEY=HITAJKLEHM&amp;VAR:QUERY=RkZfRElWX1lMRChBTk4sNy8wOS8wOSw3LzA5LzA5KQ==&amp;WINDOW=FIRST_POPUP&amp;HEIGHT=450&amp;WIDTH=450&amp;","START_MAXIMIZED=FALSE&amp;VAR:CALENDAR=US&amp;VAR:SYMBOL=RAI&amp;VAR:INDEX=0"}</definedName>
    <definedName name="_91__FDSAUDITLINK__" hidden="1">{"fdsup://directions/FAT Viewer?action=UPDATE&amp;creator=factset&amp;DYN_ARGS=TRUE&amp;DOC_NAME=FAT:FQL_AUDITING_CLIENT_TEMPLATE.FAT&amp;display_string=Audit&amp;VAR:KEY=HITAJKLEHM&amp;VAR:QUERY=RkZfRElWX1lMRChBTk4sNy8wOS8wOSw3LzA5LzA5KQ==&amp;WINDOW=FIRST_POPUP&amp;HEIGHT=450&amp;WIDTH=450&amp;","START_MAXIMIZED=FALSE&amp;VAR:CALENDAR=US&amp;VAR:SYMBOL=RAI&amp;VAR:INDEX=0"}</definedName>
    <definedName name="_910">#REF!</definedName>
    <definedName name="_910__FDSAUDITLINK__" localSheetId="0" hidden="1">{"fdsup://directions/FAT Viewer?action=UPDATE&amp;creator=factset&amp;DYN_ARGS=TRUE&amp;DOC_NAME=FAT:FQL_AUDITING_CLIENT_TEMPLATE.FAT&amp;display_string=Audit&amp;VAR:KEY=HEVGTWNWFA&amp;VAR:QUERY=RkZfRElWX1lMRChBTk4sMTAvMzAvMDMsMTAvMzAvMDMp&amp;WINDOW=FIRST_POPUP&amp;HEIGHT=450&amp;WIDTH=450&amp;","START_MAXIMIZED=FALSE&amp;VAR:CALENDAR=US&amp;VAR:SYMBOL=MO&amp;VAR:INDEX=0"}</definedName>
    <definedName name="_910__FDSAUDITLINK__" hidden="1">{"fdsup://directions/FAT Viewer?action=UPDATE&amp;creator=factset&amp;DYN_ARGS=TRUE&amp;DOC_NAME=FAT:FQL_AUDITING_CLIENT_TEMPLATE.FAT&amp;display_string=Audit&amp;VAR:KEY=HEVGTWNWFA&amp;VAR:QUERY=RkZfRElWX1lMRChBTk4sMTAvMzAvMDMsMTAvMzAvMDMp&amp;WINDOW=FIRST_POPUP&amp;HEIGHT=450&amp;WIDTH=450&amp;","START_MAXIMIZED=FALSE&amp;VAR:CALENDAR=US&amp;VAR:SYMBOL=MO&amp;VAR:INDEX=0"}</definedName>
    <definedName name="_911">#REF!</definedName>
    <definedName name="_911__FDSAUDITLINK__" localSheetId="0" hidden="1">{"fdsup://directions/FAT Viewer?action=UPDATE&amp;creator=factset&amp;DYN_ARGS=TRUE&amp;DOC_NAME=FAT:FQL_AUDITING_CLIENT_TEMPLATE.FAT&amp;display_string=Audit&amp;VAR:KEY=TOZONIPSPO&amp;VAR:QUERY=RkZfRElWX1lMRChBTk4sMTAvMjMvMDMsMTAvMjMvMDMp&amp;WINDOW=FIRST_POPUP&amp;HEIGHT=450&amp;WIDTH=450&amp;","START_MAXIMIZED=FALSE&amp;VAR:CALENDAR=US&amp;VAR:SYMBOL=MO&amp;VAR:INDEX=0"}</definedName>
    <definedName name="_911__FDSAUDITLINK__" hidden="1">{"fdsup://directions/FAT Viewer?action=UPDATE&amp;creator=factset&amp;DYN_ARGS=TRUE&amp;DOC_NAME=FAT:FQL_AUDITING_CLIENT_TEMPLATE.FAT&amp;display_string=Audit&amp;VAR:KEY=TOZONIPSPO&amp;VAR:QUERY=RkZfRElWX1lMRChBTk4sMTAvMjMvMDMsMTAvMjMvMDMp&amp;WINDOW=FIRST_POPUP&amp;HEIGHT=450&amp;WIDTH=450&amp;","START_MAXIMIZED=FALSE&amp;VAR:CALENDAR=US&amp;VAR:SYMBOL=MO&amp;VAR:INDEX=0"}</definedName>
    <definedName name="_912">#REF!</definedName>
    <definedName name="_912__FDSAUDITLINK__" localSheetId="0" hidden="1">{"fdsup://directions/FAT Viewer?action=UPDATE&amp;creator=factset&amp;DYN_ARGS=TRUE&amp;DOC_NAME=FAT:FQL_AUDITING_CLIENT_TEMPLATE.FAT&amp;display_string=Audit&amp;VAR:KEY=XGBEJUJGHE&amp;VAR:QUERY=RkZfRElWX1lMRChBTk4sMTAvMTYvMDMsMTAvMTYvMDMp&amp;WINDOW=FIRST_POPUP&amp;HEIGHT=450&amp;WIDTH=450&amp;","START_MAXIMIZED=FALSE&amp;VAR:CALENDAR=US&amp;VAR:SYMBOL=MO&amp;VAR:INDEX=0"}</definedName>
    <definedName name="_912__FDSAUDITLINK__" hidden="1">{"fdsup://directions/FAT Viewer?action=UPDATE&amp;creator=factset&amp;DYN_ARGS=TRUE&amp;DOC_NAME=FAT:FQL_AUDITING_CLIENT_TEMPLATE.FAT&amp;display_string=Audit&amp;VAR:KEY=XGBEJUJGHE&amp;VAR:QUERY=RkZfRElWX1lMRChBTk4sMTAvMTYvMDMsMTAvMTYvMDMp&amp;WINDOW=FIRST_POPUP&amp;HEIGHT=450&amp;WIDTH=450&amp;","START_MAXIMIZED=FALSE&amp;VAR:CALENDAR=US&amp;VAR:SYMBOL=MO&amp;VAR:INDEX=0"}</definedName>
    <definedName name="_913">#REF!</definedName>
    <definedName name="_913__FDSAUDITLINK__" localSheetId="0" hidden="1">{"fdsup://directions/FAT Viewer?action=UPDATE&amp;creator=factset&amp;DYN_ARGS=TRUE&amp;DOC_NAME=FAT:FQL_AUDITING_CLIENT_TEMPLATE.FAT&amp;display_string=Audit&amp;VAR:KEY=DKFSBYBSVC&amp;VAR:QUERY=RkZfRElWX1lMRChBTk4sMTAvMDkvMDMsMTAvMDkvMDMp&amp;WINDOW=FIRST_POPUP&amp;HEIGHT=450&amp;WIDTH=450&amp;","START_MAXIMIZED=FALSE&amp;VAR:CALENDAR=US&amp;VAR:SYMBOL=MO&amp;VAR:INDEX=0"}</definedName>
    <definedName name="_913__FDSAUDITLINK__" hidden="1">{"fdsup://directions/FAT Viewer?action=UPDATE&amp;creator=factset&amp;DYN_ARGS=TRUE&amp;DOC_NAME=FAT:FQL_AUDITING_CLIENT_TEMPLATE.FAT&amp;display_string=Audit&amp;VAR:KEY=DKFSBYBSVC&amp;VAR:QUERY=RkZfRElWX1lMRChBTk4sMTAvMDkvMDMsMTAvMDkvMDMp&amp;WINDOW=FIRST_POPUP&amp;HEIGHT=450&amp;WIDTH=450&amp;","START_MAXIMIZED=FALSE&amp;VAR:CALENDAR=US&amp;VAR:SYMBOL=MO&amp;VAR:INDEX=0"}</definedName>
    <definedName name="_914">#REF!</definedName>
    <definedName name="_914__FDSAUDITLINK__" localSheetId="0" hidden="1">{"fdsup://directions/FAT Viewer?action=UPDATE&amp;creator=factset&amp;DYN_ARGS=TRUE&amp;DOC_NAME=FAT:FQL_AUDITING_CLIENT_TEMPLATE.FAT&amp;display_string=Audit&amp;VAR:KEY=RCNUFCHOTA&amp;VAR:QUERY=RkZfRElWX1lMRChBTk4sMTAvMDIvMDMsMTAvMDIvMDMp&amp;WINDOW=FIRST_POPUP&amp;HEIGHT=450&amp;WIDTH=450&amp;","START_MAXIMIZED=FALSE&amp;VAR:CALENDAR=US&amp;VAR:SYMBOL=MO&amp;VAR:INDEX=0"}</definedName>
    <definedName name="_914__FDSAUDITLINK__" hidden="1">{"fdsup://directions/FAT Viewer?action=UPDATE&amp;creator=factset&amp;DYN_ARGS=TRUE&amp;DOC_NAME=FAT:FQL_AUDITING_CLIENT_TEMPLATE.FAT&amp;display_string=Audit&amp;VAR:KEY=RCNUFCHOTA&amp;VAR:QUERY=RkZfRElWX1lMRChBTk4sMTAvMDIvMDMsMTAvMDIvMDMp&amp;WINDOW=FIRST_POPUP&amp;HEIGHT=450&amp;WIDTH=450&amp;","START_MAXIMIZED=FALSE&amp;VAR:CALENDAR=US&amp;VAR:SYMBOL=MO&amp;VAR:INDEX=0"}</definedName>
    <definedName name="_915">#REF!</definedName>
    <definedName name="_915__FDSAUDITLINK__" localSheetId="0" hidden="1">{"fdsup://directions/FAT Viewer?action=UPDATE&amp;creator=factset&amp;DYN_ARGS=TRUE&amp;DOC_NAME=FAT:FQL_AUDITING_CLIENT_TEMPLATE.FAT&amp;display_string=Audit&amp;VAR:KEY=JSBMHMXEHW&amp;VAR:QUERY=RkZfRElWX1lMRChBTk4sOS8yNS8wMyw5LzI1LzAzKQ==&amp;WINDOW=FIRST_POPUP&amp;HEIGHT=450&amp;WIDTH=450&amp;","START_MAXIMIZED=FALSE&amp;VAR:CALENDAR=US&amp;VAR:SYMBOL=MO&amp;VAR:INDEX=0"}</definedName>
    <definedName name="_915__FDSAUDITLINK__" hidden="1">{"fdsup://directions/FAT Viewer?action=UPDATE&amp;creator=factset&amp;DYN_ARGS=TRUE&amp;DOC_NAME=FAT:FQL_AUDITING_CLIENT_TEMPLATE.FAT&amp;display_string=Audit&amp;VAR:KEY=JSBMHMXEHW&amp;VAR:QUERY=RkZfRElWX1lMRChBTk4sOS8yNS8wMyw5LzI1LzAzKQ==&amp;WINDOW=FIRST_POPUP&amp;HEIGHT=450&amp;WIDTH=450&amp;","START_MAXIMIZED=FALSE&amp;VAR:CALENDAR=US&amp;VAR:SYMBOL=MO&amp;VAR:INDEX=0"}</definedName>
    <definedName name="_916">#REF!</definedName>
    <definedName name="_916__FDSAUDITLINK__" localSheetId="0" hidden="1">{"fdsup://directions/FAT Viewer?action=UPDATE&amp;creator=factset&amp;DYN_ARGS=TRUE&amp;DOC_NAME=FAT:FQL_AUDITING_CLIENT_TEMPLATE.FAT&amp;display_string=Audit&amp;VAR:KEY=RSJEHQTOXQ&amp;VAR:QUERY=RkZfRElWX1lMRChBTk4sOS8xOC8wMyw5LzE4LzAzKQ==&amp;WINDOW=FIRST_POPUP&amp;HEIGHT=450&amp;WIDTH=450&amp;","START_MAXIMIZED=FALSE&amp;VAR:CALENDAR=US&amp;VAR:SYMBOL=MO&amp;VAR:INDEX=0"}</definedName>
    <definedName name="_916__FDSAUDITLINK__" hidden="1">{"fdsup://directions/FAT Viewer?action=UPDATE&amp;creator=factset&amp;DYN_ARGS=TRUE&amp;DOC_NAME=FAT:FQL_AUDITING_CLIENT_TEMPLATE.FAT&amp;display_string=Audit&amp;VAR:KEY=RSJEHQTOXQ&amp;VAR:QUERY=RkZfRElWX1lMRChBTk4sOS8xOC8wMyw5LzE4LzAzKQ==&amp;WINDOW=FIRST_POPUP&amp;HEIGHT=450&amp;WIDTH=450&amp;","START_MAXIMIZED=FALSE&amp;VAR:CALENDAR=US&amp;VAR:SYMBOL=MO&amp;VAR:INDEX=0"}</definedName>
    <definedName name="_917__FDSAUDITLINK__" localSheetId="0" hidden="1">{"fdsup://directions/FAT Viewer?action=UPDATE&amp;creator=factset&amp;DYN_ARGS=TRUE&amp;DOC_NAME=FAT:FQL_AUDITING_CLIENT_TEMPLATE.FAT&amp;display_string=Audit&amp;VAR:KEY=LCNCLKDWNI&amp;VAR:QUERY=RkZfRElWX1lMRChBTk4sOS8xMS8wMyw5LzExLzAzKQ==&amp;WINDOW=FIRST_POPUP&amp;HEIGHT=450&amp;WIDTH=450&amp;","START_MAXIMIZED=FALSE&amp;VAR:CALENDAR=US&amp;VAR:SYMBOL=MO&amp;VAR:INDEX=0"}</definedName>
    <definedName name="_917__FDSAUDITLINK__" hidden="1">{"fdsup://directions/FAT Viewer?action=UPDATE&amp;creator=factset&amp;DYN_ARGS=TRUE&amp;DOC_NAME=FAT:FQL_AUDITING_CLIENT_TEMPLATE.FAT&amp;display_string=Audit&amp;VAR:KEY=LCNCLKDWNI&amp;VAR:QUERY=RkZfRElWX1lMRChBTk4sOS8xMS8wMyw5LzExLzAzKQ==&amp;WINDOW=FIRST_POPUP&amp;HEIGHT=450&amp;WIDTH=450&amp;","START_MAXIMIZED=FALSE&amp;VAR:CALENDAR=US&amp;VAR:SYMBOL=MO&amp;VAR:INDEX=0"}</definedName>
    <definedName name="_918__FDSAUDITLINK__" localSheetId="0" hidden="1">{"fdsup://directions/FAT Viewer?action=UPDATE&amp;creator=factset&amp;DYN_ARGS=TRUE&amp;DOC_NAME=FAT:FQL_AUDITING_CLIENT_TEMPLATE.FAT&amp;display_string=Audit&amp;VAR:KEY=DQNEJKJKTC&amp;VAR:QUERY=RkZfRElWX1lMRChBTk4sOS8wNC8wMyw5LzA0LzAzKQ==&amp;WINDOW=FIRST_POPUP&amp;HEIGHT=450&amp;WIDTH=450&amp;","START_MAXIMIZED=FALSE&amp;VAR:CALENDAR=US&amp;VAR:SYMBOL=MO&amp;VAR:INDEX=0"}</definedName>
    <definedName name="_918__FDSAUDITLINK__" hidden="1">{"fdsup://directions/FAT Viewer?action=UPDATE&amp;creator=factset&amp;DYN_ARGS=TRUE&amp;DOC_NAME=FAT:FQL_AUDITING_CLIENT_TEMPLATE.FAT&amp;display_string=Audit&amp;VAR:KEY=DQNEJKJKTC&amp;VAR:QUERY=RkZfRElWX1lMRChBTk4sOS8wNC8wMyw5LzA0LzAzKQ==&amp;WINDOW=FIRST_POPUP&amp;HEIGHT=450&amp;WIDTH=450&amp;","START_MAXIMIZED=FALSE&amp;VAR:CALENDAR=US&amp;VAR:SYMBOL=MO&amp;VAR:INDEX=0"}</definedName>
    <definedName name="_919__FDSAUDITLINK__" localSheetId="0" hidden="1">{"fdsup://directions/FAT Viewer?action=UPDATE&amp;creator=factset&amp;DYN_ARGS=TRUE&amp;DOC_NAME=FAT:FQL_AUDITING_CLIENT_TEMPLATE.FAT&amp;display_string=Audit&amp;VAR:KEY=FSRWRYBUBQ&amp;VAR:QUERY=RkZfRElWX1lMRChBTk4sOC8yOC8wMyw4LzI4LzAzKQ==&amp;WINDOW=FIRST_POPUP&amp;HEIGHT=450&amp;WIDTH=450&amp;","START_MAXIMIZED=FALSE&amp;VAR:CALENDAR=US&amp;VAR:SYMBOL=MO&amp;VAR:INDEX=0"}</definedName>
    <definedName name="_919__FDSAUDITLINK__" hidden="1">{"fdsup://directions/FAT Viewer?action=UPDATE&amp;creator=factset&amp;DYN_ARGS=TRUE&amp;DOC_NAME=FAT:FQL_AUDITING_CLIENT_TEMPLATE.FAT&amp;display_string=Audit&amp;VAR:KEY=FSRWRYBUBQ&amp;VAR:QUERY=RkZfRElWX1lMRChBTk4sOC8yOC8wMyw4LzI4LzAzKQ==&amp;WINDOW=FIRST_POPUP&amp;HEIGHT=450&amp;WIDTH=450&amp;","START_MAXIMIZED=FALSE&amp;VAR:CALENDAR=US&amp;VAR:SYMBOL=MO&amp;VAR:INDEX=0"}</definedName>
    <definedName name="_92">#REF!</definedName>
    <definedName name="_92__123Graph_EQRE_S_BY_CO.">#REF!</definedName>
    <definedName name="_92__FDSAUDITLINK__" localSheetId="0" hidden="1">{"fdsup://directions/FAT Viewer?action=UPDATE&amp;creator=factset&amp;DYN_ARGS=TRUE&amp;DOC_NAME=FAT:FQL_AUDITING_CLIENT_TEMPLATE.FAT&amp;display_string=Audit&amp;VAR:KEY=XQJYRSPYBY&amp;VAR:QUERY=RkZfRU5UUlBSX1ZBTF9EQUlMWSgwLCwsLCwnRElMJyk=&amp;WINDOW=FIRST_POPUP&amp;HEIGHT=450&amp;WIDTH=450&amp;","START_MAXIMIZED=FALSE&amp;VAR:CALENDAR=US&amp;VAR:SYMBOL=TAP&amp;VAR:INDEX=0"}</definedName>
    <definedName name="_92__FDSAUDITLINK__" hidden="1">{"fdsup://directions/FAT Viewer?action=UPDATE&amp;creator=factset&amp;DYN_ARGS=TRUE&amp;DOC_NAME=FAT:FQL_AUDITING_CLIENT_TEMPLATE.FAT&amp;display_string=Audit&amp;VAR:KEY=XQJYRSPYBY&amp;VAR:QUERY=RkZfRU5UUlBSX1ZBTF9EQUlMWSgwLCwsLCwnRElMJyk=&amp;WINDOW=FIRST_POPUP&amp;HEIGHT=450&amp;WIDTH=450&amp;","START_MAXIMIZED=FALSE&amp;VAR:CALENDAR=US&amp;VAR:SYMBOL=TAP&amp;VAR:INDEX=0"}</definedName>
    <definedName name="_920__FDSAUDITLINK__" localSheetId="0" hidden="1">{"fdsup://directions/FAT Viewer?action=UPDATE&amp;creator=factset&amp;DYN_ARGS=TRUE&amp;DOC_NAME=FAT:FQL_AUDITING_CLIENT_TEMPLATE.FAT&amp;display_string=Audit&amp;VAR:KEY=NQFAHKDMPA&amp;VAR:QUERY=RkZfRElWX1lMRChBTk4sOC8yMS8wMyw4LzIxLzAzKQ==&amp;WINDOW=FIRST_POPUP&amp;HEIGHT=450&amp;WIDTH=450&amp;","START_MAXIMIZED=FALSE&amp;VAR:CALENDAR=US&amp;VAR:SYMBOL=MO&amp;VAR:INDEX=0"}</definedName>
    <definedName name="_920__FDSAUDITLINK__" hidden="1">{"fdsup://directions/FAT Viewer?action=UPDATE&amp;creator=factset&amp;DYN_ARGS=TRUE&amp;DOC_NAME=FAT:FQL_AUDITING_CLIENT_TEMPLATE.FAT&amp;display_string=Audit&amp;VAR:KEY=NQFAHKDMPA&amp;VAR:QUERY=RkZfRElWX1lMRChBTk4sOC8yMS8wMyw4LzIxLzAzKQ==&amp;WINDOW=FIRST_POPUP&amp;HEIGHT=450&amp;WIDTH=450&amp;","START_MAXIMIZED=FALSE&amp;VAR:CALENDAR=US&amp;VAR:SYMBOL=MO&amp;VAR:INDEX=0"}</definedName>
    <definedName name="_921">#REF!</definedName>
    <definedName name="_921__FDSAUDITLINK__" localSheetId="0" hidden="1">{"fdsup://directions/FAT Viewer?action=UPDATE&amp;creator=factset&amp;DYN_ARGS=TRUE&amp;DOC_NAME=FAT:FQL_AUDITING_CLIENT_TEMPLATE.FAT&amp;display_string=Audit&amp;VAR:KEY=BEFOJIXSBE&amp;VAR:QUERY=RkZfRElWX1lMRChBTk4sOC8xNC8wMyw4LzE0LzAzKQ==&amp;WINDOW=FIRST_POPUP&amp;HEIGHT=450&amp;WIDTH=450&amp;","START_MAXIMIZED=FALSE&amp;VAR:CALENDAR=US&amp;VAR:SYMBOL=MO&amp;VAR:INDEX=0"}</definedName>
    <definedName name="_921__FDSAUDITLINK__" hidden="1">{"fdsup://directions/FAT Viewer?action=UPDATE&amp;creator=factset&amp;DYN_ARGS=TRUE&amp;DOC_NAME=FAT:FQL_AUDITING_CLIENT_TEMPLATE.FAT&amp;display_string=Audit&amp;VAR:KEY=BEFOJIXSBE&amp;VAR:QUERY=RkZfRElWX1lMRChBTk4sOC8xNC8wMyw4LzE0LzAzKQ==&amp;WINDOW=FIRST_POPUP&amp;HEIGHT=450&amp;WIDTH=450&amp;","START_MAXIMIZED=FALSE&amp;VAR:CALENDAR=US&amp;VAR:SYMBOL=MO&amp;VAR:INDEX=0"}</definedName>
    <definedName name="_922__FDSAUDITLINK__" localSheetId="0" hidden="1">{"fdsup://directions/FAT Viewer?action=UPDATE&amp;creator=factset&amp;DYN_ARGS=TRUE&amp;DOC_NAME=FAT:FQL_AUDITING_CLIENT_TEMPLATE.FAT&amp;display_string=Audit&amp;VAR:KEY=RARYXINYZY&amp;VAR:QUERY=RkZfRElWX1lMRChBTk4sOC8wNy8wMyw4LzA3LzAzKQ==&amp;WINDOW=FIRST_POPUP&amp;HEIGHT=450&amp;WIDTH=450&amp;","START_MAXIMIZED=FALSE&amp;VAR:CALENDAR=US&amp;VAR:SYMBOL=MO&amp;VAR:INDEX=0"}</definedName>
    <definedName name="_922__FDSAUDITLINK__" hidden="1">{"fdsup://directions/FAT Viewer?action=UPDATE&amp;creator=factset&amp;DYN_ARGS=TRUE&amp;DOC_NAME=FAT:FQL_AUDITING_CLIENT_TEMPLATE.FAT&amp;display_string=Audit&amp;VAR:KEY=RARYXINYZY&amp;VAR:QUERY=RkZfRElWX1lMRChBTk4sOC8wNy8wMyw4LzA3LzAzKQ==&amp;WINDOW=FIRST_POPUP&amp;HEIGHT=450&amp;WIDTH=450&amp;","START_MAXIMIZED=FALSE&amp;VAR:CALENDAR=US&amp;VAR:SYMBOL=MO&amp;VAR:INDEX=0"}</definedName>
    <definedName name="_923__FDSAUDITLINK__" localSheetId="0" hidden="1">{"fdsup://directions/FAT Viewer?action=UPDATE&amp;creator=factset&amp;DYN_ARGS=TRUE&amp;DOC_NAME=FAT:FQL_AUDITING_CLIENT_TEMPLATE.FAT&amp;display_string=Audit&amp;VAR:KEY=BEJIXSLIVS&amp;VAR:QUERY=RkZfRElWX1lMRChBTk4sNy8zMS8wMyw3LzMxLzAzKQ==&amp;WINDOW=FIRST_POPUP&amp;HEIGHT=450&amp;WIDTH=450&amp;","START_MAXIMIZED=FALSE&amp;VAR:CALENDAR=US&amp;VAR:SYMBOL=MO&amp;VAR:INDEX=0"}</definedName>
    <definedName name="_923__FDSAUDITLINK__" hidden="1">{"fdsup://directions/FAT Viewer?action=UPDATE&amp;creator=factset&amp;DYN_ARGS=TRUE&amp;DOC_NAME=FAT:FQL_AUDITING_CLIENT_TEMPLATE.FAT&amp;display_string=Audit&amp;VAR:KEY=BEJIXSLIVS&amp;VAR:QUERY=RkZfRElWX1lMRChBTk4sNy8zMS8wMyw3LzMxLzAzKQ==&amp;WINDOW=FIRST_POPUP&amp;HEIGHT=450&amp;WIDTH=450&amp;","START_MAXIMIZED=FALSE&amp;VAR:CALENDAR=US&amp;VAR:SYMBOL=MO&amp;VAR:INDEX=0"}</definedName>
    <definedName name="_924__FDSAUDITLINK__" localSheetId="0" hidden="1">{"fdsup://directions/FAT Viewer?action=UPDATE&amp;creator=factset&amp;DYN_ARGS=TRUE&amp;DOC_NAME=FAT:FQL_AUDITING_CLIENT_TEMPLATE.FAT&amp;display_string=Audit&amp;VAR:KEY=TAPUDKLMJG&amp;VAR:QUERY=RkZfRElWX1lMRChBTk4sNy8yNC8wMyw3LzI0LzAzKQ==&amp;WINDOW=FIRST_POPUP&amp;HEIGHT=450&amp;WIDTH=450&amp;","START_MAXIMIZED=FALSE&amp;VAR:CALENDAR=US&amp;VAR:SYMBOL=MO&amp;VAR:INDEX=0"}</definedName>
    <definedName name="_924__FDSAUDITLINK__" hidden="1">{"fdsup://directions/FAT Viewer?action=UPDATE&amp;creator=factset&amp;DYN_ARGS=TRUE&amp;DOC_NAME=FAT:FQL_AUDITING_CLIENT_TEMPLATE.FAT&amp;display_string=Audit&amp;VAR:KEY=TAPUDKLMJG&amp;VAR:QUERY=RkZfRElWX1lMRChBTk4sNy8yNC8wMyw3LzI0LzAzKQ==&amp;WINDOW=FIRST_POPUP&amp;HEIGHT=450&amp;WIDTH=450&amp;","START_MAXIMIZED=FALSE&amp;VAR:CALENDAR=US&amp;VAR:SYMBOL=MO&amp;VAR:INDEX=0"}</definedName>
    <definedName name="_925__FDSAUDITLINK__" localSheetId="0" hidden="1">{"fdsup://directions/FAT Viewer?action=UPDATE&amp;creator=factset&amp;DYN_ARGS=TRUE&amp;DOC_NAME=FAT:FQL_AUDITING_CLIENT_TEMPLATE.FAT&amp;display_string=Audit&amp;VAR:KEY=DSFQZCVUDO&amp;VAR:QUERY=RkZfRElWX1lMRChBTk4sNy8xNy8wMyw3LzE3LzAzKQ==&amp;WINDOW=FIRST_POPUP&amp;HEIGHT=450&amp;WIDTH=450&amp;","START_MAXIMIZED=FALSE&amp;VAR:CALENDAR=US&amp;VAR:SYMBOL=MO&amp;VAR:INDEX=0"}</definedName>
    <definedName name="_925__FDSAUDITLINK__" hidden="1">{"fdsup://directions/FAT Viewer?action=UPDATE&amp;creator=factset&amp;DYN_ARGS=TRUE&amp;DOC_NAME=FAT:FQL_AUDITING_CLIENT_TEMPLATE.FAT&amp;display_string=Audit&amp;VAR:KEY=DSFQZCVUDO&amp;VAR:QUERY=RkZfRElWX1lMRChBTk4sNy8xNy8wMyw3LzE3LzAzKQ==&amp;WINDOW=FIRST_POPUP&amp;HEIGHT=450&amp;WIDTH=450&amp;","START_MAXIMIZED=FALSE&amp;VAR:CALENDAR=US&amp;VAR:SYMBOL=MO&amp;VAR:INDEX=0"}</definedName>
    <definedName name="_926__FDSAUDITLINK__" localSheetId="0" hidden="1">{"fdsup://directions/FAT Viewer?action=UPDATE&amp;creator=factset&amp;DYN_ARGS=TRUE&amp;DOC_NAME=FAT:FQL_AUDITING_CLIENT_TEMPLATE.FAT&amp;display_string=Audit&amp;VAR:KEY=ZUPUFARYNU&amp;VAR:QUERY=RkZfRElWX1lMRChBTk4sNy8xMC8wMyw3LzEwLzAzKQ==&amp;WINDOW=FIRST_POPUP&amp;HEIGHT=450&amp;WIDTH=450&amp;","START_MAXIMIZED=FALSE&amp;VAR:CALENDAR=US&amp;VAR:SYMBOL=MO&amp;VAR:INDEX=0"}</definedName>
    <definedName name="_926__FDSAUDITLINK__" hidden="1">{"fdsup://directions/FAT Viewer?action=UPDATE&amp;creator=factset&amp;DYN_ARGS=TRUE&amp;DOC_NAME=FAT:FQL_AUDITING_CLIENT_TEMPLATE.FAT&amp;display_string=Audit&amp;VAR:KEY=ZUPUFARYNU&amp;VAR:QUERY=RkZfRElWX1lMRChBTk4sNy8xMC8wMyw3LzEwLzAzKQ==&amp;WINDOW=FIRST_POPUP&amp;HEIGHT=450&amp;WIDTH=450&amp;","START_MAXIMIZED=FALSE&amp;VAR:CALENDAR=US&amp;VAR:SYMBOL=MO&amp;VAR:INDEX=0"}</definedName>
    <definedName name="_927__FDSAUDITLINK__" localSheetId="0" hidden="1">{"fdsup://directions/FAT Viewer?action=UPDATE&amp;creator=factset&amp;DYN_ARGS=TRUE&amp;DOC_NAME=FAT:FQL_AUDITING_CLIENT_TEMPLATE.FAT&amp;display_string=Audit&amp;VAR:KEY=BMNORABYJA&amp;VAR:QUERY=RkZfRElWX1lMRChBTk4sNy8wMy8wMyw3LzAzLzAzKQ==&amp;WINDOW=FIRST_POPUP&amp;HEIGHT=450&amp;WIDTH=450&amp;","START_MAXIMIZED=FALSE&amp;VAR:CALENDAR=US&amp;VAR:SYMBOL=MO&amp;VAR:INDEX=0"}</definedName>
    <definedName name="_927__FDSAUDITLINK__" hidden="1">{"fdsup://directions/FAT Viewer?action=UPDATE&amp;creator=factset&amp;DYN_ARGS=TRUE&amp;DOC_NAME=FAT:FQL_AUDITING_CLIENT_TEMPLATE.FAT&amp;display_string=Audit&amp;VAR:KEY=BMNORABYJA&amp;VAR:QUERY=RkZfRElWX1lMRChBTk4sNy8wMy8wMyw3LzAzLzAzKQ==&amp;WINDOW=FIRST_POPUP&amp;HEIGHT=450&amp;WIDTH=450&amp;","START_MAXIMIZED=FALSE&amp;VAR:CALENDAR=US&amp;VAR:SYMBOL=MO&amp;VAR:INDEX=0"}</definedName>
    <definedName name="_928">#REF!</definedName>
    <definedName name="_928__FDSAUDITLINK__" localSheetId="0" hidden="1">{"fdsup://directions/FAT Viewer?action=UPDATE&amp;creator=factset&amp;DYN_ARGS=TRUE&amp;DOC_NAME=FAT:FQL_AUDITING_CLIENT_TEMPLATE.FAT&amp;display_string=Audit&amp;VAR:KEY=FQXIHKRWHU&amp;VAR:QUERY=RkZfRElWX1lMRChBTk4sNi8yNi8wMyw2LzI2LzAzKQ==&amp;WINDOW=FIRST_POPUP&amp;HEIGHT=450&amp;WIDTH=450&amp;","START_MAXIMIZED=FALSE&amp;VAR:CALENDAR=US&amp;VAR:SYMBOL=MO&amp;VAR:INDEX=0"}</definedName>
    <definedName name="_928__FDSAUDITLINK__" hidden="1">{"fdsup://directions/FAT Viewer?action=UPDATE&amp;creator=factset&amp;DYN_ARGS=TRUE&amp;DOC_NAME=FAT:FQL_AUDITING_CLIENT_TEMPLATE.FAT&amp;display_string=Audit&amp;VAR:KEY=FQXIHKRWHU&amp;VAR:QUERY=RkZfRElWX1lMRChBTk4sNi8yNi8wMyw2LzI2LzAzKQ==&amp;WINDOW=FIRST_POPUP&amp;HEIGHT=450&amp;WIDTH=450&amp;","START_MAXIMIZED=FALSE&amp;VAR:CALENDAR=US&amp;VAR:SYMBOL=MO&amp;VAR:INDEX=0"}</definedName>
    <definedName name="_929">#REF!</definedName>
    <definedName name="_929__FDSAUDITLINK__" localSheetId="0" hidden="1">{"fdsup://directions/FAT Viewer?action=UPDATE&amp;creator=factset&amp;DYN_ARGS=TRUE&amp;DOC_NAME=FAT:FQL_AUDITING_CLIENT_TEMPLATE.FAT&amp;display_string=Audit&amp;VAR:KEY=PYFWXCTUNA&amp;VAR:QUERY=RkZfRElWX1lMRChBTk4sNi8xOS8wMyw2LzE5LzAzKQ==&amp;WINDOW=FIRST_POPUP&amp;HEIGHT=450&amp;WIDTH=450&amp;","START_MAXIMIZED=FALSE&amp;VAR:CALENDAR=US&amp;VAR:SYMBOL=MO&amp;VAR:INDEX=0"}</definedName>
    <definedName name="_929__FDSAUDITLINK__" hidden="1">{"fdsup://directions/FAT Viewer?action=UPDATE&amp;creator=factset&amp;DYN_ARGS=TRUE&amp;DOC_NAME=FAT:FQL_AUDITING_CLIENT_TEMPLATE.FAT&amp;display_string=Audit&amp;VAR:KEY=PYFWXCTUNA&amp;VAR:QUERY=RkZfRElWX1lMRChBTk4sNi8xOS8wMyw2LzE5LzAzKQ==&amp;WINDOW=FIRST_POPUP&amp;HEIGHT=450&amp;WIDTH=450&amp;","START_MAXIMIZED=FALSE&amp;VAR:CALENDAR=US&amp;VAR:SYMBOL=MO&amp;VAR:INDEX=0"}</definedName>
    <definedName name="_92f3_" hidden="1">{#N/A,#N/A,FALSE,"BS";#N/A,#N/A,FALSE,"PL";#N/A,#N/A,FALSE,"A";#N/A,#N/A,FALSE,"B";#N/A,#N/A,FALSE,"B1";#N/A,#N/A,FALSE,"C";#N/A,#N/A,FALSE,"C1";#N/A,#N/A,FALSE,"C2";#N/A,#N/A,FALSE,"D";#N/A,#N/A,FALSE,"E";#N/A,#N/A,FALSE,"F";#N/A,#N/A,FALSE,"AA";#N/A,#N/A,FALSE,"BB";#N/A,#N/A,FALSE,"CC";#N/A,#N/A,FALSE,"DD";#N/A,#N/A,FALSE,"EE";#N/A,#N/A,FALSE,"FF";#N/A,#N/A,FALSE,"PL10";#N/A,#N/A,FALSE,"PL20";#N/A,#N/A,FALSE,"PL30"}</definedName>
    <definedName name="_93">#REF!</definedName>
    <definedName name="_93__123Graph_XQRE_S_BY_CO.">#REF!</definedName>
    <definedName name="_93__FDSAUDITLINK__" localSheetId="0" hidden="1">{"fdsup://directions/FAT Viewer?action=UPDATE&amp;creator=factset&amp;DYN_ARGS=TRUE&amp;DOC_NAME=FAT:FQL_AUDITING_CLIENT_TEMPLATE.FAT&amp;display_string=Audit&amp;VAR:KEY=ZCPGLYRQRC&amp;VAR:QUERY=RkZfRU5UUlBSX1ZBTF9EQUlMWSgwLCwsLCwnRElMJyk=&amp;WINDOW=FIRST_POPUP&amp;HEIGHT=450&amp;WIDTH=450&amp;","START_MAXIMIZED=FALSE&amp;VAR:CALENDAR=US&amp;VAR:SYMBOL=GMCR&amp;VAR:INDEX=0"}</definedName>
    <definedName name="_93__FDSAUDITLINK__" hidden="1">{"fdsup://directions/FAT Viewer?action=UPDATE&amp;creator=factset&amp;DYN_ARGS=TRUE&amp;DOC_NAME=FAT:FQL_AUDITING_CLIENT_TEMPLATE.FAT&amp;display_string=Audit&amp;VAR:KEY=ZCPGLYRQRC&amp;VAR:QUERY=RkZfRU5UUlBSX1ZBTF9EQUlMWSgwLCwsLCwnRElMJyk=&amp;WINDOW=FIRST_POPUP&amp;HEIGHT=450&amp;WIDTH=450&amp;","START_MAXIMIZED=FALSE&amp;VAR:CALENDAR=US&amp;VAR:SYMBOL=GMCR&amp;VAR:INDEX=0"}</definedName>
    <definedName name="_930__FDSAUDITLINK__" localSheetId="0" hidden="1">{"fdsup://directions/FAT Viewer?action=UPDATE&amp;creator=factset&amp;DYN_ARGS=TRUE&amp;DOC_NAME=FAT:FQL_AUDITING_CLIENT_TEMPLATE.FAT&amp;display_string=Audit&amp;VAR:KEY=TGHKTIPCPW&amp;VAR:QUERY=RkZfRElWX1lMRChBTk4sNi8xMi8wMyw2LzEyLzAzKQ==&amp;WINDOW=FIRST_POPUP&amp;HEIGHT=450&amp;WIDTH=450&amp;","START_MAXIMIZED=FALSE&amp;VAR:CALENDAR=US&amp;VAR:SYMBOL=MO&amp;VAR:INDEX=0"}</definedName>
    <definedName name="_930__FDSAUDITLINK__" hidden="1">{"fdsup://directions/FAT Viewer?action=UPDATE&amp;creator=factset&amp;DYN_ARGS=TRUE&amp;DOC_NAME=FAT:FQL_AUDITING_CLIENT_TEMPLATE.FAT&amp;display_string=Audit&amp;VAR:KEY=TGHKTIPCPW&amp;VAR:QUERY=RkZfRElWX1lMRChBTk4sNi8xMi8wMyw2LzEyLzAzKQ==&amp;WINDOW=FIRST_POPUP&amp;HEIGHT=450&amp;WIDTH=450&amp;","START_MAXIMIZED=FALSE&amp;VAR:CALENDAR=US&amp;VAR:SYMBOL=MO&amp;VAR:INDEX=0"}</definedName>
    <definedName name="_931__FDSAUDITLINK__" localSheetId="0" hidden="1">{"fdsup://directions/FAT Viewer?action=UPDATE&amp;creator=factset&amp;DYN_ARGS=TRUE&amp;DOC_NAME=FAT:FQL_AUDITING_CLIENT_TEMPLATE.FAT&amp;display_string=Audit&amp;VAR:KEY=FERMJELUNO&amp;VAR:QUERY=RkZfRElWX1lMRChBTk4sNi8wNS8wMyw2LzA1LzAzKQ==&amp;WINDOW=FIRST_POPUP&amp;HEIGHT=450&amp;WIDTH=450&amp;","START_MAXIMIZED=FALSE&amp;VAR:CALENDAR=US&amp;VAR:SYMBOL=MO&amp;VAR:INDEX=0"}</definedName>
    <definedName name="_931__FDSAUDITLINK__" hidden="1">{"fdsup://directions/FAT Viewer?action=UPDATE&amp;creator=factset&amp;DYN_ARGS=TRUE&amp;DOC_NAME=FAT:FQL_AUDITING_CLIENT_TEMPLATE.FAT&amp;display_string=Audit&amp;VAR:KEY=FERMJELUNO&amp;VAR:QUERY=RkZfRElWX1lMRChBTk4sNi8wNS8wMyw2LzA1LzAzKQ==&amp;WINDOW=FIRST_POPUP&amp;HEIGHT=450&amp;WIDTH=450&amp;","START_MAXIMIZED=FALSE&amp;VAR:CALENDAR=US&amp;VAR:SYMBOL=MO&amp;VAR:INDEX=0"}</definedName>
    <definedName name="_932__FDSAUDITLINK__" localSheetId="0" hidden="1">{"fdsup://directions/FAT Viewer?action=UPDATE&amp;creator=factset&amp;DYN_ARGS=TRUE&amp;DOC_NAME=FAT:FQL_AUDITING_CLIENT_TEMPLATE.FAT&amp;display_string=Audit&amp;VAR:KEY=JSTINMRYTO&amp;VAR:QUERY=RkZfRElWX1lMRChBTk4sNS8yOS8wMyw1LzI5LzAzKQ==&amp;WINDOW=FIRST_POPUP&amp;HEIGHT=450&amp;WIDTH=450&amp;","START_MAXIMIZED=FALSE&amp;VAR:CALENDAR=US&amp;VAR:SYMBOL=MO&amp;VAR:INDEX=0"}</definedName>
    <definedName name="_932__FDSAUDITLINK__" hidden="1">{"fdsup://directions/FAT Viewer?action=UPDATE&amp;creator=factset&amp;DYN_ARGS=TRUE&amp;DOC_NAME=FAT:FQL_AUDITING_CLIENT_TEMPLATE.FAT&amp;display_string=Audit&amp;VAR:KEY=JSTINMRYTO&amp;VAR:QUERY=RkZfRElWX1lMRChBTk4sNS8yOS8wMyw1LzI5LzAzKQ==&amp;WINDOW=FIRST_POPUP&amp;HEIGHT=450&amp;WIDTH=450&amp;","START_MAXIMIZED=FALSE&amp;VAR:CALENDAR=US&amp;VAR:SYMBOL=MO&amp;VAR:INDEX=0"}</definedName>
    <definedName name="_933">#REF!</definedName>
    <definedName name="_933__FDSAUDITLINK__" localSheetId="0" hidden="1">{"fdsup://directions/FAT Viewer?action=UPDATE&amp;creator=factset&amp;DYN_ARGS=TRUE&amp;DOC_NAME=FAT:FQL_AUDITING_CLIENT_TEMPLATE.FAT&amp;display_string=Audit&amp;VAR:KEY=REPCVETEBC&amp;VAR:QUERY=RkZfRElWX1lMRChBTk4sNS8yMi8wMyw1LzIyLzAzKQ==&amp;WINDOW=FIRST_POPUP&amp;HEIGHT=450&amp;WIDTH=450&amp;","START_MAXIMIZED=FALSE&amp;VAR:CALENDAR=US&amp;VAR:SYMBOL=MO&amp;VAR:INDEX=0"}</definedName>
    <definedName name="_933__FDSAUDITLINK__" hidden="1">{"fdsup://directions/FAT Viewer?action=UPDATE&amp;creator=factset&amp;DYN_ARGS=TRUE&amp;DOC_NAME=FAT:FQL_AUDITING_CLIENT_TEMPLATE.FAT&amp;display_string=Audit&amp;VAR:KEY=REPCVETEBC&amp;VAR:QUERY=RkZfRElWX1lMRChBTk4sNS8yMi8wMyw1LzIyLzAzKQ==&amp;WINDOW=FIRST_POPUP&amp;HEIGHT=450&amp;WIDTH=450&amp;","START_MAXIMIZED=FALSE&amp;VAR:CALENDAR=US&amp;VAR:SYMBOL=MO&amp;VAR:INDEX=0"}</definedName>
    <definedName name="_934__FDSAUDITLINK__" localSheetId="0" hidden="1">{"fdsup://directions/FAT Viewer?action=UPDATE&amp;creator=factset&amp;DYN_ARGS=TRUE&amp;DOC_NAME=FAT:FQL_AUDITING_CLIENT_TEMPLATE.FAT&amp;display_string=Audit&amp;VAR:KEY=VWBSXIVMBW&amp;VAR:QUERY=RkZfRElWX1lMRChBTk4sNS8xNS8wMyw1LzE1LzAzKQ==&amp;WINDOW=FIRST_POPUP&amp;HEIGHT=450&amp;WIDTH=450&amp;","START_MAXIMIZED=FALSE&amp;VAR:CALENDAR=US&amp;VAR:SYMBOL=MO&amp;VAR:INDEX=0"}</definedName>
    <definedName name="_934__FDSAUDITLINK__" hidden="1">{"fdsup://directions/FAT Viewer?action=UPDATE&amp;creator=factset&amp;DYN_ARGS=TRUE&amp;DOC_NAME=FAT:FQL_AUDITING_CLIENT_TEMPLATE.FAT&amp;display_string=Audit&amp;VAR:KEY=VWBSXIVMBW&amp;VAR:QUERY=RkZfRElWX1lMRChBTk4sNS8xNS8wMyw1LzE1LzAzKQ==&amp;WINDOW=FIRST_POPUP&amp;HEIGHT=450&amp;WIDTH=450&amp;","START_MAXIMIZED=FALSE&amp;VAR:CALENDAR=US&amp;VAR:SYMBOL=MO&amp;VAR:INDEX=0"}</definedName>
    <definedName name="_935__FDSAUDITLINK__" localSheetId="0" hidden="1">{"fdsup://directions/FAT Viewer?action=UPDATE&amp;creator=factset&amp;DYN_ARGS=TRUE&amp;DOC_NAME=FAT:FQL_AUDITING_CLIENT_TEMPLATE.FAT&amp;display_string=Audit&amp;VAR:KEY=DWHOTWDYLU&amp;VAR:QUERY=RkZfRElWX1lMRChBTk4sNS8wOC8wMyw1LzA4LzAzKQ==&amp;WINDOW=FIRST_POPUP&amp;HEIGHT=450&amp;WIDTH=450&amp;","START_MAXIMIZED=FALSE&amp;VAR:CALENDAR=US&amp;VAR:SYMBOL=MO&amp;VAR:INDEX=0"}</definedName>
    <definedName name="_935__FDSAUDITLINK__" hidden="1">{"fdsup://directions/FAT Viewer?action=UPDATE&amp;creator=factset&amp;DYN_ARGS=TRUE&amp;DOC_NAME=FAT:FQL_AUDITING_CLIENT_TEMPLATE.FAT&amp;display_string=Audit&amp;VAR:KEY=DWHOTWDYLU&amp;VAR:QUERY=RkZfRElWX1lMRChBTk4sNS8wOC8wMyw1LzA4LzAzKQ==&amp;WINDOW=FIRST_POPUP&amp;HEIGHT=450&amp;WIDTH=450&amp;","START_MAXIMIZED=FALSE&amp;VAR:CALENDAR=US&amp;VAR:SYMBOL=MO&amp;VAR:INDEX=0"}</definedName>
    <definedName name="_936__FDSAUDITLINK__" localSheetId="0" hidden="1">{"fdsup://directions/FAT Viewer?action=UPDATE&amp;creator=factset&amp;DYN_ARGS=TRUE&amp;DOC_NAME=FAT:FQL_AUDITING_CLIENT_TEMPLATE.FAT&amp;display_string=Audit&amp;VAR:KEY=JATMJYNMHG&amp;VAR:QUERY=RkZfRElWX1lMRChBTk4sNS8wMS8wMyw1LzAxLzAzKQ==&amp;WINDOW=FIRST_POPUP&amp;HEIGHT=450&amp;WIDTH=450&amp;","START_MAXIMIZED=FALSE&amp;VAR:CALENDAR=US&amp;VAR:SYMBOL=MO&amp;VAR:INDEX=0"}</definedName>
    <definedName name="_936__FDSAUDITLINK__" hidden="1">{"fdsup://directions/FAT Viewer?action=UPDATE&amp;creator=factset&amp;DYN_ARGS=TRUE&amp;DOC_NAME=FAT:FQL_AUDITING_CLIENT_TEMPLATE.FAT&amp;display_string=Audit&amp;VAR:KEY=JATMJYNMHG&amp;VAR:QUERY=RkZfRElWX1lMRChBTk4sNS8wMS8wMyw1LzAxLzAzKQ==&amp;WINDOW=FIRST_POPUP&amp;HEIGHT=450&amp;WIDTH=450&amp;","START_MAXIMIZED=FALSE&amp;VAR:CALENDAR=US&amp;VAR:SYMBOL=MO&amp;VAR:INDEX=0"}</definedName>
    <definedName name="_937__FDSAUDITLINK__" localSheetId="0" hidden="1">{"fdsup://directions/FAT Viewer?action=UPDATE&amp;creator=factset&amp;DYN_ARGS=TRUE&amp;DOC_NAME=FAT:FQL_AUDITING_CLIENT_TEMPLATE.FAT&amp;display_string=Audit&amp;VAR:KEY=FSZULAFYPY&amp;VAR:QUERY=RkZfRElWX1lMRChBTk4sNC8yNC8wMyw0LzI0LzAzKQ==&amp;WINDOW=FIRST_POPUP&amp;HEIGHT=450&amp;WIDTH=450&amp;","START_MAXIMIZED=FALSE&amp;VAR:CALENDAR=US&amp;VAR:SYMBOL=MO&amp;VAR:INDEX=0"}</definedName>
    <definedName name="_937__FDSAUDITLINK__" hidden="1">{"fdsup://directions/FAT Viewer?action=UPDATE&amp;creator=factset&amp;DYN_ARGS=TRUE&amp;DOC_NAME=FAT:FQL_AUDITING_CLIENT_TEMPLATE.FAT&amp;display_string=Audit&amp;VAR:KEY=FSZULAFYPY&amp;VAR:QUERY=RkZfRElWX1lMRChBTk4sNC8yNC8wMyw0LzI0LzAzKQ==&amp;WINDOW=FIRST_POPUP&amp;HEIGHT=450&amp;WIDTH=450&amp;","START_MAXIMIZED=FALSE&amp;VAR:CALENDAR=US&amp;VAR:SYMBOL=MO&amp;VAR:INDEX=0"}</definedName>
    <definedName name="_938">#REF!</definedName>
    <definedName name="_938__FDSAUDITLINK__" localSheetId="0" hidden="1">{"fdsup://directions/FAT Viewer?action=UPDATE&amp;creator=factset&amp;DYN_ARGS=TRUE&amp;DOC_NAME=FAT:FQL_AUDITING_CLIENT_TEMPLATE.FAT&amp;display_string=Audit&amp;VAR:KEY=HMXSTGFMDW&amp;VAR:QUERY=RkZfRElWX1lMRChBTk4sNC8xNy8wMyw0LzE3LzAzKQ==&amp;WINDOW=FIRST_POPUP&amp;HEIGHT=450&amp;WIDTH=450&amp;","START_MAXIMIZED=FALSE&amp;VAR:CALENDAR=US&amp;VAR:SYMBOL=MO&amp;VAR:INDEX=0"}</definedName>
    <definedName name="_938__FDSAUDITLINK__" hidden="1">{"fdsup://directions/FAT Viewer?action=UPDATE&amp;creator=factset&amp;DYN_ARGS=TRUE&amp;DOC_NAME=FAT:FQL_AUDITING_CLIENT_TEMPLATE.FAT&amp;display_string=Audit&amp;VAR:KEY=HMXSTGFMDW&amp;VAR:QUERY=RkZfRElWX1lMRChBTk4sNC8xNy8wMyw0LzE3LzAzKQ==&amp;WINDOW=FIRST_POPUP&amp;HEIGHT=450&amp;WIDTH=450&amp;","START_MAXIMIZED=FALSE&amp;VAR:CALENDAR=US&amp;VAR:SYMBOL=MO&amp;VAR:INDEX=0"}</definedName>
    <definedName name="_939">#REF!</definedName>
    <definedName name="_939__FDSAUDITLINK__" localSheetId="0" hidden="1">{"fdsup://directions/FAT Viewer?action=UPDATE&amp;creator=factset&amp;DYN_ARGS=TRUE&amp;DOC_NAME=FAT:FQL_AUDITING_CLIENT_TEMPLATE.FAT&amp;display_string=Audit&amp;VAR:KEY=NYTKVUDWBE&amp;VAR:QUERY=RkZfRElWX1lMRChBTk4sNC8xMC8wMyw0LzEwLzAzKQ==&amp;WINDOW=FIRST_POPUP&amp;HEIGHT=450&amp;WIDTH=450&amp;","START_MAXIMIZED=FALSE&amp;VAR:CALENDAR=US&amp;VAR:SYMBOL=MO&amp;VAR:INDEX=0"}</definedName>
    <definedName name="_939__FDSAUDITLINK__" hidden="1">{"fdsup://directions/FAT Viewer?action=UPDATE&amp;creator=factset&amp;DYN_ARGS=TRUE&amp;DOC_NAME=FAT:FQL_AUDITING_CLIENT_TEMPLATE.FAT&amp;display_string=Audit&amp;VAR:KEY=NYTKVUDWBE&amp;VAR:QUERY=RkZfRElWX1lMRChBTk4sNC8xMC8wMyw0LzEwLzAzKQ==&amp;WINDOW=FIRST_POPUP&amp;HEIGHT=450&amp;WIDTH=450&amp;","START_MAXIMIZED=FALSE&amp;VAR:CALENDAR=US&amp;VAR:SYMBOL=MO&amp;VAR:INDEX=0"}</definedName>
    <definedName name="_94">#REF!</definedName>
    <definedName name="_94__FDSAUDITLINK__" localSheetId="0" hidden="1">{"fdsup://directions/FAT Viewer?action=UPDATE&amp;creator=factset&amp;DYN_ARGS=TRUE&amp;DOC_NAME=FAT:FQL_AUDITING_CLIENT_TEMPLATE.FAT&amp;display_string=Audit&amp;VAR:KEY=LWZCTCFEDG&amp;VAR:QUERY=RkZfRU5UUlBSX1ZBTF9EQUlMWSgwLCwsLFVTRCwnRElMJyk=&amp;WINDOW=FIRST_POPUP&amp;HEIGHT=450&amp;WIDTH=","450&amp;START_MAXIMIZED=FALSE&amp;VAR:CALENDAR=US&amp;VAR:SYMBOL=023740&amp;VAR:INDEX=0"}</definedName>
    <definedName name="_94__FDSAUDITLINK__" hidden="1">{"fdsup://directions/FAT Viewer?action=UPDATE&amp;creator=factset&amp;DYN_ARGS=TRUE&amp;DOC_NAME=FAT:FQL_AUDITING_CLIENT_TEMPLATE.FAT&amp;display_string=Audit&amp;VAR:KEY=LWZCTCFEDG&amp;VAR:QUERY=RkZfRU5UUlBSX1ZBTF9EQUlMWSgwLCwsLFVTRCwnRElMJyk=&amp;WINDOW=FIRST_POPUP&amp;HEIGHT=450&amp;WIDTH=","450&amp;START_MAXIMIZED=FALSE&amp;VAR:CALENDAR=US&amp;VAR:SYMBOL=023740&amp;VAR:INDEX=0"}</definedName>
    <definedName name="_940">#REF!</definedName>
    <definedName name="_940__FDSAUDITLINK__" localSheetId="0" hidden="1">{"fdsup://directions/FAT Viewer?action=UPDATE&amp;creator=factset&amp;DYN_ARGS=TRUE&amp;DOC_NAME=FAT:FQL_AUDITING_CLIENT_TEMPLATE.FAT&amp;display_string=Audit&amp;VAR:KEY=LGVWTSFWZI&amp;VAR:QUERY=RkZfRElWX1lMRChBTk4sNC8wMy8wMyw0LzAzLzAzKQ==&amp;WINDOW=FIRST_POPUP&amp;HEIGHT=450&amp;WIDTH=450&amp;","START_MAXIMIZED=FALSE&amp;VAR:CALENDAR=US&amp;VAR:SYMBOL=MO&amp;VAR:INDEX=0"}</definedName>
    <definedName name="_940__FDSAUDITLINK__" hidden="1">{"fdsup://directions/FAT Viewer?action=UPDATE&amp;creator=factset&amp;DYN_ARGS=TRUE&amp;DOC_NAME=FAT:FQL_AUDITING_CLIENT_TEMPLATE.FAT&amp;display_string=Audit&amp;VAR:KEY=LGVWTSFWZI&amp;VAR:QUERY=RkZfRElWX1lMRChBTk4sNC8wMy8wMyw0LzAzLzAzKQ==&amp;WINDOW=FIRST_POPUP&amp;HEIGHT=450&amp;WIDTH=450&amp;","START_MAXIMIZED=FALSE&amp;VAR:CALENDAR=US&amp;VAR:SYMBOL=MO&amp;VAR:INDEX=0"}</definedName>
    <definedName name="_941">#REF!</definedName>
    <definedName name="_941__FDSAUDITLINK__" localSheetId="0" hidden="1">{"fdsup://directions/FAT Viewer?action=UPDATE&amp;creator=factset&amp;DYN_ARGS=TRUE&amp;DOC_NAME=FAT:FQL_AUDITING_CLIENT_TEMPLATE.FAT&amp;display_string=Audit&amp;VAR:KEY=VMPEPGBIHE&amp;VAR:QUERY=RkZfRElWX1lMRChBTk4sMy8yNy8wMywzLzI3LzAzKQ==&amp;WINDOW=FIRST_POPUP&amp;HEIGHT=450&amp;WIDTH=450&amp;","START_MAXIMIZED=FALSE&amp;VAR:CALENDAR=US&amp;VAR:SYMBOL=MO&amp;VAR:INDEX=0"}</definedName>
    <definedName name="_941__FDSAUDITLINK__" hidden="1">{"fdsup://directions/FAT Viewer?action=UPDATE&amp;creator=factset&amp;DYN_ARGS=TRUE&amp;DOC_NAME=FAT:FQL_AUDITING_CLIENT_TEMPLATE.FAT&amp;display_string=Audit&amp;VAR:KEY=VMPEPGBIHE&amp;VAR:QUERY=RkZfRElWX1lMRChBTk4sMy8yNy8wMywzLzI3LzAzKQ==&amp;WINDOW=FIRST_POPUP&amp;HEIGHT=450&amp;WIDTH=450&amp;","START_MAXIMIZED=FALSE&amp;VAR:CALENDAR=US&amp;VAR:SYMBOL=MO&amp;VAR:INDEX=0"}</definedName>
    <definedName name="_942">#REF!</definedName>
    <definedName name="_942__FDSAUDITLINK__" localSheetId="0" hidden="1">{"fdsup://directions/FAT Viewer?action=UPDATE&amp;creator=factset&amp;DYN_ARGS=TRUE&amp;DOC_NAME=FAT:FQL_AUDITING_CLIENT_TEMPLATE.FAT&amp;display_string=Audit&amp;VAR:KEY=NIZYRUFOLM&amp;VAR:QUERY=RkZfRElWX1lMRChBTk4sMy8yMC8wMywzLzIwLzAzKQ==&amp;WINDOW=FIRST_POPUP&amp;HEIGHT=450&amp;WIDTH=450&amp;","START_MAXIMIZED=FALSE&amp;VAR:CALENDAR=US&amp;VAR:SYMBOL=MO&amp;VAR:INDEX=0"}</definedName>
    <definedName name="_942__FDSAUDITLINK__" hidden="1">{"fdsup://directions/FAT Viewer?action=UPDATE&amp;creator=factset&amp;DYN_ARGS=TRUE&amp;DOC_NAME=FAT:FQL_AUDITING_CLIENT_TEMPLATE.FAT&amp;display_string=Audit&amp;VAR:KEY=NIZYRUFOLM&amp;VAR:QUERY=RkZfRElWX1lMRChBTk4sMy8yMC8wMywzLzIwLzAzKQ==&amp;WINDOW=FIRST_POPUP&amp;HEIGHT=450&amp;WIDTH=450&amp;","START_MAXIMIZED=FALSE&amp;VAR:CALENDAR=US&amp;VAR:SYMBOL=MO&amp;VAR:INDEX=0"}</definedName>
    <definedName name="_943">#REF!</definedName>
    <definedName name="_943__FDSAUDITLINK__" localSheetId="0" hidden="1">{"fdsup://directions/FAT Viewer?action=UPDATE&amp;creator=factset&amp;DYN_ARGS=TRUE&amp;DOC_NAME=FAT:FQL_AUDITING_CLIENT_TEMPLATE.FAT&amp;display_string=Audit&amp;VAR:KEY=BKNALYJALS&amp;VAR:QUERY=RkZfRElWX1lMRChBTk4sMy8xMy8wMywzLzEzLzAzKQ==&amp;WINDOW=FIRST_POPUP&amp;HEIGHT=450&amp;WIDTH=450&amp;","START_MAXIMIZED=FALSE&amp;VAR:CALENDAR=US&amp;VAR:SYMBOL=MO&amp;VAR:INDEX=0"}</definedName>
    <definedName name="_943__FDSAUDITLINK__" hidden="1">{"fdsup://directions/FAT Viewer?action=UPDATE&amp;creator=factset&amp;DYN_ARGS=TRUE&amp;DOC_NAME=FAT:FQL_AUDITING_CLIENT_TEMPLATE.FAT&amp;display_string=Audit&amp;VAR:KEY=BKNALYJALS&amp;VAR:QUERY=RkZfRElWX1lMRChBTk4sMy8xMy8wMywzLzEzLzAzKQ==&amp;WINDOW=FIRST_POPUP&amp;HEIGHT=450&amp;WIDTH=450&amp;","START_MAXIMIZED=FALSE&amp;VAR:CALENDAR=US&amp;VAR:SYMBOL=MO&amp;VAR:INDEX=0"}</definedName>
    <definedName name="_944">#REF!</definedName>
    <definedName name="_944__FDSAUDITLINK__" localSheetId="0" hidden="1">{"fdsup://directions/FAT Viewer?action=UPDATE&amp;creator=factset&amp;DYN_ARGS=TRUE&amp;DOC_NAME=FAT:FQL_AUDITING_CLIENT_TEMPLATE.FAT&amp;display_string=Audit&amp;VAR:KEY=FYDAJYVIHE&amp;VAR:QUERY=RkZfRElWX1lMRChBTk4sMy8wNi8wMywzLzA2LzAzKQ==&amp;WINDOW=FIRST_POPUP&amp;HEIGHT=450&amp;WIDTH=450&amp;","START_MAXIMIZED=FALSE&amp;VAR:CALENDAR=US&amp;VAR:SYMBOL=MO&amp;VAR:INDEX=0"}</definedName>
    <definedName name="_944__FDSAUDITLINK__" hidden="1">{"fdsup://directions/FAT Viewer?action=UPDATE&amp;creator=factset&amp;DYN_ARGS=TRUE&amp;DOC_NAME=FAT:FQL_AUDITING_CLIENT_TEMPLATE.FAT&amp;display_string=Audit&amp;VAR:KEY=FYDAJYVIHE&amp;VAR:QUERY=RkZfRElWX1lMRChBTk4sMy8wNi8wMywzLzA2LzAzKQ==&amp;WINDOW=FIRST_POPUP&amp;HEIGHT=450&amp;WIDTH=450&amp;","START_MAXIMIZED=FALSE&amp;VAR:CALENDAR=US&amp;VAR:SYMBOL=MO&amp;VAR:INDEX=0"}</definedName>
    <definedName name="_945">#REF!</definedName>
    <definedName name="_945__FDSAUDITLINK__" localSheetId="0" hidden="1">{"fdsup://directions/FAT Viewer?action=UPDATE&amp;creator=factset&amp;DYN_ARGS=TRUE&amp;DOC_NAME=FAT:FQL_AUDITING_CLIENT_TEMPLATE.FAT&amp;display_string=Audit&amp;VAR:KEY=LUTIRUXYFY&amp;VAR:QUERY=RkZfRElWX1lMRChBTk4sMi8yNy8wMywyLzI3LzAzKQ==&amp;WINDOW=FIRST_POPUP&amp;HEIGHT=450&amp;WIDTH=450&amp;","START_MAXIMIZED=FALSE&amp;VAR:CALENDAR=US&amp;VAR:SYMBOL=MO&amp;VAR:INDEX=0"}</definedName>
    <definedName name="_945__FDSAUDITLINK__" hidden="1">{"fdsup://directions/FAT Viewer?action=UPDATE&amp;creator=factset&amp;DYN_ARGS=TRUE&amp;DOC_NAME=FAT:FQL_AUDITING_CLIENT_TEMPLATE.FAT&amp;display_string=Audit&amp;VAR:KEY=LUTIRUXYFY&amp;VAR:QUERY=RkZfRElWX1lMRChBTk4sMi8yNy8wMywyLzI3LzAzKQ==&amp;WINDOW=FIRST_POPUP&amp;HEIGHT=450&amp;WIDTH=450&amp;","START_MAXIMIZED=FALSE&amp;VAR:CALENDAR=US&amp;VAR:SYMBOL=MO&amp;VAR:INDEX=0"}</definedName>
    <definedName name="_946">#REF!</definedName>
    <definedName name="_946__FDSAUDITLINK__" localSheetId="0" hidden="1">{"fdsup://directions/FAT Viewer?action=UPDATE&amp;creator=factset&amp;DYN_ARGS=TRUE&amp;DOC_NAME=FAT:FQL_AUDITING_CLIENT_TEMPLATE.FAT&amp;display_string=Audit&amp;VAR:KEY=ZGDEXYLOLK&amp;VAR:QUERY=RkZfRElWX1lMRChBTk4sMi8yMC8wMywyLzIwLzAzKQ==&amp;WINDOW=FIRST_POPUP&amp;HEIGHT=450&amp;WIDTH=450&amp;","START_MAXIMIZED=FALSE&amp;VAR:CALENDAR=US&amp;VAR:SYMBOL=MO&amp;VAR:INDEX=0"}</definedName>
    <definedName name="_946__FDSAUDITLINK__" hidden="1">{"fdsup://directions/FAT Viewer?action=UPDATE&amp;creator=factset&amp;DYN_ARGS=TRUE&amp;DOC_NAME=FAT:FQL_AUDITING_CLIENT_TEMPLATE.FAT&amp;display_string=Audit&amp;VAR:KEY=ZGDEXYLOLK&amp;VAR:QUERY=RkZfRElWX1lMRChBTk4sMi8yMC8wMywyLzIwLzAzKQ==&amp;WINDOW=FIRST_POPUP&amp;HEIGHT=450&amp;WIDTH=450&amp;","START_MAXIMIZED=FALSE&amp;VAR:CALENDAR=US&amp;VAR:SYMBOL=MO&amp;VAR:INDEX=0"}</definedName>
    <definedName name="_947">#REF!</definedName>
    <definedName name="_947__FDSAUDITLINK__" localSheetId="0" hidden="1">{"fdsup://directions/FAT Viewer?action=UPDATE&amp;creator=factset&amp;DYN_ARGS=TRUE&amp;DOC_NAME=FAT:FQL_AUDITING_CLIENT_TEMPLATE.FAT&amp;display_string=Audit&amp;VAR:KEY=BONQDWBEHM&amp;VAR:QUERY=RkZfRElWX1lMRChBTk4sMi8xMy8wMywyLzEzLzAzKQ==&amp;WINDOW=FIRST_POPUP&amp;HEIGHT=450&amp;WIDTH=450&amp;","START_MAXIMIZED=FALSE&amp;VAR:CALENDAR=US&amp;VAR:SYMBOL=MO&amp;VAR:INDEX=0"}</definedName>
    <definedName name="_947__FDSAUDITLINK__" hidden="1">{"fdsup://directions/FAT Viewer?action=UPDATE&amp;creator=factset&amp;DYN_ARGS=TRUE&amp;DOC_NAME=FAT:FQL_AUDITING_CLIENT_TEMPLATE.FAT&amp;display_string=Audit&amp;VAR:KEY=BONQDWBEHM&amp;VAR:QUERY=RkZfRElWX1lMRChBTk4sMi8xMy8wMywyLzEzLzAzKQ==&amp;WINDOW=FIRST_POPUP&amp;HEIGHT=450&amp;WIDTH=450&amp;","START_MAXIMIZED=FALSE&amp;VAR:CALENDAR=US&amp;VAR:SYMBOL=MO&amp;VAR:INDEX=0"}</definedName>
    <definedName name="_948">#REF!</definedName>
    <definedName name="_948__FDSAUDITLINK__" localSheetId="0" hidden="1">{"fdsup://directions/FAT Viewer?action=UPDATE&amp;creator=factset&amp;DYN_ARGS=TRUE&amp;DOC_NAME=FAT:FQL_AUDITING_CLIENT_TEMPLATE.FAT&amp;display_string=Audit&amp;VAR:KEY=POBCTKTSFQ&amp;VAR:QUERY=RkZfRElWX1lMRChBTk4sMi8wNi8wMywyLzA2LzAzKQ==&amp;WINDOW=FIRST_POPUP&amp;HEIGHT=450&amp;WIDTH=450&amp;","START_MAXIMIZED=FALSE&amp;VAR:CALENDAR=US&amp;VAR:SYMBOL=MO&amp;VAR:INDEX=0"}</definedName>
    <definedName name="_948__FDSAUDITLINK__" hidden="1">{"fdsup://directions/FAT Viewer?action=UPDATE&amp;creator=factset&amp;DYN_ARGS=TRUE&amp;DOC_NAME=FAT:FQL_AUDITING_CLIENT_TEMPLATE.FAT&amp;display_string=Audit&amp;VAR:KEY=POBCTKTSFQ&amp;VAR:QUERY=RkZfRElWX1lMRChBTk4sMi8wNi8wMywyLzA2LzAzKQ==&amp;WINDOW=FIRST_POPUP&amp;HEIGHT=450&amp;WIDTH=450&amp;","START_MAXIMIZED=FALSE&amp;VAR:CALENDAR=US&amp;VAR:SYMBOL=MO&amp;VAR:INDEX=0"}</definedName>
    <definedName name="_949">#REF!</definedName>
    <definedName name="_949__FDSAUDITLINK__" localSheetId="0" hidden="1">{"fdsup://directions/FAT Viewer?action=UPDATE&amp;creator=factset&amp;DYN_ARGS=TRUE&amp;DOC_NAME=FAT:FQL_AUDITING_CLIENT_TEMPLATE.FAT&amp;display_string=Audit&amp;VAR:KEY=NAZSZQRIZG&amp;VAR:QUERY=RkZfRElWX1lMRChBTk4sMS8zMC8wMywxLzMwLzAzKQ==&amp;WINDOW=FIRST_POPUP&amp;HEIGHT=450&amp;WIDTH=450&amp;","START_MAXIMIZED=FALSE&amp;VAR:CALENDAR=US&amp;VAR:SYMBOL=MO&amp;VAR:INDEX=0"}</definedName>
    <definedName name="_949__FDSAUDITLINK__" hidden="1">{"fdsup://directions/FAT Viewer?action=UPDATE&amp;creator=factset&amp;DYN_ARGS=TRUE&amp;DOC_NAME=FAT:FQL_AUDITING_CLIENT_TEMPLATE.FAT&amp;display_string=Audit&amp;VAR:KEY=NAZSZQRIZG&amp;VAR:QUERY=RkZfRElWX1lMRChBTk4sMS8zMC8wMywxLzMwLzAzKQ==&amp;WINDOW=FIRST_POPUP&amp;HEIGHT=450&amp;WIDTH=450&amp;","START_MAXIMIZED=FALSE&amp;VAR:CALENDAR=US&amp;VAR:SYMBOL=MO&amp;VAR:INDEX=0"}</definedName>
    <definedName name="_95">#REF!</definedName>
    <definedName name="_95__123Graph_LBL_BCHART_3">#REF!</definedName>
    <definedName name="_95__FDSAUDITLINK__" localSheetId="0" hidden="1">{"fdsup://directions/FAT Viewer?action=UPDATE&amp;creator=factset&amp;DYN_ARGS=TRUE&amp;DOC_NAME=FAT:FQL_AUDITING_CLIENT_TEMPLATE.FAT&amp;display_string=Audit&amp;VAR:KEY=XWVELCJUZS&amp;VAR:QUERY=RkZfRU5UUlBSX1ZBTF9EQUlMWSgwLCwsLCwnRElMJyk=&amp;WINDOW=FIRST_POPUP&amp;HEIGHT=450&amp;WIDTH=450&amp;","START_MAXIMIZED=FALSE&amp;VAR:CALENDAR=US&amp;VAR:SYMBOL=COT&amp;VAR:INDEX=0"}</definedName>
    <definedName name="_95__FDSAUDITLINK__" hidden="1">{"fdsup://directions/FAT Viewer?action=UPDATE&amp;creator=factset&amp;DYN_ARGS=TRUE&amp;DOC_NAME=FAT:FQL_AUDITING_CLIENT_TEMPLATE.FAT&amp;display_string=Audit&amp;VAR:KEY=XWVELCJUZS&amp;VAR:QUERY=RkZfRU5UUlBSX1ZBTF9EQUlMWSgwLCwsLCwnRElMJyk=&amp;WINDOW=FIRST_POPUP&amp;HEIGHT=450&amp;WIDTH=450&amp;","START_MAXIMIZED=FALSE&amp;VAR:CALENDAR=US&amp;VAR:SYMBOL=COT&amp;VAR:INDEX=0"}</definedName>
    <definedName name="_950">#REF!</definedName>
    <definedName name="_950__FDSAUDITLINK__" localSheetId="0" hidden="1">{"fdsup://directions/FAT Viewer?action=UPDATE&amp;creator=factset&amp;DYN_ARGS=TRUE&amp;DOC_NAME=FAT:FQL_AUDITING_CLIENT_TEMPLATE.FAT&amp;display_string=Audit&amp;VAR:KEY=BORCHSDENQ&amp;VAR:QUERY=RkZfRElWX1lMRChBTk4sMS8yMy8wMywxLzIzLzAzKQ==&amp;WINDOW=FIRST_POPUP&amp;HEIGHT=450&amp;WIDTH=450&amp;","START_MAXIMIZED=FALSE&amp;VAR:CALENDAR=US&amp;VAR:SYMBOL=MO&amp;VAR:INDEX=0"}</definedName>
    <definedName name="_950__FDSAUDITLINK__" hidden="1">{"fdsup://directions/FAT Viewer?action=UPDATE&amp;creator=factset&amp;DYN_ARGS=TRUE&amp;DOC_NAME=FAT:FQL_AUDITING_CLIENT_TEMPLATE.FAT&amp;display_string=Audit&amp;VAR:KEY=BORCHSDENQ&amp;VAR:QUERY=RkZfRElWX1lMRChBTk4sMS8yMy8wMywxLzIzLzAzKQ==&amp;WINDOW=FIRST_POPUP&amp;HEIGHT=450&amp;WIDTH=450&amp;","START_MAXIMIZED=FALSE&amp;VAR:CALENDAR=US&amp;VAR:SYMBOL=MO&amp;VAR:INDEX=0"}</definedName>
    <definedName name="_951">#REF!</definedName>
    <definedName name="_951__FDSAUDITLINK__" localSheetId="0" hidden="1">{"fdsup://directions/FAT Viewer?action=UPDATE&amp;creator=factset&amp;DYN_ARGS=TRUE&amp;DOC_NAME=FAT:FQL_AUDITING_CLIENT_TEMPLATE.FAT&amp;display_string=Audit&amp;VAR:KEY=HYTYPGHQLC&amp;VAR:QUERY=RkZfRElWX1lMRChBTk4sMS8xNi8wMywxLzE2LzAzKQ==&amp;WINDOW=FIRST_POPUP&amp;HEIGHT=450&amp;WIDTH=450&amp;","START_MAXIMIZED=FALSE&amp;VAR:CALENDAR=US&amp;VAR:SYMBOL=MO&amp;VAR:INDEX=0"}</definedName>
    <definedName name="_951__FDSAUDITLINK__" hidden="1">{"fdsup://directions/FAT Viewer?action=UPDATE&amp;creator=factset&amp;DYN_ARGS=TRUE&amp;DOC_NAME=FAT:FQL_AUDITING_CLIENT_TEMPLATE.FAT&amp;display_string=Audit&amp;VAR:KEY=HYTYPGHQLC&amp;VAR:QUERY=RkZfRElWX1lMRChBTk4sMS8xNi8wMywxLzE2LzAzKQ==&amp;WINDOW=FIRST_POPUP&amp;HEIGHT=450&amp;WIDTH=450&amp;","START_MAXIMIZED=FALSE&amp;VAR:CALENDAR=US&amp;VAR:SYMBOL=MO&amp;VAR:INDEX=0"}</definedName>
    <definedName name="_952">#REF!</definedName>
    <definedName name="_952__FDSAUDITLINK__" localSheetId="0" hidden="1">{"fdsup://directions/FAT Viewer?action=UPDATE&amp;creator=factset&amp;DYN_ARGS=TRUE&amp;DOC_NAME=FAT:FQL_AUDITING_CLIENT_TEMPLATE.FAT&amp;display_string=Audit&amp;VAR:KEY=NYJORUTMVU&amp;VAR:QUERY=RkZfRElWX1lMRChBTk4sMS8wOS8wMywxLzA5LzAzKQ==&amp;WINDOW=FIRST_POPUP&amp;HEIGHT=450&amp;WIDTH=450&amp;","START_MAXIMIZED=FALSE&amp;VAR:CALENDAR=US&amp;VAR:SYMBOL=MO&amp;VAR:INDEX=0"}</definedName>
    <definedName name="_952__FDSAUDITLINK__" hidden="1">{"fdsup://directions/FAT Viewer?action=UPDATE&amp;creator=factset&amp;DYN_ARGS=TRUE&amp;DOC_NAME=FAT:FQL_AUDITING_CLIENT_TEMPLATE.FAT&amp;display_string=Audit&amp;VAR:KEY=NYJORUTMVU&amp;VAR:QUERY=RkZfRElWX1lMRChBTk4sMS8wOS8wMywxLzA5LzAzKQ==&amp;WINDOW=FIRST_POPUP&amp;HEIGHT=450&amp;WIDTH=450&amp;","START_MAXIMIZED=FALSE&amp;VAR:CALENDAR=US&amp;VAR:SYMBOL=MO&amp;VAR:INDEX=0"}</definedName>
    <definedName name="_953">#REF!</definedName>
    <definedName name="_953__FDSAUDITLINK__" localSheetId="0" hidden="1">{"fdsup://directions/FAT Viewer?action=UPDATE&amp;creator=factset&amp;DYN_ARGS=TRUE&amp;DOC_NAME=FAT:FQL_AUDITING_CLIENT_TEMPLATE.FAT&amp;display_string=Audit&amp;VAR:KEY=BSDINQRYTW&amp;VAR:QUERY=RkZfRElWX1lMRChBTk4sMS8wMi8wMywxLzAyLzAzKQ==&amp;WINDOW=FIRST_POPUP&amp;HEIGHT=450&amp;WIDTH=450&amp;","START_MAXIMIZED=FALSE&amp;VAR:CALENDAR=US&amp;VAR:SYMBOL=MO&amp;VAR:INDEX=0"}</definedName>
    <definedName name="_953__FDSAUDITLINK__" hidden="1">{"fdsup://directions/FAT Viewer?action=UPDATE&amp;creator=factset&amp;DYN_ARGS=TRUE&amp;DOC_NAME=FAT:FQL_AUDITING_CLIENT_TEMPLATE.FAT&amp;display_string=Audit&amp;VAR:KEY=BSDINQRYTW&amp;VAR:QUERY=RkZfRElWX1lMRChBTk4sMS8wMi8wMywxLzAyLzAzKQ==&amp;WINDOW=FIRST_POPUP&amp;HEIGHT=450&amp;WIDTH=450&amp;","START_MAXIMIZED=FALSE&amp;VAR:CALENDAR=US&amp;VAR:SYMBOL=MO&amp;VAR:INDEX=0"}</definedName>
    <definedName name="_954">#REF!</definedName>
    <definedName name="_954__FDSAUDITLINK__" localSheetId="0" hidden="1">{"fdsup://directions/FAT Viewer?action=UPDATE&amp;creator=factset&amp;DYN_ARGS=TRUE&amp;DOC_NAME=FAT:FQL_AUDITING_CLIENT_TEMPLATE.FAT&amp;display_string=Audit&amp;VAR:KEY=NKBKXYHMZS&amp;VAR:QUERY=RkZfRElWX1lMRChBTk4sMTIvMjYvMDIsMTIvMjYvMDIp&amp;WINDOW=FIRST_POPUP&amp;HEIGHT=450&amp;WIDTH=450&amp;","START_MAXIMIZED=FALSE&amp;VAR:CALENDAR=US&amp;VAR:SYMBOL=MO&amp;VAR:INDEX=0"}</definedName>
    <definedName name="_954__FDSAUDITLINK__" hidden="1">{"fdsup://directions/FAT Viewer?action=UPDATE&amp;creator=factset&amp;DYN_ARGS=TRUE&amp;DOC_NAME=FAT:FQL_AUDITING_CLIENT_TEMPLATE.FAT&amp;display_string=Audit&amp;VAR:KEY=NKBKXYHMZS&amp;VAR:QUERY=RkZfRElWX1lMRChBTk4sMTIvMjYvMDIsMTIvMjYvMDIp&amp;WINDOW=FIRST_POPUP&amp;HEIGHT=450&amp;WIDTH=450&amp;","START_MAXIMIZED=FALSE&amp;VAR:CALENDAR=US&amp;VAR:SYMBOL=MO&amp;VAR:INDEX=0"}</definedName>
    <definedName name="_955">#REF!</definedName>
    <definedName name="_955__FDSAUDITLINK__" localSheetId="0" hidden="1">{"fdsup://directions/FAT Viewer?action=UPDATE&amp;creator=factset&amp;DYN_ARGS=TRUE&amp;DOC_NAME=FAT:FQL_AUDITING_CLIENT_TEMPLATE.FAT&amp;display_string=Audit&amp;VAR:KEY=POZYDUTMJQ&amp;VAR:QUERY=RkZfRElWX1lMRChBTk4sMTIvMTkvMDIsMTIvMTkvMDIp&amp;WINDOW=FIRST_POPUP&amp;HEIGHT=450&amp;WIDTH=450&amp;","START_MAXIMIZED=FALSE&amp;VAR:CALENDAR=US&amp;VAR:SYMBOL=MO&amp;VAR:INDEX=0"}</definedName>
    <definedName name="_955__FDSAUDITLINK__" hidden="1">{"fdsup://directions/FAT Viewer?action=UPDATE&amp;creator=factset&amp;DYN_ARGS=TRUE&amp;DOC_NAME=FAT:FQL_AUDITING_CLIENT_TEMPLATE.FAT&amp;display_string=Audit&amp;VAR:KEY=POZYDUTMJQ&amp;VAR:QUERY=RkZfRElWX1lMRChBTk4sMTIvMTkvMDIsMTIvMTkvMDIp&amp;WINDOW=FIRST_POPUP&amp;HEIGHT=450&amp;WIDTH=450&amp;","START_MAXIMIZED=FALSE&amp;VAR:CALENDAR=US&amp;VAR:SYMBOL=MO&amp;VAR:INDEX=0"}</definedName>
    <definedName name="_956">#REF!</definedName>
    <definedName name="_956__FDSAUDITLINK__" localSheetId="0" hidden="1">{"fdsup://directions/FAT Viewer?action=UPDATE&amp;creator=factset&amp;DYN_ARGS=TRUE&amp;DOC_NAME=FAT:FQL_AUDITING_CLIENT_TEMPLATE.FAT&amp;display_string=Audit&amp;VAR:KEY=HOVCPOBIHS&amp;VAR:QUERY=RkZfRElWX1lMRChBTk4sMTIvMTIvMDIsMTIvMTIvMDIp&amp;WINDOW=FIRST_POPUP&amp;HEIGHT=450&amp;WIDTH=450&amp;","START_MAXIMIZED=FALSE&amp;VAR:CALENDAR=US&amp;VAR:SYMBOL=MO&amp;VAR:INDEX=0"}</definedName>
    <definedName name="_956__FDSAUDITLINK__" hidden="1">{"fdsup://directions/FAT Viewer?action=UPDATE&amp;creator=factset&amp;DYN_ARGS=TRUE&amp;DOC_NAME=FAT:FQL_AUDITING_CLIENT_TEMPLATE.FAT&amp;display_string=Audit&amp;VAR:KEY=HOVCPOBIHS&amp;VAR:QUERY=RkZfRElWX1lMRChBTk4sMTIvMTIvMDIsMTIvMTIvMDIp&amp;WINDOW=FIRST_POPUP&amp;HEIGHT=450&amp;WIDTH=450&amp;","START_MAXIMIZED=FALSE&amp;VAR:CALENDAR=US&amp;VAR:SYMBOL=MO&amp;VAR:INDEX=0"}</definedName>
    <definedName name="_957">#REF!</definedName>
    <definedName name="_957__FDSAUDITLINK__" localSheetId="0" hidden="1">{"fdsup://directions/FAT Viewer?action=UPDATE&amp;creator=factset&amp;DYN_ARGS=TRUE&amp;DOC_NAME=FAT:FQL_AUDITING_CLIENT_TEMPLATE.FAT&amp;display_string=Audit&amp;VAR:KEY=DARYDKFKJY&amp;VAR:QUERY=RkZfRElWX1lMRChBTk4sMTIvMDUvMDIsMTIvMDUvMDIp&amp;WINDOW=FIRST_POPUP&amp;HEIGHT=450&amp;WIDTH=450&amp;","START_MAXIMIZED=FALSE&amp;VAR:CALENDAR=US&amp;VAR:SYMBOL=MO&amp;VAR:INDEX=0"}</definedName>
    <definedName name="_957__FDSAUDITLINK__" hidden="1">{"fdsup://directions/FAT Viewer?action=UPDATE&amp;creator=factset&amp;DYN_ARGS=TRUE&amp;DOC_NAME=FAT:FQL_AUDITING_CLIENT_TEMPLATE.FAT&amp;display_string=Audit&amp;VAR:KEY=DARYDKFKJY&amp;VAR:QUERY=RkZfRElWX1lMRChBTk4sMTIvMDUvMDIsMTIvMDUvMDIp&amp;WINDOW=FIRST_POPUP&amp;HEIGHT=450&amp;WIDTH=450&amp;","START_MAXIMIZED=FALSE&amp;VAR:CALENDAR=US&amp;VAR:SYMBOL=MO&amp;VAR:INDEX=0"}</definedName>
    <definedName name="_958">#REF!</definedName>
    <definedName name="_958__FDSAUDITLINK__" localSheetId="0" hidden="1">{"fdsup://directions/FAT Viewer?action=UPDATE&amp;creator=factset&amp;DYN_ARGS=TRUE&amp;DOC_NAME=FAT:FQL_AUDITING_CLIENT_TEMPLATE.FAT&amp;display_string=Audit&amp;VAR:KEY=DYDAVYVQRI&amp;VAR:QUERY=RkZfRElWX1lMRChBTk4sMTEvMjcvMDIsMTEvMjcvMDIp&amp;WINDOW=FIRST_POPUP&amp;HEIGHT=450&amp;WIDTH=450&amp;","START_MAXIMIZED=FALSE&amp;VAR:CALENDAR=US&amp;VAR:SYMBOL=MO&amp;VAR:INDEX=0"}</definedName>
    <definedName name="_958__FDSAUDITLINK__" hidden="1">{"fdsup://directions/FAT Viewer?action=UPDATE&amp;creator=factset&amp;DYN_ARGS=TRUE&amp;DOC_NAME=FAT:FQL_AUDITING_CLIENT_TEMPLATE.FAT&amp;display_string=Audit&amp;VAR:KEY=DYDAVYVQRI&amp;VAR:QUERY=RkZfRElWX1lMRChBTk4sMTEvMjcvMDIsMTEvMjcvMDIp&amp;WINDOW=FIRST_POPUP&amp;HEIGHT=450&amp;WIDTH=450&amp;","START_MAXIMIZED=FALSE&amp;VAR:CALENDAR=US&amp;VAR:SYMBOL=MO&amp;VAR:INDEX=0"}</definedName>
    <definedName name="_959">#REF!</definedName>
    <definedName name="_959__FDSAUDITLINK__" localSheetId="0" hidden="1">{"fdsup://directions/FAT Viewer?action=UPDATE&amp;creator=factset&amp;DYN_ARGS=TRUE&amp;DOC_NAME=FAT:FQL_AUDITING_CLIENT_TEMPLATE.FAT&amp;display_string=Audit&amp;VAR:KEY=FGVKXGTKLA&amp;VAR:QUERY=RkZfRElWX1lMRChBTk4sMTEvMjEvMDIsMTEvMjEvMDIp&amp;WINDOW=FIRST_POPUP&amp;HEIGHT=450&amp;WIDTH=450&amp;","START_MAXIMIZED=FALSE&amp;VAR:CALENDAR=US&amp;VAR:SYMBOL=MO&amp;VAR:INDEX=0"}</definedName>
    <definedName name="_959__FDSAUDITLINK__" hidden="1">{"fdsup://directions/FAT Viewer?action=UPDATE&amp;creator=factset&amp;DYN_ARGS=TRUE&amp;DOC_NAME=FAT:FQL_AUDITING_CLIENT_TEMPLATE.FAT&amp;display_string=Audit&amp;VAR:KEY=FGVKXGTKLA&amp;VAR:QUERY=RkZfRElWX1lMRChBTk4sMTEvMjEvMDIsMTEvMjEvMDIp&amp;WINDOW=FIRST_POPUP&amp;HEIGHT=450&amp;WIDTH=450&amp;","START_MAXIMIZED=FALSE&amp;VAR:CALENDAR=US&amp;VAR:SYMBOL=MO&amp;VAR:INDEX=0"}</definedName>
    <definedName name="_96">#REF!</definedName>
    <definedName name="_96__123Graph_CSUPPLIES_BY_B_U">#REF!</definedName>
    <definedName name="_96__123Graph_DQRE_S_BY_CO.">#REF!</definedName>
    <definedName name="_96__123Graph_ESUPPLIES_BY_B_U">#REF!</definedName>
    <definedName name="_96__123Graph_XQRE_S_BY_TYPE">#REF!</definedName>
    <definedName name="_96__FDSAUDITLINK__" localSheetId="0" hidden="1">{"fdsup://directions/FAT Viewer?action=UPDATE&amp;creator=factset&amp;DYN_ARGS=TRUE&amp;DOC_NAME=FAT:FQL_AUDITING_CLIENT_TEMPLATE.FAT&amp;display_string=Audit&amp;VAR:KEY=XIPARWZSLC&amp;VAR:QUERY=RkZfRU5UUlBSX1ZBTF9EQUlMWSgwLCwsLCwnRElMJyk=&amp;WINDOW=FIRST_POPUP&amp;HEIGHT=450&amp;WIDTH=450&amp;","START_MAXIMIZED=FALSE&amp;VAR:CALENDAR=US&amp;VAR:SYMBOL=STZ&amp;VAR:INDEX=0"}</definedName>
    <definedName name="_96__FDSAUDITLINK__" hidden="1">{"fdsup://directions/FAT Viewer?action=UPDATE&amp;creator=factset&amp;DYN_ARGS=TRUE&amp;DOC_NAME=FAT:FQL_AUDITING_CLIENT_TEMPLATE.FAT&amp;display_string=Audit&amp;VAR:KEY=XIPARWZSLC&amp;VAR:QUERY=RkZfRU5UUlBSX1ZBTF9EQUlMWSgwLCwsLCwnRElMJyk=&amp;WINDOW=FIRST_POPUP&amp;HEIGHT=450&amp;WIDTH=450&amp;","START_MAXIMIZED=FALSE&amp;VAR:CALENDAR=US&amp;VAR:SYMBOL=STZ&amp;VAR:INDEX=0"}</definedName>
    <definedName name="_960">#REF!</definedName>
    <definedName name="_960__FDSAUDITLINK__" localSheetId="0" hidden="1">{"fdsup://directions/FAT Viewer?action=UPDATE&amp;creator=factset&amp;DYN_ARGS=TRUE&amp;DOC_NAME=FAT:FQL_AUDITING_CLIENT_TEMPLATE.FAT&amp;display_string=Audit&amp;VAR:KEY=NQRKHIXUVM&amp;VAR:QUERY=RkZfRElWX1lMRChBTk4sMTEvMTQvMDIsMTEvMTQvMDIp&amp;WINDOW=FIRST_POPUP&amp;HEIGHT=450&amp;WIDTH=450&amp;","START_MAXIMIZED=FALSE&amp;VAR:CALENDAR=US&amp;VAR:SYMBOL=MO&amp;VAR:INDEX=0"}</definedName>
    <definedName name="_960__FDSAUDITLINK__" hidden="1">{"fdsup://directions/FAT Viewer?action=UPDATE&amp;creator=factset&amp;DYN_ARGS=TRUE&amp;DOC_NAME=FAT:FQL_AUDITING_CLIENT_TEMPLATE.FAT&amp;display_string=Audit&amp;VAR:KEY=NQRKHIXUVM&amp;VAR:QUERY=RkZfRElWX1lMRChBTk4sMTEvMTQvMDIsMTEvMTQvMDIp&amp;WINDOW=FIRST_POPUP&amp;HEIGHT=450&amp;WIDTH=450&amp;","START_MAXIMIZED=FALSE&amp;VAR:CALENDAR=US&amp;VAR:SYMBOL=MO&amp;VAR:INDEX=0"}</definedName>
    <definedName name="_961__FDSAUDITLINK__" localSheetId="0" hidden="1">{"fdsup://directions/FAT Viewer?action=UPDATE&amp;creator=factset&amp;DYN_ARGS=TRUE&amp;DOC_NAME=FAT:FQL_AUDITING_CLIENT_TEMPLATE.FAT&amp;display_string=Audit&amp;VAR:KEY=TABEJSZKNS&amp;VAR:QUERY=RkZfRElWX1lMRChBTk4sMTEvMDcvMDIsMTEvMDcvMDIp&amp;WINDOW=FIRST_POPUP&amp;HEIGHT=450&amp;WIDTH=450&amp;","START_MAXIMIZED=FALSE&amp;VAR:CALENDAR=US&amp;VAR:SYMBOL=MO&amp;VAR:INDEX=0"}</definedName>
    <definedName name="_961__FDSAUDITLINK__" hidden="1">{"fdsup://directions/FAT Viewer?action=UPDATE&amp;creator=factset&amp;DYN_ARGS=TRUE&amp;DOC_NAME=FAT:FQL_AUDITING_CLIENT_TEMPLATE.FAT&amp;display_string=Audit&amp;VAR:KEY=TABEJSZKNS&amp;VAR:QUERY=RkZfRElWX1lMRChBTk4sMTEvMDcvMDIsMTEvMDcvMDIp&amp;WINDOW=FIRST_POPUP&amp;HEIGHT=450&amp;WIDTH=450&amp;","START_MAXIMIZED=FALSE&amp;VAR:CALENDAR=US&amp;VAR:SYMBOL=MO&amp;VAR:INDEX=0"}</definedName>
    <definedName name="_962">#REF!</definedName>
    <definedName name="_962__FDSAUDITLINK__" localSheetId="0" hidden="1">{"fdsup://directions/FAT Viewer?action=UPDATE&amp;creator=factset&amp;DYN_ARGS=TRUE&amp;DOC_NAME=FAT:FQL_AUDITING_CLIENT_TEMPLATE.FAT&amp;display_string=Audit&amp;VAR:KEY=XMPIZQVMBW&amp;VAR:QUERY=RkZfRElWX1lMRChBTk4sMTAvMzEvMDIsMTAvMzEvMDIp&amp;WINDOW=FIRST_POPUP&amp;HEIGHT=450&amp;WIDTH=450&amp;","START_MAXIMIZED=FALSE&amp;VAR:CALENDAR=US&amp;VAR:SYMBOL=MO&amp;VAR:INDEX=0"}</definedName>
    <definedName name="_962__FDSAUDITLINK__" hidden="1">{"fdsup://directions/FAT Viewer?action=UPDATE&amp;creator=factset&amp;DYN_ARGS=TRUE&amp;DOC_NAME=FAT:FQL_AUDITING_CLIENT_TEMPLATE.FAT&amp;display_string=Audit&amp;VAR:KEY=XMPIZQVMBW&amp;VAR:QUERY=RkZfRElWX1lMRChBTk4sMTAvMzEvMDIsMTAvMzEvMDIp&amp;WINDOW=FIRST_POPUP&amp;HEIGHT=450&amp;WIDTH=450&amp;","START_MAXIMIZED=FALSE&amp;VAR:CALENDAR=US&amp;VAR:SYMBOL=MO&amp;VAR:INDEX=0"}</definedName>
    <definedName name="_963">#REF!</definedName>
    <definedName name="_963__FDSAUDITLINK__" localSheetId="0" hidden="1">{"fdsup://directions/FAT Viewer?action=UPDATE&amp;creator=factset&amp;DYN_ARGS=TRUE&amp;DOC_NAME=FAT:FQL_AUDITING_CLIENT_TEMPLATE.FAT&amp;display_string=Audit&amp;VAR:KEY=DKXQJGVULS&amp;VAR:QUERY=RkZfRElWX1lMRChBTk4sMTAvMjQvMDIsMTAvMjQvMDIp&amp;WINDOW=FIRST_POPUP&amp;HEIGHT=450&amp;WIDTH=450&amp;","START_MAXIMIZED=FALSE&amp;VAR:CALENDAR=US&amp;VAR:SYMBOL=MO&amp;VAR:INDEX=0"}</definedName>
    <definedName name="_963__FDSAUDITLINK__" hidden="1">{"fdsup://directions/FAT Viewer?action=UPDATE&amp;creator=factset&amp;DYN_ARGS=TRUE&amp;DOC_NAME=FAT:FQL_AUDITING_CLIENT_TEMPLATE.FAT&amp;display_string=Audit&amp;VAR:KEY=DKXQJGVULS&amp;VAR:QUERY=RkZfRElWX1lMRChBTk4sMTAvMjQvMDIsMTAvMjQvMDIp&amp;WINDOW=FIRST_POPUP&amp;HEIGHT=450&amp;WIDTH=450&amp;","START_MAXIMIZED=FALSE&amp;VAR:CALENDAR=US&amp;VAR:SYMBOL=MO&amp;VAR:INDEX=0"}</definedName>
    <definedName name="_964__FDSAUDITLINK__" localSheetId="0" hidden="1">{"fdsup://directions/FAT Viewer?action=UPDATE&amp;creator=factset&amp;DYN_ARGS=TRUE&amp;DOC_NAME=FAT:FQL_AUDITING_CLIENT_TEMPLATE.FAT&amp;display_string=Audit&amp;VAR:KEY=LOJGTGNSZW&amp;VAR:QUERY=RkZfRElWX1lMRChBTk4sMTAvMTcvMDIsMTAvMTcvMDIp&amp;WINDOW=FIRST_POPUP&amp;HEIGHT=450&amp;WIDTH=450&amp;","START_MAXIMIZED=FALSE&amp;VAR:CALENDAR=US&amp;VAR:SYMBOL=MO&amp;VAR:INDEX=0"}</definedName>
    <definedName name="_964__FDSAUDITLINK__" hidden="1">{"fdsup://directions/FAT Viewer?action=UPDATE&amp;creator=factset&amp;DYN_ARGS=TRUE&amp;DOC_NAME=FAT:FQL_AUDITING_CLIENT_TEMPLATE.FAT&amp;display_string=Audit&amp;VAR:KEY=LOJGTGNSZW&amp;VAR:QUERY=RkZfRElWX1lMRChBTk4sMTAvMTcvMDIsMTAvMTcvMDIp&amp;WINDOW=FIRST_POPUP&amp;HEIGHT=450&amp;WIDTH=450&amp;","START_MAXIMIZED=FALSE&amp;VAR:CALENDAR=US&amp;VAR:SYMBOL=MO&amp;VAR:INDEX=0"}</definedName>
    <definedName name="_965">#REF!</definedName>
    <definedName name="_965__FDSAUDITLINK__" localSheetId="0" hidden="1">{"fdsup://directions/FAT Viewer?action=UPDATE&amp;creator=factset&amp;DYN_ARGS=TRUE&amp;DOC_NAME=FAT:FQL_AUDITING_CLIENT_TEMPLATE.FAT&amp;display_string=Audit&amp;VAR:KEY=FIPYBATGPU&amp;VAR:QUERY=RkZfRElWX1lMRChBTk4sMTAvMTAvMDIsMTAvMTAvMDIp&amp;WINDOW=FIRST_POPUP&amp;HEIGHT=450&amp;WIDTH=450&amp;","START_MAXIMIZED=FALSE&amp;VAR:CALENDAR=US&amp;VAR:SYMBOL=MO&amp;VAR:INDEX=0"}</definedName>
    <definedName name="_965__FDSAUDITLINK__" hidden="1">{"fdsup://directions/FAT Viewer?action=UPDATE&amp;creator=factset&amp;DYN_ARGS=TRUE&amp;DOC_NAME=FAT:FQL_AUDITING_CLIENT_TEMPLATE.FAT&amp;display_string=Audit&amp;VAR:KEY=FIPYBATGPU&amp;VAR:QUERY=RkZfRElWX1lMRChBTk4sMTAvMTAvMDIsMTAvMTAvMDIp&amp;WINDOW=FIRST_POPUP&amp;HEIGHT=450&amp;WIDTH=450&amp;","START_MAXIMIZED=FALSE&amp;VAR:CALENDAR=US&amp;VAR:SYMBOL=MO&amp;VAR:INDEX=0"}</definedName>
    <definedName name="_966">#REF!</definedName>
    <definedName name="_966__FDSAUDITLINK__" localSheetId="0" hidden="1">{"fdsup://directions/FAT Viewer?action=UPDATE&amp;creator=factset&amp;DYN_ARGS=TRUE&amp;DOC_NAME=FAT:FQL_AUDITING_CLIENT_TEMPLATE.FAT&amp;display_string=Audit&amp;VAR:KEY=HWHCZCXQRI&amp;VAR:QUERY=RkZfRElWX1lMRChBTk4sMTAvMDMvMDIsMTAvMDMvMDIp&amp;WINDOW=FIRST_POPUP&amp;HEIGHT=450&amp;WIDTH=450&amp;","START_MAXIMIZED=FALSE&amp;VAR:CALENDAR=US&amp;VAR:SYMBOL=MO&amp;VAR:INDEX=0"}</definedName>
    <definedName name="_966__FDSAUDITLINK__" hidden="1">{"fdsup://directions/FAT Viewer?action=UPDATE&amp;creator=factset&amp;DYN_ARGS=TRUE&amp;DOC_NAME=FAT:FQL_AUDITING_CLIENT_TEMPLATE.FAT&amp;display_string=Audit&amp;VAR:KEY=HWHCZCXQRI&amp;VAR:QUERY=RkZfRElWX1lMRChBTk4sMTAvMDMvMDIsMTAvMDMvMDIp&amp;WINDOW=FIRST_POPUP&amp;HEIGHT=450&amp;WIDTH=450&amp;","START_MAXIMIZED=FALSE&amp;VAR:CALENDAR=US&amp;VAR:SYMBOL=MO&amp;VAR:INDEX=0"}</definedName>
    <definedName name="_967__FDSAUDITLINK__" localSheetId="0" hidden="1">{"fdsup://directions/FAT Viewer?action=UPDATE&amp;creator=factset&amp;DYN_ARGS=TRUE&amp;DOC_NAME=FAT:FQL_AUDITING_CLIENT_TEMPLATE.FAT&amp;display_string=Audit&amp;VAR:KEY=JINIXENADY&amp;VAR:QUERY=RkZfRElWX1lMRChBTk4sOS8yNi8wMiw5LzI2LzAyKQ==&amp;WINDOW=FIRST_POPUP&amp;HEIGHT=450&amp;WIDTH=450&amp;","START_MAXIMIZED=FALSE&amp;VAR:CALENDAR=US&amp;VAR:SYMBOL=MO&amp;VAR:INDEX=0"}</definedName>
    <definedName name="_967__FDSAUDITLINK__" hidden="1">{"fdsup://directions/FAT Viewer?action=UPDATE&amp;creator=factset&amp;DYN_ARGS=TRUE&amp;DOC_NAME=FAT:FQL_AUDITING_CLIENT_TEMPLATE.FAT&amp;display_string=Audit&amp;VAR:KEY=JINIXENADY&amp;VAR:QUERY=RkZfRElWX1lMRChBTk4sOS8yNi8wMiw5LzI2LzAyKQ==&amp;WINDOW=FIRST_POPUP&amp;HEIGHT=450&amp;WIDTH=450&amp;","START_MAXIMIZED=FALSE&amp;VAR:CALENDAR=US&amp;VAR:SYMBOL=MO&amp;VAR:INDEX=0"}</definedName>
    <definedName name="_968__FDSAUDITLINK__" localSheetId="0" hidden="1">{"fdsup://directions/FAT Viewer?action=UPDATE&amp;creator=factset&amp;DYN_ARGS=TRUE&amp;DOC_NAME=FAT:FQL_AUDITING_CLIENT_TEMPLATE.FAT&amp;display_string=Audit&amp;VAR:KEY=PQXOLKNSZK&amp;VAR:QUERY=RkZfRElWX1lMRChBTk4sOS8xOS8wMiw5LzE5LzAyKQ==&amp;WINDOW=FIRST_POPUP&amp;HEIGHT=450&amp;WIDTH=450&amp;","START_MAXIMIZED=FALSE&amp;VAR:CALENDAR=US&amp;VAR:SYMBOL=MO&amp;VAR:INDEX=0"}</definedName>
    <definedName name="_968__FDSAUDITLINK__" hidden="1">{"fdsup://directions/FAT Viewer?action=UPDATE&amp;creator=factset&amp;DYN_ARGS=TRUE&amp;DOC_NAME=FAT:FQL_AUDITING_CLIENT_TEMPLATE.FAT&amp;display_string=Audit&amp;VAR:KEY=PQXOLKNSZK&amp;VAR:QUERY=RkZfRElWX1lMRChBTk4sOS8xOS8wMiw5LzE5LzAyKQ==&amp;WINDOW=FIRST_POPUP&amp;HEIGHT=450&amp;WIDTH=450&amp;","START_MAXIMIZED=FALSE&amp;VAR:CALENDAR=US&amp;VAR:SYMBOL=MO&amp;VAR:INDEX=0"}</definedName>
    <definedName name="_969__FDSAUDITLINK__" localSheetId="0" hidden="1">{"fdsup://directions/FAT Viewer?action=UPDATE&amp;creator=factset&amp;DYN_ARGS=TRUE&amp;DOC_NAME=FAT:FQL_AUDITING_CLIENT_TEMPLATE.FAT&amp;display_string=Audit&amp;VAR:KEY=LILUVYFAJI&amp;VAR:QUERY=RkZfRElWX1lMRChBTk4sOS8xMi8wMiw5LzEyLzAyKQ==&amp;WINDOW=FIRST_POPUP&amp;HEIGHT=450&amp;WIDTH=450&amp;","START_MAXIMIZED=FALSE&amp;VAR:CALENDAR=US&amp;VAR:SYMBOL=MO&amp;VAR:INDEX=0"}</definedName>
    <definedName name="_969__FDSAUDITLINK__" hidden="1">{"fdsup://directions/FAT Viewer?action=UPDATE&amp;creator=factset&amp;DYN_ARGS=TRUE&amp;DOC_NAME=FAT:FQL_AUDITING_CLIENT_TEMPLATE.FAT&amp;display_string=Audit&amp;VAR:KEY=LILUVYFAJI&amp;VAR:QUERY=RkZfRElWX1lMRChBTk4sOS8xMi8wMiw5LzEyLzAyKQ==&amp;WINDOW=FIRST_POPUP&amp;HEIGHT=450&amp;WIDTH=450&amp;","START_MAXIMIZED=FALSE&amp;VAR:CALENDAR=US&amp;VAR:SYMBOL=MO&amp;VAR:INDEX=0"}</definedName>
    <definedName name="_97">#REF!</definedName>
    <definedName name="_97__123Graph_CSUPPLIES_BY_B_U">#REF!</definedName>
    <definedName name="_97__FDSAUDITLINK__" localSheetId="0" hidden="1">{"fdsup://directions/FAT Viewer?action=UPDATE&amp;creator=factset&amp;DYN_ARGS=TRUE&amp;DOC_NAME=FAT:FQL_AUDITING_CLIENT_TEMPLATE.FAT&amp;display_string=Audit&amp;VAR:KEY=VUZGVSPYBS&amp;VAR:QUERY=RkZfRU5UUlBSX1ZBTF9EQUlMWSgwLCwsLCwnRElMJyk=&amp;WINDOW=FIRST_POPUP&amp;HEIGHT=450&amp;WIDTH=450&amp;","START_MAXIMIZED=FALSE&amp;VAR:CALENDAR=US&amp;VAR:SYMBOL=COKE&amp;VAR:INDEX=0"}</definedName>
    <definedName name="_97__FDSAUDITLINK__" hidden="1">{"fdsup://directions/FAT Viewer?action=UPDATE&amp;creator=factset&amp;DYN_ARGS=TRUE&amp;DOC_NAME=FAT:FQL_AUDITING_CLIENT_TEMPLATE.FAT&amp;display_string=Audit&amp;VAR:KEY=VUZGVSPYBS&amp;VAR:QUERY=RkZfRU5UUlBSX1ZBTF9EQUlMWSgwLCwsLCwnRElMJyk=&amp;WINDOW=FIRST_POPUP&amp;HEIGHT=450&amp;WIDTH=450&amp;","START_MAXIMIZED=FALSE&amp;VAR:CALENDAR=US&amp;VAR:SYMBOL=COKE&amp;VAR:INDEX=0"}</definedName>
    <definedName name="_970__FDSAUDITLINK__" localSheetId="0" hidden="1">{"fdsup://directions/FAT Viewer?action=UPDATE&amp;creator=factset&amp;DYN_ARGS=TRUE&amp;DOC_NAME=FAT:FQL_AUDITING_CLIENT_TEMPLATE.FAT&amp;display_string=Audit&amp;VAR:KEY=NUZEXQRGLS&amp;VAR:QUERY=RkZfRElWX1lMRChBTk4sOS8wNS8wMiw5LzA1LzAyKQ==&amp;WINDOW=FIRST_POPUP&amp;HEIGHT=450&amp;WIDTH=450&amp;","START_MAXIMIZED=FALSE&amp;VAR:CALENDAR=US&amp;VAR:SYMBOL=MO&amp;VAR:INDEX=0"}</definedName>
    <definedName name="_970__FDSAUDITLINK__" hidden="1">{"fdsup://directions/FAT Viewer?action=UPDATE&amp;creator=factset&amp;DYN_ARGS=TRUE&amp;DOC_NAME=FAT:FQL_AUDITING_CLIENT_TEMPLATE.FAT&amp;display_string=Audit&amp;VAR:KEY=NUZEXQRGLS&amp;VAR:QUERY=RkZfRElWX1lMRChBTk4sOS8wNS8wMiw5LzA1LzAyKQ==&amp;WINDOW=FIRST_POPUP&amp;HEIGHT=450&amp;WIDTH=450&amp;","START_MAXIMIZED=FALSE&amp;VAR:CALENDAR=US&amp;VAR:SYMBOL=MO&amp;VAR:INDEX=0"}</definedName>
    <definedName name="_971">#REF!</definedName>
    <definedName name="_971__FDSAUDITLINK__" localSheetId="0" hidden="1">{"fdsup://directions/FAT Viewer?action=UPDATE&amp;creator=factset&amp;DYN_ARGS=TRUE&amp;DOC_NAME=FAT:FQL_AUDITING_CLIENT_TEMPLATE.FAT&amp;display_string=Audit&amp;VAR:KEY=ZSRABKNUNW&amp;VAR:QUERY=RkZfRElWX1lMRChBTk4sOC8yOS8wMiw4LzI5LzAyKQ==&amp;WINDOW=FIRST_POPUP&amp;HEIGHT=450&amp;WIDTH=450&amp;","START_MAXIMIZED=FALSE&amp;VAR:CALENDAR=US&amp;VAR:SYMBOL=MO&amp;VAR:INDEX=0"}</definedName>
    <definedName name="_971__FDSAUDITLINK__" hidden="1">{"fdsup://directions/FAT Viewer?action=UPDATE&amp;creator=factset&amp;DYN_ARGS=TRUE&amp;DOC_NAME=FAT:FQL_AUDITING_CLIENT_TEMPLATE.FAT&amp;display_string=Audit&amp;VAR:KEY=ZSRABKNUNW&amp;VAR:QUERY=RkZfRElWX1lMRChBTk4sOC8yOS8wMiw4LzI5LzAyKQ==&amp;WINDOW=FIRST_POPUP&amp;HEIGHT=450&amp;WIDTH=450&amp;","START_MAXIMIZED=FALSE&amp;VAR:CALENDAR=US&amp;VAR:SYMBOL=MO&amp;VAR:INDEX=0"}</definedName>
    <definedName name="_972__FDSAUDITLINK__" localSheetId="0" hidden="1">{"fdsup://directions/FAT Viewer?action=UPDATE&amp;creator=factset&amp;DYN_ARGS=TRUE&amp;DOC_NAME=FAT:FQL_AUDITING_CLIENT_TEMPLATE.FAT&amp;display_string=Audit&amp;VAR:KEY=RSZCLWLCRI&amp;VAR:QUERY=RkZfRElWX1lMRChBTk4sOC8yMi8wMiw4LzIyLzAyKQ==&amp;WINDOW=FIRST_POPUP&amp;HEIGHT=450&amp;WIDTH=450&amp;","START_MAXIMIZED=FALSE&amp;VAR:CALENDAR=US&amp;VAR:SYMBOL=MO&amp;VAR:INDEX=0"}</definedName>
    <definedName name="_972__FDSAUDITLINK__" hidden="1">{"fdsup://directions/FAT Viewer?action=UPDATE&amp;creator=factset&amp;DYN_ARGS=TRUE&amp;DOC_NAME=FAT:FQL_AUDITING_CLIENT_TEMPLATE.FAT&amp;display_string=Audit&amp;VAR:KEY=RSZCLWLCRI&amp;VAR:QUERY=RkZfRElWX1lMRChBTk4sOC8yMi8wMiw4LzIyLzAyKQ==&amp;WINDOW=FIRST_POPUP&amp;HEIGHT=450&amp;WIDTH=450&amp;","START_MAXIMIZED=FALSE&amp;VAR:CALENDAR=US&amp;VAR:SYMBOL=MO&amp;VAR:INDEX=0"}</definedName>
    <definedName name="_973">#REF!</definedName>
    <definedName name="_973__FDSAUDITLINK__" localSheetId="0" hidden="1">{"fdsup://directions/FAT Viewer?action=UPDATE&amp;creator=factset&amp;DYN_ARGS=TRUE&amp;DOC_NAME=FAT:FQL_AUDITING_CLIENT_TEMPLATE.FAT&amp;display_string=Audit&amp;VAR:KEY=NANCVIVSNG&amp;VAR:QUERY=RkZfRElWX1lMRChBTk4sOC8xNS8wMiw4LzE1LzAyKQ==&amp;WINDOW=FIRST_POPUP&amp;HEIGHT=450&amp;WIDTH=450&amp;","START_MAXIMIZED=FALSE&amp;VAR:CALENDAR=US&amp;VAR:SYMBOL=MO&amp;VAR:INDEX=0"}</definedName>
    <definedName name="_973__FDSAUDITLINK__" hidden="1">{"fdsup://directions/FAT Viewer?action=UPDATE&amp;creator=factset&amp;DYN_ARGS=TRUE&amp;DOC_NAME=FAT:FQL_AUDITING_CLIENT_TEMPLATE.FAT&amp;display_string=Audit&amp;VAR:KEY=NANCVIVSNG&amp;VAR:QUERY=RkZfRElWX1lMRChBTk4sOC8xNS8wMiw4LzE1LzAyKQ==&amp;WINDOW=FIRST_POPUP&amp;HEIGHT=450&amp;WIDTH=450&amp;","START_MAXIMIZED=FALSE&amp;VAR:CALENDAR=US&amp;VAR:SYMBOL=MO&amp;VAR:INDEX=0"}</definedName>
    <definedName name="_974__FDSAUDITLINK__" localSheetId="0" hidden="1">{"fdsup://directions/FAT Viewer?action=UPDATE&amp;creator=factset&amp;DYN_ARGS=TRUE&amp;DOC_NAME=FAT:FQL_AUDITING_CLIENT_TEMPLATE.FAT&amp;display_string=Audit&amp;VAR:KEY=JCRKFYTSJY&amp;VAR:QUERY=RkZfRElWX1lMRChBTk4sOC8wOC8wMiw4LzA4LzAyKQ==&amp;WINDOW=FIRST_POPUP&amp;HEIGHT=450&amp;WIDTH=450&amp;","START_MAXIMIZED=FALSE&amp;VAR:CALENDAR=US&amp;VAR:SYMBOL=MO&amp;VAR:INDEX=0"}</definedName>
    <definedName name="_974__FDSAUDITLINK__" hidden="1">{"fdsup://directions/FAT Viewer?action=UPDATE&amp;creator=factset&amp;DYN_ARGS=TRUE&amp;DOC_NAME=FAT:FQL_AUDITING_CLIENT_TEMPLATE.FAT&amp;display_string=Audit&amp;VAR:KEY=JCRKFYTSJY&amp;VAR:QUERY=RkZfRElWX1lMRChBTk4sOC8wOC8wMiw4LzA4LzAyKQ==&amp;WINDOW=FIRST_POPUP&amp;HEIGHT=450&amp;WIDTH=450&amp;","START_MAXIMIZED=FALSE&amp;VAR:CALENDAR=US&amp;VAR:SYMBOL=MO&amp;VAR:INDEX=0"}</definedName>
    <definedName name="_975__FDSAUDITLINK__" localSheetId="0" hidden="1">{"fdsup://directions/FAT Viewer?action=UPDATE&amp;creator=factset&amp;DYN_ARGS=TRUE&amp;DOC_NAME=FAT:FQL_AUDITING_CLIENT_TEMPLATE.FAT&amp;display_string=Audit&amp;VAR:KEY=ZURCFKPAVQ&amp;VAR:QUERY=RkZfRElWX1lMRChBTk4sOC8wMS8wMiw4LzAxLzAyKQ==&amp;WINDOW=FIRST_POPUP&amp;HEIGHT=450&amp;WIDTH=450&amp;","START_MAXIMIZED=FALSE&amp;VAR:CALENDAR=US&amp;VAR:SYMBOL=MO&amp;VAR:INDEX=0"}</definedName>
    <definedName name="_975__FDSAUDITLINK__" hidden="1">{"fdsup://directions/FAT Viewer?action=UPDATE&amp;creator=factset&amp;DYN_ARGS=TRUE&amp;DOC_NAME=FAT:FQL_AUDITING_CLIENT_TEMPLATE.FAT&amp;display_string=Audit&amp;VAR:KEY=ZURCFKPAVQ&amp;VAR:QUERY=RkZfRElWX1lMRChBTk4sOC8wMS8wMiw4LzAxLzAyKQ==&amp;WINDOW=FIRST_POPUP&amp;HEIGHT=450&amp;WIDTH=450&amp;","START_MAXIMIZED=FALSE&amp;VAR:CALENDAR=US&amp;VAR:SYMBOL=MO&amp;VAR:INDEX=0"}</definedName>
    <definedName name="_976__FDSAUDITLINK__" localSheetId="0" hidden="1">{"fdsup://directions/FAT Viewer?action=UPDATE&amp;creator=factset&amp;DYN_ARGS=TRUE&amp;DOC_NAME=FAT:FQL_AUDITING_CLIENT_TEMPLATE.FAT&amp;display_string=Audit&amp;VAR:KEY=JQFWVKBIBS&amp;VAR:QUERY=RkZfRElWX1lMRChBTk4sNy8yNS8wMiw3LzI1LzAyKQ==&amp;WINDOW=FIRST_POPUP&amp;HEIGHT=450&amp;WIDTH=450&amp;","START_MAXIMIZED=FALSE&amp;VAR:CALENDAR=US&amp;VAR:SYMBOL=MO&amp;VAR:INDEX=0"}</definedName>
    <definedName name="_976__FDSAUDITLINK__" hidden="1">{"fdsup://directions/FAT Viewer?action=UPDATE&amp;creator=factset&amp;DYN_ARGS=TRUE&amp;DOC_NAME=FAT:FQL_AUDITING_CLIENT_TEMPLATE.FAT&amp;display_string=Audit&amp;VAR:KEY=JQFWVKBIBS&amp;VAR:QUERY=RkZfRElWX1lMRChBTk4sNy8yNS8wMiw3LzI1LzAyKQ==&amp;WINDOW=FIRST_POPUP&amp;HEIGHT=450&amp;WIDTH=450&amp;","START_MAXIMIZED=FALSE&amp;VAR:CALENDAR=US&amp;VAR:SYMBOL=MO&amp;VAR:INDEX=0"}</definedName>
    <definedName name="_977">#REF!</definedName>
    <definedName name="_977__FDSAUDITLINK__" localSheetId="0" hidden="1">{"fdsup://directions/FAT Viewer?action=UPDATE&amp;creator=factset&amp;DYN_ARGS=TRUE&amp;DOC_NAME=FAT:FQL_AUDITING_CLIENT_TEMPLATE.FAT&amp;display_string=Audit&amp;VAR:KEY=JEFQRKBUNM&amp;VAR:QUERY=RkZfRElWX1lMRChBTk4sNy8xOC8wMiw3LzE4LzAyKQ==&amp;WINDOW=FIRST_POPUP&amp;HEIGHT=450&amp;WIDTH=450&amp;","START_MAXIMIZED=FALSE&amp;VAR:CALENDAR=US&amp;VAR:SYMBOL=MO&amp;VAR:INDEX=0"}</definedName>
    <definedName name="_977__FDSAUDITLINK__" hidden="1">{"fdsup://directions/FAT Viewer?action=UPDATE&amp;creator=factset&amp;DYN_ARGS=TRUE&amp;DOC_NAME=FAT:FQL_AUDITING_CLIENT_TEMPLATE.FAT&amp;display_string=Audit&amp;VAR:KEY=JEFQRKBUNM&amp;VAR:QUERY=RkZfRElWX1lMRChBTk4sNy8xOC8wMiw3LzE4LzAyKQ==&amp;WINDOW=FIRST_POPUP&amp;HEIGHT=450&amp;WIDTH=450&amp;","START_MAXIMIZED=FALSE&amp;VAR:CALENDAR=US&amp;VAR:SYMBOL=MO&amp;VAR:INDEX=0"}</definedName>
    <definedName name="_978__FDSAUDITLINK__" localSheetId="0" hidden="1">{"fdsup://directions/FAT Viewer?action=UPDATE&amp;creator=factset&amp;DYN_ARGS=TRUE&amp;DOC_NAME=FAT:FQL_AUDITING_CLIENT_TEMPLATE.FAT&amp;display_string=Audit&amp;VAR:KEY=BMBCXARCLQ&amp;VAR:QUERY=RkZfRElWX1lMRChBTk4sNy8xMS8wMiw3LzExLzAyKQ==&amp;WINDOW=FIRST_POPUP&amp;HEIGHT=450&amp;WIDTH=450&amp;","START_MAXIMIZED=FALSE&amp;VAR:CALENDAR=US&amp;VAR:SYMBOL=MO&amp;VAR:INDEX=0"}</definedName>
    <definedName name="_978__FDSAUDITLINK__" hidden="1">{"fdsup://directions/FAT Viewer?action=UPDATE&amp;creator=factset&amp;DYN_ARGS=TRUE&amp;DOC_NAME=FAT:FQL_AUDITING_CLIENT_TEMPLATE.FAT&amp;display_string=Audit&amp;VAR:KEY=BMBCXARCLQ&amp;VAR:QUERY=RkZfRElWX1lMRChBTk4sNy8xMS8wMiw3LzExLzAyKQ==&amp;WINDOW=FIRST_POPUP&amp;HEIGHT=450&amp;WIDTH=450&amp;","START_MAXIMIZED=FALSE&amp;VAR:CALENDAR=US&amp;VAR:SYMBOL=MO&amp;VAR:INDEX=0"}</definedName>
    <definedName name="_979__FDSAUDITLINK__" localSheetId="0" hidden="1">{"fdsup://directions/FAT Viewer?action=UPDATE&amp;creator=factset&amp;DYN_ARGS=TRUE&amp;DOC_NAME=FAT:FQL_AUDITING_CLIENT_TEMPLATE.FAT&amp;display_string=Audit&amp;VAR:KEY=LOPUNODIRQ&amp;VAR:QUERY=RkZfRElWX1lMRChBTk4sNy8wMy8wMiw3LzAzLzAyKQ==&amp;WINDOW=FIRST_POPUP&amp;HEIGHT=450&amp;WIDTH=450&amp;","START_MAXIMIZED=FALSE&amp;VAR:CALENDAR=US&amp;VAR:SYMBOL=MO&amp;VAR:INDEX=0"}</definedName>
    <definedName name="_979__FDSAUDITLINK__" hidden="1">{"fdsup://directions/FAT Viewer?action=UPDATE&amp;creator=factset&amp;DYN_ARGS=TRUE&amp;DOC_NAME=FAT:FQL_AUDITING_CLIENT_TEMPLATE.FAT&amp;display_string=Audit&amp;VAR:KEY=LOPUNODIRQ&amp;VAR:QUERY=RkZfRElWX1lMRChBTk4sNy8wMy8wMiw3LzAzLzAyKQ==&amp;WINDOW=FIRST_POPUP&amp;HEIGHT=450&amp;WIDTH=450&amp;","START_MAXIMIZED=FALSE&amp;VAR:CALENDAR=US&amp;VAR:SYMBOL=MO&amp;VAR:INDEX=0"}</definedName>
    <definedName name="_98">#REF!</definedName>
    <definedName name="_98__FDSAUDITLINK__" localSheetId="0" hidden="1">{"fdsup://directions/FAT Viewer?action=UPDATE&amp;creator=factset&amp;DYN_ARGS=TRUE&amp;DOC_NAME=FAT:FQL_AUDITING_CLIENT_TEMPLATE.FAT&amp;display_string=Audit&amp;VAR:KEY=JEREPMFYFW&amp;VAR:QUERY=RkZfRU5UUlBSX1ZBTF9EQUlMWSgwLCwsLCwnRElMJyk=&amp;WINDOW=FIRST_POPUP&amp;HEIGHT=450&amp;WIDTH=450&amp;","START_MAXIMIZED=FALSE&amp;VAR:CALENDAR=US&amp;VAR:SYMBOL=11563720&amp;VAR:INDEX=0"}</definedName>
    <definedName name="_98__FDSAUDITLINK__" hidden="1">{"fdsup://directions/FAT Viewer?action=UPDATE&amp;creator=factset&amp;DYN_ARGS=TRUE&amp;DOC_NAME=FAT:FQL_AUDITING_CLIENT_TEMPLATE.FAT&amp;display_string=Audit&amp;VAR:KEY=JEREPMFYFW&amp;VAR:QUERY=RkZfRU5UUlBSX1ZBTF9EQUlMWSgwLCwsLCwnRElMJyk=&amp;WINDOW=FIRST_POPUP&amp;HEIGHT=450&amp;WIDTH=450&amp;","START_MAXIMIZED=FALSE&amp;VAR:CALENDAR=US&amp;VAR:SYMBOL=11563720&amp;VAR:INDEX=0"}</definedName>
    <definedName name="_980__FDSAUDITLINK__" localSheetId="0" hidden="1">{"fdsup://directions/FAT Viewer?action=UPDATE&amp;creator=factset&amp;DYN_ARGS=TRUE&amp;DOC_NAME=FAT:FQL_AUDITING_CLIENT_TEMPLATE.FAT&amp;display_string=Audit&amp;VAR:KEY=RYFCDWLOLC&amp;VAR:QUERY=RkZfRElWX1lMRChBTk4sNi8yNy8wMiw2LzI3LzAyKQ==&amp;WINDOW=FIRST_POPUP&amp;HEIGHT=450&amp;WIDTH=450&amp;","START_MAXIMIZED=FALSE&amp;VAR:CALENDAR=US&amp;VAR:SYMBOL=MO&amp;VAR:INDEX=0"}</definedName>
    <definedName name="_980__FDSAUDITLINK__" hidden="1">{"fdsup://directions/FAT Viewer?action=UPDATE&amp;creator=factset&amp;DYN_ARGS=TRUE&amp;DOC_NAME=FAT:FQL_AUDITING_CLIENT_TEMPLATE.FAT&amp;display_string=Audit&amp;VAR:KEY=RYFCDWLOLC&amp;VAR:QUERY=RkZfRElWX1lMRChBTk4sNi8yNy8wMiw2LzI3LzAyKQ==&amp;WINDOW=FIRST_POPUP&amp;HEIGHT=450&amp;WIDTH=450&amp;","START_MAXIMIZED=FALSE&amp;VAR:CALENDAR=US&amp;VAR:SYMBOL=MO&amp;VAR:INDEX=0"}</definedName>
    <definedName name="_981__FDSAUDITLINK__" localSheetId="0" hidden="1">{"fdsup://directions/FAT Viewer?action=UPDATE&amp;creator=factset&amp;DYN_ARGS=TRUE&amp;DOC_NAME=FAT:FQL_AUDITING_CLIENT_TEMPLATE.FAT&amp;display_string=Audit&amp;VAR:KEY=LMREBODORK&amp;VAR:QUERY=RkZfRElWX1lMRChBTk4sNi8yMC8wMiw2LzIwLzAyKQ==&amp;WINDOW=FIRST_POPUP&amp;HEIGHT=450&amp;WIDTH=450&amp;","START_MAXIMIZED=FALSE&amp;VAR:CALENDAR=US&amp;VAR:SYMBOL=MO&amp;VAR:INDEX=0"}</definedName>
    <definedName name="_981__FDSAUDITLINK__" hidden="1">{"fdsup://directions/FAT Viewer?action=UPDATE&amp;creator=factset&amp;DYN_ARGS=TRUE&amp;DOC_NAME=FAT:FQL_AUDITING_CLIENT_TEMPLATE.FAT&amp;display_string=Audit&amp;VAR:KEY=LMREBODORK&amp;VAR:QUERY=RkZfRElWX1lMRChBTk4sNi8yMC8wMiw2LzIwLzAyKQ==&amp;WINDOW=FIRST_POPUP&amp;HEIGHT=450&amp;WIDTH=450&amp;","START_MAXIMIZED=FALSE&amp;VAR:CALENDAR=US&amp;VAR:SYMBOL=MO&amp;VAR:INDEX=0"}</definedName>
    <definedName name="_982">#REF!</definedName>
    <definedName name="_982__FDSAUDITLINK__" localSheetId="0" hidden="1">{"fdsup://directions/FAT Viewer?action=UPDATE&amp;creator=factset&amp;DYN_ARGS=TRUE&amp;DOC_NAME=FAT:FQL_AUDITING_CLIENT_TEMPLATE.FAT&amp;display_string=Audit&amp;VAR:KEY=BINMHWZQZA&amp;VAR:QUERY=RkZfRElWX1lMRChBTk4sNi8xMy8wMiw2LzEzLzAyKQ==&amp;WINDOW=FIRST_POPUP&amp;HEIGHT=450&amp;WIDTH=450&amp;","START_MAXIMIZED=FALSE&amp;VAR:CALENDAR=US&amp;VAR:SYMBOL=MO&amp;VAR:INDEX=0"}</definedName>
    <definedName name="_982__FDSAUDITLINK__" hidden="1">{"fdsup://directions/FAT Viewer?action=UPDATE&amp;creator=factset&amp;DYN_ARGS=TRUE&amp;DOC_NAME=FAT:FQL_AUDITING_CLIENT_TEMPLATE.FAT&amp;display_string=Audit&amp;VAR:KEY=BINMHWZQZA&amp;VAR:QUERY=RkZfRElWX1lMRChBTk4sNi8xMy8wMiw2LzEzLzAyKQ==&amp;WINDOW=FIRST_POPUP&amp;HEIGHT=450&amp;WIDTH=450&amp;","START_MAXIMIZED=FALSE&amp;VAR:CALENDAR=US&amp;VAR:SYMBOL=MO&amp;VAR:INDEX=0"}</definedName>
    <definedName name="_983">#REF!</definedName>
    <definedName name="_983__FDSAUDITLINK__" localSheetId="0" hidden="1">{"fdsup://directions/FAT Viewer?action=UPDATE&amp;creator=factset&amp;DYN_ARGS=TRUE&amp;DOC_NAME=FAT:FQL_AUDITING_CLIENT_TEMPLATE.FAT&amp;display_string=Audit&amp;VAR:KEY=NIRUTOTQHA&amp;VAR:QUERY=RkZfRElWX1lMRChBTk4sNi8wNi8wMiw2LzA2LzAyKQ==&amp;WINDOW=FIRST_POPUP&amp;HEIGHT=450&amp;WIDTH=450&amp;","START_MAXIMIZED=FALSE&amp;VAR:CALENDAR=US&amp;VAR:SYMBOL=MO&amp;VAR:INDEX=0"}</definedName>
    <definedName name="_983__FDSAUDITLINK__" hidden="1">{"fdsup://directions/FAT Viewer?action=UPDATE&amp;creator=factset&amp;DYN_ARGS=TRUE&amp;DOC_NAME=FAT:FQL_AUDITING_CLIENT_TEMPLATE.FAT&amp;display_string=Audit&amp;VAR:KEY=NIRUTOTQHA&amp;VAR:QUERY=RkZfRElWX1lMRChBTk4sNi8wNi8wMiw2LzA2LzAyKQ==&amp;WINDOW=FIRST_POPUP&amp;HEIGHT=450&amp;WIDTH=450&amp;","START_MAXIMIZED=FALSE&amp;VAR:CALENDAR=US&amp;VAR:SYMBOL=MO&amp;VAR:INDEX=0"}</definedName>
    <definedName name="_984">#REF!</definedName>
    <definedName name="_984__FDSAUDITLINK__" localSheetId="0" hidden="1">{"fdsup://directions/FAT Viewer?action=UPDATE&amp;creator=factset&amp;DYN_ARGS=TRUE&amp;DOC_NAME=FAT:FQL_AUDITING_CLIENT_TEMPLATE.FAT&amp;display_string=Audit&amp;VAR:KEY=NYLGDMHCFI&amp;VAR:QUERY=RkZfRElWX1lMRChBTk4sNS8zMC8wMiw1LzMwLzAyKQ==&amp;WINDOW=FIRST_POPUP&amp;HEIGHT=450&amp;WIDTH=450&amp;","START_MAXIMIZED=FALSE&amp;VAR:CALENDAR=US&amp;VAR:SYMBOL=MO&amp;VAR:INDEX=0"}</definedName>
    <definedName name="_984__FDSAUDITLINK__" hidden="1">{"fdsup://directions/FAT Viewer?action=UPDATE&amp;creator=factset&amp;DYN_ARGS=TRUE&amp;DOC_NAME=FAT:FQL_AUDITING_CLIENT_TEMPLATE.FAT&amp;display_string=Audit&amp;VAR:KEY=NYLGDMHCFI&amp;VAR:QUERY=RkZfRElWX1lMRChBTk4sNS8zMC8wMiw1LzMwLzAyKQ==&amp;WINDOW=FIRST_POPUP&amp;HEIGHT=450&amp;WIDTH=450&amp;","START_MAXIMIZED=FALSE&amp;VAR:CALENDAR=US&amp;VAR:SYMBOL=MO&amp;VAR:INDEX=0"}</definedName>
    <definedName name="_985">#REF!</definedName>
    <definedName name="_985__FDSAUDITLINK__" localSheetId="0" hidden="1">{"fdsup://directions/FAT Viewer?action=UPDATE&amp;creator=factset&amp;DYN_ARGS=TRUE&amp;DOC_NAME=FAT:FQL_AUDITING_CLIENT_TEMPLATE.FAT&amp;display_string=Audit&amp;VAR:KEY=VONGNOBKNG&amp;VAR:QUERY=RkZfRElWX1lMRChBTk4sNS8yMy8wMiw1LzIzLzAyKQ==&amp;WINDOW=FIRST_POPUP&amp;HEIGHT=450&amp;WIDTH=450&amp;","START_MAXIMIZED=FALSE&amp;VAR:CALENDAR=US&amp;VAR:SYMBOL=MO&amp;VAR:INDEX=0"}</definedName>
    <definedName name="_985__FDSAUDITLINK__" hidden="1">{"fdsup://directions/FAT Viewer?action=UPDATE&amp;creator=factset&amp;DYN_ARGS=TRUE&amp;DOC_NAME=FAT:FQL_AUDITING_CLIENT_TEMPLATE.FAT&amp;display_string=Audit&amp;VAR:KEY=VONGNOBKNG&amp;VAR:QUERY=RkZfRElWX1lMRChBTk4sNS8yMy8wMiw1LzIzLzAyKQ==&amp;WINDOW=FIRST_POPUP&amp;HEIGHT=450&amp;WIDTH=450&amp;","START_MAXIMIZED=FALSE&amp;VAR:CALENDAR=US&amp;VAR:SYMBOL=MO&amp;VAR:INDEX=0"}</definedName>
    <definedName name="_986">#REF!</definedName>
    <definedName name="_986__FDSAUDITLINK__" localSheetId="0" hidden="1">{"fdsup://directions/FAT Viewer?action=UPDATE&amp;creator=factset&amp;DYN_ARGS=TRUE&amp;DOC_NAME=FAT:FQL_AUDITING_CLIENT_TEMPLATE.FAT&amp;display_string=Audit&amp;VAR:KEY=LYNEDETSNM&amp;VAR:QUERY=RkZfRElWX1lMRChBTk4sNS8xNi8wMiw1LzE2LzAyKQ==&amp;WINDOW=FIRST_POPUP&amp;HEIGHT=450&amp;WIDTH=450&amp;","START_MAXIMIZED=FALSE&amp;VAR:CALENDAR=US&amp;VAR:SYMBOL=MO&amp;VAR:INDEX=0"}</definedName>
    <definedName name="_986__FDSAUDITLINK__" hidden="1">{"fdsup://directions/FAT Viewer?action=UPDATE&amp;creator=factset&amp;DYN_ARGS=TRUE&amp;DOC_NAME=FAT:FQL_AUDITING_CLIENT_TEMPLATE.FAT&amp;display_string=Audit&amp;VAR:KEY=LYNEDETSNM&amp;VAR:QUERY=RkZfRElWX1lMRChBTk4sNS8xNi8wMiw1LzE2LzAyKQ==&amp;WINDOW=FIRST_POPUP&amp;HEIGHT=450&amp;WIDTH=450&amp;","START_MAXIMIZED=FALSE&amp;VAR:CALENDAR=US&amp;VAR:SYMBOL=MO&amp;VAR:INDEX=0"}</definedName>
    <definedName name="_987">#REF!</definedName>
    <definedName name="_987__FDSAUDITLINK__" localSheetId="0" hidden="1">{"fdsup://directions/FAT Viewer?action=UPDATE&amp;creator=factset&amp;DYN_ARGS=TRUE&amp;DOC_NAME=FAT:FQL_AUDITING_CLIENT_TEMPLATE.FAT&amp;display_string=Audit&amp;VAR:KEY=ZAZIXMZSHO&amp;VAR:QUERY=RkZfRElWX1lMRChBTk4sNS8wOS8wMiw1LzA5LzAyKQ==&amp;WINDOW=FIRST_POPUP&amp;HEIGHT=450&amp;WIDTH=450&amp;","START_MAXIMIZED=FALSE&amp;VAR:CALENDAR=US&amp;VAR:SYMBOL=MO&amp;VAR:INDEX=0"}</definedName>
    <definedName name="_987__FDSAUDITLINK__" hidden="1">{"fdsup://directions/FAT Viewer?action=UPDATE&amp;creator=factset&amp;DYN_ARGS=TRUE&amp;DOC_NAME=FAT:FQL_AUDITING_CLIENT_TEMPLATE.FAT&amp;display_string=Audit&amp;VAR:KEY=ZAZIXMZSHO&amp;VAR:QUERY=RkZfRElWX1lMRChBTk4sNS8wOS8wMiw1LzA5LzAyKQ==&amp;WINDOW=FIRST_POPUP&amp;HEIGHT=450&amp;WIDTH=450&amp;","START_MAXIMIZED=FALSE&amp;VAR:CALENDAR=US&amp;VAR:SYMBOL=MO&amp;VAR:INDEX=0"}</definedName>
    <definedName name="_988">#REF!</definedName>
    <definedName name="_988__FDSAUDITLINK__" localSheetId="0" hidden="1">{"fdsup://directions/FAT Viewer?action=UPDATE&amp;creator=factset&amp;DYN_ARGS=TRUE&amp;DOC_NAME=FAT:FQL_AUDITING_CLIENT_TEMPLATE.FAT&amp;display_string=Audit&amp;VAR:KEY=RCVSXSTINW&amp;VAR:QUERY=RkZfRElWX1lMRChBTk4sNS8wMi8wMiw1LzAyLzAyKQ==&amp;WINDOW=FIRST_POPUP&amp;HEIGHT=450&amp;WIDTH=450&amp;","START_MAXIMIZED=FALSE&amp;VAR:CALENDAR=US&amp;VAR:SYMBOL=MO&amp;VAR:INDEX=0"}</definedName>
    <definedName name="_988__FDSAUDITLINK__" hidden="1">{"fdsup://directions/FAT Viewer?action=UPDATE&amp;creator=factset&amp;DYN_ARGS=TRUE&amp;DOC_NAME=FAT:FQL_AUDITING_CLIENT_TEMPLATE.FAT&amp;display_string=Audit&amp;VAR:KEY=RCVSXSTINW&amp;VAR:QUERY=RkZfRElWX1lMRChBTk4sNS8wMi8wMiw1LzAyLzAyKQ==&amp;WINDOW=FIRST_POPUP&amp;HEIGHT=450&amp;WIDTH=450&amp;","START_MAXIMIZED=FALSE&amp;VAR:CALENDAR=US&amp;VAR:SYMBOL=MO&amp;VAR:INDEX=0"}</definedName>
    <definedName name="_989">#REF!</definedName>
    <definedName name="_989__FDSAUDITLINK__" localSheetId="0" hidden="1">{"fdsup://directions/FAT Viewer?action=UPDATE&amp;creator=factset&amp;DYN_ARGS=TRUE&amp;DOC_NAME=FAT:FQL_AUDITING_CLIENT_TEMPLATE.FAT&amp;display_string=Audit&amp;VAR:KEY=PIFALWVQBA&amp;VAR:QUERY=RkZfRElWX1lMRChBTk4sNC8yNS8wMiw0LzI1LzAyKQ==&amp;WINDOW=FIRST_POPUP&amp;HEIGHT=450&amp;WIDTH=450&amp;","START_MAXIMIZED=FALSE&amp;VAR:CALENDAR=US&amp;VAR:SYMBOL=MO&amp;VAR:INDEX=0"}</definedName>
    <definedName name="_989__FDSAUDITLINK__" hidden="1">{"fdsup://directions/FAT Viewer?action=UPDATE&amp;creator=factset&amp;DYN_ARGS=TRUE&amp;DOC_NAME=FAT:FQL_AUDITING_CLIENT_TEMPLATE.FAT&amp;display_string=Audit&amp;VAR:KEY=PIFALWVQBA&amp;VAR:QUERY=RkZfRElWX1lMRChBTk4sNC8yNS8wMiw0LzI1LzAyKQ==&amp;WINDOW=FIRST_POPUP&amp;HEIGHT=450&amp;WIDTH=450&amp;","START_MAXIMIZED=FALSE&amp;VAR:CALENDAR=US&amp;VAR:SYMBOL=MO&amp;VAR:INDEX=0"}</definedName>
    <definedName name="_99">#REF!</definedName>
    <definedName name="_99__123Graph_XSUPPLIES_BY_B_U">#REF!</definedName>
    <definedName name="_99__FDSAUDITLINK__" localSheetId="0" hidden="1">{"fdsup://directions/FAT Viewer?action=UPDATE&amp;creator=factset&amp;DYN_ARGS=TRUE&amp;DOC_NAME=FAT:FQL_AUDITING_CLIENT_TEMPLATE.FAT&amp;display_string=Audit&amp;VAR:KEY=HKXUZYZAZK&amp;VAR:QUERY=RkZfRUJJVERBX09QRVIoQU5OLDIwMTEp&amp;WINDOW=FIRST_POPUP&amp;HEIGHT=450&amp;WIDTH=450&amp;START_MAXIMI","ZED=FALSE&amp;VAR:CALENDAR=US&amp;VAR:SYMBOL=GMCR&amp;VAR:INDEX=0"}</definedName>
    <definedName name="_99__FDSAUDITLINK__" hidden="1">{"fdsup://directions/FAT Viewer?action=UPDATE&amp;creator=factset&amp;DYN_ARGS=TRUE&amp;DOC_NAME=FAT:FQL_AUDITING_CLIENT_TEMPLATE.FAT&amp;display_string=Audit&amp;VAR:KEY=HKXUZYZAZK&amp;VAR:QUERY=RkZfRUJJVERBX09QRVIoQU5OLDIwMTEp&amp;WINDOW=FIRST_POPUP&amp;HEIGHT=450&amp;WIDTH=450&amp;START_MAXIMI","ZED=FALSE&amp;VAR:CALENDAR=US&amp;VAR:SYMBOL=GMCR&amp;VAR:INDEX=0"}</definedName>
    <definedName name="_990">#REF!</definedName>
    <definedName name="_990__FDSAUDITLINK__" localSheetId="0" hidden="1">{"fdsup://directions/FAT Viewer?action=UPDATE&amp;creator=factset&amp;DYN_ARGS=TRUE&amp;DOC_NAME=FAT:FQL_AUDITING_CLIENT_TEMPLATE.FAT&amp;display_string=Audit&amp;VAR:KEY=VMHITCPSPW&amp;VAR:QUERY=RkZfRElWX1lMRChBTk4sNC8xOC8wMiw0LzE4LzAyKQ==&amp;WINDOW=FIRST_POPUP&amp;HEIGHT=450&amp;WIDTH=450&amp;","START_MAXIMIZED=FALSE&amp;VAR:CALENDAR=US&amp;VAR:SYMBOL=MO&amp;VAR:INDEX=0"}</definedName>
    <definedName name="_990__FDSAUDITLINK__" hidden="1">{"fdsup://directions/FAT Viewer?action=UPDATE&amp;creator=factset&amp;DYN_ARGS=TRUE&amp;DOC_NAME=FAT:FQL_AUDITING_CLIENT_TEMPLATE.FAT&amp;display_string=Audit&amp;VAR:KEY=VMHITCPSPW&amp;VAR:QUERY=RkZfRElWX1lMRChBTk4sNC8xOC8wMiw0LzE4LzAyKQ==&amp;WINDOW=FIRST_POPUP&amp;HEIGHT=450&amp;WIDTH=450&amp;","START_MAXIMIZED=FALSE&amp;VAR:CALENDAR=US&amp;VAR:SYMBOL=MO&amp;VAR:INDEX=0"}</definedName>
    <definedName name="_991">#REF!</definedName>
    <definedName name="_991__FDSAUDITLINK__" localSheetId="0" hidden="1">{"fdsup://directions/FAT Viewer?action=UPDATE&amp;creator=factset&amp;DYN_ARGS=TRUE&amp;DOC_NAME=FAT:FQL_AUDITING_CLIENT_TEMPLATE.FAT&amp;display_string=Audit&amp;VAR:KEY=TWZAFGNSTC&amp;VAR:QUERY=RkZfRElWX1lMRChBTk4sNC8xMS8wMiw0LzExLzAyKQ==&amp;WINDOW=FIRST_POPUP&amp;HEIGHT=450&amp;WIDTH=450&amp;","START_MAXIMIZED=FALSE&amp;VAR:CALENDAR=US&amp;VAR:SYMBOL=MO&amp;VAR:INDEX=0"}</definedName>
    <definedName name="_991__FDSAUDITLINK__" hidden="1">{"fdsup://directions/FAT Viewer?action=UPDATE&amp;creator=factset&amp;DYN_ARGS=TRUE&amp;DOC_NAME=FAT:FQL_AUDITING_CLIENT_TEMPLATE.FAT&amp;display_string=Audit&amp;VAR:KEY=TWZAFGNSTC&amp;VAR:QUERY=RkZfRElWX1lMRChBTk4sNC8xMS8wMiw0LzExLzAyKQ==&amp;WINDOW=FIRST_POPUP&amp;HEIGHT=450&amp;WIDTH=450&amp;","START_MAXIMIZED=FALSE&amp;VAR:CALENDAR=US&amp;VAR:SYMBOL=MO&amp;VAR:INDEX=0"}</definedName>
    <definedName name="_992">#REF!</definedName>
    <definedName name="_992__FDSAUDITLINK__" localSheetId="0" hidden="1">{"fdsup://directions/FAT Viewer?action=UPDATE&amp;creator=factset&amp;DYN_ARGS=TRUE&amp;DOC_NAME=FAT:FQL_AUDITING_CLIENT_TEMPLATE.FAT&amp;display_string=Audit&amp;VAR:KEY=NSLKZQDYPQ&amp;VAR:QUERY=RkZfRElWX1lMRChBTk4sNC8wNC8wMiw0LzA0LzAyKQ==&amp;WINDOW=FIRST_POPUP&amp;HEIGHT=450&amp;WIDTH=450&amp;","START_MAXIMIZED=FALSE&amp;VAR:CALENDAR=US&amp;VAR:SYMBOL=MO&amp;VAR:INDEX=0"}</definedName>
    <definedName name="_992__FDSAUDITLINK__" hidden="1">{"fdsup://directions/FAT Viewer?action=UPDATE&amp;creator=factset&amp;DYN_ARGS=TRUE&amp;DOC_NAME=FAT:FQL_AUDITING_CLIENT_TEMPLATE.FAT&amp;display_string=Audit&amp;VAR:KEY=NSLKZQDYPQ&amp;VAR:QUERY=RkZfRElWX1lMRChBTk4sNC8wNC8wMiw0LzA0LzAyKQ==&amp;WINDOW=FIRST_POPUP&amp;HEIGHT=450&amp;WIDTH=450&amp;","START_MAXIMIZED=FALSE&amp;VAR:CALENDAR=US&amp;VAR:SYMBOL=MO&amp;VAR:INDEX=0"}</definedName>
    <definedName name="_993">#REF!</definedName>
    <definedName name="_993__FDSAUDITLINK__" localSheetId="0" hidden="1">{"fdsup://directions/FAT Viewer?action=UPDATE&amp;creator=factset&amp;DYN_ARGS=TRUE&amp;DOC_NAME=FAT:FQL_AUDITING_CLIENT_TEMPLATE.FAT&amp;display_string=Audit&amp;VAR:KEY=FETKBMROJU&amp;VAR:QUERY=RkZfRElWX1lMRChBTk4sMy8yOC8wMiwzLzI4LzAyKQ==&amp;WINDOW=FIRST_POPUP&amp;HEIGHT=450&amp;WIDTH=450&amp;","START_MAXIMIZED=FALSE&amp;VAR:CALENDAR=US&amp;VAR:SYMBOL=MO&amp;VAR:INDEX=0"}</definedName>
    <definedName name="_993__FDSAUDITLINK__" hidden="1">{"fdsup://directions/FAT Viewer?action=UPDATE&amp;creator=factset&amp;DYN_ARGS=TRUE&amp;DOC_NAME=FAT:FQL_AUDITING_CLIENT_TEMPLATE.FAT&amp;display_string=Audit&amp;VAR:KEY=FETKBMROJU&amp;VAR:QUERY=RkZfRElWX1lMRChBTk4sMy8yOC8wMiwzLzI4LzAyKQ==&amp;WINDOW=FIRST_POPUP&amp;HEIGHT=450&amp;WIDTH=450&amp;","START_MAXIMIZED=FALSE&amp;VAR:CALENDAR=US&amp;VAR:SYMBOL=MO&amp;VAR:INDEX=0"}</definedName>
    <definedName name="_994">#REF!</definedName>
    <definedName name="_994__FDSAUDITLINK__" localSheetId="0" hidden="1">{"fdsup://directions/FAT Viewer?action=UPDATE&amp;creator=factset&amp;DYN_ARGS=TRUE&amp;DOC_NAME=FAT:FQL_AUDITING_CLIENT_TEMPLATE.FAT&amp;display_string=Audit&amp;VAR:KEY=HCRMDKPCNI&amp;VAR:QUERY=RkZfRElWX1lMRChBTk4sMy8yMS8wMiwzLzIxLzAyKQ==&amp;WINDOW=FIRST_POPUP&amp;HEIGHT=450&amp;WIDTH=450&amp;","START_MAXIMIZED=FALSE&amp;VAR:CALENDAR=US&amp;VAR:SYMBOL=MO&amp;VAR:INDEX=0"}</definedName>
    <definedName name="_994__FDSAUDITLINK__" hidden="1">{"fdsup://directions/FAT Viewer?action=UPDATE&amp;creator=factset&amp;DYN_ARGS=TRUE&amp;DOC_NAME=FAT:FQL_AUDITING_CLIENT_TEMPLATE.FAT&amp;display_string=Audit&amp;VAR:KEY=HCRMDKPCNI&amp;VAR:QUERY=RkZfRElWX1lMRChBTk4sMy8yMS8wMiwzLzIxLzAyKQ==&amp;WINDOW=FIRST_POPUP&amp;HEIGHT=450&amp;WIDTH=450&amp;","START_MAXIMIZED=FALSE&amp;VAR:CALENDAR=US&amp;VAR:SYMBOL=MO&amp;VAR:INDEX=0"}</definedName>
    <definedName name="_995">#REF!</definedName>
    <definedName name="_995__FDSAUDITLINK__" localSheetId="0" hidden="1">{"fdsup://directions/FAT Viewer?action=UPDATE&amp;creator=factset&amp;DYN_ARGS=TRUE&amp;DOC_NAME=FAT:FQL_AUDITING_CLIENT_TEMPLATE.FAT&amp;display_string=Audit&amp;VAR:KEY=VOZEDMHWPI&amp;VAR:QUERY=RkZfRElWX1lMRChBTk4sMy8xNC8wMiwzLzE0LzAyKQ==&amp;WINDOW=FIRST_POPUP&amp;HEIGHT=450&amp;WIDTH=450&amp;","START_MAXIMIZED=FALSE&amp;VAR:CALENDAR=US&amp;VAR:SYMBOL=MO&amp;VAR:INDEX=0"}</definedName>
    <definedName name="_995__FDSAUDITLINK__" hidden="1">{"fdsup://directions/FAT Viewer?action=UPDATE&amp;creator=factset&amp;DYN_ARGS=TRUE&amp;DOC_NAME=FAT:FQL_AUDITING_CLIENT_TEMPLATE.FAT&amp;display_string=Audit&amp;VAR:KEY=VOZEDMHWPI&amp;VAR:QUERY=RkZfRElWX1lMRChBTk4sMy8xNC8wMiwzLzE0LzAyKQ==&amp;WINDOW=FIRST_POPUP&amp;HEIGHT=450&amp;WIDTH=450&amp;","START_MAXIMIZED=FALSE&amp;VAR:CALENDAR=US&amp;VAR:SYMBOL=MO&amp;VAR:INDEX=0"}</definedName>
    <definedName name="_996">#REF!</definedName>
    <definedName name="_996__FDSAUDITLINK__" localSheetId="0" hidden="1">{"fdsup://directions/FAT Viewer?action=UPDATE&amp;creator=factset&amp;DYN_ARGS=TRUE&amp;DOC_NAME=FAT:FQL_AUDITING_CLIENT_TEMPLATE.FAT&amp;display_string=Audit&amp;VAR:KEY=RMJGTORAPW&amp;VAR:QUERY=RkZfRElWX1lMRChBTk4sMy8wNy8wMiwzLzA3LzAyKQ==&amp;WINDOW=FIRST_POPUP&amp;HEIGHT=450&amp;WIDTH=450&amp;","START_MAXIMIZED=FALSE&amp;VAR:CALENDAR=US&amp;VAR:SYMBOL=MO&amp;VAR:INDEX=0"}</definedName>
    <definedName name="_996__FDSAUDITLINK__" hidden="1">{"fdsup://directions/FAT Viewer?action=UPDATE&amp;creator=factset&amp;DYN_ARGS=TRUE&amp;DOC_NAME=FAT:FQL_AUDITING_CLIENT_TEMPLATE.FAT&amp;display_string=Audit&amp;VAR:KEY=RMJGTORAPW&amp;VAR:QUERY=RkZfRElWX1lMRChBTk4sMy8wNy8wMiwzLzA3LzAyKQ==&amp;WINDOW=FIRST_POPUP&amp;HEIGHT=450&amp;WIDTH=450&amp;","START_MAXIMIZED=FALSE&amp;VAR:CALENDAR=US&amp;VAR:SYMBOL=MO&amp;VAR:INDEX=0"}</definedName>
    <definedName name="_997">#REF!</definedName>
    <definedName name="_997__FDSAUDITLINK__" localSheetId="0" hidden="1">{"fdsup://directions/FAT Viewer?action=UPDATE&amp;creator=factset&amp;DYN_ARGS=TRUE&amp;DOC_NAME=FAT:FQL_AUDITING_CLIENT_TEMPLATE.FAT&amp;display_string=Audit&amp;VAR:KEY=BEJSXMTKFG&amp;VAR:QUERY=RkZfRElWX1lMRChBTk4sMi8yOC8wMiwyLzI4LzAyKQ==&amp;WINDOW=FIRST_POPUP&amp;HEIGHT=450&amp;WIDTH=450&amp;","START_MAXIMIZED=FALSE&amp;VAR:CALENDAR=US&amp;VAR:SYMBOL=MO&amp;VAR:INDEX=0"}</definedName>
    <definedName name="_997__FDSAUDITLINK__" hidden="1">{"fdsup://directions/FAT Viewer?action=UPDATE&amp;creator=factset&amp;DYN_ARGS=TRUE&amp;DOC_NAME=FAT:FQL_AUDITING_CLIENT_TEMPLATE.FAT&amp;display_string=Audit&amp;VAR:KEY=BEJSXMTKFG&amp;VAR:QUERY=RkZfRElWX1lMRChBTk4sMi8yOC8wMiwyLzI4LzAyKQ==&amp;WINDOW=FIRST_POPUP&amp;HEIGHT=450&amp;WIDTH=450&amp;","START_MAXIMIZED=FALSE&amp;VAR:CALENDAR=US&amp;VAR:SYMBOL=MO&amp;VAR:INDEX=0"}</definedName>
    <definedName name="_998">#REF!</definedName>
    <definedName name="_998__FDSAUDITLINK__" localSheetId="0" hidden="1">{"fdsup://directions/FAT Viewer?action=UPDATE&amp;creator=factset&amp;DYN_ARGS=TRUE&amp;DOC_NAME=FAT:FQL_AUDITING_CLIENT_TEMPLATE.FAT&amp;display_string=Audit&amp;VAR:KEY=XWZAZCNGDC&amp;VAR:QUERY=RkZfRElWX1lMRChBTk4sMi8yMS8wMiwyLzIxLzAyKQ==&amp;WINDOW=FIRST_POPUP&amp;HEIGHT=450&amp;WIDTH=450&amp;","START_MAXIMIZED=FALSE&amp;VAR:CALENDAR=US&amp;VAR:SYMBOL=MO&amp;VAR:INDEX=0"}</definedName>
    <definedName name="_998__FDSAUDITLINK__" hidden="1">{"fdsup://directions/FAT Viewer?action=UPDATE&amp;creator=factset&amp;DYN_ARGS=TRUE&amp;DOC_NAME=FAT:FQL_AUDITING_CLIENT_TEMPLATE.FAT&amp;display_string=Audit&amp;VAR:KEY=XWZAZCNGDC&amp;VAR:QUERY=RkZfRElWX1lMRChBTk4sMi8yMS8wMiwyLzIxLzAyKQ==&amp;WINDOW=FIRST_POPUP&amp;HEIGHT=450&amp;WIDTH=450&amp;","START_MAXIMIZED=FALSE&amp;VAR:CALENDAR=US&amp;VAR:SYMBOL=MO&amp;VAR:INDEX=0"}</definedName>
    <definedName name="_999">#REF!</definedName>
    <definedName name="_999__FDSAUDITLINK__" localSheetId="0" hidden="1">{"fdsup://directions/FAT Viewer?action=UPDATE&amp;creator=factset&amp;DYN_ARGS=TRUE&amp;DOC_NAME=FAT:FQL_AUDITING_CLIENT_TEMPLATE.FAT&amp;display_string=Audit&amp;VAR:KEY=DCZKLIZWNU&amp;VAR:QUERY=RkZfRElWX1lMRChBTk4sMi8xNC8wMiwyLzE0LzAyKQ==&amp;WINDOW=FIRST_POPUP&amp;HEIGHT=450&amp;WIDTH=450&amp;","START_MAXIMIZED=FALSE&amp;VAR:CALENDAR=US&amp;VAR:SYMBOL=MO&amp;VAR:INDEX=0"}</definedName>
    <definedName name="_999__FDSAUDITLINK__" hidden="1">{"fdsup://directions/FAT Viewer?action=UPDATE&amp;creator=factset&amp;DYN_ARGS=TRUE&amp;DOC_NAME=FAT:FQL_AUDITING_CLIENT_TEMPLATE.FAT&amp;display_string=Audit&amp;VAR:KEY=DCZKLIZWNU&amp;VAR:QUERY=RkZfRElWX1lMRChBTk4sMi8xNC8wMiwyLzE0LzAyKQ==&amp;WINDOW=FIRST_POPUP&amp;HEIGHT=450&amp;WIDTH=450&amp;","START_MAXIMIZED=FALSE&amp;VAR:CALENDAR=US&amp;VAR:SYMBOL=MO&amp;VAR:INDEX=0"}</definedName>
    <definedName name="_9S" hidden="1">#REF!</definedName>
    <definedName name="_9s11_" hidden="1">{#N/A,#N/A,FALSE,"UNIT";#N/A,#N/A,FALSE,"UNIT";#N/A,#N/A,FALSE,"계정"}</definedName>
    <definedName name="_9s13_" hidden="1">{#N/A,#N/A,FALSE,"UNIT";#N/A,#N/A,FALSE,"UNIT";#N/A,#N/A,FALSE,"계정"}</definedName>
    <definedName name="_9s14_" hidden="1">{#N/A,#N/A,FALSE,"UNIT";#N/A,#N/A,FALSE,"UNIT";#N/A,#N/A,FALSE,"계정"}</definedName>
    <definedName name="_9Table2_" hidden="1">#REF!</definedName>
    <definedName name="_a">#REF!</definedName>
    <definedName name="_a_1">#REF!</definedName>
    <definedName name="_a_4">#REF!</definedName>
    <definedName name="_a01" hidden="1">{#N/A,#N/A,FALSE,"Aging Summary";#N/A,#N/A,FALSE,"Ratio Analysis";#N/A,#N/A,FALSE,"Test 120 Day Accts";#N/A,#N/A,FALSE,"Tickmarks"}</definedName>
    <definedName name="_a1">{"'1-TheatreBkgs'!$A$1:$L$102"}</definedName>
    <definedName name="_A2" hidden="1">#REF!</definedName>
    <definedName name="_A20000">#REF!</definedName>
    <definedName name="_A3" hidden="1">{#N/A,#N/A,TRUE,"Summary";#N/A,#N/A,TRUE,"Description";#N/A,#N/A,TRUE,"AstLst";#N/A,#N/A,TRUE,"CshFlow";#N/A,#N/A,TRUE,"Inc-Stmt";#N/A,#N/A,TRUE,"B-Sht"}</definedName>
    <definedName name="_A65536">#REF!</definedName>
    <definedName name="_A65537">#REF!</definedName>
    <definedName name="_A65538">#REF!</definedName>
    <definedName name="_a665536">#REF!</definedName>
    <definedName name="_A9" hidden="1">#REF!</definedName>
    <definedName name="_aa1" hidden="1">{#N/A,#N/A,FALSE,"Aging Summary";#N/A,#N/A,FALSE,"Ratio Analysis";#N/A,#N/A,FALSE,"Test 120 Day Accts";#N/A,#N/A,FALSE,"Tickmarks"}</definedName>
    <definedName name="_aa1_3">#REF!</definedName>
    <definedName name="_aaa1" hidden="1">{#N/A,#N/A,FALSE,"REPORT"}</definedName>
    <definedName name="_aaa2" hidden="1">{#N/A,#N/A,FALSE,"Aging Summary";#N/A,#N/A,FALSE,"Ratio Analysis";#N/A,#N/A,FALSE,"Test 120 Day Accts";#N/A,#N/A,FALSE,"Tickmarks"}</definedName>
    <definedName name="_aaa2_3">#REF!</definedName>
    <definedName name="_aas1" hidden="1">{#N/A,#N/A,FALSE,"REPORT"}</definedName>
    <definedName name="_ab">{0}</definedName>
    <definedName name="_acc1">#REF!</definedName>
    <definedName name="_acc2">#REF!</definedName>
    <definedName name="_ACK1">#REF!</definedName>
    <definedName name="_ACK2">#REF!</definedName>
    <definedName name="_ACS2000" hidden="1">{#N/A,#N/A,FALSE,"REPORT"}</definedName>
    <definedName name="_act">1</definedName>
    <definedName name="_act.act">1</definedName>
    <definedName name="_actual">1</definedName>
    <definedName name="_ADD2">#REF!</definedName>
    <definedName name="_adjust">1</definedName>
    <definedName name="_ADS1">#REF!</definedName>
    <definedName name="_age1">#REF!</definedName>
    <definedName name="_ake1">#REF!</definedName>
    <definedName name="_ake2">#REF!</definedName>
    <definedName name="_ake3">#REF!</definedName>
    <definedName name="_AMO_ContentDefinition_299938498">"'Partitions:7'"</definedName>
    <definedName name="_AMO_ContentDefinition_299938498.0">"'&lt;ContentDefinition name=""Import Monthly Mapics Data for FD68"" rsid=""299938498"" type=""StoredProcess"" format=""REPORTXML"" imgfmt=""ACTIVEX"" created=""05/05/2009 23:28:47"" modifed=""05/05/2009 23:28:47"" user=""ANLGR"" apply=""False"" thread='"</definedName>
    <definedName name="_AMO_ContentDefinition_299938498.1">"'""BACKGROUND"" css=""C:\Program Files\SAS\Shared Files\BIClientStyles\AMODefault.css"" range=""Import_Monthly_Mapics_Data_for_FD68"" auto=""False"" rdc=""False"" mig=""False"" xTime=""00:01:04.3490775"" rTime=""00:00:00.4374300"" bgnew=""False"" nF'"</definedName>
    <definedName name="_AMO_ContentDefinition_299938498.2">"'mt=""False"" grphSet=""False"" imgY=""0"" imgX=""0""&gt;_x000D_
  &lt;files /&gt;_x000D_
  &lt;param n=""DisplayName"" v=""Import Monthly Mapics Data for FD68"" /&gt;_x000D_
  &lt;param n=""ServerName"" v=""SASMain"" /&gt;_x000D_
  &lt;param n=""ResultsOnServer"" v=""False"" /&gt;_x000D_
  &lt;param n=""AMO'"</definedName>
    <definedName name="_AMO_ContentDefinition_299938498.3">"'_Version"" v=""2.1"" /&gt;_x000D_
  &lt;param n=""UIParameter_0"" v=""analysis::ACTUAL"" /&gt;_x000D_
  &lt;param n=""UIParameter_1"" v=""period::200904"" /&gt;_x000D_
  &lt;param n=""UIParameter_2"" v=""cycle::Vestas2"" /&gt;_x000D_
  &lt;param n=""UIParameter_3"" v=""acttype::1"" /&gt;_x000D_
  &lt;param '"</definedName>
    <definedName name="_AMO_ContentDefinition_299938498.4">"'n=""UIParameter_4"" v=""fd::68"" /&gt;_x000D_
  &lt;param n=""UIParameter_5"" v=""country::GB"" /&gt;_x000D_
  &lt;param n=""UIParameter_6"" v=""currency::GBP"" /&gt;_x000D_
  &lt;param n=""UIParameter_7"" v=""schema::AMFLIBC"" /&gt;_x000D_
  &lt;param n=""UIParameter_8"" v=""butype::PBU"" /&gt;_x000D_
  &lt;'"</definedName>
    <definedName name="_AMO_ContentDefinition_299938498.5">"'param n=""UIParameters"" v=""9"" /&gt;_x000D_
  &lt;param n=""StoredProcessID"" v=""A5OM1V0E.AY0006ZW"" /&gt;_x000D_
  &lt;param n=""StoredProcessPath"" v=""Monthly Data Load/Vestas BU Tower/Import Monthly Mapics Data for FD68"" /&gt;_x000D_
  &lt;param n=""RepositoryName"" v=""Foundat'"</definedName>
    <definedName name="_AMO_ContentDefinition_299938498.6">"'ion"" /&gt;_x000D_
  &lt;param n=""ClassName"" v=""SAS.OfficeAddin.StoredProcess"" /&gt;_x000D_
  &lt;param n=""NoVisuals"" v=""1"" /&gt;_x000D_
&lt;/ContentDefinition&gt;'"</definedName>
    <definedName name="_AMO_ContentDefinition_307689594">"'Partitions:7'"</definedName>
    <definedName name="_AMO_ContentDefinition_307689594.0">"'&lt;ContentDefinition name=""CF Import (weekly) for Vestas Towers"" rsid=""307689594"" type=""StoredProcess"" format=""REPORTXML"" imgfmt=""ACTIVEX"" created=""07/28/2006 11:13:58"" modifed=""07/28/2006 11:13:58"" user=""trje"" apply=""False"" thread='"</definedName>
    <definedName name="_AMO_ContentDefinition_307689594.1">"'""BACKGROUND"" css=""C:\Program Files\SAS\Shared Files\BIClientStyles\AMODefault.css"" range=""CF_Import__weekly__for_Vestas_Towers"" auto=""False"" rdc=""False"" mig=""False"" xTime=""00:01:22.6932152"" rTime=""00:00:00.2658443"" bgnew=""False"" n'"</definedName>
    <definedName name="_AMO_ContentDefinition_307689594.2">"'Fmt=""False"" grphSet=""False"" imgY=""0"" imgX=""0""&gt;_x000D_
  &lt;files /&gt;_x000D_
  &lt;param n=""DisplayName"" v=""CF Import (weekly) for Vestas Towers"" /&gt;_x000D_
  &lt;param n=""ServerName"" v=""SASMain"" /&gt;_x000D_
  &lt;param n=""ResultsOnServer"" v=""False"" /&gt;_x000D_
  &lt;param n=""A'"</definedName>
    <definedName name="_AMO_ContentDefinition_307689594.3">"'MO_Version"" v=""2.1"" /&gt;_x000D_
  &lt;param n=""UIParameter_0"" v=""analysis::CFR"" /&gt;_x000D_
  &lt;param n=""UIParameter_1"" v=""period::w30-2006"" /&gt;_x000D_
  &lt;param n=""UIParameter_2"" v=""location::\\rifile\group\_Docs\Financial_reporting\Towers\Local Finance\"" /&gt;_x000D_
  '"</definedName>
    <definedName name="_AMO_ContentDefinition_307689594.4">"'&lt;param n=""UIParameter_3"" v=""cycle::Vestas_CF"" /&gt;_x000D_
  &lt;param n=""UIParameter_4"" v=""actiontype::1"" /&gt;_x000D_
  &lt;param n=""UIParameters"" v=""5"" /&gt;_x000D_
  &lt;param n=""StoredProcessID"" v=""A5GF11T9.AR0012L1"" /&gt;_x000D_
  &lt;param n=""StoredProcessPath"" v=""Cash Flo'"</definedName>
    <definedName name="_AMO_ContentDefinition_307689594.5">"'w Reporting/Vestas BU CF Towers/CF Import (weekly) for Vestas Towers"" /&gt;_x000D_
  &lt;param n=""RepositoryName"" v=""Detail Data Store"" /&gt;_x000D_
  &lt;param n=""ClassName"" v=""SAS.OfficeAddin.StoredProcess"" /&gt;_x000D_
  &lt;param n=""NoVisuals"" v=""1"" /&gt;_x000D_
&lt;/Conte'"</definedName>
    <definedName name="_AMO_ContentDefinition_307689594.6">"'ntDefinition&gt;'"</definedName>
    <definedName name="_AMO_ContentDefinition_437249378">"'Partitions:7'"</definedName>
    <definedName name="_AMO_ContentDefinition_437249378.0">"'&lt;ContentDefinition name=""Import Monthly Mapics Data for FD67"" rsid=""437249378"" type=""StoredProcess"" format=""REPORTXML"" imgfmt=""ACTIVEX"" created=""05/05/2009 23:27:27"" modifed=""05/05/2009 23:27:27"" user=""ANLGR"" apply=""False"" thread='"</definedName>
    <definedName name="_AMO_ContentDefinition_437249378.1">"'""BACKGROUND"" css=""C:\Program Files\SAS\Shared Files\BIClientStyles\AMODefault.css"" range=""Import_Monthly_Mapics_Data_for_FD67_2"" auto=""False"" rdc=""False"" mig=""False"" xTime=""00:01:10.6449450"" rTime=""00:00:00.6873900"" bgnew=""False"" n'"</definedName>
    <definedName name="_AMO_ContentDefinition_437249378.2">"'Fmt=""False"" grphSet=""False"" imgY=""0"" imgX=""0""&gt;_x000D_
  &lt;files /&gt;_x000D_
  &lt;param n=""DisplayName"" v=""Import Monthly Mapics Data for FD67"" /&gt;_x000D_
  &lt;param n=""ServerName"" v=""SASMain"" /&gt;_x000D_
  &lt;param n=""ResultsOnServer"" v=""False"" /&gt;_x000D_
  &lt;param n=""AM'"</definedName>
    <definedName name="_AMO_ContentDefinition_437249378.3">"'O_Version"" v=""2.1"" /&gt;_x000D_
  &lt;param n=""UIParameter_0"" v=""analysis::ACTUAL"" /&gt;_x000D_
  &lt;param n=""UIParameter_1"" v=""period::200904"" /&gt;_x000D_
  &lt;param n=""UIParameter_2"" v=""cycle::Vestas2"" /&gt;_x000D_
  &lt;param n=""UIParameter_3"" v=""acttype::1"" /&gt;_x000D_
  &lt;param'"</definedName>
    <definedName name="_AMO_ContentDefinition_437249378.4">"' n=""UIParameter_4"" v=""fd::67"" /&gt;_x000D_
  &lt;param n=""UIParameter_5"" v=""country::DK"" /&gt;_x000D_
  &lt;param n=""UIParameter_6"" v=""currency::DKK"" /&gt;_x000D_
  &lt;param n=""UIParameter_7"" v=""schema::AMFLIBL"" /&gt;_x000D_
  &lt;param n=""UIParameter_8"" v=""butype::PBU"" /&gt;_x000D_
  '"</definedName>
    <definedName name="_AMO_ContentDefinition_437249378.5">"'&lt;param n=""UIParameters"" v=""9"" /&gt;_x000D_
  &lt;param n=""StoredProcessID"" v=""A5OM1V0E.AY0006ZV"" /&gt;_x000D_
  &lt;param n=""StoredProcessPath"" v=""Monthly Data Load/Vestas BU Tower/Import Monthly Mapics Data for FD67"" /&gt;_x000D_
  &lt;param n=""RepositoryName"" v=""Founda'"</definedName>
    <definedName name="_AMO_ContentDefinition_437249378.6">"'tion"" /&gt;_x000D_
  &lt;param n=""ClassName"" v=""SAS.OfficeAddin.StoredProcess"" /&gt;_x000D_
  &lt;param n=""NoVisuals"" v=""1"" /&gt;_x000D_
&lt;/ContentDefinition&gt;'"</definedName>
    <definedName name="_AMO_ContentDefinition_448845425">"'Partitions:7'"</definedName>
    <definedName name="_AMO_ContentDefinition_448845425.0">"'&lt;ContentDefinition name=""Import RFC for Vestas Mediterranean"" rsid=""448845425"" type=""StoredProcess"" format=""REPORTXML"" imgfmt=""ACTIVEX"" created=""10/12/2008 15:09:57"" modifed=""10/12/2008 15:09:57"" user=""Zsuzsanna Fodor"" apply=""False""'"</definedName>
    <definedName name="_AMO_ContentDefinition_448845425.1">"' thread=""BACKGROUND"" css=""C:\Program Files\SAS\Shared Files\BIClientStyles\AMODefault.css"" range=""Import_RFC_for_Vestas_Mediterranean"" auto=""False"" rdc=""False"" mig=""False"" xTime=""00:01:32.0053340"" rTime=""00:00:00.2811708"" bgnew=""Fa'"</definedName>
    <definedName name="_AMO_ContentDefinition_448845425.2">"'lse"" nFmt=""False"" grphSet=""False"" imgY=""0"" imgX=""0""&gt;_x000D_
  &lt;files /&gt;_x000D_
  &lt;param n=""DisplayName"" v=""Import RFC for Vestas Mediterranean"" /&gt;_x000D_
  &lt;param n=""ServerName"" v=""SASMain"" /&gt;_x000D_
  &lt;param n=""ResultsOnServer"" v=""False"" /&gt;_x000D_
  &lt;para'"</definedName>
    <definedName name="_AMO_ContentDefinition_448845425.3">"'m n=""AMO_Version"" v=""2.1"" /&gt;_x000D_
  &lt;param n=""UIParameter_0"" v=""analysis::RFC3"" /&gt;_x000D_
  &lt;param n=""UIParameter_1"" v=""period::200808"" /&gt;_x000D_
  &lt;param n=""UIParameter_2"" v=""cycle::Vestas2"" /&gt;_x000D_
  &lt;param n=""UIParameter_3"" v=""acttype::1"" /&gt;_x000D_
  &lt;p'"</definedName>
    <definedName name="_AMO_ContentDefinition_448845425.4">"'aram n=""UIParameter_4"" v=""location::\\rifile\group\_Docs\Financial_reporting\Mediterranean\Local Finance\"" /&gt;_x000D_
  &lt;param n=""UIParameter_5"" v=""budgettype::FIN"" /&gt;_x000D_
  &lt;param n=""UIParameter_6"" v=""butype::SBU"" /&gt;_x000D_
  &lt;param n=""UIParameters"" '"</definedName>
    <definedName name="_AMO_ContentDefinition_448845425.5">"'v=""7"" /&gt;_x000D_
  &lt;param n=""StoredProcessID"" v=""A5OM1V0E.AY0035FM"" /&gt;_x000D_
  &lt;param n=""StoredProcessPath"" v=""Monthly Data Load/Vestas Mediterranean/Import RFC for Vestas Mediterranean"" /&gt;_x000D_
  &lt;param n=""RepositoryName"" v=""Foundation"" /&gt;_x000D_
  &lt;param '"</definedName>
    <definedName name="_AMO_ContentDefinition_448845425.6">"'n=""ClassName"" v=""SAS.OfficeAddin.StoredProcess"" /&gt;_x000D_
  &lt;param n=""NoVisuals"" v=""1"" /&gt;_x000D_
&lt;/ContentDefinition&gt;'"</definedName>
    <definedName name="_AMO_ContentDefinition_740954670">"'Partitions:7'"</definedName>
    <definedName name="_AMO_ContentDefinition_740954670.0">"'&lt;ContentDefinition name=""Import Estimate Package for Vestas BU Blades"" rsid=""740954670"" type=""StoredProcess"" format=""REPORTXML"" imgfmt=""ACTIVEX"" created=""10/18/2006 14:11:12"" modifed=""10/18/2006 14:11:12"" user=""Martin Holst Jacobsen""'"</definedName>
    <definedName name="_AMO_ContentDefinition_740954670.1">"' apply=""False"" thread=""BACKGROUND"" css=""C:\Program Files\SAS\Shared Files\BIClientStyles\AMODefault.css"" range=""Import_Estimate_Package_for_Vestas_BU_Blades"" auto=""False"" rdc=""False"" mig=""False"" xTime=""00:00:56.2067115"" rTime=""00:00:'"</definedName>
    <definedName name="_AMO_ContentDefinition_740954670.2">"'00.4404444"" bgnew=""False"" nFmt=""False"" grphSet=""False"" imgY=""0"" imgX=""0""&gt;_x000D_
  &lt;files /&gt;_x000D_
  &lt;param n=""DisplayName"" v=""Import Estimate Package for Vestas BU Blades"" /&gt;_x000D_
  &lt;param n=""ServerName"" v=""SASMain"" /&gt;_x000D_
  &lt;param n=""ResultsOnS'"</definedName>
    <definedName name="_AMO_ContentDefinition_740954670.3">"'erver"" v=""False"" /&gt;_x000D_
  &lt;param n=""AMO_Version"" v=""2.1"" /&gt;_x000D_
  &lt;param n=""UIParameter_0"" v=""analysis::EST1"" /&gt;_x000D_
  &lt;param n=""UIParameter_1"" v=""period_start::200609"" /&gt;_x000D_
  &lt;param n=""UIParameter_2"" v=""period_end::200612"" /&gt;_x000D_
  &lt;param n='"</definedName>
    <definedName name="_AMO_ContentDefinition_740954670.4">"'""UIParameter_3"" v=""location::\\rifile\group\_Docs\Financial_reporting\Blades\Local Finance\"" /&gt;_x000D_
  &lt;param n=""UIParameter_4"" v=""cycle::Vestas"" /&gt;_x000D_
  &lt;param n=""UIParameter_5"" v=""actiontype::1"" /&gt;_x000D_
  &lt;param n=""UIParameters"" v=""6"" /&gt;_x000D_
  &lt;'"</definedName>
    <definedName name="_AMO_ContentDefinition_740954670.5">"'param n=""StoredProcessID"" v=""A5GF11T9.AR000RS1"" /&gt;_x000D_
  &lt;param n=""StoredProcessPath"" v=""Monthly Data Load/Vestas BU Blades/Import Estimate Package for Vestas BU Blades"" /&gt;_x000D_
  &lt;param n=""RepositoryName"" v=""Detail Data Store"" /&gt;_x000D_
  &lt;param n='"</definedName>
    <definedName name="_AMO_ContentDefinition_740954670.6">"'""ClassName"" v=""SAS.OfficeAddin.StoredProcess"" /&gt;_x000D_
  &lt;param n=""NoVisuals"" v=""1"" /&gt;_x000D_
&lt;/ContentDefinition&gt;'"</definedName>
    <definedName name="_AMO_ContentDefinition_767791925">"'Partitions:7'"</definedName>
    <definedName name="_AMO_ContentDefinition_767791925.0">"'&lt;ContentDefinition name=""Import Monthly Mapics Data for FD67"" rsid=""767791925"" type=""StoredProcess"" format=""REPORTXML"" imgfmt=""ACTIVEX"" created=""07/07/2008 13:05:28"" modifed=""07/07/2008 13:05:28"" user=""ANLGR"" apply=""False"" thread='"</definedName>
    <definedName name="_AMO_ContentDefinition_767791925.1">"'""BACKGROUND"" css=""C:\Program Files\SAS\Shared Files\BIClientStyles\AMODefault.css"" range=""Import_Monthly_Mapics_Data_for_FD67"" auto=""False"" rdc=""False"" mig=""False"" xTime=""00:03:01.2112534"" rTime=""00:00:00.5158032"" bgnew=""False"" nF'"</definedName>
    <definedName name="_AMO_ContentDefinition_767791925.2">"'mt=""False"" grphSet=""False"" imgY=""0"" imgX=""0""&gt;_x000D_
  &lt;files /&gt;_x000D_
  &lt;param n=""DisplayName"" v=""Import Monthly Mapics Data for FD67"" /&gt;_x000D_
  &lt;param n=""ServerName"" v=""SASMain"" /&gt;_x000D_
  &lt;param n=""ResultsOnServer"" v=""False"" /&gt;_x000D_
  &lt;param n=""AMO'"</definedName>
    <definedName name="_AMO_ContentDefinition_767791925.3">"'_Version"" v=""2.1"" /&gt;_x000D_
  &lt;param n=""UIParameter_0"" v=""analysis::ACTUAL"" /&gt;_x000D_
  &lt;param n=""UIParameter_1"" v=""period::200806"" /&gt;_x000D_
  &lt;param n=""UIParameter_2"" v=""cycle::Vestas2"" /&gt;_x000D_
  &lt;param n=""UIParameter_3"" v=""acttype::1"" /&gt;_x000D_
  &lt;param '"</definedName>
    <definedName name="_AMO_ContentDefinition_767791925.4">"'n=""UIParameter_4"" v=""fd::67"" /&gt;_x000D_
  &lt;param n=""UIParameter_5"" v=""country::DK"" /&gt;_x000D_
  &lt;param n=""UIParameter_6"" v=""currency::DKK"" /&gt;_x000D_
  &lt;param n=""UIParameter_7"" v=""schema::AMFLIBL"" /&gt;_x000D_
  &lt;param n=""UIParameters"" v=""8"" /&gt;_x000D_
  &lt;param n=""'"</definedName>
    <definedName name="_AMO_ContentDefinition_767791925.5">"'StoredProcessID"" v=""A5OM1V0E.AY0006ZV"" /&gt;_x000D_
  &lt;param n=""StoredProcessPath"" v=""Monthly Data Load/Vestas BU Tower/Import Monthly Mapics Data for FD67"" /&gt;_x000D_
  &lt;param n=""RepositoryName"" v=""Foundation"" /&gt;_x000D_
  &lt;param n=""ClassName"" v=""SAS.OfficeAd'"</definedName>
    <definedName name="_AMO_ContentDefinition_767791925.6">"'din.StoredProcess"" /&gt;_x000D_
  &lt;param n=""NoVisuals"" v=""1"" /&gt;_x000D_
&lt;/ContentDefinition&gt;'"</definedName>
    <definedName name="_AMO_XmlVersion">"'1'"</definedName>
    <definedName name="_AMT13300">#N/A</definedName>
    <definedName name="_AMT13502">#N/A</definedName>
    <definedName name="_AMT41301">#N/A</definedName>
    <definedName name="_AMT85116">#N/A</definedName>
    <definedName name="_AMT85125">#N/A</definedName>
    <definedName name="_AMT86106">#N/A</definedName>
    <definedName name="_ann">1</definedName>
    <definedName name="_Ann2">#REF!</definedName>
    <definedName name="_annual">1</definedName>
    <definedName name="_APG1">#REF!</definedName>
    <definedName name="_APG2">#REF!</definedName>
    <definedName name="_APP1">#REF!</definedName>
    <definedName name="_APS2">clra1b1,clra1b2,clra1b3,clra1b4,clra1b5,clra1b6,clra1b7,clra1b8</definedName>
    <definedName name="_aps4">Indexn1,IndexN2</definedName>
    <definedName name="_AR70000">#REF!</definedName>
    <definedName name="_ARB51">#REF!</definedName>
    <definedName name="_ARE1">#REF!</definedName>
    <definedName name="_ARE2">#REF!</definedName>
    <definedName name="_as1">#REF!</definedName>
    <definedName name="_AS2">#REF!</definedName>
    <definedName name="_as3">#REF!</definedName>
    <definedName name="_AS4">#REF!</definedName>
    <definedName name="_as6">#REF!</definedName>
    <definedName name="_AS7">#REF!</definedName>
    <definedName name="_ASS1">#REF!</definedName>
    <definedName name="_ASS2">#REF!</definedName>
    <definedName name="_atmat">2</definedName>
    <definedName name="_atmaturity">2</definedName>
    <definedName name="_AtRisk_SimSetting_AutomaticallyGenerateReports">FALSE</definedName>
    <definedName name="_AtRisk_SimSetting_AutomaticResultsDisplayMode">0</definedName>
    <definedName name="_AtRisk_SimSetting_ConvergenceConfidenceLevel">0.95</definedName>
    <definedName name="_AtRisk_SimSetting_ConvergencePercentileToTest">0.9</definedName>
    <definedName name="_AtRisk_SimSetting_ConvergencePerformMeanTest">TRUE</definedName>
    <definedName name="_AtRisk_SimSetting_ConvergencePerformPercentileTest">FALSE</definedName>
    <definedName name="_AtRisk_SimSetting_ConvergencePerformStdDeviationTest">FALSE</definedName>
    <definedName name="_AtRisk_SimSetting_ConvergenceTestAllOutputs">TRUE</definedName>
    <definedName name="_AtRisk_SimSetting_ConvergenceTestingPeriod">100</definedName>
    <definedName name="_AtRisk_SimSetting_ConvergenceTolerance">0.03</definedName>
    <definedName name="_AtRisk_SimSetting_LiveUpdate">TRUE</definedName>
    <definedName name="_AtRisk_SimSetting_LiveUpdatePeriod">-1</definedName>
    <definedName name="_AtRisk_SimSetting_MacroRecalculationBehavior">0</definedName>
    <definedName name="_AtRisk_SimSetting_RandomNumberGenerator">0</definedName>
    <definedName name="_AtRisk_SimSetting_ReportsList">20</definedName>
    <definedName name="_AtRisk_SimSetting_ShowSimulationProgressWindow">TRUE</definedName>
    <definedName name="_AtRisk_SimSetting_SimNameCount">0</definedName>
    <definedName name="_AtRisk_SimSetting_SmartSensitivityAnalysisEnabled">TRUE</definedName>
    <definedName name="_AtRisk_SimSetting_StatisticFunctionUpdating">1</definedName>
    <definedName name="_AtRisk_SimSetting_StdRecalcActiveSimulationNumber">1</definedName>
    <definedName name="_AtRisk_SimSetting_StdRecalcBehavior">1</definedName>
    <definedName name="_AtRisk_SimSetting_StdRecalcWithoutRiskStatic">0</definedName>
    <definedName name="_AtRisk_SimSetting_StdRecalcWithoutRiskStaticPercentile">0.5</definedName>
    <definedName name="_aud02">#REF!</definedName>
    <definedName name="_aud03">#REF!</definedName>
    <definedName name="_aud04">#REF!</definedName>
    <definedName name="_b">#REF!</definedName>
    <definedName name="_b1">#REF!</definedName>
    <definedName name="_B10">#NAME?</definedName>
    <definedName name="_B11">#NAME?</definedName>
    <definedName name="_B12">#NAME?</definedName>
    <definedName name="_B13">#NAME?</definedName>
    <definedName name="_B14">#NAME?</definedName>
    <definedName name="_B15">#NAME?</definedName>
    <definedName name="_B16">#NAME?</definedName>
    <definedName name="_B17">#NAME?</definedName>
    <definedName name="_B18">#NAME?</definedName>
    <definedName name="_B19">#NAME?</definedName>
    <definedName name="_B20">#NAME?</definedName>
    <definedName name="_B21">#NAME?</definedName>
    <definedName name="_B22">#NAME?</definedName>
    <definedName name="_B23">#NAME?</definedName>
    <definedName name="_B24">#NAME?</definedName>
    <definedName name="_B25">#NAME?</definedName>
    <definedName name="_B26">#NAME?</definedName>
    <definedName name="_B27">#NAME?</definedName>
    <definedName name="_B28">#NAME?</definedName>
    <definedName name="_B29">#NAME?</definedName>
    <definedName name="_B30">#NAME?</definedName>
    <definedName name="_B31">#NAME?</definedName>
    <definedName name="_B32">#NAME?</definedName>
    <definedName name="_B33">#NAME?</definedName>
    <definedName name="_B34">#NAME?</definedName>
    <definedName name="_B35">#NAME?</definedName>
    <definedName name="_B36">#NAME?</definedName>
    <definedName name="_B37">#NAME?</definedName>
    <definedName name="_B38">#NAME?</definedName>
    <definedName name="_B39">#NAME?</definedName>
    <definedName name="_B4">#NAME?</definedName>
    <definedName name="_B40">#NAME?</definedName>
    <definedName name="_B41">#NAME?</definedName>
    <definedName name="_B42">#NAME?</definedName>
    <definedName name="_B43">#NAME?</definedName>
    <definedName name="_B44">#NAME?</definedName>
    <definedName name="_B45">#NAME?</definedName>
    <definedName name="_B46">#NAME?</definedName>
    <definedName name="_B47">#NAME?</definedName>
    <definedName name="_B48">#NAME?</definedName>
    <definedName name="_B49">#NAME?</definedName>
    <definedName name="_B50">#NAME?</definedName>
    <definedName name="_B51">#NAME?</definedName>
    <definedName name="_B52">#NAME?</definedName>
    <definedName name="_B53">#NAME?</definedName>
    <definedName name="_B54">#NAME?</definedName>
    <definedName name="_B55">#NAME?</definedName>
    <definedName name="_B56">#NAME?</definedName>
    <definedName name="_B57">#NAME?</definedName>
    <definedName name="_B58">#NAME?</definedName>
    <definedName name="_B59">#NAME?</definedName>
    <definedName name="_B60">#NAME?</definedName>
    <definedName name="_B61">#NAME?</definedName>
    <definedName name="_B62">#NAME?</definedName>
    <definedName name="_B63">#NAME?</definedName>
    <definedName name="_B64">#NAME?</definedName>
    <definedName name="_B65">#NAME?</definedName>
    <definedName name="_B66">#NAME?</definedName>
    <definedName name="_B67">#NAME?</definedName>
    <definedName name="_B68">#NAME?</definedName>
    <definedName name="_B69">#NAME?</definedName>
    <definedName name="_B7">#NAME?</definedName>
    <definedName name="_B70">#NAME?</definedName>
    <definedName name="_B71">#NAME?</definedName>
    <definedName name="_B72">#NAME?</definedName>
    <definedName name="_B73">#NAME?</definedName>
    <definedName name="_B74">#NAME?</definedName>
    <definedName name="_B75">#NAME?</definedName>
    <definedName name="_B76">#NAME?</definedName>
    <definedName name="_B77">#NAME?</definedName>
    <definedName name="_B78">#NAME?</definedName>
    <definedName name="_B79">#NAME?</definedName>
    <definedName name="_B8">#NAME?</definedName>
    <definedName name="_B80">#NAME?</definedName>
    <definedName name="_B81">#NAME?</definedName>
    <definedName name="_B82">#NAME?</definedName>
    <definedName name="_B83">#NAME?</definedName>
    <definedName name="_B84">#NAME?</definedName>
    <definedName name="_B85">#NAME?</definedName>
    <definedName name="_B86">#NAME?</definedName>
    <definedName name="_B87">#NAME?</definedName>
    <definedName name="_B88">#NAME?</definedName>
    <definedName name="_B89">#NAME?</definedName>
    <definedName name="_B9">#NAME?</definedName>
    <definedName name="_B90">#NAME?</definedName>
    <definedName name="_B91">#NAME?</definedName>
    <definedName name="_B92">#NAME?</definedName>
    <definedName name="_bdm.01510172dfd24dc3a9224d37fa7f7abf.edm" hidden="1">#REF!</definedName>
    <definedName name="_bdm.015d350c97164838bed45269b7106fff.edm" hidden="1">#REF!</definedName>
    <definedName name="_bdm.02665F06EA934A20B1E803C2DDB75270.edm">#REF!</definedName>
    <definedName name="_bdm.04a9eb4eff2b4367a5b3701d82505a22.edm" hidden="1">#REF!</definedName>
    <definedName name="_bdm.05410df8118a4db684b638448fb85eef.edm" hidden="1">#REF!</definedName>
    <definedName name="_bdm.062EF52D32C54A01A34B1C1351B53347.edm">#REF!</definedName>
    <definedName name="_bdm.06a37c9b0b0b4c4ea71f60d5a3a4c2ac.edm" hidden="1">#REF!</definedName>
    <definedName name="_bdm.0739195d489f42239483a8a135bacfd8.edm" hidden="1">#REF!</definedName>
    <definedName name="_bdm.07f0d056ba514c568a87775485b00326.edm" hidden="1">#REF!</definedName>
    <definedName name="_bdm.0A60D62B329D4783A636470BE1F80856.edm" hidden="1">#REF!</definedName>
    <definedName name="_bdm.0bba4bbf98cd42fca9e286e4cb6e6fba.edm" hidden="1">#REF!</definedName>
    <definedName name="_bdm.0CAC2F37F29C42068B414DDFC28DDE64.edm">#REF!</definedName>
    <definedName name="_bdm.0CF828A1AC8F4209AF9204D7C9E5A8B1.edm">#REF!</definedName>
    <definedName name="_bdm.0da17c744f214659b1f2ddb016ede518.edm" hidden="1">#REF!</definedName>
    <definedName name="_bdm.0e91f806abb94edf800bfb0d5ff6dc3d.edm" hidden="1">#REF!</definedName>
    <definedName name="_bdm.0eeb61623dad4852b9812a6976b27a1c.edm" hidden="1">#REF!</definedName>
    <definedName name="_bdm.0fa956faecc046208219bdbfc02b1166.edm" hidden="1">#REF!</definedName>
    <definedName name="_bdm.10BB0185ABB3452DBD8AA0B8DABBCCF7.edm">#REF!</definedName>
    <definedName name="_bdm.11D4492C9C584DBAB2091024EAD60957.edm">#REF!</definedName>
    <definedName name="_bdm.12b21871e86b45a28899199610b1a67f.edm" hidden="1">#REF!</definedName>
    <definedName name="_bdm.1462D1F6866E41A3A044F1A56EA3B855.edm">#REF!</definedName>
    <definedName name="_bdm.14f267038c574165b9917aa269e953f1.edm" hidden="1">#REF!</definedName>
    <definedName name="_bdm.15344F674DAC4372BB969DB701C6C1F3.edm" hidden="1">#REF!</definedName>
    <definedName name="_bdm.15E9768483504CFEBBB51F7F383E096E.edm">#REF!</definedName>
    <definedName name="_bdm.16af431d05084b94a5d4f1d44499f374.edm" hidden="1">#REF!</definedName>
    <definedName name="_bdm.17dcaf94c47b4219a88eaaa2745416e9.edm" hidden="1">#REF!</definedName>
    <definedName name="_bdm.18AD2AB5771C4B7BA1272ED44341D984.edm">#REF!</definedName>
    <definedName name="_bdm.19EEF9151C374D2196353079864333A0.edm">#REF!</definedName>
    <definedName name="_bdm.1A4C0D04980C4EF7A63C0779AE501BA2.edm">#REF!</definedName>
    <definedName name="_bdm.1aee5f4815364244821c566ea8a72276.edm" hidden="1">#REF!</definedName>
    <definedName name="_bdm.1BF4FED987D94FAAA25169ADA12E6D30.edm">#REF!</definedName>
    <definedName name="_bdm.1C2247337F8F4B3DA483BDD1B9B995EE.edm">#REF!</definedName>
    <definedName name="_bdm.1CA3A5FC9C274BDC9037EFEBA80108E0.edm">#REF!</definedName>
    <definedName name="_bdm.1CFA331290DA421BBFF1821D4F99B64E.edm">#REF!</definedName>
    <definedName name="_bdm.1E55C224DB81434591BC84497AEE6DBC.edm">#REF!</definedName>
    <definedName name="_bdm.20236681f92f4d01b3ae300dfbe6797d.edm" hidden="1">#REF!</definedName>
    <definedName name="_bdm.20C40B20A58A411BA99FA91235E9742A.edm">#REF!</definedName>
    <definedName name="_bdm.20DE47328E584535AA58C2ED2B8E8EB9.edm">#REF!</definedName>
    <definedName name="_bdm.2439351AA1F34104A170E8B5EFADCAAB.edm">#REF!</definedName>
    <definedName name="_bdm.25944eb16ea04d539513157bcf1276ec.edm" hidden="1">#REF!</definedName>
    <definedName name="_bdm.25c941958a9449639448b4532e3eb291.edm" hidden="1">#REF!</definedName>
    <definedName name="_bdm.26458F9AFEAA4212860946D8639A36B4.edm">#REF!</definedName>
    <definedName name="_bdm.2682c2ca665949fd898adcf51f9db2ce.edm">#REF!</definedName>
    <definedName name="_bdm.26A257B4BE774FAE91D8BFFBB622C7AD.edm">#REF!</definedName>
    <definedName name="_bdm.2720ef6d1c9f4e45bc632ea5598dc927.edm" hidden="1">#REF!</definedName>
    <definedName name="_bdm.283487A2CC6E4DCDACB73E5C37010657.edm">#REF!</definedName>
    <definedName name="_bdm.29580b22a2264001bae7ee1b13221627.edm" hidden="1">#REF!</definedName>
    <definedName name="_bdm.2a09bc5d7133442d8019a8acb1ca5a2d.edm" hidden="1">#REF!</definedName>
    <definedName name="_bdm.2CF25057E0124757B5C7DAA4EA5785F9.edm" hidden="1">#REF!</definedName>
    <definedName name="_bdm.2dd3d86ab7884d16835d76cddf6fd04e.edm" hidden="1">#REF!</definedName>
    <definedName name="_bdm.2E67070253AC4974B1CDB39565E63BDB.edm">#REF!</definedName>
    <definedName name="_bdm.2e96be8a3f574f7eb556288c103973c5.edm" hidden="1">#REF!</definedName>
    <definedName name="_bdm.2f32707470934767a2702fd752e78910.edm" hidden="1">#REF!</definedName>
    <definedName name="_bdm.2FA18C54DC30470D82855A54FE40B4FE.edm">#REF!</definedName>
    <definedName name="_bdm.2FD5DCA4DEFA4EE48BAB2BCD14918E2D.edm">#REF!</definedName>
    <definedName name="_bdm.30134c3aa31242f5a5dcdcb26f24cb06.edm">#REF!</definedName>
    <definedName name="_bdm.3085752b0ca04681b838fca653729560.edm" hidden="1">#REF!</definedName>
    <definedName name="_bdm.3316AE9BEDA048BAB3208B1F727E9A21.edm" hidden="1">#REF!</definedName>
    <definedName name="_bdm.335F488DEEE046D98382BA6E174C089C.edm">#REF!</definedName>
    <definedName name="_bdm.35DBC8D3B4784963B3E748D8F1F1570D.edm">#REF!</definedName>
    <definedName name="_bdm.35f6309c48f14dbba8f53ee7ee9c05f8.edm" hidden="1">#REF!</definedName>
    <definedName name="_bdm.375BAE9D8E2644CC9117C57362792B7F.edm">#REF!</definedName>
    <definedName name="_bdm.37d59afc5550468cbd51e1d5ffe71e72.edm">#REF!</definedName>
    <definedName name="_bdm.380e017861814616b6176e104eb2a3de.edm" hidden="1">#REF!</definedName>
    <definedName name="_bdm.397e2a97c49c4e769485b7ff63129339.edm" hidden="1">#REF!</definedName>
    <definedName name="_bdm.3a188ac362d940b48e6c53384650a5dc.edm" hidden="1">#REF!</definedName>
    <definedName name="_bdm.3a60974014f14c1ebd8fd7bd7fe3f6ef.edm">#REF!</definedName>
    <definedName name="_bdm.3ab8607c37af4b7fae50b9183526b203.edm" hidden="1">#REF!</definedName>
    <definedName name="_bdm.3B290B2EE02C47BD9B2FBCC1558E13DB.edm">#REF!</definedName>
    <definedName name="_bdm.3b8c89a13a9d46d2b8d04ee62fbc38ac.edm" hidden="1">#REF!</definedName>
    <definedName name="_bdm.3cdb2036832e4fca923d4958906cec0c.edm" hidden="1">#REF!</definedName>
    <definedName name="_bdm.3d0a31612f1946fd943a15cb6d7a2eb1.edm" hidden="1">#REF!</definedName>
    <definedName name="_bdm.3eecefc111bb4bc9af8978628cb09fc0.edm" hidden="1">#REF!</definedName>
    <definedName name="_bdm.3f950de4e3324f0ca1e34f1589b0011e.edm" hidden="1">#REF!</definedName>
    <definedName name="_bdm.407A51D123424AB091758281699CC08C.edm">#REF!</definedName>
    <definedName name="_bdm.4145e553f9304fc5be872dec684df13b.edm" hidden="1">#REF!</definedName>
    <definedName name="_bdm.418B65C02AEF4B8BA6FA42ABAB16E64D.edm">#REF!</definedName>
    <definedName name="_bdm.41d880326066473c8e54f5a46ea289bf.edm" hidden="1">#REF!</definedName>
    <definedName name="_bdm.42AE3EBD27D147FDABB67EB233BAFD95.edm">#REF!</definedName>
    <definedName name="_bdm.42D49B6AEB394C389B4EA97D16AC3184.edm">#REF!</definedName>
    <definedName name="_bdm.4454265818E74C69A225A20AAA4F4656.edm">#REF!</definedName>
    <definedName name="_bdm.455dc5f4071d4020bc9f59a7fbc2f40a.edm" hidden="1">#REF!</definedName>
    <definedName name="_bdm.489fff1b4f0e418c8c972c8f4731ad6c.edm" hidden="1">#REF!</definedName>
    <definedName name="_bdm.4ABC6C0D2219420D95C9563CEBD27FB2.edm">#REF!</definedName>
    <definedName name="_bdm.4b5e6eeda3e341139fed783453c7f6ac.edm" hidden="1">#REF!</definedName>
    <definedName name="_bdm.4b9e1ad59ca54dc5aaf8c1ec5fa3ed8f.edm" hidden="1">#REF!</definedName>
    <definedName name="_bdm.4bb4f0b896ab40788730494d6e8c6da3.edm" hidden="1">#REF!</definedName>
    <definedName name="_bdm.4C80658EA5F34DD1B691976450F099F6.edm">#REF!</definedName>
    <definedName name="_bdm.4C8F04B2AD6B4B3DB0FF7CCC35C55ACE.edm" hidden="1">#REF!</definedName>
    <definedName name="_bdm.4CDC5ABA7CE94B668EE345591BD8B6EF.edm" hidden="1">#REF!</definedName>
    <definedName name="_bdm.4e5b65cc11e4473ea1c3b7df20bd860c.edm" hidden="1">#REF!</definedName>
    <definedName name="_bdm.4e9b6855fd9543a29b0f67c254f96c75.edm" hidden="1">#REF!</definedName>
    <definedName name="_bdm.50DEE54132694B458EAAAE075382B021.edm" hidden="1">#REF!</definedName>
    <definedName name="_bdm.5334ccb6b5424be28a334925e2e017b7.edm" hidden="1">#REF!</definedName>
    <definedName name="_bdm.53b7760c7da846b1b0d16e6ccd097c86.edm">#REF!</definedName>
    <definedName name="_bdm.5477EA5F36C84694B2B186A6C17FBD13.edm">#REF!</definedName>
    <definedName name="_bdm.54ad434920744a019b47ffbf20de7997.edm" hidden="1">#REF!</definedName>
    <definedName name="_bdm.5505200cec774c80b3a9665e4c740cdb.edm" hidden="1">#REF!</definedName>
    <definedName name="_bdm.555dc938daf84b5b957ac0eeb6e86d45.edm" hidden="1">#REF!</definedName>
    <definedName name="_bdm.55D035A2BF204907BDE3CFC6E0CC8FBA.edm">#REF!</definedName>
    <definedName name="_bdm.55da6f0cec9648b9a0edeb132913dca0.edm" hidden="1">#REF!</definedName>
    <definedName name="_bdm.56e590ef5c744348b49353f2f1d808a9.edm" hidden="1">#REF!</definedName>
    <definedName name="_bdm.5713891331ad42a69d984a9211bbbc3e.edm" hidden="1">#REF!</definedName>
    <definedName name="_bdm.57dbc2be95614a19add563085dde4cff.edm" hidden="1">#REF!</definedName>
    <definedName name="_bdm.58da177ef7d948f48388127f94d8449d.edm">#REF!</definedName>
    <definedName name="_bdm.59f409f7e180462892529077f24e598b.edm" hidden="1">#REF!</definedName>
    <definedName name="_bdm.59F8A6A72EFA4324AF519FC5A303D0E4.edm">#REF!</definedName>
    <definedName name="_bdm.5A708A8003C0413E9369690FD2348AC9.edm" hidden="1">#REF!</definedName>
    <definedName name="_bdm.5B090464FD59483ABF4372D079B0E4DC.edm">#REF!</definedName>
    <definedName name="_bdm.5C29758CCB7B4B969F640B363B921588.edm">#REF!</definedName>
    <definedName name="_bdm.5D3245D402EA4CD3BB3F4A2A403078B5.edm">#REF!</definedName>
    <definedName name="_bdm.5D97542C88AE4E69B9D07C0B6F9E9CB6.edm">#REF!</definedName>
    <definedName name="_bdm.5df62b5f9fc945a3b1159c77b44cccd7.edm" hidden="1">#REF!</definedName>
    <definedName name="_bdm.5E109FC41B0A41C9AE5E10BB2DDEACA1.edm">#REF!</definedName>
    <definedName name="_bdm.5e97008df69f4568b2398fbdae705430.edm" hidden="1">#REF!</definedName>
    <definedName name="_bdm.5ED5F7B9993D4928B1CB0A02D6F49FA3.edm">#REF!</definedName>
    <definedName name="_bdm.5F014F8F169C46AF8EB69F35E34B128D.edm">#REF!</definedName>
    <definedName name="_bdm.5FCDBF288A93415ABCA2A8B79A09C88F.edm">#REF!</definedName>
    <definedName name="_bdm.5FFFF0C9CEE8495AA1B494B3FE42554A.edm">#REF!</definedName>
    <definedName name="_bdm.62b4888808e848409e3e5e68a4c35a01.edm" hidden="1">#REF!</definedName>
    <definedName name="_bdm.630740A8A81C41D68FEB09D513C20250.edm">#REF!</definedName>
    <definedName name="_bdm.64345d950df04fcd8609a5420f942b8e.edm" hidden="1">#REF!</definedName>
    <definedName name="_bdm.65246C09959945988DE53249F0AAF0A5.edm" hidden="1">#REF!</definedName>
    <definedName name="_bdm.659f365d838a40a992631ddd9b2ac02c.edm" hidden="1">#REF!</definedName>
    <definedName name="_bdm.682445BB091C47C796526ECEBE959CB3.edm">#REF!</definedName>
    <definedName name="_bdm.68464015892B4215AA87E0851EA5A99C.edm">#REF!</definedName>
    <definedName name="_bdm.68DA193D59F1466C9F9AD4CB5A1D4A00.edm">#REF!</definedName>
    <definedName name="_bdm.695DF6909041435DB809F5203938A072.edm">#REF!</definedName>
    <definedName name="_bdm.6AACD128A9B44902ABDF1063A546C724.edm">#REF!</definedName>
    <definedName name="_bdm.6cbf24af22c2433184aceea1a95fdc7d.edm" hidden="1">#REF!</definedName>
    <definedName name="_bdm.6e34fece3c9b476c90795025cdc7524c.edm" hidden="1">#REF!</definedName>
    <definedName name="_bdm.6E4ADB9E116F43A297C790592AF97227.edm">#REF!</definedName>
    <definedName name="_bdm.7051be3715944f0ebb553bf486abc558.edm" hidden="1">#REF!</definedName>
    <definedName name="_bdm.70807B4BFE28406AA8137925927ECC77.edm">#REF!</definedName>
    <definedName name="_bdm.72FE9FE4DE914F7CB85FC16CE6D4F65F.edm">#REF!</definedName>
    <definedName name="_bdm.73177cf53df44b2898219fddb51cfa0c.edm" hidden="1">#REF!</definedName>
    <definedName name="_bdm.751fd6fceac044c0ae95426e265b77c4.edm" hidden="1">#REF!</definedName>
    <definedName name="_bdm.753c2f50bf50411baeace36da8c084d7.edm" hidden="1">#REF!</definedName>
    <definedName name="_bdm.753ECE07BC294899BF22D91362079460.edm">#REF!</definedName>
    <definedName name="_bdm.75A506C7D7734224BD1791136B3DB7CB.edm">#REF!</definedName>
    <definedName name="_bdm.77cdbe66d0044b8cb5331a45a9b0bb2b.edm" hidden="1">#REF!</definedName>
    <definedName name="_bdm.78AA1250309B46558478C894A8E369E7.edm">#REF!</definedName>
    <definedName name="_bdm.7919C66EA6EE486EB9EBA83FADED3597.edm">#REF!</definedName>
    <definedName name="_bdm.79a795bf2a6d4d91a0b1e37bbff0df99.edm">#REF!</definedName>
    <definedName name="_bdm.7A2E203015C74694BF805A3DDFDECB4E.edm">#REF!</definedName>
    <definedName name="_bdm.7a3f7e76b1584bea8ae66a14a0343c27.edm" hidden="1">#REF!</definedName>
    <definedName name="_bdm.7ba1f7febf1347a2b57d3706fa312dc5.edm">#REF!</definedName>
    <definedName name="_bdm.7bc572984f4a45dc9fc2752ff7ecc65e.edm" hidden="1">#REF!</definedName>
    <definedName name="_bdm.7c7d624972614b22b7488cb76507eadc.edm" hidden="1">#REF!</definedName>
    <definedName name="_bdm.7cb0c0251d7a403e8054b875e00807d6.edm" hidden="1">#REF!</definedName>
    <definedName name="_bdm.7e9c3bb7753b4154b2b2b199923f6c47.edm" hidden="1">#REF!</definedName>
    <definedName name="_bdm.80d1ae572a7049f1a51146cb2f5b47ec.edm" hidden="1">#REF!</definedName>
    <definedName name="_bdm.822498808df9419c9f1f58c1861195c7.edm" hidden="1">#REF!</definedName>
    <definedName name="_bdm.8386598611e54e88a4f38019e2e5e029.edm" hidden="1">#REF!</definedName>
    <definedName name="_bdm.843f07a3880a471995eebe0cfd3eaae0.edm" hidden="1">#REF!</definedName>
    <definedName name="_bdm.84428503DD1947FB8FFE08CD59984351.edm">#REF!</definedName>
    <definedName name="_bdm.84F41A6864454937BB992EA1608FD350.edm">#REF!</definedName>
    <definedName name="_bdm.85046b49d831426388b01dbb995f0862.edm" hidden="1">#REF!</definedName>
    <definedName name="_bdm.86021713c7e84e2492b951aa881bb9f6.edm" hidden="1">#REF!</definedName>
    <definedName name="_bdm.87AFBB18D4C0453294BB682492D6E5ED.edm" hidden="1">#REF!</definedName>
    <definedName name="_bdm.8818AB00CAAF46008E9B022623062D99.edm">#REF!</definedName>
    <definedName name="_bdm.88B3BBA6D0914BF1B1DA6BF03A827957.edm" hidden="1">#REF!</definedName>
    <definedName name="_bdm.89031F59B86643BCAC5B65327984E00F.edm">#REF!</definedName>
    <definedName name="_bdm.8A1728933ED94031BF3BC1B7DB8B78FF.edm">#REF!</definedName>
    <definedName name="_bdm.8A707F64332148BBA2AC8C0A57313786.edm">#REF!</definedName>
    <definedName name="_bdm.8B97B2F4F47D4B5BA9114D5407DCCBAB.edm">#REF!</definedName>
    <definedName name="_bdm.8bbf10b5076f4b0c92096002f66ba0cd.edm" hidden="1">#REF!</definedName>
    <definedName name="_bdm.8be3e23ca80a4f8f95c202ebc92ccbbe.edm" hidden="1">#REF!</definedName>
    <definedName name="_bdm.8da127c2fdd64f7690f8ccbbfdd5af23.edm" hidden="1">#REF!</definedName>
    <definedName name="_bdm.8E3F0A1F2EA349D5A770CD94438674E0.edm">#REF!</definedName>
    <definedName name="_bdm.8eed28f691e24b749852ec221ac68f9f.edm" hidden="1">#REF!</definedName>
    <definedName name="_bdm.91600e3d91374df282fe524a5c8dc8d0.edm" hidden="1">#REF!</definedName>
    <definedName name="_bdm.91787C98D08D4754891C7BE0F0F67346.edm">#REF!</definedName>
    <definedName name="_bdm.91adbec22cd24e2b8b7af2739b50cfb3.edm" hidden="1">#REF!</definedName>
    <definedName name="_bdm.929bc845f09648b1a97de0d9f50e5329.edm" hidden="1">#REF!</definedName>
    <definedName name="_bdm.9596d5eab7cc4253a80a00779c51b44b.edm" hidden="1">#REF!</definedName>
    <definedName name="_bdm.9608CC3EC1324B429C0C56BD76166DA7.edm" hidden="1">#REF!</definedName>
    <definedName name="_bdm.964a742351cf4dc3ba9b63206a94ef09.edm" hidden="1">#REF!</definedName>
    <definedName name="_bdm.97142bded5fd460fb83b096b3be6ca78.edm">#REF!</definedName>
    <definedName name="_bdm.985923176CFE48DEB370183B00CC14FC.edm">#REF!</definedName>
    <definedName name="_bdm.98a8ef25101942b19b26c13fe75f13b1.edm" hidden="1">#REF!</definedName>
    <definedName name="_bdm.99B2BF480BA64E40A10AAF96B3F96D46.edm">#REF!</definedName>
    <definedName name="_bdm.9b1a9067b28548ae8bf119907ca5bb67.edm" hidden="1">#REF!</definedName>
    <definedName name="_bdm.9bbb50593ba947d1b533f7985b80b62b.edm" hidden="1">#REF!</definedName>
    <definedName name="_bdm.9BDFD1F6E2FE42A2AA89001579C225BD.edm">#REF!</definedName>
    <definedName name="_bdm.9C0D1A2894E34BB0AE90D8E6EA7E20E0.edm">#REF!</definedName>
    <definedName name="_bdm.9C141D87F75F4E64B27F6F6129B743FC.edm" hidden="1">#REF!</definedName>
    <definedName name="_bdm.9EEBA27C152444379179E8EB5EABFA08.edm">#REF!</definedName>
    <definedName name="_bdm.9FB5934836FB457EB2A1C48C0F492A88.edm">#REF!</definedName>
    <definedName name="_bdm.A07AE7DB6B174600900B45C883081DEB.edm">#REF!</definedName>
    <definedName name="_bdm.A0AC56D6100F4551B827AFFD2DCF9EDD.edm">#REF!</definedName>
    <definedName name="_bdm.a0e6f71bb15b4af295d98ce740ad5e1e.edm" hidden="1">#REF!</definedName>
    <definedName name="_bdm.A2512AA74A5A400B884FABD69947490E.edm">#REF!</definedName>
    <definedName name="_bdm.a2a23c83c4744e78b86efcb1146d5a34.edm" hidden="1">#REF!</definedName>
    <definedName name="_bdm.a3a3a0412a5b498786eef68de084b689.edm">#REF!</definedName>
    <definedName name="_bdm.a4211db884ba4faf8f919deab3f86320.edm" hidden="1">#REF!</definedName>
    <definedName name="_bdm.a42edff3a0bb4e4eb05a504c41367ffe.edm" hidden="1">#REF!</definedName>
    <definedName name="_bdm.a48d51e841494d1d9091f9d2ab0d3c87.edm" hidden="1">#REF!</definedName>
    <definedName name="_bdm.A57C9A75A79F4D929CA132D38F62391D.edm">#REF!</definedName>
    <definedName name="_bdm.A5C91B9B0FA84656B68091F24C8B9058.edm">#REF!</definedName>
    <definedName name="_bdm.A79C91B1E6CA4E809A935B6F47FEDF63.edm" hidden="1">#REF!</definedName>
    <definedName name="_bdm.A859B772FD94403BA9D5ED9088E4BDE4.edm">#REF!</definedName>
    <definedName name="_bdm.a93281207f7a4ccebc66b67c2ecf2241.edm" hidden="1">#REF!</definedName>
    <definedName name="_bdm.aa43e5881e434c1d89e72cebc18072a1.edm" hidden="1">#REF!</definedName>
    <definedName name="_bdm.aab320a1717a475cad4a18879677edbf.edm" hidden="1">#REF!</definedName>
    <definedName name="_bdm.aab905dd9157438d8e9af00b1016cea0.edm" hidden="1">#REF!</definedName>
    <definedName name="_bdm.AB2026446CF34894A83E47D408515D52.edm">#REF!</definedName>
    <definedName name="_bdm.AD5D554D71C74FBC840701543004FC1E.edm">#REF!</definedName>
    <definedName name="_bdm.ae6dbadc7b7f4de98284a1b61951d21d.edm" hidden="1">#REF!</definedName>
    <definedName name="_bdm.afcc99ea9f2443d7b951db0eff5eb826.edm" hidden="1">#REF!</definedName>
    <definedName name="_bdm.B0AD022A4C0E4DE3AA83E7C852FE4663.edm">#REF!</definedName>
    <definedName name="_bdm.b109721f53084f2790068f5f6d74b8fa.edm" hidden="1">#REF!</definedName>
    <definedName name="_bdm.B27A8D8449324F31982AAEC8285FD41A.edm">#REF!</definedName>
    <definedName name="_bdm.B35E5D501A8F49D3AA60940AF8DDD258.edm">#REF!</definedName>
    <definedName name="_bdm.B4354B5DB6664D47A188245D4BC2EFDF.edm">#REF!</definedName>
    <definedName name="_bdm.b458107040f64434a98e1e9e399cb296.edm" hidden="1">#REF!</definedName>
    <definedName name="_bdm.b5842e8e21cd4ded818caf90acef2717.edm">#REF!</definedName>
    <definedName name="_bdm.B59B0F3533D84FDFB846085F6D318177.edm">#REF!</definedName>
    <definedName name="_bdm.b5dfe2644418454c95a7b2b050de2cd6.edm" hidden="1">#REF!</definedName>
    <definedName name="_bdm.B68BF8B1F5B14F839635F5F456CC0A2F.edm">#REF!</definedName>
    <definedName name="_bdm.B72C2CB674CD4101A7734C2586CC4F4E.edm">#REF!</definedName>
    <definedName name="_bdm.b88cd33ae08e438da8e0920ac9e1c651.edm" hidden="1">#REF!</definedName>
    <definedName name="_bdm.BA53D172C711451EA1478EFEC654508A.edm">#REF!</definedName>
    <definedName name="_bdm.BB8CD8AF17DF419C81EB46AD68F7F790.edm">#REF!</definedName>
    <definedName name="_bdm.bcac1a97b1a84c60925ef53223f04cc5.edm" hidden="1">#REF!</definedName>
    <definedName name="_bdm.bd2f5f09de4c4785abd1490e97fa6032.edm" hidden="1">#REF!</definedName>
    <definedName name="_bdm.bda90a59bc7d4d6b80130559415f3f26.edm" hidden="1">#REF!</definedName>
    <definedName name="_bdm.BF1A982DB8384470BAD6577AF19F9A5E.edm">#REF!</definedName>
    <definedName name="_bdm.bf271d0f6e454be3a19462dcb0f7dc75.edm" hidden="1">#REF!</definedName>
    <definedName name="_bdm.BFCD76F0E28A4F8CA77D65A38F0638C9.edm">#REF!</definedName>
    <definedName name="_bdm.C0862A09612C4F5A8BB4247A1EAA6B7A.edm">#REF!</definedName>
    <definedName name="_bdm.c0a598ee583042fa8aae8628d930705c.edm" hidden="1">#REF!</definedName>
    <definedName name="_bdm.C659E27456FC4B6B988819B3A13198D4.edm">#REF!</definedName>
    <definedName name="_bdm.C71ADA71DFD046DC903D7E64522DA625.edm">#REF!</definedName>
    <definedName name="_bdm.c7dce01fc7bc4a08baf77e678faee63d.edm" hidden="1">#REF!</definedName>
    <definedName name="_bdm.C7E3DBF4FC5348DBA2EF3C146FB240EC.edm">#REF!</definedName>
    <definedName name="_bdm.ca12e2163c164b0aa159a347f64afdca.edm" hidden="1">#REF!</definedName>
    <definedName name="_bdm.ceb47633d7334ee981f18ee42dfa5bb7.edm" hidden="1">#REF!</definedName>
    <definedName name="_bdm.CED223CA94944E0590772B998A035B5E.edm">#REF!</definedName>
    <definedName name="_bdm.CFBED2310C4548578CDDADD5FFDE9910.edm" hidden="1">#REF!</definedName>
    <definedName name="_bdm.D0B68A7969F04C97A8B029359DF0A339.edm" hidden="1">#REF!</definedName>
    <definedName name="_bdm.D0EC491C134B42A3942058952140EEFF.edm" hidden="1">#REF!</definedName>
    <definedName name="_bdm.d40c551c237846a29c5088ee4cc0eff6.edm" hidden="1">#REF!</definedName>
    <definedName name="_bdm.D5985AA729EC4BC49D1997285230851A.edm" hidden="1">#REF!</definedName>
    <definedName name="_bdm.d79647b8c4b94f30bfa1ad9f93f6a839.edm" hidden="1">#REF!</definedName>
    <definedName name="_bdm.D80F2AA88A3347C483E7E19C195EF7F5.edm">#REF!</definedName>
    <definedName name="_bdm.D8AFA08513E64F348DC9A11D7BE83FCB.edm">#REF!</definedName>
    <definedName name="_bdm.D97763A431BC47A188AB7C2F84C57D3E.edm">#REF!</definedName>
    <definedName name="_bdm.D9DBF939337141DF98658D4426EEB22F.edm" hidden="1">#REF!</definedName>
    <definedName name="_bdm.da8cbe49fbce4d9686af199849df7d80.edm">#REF!</definedName>
    <definedName name="_bdm.DCB6CD66B6404AB4A47DF1C188B2931A.edm">#REF!</definedName>
    <definedName name="_bdm.dd87ce7ffe754fc59390125e45ce4c6b.edm" hidden="1">#REF!</definedName>
    <definedName name="_bdm.dfcd7009f3ba4ad18552dd5b0a3f446b.edm" hidden="1">#REF!</definedName>
    <definedName name="_bdm.e00628bcd641458fbd6d7ac5f5155607.edm" hidden="1">#REF!</definedName>
    <definedName name="_bdm.e0341cbd89f04decbed140e793c7f572.edm" hidden="1">#REF!</definedName>
    <definedName name="_bdm.e06e9e91b4ca44c8a51912291caa6604.edm" hidden="1">#REF!</definedName>
    <definedName name="_bdm.E14B133ECA00407D8D33B107D1C2C330.edm">#REF!</definedName>
    <definedName name="_bdm.E15EE00456294B4888EB209DF4AA6C53.edm">#REF!</definedName>
    <definedName name="_bdm.E1A6AC209798444A84CA66786EF438DF.edm">#REF!</definedName>
    <definedName name="_bdm.E1D9B56B27694606B24B6BE4D2FD0850.edm" hidden="1">#REF!</definedName>
    <definedName name="_bdm.E3AA9CAA29C94B47BF58219B6CEA9C20.edm">#REF!</definedName>
    <definedName name="_bdm.E52DCFE423A44BD7B985E061EA809096.edm">#REF!</definedName>
    <definedName name="_bdm.E70757C79F5C4AF9BBB88BC0CA8EBCF1.edm" hidden="1">#REF!</definedName>
    <definedName name="_bdm.E9DD6276FDA94FFEB3AB90FD80238AD0.edm" hidden="1">#REF!</definedName>
    <definedName name="_bdm.EAA5CB7C09994E378F937CFD7D118F1D.edm">#REF!</definedName>
    <definedName name="_bdm.EB2F40C1D483462BB1EEDFBA89484BE7.edm">#REF!</definedName>
    <definedName name="_bdm.EBCB44EAE86645D695157E61F1A386FB.edm" hidden="1">#REF!</definedName>
    <definedName name="_bdm.ECC33FFF23CF4202A56792200E1C9EF5.edm">#REF!</definedName>
    <definedName name="_bdm.ed2dc5b9fb7a42efbf8b6a74fe159b5e.edm" hidden="1">#REF!</definedName>
    <definedName name="_bdm.EDDA0EA6901C47E3A24DEEB36069FC8D.edm">#REF!</definedName>
    <definedName name="_bdm.ee53038d656f4fa0a50c730ad1cedf48.edm" hidden="1">#REF!</definedName>
    <definedName name="_bdm.EF42824857D542F28C87C19B835FEE8C.edm">#REF!</definedName>
    <definedName name="_bdm.efb80740897545e5bb64c2b56503f44e.edm" hidden="1">#REF!</definedName>
    <definedName name="_bdm.efe91f53e0754bf2aa305f168214f719.edm" hidden="1">#REF!</definedName>
    <definedName name="_bdm.efecb67ac29f4efe8b835723f28da6c6.edm" hidden="1">#REF!</definedName>
    <definedName name="_bdm.F575B2B0DB6B46C58D915A3F4DB5A1F1.edm">#REF!</definedName>
    <definedName name="_bdm.F61E427CA90F457FB53CBB41BB34F002.edm">#REF!</definedName>
    <definedName name="_bdm.F679E7DBAD2C4171BA756B22E7C7170B.edm">#REF!</definedName>
    <definedName name="_bdm.f6f4ae0449f34ae585eb1b664a463450.edm" hidden="1">#REF!</definedName>
    <definedName name="_bdm.F992EC2A7FD74DD1B717F838CB27345C.edm">#REF!</definedName>
    <definedName name="_bdm.FAA595CCDBD54C468170478D73040F67.edm" hidden="1">#REF!</definedName>
    <definedName name="_bdm.FastTrackBookmark.1_6_2020_1_52_42_PM.edm" hidden="1">#REF!</definedName>
    <definedName name="_bdm.FastTrackBookmark.12_11_2019_6_18_56_PM.edm" hidden="1">#REF!</definedName>
    <definedName name="_bdm.FastTrackBookmark.12_12_2019_1_12_59_PM.edm" hidden="1">#REF!</definedName>
    <definedName name="_bdm.FastTrackBookmark.12_17_2019_5_55_49_AM.edm" hidden="1">#REF!</definedName>
    <definedName name="_bdm.FastTrackBookmark.12_19_2019_1_46_03_AM.edm" hidden="1">#REF!</definedName>
    <definedName name="_bdm.FastTrackBookmark.12_2_2019_9_29_52_PM.edm" hidden="1">#REF!</definedName>
    <definedName name="_bdm.FastTrackBookmark.2_19_2020_8_51_59_AM.edm" hidden="1">#REF!</definedName>
    <definedName name="_bdm.FastTrackBookmark.2_19_2021_8_25_41_PM.edm" hidden="1">#REF!</definedName>
    <definedName name="_bdm.FastTrackBookmark.2_29_2024_2_09_52_PM.edm" hidden="1">#REF!</definedName>
    <definedName name="_bdm.FastTrackBookmark.2_3_2020_3_26_26_PM.edm" hidden="1">#REF!</definedName>
    <definedName name="_bdm.FastTrackBookmark.6_15_2021_2_38_38_PM.edm" hidden="1">#REF!</definedName>
    <definedName name="_bdm.FastTrackBookmark.6_15_2021_2_39_01_PM.edm" hidden="1">#REF!</definedName>
    <definedName name="_bdm.FastTrackBookmark.8_12_2022_8_55_37_AM.edm" hidden="1">#REF!</definedName>
    <definedName name="_bdm.FastTrackBookmark.9_2_2020_12_10_17_PM.edm" hidden="1">#REF!</definedName>
    <definedName name="_bdm.FD181C0379564996A55E0003F92C61B9.edm">#REF!</definedName>
    <definedName name="_bdm.FDB80B2572814017867A8C2C43C494CE.edm">#REF!</definedName>
    <definedName name="_bdm.FDFAE5F188234DBFA73682FF4C23879A.edm">#REF!</definedName>
    <definedName name="_bdm.FF00BF71100C4E3FB85FFA1A59F9343C.edm">#REF!</definedName>
    <definedName name="_bdm.FF99397BBD21407DB12596C325D869ED.edm" hidden="1">#REF!</definedName>
    <definedName name="_bg2">#REF!</definedName>
    <definedName name="_bg3">#REF!</definedName>
    <definedName name="_bm187184">#REF!</definedName>
    <definedName name="_bond">3</definedName>
    <definedName name="_BQ4.1" hidden="1">#REF!</definedName>
    <definedName name="_BQ4.13" hidden="1">#REF!</definedName>
    <definedName name="_BQ4.14" hidden="1">#REF!</definedName>
    <definedName name="_BQ4.15" hidden="1">#REF!</definedName>
    <definedName name="_BQ4.2" hidden="1">#REF!</definedName>
    <definedName name="_BQ4.3" hidden="1">#REF!</definedName>
    <definedName name="_BQ4.4" hidden="1">#REF!</definedName>
    <definedName name="_BQ4.5" hidden="1">#REF!</definedName>
    <definedName name="_BQ4.6" hidden="1">#REF!</definedName>
    <definedName name="_BQ4.7" hidden="1">#REF!</definedName>
    <definedName name="_BQ4.8" hidden="1">#REF!</definedName>
    <definedName name="_BQ4.9" hidden="1">#REF!</definedName>
    <definedName name="_bs1">#REF!</definedName>
    <definedName name="_BU4">#REF!</definedName>
    <definedName name="_c">#REF!</definedName>
    <definedName name="_cad03">#REF!</definedName>
    <definedName name="_cat1">#REF!</definedName>
    <definedName name="_cc1">#REF!</definedName>
    <definedName name="_CCH1">#REF!</definedName>
    <definedName name="_cct1">#REF!</definedName>
    <definedName name="_CmZ61">#REF!</definedName>
    <definedName name="_cnn2">#REF!</definedName>
    <definedName name="_col1">#REF!</definedName>
    <definedName name="_col10">#REF!</definedName>
    <definedName name="_col11">#REF!</definedName>
    <definedName name="_col12">#REF!</definedName>
    <definedName name="_col13">#REF!</definedName>
    <definedName name="_col2">#REF!</definedName>
    <definedName name="_col3">#REF!</definedName>
    <definedName name="_col4">#REF!</definedName>
    <definedName name="_col5">#REF!</definedName>
    <definedName name="_col6">#REF!</definedName>
    <definedName name="_col7">#REF!</definedName>
    <definedName name="_col8">#REF!</definedName>
    <definedName name="_col9">#REF!</definedName>
    <definedName name="_cp2000">#REF!</definedName>
    <definedName name="_cp20000">#REF!</definedName>
    <definedName name="_d32">16</definedName>
    <definedName name="_d444">5</definedName>
    <definedName name="_d5">{"'1-TheatreBkgs'!$A$1:$L$102"}</definedName>
    <definedName name="_D6">{"'표지'!$B$5"}</definedName>
    <definedName name="_D7">{"'표지'!$B$5"}</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3">#REF!</definedName>
    <definedName name="_DAT4">#REF!</definedName>
    <definedName name="_DAT5">#REF!</definedName>
    <definedName name="_dat50">#REF!</definedName>
    <definedName name="_DAT6">#REF!</definedName>
    <definedName name="_DAT7">#REF!</definedName>
    <definedName name="_DAT8">#REF!</definedName>
    <definedName name="_DAT9">#REF!</definedName>
    <definedName name="_DCH1">#REF!</definedName>
    <definedName name="_DCH2">#REF!</definedName>
    <definedName name="_DD2">#REF!</definedName>
    <definedName name="_DDD">#REF!</definedName>
    <definedName name="_ddd1">#REF!</definedName>
    <definedName name="_DE2">{"'vert'!$A$1:$T$117"}</definedName>
    <definedName name="_DEC11">{"'OCT  VOIDS'!$A$1:$G$33","'OCT '!$A$1:$G$48","'OCT Adj'!$A$1:$L$37"}</definedName>
    <definedName name="_DEC2">{"'OCT  VOIDS'!$A$1:$G$33","'OCT '!$A$1:$G$48","'OCT Adj'!$A$1:$L$37"}</definedName>
    <definedName name="_DEC3">{"'OCT  VOIDS'!$A$1:$G$33","'OCT '!$A$1:$G$48","'OCT Adj'!$A$1:$L$37"}</definedName>
    <definedName name="_Deepak" hidden="1">#REF!</definedName>
    <definedName name="_default">-1</definedName>
    <definedName name="_dfd1">#REF!</definedName>
    <definedName name="_dfk1">#REF!</definedName>
    <definedName name="_dflt">-1</definedName>
    <definedName name="_dgeTotal">#REF!</definedName>
    <definedName name="_disc">1</definedName>
    <definedName name="_discount">1</definedName>
    <definedName name="_Dist_Bin" hidden="1">#N/A</definedName>
    <definedName name="_Dist_Values" hidden="1">#REF!</definedName>
    <definedName name="_Dist_Values1">#REF!</definedName>
    <definedName name="_Div1">#REF!</definedName>
    <definedName name="_DIVIDEND">#REF!</definedName>
    <definedName name="_djd1">#REF!</definedName>
    <definedName name="_dkj1">#REF!</definedName>
    <definedName name="_dod1">#REF!</definedName>
    <definedName name="_dog1">#REF!</definedName>
    <definedName name="_dontadjust">0</definedName>
    <definedName name="_e">#REF!</definedName>
    <definedName name="_e1">{"'Sheet3'!$CL$329:$CU$335"}</definedName>
    <definedName name="_E144">#REF!</definedName>
    <definedName name="_e360">3</definedName>
    <definedName name="_eom">1</definedName>
    <definedName name="_ET1" hidden="1">{#N/A,#N/A,FALSE,"Pharm";#N/A,#N/A,FALSE,"WWCM"}</definedName>
    <definedName name="_eur03">#REF!</definedName>
    <definedName name="_EXP9192">#REF!</definedName>
    <definedName name="_exr99">115</definedName>
    <definedName name="_EXS8687">#REF!</definedName>
    <definedName name="_EXS8990">#REF!</definedName>
    <definedName name="_f">#REF!</definedName>
    <definedName name="_f3" hidden="1">{"'분양원가'!$B$1:$F$113"}</definedName>
    <definedName name="_fa2">{"'Sheet1'!$A$1:$H$36"}</definedName>
    <definedName name="_FAS115">#REF!</definedName>
    <definedName name="_FAS133">#REF!</definedName>
    <definedName name="_fax2">#N/A</definedName>
    <definedName name="_Feb06">#REF!</definedName>
    <definedName name="_Feb99">#REF!</definedName>
    <definedName name="_Fill">#REF!</definedName>
    <definedName name="_Fill.">#REF!</definedName>
    <definedName name="_Fill_Tambu">#REF!</definedName>
    <definedName name="_FILL1" hidden="1">#REF!</definedName>
    <definedName name="_Fill2">#REF!</definedName>
    <definedName name="_xlnm._FilterDatabase" hidden="1">#REF!</definedName>
    <definedName name="_filterdatabase2">#REF!</definedName>
    <definedName name="_FPD1">#REF!</definedName>
    <definedName name="_FPD2">#REF!</definedName>
    <definedName name="_FRP" hidden="1">{#N/A,#N/A,FALSE,"Title";#N/A,#N/A,FALSE,"Index";#N/A,#N/A,FALSE,"1";#N/A,#N/A,FALSE,"2";#N/A,#N/A,FALSE,"3";#N/A,#N/A,FALSE,"4";#N/A,#N/A,FALSE,"5";#N/A,#N/A,FALSE,"6";#N/A,#N/A,FALSE,"7";#N/A,#N/A,FALSE,"8"}</definedName>
    <definedName name="_FS_R">#REF!</definedName>
    <definedName name="_FST1">#REF!</definedName>
    <definedName name="_full">1</definedName>
    <definedName name="_fullprecision">1</definedName>
    <definedName name="_FY1">#REF!</definedName>
    <definedName name="_g">#REF!</definedName>
    <definedName name="_gbp03">#REF!</definedName>
    <definedName name="_gfg2">#REF!</definedName>
    <definedName name="_gla1" hidden="1">{#N/A,#N/A,FALSE,"Inc Month";#N/A,#N/A,FALSE,"Inc YTD";#N/A,#N/A,FALSE,"Bal Sheet";#N/A,#N/A,FALSE,"Base Cert";#N/A,#N/A,FALSE,"AR-Detail";#N/A,#N/A,FALSE,"PAC Bal";#N/A,#N/A,FALSE,"PAC Cash";#N/A,#N/A,FALSE,"Equity";#N/A,#N/A,FALSE,"PEI Bal";#N/A,#N/A,FALSE,"PEI Cash"}</definedName>
    <definedName name="_gla2" hidden="1">{#N/A,#N/A,FALSE,"Inc Month";#N/A,#N/A,FALSE,"Inc YTD";#N/A,#N/A,FALSE,"Bal Sheet";#N/A,#N/A,FALSE,"Base Cert";#N/A,#N/A,FALSE,"AR-Detail";#N/A,#N/A,FALSE,"PAC Bal";#N/A,#N/A,FALSE,"PAC Cash";#N/A,#N/A,FALSE,"Equity";#N/A,#N/A,FALSE,"PEI Bal";#N/A,#N/A,FALSE,"PEI Cash"}</definedName>
    <definedName name="_Grp12">#REF!</definedName>
    <definedName name="_Grp13">#REF!</definedName>
    <definedName name="_Grp14">#REF!</definedName>
    <definedName name="_Grp15">#REF!</definedName>
    <definedName name="_Grp2">#REF!</definedName>
    <definedName name="_GSRATES_1">"H2000010120001231GBPEUR1100001"</definedName>
    <definedName name="_GSRATES_10">"CF3000012003033120030101"</definedName>
    <definedName name="_GSRATES_100">"CT300001Latest          "</definedName>
    <definedName name="_GSRATES_11">"CF3000012001102420001024"</definedName>
    <definedName name="_GSRATES_12">"CT30000120011024        "</definedName>
    <definedName name="_GSRATES_13">"CF3000122000123120000101"</definedName>
    <definedName name="_GSRATES_14">"CF3000012000093020000101"</definedName>
    <definedName name="_GSRATES_15">"CT30000120070920        "</definedName>
    <definedName name="_GSRATES_16">"CT30000120030331        "</definedName>
    <definedName name="_GSRATES_17">"CF3000012002123120020101"</definedName>
    <definedName name="_GSRATES_18">"CF3000012003033120030101"</definedName>
    <definedName name="_GSRATES_19">"CF3000012002033120020101"</definedName>
    <definedName name="_GSRATES_2">"H2000010120001231GBPEUR5500001"</definedName>
    <definedName name="_GSRATES_20">"HY1      Latest  GBPUSD1000001"</definedName>
    <definedName name="_GSRATES_21">"H2001123120031231USDGBP5000001"</definedName>
    <definedName name="_GSRATES_22">"H2001123120031231USDGBP5000001"</definedName>
    <definedName name="_GSRATES_23">"H2002093020020930USDGBP1000001"</definedName>
    <definedName name="_GSRATES_24">"HD1      20021231CADUSD1500001"</definedName>
    <definedName name="_GSRATES_3">"H2001010120011231GBPEUR5500001"</definedName>
    <definedName name="_GSRATES_4">"CF3000012002063020010630"</definedName>
    <definedName name="_GSRATES_5">"CF30000920020930        "</definedName>
    <definedName name="_GSRATES_6">"CF30000920010930        "</definedName>
    <definedName name="_GSRATES_7">"CF50000120020930        "</definedName>
    <definedName name="_GSRATES_8">"CT30000120020930        "</definedName>
    <definedName name="_GSRATES_9">"CF5000012003033120020101"</definedName>
    <definedName name="_GSRATES_COUNT">3</definedName>
    <definedName name="_GSRATES_COUNT1">13</definedName>
    <definedName name="_h">#REF!</definedName>
    <definedName name="_h1">{"'표지'!$B$5"}</definedName>
    <definedName name="_h2">{"'표지'!$B$5"}</definedName>
    <definedName name="_h3">{"'표지'!$B$5"}</definedName>
    <definedName name="_h4">{"'표지'!$B$5"}</definedName>
    <definedName name="_h5">{"'표지'!$B$5"}</definedName>
    <definedName name="_H8">{"'표지'!$B$5"}</definedName>
    <definedName name="_hkd02">#REF!</definedName>
    <definedName name="_hkd03">#REF!</definedName>
    <definedName name="_hkd04">#REF!</definedName>
    <definedName name="_hq1">#REF!</definedName>
    <definedName name="_htt1">{"'표지'!$B$5"}</definedName>
    <definedName name="_i">#REF!</definedName>
    <definedName name="_I65537">#REF!</definedName>
    <definedName name="_I8">{"'Sheet3'!$CL$329:$CU$335"}</definedName>
    <definedName name="_idr03">#REF!</definedName>
    <definedName name="_ILF2000">#REF!</definedName>
    <definedName name="_ILF99">#REF!</definedName>
    <definedName name="_ILT1">#REF!</definedName>
    <definedName name="_indstd">-1</definedName>
    <definedName name="_infl">7</definedName>
    <definedName name="_inflation">7</definedName>
    <definedName name="_INR1">#REF!</definedName>
    <definedName name="_INR2">#REF!</definedName>
    <definedName name="_int1">#REF!</definedName>
    <definedName name="_int2">#REF!</definedName>
    <definedName name="_Int256">#REF!</definedName>
    <definedName name="_Inv1" hidden="1">{#N/A,#N/A,TRUE,"CPRD";#N/A,#N/A,TRUE,"BCCPDR";#N/A,#N/A,TRUE,"EWRD";#N/A,#N/A,TRUE,"5100";#N/A,#N/A,TRUE,"5110"}</definedName>
    <definedName name="_inv2">#REF!</definedName>
    <definedName name="_irr2">#REF!</definedName>
    <definedName name="_IS2">#REF!</definedName>
    <definedName name="_isma30360">3</definedName>
    <definedName name="_isma360">3</definedName>
    <definedName name="_iv16386">#REF!</definedName>
    <definedName name="_iv17500">#REF!</definedName>
    <definedName name="_iv18000">#REF!</definedName>
    <definedName name="_iv30000">#REF!</definedName>
    <definedName name="_iz5000">#REF!</definedName>
    <definedName name="_j">#REF!</definedName>
    <definedName name="_J2">0</definedName>
    <definedName name="_jan23">#REF!</definedName>
    <definedName name="_jkj1">#REF!</definedName>
    <definedName name="_jlk">#REF!</definedName>
    <definedName name="_jp2">#REF!</definedName>
    <definedName name="_jyr6"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_jyr6_3">#REF!</definedName>
    <definedName name="_Ke1" hidden="1">#REF!</definedName>
    <definedName name="_Ke2" hidden="1">#REF!</definedName>
    <definedName name="_keu2">#REF!</definedName>
    <definedName name="_keu3">#REF!</definedName>
    <definedName name="_KEY" hidden="1">#REF!</definedName>
    <definedName name="_Key_ys13" hidden="1">#N/A</definedName>
    <definedName name="_Key1">#REF!</definedName>
    <definedName name="_Key1.">#REF!</definedName>
    <definedName name="_key12">#REF!</definedName>
    <definedName name="_Key2">#REF!</definedName>
    <definedName name="_Key2.">#REF!</definedName>
    <definedName name="_Key3" hidden="1">#REF!</definedName>
    <definedName name="_Keyys2" hidden="1">#N/A</definedName>
    <definedName name="_l">#REF!</definedName>
    <definedName name="_lbg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_lbg2_3">#REF!</definedName>
    <definedName name="_LEA1">#REF!</definedName>
    <definedName name="_LG2" hidden="1">{#N/A,#N/A,TRUE,"매출진척-1";#N/A,#N/A,TRUE,"매출진척-2";#N/A,#N/A,TRUE,"제품실적";#N/A,#N/A,TRUE,"RAC";#N/A,#N/A,TRUE,"PAC ";#N/A,#N/A,TRUE,"재고현황";#N/A,#N/A,TRUE,"공지사항"}</definedName>
    <definedName name="_LG2_3">#REF!</definedName>
    <definedName name="_LIB1">#REF!</definedName>
    <definedName name="_LIB2">#REF!</definedName>
    <definedName name="_lib94">6.8</definedName>
    <definedName name="_lib95">5.8</definedName>
    <definedName name="_LIB96">6</definedName>
    <definedName name="_LWK1">{"'NPL @ 30 June 00'!$B$22"}</definedName>
    <definedName name="_lz5000">#REF!</definedName>
    <definedName name="_m">#REF!</definedName>
    <definedName name="_M199" hidden="1">{#N/A,#N/A,FALSE,"Aging Summary";#N/A,#N/A,FALSE,"Ratio Analysis";#N/A,#N/A,FALSE,"Test 120 Day Accts";#N/A,#N/A,FALSE,"Tickmarks"}</definedName>
    <definedName name="_ma67">#REF!</definedName>
    <definedName name="_ma71">#REF!</definedName>
    <definedName name="_ma74">#REF!</definedName>
    <definedName name="_MailOriginal">#REF!</definedName>
    <definedName name="_MAR9091">#REF!</definedName>
    <definedName name="_MAT1">#REF!</definedName>
    <definedName name="_MatInverse_In" hidden="1">#REF!</definedName>
    <definedName name="_MatInverse_Out" hidden="1">#REF!</definedName>
    <definedName name="_MatMult_A" hidden="1">#N/A</definedName>
    <definedName name="_MatMult_AxB" hidden="1">#N/A</definedName>
    <definedName name="_MatMult_B" hidden="1">#REF!</definedName>
    <definedName name="_me1">36.2</definedName>
    <definedName name="_me2">40</definedName>
    <definedName name="_MENU">#REF!</definedName>
    <definedName name="_mer1">#REF!</definedName>
    <definedName name="_mer2">#REF!</definedName>
    <definedName name="_mk1">#REF!</definedName>
    <definedName name="_MKT1">#REF!</definedName>
    <definedName name="_MKT10">#REF!</definedName>
    <definedName name="_MKT11">#REF!</definedName>
    <definedName name="_MKT2">#REF!</definedName>
    <definedName name="_MKT3">#REF!</definedName>
    <definedName name="_MKT4">#REF!</definedName>
    <definedName name="_MKT5">#REF!</definedName>
    <definedName name="_MKT6">#REF!</definedName>
    <definedName name="_MKT7">#REF!</definedName>
    <definedName name="_MKT8">#REF!</definedName>
    <definedName name="_MKT9">#REF!</definedName>
    <definedName name="_mnc1">#REF!</definedName>
    <definedName name="_MON1">#REF!</definedName>
    <definedName name="_mor1">#REF!</definedName>
    <definedName name="_MRG2" hidden="1">{"INCOME",#N/A,FALSE,"ProNet";"VALUE",#N/A,FALSE,"ProNet"}</definedName>
    <definedName name="_ms1">#REF!</definedName>
    <definedName name="_msoanchor_1">#REF!</definedName>
    <definedName name="_msocom_1">#REF!</definedName>
    <definedName name="_mth">12</definedName>
    <definedName name="_multi">5</definedName>
    <definedName name="_multistep">5</definedName>
    <definedName name="_mv1">#REF!</definedName>
    <definedName name="_myr03">#REF!</definedName>
    <definedName name="_n">#REF!</definedName>
    <definedName name="_n360">4</definedName>
    <definedName name="_n4">{"EXCELHLP.HLP!1802";5;10;5;10;13;13;13;8;5;5;10;14;13;13;13;13;5;10;14;13;5;10;1;2;24}</definedName>
    <definedName name="_nasd30360">4</definedName>
    <definedName name="_nasd360">4</definedName>
    <definedName name="_net2000">870037</definedName>
    <definedName name="_net2001">979291</definedName>
    <definedName name="_neu1">47</definedName>
    <definedName name="_neu2">"5W20QJUQBT31X9QWPI207CDHB"</definedName>
    <definedName name="_new1" hidden="1">{"Central",#N/A,FALSE,"Total"}</definedName>
    <definedName name="_new2">#REF!</definedName>
    <definedName name="_new3">#REF!</definedName>
    <definedName name="_new4">#REF!</definedName>
    <definedName name="_new5">#REF!</definedName>
    <definedName name="_New6">#REF!</definedName>
    <definedName name="_New7">#REF!</definedName>
    <definedName name="_New8">#REF!</definedName>
    <definedName name="_nm1" hidden="1">{#N/A,#N/A,TRUE,"Monthly BCG";#N/A,#N/A,TRUE,"Qrt BCG";#N/A,#N/A,TRUE,"FY BCG";#N/A,#N/A,TRUE,"1Q BCG";#N/A,#N/A,TRUE,"2Q BCG";#N/A,#N/A,TRUE,"3Q BCG";#N/A,#N/A,TRUE,"4Q BCG"}</definedName>
    <definedName name="_nol1">#REF!</definedName>
    <definedName name="_noneom">0</definedName>
    <definedName name="_Nov99">#REF!</definedName>
    <definedName name="_NSO2">{"'Sheet1'!$L$16"}</definedName>
    <definedName name="_o">#REF!</definedName>
    <definedName name="_o1">#REF!</definedName>
    <definedName name="_O2">#REF!</definedName>
    <definedName name="_ODP1">#REF!</definedName>
    <definedName name="_ODP2">#REF!</definedName>
    <definedName name="_ODP3">#REF!</definedName>
    <definedName name="_ODP4">#REF!</definedName>
    <definedName name="_ODP5">#REF!</definedName>
    <definedName name="_ODP6">#REF!</definedName>
    <definedName name="_ODP7">#REF!</definedName>
    <definedName name="_ODP8">#REF!</definedName>
    <definedName name="_oe1">#REF!</definedName>
    <definedName name="_ok2" hidden="1">{TRUE,TRUE,-0.8,-17,618,355.8,FALSE,FALSE,TRUE,TRUE,0,1,#N/A,1,#N/A,79.1318681318681,23.4090909090909,1,FALSE,FALSE,3,TRUE,1,FALSE,100,"Swvu.qtr._.view.","ACwvu.qtr._.view.",#N/A,FALSE,FALSE,0.5,0.5,0.55,0.55,2,"&amp;RWorldwide","&amp;LPrepared by: Lisa Racine&amp;CSeagate Technology, Inc. Confidential&amp;R&amp;D   &amp;T    Page ________",TRUE,FALSE,FALSE,FALSE,1,60,#N/A,#N/A,"=R1C1:R167C82","=R1:R5","Rwvu.qtr._.view.","Cwvu.qtr._.view.",FALSE,FALSE,FALSE,1,65532,65532,FALSE,FALSE,TRUE,TRUE,TRUE}</definedName>
    <definedName name="_old1">#REF!</definedName>
    <definedName name="_old2">#REF!</definedName>
    <definedName name="_old2_3">#REF!</definedName>
    <definedName name="_old3">#REF!</definedName>
    <definedName name="_old3_3">#REF!</definedName>
    <definedName name="_old4">#REF!</definedName>
    <definedName name="_old4_3">#REF!</definedName>
    <definedName name="_old5">#REF!</definedName>
    <definedName name="_old5_3">#REF!</definedName>
    <definedName name="_old8">#REF!</definedName>
    <definedName name="_old8_3">#REF!</definedName>
    <definedName name="_old9">#REF!</definedName>
    <definedName name="_old9_3">#REF!</definedName>
    <definedName name="_Order1" hidden="1">255</definedName>
    <definedName name="_Order1_1">0</definedName>
    <definedName name="_Order1a" hidden="1">0</definedName>
    <definedName name="_Order2" hidden="1">255</definedName>
    <definedName name="_Order2_1">0</definedName>
    <definedName name="_OUT13300">#N/A</definedName>
    <definedName name="_OUT13502">#N/A</definedName>
    <definedName name="_OUT41301">#N/A</definedName>
    <definedName name="_OUT85116">#N/A</definedName>
    <definedName name="_OUT85125">#N/A</definedName>
    <definedName name="_OUT86106">#N/A</definedName>
    <definedName name="_p">#REF!</definedName>
    <definedName name="_P1">#REF!</definedName>
    <definedName name="_P1M">#REF!</definedName>
    <definedName name="_P2M">#REF!</definedName>
    <definedName name="_P3M">#REF!</definedName>
    <definedName name="_P6M">#REF!</definedName>
    <definedName name="_Parse_In">#REF!</definedName>
    <definedName name="_Parse_Out">#REF!</definedName>
    <definedName name="_Pax1">#REF!</definedName>
    <definedName name="_pcSlicerSheet_Slicer1">#REF!</definedName>
    <definedName name="_pcSlicerSheet1_Slicer2">#REF!</definedName>
    <definedName name="_PEX1">#REF!</definedName>
    <definedName name="_pg1">#REF!</definedName>
    <definedName name="_pg10">#REF!</definedName>
    <definedName name="_pg11">#REF!</definedName>
    <definedName name="_pg12">#REF!</definedName>
    <definedName name="_pg13">#REF!</definedName>
    <definedName name="_pg14">#REF!</definedName>
    <definedName name="_PG15">#REF!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GR003">{"'status'!$B$2:$H$15"}</definedName>
    <definedName name="_pik">6</definedName>
    <definedName name="_pl1">#REF!</definedName>
    <definedName name="_pl2">#REF!</definedName>
    <definedName name="_pl3">#REF!</definedName>
    <definedName name="_PL7" hidden="1">{#N/A,#N/A,TRUE,"대 차 대 조 표"}</definedName>
    <definedName name="_PLO1">#REF!</definedName>
    <definedName name="_pm2">#REF!</definedName>
    <definedName name="_PM3">#REF!</definedName>
    <definedName name="_po" hidden="1">{#N/A,#N/A,FALSE,"ESI";#N/A,#N/A,FALSE,"LTI";#N/A,#N/A,FALSE,"Medical";#N/A,#N/A,FALSE,"DSG";#N/A,#N/A,FALSE,"PI";#N/A,#N/A,FALSE,"OI"}</definedName>
    <definedName name="_pol1">#N/A</definedName>
    <definedName name="_PPAGQ_XMSETTIN">#REF!</definedName>
    <definedName name="_PPOB_?___?__QQ">#REF!</definedName>
    <definedName name="_PPOF_?__QQ">#REF!</definedName>
    <definedName name="_PPOH_?__QQ">#REF!</definedName>
    <definedName name="_PPOM_?___?__QQ">#REF!</definedName>
    <definedName name="_PPOP_?__QQ">#REF!</definedName>
    <definedName name="_PPR_NAME__NAME">#REF!</definedName>
    <definedName name="_PR1">#REF!,#REF!,#REF!,#REF!,#REF!,#REF!</definedName>
    <definedName name="_pra1">#REF!</definedName>
    <definedName name="_prc1">#REF!</definedName>
    <definedName name="_prc2">#REF!</definedName>
    <definedName name="_prc3">#REF!</definedName>
    <definedName name="_PRE1">#REF!</definedName>
    <definedName name="_PRE2">#REF!</definedName>
    <definedName name="_PRI1">#REF!</definedName>
    <definedName name="_PRI2">#REF!</definedName>
    <definedName name="_Print_Area">#REF!</definedName>
    <definedName name="_prn01">#REF!</definedName>
    <definedName name="_PRN1">#REF!</definedName>
    <definedName name="_PRN2">#REF!</definedName>
    <definedName name="_PRR001">{"'status'!$B$2:$H$15"}</definedName>
    <definedName name="_PRR002">{"'status'!$B$2:$H$15"}</definedName>
    <definedName name="_PRR18">{"'status'!$B$2:$H$15"}</definedName>
    <definedName name="_PRR5">{"'status'!$B$2:$H$15"}</definedName>
    <definedName name="_PRR6">{"'status'!$B$2:$H$15"}</definedName>
    <definedName name="_PRT1">#REF!</definedName>
    <definedName name="_PRT2">#REF!</definedName>
    <definedName name="_ps3">g1clear,G1Clear2</definedName>
    <definedName name="_PSM2">#REF!</definedName>
    <definedName name="_PSM3">#REF!</definedName>
    <definedName name="_PSM4">#REF!</definedName>
    <definedName name="_PSP">#REF!</definedName>
    <definedName name="_PT">#REF!</definedName>
    <definedName name="_PTM">#REF!</definedName>
    <definedName name="_pu1">#REF!</definedName>
    <definedName name="_PV2">#REF!</definedName>
    <definedName name="_q">#REF!</definedName>
    <definedName name="_q1" hidden="1">{"inflated_pl",#N/A,FALSE,"P&amp;L"}</definedName>
    <definedName name="_q2" hidden="1">{"PL_no_inflated",#N/A,FALSE,"P&amp;L"}</definedName>
    <definedName name="_Q3">#REF!</definedName>
    <definedName name="_Q5">{"'Standalone List Price Trends'!$A$1:$X$56"}</definedName>
    <definedName name="_Q9">{"'Standalone List Price Trends'!$A$1:$X$56"}</definedName>
    <definedName name="_QRA86106">#N/A</definedName>
    <definedName name="_qrt">4</definedName>
    <definedName name="_qt1">#REF!</definedName>
    <definedName name="_QTD499">#REF!</definedName>
    <definedName name="_qtr1">#REF!</definedName>
    <definedName name="_qtr2">#REF!</definedName>
    <definedName name="_qtr3">#REF!</definedName>
    <definedName name="_qtr4">#REF!</definedName>
    <definedName name="_quarterly">4</definedName>
    <definedName name="_QUO1">#REF!</definedName>
    <definedName name="_qw2">{0,0,0,0;0,0,0,0;0,0,0,0;0,0,0,0;0,0,0,0;0,0,0,0}</definedName>
    <definedName name="_r">#REF!</definedName>
    <definedName name="_R21438C20000">#REF!</definedName>
    <definedName name="_R2D2C3PO">#REF!</definedName>
    <definedName name="_ra15">#REF!</definedName>
    <definedName name="_ra16">#REF!</definedName>
    <definedName name="_rd2" hidden="1">{#N/A,#N/A,FALSE,"Australia";#N/A,#N/A,FALSE,"Austria";#N/A,#N/A,FALSE,"Belgium";#N/A,#N/A,FALSE,"Canada";#N/A,#N/A,FALSE,"France";#N/A,#N/A,FALSE,"Germany";#N/A,#N/A,FALSE,"Hong Kong";#N/A,#N/A,FALSE,"Italy";#N/A,#N/A,FALSE,"Japan";#N/A,#N/A,FALSE,"Korea";#N/A,#N/A,FALSE,"Mexico";#N/A,#N/A,FALSE,"Poland";#N/A,#N/A,FALSE,"Spain";#N/A,#N/A,FALSE,"Switzerland";#N/A,#N/A,FALSE,"UK"}</definedName>
    <definedName name="_ref1">#REF!</definedName>
    <definedName name="_REF12">{0,0,FALSE,0}</definedName>
    <definedName name="_Regression_Int" hidden="1">1</definedName>
    <definedName name="_Regression_Out">#REF!</definedName>
    <definedName name="_Regression_X">#REF!</definedName>
    <definedName name="_Regression_Y">#REF!</definedName>
    <definedName name="_REP" hidden="1">{#N/A,#N/A,FALSE,"ESI";#N/A,#N/A,FALSE,"LTI";#N/A,#N/A,FALSE,"PE";#N/A,#N/A,FALSE,"PI";#N/A,#N/A,FALSE,"OI";#N/A,#N/A,FALSE,"AT";#N/A,#N/A,FALSE,"CAN"}</definedName>
    <definedName name="_Report">"model"</definedName>
    <definedName name="_RNG1">#REF!</definedName>
    <definedName name="_RNG2">#REF!</definedName>
    <definedName name="_RO" hidden="1">{#N/A,#N/A,FALSE,"ESI";#N/A,#N/A,FALSE,"LTI";#N/A,#N/A,FALSE,"Medical";#N/A,#N/A,FALSE,"DSG";#N/A,#N/A,FALSE,"PI";#N/A,#N/A,FALSE,"OI"}</definedName>
    <definedName name="_Ron1" hidden="1">{"Page1",#N/A,FALSE,"CF WKSHT";"Page2",#N/A,FALSE,"CF WKSHT"}</definedName>
    <definedName name="_round">0</definedName>
    <definedName name="_roundtrunc">0</definedName>
    <definedName name="_row2">#REF!</definedName>
    <definedName name="_RVMAIN">#REF!</definedName>
    <definedName name="_rw1">{"'Standalone List Price Trends'!$A$1:$X$56"}</definedName>
    <definedName name="_rw2">{"'Standalone List Price Trends'!$A$1:$X$56"}</definedName>
    <definedName name="_rw3">#REF!</definedName>
    <definedName name="_rw4">{"'Standalone List Price Trends'!$A$1:$X$56"}</definedName>
    <definedName name="_rwo5">#REF!</definedName>
    <definedName name="_s">#REF!</definedName>
    <definedName name="_S_Base">{0.1;0;0.382758620689655;0;0;0;0.258620689655172;0;0.258620689655172}</definedName>
    <definedName name="_S_new_case">{0.1;0;0.45;0;0;0;0;0;0.45}</definedName>
    <definedName name="_s1" hidden="1">{#N/A,#N/A,FALSE,"UNIT";#N/A,#N/A,FALSE,"UNIT";#N/A,#N/A,FALSE,"계정"}</definedName>
    <definedName name="_s10" hidden="1">{#N/A,#N/A,FALSE,"UNIT";#N/A,#N/A,FALSE,"UNIT";#N/A,#N/A,FALSE,"계정"}</definedName>
    <definedName name="_s11" hidden="1">{#N/A,#N/A,FALSE,"UNIT";#N/A,#N/A,FALSE,"UNIT";#N/A,#N/A,FALSE,"계정"}</definedName>
    <definedName name="_s12" hidden="1">{#N/A,#N/A,FALSE,"UNIT";#N/A,#N/A,FALSE,"UNIT";#N/A,#N/A,FALSE,"계정"}</definedName>
    <definedName name="_s13" hidden="1">{#N/A,#N/A,FALSE,"UNIT";#N/A,#N/A,FALSE,"UNIT";#N/A,#N/A,FALSE,"계정"}</definedName>
    <definedName name="_s14" hidden="1">{#N/A,#N/A,FALSE,"UNIT";#N/A,#N/A,FALSE,"UNIT";#N/A,#N/A,FALSE,"계정"}</definedName>
    <definedName name="_s16" hidden="1">{#N/A,#N/A,FALSE,"UNIT";#N/A,#N/A,FALSE,"UNIT";#N/A,#N/A,FALSE,"계정"}</definedName>
    <definedName name="_s17" hidden="1">{#N/A,#N/A,FALSE,"UNIT";#N/A,#N/A,FALSE,"UNIT";#N/A,#N/A,FALSE,"계정"}</definedName>
    <definedName name="_s2" hidden="1">{#N/A,#N/A,FALSE,"UNIT";#N/A,#N/A,FALSE,"UNIT";#N/A,#N/A,FALSE,"계정"}</definedName>
    <definedName name="_s3">#REF!</definedName>
    <definedName name="_s4" hidden="1">{#N/A,#N/A,FALSE,"UNIT";#N/A,#N/A,FALSE,"UNIT";#N/A,#N/A,FALSE,"계정"}</definedName>
    <definedName name="_s5" hidden="1">{#N/A,#N/A,FALSE,"UNIT";#N/A,#N/A,FALSE,"UNIT";#N/A,#N/A,FALSE,"계정"}</definedName>
    <definedName name="_s6" hidden="1">{#N/A,#N/A,FALSE,"UNIT";#N/A,#N/A,FALSE,"UNIT";#N/A,#N/A,FALSE,"계정"}</definedName>
    <definedName name="_s9" hidden="1">{#N/A,#N/A,FALSE,"UNIT";#N/A,#N/A,FALSE,"UNIT";#N/A,#N/A,FALSE,"계정"}</definedName>
    <definedName name="_sal1">#REF!</definedName>
    <definedName name="_SAL3">#REF!</definedName>
    <definedName name="_SAP1">"D3NLZ74Q61JLOCQLRI1RC90QX"</definedName>
    <definedName name="_sb1">#REF!</definedName>
    <definedName name="_SCB1">#REF!</definedName>
    <definedName name="_SCB2">#REF!</definedName>
    <definedName name="_scenchg_count">1</definedName>
    <definedName name="_sch1">#REF!</definedName>
    <definedName name="_Sch10">#REF!</definedName>
    <definedName name="_Sch11">#REF!</definedName>
    <definedName name="_Sch1112">#REF!</definedName>
    <definedName name="_Sch111213">#REF!</definedName>
    <definedName name="_Sch12">#REF!</definedName>
    <definedName name="_Sch123">#REF!</definedName>
    <definedName name="_Sch13">#REF!</definedName>
    <definedName name="_Sch14">#REF!</definedName>
    <definedName name="_Sch15">#REF!</definedName>
    <definedName name="_Sch2">#REF!</definedName>
    <definedName name="_Sch4">#REF!</definedName>
    <definedName name="_Sch5">#REF!</definedName>
    <definedName name="_Sch5678">#REF!</definedName>
    <definedName name="_Sch6">#REF!</definedName>
    <definedName name="_Sch7">#REF!</definedName>
    <definedName name="_Sch8">#REF!</definedName>
    <definedName name="_Sch9">#REF!</definedName>
    <definedName name="_Sch910">#REF!</definedName>
    <definedName name="_SE7">#REF!</definedName>
    <definedName name="_SEC2">#REF!</definedName>
    <definedName name="_SEC4">#REF!</definedName>
    <definedName name="_SEC5">#REF!</definedName>
    <definedName name="_semi">2</definedName>
    <definedName name="_semiannual">2</definedName>
    <definedName name="_sep97">#REF!</definedName>
    <definedName name="_Sex1">#REF!</definedName>
    <definedName name="_sex2">{"'1-TheatreBkgs'!$A$1:$L$102"}</definedName>
    <definedName name="_sex3">{"'1-TheatreBkgs'!$A$1:$L$102"}</definedName>
    <definedName name="_sex4">{"'1-TheatreBkgs'!$A$1:$L$102"}</definedName>
    <definedName name="_sex5">{"'1-TheatreBkgs'!$A$1:$L$102"}</definedName>
    <definedName name="_sex6">{"'1-TheatreBkgs'!$A$1:$L$102"}</definedName>
    <definedName name="_SFL01">#REF!</definedName>
    <definedName name="_sgd02">#REF!</definedName>
    <definedName name="_sgd03">#REF!</definedName>
    <definedName name="_sgd04">#REF!</definedName>
    <definedName name="_sht1">#REF!</definedName>
    <definedName name="_singlestep">4</definedName>
    <definedName name="_sl1">#REF!</definedName>
    <definedName name="_sls8">#REF!</definedName>
    <definedName name="_Snort" hidden="1">#REF!</definedName>
    <definedName name="_Sort">#REF!</definedName>
    <definedName name="_SORT1" hidden="1">#REF!</definedName>
    <definedName name="_Sort2" hidden="1">#REF!</definedName>
    <definedName name="_Sot" hidden="1">#REF!</definedName>
    <definedName name="_SP">#REF!</definedName>
    <definedName name="_SQL1">#REF!</definedName>
    <definedName name="_SQL2">#REF!</definedName>
    <definedName name="_SRS1">#REF!</definedName>
    <definedName name="_SRS2">#REF!</definedName>
    <definedName name="_SSS1" hidden="1">#REF!</definedName>
    <definedName name="_ST1">#REF!</definedName>
    <definedName name="_step">4</definedName>
    <definedName name="_STP1">#REF!</definedName>
    <definedName name="_STP2">#REF!</definedName>
    <definedName name="_STP3">#REF!</definedName>
    <definedName name="_STP4">#REF!</definedName>
    <definedName name="_SUB2">#REF!</definedName>
    <definedName name="_sum1">#REF!</definedName>
    <definedName name="_sum29">"7SQRVDCLIJ0HBJJ152TQXB3C5"</definedName>
    <definedName name="_sum3">#REF!</definedName>
    <definedName name="_sum70">"7SQRVDCLIJ0HBJJ152TQXB3C5"</definedName>
    <definedName name="_sum9">"7SQRVDCLIJ0HBJJ152TQXB3C5"</definedName>
    <definedName name="_t">#REF!</definedName>
    <definedName name="_tab1">#REF!</definedName>
    <definedName name="_Table1_In1">#REF!</definedName>
    <definedName name="_Table1_Out">#REF!</definedName>
    <definedName name="_Table2_In1">#REF!</definedName>
    <definedName name="_Table2_In2">#REF!</definedName>
    <definedName name="_Table2_Out">#REF!</definedName>
    <definedName name="_Table3_In2">#REF!</definedName>
    <definedName name="_TAX1">#REF!</definedName>
    <definedName name="_tax2">#REF!</definedName>
    <definedName name="_tb1">#REF!</definedName>
    <definedName name="_TB111">#REF!</definedName>
    <definedName name="_TB112">#REF!</definedName>
    <definedName name="_TB113">#REF!</definedName>
    <definedName name="_TB114">#REF!</definedName>
    <definedName name="_TB115">#REF!</definedName>
    <definedName name="_TB116">#REF!</definedName>
    <definedName name="_TB117">#REF!</definedName>
    <definedName name="_TB121">#REF!</definedName>
    <definedName name="_TB122">#REF!</definedName>
    <definedName name="_TB123">#REF!</definedName>
    <definedName name="_TB124">#REF!</definedName>
    <definedName name="_TB125">#REF!</definedName>
    <definedName name="_TB126">#REF!</definedName>
    <definedName name="_TB131">#REF!</definedName>
    <definedName name="_TB132">#REF!</definedName>
    <definedName name="_TB2">OFFSET(#REF!,1,)</definedName>
    <definedName name="_TB2004">#REF!</definedName>
    <definedName name="_TB211">#REF!</definedName>
    <definedName name="_TB212">#REF!</definedName>
    <definedName name="_TB213">#REF!</definedName>
    <definedName name="_TB214">#REF!</definedName>
    <definedName name="_TB215">#REF!</definedName>
    <definedName name="_TB221">#REF!</definedName>
    <definedName name="_TB2210">#REF!</definedName>
    <definedName name="_TB222">#REF!</definedName>
    <definedName name="_TB223">#REF!</definedName>
    <definedName name="_TB224">#REF!</definedName>
    <definedName name="_TB225">#REF!</definedName>
    <definedName name="_TB226">#REF!</definedName>
    <definedName name="_TB227">#REF!</definedName>
    <definedName name="_TB228">#REF!</definedName>
    <definedName name="_TB229">#REF!</definedName>
    <definedName name="_TB311">#REF!</definedName>
    <definedName name="_TB312">#REF!</definedName>
    <definedName name="_TB313">#REF!</definedName>
    <definedName name="_TB314">#REF!</definedName>
    <definedName name="_TB315">#REF!</definedName>
    <definedName name="_TB316">#REF!</definedName>
    <definedName name="_TB317">#REF!</definedName>
    <definedName name="_TB318">#REF!</definedName>
    <definedName name="_TB319">#REF!</definedName>
    <definedName name="_TB321">#REF!</definedName>
    <definedName name="_TB322">#REF!</definedName>
    <definedName name="_TB323">#REF!</definedName>
    <definedName name="_TB324">#REF!</definedName>
    <definedName name="_TB325">#REF!</definedName>
    <definedName name="_TB401">#REF!</definedName>
    <definedName name="_TB402">#REF!</definedName>
    <definedName name="_TB403">#REF!</definedName>
    <definedName name="_TB404">#REF!</definedName>
    <definedName name="_TB405">#REF!</definedName>
    <definedName name="_TB501">#REF!</definedName>
    <definedName name="_TB502">#REF!</definedName>
    <definedName name="_TB503">#REF!</definedName>
    <definedName name="_TB504">#REF!</definedName>
    <definedName name="_TB505">#REF!</definedName>
    <definedName name="_TB506">#REF!</definedName>
    <definedName name="_TB507">#REF!</definedName>
    <definedName name="_TB508">#REF!</definedName>
    <definedName name="_TB509">#REF!</definedName>
    <definedName name="_TB510">#REF!</definedName>
    <definedName name="_TB511">#REF!</definedName>
    <definedName name="_TB512">#REF!</definedName>
    <definedName name="_TB513">#REF!</definedName>
    <definedName name="_TB601">#REF!</definedName>
    <definedName name="_TB602">#REF!</definedName>
    <definedName name="_TB603">#REF!</definedName>
    <definedName name="_TB604">#REF!</definedName>
    <definedName name="_TB605">#REF!</definedName>
    <definedName name="_TB701">#REF!</definedName>
    <definedName name="_TB811">#REF!</definedName>
    <definedName name="_TB812">#REF!</definedName>
    <definedName name="_TB813">#REF!</definedName>
    <definedName name="_TB814">#REF!</definedName>
    <definedName name="_TB820">#REF!</definedName>
    <definedName name="_TB901">#REF!</definedName>
    <definedName name="_TB902">#REF!</definedName>
    <definedName name="_TB903">#REF!</definedName>
    <definedName name="_TB904">#REF!</definedName>
    <definedName name="_TBI1001">#REF!</definedName>
    <definedName name="_TBI1002">#REF!</definedName>
    <definedName name="_TBI1003">#REF!</definedName>
    <definedName name="_TBI1004">#REF!</definedName>
    <definedName name="_TBI1005">#REF!</definedName>
    <definedName name="_TBI101">#REF!</definedName>
    <definedName name="_TBI102">#REF!</definedName>
    <definedName name="_TBI1100">#REF!</definedName>
    <definedName name="_TBI1200">#REF!</definedName>
    <definedName name="_TBI201">#REF!</definedName>
    <definedName name="_TBI202">#REF!</definedName>
    <definedName name="_TBI203">#REF!</definedName>
    <definedName name="_TBI401">#REF!</definedName>
    <definedName name="_TBI402">#REF!</definedName>
    <definedName name="_TBI403">#REF!</definedName>
    <definedName name="_TBI404">#REF!</definedName>
    <definedName name="_TBI405">#REF!</definedName>
    <definedName name="_TBI406">#REF!</definedName>
    <definedName name="_TBI407">#REF!</definedName>
    <definedName name="_TBI408">#REF!</definedName>
    <definedName name="_TBI409">#REF!</definedName>
    <definedName name="_TBI410">#REF!</definedName>
    <definedName name="_TBI411">#REF!</definedName>
    <definedName name="_TBI412">#REF!</definedName>
    <definedName name="_TBI413">#REF!</definedName>
    <definedName name="_TBI414">#REF!</definedName>
    <definedName name="_TBI415">#REF!</definedName>
    <definedName name="_TBI416">#REF!</definedName>
    <definedName name="_TBI417">#REF!</definedName>
    <definedName name="_TBI418">#REF!</definedName>
    <definedName name="_TBI419">#REF!</definedName>
    <definedName name="_TBI420">#REF!</definedName>
    <definedName name="_TBI421">#REF!</definedName>
    <definedName name="_TBI422">#REF!</definedName>
    <definedName name="_TBI423">#REF!</definedName>
    <definedName name="_TBI424">#REF!</definedName>
    <definedName name="_TBI425">#REF!</definedName>
    <definedName name="_TBI601">#REF!</definedName>
    <definedName name="_TBI602">#REF!</definedName>
    <definedName name="_TBI603">#REF!</definedName>
    <definedName name="_TBI604">#REF!</definedName>
    <definedName name="_TBI605">#REF!</definedName>
    <definedName name="_TBI606">#REF!</definedName>
    <definedName name="_TBI607">#REF!</definedName>
    <definedName name="_TBI608">#REF!</definedName>
    <definedName name="_TBI609">#REF!</definedName>
    <definedName name="_TBI610">#REF!</definedName>
    <definedName name="_TBI611">#REF!</definedName>
    <definedName name="_TBI612">#REF!</definedName>
    <definedName name="_TBI613">#REF!</definedName>
    <definedName name="_TBI614">#REF!</definedName>
    <definedName name="_TBI701">#REF!</definedName>
    <definedName name="_TBI702">#REF!</definedName>
    <definedName name="_TBI703">#REF!</definedName>
    <definedName name="_TBI704">#REF!</definedName>
    <definedName name="_TBI705">#REF!</definedName>
    <definedName name="_TBI706">#REF!</definedName>
    <definedName name="_TBI707">#REF!</definedName>
    <definedName name="_TBI708">#REF!</definedName>
    <definedName name="_TBI709">#REF!</definedName>
    <definedName name="_TBI710">#REF!</definedName>
    <definedName name="_TBI711">#REF!</definedName>
    <definedName name="_TBI712">#REF!</definedName>
    <definedName name="_TBI713">#REF!</definedName>
    <definedName name="_TBI714">#REF!</definedName>
    <definedName name="_TBI715">#REF!</definedName>
    <definedName name="_TBI716">#REF!</definedName>
    <definedName name="_TBI717">#REF!</definedName>
    <definedName name="_TBI718">#REF!</definedName>
    <definedName name="_TBI719">#REF!</definedName>
    <definedName name="_TBI901">#REF!</definedName>
    <definedName name="_TBI902">#REF!</definedName>
    <definedName name="_TBI903">#REF!</definedName>
    <definedName name="_TBI904">#REF!</definedName>
    <definedName name="_TBI905">#REF!</definedName>
    <definedName name="_TBI906">#REF!</definedName>
    <definedName name="_TBI907">#REF!</definedName>
    <definedName name="_tbl1">#REF!</definedName>
    <definedName name="_tc1">#REF!</definedName>
    <definedName name="_tc2">#REF!</definedName>
    <definedName name="_tc3">#REF!</definedName>
    <definedName name="_tc4">#REF!</definedName>
    <definedName name="_tc5">#REF!</definedName>
    <definedName name="_tds1">#REF!</definedName>
    <definedName name="_ted2">#REF!</definedName>
    <definedName name="_tes1">"AS2DocumentBrowse"</definedName>
    <definedName name="_tft2">#REF!</definedName>
    <definedName name="_thb02">#REF!</definedName>
    <definedName name="_thb03">#REF!</definedName>
    <definedName name="_thb04">#REF!</definedName>
    <definedName name="_TK0404">{"'Sheet1'!$L$16"}</definedName>
    <definedName name="_TLT1">#REF!</definedName>
    <definedName name="_TM">#REF!</definedName>
    <definedName name="_tm1" hidden="1">{#N/A,#N/A,FALSE,"Pharm";#N/A,#N/A,FALSE,"WWCM"}</definedName>
    <definedName name="_TOP1">#REF!</definedName>
    <definedName name="_TOP10" hidden="1">{#N/A,#N/A,TRUE,"CPRD";#N/A,#N/A,TRUE,"BCCPDR";#N/A,#N/A,TRUE,"EWRD";#N/A,#N/A,TRUE,"5100";#N/A,#N/A,TRUE,"5110"}</definedName>
    <definedName name="_TOT1">#REF!</definedName>
    <definedName name="_ts1">#REF!</definedName>
    <definedName name="_TS123">#REF!</definedName>
    <definedName name="_ts2">#REF!</definedName>
    <definedName name="_tt2">#N/A</definedName>
    <definedName name="_twd02">#REF!</definedName>
    <definedName name="_twd03">#REF!</definedName>
    <definedName name="_twd04">#REF!</definedName>
    <definedName name="_u">#REF!</definedName>
    <definedName name="_UB1">{"'Feb 99'!$A$1:$G$30"}</definedName>
    <definedName name="_UB2">{"'Feb 99'!$A$1:$G$30"}</definedName>
    <definedName name="_UER1">#REF!</definedName>
    <definedName name="_UK1">#REF!</definedName>
    <definedName name="_un1">#REF!</definedName>
    <definedName name="_un2">#REF!</definedName>
    <definedName name="_us30360">2</definedName>
    <definedName name="_USA">2</definedName>
    <definedName name="_usagency">2</definedName>
    <definedName name="_USC">4</definedName>
    <definedName name="_uscorp">4</definedName>
    <definedName name="_uscorporate">4</definedName>
    <definedName name="_usd020531">8.2766</definedName>
    <definedName name="_usl1">#REF!</definedName>
    <definedName name="_USM">3</definedName>
    <definedName name="_usmuni">3</definedName>
    <definedName name="_usmunicipal">3</definedName>
    <definedName name="_UST">1</definedName>
    <definedName name="_ustreasury">1</definedName>
    <definedName name="_Vac1">#REF!</definedName>
    <definedName name="_VAR13300">#N/A</definedName>
    <definedName name="_VAR13502">#N/A</definedName>
    <definedName name="_vio1">#REF!</definedName>
    <definedName name="_vol1">#REF!</definedName>
    <definedName name="_w">#REF!</definedName>
    <definedName name="_w1">#REF!</definedName>
    <definedName name="_wam2">#REF!</definedName>
    <definedName name="_WAS02">#REF!</definedName>
    <definedName name="_WAS03">#REF!</definedName>
    <definedName name="_WCW01">#REF!</definedName>
    <definedName name="_WCW03">#REF!</definedName>
    <definedName name="_WCW04">#REF!</definedName>
    <definedName name="_WCW06">#REF!</definedName>
    <definedName name="_web1">#REF!</definedName>
    <definedName name="_wk1">#REF!</definedName>
    <definedName name="_wk2">#REF!</definedName>
    <definedName name="_wk3">#REF!</definedName>
    <definedName name="_wk4">#REF!</definedName>
    <definedName name="_Worksheet">#REF!</definedName>
    <definedName name="_wpl2" hidden="1">{#N/A,#N/A,FALSE,"Aging Summary";#N/A,#N/A,FALSE,"Ratio Analysis";#N/A,#N/A,FALSE,"Test 120 Day Accts";#N/A,#N/A,FALSE,"Tickmarks"}</definedName>
    <definedName name="_wpl2_3">#REF!</definedName>
    <definedName name="_wr1">#REF!</definedName>
    <definedName name="_wr1_1">#REF!</definedName>
    <definedName name="_wr1_2">#REF!</definedName>
    <definedName name="_wr1_3">#REF!</definedName>
    <definedName name="_wr1_4">#REF!</definedName>
    <definedName name="_wrn.Aging._.and._.Trend._.Analysis">#REF!</definedName>
    <definedName name="_wrn1">#REF!</definedName>
    <definedName name="_wrn2" hidden="1">{#N/A,#N/A,TRUE,"Key Indices";#N/A,#N/A,TRUE,"Mfg Spending";#N/A,#N/A,TRUE,"Mfg Spending Per Unit";#N/A,#N/A,TRUE,"Spending by Organization";#N/A,#N/A,TRUE,"Inventory";#N/A,#N/A,TRUE,"IDM";#N/A,#N/A,TRUE,"Equipment";#N/A,#N/A,TRUE,"Headcount"}</definedName>
    <definedName name="_wrn3">#REF!</definedName>
    <definedName name="_wrn4">#REF!</definedName>
    <definedName name="_wrn9">#REF!</definedName>
    <definedName name="_ww2">#REF!</definedName>
    <definedName name="_WW3">#REF!</definedName>
    <definedName name="_www2">#REF!</definedName>
    <definedName name="_X">#REF!</definedName>
    <definedName name="_x1" hidden="1">#REF!</definedName>
    <definedName name="_x2">#REF!</definedName>
    <definedName name="_xlcn.LinkedTable_AccountMapping1">AccountMapping</definedName>
    <definedName name="_xlcn.LinkedTable_AllocatedMapping1">AllocatedMapping</definedName>
    <definedName name="_xlcn.LinkedTable_DateMapping1">DateMapping</definedName>
    <definedName name="_xlcn.LinkedTable_Table11">#REF!</definedName>
    <definedName name="_xlcn.WorksheetConnection_EmployeeGrantsbyTrancheRepoA1AA312871">#REF!</definedName>
    <definedName name="_xlcn.WorksheetConnection_PCDatabase.xlsxProjectCodes1">#REF!</definedName>
    <definedName name="_xlcn.WorksheetConnection_PCDatabase.xlsxProjListDataUpdates1">#REF!</definedName>
    <definedName name="_XMSETTINGS_">#REF!</definedName>
    <definedName name="_XMSHAPE_">#REF!</definedName>
    <definedName name="_XQ">#REF!</definedName>
    <definedName name="_xz4">{0,0,0,0;0,0,0,0;0,0,0,0;0,0,0,0;0,0,0,0;0,0,0,0}</definedName>
    <definedName name="_Z">#REF!</definedName>
    <definedName name="_Z04">#REF!</definedName>
    <definedName name="_Z04_3">#REF!</definedName>
    <definedName name="_Z05">#REF!</definedName>
    <definedName name="_Z05_3">#REF!</definedName>
    <definedName name="_Z5.5_Discounted_Cash_Flow_2">#REF!</definedName>
    <definedName name="_za1">#REF!</definedName>
    <definedName name="_Zanalys">#REF!</definedName>
    <definedName name="_Zbaladj">#REF!</definedName>
    <definedName name="_Zbs_model">#REF!</definedName>
    <definedName name="_Zcomp">#REF!</definedName>
    <definedName name="_Zcomp1">#REF!</definedName>
    <definedName name="_Zcomps">#REF!</definedName>
    <definedName name="_Zcomps1">#REF!</definedName>
    <definedName name="_Zcovrge">#REF!</definedName>
    <definedName name="_Zdealcomp">#REF!</definedName>
    <definedName name="_Zdeals">#REF!</definedName>
    <definedName name="_ZEBITDA_Sensitivity">{0;0;0;0;5;1;0.75;0;0;0;2;FALSE;FALSE;FALSE;FALSE;FALSE;#N/A;1;100;#N/A;#N/A;"";""}</definedName>
    <definedName name="_ZEITF">#REF!</definedName>
    <definedName name="_ZEITF_bs">#REF!</definedName>
    <definedName name="_ZEITF_det">#REF!</definedName>
    <definedName name="_zh6">7.56</definedName>
    <definedName name="_ZHowmet_LTM">#REF!</definedName>
    <definedName name="_ZHowmet_LTM2">#REF!</definedName>
    <definedName name="_ZIPOmodel">#REF!</definedName>
    <definedName name="_Zismodel">#REF!</definedName>
    <definedName name="_ZISsumm">#REF!</definedName>
    <definedName name="_Zmodel">#REF!</definedName>
    <definedName name="_Znotes">#REF!</definedName>
    <definedName name="_Zp1">#REF!</definedName>
    <definedName name="_Zp2">#REF!</definedName>
    <definedName name="_Zpage_1">#REF!</definedName>
    <definedName name="_Zpage_2">#REF!</definedName>
    <definedName name="_ZPAGE_6">#REF!</definedName>
    <definedName name="_ZPAGE_7">#REF!</definedName>
    <definedName name="_ZPAGE_8">#REF!</definedName>
    <definedName name="_Zpage1">#REF!</definedName>
    <definedName name="_Zprint_all">#REF!</definedName>
    <definedName name="_Zprint_area">#REF!</definedName>
    <definedName name="_Zprint1">#REF!</definedName>
    <definedName name="_Zprint2">#REF!</definedName>
    <definedName name="_Zprint3">#REF!</definedName>
    <definedName name="_Zroea">#REF!</definedName>
    <definedName name="_ZSensitivity_Table">{0;0;0;0;5;1;0.75;0;0;0;2;FALSE;FALSE;FALSE;FALSE;FALSE;#N/A;1;100;#N/A;#N/A;"";""}</definedName>
    <definedName name="_Zsource">#REF!</definedName>
    <definedName name="_Zsource2">#REF!</definedName>
    <definedName name="_Zsummary">#REF!</definedName>
    <definedName name="_zx3">#REF!</definedName>
    <definedName name="_zz04">#REF!</definedName>
    <definedName name="_배부">#REF!</definedName>
    <definedName name="_배부진">#REF!</definedName>
    <definedName name="_배부현황">#REF!</definedName>
    <definedName name="_상각액">#REF!</definedName>
    <definedName name="_상각액진">#REF!</definedName>
    <definedName name="_전부">#REF!</definedName>
    <definedName name="_종합">#REF!</definedName>
    <definedName name="Ⅱ" hidden="1">{"'Sheet1'!$A$1:$H$36"}</definedName>
    <definedName name="A">#REF!</definedName>
    <definedName name="a_1">#REF!</definedName>
    <definedName name="a_2">#REF!</definedName>
    <definedName name="A_3">#N/A</definedName>
    <definedName name="A_4">#N/A</definedName>
    <definedName name="A_400">#REF!</definedName>
    <definedName name="A_5">#N/A</definedName>
    <definedName name="A_6">#N/A</definedName>
    <definedName name="A_6A">#N/A</definedName>
    <definedName name="A_7">#N/A</definedName>
    <definedName name="A_8">#N/A</definedName>
    <definedName name="A_9">#N/A</definedName>
    <definedName name="A_value">#REF!</definedName>
    <definedName name="A_valueneu">#REF!</definedName>
    <definedName name="A¶E¸AOE­¸e">#REF!</definedName>
    <definedName name="A1.">#REF!</definedName>
    <definedName name="a123s123" hidden="1">#REF!</definedName>
    <definedName name="A1misc.questions">#REF!</definedName>
    <definedName name="A1환율9703">#REF!</definedName>
    <definedName name="A3_AL">{"'Feb 99'!$A$1:$G$30"}</definedName>
    <definedName name="A3II" hidden="1">#REF!</definedName>
    <definedName name="A5fml">INDIRECT("'A5'!$3:$3")</definedName>
    <definedName name="a654645454545">#REF!</definedName>
    <definedName name="a654645454545_1">#REF!</definedName>
    <definedName name="a654645454545_2">#REF!</definedName>
    <definedName name="aa" hidden="1">#REF!</definedName>
    <definedName name="aa.2" hidden="1">#REF!</definedName>
    <definedName name="aa\">{"'Sheet1'!$A$1:$H$36"}</definedName>
    <definedName name="aa_1">#REF!</definedName>
    <definedName name="aa_2">#REF!</definedName>
    <definedName name="aa_3">#REF!</definedName>
    <definedName name="aa_4">#REF!</definedName>
    <definedName name="aa_5">#REF!</definedName>
    <definedName name="aaa">#REF!</definedName>
    <definedName name="AAA_DOCTOPS" hidden="1">"AAA_SET"</definedName>
    <definedName name="AAA_dtemplate">"OFF"</definedName>
    <definedName name="AAA_duser" hidden="1">"OFF"</definedName>
    <definedName name="AAA_Options">"NYN"</definedName>
    <definedName name="AAA_u999998">"nlfoote@970721231427"</definedName>
    <definedName name="AAA_u999999">"nlfoote@970721231348"</definedName>
    <definedName name="aaaa">#REF!</definedName>
    <definedName name="aaaa1">#REF!</definedName>
    <definedName name="aaaaa" hidden="1">{#N/A,#N/A,FALSE,"Aging Summary";#N/A,#N/A,FALSE,"Ratio Analysis";#N/A,#N/A,FALSE,"Test 120 Day Accts";#N/A,#N/A,FALSE,"Tickmarks"}</definedName>
    <definedName name="aaaaa_3">#REF!</definedName>
    <definedName name="aaaaaa">#REF!</definedName>
    <definedName name="aaaaaaa" hidden="1">{#N/A,#N/A,FALSE,"REPORT"}</definedName>
    <definedName name="aaaaaaaaaa" hidden="1">{#N/A,#N/A,FALSE,"Aging Summary";#N/A,#N/A,FALSE,"Ratio Analysis";#N/A,#N/A,FALSE,"Test 120 Day Accts";#N/A,#N/A,FALSE,"Tickmarks"}</definedName>
    <definedName name="aaaaaaaaaa_3">#REF!</definedName>
    <definedName name="aaaaaaaaaaa" hidden="1">{#N/A,#N/A,FALSE,"Aging Summary";#N/A,#N/A,FALSE,"Ratio Analysis";#N/A,#N/A,FALSE,"Test 120 Day Accts";#N/A,#N/A,FALSE,"Tickmarks"}</definedName>
    <definedName name="aaaaaaaaaaa_3">#REF!</definedName>
    <definedName name="aaaaaaaaaaaaa" hidden="1">{#N/A,#N/A,FALSE,"Aging Summary";#N/A,#N/A,FALSE,"Ratio Analysis";#N/A,#N/A,FALSE,"Test 120 Day Accts";#N/A,#N/A,FALSE,"Tickmarks"}</definedName>
    <definedName name="aaaaaaaaaaaaa_3">#REF!</definedName>
    <definedName name="aaaaaaaaaaaaa12" hidden="1">{#N/A,#N/A,FALSE,"Aging Summary";#N/A,#N/A,FALSE,"Ratio Analysis";#N/A,#N/A,FALSE,"Test 120 Day Accts";#N/A,#N/A,FALSE,"Tickmarks"}</definedName>
    <definedName name="aaaaaaaaaaaaa12_3">#REF!</definedName>
    <definedName name="aaaaaaaaaaaaaa">1</definedName>
    <definedName name="aaaaaaaaaaaaaaa" hidden="1">{#N/A,#N/A,FALSE,"Pharm";#N/A,#N/A,FALSE,"WWCM"}</definedName>
    <definedName name="aaaaaaaaaaaaaaaa">#REF!()</definedName>
    <definedName name="aaaaaaaaaaaaaaaaaaaaaaaaaaaasssssssssssssssss">#REF!</definedName>
    <definedName name="AAAAS" hidden="1">{#N/A,#N/A,FALSE,"정공"}</definedName>
    <definedName name="aab">#REF!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#REF!</definedName>
    <definedName name="AACLEARSIGHT">#REF!</definedName>
    <definedName name="aad">#REF!</definedName>
    <definedName name="aadadsaSA">#REF!</definedName>
    <definedName name="aaddd" hidden="1">{#N/A,#N/A,FALSE,"REPORT"}</definedName>
    <definedName name="aadge">#REF!</definedName>
    <definedName name="aads">#REF!</definedName>
    <definedName name="aae">#REF!</definedName>
    <definedName name="aaf">#REF!</definedName>
    <definedName name="AAFAFA">#REF!</definedName>
    <definedName name="aag">#REF!</definedName>
    <definedName name="aah">#REF!</definedName>
    <definedName name="aalla">#REF!</definedName>
    <definedName name="AAODFRESH">#REF!</definedName>
    <definedName name="AAODRELIM">#REF!</definedName>
    <definedName name="AAODSPRAY">#REF!</definedName>
    <definedName name="Aas" hidden="1">{#N/A,#N/A,FALSE,"을지 (4)";#N/A,#N/A,FALSE,"을지 (5)";#N/A,#N/A,FALSE,"을지 (6)"}</definedName>
    <definedName name="aasd">#REF!</definedName>
    <definedName name="aasd_1">#REF!</definedName>
    <definedName name="aasd_2">#REF!</definedName>
    <definedName name="aasd_3">#REF!</definedName>
    <definedName name="aasd_4">#REF!</definedName>
    <definedName name="AASPOT_WASH">#REF!</definedName>
    <definedName name="AATOTALWASH">#REF!</definedName>
    <definedName name="AAWAXPAX">#REF!</definedName>
    <definedName name="ab">#REF!</definedName>
    <definedName name="abab" hidden="1">{#N/A,#N/A,FALSE,"Pharm";#N/A,#N/A,FALSE,"WWCM"}</definedName>
    <definedName name="ABB">#REF!</definedName>
    <definedName name="abbreviations" hidden="1">{"'매출'!$A$1:$I$22"}</definedName>
    <definedName name="abc">#REF!</definedName>
    <definedName name="ABC_3">#REF!</definedName>
    <definedName name="abcd" hidden="1">{"page1",#N/A,FALSE,"A";"page2",#N/A,FALSE,"A"}</definedName>
    <definedName name="abcd1">#REF!</definedName>
    <definedName name="abcde">#REF!</definedName>
    <definedName name="ABCDEF" hidden="1">{#N/A,#N/A,FALSE,"정공"}</definedName>
    <definedName name="abcdefg">#REF!</definedName>
    <definedName name="abcdefghi">#REF!</definedName>
    <definedName name="abcdefghijkl">#REF!</definedName>
    <definedName name="ABCD관리" hidden="1">{#N/A,#N/A,FALSE,"정공"}</definedName>
    <definedName name="Abrisa">#REF!</definedName>
    <definedName name="absorp">#REF!</definedName>
    <definedName name="ABSTRACT">#REF!</definedName>
    <definedName name="ac" hidden="1">{#N/A,#N/A,FALSE,"Aging Summary";#N/A,#N/A,FALSE,"Ratio Analysis";#N/A,#N/A,FALSE,"Test 120 Day Accts";#N/A,#N/A,FALSE,"Tickmarks"}</definedName>
    <definedName name="ac_3">#REF!</definedName>
    <definedName name="AC_PA">#REF!</definedName>
    <definedName name="ACBU">#REF!</definedName>
    <definedName name="Acc" hidden="1">{#N/A,#N/A,TRUE,"Condensed IS";#N/A,#N/A,TRUE,"Condensed BS";#N/A,#N/A,TRUE,"Outlook";#N/A,#N/A,TRUE,"Condensed CF";#N/A,#N/A,TRUE,"Condensed CF - qtr"}</definedName>
    <definedName name="ACC_CASH">#REF!</definedName>
    <definedName name="acc_name">#REF!</definedName>
    <definedName name="acc_num">#REF!</definedName>
    <definedName name="accel">#REF!</definedName>
    <definedName name="accelarate">"3-May-2012"</definedName>
    <definedName name="Access_Button">"Vacation_VACATION98_List"</definedName>
    <definedName name="Access_Button1">"Headcount_Workbook_Schedules_List"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Code">""""</definedName>
    <definedName name="AccessDatabase" hidden="1">"J:\chassan\stores\Domestic Totals.mdb"</definedName>
    <definedName name="ACCOUNT">#REF!</definedName>
    <definedName name="Account_Balance">#REF!</definedName>
    <definedName name="Account_Balance_1">#REF!</definedName>
    <definedName name="Account_Fm">#REF!</definedName>
    <definedName name="Account_From">#REF!</definedName>
    <definedName name="Account_List">#REF!</definedName>
    <definedName name="Account_To">#REF!</definedName>
    <definedName name="AccountedPeriodType1">#REF!</definedName>
    <definedName name="ACCOUNTEDPERIODTYPE2">#REF!</definedName>
    <definedName name="ACCOUNTEDPERIODTYPE3">#REF!</definedName>
    <definedName name="ACCOUNTEDPERIODTYPE4">#REF!</definedName>
    <definedName name="ACCOUNTEDPERIODTYPE5">#REF!</definedName>
    <definedName name="ACCOUNTEDPERIODTYPE6">#REF!</definedName>
    <definedName name="accounting">#REF!</definedName>
    <definedName name="Accounting_FooterType">"NONE"</definedName>
    <definedName name="AccountNumber">#REF!</definedName>
    <definedName name="accounts">#REF!</definedName>
    <definedName name="ACCOUNTS_PAYABLE">#REF!</definedName>
    <definedName name="Accounts_Receivable">#REF!</definedName>
    <definedName name="Accounts_to_be_tallied">#REF!</definedName>
    <definedName name="ACCOUNTSEGMENT1">#REF!</definedName>
    <definedName name="accrdate">#REF!</definedName>
    <definedName name="Accruals">#REF!</definedName>
    <definedName name="AccrualsPaid">#REF!</definedName>
    <definedName name="ACCRUED_DO">#REF!</definedName>
    <definedName name="ACCRUED_DOA">#REF!</definedName>
    <definedName name="ACCRUED_FED">#REF!</definedName>
    <definedName name="ACCRUED_FEDA">#REF!</definedName>
    <definedName name="ACCRUED_STATE">#REF!</definedName>
    <definedName name="ACCRUED_STATEA">#REF!</definedName>
    <definedName name="ACCSFromA5">#REF!</definedName>
    <definedName name="Acct">#REF!</definedName>
    <definedName name="ACCT_CODE">#N/A</definedName>
    <definedName name="accts">#REF!</definedName>
    <definedName name="Accumulated_Dep___Building_improvement">#REF!</definedName>
    <definedName name="ACK">#REF!</definedName>
    <definedName name="acob">{"'Form'!$A$2:$J$81"}</definedName>
    <definedName name="acq">#REF!</definedName>
    <definedName name="AcqTaxes">#REF!</definedName>
    <definedName name="acquiror">#REF!</definedName>
    <definedName name="ACTEOH">#N/A</definedName>
    <definedName name="Action">#REF!</definedName>
    <definedName name="ActiveArea">"VPM"</definedName>
    <definedName name="ActiveBldgIDNumbers">#REF!</definedName>
    <definedName name="ActiveCustomers">#REF!</definedName>
    <definedName name="ACTIVITY">#REF!</definedName>
    <definedName name="ACTJ">#REF!</definedName>
    <definedName name="ACTJ.">#REF!</definedName>
    <definedName name="ACTPROD">#REF!</definedName>
    <definedName name="Actual">#REF!</definedName>
    <definedName name="Actual_Entries">#REF!</definedName>
    <definedName name="Actual_Source_Practice">#REF!</definedName>
    <definedName name="ActualStart">#REF!</definedName>
    <definedName name="ACwvu.All.">#REF!</definedName>
    <definedName name="ACwvu.IMSD._.Only.">#REF!</definedName>
    <definedName name="ACwvu.incearn." hidden="1">#REF!</definedName>
    <definedName name="ACwvu.inputs._.raw._.data.">#REF!</definedName>
    <definedName name="ACwvu.qtr._.view." hidden="1">#REF!</definedName>
    <definedName name="ad" hidden="1">{"CHART",#N/A,FALSE,"Arch Communications"}</definedName>
    <definedName name="ad_3">#REF!</definedName>
    <definedName name="Ad_Rate__Cost_per_millions___CPM__Assumptions">#REF!</definedName>
    <definedName name="ada">{"'Trend_Total'!$A$7:$V$10","'Trend_Total'!$A$1:$V$4"}</definedName>
    <definedName name="adad">#REF!</definedName>
    <definedName name="adad_3">#REF!</definedName>
    <definedName name="adadd">#REF!</definedName>
    <definedName name="ADD">#REF!</definedName>
    <definedName name="Add_l_info_FooterType">"EXTERNAL"</definedName>
    <definedName name="ADDA">#REF!</definedName>
    <definedName name="AddFormula">#REF!</definedName>
    <definedName name="addg">#REF!</definedName>
    <definedName name="Addi">#REF!</definedName>
    <definedName name="Additions">{"'Sheet1'!$A$5:$E$42"}</definedName>
    <definedName name="ADDITIONS_FURNITURE___FIXTURES">#REF!</definedName>
    <definedName name="ADDITIONS_TO_TOOLS_JIGS__INSTRUMENTS">#REF!</definedName>
    <definedName name="ADDLSVC">#REF!</definedName>
    <definedName name="ADDRESS">#REF!</definedName>
    <definedName name="addressee">#REF!</definedName>
    <definedName name="ADF">#REF!</definedName>
    <definedName name="adf3qrqer" hidden="1">{#N/A,#N/A,FALSE,"Aging Summary";#N/A,#N/A,FALSE,"Ratio Analysis";#N/A,#N/A,FALSE,"Test 120 Day Accts";#N/A,#N/A,FALSE,"Tickmarks"}</definedName>
    <definedName name="adf3qrqer_3">#REF!</definedName>
    <definedName name="adfadfasfdadf">#REF!</definedName>
    <definedName name="adfads">#REF!</definedName>
    <definedName name="adfads_1">#REF!</definedName>
    <definedName name="adfads_2">#REF!</definedName>
    <definedName name="adfads_3">#REF!</definedName>
    <definedName name="adfads_4">#REF!</definedName>
    <definedName name="adfafadf">#REF!</definedName>
    <definedName name="adfafadf_1">#REF!</definedName>
    <definedName name="adfafadf_2">#REF!</definedName>
    <definedName name="adfafadf_3">#REF!</definedName>
    <definedName name="adfafadf_4">#REF!</definedName>
    <definedName name="adfas">#REF!</definedName>
    <definedName name="adfas_1">#REF!</definedName>
    <definedName name="adfas_2">#REF!</definedName>
    <definedName name="adfas_3">#REF!</definedName>
    <definedName name="adfas_4">#REF!</definedName>
    <definedName name="adfasd">#REF!</definedName>
    <definedName name="adfasd_1">#REF!</definedName>
    <definedName name="adfasd_2">#REF!</definedName>
    <definedName name="adfasd_3">#REF!</definedName>
    <definedName name="adfasd_4">#REF!</definedName>
    <definedName name="adfasf">#REF!</definedName>
    <definedName name="adfasf_1">#REF!</definedName>
    <definedName name="adfasf_2">#REF!</definedName>
    <definedName name="adfasf_3">#REF!</definedName>
    <definedName name="adfasf_4">#REF!</definedName>
    <definedName name="adfasfadfda">#REF!</definedName>
    <definedName name="adfasfasdfasfdasdf">#REF!</definedName>
    <definedName name="adfdfdf">#REF!</definedName>
    <definedName name="adff">#REF!</definedName>
    <definedName name="adfg" hidden="1">{#N/A,#N/A,TRUE,"Monthly BCG";#N/A,#N/A,TRUE,"Monthly w|o Wireless";#N/A,#N/A,TRUE,"Monthly Wireless"}</definedName>
    <definedName name="adfg1">#REF!</definedName>
    <definedName name="adfgx" hidden="1">{#N/A,#N/A,TRUE,"Monthly BCG";#N/A,#N/A,TRUE,"Monthly w|o Wireless";#N/A,#N/A,TRUE,"Monthly Wireless"}</definedName>
    <definedName name="ADFH">#REF!</definedName>
    <definedName name="ADHAFSD">#REF!</definedName>
    <definedName name="ADJ">#REF!</definedName>
    <definedName name="Adj_Bank_Balance">#REF!</definedName>
    <definedName name="AdjCost">#REF!</definedName>
    <definedName name="adjustments">#REF!</definedName>
    <definedName name="adkjfksjfd">3</definedName>
    <definedName name="ADLJK">#REF!</definedName>
    <definedName name="ADM_FormCLocation">"\\SPRFS4002\TAX\AA\DATA\TAX\Clients\AA-STD\SS\Ctp2000\20001FmC.xls"</definedName>
    <definedName name="ADM_Logged">2</definedName>
    <definedName name="ADM_PioneerDevelopers">"The year is 2000AD. This is a new milestone in the history of Arthur Andersen's Corporate Tax Division, Singapore. The pioneer developers are Simon Sia, Mel Lum, Julie Ong, Winston Lim and David Wong. After 6 months, its finally ready!!"</definedName>
    <definedName name="ADMIN_EXP">#REF!</definedName>
    <definedName name="ADMINISTRATIVE_EXPENSES">#REF!</definedName>
    <definedName name="adrga">#REF!</definedName>
    <definedName name="ADRincr">1.0875</definedName>
    <definedName name="ADS" hidden="1">{#N/A,#N/A,FALSE,"REPORT"}</definedName>
    <definedName name="adSDSAdsa">#REF!</definedName>
    <definedName name="adsew">#REF!</definedName>
    <definedName name="ADSF" hidden="1">{#N/A,#N/A,TRUE,"매출진척-1";#N/A,#N/A,TRUE,"매출진척-2";#N/A,#N/A,TRUE,"제품실적";#N/A,#N/A,TRUE,"RAC";#N/A,#N/A,TRUE,"PAC ";#N/A,#N/A,TRUE,"재고현황";#N/A,#N/A,TRUE,"공지사항"}</definedName>
    <definedName name="adsf_1">#REF!</definedName>
    <definedName name="adsf_2">#REF!</definedName>
    <definedName name="adsf_3">#REF!</definedName>
    <definedName name="adsf_4">#REF!</definedName>
    <definedName name="adsf_5">#REF!</definedName>
    <definedName name="adsfadf">{"'Staffing'!$A$1:$D$62"}</definedName>
    <definedName name="adsfadsf" hidden="1">255</definedName>
    <definedName name="adsfasd">#REF!</definedName>
    <definedName name="adsfasd_1">#REF!</definedName>
    <definedName name="adsfasd_2">#REF!</definedName>
    <definedName name="adsfasd_3">#REF!</definedName>
    <definedName name="adsfasd_4">#REF!</definedName>
    <definedName name="adsfaw">#REF!</definedName>
    <definedName name="adsfca">#REF!</definedName>
    <definedName name="adsfeklj">#REF!</definedName>
    <definedName name="adsfg">#REF!</definedName>
    <definedName name="adsfkl">#REF!</definedName>
    <definedName name="adsga">#REF!</definedName>
    <definedName name="adsgah">#REF!</definedName>
    <definedName name="adsgawe">#REF!</definedName>
    <definedName name="adsjfk">17</definedName>
    <definedName name="adssdfad">#REF!</definedName>
    <definedName name="adv_affiliates">#REF!</definedName>
    <definedName name="adv_ahna">#REF!</definedName>
    <definedName name="adv_consol">#REF!</definedName>
    <definedName name="adv_Parent">#REF!</definedName>
    <definedName name="adv_unconsol">#REF!</definedName>
    <definedName name="advancetax">#REF!</definedName>
    <definedName name="advexp.">#REF!</definedName>
    <definedName name="AdvOthers">#REF!</definedName>
    <definedName name="advr">#REF!</definedName>
    <definedName name="adwdlkj">#REF!</definedName>
    <definedName name="ae" hidden="1">{"20 Years",#N/A,FALSE,"P&amp;Ls";"2001",#N/A,FALSE,"P&amp;Ls"}</definedName>
    <definedName name="aebtv">#REF!</definedName>
    <definedName name="aebtv_1">#REF!</definedName>
    <definedName name="aedfadf">#REF!</definedName>
    <definedName name="aefe">#REF!</definedName>
    <definedName name="aegseg">#REF!</definedName>
    <definedName name="aem">#REF!</definedName>
    <definedName name="AETH">#REF!</definedName>
    <definedName name="AETH_1">#REF!</definedName>
    <definedName name="aewfwe">#REF!</definedName>
    <definedName name="aey">#REF!</definedName>
    <definedName name="aeyae">#REF!</definedName>
    <definedName name="aeyrq">#REF!</definedName>
    <definedName name="aeyt">#REF!</definedName>
    <definedName name="aezeazez">#REF!</definedName>
    <definedName name="AF">{0}</definedName>
    <definedName name="af_1">#REF!</definedName>
    <definedName name="af_2">#REF!</definedName>
    <definedName name="af_3">#REF!</definedName>
    <definedName name="af_4">#REF!</definedName>
    <definedName name="afa">#REF!</definedName>
    <definedName name="afa_1">#REF!</definedName>
    <definedName name="afa_2">#REF!</definedName>
    <definedName name="afa_3">#REF!</definedName>
    <definedName name="afa_4">#REF!</definedName>
    <definedName name="AFAFASF">#REF!</definedName>
    <definedName name="afasd">#REF!</definedName>
    <definedName name="afasd_1">#REF!</definedName>
    <definedName name="afasd_2">#REF!</definedName>
    <definedName name="afasd_3">#REF!</definedName>
    <definedName name="afasd_4">#REF!</definedName>
    <definedName name="afd">#REF!</definedName>
    <definedName name="afda">#REF!</definedName>
    <definedName name="afdadfsas">#REF!</definedName>
    <definedName name="AFDADSFDAS" hidden="1">{#N/A,#N/A,FALSE,"REPORT"}</definedName>
    <definedName name="afdkljaf">#REF!</definedName>
    <definedName name="afds">#REF!</definedName>
    <definedName name="afdssaffds">#REF!</definedName>
    <definedName name="Afferguson">#REF!</definedName>
    <definedName name="Affirmed">#REF!</definedName>
    <definedName name="afgagagadg">#REF!</definedName>
    <definedName name="afgagagadg_1">#REF!</definedName>
    <definedName name="afgagagadg_2">#REF!</definedName>
    <definedName name="afgagagadg_3">#REF!</definedName>
    <definedName name="afgagagadg_4">#REF!</definedName>
    <definedName name="afge">#REF!</definedName>
    <definedName name="AFGH">#REF!</definedName>
    <definedName name="afjjfa">#REF!</definedName>
    <definedName name="afmd">#REF!</definedName>
    <definedName name="africa" hidden="1">{#N/A,#N/A,FALSE,"CNS";#N/A,#N/A,FALSE,"Serz";#N/A,#N/A,FALSE,"Ace"}</definedName>
    <definedName name="afterallowanceA">#REF!</definedName>
    <definedName name="afterallowanceB">#REF!</definedName>
    <definedName name="AG" hidden="1">#REF!</definedName>
    <definedName name="agag">#REF!</definedName>
    <definedName name="agdump">#REF!</definedName>
    <definedName name="agdump.">#REF!</definedName>
    <definedName name="age">#REF!</definedName>
    <definedName name="AGE_REPDT">#REF!</definedName>
    <definedName name="age1New">#REF!</definedName>
    <definedName name="Aged_as_at">#REF!</definedName>
    <definedName name="agedump">#REF!</definedName>
    <definedName name="agency">#REF!</definedName>
    <definedName name="agencydump">#REF!</definedName>
    <definedName name="agencydump.">#REF!</definedName>
    <definedName name="AGENCYLY">#REF!</definedName>
    <definedName name="AGENCYLY.">#REF!</definedName>
    <definedName name="AGENCYPLAN">#REF!</definedName>
    <definedName name="AGENCYPLAN.">#REF!</definedName>
    <definedName name="ageNew">#REF!</definedName>
    <definedName name="ageos">#REF!</definedName>
    <definedName name="AgeR">#REF!</definedName>
    <definedName name="AgeR1">#REF!</definedName>
    <definedName name="AgeR2">#REF!</definedName>
    <definedName name="AgeR3">#REF!</definedName>
    <definedName name="AgeR4">#REF!</definedName>
    <definedName name="AgeR5">#REF!</definedName>
    <definedName name="AgeR6">#REF!</definedName>
    <definedName name="agestock">#REF!</definedName>
    <definedName name="agfsdg">#REF!</definedName>
    <definedName name="Aging">#REF!</definedName>
    <definedName name="Aging_3">#REF!</definedName>
    <definedName name="Aginh" hidden="1">{#N/A,#N/A,FALSE,"Aging Summary";#N/A,#N/A,FALSE,"Ratio Analysis";#N/A,#N/A,FALSE,"Test 120 Day Accts";#N/A,#N/A,FALSE,"Tickmarks"}</definedName>
    <definedName name="agne">#REF!</definedName>
    <definedName name="agpar">#REF!</definedName>
    <definedName name="AGSDFAGDFG" hidden="1">{#N/A,#N/A,FALSE,"Pharm";#N/A,#N/A,FALSE,"WWCM"}</definedName>
    <definedName name="agsdgdgasdg">#REF!</definedName>
    <definedName name="agseg">#REF!</definedName>
    <definedName name="AHDFHADH" hidden="1">{#N/A,#N/A,FALSE,"Pharm";#N/A,#N/A,FALSE,"WWCM"}</definedName>
    <definedName name="AHG">#REF!</definedName>
    <definedName name="ahge">#REF!</definedName>
    <definedName name="AHM">#REF!</definedName>
    <definedName name="ahs">BLCH</definedName>
    <definedName name="AI">#REF!</definedName>
    <definedName name="AII">#REF!</definedName>
    <definedName name="AIRcpd">#REF!</definedName>
    <definedName name="AIRcvd">#REF!</definedName>
    <definedName name="AJ">#REF!</definedName>
    <definedName name="AJAJA">#REF!</definedName>
    <definedName name="ajalfdj">{"'vert'!$A$1:$T$117"}</definedName>
    <definedName name="AJHFkjDGHF">#REF!</definedName>
    <definedName name="AJV">#REF!</definedName>
    <definedName name="akdlfj">{"'Data Summary'!$A$1:$O$26"}</definedName>
    <definedName name="akdsjfkajdf">5</definedName>
    <definedName name="al">Allx3,Allx4,Allx5</definedName>
    <definedName name="Alarm">#REF!</definedName>
    <definedName name="Albert">#REF!</definedName>
    <definedName name="ALC_M" hidden="1">#REF!</definedName>
    <definedName name="ALE">#REF!</definedName>
    <definedName name="Alena" hidden="1">{#N/A,#N/A,TRUE,"R&amp;D";#N/A,#N/A,TRUE,"Drct exp";#N/A,#N/A,TRUE,"OPEX";#N/A,#N/A,TRUE,"R&amp;D";#N/A,#N/A,TRUE,"S&amp;M";#N/A,#N/A,TRUE,"G&amp;A"}</definedName>
    <definedName name="alena1" hidden="1">{#N/A,#N/A,TRUE,"CPRD";#N/A,#N/A,TRUE,"BCCPDR";#N/A,#N/A,TRUE,"EWRD";#N/A,#N/A,TRUE,"5100";#N/A,#N/A,TRUE,"5110"}</definedName>
    <definedName name="AlenaA" hidden="1">{#N/A,#N/A,TRUE,"R&amp;D";#N/A,#N/A,TRUE,"Drct exp";#N/A,#N/A,TRUE,"OPEX";#N/A,#N/A,TRUE,"R&amp;D";#N/A,#N/A,TRUE,"S&amp;M";#N/A,#N/A,TRUE,"G&amp;A"}</definedName>
    <definedName name="alex" hidden="1">{#N/A,#N/A,FALSE,"REPORT"}</definedName>
    <definedName name="alexan" hidden="1">{#N/A,#N/A,FALSE,"REPORT"}</definedName>
    <definedName name="alexwhy">clra1b1,clra1b2,clra1b3,clra1b4,clra1b5,clra1b6,clra1b7,clra1b8</definedName>
    <definedName name="ALI">{"'Feb 99'!$A$1:$G$30"}</definedName>
    <definedName name="Alignment">"a1"</definedName>
    <definedName name="all">#REF!</definedName>
    <definedName name="ALL___0">#REF!</definedName>
    <definedName name="All_Delay">#REF!</definedName>
    <definedName name="ALL_FA">#REF!</definedName>
    <definedName name="Allocation">{"'Aug Rev Area'!$A$4:$J$120"}</definedName>
    <definedName name="allow" hidden="1">{#N/A,#N/A,TRUE,"JE Entry";#N/A,#N/A,TRUE,"Recap";#N/A,#N/A,TRUE,"Furniture &amp; Fixtures";#N/A,#N/A,TRUE,"Equipment";#N/A,#N/A,TRUE,"Computer Equipment";#N/A,#N/A,TRUE,"Software";#N/A,#N/A,TRUE,"Leasehold"}</definedName>
    <definedName name="Allowance">{"'Trend_Total'!$A$7:$V$10","'Trend_Total'!$A$1:$V$4"}</definedName>
    <definedName name="allowcy">#REF!</definedName>
    <definedName name="allowly">#REF!</definedName>
    <definedName name="Allsort">#REF!</definedName>
    <definedName name="AllTables">{1}</definedName>
    <definedName name="AllTables_SIS_original">{1}</definedName>
    <definedName name="AlltheData">#REF!</definedName>
    <definedName name="alltheDatawithtitle">#REF!</definedName>
    <definedName name="allx">Allx3,Allx4,Allx5</definedName>
    <definedName name="alp">#REF!</definedName>
    <definedName name="alt_boxsize">#REF!</definedName>
    <definedName name="alter" hidden="1">{#N/A,#N/A,TRUE,"91AMTNOL";#N/A,#N/A,TRUE,"92AMTNOL";#N/A,#N/A,TRUE,"93AMTNOL"}</definedName>
    <definedName name="alyson">#REF!</definedName>
    <definedName name="alyson_1">#REF!</definedName>
    <definedName name="alyson_3">#REF!</definedName>
    <definedName name="alyson1">#REF!</definedName>
    <definedName name="ALㅓ머" hidden="1">{#N/A,#N/A,FALSE,"UNIT";#N/A,#N/A,FALSE,"UNIT";#N/A,#N/A,FALSE,"계정"}</definedName>
    <definedName name="americas">#REF!</definedName>
    <definedName name="AMEX">#REF!</definedName>
    <definedName name="amfv" hidden="1">#REF!</definedName>
    <definedName name="AMFV123" hidden="1">#REF!</definedName>
    <definedName name="amfv2" hidden="1">#REF!</definedName>
    <definedName name="amfv2013" hidden="1">#REF!</definedName>
    <definedName name="AMG_AS">#REF!</definedName>
    <definedName name="AMG_PA">#REF!</definedName>
    <definedName name="AML_FooterType">"INTERNAL"</definedName>
    <definedName name="AMORT">#REF!</definedName>
    <definedName name="amortis">#REF!</definedName>
    <definedName name="Amount">#REF!</definedName>
    <definedName name="amp">#REF!</definedName>
    <definedName name="amt">#REF!</definedName>
    <definedName name="Amtek">#REF!</definedName>
    <definedName name="amtos">#REF!</definedName>
    <definedName name="anadty">#REF!</definedName>
    <definedName name="Analysis" hidden="1">{#N/A,#N/A,FALSE,"Aging Summary";#N/A,#N/A,FALSE,"Ratio Analysis";#N/A,#N/A,FALSE,"Test 120 Day Accts";#N/A,#N/A,FALSE,"Tickmarks"}</definedName>
    <definedName name="anaspun">#REF!</definedName>
    <definedName name="and">#REF!</definedName>
    <definedName name="ANFB">#REF!</definedName>
    <definedName name="anise">#REF!</definedName>
    <definedName name="anise2">#REF!</definedName>
    <definedName name="anisev">#REF!</definedName>
    <definedName name="anisey">#REF!</definedName>
    <definedName name="Anixer">#REF!</definedName>
    <definedName name="AnnAvail">#REF!</definedName>
    <definedName name="AnnCapacity">#REF!</definedName>
    <definedName name="année">1999</definedName>
    <definedName name="AnnéePbmt">2001</definedName>
    <definedName name="ANNEX">#REF!</definedName>
    <definedName name="ANNEX_1">#REF!</definedName>
    <definedName name="annexure_1">#REF!</definedName>
    <definedName name="Annexure_I">#REF!</definedName>
    <definedName name="ANNEXURE1">#REF!</definedName>
    <definedName name="Annexure2">#REF!</definedName>
    <definedName name="AnnexurePART1">#REF!</definedName>
    <definedName name="AnnII">#REF!</definedName>
    <definedName name="AnnIIIa">#REF!</definedName>
    <definedName name="AnnIIIb">#REF!</definedName>
    <definedName name="AnnIIIc">#REF!</definedName>
    <definedName name="Annual">#REF!</definedName>
    <definedName name="annualleave">#REF!</definedName>
    <definedName name="AnnVI">#REF!</definedName>
    <definedName name="AnnVIIa">#REF!</definedName>
    <definedName name="AnnVIII">#REF!</definedName>
    <definedName name="AnnX">#REF!</definedName>
    <definedName name="AnnXI">#REF!</definedName>
    <definedName name="AnnXIc">#REF!</definedName>
    <definedName name="AnnXIIb">#REF!</definedName>
    <definedName name="AnnXIIc">#REF!</definedName>
    <definedName name="AnnXIV">#REF!</definedName>
    <definedName name="AnnXV">#REF!</definedName>
    <definedName name="anscount" hidden="1">2</definedName>
    <definedName name="ANTHONY">#REF!</definedName>
    <definedName name="anushka" hidden="1">#REF!</definedName>
    <definedName name="anx">#REF!</definedName>
    <definedName name="ANZ_CC">#REF!</definedName>
    <definedName name="AOC">#REF!</definedName>
    <definedName name="AOCNFTHSDLR" hidden="1">{#N/A,#N/A,FALSE,"정공"}</definedName>
    <definedName name="aomnc">#REF!</definedName>
    <definedName name="aone">#REF!</definedName>
    <definedName name="AP">#REF!</definedName>
    <definedName name="AP_Discount_Std">60%</definedName>
    <definedName name="AP_PrePay_Detail">#REF!</definedName>
    <definedName name="App">#REF!</definedName>
    <definedName name="Appendix">#REF!</definedName>
    <definedName name="Appendix111">#REF!</definedName>
    <definedName name="appendix4">#REF!</definedName>
    <definedName name="Application">#REF!</definedName>
    <definedName name="APPLICATION_OF_FUNDS">#REF!</definedName>
    <definedName name="approach">#REF!</definedName>
    <definedName name="AppsUsername1">#REF!</definedName>
    <definedName name="APPSUSERNAME2">#REF!</definedName>
    <definedName name="APPSUSERNAME3">#REF!</definedName>
    <definedName name="APPSUSERNAME4">#REF!</definedName>
    <definedName name="APPSUSERNAME5">#REF!</definedName>
    <definedName name="APPSUSERNAME6">#REF!</definedName>
    <definedName name="Apr_01">#REF!</definedName>
    <definedName name="Apr_18">#REF!</definedName>
    <definedName name="Apr_19">#REF!</definedName>
    <definedName name="Apr_20">#REF!</definedName>
    <definedName name="Apr_21">#REF!</definedName>
    <definedName name="apraud">#REF!</definedName>
    <definedName name="APRDATA?">#REF!</definedName>
    <definedName name="aprhkd">#REF!</definedName>
    <definedName name="APRIL">#REF!</definedName>
    <definedName name="April_control_totals">#REF!</definedName>
    <definedName name="aprsgd">#REF!</definedName>
    <definedName name="aprthb">#REF!</definedName>
    <definedName name="aprtwd">#REF!</definedName>
    <definedName name="aptech">#REF!</definedName>
    <definedName name="APWREFVIDENTIFIER">"'='COHR Historical PE'!$D$2"</definedName>
    <definedName name="aq">#REF!</definedName>
    <definedName name="AQE">{"'표지'!$B$5"}</definedName>
    <definedName name="aqqqq">{"'Sheet1'!$A$1:$H$36"}</definedName>
    <definedName name="aqz" hidden="1">{#N/A,#N/A,FALSE,"KMC최종회의(7월) 자료"}</definedName>
    <definedName name="AR">#REF!</definedName>
    <definedName name="AR_AHNA">#REF!</definedName>
    <definedName name="AR_Cons">#REF!</definedName>
    <definedName name="AR_INTER">#REF!</definedName>
    <definedName name="AR_Parent">#REF!</definedName>
    <definedName name="AR_SNS">#REF!</definedName>
    <definedName name="AR_Unconsol">#REF!</definedName>
    <definedName name="ARA_Threshold">#REF!</definedName>
    <definedName name="ARB51A">#REF!</definedName>
    <definedName name="ARBS" hidden="1">{#N/A,#N/A,FALSE,"BS";#N/A,#N/A,FALSE,"PL";#N/A,#N/A,FALSE,"처분";#N/A,#N/A,FALSE,"현금";#N/A,#N/A,FALSE,"매출";#N/A,#N/A,FALSE,"원가";#N/A,#N/A,FALSE,"경영"}</definedName>
    <definedName name="ARC">#REF!</definedName>
    <definedName name="ArchiIMA1">"Image 55"</definedName>
    <definedName name="ARDASD">#REF!</definedName>
    <definedName name="Area">#REF!</definedName>
    <definedName name="area1">#REF!</definedName>
    <definedName name="area2">#REF!</definedName>
    <definedName name="area3">#REF!</definedName>
    <definedName name="areya">#REF!</definedName>
    <definedName name="arga">#REF!</definedName>
    <definedName name="ARP">#REF!</definedName>
    <definedName name="ARP_Threshold">#REF!</definedName>
    <definedName name="arstjj">#REF!</definedName>
    <definedName name="arstjj_1">#REF!</definedName>
    <definedName name="ARTISAN">#REF!</definedName>
    <definedName name="arvind">#REF!</definedName>
    <definedName name="arvindmills">#REF!</definedName>
    <definedName name="arwegvfr">#REF!</definedName>
    <definedName name="arwegvfr_1">#REF!</definedName>
    <definedName name="arwegvfr_2">#REF!</definedName>
    <definedName name="arwegvfr_3">#REF!</definedName>
    <definedName name="arwegvfr_4">#REF!</definedName>
    <definedName name="aryaey">#REF!</definedName>
    <definedName name="as" hidden="1">{#N/A,#N/A,FALSE,"Qrt Fcst";#N/A,#N/A,FALSE,"Qrt Fcst vs Plan &amp; PY";#N/A,#N/A,FALSE,"FY Fcst vs Plan &amp; PY";#N/A,#N/A,FALSE,"EVA CAP";#N/A,#N/A,FALSE,"EVA NOPAT"}</definedName>
    <definedName name="AS_PA">#REF!</definedName>
    <definedName name="AS2Doc">"AS2DocumentBrowse"</definedName>
    <definedName name="AS2DocOpenMode" hidden="1">"AS2DocumentEdit"</definedName>
    <definedName name="AS2DocOpenMode_1">"AS2DocumentBrowse"</definedName>
    <definedName name="AS2DocOpenMode2">"AS2DocumentBrowse"</definedName>
    <definedName name="AS2DocOpenMode3" hidden="1">"AS2DocumentBrowse"</definedName>
    <definedName name="AS2HasNoAutoHeaderFooter" hidden="1">" "</definedName>
    <definedName name="AS2LinkLS" hidden="1">#REF!</definedName>
    <definedName name="AS2NamedRange" hidden="1">2</definedName>
    <definedName name="AS2NamedRange_1">74</definedName>
    <definedName name="AS2ReportLS" hidden="1">1</definedName>
    <definedName name="AS2StaticLS">#REF!</definedName>
    <definedName name="AS2SyncStepLS" hidden="1">0</definedName>
    <definedName name="as2t">#REF!</definedName>
    <definedName name="AS2TaxWorkpaper">" "</definedName>
    <definedName name="AS2TickmarkLS">#REF!</definedName>
    <definedName name="as2tickmarklssls" hidden="1">#REF!</definedName>
    <definedName name="AS2VersionLS" hidden="1">300</definedName>
    <definedName name="asaaaa">#REF!</definedName>
    <definedName name="asaaaaaa">#REF!</definedName>
    <definedName name="ASAH">#REF!</definedName>
    <definedName name="asas" hidden="1">{#N/A,#N/A,FALSE,"Pharm";#N/A,#N/A,FALSE,"WWCM"}</definedName>
    <definedName name="asasa">#REF!</definedName>
    <definedName name="asasf">#REF!</definedName>
    <definedName name="ascxf" hidden="1">{#N/A,#N/A,FALSE,"Aging Summary";#N/A,#N/A,FALSE,"Ratio Analysis";#N/A,#N/A,FALSE,"Test 120 Day Accts";#N/A,#N/A,FALSE,"Tickmarks"}</definedName>
    <definedName name="ascxf_3">#REF!</definedName>
    <definedName name="asd">#REF!</definedName>
    <definedName name="asd_1">#REF!</definedName>
    <definedName name="asd_2">#REF!</definedName>
    <definedName name="asd_3">#REF!</definedName>
    <definedName name="asd_4">#REF!</definedName>
    <definedName name="asd123qwe" hidden="1">#REF!</definedName>
    <definedName name="asda">#REF!</definedName>
    <definedName name="asda_1">#REF!</definedName>
    <definedName name="asda_2">#REF!</definedName>
    <definedName name="asda_3">#REF!</definedName>
    <definedName name="asda_4">#REF!</definedName>
    <definedName name="asdafwf">#REF!</definedName>
    <definedName name="ASDAH">#REF!</definedName>
    <definedName name="asdas">#REF!</definedName>
    <definedName name="asdas_1">#REF!</definedName>
    <definedName name="asdas_2">#REF!</definedName>
    <definedName name="asdas_3">#REF!</definedName>
    <definedName name="asdas_4">#REF!</definedName>
    <definedName name="asdasdfasdg">#REF!</definedName>
    <definedName name="asdasdfasdg_1">#REF!</definedName>
    <definedName name="asdasdfasdg_2">#REF!</definedName>
    <definedName name="asdasdfasdg_3">#REF!</definedName>
    <definedName name="asdasdfasdg_4">#REF!</definedName>
    <definedName name="asdasdfy">#REF!</definedName>
    <definedName name="asdasdfy_1">#REF!</definedName>
    <definedName name="asdasdfy_2">#REF!</definedName>
    <definedName name="asdasdfy_3">#REF!</definedName>
    <definedName name="asdasdfy_4">#REF!</definedName>
    <definedName name="asdasdg">#REF!</definedName>
    <definedName name="asdasdg_1">#REF!</definedName>
    <definedName name="asdasdg_2">#REF!</definedName>
    <definedName name="asdasdg_3">#REF!</definedName>
    <definedName name="asdasdg_4">#REF!</definedName>
    <definedName name="asdassd">#REF!</definedName>
    <definedName name="asdassd_1">#REF!</definedName>
    <definedName name="asdassd_2">#REF!</definedName>
    <definedName name="asdassd_3">#REF!</definedName>
    <definedName name="asdassd_4">#REF!</definedName>
    <definedName name="asdaw">#REF!</definedName>
    <definedName name="asddf">#REF!</definedName>
    <definedName name="asddf_1">#REF!</definedName>
    <definedName name="asddf_2">#REF!</definedName>
    <definedName name="asddf_3">#REF!</definedName>
    <definedName name="asddf_4">#REF!</definedName>
    <definedName name="asdf" hidden="1">{"CHART",#N/A,FALSE,"Arch Communications"}</definedName>
    <definedName name="asdf_1">#REF!</definedName>
    <definedName name="asdf_2">#REF!</definedName>
    <definedName name="asdf_3">#REF!</definedName>
    <definedName name="asdf_4">#REF!</definedName>
    <definedName name="asdfa">#REF!</definedName>
    <definedName name="asdfa_1">#REF!</definedName>
    <definedName name="asdfa_2">#REF!</definedName>
    <definedName name="asdfa_3">#REF!</definedName>
    <definedName name="asdfa_4">#REF!</definedName>
    <definedName name="asdfad">#REF!</definedName>
    <definedName name="asdfad_1">#REF!</definedName>
    <definedName name="asdfad_2">#REF!</definedName>
    <definedName name="asdfad_3">#REF!</definedName>
    <definedName name="asdfad_4">#REF!</definedName>
    <definedName name="asdfadf">#REF!</definedName>
    <definedName name="asdfadf_1">#REF!</definedName>
    <definedName name="asdfadf_2">#REF!</definedName>
    <definedName name="asdfadf_3">#REF!</definedName>
    <definedName name="asdfadf_4">#REF!</definedName>
    <definedName name="asdfadg">#REF!</definedName>
    <definedName name="asdfadsfas">#REF!</definedName>
    <definedName name="asdfadsfas_1">#REF!</definedName>
    <definedName name="asdfadsfas_2">#REF!</definedName>
    <definedName name="asdfadsfas_3">#REF!</definedName>
    <definedName name="asdfadsfas_4">#REF!</definedName>
    <definedName name="asdfafdas">#REF!</definedName>
    <definedName name="asdfafds" hidden="1">#REF!</definedName>
    <definedName name="asdfas">#REF!</definedName>
    <definedName name="asdfasd">#REF!</definedName>
    <definedName name="asdfasd_1">#REF!</definedName>
    <definedName name="asdfasd_2">#REF!</definedName>
    <definedName name="asdfasd_3">#REF!</definedName>
    <definedName name="asdfasd_4">#REF!</definedName>
    <definedName name="asdfasdd">#REF!</definedName>
    <definedName name="asdfasdd_1">#REF!</definedName>
    <definedName name="asdfasdd_2">#REF!</definedName>
    <definedName name="asdfasdd_3">#REF!</definedName>
    <definedName name="asdfasdd_4">#REF!</definedName>
    <definedName name="asdfasddfa">#REF!</definedName>
    <definedName name="asdfasddfa_1">#REF!</definedName>
    <definedName name="asdfasddfa_2">#REF!</definedName>
    <definedName name="asdfasddfa_3">#REF!</definedName>
    <definedName name="asdfasddfa_4">#REF!</definedName>
    <definedName name="asdfasdf">#REF!</definedName>
    <definedName name="asdfasdfasdf">#REF!</definedName>
    <definedName name="asdfasdfasdfa">binary</definedName>
    <definedName name="asdfasdff">{"'1-TheatreBkgs'!$A$1:$L$102"}</definedName>
    <definedName name="asdfasdfg">#REF!</definedName>
    <definedName name="asdfasdfg_1">#REF!</definedName>
    <definedName name="asdfasdfg_2">#REF!</definedName>
    <definedName name="asdfasdfg_3">#REF!</definedName>
    <definedName name="asdfasdfg_4">#REF!</definedName>
    <definedName name="asdfasfasf">#REF!</definedName>
    <definedName name="asdfasffffffffffffff" hidden="1">{#N/A,#N/A,FALSE,"손익표지";#N/A,#N/A,FALSE,"손익계산";#N/A,#N/A,FALSE,"일반관리비";#N/A,#N/A,FALSE,"영업외수익";#N/A,#N/A,FALSE,"영업외비용";#N/A,#N/A,FALSE,"매출액";#N/A,#N/A,FALSE,"요약손익";#N/A,#N/A,FALSE,"요약대차";#N/A,#N/A,FALSE,"매출채권현황";#N/A,#N/A,FALSE,"매출채권명세"}</definedName>
    <definedName name="asdfasfsa">binary</definedName>
    <definedName name="asdfd">#REF!</definedName>
    <definedName name="asdfd_1">#REF!</definedName>
    <definedName name="asdfd_2">#REF!</definedName>
    <definedName name="asdfd_3">#REF!</definedName>
    <definedName name="asdfd_4">#REF!</definedName>
    <definedName name="asdfdaf">#REF!</definedName>
    <definedName name="asdfdaf_1">#REF!</definedName>
    <definedName name="asdfdaf_2">#REF!</definedName>
    <definedName name="asdfdaf_3">#REF!</definedName>
    <definedName name="asdfdaf_4">#REF!</definedName>
    <definedName name="asdfds">#REF!</definedName>
    <definedName name="asdfdssa">#REF!</definedName>
    <definedName name="asdfe">#REF!</definedName>
    <definedName name="asdff">#REF!</definedName>
    <definedName name="asdffasd">#REF!</definedName>
    <definedName name="asdffasd_1">#REF!</definedName>
    <definedName name="asdffasd_2">#REF!</definedName>
    <definedName name="asdffasd_3">#REF!</definedName>
    <definedName name="asdffasd_4">#REF!</definedName>
    <definedName name="asdfg" hidden="1">#REF!</definedName>
    <definedName name="asdfgg" hidden="1">#REF!</definedName>
    <definedName name="asdfgh" hidden="1">#REF!</definedName>
    <definedName name="asdfghjk" hidden="1">#REF!</definedName>
    <definedName name="asdfjaksdjf">3</definedName>
    <definedName name="asdfn">#REF!</definedName>
    <definedName name="asdfs">#REF!</definedName>
    <definedName name="asdfsd">binary</definedName>
    <definedName name="asdfsda">#REF!</definedName>
    <definedName name="asdfsda_1">#REF!</definedName>
    <definedName name="asdfsda_2">#REF!</definedName>
    <definedName name="asdfsda_3">#REF!</definedName>
    <definedName name="asdfsda_4">#REF!</definedName>
    <definedName name="asdfsds">{"'OCT  VOIDS'!$A$1:$G$33","'OCT '!$A$1:$G$48","'OCT Adj'!$A$1:$L$37"}</definedName>
    <definedName name="ASDFTG" hidden="1">#REF!</definedName>
    <definedName name="asdg">{"'1-TheatreBkgs'!$A$1:$L$102"}</definedName>
    <definedName name="asdgaerghawergt">#REF!</definedName>
    <definedName name="asdgaerghawergt_1">#REF!</definedName>
    <definedName name="asdgaerghawergt_2">#REF!</definedName>
    <definedName name="asdgaerghawergt_3">#REF!</definedName>
    <definedName name="asdgaerghawergt_4">#REF!</definedName>
    <definedName name="asdgaew">#REF!</definedName>
    <definedName name="asdgasdfasdfas">#REF!</definedName>
    <definedName name="asdgasdfasdfas_1">#REF!</definedName>
    <definedName name="asdgasdfasdfas_2">#REF!</definedName>
    <definedName name="asdgasdfasdfas_3">#REF!</definedName>
    <definedName name="asdgasdfasdfas_4">#REF!</definedName>
    <definedName name="asdgasrgasdf">#REF!</definedName>
    <definedName name="asdgasrgasdf_1">#REF!</definedName>
    <definedName name="asdgasrgasdf_2">#REF!</definedName>
    <definedName name="asdgasrgasdf_3">#REF!</definedName>
    <definedName name="asdgasrgasdf_4">#REF!</definedName>
    <definedName name="ASDGS">#REF!</definedName>
    <definedName name="ASDGSD" hidden="1">{#N/A,#N/A,FALSE,"REPORT"}</definedName>
    <definedName name="asdha">#REF!</definedName>
    <definedName name="asdhfjkashfds">#REF!</definedName>
    <definedName name="ASDJFK">5</definedName>
    <definedName name="asdkfjak">1</definedName>
    <definedName name="asdmasd">#REF!</definedName>
    <definedName name="asdr5">#REF!</definedName>
    <definedName name="asds">#REF!</definedName>
    <definedName name="asdsda">#REF!</definedName>
    <definedName name="asdsda_1">#REF!</definedName>
    <definedName name="asdsda_2">#REF!</definedName>
    <definedName name="asdsda_3">#REF!</definedName>
    <definedName name="asdsda_4">#REF!</definedName>
    <definedName name="asdsdf">#REF!</definedName>
    <definedName name="asdsdf_1">#REF!</definedName>
    <definedName name="asdsdf_2">#REF!</definedName>
    <definedName name="asdsdf_3">#REF!</definedName>
    <definedName name="asdsdf_4">#REF!</definedName>
    <definedName name="asdt" hidden="1">{#N/A,#N/A,FALSE,"Pharm";#N/A,#N/A,FALSE,"WWCM"}</definedName>
    <definedName name="asdtf">{"'Standalone List Price Trends'!$A$1:$X$56"}</definedName>
    <definedName name="asdtff">{"'Standalone List Price Trends'!$A$1:$X$56"}</definedName>
    <definedName name="ASE" hidden="1">{#N/A,#N/A,FALSE,"초도품";#N/A,#N/A,FALSE,"초도품 (2)";#N/A,#N/A,FALSE,"초도품 (3)";#N/A,#N/A,FALSE,"초도품 (4)";#N/A,#N/A,FALSE,"초도품 (5)";#N/A,#N/A,FALSE,"초도품 (6)"}</definedName>
    <definedName name="AseaBrownBove">#REF!</definedName>
    <definedName name="aservb" hidden="1">#REF!</definedName>
    <definedName name="asewa" hidden="1">{#N/A,#N/A,FALSE,"KMC최종회의(7월) 자료"}</definedName>
    <definedName name="asf" hidden="1">{#N/A,#N/A,TRUE,"Monthly BCG";#N/A,#N/A,TRUE,"Qrt BCG";#N/A,#N/A,TRUE,"FY BCG";#N/A,#N/A,TRUE,"1Q BCG";#N/A,#N/A,TRUE,"2Q BCG";#N/A,#N/A,TRUE,"3Q BCG";#N/A,#N/A,TRUE,"4Q BCG"}</definedName>
    <definedName name="asfa">#REF!</definedName>
    <definedName name="asfa_1">#REF!</definedName>
    <definedName name="asfa1">#REF!</definedName>
    <definedName name="asfa1_1">#REF!</definedName>
    <definedName name="asfads">#REF!</definedName>
    <definedName name="asfads_1">#REF!</definedName>
    <definedName name="asfads_2">#REF!</definedName>
    <definedName name="asfads_3">#REF!</definedName>
    <definedName name="asfads_4">#REF!</definedName>
    <definedName name="asfaeq4rwegfta">#REF!</definedName>
    <definedName name="asfaeq4rwegfta_1">#REF!</definedName>
    <definedName name="asfaeq4rwegfta_2">#REF!</definedName>
    <definedName name="asfaeq4rwegfta_3">#REF!</definedName>
    <definedName name="asfaeq4rwegfta_4">#REF!</definedName>
    <definedName name="asfd">#REF!</definedName>
    <definedName name="asfd1">{"'Sheet1'!$A$1:$J$121"}</definedName>
    <definedName name="ASFDASDG" hidden="1">{#N/A,#N/A,FALSE,"REPORT"}</definedName>
    <definedName name="asfdasfdsafdasf">#REF!</definedName>
    <definedName name="asfdf">#REF!</definedName>
    <definedName name="asfdf_1">#REF!</definedName>
    <definedName name="asfdf_2">#REF!</definedName>
    <definedName name="asfdf_3">#REF!</definedName>
    <definedName name="asfdf_4">#REF!</definedName>
    <definedName name="asffghujyki" hidden="1">{#N/A,#N/A,FALSE,"Pharm";#N/A,#N/A,FALSE,"WWCM"}</definedName>
    <definedName name="asfgs">#REF!</definedName>
    <definedName name="ASFGSATW" hidden="1">{#N/A,#N/A,FALSE,"Pharm";#N/A,#N/A,FALSE,"WWCM"}</definedName>
    <definedName name="asfrtewy" hidden="1">{#N/A,#N/A,FALSE,"Pharm";#N/A,#N/A,FALSE,"WWCM"}</definedName>
    <definedName name="asfsaf">binary</definedName>
    <definedName name="asfsd">#REF!</definedName>
    <definedName name="asfsd_1">#REF!</definedName>
    <definedName name="asfsd_2">#REF!</definedName>
    <definedName name="asfsd_3">#REF!</definedName>
    <definedName name="asfsd_4">#REF!</definedName>
    <definedName name="asfsdf">#REF!</definedName>
    <definedName name="ASFSDFA">#REF!</definedName>
    <definedName name="ASG">#REF!</definedName>
    <definedName name="ASGDFG">#REF!</definedName>
    <definedName name="asggdasgasdg">{"'Standalone List Price Trends'!$A$1:$X$56"}</definedName>
    <definedName name="ashland">#REF!</definedName>
    <definedName name="Ashokhhhot">#REF!</definedName>
    <definedName name="ASIA_PLASTIC_in_KUSD">#REF!</definedName>
    <definedName name="ask">#REF!</definedName>
    <definedName name="askfdjaksjf">2</definedName>
    <definedName name="askfdjksjdf">5</definedName>
    <definedName name="asqdq">#REF!</definedName>
    <definedName name="asregregseer">#REF!</definedName>
    <definedName name="asregregseer_1">#REF!</definedName>
    <definedName name="asregregseer_2">#REF!</definedName>
    <definedName name="asregregseer_3">#REF!</definedName>
    <definedName name="asregregseer_4">#REF!</definedName>
    <definedName name="ass">#REF!</definedName>
    <definedName name="ASSA" hidden="1">{#N/A,#N/A,FALSE,"1";#N/A,#N/A,FALSE,"2";#N/A,#N/A,FALSE,"16 - 17";#N/A,#N/A,FALSE,"18 - 19";#N/A,#N/A,FALSE,"26";#N/A,#N/A,FALSE,"27";#N/A,#N/A,FALSE,"28"}</definedName>
    <definedName name="ASSEMBLY">#REF!</definedName>
    <definedName name="Assembly.">#REF!</definedName>
    <definedName name="ASSEMBLY..">#REF!</definedName>
    <definedName name="ASSEMBLY_DETAIL">#REF!</definedName>
    <definedName name="Assess97">#REF!</definedName>
    <definedName name="Assess98">#REF!</definedName>
    <definedName name="asset">#REF!</definedName>
    <definedName name="Asset_Type">#REF!</definedName>
    <definedName name="Asset_Use_Pct">#REF!</definedName>
    <definedName name="ASSETBYGL">#REF!</definedName>
    <definedName name="assetclass">#REF!</definedName>
    <definedName name="assets">#REF!</definedName>
    <definedName name="ASSETS.DM">#REF!</definedName>
    <definedName name="Assets_FooterType">"INTERNAL"</definedName>
    <definedName name="Assets_Output1_FooterType">"INTERNAL"</definedName>
    <definedName name="Assets_Output2_FooterType">"INTERNAL"</definedName>
    <definedName name="Assets_Output3_FooterType">"INTERNAL"</definedName>
    <definedName name="Assets_Output4_FooterType">"INTERNAL"</definedName>
    <definedName name="Assets_Output5_FooterType">"INTERNAL"</definedName>
    <definedName name="assettable">#REF!</definedName>
    <definedName name="AssetType">#REF!</definedName>
    <definedName name="AssetType2">#REF!</definedName>
    <definedName name="ASSS">#REF!</definedName>
    <definedName name="asssdsd">#REF!</definedName>
    <definedName name="assssss">#REF!</definedName>
    <definedName name="assumption">#REF!</definedName>
    <definedName name="Assumptions_2">{"'Form'!$A$2:$J$81"}</definedName>
    <definedName name="Assumptions_Network">#REF!</definedName>
    <definedName name="AST_NO_LAST">#REF!</definedName>
    <definedName name="AST_NO_START">#REF!</definedName>
    <definedName name="asw">#REF!</definedName>
    <definedName name="aswedrt" hidden="1">#REF!</definedName>
    <definedName name="at">#REF!</definedName>
    <definedName name="ATSeXToEUR" hidden="1">1/EUReXToATS</definedName>
    <definedName name="ATTACH">#REF!</definedName>
    <definedName name="ATTEND">#REF!</definedName>
    <definedName name="ATXQAVersion">2</definedName>
    <definedName name="au">#REF!</definedName>
    <definedName name="au_1">#REF!</definedName>
    <definedName name="aud">#REF!</definedName>
    <definedName name="AUD.MN">#REF!</definedName>
    <definedName name="Auditing_and_accounitng_issues">#REF!</definedName>
    <definedName name="AuditTrailKey">#REF!</definedName>
    <definedName name="aug">#REF!</definedName>
    <definedName name="Aug_18">#REF!</definedName>
    <definedName name="Aug_19">#REF!</definedName>
    <definedName name="Aug_20">#REF!</definedName>
    <definedName name="Aug_21">#REF!</definedName>
    <definedName name="augaud">#REF!</definedName>
    <definedName name="AUGDATA?">#REF!</definedName>
    <definedName name="aughkd">#REF!</definedName>
    <definedName name="augsgd">#REF!</definedName>
    <definedName name="augthb">#REF!</definedName>
    <definedName name="augtwd">#REF!</definedName>
    <definedName name="August_Control_Totals">#REF!</definedName>
    <definedName name="AUST">#REF!</definedName>
    <definedName name="AUSTR_Aug03">#REF!</definedName>
    <definedName name="AUSTRALIA">#REF!</definedName>
    <definedName name="AUSTRIA">#REF!</definedName>
    <definedName name="aut">#REF!</definedName>
    <definedName name="AUTO">#REF!</definedName>
    <definedName name="AUto1">#REF!</definedName>
    <definedName name="Autocomplete">#REF!</definedName>
    <definedName name="AUTODATA">#REF!</definedName>
    <definedName name="AUTOPRINT_1">#REF!</definedName>
    <definedName name="AUTOPRINT_2">#REF!</definedName>
    <definedName name="Avail">#REF!</definedName>
    <definedName name="ave">#REF!</definedName>
    <definedName name="ave_ln_change">#REF!</definedName>
    <definedName name="ave_vol">#REF!</definedName>
    <definedName name="average_exchange_rate">#REF!</definedName>
    <definedName name="averagebal">#REF!</definedName>
    <definedName name="avgot">#REF!</definedName>
    <definedName name="aw" hidden="1">{"Admin.",#N/A,FALSE,"ccs";"Alloc.",#N/A,FALSE,"ccs";"BS Inactive",#N/A,FALSE,"ccs";"CU Eng.",#N/A,FALSE,"ccs";"CU Mfg.",#N/A,FALSE,"ccs";"CU Mfg.",#N/A,FALSE,"ccs";"CU Mktg.",#N/A,FALSE,"ccs";"CU PM",#N/A,FALSE,"ccs";"Eng.",#N/A,FALSE,"ccs";"FBR Admin",#N/A,FALSE,"ccs";"FBR China",#N/A,FALSE,"ccs";"FBR Eng.",#N/A,FALSE,"ccs";"FBR Mktg.",#N/A,FALSE,"ccs";"FBR PM",#N/A,FALSE,"ccs";"FRBMfg",#N/A,FALSE,"ccs";"Mfg.",#N/A,FALSE,"ccs";"Mktg.",#N/A,FALSE,"ccs";"Non Op.",#N/A,FALSE,"ccs";"Sales",#N/A,FALSE,"ccs";"WLS Admin.",#N/A,FALSE,"ccs";"WLS Eng.",#N/A,FALSE,"ccs";"WLS Mfg.",#N/A,FALSE,"ccs";"WLS Mktg.",#N/A,FALSE,"ccs";"WLS PM",#N/A,FALSE,"ccs"}</definedName>
    <definedName name="Awards">#REF!</definedName>
    <definedName name="awdfv">#REF!</definedName>
    <definedName name="awdfv_1">#REF!</definedName>
    <definedName name="awe">#REF!</definedName>
    <definedName name="awea">#REF!</definedName>
    <definedName name="aweftg">#REF!</definedName>
    <definedName name="aweftg_1">#REF!</definedName>
    <definedName name="awerg">#REF!</definedName>
    <definedName name="awerg_1">#REF!</definedName>
    <definedName name="AWES" hidden="1">#REF!</definedName>
    <definedName name="awp">#REF!</definedName>
    <definedName name="aws">#REF!</definedName>
    <definedName name="awser">#REF!</definedName>
    <definedName name="ax">#REF!</definedName>
    <definedName name="axcdf" hidden="1">{#N/A,#N/A,FALSE,"정공"}</definedName>
    <definedName name="AXD" hidden="1">{#N/A,#N/A,FALSE,"초도품";#N/A,#N/A,FALSE,"초도품 (2)";#N/A,#N/A,FALSE,"초도품 (3)";#N/A,#N/A,FALSE,"초도품 (4)";#N/A,#N/A,FALSE,"초도품 (5)";#N/A,#N/A,FALSE,"초도품 (6)"}</definedName>
    <definedName name="axedoc">#REF!</definedName>
    <definedName name="aXFNN">#REF!</definedName>
    <definedName name="axxs" hidden="1">{#N/A,#N/A,FALSE,"KMC최종회의(7월) 자료"}</definedName>
    <definedName name="AY">#REF!</definedName>
    <definedName name="AYER">#REF!</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 hidden="1">{#N/A,#N/A,FALSE,"Pharm";#N/A,#N/A,FALSE,"WWCM"}</definedName>
    <definedName name="azdsd">Allx3,Allx4,Allx5</definedName>
    <definedName name="azeazr" hidden="1">{#N/A,#N/A,FALSE,"Sales Graph";#N/A,#N/A,FALSE,"BUC Graph";#N/A,#N/A,FALSE,"P&amp;L - YTD"}</definedName>
    <definedName name="azerety" hidden="1">{#N/A,#N/A,FALSE,"Pharm";#N/A,#N/A,FALSE,"WWCM"}</definedName>
    <definedName name="Aㅠ219">#REF!</definedName>
    <definedName name="b">#REF!</definedName>
    <definedName name="b_1">#REF!</definedName>
    <definedName name="B_10">#REF!</definedName>
    <definedName name="b_2">#REF!</definedName>
    <definedName name="B_20">#REF!</definedName>
    <definedName name="B_3">#N/A</definedName>
    <definedName name="b_4">#REF!</definedName>
    <definedName name="B_40">#REF!</definedName>
    <definedName name="b_5">#REF!</definedName>
    <definedName name="B_50">#REF!</definedName>
    <definedName name="B_60">#REF!</definedName>
    <definedName name="B_70">#REF!</definedName>
    <definedName name="B_90">#REF!</definedName>
    <definedName name="B_JEMU">#REF!</definedName>
    <definedName name="B_TOTAL">#REF!</definedName>
    <definedName name="B_TOTALT">#REF!</definedName>
    <definedName name="B_value">#REF!</definedName>
    <definedName name="B_valuenue">#REF!</definedName>
    <definedName name="b3.">#REF!</definedName>
    <definedName name="B52.1">#REF!</definedName>
    <definedName name="ba" hidden="1">{#N/A,#N/A,FALSE,"Aging Summary";#N/A,#N/A,FALSE,"Ratio Analysis";#N/A,#N/A,FALSE,"Test 120 Day Accts";#N/A,#N/A,FALSE,"Tickmarks"}</definedName>
    <definedName name="ba_3">#REF!</definedName>
    <definedName name="BABL">#REF!</definedName>
    <definedName name="BACK">#REF!</definedName>
    <definedName name="Back_1">#REF!</definedName>
    <definedName name="Back_2">#REF!</definedName>
    <definedName name="Back_3">#REF!</definedName>
    <definedName name="Back_4">#REF!</definedName>
    <definedName name="Back_5">#REF!</definedName>
    <definedName name="back2">#REF!</definedName>
    <definedName name="back2a">#REF!</definedName>
    <definedName name="back6">#REF!</definedName>
    <definedName name="back7">#REF!</definedName>
    <definedName name="Backlog_Commissioned">"Backlog - Commissioned"</definedName>
    <definedName name="Backlog_Commissioned_Q2">"Backlog - Commissioned by Q2"</definedName>
    <definedName name="Backlog_Commissioned_Qtr">"Backlog - Commissioned by Q3"</definedName>
    <definedName name="Backlog_Non_Commissioned">"Backlog - Non-Commissioned"</definedName>
    <definedName name="Backlog_Non_Commissioned_Q2">"Backlog - Non-Commissioned by Q2"</definedName>
    <definedName name="Backlog_Non_Commissioned_Qtr">"Backlog - Non-Commissioned by Q3"</definedName>
    <definedName name="BACKUP">#REF!</definedName>
    <definedName name="BAGS">#REF!</definedName>
    <definedName name="Bajaj">#REF!</definedName>
    <definedName name="Bajajauto">#REF!</definedName>
    <definedName name="bak">#REF!</definedName>
    <definedName name="BAL">#REF!</definedName>
    <definedName name="bal_bf">#REF!</definedName>
    <definedName name="bal_cf">#REF!</definedName>
    <definedName name="bal_cfC">#REF!</definedName>
    <definedName name="bal_cfD">#REF!</definedName>
    <definedName name="BALANCE_FINAL">#REF!</definedName>
    <definedName name="BALANCE_MONTH">#REF!</definedName>
    <definedName name="BALANCE_MONTH1">#REF!</definedName>
    <definedName name="Balance_Sheet">#REF!</definedName>
    <definedName name="Balance_Sheet.">#REF!</definedName>
    <definedName name="BalanceSheetDates">#REF!</definedName>
    <definedName name="balg1">#REF!</definedName>
    <definedName name="balg2">#REF!</definedName>
    <definedName name="balg3">#REF!</definedName>
    <definedName name="ballapurindus">#REF!</definedName>
    <definedName name="ban" hidden="1">{#N/A,#N/A,FALSE,"P.C.B"}</definedName>
    <definedName name="Bang1">#REF!</definedName>
    <definedName name="Bang2">#REF!</definedName>
    <definedName name="Bangladesh">#REF!</definedName>
    <definedName name="bank">#REF!</definedName>
    <definedName name="BankAccounts">#REF!</definedName>
    <definedName name="BankCR">#REF!</definedName>
    <definedName name="bankdr">#REF!</definedName>
    <definedName name="bankofbaroda">#REF!</definedName>
    <definedName name="bankofindia">#REF!</definedName>
    <definedName name="bankofrajas">#REF!</definedName>
    <definedName name="BANKS">#REF!</definedName>
    <definedName name="bar" hidden="1">{#N/A,#N/A,FALSE,"Aging Summary";#N/A,#N/A,FALSE,"Ratio Analysis";#N/A,#N/A,FALSE,"Test 120 Day Accts";#N/A,#N/A,FALSE,"Tickmarks"}</definedName>
    <definedName name="Barolo">#REF!</definedName>
    <definedName name="Base_Currency">#REF!</definedName>
    <definedName name="base_salary">#REF!</definedName>
    <definedName name="base_shares">#REF!</definedName>
    <definedName name="BASE_YEAR">#REF!</definedName>
    <definedName name="BASEOS">#REF!</definedName>
    <definedName name="BaseRateLine1">#REF!</definedName>
    <definedName name="BaseRateLine1_98">#REF!</definedName>
    <definedName name="BaseRateLine2">#REF!</definedName>
    <definedName name="BaseRateLine2_98">#REF!</definedName>
    <definedName name="BaseRateLine3">#REF!</definedName>
    <definedName name="BaseRateLine3_98">#REF!</definedName>
    <definedName name="BaseRateLine4">#REF!</definedName>
    <definedName name="BaseRateLine4_98">#REF!</definedName>
    <definedName name="BaseRateLine5">#REF!</definedName>
    <definedName name="BaseRateLine5_98">#REF!</definedName>
    <definedName name="BaseRateLine6">#REF!</definedName>
    <definedName name="BaseRateLine6_98">#REF!</definedName>
    <definedName name="Bases_FooterType">"INTERNAL"</definedName>
    <definedName name="BaseYear">#REF!</definedName>
    <definedName name="basia_1">#REF!</definedName>
    <definedName name="basic">#REF!,#REF!,#REF!,#REF!</definedName>
    <definedName name="Basic_info_FooterType">"INTERNAL"</definedName>
    <definedName name="basis">#REF!</definedName>
    <definedName name="basis___0">#REF!</definedName>
    <definedName name="basis_2">#REF!</definedName>
    <definedName name="basis_3">#REF!</definedName>
    <definedName name="basis_4">#REF!</definedName>
    <definedName name="BASIS_YEAR">#REF!</definedName>
    <definedName name="Bat">#REF!</definedName>
    <definedName name="Batch">#REF!</definedName>
    <definedName name="Batch1">#REF!</definedName>
    <definedName name="Batch11">#REF!</definedName>
    <definedName name="Batch12">#REF!</definedName>
    <definedName name="Batch13">#REF!</definedName>
    <definedName name="Batch2">#REF!</definedName>
    <definedName name="Batch3">#REF!</definedName>
    <definedName name="Batch4">#REF!</definedName>
    <definedName name="Batch5">#REF!</definedName>
    <definedName name="Batch6">#REF!</definedName>
    <definedName name="Batch7">#REF!</definedName>
    <definedName name="bayerabs">#REF!</definedName>
    <definedName name="bb" hidden="1">{#N/A,#N/A,TRUE,"Condensed IS";#N/A,#N/A,TRUE,"Condensed BS";#N/A,#N/A,TRUE,"Outlook";#N/A,#N/A,TRUE,"Condensed CF";#N/A,#N/A,TRUE,"Condensed CF - qtr"}</definedName>
    <definedName name="bb_1">#REF!</definedName>
    <definedName name="bb_2">#REF!</definedName>
    <definedName name="bb_3">#REF!</definedName>
    <definedName name="bb_4">#REF!</definedName>
    <definedName name="bb_5">#REF!</definedName>
    <definedName name="bbb">#REF!</definedName>
    <definedName name="bbbb" hidden="1">{#N/A,#N/A,TRUE,"CPRD";#N/A,#N/A,TRUE,"BCCPDR";#N/A,#N/A,TRUE,"EWRD";#N/A,#N/A,TRUE,"5100";#N/A,#N/A,TRUE,"5110"}</definedName>
    <definedName name="bbbbb" hidden="1">{#N/A,#N/A,FALSE,"Aging Summary";#N/A,#N/A,FALSE,"Ratio Analysis";#N/A,#N/A,FALSE,"Test 120 Day Accts";#N/A,#N/A,FALSE,"Tickmarks"}</definedName>
    <definedName name="bbbbb_3">#REF!</definedName>
    <definedName name="BBBBBB" hidden="1">{#N/A,#N/A,FALSE,"REPORT"}</definedName>
    <definedName name="BBBBBBBBB" hidden="1">{#N/A,#N/A,FALSE,"REPORT"}</definedName>
    <definedName name="bbbbbbbbbbbbb" hidden="1">{#N/A,#N/A,FALSE,"Pharm";#N/A,#N/A,FALSE,"WWCM"}</definedName>
    <definedName name="bbbbbbbbbbbbbbb" hidden="1">{#N/A,#N/A,FALSE,"Aging Summary";#N/A,#N/A,FALSE,"Ratio Analysis";#N/A,#N/A,FALSE,"Test 120 Day Accts";#N/A,#N/A,FALSE,"Tickmarks"}</definedName>
    <definedName name="bbbbbbbbbbbbbbb_3">#REF!</definedName>
    <definedName name="BBLAPR02OCTF">#REF!</definedName>
    <definedName name="BBLAUG01A">#REF!</definedName>
    <definedName name="BBLAUG01JLF">#REF!</definedName>
    <definedName name="BBLAUG01OCTF">#REF!</definedName>
    <definedName name="BBLAUG02OCTF">#REF!</definedName>
    <definedName name="BBLDEC01A">#REF!</definedName>
    <definedName name="BBLDEC01OCTF">#REF!</definedName>
    <definedName name="BBLDEC02OCTF">#REF!</definedName>
    <definedName name="BBLFEB02OCTF">#REF!</definedName>
    <definedName name="BBLFY00A">#REF!</definedName>
    <definedName name="BBLFY01A">#REF!</definedName>
    <definedName name="BBLFY01JLF">#REF!</definedName>
    <definedName name="BBLFY01OCTF">#REF!</definedName>
    <definedName name="BBLFY02OCTF">#REF!</definedName>
    <definedName name="BBLFY98A">#REF!</definedName>
    <definedName name="BBLFY99A">#REF!</definedName>
    <definedName name="BBLJAN01A">#REF!</definedName>
    <definedName name="BBLJAN01OCTF">#REF!</definedName>
    <definedName name="BBLJAN02OCTF">#REF!</definedName>
    <definedName name="BBLJUL02OCTF">#REF!</definedName>
    <definedName name="BBLJUN02OCTF">#REF!</definedName>
    <definedName name="BBLLOBAPR02OCTF">#REF!</definedName>
    <definedName name="BBLLOBAUG01A">#REF!</definedName>
    <definedName name="BBLLOBAUG01JLF">#REF!</definedName>
    <definedName name="BBLLOBAUG01OCTF">#REF!</definedName>
    <definedName name="BBLLOBAUG02OCTF">#REF!</definedName>
    <definedName name="BBLLOBDEC01A">#REF!</definedName>
    <definedName name="BBLLOBDEC01OCTF">#REF!</definedName>
    <definedName name="BBLLOBDEC02OCTF">#REF!</definedName>
    <definedName name="BBLLOBFEB02OCTF">#REF!</definedName>
    <definedName name="BBLLOBFY00A">#REF!</definedName>
    <definedName name="BBLLOBFY01A">#REF!</definedName>
    <definedName name="BBLLOBFY01JLF">#REF!</definedName>
    <definedName name="BBLLOBFY01OCTF">#REF!</definedName>
    <definedName name="BBLLOBFY02OCTF">#REF!</definedName>
    <definedName name="BBLLOBFY98A">#REF!</definedName>
    <definedName name="BBLLOBFY99A">#REF!</definedName>
    <definedName name="BBLLOBJAN01A">#REF!</definedName>
    <definedName name="BBLLOBJAN01OCTF">#REF!</definedName>
    <definedName name="BBLLOBJAN02OCTF">#REF!</definedName>
    <definedName name="BBLLOBJUL02OCTF">#REF!</definedName>
    <definedName name="BBLLOBJUN02OCTF">#REF!</definedName>
    <definedName name="BBLLOBMAR02OCTF">#REF!</definedName>
    <definedName name="BBLLOBMAY02OCTF">#REF!</definedName>
    <definedName name="BBLLOBNOV01A">#REF!</definedName>
    <definedName name="BBLLOBNOV01OCTF">#REF!</definedName>
    <definedName name="BBLLOBNOV02OCTF">#REF!</definedName>
    <definedName name="BBLLOBOCT01A">#REF!</definedName>
    <definedName name="BBLLOBOCT01JLF">#REF!</definedName>
    <definedName name="BBLLOBOCT01OCTF">#REF!</definedName>
    <definedName name="BBLLOBOCT02OCTF">#REF!</definedName>
    <definedName name="BBLLOBQ100A">#REF!</definedName>
    <definedName name="BBLLOBQ101A">#REF!</definedName>
    <definedName name="BBLLOBQ102JLF">#REF!</definedName>
    <definedName name="BBLLOBQ102OCTF">#REF!</definedName>
    <definedName name="BBLLOBQ198A">#REF!</definedName>
    <definedName name="BBLLOBQ199A">#REF!</definedName>
    <definedName name="BBLLOBQ200A">#REF!</definedName>
    <definedName name="BBLLOBQ201A">#REF!</definedName>
    <definedName name="BBLLOBQ202OCTF">#REF!</definedName>
    <definedName name="BBLLOBQ298A">#REF!</definedName>
    <definedName name="BBLLOBQ299A">#REF!</definedName>
    <definedName name="BBLLOBQ300A">#REF!</definedName>
    <definedName name="BBLLOBQ301A">#REF!</definedName>
    <definedName name="BBLLOBQ301JLF">#REF!</definedName>
    <definedName name="BBLLOBQ301OCTF">#REF!</definedName>
    <definedName name="BBLLOBQ302OCTF">#REF!</definedName>
    <definedName name="BBLLOBQ398A">#REF!</definedName>
    <definedName name="BBLLOBQ399A">#REF!</definedName>
    <definedName name="BBLLOBQ400A">#REF!</definedName>
    <definedName name="BBLLOBQ401A">#REF!</definedName>
    <definedName name="BBLLOBQ401JLF">#REF!</definedName>
    <definedName name="BBLLOBQ401OCTF">#REF!</definedName>
    <definedName name="BBLLOBQ402OCTF">#REF!</definedName>
    <definedName name="BBLLOBQ498A">#REF!</definedName>
    <definedName name="BBLLOBQ499A">#REF!</definedName>
    <definedName name="BBLLOBSEP01A">#REF!</definedName>
    <definedName name="BBLLOBSEP01JLF">#REF!</definedName>
    <definedName name="BBLLOBSEP01OCTF">#REF!</definedName>
    <definedName name="BBLLOBSEP02OCTF">#REF!</definedName>
    <definedName name="BBLMAR02OCTF">#REF!</definedName>
    <definedName name="BBLMAY02OCTF">#REF!</definedName>
    <definedName name="BBLNOV01A">#REF!</definedName>
    <definedName name="BBLNOV01OCTF">#REF!</definedName>
    <definedName name="BBLNOV02OCTF">#REF!</definedName>
    <definedName name="BBLOCT01A">#REF!</definedName>
    <definedName name="BBLOCT01JLF">#REF!</definedName>
    <definedName name="BBLOCT01OCTF">#REF!</definedName>
    <definedName name="BBLOCT02OCTF">#REF!</definedName>
    <definedName name="BBLQ100A">#REF!</definedName>
    <definedName name="BBLQ101A">#REF!</definedName>
    <definedName name="BBLQ102JLF">#REF!</definedName>
    <definedName name="BBLQ102OCTF">#REF!</definedName>
    <definedName name="BBLQ198A">#REF!</definedName>
    <definedName name="BBLQ199A">#REF!</definedName>
    <definedName name="BBLQ200A">#REF!</definedName>
    <definedName name="BBLQ201A">#REF!</definedName>
    <definedName name="BBLQ202OCTF">#REF!</definedName>
    <definedName name="BBLQ298A">#REF!</definedName>
    <definedName name="BBLQ299A">#REF!</definedName>
    <definedName name="BBLQ300A">#REF!</definedName>
    <definedName name="BBLQ301A">#REF!</definedName>
    <definedName name="BBLQ301JLF">#REF!</definedName>
    <definedName name="BBLQ301OCTF">#REF!</definedName>
    <definedName name="BBLQ398A">#REF!</definedName>
    <definedName name="BBLQ399A">#REF!</definedName>
    <definedName name="BBLQ400A">#REF!</definedName>
    <definedName name="BBLQ401A">#REF!</definedName>
    <definedName name="BBLQ401JLF">#REF!</definedName>
    <definedName name="BBLQ401OCTF">#REF!</definedName>
    <definedName name="BBLQ402OCTF">#REF!</definedName>
    <definedName name="BBLQ498A">#REF!</definedName>
    <definedName name="BBLQ499A">#REF!</definedName>
    <definedName name="BBLSEP01A">#REF!</definedName>
    <definedName name="BBLSEP01JLF">#REF!</definedName>
    <definedName name="BBLSEP01OCTF">#REF!</definedName>
    <definedName name="BBLSEP02OCTF">#REF!</definedName>
    <definedName name="BBY">#REF!</definedName>
    <definedName name="bcd" hidden="1">{#N/A,#N/A,TRUE,"Condensed IS";#N/A,#N/A,TRUE,"Condensed BS";#N/A,#N/A,TRUE,"Outlook";#N/A,#N/A,TRUE,"Condensed CF";#N/A,#N/A,TRUE,"Condensed CF - qtr"}</definedName>
    <definedName name="BCopyToRange">#REF!</definedName>
    <definedName name="bcrclcl100rt">#REF!</definedName>
    <definedName name="bcrclcl100rtrkrk">#REF!</definedName>
    <definedName name="BCriteria">#REF!</definedName>
    <definedName name="bd">"1/1/2005"</definedName>
    <definedName name="Bda">#REF!</definedName>
    <definedName name="BDATE">#REF!</definedName>
    <definedName name="bdc">"2005年1月1日"</definedName>
    <definedName name="be">#REF!</definedName>
    <definedName name="Bear">#REF!</definedName>
    <definedName name="Bear_1">#REF!</definedName>
    <definedName name="Bear_2">#REF!</definedName>
    <definedName name="Bear_3">#REF!</definedName>
    <definedName name="Bear_4">#REF!</definedName>
    <definedName name="BEFeXToEUR" hidden="1">1/EUReXToBEF</definedName>
    <definedName name="Beforeadjust.95">#REF!</definedName>
    <definedName name="Beforeadjust.96">#REF!</definedName>
    <definedName name="Beforeadjust.97">#REF!</definedName>
    <definedName name="Beforeadjust.98.10">#REF!</definedName>
    <definedName name="Beforeadjust.98.11">#REF!</definedName>
    <definedName name="Beg_Bal">#REF!</definedName>
    <definedName name="BEGIN">#REF!</definedName>
    <definedName name="Begin_Cell">#REF!</definedName>
    <definedName name="BEGINNING_DATE">#REF!</definedName>
    <definedName name="BEL">{"'subnets'!$A$1:$F$20"}</definedName>
    <definedName name="benefit" hidden="1">{#N/A,#N/A,FALSE,"R&amp;D Quick Calc";#N/A,#N/A,FALSE,"DOE Fee Schedule"}</definedName>
    <definedName name="Benefits">350</definedName>
    <definedName name="BEO.MN">#REF!</definedName>
    <definedName name="berry">#REF!</definedName>
    <definedName name="berry_1">#REF!</definedName>
    <definedName name="berry_3">#REF!</definedName>
    <definedName name="berry1">#REF!</definedName>
    <definedName name="Beth">#REF!</definedName>
    <definedName name="Beurteilung">#REF!</definedName>
    <definedName name="Beurteilung_1">#REF!</definedName>
    <definedName name="Beurteilung_2">#REF!</definedName>
    <definedName name="bew" hidden="1">{#N/A,#N/A,FALSE,"Taxblinc";#N/A,#N/A,FALSE,"Rsvsacls"}</definedName>
    <definedName name="BEx0017DGUEDPCFJUPUZOOLJCS2B">#REF!</definedName>
    <definedName name="BEx001CNWHJ5RULCSFM36ZCGJ1UH">#REF!</definedName>
    <definedName name="BEx001SXRBNNZ2539U01DEHSLLNK">#REF!</definedName>
    <definedName name="BEx004791UAJIJSN57OT7YBLNP82">#REF!</definedName>
    <definedName name="BEx008P2NVFDLBHL7IZ5WTMVOQ1F">#REF!</definedName>
    <definedName name="BEx009G00IN0JUIAQ4WE9NHTMQE2">#REF!</definedName>
    <definedName name="BEx00ASHD6R485Q6KPVFAZ1BXDCN" hidden="1">#REF!</definedName>
    <definedName name="BEx00DXTY2JDVGWQKV8H7FG4SV30">#REF!</definedName>
    <definedName name="BEx00GHLTYRH5N2S6P78YW1CD30N">#REF!</definedName>
    <definedName name="BEx00JC31DY11L45SEU4B10BIN6W">#REF!</definedName>
    <definedName name="BEx00KZHZBHP3TDV1YMX4B19B95O">#REF!</definedName>
    <definedName name="BEx00MBY8XXUOHIZ4LHXHPD7WYD5">#REF!</definedName>
    <definedName name="BEx01HY6E3GJ66ABU5ABN26V6Q13">#REF!</definedName>
    <definedName name="BEx01PW5YQKEGAR8JDDI5OARYXDF">#REF!</definedName>
    <definedName name="BEx01XJ94SHJ1YQ7ORPW0RQGKI2H">#REF!</definedName>
    <definedName name="BEx02DF3MR0HI8O0JXOYMJELCU14">#REF!</definedName>
    <definedName name="BEx02Q08R9G839Q4RFGG9026C7PX">#REF!</definedName>
    <definedName name="BEx02SEL3Z1QWGAHXDPUA9WLTTPS">#REF!</definedName>
    <definedName name="BEx02Y3KJZH5BGDM9QEZ1PVVI114">#REF!</definedName>
    <definedName name="BEx0313GRLLASDTVPW5DHTXHE74M">#REF!</definedName>
    <definedName name="BEx1F0SOZ3H5XUHXD7O01TCR8T6J">#REF!</definedName>
    <definedName name="BEx1F9HL824UCNCVZ2U62J4KZCX8">#REF!</definedName>
    <definedName name="BEx1FEVSJKTI1Q1Z874QZVFSJSVA">#REF!</definedName>
    <definedName name="BEx1FGDRUHHLI1GBHELT4PK0LY4V">#REF!</definedName>
    <definedName name="BEx1FJZ7GKO99IYTP6GGGF7EUL3Z">#REF!</definedName>
    <definedName name="BEx1FZV2CM77TBH1R6YYV9P06KA2">#REF!</definedName>
    <definedName name="BEx1G59AY8195JTUM6P18VXUFJ3E">#REF!</definedName>
    <definedName name="BEx1G9WFJ3LGY3GK76YO208RBSLR">#REF!</definedName>
    <definedName name="BEx1GG1PQ60G5AY11J82W7WR4BVH" hidden="1">#REF!</definedName>
    <definedName name="BEx1GVMRHFXUP6XYYY9NR12PV5TF">#REF!</definedName>
    <definedName name="BEx1H6KIT7BHUH6MDDWC935V9N47">#REF!</definedName>
    <definedName name="BEx1HDGOOJ3SKHYMWUZJ1P0RQZ9N">#REF!</definedName>
    <definedName name="BEx1HDM5ZXSJG6JQEMSFV52PZ10V">#REF!</definedName>
    <definedName name="BEx1HETBBZVN5F43LKOFMC4QB0CR">#REF!</definedName>
    <definedName name="BEx1HGWNWPLNXICOTP90TKQVVE4E">#REF!</definedName>
    <definedName name="BEx1HGWUBENRPW6WUKKQO0V5I9C2">#REF!</definedName>
    <definedName name="BEx1HIPLJZABY0EMUOTZN0EQMDPU">#REF!</definedName>
    <definedName name="BEx1HO94JIRX219MPWMB5E5XZ04X">#REF!</definedName>
    <definedName name="BEx1HQNF6KHM21E3XLW0NMSSEI9S">#REF!</definedName>
    <definedName name="BEx1HSLNWIW4S97ZBYY7I7M5YVH4">#REF!</definedName>
    <definedName name="BEx1I4QKTILCKZUSOJCVZN7SNHL5">#REF!</definedName>
    <definedName name="BEx1IE0ZP7RIFM9FI24S9I6AAJ14">#REF!</definedName>
    <definedName name="BEx1IGQ5B697MNDOE06MVSR0H58E">#REF!</definedName>
    <definedName name="BEx1IKRPW8MLB9Y485M1TL2IT9SH">#REF!</definedName>
    <definedName name="BEx1J07FUDCUKJV9A0GHY1NBXESA">#REF!</definedName>
    <definedName name="BEx1J0CSSHDJGBJUHVOEMCF2P4DL">#REF!</definedName>
    <definedName name="BEx1J61RRF9LJ3V3R5OY3WJ6VBWR">#REF!</definedName>
    <definedName name="BEx1J7E8VCGLPYU82QXVUG5N3ZAI">#REF!</definedName>
    <definedName name="BEx1JGE2YQWH8S25USOY08XVGO0D">#REF!</definedName>
    <definedName name="BEx1JJJC9T1W7HY4V7HP1S1W4JO1">#REF!</definedName>
    <definedName name="BEx1JKKZSJ7DI4PTFVI9VVFMB1X2">#REF!</definedName>
    <definedName name="BEx1JUBQFRVMASSFK4B3V0AD7YP9">#REF!</definedName>
    <definedName name="BEx1JXBM5W4YRWNQ0P95QQS6JWD6">#REF!</definedName>
    <definedName name="BEx1KGY9QEHZ9QSARMQUTQKRK4UX">#REF!</definedName>
    <definedName name="BEx1KKP1ELIF2UII2FWVGL7M1X7J">#REF!</definedName>
    <definedName name="BEx1KMHT9KOPKLGYOZ7HLY6YAE65" hidden="1">#REF!</definedName>
    <definedName name="BEx1KUVWMB0QCWA3RBE4CADFVRIS">#REF!</definedName>
    <definedName name="BEx1L2DT53P4PS7GX7OE5A2WT3T2">#REF!</definedName>
    <definedName name="BEx1L2OG1SDFK2TPXELJ77YP4NI2">#REF!</definedName>
    <definedName name="BEx1L6Q60MWRDJB4L20LK0XPA0Z2">#REF!</definedName>
    <definedName name="BEx1LD63FP2Z4BR9TKSHOZW9KKZ5">#REF!</definedName>
    <definedName name="BEx1LDMB9RW982DUILM2WPT5VWQ3">#REF!</definedName>
    <definedName name="BEx1LRPGDQCOEMW8YT80J1XCDCIV">#REF!</definedName>
    <definedName name="BEx1LRUSJW4JG54X07QWD9R27WV9">#REF!</definedName>
    <definedName name="BEx1M1WBK5T0LP1AK2JYV6W87ID6">#REF!</definedName>
    <definedName name="BEx1M51HHDYGIT8PON7U8ICL2S95">#REF!</definedName>
    <definedName name="BEx1MTRKKVCHOZ0YGID6HZ49LJTO">#REF!</definedName>
    <definedName name="BEx1MZ0HC1VMEGKQ0GJRIXKX185U">#REF!</definedName>
    <definedName name="BEx1N3CUJ3UX61X38ZAJVPEN4KMC">#REF!</definedName>
    <definedName name="BEx1NM34KQTO1LDNSAFD1L82UZFG">#REF!</definedName>
    <definedName name="BEx1NO6TXZVOGCUWCCRTXRXWW0XL">#REF!</definedName>
    <definedName name="BEx1NS8EU5P9FQV3S0WRTXI5L361">#REF!</definedName>
    <definedName name="BEx1NUBX5VUYZFKQH69FN6BTLWCR">#REF!</definedName>
    <definedName name="BEx1NZ4K1L8UON80Y2A4RASKWGNP">#REF!</definedName>
    <definedName name="BEx1OHPITHYSGUU29Z0T7EUKZXFM">#REF!</definedName>
    <definedName name="BEx1OLAZ915OGYWP0QP1QQWDLCRX">#REF!</definedName>
    <definedName name="BEx1OO5ER042IS6IC4TLDI75JNVH">#REF!</definedName>
    <definedName name="BEx1OTE54CBSUT8FWKRALEDCUWN4">#REF!</definedName>
    <definedName name="BEx1OVSMPADTX95QUOX34KZQ8EDY">#REF!</definedName>
    <definedName name="BEx1OW8PURFBM988GS9S6YXOH1ZF">#REF!</definedName>
    <definedName name="BEx1OX544IO9FQJI7YYQGZCEHB3O">#REF!</definedName>
    <definedName name="BEx1OY6SVEUT2EQ26P7EKEND342G">#REF!</definedName>
    <definedName name="BEx1OYN1LPIPI12O9G6F7QAOS9T4">#REF!</definedName>
    <definedName name="BEx1P1HHKJA799O3YZXQAX6KFH58">#REF!</definedName>
    <definedName name="BEx1P34W467WGPOXPK292QFJIPHJ">#REF!</definedName>
    <definedName name="BEx1P7S1J4TKGVJ43C2Q2R3M9WRB">#REF!</definedName>
    <definedName name="BEx1PA11BLPVZM8RC5BL46WX8YB5">#REF!</definedName>
    <definedName name="BEx1PBZ4BEFIPGMQXT9T8S4PZ2IM">#REF!</definedName>
    <definedName name="BEx1PC9V1JDXDBT6ZVB4S7DQP4AV">#REF!</definedName>
    <definedName name="BEx1PLF2CFSXBZPVI6CJ534EIJDN">#REF!</definedName>
    <definedName name="BEx1PMWZB2DO6EM9BKLUICZJ65HD">#REF!</definedName>
    <definedName name="BEx1Q8N692G6EGZ4XT4F1BK31X1L">#REF!</definedName>
    <definedName name="BEx1QA54J2A4I7IBQR19BTY28ZMR">#REF!</definedName>
    <definedName name="BEx1QMQAHG3KQUK59DVM68SWKZIZ">#REF!</definedName>
    <definedName name="BEx1R9YFKJCMSEST8OVCAO5E47FO">#REF!</definedName>
    <definedName name="BEx1RBGC06B3T52OIC0EQ1KGVP1I">#REF!</definedName>
    <definedName name="BEx1RQFTJ3R8L7YR2CRV7JQHXBCC">#REF!</definedName>
    <definedName name="BEx1RRC7X4NI1CU4EO5XYE2GVARJ">#REF!</definedName>
    <definedName name="BEx1RZA1NCGT832L7EMR7GMF588W">#REF!</definedName>
    <definedName name="BEx1S0XGIPUSZQUCSGWSK10GKW7Y">#REF!</definedName>
    <definedName name="BEx1S5VFNKIXHTTCWSV60UC50EZ8">#REF!</definedName>
    <definedName name="BEx1SCRLR075EGLXSP4ZSDMJQW6O">#REF!</definedName>
    <definedName name="BEx1SK3U02H0RGKEYXW7ZMCEOF3V">#REF!</definedName>
    <definedName name="BEx1SSI3TUD5T4WCXYSEWRDUWH4Y">#REF!</definedName>
    <definedName name="BEx1SSNEZINBJT29QVS62VS1THT4">#REF!</definedName>
    <definedName name="BEx1SVNCHNANBJIDIQVB8AFK4HAN">#REF!</definedName>
    <definedName name="BEx1T2ZRP1AAN9XQ8S7WV3NLE7W4">#REF!</definedName>
    <definedName name="BEx1THZ2YTFQR8J38HMX3PPVH3U2">#REF!</definedName>
    <definedName name="BEx1TJ0WLS9O7KNSGIPWTYHDYI1D">#REF!</definedName>
    <definedName name="BEx1U15M7LVVFZENH830B2BGWC04">#REF!</definedName>
    <definedName name="BEx1U7WFO8OZKB1EBF4H386JW91L">#REF!</definedName>
    <definedName name="BEx1U87938YR9N6HYI24KVBKLOS3">#REF!</definedName>
    <definedName name="BEx1UESH4KDWHYESQU2IE55RS3LI">#REF!</definedName>
    <definedName name="BEx1UHN2Y15NUCWD9AHXCC0P3JTA">#REF!</definedName>
    <definedName name="BEx1UI8N9KTCPSOJ7RDW0T8UEBNP">#REF!</definedName>
    <definedName name="BEx1UML0HHJFHA5TBOYQ24I3RV1W">#REF!</definedName>
    <definedName name="BEx1UOJ7RLE0WZHRC228EH9L0NO3">#REF!</definedName>
    <definedName name="BEx1UUDIQPZ23XQ79GUL0RAWRSCK">#REF!</definedName>
    <definedName name="BEx1UUJ0546L6HCHE7O3D0F6OE9S">#REF!</definedName>
    <definedName name="BEx1V67SEV778NVW68J8W5SND1J7">#REF!</definedName>
    <definedName name="BEx1V6NVAB63OK7NMA3WUI5XWWB2">#REF!</definedName>
    <definedName name="BEx1VDPKARJ6CHGP7VDAAN7HCHEY">#REF!</definedName>
    <definedName name="BEx1VI1WDX5LP6NH9X2Q4I8KXYGA">#REF!</definedName>
    <definedName name="BEx1VIY9SQLRESD11CC4PHYT0XSG">#REF!</definedName>
    <definedName name="BEx1VTFWT7ECGV8Z5UCHJRYBDUUF">#REF!</definedName>
    <definedName name="BEx1WC67EH10SC38QWX3WEA5KH3A">#REF!</definedName>
    <definedName name="BEx1WGYTKZZIPM1577W5FEYKFH3V">#REF!</definedName>
    <definedName name="BEx1WHPURIV3D3PTJJ359H1OP7ZV">#REF!</definedName>
    <definedName name="BEx1WLWY2CR1WRD694JJSWSDFAIR">#REF!</definedName>
    <definedName name="BEx1WMD1LWPWRIK6GGAJRJAHJM8I">#REF!</definedName>
    <definedName name="BEx1WR0D41MR174LBF3P9E3K0J51">#REF!</definedName>
    <definedName name="BEx1WUB1FAS5PHU33TJ60SUHR618">#REF!</definedName>
    <definedName name="BEx1WX04G0INSPPG9NTNR3DYR6PZ">#REF!</definedName>
    <definedName name="BEx1X3LHU9DPG01VWX2IF65TRATF">#REF!</definedName>
    <definedName name="BEx1XDC4YXIBM86GCE0N3IYFW6NI">#REF!</definedName>
    <definedName name="BEx1XK8AAMO0AH0Z1OUKW30CA7EQ">#REF!</definedName>
    <definedName name="BEx1XL4MZ7C80495GHQRWOBS16PQ">#REF!</definedName>
    <definedName name="BEx1Y2IGS2K95E1M51PEF9KJZ0KB">#REF!</definedName>
    <definedName name="BEx1Y3PKK83X2FN9SAALFHOWKMRQ">#REF!</definedName>
    <definedName name="BEx1YL3DJ7Y4AZ01ERCOGW0FJ26T">#REF!</definedName>
    <definedName name="BEx1Z2RYHSVD1H37817SN93VMURZ">#REF!</definedName>
    <definedName name="BEx3AMAKWI6458B67VKZO56MCNJW">#REF!</definedName>
    <definedName name="BEx3AOOVM42G82TNF53W0EKXLUSI">#REF!</definedName>
    <definedName name="BEx3AZH9W4SUFCAHNDOQ728R9V4L">#REF!</definedName>
    <definedName name="BEx3BFIGMTA1KX46VVCIZZGA0QKK" hidden="1">#REF!</definedName>
    <definedName name="BEx3BNR9ES4KY7Q1DK83KC5NDGL8">#REF!</definedName>
    <definedName name="BEx3BQR5VZXNQ4H949ORM8ESU3B3">#REF!</definedName>
    <definedName name="BEx3BTLL3ASJN134DLEQTQM70VZM">#REF!</definedName>
    <definedName name="BEx3BW5CTV0DJU5AQS3ZQFK2VLF3">#REF!</definedName>
    <definedName name="BEx3BYP0FG369M7G3JEFLMMXAKTS">#REF!</definedName>
    <definedName name="BEx3C2QR0WUD19QSVO8EMIPNQJKH">#REF!</definedName>
    <definedName name="BEx3CCS3VNR1KW2R7DKSQFZ17QW0">#REF!</definedName>
    <definedName name="BEx3CKFCCPZZ6ROLAT5C1DZNIC1U">#REF!</definedName>
    <definedName name="BEx3CO0SVO4WLH0DO43DCHYDTH1P">#REF!</definedName>
    <definedName name="BEx3D9G6QTSPF9UYI4X0XY0VE896">#REF!</definedName>
    <definedName name="BEx3DCQU9PBRXIMLO62KS5RLH447">#REF!</definedName>
    <definedName name="BEx3EDM088D1V98F25JF1P487UXF">#REF!</definedName>
    <definedName name="BEx3EF99FD6QNNCNOKDEE67JHTUJ">#REF!</definedName>
    <definedName name="BEx3EHCSERZ2O2OAG8Y95UPG2IY9">#REF!</definedName>
    <definedName name="BEx3EJR3TCJDYS7ZXNDS5N9KTGIK">#REF!</definedName>
    <definedName name="BEx3ELJTTBS6P05CNISMGOJOA60V">#REF!</definedName>
    <definedName name="BEx3EQSLJBDDJRHNX19PBFCKNY2I">#REF!</definedName>
    <definedName name="BEx3EUUAX947Q5N6MY6W0KSNY78Y">#REF!</definedName>
    <definedName name="BEx3FFDBGD5NYYOVAR8AWUPUSFOX" hidden="1">#REF!</definedName>
    <definedName name="BEx3FHMD1P5XBCH23ZKIFO6ZTCNB">#REF!</definedName>
    <definedName name="BEx3FI2G3YYIACQHXNXEA15M8ZK5">#REF!</definedName>
    <definedName name="BEx3FJ9MHSLDK8W91GO85FX1GX57">#REF!</definedName>
    <definedName name="BEx3FR251HFU7A33PU01SJUENL2B">#REF!</definedName>
    <definedName name="BEx3FX7EJL47JSLSWP3EOC265WAE">#REF!</definedName>
    <definedName name="BEx3G201R8NLJ6FIHO2QS0SW9QVV">#REF!</definedName>
    <definedName name="BEx3G2LL2II66XY5YCDPG4JE13A3">#REF!</definedName>
    <definedName name="BEx3G2WA0DTYY9D8AGHHOBTPE2B2">#REF!</definedName>
    <definedName name="BEx3GCXR6IAS0B6WJ03GJVH7CO52">#REF!</definedName>
    <definedName name="BEx3GE4YEEZCREJX98A7B7PS09L8">#REF!</definedName>
    <definedName name="BEx3GEVV18SEQDI1JGY7EN6D1GT1">#REF!</definedName>
    <definedName name="BEx3GHKYBZJQ9YR3HCQWI6F7BEGP" hidden="1">#REF!</definedName>
    <definedName name="BEx3GKFH64MKQX61S7DYTZ15JCPY">#REF!</definedName>
    <definedName name="BEx3GMJ1Y6UU02DLRL0QXCEKDA6C">#REF!</definedName>
    <definedName name="BEx3GN4LY0135CBDIN1TU2UEODGF">#REF!</definedName>
    <definedName name="BEx3GPDH2AH4QKT4OOSN563XUHBD">#REF!</definedName>
    <definedName name="BEx3H1NTWZ59NSWJIVIK4FDTN6AD">#REF!</definedName>
    <definedName name="BEx3H5UX2GZFZZT657YR76RHW5I6">#REF!</definedName>
    <definedName name="BEx3HEJSU5GVFUX8RX7QP7HVUSRF">#REF!</definedName>
    <definedName name="BEx3HMSEFOP6DBM4R97XA6B7NFG6">#REF!</definedName>
    <definedName name="BEx3HWJ5SQSD2CVCQNR183X44FR8">#REF!</definedName>
    <definedName name="BEx3I09YVXO0G4X7KGSA4WGORM35">#REF!</definedName>
    <definedName name="BEx3I4RSUJZR5QQ4AZJIA3C6P2R5">#REF!</definedName>
    <definedName name="BEx3ICF1GY8HQEBIU9S43PDJ90BX">#REF!</definedName>
    <definedName name="BEx3ILK0JNGME2SO75O1Y7O6KYAM">#REF!</definedName>
    <definedName name="BEx3ISG6G9DAH5OB9ILI6PFIUWXC">#REF!</definedName>
    <definedName name="BEx3IYAH2DEBFWO8F94H4MXE3RLY">#REF!</definedName>
    <definedName name="BEx3IZXXSYEW50379N2EAFWO8DZV">#REF!</definedName>
    <definedName name="BEx3J1VZVGTKT4ATPO9O5JCSFTTR">#REF!</definedName>
    <definedName name="BEx3J5XOZSYTU22NJ5SWWGQC85A4">#REF!</definedName>
    <definedName name="BEx3JB15C80WTR4YNNEN63MMR87K">#REF!</definedName>
    <definedName name="BEx3JC2TY7JNAAC3L7QHVPQXLGQ8">#REF!</definedName>
    <definedName name="BEx3JX23SYDIGOGM4Y0CQFBW8ZBV">#REF!</definedName>
    <definedName name="BEx3JXCXCVBZJGV5VEG9MJEI01AL">#REF!</definedName>
    <definedName name="BEx3JYK2N7X59TPJSKYZ77ENY8SS">#REF!</definedName>
    <definedName name="BEx3K3774998OCHR2478692OHN9O" hidden="1">#REF!</definedName>
    <definedName name="BEx3K4EII7GU1CG0BN7UL15M6J8Z">#REF!</definedName>
    <definedName name="BEx3K4ZXQUQ2KYZF74B84SO48XMW">#REF!</definedName>
    <definedName name="BEx3KE54CD2H1RXRYVCVZ9Z2I9WJ">#REF!</definedName>
    <definedName name="BEx3KEFXUCVNVPH7KSEGAZYX13B5">#REF!</definedName>
    <definedName name="BEx3KFXUAF6YXAA47B7Q6X9B3VGB">#REF!</definedName>
    <definedName name="BEx3KGU73H5QQUPQRBINA4X2F8UF">#REF!</definedName>
    <definedName name="BEx3KIXQYOGMPK4WJJAVBRX4NR28">#REF!</definedName>
    <definedName name="BEx3KJOMVOSFZVJUL3GKCNP6DQDS">#REF!</definedName>
    <definedName name="BEx3KN4SF5ECDGMUCQVJ976X106V">#REF!</definedName>
    <definedName name="BEx3KP2VRBMORK0QEAZUYCXL3DHJ">#REF!</definedName>
    <definedName name="BEx3L4IN3LI4C26SITKTGAH27CDU">#REF!</definedName>
    <definedName name="BEx3L4YQ0J7ZU0M5QM6YIPCEYC9K">#REF!</definedName>
    <definedName name="BEx3L60DJOR7NQN42G7YSAODP1EX">#REF!</definedName>
    <definedName name="BEx3L7D0PI38HWZ7VADU16C9E33D">#REF!</definedName>
    <definedName name="BEx3LM1PR4Y7KINKMTMKR984GX8Q">#REF!</definedName>
    <definedName name="BEx3LPCEZ1C0XEKNCM3YT09JWCUO">#REF!</definedName>
    <definedName name="BEx3M1MR1K1NQD03H74BFWOK4MWQ">#REF!</definedName>
    <definedName name="BEx3M4H77MYUKOOD31H9F80NMVK8">#REF!</definedName>
    <definedName name="BEx3M9VFX329PZWYC4DMZ6P3W9R2">#REF!</definedName>
    <definedName name="BEx3MCQ0VEBV0CZXDS505L38EQ8N">#REF!</definedName>
    <definedName name="BEx3MEYV5LQY0BAL7V3CFAFVOM3T">#REF!</definedName>
    <definedName name="BEx3MREOFWJQEYMCMBL7ZE06NBN6">#REF!</definedName>
    <definedName name="BEx3MXJRL0O1FQSVE3I5Y6XXY1D2">#REF!</definedName>
    <definedName name="BEx3NIZ6CTJX92EVC47MASDZHFMB">#REF!</definedName>
    <definedName name="BEx3NKXF7GYXHBK75UI6MDRUSU0J">#REF!</definedName>
    <definedName name="BEx3NLIZ7PHF2XE59ECZ3MD04ZG1">#REF!</definedName>
    <definedName name="BEx3NMQ4BVC94728AUM7CCX7UHTU">#REF!</definedName>
    <definedName name="BEx3NR2I4OUFP3Z2QZEDU2PIFIDI">#REF!</definedName>
    <definedName name="BEx3O19B8FTTAPVT5DZXQGQXWFR8">#REF!</definedName>
    <definedName name="BEx3O85IKWARA6NCJOLRBRJFMEWW">#REF!</definedName>
    <definedName name="BEx3OJZSCGFRW7SVGBFI0X9DNVMM">#REF!</definedName>
    <definedName name="BEx3ORSBUXAF21MKEY90YJV9AY9A">#REF!</definedName>
    <definedName name="BEx3OV8BH6PYNZT7C246LOAU9SVX">#REF!</definedName>
    <definedName name="BEx3OXRYJZUEY6E72UJU0PHLMYAR">#REF!</definedName>
    <definedName name="BEx3P59TTRSGQY888P5C1O7M2PQT">#REF!</definedName>
    <definedName name="BEx3PDNRRNKD5GOUBUQFXAHIXLD9">#REF!</definedName>
    <definedName name="BEx3PDT8GNPWLLN02IH1XPV90XYK">#REF!</definedName>
    <definedName name="BEx3PKEMDW8KZEP11IL927C5O7I2">#REF!</definedName>
    <definedName name="BEx3PKJZ1Z7L9S6KV8KXVS6B2FX4">#REF!</definedName>
    <definedName name="BEx3PMNG53Z5HY138H99QOMTX8W3">#REF!</definedName>
    <definedName name="BEx3PP1RRSFZ8UC0JC9R91W6LNKW">#REF!</definedName>
    <definedName name="BEx3PVXYZC8WB9ZJE7OCKUXZ46EA">#REF!</definedName>
    <definedName name="BEx3Q0QLS9RRAFYGQJ7RH72K3G5K">#REF!</definedName>
    <definedName name="BEx3Q0VWPU5EQECK7MQ47TYJ3SWW">#REF!</definedName>
    <definedName name="BEx3Q7BZ9PUXK2RLIOFSIS9AHU1B">#REF!</definedName>
    <definedName name="BEx3Q8J42S9VU6EAN2Y28MR6DF88">#REF!</definedName>
    <definedName name="BEx3QEDFOYFY5NBTININ5W4RLD4Q">#REF!</definedName>
    <definedName name="BEx3QIKJ3U962US1Q564NZDLU8LD">#REF!</definedName>
    <definedName name="BEx3QR9D45DHW50VQ7Y3Q1AXPOB9">#REF!</definedName>
    <definedName name="BEx3QSWT2S5KWG6U2V9711IYDQBM">#REF!</definedName>
    <definedName name="BEx3QVGG7Q2X4HZHJAM35A8T3VR7">#REF!</definedName>
    <definedName name="BEx3QXPFZC7RVZNC4K1PD5EWOD2F">#REF!</definedName>
    <definedName name="BEx3R0JUB9YN8PHPPQTAMIT1IHWK">#REF!</definedName>
    <definedName name="BEx3R81NFRO7M81VHVKOBFT0QBIL">#REF!</definedName>
    <definedName name="BEx3RHC2ZD5UFS6QD4OPFCNNMWH1">#REF!</definedName>
    <definedName name="BEx3RQ10QIWBAPHALAA91BUUCM2X">#REF!</definedName>
    <definedName name="BEx3RV4E1WT43SZBUN09RTB8EK1O">#REF!</definedName>
    <definedName name="BEx3RXYU0QLFXSFTM5EB20GD03W5">#REF!</definedName>
    <definedName name="BEx3RYKLC3QQO3XTUN7BEW2AQL98">#REF!</definedName>
    <definedName name="BEx3S4UZW2EQID5BXVPJTV3089W6" hidden="1">#REF!</definedName>
    <definedName name="BEx3SICJ45BYT6FHBER86PJT25FC">#REF!</definedName>
    <definedName name="BEx3SJ3LB5QN70P2WLMV0IRIA74P">#REF!</definedName>
    <definedName name="BEx3SMUCMJVGQ2H4EHQI5ZFHEF0P">#REF!</definedName>
    <definedName name="BEx3SN56F03CPDRDA7LZ763V0N4I">#REF!</definedName>
    <definedName name="BEx3SPE6N1ORXPRCDL3JPZD73Z9F">#REF!</definedName>
    <definedName name="BEx3T29ZTULQE0OMSMWUMZDU9ZZ0">#REF!</definedName>
    <definedName name="BEx3T6MJ1QDJ929WMUDVZ0O3UW0Y">#REF!</definedName>
    <definedName name="BEx3TPCSI16OAB2L9M9IULQMQ9J9">#REF!</definedName>
    <definedName name="BEx3U2JIGFV1Y83HZ2CTC6G5V87V">#REF!</definedName>
    <definedName name="BEx3U4C9BZYMPIAVEO9ZDE9HVHRR">#REF!</definedName>
    <definedName name="BEx3U64YUOZ419BAJS2W78UMATAW">#REF!</definedName>
    <definedName name="BEx3U94WCEA5DKMWBEX1GU0LKYG2">#REF!</definedName>
    <definedName name="BEx3U9VZ8SQVYS6ZA038J7AP7ZGW">#REF!</definedName>
    <definedName name="BEx3UGXE7Z3SRNO684FGPYEK2X78">#REF!</definedName>
    <definedName name="BEx3UIQ5WRJBGNTFCCLOR4N7B1OQ">#REF!</definedName>
    <definedName name="BEx3UJMIX2NUSSWGMSI25A5DM4CH">#REF!</definedName>
    <definedName name="BEx3UKOCOQG7S1YQ436S997K1KWV">#REF!</definedName>
    <definedName name="BEx3UYM19VIXLA0EU7LB9NHA77PB">#REF!</definedName>
    <definedName name="BEx3VML7CG70HPISMVYIUEN3711Q">#REF!</definedName>
    <definedName name="BEx56ZID5H04P9AIYLP1OASFGV56">#REF!</definedName>
    <definedName name="BEx57ODWQA22EXS48QUG5O3EG6QO" hidden="1">#REF!</definedName>
    <definedName name="BEx587EYSS57E3PI8DT973HLJM9E">#REF!</definedName>
    <definedName name="BEx587KFQ3VKCOCY1SA5F24PQGUI">#REF!</definedName>
    <definedName name="BEx58BGPA6ZIRAVDRQMMZBJTTPRT">#REF!</definedName>
    <definedName name="BEx58O780PQ05NF0Z1SKKRB3N099">#REF!</definedName>
    <definedName name="BEx58XHO7ZULLF2EUD7YIS0MGQJ5">#REF!</definedName>
    <definedName name="BEx58ZW0HAIGIPEX9CVA1PQQTR6X">#REF!</definedName>
    <definedName name="BEx5954XGSMLVN4OSO1G9Q14MFJN" hidden="1">#REF!</definedName>
    <definedName name="BEx59BA1KH3RG6K1LHL7YS2VB79N">#REF!</definedName>
    <definedName name="BEx59E9WABJP2TN71QAIKK79HPK9">#REF!</definedName>
    <definedName name="BEx59P7MAPNU129ZTC5H3EH892G1">#REF!</definedName>
    <definedName name="BEx5A11WZRQSIE089QE119AOX9ZG">#REF!</definedName>
    <definedName name="BEx5A2JVFQNHTXZEQIACY0CMTGT9">#REF!</definedName>
    <definedName name="BEx5A5UKM5A9JT76356XY0K03S2O">#REF!</definedName>
    <definedName name="BEx5A7CIGCOTHJKHGUBDZG91JGPZ">#REF!</definedName>
    <definedName name="BEx5A8UFLT2SWVSG5COFA9B8P376">#REF!</definedName>
    <definedName name="BEx5AFFTN3IXIBHDKM0FYC4OFL1S">#REF!</definedName>
    <definedName name="BEx5AOFIO8KVRHIZ1RII337AA8ML">#REF!</definedName>
    <definedName name="BEx5APRZ66L5BWHFE8E4YYNEDTI4">#REF!</definedName>
    <definedName name="BEx5AUVDSQ35VO4BD9AKKGBM5S7D">#REF!</definedName>
    <definedName name="BEx5AWYYAJKRMMO4U9V6CF2G5838">#REF!</definedName>
    <definedName name="BEx5B4RHHX0J1BF2FZKEA0SPP29O">#REF!</definedName>
    <definedName name="BEx5B5YMSWP0OVI5CIQRP5V18D0C">#REF!</definedName>
    <definedName name="BEx5B825RW35M5H0UB2IZGGRS4ER">#REF!</definedName>
    <definedName name="BEx5BAWPMY0TL684WDXX6KKJLRCN">#REF!</definedName>
    <definedName name="BEx5BBI61U4Y65GD0ARMTALPP7SJ">#REF!</definedName>
    <definedName name="BEx5BDR56MEV4IHY6CIH2SVNG1UB">#REF!</definedName>
    <definedName name="BEx5BESZC5H329SKHGJOHZFILYJJ">#REF!</definedName>
    <definedName name="BEx5BHSQ42B50IU1TEQFUXFX9XQD">#REF!</definedName>
    <definedName name="BEx5BIULSFG6U8HFVXQ84KW1HQBG">#REF!</definedName>
    <definedName name="BEx5BKSM4UN4C1DM3EYKM79MRC5K">#REF!</definedName>
    <definedName name="BEx5BNN8NPH9KVOBARB9CDD9WLB6">#REF!</definedName>
    <definedName name="BEx5BTMZEC8BUF2ST4Q0P1T3MSDZ">#REF!</definedName>
    <definedName name="BEx5BTXRHJWCAI7EK0EDFB9BRXBT">#REF!</definedName>
    <definedName name="BEx5BYFMZ80TDDN2EZO8CF39AIAC">#REF!</definedName>
    <definedName name="BEx5C2BWFW6SHZBFDEISKGXHZCQW">#REF!</definedName>
    <definedName name="BEx5C49ZFH8TO9ZU55729C3F7XG7">#REF!</definedName>
    <definedName name="BEx5C8GZQK13G60ZM70P63I5OS0L">#REF!</definedName>
    <definedName name="BEx5CAPTVN2NBT3UOMA1UFAL1C2R">#REF!</definedName>
    <definedName name="BEx5CEM3SYF9XP0ZZVE0GEPCLV3F">#REF!</definedName>
    <definedName name="BEx5CFYQ0F1Z6P8SCVJ0I3UPVFE4">#REF!</definedName>
    <definedName name="BEx5CINUDCSDCAJSNNV7XVNU8Q79">#REF!</definedName>
    <definedName name="BEx5CNLUIOYU8EODGA03Z3547I9T">#REF!</definedName>
    <definedName name="BEx5CONNAIA4RPH9P78M16JN594T">#REF!</definedName>
    <definedName name="BEx5CPEKNSJORIPFQC2E1LTRYY8L">#REF!</definedName>
    <definedName name="BEx5CSUOL05D8PAM2TRDA9VRJT1O">#REF!</definedName>
    <definedName name="BEx5CUNFOO4YDFJ22HCMI2QKIGKM">#REF!</definedName>
    <definedName name="BEx5D8L47OF0WHBPFWXGZINZWUBZ">#REF!</definedName>
    <definedName name="BEx5DAJAHQ2SKUPCKSCR3PYML67L">#REF!</definedName>
    <definedName name="BEx5DC18JM1KJCV44PF18E0LNRKA">#REF!</definedName>
    <definedName name="BEx5DJIZBTNS011R9IIG2OQ2L6ZX">#REF!</definedName>
    <definedName name="BEx5DQ9OAGU6E7ZUGNXLJDUV9G15">#REF!</definedName>
    <definedName name="BEx5DTEVMOT0VJ33NTSK18LM8DKF">#REF!</definedName>
    <definedName name="BEx5E123OLO9WQUOIRIDJ967KAGK">#REF!</definedName>
    <definedName name="BEx5E2UU5NES6W779W2OZTZOB4O7">#REF!</definedName>
    <definedName name="BEx5E4CSE5G83J5K32WENF7BXL82">#REF!</definedName>
    <definedName name="BEx5EDSKZHJZB1GHGSHJOZBQIUHY">#REF!</definedName>
    <definedName name="BEx5ELQL9B0VR6UT18KP11DHOTFX">#REF!</definedName>
    <definedName name="BEx5ER4TJTFPN7IB1MNEB1ZFR5M6">#REF!</definedName>
    <definedName name="BEx5F6V72QTCK7O39Y59R0EVM6CW">#REF!</definedName>
    <definedName name="BEx5F9PQVNX4FVI239FARMERXLYM">#REF!</definedName>
    <definedName name="BEx5FGLQVACD5F5YZG4DGSCHCGO2">#REF!</definedName>
    <definedName name="BEx5FLJWHLW3BTZILDPN5NMA449V">#REF!</definedName>
    <definedName name="BEx5FNI2O10YN2SI1NO4X5GP3GTF">#REF!</definedName>
    <definedName name="BEx5FO8YRFSZCG3L608EHIHIHFY4">#REF!</definedName>
    <definedName name="BEx5FQNA6V4CNYSH013K45RI4BCV">#REF!</definedName>
    <definedName name="BEx5FVQPPEU32CPNV9RRQ9MNLLVE">#REF!</definedName>
    <definedName name="BEx5G08KGMG5X2AQKDGPFYG5GH94">#REF!</definedName>
    <definedName name="BEx5G1A8TFN4C4QII35U9DKYNIS8">#REF!</definedName>
    <definedName name="BEx5G1L0QO91KEPDMV1D8OT4BT73">#REF!</definedName>
    <definedName name="BEx5G86DZL1VYUX6KWODAP3WFAWP">#REF!</definedName>
    <definedName name="BEx5G8BV2GIOCM3C7IUFK8L04A6M">#REF!</definedName>
    <definedName name="BEx5GID9MVBUPFFT9M8K8B5MO9NV">#REF!</definedName>
    <definedName name="BEx5GN0EWA9SCQDPQ7NTUQH82QVK">#REF!</definedName>
    <definedName name="BEx5GNBCU4WZ74I0UXFL9ZG2XSGJ">#REF!</definedName>
    <definedName name="BEx5GUCTYC7QCWGWU5BTO7Y7HDZX">#REF!</definedName>
    <definedName name="BEx5GYUPJULJQ624TEESYFG1NFOH">#REF!</definedName>
    <definedName name="BEx5H0NEE0AIN5E2UHJ9J9ISU9N1">#REF!</definedName>
    <definedName name="BEx5H1UJSEUQM2K8QHQXO5THVHSO">#REF!</definedName>
    <definedName name="BEx5HAOT9XWUF7XIFRZZS8B9F5TZ">#REF!</definedName>
    <definedName name="BEx5HE4XRF9BUY04MENWY9CHHN5H">#REF!</definedName>
    <definedName name="BEx5HFHMABAT0H9KKS754X4T304E">#REF!</definedName>
    <definedName name="BEx5HGDZ7MX1S3KNXLRL9WU565V4">#REF!</definedName>
    <definedName name="BEx5HJZ9FAVNZSSBTAYRPZDYM9NU">#REF!</definedName>
    <definedName name="BEx5HMTVN9Z5CWJ4B4GRX3ZYM4YI">#REF!</definedName>
    <definedName name="BEx5HORX6SRPD9I5127PYWMH813O" hidden="1">#REF!</definedName>
    <definedName name="BEx5HUBM8G3IUK3RG80H9XDWO7NT">#REF!</definedName>
    <definedName name="BEx5HZ9JMKHNLFWLVUB1WP5B39BL">#REF!</definedName>
    <definedName name="BEx5I244LQHZTF3XI66J8705R9XX">#REF!</definedName>
    <definedName name="BEx5I8PBP4LIXDGID5BP0THLO0AQ">#REF!</definedName>
    <definedName name="BEx5I8USVUB3JP4S9OXGMZVMOQXR">#REF!</definedName>
    <definedName name="BEx5I9GDQSYIAL65UQNDMNFQCS9Y">#REF!</definedName>
    <definedName name="BEx5IBUPG9AWNW5PK7JGRGEJ4OLM">#REF!</definedName>
    <definedName name="BEx5IC06RVN8BSAEPREVKHKLCJ2L">#REF!</definedName>
    <definedName name="BEx5IFQZA5QDGMOXOUY4XS9JY43A">#REF!</definedName>
    <definedName name="BEx5J0FFP1KS4NGY20AEJI8VREEA">#REF!</definedName>
    <definedName name="BEx5JF3ZXLDIS8VNKDCY7ZI7H1CI">#REF!</definedName>
    <definedName name="BEx5JHCZJ8G6OOOW6EF3GABXKH6F">#REF!</definedName>
    <definedName name="BEx5JJB6W446THXQCRUKD3I7RKLP">#REF!</definedName>
    <definedName name="BEx5JJWTMI37U3RDEJOYLO93RJ6Z">#REF!</definedName>
    <definedName name="BEx5JMLR5DPVS5INSOU31PQB3O5F">#REF!</definedName>
    <definedName name="BEx5JNCT8Z7XSSPD5EMNAJELCU2V">#REF!</definedName>
    <definedName name="BEx5JQCNT9Y4RM306CHC8IPY3HBZ">#REF!</definedName>
    <definedName name="BEx5JU3M3MVJSX56IX7W5K0OHFF9">#REF!</definedName>
    <definedName name="BEx5K08PYKE6JOKBYIB006TX619P">#REF!</definedName>
    <definedName name="BEx5K51DSERT1TR7B4A29R41W4NX">#REF!</definedName>
    <definedName name="BEx5K7FOZ36M0WUOJOSUZMODOC7Q">#REF!</definedName>
    <definedName name="BEx5KYER580I4T7WTLMUN7NLNP5K">#REF!</definedName>
    <definedName name="BEx5LHLB3M6K4ZKY2F42QBZT30ZH">#REF!</definedName>
    <definedName name="BEx5LRMNU3HXIE1BUMDHRU31F7JJ">#REF!</definedName>
    <definedName name="BEx5LSJ1LPUAX3ENSPECWPG4J7D1">#REF!</definedName>
    <definedName name="BEx5LTKQ8RQWJE4BC88OP928893U">#REF!</definedName>
    <definedName name="BEx5MB9BR71LZDG7XXQ2EO58JC5F">#REF!</definedName>
    <definedName name="BEx5MLQZM68YQSKARVWTTPINFQ2C">#REF!</definedName>
    <definedName name="BEx5MVXTKNBXHNWTL43C670E4KXC">#REF!</definedName>
    <definedName name="BEx5N4XI4PWB1W9PMZ4O5R0HWTYD">#REF!</definedName>
    <definedName name="BEx5NA68N6FJFX9UJXK4M14U487F">#REF!</definedName>
    <definedName name="BEx5NDME4XMKQL3GQ66UEHO1U3ZS">#REF!</definedName>
    <definedName name="BEx5NIKBG2GDJOYGE3WCXKU7YY51">#REF!</definedName>
    <definedName name="BEx5NV06L5J5IMKGOMGKGJ4PBZCD">#REF!</definedName>
    <definedName name="BEx5NZSSQ6PY99ZX2D7Q9IGOR34W">#REF!</definedName>
    <definedName name="BEx5O3ZUQ2OARA1CDOZ3NC4UE5AA">#REF!</definedName>
    <definedName name="BEx5OAFS0NJ2CB86A02E1JYHMLQ1">#REF!</definedName>
    <definedName name="BEx5OG4RPU8W1ETWDWM234NYYYEN">#REF!</definedName>
    <definedName name="BEx5OKMMBAH19P7ZO41LOL09WCHY">#REF!</definedName>
    <definedName name="BEx5OP9Y43F99O2IT69MKCCXGL61">#REF!</definedName>
    <definedName name="BEx5OVF1OZYL8P0B2J8BN7RBUCAL">#REF!</definedName>
    <definedName name="BEx5P9Y9RDXNUAJ6CZ2LHMM8IM7T">#REF!</definedName>
    <definedName name="BEx5PCCKVI5Q3B261M57LR0GS3J1">#REF!</definedName>
    <definedName name="BEx5PHWB2C0D5QLP3BZIP3UO7DIZ">#REF!</definedName>
    <definedName name="BEx5PJP02W68K2E46L5C5YBSNU6T">#REF!</definedName>
    <definedName name="BEx5PLCA8DOMAU315YCS5275L2HS">#REF!</definedName>
    <definedName name="BEx5PRXMZ5M65Z732WNNGV564C2J">#REF!</definedName>
    <definedName name="BEx5QPSW4IPLH50WSR87HRER05RF">#REF!</definedName>
    <definedName name="BEx73V0EP8EMNRC3EZJJKKVKWQVB">#REF!</definedName>
    <definedName name="BEx741WJHIJVXUX131SBXTVW8D71">#REF!</definedName>
    <definedName name="BEx74ESIB9Y8KGETIERMKU5PLCQR">#REF!</definedName>
    <definedName name="BEx74Q6H3O7133AWQXWC21MI2UFT">#REF!</definedName>
    <definedName name="BEx74W6BJ8ENO3J25WNM5H5APKA3">#REF!</definedName>
    <definedName name="BEx755GRRD9BL27YHLH5QWIYLWB7">#REF!</definedName>
    <definedName name="BEx758GOQI9GPXHT395FJA2PEX6I">#REF!</definedName>
    <definedName name="BEx759D1D5SXS5ELLZVBI0SXYUNF">#REF!</definedName>
    <definedName name="BEx75BB2QPI3XW6UMXHCTSB2XAEA">#REF!</definedName>
    <definedName name="BEx75GJZSZHUDN6OOAGQYFUDA2LP">#REF!</definedName>
    <definedName name="BEx75GURI46C1M1QJ8NMS60T1Y6F" hidden="1">#REF!</definedName>
    <definedName name="BEx75HGCCV5K4UCJWYV8EV9AG5YT">#REF!</definedName>
    <definedName name="BEx75PZT8TY5P13U978NVBUXKHT4">#REF!</definedName>
    <definedName name="BEx75T55F7GML8V1DMWL26WRT006">#REF!</definedName>
    <definedName name="BEx75VJGR07JY6UUWURQ4PJ29UKC">#REF!</definedName>
    <definedName name="BEx76V7AUIG8C5S3WIMFONFJ714L">#REF!</definedName>
    <definedName name="BEx7741OUGLA0WJQLQRUJSL4DE00">#REF!</definedName>
    <definedName name="BEx774N83DXLJZ54Q42PWIJZ2DN1">#REF!</definedName>
    <definedName name="BEx779QNIY3061ZV9BR462WKEGRW">#REF!</definedName>
    <definedName name="BEx77G19QU9A95CNHE6QMVSQR2T3">#REF!</definedName>
    <definedName name="BEx77HTZPBPOQGA966WQ6T27JO7L">#REF!</definedName>
    <definedName name="BEx77P0S3GVMS7BJUL9OWUGJ1B02">#REF!</definedName>
    <definedName name="BEx77QDESURI6WW5582YXSK3A972">#REF!</definedName>
    <definedName name="BEx77VBI9XOPFHKEWU5EHQ9J675Y">#REF!</definedName>
    <definedName name="BEx7809GQOCLHSNH95VOYIX7P1TV">#REF!</definedName>
    <definedName name="BEx780K8XAXUHGVZGZWQ74DK4CI3">#REF!</definedName>
    <definedName name="BEx78226TN58UE0CTY98YEDU0LSL">#REF!</definedName>
    <definedName name="BEx787WO1A1ABWVX7U41X104JWPZ">#REF!</definedName>
    <definedName name="BEx7881ZZBWHRAX6W2GY19J8MGEQ">#REF!</definedName>
    <definedName name="BEx78HHRIWDLHQX2LG0HWFRYEL1T">#REF!</definedName>
    <definedName name="BEx78HHTEBO5SCUPMUN9YB9IOWJY">#REF!</definedName>
    <definedName name="BEx78QMXZ2P1ZB3HJ9O50DWHCMXR">#REF!</definedName>
    <definedName name="BEx78SFO5VR28677DWZEMDN7G86X">#REF!</definedName>
    <definedName name="BEx78SFOYH1Z0ZDTO47W2M60TW6K">#REF!</definedName>
    <definedName name="BEx79C7TH5TQCOUXCUYWPFX948EL" hidden="1">#REF!</definedName>
    <definedName name="BEx79JK3E6JO8MX4O35A5G8NZCC8">#REF!</definedName>
    <definedName name="BEx79OCP4HQ6XP8EWNGEUDLOZBBS">#REF!</definedName>
    <definedName name="BEx79SEAYKUZB0H4LYBCD6WWJBG2">#REF!</definedName>
    <definedName name="BEx79SJRHTLS9PYM69O9BWW1FMJK">#REF!</definedName>
    <definedName name="BEx79YJJLBELICW9F9FRYSCQ101L">#REF!</definedName>
    <definedName name="BEx79YUC7B0V77FSBGIRCY1BR4VK">#REF!</definedName>
    <definedName name="BEx7A06T3RC2891FUX05G3QPRAUE">#REF!</definedName>
    <definedName name="BEx7A4DVFDRN5XGLHSTWKJ373HYJ">#REF!</definedName>
    <definedName name="BEx7A9S3JA1X7FH4CFSQLTZC4691">#REF!</definedName>
    <definedName name="BEx7ABA2C9IWH5VSLVLLLCY62161">#REF!</definedName>
    <definedName name="BEx7AE4LPLX8N85BYB0WCO5S7ZPV">#REF!</definedName>
    <definedName name="BEx7ALBKBENN6YCI5733X4G3WTLX">#REF!</definedName>
    <definedName name="BEx7ASD1I654MEDCO6GGWA95PXSC">#REF!</definedName>
    <definedName name="BEx7AVCX9S5RJP3NSZ4QM4E6ERDT">#REF!</definedName>
    <definedName name="BEx7AVYIGP0930MV5JEBWRYCJN68">#REF!</definedName>
    <definedName name="BEx7B6LH6917TXOSAAQ6U7HVF018">#REF!</definedName>
    <definedName name="BEx7BPH7YLK25CE0H5HIA3LJFBQJ">#REF!</definedName>
    <definedName name="BEx7BPXFZXJ79FQ0E8AQE21PGVHA">#REF!</definedName>
    <definedName name="BEx7C04AM39DQMC1TIX7CFZ2ADHX">#REF!</definedName>
    <definedName name="BEx7C40F0PQURHPI6YQ39NFIR86Z">#REF!</definedName>
    <definedName name="BEx7C93VR7SYRIJS1JO8YZKSFAW9">#REF!</definedName>
    <definedName name="BEx7CCPC6R1KQQZ2JQU6EFI1G0RM">#REF!</definedName>
    <definedName name="BEx7CIJST9GLS2QD383UK7VUDTGL">#REF!</definedName>
    <definedName name="BEx7CO8T2XKC7GHDSYNAWTZ9L7YR">#REF!</definedName>
    <definedName name="BEx7CRJITLWFVDY9PU6L0ZV1MXLX">#REF!</definedName>
    <definedName name="BEx7CW1CF00DO8A36UNC2X7K65C2">#REF!</definedName>
    <definedName name="BEx7CW6NFRL2P4XWP0MWHIYA97KF">#REF!</definedName>
    <definedName name="BEx7CX31PQIAIKXDJOVEV84CDJPA" hidden="1">#REF!</definedName>
    <definedName name="BEx7D5RWKRS4W71J4NZ6ZSFHPKFT">#REF!</definedName>
    <definedName name="BEx7D8H1TPOX1UN17QZYEV7Q58GA">#REF!</definedName>
    <definedName name="BEx7D9820E3Y3H7C19K6B4WEM1V8">#REF!</definedName>
    <definedName name="BEx7DGF13H2074LRWFZQ45PZ6JPX">#REF!</definedName>
    <definedName name="BEx7DKLYN2T23R8ZK1KD1NGT9L5M">#REF!</definedName>
    <definedName name="BEx7DKWUXEDIISSX4GDD4YYT887F">#REF!</definedName>
    <definedName name="BEx7DMUYR2HC26WW7AOB1TULERMB">#REF!</definedName>
    <definedName name="BEx7DVJTRV44IMJIBFXELE67SZ7S">#REF!</definedName>
    <definedName name="BEx7DVUMFCI5INHMVFIJ44RTTSTT">#REF!</definedName>
    <definedName name="BEx7E2QT2U8THYOKBPXONB1B47WH">#REF!</definedName>
    <definedName name="BEx7E5QP7W6UKO74F5Y0VJ741HS5">#REF!</definedName>
    <definedName name="BEx7E6N29HGH3I47AFB2DCS6MVS6">#REF!</definedName>
    <definedName name="BEx7EBA8IYHQKT7IQAOAML660SYA">#REF!</definedName>
    <definedName name="BEx7EI6C8MCRZFEQYUBE5FSUTIHK">#REF!</definedName>
    <definedName name="BEx7EI6DL1Z6UWLFBXAKVGZTKHWJ">#REF!</definedName>
    <definedName name="BEx7EQKHX7GZYOLXRDU534TT4H64">#REF!</definedName>
    <definedName name="BEx7ERRNTYLA37U1S0E4MWJ5JX8H" hidden="1">#REF!</definedName>
    <definedName name="BEx7ETV6L1TM7JSXJIGK3FC6RVZW">#REF!</definedName>
    <definedName name="BEx7EWK9GUVV6FXWYIGH0TAI4V2O">#REF!</definedName>
    <definedName name="BEx7EYYLHMBYQTH6I377FCQS7CSX">#REF!</definedName>
    <definedName name="BEx7F5US4H1GVOWX929LYPXQZQW9" hidden="1">#REF!</definedName>
    <definedName name="BEx7FCATSK9FAP52DPEBJDLSBRLX">#REF!</definedName>
    <definedName name="BEx7FCLG1RYI2SNOU1Y2GQZNZSWA">#REF!</definedName>
    <definedName name="BEx7FN32ZGWOAA4TTH79KINTDWR9">#REF!</definedName>
    <definedName name="BEx7G82CKM3NIY1PHNFK28M09PCH">#REF!</definedName>
    <definedName name="BEx7G9V3R1WQUJY4X5R6YRG4FIR7">#REF!</definedName>
    <definedName name="BEx7GR3ENYWRXXS5IT0UMEGOLGUH">#REF!</definedName>
    <definedName name="BEx7GSAL6P7TASL8MB63RFST1LJL">#REF!</definedName>
    <definedName name="BEx7H0JD6I5I8WQLLWOYWY5YWPQE">#REF!</definedName>
    <definedName name="BEx7H14XCXH7WEXEY1HVO53A6AGH">#REF!</definedName>
    <definedName name="BEx7H2MWQ6NTR03AT661PVD0HJG7">#REF!</definedName>
    <definedName name="BEx7HFTIA8AC8BR8HKIN81VE1SGW">#REF!</definedName>
    <definedName name="BEx7HGVBEF4LEIF6RC14N3PSU461">#REF!</definedName>
    <definedName name="BEx7HPK8OXP38K8FZK9DVC5O0AFQ" hidden="1">#REF!</definedName>
    <definedName name="BEx7HQ5T9FZ42QWS09UO4DT42Y0R">#REF!</definedName>
    <definedName name="BEx7HRCZE3CVGON1HV07MT5MNDZ3">#REF!</definedName>
    <definedName name="BEx7HWGE2CANG5M17X4C8YNC3N8F">#REF!</definedName>
    <definedName name="BEx7HZ00NV8TP4ATBR02UT5EJ7UX">#REF!</definedName>
    <definedName name="BEx7I1P5EVW8K1THTCH1AG2TI8F9">#REF!</definedName>
    <definedName name="BEx7I8FZ96C5JAHXS18ZV0912LZP">#REF!</definedName>
    <definedName name="BEx7IBVYN47SFZIA0K4MDKQZNN9V">#REF!</definedName>
    <definedName name="BEx7IH4VBQK7SLYNF5QVWHATK2WP" hidden="1">#REF!</definedName>
    <definedName name="BEx7IV2IJ5WT7UC0UG7WP0WF2JZI">#REF!</definedName>
    <definedName name="BEx7IXGU74GE5E4S6W4Z13AR092Y">#REF!</definedName>
    <definedName name="BEx7J4IHIRO9DOZHSMW0MADBORKV">#REF!</definedName>
    <definedName name="BEx7J4YL8Q3BI1MLH16YYQ18IJRD">#REF!</definedName>
    <definedName name="BEx7JBJXEDKNH1WPV5CJLSK0BI44">#REF!</definedName>
    <definedName name="BEx7JH3HGBPI07OHZ5LFYK0UFZQR">#REF!</definedName>
    <definedName name="BEx7JV194190CNM6WWGQ3UBJ3CHH">#REF!</definedName>
    <definedName name="BEx7K7GZ607XQOGB81A1HINBTGOZ">#REF!</definedName>
    <definedName name="BEx7KEYPBDXSNROH8M6CDCBN6B50">#REF!</definedName>
    <definedName name="BEx7KIK6XLF1TBF0X4M0D94CPE8G">#REF!</definedName>
    <definedName name="BEx7KSAS8BZT6H8OQCZ5DNSTMO07">#REF!</definedName>
    <definedName name="BEx7KWHTBD21COXVI4HNEQH0Z3L8">#REF!</definedName>
    <definedName name="BEx7KXUGRMRSUXCM97Z7VRZQ9JH2">#REF!</definedName>
    <definedName name="BEx7KYLI8M2T8RVBDMHEH5Z3BF2V" hidden="1">#REF!</definedName>
    <definedName name="BEx7L21IQVP1N1TTQLRMANSSLSLE">#REF!</definedName>
    <definedName name="BEx7L5C6U8MP6IZ67BD649WQYJEK">#REF!</definedName>
    <definedName name="BEx7L8HEYEVTATR0OG5JJO647KNI">#REF!</definedName>
    <definedName name="BEx7L8XOV64OMS15ZFURFEUXLMWF">#REF!</definedName>
    <definedName name="BEx7L9OK1XNTN3JB1E20YXX42I7G">#REF!</definedName>
    <definedName name="BEx7LFDKA41CCQKCB9EUHJUYNTQN">#REF!</definedName>
    <definedName name="BEx7LJVFQACL9F4DRS9YZQ9R2N30">#REF!</definedName>
    <definedName name="BEx7LLO4UWG7YKFRTTPJS57CQ7JU">#REF!</definedName>
    <definedName name="BEx7MAUI1JJFDIJGDW4RWY5384LY">#REF!</definedName>
    <definedName name="BEx7MJZO3UKAMJ53UWOJ5ZD4GGMQ">#REF!</definedName>
    <definedName name="BEx7MT4MFNXIVQGAT6D971GZW7CA">#REF!</definedName>
    <definedName name="BEx7NHPEVM0TENIDBV59A9Z8BX5W">#REF!</definedName>
    <definedName name="BEx7NI062THZAM6I8AJWTFJL91CS">#REF!</definedName>
    <definedName name="BEx904S75BPRYMHF0083JF7ES4NG">#REF!</definedName>
    <definedName name="BEx90HDD4RWF7JZGA8GCGG7D63MG">#REF!</definedName>
    <definedName name="BEx90VGH5H09ON2QXYC9WIIEU98T">#REF!</definedName>
    <definedName name="BEx9175B70QXYAU5A8DJPGZQ46L9">#REF!</definedName>
    <definedName name="BEx91AQQRTV87AO27VWHSFZAD4ZR">#REF!</definedName>
    <definedName name="BEx91L8FLL5CWLA2CDHKCOMGVDZN">#REF!</definedName>
    <definedName name="BEx91N14ZL6VKEQJACAUF4FA8KPM" hidden="1">#REF!</definedName>
    <definedName name="BEx91OTVH9ZDBC3QTORU8RZX4EOC">#REF!</definedName>
    <definedName name="BEx91QH5JRZKQP1GPN2SQMR3CKAG">#REF!</definedName>
    <definedName name="BEx91ROALDNHO7FI4X8L61RH4UJE">#REF!</definedName>
    <definedName name="BEx91TMID71GVYH0U16QM1RV3PX0">#REF!</definedName>
    <definedName name="BEx91VF2D78PAF337E3L2L81K9W2">#REF!</definedName>
    <definedName name="BEx921PNZ46VORG2VRMWREWIC0SE">#REF!</definedName>
    <definedName name="BEx92D3OXE5BBJXFP5H40OS8OMNZ" hidden="1">#REF!</definedName>
    <definedName name="BEx92DPEKL5WM5A3CN8674JI0PR3">#REF!</definedName>
    <definedName name="BEx92ER2RMY93TZK0D9L9T3H0GI5">#REF!</definedName>
    <definedName name="BEx92FI04PJT4LI23KKIHRXWJDTT">#REF!</definedName>
    <definedName name="BEx92HR14HQ9D5JXCSPA4SS4RT62">#REF!</definedName>
    <definedName name="BEx92HWA2D6A5EX9MFG68G0NOMSN">#REF!</definedName>
    <definedName name="BEx92PUBDIXAU1FW5ZAXECMAU0LN">#REF!</definedName>
    <definedName name="BEx92S35TX1QFVJQ1XHUXYIJTPDS">#REF!</definedName>
    <definedName name="BEx92S8MHFFIVRQ2YSHZNQGOFUHD">#REF!</definedName>
    <definedName name="BEx939BMR8FKMAJOO1WKXN5UEE3J">#REF!</definedName>
    <definedName name="BEx93B9OULL2YGC896XXYAAJSTRK">#REF!</definedName>
    <definedName name="BEx93FRKF99NRT3LH99UTIH7AAYF">#REF!</definedName>
    <definedName name="BEx93M7FSHP50OG34A4W8W8DF12U">#REF!</definedName>
    <definedName name="BEx93OLWY2O3PRA74U41VG5RXT4Q">#REF!</definedName>
    <definedName name="BEx93RWFAF6YJGYUTITVM445C02U">#REF!</definedName>
    <definedName name="BEx93SY9RWG3HUV4YXQKXJH9FH14">#REF!</definedName>
    <definedName name="BEx93TJUX3U0FJDBG6DDSNQ91R5J">#REF!</definedName>
    <definedName name="BEx942UCRHMI4B0US31HO95GSC2X">#REF!</definedName>
    <definedName name="BEx948U50BH1QSJ45WZU429P1YBG" hidden="1">#REF!</definedName>
    <definedName name="BEx948ZFFQWVIDNG4AZAUGGGEB5U">#REF!</definedName>
    <definedName name="BEx949VTL8KUM1W7HODXDWP2WZ71">#REF!</definedName>
    <definedName name="BEx94CKXG92OMURH41SNU6IOHK4J">#REF!</definedName>
    <definedName name="BEx94GXG30CIVB6ZQN3X3IK6BZXQ">#REF!</definedName>
    <definedName name="BEx94HZ5LURYM9ST744ALV6ZCKYP">#REF!</definedName>
    <definedName name="BEx94IQ75E90YUMWJ9N591LR7DQQ">#REF!</definedName>
    <definedName name="BEx94L9TBK45AUQSX1IUZ86U1GPQ">#REF!</definedName>
    <definedName name="BEx94N7W5T3U7UOE97D6OVIBUCXS">#REF!</definedName>
    <definedName name="BEx953PB6S6ECMD8N0JSW0CBG0DA">#REF!</definedName>
    <definedName name="BEx955NIAWX5OLAHMTV6QFUZPR30">#REF!</definedName>
    <definedName name="BEx9581TYVI2M5TT4ISDAJV4W7Z6">#REF!</definedName>
    <definedName name="BEx95NHF4RVUE0YDOAFZEIVBYJXD">#REF!</definedName>
    <definedName name="BEx95QBZMG0E2KQ9BERJ861QLYN3">#REF!</definedName>
    <definedName name="BEx95QHBVDN795UNQJLRXG3RDU49">#REF!</definedName>
    <definedName name="BEx95TBVUWV7L7OMFMZDQEXGVHU6">#REF!</definedName>
    <definedName name="BEx95U89DZZSVO39TGS62CX8G9N4">#REF!</definedName>
    <definedName name="BEx95WBRSXCO3YGQ9ZULWVCO37D2">#REF!</definedName>
    <definedName name="BEx9602K2GHNBUEUVT9ONRQU1GMD">#REF!</definedName>
    <definedName name="BEx962BL3Y4LA53EBYI64ZYMZE8U">#REF!</definedName>
    <definedName name="BEx9697K03I3OT3WUNMMM7RT6D3I">#REF!</definedName>
    <definedName name="BEx96KR21O7H9R29TN0S45Y3QPUK">#REF!</definedName>
    <definedName name="BEx96S3GOKSY580253BIIF5HVUG5">#REF!</definedName>
    <definedName name="BEx96SUFKHHFE8XQ6UUO6ILDOXHO">#REF!</definedName>
    <definedName name="BEx96UN4YWXBDEZ1U1ZUIPP41Z7I">#REF!</definedName>
    <definedName name="BEx970MYCPJ6DQ44TKLOIGZO5LHH">#REF!</definedName>
    <definedName name="BEx9789YDW0WV4VZJW1HGS78C9OY">#REF!</definedName>
    <definedName name="BEx978KSD61YJH3S9DGO050R2EHA">#REF!</definedName>
    <definedName name="BEx97H9O1NAKAPK4MX4PKO34ICL5">#REF!</definedName>
    <definedName name="BEx97HVA5F2I0D6ID81KCUDEQOIH">#REF!</definedName>
    <definedName name="BEx97MNUZQ1Z0AO2FL7XQYVNCPR7">#REF!</definedName>
    <definedName name="BEx97NPQBACJVD9K1YXI08RTW9E2">#REF!</definedName>
    <definedName name="BEx97RWQLXS0OORDCN69IGA58CWU">#REF!</definedName>
    <definedName name="BEx97VYCLCY8CN8AUPWAT1BZHQP6">#REF!</definedName>
    <definedName name="BEx97YNGGDFIXHTMGFL2IHAQX9MI">#REF!</definedName>
    <definedName name="BEx981HW73BUZWT14TBTZHC0ZTJ4">#REF!</definedName>
    <definedName name="BEx9871KU0N99P0900EAK69VFYT2">#REF!</definedName>
    <definedName name="BEx98DS9FN94WJJ37VFL7BTY99V6">#REF!</definedName>
    <definedName name="BEx98IFKNJFGZFLID1YTRFEG1SXY">#REF!</definedName>
    <definedName name="BEx9915UVD4G7RA3IMLFZ0LG3UA2">#REF!</definedName>
    <definedName name="BEx992CZON8AO7U7V88VN1JBO0MG">#REF!</definedName>
    <definedName name="BEx9952469XMFGSPXL7CMXHPJF90">#REF!</definedName>
    <definedName name="BEx99B77I7TUSHRR4HIZ9FU2EIUT">#REF!</definedName>
    <definedName name="BEx99H1OOSC3UOJYUW50O7KVSGE4">#REF!</definedName>
    <definedName name="BEx99Q6PH5F3OQKCCAAO75PYDEFN">#REF!</definedName>
    <definedName name="BEx99WBYT2D6UUC1PT7A40ENYID4">#REF!</definedName>
    <definedName name="BEx99XOGHOM28CNCYKQWYGL56W2S">#REF!</definedName>
    <definedName name="BEx99ZRZ4I7FHDPGRAT5VW7NVBPU">#REF!</definedName>
    <definedName name="BEx9A6DBZ4EGCFU8UV68UZFQEJM6">#REF!</definedName>
    <definedName name="BEx9AH0BYC91WIOM8321F9CPLGO8">#REF!</definedName>
    <definedName name="BEx9AT5E3ZSHKSOL35O38L8HF9TH">#REF!</definedName>
    <definedName name="BEx9AV8W1FAWF5BHATYEN47X12JN">#REF!</definedName>
    <definedName name="BEx9B8A5186FNTQQNLIO5LK02ABI">#REF!</definedName>
    <definedName name="BEx9B8VR20E2CILU4CDQUQQ9ONXK">#REF!</definedName>
    <definedName name="BEx9B917EUP13X6FQ3NPQL76XM5V">#REF!</definedName>
    <definedName name="BEx9BAJ5WYEQ623HUT9NNCMP3RUG">#REF!</definedName>
    <definedName name="BEx9BYSYW7QCPXS2NAVLFAU5Y2Z2">#REF!</definedName>
    <definedName name="BEx9C4SR46TJDW09TSC1DMX8EC0L">#REF!</definedName>
    <definedName name="BEx9C590HJ2O31IWJB73C1HR74AI">#REF!</definedName>
    <definedName name="BEx9CCQRMYYOGIOYTOM73VKDIPS1">#REF!</definedName>
    <definedName name="BEx9CLVRWZGGIM0FUSPN4NH4QWRX">#REF!</definedName>
    <definedName name="BEx9CZ2H84WOIX6YZMGKSPJ8LEHL">#REF!</definedName>
    <definedName name="BEx9D1BC9FT19KY0INAABNDBAMR1">#REF!</definedName>
    <definedName name="BEx9D27V9ANOQA2Y1SKSCUP46GEP">#REF!</definedName>
    <definedName name="BEx9DN6ZMF18Q39MPMXSDJTZQNJ3">#REF!</definedName>
    <definedName name="BEx9DUU8DALPSCW66GTMQRPXZ6GL">#REF!</definedName>
    <definedName name="BEx9E14TDNSEMI784W0OTIEQMWN6">#REF!</definedName>
    <definedName name="BEx9E2BZ2B1R41FMGJCJ7JLGLUAJ">#REF!</definedName>
    <definedName name="BEx9E6TTMOTICG2OVYYPHRGBDWCP">#REF!</definedName>
    <definedName name="BEx9EG9KBJ77M8LEOR9ITOKN5KXY">#REF!</definedName>
    <definedName name="BEx9EMK6HAJJMVYZTN5AUIV7O1E6">#REF!</definedName>
    <definedName name="BEx9EQLVZHYQ1TPX7WH3SOWXCZLE">#REF!</definedName>
    <definedName name="BEx9ETLU0EK5LGEM1QCNYN2S8O5F">#REF!</definedName>
    <definedName name="BEx9F0Y2ESUNE3U7TQDLMPE9BO67">#REF!</definedName>
    <definedName name="BEx9F5W18ZGFOKGRE8PR6T1MO6GT">#REF!</definedName>
    <definedName name="BEx9F78N4HY0XFGBQ4UJRD52L1EI">#REF!</definedName>
    <definedName name="BEx9FF16LOQP5QIR4UHW5EIFGQB8">#REF!</definedName>
    <definedName name="BEx9FJTSRCZ3ZXT3QVBJT5NF8T7V">#REF!</definedName>
    <definedName name="BEx9FLMLANSZNUGGQ59XZDWALZFC">#REF!</definedName>
    <definedName name="BEx9FO0W4QZF52YMV038EZ2XMVA5">#REF!</definedName>
    <definedName name="BEx9FQKIHIZJ9SJTT0JMUOXTGBTR">#REF!</definedName>
    <definedName name="BEx9FRBEEYPS5HLS3XT34AKZN94G">#REF!</definedName>
    <definedName name="BEx9FRM7AZCHS0C6BMIKIZ2B1KF3">#REF!</definedName>
    <definedName name="BEx9G3WR3COU33LB70UIFLEWXHUB">#REF!</definedName>
    <definedName name="BEx9GDY4D8ZPQJCYFIMYM0V0C51Y">#REF!</definedName>
    <definedName name="BEx9GGCF6WTDRW73ML2ZUPT3RCS1">#REF!</definedName>
    <definedName name="BEx9GGY04V0ZWI6O9KZH4KSBB389">#REF!</definedName>
    <definedName name="BEx9GHP2JZBL0JVTPOSG4OOIW18P">#REF!</definedName>
    <definedName name="BEx9GM6R4E316SBYWLCTRSTKLK1I" hidden="1">#REF!</definedName>
    <definedName name="BEx9GNOPB6OZ2RH3FCDNJR38RJOS">#REF!</definedName>
    <definedName name="BEx9GUQALUWCD30UKUQGSWW8KBQ7">#REF!</definedName>
    <definedName name="BEx9GWZ575OHCCK5CYWGQ3CE3YMG">#REF!</definedName>
    <definedName name="BEx9GY6BVFQGCLMOWVT6PIC9WP5X">#REF!</definedName>
    <definedName name="BEx9GZ2P3FDHKXEBXX2VS0BG2NP2">#REF!</definedName>
    <definedName name="BEx9H04IB14E1437FF2OIRRWBSD7">#REF!</definedName>
    <definedName name="BEx9H5O1KDZJCW91Q29VRPY5YS6P">#REF!</definedName>
    <definedName name="BEx9H87V5IQ3FUGEY3QRXLOYVV0C">#REF!</definedName>
    <definedName name="BEx9H8YR0E906F1JXZMBX3LNT004">#REF!</definedName>
    <definedName name="BEx9I5XNAS8R8S7ZHYY215Q9S9MM">#REF!</definedName>
    <definedName name="BEx9I8XIG7E5NB48QQHXP23FIN60">#REF!</definedName>
    <definedName name="BEx9IM9KAJ6MAJNWYUBTQ4C5BTU5">#REF!</definedName>
    <definedName name="BEx9IQRF01ATLVK0YE60ARKQJ68L">#REF!</definedName>
    <definedName name="BEx9IT5QNZWKM6YQ5WER0DC2PMMU">#REF!</definedName>
    <definedName name="BEx9IW5MFLXTVCJHVUZTUH93AXOS">#REF!</definedName>
    <definedName name="BEx9IXCSPSZC80YZUPRCYTG326KV">#REF!</definedName>
    <definedName name="BEx9IZR39NHDGOM97H4E6F81RTQW">#REF!</definedName>
    <definedName name="BEx9J6CH5E7YZPER7HXEIOIKGPCA">#REF!</definedName>
    <definedName name="BEx9JJTZKVUJAVPTRE0RAVTEH41G">#REF!</definedName>
    <definedName name="BEx9JLBYK239B3F841C7YG1GT7ST">#REF!</definedName>
    <definedName name="BExAVN4Q3C9JIFR5T19FPEBSMS7S">#REF!</definedName>
    <definedName name="BExAW4IIW5D0MDY6TJ3G4FOLPYIR">#REF!</definedName>
    <definedName name="BExAX410NB4F2XOB84OR2197H8M5">#REF!</definedName>
    <definedName name="BExAX410S0477QWIYXDITJG3RAE9">#REF!</definedName>
    <definedName name="BExAX8TNG8LQ5Q4904SAYQIPGBSV">#REF!</definedName>
    <definedName name="BExAY0EAT2LXR5MFGM0DLIB45PLO">#REF!</definedName>
    <definedName name="BExAYE6LNIEBR9DSNI5JGNITGKIT">#REF!</definedName>
    <definedName name="BExAYHMLXGGO25P8HYB2S75DEB4F">#REF!</definedName>
    <definedName name="BExAYITQJ20OXCIQ1TXO203KB8NU">#REF!</definedName>
    <definedName name="BExAYKXAUWGDOPG952TEJ2UKZKWN">#REF!</definedName>
    <definedName name="BExAYP9TDTI2MBP6EYE0H39CPMXN">#REF!</definedName>
    <definedName name="BExAYPPWJPWDKU59O051WMGB7O0J">#REF!</definedName>
    <definedName name="BExAYR2JZCJBUH6F1LZC2A7JIVRJ">#REF!</definedName>
    <definedName name="BExAYTGVRD3DLKO75RFPMBKCIWB8">#REF!</definedName>
    <definedName name="BExAYVV67DAY58M1RR66ZFH34YX6">#REF!</definedName>
    <definedName name="BExAYY9H9COOT46HJLPVDLTO12UL">#REF!</definedName>
    <definedName name="BExAZ49A3Y0DNXJ6FXVKQ1VMRQFO">#REF!</definedName>
    <definedName name="BExAZCNEGB4JYHC8CZ51KTN890US">#REF!</definedName>
    <definedName name="BExAZFCI302YFYRDJYQDWQQL0Q0O">#REF!</definedName>
    <definedName name="BExAZLHLST9OP89R1HJMC1POQG8H">#REF!</definedName>
    <definedName name="BExAZMDYMIAA7RX1BMCKU1VLBRGY">#REF!</definedName>
    <definedName name="BExAZNL6BHI8DCQWXOX4I2P839UX">#REF!</definedName>
    <definedName name="BExAZRMWSONMCG9KDUM4KAQ7BONM">#REF!</definedName>
    <definedName name="BExAZTFG4SJRG4TW6JXRF7N08JFI">#REF!</definedName>
    <definedName name="BExAZUS4A8OHDZK0MWAOCCCKTH73">#REF!</definedName>
    <definedName name="BExAZX6FECVK3E07KXM2XPYKGM6U">#REF!</definedName>
    <definedName name="BExB012NJ8GASTNNPBRRFTLHIOC9">#REF!</definedName>
    <definedName name="BExB072HHXVMUC0VYNGG48GRSH5Q">#REF!</definedName>
    <definedName name="BExB0FRDEYDEUEAB1W8KD6D965XA">#REF!</definedName>
    <definedName name="BExB0KPCN7YJORQAYUCF4YKIKPMC">#REF!</definedName>
    <definedName name="BExB0WE4PI3NOBXXVO9CTEN4DIU2">#REF!</definedName>
    <definedName name="BExB10QNIVITUYS55OAEKK3VLJFE">#REF!</definedName>
    <definedName name="BExB15ZDRY4CIJ911DONP0KCY9KU">#REF!</definedName>
    <definedName name="BExB16VQY0O0RLZYJFU3OFEONVTE">#REF!</definedName>
    <definedName name="BExB1CQ95XCWQTMXEUT13VVEGD5S">#REF!</definedName>
    <definedName name="BExB1FKNY2UO4W5FUGFHJOA2WFGG">#REF!</definedName>
    <definedName name="BExB1GMD0PIDGTFBGQOPRWQSP9I4">#REF!</definedName>
    <definedName name="BExB1Q29OO6LNFNT1EQLA3KYE7MX">#REF!</definedName>
    <definedName name="BExB1TNRV5EBWZEHYLHI76T0FVA7">#REF!</definedName>
    <definedName name="BExB1W243LCPS4F4B8R4NQ6QU3TE">#REF!</definedName>
    <definedName name="BExB1WI6M8I0EEP1ANUQZCFY24EV">#REF!</definedName>
    <definedName name="BExB203OWC9QZA3BYOKQ18L4FUJE">#REF!</definedName>
    <definedName name="BExB2CJHTU7C591BR4WRL5L2F2K6">#REF!</definedName>
    <definedName name="BExB2K1AV4PGNS1O6C7D7AO411AX">#REF!</definedName>
    <definedName name="BExB2MA3S1RGA4UR5VCHQ7LM6PE8">#REF!</definedName>
    <definedName name="BExB2O2UYHKI324YE324E1N7FVIB">#REF!</definedName>
    <definedName name="BExB2ODN7VYO5I39WNVVT7JY12F1" hidden="1">#REF!</definedName>
    <definedName name="BExB2Q0VJ0MU2URO3JOVUAVHEI3V">#REF!</definedName>
    <definedName name="BExB30IP1DNKNQ6PZ5ERUGR5MK4Z">#REF!</definedName>
    <definedName name="BExB3JZUOXIWM0P0A5GHKTSSOS7W">#REF!</definedName>
    <definedName name="BExB3X6KN4J0KWSEVEYE6GOW5ME8" hidden="1">#REF!</definedName>
    <definedName name="BExB442RX0T3L6HUL6X5T21CENW6">#REF!</definedName>
    <definedName name="BExB4ADD0L7417CII901XTFKXD1J">#REF!</definedName>
    <definedName name="BExB4DO1V1NL2AVK5YE1RSL5RYHL">#REF!</definedName>
    <definedName name="BExB4DYU06HCGRIPBSWRCXK804UM">#REF!</definedName>
    <definedName name="BExB4Z3EZBGYYI33U0KQ8NEIH8PY">#REF!</definedName>
    <definedName name="BExB51HPIB8XVFH86WEOWS7KA3K3">#REF!</definedName>
    <definedName name="BExB55368XW7UX657ZSPC6BFE92S">#REF!</definedName>
    <definedName name="BExB57MZEPL2SA2ONPK66YFLZWJU">#REF!</definedName>
    <definedName name="BExB5833OAOJ22VK1YK47FHUSVK2">#REF!</definedName>
    <definedName name="BExB58JDIHS42JZT9DJJMKA8QFCO">#REF!</definedName>
    <definedName name="BExB58U5FQC5JWV9CGC83HLLZUZI">#REF!</definedName>
    <definedName name="BExB5EDO9XUKHF74X3HAU2WPPHZH">#REF!</definedName>
    <definedName name="BExB5G6EH68AYEP1UT0GHUEL3SLN">#REF!</definedName>
    <definedName name="BExB5QYVEZWFE5DQVHAM760EV05X">#REF!</definedName>
    <definedName name="BExB5U9IRH14EMOE0YGIE3WIVLFS">#REF!</definedName>
    <definedName name="BExB5VWYMOV6BAIH7XUBBVPU7MMD">#REF!</definedName>
    <definedName name="BExB610DZWIJP1B72U9QM42COH2B">#REF!</definedName>
    <definedName name="BExB615O9SAK2EB0H5L8TNQMAZIF">#REF!</definedName>
    <definedName name="BExB62CUSAWK8FTKNUAFFJ2G9FXG">#REF!</definedName>
    <definedName name="BExB67WDHLQ6G71TUTUQ5514A89K">#REF!</definedName>
    <definedName name="BExB6C3FUAKK9ML5T767NMWGA9YB">#REF!</definedName>
    <definedName name="BExB6C8X6JYRLKZKK17VE3QUNL3D">#REF!</definedName>
    <definedName name="BExB6HN3QRFPXM71MDUK21BKM7PF">#REF!</definedName>
    <definedName name="BExB6IZMHCZ3LB7N73KD90YB1HBZ">#REF!</definedName>
    <definedName name="BExB6JADVTKWFS7AFJAHRSM2PHRP">#REF!</definedName>
    <definedName name="BExB6PVRAPIKN1VCA0XQE0NGYP7K">#REF!</definedName>
    <definedName name="BExB719SGNX4Y8NE6JEXC555K596">#REF!</definedName>
    <definedName name="BExB7265DCHKS7V2OWRBXCZTEIW9">#REF!</definedName>
    <definedName name="BExB74PS5P9G0P09Y6DZSCX0FLTJ">#REF!</definedName>
    <definedName name="BExB78RH79J0MIF7H8CAZ0CFE88Q">#REF!</definedName>
    <definedName name="BExB7BLX5VM7XDQKFZBF5W0MP5YD">#REF!</definedName>
    <definedName name="BExB7ELT09HGDVO5BJC1ZY9D09GZ">#REF!</definedName>
    <definedName name="BExB806PAXX70XUTA3ZI7OORD78R">#REF!</definedName>
    <definedName name="BExB8HF4UBVZKQCSRFRUQL2EE6VL">#REF!</definedName>
    <definedName name="BExB8HKHKZ1ORJZUYGG2M4VSCC39">#REF!</definedName>
    <definedName name="BExB8MYO1RKVPX6RM9GOYO4D4KY9">#REF!</definedName>
    <definedName name="BExB8QPH8DC5BESEVPSMBCWVN6PO">#REF!</definedName>
    <definedName name="BExB8U5N0D85YR8APKN3PPKG0FWP">#REF!</definedName>
    <definedName name="BExB9DHI5I2TJ2LXYPM98EE81L27">#REF!</definedName>
    <definedName name="BExB9NZ3ZIB1V7JIWY5QELC2PMJ5">#REF!</definedName>
    <definedName name="BExB9Q2MZZHBGW8QQKVEYIMJBPIE">#REF!</definedName>
    <definedName name="BExB9YRJH21P0HUYARO0R7TTXPJ7">#REF!</definedName>
    <definedName name="BExBA1GON0EZRJ20UYPILAPLNQWM">#REF!</definedName>
    <definedName name="BExBA69ASGYRZW1G1DYIS9QRRTBN">#REF!</definedName>
    <definedName name="BExBA6K42582A14WFFWQ3Q8QQWB6">#REF!</definedName>
    <definedName name="BExBA8I5D4R8R2PYQ1K16TWGTOEP">#REF!</definedName>
    <definedName name="BExBA93PE0DGUUTA7LLSIGBIXWE5">#REF!</definedName>
    <definedName name="BExBAGLGHYHE2LZK3KRJ2PGFO8IP" hidden="1">#REF!</definedName>
    <definedName name="BExBAI8X0FKDQJ6YZJQDTTG4ZCWY">#REF!</definedName>
    <definedName name="BExBAKN7XIBAXCF9PCNVS038PCQO">#REF!</definedName>
    <definedName name="BExBAKXZ7PBW3DDKKA5MWC1ZUC7O">#REF!</definedName>
    <definedName name="BExBAO8NLXZXHO6KCIECSFCH3RR0">#REF!</definedName>
    <definedName name="BExBAOOT1KBSIEISN1ADL4RMY879">#REF!</definedName>
    <definedName name="BExBAVKX8Q09370X1GCZWJ4E91YJ">#REF!</definedName>
    <definedName name="BExBAW6JEEVHYHKPLVDEJLA2TVUV">#REF!</definedName>
    <definedName name="BExBAX2X2ENJYO4QTR5VAIQ86L7B">#REF!</definedName>
    <definedName name="BExBAZ13D3F1DVJQ6YJ8JGUYEYJE">#REF!</definedName>
    <definedName name="BExBB1FFA0KZYBP7BEBCSKD6VTF0">#REF!</definedName>
    <definedName name="BExBBTG649R9I0CT042JLL8LXV18">#REF!</definedName>
    <definedName name="BExBBUCJQRR74Q7GPWDEZXYK2KJL">#REF!</definedName>
    <definedName name="BExBBV8XVMD9CKZY711T0BN7H3PM">#REF!</definedName>
    <definedName name="BExBC78HXWXHO3XAB6E8NVTBGLJS">#REF!</definedName>
    <definedName name="BExBCKKJTIRKC1RZJRTK65HHLX4W">#REF!</definedName>
    <definedName name="BExBCLMEPAN3XXX174TU8SS0627Q">#REF!</definedName>
    <definedName name="BExBCN4CE60GSBMZIW5KQ0NTRFJC">#REF!</definedName>
    <definedName name="BExBCRBEYR2KZ8FAQFZ2NHY13WIY">#REF!</definedName>
    <definedName name="BExBD4I559NXSV6J07Q343TKYMVJ">#REF!</definedName>
    <definedName name="BExBDBZQLTX3OGFYGULQFK5WEZU5">#REF!</definedName>
    <definedName name="BExBDJS9TUEU8Z84IV59E5V4T8K6">#REF!</definedName>
    <definedName name="BExBDKOMSVH4XMH52CFJ3F028I9R">#REF!</definedName>
    <definedName name="BExBDSRXVZQ0W5WXQMP5XD00GRRL">#REF!</definedName>
    <definedName name="BExBDUVGK3E1J4JY9ZYTS7V14BLY">#REF!</definedName>
    <definedName name="BExBE162OSBKD30I7T1DKKPT3I9I">#REF!</definedName>
    <definedName name="BExBE5YPUY1T7N7DHMMIGGXK8TMP">#REF!</definedName>
    <definedName name="BExBEC9ATLQZF86W1M3APSM4HEOH">#REF!</definedName>
    <definedName name="BExBEFPEY2JR9JJE6IOAF2OFWR4M">#REF!</definedName>
    <definedName name="BExBETC9XL80NWYBNGAD28ZJ7WRL">#REF!</definedName>
    <definedName name="BExBEYFQJE9YK12A6JBMRFKEC7RN">#REF!</definedName>
    <definedName name="BExBF4FI26ZUMWTVCYZ58E6KJ8Y8">#REF!</definedName>
    <definedName name="BExBF74MQ866DAGP7TYQGBFTZRPR">#REF!</definedName>
    <definedName name="BExBG1ED81J2O4A2S5F5Y3BPHMCR">#REF!</definedName>
    <definedName name="BExCR3J5GNCUPD9UM79D4PDXWT4U">#REF!</definedName>
    <definedName name="BExCRLIHS7466WFJ3RPIUGGXYESZ">#REF!</definedName>
    <definedName name="BExCRS3VKYCEVDF4FL01C1XUB567">#REF!</definedName>
    <definedName name="BExCRWWI5ZMTSWBS61IYSC4UI0H9" hidden="1">#REF!</definedName>
    <definedName name="BExCS1EDDUEAEWHVYXHIP9I1WCJH">#REF!</definedName>
    <definedName name="BExCS6SLRCBH006GNRE27HFRHP40">#REF!</definedName>
    <definedName name="BExCS7ZPMHFJ4UJDAL8CQOLSZ13B">#REF!</definedName>
    <definedName name="BExCS8W4NJUZH9S1CYB6XSDLEPBW">#REF!</definedName>
    <definedName name="BExCSAE1M6G20R41J0Y24YNN0YC1">#REF!</definedName>
    <definedName name="BExCSAE2JW38IT96FPX22TUK89WH">#REF!</definedName>
    <definedName name="BExCSAOUZOYKHN7HV511TO8VDJ02">#REF!</definedName>
    <definedName name="BExCSMOFTXSUEC1T46LR1UPYRCX5">#REF!</definedName>
    <definedName name="BExCSSDG3TM6TPKS19E9QYJEELZ6">#REF!</definedName>
    <definedName name="BExCSZV7U67UWXL2HKJNM5W1E4OO">#REF!</definedName>
    <definedName name="BExCT0GRTZF5FFX5LZT829PHWMTK">#REF!</definedName>
    <definedName name="BExCT4NSDT61OCH04Y2QIFIOP75H">#REF!</definedName>
    <definedName name="BExCTW8G3VCZ55S09HTUGXKB1P2M">#REF!</definedName>
    <definedName name="BExCTYS2KX0QANOLT8LGZ9WV3S3T">#REF!</definedName>
    <definedName name="BExCTZZ9JNES4EDHW97NP0EGQALX">#REF!</definedName>
    <definedName name="BExCU0A1V6NMZQ9ASYJ8QIVQ5UR2">#REF!</definedName>
    <definedName name="BExCU2834920JBHSPCRC4UF80OLL">#REF!</definedName>
    <definedName name="BExCU8O54I3P3WRYWY1CRP3S78QY">#REF!</definedName>
    <definedName name="BExCUARNXXTH6ZTS98FYJV7PCSGZ">#REF!</definedName>
    <definedName name="BExCUDRJO23YOKT8GPWOVQ4XEHF5">#REF!</definedName>
    <definedName name="BExCUPAXFR16YMWL30ME3F3BSRDZ">#REF!</definedName>
    <definedName name="BExCUR94DHCE47PUUWEMT5QZOYR2">#REF!</definedName>
    <definedName name="BExCV634L7SVHGB0UDDTRRQ2Q72H">#REF!</definedName>
    <definedName name="BExCVBXGSXT9FWJRG62PX9S1RK83">#REF!</definedName>
    <definedName name="BExCVHBNLOHNFS0JAV3I1XGPNH9W">#REF!</definedName>
    <definedName name="BExCVI86R31A2IOZIEBY1FJLVILD">#REF!</definedName>
    <definedName name="BExCVKGZXE0I9EIXKBZVSGSEY2RR">#REF!</definedName>
    <definedName name="BExCVV44WY5807WGMTGKPW0GT256">#REF!</definedName>
    <definedName name="BExCVZ5PN4V6MRBZ04PZJW3GEF8S">#REF!</definedName>
    <definedName name="BExCW13R0GWJYGXZBNCPAHQN4NR2">#REF!</definedName>
    <definedName name="BExCW37AJQ22HZN4J8IZBPSVTUTS">#REF!</definedName>
    <definedName name="BExCW9Y5HWU4RJTNX74O6L24VGCK">#REF!</definedName>
    <definedName name="BExCWPDPESGZS07QGBLSBWDNVJLZ">#REF!</definedName>
    <definedName name="BExCWTVKHIVCRHF8GC39KI58YM5K">#REF!</definedName>
    <definedName name="BExCX2KGRZBRVLZNM8SUSIE6A0RL">#REF!</definedName>
    <definedName name="BExCX3X451T70LZ1VF95L7W4Y4TM">#REF!</definedName>
    <definedName name="BExCX4NZ2N1OUGXM7EV0U7VULJMM">#REF!</definedName>
    <definedName name="BExCXILMURGYMAH6N5LF5DV6K3GM">#REF!</definedName>
    <definedName name="BExCXQUFBMXQ1650735H48B1AZT3">#REF!</definedName>
    <definedName name="BExCXUQP121593HQ2W9UQYQ6W8F4">#REF!</definedName>
    <definedName name="BExCXWU7HH6SPEKHTDW4VIJOMA5G">#REF!</definedName>
    <definedName name="BExCY2DQO9VLA77Q7EG3T0XNXX4F">#REF!</definedName>
    <definedName name="BExCY6VMJ68MX3C981R5Q0BX5791">#REF!</definedName>
    <definedName name="BExCY7RYH2PNF2AG4323SEPEY53K">#REF!</definedName>
    <definedName name="BExCYAH2SAZCPW6XCB7V7PMMCAWO">#REF!</definedName>
    <definedName name="BExCYJBB52X8B3AREHCC1L5QNPX7">#REF!</definedName>
    <definedName name="BExCYPRC5HJE6N2XQTHCT6NXGP8N">#REF!</definedName>
    <definedName name="BExCYUK0I3UEXZNFDW71G6Z6D8XR">#REF!</definedName>
    <definedName name="BExCYXJWQSEEYU4NMNR519R6S9CZ">#REF!</definedName>
    <definedName name="BExCYYQW3ASN78FM8UVJMM1W3BG7">#REF!</definedName>
    <definedName name="BExCZA527W0V1OVQWOLECFTPM58C">#REF!</definedName>
    <definedName name="BExCZFZCXMLY5DWESYJ9NGTJYQ8M">#REF!</definedName>
    <definedName name="BExCZJ4P8WS0BDT31WDXI0ROE7D6">#REF!</definedName>
    <definedName name="BExCZKH6NI0EE02L995IFVBD1J59">#REF!</definedName>
    <definedName name="BExCZUD9FEOJBKDJ51Z3JON9LKJ8">#REF!</definedName>
    <definedName name="BExD0508DAALLU00PHFPBC8SRRKT">#REF!</definedName>
    <definedName name="BExD0HALIN0JR4JTPGDEVAEE5EX5">#REF!</definedName>
    <definedName name="BExD0LCCDPG16YLY5WQSZF1XI5DA">#REF!</definedName>
    <definedName name="BExD0P8F7KQMFSYM4625F10ZH3V4">#REF!</definedName>
    <definedName name="BExD0RMWSB4TRECEHTH6NN4K9DFZ">#REF!</definedName>
    <definedName name="BExD0U6KG10QGVDI1XSHK0J10A2V">#REF!</definedName>
    <definedName name="BExD13RUIBGRXDL4QDZ305UKUR12">#REF!</definedName>
    <definedName name="BExD14DETV5R4OOTMAXD5NAKWRO3">#REF!</definedName>
    <definedName name="BExD17YV2ZYAEDMHIU0NC8D9N73J">#REF!</definedName>
    <definedName name="BExD1OAU9OXQAZA4D70HP72CU6GB">#REF!</definedName>
    <definedName name="BExD1VY0WEBJA9S0W9VT8DSQ19GL">#REF!</definedName>
    <definedName name="BExD1Y1JV61416YA1XRQHKWPZIE7">#REF!</definedName>
    <definedName name="BExD2CFHIRMBKN5KXE5QP4XXEWFS">#REF!</definedName>
    <definedName name="BExD2DMHH1HWXQ9W0YYMDP8AAX8Q">#REF!</definedName>
    <definedName name="BExD2HTPC7IWBAU6OSQ67MQA8BYZ">#REF!</definedName>
    <definedName name="BExD2L9OUUE5A2OUUCI7ZFK5MZ2E">#REF!</definedName>
    <definedName name="BExD363H2VGFIQUCE6LS4AC5J0ZT">#REF!</definedName>
    <definedName name="BExD3A588E939V61P1XEW0FI5Q0S">#REF!</definedName>
    <definedName name="BExD3CJJDKVR9M18XI3WDZH80WL6">#REF!</definedName>
    <definedName name="BExD3ESD9WYJIB3TRDPJ1CKXRAVL">#REF!</definedName>
    <definedName name="BExD3F368X5S25MWSUNIV57RDB57">#REF!</definedName>
    <definedName name="BExD3IJ5IT335SOSNV9L85WKAOSI">#REF!</definedName>
    <definedName name="BExD3KBVUY57GMMQTOFEU6S6G1AY">#REF!</definedName>
    <definedName name="BExD3NMR7AW2Z6V8SC79VQR37NA6">#REF!</definedName>
    <definedName name="BExD3QXA2UQ2W4N7NYLUEOG40BZB">#REF!</definedName>
    <definedName name="BExD3SKQDUZT567HEBV8XSIXJ9NT">#REF!</definedName>
    <definedName name="BExD3U2N041TEJ7GCN005UTPHNXY">#REF!</definedName>
    <definedName name="BExD3ZGVOX34J0JDH85MUK7JNMJO">#REF!</definedName>
    <definedName name="BExD407RLI2ZDWS8ON1TEYHERNCL">#REF!</definedName>
    <definedName name="BExD40O0CFTNJFOFMMM1KH0P7BUI">#REF!</definedName>
    <definedName name="BExD4BR9HJ3MWWZ5KLVZWX9FJAUS">#REF!</definedName>
    <definedName name="BExD4F1WTKT3H0N9MF4H1LX7MBSY">#REF!</definedName>
    <definedName name="BExD4H5GQWXBS6LUL3TSP36DVO38">#REF!</definedName>
    <definedName name="BExD4JJSS3QDBLABCJCHD45SRNPI">#REF!</definedName>
    <definedName name="BExD4R1I0MKF033I5LPUYIMTZ6E8">#REF!</definedName>
    <definedName name="BExD4WVTPZYC2GA9OICSGDKG3943">#REF!</definedName>
    <definedName name="BExD50MT3M6XZLNUP9JL93EG6D9R">#REF!</definedName>
    <definedName name="BExD5EV7KDSVF1CJT38M4IBPFLPY">#REF!</definedName>
    <definedName name="BExD5FRK547OESJRYAW574DZEZ7J">#REF!</definedName>
    <definedName name="BExD5I5X2YA2YNCTCDSMEL4CWF4N">#REF!</definedName>
    <definedName name="BExD5QUSRFJWRQ1ZM50WYLCF74DF">#REF!</definedName>
    <definedName name="BExD5SSUIF6AJQHBHK8PNMFBPRYB">#REF!</definedName>
    <definedName name="BExD623C9LRX18BE0W2V6SZLQUXX">#REF!</definedName>
    <definedName name="BExD6CQA7UMJBXV7AIFAIHUF2ICX">#REF!</definedName>
    <definedName name="BExD6FKVK8WJWNYPVENR7Q8Q30PK">#REF!</definedName>
    <definedName name="BExD6GMP0LK8WKVWMIT1NNH8CHLF">#REF!</definedName>
    <definedName name="BExD6H2TE0WWAUIWVSSCLPZ6B88N">#REF!</definedName>
    <definedName name="BExD6MRUB5Z78TWFKFJF1K3HNQ1X">#REF!</definedName>
    <definedName name="BExD71LTOE015TV5RSAHM8NT8GVW">#REF!</definedName>
    <definedName name="BExD73USXVADC7EHGHVTQNCT06ZA">#REF!</definedName>
    <definedName name="BExD76952WC61WB7DC9SWP4D9ESY">#REF!</definedName>
    <definedName name="BExD7GAIGULTB3YHM1OS9RBQOTEC">#REF!</definedName>
    <definedName name="BExD7IE1DHIS52UFDCTSKPJQNRD5">#REF!</definedName>
    <definedName name="BExD7IUBGUWHYC9UNZ1IY5XFYKQN">#REF!</definedName>
    <definedName name="BExD7JQOJ35HGL8U2OCEI2P2JT7I">#REF!</definedName>
    <definedName name="BExD7KSDKNDNH95NDT3S7GM3MUU2">#REF!</definedName>
    <definedName name="BExD7NC5SPFMJCBCOFBOGELL3GRL">#REF!</definedName>
    <definedName name="BExD8H5O087KQVWIVPUUID5VMGMS">#REF!</definedName>
    <definedName name="BExD8OCLZMFN5K3VZYI4Q4ITVKUA">#REF!</definedName>
    <definedName name="BExD8UHPNQ6AFINO2GOCEL2B70EZ">#REF!</definedName>
    <definedName name="BExD91ZG0KRFTSVHRHJ4BHV9HSNJ">#REF!</definedName>
    <definedName name="BExD93C1R6LC0631ECHVFYH0R0PD">#REF!</definedName>
    <definedName name="BExD97TXIO0COVNN4OH3DEJ33YLM">#REF!</definedName>
    <definedName name="BExD99RZ1RFIMK6O1ZHSPJ68X9Y5">#REF!</definedName>
    <definedName name="BExD9BQ6LGXBUJ55WSIECG0HIP4D">#REF!</definedName>
    <definedName name="BExD9L0ID3VSOU609GKWYTA5BFMA">#REF!</definedName>
    <definedName name="BExD9M7SEMG0JK2FUTTZXWIEBTKB">#REF!</definedName>
    <definedName name="BExD9MNYBYB1AICQL5165G472IE2">#REF!</definedName>
    <definedName name="BExD9PNSYT7GASEGUVL48MUQ02WO">#REF!</definedName>
    <definedName name="BExD9TK2MIWFH5SKUYU9ZKF4NPHQ">#REF!</definedName>
    <definedName name="BExD9W97B73VZOX9SBWGH3JKGLE2" hidden="1">#REF!</definedName>
    <definedName name="BExDA5ZRHLWVSIXZJY7BR68NLH3G" hidden="1">#REF!</definedName>
    <definedName name="BExDA6LD9061UULVKUUI4QP8SK13">#REF!</definedName>
    <definedName name="BExDAD6PZZRQ3MOPV9G0QAZ66KPD">#REF!</definedName>
    <definedName name="BExDAGMVMNLQ6QXASB9R6D8DIT12">#REF!</definedName>
    <definedName name="BExDATYYDMKUH6BNIAWKWRVL7DCS">#REF!</definedName>
    <definedName name="BExDAYBHU9ADLXI8VRC7F608RVGM">#REF!</definedName>
    <definedName name="BExDBDR1XR0FV0CYUCB2OJ7CJCZU">#REF!</definedName>
    <definedName name="BExDC7F818VN0S18ID7XRCRVYPJ4">#REF!</definedName>
    <definedName name="BExDCL7K96PC9VZYB70ZW3QPVIJE">#REF!</definedName>
    <definedName name="BExDCP3UZ3C2O4C1F7KMU0Z9U32N">#REF!</definedName>
    <definedName name="BExENE1VDFSAMBNCUVUJNJ2HS7WJ" hidden="1">#REF!</definedName>
    <definedName name="BExEOBX3WECDMYCV9RLN49APTXMM">#REF!</definedName>
    <definedName name="BExEOM3YV59MTPUDPWT9CARM5YKS">#REF!</definedName>
    <definedName name="BExEONWP08ULRF40YOGT47O21B3T">#REF!</definedName>
    <definedName name="BExEOQWKPIE6ZZRZ8IE9PAH33AQS">#REF!</definedName>
    <definedName name="BExEP4E4F36662JDI0TOD85OP7X9">#REF!</definedName>
    <definedName name="BExEPN9VIYI0FVL0HLZQXJFO6TT0">#REF!</definedName>
    <definedName name="BExEPYT6VDSMR8MU2341Q5GM2Y9V">#REF!</definedName>
    <definedName name="BExEQ2EMWMD17Y7NCI4UNO0GOUJK">#REF!</definedName>
    <definedName name="BExEQ2ENYLMY8K1796XBB31CJHNN">#REF!</definedName>
    <definedName name="BExEQ2PFE4N40LEPGDPS90WDL6BN">#REF!</definedName>
    <definedName name="BExEQ2PFURT24NQYGYVE8NKX1EGA">#REF!</definedName>
    <definedName name="BExEQB8ZWXO6IIGOEPWTLOJGE2NR">#REF!</definedName>
    <definedName name="BExEQBZX0EL6LIKPY01197ACK65H">#REF!</definedName>
    <definedName name="BExEQDXZALJLD4OBF74IKZBR13SR">#REF!</definedName>
    <definedName name="BExEQFLE2RPWGMWQAI4JMKUEFRPT">#REF!</definedName>
    <definedName name="BExEQLVYSGSYRAKZK8Z0QLLF7G2K">#REF!</definedName>
    <definedName name="BExEQTZAP8R69U31W4LKGTKKGKQE">#REF!</definedName>
    <definedName name="BExER2O72H1F9WV6S1J04C15PXX7">#REF!</definedName>
    <definedName name="BExERNSS1TQUR6I9FGRALYTE0CFQ">#REF!</definedName>
    <definedName name="BExERRUIKIOATPZ9U4HQ0V52RJAU">#REF!</definedName>
    <definedName name="BExERSANFNM1O7T65PC5MJ301YET">#REF!</definedName>
    <definedName name="BExERWCEBKQRYWRQLYJ4UCMMKTHG">#REF!</definedName>
    <definedName name="BExES44RHHDL3V7FLV6M20834WF1">#REF!</definedName>
    <definedName name="BExES4A7VE2X3RYYTVRLKZD4I7WU">#REF!</definedName>
    <definedName name="BExES6ZC8R7PHJ21OVJFLIR7DY30">#REF!</definedName>
    <definedName name="BExESI2IXIELPLL09301UIJ59X0R">#REF!</definedName>
    <definedName name="BExESMKD95A649M0WRSG6CXXP326">#REF!</definedName>
    <definedName name="BExESOYP8MNCF9C9XMGD9NIO2DHH">#REF!</definedName>
    <definedName name="BExESR27ZXJG5VMY4PR9D940VS7T">#REF!</definedName>
    <definedName name="BExESZ03KXL8DQ2591HLR56ZML94">#REF!</definedName>
    <definedName name="BExESZAW5N443NRTKIP59OEI1CR6">#REF!</definedName>
    <definedName name="BExET3HXQ60A4O2OLKX8QNXRI6LQ">#REF!</definedName>
    <definedName name="BExETA3B1FCIOA80H94K90FWXQKE">#REF!</definedName>
    <definedName name="BExETAZOYT4CJIT8RRKC9F2HJG1D">#REF!</definedName>
    <definedName name="BExETF6QD5A9GEINE1KZRRC2LXWM">#REF!</definedName>
    <definedName name="BExETQ9XRXLUACN82805SPSPNKHI">#REF!</definedName>
    <definedName name="BExETR0YRMOR63E6DHLEHV9QVVON">#REF!</definedName>
    <definedName name="BExETVTGY38YXYYF7N73OYN6FYY3">#REF!</definedName>
    <definedName name="BExEU60A1U7NBTOAEDQAL9RNN2R6">#REF!</definedName>
    <definedName name="BExEUC5KVITDJ18RD7EXV9HZAXT4" hidden="1">#REF!</definedName>
    <definedName name="BExEULLDHPM8KXPMAV0YT0FYQCO0">#REF!</definedName>
    <definedName name="BExEUNE4T242Y59C6MS28MXEUGCP">#REF!</definedName>
    <definedName name="BExEUTJ7WGSZAKNIE678K6VVBMB0">#REF!</definedName>
    <definedName name="BExEV2TP7NA3ZR6RJGH5ER370OUM">#REF!</definedName>
    <definedName name="BExEV69USLNYO2QRJRC0J92XUF00">#REF!</definedName>
    <definedName name="BExEV6KNTQOCFD7GV726XQEVQ7R6">#REF!</definedName>
    <definedName name="BExEV6VGM4POO9QT9KH3QA3VYCWM">#REF!</definedName>
    <definedName name="BExEVET98G3FU6QBF9LHYWSAMV0O">#REF!</definedName>
    <definedName name="BExEVNCUT0PDUYNJH7G6BSEWZOT2">#REF!</definedName>
    <definedName name="BExEVPGF4V5J0WQRZKUM8F9TTKZJ">#REF!</definedName>
    <definedName name="BExEVPWH8S9GER9M14SPIT6XZ8SG">#REF!</definedName>
    <definedName name="BExEVVLIEVWYRF2UUC1H0H5QU1CP">#REF!</definedName>
    <definedName name="BExEVWCKO8T84GW9Z3X47915XKSH">#REF!</definedName>
    <definedName name="BExEVZSJWMZ5L2ZE7AZC57CXKW6T">#REF!</definedName>
    <definedName name="BExEW0JL1GFFCXMDGW54CI7Y8FZN">#REF!</definedName>
    <definedName name="BExEW68M9WL8214QH9C7VCK7BN08">#REF!</definedName>
    <definedName name="BExEW8HFKH6F47KIHYBDRUEFZ2ZZ">#REF!</definedName>
    <definedName name="BExEWLO75K95C6IRKHXSP7VP81T4">#REF!</definedName>
    <definedName name="BExEWNBGQS1U2LW3W84T4LSJ9K00">#REF!</definedName>
    <definedName name="BExEWO7STL7HNZSTY8VQBPTX1WK6">#REF!</definedName>
    <definedName name="BExEWQ0M1N3KMKTDJ73H10QSG4W1">#REF!</definedName>
    <definedName name="BExEX1K1G1XOATOHE1L56FPNFKEH">#REF!</definedName>
    <definedName name="BExEX73L5U8LOUK1PKINTHURZSZ2">#REF!</definedName>
    <definedName name="BExEX7UNGH8R3K4267QO5BXNLPO2">#REF!</definedName>
    <definedName name="BExEX85F3OSW8NSCYGYPS9372Z1Q">#REF!</definedName>
    <definedName name="BExEX9HWY2G6928ZVVVQF77QCM2C">#REF!</definedName>
    <definedName name="BExEXBQWAYKMVBRJRHB8PFCSYFVN">#REF!</definedName>
    <definedName name="BExEXRBZ0DI9E2UFLLKYWGN66B61">#REF!</definedName>
    <definedName name="BExEXV878GC00CL9Y3PMG1EPV93S">#REF!</definedName>
    <definedName name="BExEYLG9FL9V1JPPNZ3FUDNSEJ4V">#REF!</definedName>
    <definedName name="BExEYOW8C1B3OUUCIGEC7L8OOW1Z">#REF!</definedName>
    <definedName name="BExEYUQJXZT6N5HJH8ACJF6SRWEE">#REF!</definedName>
    <definedName name="BExEZ1S6VZCG01ZPLBSS9Z1SBOJ2">#REF!</definedName>
    <definedName name="BExEZGBFNJR8DLPN0V11AU22L6WY">#REF!</definedName>
    <definedName name="BExEZNYN4RJEH991QXFETE16HI4H">#REF!</definedName>
    <definedName name="BExEZOEPVQ8C2TEM23W2T7CJ7Z7C">#REF!</definedName>
    <definedName name="BExEZSGGSAF9QN04SZZEXG94PY3I">#REF!</definedName>
    <definedName name="BExEZSLYNYUB1PTK9QTJX26XMIH7">#REF!</definedName>
    <definedName name="BExF02Y3V3QEPO2XLDSK47APK9XJ">#REF!</definedName>
    <definedName name="BExF09OS91RT7N7IW8JLMZ121ZP3">#REF!</definedName>
    <definedName name="BExF0LOEHV42P2DV7QL8O7HOQ3N9">#REF!</definedName>
    <definedName name="BExF0WRM9VO25RLSO03ZOCE8H7K5">#REF!</definedName>
    <definedName name="BExF0ZRI7W4RSLIDLHTSM0AWXO3S">#REF!</definedName>
    <definedName name="BExF14ENQHDDJ6BI9GUW6FA5QPDY">#REF!</definedName>
    <definedName name="BExF19CT3MMZZ2T5EWMDNG3UOJ01">#REF!</definedName>
    <definedName name="BExF1M38U6NX17YJA8YU359B5Z4M">#REF!</definedName>
    <definedName name="BExF1MU4W3NPEY0OHRDWP5IANCBB">#REF!</definedName>
    <definedName name="BExF1MZN8MWMOKOARHJ1QAF9HPGT">#REF!</definedName>
    <definedName name="BExF1R1D5CNBISJOPHOYMPVHPTX4">#REF!</definedName>
    <definedName name="BExF1US4ZIQYSU5LBFYNRA9N0K2O">#REF!</definedName>
    <definedName name="BExF2B9KRLBBIEC0UVZ66BI5FN6J">#REF!</definedName>
    <definedName name="BExF2CWZN6E87RGTBMD4YQI2QT7R">#REF!</definedName>
    <definedName name="BExF2DYO1WQ7GMXSTAQRDBW1NSFG">#REF!</definedName>
    <definedName name="BExF2MSWNUY9Z6BZJQZ538PPTION">#REF!</definedName>
    <definedName name="BExF2QZYWHTYGUTTXR15CKCV3LS7">#REF!</definedName>
    <definedName name="BExF2T8Y6TSJ74RMSZOA9CEH4OZ6">#REF!</definedName>
    <definedName name="BExF31N3YM4F37EOOY8M8VI1KXN8">#REF!</definedName>
    <definedName name="BExF37C1YKBT79Z9SOJAG5MXQGTU">#REF!</definedName>
    <definedName name="BExF3A6HPA6DGYALZNHHJPMCUYZR">#REF!</definedName>
    <definedName name="BExF3I9T44X7DV9HHV51DVDDPPZG">#REF!</definedName>
    <definedName name="BExF3JMFX5DILOIFUDIO1HZUK875">#REF!</definedName>
    <definedName name="BExF3LV9CUBICNV2O2E5KBVIJUSX" hidden="1">#REF!</definedName>
    <definedName name="BExF3NTC4BGZEM6B87TCFX277QCS">#REF!</definedName>
    <definedName name="BExF3Q7NI90WT31QHYSJDIG0LLLJ">#REF!</definedName>
    <definedName name="BExF3QD55TIY1MSBSRK9TUJKBEWO">#REF!</definedName>
    <definedName name="BExF3QT8J6RIF1L3R700MBSKIOKW">#REF!</definedName>
    <definedName name="BExF42SSBVPMLK2UB3B7FPEIY9TU">#REF!</definedName>
    <definedName name="BExF4HXSWB50BKYPWA0HTT8W56H6">#REF!</definedName>
    <definedName name="BExF4KHF04IWW4LQ95FHQPFE4Y9K">#REF!</definedName>
    <definedName name="BExF4LU2NV3A47BCWPM3EZXUEH37">#REF!</definedName>
    <definedName name="BExF4MVQM5Y0QRDLDFSKWWTF709C">#REF!</definedName>
    <definedName name="BExF4PVMZYV36E8HOYY06J81AMBI">#REF!</definedName>
    <definedName name="BExF4SF9NEX1FZE9N8EXT89PM54D">#REF!</definedName>
    <definedName name="BExF52GTGP8MHGII4KJ8TJGR8W8U">#REF!</definedName>
    <definedName name="BExF57K7L3UC1I2FSAWURR4SN0UN">#REF!</definedName>
    <definedName name="BExF5D96JEPDW6LV89G2REZJ1ES7">#REF!</definedName>
    <definedName name="BExF5HR2GFV7O8LKG9SJ4BY78LYA">#REF!</definedName>
    <definedName name="BExF5ZFO2A29GHWR5ES64Z9OS16J">#REF!</definedName>
    <definedName name="BExF62A3MLH813NID28ONGARJH2X">#REF!</definedName>
    <definedName name="BExF63S045JO7H2ZJCBTBVH3SUIF">#REF!</definedName>
    <definedName name="BExF642TEGTXCI9A61ZOONJCB0U1">#REF!</definedName>
    <definedName name="BExF67O951CF8UJF3KBDNR0E83C1">#REF!</definedName>
    <definedName name="BExF6EV7I35NVMIJGYTB6E24YVPA">#REF!</definedName>
    <definedName name="BExF6FGUF393KTMBT40S5BYAFG00">#REF!</definedName>
    <definedName name="BExF6GNYXWY8A0SY4PW1B6KJMMTM">#REF!</definedName>
    <definedName name="BExF6IB8K74Z0AFT05GPOKKZW7C9">#REF!</definedName>
    <definedName name="BExF6NUXJI11W2IAZNAM1QWC0459">#REF!</definedName>
    <definedName name="BExF6RR76KNVIXGJOVFO8GDILKGZ">#REF!</definedName>
    <definedName name="BExF6ZE8D5CMPJPRWT6S4HM56LPF">#REF!</definedName>
    <definedName name="BExF76FV8SF7AJK7B35AL7VTZF6D">#REF!</definedName>
    <definedName name="BExF7EOIMC1OYL1N7835KGOI0FIZ">#REF!</definedName>
    <definedName name="BExF7K88K7ASGV6RAOAGH52G04VR">#REF!</definedName>
    <definedName name="BExF7KTRNDA4PDEWXLZOSGH6HBTK">#REF!</definedName>
    <definedName name="BExF7OVDRP3LHNAF2CX4V84CKKIR">#REF!</definedName>
    <definedName name="BExF7QO41X2A2SL8UXDNP99GY7U9">#REF!</definedName>
    <definedName name="BExF81GI8B8WBHXFTET68A9358BR">#REF!</definedName>
    <definedName name="BExF91F9EY2QWUVHB02O42OI5VJA">#REF!</definedName>
    <definedName name="BExF974BG77G8CGZUKOT46BKS3JY">#REF!</definedName>
    <definedName name="BExGL97US0Y3KXXASUTVR26XLT70">#REF!</definedName>
    <definedName name="BExGLC7R4C33RO0PID97ZPPVCW4M">#REF!</definedName>
    <definedName name="BExGLFIF7HCFSHNQHKEV6RY0WCO3">#REF!</definedName>
    <definedName name="BExGLTARRL0J772UD2TXEYAVPY6E">#REF!</definedName>
    <definedName name="BExGLVP1IU8K5A8J1340XFMYPR88">#REF!</definedName>
    <definedName name="BExGLYE6RZTAAWHJBG2QFJPTDS2Q">#REF!</definedName>
    <definedName name="BExGM06W6F9M898F25U5GS310ZDJ">#REF!</definedName>
    <definedName name="BExGM4DZ65OAQP7MA4LN6QMYZOFF">#REF!</definedName>
    <definedName name="BExGMCXCWEC9XNUOEMZ61TMI6CUO">#REF!</definedName>
    <definedName name="BExGMJDGIH0MEPC2TUSFUCY2ROTB">#REF!</definedName>
    <definedName name="BExGMKPW2HPKN0M0XKF3AZ8YP0D6">#REF!</definedName>
    <definedName name="BExGMOM6BJIMIN7C4IHRF1V8A96K">#REF!</definedName>
    <definedName name="BExGMP2F175LGL6QVSJGP6GKYHHA">#REF!</definedName>
    <definedName name="BExGMP7QPV1K0HGEJ78M3SJKOXMJ">#REF!</definedName>
    <definedName name="BExGMPIIP8GKML2VVA8OEFL43NCS">#REF!</definedName>
    <definedName name="BExGMZ3SRIXLXMWBVOXXV3M4U4YL">#REF!</definedName>
    <definedName name="BExGMZ3UBN48IXU1ZEFYECEMZ1IM">#REF!</definedName>
    <definedName name="BExGN4I0QATXNZCLZJM1KH1OIJQH">#REF!</definedName>
    <definedName name="BExGN7HXECFUQS2XNA6RF790L4W9">#REF!</definedName>
    <definedName name="BExGN9FZ2RWCMSY1YOBJKZMNIM9R">#REF!</definedName>
    <definedName name="BExGNDSIMTHOCXXG6QOGR6DA8SGG">#REF!</definedName>
    <definedName name="BExGNN2YQ9BDAZXT2GLCSAPXKIM7">#REF!</definedName>
    <definedName name="BExGNSS0CKRPKHO25R3TDBEL2NHX">#REF!</definedName>
    <definedName name="BExGNYH0MO8NOVS85L15G0RWX4GW">#REF!</definedName>
    <definedName name="BExGNZO44DEG8CGIDYSEGDUQ531R">#REF!</definedName>
    <definedName name="BExGO2O0V6UYDY26AX8OSN72F77N">#REF!</definedName>
    <definedName name="BExGO2YUBOVLYHY1QSIHRE1KLAFV">#REF!</definedName>
    <definedName name="BExGO70E2O70LF46V8T26YFPL4V8">#REF!</definedName>
    <definedName name="BExGO8D1R9I69SERTZT2W3SLEZNA" hidden="1">#REF!</definedName>
    <definedName name="BExGOB25QJMQCQE76MRW9X58OIOO">#REF!</definedName>
    <definedName name="BExGODAZKJ9EXMQZNQR5YDBSS525">#REF!</definedName>
    <definedName name="BExGODR8ZSMUC11I56QHSZ686XV5">#REF!</definedName>
    <definedName name="BExGOT6UXUX5FVTAYL9SOBZ1D0II">#REF!</definedName>
    <definedName name="BExGOXJDHUDPDT8I8IVGVW9J0R5Q">#REF!</definedName>
    <definedName name="BExGPHGT5KDOCMV2EFS4OVKTWBRD">#REF!</definedName>
    <definedName name="BExGPID72Y4Y619LWASUQZKZHJNC">#REF!</definedName>
    <definedName name="BExGPPENQIANVGLVQJ77DK5JPRTB">#REF!</definedName>
    <definedName name="BExGQ1ZU4967P72AHF4V1D0FOL5C">#REF!</definedName>
    <definedName name="BExGQ36ZOMR9GV8T05M605MMOY3Y">#REF!</definedName>
    <definedName name="BExGQ61DTJ0SBFMDFBAK3XZ9O0ZO">#REF!</definedName>
    <definedName name="BExGQ6SG9XEOD0VMBAR22YPZWSTA">#REF!</definedName>
    <definedName name="BExGQBFLMJJ9B8UZOREEHXFHK7N2">#REF!</definedName>
    <definedName name="BExGQGJ1A7LNZUS8QSMOG8UNGLMK">#REF!</definedName>
    <definedName name="BExGQPO7ENFEQC0NC6MC9OZR2LHY">#REF!</definedName>
    <definedName name="BExGQX0H4EZMXBJTKJJE4ICJWN5O">#REF!</definedName>
    <definedName name="BExGQXB9MZOQ756QKBX37UVT0E1N">#REF!</definedName>
    <definedName name="BExGR4CW3WRIID17GGX4MI9ZDHFE">#REF!</definedName>
    <definedName name="BExGR65GJX27MU2OL6NI5PB8XVB4">#REF!</definedName>
    <definedName name="BExGR6LQ97HETGS3CT96L4IK0JSH">#REF!</definedName>
    <definedName name="BExGR9ATP2LVT7B9OCPSLJ11H9SX">#REF!</definedName>
    <definedName name="BExGRP6OL44LJTNKNI09G040YBUV">#REF!</definedName>
    <definedName name="BExGRUKVVKDL8483WI70VN2QZDGD">#REF!</definedName>
    <definedName name="BExGRY6DV7SFO3FUC935DBI9JHHD">#REF!</definedName>
    <definedName name="BExGS2IWR5DUNJ1U9PAKIV8CMBNI">#REF!</definedName>
    <definedName name="BExGS69P9FFTEOPDS0MWFKF45G47">#REF!</definedName>
    <definedName name="BExGS6F1JFHM5MUJ1RFO50WP6D05">#REF!</definedName>
    <definedName name="BExGSA5YB5ZGE4NHDVCZ55TQAJTL">#REF!</definedName>
    <definedName name="BExGSCEUCQQVDEEKWJ677QTGUVTE">#REF!</definedName>
    <definedName name="BExGSE7JOEA0YCHSJZ9200QPDIJS">#REF!</definedName>
    <definedName name="BExGSQY65LH1PCKKM5WHDW83F35O">#REF!</definedName>
    <definedName name="BExGSYW1GKISF0PMUAK3XJK9PEW9">#REF!</definedName>
    <definedName name="BExGT0DZJB6LSF6L693UUB9EY1VQ">#REF!</definedName>
    <definedName name="BExGT26Q34RZH81QA2RSEHCYR7DV">#REF!</definedName>
    <definedName name="BExGTGVFIF8HOQXR54SK065A8M4K">#REF!</definedName>
    <definedName name="BExGTIYX3OWPIINOGY1E4QQYSKHP">#REF!</definedName>
    <definedName name="BExGTKGUN0KUU3C0RL2LK98D8MEK">#REF!</definedName>
    <definedName name="BExGTS3XVUCQ4VU4J7CHKKFVT00J">#REF!</definedName>
    <definedName name="BExGTZ046J7VMUG4YPKFN2K8TWB7">#REF!</definedName>
    <definedName name="BExGU2G9OPRZRIU9YGF6NX9FUW0J">#REF!</definedName>
    <definedName name="BExGU6HTKLRZO8UOI3DTAM5RFDBA">#REF!</definedName>
    <definedName name="BExGUDDZXFFQHAF4UZF8ZB1HO7H6">#REF!</definedName>
    <definedName name="BExGUIBXBRHGM97ZX6GBA4ZDQ79C">#REF!</definedName>
    <definedName name="BExGUM8D91UNPCOO4TKP9FGX85TF">#REF!</definedName>
    <definedName name="BExGUQF9N9FKI7S0H30WUAEB5LPD">#REF!</definedName>
    <definedName name="BExGUR6BA03XPBK60SQUW197GJ5X">#REF!</definedName>
    <definedName name="BExGUU0WEI69F8ZIXWN595TGXFHG">#REF!</definedName>
    <definedName name="BExGUVIP60TA4B7X2PFGMBFUSKGX">#REF!</definedName>
    <definedName name="BExGUZKF06F209XL1IZWVJEQ82EE">#REF!</definedName>
    <definedName name="BExGV2EVT380QHD4AP2RL9MR8L5L">#REF!</definedName>
    <definedName name="BExGVV6OOLDQ3TXZK51TTF3YX0WN">#REF!</definedName>
    <definedName name="BExGW0KVS7U0C87XFZ78QW991IEV">#REF!</definedName>
    <definedName name="BExGW2Z7AMPG6H9EXA9ML6EZVGGA">#REF!</definedName>
    <definedName name="BExGW9VCZCEM8UBOIWLGP86VDXAM">#REF!</definedName>
    <definedName name="BExGWABG5VT5XO1A196RK61AXA8C">#REF!</definedName>
    <definedName name="BExGWCV8916MRBLI113C5KK5RGE6">#REF!</definedName>
    <definedName name="BExGWEO0JDG84NYLEAV5NSOAGMJZ">#REF!</definedName>
    <definedName name="BExGWF441V08QGC7WOV8ZNCY11L7">#REF!</definedName>
    <definedName name="BExGWLEOC70Z8QAJTPT2PDHTNM4L">#REF!</definedName>
    <definedName name="BExGWNCXLCRTLBVMTXYJ5PHQI6SS">#REF!</definedName>
    <definedName name="BExGX6U988MCFIGDA1282F92U9AA">#REF!</definedName>
    <definedName name="BExGX7FTB1CKAT5HUW6H531FIY6I">#REF!</definedName>
    <definedName name="BExGX8HHCYSAHDCEWOG9XLCU18N6">#REF!</definedName>
    <definedName name="BExGX9DVACJQIZ4GH6YAD2A7F70O">#REF!</definedName>
    <definedName name="BExGXDVP2S2Y8Z8Q43I78RCIK3DD">#REF!</definedName>
    <definedName name="BExGXJ9W5JU7TT9S0BKL5Y6VVB39">#REF!</definedName>
    <definedName name="BExGXWB73RJ4BASBQTQ8EY0EC1EB">#REF!</definedName>
    <definedName name="BExGXZ0ABB43C7SMRKZHWOSU9EQX">#REF!</definedName>
    <definedName name="BExGY6SU3SYVCJ3AG2ITY59SAZ5A">#REF!</definedName>
    <definedName name="BExGY6YA4P5KMY2VHT0DYK3YTFAX">#REF!</definedName>
    <definedName name="BExGY8G88PVVRYHPHRPJZFSX6HSC">#REF!</definedName>
    <definedName name="BExGYC718HTZ80PNKYPVIYGRJVF6">#REF!</definedName>
    <definedName name="BExGYCHSO0W2KLD88V9TBXYCB1L2">#REF!</definedName>
    <definedName name="BExGYCNATXZY2FID93B17YWIPPRD">#REF!</definedName>
    <definedName name="BExGYGJJJ3BBCQAOA51WHP01HN73">#REF!</definedName>
    <definedName name="BExGYOS6TV2C72PLRFU8RP1I58GY">#REF!</definedName>
    <definedName name="BExGZ7NXZ0IBS44C2NZ9VMD6T6K2">#REF!</definedName>
    <definedName name="BExGZJ78ZWZCVHZ3BKEKFJZ6MAEO">#REF!</definedName>
    <definedName name="BExGZOLH2QV73J3M9IWDDPA62TP4">#REF!</definedName>
    <definedName name="BExGZP1PWGFKVVVN4YDIS22DZPCR">#REF!</definedName>
    <definedName name="BExGZSN7ZY4H4Y4ZES4HRPL3BQ7C">#REF!</definedName>
    <definedName name="BExH00L21GZX5YJJGVMOAWBERLP5">#REF!</definedName>
    <definedName name="BExH02ZD6VAY1KQLAQYBBI6WWIZB">#REF!</definedName>
    <definedName name="BExH08Z6LQCGGSGSAILMHX4X7JMD">#REF!</definedName>
    <definedName name="BExH0KD6K5TIVDAUTBFJHT7L0CK4">#REF!</definedName>
    <definedName name="BExH0KT9Z8HEVRRQRGQ8YHXRLIJA">#REF!</definedName>
    <definedName name="BExH0M0FDN12YBOCKL3XL2Z7T7Y8">#REF!</definedName>
    <definedName name="BExH0O9G06YPZ5TN9RYT326I1CP2">#REF!</definedName>
    <definedName name="BExH0WNJAKTJRCKMTX8O4KNMIIJM">#REF!</definedName>
    <definedName name="BExH12Y4WX542WI3ZEM15AK4UM9J">#REF!</definedName>
    <definedName name="BExH17LBRAZL0WM7YCDNY03IMU7H">#REF!</definedName>
    <definedName name="BExH1FDTQXR9QQ31WDB7OPXU7MPT">#REF!</definedName>
    <definedName name="BExH1FOMEUIJNIDJAUY0ZQFBJSY9">#REF!</definedName>
    <definedName name="BExH1JFFHEBFX9BWJMNIA3N66R3Z">#REF!</definedName>
    <definedName name="BExH1X2EVHQZO4SJDS6V4BMEG17U">#REF!</definedName>
    <definedName name="BExH1Z0GIUSVTF2H1G1I3PDGBNK2">#REF!</definedName>
    <definedName name="BExH21K9JXIGJ8KW8BD49KVNV5KU">#REF!</definedName>
    <definedName name="BExH225UTM6S9FW4MUDZS7F1PQSH">#REF!</definedName>
    <definedName name="BExH23271RF7AYZ542KHQTH68GQ7">#REF!</definedName>
    <definedName name="BExH27UV451VYAQXLHQCYRJ80UTX" hidden="1">#REF!</definedName>
    <definedName name="BExH2GJQR4JALNB314RY0LDI49VH">#REF!</definedName>
    <definedName name="BExH2JZR49T7644JFVE7B3N7RZM9">#REF!</definedName>
    <definedName name="BExH2UHF0QTJG107MULYB16WBJM9">#REF!</definedName>
    <definedName name="BExH2WKXV8X5S2GSBBTWGI0NLNAH">#REF!</definedName>
    <definedName name="BExH2XS1UFYFGU0S0EBXX90W2WE8">#REF!</definedName>
    <definedName name="BExH2XS2TND9SB0GC295R4FP6K5Y">#REF!</definedName>
    <definedName name="BExH2Y2U5RJ4ADJQCUONWLPQ4O3D">#REF!</definedName>
    <definedName name="BExH2ZA0SZ4SSITL50NA8LZ3OEX6">#REF!</definedName>
    <definedName name="BExH31Z3JNVJPESWKXHILGXZHP2M">#REF!</definedName>
    <definedName name="BExH3E9HZ3QJCDZW7WI7YACFQCHE">#REF!</definedName>
    <definedName name="BExH3F5VGP2F59IO7540AO5R866X">#REF!</definedName>
    <definedName name="BExH3IRB6764RQ5HBYRLH6XCT29X">#REF!</definedName>
    <definedName name="BExIFSNE4C29HU57VY9DRA8ZHJMI">#REF!</definedName>
    <definedName name="BExIG2U8V6RSB47SXLCQG3Q68YRO">#REF!</definedName>
    <definedName name="BExIGJBO8R13LV7CZ7C1YCP974NN">#REF!</definedName>
    <definedName name="BExIGWT86FPOEYTI8GXCGU5Y3KGK">#REF!</definedName>
    <definedName name="BExIHBHXA7E7VUTBVHXXXCH3A5CL">#REF!</definedName>
    <definedName name="BExIHPQCQTGEW8QOJVIQ4VX0P6DX">#REF!</definedName>
    <definedName name="BExII1KN91Q7DLW0UB7W2TJ5ACT9">#REF!</definedName>
    <definedName name="BExII50LI8I0CDOOZEMIVHVA2V95">#REF!</definedName>
    <definedName name="BExIIRXXR0K667L884UAGFW27GC7">#REF!</definedName>
    <definedName name="BExIIXMY38TQD12CVV4S57L3I809">#REF!</definedName>
    <definedName name="BExIIY37NEVU2LGS1JE4VR9AN6W4">#REF!</definedName>
    <definedName name="BExIIYJAGXR8TPZ1KCYM7EGJ79UW">#REF!</definedName>
    <definedName name="BExIJ3160YCWGAVEU0208ZGXXG3P">#REF!</definedName>
    <definedName name="BExIJFGZJ5ED9D6KAY4PGQYLELAX">#REF!</definedName>
    <definedName name="BExIJQK80ZEKSTV62E59AYJYUNLI">#REF!</definedName>
    <definedName name="BExIJRLX3M0YQLU1D5Y9V7HM5QNM">#REF!</definedName>
    <definedName name="BExIJV22J0QA7286KNPMHO1ZUCB3">#REF!</definedName>
    <definedName name="BExIJVI6OC7B6ZE9V4PAOYZXKNER">#REF!</definedName>
    <definedName name="BExIJWK0NGTGQ4X7D5VIVXD14JHI">#REF!</definedName>
    <definedName name="BExIJWPCIYINEJUTXU74VK7WG031">#REF!</definedName>
    <definedName name="BExIKE34VRI8LNA43PRAXOK0ENZ0">#REF!</definedName>
    <definedName name="BExIKEZIEF8HC349HWGDSJ2Q7A36">#REF!</definedName>
    <definedName name="BExIKHDUJVOICOBVB5XBI3FWKHDH">#REF!</definedName>
    <definedName name="BExIKHTXPZR5A8OHB6HDP6QWDHAD">#REF!</definedName>
    <definedName name="BExIKMMJOETSAXJYY1SIKM58LMA2">#REF!</definedName>
    <definedName name="BExIKRF6AQ6VOO9KCIWSM6FY8M7D">#REF!</definedName>
    <definedName name="BExIKS68I5YRWZPC1BZV3DUUIRB4">#REF!</definedName>
    <definedName name="BExIKTYZESFT3LC0ASFMFKSE0D1X">#REF!</definedName>
    <definedName name="BExIKUPVWA74ZNT6LY91VBTADMDP">#REF!</definedName>
    <definedName name="BExIKXVA6M8K0PTRYAGXS666L335">#REF!</definedName>
    <definedName name="BExIL0PMZ2SXK9R6MLP43KBU1J2P">#REF!</definedName>
    <definedName name="BExILAAXRTRAD18K74M6MGUEEPUM">#REF!</definedName>
    <definedName name="BExILG5F338C0FFLMVOKMKF8X5ZP">#REF!</definedName>
    <definedName name="BExILGQTQM0HOD0BJI90YO7GOIN3">#REF!</definedName>
    <definedName name="BExILZMLDONDP3BQR1XX8OZBA26V">#REF!</definedName>
    <definedName name="BExIM9DBUB7ZGF4B20FVUO9QGOX2">#REF!</definedName>
    <definedName name="BExIMGK9Z94TFPWWZFMD10HV0IF6">#REF!</definedName>
    <definedName name="BExIMPEGKG18TELVC33T4OQTNBWC">#REF!</definedName>
    <definedName name="BExIN3CAS48A9U3QM15BDRQ58ST1">#REF!</definedName>
    <definedName name="BExIN4OR435DL1US13JQPOQK8GD5">#REF!</definedName>
    <definedName name="BExINI6A7H3KSFRFA6UBBDPKW37F">#REF!</definedName>
    <definedName name="BExINIMK8XC3JOBT2EXYFHHH52H0">#REF!</definedName>
    <definedName name="BExINLX401ZKEGWU168DS4JUM2J6">#REF!</definedName>
    <definedName name="BExINMYYJO1FTV1CZF6O5XCFAMQX">#REF!</definedName>
    <definedName name="BExINP2H4KI05FRFV5PKZFE00HKO">#REF!</definedName>
    <definedName name="BExINRM3RDJMCEBSQIW8EXKYO81W">#REF!</definedName>
    <definedName name="BExINZELVWYGU876QUUZCIMXPBQC">#REF!</definedName>
    <definedName name="BExIOCQUQHKUU1KONGSDOLQTQEIC">#REF!</definedName>
    <definedName name="BExIOFL8Y5O61VLKTB4H20IJNWS1">#REF!</definedName>
    <definedName name="BExIOMBXRW5NS4ZPYX9G5QREZ5J6">#REF!</definedName>
    <definedName name="BExIORA3GK78T7C7SNBJJUONJ0LS">#REF!</definedName>
    <definedName name="BExIORFDXP4AVIEBLSTZ8ETSXMNM">#REF!</definedName>
    <definedName name="BExIOTZ5EFZ2NASVQ05RH15HRSW6">#REF!</definedName>
    <definedName name="BExIP8YNN6UUE1GZ223SWH7DLGKO">#REF!</definedName>
    <definedName name="BExIPAB4AOL592OJCC1CFAXTLF1A">#REF!</definedName>
    <definedName name="BExIPB25DKX4S2ZCKQN7KWSC3JBF">#REF!</definedName>
    <definedName name="BExIPDLT8JYAMGE5HTN4D1YHZF3V">#REF!</definedName>
    <definedName name="BExIPG040Q08EWIWL6CAVR3GRI43">#REF!</definedName>
    <definedName name="BExIPKNFUDPDKOSH5GHDVNA8D66S">#REF!</definedName>
    <definedName name="BExIPQ6ZMIIPESOVQ5GP432OHGZ2" hidden="1">#REF!</definedName>
    <definedName name="BExIQ1VS9A2FHVD9TUHKG9K8EVVP">#REF!</definedName>
    <definedName name="BExIQ3J19L30PSQ2CXNT6IHW0I7V">#REF!</definedName>
    <definedName name="BExIQ3OJ7M04XCY276IO0LJA5XUK">#REF!</definedName>
    <definedName name="BExIQ5S19ITB0NDRUN4XV7B905ED">#REF!</definedName>
    <definedName name="BExIQ9TMQT2EIXSVQW7GVSOAW2VJ">#REF!</definedName>
    <definedName name="BExIQBMDE1L6J4H27K1FMSHQKDSE">#REF!</definedName>
    <definedName name="BExIQE65LVXUOF3UZFO7SDHFJH22">#REF!</definedName>
    <definedName name="BExIQG9OO2KKBOWTMD1OXY36TEGA">#REF!</definedName>
    <definedName name="BExIQX1XBB31HZTYEEVOBSE3C5A6">#REF!</definedName>
    <definedName name="BExIQYP5T1TPAQYW7QU1Q98BKX7W">#REF!</definedName>
    <definedName name="BExIR2ALYRP9FW99DK2084J7IIDC">#REF!</definedName>
    <definedName name="BExIR8FQETPTQYW37DBVDWG3J4JW">#REF!</definedName>
    <definedName name="BExIR9HK7JX1L2CH2BEDXZVSIE9V">#REF!</definedName>
    <definedName name="BExIRRBGTY01OQOI3U5SW59RFDFI">#REF!</definedName>
    <definedName name="BExIS4T0DRF57HYO7OGG72KBOFOI">#REF!</definedName>
    <definedName name="BExIS6LQR6L9T3OTO7YCPQXAXAAB">#REF!</definedName>
    <definedName name="BExIS77BJDDK18PGI9DSEYZPIL7P">#REF!</definedName>
    <definedName name="BExIS8USL1T3Z97CZ30HJ98E2GXQ">#REF!</definedName>
    <definedName name="BExISC5B700MZUBFTQ9K4IKTF7HR">#REF!</definedName>
    <definedName name="BExISDHXS49S1H56ENBPRF1NLD5C">#REF!</definedName>
    <definedName name="BExISM1JLV54A21A164IURMPGUMU">#REF!</definedName>
    <definedName name="BExISMSDNG7ESGQW6WLIBMK3TR05">#REF!</definedName>
    <definedName name="BExISRFKJYUZ4AKW44IJF7RF9Y90">#REF!</definedName>
    <definedName name="BExIT1MK8TBAK3SNP36A8FKDQSOK">#REF!</definedName>
    <definedName name="BExITARLBMSZP0MDTHM5NAQG2OGL">#REF!</definedName>
    <definedName name="BExITBNYANV2S8KD56GOGCKW393R">#REF!</definedName>
    <definedName name="BExITPWD1VUWCL7Z872QJZR77JCP">#REF!</definedName>
    <definedName name="BExITU8WGDQKG9M3M9GZUIUHPXV6">#REF!</definedName>
    <definedName name="BExIUD4OJGH65NFNQ4VMCE3R4J1X">#REF!</definedName>
    <definedName name="BExIUEX7HWR9L9GED1OOUUPR3P4L">#REF!</definedName>
    <definedName name="BExIUH68665UA0TLLT6TB2JGW5PQ">#REF!</definedName>
    <definedName name="BExIUTB5OAAXYW0OFMP0PS40SPOB">#REF!</definedName>
    <definedName name="BExIUUT2MHIOV6R3WHA0DPM1KBKY">#REF!</definedName>
    <definedName name="BExIUYPDT1AM6MWGWQS646PIZIWC">#REF!</definedName>
    <definedName name="BExIV0I2O9F8D1UK1SI8AEYR6U0A">#REF!</definedName>
    <definedName name="BExIV194L8SHVHAKVDYUJVIUW6R6">#REF!</definedName>
    <definedName name="BExIV2LM38XPLRTWT0R44TMQ59E5">#REF!</definedName>
    <definedName name="BExIV3HY4S0YRV1F7XEMF2YHAR2I">#REF!</definedName>
    <definedName name="BExIV6HUZFRIFLXW2SICKGTAH1PV">#REF!</definedName>
    <definedName name="BExIVC6WZMHRBRGIBUVX0CO2RK05">#REF!</definedName>
    <definedName name="BExIVCXWL6H5LD9DHDIA4F5U9TQL">#REF!</definedName>
    <definedName name="BExIVMOIPSEWSIHIDDLOXESQ28A0">#REF!</definedName>
    <definedName name="BExIVNVNJX9BYDLC88NG09YF5XQ6">#REF!</definedName>
    <definedName name="BExIVQVKLMGSRYT1LFZH0KUIA4OR">#REF!</definedName>
    <definedName name="BExIVYTFI35KNR2XSA6N8OJYUTUR">#REF!</definedName>
    <definedName name="BExIW5ET7UTUGQAD7BE9WK5UKMGC">#REF!</definedName>
    <definedName name="BExIWB3SY3WRIVIOF988DNNODBOA">#REF!</definedName>
    <definedName name="BExIWB99CG0H52LRD6QWPN4L6DV2">#REF!</definedName>
    <definedName name="BExIWG1W7XP9DFYYSZAIOSHM0QLQ">#REF!</definedName>
    <definedName name="BExIWH3KUK94B7833DD4TB0Y6KP9">#REF!</definedName>
    <definedName name="BExIWHJTVQN56LBQLQAVYJGZCPS0">#REF!</definedName>
    <definedName name="BExIWKE9MGIDWORBI43AWTUNYFAN">#REF!</definedName>
    <definedName name="BExIX2Z84RME31393YA6EYKRVQ2O">#REF!</definedName>
    <definedName name="BExIX34PM5DBTRHRQWP6PL6WIX88">#REF!</definedName>
    <definedName name="BExIX5OAP9KSUE5SIZCW9P39Q4WE">#REF!</definedName>
    <definedName name="BExIXD6399WJZEAZPLMO25J76HES">#REF!</definedName>
    <definedName name="BExIXGRJPVJMUDGSG7IHPXPNO69B">#REF!</definedName>
    <definedName name="BExIXM5R87ZL3FHALWZXYCPHGX3E">#REF!</definedName>
    <definedName name="BExIXS036ZCKT2Z8XZKLZ8PFWQGL">#REF!</definedName>
    <definedName name="BExIXY5CF9PFM0P40AZ4U51TMWV0">#REF!</definedName>
    <definedName name="BExIXZSN4DWU517ZB4WMVMRAR3HE">#REF!</definedName>
    <definedName name="BExIY81EI7OC24JR1VQXFYGLHSLP">#REF!</definedName>
    <definedName name="BExIYEXJBK8JDWIRSVV4RJSKZVV1">#REF!</definedName>
    <definedName name="BExIYI2RH0K4225XO970K2IQ1E79">#REF!</definedName>
    <definedName name="BExIYMPZ0KS2KOJFQAUQJ77L7701">#REF!</definedName>
    <definedName name="BExIYP9Q6FV9T0R9G3UDKLS4TTYX">#REF!</definedName>
    <definedName name="BExIYZGLDQ1TN7BIIN4RLDP31GIM">#REF!</definedName>
    <definedName name="BExIZ4K0EZJK6PW3L8SVKTJFSWW9">#REF!</definedName>
    <definedName name="BExIZAECOEZGBAO29QMV14E6XDIV">#REF!</definedName>
    <definedName name="BExIZCNBH93LVDIIAY9B4MWHN361">#REF!</definedName>
    <definedName name="BExIZEW6V56Z1L9CVD468PF9QXFC">#REF!</definedName>
    <definedName name="BExIZKVXYD5O2JBU81F2UFJZLLSI">#REF!</definedName>
    <definedName name="BExIZPZDHC8HGER83WHCZAHOX7LK">#REF!</definedName>
    <definedName name="BExIZY2PUZ0OF9YKK1B13IW0VS6G">#REF!</definedName>
    <definedName name="BExJ08KBRR2XMWW3VZMPSQKXHZUH">#REF!</definedName>
    <definedName name="BExJ0DYJWXGE7DA39PYL3WM05U9O">#REF!</definedName>
    <definedName name="BExJ0MY8SY5J5V50H3UKE78ODTVB">#REF!</definedName>
    <definedName name="BExJ0YC98G37ML4N8FLP8D95EFRF">#REF!</definedName>
    <definedName name="BExKCDYKAEV45AFXHVHZZ62E5BM3">#REF!</definedName>
    <definedName name="BExKCKUPO1556XM0MBY04D7J82Z9">#REF!</definedName>
    <definedName name="BExKDKO0W4AGQO1V7K6Q4VM750FT">#REF!</definedName>
    <definedName name="BExKDKTIAQ7LCSQ3XYHWTHO28IB6">#REF!</definedName>
    <definedName name="BExKDLF10G7W77J87QWH3ZGLUCLW">#REF!</definedName>
    <definedName name="BExKDVWOO6AMGIS1X6TOB2DQHHFV">#REF!</definedName>
    <definedName name="BExKDZNGRB0559FQ2ZQSBRUKF4EA">#REF!</definedName>
    <definedName name="BExKEFE0I3MT6ZLC4T1L9465HKTN">#REF!</definedName>
    <definedName name="BExKEGVZQ8GF7R5FF4ES3RCKIOJR">#REF!</definedName>
    <definedName name="BExKEK6O5BVJP4VY02FY7JNAZ6BT">#REF!</definedName>
    <definedName name="BExKEKXK6E6QX339ELPXDIRZSJE0">#REF!</definedName>
    <definedName name="BExKEO880D5ALIR2KE8XFUC6CIV7">#REF!</definedName>
    <definedName name="BExKEOOIBMP7N8033EY2CJYCBX6H">#REF!</definedName>
    <definedName name="BExKEW0RR5LA3VC46A2BEOOMQE56">#REF!</definedName>
    <definedName name="BExKF9CZW4FPPY0XBJCLUW9Q3CM1">#REF!</definedName>
    <definedName name="BExKFA3VI1CZK21SM0N3LZWT9LA1">#REF!</definedName>
    <definedName name="BExKFINBFV5J2NFRCL4YUO3YF0ZE">#REF!</definedName>
    <definedName name="BExKFISRBFACTAMJSALEYMY66F6X">#REF!</definedName>
    <definedName name="BExKFOSK5DJ151C4E8544UWMYTOC">#REF!</definedName>
    <definedName name="BExKFYJC4EVEV54F82K6VKP7Q3OU">#REF!</definedName>
    <definedName name="BExKG4IYHBKQQ8J8FN10GB2IKO33">#REF!</definedName>
    <definedName name="BExKGF0L44S78D33WMQ1A75TRKB9">#REF!</definedName>
    <definedName name="BExKGFRN31B3G20LMQ4LRF879J68">#REF!</definedName>
    <definedName name="BExKGJD3U3ADZILP20U3EURP0UQP">#REF!</definedName>
    <definedName name="BExKGNK5YGKP0YHHTAAOV17Z9EIM">#REF!</definedName>
    <definedName name="BExKGV77YH9YXIQTRKK2331QGYKF">#REF!</definedName>
    <definedName name="BExKGXWBKQUL7R9G46CNGFDOLZ3M">#REF!</definedName>
    <definedName name="BExKH3FTZ5VGTB86W9M4AB39R0G8">#REF!</definedName>
    <definedName name="BExKH3FV5U5O6XZM7STS3NZKQFGJ">#REF!</definedName>
    <definedName name="BExKHAMUH8NR3HRV0V6FHJE3ROLN">#REF!</definedName>
    <definedName name="BExKHCFKOWFHO2WW0N7Y5XDXEWAO">#REF!</definedName>
    <definedName name="BExKHIVLONZ46HLMR50DEXKEUNEP">#REF!</definedName>
    <definedName name="BExKHKDK2PRBCUJS8TEDP8K3VODQ">#REF!</definedName>
    <definedName name="BExKHPM9XA0ADDK7TUR0N38EXWEP">#REF!</definedName>
    <definedName name="BExKHWT82UZ3TGDIJKLYIZIMFDN8">#REF!</definedName>
    <definedName name="BExKI4076KXCDE5KXL79KT36OKLO">#REF!</definedName>
    <definedName name="BExKI7LO70WYISR7Q0Y1ZDWO9M3B">#REF!</definedName>
    <definedName name="BExKIGQV6TXIZG039HBOJU62WP2U">#REF!</definedName>
    <definedName name="BExKIJQKVWRACP36VTUX4J4J7G4Q">#REF!</definedName>
    <definedName name="BExKILE008SF3KTAN8WML3XKI1NZ">#REF!</definedName>
    <definedName name="BExKINSBB6RS7I489QHMCOMU4Z2X">#REF!</definedName>
    <definedName name="BExKIU87ZKSOC2DYZWFK6SAK9I8E">#REF!</definedName>
    <definedName name="BExKJ449HLYX2DJ9UF0H9GTPSQ73">#REF!</definedName>
    <definedName name="BExKJELX2RUC8UEC56IZPYYZXHA7">#REF!</definedName>
    <definedName name="BExKJINMXS61G2TZEXCJAWVV4F57">#REF!</definedName>
    <definedName name="BExKJK5ME8KB7HA0180L7OUZDDGV">#REF!</definedName>
    <definedName name="BExKJN5IF0VMDILJ5K8ZENF2QYV1">#REF!</definedName>
    <definedName name="BExKJTFYBF70XSG0D3KR3SGOMP1A">#REF!</definedName>
    <definedName name="BExKJUSJPFUIK20FTVAFJWR2OUYX">#REF!</definedName>
    <definedName name="BExKK8VP5RS3D0UXZVKA37C4SYBP">#REF!</definedName>
    <definedName name="BExKKIM9NPF6B3SPMPIQB27HQME4">#REF!</definedName>
    <definedName name="BExKKIX1BCBQ4R3K41QD8NTV0OV0">#REF!</definedName>
    <definedName name="BExKKLGTY4E2KQ3TMNSYJ1Y1T6P7">#REF!</definedName>
    <definedName name="BExKKQ3ZWADYV03YHMXDOAMU90EB">#REF!</definedName>
    <definedName name="BExKKUGD2HMJWQEYZ8H3X1BMXFS9">#REF!</definedName>
    <definedName name="BExKKX05KCZZZPKOR1NE5A8RGVT4">#REF!</definedName>
    <definedName name="BExKLD6S9L66QYREYHBE5J44OK7X">#REF!</definedName>
    <definedName name="BExKLEZIPCUD1B3YA0NS6DE99X42">#REF!</definedName>
    <definedName name="BExKLEZK32L28GYJWVO63BZ5E1JD">#REF!</definedName>
    <definedName name="BExKLLKVVHT06LA55JB2FC871DC5">#REF!</definedName>
    <definedName name="BExKLLVNT5QQOCRNQFO3EJDHK2YJ">#REF!</definedName>
    <definedName name="BExKLOVM4Y3RDB8WLGFMDHQU08H0">#REF!</definedName>
    <definedName name="BExKM6EPPRV6XJ5PK87NYUNONLFG" hidden="1">#REF!</definedName>
    <definedName name="BExKMKCHPUXFK3CD5R383LA9JHL7">#REF!</definedName>
    <definedName name="BExKMWBX4EH3EYJ07UFEM08NB40Z">#REF!</definedName>
    <definedName name="BExKNBGV2IR3S7M0BX4810KZB4V3">#REF!</definedName>
    <definedName name="BExKNCTBZTSY3MO42VU5PLV6YUHZ">#REF!</definedName>
    <definedName name="BExKNGV2YY749C42AQ2T9QNIE5C3">#REF!</definedName>
    <definedName name="BExKNV8UOHVWEHDJWI2WMJ9X6QHZ">#REF!</definedName>
    <definedName name="BExKNZLD7UATC1MYRNJD8H2NH4KU">#REF!</definedName>
    <definedName name="BExKNZQUKQQG2Y97R74G4O4BJP1L">#REF!</definedName>
    <definedName name="BExKO06X0EAD3ABEG1E8PWLDWHBA">#REF!</definedName>
    <definedName name="BExKO2AHHSGNI1AZOIOW21KPXKPE">#REF!</definedName>
    <definedName name="BExKO2FXWJWC5IZLDN8JHYILQJ2N">#REF!</definedName>
    <definedName name="BExKO438WZ8FKOU00NURGFMOYXWN">#REF!</definedName>
    <definedName name="BExKOATWHWMEY2LJ0UMDQO8ALW6B">#REF!</definedName>
    <definedName name="BExKODIZGWW2EQD0FEYW6WK6XLCM">#REF!</definedName>
    <definedName name="BExKOKVFAHSC8COFQ8UGFZL7EC8W">#REF!</definedName>
    <definedName name="BExKOPO2HPWVQGAKW8LOZMPIDEFG">#REF!</definedName>
    <definedName name="BExKP23RLJUZL3JRHOFQAOQ58PIT">#REF!</definedName>
    <definedName name="BExKPCFY2ZKXQ9GP1XXPX7I178KG">#REF!</definedName>
    <definedName name="BExKPEZP0QTKOTLIMMIFSVTHQEEK">#REF!</definedName>
    <definedName name="BExKPLQJX0HJ8OTXBXH9IC9J2V0W">#REF!</definedName>
    <definedName name="BExKPN8C7GN36ZJZHLOB74LU6KT0">#REF!</definedName>
    <definedName name="BExKPX9VZ1J5021Q98K60HMPJU58">#REF!</definedName>
    <definedName name="BExKQ4BCFRVNY6F8K9DK2YVB6GLE">#REF!</definedName>
    <definedName name="BExKQECQDKHNI9Q0CW7UN82VGTIE">#REF!</definedName>
    <definedName name="BExKQJGAAWNM3NT19E9I0CQDBTU0">#REF!</definedName>
    <definedName name="BExKQK1Q9L08BFCXMDU762FDOPK9" hidden="1">#REF!</definedName>
    <definedName name="BExKQM5GJ1ZN5REKFE7YVBQ0KXWF">#REF!</definedName>
    <definedName name="BExKQOEA7HV9U5DH9C8JXFD62EKH">#REF!</definedName>
    <definedName name="BExKQQ71278061G7ZFYGPWOMOMY2">#REF!</definedName>
    <definedName name="BExKQQY1EFD9CD8EZDCDCWC9AR2S">#REF!</definedName>
    <definedName name="BExKQTXRG3ECU8NT47UR7643LO5G">#REF!</definedName>
    <definedName name="BExKQVL7HPOIZ4FHANDFMVOJLEPR">#REF!</definedName>
    <definedName name="BExKR32XG1WY77WDT8KW9FJPGQTU">#REF!</definedName>
    <definedName name="BExKR8RZSEHW184G0Z56B4EGNU72">#REF!</definedName>
    <definedName name="BExKRAKP6M8ETKPGVN2DSJ4K55TK">#REF!</definedName>
    <definedName name="BExKRDVDLPO5SACVKAVXJVGDP4IW">#REF!</definedName>
    <definedName name="BExKRERQ5LD5EY60EY1WT8IIU279">#REF!</definedName>
    <definedName name="BExKRFINZQF2DQT1211KE8MRJKDI">#REF!</definedName>
    <definedName name="BExKRJKDX37VP7AYUC6CFO4BVA8X">#REF!</definedName>
    <definedName name="BExKRVUSQ6PA7ZYQSTEQL3X7PB9P">#REF!</definedName>
    <definedName name="BExKRY3KZ7F7RB2KH8HXSQ85IEQO">#REF!</definedName>
    <definedName name="BExKS0HW58QL5Y58KS69YPWJ4WK1">#REF!</definedName>
    <definedName name="BExKSA37DZTCK6H13HPIKR0ZFVL8">#REF!</definedName>
    <definedName name="BExKSFMOMSZYDE0WNC94F40S6636">#REF!</definedName>
    <definedName name="BExKSHQ9K79S8KYUWIV5M5LAHHF1">#REF!</definedName>
    <definedName name="BExKSIS3VA1NCEFCZZSIK8B3YIBZ">#REF!</definedName>
    <definedName name="BExKSJTWG9L3FCX8FLK4EMUJMF27">#REF!</definedName>
    <definedName name="BExKSPZ1N7EQ24YXIHDU66YSAV7H">#REF!</definedName>
    <definedName name="BExKSU0MKNAVZYYPKCYTZDWQX4R8">#REF!</definedName>
    <definedName name="BExKSX60G1MUS689FXIGYP2F7C62">#REF!</definedName>
    <definedName name="BExKSZPNI7PS5MPKC6FP6QUV8NMN" hidden="1">#REF!</definedName>
    <definedName name="BExKT2UZ7Y2VWF5NQE18SJRLD2RN">#REF!</definedName>
    <definedName name="BExKT3GJFNGAM09H5F615E36A38C">#REF!</definedName>
    <definedName name="BExKTPXS18YKTBWAV060MXJCYQ4Q">#REF!</definedName>
    <definedName name="BExKTQZGN8GI3XGSEXMPCCA3S19H">#REF!</definedName>
    <definedName name="BExKTSMQ0K1KKIMHTNKF4SMQ85P6">#REF!</definedName>
    <definedName name="BExKTUKYYU0F6TUW1RXV24LRAZFE">#REF!</definedName>
    <definedName name="BExKTUVQP8RW39W1DXS9PBKPAKRV">#REF!</definedName>
    <definedName name="BExKU3FBLHQBIUTN6XEZW5GC9OG1">#REF!</definedName>
    <definedName name="BExKU82I99FEUIZLODXJDOJC96CQ">#REF!</definedName>
    <definedName name="BExKUDM0DFSCM3D91SH0XLXJSL18">#REF!</definedName>
    <definedName name="BExKUIEN780J6JTQHNPYZHL1O139">#REF!</definedName>
    <definedName name="BExKULEKJLA77AUQPDUHSM94Y76Z">#REF!</definedName>
    <definedName name="BExKV08R85MKI3MAX9E2HERNQUNL">#REF!</definedName>
    <definedName name="BExKV4AAUNNJL5JWD7PX6BFKVS6O">#REF!</definedName>
    <definedName name="BExKV6JBFAFIE1HXHEJGR1KI73NJ">#REF!</definedName>
    <definedName name="BExKVDVK6HN74GQPTXICP9BFC8CF">#REF!</definedName>
    <definedName name="BExKVFZ3ZZGIC1QI8XN6BYFWN0ZY">#REF!</definedName>
    <definedName name="BExKVG4KGO28KPGTAFL1R8TTZ10N">#REF!</definedName>
    <definedName name="BExKW0CSH7DA02YSNV64PSEIXB2P">#REF!</definedName>
    <definedName name="BExKWDJICEU8VAJ1S82EDOVH2DZ1">#REF!</definedName>
    <definedName name="BExM9NUG3Q31X01AI9ZJCZIX25CS">#REF!</definedName>
    <definedName name="BExM9OG182RP30MY23PG49LVPZ1C">#REF!</definedName>
    <definedName name="BExMA64MW1S18NH8DCKPCCEI5KCB">#REF!</definedName>
    <definedName name="BExMALEWFUEM8Y686IT03ECURUBR">#REF!</definedName>
    <definedName name="BExMAMB9NU3OZZOL0Y9EPGEJT9J0">#REF!</definedName>
    <definedName name="BExMAR3XSK6RSFLHP7ZX1EWGHASI">#REF!</definedName>
    <definedName name="BExMAXJS82ZJ8RS22VLE0V0LDUII">#REF!</definedName>
    <definedName name="BExMB4QRS0R3MTB4CMUHFZ84LNZQ">#REF!</definedName>
    <definedName name="BExMBC35WKQY5CWQJLV4D05O6971">#REF!</definedName>
    <definedName name="BExMBFTZV4Q1A5KG25C1N9PHQNSW">#REF!</definedName>
    <definedName name="BExMBK6ISK3U7KHZKUJXIDKGF6VW">#REF!</definedName>
    <definedName name="BExMBYPQDG9AYDQ5E8IECVFREPO6">#REF!</definedName>
    <definedName name="BExMC8AZUTX8LG89K2JJR7ZG62XX">#REF!</definedName>
    <definedName name="BExMC9NGLQK5D9VVDQST4ZLO36OO">#REF!</definedName>
    <definedName name="BExMCA96YR10V72G2R0SCIKPZLIZ">#REF!</definedName>
    <definedName name="BExMCB5JU5I2VQDUBS4O42BTEVKI">#REF!</definedName>
    <definedName name="BExMCFSQFSEMPY5IXDIRKZDASDBR">#REF!</definedName>
    <definedName name="BExMCI71FFAZ37XMQBP5AAJHNWD6">#REF!</definedName>
    <definedName name="BExMCMZOEYWVOOJ98TBHTTCS7XB8">#REF!</definedName>
    <definedName name="BExMCS8EF2W3FS9QADNKREYSI8P0">#REF!</definedName>
    <definedName name="BExMCUS7GSOM96J0HJ7EH0FFM2AC">#REF!</definedName>
    <definedName name="BExMCYTT6TVDWMJXO1NZANRTVNAN">#REF!</definedName>
    <definedName name="BExMD1TODBFD52U9LF5UOUXHWPVL">#REF!</definedName>
    <definedName name="BExMD5F6IAV108XYJLXUO9HD0IT6">#REF!</definedName>
    <definedName name="BExMDANV66W9T3XAXID40XFJ0J93">#REF!</definedName>
    <definedName name="BExMDGD1KQP7NNR78X2ZX4FCBQ1S">#REF!</definedName>
    <definedName name="BExMDIRDK0DI8P86HB7WPH8QWLSQ">#REF!</definedName>
    <definedName name="BExMDPI2FVMORSWDDCVAJ85WYAYO">#REF!</definedName>
    <definedName name="BExMDUWB7VWHFFR266QXO46BNV2S">#REF!</definedName>
    <definedName name="BExME2U47N8LZG0BPJ49ANY5QVV2">#REF!</definedName>
    <definedName name="BExME4HKNCH8BGQXZ0JI6JQ8VS65">#REF!</definedName>
    <definedName name="BExME88DH5DUKMUFI9FNVECXFD2E">#REF!</definedName>
    <definedName name="BExME9A7MOGAK7YTTQYXP5DL6VYA">#REF!</definedName>
    <definedName name="BExMEMX0QZHPRL7ERTYJM5UVDB6F">#REF!</definedName>
    <definedName name="BExMEOV9YFRY5C3GDLU60GIX10BY">#REF!</definedName>
    <definedName name="BExMEP0JSQSEJY4770CXKEHM8ZMX">#REF!</definedName>
    <definedName name="BExMETYO7BNSXDZWASPS35OD0JKB">#REF!</definedName>
    <definedName name="BExMEXK5BE9MJ62ZRJY0T09Q53RH">#REF!</definedName>
    <definedName name="BExMEY09ESM4H2YGKEQQRYUD114R">#REF!</definedName>
    <definedName name="BExMF4G4IUPQY1Y5GEY5N3E04CL6">#REF!</definedName>
    <definedName name="BExMF9UIGYMOAQK0ELUWP0S0HZZY">#REF!</definedName>
    <definedName name="BExMFDLBSWFMRDYJ2DZETI3EXKN2">#REF!</definedName>
    <definedName name="BExMFF8KMT147IH1T9ZWF263ITF5">#REF!</definedName>
    <definedName name="BExMFLDTMRTCHKA37LQW67BG8D5C">#REF!</definedName>
    <definedName name="BExMFNMTHL6UK0LB2LWSLQ9GIOFQ">#REF!</definedName>
    <definedName name="BExMG9NSK30KD01QX0UBN2VNRTG4">#REF!</definedName>
    <definedName name="BExMGDEL2D3PHUBIM162SYO352QY">#REF!</definedName>
    <definedName name="BExMGG3PFIHPHX7NXB7HDFI3N12L">#REF!</definedName>
    <definedName name="BExMH3H9TW5TJCNU5Z1EWXP3BAEP">#REF!</definedName>
    <definedName name="BExMH4Z826JFUM1Z0Y8JM74DAAFC">#REF!</definedName>
    <definedName name="BExMHOWPB34KPZ76M2KIX2C9R2VB">#REF!</definedName>
    <definedName name="BExMHSSYC6KVHA3QDTSYPN92TWMI">#REF!</definedName>
    <definedName name="BExMI0WA793SF41LQ40A28U8OXQY">#REF!</definedName>
    <definedName name="BExMI3AJ9477KDL4T9DHET4LJJTW">#REF!</definedName>
    <definedName name="BExMI6L9KX05GAK523JFKICJMTA5">#REF!</definedName>
    <definedName name="BExMI6QQ20XHD0NWJUN741B37182">#REF!</definedName>
    <definedName name="BExMI8JB94SBD9EMNJEK7Y2T6GYU">#REF!</definedName>
    <definedName name="BExMI8OS85YTW3KYVE4YD0R7Z6UV">#REF!</definedName>
    <definedName name="BExMIBOOZU40JS3F89OMPSRCE9MM">#REF!</definedName>
    <definedName name="BExMIIQ5MBWSIHTFWAQADXMZC22Q">#REF!</definedName>
    <definedName name="BExMIL4I2GE866I25CR5JBLJWJ6A">#REF!</definedName>
    <definedName name="BExMINTM4ICUY8N84NTAN56HOG13" hidden="1">#REF!</definedName>
    <definedName name="BExMIRKIPF27SNO82SPFSB3T5U17">#REF!</definedName>
    <definedName name="BExMIV0KC8555D5E42ZGWG15Y0MO">#REF!</definedName>
    <definedName name="BExMIZT6AN7E6YMW2S87CTCN2UXH">#REF!</definedName>
    <definedName name="BExMJ15T9F3475M0896SG60TN0SR">#REF!</definedName>
    <definedName name="BExMJFP0B3WN57IMIJ1BJZOTN3VQ">#REF!</definedName>
    <definedName name="BExMJHCAZSQOCVSCCV4HY2A1VDS1">#REF!</definedName>
    <definedName name="BExMJNC8ZFB9DRFOJ961ZAJ8U3A8">#REF!</definedName>
    <definedName name="BExMJTBV8A3D31W2IQHP9RDFPPHQ">#REF!</definedName>
    <definedName name="BExMK2BK4ARRGKLMCDEFU4YFQQNJ">#REF!</definedName>
    <definedName name="BExMK2RTXN4QJWEUNX002XK8VQP8">#REF!</definedName>
    <definedName name="BExMKAKDTZA8TPUPIFF0M8EW2OH4">#REF!</definedName>
    <definedName name="BExMKBGQDUZ8AWXYHA3QVMSDVZ3D">#REF!</definedName>
    <definedName name="BExMKBM1467553LDFZRRKVSHN374">#REF!</definedName>
    <definedName name="BExMKD3YV6CVP5490KNBAIXELODZ">#REF!</definedName>
    <definedName name="BExMKDUVRTHLJ36OK2OGC6JGBSHE">#REF!</definedName>
    <definedName name="BExMKGK5FJUC0AU8MABRGDC5ZM70">#REF!</definedName>
    <definedName name="BExMKTW7R5SOV4PHAFGHU3W73DYE">#REF!</definedName>
    <definedName name="BExMKU7051J2W1RQXGZGE62NBRUZ">#REF!</definedName>
    <definedName name="BExMKUN3WPECJR2XRID2R7GZRGNX">#REF!</definedName>
    <definedName name="BExMKZ535P011X4TNV16GCOH4H21">#REF!</definedName>
    <definedName name="BExML3XQNDIMX55ZCHHXKUV3D6E6">#REF!</definedName>
    <definedName name="BExML5QGSWHLI18BGY4CGOTD3UWH">#REF!</definedName>
    <definedName name="BExMLO5Z61RE85X8HHX2G4IU3AZW">#REF!</definedName>
    <definedName name="BExMLVI7UORSHM9FMO8S2EI0TMTS">#REF!</definedName>
    <definedName name="BExMM5UCOT2HSSN0ZIPZW55GSOVO">#REF!</definedName>
    <definedName name="BExMM7HS06KH4JYFT22ZDAX82QS7">#REF!</definedName>
    <definedName name="BExMM8ZRS5RQ8H1H55RVPVTDL5NL">#REF!</definedName>
    <definedName name="BExMMH8EAZB09XXQ5X4LR0P4NHG9">#REF!</definedName>
    <definedName name="BExMMIQH5BABNZVCIQ7TBCQ10AY5">#REF!</definedName>
    <definedName name="BExMMNIZ2T7M22WECMUQXEF4NJ71">#REF!</definedName>
    <definedName name="BExMMPMIOU7BURTV0L1K6ACW9X73">#REF!</definedName>
    <definedName name="BExMMQ835AJDHS4B419SS645P67Q">#REF!</definedName>
    <definedName name="BExMMQIUVPCOBISTEJJYNCCLUCPY">#REF!</definedName>
    <definedName name="BExMMTIXETA5VAKBSOFDD5SRU887">#REF!</definedName>
    <definedName name="BExMMV0P6P5YS3C35G0JYYHI7992">#REF!</definedName>
    <definedName name="BExMNDR4V2VG5RFZDGTAGD3Q9PPG">#REF!</definedName>
    <definedName name="BExMNJLFWZBRN9PZF1IO9CYWV1B2">#REF!</definedName>
    <definedName name="BExMNKCJ0FA57YEUUAJE43U1QN5P">#REF!</definedName>
    <definedName name="BExMNKN5D1WEF2OOJVP6LZ6DLU3Y">#REF!</definedName>
    <definedName name="BExMNPAI2PRN3LS0FR6E5YISPYT8">#REF!</definedName>
    <definedName name="BExMNR38HMPLWAJRQ9MMS3ZAZ9IU">#REF!</definedName>
    <definedName name="BExMNRDZULKJMVY2VKIIRM2M5A1M">#REF!</definedName>
    <definedName name="BExMO9IOWKTWHO8LQJJQI5P3INWY">#REF!</definedName>
    <definedName name="BExMO9IPI4NV2CZMYBQ9OH7ZZQJD">#REF!</definedName>
    <definedName name="BExMOI29DOEK5R1A5QZPUDKF7N6T">#REF!</definedName>
    <definedName name="BExMPAJ5AJAXGKGK3F6H3ODS6RF4">#REF!</definedName>
    <definedName name="BExMPAJA6EA4S18U6I2KOJTBSJJM">#REF!</definedName>
    <definedName name="BExMPD2X55FFBVJ6CBUKNPROIOEU">#REF!</definedName>
    <definedName name="BExMPGZ848E38FUH1JBQN97DGWAT">#REF!</definedName>
    <definedName name="BExMPMTICOSMQENOFKQ18K0ZT4S8">#REF!</definedName>
    <definedName name="BExMPMZ07II0R4KGWQQ7PGS3RZS4">#REF!</definedName>
    <definedName name="BExMPOBH04JMDO6Z8DMSEJZM4ANN">#REF!</definedName>
    <definedName name="BExMPSD77XQ3HA6A4FZOJK8G2JP3">#REF!</definedName>
    <definedName name="BExMQ4I3Q7F0BMPHSFMFW9TZ87UD">#REF!</definedName>
    <definedName name="BExMQ4SWDWI4N16AZ0T5CJ6HH8WC">#REF!</definedName>
    <definedName name="BExMQ71WHW50GVX45JU951AGPLFQ">#REF!</definedName>
    <definedName name="BExMQB3G5O917WKYC3976Q90PFXO">#REF!</definedName>
    <definedName name="BExMQGXSLPT4A6N47LE6FBVHWBOF">#REF!</definedName>
    <definedName name="BExMQOQH9FLD9AHNK6ONDI4CZUDT">#REF!</definedName>
    <definedName name="BExMQSBR7PL4KLB1Q4961QO45Y4G">#REF!</definedName>
    <definedName name="BExMR1MA4I1X77714ZEPUVC8W398">#REF!</definedName>
    <definedName name="BExMR8YQHA7N77HGHY4Y6R30I3XT">#REF!</definedName>
    <definedName name="BExMRENOIARWRYOIVPDIEBVNRDO7">#REF!</definedName>
    <definedName name="BExMRMASET6X83RU8PTUK9P9QCRP">#REF!</definedName>
    <definedName name="BExMRQHUEHGF2FS4LCB0THFELGDI">#REF!</definedName>
    <definedName name="BExMRRJNUMGRSDD5GGKKGEIZ6FTS">#REF!</definedName>
    <definedName name="BExMRU3ACIU0RD2BNWO55LH5U2BR">#REF!</definedName>
    <definedName name="BExMS92SWD5VUORWXYLUFD25S44C">#REF!</definedName>
    <definedName name="BExMSQRCC40AP8BDUPL2I2DNC210">#REF!</definedName>
    <definedName name="BExO4J9LR712G00TVA82VNTG8O7H">#REF!</definedName>
    <definedName name="BExO55G2KVZ7MIJ30N827CLH0I2A">#REF!</definedName>
    <definedName name="BExO5A8PZD9EUHC5CMPU6N3SQ15L">#REF!</definedName>
    <definedName name="BExO5XMAHL7CY3X0B1OPKZ28DCJ5">#REF!</definedName>
    <definedName name="BExO5XMARM7OBQMA2JXIDYYS0C15" hidden="1">#REF!</definedName>
    <definedName name="BExO63M31ARNSM93ZV3D9LQ50WDW">#REF!</definedName>
    <definedName name="BExO66LZJKY4PTQVREELI6POS4AY">#REF!</definedName>
    <definedName name="BExO6LLHCYTF7CIVHKAO0NMET14Q">#REF!</definedName>
    <definedName name="BExO7DM8H8ZJVJAUG6FABELP1ORQ">#REF!</definedName>
    <definedName name="BExO7OK41M0SKZ4GO2CUUQAHQDP2">#REF!</definedName>
    <definedName name="BExO7OUQS3XTUQ2LDKGQ8AAQ3OJJ">#REF!</definedName>
    <definedName name="BExO7RUSODZC2NQZMT2AFSMV2ONF">#REF!</definedName>
    <definedName name="BExO80ZSU4W2ZGGO5NXNI0YT3HHH">#REF!</definedName>
    <definedName name="BExO83U7KD9DG2XH1NU543NZCQK8">#REF!</definedName>
    <definedName name="BExO85HMYXZJ7SONWBKKIAXMCI3C">#REF!</definedName>
    <definedName name="BExO863922O4PBGQMUNEQKGN3K96">#REF!</definedName>
    <definedName name="BExO89ZIOXN0HOKHY24F7HDZ87UT">#REF!</definedName>
    <definedName name="BExO8CDTBCABLEUD6PE2UM2EZ6C4">#REF!</definedName>
    <definedName name="BExO8IZ05ZG0XVOL3W41KBQE176A">#REF!</definedName>
    <definedName name="BExO8NMCIMSQ97XPNSTOILN2EBKC">#REF!</definedName>
    <definedName name="BExO8UTAGQWDBQZEEF4HUNMLQCVU">#REF!</definedName>
    <definedName name="BExO8V42TK89K44DJ2V0X8MZE94Z">#REF!</definedName>
    <definedName name="BExO937E20IHMGQOZMECL3VZC7OX">#REF!</definedName>
    <definedName name="BExO94UTJKQQ7TJTTJRTSR70YVJC">#REF!</definedName>
    <definedName name="BExO9J3A438976RXIUX5U9SU5T55">#REF!</definedName>
    <definedName name="BExO9RS5RXFJ1911HL3CCK6M74EP">#REF!</definedName>
    <definedName name="BExO9SDRI1M6KMHXSG3AE5L0F2U3">#REF!</definedName>
    <definedName name="BExO9V2U2YXAY904GYYGU6TD8Y7M">#REF!</definedName>
    <definedName name="BExOAQ3GKCT7YZW1EMVU3EILSZL2">#REF!</definedName>
    <definedName name="BExOB0AC2B1NB9PJCQDJCYFV5AP9">#REF!</definedName>
    <definedName name="BExOB8TQW0QYZHI9S87WOYPRKWHI">#REF!</definedName>
    <definedName name="BExOB9KT2THGV4SPLDVFTFXS4B14">#REF!</definedName>
    <definedName name="BExOBEZ0IE2WBEYY3D3CMRI72N1K">#REF!</definedName>
    <definedName name="BExOBIPU8760ITY0C8N27XZ3KWEF">#REF!</definedName>
    <definedName name="BExOBM0I5L0MZ1G4H9MGMD87SBMZ">#REF!</definedName>
    <definedName name="BExOBOUXMP88KJY2BX2JLUJH5N0K">#REF!</definedName>
    <definedName name="BExOBP0FKQ4SVR59FB48UNLKCOR6">#REF!</definedName>
    <definedName name="BExOBYAVUCQ0IGM0Y6A75QHP0Q1A">#REF!</definedName>
    <definedName name="BExOC3UEHB1CZNINSQHZANWJYKR8">#REF!</definedName>
    <definedName name="BExOCBSF3XGO9YJ23LX2H78VOUR7">#REF!</definedName>
    <definedName name="BExOCKXFMOW6WPFEVX1I7R7FNDSS">#REF!</definedName>
    <definedName name="BExOCPVJQE1W6OCZQ42V1O0X7Q2C" hidden="1">#REF!</definedName>
    <definedName name="BExOCYEXOB95DH5NOB0M5NOYX398">#REF!</definedName>
    <definedName name="BExOD4ERMDMFD8X1016N4EXOUR0S">#REF!</definedName>
    <definedName name="BExOD55RS7BQUHRQ6H3USVGKR0P7">#REF!</definedName>
    <definedName name="BExODEWDDEABM4ZY3XREJIBZ8IVP">#REF!</definedName>
    <definedName name="BExODNLAA1L7WQ9ZQX6A1ZOXK9VR">#REF!</definedName>
    <definedName name="BExODZFEIWV26E8RFU7XQYX1J458">#REF!</definedName>
    <definedName name="BExOEBKG55EROA2VL360A06LKASE">#REF!</definedName>
    <definedName name="BExOEDIHZJX7B90YUY2QSQ30DA2Z">#REF!</definedName>
    <definedName name="BExOERG5LWXYYEN1DY1H2FWRJS9T">#REF!</definedName>
    <definedName name="BExOEV1S6JJVO5PP4BZ20SNGZR7D">#REF!</definedName>
    <definedName name="BExOFCKWLGCXTO9GXLSIDEW6EW6H">#REF!</definedName>
    <definedName name="BExOFEDNCYI2TPTMQ8SJN3AW4YMF">#REF!</definedName>
    <definedName name="BExOFGH5B8QO3FZRLVHHLTZP5BTP">#REF!</definedName>
    <definedName name="BExOFNYWTHHUNBGJMZW33BLK7RT1">#REF!</definedName>
    <definedName name="BExOFSRJG0K9JQ7AQNZXASHJGQBL">#REF!</definedName>
    <definedName name="BExOFVLXVD6RVHSQO8KZOOACSV24">#REF!</definedName>
    <definedName name="BExOG2SW3XOGP9VAPQ3THV3VWV12">#REF!</definedName>
    <definedName name="BExOG45J81K4OPA40KW5VQU54KY3">#REF!</definedName>
    <definedName name="BExOGFE2SCL8HHT4DFAXKLUTJZOG">#REF!</definedName>
    <definedName name="BExOGT6D0LJ3C22RDW8COECKB1J5">#REF!</definedName>
    <definedName name="BExOGTMI1HT31M1RGWVRAVHAK7DE">#REF!</definedName>
    <definedName name="BExOGXO9JE5XSE9GC3I6O21UEKAO">#REF!</definedName>
    <definedName name="BExOGZX2S9BGLPFOR4789G01O1UJ">#REF!</definedName>
    <definedName name="BExOH9ICZ13C1LAW8OTYTR9S7ZP3">#REF!</definedName>
    <definedName name="BExOHL75H3OT4WAKKPUXIVXWFVDS">#REF!</definedName>
    <definedName name="BExOHLHXXJL6363CC082M9M5VVXQ">#REF!</definedName>
    <definedName name="BExOHNAO5UDXSO73BK2ARHWKS90Y">#REF!</definedName>
    <definedName name="BExOHR1G1I9A9CI1HG94EWBLWNM2">#REF!</definedName>
    <definedName name="BExOHTQPP8LQ98L6PYUI6QW08YID">#REF!</definedName>
    <definedName name="BExOHX6Q6NJI793PGX59O5EKTP4G">#REF!</definedName>
    <definedName name="BExOI5VMTHH7Y8MQQ1N635CHYI0P">#REF!</definedName>
    <definedName name="BExOIEVCP4Y6VDS23AK84MCYYHRT">#REF!</definedName>
    <definedName name="BExOIHPQIXR0NDR5WD01BZKPKEO3">#REF!</definedName>
    <definedName name="BExOIM7L0Z3LSII9P7ZTV4KJ8RMA">#REF!</definedName>
    <definedName name="BExOIWJVMJ6MG6JC4SPD1L00OHU1">#REF!</definedName>
    <definedName name="BExOIYCN8Z4JK3OOG86KYUCV0ME8">#REF!</definedName>
    <definedName name="BExOJ3AKZ9BCBZT3KD8WMSLK6MN2">#REF!</definedName>
    <definedName name="BExOJ3AM4V6T9D776VPI1YRC84HQ">#REF!</definedName>
    <definedName name="BExOJ7XQK71I4YZDD29AKOOWZ47E">#REF!</definedName>
    <definedName name="BExOJM0W6XGSW5MXPTTX0GNF6SFT">#REF!</definedName>
    <definedName name="BExOJXEUJJ9SYRJXKYYV2NCCDT2R">#REF!</definedName>
    <definedName name="BExOK0EQYM9JUMAGWOUN7QDH7VMZ">#REF!</definedName>
    <definedName name="BExOK4WM9O7QNG6O57FOASI5QSN1">#REF!</definedName>
    <definedName name="BExOKKHOPWUVRJGQJ5ONR2U40JX8">#REF!</definedName>
    <definedName name="BExOKTXMJP351VXKH8VT6SXUNIMF">#REF!</definedName>
    <definedName name="BExOKU8GMLOCNVORDE329819XN67">#REF!</definedName>
    <definedName name="BExOKZ6DMN229VG537OPIC2G1Z5P">#REF!</definedName>
    <definedName name="BExOL0Z3Z7IAMHPB91EO2MF49U57">#REF!</definedName>
    <definedName name="BExOL7KH12VAR0LG741SIOJTLWFD">#REF!</definedName>
    <definedName name="BExOLICXFHJLILCJVFMJE5MGGWKR">#REF!</definedName>
    <definedName name="BExOLOI0WJS3QC12I3ISL0D9AWOF">#REF!</definedName>
    <definedName name="BExOLVE6HULCSQ4803MNGANXNPZR">#REF!</definedName>
    <definedName name="BExOLVJI0YRLG4UGB6EHDOUWYZIR">#REF!</definedName>
    <definedName name="BExOLYZNG5RBD0BTS1OEZJNU92Q5">#REF!</definedName>
    <definedName name="BExOM3HIJ3UZPOKJI68KPBJAHPDC">#REF!</definedName>
    <definedName name="BExOMKPURE33YQ3K1JG9NVQD4W49">#REF!</definedName>
    <definedName name="BExOMP7NGCLUNFK50QD2LPKRG078">#REF!</definedName>
    <definedName name="BExOMQ9I2Y6VBZ2CQYK779WF2GP9">#REF!</definedName>
    <definedName name="BExOMU0A6XMY48SZRYL4WQZD13BI">#REF!</definedName>
    <definedName name="BExOMVT0HSNC59DJP4CLISASGHKL">#REF!</definedName>
    <definedName name="BExON0AX35F2SI0UCVMGWGVIUNI3">#REF!</definedName>
    <definedName name="BExON41U4296DV3DPG6I5EF3OEYF">#REF!</definedName>
    <definedName name="BExON8JOTCQIA7PQ72F7JPM5ZR20">#REF!</definedName>
    <definedName name="BExONB3A7CO4YD8RB41PHC93BQ9M">#REF!</definedName>
    <definedName name="BExONFQH6UUXF8V0GI4BRIST9RFO">#REF!</definedName>
    <definedName name="BExONFQME8LI2AKW9LFXPST5O9PW">#REF!</definedName>
    <definedName name="BExONIL31DZWU7IFVN3VV0XTXJA1">#REF!</definedName>
    <definedName name="BExONJ1BU17R0F5A2UP1UGJBOGKS">#REF!</definedName>
    <definedName name="BExONNZ9VMHVX3J6NLNJY7KZA61O">#REF!</definedName>
    <definedName name="BExONPBS3VER60V9A80ISYWZ1X2J">#REF!</definedName>
    <definedName name="BExONRQ1BAA4F3TXP2MYQ4YCZ09S">#REF!</definedName>
    <definedName name="BExONUVFS8DYQLIVHF8NHUJM2MHR" hidden="1">#REF!</definedName>
    <definedName name="BExOO1WWIZSGB0YTGKESB45TSVMZ">#REF!</definedName>
    <definedName name="BExOO39IOJAVB73EWSEZ6XB0U1PU">#REF!</definedName>
    <definedName name="BExOO4B8FPAFYPHCTYTX37P1TQM5">#REF!</definedName>
    <definedName name="BExOOIULUDOJRMYABWV5CCL906X6">#REF!</definedName>
    <definedName name="BExOOTN0KTXJCL7E476XBN1CJ553">#REF!</definedName>
    <definedName name="BExOP9DEBV5W5P4Q25J3XCJBP5S9">#REF!</definedName>
    <definedName name="BExOPFNYRBL0BFM23LZBJTADNOE4">#REF!</definedName>
    <definedName name="BExOPINVFSIZMCVT9YGT2AODVCX3">#REF!</definedName>
    <definedName name="BExOPPUUGQMJR72ORORQ4O9GT1DR">#REF!</definedName>
    <definedName name="BExOPQGEL15TKHGBCPN2D52TFC4I">#REF!</definedName>
    <definedName name="BExOQ1JN4SAC44RTMZIGHSW023WA">#REF!</definedName>
    <definedName name="BExOQ256YMF115DJL3KBPNKABJ90">#REF!</definedName>
    <definedName name="BExQ19DEUOLC11IW32E2AMVZLFF1">#REF!</definedName>
    <definedName name="BExQ1FD6KISGYU1JWEQ4G243ZPVD">#REF!</definedName>
    <definedName name="BExQ29C73XR33S3668YYSYZAIHTG">#REF!</definedName>
    <definedName name="BExQ2FS228IUDUP2023RA1D4AO4C">#REF!</definedName>
    <definedName name="BExQ2L0XYWLY9VPZWXYYFRIRQRJ1">#REF!</definedName>
    <definedName name="BExQ2M841F5Z1BQYR8DG5FKK0LIU">#REF!</definedName>
    <definedName name="BExQ300G8I8TK45A0MVHV15422EU">#REF!</definedName>
    <definedName name="BExQ30WTQQMS62FOAVN6FHX1K96V">#REF!</definedName>
    <definedName name="BExQ34CU0OPOISHSSKKCL8SZVBSR">#REF!</definedName>
    <definedName name="BExQ36LTPJ04W3LWSGFZ0GS8WCP2">#REF!</definedName>
    <definedName name="BExQ39R28MXSG2SEV956F0KZ20AN">#REF!</definedName>
    <definedName name="BExQ3D1P3M5Z3HLMEZ17E0BLEE4U">#REF!</definedName>
    <definedName name="BExQ3O4W7QF8BOXTUT4IOGF6YKUD">#REF!</definedName>
    <definedName name="BExQ3PXOWSN8561ZR8IEY8ZASI3B">#REF!</definedName>
    <definedName name="BExQ3TZF04IPY0B0UG9CQQ5736UA">#REF!</definedName>
    <definedName name="BExQ404IEEY5RL7ZFNGMBRZL1B8L">#REF!</definedName>
    <definedName name="BExQ42IU9MNDYLODP41DL6YTZMAR">#REF!</definedName>
    <definedName name="BExQ452HF7N1HYPXJXQ8WD6SOWUV">#REF!</definedName>
    <definedName name="BExQ499KBJ5W7A1G293A0K14EVQB">#REF!</definedName>
    <definedName name="BExQ4BTBSHPHVEDRCXC2ROW8PLFC">#REF!</definedName>
    <definedName name="BExQ4DGKF54SRKQUTUT4B1CZSS62">#REF!</definedName>
    <definedName name="BExQ4T74LQ5PYTV1MUQUW75A4BDY">#REF!</definedName>
    <definedName name="BExQ4XJHD7EJCNH7S1MJDZJ2MNWG">#REF!</definedName>
    <definedName name="BExQ5039ZCEWBUJHU682G4S89J03">#REF!</definedName>
    <definedName name="BExQ53U2R85FS3QPUGN8CPNOOQJQ">#REF!</definedName>
    <definedName name="BExQ56Z9W6YHZHRXOFFI8EFA7CDI">#REF!</definedName>
    <definedName name="BExQ5AFFSGHUEYQZX1J7GQLWW0TB">#REF!</definedName>
    <definedName name="BExQ5KX3Z668H1KUCKZ9J24HUQ1F">#REF!</definedName>
    <definedName name="BExQ5SPMSOCJYLAY20NB5A6O32RE">#REF!</definedName>
    <definedName name="BExQ5UICMGTMK790KTLK49MAGXRC">#REF!</definedName>
    <definedName name="BExQ5VEQEIJO7YY80OJTA3XRQYJ9">#REF!</definedName>
    <definedName name="BExQ5YUUK9FD0QGTY4WD0W90O7OL">#REF!</definedName>
    <definedName name="BExQ63793YQ9BH7JLCNRIATIGTRG">#REF!</definedName>
    <definedName name="BExQ6CN1EF2UPZ57ZYMGK8TUJQSS">#REF!</definedName>
    <definedName name="BExQ6M2YXJ8AMRJF3QGHC40ADAHZ">#REF!</definedName>
    <definedName name="BExQ6M8B0X44N9TV56ATUVHGDI00">#REF!</definedName>
    <definedName name="BExQ6POH065GV0I74XXVD0VUPBJW">#REF!</definedName>
    <definedName name="BExQ6W4D4I4JUMUB22SQLZUEG7LM">#REF!</definedName>
    <definedName name="BExQ6WV9KPSMXPPLGZ3KK4WNYTHU">#REF!</definedName>
    <definedName name="BExQ783XTMM2A9I3UKCFWJH1PP2N">#REF!</definedName>
    <definedName name="BExQ79LX01ZPQB8EGD1ZHR2VK2H3">#REF!</definedName>
    <definedName name="BExQ7B3V9MGDK2OIJ61XXFBFLJFZ">#REF!</definedName>
    <definedName name="BExQ7CB046NVPF9ZXDGA7OXOLSLX">#REF!</definedName>
    <definedName name="BExQ7GY4R7269XNPYHVSI30QI7FA">#REF!</definedName>
    <definedName name="BExQ7IWDCGGOO1HTJ97YGO1CK3R9">#REF!</definedName>
    <definedName name="BExQ7JNFIEGS2HKNBALH3Q2N5G7Z">#REF!</definedName>
    <definedName name="BExQ7MY3U2Z1IZ71U5LJUD00VVB4">#REF!</definedName>
    <definedName name="BExQ7Q8NA48KCLWHHK5DJSGZA66P">#REF!</definedName>
    <definedName name="BExQ7XL2Q1GVUFL1F9KK0K0EXMWG">#REF!</definedName>
    <definedName name="BExQ80KTXQOZYNU1PVJP8X7I2ZY2">#REF!</definedName>
    <definedName name="BExQ8469L3ZRZ3KYZPYMSJIDL7Y5">#REF!</definedName>
    <definedName name="BExQ84MJB94HL3BWRN50M4NCB6Z0">#REF!</definedName>
    <definedName name="BExQ8583ZE00NW7T9OF11OT9IA14">#REF!</definedName>
    <definedName name="BExQ87BMQOWO5ESQYLE7QVMKDW5O">#REF!</definedName>
    <definedName name="BExQ8A0RPE3IMIFIZLUE7KD2N21W">#REF!</definedName>
    <definedName name="BExQ8ABK6H1ADV2R2OYT8NFFYG2N">#REF!</definedName>
    <definedName name="BExQ8DM90XJ6GCJIK9LC5O82I2TJ">#REF!</definedName>
    <definedName name="BExQ8G0K46ZORA0QVQTDI7Z8LXGF">#REF!</definedName>
    <definedName name="BExQ8O3WEU8HNTTGKTW5T0QSKCLP">#REF!</definedName>
    <definedName name="BExQ8ZCEDBOBJA3D9LDP5TU2WYGR">#REF!</definedName>
    <definedName name="BExQ94LAW6MAQBWY25WTBFV5PPZJ">#REF!</definedName>
    <definedName name="BExQ97QIPOSSRK978N8P234Y1XA4">#REF!</definedName>
    <definedName name="BExQ9E6FBAXTHGF3RXANFIA77GXP">#REF!</definedName>
    <definedName name="BExQ9F2YH4UUCCMQITJ475B3S3NP">#REF!</definedName>
    <definedName name="BExQ9KX9734KIAK7IMRLHCPYDHO2">#REF!</definedName>
    <definedName name="BExQ9L81FF4I7816VTPFBDWVU4CW">#REF!</definedName>
    <definedName name="BExQ9M4E2ACZOWWWP1JJIQO8AHUM">#REF!</definedName>
    <definedName name="BExQ9UTANMJCK7LJ4OQMD6F2Q01L">#REF!</definedName>
    <definedName name="BExQ9ZLYHWABXAA9NJDW8ZS0UQ9P">#REF!</definedName>
    <definedName name="BExQA0T2TOJ18G3WXFH3BUKFCTOB">#REF!</definedName>
    <definedName name="BExQA324HSCK40ENJUT9CS9EC71B">#REF!</definedName>
    <definedName name="BExQA55GY0STSNBWQCWN8E31ZXCS">#REF!</definedName>
    <definedName name="BExQA9HZIN9XEMHEEVHT99UU9Z82">#REF!</definedName>
    <definedName name="BExQAAP62NPCA038NTRJOTBRH2Y8">#REF!</definedName>
    <definedName name="BExQAELFYH92K8CJL155181UDORO">#REF!</definedName>
    <definedName name="BExQAG8PP8R5NJKNQD1U4QOSD6X5">#REF!</definedName>
    <definedName name="BExQB9GS54OY953SKJXZ2PD2MYYV">#REF!</definedName>
    <definedName name="BExQBDICMZTSA1X73TMHNO4JSFLN">#REF!</definedName>
    <definedName name="BExQBEER6CRCRPSSL61S0OMH57ZA">#REF!</definedName>
    <definedName name="BExQBIGGY5TXI2FJVVZSLZ0LTZYH">#REF!</definedName>
    <definedName name="BExQBM1RUSIQ85LLMM2159BYDPIP">#REF!</definedName>
    <definedName name="BExQBPSOZ47V81YAEURP0NQJNTJH">#REF!</definedName>
    <definedName name="BExQC5TWT21CGBKD0IHAXTIN2QB8">#REF!</definedName>
    <definedName name="BExQC94JL9F5GW4S8DQCAF4WB2DA">#REF!</definedName>
    <definedName name="BExQCJ0MPJN2T5B55EUCIG2AZ0TY">#REF!</definedName>
    <definedName name="BExQCKTD8AT0824LGWREXM1B5D1X">#REF!</definedName>
    <definedName name="BExQD571YWOXKR2SX85K5MKQ0AO2">#REF!</definedName>
    <definedName name="BExQDB6VCHN8PNX8EA6JNIEQ2JC2">#REF!</definedName>
    <definedName name="BExQDE1B6U2Q9B73KBENABP71YM1">#REF!</definedName>
    <definedName name="BExQDGQCN7ZW41QDUHOBJUGQAX40">#REF!</definedName>
    <definedName name="BExQE0D0DPFMLYM0IPVV8YRRQ4LV">#REF!</definedName>
    <definedName name="BExQEC7BRIJ30PTU3UPFOIP2HPE3">#REF!</definedName>
    <definedName name="BExQEMUA4HEFM4OVO8M8MA8PIAW1">#REF!</definedName>
    <definedName name="BExQEQ4XZQFIKUXNU9H7WE7AMZ1U">#REF!</definedName>
    <definedName name="BExQF1OEB07CRAP6ALNNMJNJ3P2D">#REF!</definedName>
    <definedName name="BExQF9X2AQPFJZTCHTU5PTTR0JAH">#REF!</definedName>
    <definedName name="BExQFC0M9KKFMQKPLPEO2RQDB7MM">#REF!</definedName>
    <definedName name="BExQFCWYSLJTC9DRJN0CGM8V2TFV">#REF!</definedName>
    <definedName name="BExQFEEV7627R8TYZCM28C6V6WHE">#REF!</definedName>
    <definedName name="BExQFEK8NUD04X2OBRA275ADPSDL">#REF!</definedName>
    <definedName name="BExQFGYIWDR4W0YF7XR6E4EWWJ02">#REF!</definedName>
    <definedName name="BExQFPNFKA36IAPS22LAUMBDI4KE">#REF!</definedName>
    <definedName name="BExQFPSWEMA8WBUZ4WK20LR13VSU">#REF!</definedName>
    <definedName name="BExQFRG4YA75Q77YALKKS4ASUJ5C">#REF!</definedName>
    <definedName name="BExQFT3L9XHSEMZVXJJB48ZM35IC" hidden="1">#REF!</definedName>
    <definedName name="BExQFVSPOSCCPF1TLJPIWYWYB8A9">#REF!</definedName>
    <definedName name="BExQFWJQXNQAW6LUMOEDS6KMJMYL">#REF!</definedName>
    <definedName name="BExQFXFYCXIXQUHEK3JNRSY6DYYZ">#REF!</definedName>
    <definedName name="BExQG8TYRD2G42UA5ZPCRLNKUDMX">#REF!</definedName>
    <definedName name="BExQGO48J9MPCDQ96RBB9UN9AIGT">#REF!</definedName>
    <definedName name="BExQGPM78ETCBPC7FQIWHR4MEZDJ">#REF!</definedName>
    <definedName name="BExQGSBB6MJWDW7AYWA0MSFTXKRR">#REF!</definedName>
    <definedName name="BExQH0UURAJ13AVO5UI04HSRGVYW">#REF!</definedName>
    <definedName name="BExQH6ZZY0NR8SE48PSI9D0CU1TC">#REF!</definedName>
    <definedName name="BExQH9P2MCXAJOVEO4GFQT6MNW22">#REF!</definedName>
    <definedName name="BExQHCZSBYUY8OKKJXFYWKBBM6AH">#REF!</definedName>
    <definedName name="BExQHPKXZ1K33V2F90NZIQRZYIAW">#REF!</definedName>
    <definedName name="BExQHVF9KD06AG2RXUQJ9X4PVGX4">#REF!</definedName>
    <definedName name="BExQHZBHVN2L4HC7ACTR73T5OCV0">#REF!</definedName>
    <definedName name="BExQI85V9TNLDJT5LTRZS10Y26SG">#REF!</definedName>
    <definedName name="BExQIAPKHVEV8CU1L3TTHJW67FJ5">#REF!</definedName>
    <definedName name="BExQIBB4I3Z6AUU0HYV1DHRS13M4">#REF!</definedName>
    <definedName name="BExQIBWPAXU7HJZLKGJZY3EB7MIS">#REF!</definedName>
    <definedName name="BExQIS8O6R36CI01XRY9ISM99TW9">#REF!</definedName>
    <definedName name="BExQIVJB9MJ25NDUHTCVMSODJY2C">#REF!</definedName>
    <definedName name="BExQJBF7LAX128WR7VTMJC88ZLPG">#REF!</definedName>
    <definedName name="BExQJEVCKX6KZHNCLYXY7D0MX5KN">#REF!</definedName>
    <definedName name="BExQJJYSDX8B0J1QGF2HL071KKA3">#REF!</definedName>
    <definedName name="BExQK1HV6SQQ7CP8H8IUKI9TYXTD">#REF!</definedName>
    <definedName name="BExQK3LE5CSBW1E4H4KHW548FL2R">#REF!</definedName>
    <definedName name="BExQKG6LD6PLNDGNGO9DJXY865BR">#REF!</definedName>
    <definedName name="BExQKIA437K1JO3L898QQADXAY87">#REF!</definedName>
    <definedName name="BExQLE1TOW3A287TQB0AVWENT8O1">#REF!</definedName>
    <definedName name="BExRYOYB4A3E5F6MTROY69LR0PMG">#REF!</definedName>
    <definedName name="BExRYZLA9EW71H4SXQR525S72LLP">#REF!</definedName>
    <definedName name="BExRZ66M8G9FQ0VFP077QSZBSOA5">#REF!</definedName>
    <definedName name="BExRZ8FMQQL46I8AQWU17LRNZD5T">#REF!</definedName>
    <definedName name="BExRZIRRIXRUMZ5GOO95S7460BMP">#REF!</definedName>
    <definedName name="BExRZK9RAHMM0ZLTNSK7A4LDC42D">#REF!</definedName>
    <definedName name="BExRZOGSR69INI6GAEPHDWSNK5Q4">#REF!</definedName>
    <definedName name="BExS0ASQBKRTPDWFK0KUDFOS9LE5">#REF!</definedName>
    <definedName name="BExS0GHQUF6YT0RU3TKDEO8CSJYB">#REF!</definedName>
    <definedName name="BExS0K8IHC45I78DMZBOJ1P13KQA">#REF!</definedName>
    <definedName name="BExS0TIYU5XJ4GTUT28JXN0AL3QT">#REF!</definedName>
    <definedName name="BExS152B2LFCRAUHSLI5T6QRNII0">#REF!</definedName>
    <definedName name="BExS15IJRM0BH4G3NNSN9CGKO4CX">#REF!</definedName>
    <definedName name="BExS15IJV0WW662NXQUVT3FGP4ST">#REF!</definedName>
    <definedName name="BExS194110MR25BYJI3CJ2EGZ8XT">#REF!</definedName>
    <definedName name="BExS1BNVGNSGD4EP90QL8WXYWZ66">#REF!</definedName>
    <definedName name="BExS1UE39N6NCND7MAARSBWXS6HU">#REF!</definedName>
    <definedName name="BExS1Y4X3PW2VRH3YS7GCF5BDYSX">#REF!</definedName>
    <definedName name="BExS226HTWL5WVC76MP5A1IBI8WD">#REF!</definedName>
    <definedName name="BExS26OI2QNNAH2WMDD95Z400048">#REF!</definedName>
    <definedName name="BExS2DF6B4ZUF3VZLI4G6LJ3BF38">#REF!</definedName>
    <definedName name="BExS2QB5FS5LYTFYO4BROTWG3OV5">#REF!</definedName>
    <definedName name="BExS2TLU1HONYV6S3ZD9T12D7CIG">#REF!</definedName>
    <definedName name="BExS318UV9I2FXPQQWUKKX00QLPJ">#REF!</definedName>
    <definedName name="BExS3IHDYGJJVXS9ATPE8QX8LCVE">#REF!</definedName>
    <definedName name="BExS3LBS0SMTHALVM4NRI1BAV1NP">#REF!</definedName>
    <definedName name="BExS3MTQ75VBXDGEBURP6YT8RROE">#REF!</definedName>
    <definedName name="BExS3OMGYO0DFN5186UFKEXZ2RX3">#REF!</definedName>
    <definedName name="BExS3QF74MCG7ROO1T4YVT8XX3HT">#REF!</definedName>
    <definedName name="BExS3SDERJ27OER67TIGOVZU13A2">#REF!</definedName>
    <definedName name="BExS3SO28P2XMMXVSJNU1YT35UFW">#REF!</definedName>
    <definedName name="BExS412BKRGFBRTKMZNCWUENQ9AT" hidden="1">#REF!</definedName>
    <definedName name="BExS46R5WDNU5KL04FKY5LHJUCB8">#REF!</definedName>
    <definedName name="BExS4ASWKM93XA275AXHYP8AG6SU">#REF!</definedName>
    <definedName name="BExS4JN3Y6SVBKILQK0R9HS45Y52">#REF!</definedName>
    <definedName name="BExS4P6S41O6Z6BED77U3GD9PNH1">#REF!</definedName>
    <definedName name="BExS51H0N51UT0FZOPZRCF1GU063">#REF!</definedName>
    <definedName name="BExS54X72TJFC41FJK72MLRR2OO7">#REF!</definedName>
    <definedName name="BExS59F0PA1V2ZC7S5TN6IT41SXP">#REF!</definedName>
    <definedName name="BExS5DRER9US6NXY9ATYT41KZII3">#REF!</definedName>
    <definedName name="BExS5L3TGB8JVW9ROYWTKYTUPW27">#REF!</definedName>
    <definedName name="BExS66DVSZQKZWJIAFTM0V9FRWKC">#REF!</definedName>
    <definedName name="BExS6GKQ96EHVLYWNJDWXZXUZW90">#REF!</definedName>
    <definedName name="BExS6ITKSZFRR01YD5B0F676SYN7">#REF!</definedName>
    <definedName name="BExS6N0LI574IAC89EFW6CLTCQ33">#REF!</definedName>
    <definedName name="BExS6WRDBF3ST86ZOBBUL3GTCR11">#REF!</definedName>
    <definedName name="BExS6XNRKR0C3MTA0LV5B60UB908">#REF!</definedName>
    <definedName name="BExS7AE6OOS8W60CIN0ET08S71N3">#REF!</definedName>
    <definedName name="BExS7TKQYLRZGM93UY3ZJZJBQNFJ">#REF!</definedName>
    <definedName name="BExS7Y2LNGVHSIBKC7C3R6X4LDR6">#REF!</definedName>
    <definedName name="BExS81TE0EY44Y3W2M4Z4MGNP5OM">#REF!</definedName>
    <definedName name="BExS81YPDZDVJJVS15HV2HDXAC3Y">#REF!</definedName>
    <definedName name="BExS82PRVNUTEKQZS56YT2DVF6C2">#REF!</definedName>
    <definedName name="BExS83M3G4FCEUCU6IVC78CNX5C0" hidden="1">#REF!</definedName>
    <definedName name="BExS8BPG5A0GR5AO1U951NDGGR0L">#REF!</definedName>
    <definedName name="BExS8GSUS17UY50TEM2AWF36BR9Z">#REF!</definedName>
    <definedName name="BExS8HJRBVG0XI6PWA9KTMJZMQXK">#REF!</definedName>
    <definedName name="BExS8R51C8RM2FS6V6IRTYO9GA4A">#REF!</definedName>
    <definedName name="BExS8WDX408F60MH1X9B9UZ2H4R7">#REF!</definedName>
    <definedName name="BExS8Z2W2QEC3MH0BZIYLDFQNUIP">#REF!</definedName>
    <definedName name="BExS92DKGRFFCIA9C0IXDOLO57EP">#REF!</definedName>
    <definedName name="BExS96KMKHNNQC2P9VX4NBQJQMPY">#REF!</definedName>
    <definedName name="BExS98OB4321YCHLCQ022PXKTT2W">#REF!</definedName>
    <definedName name="BExS9C9N8GFISC6HUERJ0EI06GB2">#REF!</definedName>
    <definedName name="BExS9DRK6VBDAXL33PCXTFYX0E55" hidden="1">#REF!</definedName>
    <definedName name="BExS9DX13CACP3J8JDREK30JB1SQ">#REF!</definedName>
    <definedName name="BExS9FPRS2KRRCS33SE6WFNF5GYL">#REF!</definedName>
    <definedName name="BExS9WI0A6PSEB8N9GPXF2Z7MWHM">#REF!</definedName>
    <definedName name="BExSA5HP306TN9XJS0TU619DLRR7">#REF!</definedName>
    <definedName name="BExSAAVWQOOIA6B3JHQVGP08HFEM">#REF!</definedName>
    <definedName name="BExSAFJ3IICU2M7QPVE4ARYMXZKX">#REF!</definedName>
    <definedName name="BExSAH6ID8OHX379UXVNGFO8J6KQ">#REF!</definedName>
    <definedName name="BExSAQBHIXGQRNIRGCJMBXUPCZQA">#REF!</definedName>
    <definedName name="BExSAUD2SQVMDQ517BNUFZ4K43V7">#REF!</definedName>
    <definedName name="BExSAUTCT4P7JP57NOR9MTX33QJZ">#REF!</definedName>
    <definedName name="BExSAY9CA9TFXQ9M9FBJRGJO9T9E">#REF!</definedName>
    <definedName name="BExSB4JYKQ3MINI7RAYK5M8BLJDC">#REF!</definedName>
    <definedName name="BExSB978EH7AO115NAKHQXM21J25">#REF!</definedName>
    <definedName name="BExSBM37WRXTJXTQEXH6I8W6KOPR">#REF!</definedName>
    <definedName name="BExSBMOS41ZRLWYLOU29V6Y7YORR">#REF!</definedName>
    <definedName name="BExSBRBXXQMBU1TYDW1BXTEVEPRU">#REF!</definedName>
    <definedName name="BExSBX6ENVNBO1RJLWIQOYW7CLU8">#REF!</definedName>
    <definedName name="BExSC54998WTZ21DSL0R8UN0Y9JH">#REF!</definedName>
    <definedName name="BExSC60N7WR9PJSNC9B7ORCX9NGY">#REF!</definedName>
    <definedName name="BExSC7YP3600SCKLHBPXRWJ3BIDB">#REF!</definedName>
    <definedName name="BExSCE99EZTILTTCE4NJJF96OYYM">#REF!</definedName>
    <definedName name="BExSCHUQZ2HFEWS54X67DIS8OSXZ">#REF!</definedName>
    <definedName name="BExSCOG41SKKG4GYU76WRWW1CTE6">#REF!</definedName>
    <definedName name="BExSCVC9P86YVFMRKKUVRV29MZXZ">#REF!</definedName>
    <definedName name="BExSD233CH4MU9ZMGNRF97ZV7KWU">#REF!</definedName>
    <definedName name="BExSD2U0F3BN6IN9N4R2DTTJG15H">#REF!</definedName>
    <definedName name="BExSD6A6NY15YSMFH51ST6XJY429">#REF!</definedName>
    <definedName name="BExSD9VH6PF6RQ135VOEE08YXPAW">#REF!</definedName>
    <definedName name="BExSDFKO70QOA4MXT55NCI53DQVW">#REF!</definedName>
    <definedName name="BExSDP5Y04WWMX2WWRITWOX8R5I9">#REF!</definedName>
    <definedName name="BExSDSGM203BJTNS9MKCBX453HMD">#REF!</definedName>
    <definedName name="BExSDT20XUFXTDM37M148AXAP7HN">#REF!</definedName>
    <definedName name="BExSDVLT88ZO2VWSJDSHNC0MRMG2">#REF!</definedName>
    <definedName name="BExSEEC2TVTX64BUHTKRLI5KW3B8" hidden="1">#REF!</definedName>
    <definedName name="BExSEEHK1VLWD7JBV9SVVVIKQZ3I">#REF!</definedName>
    <definedName name="BExSEITX53BLVRNIQ14X2EGVDVM5">#REF!</definedName>
    <definedName name="BExSEJKZLX37P3V33TRTFJ30BFRK">#REF!</definedName>
    <definedName name="BExSEMVP8R66ILASSOKUHGGD39PF">#REF!</definedName>
    <definedName name="BExSEP9UVOAI6TMXKNK587PQ3328">#REF!</definedName>
    <definedName name="BExSERZ34ETZF8OI93MYIVZX4RDV">#REF!</definedName>
    <definedName name="BExSF07QFLZCO4P6K6QF05XG7PH1">#REF!</definedName>
    <definedName name="BExSFA93YW8KOTOSVHQQNMY4UBCD">#REF!</definedName>
    <definedName name="BExSFDEH9652X7LPWCG9POH7GSQ8">#REF!</definedName>
    <definedName name="BExSFELNPJYUZX393PKWKNNZYV1N">#REF!</definedName>
    <definedName name="BExSFJ8ZAGQ63A4MVMZRQWLVRGQ5">#REF!</definedName>
    <definedName name="BExSFKQRST2S9KXWWLCXYLKSF4G1">#REF!</definedName>
    <definedName name="BExSFYDRRTAZVPXRWUF5PDQ97WFF">#REF!</definedName>
    <definedName name="BExSFZVPFTXA3F0IJ2NGH1GXX9R7">#REF!</definedName>
    <definedName name="BExSG90Q4ZUU2IPGDYOM169NJV9S">#REF!</definedName>
    <definedName name="BExSG9X3DU845PNXYJGGLBQY2UHG">#REF!</definedName>
    <definedName name="BExSGE45J27MDUUNXW7Z8Q33UAON">#REF!</definedName>
    <definedName name="BExSGE9LY91Q0URHB4YAMX0UAMYI">#REF!</definedName>
    <definedName name="BExSGLB2URTLBCKBB4Y885W925F2">#REF!</definedName>
    <definedName name="BExSGOAYG73SFWOPAQV80P710GID">#REF!</definedName>
    <definedName name="BExSGOWJHRW7FWKLO2EHUOOGHNAF">#REF!</definedName>
    <definedName name="BExSGOWJTAP41ZV5Q23H7MI9C76W">#REF!</definedName>
    <definedName name="BExSGR5JQVX2HQ0PKCGZNSSUM1RV">#REF!</definedName>
    <definedName name="BExSGVHX69GJZHD99DKE4RZ042B1">#REF!</definedName>
    <definedName name="BExSGZJO4J4ZO04E2N2ECVYS9DEZ">#REF!</definedName>
    <definedName name="BExSH1SIPM90VIDBJCWO13SU3VH8">#REF!</definedName>
    <definedName name="BExSHAHFHS7MMNJR8JPVABRGBVIT">#REF!</definedName>
    <definedName name="BExSHGH88QZWW4RNAX4YKAZ5JEBL">#REF!</definedName>
    <definedName name="BExSHJRUVMBDHXO89ZZKJX7CTPZA">#REF!</definedName>
    <definedName name="BExSHOKK1OO3CX9Z28C58E5J1D9W">#REF!</definedName>
    <definedName name="BExSHQD8KYLTQGDXIRKCHQQ7MKIH">#REF!</definedName>
    <definedName name="BExSHVGPIAHXI97UBLI9G4I4M29F">#REF!</definedName>
    <definedName name="BExSI0K2YL3HTCQAD8A7TR4QCUR6">#REF!</definedName>
    <definedName name="BExSIFUDNRWXWIWNGCCFOOD8WIAZ">#REF!</definedName>
    <definedName name="BExTTFKUS1UKDEN7MR5RFC8CRUO4">#REF!</definedName>
    <definedName name="BExTTH2U1OF9JVHRKQLXKLV1JY2L">#REF!</definedName>
    <definedName name="BExTTM698HON40MMA92UE7591ONB">#REF!</definedName>
    <definedName name="BExTTWD2PGX3Y9FR5F2MRNLY1DIY">#REF!</definedName>
    <definedName name="BExTTZNS2PBCR93C9IUW49UZ4I6T">#REF!</definedName>
    <definedName name="BExTU2YFQ25JQ6MEMRHHN66VLTPJ">#REF!</definedName>
    <definedName name="BExTU75IOII1V5O0C9X2VAYYVJUG">#REF!</definedName>
    <definedName name="BExTUA5F7V4LUIIAM17J3A8XF3JE">#REF!</definedName>
    <definedName name="BExTUJ53ANGZ3H1KDK4CR4Q0OD6P">#REF!</definedName>
    <definedName name="BExTUKXSZBM7C57G6NGLWGU4WOHY">#REF!</definedName>
    <definedName name="BExTUSQCFFYZCDNHWHADBC2E1ZP1">#REF!</definedName>
    <definedName name="BExTUVFGOJEYS28JURA5KHQFDU5J">#REF!</definedName>
    <definedName name="BExTUW10U40QCYGHM5NJ3YR1O5SP">#REF!</definedName>
    <definedName name="BExTUWXFQHINU66YG82BI20ATMB5">#REF!</definedName>
    <definedName name="BExTUY9WNSJ91GV8CP0SKJTEIV82">#REF!</definedName>
    <definedName name="BExTUZXAL8MLXG1BSWWY1G32NA3M">#REF!</definedName>
    <definedName name="BExTV67VIM8PV6KO253M4DUBJQLC">#REF!</definedName>
    <definedName name="BExTVELZCF2YA5L6F23BYZZR6WHF">#REF!</definedName>
    <definedName name="BExTVGPIQZ99YFXUC8OONUX5BD42">#REF!</definedName>
    <definedName name="BExTVZQLP9VFLEYQ9280W13X7E8K">#REF!</definedName>
    <definedName name="BExTWB4LA1PODQOH4LDTHQKBN16K">#REF!</definedName>
    <definedName name="BExTWF65CC5H4JTN5KCO0JRU3Q1B">#REF!</definedName>
    <definedName name="BExTWI0Q8AWXUA3ZN7I5V3QK2KM1">#REF!</definedName>
    <definedName name="BExTWJTIA3WUW1PUWXAOP9O8NKLZ">#REF!</definedName>
    <definedName name="BExTWRB89AVOWA6H2SD1KJT4KOBN">#REF!</definedName>
    <definedName name="BExTWW95OX07FNA01WF5MSSSFQLX">#REF!</definedName>
    <definedName name="BExTX476KI0RNB71XI5TYMANSGBG">#REF!</definedName>
    <definedName name="BExTXJ6HBAIXMMWKZTJNFDYVZCAY">#REF!</definedName>
    <definedName name="BExTXK8CL5D56JV0AONWBBXAJUO2">#REF!</definedName>
    <definedName name="BExTXOKPNAOPYU4ODF94BS8WK0NA">#REF!</definedName>
    <definedName name="BExTXT812NQT8GAEGH738U29BI0D">#REF!</definedName>
    <definedName name="BExTXWIP2TFPTQ76NHFOB72NICRZ">#REF!</definedName>
    <definedName name="BExTY5T62H651VC86QM4X7E28JVA">#REF!</definedName>
    <definedName name="BExTYHCJJ2NWRM1RV59FYR41534U">#REF!</definedName>
    <definedName name="BExTYKCEFJ83LZM95M1V7CSFQVEA">#REF!</definedName>
    <definedName name="BExTYPLA9N640MFRJJQPKXT7P88M">#REF!</definedName>
    <definedName name="BExTYWHGJOZQ5GPIBB7JIYCXB587">#REF!</definedName>
    <definedName name="BExTZ7F71SNTOX4LLZCK5R9VUMIJ">#REF!</definedName>
    <definedName name="BExTZ8X5G9S3PA4FPSNK7T69W7QT">#REF!</definedName>
    <definedName name="BExTZ97Y0RMR8V5BI9F2H4MFB77O">#REF!</definedName>
    <definedName name="BExTZFD8VY0TVDHLEQ60WGQ3WY6Z">#REF!</definedName>
    <definedName name="BExTZK5PMCAXJL4DUIGL6H9Y8U4C">#REF!</definedName>
    <definedName name="BExTZKB6L5SXV5UN71YVTCBEIGWY">#REF!</definedName>
    <definedName name="BExTZLICVKK4NBJFEGL270GJ2VQO">#REF!</definedName>
    <definedName name="BExTZO2596CBZKPI7YNA1QQNPAIJ">#REF!</definedName>
    <definedName name="BExTZY8TDV4U7FQL7O10G6VKWKPJ">#REF!</definedName>
    <definedName name="BExU02QNT4LT7H9JPUC4FXTLVGZT">#REF!</definedName>
    <definedName name="BExU03HPA3V2PEFTTJ1EYVGJU0E2">#REF!</definedName>
    <definedName name="BExU0BFJJQO1HJZKI14QGOQ6JROO">#REF!</definedName>
    <definedName name="BExU0FH5WTGW8MRFUFMDDSMJ6YQ5">#REF!</definedName>
    <definedName name="BExU0GDOIL9U33QGU9ZU3YX3V1I4">#REF!</definedName>
    <definedName name="BExU0HKTO8WJDQDWRTUK5TETM3HS">#REF!</definedName>
    <definedName name="BExU0MTJQPE041ZN7H8UKGV6MZT7">#REF!</definedName>
    <definedName name="BExU0XB6XCXI4SZ92YEUFMW4TAXF">#REF!</definedName>
    <definedName name="BExU0Z98UR09K2XF1VLL37ZZHE2U">#REF!</definedName>
    <definedName name="BExU0ZK1YNUFU3VFXQIDBA7W48KH">#REF!</definedName>
    <definedName name="BExU0ZUUFYHLUK4M4E8GLGIBBNT0">#REF!</definedName>
    <definedName name="BExU147D6RPG6ZVTSXRKFSVRHSBG">#REF!</definedName>
    <definedName name="BExU16R10W1SOAPNG4CDJ01T7JRE">#REF!</definedName>
    <definedName name="BExU17CKOR3GNIHDNVLH9L1IOJS9">#REF!</definedName>
    <definedName name="BExU1GXUTLRPJN4MRINLAPHSZQFG">#REF!</definedName>
    <definedName name="BExU1IL9AOHFO85BZB6S60DK3N8H">#REF!</definedName>
    <definedName name="BExU1NOPS09CLFZL1O31RAF9BQNQ">#REF!</definedName>
    <definedName name="BExU1PH9MOEX1JZVZ3D5M9DXB191">#REF!</definedName>
    <definedName name="BExU1QZEEKJA35IMEOLOJ3ODX0ZA">#REF!</definedName>
    <definedName name="BExU1SMNFAXFWWGGZP1DFVC3NIGE">#REF!</definedName>
    <definedName name="BExU1VRURIWWVJ95O40WA23LMTJD">#REF!</definedName>
    <definedName name="BExU1WTPD21WRY89427YGNYH5QWO">#REF!</definedName>
    <definedName name="BExU2B7MQEXXTOZP5GJ6H1M8270Q">#REF!</definedName>
    <definedName name="BExU2M5CK6XK55UIHDVYRXJJJRI4">#REF!</definedName>
    <definedName name="BExU2TXVT25ZTOFQAF6CM53Z1RLF">#REF!</definedName>
    <definedName name="BExU2XZLYIU19G7358W5T9E87AFR">#REF!</definedName>
    <definedName name="BExU39TR5J41TTUUGFT8RBPJKIDA">#REF!</definedName>
    <definedName name="BExU3B66MCKJFSKT3HL8B5EJGVX0">#REF!</definedName>
    <definedName name="BExU3C2KJXZ3ELYHJO8AIL1RKGML">#REF!</definedName>
    <definedName name="BExU3UNI9NR1RNZR07NSLSZMDOQQ">#REF!</definedName>
    <definedName name="BExU401R18N6XKZKL7CNFOZQCM14">#REF!</definedName>
    <definedName name="BExU42QVGY7TK39W1BIN6CDRG2OE">#REF!</definedName>
    <definedName name="BExU44P2AEX6PD8VC4ISCROUCQSP">#REF!</definedName>
    <definedName name="BExU47OZMS6TCWMEHHF0UCSFLLPI">#REF!</definedName>
    <definedName name="BExU4D36E8TXN0M8KSNGEAFYP4DQ">#REF!</definedName>
    <definedName name="BExU4G31RRVLJ3AC6E1FNEFMXM3O">#REF!</definedName>
    <definedName name="BExU4GDVLPUEWBA4MRYRTQAUNO7B">#REF!</definedName>
    <definedName name="BExU4I148DA7PRCCISLWQ6ABXFK6">#REF!</definedName>
    <definedName name="BExU4L101H2KQHVKCKQ4PBAWZV6K">#REF!</definedName>
    <definedName name="BExU4NA00RRRBGRT6TOB0MXZRCRZ">#REF!</definedName>
    <definedName name="BExU4X0KN6NT3VFUW5G4WGKGE86Q">#REF!</definedName>
    <definedName name="BExU51IFNZXPBDES28457LR8X60M">#REF!</definedName>
    <definedName name="BExU529I6YHVOG83TJHWSILIQU1S">#REF!</definedName>
    <definedName name="BExU57YCIKPRD8QWL6EU0YR3NG3J">#REF!</definedName>
    <definedName name="BExU5DSTBWXLN6E59B757KRWRI6E">#REF!</definedName>
    <definedName name="BExU5TDWM8NNDHYPQ7OQODTQ368A">#REF!</definedName>
    <definedName name="BExU5X4OX1V1XHS6WSSORVQPP6Z3">#REF!</definedName>
    <definedName name="BExU5XVPARTFMRYHNUTBKDIL4UJN">#REF!</definedName>
    <definedName name="BExU66KMFBAP8JCVG9VM1RD1TNFF">#REF!</definedName>
    <definedName name="BExU68IOM3CB3TACNAE9565TW7SH">#REF!</definedName>
    <definedName name="BExU6AM82KN21E82HMWVP3LWP9IL">#REF!</definedName>
    <definedName name="BExU6FEU1MRHU98R9YOJC5OKUJ6L">#REF!</definedName>
    <definedName name="BExU6KI9M3L66J8K9097CNXOPQUP">#REF!</definedName>
    <definedName name="BExU6KIAJ663Y8W8QMU4HCF183DF">#REF!</definedName>
    <definedName name="BExU6KT19B4PG6SHXFBGBPLM66KT">#REF!</definedName>
    <definedName name="BExU6PAVKIOAIMQ9XQIHHF1SUAGO">#REF!</definedName>
    <definedName name="BExU6WXXC7SSQDMHSLUN5C2V4IYX">#REF!</definedName>
    <definedName name="BExU73387E74XE8A9UKZLZNJYY65">#REF!</definedName>
    <definedName name="BExU76ZHCJM8I7VSICCMSTC33O6U">#REF!</definedName>
    <definedName name="BExU79J5148FQPY8HVPRZU3JIYXJ">#REF!</definedName>
    <definedName name="BExU7BBTUF8BQ42DSGM94X5TG5GF">#REF!</definedName>
    <definedName name="BExU7HH4EAHFQHT4AXKGWAWZP3I0">#REF!</definedName>
    <definedName name="BExU7MF1ZVPDHOSMCAXOSYICHZ4I">#REF!</definedName>
    <definedName name="BExU7O2BJ6D5YCKEL6FD2EFCWYRX">#REF!</definedName>
    <definedName name="BExU7Q0JS9YIUKUPNSSAIDK2KJAV">#REF!</definedName>
    <definedName name="BExU7ZGIOGTBA0OW6Y89HMFXB97H">#REF!</definedName>
    <definedName name="BExU80I6AE5OU7P7F5V7HWIZBJ4P">#REF!</definedName>
    <definedName name="BExU86NB26MCPYIISZ36HADONGT2">#REF!</definedName>
    <definedName name="BExU885EZZNSZV3GP298UJ8LB7OL">#REF!</definedName>
    <definedName name="BExU8FSAUP9TUZ1NO9WXK80QPHWV">#REF!</definedName>
    <definedName name="BExU8KFLAN778MBN93NYZB0FV30G">#REF!</definedName>
    <definedName name="BExU8QKQD3R8JQPQL43FEYITAOQ3">#REF!</definedName>
    <definedName name="BExU8UX9J2DOKYW8NRK85BO12WAE">#REF!</definedName>
    <definedName name="BExU8UX9JX3XLB47YZ8GFXE0V7R2">#REF!</definedName>
    <definedName name="BExU91DC3DGKPZD6LTER2IRTF89C">#REF!</definedName>
    <definedName name="BExU96M1J7P9DZQ3S9H0C12KGYTW">#REF!</definedName>
    <definedName name="BExU9F05OR1GZ3057R6UL3WPEIYI">#REF!</definedName>
    <definedName name="BExU9GCSO5YILIKG6VAHN13DL75K">#REF!</definedName>
    <definedName name="BExU9KJOZLO15N11MJVN782NFGJ0">#REF!</definedName>
    <definedName name="BExU9LG29XU2K1GNKRO4438JYQZE">#REF!</definedName>
    <definedName name="BExU9RFUQ0SGFHZDR6K893YGVWX8">#REF!</definedName>
    <definedName name="BExU9RW36I5Z6JIXUIUB3PJH86LT">#REF!</definedName>
    <definedName name="BExUA28AO7OWDG3H23Q0CL4B7BHW">#REF!</definedName>
    <definedName name="BExUA4HB4KV9DBW2H9GUWCSGH7GN">#REF!</definedName>
    <definedName name="BExUA5O923FFNEBY8BPO1TU3QGBM">#REF!</definedName>
    <definedName name="BExUA6Q4K25VH452AQ3ZIRBCMS61">#REF!</definedName>
    <definedName name="BExUAFF10A0O0E1VDCWA2R1J34JS">#REF!</definedName>
    <definedName name="BExUAFV4JMBSM2SKBQL9NHL0NIBS">#REF!</definedName>
    <definedName name="BExUAMWQODKBXMRH1QCMJLJBF8M7">#REF!</definedName>
    <definedName name="BExUAX8WS5OPVLCDXRGKTU2QMTFO">#REF!</definedName>
    <definedName name="BExUB8HLEXSBVPZ5AXNQEK96F1N4">#REF!</definedName>
    <definedName name="BExUBCDVZIEA7YT0LPSMHL5ZSERQ">#REF!</definedName>
    <definedName name="BExUBKXBUCN760QYU7Q8GESBWOQH">#REF!</definedName>
    <definedName name="BExUBL83ED0P076RN9RJ8P1MZ299">#REF!</definedName>
    <definedName name="BExUC623BDYEODBN0N4DO6PJQ7NU">#REF!</definedName>
    <definedName name="BExUC8WH8TCKBB5313JGYYQ1WFLT">#REF!</definedName>
    <definedName name="BExUCFCDK6SPH86I6STXX8X3WMC4">#REF!</definedName>
    <definedName name="BExUCLC6AQ5KR6LXSAXV4QQ8ASVG">#REF!</definedName>
    <definedName name="BExUCUHBPZLHGN350IULOQSS2KH1">#REF!</definedName>
    <definedName name="BExUD4IOJ12X3PJG5WXNNGDRCKAP">#REF!</definedName>
    <definedName name="BExUD9WX9BWK72UWVSLYZJLAY5VY">#REF!</definedName>
    <definedName name="BExUDBEUJH9IACZDBL1VAUWPG0QW">#REF!</definedName>
    <definedName name="BExUDCB7BOHXGCE90UCVSOO3H6ZW">#REF!</definedName>
    <definedName name="BExUDEV0CYVO7Y5IQQBEJ6FUY9S6">#REF!</definedName>
    <definedName name="BExUDWOXQGIZW0EAIIYLQUPXF8YV">#REF!</definedName>
    <definedName name="BExUDXAIC17W1FUU8Z10XUAVB7CS">#REF!</definedName>
    <definedName name="BExUE5OMY7OAJQ9WR8C8HG311ORP">#REF!</definedName>
    <definedName name="BExUEFKOQWXXGRNLAOJV2BJ66UB8">#REF!</definedName>
    <definedName name="BExUEJGX3OQQP5KFRJSRCZ70EI9V">#REF!</definedName>
    <definedName name="BExUEYR71COFS2X8PDNU21IPMQEU">#REF!</definedName>
    <definedName name="BExVPRLJ9I6RX45EDVFSQGCPJSOK">#REF!</definedName>
    <definedName name="BExVSL787C8E4HFQZ2NVLT35I2XV">#REF!</definedName>
    <definedName name="BExVSTFTVV14SFGHQUOJL5SQ5TX9">#REF!</definedName>
    <definedName name="BExVT3MPE8LQ5JFN3HQIFKSQ80U4">#REF!</definedName>
    <definedName name="BExVT7TRK3NZHPME2TFBXOF1WBR9">#REF!</definedName>
    <definedName name="BExVT9H0R0T7WGQAAC0HABMG54YM">#REF!</definedName>
    <definedName name="BExVTCMDDEDGLUIMUU6BSFHEWTOP">#REF!</definedName>
    <definedName name="BExVTCMDQMLKRA2NQR72XU6Y54IK">#REF!</definedName>
    <definedName name="BExVTCRV8FQ5U9OYWWL44N6KFNHU">#REF!</definedName>
    <definedName name="BExVTL0IEAU6OEL6LBJYSW8MXRQI">#REF!</definedName>
    <definedName name="BExVTNESHPVG0A0KZ7BRX26MS0PF">#REF!</definedName>
    <definedName name="BExVTRGDYD3PTLZAZMHY3GVSOZA1">#REF!</definedName>
    <definedName name="BExVTTJVTNRSBHBTUZ78WG2JM5MK">#REF!</definedName>
    <definedName name="BExVTXLMYR87BC04D1ERALPUFVPG">#REF!</definedName>
    <definedName name="BExVUJBU4860MGVZQT027NG0LV4B">#REF!</definedName>
    <definedName name="BExVUL9V3H8ZF6Y72LQBBN639YAA">#REF!</definedName>
    <definedName name="BExVUU9KU80WYVTL9KI6CZIT1GUN">#REF!</definedName>
    <definedName name="BExVV5T14N2HZIK7HQ4P2KG09U0J">#REF!</definedName>
    <definedName name="BExVV7R410VYLADLX9LNG63ID6H1">#REF!</definedName>
    <definedName name="BExVVCEED4JEKF59OV0G3T4XFMFO">#REF!</definedName>
    <definedName name="BExVVPFO2J7FMSRPD36909HN4BZJ">#REF!</definedName>
    <definedName name="BExVVQ19AQ3VCARJOC38SF7OYE9Y">#REF!</definedName>
    <definedName name="BExVVQ19TAECID45CS4HXT1RD3AQ">#REF!</definedName>
    <definedName name="BExVVVQ98G2LES4ELUJ9W66671DM" hidden="1">#REF!</definedName>
    <definedName name="BExVW3YV5XGIVJ97UUPDJGJ2P15B">#REF!</definedName>
    <definedName name="BExVW5X571GEYR5SCU1Z2DHKWM79">#REF!</definedName>
    <definedName name="BExVW62FWHX14FQ5UDIGPILQJEZS">#REF!</definedName>
    <definedName name="BExVW6YTKA098AF57M4PHNQ54XMH">#REF!</definedName>
    <definedName name="BExVWINKCH0V0NUWH363SMXAZE62">#REF!</definedName>
    <definedName name="BExVWYOX1MQQ6C5NZJDW6PD5DAMB">#REF!</definedName>
    <definedName name="BExVWYU8EK669NP172GEIGCTVPPA">#REF!</definedName>
    <definedName name="BExVX3MVJ0GHWPP1EL59ZQNKMX0B">#REF!</definedName>
    <definedName name="BExVX3XN2DRJKL8EDBIG58RYQ36R">#REF!</definedName>
    <definedName name="BExVXDZ63PUART77BBR5SI63TPC6">#REF!</definedName>
    <definedName name="BExVXHKI6LFYMGWISMPACMO247HL">#REF!</definedName>
    <definedName name="BExVXLX2BZ5EF2X6R41BTKRJR1NM">#REF!</definedName>
    <definedName name="BExVXSYITCK1ZWNO8GGPMTFW45GB">#REF!</definedName>
    <definedName name="BExVXZ3R9OO1LD5PFQKUE508SBEN">#REF!</definedName>
    <definedName name="BExVY11V7U1SAY4QKYE0PBSPD7LW">#REF!</definedName>
    <definedName name="BExVY1SV37DL5YU59HS4IG3VBCP4">#REF!</definedName>
    <definedName name="BExVY3WFGJKSQA08UF9NCMST928Y">#REF!</definedName>
    <definedName name="BExVY954UOEVQEIC5OFO4NEWVKAQ">#REF!</definedName>
    <definedName name="BExVYHDYIV5397LC02V4FEP8VD6W">#REF!</definedName>
    <definedName name="BExVYOVIZDA18YIQ0A30Q052PCAK">#REF!</definedName>
    <definedName name="BExVYQIXPEM6J4JVP78BRHIC05PV">#REF!</definedName>
    <definedName name="BExVYSH60UOHRRXXO658LADXQR0P">#REF!</definedName>
    <definedName name="BExVYVGWN7SONLVDH9WJ2F1JS264">#REF!</definedName>
    <definedName name="BExVZ4RJG8ERR3HBJ69G6Y893N0Q">#REF!</definedName>
    <definedName name="BExVZ5IFQOOPRSNXT4M7T0F7JATO">#REF!</definedName>
    <definedName name="BExVZ9EO732IK6MNMG17Y1EFTJQC">#REF!</definedName>
    <definedName name="BExVZB1Y5J4UL2LKK0363EU7GIJ1">#REF!</definedName>
    <definedName name="BExVZIEE2IV5NQPZJGBHI28Q19GB">#REF!</definedName>
    <definedName name="BExVZJQVO5LQ0BJH5JEN5NOBIAF6">#REF!</definedName>
    <definedName name="BExVZNXWS91RD7NXV5NE2R3C8WW7">#REF!</definedName>
    <definedName name="BExVZTMYDPRSY7MUPN9YFJ2GJ9TR">#REF!</definedName>
    <definedName name="BExW0386REQRCQCVT9BCX80UPTRY">#REF!</definedName>
    <definedName name="BExW04VH6HXAWOYNDECZ10B268XU">#REF!</definedName>
    <definedName name="BExW0FYP4WXY71CYUG40SUBG9UWU">#REF!</definedName>
    <definedName name="BExW0IYK1SVGJ4OPC46R57QBJAR4">#REF!</definedName>
    <definedName name="BExW0RI61B4VV0ARXTFVBAWRA1C5">#REF!</definedName>
    <definedName name="BExW17JBEWX4H0YWX8INVCPWIRM7">#REF!</definedName>
    <definedName name="BExW1BVUYQTKMOR56MW7RVRX4L1L">#REF!</definedName>
    <definedName name="BExW1F1220628FOMTW5UAATHRJHK">#REF!</definedName>
    <definedName name="BExW1FBVE0XJTNI9K4MKZG2BBB6O">#REF!</definedName>
    <definedName name="BExW1TKA0Z9OP2DTG50GZR5EG8C7">#REF!</definedName>
    <definedName name="BExW1U0JLKQ094DW5MMOI8UHO09V">#REF!</definedName>
    <definedName name="BExW283NP9D366XFPXLGSCI5UB0L">#REF!</definedName>
    <definedName name="BExW2H3C8WJSBW5FGTFKVDVJC4CL">#REF!</definedName>
    <definedName name="BExW2MS5QV2E4U6EGPFFFI3B1T50">#REF!</definedName>
    <definedName name="BExW2MSCKPGF5K3I7TL4KF5ISUOL">#REF!</definedName>
    <definedName name="BExW2PHGJCJ8FFATCHVDWJ3DF1Y1">#REF!</definedName>
    <definedName name="BExW2RVS43VQK9NACLZ8T673MHB7">#REF!</definedName>
    <definedName name="BExW2SMO90FU9W8DVVES6Q4E6BZR">#REF!</definedName>
    <definedName name="BExW36V9N91OHCUMGWJQL3I5P4JK">#REF!</definedName>
    <definedName name="BExW3EIBA1J9Q9NA9VCGZGRS8WV7">#REF!</definedName>
    <definedName name="BExW3FEO8FI8N6AGQKYEG4SQVJWB">#REF!</definedName>
    <definedName name="BExW3GB28STOMJUSZEIA7YKYNS4Y">#REF!</definedName>
    <definedName name="BExW3R8T39ZULKYXCZR39FZI74FJ">#REF!</definedName>
    <definedName name="BExW3T1K638HT5E0Y8MMK108P5JT">#REF!</definedName>
    <definedName name="BExW3XE1MLMB58TP9B8AI6ZSFL00">#REF!</definedName>
    <definedName name="BExW4217ZHL9VO39POSTJOD090WU">#REF!</definedName>
    <definedName name="BExW4BMHTGI9XEXOGYFA5RLT7JM5">#REF!</definedName>
    <definedName name="BExW4GPW71EBF8XPS2QGVQHBCDX3">#REF!</definedName>
    <definedName name="BExW4JKC5837JBPCOJV337ZVYYY3">#REF!</definedName>
    <definedName name="BExW4QR9FV9MP5K610THBSM51RYO">#REF!</definedName>
    <definedName name="BExW4QWPXM98UWX8KNPWWH64KH80">#REF!</definedName>
    <definedName name="BExW4T0AD3ALMOPMUUC0DHD9573W">#REF!</definedName>
    <definedName name="BExW4WLSENTO1GZHLD1FO1DTBRB5">#REF!</definedName>
    <definedName name="BExW4YEIDCZCZ5XOLZ9C1G17F1HB">#REF!</definedName>
    <definedName name="BExW4Z029R9E19ZENN3WEA3VDAD1">#REF!</definedName>
    <definedName name="BExW4ZG69YENV3D26AZT56ZB8H6P">#REF!</definedName>
    <definedName name="BExW5AZNT6IAZGNF2C879ODHY1B8">#REF!</definedName>
    <definedName name="BExW5MZ3GOO4KVBBGCLE3HYOVCDE" hidden="1">#REF!</definedName>
    <definedName name="BExW5OXAVP5SWOJCWXULAHMIS4NT">#REF!</definedName>
    <definedName name="BExW5TVFKIS9TOL0VAOZFZY6G643">#REF!</definedName>
    <definedName name="BExW5WPU27WD4NWZOT0ZEJIDLX5J">#REF!</definedName>
    <definedName name="BExW660AV1TUV2XNUPD65RZR3QOO">#REF!</definedName>
    <definedName name="BExW66LVVZK656PQY1257QMHP2AY">#REF!</definedName>
    <definedName name="BExW6EJPHAP1TWT380AZLXNHR22P">#REF!</definedName>
    <definedName name="BExW6FQWDOMI2L0SS9NAVI2HBGCG">#REF!</definedName>
    <definedName name="BExW6G1PJ38H10DVLL8WPQ736OEB">#REF!</definedName>
    <definedName name="BExW794A74Z5F2K8LVQLD6VSKXUE">#REF!</definedName>
    <definedName name="BExW87L2RTUZKPZC6Q9T4N5A03QA">#REF!</definedName>
    <definedName name="BExW8K0SSIPSKBVP06IJ71600HJZ">#REF!</definedName>
    <definedName name="BExW8NM8DJJESE7GF7VGTO2XO6P1">#REF!</definedName>
    <definedName name="BExW8T0GVY3ZYO4ACSBLHS8SH895">#REF!</definedName>
    <definedName name="BExW8TWU3IFOC3FMOMPMF4TZ1ZBK">#REF!</definedName>
    <definedName name="BExW8YEP73JMMU9HZ08PM4WHJQZ4">#REF!</definedName>
    <definedName name="BExW8YUXPPPNCNRHGA1HOACSS7HE">#REF!</definedName>
    <definedName name="BExW937AT53OZQRHNWQZ5BVH24IE">#REF!</definedName>
    <definedName name="BExW95LN5N0LYFFVP7GJEGDVDLF0">#REF!</definedName>
    <definedName name="BExW967733Q8RAJOHR2GJ3HO8JIW">#REF!</definedName>
    <definedName name="BExW9POK1KIOI0ALS5MZIKTDIYMA">#REF!</definedName>
    <definedName name="BExW9TVLB7OIHTG98I7I4EXBL61S">#REF!</definedName>
    <definedName name="BExXLDE6PN4ESWT3LXJNQCY94NE4">#REF!</definedName>
    <definedName name="BExXLQVPK2H3IF0NDDA5CT612EUK">#REF!</definedName>
    <definedName name="BExXLR6IO70TYTACKQH9M5PGV24J">#REF!</definedName>
    <definedName name="BExXM065WOLYRYHGHOJE0OOFXA4M">#REF!</definedName>
    <definedName name="BExXM3GUNXVDM82KUR17NNUMQCNI">#REF!</definedName>
    <definedName name="BExXMA28M8SH7MKIGETSDA72WUIZ">#REF!</definedName>
    <definedName name="BExXMOLHIAHDLFSA31PUB36SC3I9">#REF!</definedName>
    <definedName name="BExXMSN75TY0IRWSR4PJ7T0ULVHX">#REF!</definedName>
    <definedName name="BExXMT8T5Z3M2JBQN65X2LKH0YQI">#REF!</definedName>
    <definedName name="BExXN1XNO7H60M9X1E7EVWFJDM5N">#REF!</definedName>
    <definedName name="BExXN22ZOTIW49GPLWFYKVM90FNZ">#REF!</definedName>
    <definedName name="BExXN4C031W9DK73MJHKL8YT1QA8">#REF!</definedName>
    <definedName name="BExXN6QAP8UJQVN4R4BQKPP4QK35">#REF!</definedName>
    <definedName name="BExXNBOA39T2X6Y5Y5GZ5DDNA1AX">#REF!</definedName>
    <definedName name="BExXND6872VJ3M2PGT056WQMWBHD">#REF!</definedName>
    <definedName name="BExXNPM24UN2PGVL9D1TUBFRIKR4">#REF!</definedName>
    <definedName name="BExXNWYB165VO9MHARCL5WLCHWS0">#REF!</definedName>
    <definedName name="BExXO278QHQN8JDK5425EJ615ECC">#REF!</definedName>
    <definedName name="BExXOBHOP0WGFHI2Y9AO4L440UVQ">#REF!</definedName>
    <definedName name="BExXOHSAD2NSHOLLMZ2JWA4I3I1R">#REF!</definedName>
    <definedName name="BExXOW6149NZMMQ362CQOEAXDZZW">#REF!</definedName>
    <definedName name="BExXOYPTSBTIR1BBP9TNCK7K0YUR">#REF!</definedName>
    <definedName name="BExXP80B5FGA00JCM7UXKPI3PB7Y">#REF!</definedName>
    <definedName name="BExXP85M4WXYVN1UVHUTOEKEG5XS">#REF!</definedName>
    <definedName name="BExXPELOTHOAG0OWILLAH94OZV5J">#REF!</definedName>
    <definedName name="BExXPS31W1VD2NMIE4E37LHVDF0L">#REF!</definedName>
    <definedName name="BExXPZKYEMVF5JOC14HYOOYQK6JK">#REF!</definedName>
    <definedName name="BExXQ7O4WZM8TDN45WLUR9OW1O5N">#REF!</definedName>
    <definedName name="BExXQ89PA10X79WBWOEP1AJX1OQM">#REF!</definedName>
    <definedName name="BExXQCGQGGYSI0LTRVR73MUO50AW">#REF!</definedName>
    <definedName name="BExXQEEXFHDQ8DSRAJSB5ET6J004">#REF!</definedName>
    <definedName name="BExXQH41O5HZAH8BO6HCFY8YC3TU">#REF!</definedName>
    <definedName name="BExXQIRBLQSLAJTFL7224FCFUTKH">#REF!</definedName>
    <definedName name="BExXQJIEF5R3QQ6D8HO3NGPU0IQC">#REF!</definedName>
    <definedName name="BExXQU00K9ER4I1WM7T9J0W1E7ZC">#REF!</definedName>
    <definedName name="BExXQU00KOR7XLM8B13DGJ1MIQDY">#REF!</definedName>
    <definedName name="BExXQXG18PS8HGBOS03OSTQ0KEYC">#REF!</definedName>
    <definedName name="BExXQXQT4OAFQT5B0YB3USDJOJOB">#REF!</definedName>
    <definedName name="BExXR3FSEXAHSXEQNJORWFCPX86N">#REF!</definedName>
    <definedName name="BExXR3W3FKYQBLR299HO9RZ70C43">#REF!</definedName>
    <definedName name="BExXR46U23CRRBV6IZT982MAEQKI">#REF!</definedName>
    <definedName name="BExXR8OKAVX7O70V5IYG2PRKXSTI">#REF!</definedName>
    <definedName name="BExXRA6N6XCLQM6XDV724ZIH6G93">#REF!</definedName>
    <definedName name="BExXRABZ1CNKCG6K1MR6OUFHF7J9">#REF!</definedName>
    <definedName name="BExXRBOFETC0OTJ6WY3VPMFH03VB">#REF!</definedName>
    <definedName name="BExXRD13K1S9Y3JGR7CXSONT7RJZ">#REF!</definedName>
    <definedName name="BExXRIFB4QQ87QIGA9AG0NXP577K">#REF!</definedName>
    <definedName name="BExXRIQ2JF2CVTRDQX2D9SPH7FTN">#REF!</definedName>
    <definedName name="BExXRKYY27THK0Z1ONG31MHQZAZI">#REF!</definedName>
    <definedName name="BExXRO4A6VUH1F4XV8N1BRJ4896W">#REF!</definedName>
    <definedName name="BExXRO9N1SNJZGKD90P4K7FU1J0P">#REF!</definedName>
    <definedName name="BExXRV5QP3Z0KAQ1EQT9JYT2FV0L">#REF!</definedName>
    <definedName name="BExXRZ20LZZCW8LVGDK0XETOTSAI">#REF!</definedName>
    <definedName name="BExXRZNM651EJ5HJPGKGTVYLAZQ1">#REF!</definedName>
    <definedName name="BExXS63O4OMWMNXXAODZQFSDG33N">#REF!</definedName>
    <definedName name="BExXSBSP1TOY051HSPEPM0AEIO2M">#REF!</definedName>
    <definedName name="BExXSC8RFK5D68FJD2HI4K66SA6I">#REF!</definedName>
    <definedName name="BExXSNHC88W4UMXEOIOOATJAIKZO">#REF!</definedName>
    <definedName name="BExXSTBS08WIA9TLALV3UQ2Z3MRG">#REF!</definedName>
    <definedName name="BExXSVQ2WOJJ73YEO8Q2FK60V4G8">#REF!</definedName>
    <definedName name="BExXTD3VRU5709BMLJPM0MT2CCGX" hidden="1">#REF!</definedName>
    <definedName name="BExXTHLRNL82GN7KZY3TOLO508N7">#REF!</definedName>
    <definedName name="BExXTINFNT7H5O0CVU3JLMC6NRHL">#REF!</definedName>
    <definedName name="BExXTL72MKEQSQH9L2OTFLU8DM2B">#REF!</definedName>
    <definedName name="BExXTM3M4RTCRSX7VGAXGQNPP668">#REF!</definedName>
    <definedName name="BExXTOCF78J7WY6FOVBRY1N2RBBR">#REF!</definedName>
    <definedName name="BExXTP3GYO6Z9RTKKT10XA0UTV3T">#REF!</definedName>
    <definedName name="BExXTZKZ4CG92ZQLIRKEXXH9BFIR">#REF!</definedName>
    <definedName name="BExXU4J2BM2964GD5UZHM752Q4NS">#REF!</definedName>
    <definedName name="BExXU6XDTT7RM93KILIDEYPA9XKF">#REF!</definedName>
    <definedName name="BExXU8VLZA7WLPZ3RAQZGNERUD26">#REF!</definedName>
    <definedName name="BExXUB9RSLSCNN5ETLXY72DAPZZM">#REF!</definedName>
    <definedName name="BExXUFRM82XQIN2T8KGLDQL1IBQW">#REF!</definedName>
    <definedName name="BExXUQEQBF6FI240ZGIF9YXZSRAU">#REF!</definedName>
    <definedName name="BExXUYND6EJO7CJ5KRICV4O1JNWK">#REF!</definedName>
    <definedName name="BExXV6FWG4H3S2QEUJZYIXILNGJ7">#REF!</definedName>
    <definedName name="BExXVK87BMMO6LHKV0CFDNIQVIBS">#REF!</definedName>
    <definedName name="BExXVKZ9WXPGL6IVY6T61IDD771I">#REF!</definedName>
    <definedName name="BExXW0K72T1Y8K1I4VZT87UY9S2G">#REF!</definedName>
    <definedName name="BExXW27MMXHXUXX78SDTBE1JYTHT">#REF!</definedName>
    <definedName name="BExXW2YIM2MYBSHRIX0RP9D4PRMN">#REF!</definedName>
    <definedName name="BExXWBNE4KTFSXKVSRF6WX039WPB">#REF!</definedName>
    <definedName name="BExXWFP5AYE7EHYTJWBZSQ8PQ0YX">#REF!</definedName>
    <definedName name="BExXWG57U8JDJCJYPO85EP142I8W">#REF!</definedName>
    <definedName name="BExXWVFIBQT8OY1O41FRFPFGXQHK">#REF!</definedName>
    <definedName name="BExXWWXHBZHA9J3N8K47F84X0M0L">#REF!</definedName>
    <definedName name="BExXX0DLI5OXC8SXHQ58Z986ULZR">#REF!</definedName>
    <definedName name="BExXX67XIETXS4IYH6LPUWM4DW9I">#REF!</definedName>
    <definedName name="BExXXBM521DL8R4ZX7NZ3DBCUOR5">#REF!</definedName>
    <definedName name="BExXXC7OZI33XZ03NRMEP7VRLQK4">#REF!</definedName>
    <definedName name="BExXXDEVC9CCPSWZMP19EJGBE90Z">#REF!</definedName>
    <definedName name="BExXXEGLJURXXSH2G8UEXQ1LTW2O">#REF!</definedName>
    <definedName name="BExXXF7N11R5QN7VHM4PTV5XYWXA">#REF!</definedName>
    <definedName name="BExXXH5N3NKBQ7BCJPJTBF8CYM2Q">#REF!</definedName>
    <definedName name="BExXXKWLM4D541BH6O8GOJMHFHMW">#REF!</definedName>
    <definedName name="BExXXPPA1Q87XPI97X0OXCPBPDON">#REF!</definedName>
    <definedName name="BExXXVUDA98IZTQ6MANKU4MTTDVR">#REF!</definedName>
    <definedName name="BExXXZLATQAVPE8GOOZFX15NB9JD">#REF!</definedName>
    <definedName name="BExXXZQNZY6IZI45DJXJK0MQZWA7">#REF!</definedName>
    <definedName name="BExXY4DY5FQM3OL3KFLAS6NLUGNW">#REF!</definedName>
    <definedName name="BExXY5QFG6QP94SFT3935OBM8Y4K">#REF!</definedName>
    <definedName name="BExXY7TYEBFXRYUYIFHTN65RJ8EW">#REF!</definedName>
    <definedName name="BExXYD86QYMWF0AXEDNOACCGS3J2">#REF!</definedName>
    <definedName name="BExXYLBHANUXC5FCTDDTGOVD3GQS">#REF!</definedName>
    <definedName name="BExXYMNYAYH3WA2ZCFAYKZID9ZCI">#REF!</definedName>
    <definedName name="BExXYNKBQ7AQKGKTMLFPY13WPU0M" hidden="1">#REF!</definedName>
    <definedName name="BExXYYT12SVN2VDMLVNV4P3ISD8T">#REF!</definedName>
    <definedName name="BExXZ53FPR20OHGHWKU55VITGX2Z">#REF!</definedName>
    <definedName name="BExXZEDWUYH25UZMW2QU2RXFILJE">#REF!</definedName>
    <definedName name="BExXZFVV4YB42AZ3H1I40YG3JAPU">#REF!</definedName>
    <definedName name="BExXZHJ9T2JELF12CHHGD54J1B0C">#REF!</definedName>
    <definedName name="BExXZNJ2X1TK2LRK5ZY3MX49H5T7">#REF!</definedName>
    <definedName name="BExXZOVPCEP495TQSON6PSRQ8XCY">#REF!</definedName>
    <definedName name="BExXZU9S069YZAHL30HZU7JCTZB6">#REF!</definedName>
    <definedName name="BExXZXKH7NBARQQAZM69Z57IH1MM">#REF!</definedName>
    <definedName name="BExY07WSDH5QEVM7BJXJK2ZRAI1O">#REF!</definedName>
    <definedName name="BExY0C3UBVC4M59JIRXVQ8OWAJC1">#REF!</definedName>
    <definedName name="BExY0OE8GFHMLLTEAFIOQTOPEVPB">#REF!</definedName>
    <definedName name="BExY0OJHW85S0VKBA8T4HTYPYBOS">#REF!</definedName>
    <definedName name="BExY0T1E034D7XAXNC6F7540LLIE">#REF!</definedName>
    <definedName name="BExY0VFP3CLFKOPVO5L4OVSG9X78">#REF!</definedName>
    <definedName name="BExY0XTZLHN49J2JH94BYTKBJLT3">#REF!</definedName>
    <definedName name="BExY11FH9TXHERUYGG8FE50U7H7J">#REF!</definedName>
    <definedName name="BExY180UKNW5NIAWD6ZUYTFEH8QS">#REF!</definedName>
    <definedName name="BExY1BH0USOFBHRSK1VGX294SKUK">#REF!</definedName>
    <definedName name="BExY1DPTV4LSY9MEOUGXF8X052NA">#REF!</definedName>
    <definedName name="BExY1GK9ELBEKDD7O6HR6DUO8YGO">#REF!</definedName>
    <definedName name="BExY1NWOXXFV9GGZ3PX444LZ8TVX">#REF!</definedName>
    <definedName name="BExY1SPB11ISC8M4ORC0QE4PWSER">#REF!</definedName>
    <definedName name="BExY1UCL0RND63LLSM9X5SFRG117">#REF!</definedName>
    <definedName name="BExY1WAT3937L08HLHIRQHMP2A3H">#REF!</definedName>
    <definedName name="BExY1YEBOSLMID7LURP8QB46AI91">#REF!</definedName>
    <definedName name="BExY2DJ5WVGFG4O033SMQ3C48L4R" hidden="1">#REF!</definedName>
    <definedName name="BExY2FS4LFX9OHOTQT7SJ2PXAC25">#REF!</definedName>
    <definedName name="BExY2GDPCZPVU0IQ6IJIB1YQQRQ6">#REF!</definedName>
    <definedName name="BExY2GTSZ3VA9TXLY7KW1LIAKJ61">#REF!</definedName>
    <definedName name="BExY2IXBR1SGYZH08T7QHKEFS8HA">#REF!</definedName>
    <definedName name="BExY2Q4B5FUDA5VU4VRUHX327QN0">#REF!</definedName>
    <definedName name="BExY31I9UMUHFKG3SC4VW1HNOP5Y">#REF!</definedName>
    <definedName name="BExY34YBPJUAWMDQD7XKWQLUCPVP">#REF!</definedName>
    <definedName name="BExY3HOSK7YI364K15OX70AVR6F1">#REF!</definedName>
    <definedName name="BExY3HZRQGB143X2UQNCYR3TAR3J">#REF!</definedName>
    <definedName name="BExY3T89AUR83SOAZZ3OMDEJDQ39">#REF!</definedName>
    <definedName name="BExY3ZTN41B82O0HVAMZAS46G18T" hidden="1">#REF!</definedName>
    <definedName name="BExY4MG771JQ84EMIVB6HQGGHZY7">#REF!</definedName>
    <definedName name="BExY4N1QO2TB3ANUA3D7B9W6EMQY" hidden="1">#REF!</definedName>
    <definedName name="BExY4PWCSFB8P3J3TBQB2MD67263">#REF!</definedName>
    <definedName name="BExY4RZW3KK11JLYBA4DWZ92M6LQ">#REF!</definedName>
    <definedName name="BExY4XOVTTNVZ577RLIEC7NZQFIX">#REF!</definedName>
    <definedName name="BExY50JAF5CG01GTHAUS7I4ZLUDC">#REF!</definedName>
    <definedName name="BExY53J7EXFEOFTRNAHLK7IH3ACB">#REF!</definedName>
    <definedName name="BExY53TYAEEYB3JMWU6IZZ00FJJY">#REF!</definedName>
    <definedName name="BExY5515SJTJS3VM80M3YYR0WF37">#REF!</definedName>
    <definedName name="BExY5515WE39FQ3EG5QHG67V9C0O">#REF!</definedName>
    <definedName name="BExY5986WNAD8NFCPXC9TVLBU4FG">#REF!</definedName>
    <definedName name="BExY5DF9MS25IFNWGJ1YAS5MDN8R">#REF!</definedName>
    <definedName name="BExY5ERVGL3UM2MGT8LJ0XPKTZEK">#REF!</definedName>
    <definedName name="BExY5EX6NJFK8W754ZVZDN5DS04K">#REF!</definedName>
    <definedName name="BExY5S3XD1NJT109CV54IFOHVLQ6">#REF!</definedName>
    <definedName name="BExY5TB2VAI3GHKCPXMCVIOM8B8W">#REF!</definedName>
    <definedName name="BExY5X21S9L4HBT5Q2OIE1W6PIM4" hidden="1">#REF!</definedName>
    <definedName name="BExY6KVS1MMZ2R34PGEFR2BMTU9W">#REF!</definedName>
    <definedName name="BExY6Q9YY7LW745GP7CYOGGSPHGE">#REF!</definedName>
    <definedName name="BExZIA3C8LKJTEH3MKQ57KJH5TA2">#REF!</definedName>
    <definedName name="BExZIIHH3QNQE3GFMHEE4UMHY6WQ">#REF!</definedName>
    <definedName name="BExZIYO22G5UXOB42GDLYGVRJ6U7">#REF!</definedName>
    <definedName name="BExZJ59G216MIWI6MR626NF6F07J">#REF!</definedName>
    <definedName name="BExZJ7I9T8XU4MZRKJ1VVU76V2LZ">#REF!</definedName>
    <definedName name="BExZJGNH15T4SBTDDCR2VX0QRV31">#REF!</definedName>
    <definedName name="BExZJMY170JCUU1RWASNZ1HJPRTA">#REF!</definedName>
    <definedName name="BExZJOQR77H0P4SUKVYACDCFBBXO">#REF!</definedName>
    <definedName name="BExZJS6RG34ODDY9HMZ0O34MEMSB">#REF!</definedName>
    <definedName name="BExZK34NR4BAD7HJAP7SQ926UQP3">#REF!</definedName>
    <definedName name="BExZK3FGPHH5H771U7D5XY7XBS6E">#REF!</definedName>
    <definedName name="BExZK7H1V18ZHJACM6SULR7VML9M">#REF!</definedName>
    <definedName name="BExZKHYORG3O8C772XPFHM1N8T80">#REF!</definedName>
    <definedName name="BExZKJRF2IRR57DG9CLC7MSHWNNN">#REF!</definedName>
    <definedName name="BExZKV5GYXO0X760SBD9TWTIQHGI">#REF!</definedName>
    <definedName name="BExZL0JNJKI1BWPZIRAGTW1QYS1C">#REF!</definedName>
    <definedName name="BExZL2CD6QVYD1QJREC3UILJCLS8">#REF!</definedName>
    <definedName name="BExZL6E4YVXRUN7ZGF2BIGIXFR8K">#REF!</definedName>
    <definedName name="BExZLGVLMKTPFXG42QYT0PO81G7F">#REF!</definedName>
    <definedName name="BExZLKMK7LRK14S09WLMH7MXSQXM">#REF!</definedName>
    <definedName name="BExZM7JVLG0W8EG5RBU915U3SKBY">#REF!</definedName>
    <definedName name="BExZM85FOVUFF110XMQ9O2ODSJUK">#REF!</definedName>
    <definedName name="BExZMF1MMTZ1TA14PZ8ASSU2CBSP">#REF!</definedName>
    <definedName name="BExZMJZLRGYTQFMVG9BF52ZVGG3G">#REF!</definedName>
    <definedName name="BExZMKL5YQZD7F0FUCSVFGLPFK52">#REF!</definedName>
    <definedName name="BExZMOC3VNZALJM71X2T6FV91GTB">#REF!</definedName>
    <definedName name="BExZMXH39OB0I43XEL3K11U3G9PM">#REF!</definedName>
    <definedName name="BExZMZQ3RBKDHT5GLFNLS52OSJA0">#REF!</definedName>
    <definedName name="BExZN2F7Y2J2L2LN5WZRG949MS4A">#REF!</definedName>
    <definedName name="BExZN5KE83KLHRS60OVR40VRZCAP">#REF!</definedName>
    <definedName name="BExZN847WUWKRYTZWG9TCQZJS3OL">#REF!</definedName>
    <definedName name="BExZN8KBNVQOL8KPDC1EUPS86ZCW">#REF!</definedName>
    <definedName name="BExZNH3VISFF4NQI11BZDP5IQ7VG">#REF!</definedName>
    <definedName name="BExZNJYCFYVMAOI62GB2BABK1ELE">#REF!</definedName>
    <definedName name="BExZNV707LIU6Z5H6QI6H67LHTI1">#REF!</definedName>
    <definedName name="BExZNVCBKB930QQ9QW7KSGOZ0V1M">#REF!</definedName>
    <definedName name="BExZNW8QJ18X0RSGFDWAE9ZSDX39">#REF!</definedName>
    <definedName name="BExZNZDWRS6Q40L8OCWFEIVI0A1O">#REF!</definedName>
    <definedName name="BExZOBO9NYLGVJQ31LVQ9XS2ZT4N">#REF!</definedName>
    <definedName name="BExZOETNB1CJ3Y2RKLI1ZK0S8Z6H">#REF!</definedName>
    <definedName name="BExZOJ61Z0BVAHCIMZBC70MBFSAO">#REF!</definedName>
    <definedName name="BExZOL9K1RUXBTLZ6FJ65BIE9G5R">#REF!</definedName>
    <definedName name="BExZOREMVSK4E5VSWM838KHUB8AI">#REF!</definedName>
    <definedName name="BExZOVR745T5P1KS9NV2PXZPZVRG">#REF!</definedName>
    <definedName name="BExZOZSWGLSY2XYVRIS6VSNJDSGD">#REF!</definedName>
    <definedName name="BExZP7AIJKLM6C6CSUIIFAHFBNX2">#REF!</definedName>
    <definedName name="BExZPEC5LM4ZAI8EB16BNIMI101X" hidden="1">#REF!</definedName>
    <definedName name="BExZPODHNRS686GWO1W3P95EQXZV">#REF!</definedName>
    <definedName name="BExZPQ0XY507N8FJMVPKCTK8HC9H">#REF!</definedName>
    <definedName name="BExZQ37OVBR25U32CO2YYVPZOMR5">#REF!</definedName>
    <definedName name="BExZQ3IHNAFF2HI20IH754T349LH">#REF!</definedName>
    <definedName name="BExZQ3NS7U8JLML2IM0A50D9HXH1">#REF!</definedName>
    <definedName name="BExZQ3NT7H06VO0AR48WHZULZB93">#REF!</definedName>
    <definedName name="BExZQ49EGY17UKW7041TT3T9TYEW">#REF!</definedName>
    <definedName name="BExZQ7PJU07SEJMDX18U9YVDC2GU">#REF!</definedName>
    <definedName name="BExZQIHTGHK7OOI2Y2PN3JYBY82I">#REF!</definedName>
    <definedName name="BExZQJJMGU5MHQOILGXGJPAQI5XI">#REF!</definedName>
    <definedName name="BExZQRC5OMY5Y6JW3Y1YALFORDGR">#REF!</definedName>
    <definedName name="BExZQUMV5PNP2IGJZUNG7ET32ORJ">#REF!</definedName>
    <definedName name="BExZQXBYEBN28QUH1KOVW6KKA5UM">#REF!</definedName>
    <definedName name="BExZQZKT146WEN8FTVZ7Y5TSB8L5">#REF!</definedName>
    <definedName name="BExZR29XTMNUDHZYBVGGG5XF2Z16" hidden="1">#REF!</definedName>
    <definedName name="BExZR485AKBH93YZ08CMUC3WROED">#REF!</definedName>
    <definedName name="BExZR7TL98P2PPUVGIZYR5873DWW">#REF!</definedName>
    <definedName name="BExZRGD1603X5ACFALUUDKCD7X48">#REF!</definedName>
    <definedName name="BExZRP1X6UVLN1UOLHH5VF4STP1O">#REF!</definedName>
    <definedName name="BExZRQ930U6OCYNV00CH5I0Q4LPE">#REF!</definedName>
    <definedName name="BExZRW8W514W8OZ72YBONYJ64GXF">#REF!</definedName>
    <definedName name="BExZRWJP2BUVFJPO8U8ATQEP0LZU">#REF!</definedName>
    <definedName name="BExZS2OY9JTSSP01ZQ6V2T2LO5R9">#REF!</definedName>
    <definedName name="BExZSI9USDLZAN8LI8M4YYQL24GZ">#REF!</definedName>
    <definedName name="BExZSS0LA2JY4ZLJ1Z5YCMLJJZCH">#REF!</definedName>
    <definedName name="BExZTAQV2QVSZY5Y3VCCWUBSBW9P">#REF!</definedName>
    <definedName name="BExZTHSI2FX56PWRSNX9H5EWTZFO">#REF!</definedName>
    <definedName name="BExZTJL3HVBFY139H6CJHEQCT1EL">#REF!</definedName>
    <definedName name="BExZTLOL8OPABZI453E0KVNA1GJS">#REF!</definedName>
    <definedName name="BExZTSQ7ZMSPPWGE768UXS0QGD6Z">#REF!</definedName>
    <definedName name="BExZTT6J3X0TOX0ZY6YPLUVMCW9X">#REF!</definedName>
    <definedName name="BExZTW6ECBRA0BBITWBQ8R93RMCL">#REF!</definedName>
    <definedName name="BExZU2BHYAOKSCBM3C5014ZF6IXS">#REF!</definedName>
    <definedName name="BExZU2RMJTXOCS0ROPMYPE6WTD87">#REF!</definedName>
    <definedName name="BExZUF7G8FENTJKH9R1XUWXM6CWD">#REF!</definedName>
    <definedName name="BExZUGJXXOPRGZWK4YTPEBDQ06SP">#REF!</definedName>
    <definedName name="BExZUJ92PCGDUJSFNXUW5CWMOTDV">#REF!</definedName>
    <definedName name="BExZUNARUJBIZ08VCAV3GEVBIR3D">#REF!</definedName>
    <definedName name="BExZUSZT5496UMBP4LFSLTR1GVEW">#REF!</definedName>
    <definedName name="BExZUT54340I38GVCV79EL116WR0">#REF!</definedName>
    <definedName name="BExZUYDULCX65H9OZ9JHPBNKF3MI">#REF!</definedName>
    <definedName name="BExZV2QD5ZDK3AGDRULLA7JB46C3">#REF!</definedName>
    <definedName name="BExZVBQ29OM0V8XAL3HL0JIM0MMU">#REF!</definedName>
    <definedName name="BExZVEPYS6HYXG8RN9GMWZTHDEMK">#REF!</definedName>
    <definedName name="BExZVLM4T9ORS4ZWHME46U4Q103C">#REF!</definedName>
    <definedName name="BExZVM7OZWPPRH5YQW50EYMMIW1A">#REF!</definedName>
    <definedName name="BExZVOM0192EZHX3CR3H5AE8L90P">#REF!</definedName>
    <definedName name="BExZVPYGX2C5OSHMZ6F0KBKZ6B1S">#REF!</definedName>
    <definedName name="BExZW5UARC8W9AQNLJX2I5WQWS5F">#REF!</definedName>
    <definedName name="BExZW7HRGN6A9YS41KI2B2UUMJ7X">#REF!</definedName>
    <definedName name="BExZW8ZPNV43UXGOT98FDNIBQHZY">#REF!</definedName>
    <definedName name="BExZWH8CWI30K4F8NGRSV6Z6DLHL">#REF!</definedName>
    <definedName name="BExZWKZ5N3RDXU8MZ8HQVYYD8O0F">#REF!</definedName>
    <definedName name="BExZWS6303FDMH2D71VLXR1LWM0W">#REF!</definedName>
    <definedName name="BExZWSMC9T48W74GFGQCIUJ8ZPP3">#REF!</definedName>
    <definedName name="BExZWUF2V4HY3HI8JN9ZVPRWK1H3">#REF!</definedName>
    <definedName name="BExZWX45URTK9KYDJHEXL1OTZ833">#REF!</definedName>
    <definedName name="BExZX0EWQEZO86WDAD9A4EAEZ012">#REF!</definedName>
    <definedName name="BExZX2T6ZT2DZLYSDJJBPVIT5OK2">#REF!</definedName>
    <definedName name="BExZXOJDELULNLEH7WG0OYJT0NJ4">#REF!</definedName>
    <definedName name="BExZXOOTRNUK8LGEAZ8ZCFW9KXQ1">#REF!</definedName>
    <definedName name="BExZXT6IPXWIGJJI3C72RLGEQJ1L">#REF!</definedName>
    <definedName name="BExZXT6JOXNKEDU23DKL8XZAJZIH">#REF!</definedName>
    <definedName name="BExZXUJ4ZBP208CJRSPXDAW6XI52">#REF!</definedName>
    <definedName name="BExZXUTYW1HWEEZ1LIX4OQWC7HL1">#REF!</definedName>
    <definedName name="BExZXY4NKQL9QD76YMQJ15U1C2G8">#REF!</definedName>
    <definedName name="BExZXYQ7U5G08FQGUIGYT14QCBOF">#REF!</definedName>
    <definedName name="BExZY02V77YJBMODJSWZOYCMPS5X">#REF!</definedName>
    <definedName name="BExZY49QRZIR6CA41LFA9LM6EULU">#REF!</definedName>
    <definedName name="BExZYC7QX4126B118BLBUX9IBQGP">#REF!</definedName>
    <definedName name="BExZYPUM1JDXRAGGY2GXH5IOF6XY">#REF!</definedName>
    <definedName name="BExZZ2FQA9A8C7CJKMEFQ9VPSLCE">#REF!</definedName>
    <definedName name="BExZZCHAVHW8C2H649KRGVQ0WVRT">#REF!</definedName>
    <definedName name="BExZZTK54OTLF2YB68BHGOS27GEN">#REF!</definedName>
    <definedName name="BExZZXB3JQQG4SIZS4MRU6NNW7HI">#REF!</definedName>
    <definedName name="BExZZYNLM89C8LZH66F52TSGUGV9">#REF!</definedName>
    <definedName name="BExZZZEMIIFKMLLV4DJKX5TB9R5V">#REF!</definedName>
    <definedName name="BFilter">#REF!</definedName>
    <definedName name="BFilterRange">#REF!</definedName>
    <definedName name="bfl">#REF!</definedName>
    <definedName name="bflsoftware">#REF!</definedName>
    <definedName name="bg">#REF!</definedName>
    <definedName name="BG_Del" hidden="1">15</definedName>
    <definedName name="BG_Ins" hidden="1">4</definedName>
    <definedName name="BG_Mod" hidden="1">6</definedName>
    <definedName name="bg3sheet">#REF!</definedName>
    <definedName name="bgb" hidden="1">{#N/A,#N/A,FALSE,"Pharm";#N/A,#N/A,FALSE,"WWCM"}</definedName>
    <definedName name="bgisheet">#REF!</definedName>
    <definedName name="BGXCBCVBCVB">#REF!</definedName>
    <definedName name="BharatPetroleum">#REF!</definedName>
    <definedName name="bhartiship">#REF!</definedName>
    <definedName name="BHAS">{"'OCT  VOIDS'!$A$1:$G$33","'OCT '!$A$1:$G$48","'OCT Adj'!$A$1:$L$37"}</definedName>
    <definedName name="bhel">#REF!</definedName>
    <definedName name="BHGJ">#REF!</definedName>
    <definedName name="BHP">#REF!</definedName>
    <definedName name="bhsdf">#REF!</definedName>
    <definedName name="bhsdf_1">#REF!</definedName>
    <definedName name="bhsdf_2">#REF!</definedName>
    <definedName name="bhsdf_3">#REF!</definedName>
    <definedName name="bhsdf_4">#REF!</definedName>
    <definedName name="bhu12van">{"'subnets'!$A$1:$F$20"}</definedName>
    <definedName name="BHUVAN">{"'subnets'!$A$1:$F$20"}</definedName>
    <definedName name="BHUVAN_1">{"'subnets'!$A$1:$F$20"}</definedName>
    <definedName name="BHUVAN_2">{"'subnets'!$A$1:$F$20"}</definedName>
    <definedName name="BHUVAN_3">{"'subnets'!$A$1:$F$20"}</definedName>
    <definedName name="BHUVAN_4">{"'subnets'!$A$1:$F$20"}</definedName>
    <definedName name="BHUVAN_5">{"'subnets'!$A$1:$F$20"}</definedName>
    <definedName name="bi">#REF!</definedName>
    <definedName name="bienes">{"'ASIENTOS'!$C$11:$G$144"}</definedName>
    <definedName name="big_sorting">#REF!</definedName>
    <definedName name="BII">#REF!</definedName>
    <definedName name="bill" hidden="1">{"Page1",#N/A,FALSE,"CF WKSHT";"Page2",#N/A,FALSE,"CF WKSHT"}</definedName>
    <definedName name="Billable_Hours_for_IBS">#REF!</definedName>
    <definedName name="billdate">#REF!</definedName>
    <definedName name="BILLING_RATE">#REF!</definedName>
    <definedName name="Billings">#REF!</definedName>
    <definedName name="BillMkt1">#REF!</definedName>
    <definedName name="BillMkt10">#REF!</definedName>
    <definedName name="BillMkt11">#REF!</definedName>
    <definedName name="BillMkt2">#REF!</definedName>
    <definedName name="BillMkt3">#REF!</definedName>
    <definedName name="BillMkt4">#REF!</definedName>
    <definedName name="BillMkt5">#REF!</definedName>
    <definedName name="BillMkt6">#REF!</definedName>
    <definedName name="BillMkt7">#REF!</definedName>
    <definedName name="BillMkt8">#REF!</definedName>
    <definedName name="BillMkt9">#REF!</definedName>
    <definedName name="BillTtl">#REF!</definedName>
    <definedName name="BIP">#REF!</definedName>
    <definedName name="BIS_Table">#REF!</definedName>
    <definedName name="BIT">#REF!</definedName>
    <definedName name="bk">#REF!</definedName>
    <definedName name="bkbal1">#REF!</definedName>
    <definedName name="bkbal2">#REF!</definedName>
    <definedName name="bkj">{"'Sheet1'!$A$5:$E$42"}</definedName>
    <definedName name="bkod">#REF!</definedName>
    <definedName name="bl" hidden="1">{#N/A,#N/A,TRUE,"CPRD";#N/A,#N/A,TRUE,"BCCPDR";#N/A,#N/A,TRUE,"EWRD";#N/A,#N/A,TRUE,"5100";#N/A,#N/A,TRUE,"5110"}</definedName>
    <definedName name="Blah" hidden="1">#REF!</definedName>
    <definedName name="blank" hidden="1">#REF!</definedName>
    <definedName name="blank1" hidden="1">#REF!</definedName>
    <definedName name="Blanket">#REF!</definedName>
    <definedName name="blaw">#REF!</definedName>
    <definedName name="BLDG">#REF!</definedName>
    <definedName name="BLDGIMP">#REF!</definedName>
    <definedName name="BLDGREV">#REF!</definedName>
    <definedName name="BLPB1">#REF!</definedName>
    <definedName name="BLPB10">#REF!</definedName>
    <definedName name="BLPB11">#REF!</definedName>
    <definedName name="BLPB113">#REF!</definedName>
    <definedName name="BLPB12">#REF!</definedName>
    <definedName name="BLPB13">#REF!</definedName>
    <definedName name="BLPB14">#REF!</definedName>
    <definedName name="BLPB15">#REF!</definedName>
    <definedName name="BLPB16">#REF!</definedName>
    <definedName name="BLPB17">#REF!</definedName>
    <definedName name="BLPB18">#REF!</definedName>
    <definedName name="BLPB19">#REF!</definedName>
    <definedName name="BLPB2">#REF!</definedName>
    <definedName name="BLPB20">#REF!</definedName>
    <definedName name="BLPB21">#REF!</definedName>
    <definedName name="BLPB22">#REF!</definedName>
    <definedName name="BLPB23">#REF!</definedName>
    <definedName name="BLPB24">#REF!</definedName>
    <definedName name="BLPB25">#REF!</definedName>
    <definedName name="BLPB26">#REF!</definedName>
    <definedName name="BLPB27">#REF!</definedName>
    <definedName name="BLPB28">#REF!</definedName>
    <definedName name="BLPB29">#REF!</definedName>
    <definedName name="BLPB3">#REF!</definedName>
    <definedName name="BLPB30">#REF!</definedName>
    <definedName name="BLPB31">#REF!</definedName>
    <definedName name="BLPB32">#REF!</definedName>
    <definedName name="BLPB33">#REF!</definedName>
    <definedName name="BLPB34">#REF!</definedName>
    <definedName name="BLPB35">#REF!</definedName>
    <definedName name="BLPB36">#REF!</definedName>
    <definedName name="BLPB37">#REF!</definedName>
    <definedName name="BLPB38">#REF!</definedName>
    <definedName name="BLPB39">#REF!</definedName>
    <definedName name="BLPB4">#REF!</definedName>
    <definedName name="BLPB40">#REF!</definedName>
    <definedName name="BLPB41">#REF!</definedName>
    <definedName name="BLPB42">#REF!</definedName>
    <definedName name="BLPB43">#REF!</definedName>
    <definedName name="BLPB44">#REF!</definedName>
    <definedName name="BLPB45">#REF!</definedName>
    <definedName name="BLPB46">#REF!</definedName>
    <definedName name="BLPB47">#REF!</definedName>
    <definedName name="BLPB48">#REF!</definedName>
    <definedName name="BLPB49">#REF!</definedName>
    <definedName name="BLPB5">#REF!</definedName>
    <definedName name="BLPB50">#REF!</definedName>
    <definedName name="BLPB51">#REF!</definedName>
    <definedName name="BLPB52">#REF!</definedName>
    <definedName name="BLPB53">#REF!</definedName>
    <definedName name="BLPB54">#REF!</definedName>
    <definedName name="BLPB55">#REF!</definedName>
    <definedName name="BLPB56">#REF!</definedName>
    <definedName name="BLPB57">#REF!</definedName>
    <definedName name="BLPB58">#REF!</definedName>
    <definedName name="BLPB59">#REF!</definedName>
    <definedName name="BLPB6">#REF!</definedName>
    <definedName name="BLPB60">#REF!</definedName>
    <definedName name="BLPB61">#REF!</definedName>
    <definedName name="BLPB62">#REF!</definedName>
    <definedName name="BLPB7">#REF!</definedName>
    <definedName name="BLPB8">#REF!</definedName>
    <definedName name="BLPB9">#REF!</definedName>
    <definedName name="BLPH1">#REF!</definedName>
    <definedName name="BLPH10" hidden="1">#REF!</definedName>
    <definedName name="BLPH1001">#REF!</definedName>
    <definedName name="BLPH1002">#REF!</definedName>
    <definedName name="BLPH1003">#REF!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#REF!</definedName>
    <definedName name="BLPH24">#REF!</definedName>
    <definedName name="BLPH28">#REF!</definedName>
    <definedName name="BLPH29">#REF!</definedName>
    <definedName name="BLPH3" hidden="1">#REF!</definedName>
    <definedName name="BLPH30">#REF!</definedName>
    <definedName name="BLPH4" hidden="1">#REF!</definedName>
    <definedName name="BLPH5" hidden="1">#REF!</definedName>
    <definedName name="BLPH58">#REF!</definedName>
    <definedName name="BLPH59">#REF!</definedName>
    <definedName name="BLPH6" hidden="1">#REF!</definedName>
    <definedName name="BLPH60">#REF!</definedName>
    <definedName name="BLPH62">#REF!</definedName>
    <definedName name="BLPH63">#REF!</definedName>
    <definedName name="BLPH64">#REF!</definedName>
    <definedName name="BLPH65">#REF!</definedName>
    <definedName name="BLPH67">#REF!</definedName>
    <definedName name="BLPH7" hidden="1">#REF!</definedName>
    <definedName name="BLPH8" hidden="1">#REF!</definedName>
    <definedName name="BLPH9" hidden="1">#REF!</definedName>
    <definedName name="BLR">#REF!</definedName>
    <definedName name="BlrChemCost">#REF!</definedName>
    <definedName name="blu" hidden="1">{#N/A,#N/A,FALSE,"Taxblinc";#N/A,#N/A,FALSE,"Rsvsacls"}</definedName>
    <definedName name="bn" hidden="1">{#N/A,#N/A,FALSE,"Aging Summary";#N/A,#N/A,FALSE,"Ratio Analysis";#N/A,#N/A,FALSE,"Test 120 Day Accts";#N/A,#N/A,FALSE,"Tickmarks"}</definedName>
    <definedName name="bn_3">#REF!</definedName>
    <definedName name="BNE_MESSAGES_HIDDEN" hidden="1">#REF!</definedName>
    <definedName name="BNIU">#REF!</definedName>
    <definedName name="bnm">#REF!</definedName>
    <definedName name="bnmbmm">#REF!</definedName>
    <definedName name="bnmbnm">#REF!</definedName>
    <definedName name="bnmbnmb">#REF!</definedName>
    <definedName name="bnmbnmbn">#REF!</definedName>
    <definedName name="bnmbnmm">#REF!</definedName>
    <definedName name="bnmmnb">#REF!</definedName>
    <definedName name="bnnbbn" hidden="1">#REF!</definedName>
    <definedName name="BNUSRECON">#REF!</definedName>
    <definedName name="BO">#REF!</definedName>
    <definedName name="Board_Length">#REF!</definedName>
    <definedName name="Board_Length..">#REF!</definedName>
    <definedName name="bob">37474.712337963</definedName>
    <definedName name="Bobbie">#REF!</definedName>
    <definedName name="BOC">#REF!</definedName>
    <definedName name="BOD_BS">{"'debtors'!$A$1:$I$305","'debtors'!$A$1:$J$285"}</definedName>
    <definedName name="BOE.MN">#REF!</definedName>
    <definedName name="BOH_TOTAL">#N/A</definedName>
    <definedName name="BOH_UC">#N/A</definedName>
    <definedName name="BOHAMT">#N/A</definedName>
    <definedName name="BOHQTY">#N/A</definedName>
    <definedName name="boi">#REF!</definedName>
    <definedName name="bol">#REF!</definedName>
    <definedName name="BOM_MPS">#REF!</definedName>
    <definedName name="BOM_PRET">#REF!</definedName>
    <definedName name="BOM_SCL">#REF!</definedName>
    <definedName name="boml">#REF!</definedName>
    <definedName name="bongo">#REF!</definedName>
    <definedName name="BONUS">#REF!</definedName>
    <definedName name="BonusAmount">#REF!</definedName>
    <definedName name="BonusCheck_Red1">OFFSET(#REF!,1,0, EmpCount,14)</definedName>
    <definedName name="BonusCheck_Red2">OFFSET(#REF!,1,0, EmpCount,39)</definedName>
    <definedName name="BONUSCKS">#REF!</definedName>
    <definedName name="BonusFee">#REF!</definedName>
    <definedName name="BonusPaidAmount">#REF!</definedName>
    <definedName name="BonusTaxAmount">#REF!</definedName>
    <definedName name="boo">#REF!</definedName>
    <definedName name="Book">#REF!</definedName>
    <definedName name="BOOK_Q1">#REF!</definedName>
    <definedName name="BOOK_Q2">#REF!</definedName>
    <definedName name="BOOK_Q3">#REF!</definedName>
    <definedName name="BOOK_Q4">#REF!</definedName>
    <definedName name="book1">#REF!</definedName>
    <definedName name="bookdepr">#REF!</definedName>
    <definedName name="BOOKVALUE">#REF!</definedName>
    <definedName name="BORD">#REF!</definedName>
    <definedName name="BORDERS">#REF!</definedName>
    <definedName name="BORFEB7">#REF!</definedName>
    <definedName name="borina" hidden="1">{#N/A,#N/A,TRUE,"CPRD";#N/A,#N/A,TRUE,"BCCPDR";#N/A,#N/A,TRUE,"EWRD";#N/A,#N/A,TRUE,"5100";#N/A,#N/A,TRUE,"5110"}</definedName>
    <definedName name="borousek" hidden="1">{#N/A,#N/A,TRUE,"CPRD";#N/A,#N/A,TRUE,"BCCPDR";#N/A,#N/A,TRUE,"EWRD";#N/A,#N/A,TRUE,"5100";#N/A,#N/A,TRUE,"5110"}</definedName>
    <definedName name="botl">#REF!</definedName>
    <definedName name="botn">#REF!</definedName>
    <definedName name="Bottles_IU_Detail">#REF!</definedName>
    <definedName name="boxes">#REF!</definedName>
    <definedName name="boxes1">#REF!</definedName>
    <definedName name="BP">#REF!</definedName>
    <definedName name="BPC_DMFILEINFO_SUBTASK__" hidden="1">"ConversionFiles"</definedName>
    <definedName name="BPC_DMFILEINFO_TASK__" hidden="1">"DataManager"</definedName>
    <definedName name="BPCL">#REF!</definedName>
    <definedName name="bpd" hidden="1">{#N/A,#N/A,TRUE,"Condensed IS";#N/A,#N/A,TRUE,"Condensed BS";#N/A,#N/A,TRUE,"Outlook";#N/A,#N/A,TRUE,"Condensed CF";#N/A,#N/A,TRUE,"Condensed CF - qtr"}</definedName>
    <definedName name="bpint">#REF!</definedName>
    <definedName name="BPR_01" hidden="1">{#N/A,#N/A,FALSE,"BS";#N/A,#N/A,FALSE,"PL";#N/A,#N/A,FALSE,"처분";#N/A,#N/A,FALSE,"현금";#N/A,#N/A,FALSE,"매출";#N/A,#N/A,FALSE,"원가";#N/A,#N/A,FALSE,"경영"}</definedName>
    <definedName name="BRanch__Sales___Aug">#REF!</definedName>
    <definedName name="brcd">#REF!</definedName>
    <definedName name="BREDFORD">#REF!</definedName>
    <definedName name="brian">#REF!</definedName>
    <definedName name="brk">#REF!</definedName>
    <definedName name="BROWN">#REF!</definedName>
    <definedName name="Brunei">#REF!</definedName>
    <definedName name="BS">'Balance Sheet'!$A$1:$AZ$71</definedName>
    <definedName name="bs_3">#REF!</definedName>
    <definedName name="BS_convertpref">#REF!</definedName>
    <definedName name="bs_date">#REF!</definedName>
    <definedName name="BS_deferredcomp">#REF!</definedName>
    <definedName name="BS_discontoper">#REF!</definedName>
    <definedName name="BS_goodwill">#REF!</definedName>
    <definedName name="BS_Inp1">#REF!,#REF!,#REF!,#REF!,#REF!,#REF!,#REF!,#REF!,#REF!,#REF!,#REF!,#REF!,#REF!,#REF!,#REF!</definedName>
    <definedName name="BS_Inp2">#REF!,#REF!,#REF!,#REF!,#REF!,#REF!,#REF!,#REF!,#REF!,#REF!,#REF!,#REF!,#REF!,#REF!,#REF!,#REF!,#REF!,#REF!,#REF!,#REF!,#REF!</definedName>
    <definedName name="BS_Inp3">#REF!,#REF!,#REF!,#REF!,#REF!,#REF!,#REF!,#REF!,#REF!,#REF!,#REF!,#REF!,#REF!,#REF!,#REF!,#REF!,#REF!,#REF!,#REF!</definedName>
    <definedName name="BS_Inp4">#REF!,#REF!,#REF!,#REF!,#REF!,#REF!,#REF!,#REF!,#REF!,#REF!</definedName>
    <definedName name="BS_inventories">#REF!</definedName>
    <definedName name="BS_receivables">#REF!</definedName>
    <definedName name="BS_straightpref">#REF!</definedName>
    <definedName name="BS_T">#REF!</definedName>
    <definedName name="BS_기">#REF!,#REF!,#REF!,#REF!,#REF!,#REF!,#REF!</definedName>
    <definedName name="BS_월">#REF!,#REF!,#REF!,#REF!,#REF!,#REF!</definedName>
    <definedName name="BS_잔">#REF!,#REF!</definedName>
    <definedName name="BS_후">#REF!,#REF!,#REF!,#REF!,#REF!,#REF!</definedName>
    <definedName name="BS2002vs2001">#REF!</definedName>
    <definedName name="BSa">#REF!</definedName>
    <definedName name="bsapraud">#REF!</definedName>
    <definedName name="bsaprhkd">#REF!</definedName>
    <definedName name="bsaprsgd">#REF!</definedName>
    <definedName name="bsaprthb">#REF!</definedName>
    <definedName name="bsaprtwd">#REF!</definedName>
    <definedName name="bsaud">#REF!</definedName>
    <definedName name="bsaudhkd">#REF!</definedName>
    <definedName name="bsaudsgd">#REF!</definedName>
    <definedName name="bsaudthb">#REF!</definedName>
    <definedName name="bsaugaud">#REF!</definedName>
    <definedName name="bsaughkd">#REF!</definedName>
    <definedName name="bsaugsgd">#REF!</definedName>
    <definedName name="bsaugthb">#REF!</definedName>
    <definedName name="bsaugtwd">#REF!</definedName>
    <definedName name="BSb">#REF!</definedName>
    <definedName name="BSC">{"'MIS format'!$B$2:$W$101"}</definedName>
    <definedName name="BSDec07">#REF!</definedName>
    <definedName name="BSES">#REF!</definedName>
    <definedName name="bsfebaud">#REF!</definedName>
    <definedName name="bsfebhkd">#REF!</definedName>
    <definedName name="bsfebsgd">#REF!</definedName>
    <definedName name="bsfebthb">#REF!</definedName>
    <definedName name="bsfebtwd">#REF!</definedName>
    <definedName name="BSgpg_1">#REF!</definedName>
    <definedName name="BSGR">#REF!</definedName>
    <definedName name="BSGROUP">{"'Sch B'!$B$15:$L$17"}</definedName>
    <definedName name="BSgrouping_1">#REF!</definedName>
    <definedName name="BSgrouuping_2">#REF!</definedName>
    <definedName name="bshkd">#REF!</definedName>
    <definedName name="bsjanaud">#REF!</definedName>
    <definedName name="bsjanhkd">#REF!</definedName>
    <definedName name="bsjansgd">#REF!</definedName>
    <definedName name="bsjanthb">#REF!</definedName>
    <definedName name="bsjantwd">#REF!</definedName>
    <definedName name="bsjulaud">#REF!</definedName>
    <definedName name="bsjulhkd">#REF!</definedName>
    <definedName name="bsjulsgd">#REF!</definedName>
    <definedName name="bsjulthb">#REF!</definedName>
    <definedName name="bsjultwd">#REF!</definedName>
    <definedName name="bsjunaud">#REF!</definedName>
    <definedName name="bsjunhkd">#REF!</definedName>
    <definedName name="bsjunsgd">#REF!</definedName>
    <definedName name="bsjunthb">#REF!</definedName>
    <definedName name="bsjuntwd">#REF!</definedName>
    <definedName name="BSM">#REF!</definedName>
    <definedName name="BSM_12">#REF!</definedName>
    <definedName name="bsmaraud">#REF!</definedName>
    <definedName name="bsmarhkd">#REF!</definedName>
    <definedName name="bsmarsgd">#REF!</definedName>
    <definedName name="bsmarthb">#REF!</definedName>
    <definedName name="bsmartwd">#REF!</definedName>
    <definedName name="bsmayaud">#REF!</definedName>
    <definedName name="bsmayhkd">#REF!</definedName>
    <definedName name="bsmaysgd">#REF!</definedName>
    <definedName name="bsmaythb">#REF!</definedName>
    <definedName name="bsmaytwd">#REF!</definedName>
    <definedName name="bsNote">#REF!</definedName>
    <definedName name="bsnovaud">#REF!</definedName>
    <definedName name="bsnovhkd">#REF!</definedName>
    <definedName name="bsnovsgd">#REF!</definedName>
    <definedName name="bsnovthb">#REF!</definedName>
    <definedName name="bsnovtwd">#REF!</definedName>
    <definedName name="bsoctaud">#REF!</definedName>
    <definedName name="bsocthkd">#REF!</definedName>
    <definedName name="bsoctsgd">#REF!</definedName>
    <definedName name="bsoctthb">#REF!</definedName>
    <definedName name="bsocttwd">#REF!</definedName>
    <definedName name="BSP_LSCH">#REF!</definedName>
    <definedName name="BSP_White">#REF!</definedName>
    <definedName name="bspbc">#REF!</definedName>
    <definedName name="BSSCH">{"'Sch B'!$B$15:$L$17"}</definedName>
    <definedName name="bssepaud">#REF!</definedName>
    <definedName name="bssephkd">#REF!</definedName>
    <definedName name="bssepsgd">#REF!</definedName>
    <definedName name="bssepthb">#REF!</definedName>
    <definedName name="bsseptwd">#REF!</definedName>
    <definedName name="bssgd">#REF!</definedName>
    <definedName name="bssummth">#REF!</definedName>
    <definedName name="bsthb">#REF!</definedName>
    <definedName name="bstwd">#REF!</definedName>
    <definedName name="bsytd">#REF!</definedName>
    <definedName name="bs일">#REF!</definedName>
    <definedName name="BS지사" hidden="1">{#N/A,#N/A,TRUE,"Summary";#N/A,#N/A,TRUE,"IS";#N/A,#N/A,TRUE,"Adj";#N/A,#N/A,TRUE,"BS";#N/A,#N/A,TRUE,"CF";#N/A,#N/A,TRUE,"Debt";#N/A,#N/A,TRUE,"IRR"}</definedName>
    <definedName name="BS차이내역" hidden="1">{#N/A,#N/A,FALSE,"정공"}</definedName>
    <definedName name="bthtgbhtrnhjy">#REF!</definedName>
    <definedName name="bthtgbhtrnhjy_1">#REF!</definedName>
    <definedName name="bthtgbhtrnhjy_2">#REF!</definedName>
    <definedName name="bthtgbhtrnhjy_3">#REF!</definedName>
    <definedName name="bthtgbhtrnhjy_4">#REF!</definedName>
    <definedName name="btnClose">#REF!</definedName>
    <definedName name="btnFootNoting">#REF!</definedName>
    <definedName name="btnNext">#REF!</definedName>
    <definedName name="btnOK">#REF!</definedName>
    <definedName name="btnPrevious">#REF!</definedName>
    <definedName name="btnReturn">#REF!</definedName>
    <definedName name="BTSINFO_991Q">#REF!</definedName>
    <definedName name="BTSINFO_992Q">#REF!</definedName>
    <definedName name="BTSINFO_팀구분">#REF!</definedName>
    <definedName name="BU">#REF!</definedName>
    <definedName name="bua">#REF!</definedName>
    <definedName name="buck">#REF!</definedName>
    <definedName name="BUD">#REF!</definedName>
    <definedName name="BUD..">#REF!</definedName>
    <definedName name="Budget">#REF!</definedName>
    <definedName name="Budget_Text">#REF!</definedName>
    <definedName name="BUDGET_YEAR">#REF!</definedName>
    <definedName name="BUDGETCURRENCYCODE1">#REF!</definedName>
    <definedName name="BUDGETDECIMALPLACES1">#REF!</definedName>
    <definedName name="BUDGETENDPERIODYEAR1">#REF!</definedName>
    <definedName name="BUDGETENTITYID1">#REF!</definedName>
    <definedName name="BudgetFY">#REF!</definedName>
    <definedName name="BUDGETGRAPHCORRESPONDING1">#REF!</definedName>
    <definedName name="BUDGETGRAPHINCACTUALS1">#REF!</definedName>
    <definedName name="BUDGETGRAPHINCBUDGETS1">#REF!</definedName>
    <definedName name="BUDGETGRAPHINCTITLES1">#REF!</definedName>
    <definedName name="BUDGETGRAPHINCVARIANCES1">#REF!</definedName>
    <definedName name="BUDGETGRAPHSTYLE1">#REF!</definedName>
    <definedName name="BUDGETHEADINGSBACKCOLOUR1">#REF!</definedName>
    <definedName name="BUDGETHEADINGSFORECOLOUR1">#REF!</definedName>
    <definedName name="BUDGETNAME1">#REF!</definedName>
    <definedName name="BUDGETORG1">#REF!</definedName>
    <definedName name="BUDGETORGFROZEN1">#REF!</definedName>
    <definedName name="BUDGETOUTPUTOPTION1">#REF!</definedName>
    <definedName name="BUDGETPASSWORDREQUIREDFLAG1">#REF!</definedName>
    <definedName name="BUDGETSHOWCRITERIASHEET1">#REF!</definedName>
    <definedName name="BudgetStart">#REF!</definedName>
    <definedName name="BUDGETSTARTPERIODSTARTDATE1">#REF!</definedName>
    <definedName name="BUDGETSTARTPERIODYEAR1">#REF!</definedName>
    <definedName name="BUDGETSTATUS1">#REF!</definedName>
    <definedName name="BUDGETTITLEBACKCOLOUR1">#REF!</definedName>
    <definedName name="BUDGETTITLEBORDERCOLOUR1">#REF!</definedName>
    <definedName name="BUDGETTITLEFORECOLOUR1">#REF!</definedName>
    <definedName name="BUDGETVALUESWIDTH1">#REF!</definedName>
    <definedName name="BUDGETVERSIONID1">#REF!</definedName>
    <definedName name="bug">#REF!</definedName>
    <definedName name="Building">#REF!</definedName>
    <definedName name="BuiltIn_AutoFilter___3">#REF!</definedName>
    <definedName name="BuiltIn_Print_Area">#REF!</definedName>
    <definedName name="BuiltIn_Print_Area___0">#REF!</definedName>
    <definedName name="BuiltIn_Print_Area___0___0">#REF!</definedName>
    <definedName name="BuiltIn_Print_Area___0___0___0">#REF!</definedName>
    <definedName name="BuiltIn_Print_Area___0___0___0___0">#REF!</definedName>
    <definedName name="BuiltIn_Print_Area___0___0___0___0___0">#REF!</definedName>
    <definedName name="BuiltIn_Print_Area___0___0___0___0___0___0">#REF!</definedName>
    <definedName name="BuiltIn_Print_Area___0___0___0___0___0___0___0___0">#REF!</definedName>
    <definedName name="BuiltIn_Print_Area___0___0___0___0___0___0___0___0___0">#REF!</definedName>
    <definedName name="BuiltIn_Print_Area___0___0___0___0___0___0___0___0___0___0">#REF!</definedName>
    <definedName name="BuiltIn_Print_Area___0___0___0___0___0___0___0___0___0___0___0___0___0___0___0">#REF!</definedName>
    <definedName name="BuiltIn_Print_Area___0___0___0___0___0___0___0___0___0___0___0___0___0___0___0___0___0___0">#REF!</definedName>
    <definedName name="BuiltIn_Print_Area___0___0___0___0___0___0___0___0___0___0___0___0___0___0___0___0___0___0___0___0">#REF!</definedName>
    <definedName name="BuiltIn_Print_Area___0___0___0___0___0___0___0___0___0___0___0___0___0___0___0___0___0___0___0___0___0___0">#REF!</definedName>
    <definedName name="BuiltIn_Print_Area___0___0___0___0___0___0___0___0___0___0___0___0___0___0___0___0___0___0___0___0___0___0___0___0___0">#REF!</definedName>
    <definedName name="BuiltIn_Print_Titles">#REF!</definedName>
    <definedName name="BuiltIn_Print_Titles___0">#REF!</definedName>
    <definedName name="BuiltIn_Print_Titles___0___0">#REF!</definedName>
    <definedName name="BuiltIn_Print_Titles___0___0___0">#REF!</definedName>
    <definedName name="BuiltIn_Print_Titles___0___0___0___0">#REF!</definedName>
    <definedName name="BuiltIn_Print_Titles___0___0___0___0___0">#REF!</definedName>
    <definedName name="BuiltIn_Print_Titles___0___0___0___0___0___0">#REF!</definedName>
    <definedName name="BuiltIn_Print_Titles___0___0___0___0___0___0___0___0___0">#REF!</definedName>
    <definedName name="BuiltIn_Print_Titles___0___0___0___0___0___0___0___0___0___0___0">#REF!</definedName>
    <definedName name="BULKHEAD">#REF!</definedName>
    <definedName name="BULKHEAD..">#REF!</definedName>
    <definedName name="bullshit">#REF!</definedName>
    <definedName name="BUNAME">#REF!</definedName>
    <definedName name="BUS">#REF!</definedName>
    <definedName name="Business_dropdown">#REF!</definedName>
    <definedName name="BUSINESS_UNIT">#REF!</definedName>
    <definedName name="Businessindia">#REF!</definedName>
    <definedName name="BusMGT">#REF!</definedName>
    <definedName name="BUSNAME">#REF!</definedName>
    <definedName name="BUTIBORI">#REF!</definedName>
    <definedName name="Button_1">"X05_97_May97_List"</definedName>
    <definedName name="ButtonAdded">"ThisButtonAdded"</definedName>
    <definedName name="buuk" hidden="1">#REF!</definedName>
    <definedName name="BUV">#REF!</definedName>
    <definedName name="bv">#REF!</definedName>
    <definedName name="bvcx">#REF!</definedName>
    <definedName name="bvcx_1">#REF!</definedName>
    <definedName name="bvhl">#REF!</definedName>
    <definedName name="bvhl_1">#REF!</definedName>
    <definedName name="bvmmm">#REF!</definedName>
    <definedName name="BW">#REF!</definedName>
    <definedName name="BW..">#REF!</definedName>
    <definedName name="BYD_MGG_ASCA_facility">#REF!</definedName>
    <definedName name="C.01">#REF!</definedName>
    <definedName name="C.02">#REF!</definedName>
    <definedName name="C.03">#REF!</definedName>
    <definedName name="C.04">#REF!</definedName>
    <definedName name="c.LTMYear">#REF!</definedName>
    <definedName name="C_">#REF!</definedName>
    <definedName name="C__1">NA()</definedName>
    <definedName name="C_2">#REF!</definedName>
    <definedName name="C_value">#REF!</definedName>
    <definedName name="C_valueneu">#REF!</definedName>
    <definedName name="ca">#REF!</definedName>
    <definedName name="CA_CE">#REF!</definedName>
    <definedName name="CA_OE">#REF!</definedName>
    <definedName name="CA_PN">#REF!</definedName>
    <definedName name="cad">#REF!</definedName>
    <definedName name="Cadbury">#REF!</definedName>
    <definedName name="cade">#REF!</definedName>
    <definedName name="cads">#REF!</definedName>
    <definedName name="cadsf">#REF!</definedName>
    <definedName name="caega">#REF!</definedName>
    <definedName name="caer">#REF!</definedName>
    <definedName name="CaExMod97">#REF!</definedName>
    <definedName name="CaExMod98">#REF!</definedName>
    <definedName name="cagare">#REF!</definedName>
    <definedName name="CAL">#REF!</definedName>
    <definedName name="Cal98_Line1P">#REF!</definedName>
    <definedName name="Cal98_Line2P">#REF!</definedName>
    <definedName name="Cal98_Line3P">#REF!</definedName>
    <definedName name="Cal98_Line4P">#REF!</definedName>
    <definedName name="Cal98_Line5P">#REF!</definedName>
    <definedName name="Cal98_Line6P">#REF!</definedName>
    <definedName name="CALC">#REF!</definedName>
    <definedName name="CALC_DATA">#REF!</definedName>
    <definedName name="CalcAgencyPrice">#REF!</definedName>
    <definedName name="CalcAgencyPrice.">#REF!</definedName>
    <definedName name="calculations">#REF!</definedName>
    <definedName name="Calculations_FooterType">"INTERNAL"</definedName>
    <definedName name="cali" hidden="1">{#N/A,#N/A,FALSE,"Pharm";#N/A,#N/A,FALSE,"WWCM"}</definedName>
    <definedName name="CALIFORNIA">"AS2DocumentBrowse"</definedName>
    <definedName name="callidus">Allx3,Allx4,Allx5</definedName>
    <definedName name="CalLine1">#REF!</definedName>
    <definedName name="CalLine1P">#REF!</definedName>
    <definedName name="CalLine2">#REF!</definedName>
    <definedName name="CalLine2P">#REF!</definedName>
    <definedName name="CalLine3">#REF!</definedName>
    <definedName name="CalLine3P">#REF!</definedName>
    <definedName name="CalLine4">#REF!</definedName>
    <definedName name="CalLine4P">#REF!</definedName>
    <definedName name="CalLine5">#REF!</definedName>
    <definedName name="CalLine5P">#REF!</definedName>
    <definedName name="CalLine6">#REF!</definedName>
    <definedName name="CalLine6P">#REF!</definedName>
    <definedName name="Cambodia">#REF!</definedName>
    <definedName name="canarabank">#REF!</definedName>
    <definedName name="Cap">#REF!</definedName>
    <definedName name="CAPA9798" hidden="1">{#N/A,#N/A,FALSE,"P.C.B"}</definedName>
    <definedName name="Capa변동">{"'Sheet1'!$A$1:$H$36"}</definedName>
    <definedName name="CAPBOH">#N/A</definedName>
    <definedName name="CAPEOH">#N/A</definedName>
    <definedName name="CapEx">#REF!</definedName>
    <definedName name="CapEx2">#REF!</definedName>
    <definedName name="capgains">#REF!</definedName>
    <definedName name="CAPIN_CUM">#REF!</definedName>
    <definedName name="CAPIN_FINAL">#REF!</definedName>
    <definedName name="CAPINVEST">#REF!</definedName>
    <definedName name="capital">#REF!</definedName>
    <definedName name="Capital___Reserves">#REF!</definedName>
    <definedName name="capital2" hidden="1">{#N/A,#N/A,TRUE,"Key Indices";#N/A,#N/A,TRUE,"Mfg Spending";#N/A,#N/A,TRUE,"Mfg Spending Per Unit";#N/A,#N/A,TRUE,"Spending by Organization";#N/A,#N/A,TRUE,"Inventory";#N/A,#N/A,TRUE,"IDM";#N/A,#N/A,TRUE,"Equipment";#N/A,#N/A,TRUE,"Headcount"}</definedName>
    <definedName name="CapitalCall">#REF!</definedName>
    <definedName name="CapitalGains_exempt_PrintArea">#REF!</definedName>
    <definedName name="CapitalGains_taxable_PrintArea">#REF!</definedName>
    <definedName name="capitalized">#REF!</definedName>
    <definedName name="Capitalized_Interest">#REF!</definedName>
    <definedName name="CaPremDiscount97">#REF!</definedName>
    <definedName name="CaPremDiscount98">#REF!</definedName>
    <definedName name="CapxMKFirstHalf">#REF!</definedName>
    <definedName name="Carrieraircon">#REF!</definedName>
    <definedName name="cars_comp">#REF!</definedName>
    <definedName name="CARTONS">#REF!</definedName>
    <definedName name="cas">615918</definedName>
    <definedName name="CaSchedRate97">#REF!</definedName>
    <definedName name="CaSchedRate98">#REF!</definedName>
    <definedName name="casds">#REF!</definedName>
    <definedName name="case">#REF!</definedName>
    <definedName name="case1">#REF!</definedName>
    <definedName name="case2">#REF!</definedName>
    <definedName name="case3">#REF!</definedName>
    <definedName name="case4">#REF!</definedName>
    <definedName name="case5">#REF!</definedName>
    <definedName name="CasesAPJ">#REF!</definedName>
    <definedName name="CasesEMEA">#REF!</definedName>
    <definedName name="CasesInRandD">#REF!</definedName>
    <definedName name="CasesNA">#REF!</definedName>
    <definedName name="CASH">#REF!</definedName>
    <definedName name="Cash_Debt">#REF!</definedName>
    <definedName name="Cash_Debt.">#REF!</definedName>
    <definedName name="Cash_Flow">#REF!</definedName>
    <definedName name="Cash_Flow.">#REF!</definedName>
    <definedName name="cash_fv">#REF!</definedName>
    <definedName name="cash_per">#REF!</definedName>
    <definedName name="cash_terminal">#REF!</definedName>
    <definedName name="Cash2006">#REF!</definedName>
    <definedName name="cashaccr">#REF!</definedName>
    <definedName name="cashamort">#REF!</definedName>
    <definedName name="CashandBank">#REF!</definedName>
    <definedName name="cashcag">#REF!</definedName>
    <definedName name="casheq">#REF!</definedName>
    <definedName name="CASHFLOW">#REF!</definedName>
    <definedName name="CashFlow_Button1_Click">#REF!</definedName>
    <definedName name="CASHFLOW_CUM">#REF!</definedName>
    <definedName name="CASHFLOW_FIN">#REF!</definedName>
    <definedName name="cashIndex">#REF!</definedName>
    <definedName name="CASHM">#N/A</definedName>
    <definedName name="CASHOUT">{"'Sheet1'!$A$1:$H$36"}</definedName>
    <definedName name="cashpaid">#REF!</definedName>
    <definedName name="cashpurch">#REF!</definedName>
    <definedName name="cashugl">#REF!</definedName>
    <definedName name="CASTROL">#REF!</definedName>
    <definedName name="cat">#REF!</definedName>
    <definedName name="cat_1">#REF!</definedName>
    <definedName name="cat_3">#REF!</definedName>
    <definedName name="Category">#REF!</definedName>
    <definedName name="CATEGORY_HEADER">#REF!</definedName>
    <definedName name="Category_Table">#REF!</definedName>
    <definedName name="CategoryList">#REF!</definedName>
    <definedName name="CategoryLookup">#REF!</definedName>
    <definedName name="cats">#REF!</definedName>
    <definedName name="cavde">#REF!</definedName>
    <definedName name="CB">#REF!</definedName>
    <definedName name="cb.tf.rev">#REF!</definedName>
    <definedName name="CB_1">#REF!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bChart595EC34_opts">"1, 9, 1, False, 2, False, False, , 0, False, True, 1, 1"</definedName>
    <definedName name="cb_bChart9876793_opts" hidden="1">"1, 2, 1, False, 2, False, False, , 0, False, False, 2, 2"</definedName>
    <definedName name="cb_Chart_1_opts" hidden="1">"1, 6, 1, False, 2, False, False, , 0, False, True, 1, 2"</definedName>
    <definedName name="cb_Chart_10" hidden="1">#REF!</definedName>
    <definedName name="cb_Chart_10_opts" hidden="1">"1, 8, 1, False, 2, False, False, , 0, False, False, 2, 2"</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1, 1, False, 2, False, False, , 0, False, False, 2, 2"</definedName>
    <definedName name="cb_Chart_12_opts" hidden="1">"1, 8, 1, False, 2, False, False, , 0, False, False, 2, 2"</definedName>
    <definedName name="cb_Chart_13_opts" hidden="1">"1, 8, 1, False, 2, False, False, , 0, False, False, 2, 2"</definedName>
    <definedName name="cb_Chart_14_opts" hidden="1">"1, 8, 1, False, 2, False, False, , 0, False, False, 2, 2"</definedName>
    <definedName name="cb_Chart_15_opts" hidden="1">"2, 1, 2, True, 2, False, False, , 0, False, True, 1, 2"</definedName>
    <definedName name="cb_Chart_1501_opts" hidden="1">"1, 10, 1, False, 2, True, False, , 0, False, False, 2, 2"</definedName>
    <definedName name="cb_Chart_16_opts" hidden="1">"1, 8, 1, False, 2, False, False, , 0, False, False, 2, 2"</definedName>
    <definedName name="cb_Chart_1670_opts" hidden="1">"1, 5, 1, False, 2, True, False, , 0, False, False, 2, 1"</definedName>
    <definedName name="cb_Chart_17_opts" hidden="1">"1, 6, 1, False, 2, False, False, , 0, False, True, 2, 2"</definedName>
    <definedName name="cb_Chart_18_opts" hidden="1">"1, 9, 1, False, 2, False, False, , 0, False, False, 1, 1"</definedName>
    <definedName name="cb_Chart_19_opts" hidden="1">"1, 2, 1, False, 2, True, False, , 0, True, False, 2, 1"</definedName>
    <definedName name="cb_Chart_1opts1">"1, 9, 1, False, 2, False, True, , 1, False, True, 1,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8, 1, False, 2, False, False, , 0, False, False, 2, 2"</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3, 1, False, 2, True, False, , 0, False, True, 2, 1"</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0_opts" hidden="1">"1, 1, 1, False, 2, False, False, , 0, False, False, 3, 2"</definedName>
    <definedName name="cb_Chart_41_opts" hidden="1">"1, 10, 1, False, 2, True, False, , 0, False, False, 2, 1"</definedName>
    <definedName name="cb_Chart_41499_opts" hidden="1">"1, 10, 1, False, 2, True, False, , 0, False, False, 2, 2"</definedName>
    <definedName name="cb_Chart_42_opts" hidden="1">"1, 3, 1, False, 2, True, False, , 0, False, True, 1, 2"</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48_opts">"2, 1, 2, True, 2, False, False, , 0, False, True, 1, 1"</definedName>
    <definedName name="cb_Chart_49_opts">"2, 1, 2, True, 2, False, False, , 0, False, True, 1, 1"</definedName>
    <definedName name="cb_Chart_5_opts" hidden="1">"1, 8, 1, False, 2, False, False, , 0, False, False, 1, 2"</definedName>
    <definedName name="cb_Chart_50_opts">"2, 1, 2, True, 2, False, False, , 0, False, True, 1, 1"</definedName>
    <definedName name="cb_Chart_51_opts" hidden="1">"1, 2, 1, False, 2, False, False, , 0, False, False, 2, 1"</definedName>
    <definedName name="cb_Chart_52_opts" hidden="1">"1, 2, 1, False, 2, False, False, , 0, False, False, 2, 1"</definedName>
    <definedName name="cb_Chart_52582_opts" hidden="1">"1, 1, 1, False, 2, False, False, , 0, False, False, 1, 2"</definedName>
    <definedName name="cb_Chart_53_opts">"1, 9, 1, False, 2, False, True, , 3, False, False, 1, 1"</definedName>
    <definedName name="cb_Chart_53437_opts" hidden="1">"1, 10, 1, False, 2, True, False, , 0, False, False, 2, 2"</definedName>
    <definedName name="cb_Chart_53482_opts" hidden="1">"1, 10, 1, False, 2, True, False, , 0, False, False, 2, 2"</definedName>
    <definedName name="cb_Chart_54_opts" hidden="1">"1, 2, 1, False, 2, False, False, , 0, False, False, 2, 1"</definedName>
    <definedName name="cb_Chart_5449_opts" hidden="1">"1, 1, 1, False, 2, False, False, , 0, False, False, 1, 1"</definedName>
    <definedName name="cb_Chart_55_opts" hidden="1">"1, 7, 1, False, 2, False, False, , 0, False, True, 2, 2"</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 hidden="1">#REF!</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6_opts" hidden="1">"1, 1, 1, False, 2, False, False, , 0, False, False, 1, 1"</definedName>
    <definedName name="cb_Chart_67711_opts" hidden="1">"1, 10, 1, False, 2, True, False, , 0, False, False, 2, 2"</definedName>
    <definedName name="cb_Chart_69605_opts" hidden="1">"1, 2, 1, False, 2, False, False, , 0, False, False, 2, 1"</definedName>
    <definedName name="cb_Chart_7" hidden="1">#REF!</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"1, 7, 1, False, 2, False, False, , 0, False, True, 2,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1, 1, False, 2, True, False, , 0, False, False, 1, 2"</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1, 1, False, 2, True, False, , 0, False, False, 1, 2"</definedName>
    <definedName name="cb_sChart_36498_opts" hidden="1">"1, 3, 1, False, 2, False, False, , 0, False, False, 1, 2"</definedName>
    <definedName name="cb_sChart_37450_opts" hidden="1">"1, 5, 1, False, 2, True, False, , 0, False, True, 2, 1"</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9, 1, False, 2, False, False, , 0, False, True, 2, 2"</definedName>
    <definedName name="cb_sChart_5449_opts" hidden="1">"1, 3, 1, False, 2, False, False, , 0, False, True, 2, 2"</definedName>
    <definedName name="cb_sChart_5723_opts" hidden="1">"1, 3, 1, False, 2, False, False, , 0, False, True, 2, 2"</definedName>
    <definedName name="cb_sChart_58046_opts" hidden="1">"1, 9, 1, False, 2, False, False, , 0, False, True, 2,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8, 1, False, 2, False, False, , 0, False, False, 2, 2"</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1, 1, False, 2, True, False, , 0, False, False, 1, 2"</definedName>
    <definedName name="cb_sChart_79140_opts" hidden="1">"1, 5, 1, False, 2, False, False, , 0, False, True, 2, 1"</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4, 1, False, 2, True, False, , 0, False, False, 1, 1"</definedName>
    <definedName name="cb_sChart_87236_opts" hidden="1">"1, 1, 1, False, 2, False, False, , 0, False, False, 1, 1"</definedName>
    <definedName name="cb_sChart_95047_opts" hidden="1">"1, 6, 1, False, 2, False, False, , 0, False, True, 2, 2"</definedName>
    <definedName name="cb_sChart_96286_opts" hidden="1">"1, 2, 1, False, 2, False, False, , 0, False, False, 2, 1"</definedName>
    <definedName name="cb_sChart105F0196_opts" hidden="1">"1, 2, 1, False, 2, False, False, , 1, False, False, 2, 1"</definedName>
    <definedName name="cb_sChart10D6460A_opts">"1, 1, 1, False, 2, True, False, , 0, False, False, 1, 1"</definedName>
    <definedName name="cb_sChart10D65256_opts">"1, 1, 1, False, 2, True, False, , 0, False, False, 1, 1"</definedName>
    <definedName name="cb_sChart10D653EB_opts">"1, 1, 1, False, 2, True, False, , 0, False, False, 1, 1"</definedName>
    <definedName name="cb_sChart10D65893_opts">"1, 1, 1, False, 2, True, False, , 0, False, False, 1, 1"</definedName>
    <definedName name="cb_sChart11DCFB24_opts">"1, 9, 1, False, 2, False, False, , 0, False, True, 1, 1"</definedName>
    <definedName name="cb_sChart11EADA92_opts">"1, 1, 1, False, 2, False, False, , 0, False, True, 2, 2"</definedName>
    <definedName name="cb_sChart11EAED4A_opts">"1, 1, 1, False, 2, False, False, , 0, False, True, 2, 2"</definedName>
    <definedName name="cb_sChart11EB049E_opts">"1, 1, 1, False, 2, False, False, , 0, False, True, 2, 2"</definedName>
    <definedName name="cb_sChart11FB1BDC_opts">"1, 1, 1, False, 2, True, False, , 0, False, True, 2, 2"</definedName>
    <definedName name="cb_sChart11FB2467_opts">"1, 1, 1, False, 2, True, False, , 0, False, True, 2, 2"</definedName>
    <definedName name="cb_sChart11FB271E_opts">"1, 1, 1, False, 2, True, False, , 0, False, True, 2, 2"</definedName>
    <definedName name="cb_sChart11FB296C_opts">"1, 1, 1, False, 2, True, False, , 0, False, True, 2, 2"</definedName>
    <definedName name="cb_sChart11FB4DE8_opts">"1, 9, 1, False, 2, False, False, , 0, False, True, 1, 2"</definedName>
    <definedName name="cb_sChart11FCA363_opts">"2, 1, 2, True, 2, False, False, , 0, False, True, 2, 2"</definedName>
    <definedName name="cb_sChart11FCA851_opts">"2, 1, 2, True, 2, False, False, , 0, False, True, 2, 2"</definedName>
    <definedName name="cb_sChart11FCE81C_opts">"1, 9, 1, False, 2, False, False, , 0, False, True, 2, 2"</definedName>
    <definedName name="cb_sChart12073B79_opts">"1, 9, 1, False, 2, False, False, , 0, False, True, 2, 2"</definedName>
    <definedName name="cb_sChart12074F69_opts">"1, 9, 1, False, 2, False, False, , 0, False, True, 2, 2"</definedName>
    <definedName name="cb_sChart1216F828_opts">"2, 1, 1, False, 2, False, False, , 0, False, True, 2, 2"</definedName>
    <definedName name="cb_sChart122574E1_opts">"1, 1, 1, False, 2, False, False, , 0, False, True, 2, 2"</definedName>
    <definedName name="cb_sChart12285211_opts">"1, 9, 1, False, 2, False, False, , 0, False, False, 1, 2"</definedName>
    <definedName name="cb_sChart12291B1F_opts">"2, 1, 1, True, 3, False, False, , 0, False, False, 1, 2"</definedName>
    <definedName name="cb_sChart1248DE96_opts">"1, 9, 1, False, 2, False, False, , 0, False, False, 1, 2"</definedName>
    <definedName name="cb_sChart1248E206_opts">"1, 9, 1, False, 2, False, False, , 0, False, False, 1, 2"</definedName>
    <definedName name="cb_sChart12595BBC_opts">"1, 1, 1, False, 2, True, False, , 0, False, False, 2, 2"</definedName>
    <definedName name="cb_sChart12595E44_opts">"1, 3, 1, False, 2, True, False, , 0, True, False, 2, 2"</definedName>
    <definedName name="cb_sChart12D83A2_opts">"1, 1, 1, False, 2, False, False, , 0, False, True, 2, 2"</definedName>
    <definedName name="cb_sChart12D852C_opts">"1, 1, 1, False, 2, False, False, , 0, False, True, 2, 2"</definedName>
    <definedName name="cb_sChart12D89EB_opts">"1, 1, 1, False, 2, False, False, , 0, False, True, 2, 2"</definedName>
    <definedName name="cb_sChart12DAD51_opts">"1, 1, 1, False, 2, False, False, , 0, False, True, 2, 2"</definedName>
    <definedName name="cb_sChart12DCEFA3_opts">"1, 1, 1, False, 2, False, False, , 0, False, False, 1, 1"</definedName>
    <definedName name="cb_sChart12E7B7B_opts">"1, 1, 1, False, 2, True, False, , 0, False, True, 2, 2"</definedName>
    <definedName name="cb_sChart12E83C1_opts">"1, 1, 1, False, 2, False, False, , 0, False, True, 2, 1"</definedName>
    <definedName name="cb_sChart12E85B3_opts">"1, 1, 1, False, 2, False, False, , 0, False, True, 2, 2"</definedName>
    <definedName name="cb_sChart12E8C9E_opts">"1, 2, 1, False, 2, False, False, , 0, False, False, 2, 1"</definedName>
    <definedName name="cb_sChart12EA8E0_opts">"1, 1, 1, False, 2, True, False, , 0, False, False, 2, 2"</definedName>
    <definedName name="cb_sChart12EB078_opts">"1, 1, 1, False, 2, False, False, , 0, False, False, 2, 2"</definedName>
    <definedName name="cb_sChart12EBD15_opts">"1, 1, 1, False, 2, False, False, , 0, False, False, 2, 2"</definedName>
    <definedName name="cb_sChart12FE48A_opts">"1, 2, 1, False, 2, False, False, , 0, False, False, 2, 1"</definedName>
    <definedName name="cb_sChart12FE9EB_opts">"1, 1, 1, False, 2, False, False, , 0, False, False, 1, 2"</definedName>
    <definedName name="cb_sChart12FEDFD_opts">"1, 1, 1, False, 2, False, False, , 0, False, False, 1, 2"</definedName>
    <definedName name="cb_sChart12FF231_opts">"1, 1, 1, False, 2, False, False, , 0, False, False, 1, 2"</definedName>
    <definedName name="cb_sChart12FF8BF_opts">"1, 1, 1, False, 2, False, False, , 0, False, False, 1, 2"</definedName>
    <definedName name="cb_sChart12FF933_opts">"1, 3, 1, False, 2, False, False, , 0, False, False, 1, 2"</definedName>
    <definedName name="cb_sChart12FFC46_opts">"1, 1, 1, False, 2, False, False, , 0, False, False, 1, 2"</definedName>
    <definedName name="cb_sChart134138B2_opts">"1, 1, 1, False, 2, True, False, , 0, False, False, 1, 1"</definedName>
    <definedName name="cb_sChart13893CA8_opts">"1, 3, 1, False, 2, False, False, , 0, False, True, 1, 1"</definedName>
    <definedName name="cb_sChart138A89C6_opts">"1, 5, 1, False, 2, True, False, , 0, False, True, 1, 1"</definedName>
    <definedName name="cb_sChart138A98B2_opts">"1, 3, 1, False, 2, False, False, , 0, False, False, 1, 1"</definedName>
    <definedName name="cb_sChart138A9A2F_opts">"1, 5, 1, False, 2, False, False, , 0, False, False, 1, 1"</definedName>
    <definedName name="cb_sChart14EA3833_opts">"1, 9, 1, False, 2, False, False, , 0, False, True, 1, 1"</definedName>
    <definedName name="cb_sChart14EA3A0E_opts">"1, 9, 1, False, 2, False, False, , 0, False, False, 1, 1"</definedName>
    <definedName name="cb_sChart14EA4319_opts">"1, 9, 1, False, 2, False, False, , 0, False, True, 1, 1"</definedName>
    <definedName name="cb_sChart14EA5F15_opts">"1, 9, 1, False, 2, False, False, , 0, False, False, 1, 1"</definedName>
    <definedName name="cb_sChart14EA662E_opts">"1, 9, 1, False, 2, False, False, , 0, False, False, 1, 1"</definedName>
    <definedName name="cb_sChart14EA6A4C_opts">"1, 9, 1, False, 2, False, False, , 0, False, False, 1, 1"</definedName>
    <definedName name="cb_sChart14EA6DE9_opts">"1, 9, 1, False, 2, False, False, , 0, False, False, 1, 1"</definedName>
    <definedName name="cb_sChart14EA7895_opts">"1, 9, 1, False, 2, False, False, , 0, False, True, 1, 1"</definedName>
    <definedName name="cb_sChart14EA86D3_opts">"1, 9, 1, False, 2, False, False, , 0, False, True, 1, 1"</definedName>
    <definedName name="cb_sChart14EA8E77_opts">"1, 9, 1, False, 2, False, False, , 0, False, True, 1, 1"</definedName>
    <definedName name="cb_sChart14EA8F24_opts">"1, 9, 1, False, 2, False, False, , 0, False, True, 1, 1"</definedName>
    <definedName name="cb_sChart14EA980C_opts">"1, 9, 1, False, 2, False, False, , 0, False, True, 1, 1"</definedName>
    <definedName name="cb_sChart14EA9875_opts">"1, 9, 1, False, 2, False, False, , 0, False, True, 1, 1"</definedName>
    <definedName name="cb_sChart14EA9A66_opts">"1, 9, 1, False, 2, False, False, , 0, False, True, 1, 1"</definedName>
    <definedName name="cb_sChart14EACF6F_opts">"1, 9, 1, False, 2, False, False, , 0, False, True, 1, 1"</definedName>
    <definedName name="cb_sChart14EAE615_opts">"1, 9, 1, False, 2, False, False, , 0, False, True, 1, 1"</definedName>
    <definedName name="cb_sChart14F2A546_opts">"1, 9, 1, False, 2, False, False, , 0, False, True, 1, 1"</definedName>
    <definedName name="cb_sChart14F2B05A_opts">"1, 9, 1, False, 2, False, False, , 0, False, False, 1, 1"</definedName>
    <definedName name="cb_sChart14F2C526_opts">"1, 9, 1, False, 2, False, False, , 0, False, True, 1, 1"</definedName>
    <definedName name="cb_sChart14F668C5_opts">"1, 9, 1, False, 2, False, False, , 0, False, True, 1, 1"</definedName>
    <definedName name="cb_sChart14F68902_opts">"1, 9, 1, False, 2, False, False, , 0, False, True, 1, 1"</definedName>
    <definedName name="cb_sChart14F6C935_opts">"1, 9, 1, False, 2, False, False, , 0, False, False, 1, 1"</definedName>
    <definedName name="cb_sChart14F6C9C0_opts">"1, 9, 1, False, 2, False, False, , 0, False, True, 1, 1"</definedName>
    <definedName name="cb_sChart14F6F63C_opts">"1, 9, 1, False, 2, False, False, , 0, False, False, 1, 1"</definedName>
    <definedName name="cb_sChart14F7F419_opts">"1, 9, 1, False, 2, False, False, , 0, False, True, 1, 1"</definedName>
    <definedName name="cb_sChart14F7F5FF_opts">"1, 9, 1, False, 2, False, False, , 0, False, True, 1, 1"</definedName>
    <definedName name="cb_sChart1560B1BF_opts">"1, 9, 1, False, 2, False, False, , 0, False, False, 1, 1"</definedName>
    <definedName name="cb_sChart1560B326_opts">"1, 9, 1, False, 2, False, False, , 0, False, False, 1, 1"</definedName>
    <definedName name="cb_sChart1560B5DC_opts">"1, 9, 1, False, 2, False, False, , 0, False, False, 1, 1"</definedName>
    <definedName name="cb_sChart1560C23F_opts">"1, 9, 1, False, 2, False, False, , 0, False, False, 1, 1"</definedName>
    <definedName name="cb_sChart15CA0E0A_opts">"1, 9, 1, False, 2, False, False, , 0, False, False, 1, 2"</definedName>
    <definedName name="cb_sChart15CA1FFD_opts">"1, 10, 1, False, 2, False, False, , 0, False, False, 1, 1"</definedName>
    <definedName name="cb_sChart15CA20AB_opts">"1, 9, 1, False, 2, False, False, , 0, False, False, 1, 1"</definedName>
    <definedName name="cb_sChart15CA2F5C_opts">"1, 9, 1, False, 2, False, False, , 0, False, False, 1, 1"</definedName>
    <definedName name="cb_sChart15CA30C3_opts">"1, 9, 1, False, 2, False, False, , 0, False, True, 1, 1"</definedName>
    <definedName name="cb_sChart18009FE8_opts">"1, 1, 1, False, 2, False, False, , 0, False, False, 1, 1"</definedName>
    <definedName name="cb_sChart1801153B_opts">"1, 1, 1, False, 2, False, False, , 0, False, True, 1, 1"</definedName>
    <definedName name="cb_sChart181DCCD8_opts" hidden="1">"1, 9, 1, False, 2, False, False, , 0, False, True, 1, 2"</definedName>
    <definedName name="cb_sChart181DCFF7_opts" hidden="1">"1, 3, 1, False, 2, True, False, , 0, True, True, 2, 1"</definedName>
    <definedName name="cb_sChart181DDD93_opts" hidden="1">"1, 3, 1, False, 2, True, False, , 0, True, True, 2, 1"</definedName>
    <definedName name="cb_sChart181DDEEE_opts" hidden="1">"1, 3, 1, False, 2, True, False, , 0, True, True, 2, 1"</definedName>
    <definedName name="cb_sChart181DE1C7_opts" hidden="1">"1, 10, 1, False, 2, True, False, , 0, False, True, 2, 1"</definedName>
    <definedName name="cb_sChart181E8791_opts" hidden="1">"2, 1, 2, True, 2, True, False, , 0, False, True, 1, 2"</definedName>
    <definedName name="cb_sChart181E96D9_opts" hidden="1">"1, 9, 1, False, 2, False, False, , 0, False, True, 1, 2"</definedName>
    <definedName name="cb_sChart18B33842_opts">"1, 1, 1, False, 2, False, False, , 0, False, False, 1, 1"</definedName>
    <definedName name="cb_sChart18BA2280_opts">"1, 1, 1, False, 2, False, False, , 0, False, False, 1, 1"</definedName>
    <definedName name="cb_sChart18BB2677_opts">"1, 1, 1, False, 2, False, False, , 0, False, False, 1, 1"</definedName>
    <definedName name="cb_sChart18C63501_opts">"1, 1, 1, False, 2, False, False, , 0, False, False, 1, 1"</definedName>
    <definedName name="cb_sChart19550B88_opts">"1, 1, 1, False, 2, False, False, , 0, False, False, 1, 1"</definedName>
    <definedName name="cb_sChart1955183C_opts">"2, 1, 1, True, 2, False, False, , 0, False, False, 1, 1"</definedName>
    <definedName name="cb_sChart19551C4E_opts">"2, 1, 1, True, 2, True, False, , 0, False, False, 1, 1"</definedName>
    <definedName name="cb_sChart1955C01A_opts">"2, 1, 1, False, 2, False, False, , 0, False, True, 1, 1"</definedName>
    <definedName name="cb_sChart1955C1C7_opts">"2, 1, 1, True, 2, False, False, , 0, False, True, 1, 1"</definedName>
    <definedName name="cb_sChart1A3873A1_opts">"1, 1, 1, False, 2, True, False, , 0, False, True, 1, 1"</definedName>
    <definedName name="cb_sChart1A3875D8_opts">"1, 1, 1, False, 2, False, False, , 0, False, False, 1, 1"</definedName>
    <definedName name="cb_sChart1A3877BF_opts">"1, 1, 1, False, 2, True, False, , 0, False, True, 1, 1"</definedName>
    <definedName name="cb_sChart1A387878_opts">"1, 1, 1, False, 2, True, False, , 0, False, True, 1, 1"</definedName>
    <definedName name="cb_sChart1A387AF4_opts">"1, 3, 1, False, 2, False, False, , 0, False, False, 1, 1"</definedName>
    <definedName name="cb_sChart1A38BEAE_opts">"1, 10, 1, False, 2, True, False, , 0, False, False, 1, 1"</definedName>
    <definedName name="cb_sChart1A43A019_opts">"1, 1, 1, False, 2, True, False, , 0, False, False, 1, 1"</definedName>
    <definedName name="cb_sChart1A4414D6_opts">"1, 1, 1, False, 2, True, False, , 0, False, False, 1, 1"</definedName>
    <definedName name="cb_sChart1A4416BC_opts">"1, 1, 1, False, 2, True, False, , 0, False, False, 1, 1"</definedName>
    <definedName name="cb_sChart1A4418D0_opts">"1, 1, 1, False, 2, True, False, , 0, False, False, 1, 1"</definedName>
    <definedName name="cb_sChart1A4419DA_opts">"1, 1, 1, False, 2, True, False, , 0, False, False, 1, 1"</definedName>
    <definedName name="cb_sChart1A65F73E_opts">"1, 5, 1, False, 2, True, False, , 0, False, False, 1, 1"</definedName>
    <definedName name="cb_sChart1B28B2AD_opts">"1, 3, 1, False, 2, False, False, , 0, False, True, 1, 1"</definedName>
    <definedName name="cb_sChart1B28B8C8_opts">"1, 3, 1, False, 2, False, False, , 0, False, True, 1, 1"</definedName>
    <definedName name="cb_sChart1B28BF3F_opts">"1, 3, 1, False, 2, False, False, , 0, False, True, 1, 1"</definedName>
    <definedName name="cb_sChart1B28C218_opts">"1, 3, 1, False, 2, False, False, , 0, False, True, 1, 1"</definedName>
    <definedName name="cb_sChart1B28C96B_opts">"1, 3, 1, False, 2, False, False, , 0, False, True, 1, 1"</definedName>
    <definedName name="cb_sChart1B7AB11_opts">"1, 7, 1, False, 2, False, False, , 0, False, True, 1, 1"</definedName>
    <definedName name="cb_sChart1B7ECF0_opts">"1, 9, 1, False, 2, False, False, , 0, False, False, 1, 1"</definedName>
    <definedName name="cb_sChart1B8AF1F_opts">"1, 9, 1, False, 2, False, True, , 0, False, False, 1, 1"</definedName>
    <definedName name="cb_sChart1B99DE1_opts">"1, 7, 1, False, 2, False, False, , 0, False, True, 1, 2"</definedName>
    <definedName name="cb_sChart1B9A4AFE_opts">"1, 9, 1, False, 2, False, False, , 0, False, False, 1, 2"</definedName>
    <definedName name="cb_sChart1BA1DC3F_opts">"1, 9, 1, False, 2, False, False, , 0, False, False, 1, 2"</definedName>
    <definedName name="cb_sChart1BA8AA_opts" hidden="1">"1, 1, 1, False, 2, False, False, , 0, False, False, 1, 2"</definedName>
    <definedName name="cb_sChart1BADD1_opts" hidden="1">"1, 1, 1, False, 2, False, False, , 0, False, False, 2, 2"</definedName>
    <definedName name="cb_sChart1C1DB169_opts">"1, 3, 1, False, 2, False, False, , 0, False, False, 1, 1"</definedName>
    <definedName name="cb_sChart1C3B75AC_opts">"1, 9, 1, False, 2, False, False, , 0, False, True, 1, 1"</definedName>
    <definedName name="cb_sChart1C3B9A4B_opts">"1, 9, 1, False, 2, False, False, , 0, False, True, 1, 1"</definedName>
    <definedName name="cb_sChart1C3BE924_opts">"1, 9, 1, False, 2, False, False, , 0, False, True, 1, 1"</definedName>
    <definedName name="cb_sChart1C3BEA5C_opts">"1, 9, 1, False, 2, False, False, , 0, False, True, 1, 1"</definedName>
    <definedName name="cb_sChart1C94B61D_opts">"1, 9, 3, False, 2, False, False, , 0, False, True, 1, 1"</definedName>
    <definedName name="cb_sChart1C94BA0C_opts">"1, 1, 1, False, 2, True, False, , 0, False, True, 1, 1"</definedName>
    <definedName name="cb_sChart1C94BFE1_opts">"1, 9, 1, False, 2, False, False, , 0, False, True, 1, 1"</definedName>
    <definedName name="cb_sChart1CAAAF_opts" hidden="1">"1, 1, 1, False, 2, False, False, , 0, False, False, 3, 2"</definedName>
    <definedName name="cb_sChart1CC916DC_opts">"1, 10, 1, False, 2, False, False, , 0, False, False, 1, 1"</definedName>
    <definedName name="cb_sChart1D0218BA_opts">"1, 1, 1, False, 2, False, False, , 0, False, False, 1, 1"</definedName>
    <definedName name="cb_sChart1D0219E7_opts">"1, 1, 1, False, 2, False, False, , 0, False, False, 1, 1"</definedName>
    <definedName name="cb_sChart1D022117_opts">"1, 1, 1, False, 2, False, False, , 0, False, False, 1, 1"</definedName>
    <definedName name="cb_sChart1D02CAAE_opts">"1, 10, 1, False, 2, False, False, , 0, False, False, 1, 1"</definedName>
    <definedName name="cb_sChart1D03E238_opts">"1, 1, 1, False, 2, False, False, , 0, False, False, 1, 1"</definedName>
    <definedName name="cb_sChart1D03E90C_opts">"1, 1, 1, False, 2, False, False, , 0, False, False, 1, 1"</definedName>
    <definedName name="cb_sChart1D05BD_opts">"1, 4, 1, False, 2, True, False, , 0, False, False, 2, 1"</definedName>
    <definedName name="cb_sChart1D0E49_opts">"1, 1, 1, False, 2, True, False, , 0, False, True, 2, 1"</definedName>
    <definedName name="cb_sChart1D0EF7_opts">"1, 5, 1, False, 2, True, False, , 0, False, True, 2, 1"</definedName>
    <definedName name="cb_sChart1D1405AB_opts">"1, 10, 1, False, 2, False, False, , 0, False, False, 1, 1"</definedName>
    <definedName name="cb_sChart1D1426E6_opts">"1, 10, 1, False, 2, False, False, , 0, False, False, 1, 1"</definedName>
    <definedName name="cb_sChart1D14336C_opts">"1, 10, 1, False, 2, False, False, , 0, False, False, 1, 1"</definedName>
    <definedName name="cb_sChart1D14587E_opts">"1, 10, 1, False, 2, False, False, , 0, False, False, 1, 1"</definedName>
    <definedName name="cb_sChart1D3AE8_opts">"1, 6, 1, False, 2, False, False, , 0, False, True, 2, 2"</definedName>
    <definedName name="cb_sChart1D3EEF_opts">"1, 7, 1, False, 2, False, False, , 0, False, True, 2, 2"</definedName>
    <definedName name="cb_sChart1D41EA_opts">"1, 8, 1, False, 2, False, False, , 0, False, False, 2, 2"</definedName>
    <definedName name="cb_sChart1D5891_opts">"1, 9, 1, False, 2, False, False, , 0, False, True, 2, 2"</definedName>
    <definedName name="cb_sChart1D887D06_opts">"1, 9, 1, False, 2, False, False, , 0, False, True, 1, 1"</definedName>
    <definedName name="cb_sChart1D8899D3_opts">"1, 9, 1, False, 2, False, False, , 0, False, False, 1, 1"</definedName>
    <definedName name="cb_sChart1D8A1554_opts">"1, 5, 1, False, 2, True, False, , 0, False, False, 1, 1"</definedName>
    <definedName name="cb_sChart1D8A1D31_opts">"1, 5, 1, False, 2, True, False, , 0, False, False, 1, 1"</definedName>
    <definedName name="cb_sChart1D8A27DD_opts">"1, 5, 1, False, 2, True, False, , 0, False, False, 1, 1"</definedName>
    <definedName name="cb_sChart1D8A2B13_opts">"1, 5, 1, False, 2, True, False, , 0, False, False, 1, 1"</definedName>
    <definedName name="cb_sChart1D8F6DF6_opts">"1, 1, 1, False, 2, False, False, , 0, False, True, 1, 1"</definedName>
    <definedName name="cb_sChart1D8F6F97_opts">"1, 9, 1, False, 2, False, False, , 0, False, True, 1, 1"</definedName>
    <definedName name="cb_sChart1D9CE2_opts">"1, 10, 1, False, 2, True, False, , 0, False, False, 2, 2"</definedName>
    <definedName name="cb_sChart1DA03A_opts" hidden="1">"2, 1, 1, True, 3, False, False, , 0, False, True, 1, 2"</definedName>
    <definedName name="cb_sChart1DA590_opts" hidden="1">"2, 1, 1, True, 3, False, False, , 0, False, True, 2, 2"</definedName>
    <definedName name="cb_sChart1DBAAD_opts" hidden="1">"2, 1, 2, True, 2, False, False, , 0, False, True, 1, 2"</definedName>
    <definedName name="cb_sChart1DBB89_opts" hidden="1">"2, 1, 2, True, 2, False, False, , 0, False, True, 1, 1"</definedName>
    <definedName name="cb_sChart1DCA97_opts" hidden="1">"2, 1, 1, True, 2, False, False, , 0, False, True, 2, 1"</definedName>
    <definedName name="cb_sChart1DCCF1_opts" hidden="1">"2, 1, 1, True, 2, False, False, , 0, False, True, 1, 2"</definedName>
    <definedName name="cb_sChart1E1206_opts" hidden="1">"2, 1, 3, False, 2, False, False, , 0, False, True, 2, 2"</definedName>
    <definedName name="cb_sChart1E17F2_opts" hidden="1">"1, 9, 1, False, 2, False, False, , 0, False, True, 1, 1"</definedName>
    <definedName name="cb_sChart1E2D49_opts" hidden="1">"1, 10, 1, False, 2, True, False, , 0, False, False, 3, 2"</definedName>
    <definedName name="cb_sChart1E2DEB_opts" hidden="1">"1, 10, 1, False, 2, True, False, , 0, False, False, 2, 2"</definedName>
    <definedName name="cb_sChart1E3944_opts" hidden="1">"1, 10, 1, False, 2, True, False, , 0, False, False, 2, 2"</definedName>
    <definedName name="cb_sChart1E3BE4_opts" hidden="1">"1, 10, 1, False, 2, True, False, , 0, False, False, 2, 2"</definedName>
    <definedName name="cb_sChart1E3E3D_opts" hidden="1">"1, 10, 1, False, 2, True, False, , 0, False, False, 1, 2"</definedName>
    <definedName name="cb_sChart1E4314_opts" hidden="1">"1, 10, 1, False, 2, True, False, , 0, False, False, 2, 2"</definedName>
    <definedName name="cb_sChart1E4E56_opts" hidden="1">"1, 1, 1, False, 2, False, False, , 0, False, False, 2, 2"</definedName>
    <definedName name="cb_sChart1E5372_opts" hidden="1">"1, 1, 1, False, 2, True, False, , 0, False, True, 2, 2"</definedName>
    <definedName name="cb_sChart1E5975_opts" hidden="1">"2, 1, 2, True, 2, False, False, , 0, False, True, 1, 2"</definedName>
    <definedName name="cb_sChart1E5C43_opts" hidden="1">"2, 1, 2, True, 2, False, False, , 0, False, True, 2, 2"</definedName>
    <definedName name="cb_sChart1E5F4A_opts" hidden="1">"2, 1, 2, True, 2, False, False, , 0, False, True, 1, 2"</definedName>
    <definedName name="cb_sChart23F891A_opts">"1, 9, 1, False, 2, False, False, , 0, False, True, 1, 1"</definedName>
    <definedName name="cb_sChart24ED245_opts">"1, 9, 1, False, 2, False, False, , 0, False, True, 1, 1"</definedName>
    <definedName name="cb_sChart24ED930_opts">"1, 9, 1, False, 2, False, False, , 0, False, False, 1, 1"</definedName>
    <definedName name="cb_sChart26CA498_opts">"1, 9, 1, False, 2, False, False, , 0, False, False, 1, 1"</definedName>
    <definedName name="cb_sChart27D31D5_opts">"1, 9, 1, False, 2, False, False, , 0, False, True, 1, 1"</definedName>
    <definedName name="cb_sChart27D3990_opts">"1, 9, 1, False, 2, False, False, , 0, False, True, 1, 1"</definedName>
    <definedName name="cb_sChart2A64D8F_opts">"1, 8, 1, False, 2, False, False, , 0, False, True, 1, 1"</definedName>
    <definedName name="cb_sChart2A65748_opts">"1, 8, 1, False, 2, False, False, , 0, False, True, 1, 1"</definedName>
    <definedName name="cb_sChart2A667D4_opts">"1, 8, 1, False, 2, False, False, , 0, False, True, 1, 1"</definedName>
    <definedName name="cb_sChart2A66D9D_opts">"1, 8, 1, False, 2, False, False, , 0, False, True, 1, 1"</definedName>
    <definedName name="cb_sChart2A67124_opts">"2, 1, 3, False, 2, False, False, , 0, False, True, 1, 1"</definedName>
    <definedName name="cb_sChart2A673A1_opts">"1, 8, 1, False, 2, False, False, , 0, False, True, 1, 1"</definedName>
    <definedName name="cb_sChart2A67A0C_opts">"1, 8, 1, False, 2, False, False, , 0, False, True, 1, 1"</definedName>
    <definedName name="cb_sChart2A68670_opts">"1, 8, 1, False, 2, False, False, , 0, False, True, 1, 1"</definedName>
    <definedName name="cb_sChart2A6C43D_opts">"1, 9, 1, False, 2, False, False, , 0, False, True, 1, 1"</definedName>
    <definedName name="cb_sChart2A74E8A_opts">"1, 9, 1, False, 2, False, False, , 0, False, True, 1, 1"</definedName>
    <definedName name="cb_sChart2A76BA8_opts">"1, 9, 1, False, 2, False, False, , 0, False, True, 1, 1"</definedName>
    <definedName name="cb_sChart2D58AD7_opts">"1, 8, 1, False, 2, False, False, , 0, False, True, 1, 1"</definedName>
    <definedName name="cb_sChart2D6F93B_opts">"1, 9, 1, False, 2, False, False, , 0, False, True, 1, 1"</definedName>
    <definedName name="cb_sChart2D714FE_opts">"1, 9, 1, False, 2, False, False, , 0, False, True, 1, 2"</definedName>
    <definedName name="cb_sChart2D737E5_opts">"1, 9, 1, False, 2, False, False, , 0, False, False, 1, 2"</definedName>
    <definedName name="cb_sChart2D73A28_opts">"1, 9, 1, False, 2, False, False, , 0, False, True, 1, 1"</definedName>
    <definedName name="cb_sChart2D759D9_opts">"1, 10, 1, False, 2, False, False, , 0, False, False, 1, 2"</definedName>
    <definedName name="cb_sChart2D76823_opts">"1, 9, 1, False, 2, False, False, , 0, False, True, 1, 2"</definedName>
    <definedName name="cb_sChart2D76BFA_opts">"1, 9, 1, False, 2, False, False, , 0, False, True, 1, 2"</definedName>
    <definedName name="cb_sChart2D9FB96_opts">"1, 9, 1, False, 2, False, False, , 0, False, True, 1, 2"</definedName>
    <definedName name="cb_sChart2D9FE6F_opts">"1, 9, 1, False, 2, False, False, , 0, False, True, 1, 2"</definedName>
    <definedName name="cb_sChart2DA6F48_opts">"1, 9, 1, False, 2, False, False, , 0, False, True, 1, 2"</definedName>
    <definedName name="cb_sChart2DAB5B8_opts">"1, 7, 1, False, 2, False, False, , 0, False, True, 1, 1"</definedName>
    <definedName name="cb_sChart2DAC2D5_opts">"1, 7, 1, False, 2, False, False, , 0, False, True, 1, 1"</definedName>
    <definedName name="cb_sChart2DADDDE_opts">"1, 7, 1, False, 2, False, False, , 0, False, False, 1, 1"</definedName>
    <definedName name="cb_sChart2DADE5D_opts">"1, 7, 1, False, 2, False, False, , 0, False, True, 1, 1"</definedName>
    <definedName name="cb_sChart2DAF358_opts">"1, 7, 1, False, 2, False, False, , 0, False, True, 1, 1"</definedName>
    <definedName name="cb_sChart2DB05D6_opts">"1, 7, 1, False, 2, False, False, , 0, False, True, 1, 1"</definedName>
    <definedName name="cb_sChart2DBCB46_opts">"1, 7, 1, False, 2, False, False, , 0, False, True, 1, 1"</definedName>
    <definedName name="cb_sChart2E6278B_opts">"1, 9, 1, False, 2, False, False, , 0, False, True, 1, 1"</definedName>
    <definedName name="cb_sChart2EB0678_opts">"1, 1, 1, False, 2, True, False, , 0, False, True, 2, 2"</definedName>
    <definedName name="cb_sChart2F3EBCE_opts">"2, 1, 1, False, 2, False, False, , 0, False, True, 2, 2"</definedName>
    <definedName name="cb_sChart2F3F63F_opts">"1, 5, 1, False, 2, True, False, , 0, False, False, 1, 1"</definedName>
    <definedName name="cb_sChart2F3F90D_opts">"1, 5, 1, False, 2, True, False, , 0, False, False, 2, 2"</definedName>
    <definedName name="cb_sChart2F46DBE_opts">"2, 1, 1, True, 2, False, False, , 0, False, True, 1, 2"</definedName>
    <definedName name="cb_sChart2F470D1_opts">"2, 1, 1, False, 2, True, False, , 0, False, True, 1, 2"</definedName>
    <definedName name="cb_sChart2F4952A_opts">"1, 5, 1, False, 2, False, False, , 0, False, False, 1, 1"</definedName>
    <definedName name="cb_sChart2F49CDA_opts">"1, 5, 1, False, 2, False, False, , 0, False, False, 1, 1"</definedName>
    <definedName name="cb_sChart2F4A3D0_opts">"1, 5, 1, False, 2, False, False, , 0, False, False, 1, 1"</definedName>
    <definedName name="cb_sChart2F4A9B1_opts">"1, 5, 1, False, 2, False, False, , 0, False, False, 1, 1"</definedName>
    <definedName name="cb_sChart2F65E86_opts">"1, 1, 1, False, 2, True, False, , 0, False, False, 2, 2"</definedName>
    <definedName name="cb_sChart2F6A8C2_opts">"1, 1, 1, False, 2, True, False, , 0, False, False, 1, 2"</definedName>
    <definedName name="cb_sChart2F6AAB4_opts">"1, 1, 1, False, 2, True, False, , 0, False, True, 1, 2"</definedName>
    <definedName name="cb_sChart2F6B601_opts">"1, 1, 1, False, 2, False, False, , 0, False, False, 1, 1"</definedName>
    <definedName name="cb_sChart2F730C1_opts">"1, 4, 1, False, 2, False, False, , 0, False, False, 1, 1"</definedName>
    <definedName name="cb_sChart2FA9A3C_opts">"1, 3, 1, False, 2, False, False, , 0, False, True, 1, 2"</definedName>
    <definedName name="cb_sChart2FA9CC4_opts">"1, 3, 1, False, 2, False, False, , 0, False, True, 1, 2"</definedName>
    <definedName name="cb_sChart33FC2FF_opts">"1, 5, 1, False, 2, False, False, , 0, False, False, 1, 2"</definedName>
    <definedName name="cb_sChart33FC8D4_opts">"1, 5, 1, False, 2, False, False, , 0, False, False, 1, 2"</definedName>
    <definedName name="cb_sChart33FE8BF_opts">"1, 5, 1, False, 2, False, False, , 0, False, False, 1, 2"</definedName>
    <definedName name="cb_sChart34010F1_opts">"1, 5, 1, False, 2, False, False, , 0, False, False, 1, 2"</definedName>
    <definedName name="cb_sChart3401AFA_opts">"1, 5, 1, False, 2, False, False, , 0, False, False, 1, 2"</definedName>
    <definedName name="cb_sChart3409186_opts">"1, 5, 1, False, 2, False, False, , 0, False, False, 1, 2"</definedName>
    <definedName name="cb_sChart340A263_opts">"1, 5, 1, False, 2, False, False, , 0, False, False, 1, 1"</definedName>
    <definedName name="cb_sChart340F629_opts">"1, 8, 1, False, 2, False, False, , 0, False, False, 1, 2"</definedName>
    <definedName name="cb_sChart340FD14_opts">"1, 8, 1, False, 2, False, False, , 0, False, False, 1, 2"</definedName>
    <definedName name="cb_sChart34107E2_opts">"1, 8, 1, False, 2, False, False, , 0, False, False, 1, 1"</definedName>
    <definedName name="cb_sChart3434ED7_opts">"1, 5, 1, False, 2, False, False, , 0, False, False, 1, 2"</definedName>
    <definedName name="cb_sChart343DEED_opts">"2, 1, 2, True, 2, False, False, , 0, False, True, 1, 2"</definedName>
    <definedName name="cb_sChart344EE9A_opts">"1, 9, 1, False, 2, False, False, , 0, False, True, 1, 1"</definedName>
    <definedName name="cb_sChart344F24F_opts">"1, 9, 1, False, 2, False, False, , 0, False, True, 1, 2"</definedName>
    <definedName name="cb_sChart3450777_opts">"1, 9, 1, False, 2, False, True, 13, 2, False, False, 1, 1"</definedName>
    <definedName name="cb_sChart3450E85_opts">"1, 9, 1, False, 2, False, False, , 0, False, True, 1, 2"</definedName>
    <definedName name="cb_sChart3452C22_opts">"1, 3, 1, False, 2, False, False, , 0, False, True, 1, 2"</definedName>
    <definedName name="cb_sChart345311B_opts">"1, 3, 1, False, 2, False, False, , 0, False, True, 1, 2"</definedName>
    <definedName name="cb_sChart3453B0D_opts">"2, 1, 1, True, 2, False, False, , 0, False, True, 1, 2"</definedName>
    <definedName name="cb_sChart34647CA_opts">"1, 8, 1, False, 2, False, False, , 0, False, False, 2, 2"</definedName>
    <definedName name="cb_sChart346520D_opts">"1, 8, 1, False, 2, False, False, , 0, False, False, 1, 2"</definedName>
    <definedName name="cb_sChart34654DB_opts">"1, 8, 1, False, 2, False, False, , 0, False, False, 1, 2"</definedName>
    <definedName name="cb_sChart346953C_opts">"2, 1, 1, False, 2, False, False, , 0, False, False, 2, 2"</definedName>
    <definedName name="cb_sChart346A27B_opts">"1, 3, 1, False, 2, False, False, , 0, False, True, 2, 2"</definedName>
    <definedName name="cb_sChart347102A_opts">"2, 1, 1, False, 2, False, False, , 0, False, True, 2, 2"</definedName>
    <definedName name="cb_sChart34E448E_opts">"1, 1, 1, False, 2, False, False, , 0, False, False, 1, 1"</definedName>
    <definedName name="cb_sChart34F5376_opts">"2, 1, 2, True, 2, False, False, , 0, False, True, 1, 2"</definedName>
    <definedName name="cb_sChart34F577C_opts">"2, 1, 2, True, 2, False, False, , 0, False, True, 1, 2"</definedName>
    <definedName name="cb_sChart34F5A05_opts">"2, 1, 2, True, 2, False, False, , 0, False, True, 1, 2"</definedName>
    <definedName name="cb_sChart34F5F2C_opts">"2, 1, 2, True, 2, False, False, , 0, False, True, 1, 2"</definedName>
    <definedName name="cb_sChart34F92FC_opts">"1, 1, 1, False, 2, True, False, , 0, False, False, 1, 2"</definedName>
    <definedName name="cb_sChart34F9B08_opts">"1, 4, 1, False, 2, False, False, , 0, False, False, 1, 1"</definedName>
    <definedName name="cb_sChart34FAEB3_opts">"1, 3, 1, False, 2, False, False, , 0, False, True, 1, 1"</definedName>
    <definedName name="cb_sChart34FB053_opts">"1, 3, 1, False, 2, True, False, , 0, False, False, 1, 1"</definedName>
    <definedName name="cb_sChart352F02B_opts">"1, 5, 1, False, 2, True, False, , 0, False, False, 1, 2"</definedName>
    <definedName name="cb_sChart3532FF6_opts">"2, 1, 1, False, 2, False, False, , 0, False, True, 1, 2"</definedName>
    <definedName name="cb_sChart355BCAD_opts">"2, 1, 1, False, 2, False, False, , 0, False, True, 1, 2"</definedName>
    <definedName name="cb_sChart35FF6A2_opts">"1, 8, 1, False, 2, False, False, , 0, False, False, 1, 2"</definedName>
    <definedName name="cb_sChart3624091_opts">"1, 8, 1, False, 2, False, False, , 0, False, False, 1, 2"</definedName>
    <definedName name="cb_sChart36406CE_opts">"1, 3, 1, False, 2, True, False, , 0, False, True, 1, 1"</definedName>
    <definedName name="cb_sChart3AB73A1_opts">"2, 1, 1, False, 2, True, False, , 0, False, True, 2, 2"</definedName>
    <definedName name="cb_sChart3ABAD51_opts">"1, 5, 1, False, 2, True, False, , 0, False, False, 2, 2"</definedName>
    <definedName name="cb_sChart3AE4A4F_opts">"2, 1, 1, True, 2, False, False, , 0, False, True, 2, 2"</definedName>
    <definedName name="cb_sChart3AEA7B7_opts">"2, 1, 1, True, 2, False, False, , 0, False, True, 1, 1"</definedName>
    <definedName name="cb_sChart3AEAB83_opts">"2, 1, 1, True, 2, False, False, , 0, False, True, 2, 2"</definedName>
    <definedName name="cb_sChart3AF2834_opts">"1, 3, 1, False, 2, False, False, , 0, False, False, 2, 2"</definedName>
    <definedName name="cb_sChart3AF5310_opts">"1, 1, 1, False, 2, False, False, , 0, False, False, 1, 2"</definedName>
    <definedName name="cb_sChart3AF68AD_opts">"1, 1, 1, False, 2, False, False, , 0, False, False, 2, 2"</definedName>
    <definedName name="cb_sChart3AF71DA_opts">"1, 1, 1, False, 2, False, False, , 0, False, False, 1, 1"</definedName>
    <definedName name="cb_sChart3AF76D4_opts">"1, 1, 1, False, 2, False, False, , 0, False, False, 2, 2"</definedName>
    <definedName name="cb_sChart3AF8492_opts">"1, 1, 1, False, 2, False, False, , 0, False, False, 1, 1"</definedName>
    <definedName name="cb_sChart3AFF994_opts">"1, 1, 1, False, 2, False, False, , 0, False, False, 2, 2"</definedName>
    <definedName name="cb_sChart3B004D6_opts">"1, 1, 1, False, 2, False, False, , 0, False, False, 1, 1"</definedName>
    <definedName name="cb_sChart3B03C44_opts">"1, 1, 1, False, 2, False, False, , 0, False, False, 1, 1"</definedName>
    <definedName name="cb_sChart3B08D31_opts">"1, 8, 1, False, 2, False, False, , 0, False, False, 2, 2"</definedName>
    <definedName name="cb_sChart3B09A9F_opts">"1, 8, 1, False, 2, False, False, , 0, False, False, 2, 2"</definedName>
    <definedName name="cb_sChart3B09F8C_opts">"1, 8, 1, False, 2, False, False, , 0, False, False, 2, 2"</definedName>
    <definedName name="cb_sChart3B0ABD8_opts">"1, 8, 1, False, 2, False, False, , 0, False, False, 2, 2"</definedName>
    <definedName name="cb_sChart3B12357_opts">"1, 8, 1, False, 2, False, False, , 0, False, False, 2, 2"</definedName>
    <definedName name="cb_sChart3B12816_opts">"1, 8, 1, False, 2, False, False, , 0, False, False, 2, 2"</definedName>
    <definedName name="cb_sChart3B12D0F_opts">"1, 8, 1, False, 2, False, False, , 0, False, False, 2, 2"</definedName>
    <definedName name="cb_sChart3BA9EF5_opts">"1, 9, 1, False, 2, False, False, , 0, False, True, 1, 1"</definedName>
    <definedName name="cb_sChart3BAA0A1_opts">"1, 9, 1, False, 2, False, False, , 0, False, True, 1, 1"</definedName>
    <definedName name="cb_sChart3BAA29E_opts">"1, 9, 1, False, 2, False, False, , 0, False, True, 1, 1"</definedName>
    <definedName name="cb_sChart3BAACED_opts">"1, 9, 1, False, 2, False, False, , 0, False, True, 1, 1"</definedName>
    <definedName name="cb_sChart3BAD7A6_opts">"2, 1, 2, True, 2, False, False, , 0, False, True, 1, 2"</definedName>
    <definedName name="cb_sChart3BBD972_opts">"1, 1, 1, False, 2, False, False, , 0, False, False, 1, 1"</definedName>
    <definedName name="cb_sChart3BC0E91_opts">"2, 1, 1, False, 2, True, False, , 0, False, True, 1, 1"</definedName>
    <definedName name="cb_sChart3BFC30E_opts">"1, 4, 1, False, 2, False, False, , 0, False, False, 1, 1"</definedName>
    <definedName name="cb_sChart3BFD9FA_opts">"2, 1, 1, True, 2, False, False, , 0, False, True, 2, 2"</definedName>
    <definedName name="cb_sChart3BFEF23_opts">"1, 4, 1, False, 2, False, False, , 0, False, False, 1, 1"</definedName>
    <definedName name="cb_sChart3BFF2E3_opts">"1, 1, 1, False, 2, False, False, , 0, False, False, 1, 1"</definedName>
    <definedName name="cb_sChart41E9A35_opts">"1, 9, 1, False, 2, False, False, , 0, False, True, 1, 1"</definedName>
    <definedName name="cb_sChart463330_opts" hidden="1">"2, 1, 2, True, 2, False, False, , 0, False, True, 1, 2"</definedName>
    <definedName name="cb_sChart4665D3_opts" hidden="1">"1, 9, 1, False, 2, False, False, , 0, False, True, 2, 2"</definedName>
    <definedName name="cb_sChart4680DD_opts" hidden="1">"1, 10, 1, False, 2, True, False, , 0, False, False, 2, 2"</definedName>
    <definedName name="cb_sChart468801_opts" hidden="1">"1, 10, 1, False, 2, True, False, , 0, False, False, 2, 2"</definedName>
    <definedName name="cb_sChart46BC0B_opts" hidden="1">"2, 1, 2, True, 2, False, False, , 0, False, True, 1, 2"</definedName>
    <definedName name="cb_sChart4828C3_opts" hidden="1">"1, 1, 1, False, 2, False, False, , 0, False, False, 1, 2"</definedName>
    <definedName name="cb_sChart482D03_opts" hidden="1">"1, 1, 1, False, 2, False, False, , 0, False, False, 1, 2"</definedName>
    <definedName name="cb_sChart595EE0E_opts">"1, 9, 1, False, 2, False, True, , 3, False, True, 1, 1"</definedName>
    <definedName name="cb_sChart5D0C805_opts">"1, 4, 1, False, 2, False, False, , 0, False, False, 1, 1"</definedName>
    <definedName name="cb_sChart5D375C8_opts">"1, 9, 1, False, 2, False, False, , 0, False, True, 1, 1"</definedName>
    <definedName name="cb_sChart6889462_opts">"1, 1, 1, False, 2, True, False, , 0, False, False, 1, 1"</definedName>
    <definedName name="cb_sChart697439B_opts">"1, 9, 1, False, 2, False, True, , 1, False, True, 1, 1"</definedName>
    <definedName name="cb_sChart697822D_opts">"1, 1, 1, False, 2, True, False, , 0, False, False, 1, 1"</definedName>
    <definedName name="cb_sChart69782DB_opts">"1, 3, 1, False, 2, True, False, , 0, False, True, 1, 1"</definedName>
    <definedName name="cb_sChart6A2ED7_opts">"1, 10, 1, False, 2, True, False, , 0, False, False, 1, 1"</definedName>
    <definedName name="cb_sChart6A6617_opts">"1, 10, 1, False, 2, True, False, , 0, False, False, 1, 1"</definedName>
    <definedName name="cb_sChart6A66F3_opts">"1, 10, 1, False, 2, True, False, , 0, False, False, 1, 1"</definedName>
    <definedName name="cb_sChart6A7DF6_opts">"1, 3, 1, False, 2, True, False, , 0, False, True, 2, 1"</definedName>
    <definedName name="cb_sChart74E984_opts" hidden="1">"1, 1, 1, False, 2, False, False, , 0, False, False, 2, 2"</definedName>
    <definedName name="cb_sChart773176C_opts">"1, 9, 1, False, 2, False, True, , 1, False, True, 1, 1"</definedName>
    <definedName name="cb_sChart7F59C8D_opts">"1, 4, 1, False, 2, False, False, , 0, False, False, 1, 1"</definedName>
    <definedName name="cb_sChart7F59D80_opts">"1, 1, 1, False, 2, True, False, , 0, False, False, 1, 1"</definedName>
    <definedName name="cb_sChart7F5A913_opts">"1, 1, 1, False, 2, True, False, , 0, False, False, 3, 1"</definedName>
    <definedName name="cb_sChart7F5AA63_opts">"1, 1, 1, False, 2, False, False, , 0, False, False, 3, 1"</definedName>
    <definedName name="cb_sChart7F5AB6D_opts">"1, 1, 1, False, 2, False, False, , 0, False, False, 3, 1"</definedName>
    <definedName name="cb_sChart7F5AED1_opts">"1, 1, 1, False, 2, False, False, , 0, False, False, 3, 1"</definedName>
    <definedName name="cb_sChart8694853_opts">"1, 1, 1, False, 2, True, False, , 0, False, False, 1, 2"</definedName>
    <definedName name="cb_sChart8696FB4_opts">"1, 1, 1, False, 2, True, False, , 0, False, False, 1, 1"</definedName>
    <definedName name="cb_sChart86970D5_opts">"1, 1, 1, False, 2, True, False, , 0, False, False, 1, 2"</definedName>
    <definedName name="cb_sChart8726105_opts">"1, 9, 1, False, 2, False, True, , 0, False, True, 1, 1"</definedName>
    <definedName name="cb_sChart8726A0F_opts">"1, 9, 1, False, 2, False, True, , 0, False, True, 1, 1"</definedName>
    <definedName name="cb_sChart8930940_opts">"1, 1, 1, False, 2, True, False, , 0, False, False, 1, 1"</definedName>
    <definedName name="cb_sChart89309E2_opts">"1, 1, 1, False, 2, True, False, , 0, False, False, 1, 2"</definedName>
    <definedName name="cb_sChart8943F21_opts">"1, 9, 1, False, 2, False, False, , 0, False, True, 1, 1"</definedName>
    <definedName name="cb_sChart8A2E572_opts">"2, 1, 2, True, 2, False, False, , 0, False, True, 1, 1"</definedName>
    <definedName name="cb_sChart8A2E8ED_opts">"2, 1, 2, True, 2, False, False, , 0, False, True, 1, 1"</definedName>
    <definedName name="cb_sChart8A2EAEB_opts">"2, 1, 2, True, 2, False, False, , 0, False, True, 1, 1"</definedName>
    <definedName name="cb_sChart8A30D0D_opts">"2, 1, 2, True, 2, False, False, , 0, False, True, 1, 1"</definedName>
    <definedName name="cb_sChart8A30F16_opts">"2, 1, 2, True, 2, False, False, , 0, False, True, 1, 1"</definedName>
    <definedName name="cb_sChart8C795F1_opts">"2, 1, 2, True, 2, False, False, , 0, False, True, 1, 1"</definedName>
    <definedName name="cb_sChart8C87817_opts">"2, 1, 2, True, 2, False, False, , 0, False, True, 1, 1"</definedName>
    <definedName name="cb_sChart8C87AFC_opts">"2, 1, 2, True, 2, False, False, , 0, False, True, 1, 1"</definedName>
    <definedName name="cb_sChart8C88FA5_opts">"2, 1, 2, True, 2, False, False, , 0, False, True, 1, 1"</definedName>
    <definedName name="cb_sChart8CD287E_opts">"1, 1, 1, False, 2, False, False, , 0, False, False, 1, 1"</definedName>
    <definedName name="cb_sChart92016E_opts">"1, 9, 1, False, 2, False, False, , 0, False, True, 1, 1"</definedName>
    <definedName name="cb_sChart9FE8159_opts">"1, 9, 1, False, 2, False, True, , 1, False, True, 1, 1"</definedName>
    <definedName name="cb_sChart9FE9B41_opts">"1, 9, 1, False, 2, False, True, , 1, False, True, 1, 1"</definedName>
    <definedName name="cb_sChartA30EDEC_opts">"2, 1, 2, True, 2, False, False, , 0, False, True, 1, 1"</definedName>
    <definedName name="cb_sChartC29620C_opts">"1, 1, 1, False, 2, True, False, , 0, False, False, 1, 2"</definedName>
    <definedName name="cb_sChartC296613_opts">"1, 1, 1, False, 2, True, False, , 0, False, False, 1, 2"</definedName>
    <definedName name="cb_sChartC297AA5_opts">"1, 1, 1, False, 2, True, False, , 0, False, False, 1, 2"</definedName>
    <definedName name="cb_sChartC29B34B_opts">"1, 9, 1, False, 2, False, False, , 0, False, True, 1, 1"</definedName>
    <definedName name="cb_sChartC29EA8B_opts">"1, 1, 1, False, 2, True, False, , 0, False, False, 1, 2"</definedName>
    <definedName name="cb_sChartC29FC95_opts">"1, 1, 1, False, 2, True, False, , 0, False, False, 1, 2"</definedName>
    <definedName name="cb_sChartC2AD8F1_opts">"2, 9, 1, True, 2, False, False, , 0, False, False, 1, 1"</definedName>
    <definedName name="cb_sChartC2ADA06_opts">"1, 9, 1, False, 2, False, False, , 0, False, False, 1, 1"</definedName>
    <definedName name="cb_sChartC2AF61A_opts">"2, 1, 3, True, 2, False, False, , 0, False, True, 1, 1"</definedName>
    <definedName name="cb_sChartC2B0EA7_opts">"2, 1, 3, True, 2, False, False, , 0, False, True, 1, 1"</definedName>
    <definedName name="cb_sChartC2B1414_opts">"2, 1, 3, True, 2, False, False, , 0, False, True, 1, 1"</definedName>
    <definedName name="cb_sChartC2B1DD8_opts">"2, 1, 3, True, 2, False, False, , 0, False, True, 1, 1"</definedName>
    <definedName name="cb_sChartC300DC4_opts">"1, 9, 1, False, 2, False, False, , 0, False, True, 1, 1"</definedName>
    <definedName name="cb_sChartD086F3E_opts" hidden="1">"1, 1, 1, False, 2, False, False, , 1, False, True, 2, 2"</definedName>
    <definedName name="cb_sChartD0876B3_opts" hidden="1">"2, 2, 2, True, 2, False, False, , 1, False, True, 2, 2"</definedName>
    <definedName name="cb_sChartD68BCC9_opts">"1, 1, 1, False, 2, True, False, , 0, False, True, 1, 1"</definedName>
    <definedName name="cb_sChartD6B06A2_opts">"1, 1, 1, False, 2, False, False, , 0, False, False, 2, 2"</definedName>
    <definedName name="cb_sChartD6B1FA3_opts">"1, 1, 1, False, 2, False, False, , 0, False, False, 2, 2"</definedName>
    <definedName name="cb_sChartD6B69B1_opts">"1, 1, 1, False, 2, False, False, , 0, False, False, 1, 2"</definedName>
    <definedName name="cb_sChartD6B76F0_opts">"2, 1, 1, False, 2, False, False, , 0, False, False, 1, 2"</definedName>
    <definedName name="cb_sChartD6B943C_opts">"2, 1, 1, False, 3, False, False, , 0, False, False, 1, 2"</definedName>
    <definedName name="cb_sChartD6C1C01_opts">"2, 1, 1, True, 2, False, False, , 0, False, False, 1, 2"</definedName>
    <definedName name="cb_sChartD6FD60D_opts">"1, 1, 1, False, 2, False, False, , 0, False, False, 1, 1"</definedName>
    <definedName name="cb_sChartD78B484_opts">"2, 1, 1, False, 2, True, False, , 0, False, False, 1, 2"</definedName>
    <definedName name="cb_sChartD78C2AA_opts">"2, 1, 1, True, 2, True, False, , 0, False, False, 1, 2"</definedName>
    <definedName name="cb_sChartD78C76A_opts">"2, 1, 1, True, 2, True, False, , 0, False, False, 1, 1"</definedName>
    <definedName name="cb_sChartD78CF99_opts">"2, 1, 3, True, 2, False, False, , 0, False, False, 1, 1"</definedName>
    <definedName name="cb_sChartD78D2CE_opts">"1, 1, 1, False, 2, False, False, , 0, False, False, 1, 2"</definedName>
    <definedName name="cb_sChartD78D365_opts">"1, 1, 1, False, 2, False, False, , 0, False, False, 1, 2"</definedName>
    <definedName name="cb_sChartD78D5B3_opts">"1, 1, 1, False, 2, False, False, , 0, False, False, 1, 2"</definedName>
    <definedName name="cb_sChartD78D655_opts">"1, 1, 1, False, 2, True, False, , 0, False, False, 1, 2"</definedName>
    <definedName name="cb_sChartD78DFD4_opts">"2, 1, 1, True, 2, False, False, , 0, False, False, 1, 2"</definedName>
    <definedName name="cb_sChartD78E27F_opts">"2, 1, 1, True, 2, False, False, , 0, False, False, 1, 2"</definedName>
    <definedName name="cb_sChartD78E924_opts">"2, 1, 1, True, 3, False, False, , 0, False, False, 1, 2"</definedName>
    <definedName name="cb_sChartD7A9852_opts">"2, 1, 1, True, 3, False, False, , 0, False, False, 1, 2"</definedName>
    <definedName name="cb_sChartDAF58B0_opts">"1, 9, 1, False, 2, False, False, , 0, False, True, 1, 1"</definedName>
    <definedName name="cb_sChartDAF7A8D_opts">"1, 9, 1, False, 2, False, False, , 0, False, True, 1, 1"</definedName>
    <definedName name="cb_sChartE55C230_opts">"1, 9, 1, False, 2, False, False, , 0, False, True, 1, 1"</definedName>
    <definedName name="cb_sChartE57A4FF_opts">"1, 1, 1, False, 2, True, False, , 0, False, False, 1, 1"</definedName>
    <definedName name="cb_sChartE57C3B2_opts">"1, 1, 1, False, 2, True, False, , 0, False, False, 1, 1"</definedName>
    <definedName name="cb_sChartE57D120_opts">"1, 1, 1, False, 2, True, False, , 0, False, False, 1, 1"</definedName>
    <definedName name="cb_sChartE5805B4_opts">"1, 1, 1, False, 2, True, False, , 0, False, False, 1, 1"</definedName>
    <definedName name="cb_sChartE58A23A_opts">"1, 1, 1, False, 2, True, False, , 0, False, False, 1, 1"</definedName>
    <definedName name="cb_sChartEB337E1_opts" hidden="1">"1, 10, 1, False, 2, False, False, , 1, False, True, 2, 2"</definedName>
    <definedName name="cb_sChartEB33A80_opts" hidden="1">"1, 10, 1, False, 2, False, False, , 1, False, True, 2, 2"</definedName>
    <definedName name="cb_sChartEB33EA9_opts" hidden="1">"1, 10, 1, False, 2, False, False, , 1, False, True, 2, 2"</definedName>
    <definedName name="cb_sChartEB340BD_opts" hidden="1">"1, 10, 1, False, 2, False, False, , 1, False, True, 2, 2"</definedName>
    <definedName name="cb_sChartEB344DA_opts" hidden="1">"1, 10, 1, False, 2, False, False, , 1, False, False, 2, 2"</definedName>
    <definedName name="cb_sChartEB3479C_opts" hidden="1">"1, 1, 1, False, 2, False, False, , 1, False, True, 2, 1"</definedName>
    <definedName name="cb_sChartEB34833_opts" hidden="1">"1, 10, 1, False, 2, False, False, , 1, False, True, 2, 1"</definedName>
    <definedName name="cb_sChartEB34DCE_opts" hidden="1">"1, 10, 1, False, 2, False, False, , 1, False, True, 2, 1"</definedName>
    <definedName name="cb_sChartEB36CAF_opts" hidden="1">"1, 9, 1, False, 2, False, False, , 1, False, True, 1, 2"</definedName>
    <definedName name="cb_sChartEB38838_opts" hidden="1">"1, 9, 1, False, 2, False, False, , 1, False, True, 2, 2"</definedName>
    <definedName name="cb_sChartEB38E8C_opts" hidden="1">"1, 10, 1, False, 2, False, False, , 1, False, True, 2, 2"</definedName>
    <definedName name="cb_sChartEB3980B_opts" hidden="1">"1, 2, 1, False, 2, False, False, , 1, False, False, 2, 1"</definedName>
    <definedName name="cb_sChartEB39C1C_opts" hidden="1">"1, 2, 1, False, 2, False, False, , 1, False, False, 2, 1"</definedName>
    <definedName name="cb_sChartEB554A6_opts">"1, 1, 1, False, 2, True, False, , 0, False, False, 1, 1"</definedName>
    <definedName name="cb_sChartEB5725A_opts">"1, 1, 1, False, 2, True, False, , 0, False, False, 1, 1"</definedName>
    <definedName name="cb_sChartEC05450_opts">"1, 1, 1, False, 2, True, False, , 0, False, False, 1, 1"</definedName>
    <definedName name="cb_sChartEC05DCF_opts">"1, 1, 1, False, 2, True, False, , 0, False, False, 1, 1"</definedName>
    <definedName name="cb_sChartEC3AF3D_opts">"1, 1, 1, False, 2, True, False, , 0, False, False, 1, 1"</definedName>
    <definedName name="cb_sChartEE4CE1B_opts">"1, 4, 1, False, 2, False, False, , 0, False, False, 1, 1"</definedName>
    <definedName name="cb_sChartEE4CF99_opts">"1, 1, 1, False, 2, False, False, , 0, False, False, 1, 1"</definedName>
    <definedName name="cb_sChartEE4DD06_opts">"1, 1, 1, False, 2, False, False, , 0, False, False, 1, 2"</definedName>
    <definedName name="cb_sChartEE4E93B_opts">"1, 1, 1, False, 2, False, False, , 0, False, False, 1, 1"</definedName>
    <definedName name="cb_sChartEE51E95_opts">"1, 1, 1, False, 2, False, False, , 0, False, False, 1, 1"</definedName>
    <definedName name="cb_sChartEED7645_opts">"1, 1, 1, False, 2, False, False, , 0, False, False, 1, 1"</definedName>
    <definedName name="cb_sChartEEDA195_opts">"1, 1, 1, False, 2, False, False, , 0, False, False, 1, 1"</definedName>
    <definedName name="cb_sChartEEDC338_opts">"1, 1, 1, False, 2, False, False, , 0, False, False, 1, 1"</definedName>
    <definedName name="cb_sChartEEDEDB8_opts">"1, 1, 1, False, 2, False, False, , 0, False, True, 1, 1"</definedName>
    <definedName name="cb_sChartEEDEE5A_opts">"1, 3, 1, False, 2, True, False, , 0, False, True, 1, 1"</definedName>
    <definedName name="cb_sChartEEDF178_opts">"1, 3, 1, False, 2, False, False, , 0, False, True, 1, 1"</definedName>
    <definedName name="cb_sChartF0FF3D7_opts" hidden="1">"1, 8, 1, False, 2, False, False, , 1, False, True, 1, 2"</definedName>
    <definedName name="cb_sChartF1BF8C8_opts" hidden="1">"1, 8, 1, False, 2, False, False, , 1, False, True, 1, 2"</definedName>
    <definedName name="cb_sChartF1C057C_opts" hidden="1">"1, 2, 1, False, 2, False, False, , 1, False, False, 2, 1"</definedName>
    <definedName name="cb_sChartF1C0A0D_opts" hidden="1">"1, 8, 1, False, 2, False, False, , 1, False, True, 1, 1"</definedName>
    <definedName name="cb_sChartF1C9DF0_opts" hidden="1">"1, 8, 1, False, 2, False, False, , 1, False, True, 1, 2"</definedName>
    <definedName name="cb_sChartF1F24F5_opts" hidden="1">"1, 8, 1, False, 2, False, False, , 1, False, True, 1, 2"</definedName>
    <definedName name="cb_sChartF6A6B11_opts">"1, 1, 1, False, 2, True, False, , 0, False, False, 1, 1"</definedName>
    <definedName name="cb_sChartFD191DC_opts">"1, 3, 1, False, 2, True, False, , 0, False, True, 1, 1"</definedName>
    <definedName name="cb_sChartFD1A245_opts">"1, 3, 1, False, 2, True, False, , 0, False, True, 1, 1"</definedName>
    <definedName name="cb_sChartFD3F0E9_opts">"1, 3, 1, False, 2, True, False, , 0, False, False, 1, 1"</definedName>
    <definedName name="cb_sChartFD3F27E_opts">"1, 3, 1, False, 2, True, False, , 0, False, True, 1, 1"</definedName>
    <definedName name="cb_sChartFD58483_opts">"1, 1, 1, False, 2, True, False, , 0, False, False, 1, 1"</definedName>
    <definedName name="cb_sChartFD5C4CD_opts">"1, 1, 1, False, 2, True, False, , 0, False, False, 1, 1"</definedName>
    <definedName name="cb_sChartFD5D4CE_opts">"1, 1, 1, False, 2, True, False, , 0, False, False, 1, 1"</definedName>
    <definedName name="cb_sChartFD5DF34_opts">"1, 1, 1, False, 2, True, False, , 0, False, False, 1, 1"</definedName>
    <definedName name="cb_sChartFD5EFC0_opts">"1, 1, 1, False, 2, True, False, , 0, False, False, 1, 1"</definedName>
    <definedName name="cb_sChartFD5FDB9_opts">"1, 1, 1, False, 2, True, False, , 0, False, False, 1, 1"</definedName>
    <definedName name="cb_sChartFE54712_opts">"1, 3, 1, False, 2, True, False, , 0, False, True, 1, 1"</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ba">#REF!</definedName>
    <definedName name="CBAL">#REF!</definedName>
    <definedName name="cbd">#REF!</definedName>
    <definedName name="CBWorkbookPriority">-203281184</definedName>
    <definedName name="cbxbcxb">#REF!</definedName>
    <definedName name="cc">#REF!</definedName>
    <definedName name="CC_1">#REF!</definedName>
    <definedName name="CC_2">#REF!</definedName>
    <definedName name="CC_Convert">#REF!</definedName>
    <definedName name="cc0" hidden="1">{"'5국공정'!$A$1:$E$128"}</definedName>
    <definedName name="ccc">#REF!</definedName>
    <definedName name="ccc_3">#REF!</definedName>
    <definedName name="CCC_Aug03">#REF!</definedName>
    <definedName name="cccc">#REF!</definedName>
    <definedName name="ccd">#REF!</definedName>
    <definedName name="cce">#REF!</definedName>
    <definedName name="CCF">#REF!</definedName>
    <definedName name="CCH">#REF!</definedName>
    <definedName name="ccmce">36996.5527299769</definedName>
    <definedName name="CCopyToRange">#REF!</definedName>
    <definedName name="CCriteria">#REF!</definedName>
    <definedName name="CCT">#REF!</definedName>
    <definedName name="ccvc" hidden="1">#REF!</definedName>
    <definedName name="ccvc345" hidden="1">#REF!</definedName>
    <definedName name="CD">#REF!</definedName>
    <definedName name="CD_G2NCheck">OFFSET(#REF!,1,0, EmpCount,1)</definedName>
    <definedName name="CD_G2NTM">OFFSET(#REF!,1,0, EmpCount,1)</definedName>
    <definedName name="CD_TM">OFFSET(#REF!,1,0, EmpCount,1)</definedName>
    <definedName name="CD_TMInputs">OFFSET(#REF!,1,0, EmpCount,1)</definedName>
    <definedName name="CD_Variance">OFFSET(#REF!,1,0, EmpCount,1)</definedName>
    <definedName name="CDATE">#REF!</definedName>
    <definedName name="CDB">#REF!</definedName>
    <definedName name="cddac">{"'Sheet1'!$A$1:$E$83"}</definedName>
    <definedName name="CDMA">#REF!</definedName>
    <definedName name="cds">#REF!</definedName>
    <definedName name="CDTA_FED">#REF!</definedName>
    <definedName name="CDTA_FEDA">#REF!</definedName>
    <definedName name="CDTA_STATE">#REF!</definedName>
    <definedName name="CDTA_STATEA">#REF!</definedName>
    <definedName name="CDTL_FED">#REF!</definedName>
    <definedName name="CDTL_FEDA">#REF!</definedName>
    <definedName name="CDTL_STATE">#REF!</definedName>
    <definedName name="CDTL_STATEA">#REF!</definedName>
    <definedName name="CE">#REF!</definedName>
    <definedName name="cellmo">#REF!</definedName>
    <definedName name="celltips_area">#REF!</definedName>
    <definedName name="cen" hidden="1">{"Central",#N/A,FALSE,"Total"}</definedName>
    <definedName name="cen.." hidden="1">{"Central",#N/A,FALSE,"Total"}</definedName>
    <definedName name="Cent" hidden="1">{"Central",#N/A,FALSE,"Total"}</definedName>
    <definedName name="Cent.." hidden="1">{"Central",#N/A,FALSE,"Total"}</definedName>
    <definedName name="CENTA">#REF!</definedName>
    <definedName name="CENTA1">#REF!</definedName>
    <definedName name="centralcs">#REF!</definedName>
    <definedName name="centralfin">#REF!</definedName>
    <definedName name="centralrenewal">#REF!</definedName>
    <definedName name="CEP">#REF!</definedName>
    <definedName name="cer">#REF!</definedName>
    <definedName name="Certificatio">#REF!</definedName>
    <definedName name="cesc">#REF!</definedName>
    <definedName name="CF">'Cash Flow'!$A$1:$BF$63</definedName>
    <definedName name="cf_2004반기" hidden="1">#REF!</definedName>
    <definedName name="CF_convertdebt">#REF!</definedName>
    <definedName name="CF_deferredtaxes">#REF!</definedName>
    <definedName name="CF_gwamort">#REF!</definedName>
    <definedName name="CF_minority">#REF!</definedName>
    <definedName name="CF02기초" hidden="1">{#N/A,#N/A,TRUE,"Summary";#N/A,#N/A,TRUE,"IS";#N/A,#N/A,TRUE,"Adj";#N/A,#N/A,TRUE,"BS";#N/A,#N/A,TRUE,"CF";#N/A,#N/A,TRUE,"Debt";#N/A,#N/A,TRUE,"IRR"}</definedName>
    <definedName name="cf1fc1s4" hidden="1">{#N/A,#N/A,FALSE,"Aging Summary";#N/A,#N/A,FALSE,"Ratio Analysis";#N/A,#N/A,FALSE,"Test 120 Day Accts";#N/A,#N/A,FALSE,"Tickmarks"}</definedName>
    <definedName name="cf1fc1s4_3">#REF!</definedName>
    <definedName name="CFAB7">{"'Sheet1'!$A$1:$H$36"}</definedName>
    <definedName name="cfclear" hidden="1">{#N/A,#N/A,FALSE,"BS";#N/A,#N/A,FALSE,"PL";#N/A,#N/A,FALSE,"처분";#N/A,#N/A,FALSE,"현금";#N/A,#N/A,FALSE,"매출";#N/A,#N/A,FALSE,"원가";#N/A,#N/A,FALSE,"경영"}</definedName>
    <definedName name="CFE">#REF!</definedName>
    <definedName name="cfgms">#REF!</definedName>
    <definedName name="cfgraph">#REF!</definedName>
    <definedName name="CFilter">#REF!</definedName>
    <definedName name="CFilterRange">#REF!</definedName>
    <definedName name="CFSC">#REF!</definedName>
    <definedName name="CFT">#REF!</definedName>
    <definedName name="CFT.">#REF!</definedName>
    <definedName name="CFT..">#REF!</definedName>
    <definedName name="CF요인" hidden="1">#REF!</definedName>
    <definedName name="cgaf">#REF!</definedName>
    <definedName name="cgafde">#REF!</definedName>
    <definedName name="CGS">#REF!</definedName>
    <definedName name="CGSLINE">#REF!</definedName>
    <definedName name="CGTScale">#REF!</definedName>
    <definedName name="CH">7.56</definedName>
    <definedName name="CHA">#REF!</definedName>
    <definedName name="chambalfert">#REF!</definedName>
    <definedName name="Chambers">#REF!</definedName>
    <definedName name="Champion" hidden="1">{#N/A,#N/A,TRUE,"Key Indices";#N/A,#N/A,TRUE,"Mfg Spending";#N/A,#N/A,TRUE,"Mfg Spending Per Unit";#N/A,#N/A,TRUE,"Spending by Organization";#N/A,#N/A,TRUE,"Inventory";#N/A,#N/A,TRUE,"IDM";#N/A,#N/A,TRUE,"Equipment";#N/A,#N/A,TRUE,"Headcount"}</definedName>
    <definedName name="Champion2" hidden="1">{#N/A,#N/A,TRUE,"Key Indices";#N/A,#N/A,TRUE,"Mfg Spending";#N/A,#N/A,TRUE,"Mfg Spending Per Unit";#N/A,#N/A,TRUE,"Spending by Organization";#N/A,#N/A,TRUE,"Inventory";#N/A,#N/A,TRUE,"IDM";#N/A,#N/A,TRUE,"Equipment";#N/A,#N/A,TRUE,"Headcount"}</definedName>
    <definedName name="ChamSoft">#REF!</definedName>
    <definedName name="chang" hidden="1">{#N/A,#N/A,FALSE,"을지 (4)";#N/A,#N/A,FALSE,"을지 (5)";#N/A,#N/A,FALSE,"을지 (6)"}</definedName>
    <definedName name="CHANGE">#REF!</definedName>
    <definedName name="Change_Action">#REF!</definedName>
    <definedName name="Change_FooterType">"INTERNAL"</definedName>
    <definedName name="Change_of_basis___1999_FooterType">"INTERNAL"</definedName>
    <definedName name="Change_of_basis_FooterType">"INTERNAL"</definedName>
    <definedName name="CHANGE_PRINT_RA">#REF!</definedName>
    <definedName name="ChangeInCommonEquity">#REF!</definedName>
    <definedName name="ChangeInConvertiblePreferredStock">#REF!</definedName>
    <definedName name="ChangeInDeferredCompensation">#REF!</definedName>
    <definedName name="ChangeInStraightPreferredStock">#REF!</definedName>
    <definedName name="ChangeRange" hidden="1">#REF!</definedName>
    <definedName name="Channel">#REF!</definedName>
    <definedName name="ChannelList">#REF!</definedName>
    <definedName name="ChannelLU">#REF!</definedName>
    <definedName name="ChannelOrg">#REF!</definedName>
    <definedName name="ChannelResults">#REF!</definedName>
    <definedName name="CHARRECON">#REF!</definedName>
    <definedName name="chart" hidden="1">{#N/A,#N/A,FALSE,"SUMMARY";#N/A,#N/A,FALSE,"mcsh";#N/A,#N/A,FALSE,"vol&amp;rev";#N/A,#N/A,FALSE,"wkgcap";#N/A,#N/A,FALSE,"DEPR&amp;DT";#N/A,#N/A,FALSE,"ASSETS";#N/A,#N/A,FALSE,"NI&amp;OTH&amp;DIV";#N/A,#N/A,FALSE,"CASHFLOW";#N/A,#N/A,FALSE,"CAPEMPL";#N/A,#N/A,FALSE,"ROCE"}</definedName>
    <definedName name="Chart_Of_Accounts">#REF!</definedName>
    <definedName name="chartNew">#REF!</definedName>
    <definedName name="ChartOfAccountsID1">#REF!</definedName>
    <definedName name="CHARTOFACCOUNTSID2">#REF!</definedName>
    <definedName name="CHARTOFACCOUNTSID3">#REF!</definedName>
    <definedName name="CHARTOFACCOUNTSID4">#REF!</definedName>
    <definedName name="CHARTOFACCOUNTSID5">#REF!</definedName>
    <definedName name="CHARTOFACCOUNTSID6">#REF!</definedName>
    <definedName name="CHC_경기">#REF!</definedName>
    <definedName name="CHC_서울">#REF!</definedName>
    <definedName name="CHC_서울_COUNT">#REF!</definedName>
    <definedName name="CHC산출_경기">#REF!</definedName>
    <definedName name="CHC산출_서울">#REF!</definedName>
    <definedName name="CHD">#REF!</definedName>
    <definedName name="Check">#REF!</definedName>
    <definedName name="CHECKS">#REF!</definedName>
    <definedName name="CHF">#REF!</definedName>
    <definedName name="chgeas">#REF!</definedName>
    <definedName name="chik">#REF!</definedName>
    <definedName name="chik_1">#REF!</definedName>
    <definedName name="chik_3">#REF!</definedName>
    <definedName name="chik1">#REF!</definedName>
    <definedName name="CHINA_PLASTIC_in_KUSD">#REF!</definedName>
    <definedName name="CHIPS">#REF!</definedName>
    <definedName name="CHIPS___0">#REF!</definedName>
    <definedName name="chir" hidden="1">{#N/A,#N/A,FALSE,"Summary";#N/A,#N/A,FALSE,"1991";#N/A,#N/A,FALSE,"91 AMT";#N/A,#N/A,FALSE,"1992";#N/A,#N/A,FALSE,"92 AMT";#N/A,#N/A,FALSE,"1993";#N/A,#N/A,FALSE,"93 AMT"}</definedName>
    <definedName name="chl_candy">#REF!</definedName>
    <definedName name="chl_gum">#REF!</definedName>
    <definedName name="christine">#REF!</definedName>
    <definedName name="Christinea">#REF!</definedName>
    <definedName name="Churn">#REF!</definedName>
    <definedName name="CI">#REF!</definedName>
    <definedName name="CII">#REF!</definedName>
    <definedName name="Cindy">#REF!</definedName>
    <definedName name="Cindy1">#REF!</definedName>
    <definedName name="Cindy2">#REF!</definedName>
    <definedName name="CIndy3">#REF!</definedName>
    <definedName name="Cindy4">#REF!</definedName>
    <definedName name="cipla">#REF!</definedName>
    <definedName name="CIQANR_0528966f37c44dcfa172754465a8285e" hidden="1">#REF!</definedName>
    <definedName name="CIQANR_46a9474cb69e4a6c930191abded8b806" hidden="1">#REF!</definedName>
    <definedName name="CIQANR_68cd00e2dea04d71b10ebfc78abe8e8a" hidden="1">#REF!</definedName>
    <definedName name="CIQANR_6ac5b4bceb6c4ecb8c1d5b87b10f39ae" hidden="1">#REF!</definedName>
    <definedName name="CIQANR_cacf037c8a384e92ac24f86d737faa1b" hidden="1">#REF!</definedName>
    <definedName name="CIQWBGuid" hidden="1">"df7061cf-15db-4a08-b136-f36a1cffcfb6"</definedName>
    <definedName name="CIQWBGuid_1">"6104ca55-eb5b-4313-bd48-fe936e139e1e"</definedName>
    <definedName name="CIQWBGuid2">"f2426c55-b7cf-4ece-ab4c-f6d76c3f0fa1"</definedName>
    <definedName name="CIQWBInfo" hidden="1">"{ ""CIQVersion"":""9.45.614.5792"" }"</definedName>
    <definedName name="Circ">#REF!</definedName>
    <definedName name="circpudding">#REF!</definedName>
    <definedName name="CITI_CC">#REF!</definedName>
    <definedName name="CITI_COLL">#REF!</definedName>
    <definedName name="Citibank">#REF!</definedName>
    <definedName name="City">#REF!</definedName>
    <definedName name="cj">#REF!</definedName>
    <definedName name="ckckks">#REF!</definedName>
    <definedName name="CKFGKG">#REF!</definedName>
    <definedName name="CL">#REF!</definedName>
    <definedName name="CLAIM">#REF!</definedName>
    <definedName name="CLAIM2">#REF!</definedName>
    <definedName name="ClassCodeGroupings">#REF!</definedName>
    <definedName name="Claus">#REF!</definedName>
    <definedName name="clause10">#REF!</definedName>
    <definedName name="CLAUSE13">#REF!</definedName>
    <definedName name="CLAUSE13b">#REF!</definedName>
    <definedName name="clause14">#REF!</definedName>
    <definedName name="clause14d">#REF!</definedName>
    <definedName name="clause15">#REF!</definedName>
    <definedName name="clause16b">#REF!</definedName>
    <definedName name="clause17a">#REF!</definedName>
    <definedName name="clause17B">#REF!</definedName>
    <definedName name="clause17C">#REF!</definedName>
    <definedName name="CLAUSE17D">#REF!</definedName>
    <definedName name="clause17E">#REF!</definedName>
    <definedName name="clause17F">#REF!</definedName>
    <definedName name="clause17h">#REF!</definedName>
    <definedName name="clause17K">#REF!</definedName>
    <definedName name="clause18">#REF!</definedName>
    <definedName name="CLAUSE20">#REF!</definedName>
    <definedName name="clause21">#REF!</definedName>
    <definedName name="CLAUSE22A">#REF!</definedName>
    <definedName name="CLAUSE22B">#REF!</definedName>
    <definedName name="clause23">#REF!</definedName>
    <definedName name="clause24">#REF!</definedName>
    <definedName name="clause24b">#REF!</definedName>
    <definedName name="clause25">#REF!</definedName>
    <definedName name="clause26">#REF!</definedName>
    <definedName name="clause27">#REF!</definedName>
    <definedName name="clause28">#REF!</definedName>
    <definedName name="clause28b">#REF!</definedName>
    <definedName name="CleaningMonth">#REF!</definedName>
    <definedName name="CleaningYTD">#REF!</definedName>
    <definedName name="clear">#REF!</definedName>
    <definedName name="CLEAR_ADJ">#REF!</definedName>
    <definedName name="CLEAR_TB_CURR">#REF!</definedName>
    <definedName name="CLEAR_TM">#REF!</definedName>
    <definedName name="clearingaccount">#REF!</definedName>
    <definedName name="Clearingtest" hidden="1">{"CF",#N/A,FALSE,"Cash Flow"}</definedName>
    <definedName name="Client_listing">#REF!</definedName>
    <definedName name="Client_Name">#REF!</definedName>
    <definedName name="Client_Number">#REF!</definedName>
    <definedName name="ClientMatter">"b1"</definedName>
    <definedName name="clintacfr">#REF!</definedName>
    <definedName name="close">#REF!</definedName>
    <definedName name="Close_Pos">"ClosePos"</definedName>
    <definedName name="Closed">"2-Closed"</definedName>
    <definedName name="Closed_B">"2-Closed 9/16-9/30"</definedName>
    <definedName name="ClosedCases">#REF!</definedName>
    <definedName name="Cloud">#REF!</definedName>
    <definedName name="clra1ball">clra1bp1,clra1bp2</definedName>
    <definedName name="clra1bp1">clra1b1,clra1b2,clra1b3,clra1b4,clra1b5,clra1b6,clra1b7,clra1b8</definedName>
    <definedName name="clra1bp2">clra1b9,clra1b10,clra1b11,clra1b12,clra1b13,clra1b13,clra1b15,clra1b16</definedName>
    <definedName name="clra1bp3">clra1b17,clra1b18,clra1b19,clra1b20</definedName>
    <definedName name="cmb_FBI.EmployeesInOutIndiaFlg">#REF!</definedName>
    <definedName name="cmb_FBI.EmployeesInOutIndiaFlg_10">#REF!</definedName>
    <definedName name="cmb_FBI.EmployeesInOutIndiaFlg_9">#REF!</definedName>
    <definedName name="cmb_FBI.SeparateAcntMaintainForIndiaForeignFlg">#REF!</definedName>
    <definedName name="cmb_FBI.SeparateAcntMaintainForIndiaForeignFlg_10">#REF!</definedName>
    <definedName name="cmb_FBI.SeparateAcntMaintainForIndiaForeignFlg_9">#REF!</definedName>
    <definedName name="cmbyn">#REF!</definedName>
    <definedName name="cmbyn_10">#REF!</definedName>
    <definedName name="cmbyn_9">#REF!</definedName>
    <definedName name="CMC">#REF!</definedName>
    <definedName name="cmcltd.">#REF!</definedName>
    <definedName name="cmcvm">#REF!</definedName>
    <definedName name="CMDF">#REF!</definedName>
    <definedName name="CMTRX">#REF!</definedName>
    <definedName name="CN">#REF!</definedName>
    <definedName name="CN_Reclass">#REF!</definedName>
    <definedName name="cna">#REF!</definedName>
    <definedName name="cnd">#REF!</definedName>
    <definedName name="CNN">#REF!</definedName>
    <definedName name="CntryMgr">#REF!</definedName>
    <definedName name="CO">#REF!</definedName>
    <definedName name="CO_ASSUM">#REF!</definedName>
    <definedName name="Co_eleven">#REF!</definedName>
    <definedName name="Co_four">#REF!</definedName>
    <definedName name="coa">#REF!</definedName>
    <definedName name="coah">#REF!</definedName>
    <definedName name="COBY" hidden="1">{#N/A,#N/A,TRUE,"Key Indices";#N/A,#N/A,TRUE,"Mfg Spending";#N/A,#N/A,TRUE,"Mfg Spending Per Unit";#N/A,#N/A,TRUE,"Spending by Organization";#N/A,#N/A,TRUE,"Inventory";#N/A,#N/A,TRUE,"IDM";#N/A,#N/A,TRUE,"Equipment";#N/A,#N/A,TRUE,"Headcount"}</definedName>
    <definedName name="cochinref.">#REF!</definedName>
    <definedName name="code">#REF!</definedName>
    <definedName name="code1">#REF!</definedName>
    <definedName name="code2">#REF!</definedName>
    <definedName name="code3">#REF!</definedName>
    <definedName name="CODESS">#REF!</definedName>
    <definedName name="COGS">#REF!</definedName>
    <definedName name="COGS_Mfg">#REF!</definedName>
    <definedName name="COGstandard" hidden="1">{#N/A,#N/A,FALSE,"Pharm";#N/A,#N/A,FALSE,"WWCM"}</definedName>
    <definedName name="ColorNames">#REF!</definedName>
    <definedName name="COLUMN_CONTROL">#REF!</definedName>
    <definedName name="ColumnAttributes1">#REF!</definedName>
    <definedName name="ColumnAttributes2">#REF!</definedName>
    <definedName name="ColumnHeadings1">#REF!</definedName>
    <definedName name="ColumnHeadings2">#REF!</definedName>
    <definedName name="Combat_Groc">#REF!</definedName>
    <definedName name="COMBER">#REF!</definedName>
    <definedName name="Combine_History_Report">#REF!</definedName>
    <definedName name="combined1" hidden="1">{"YTD-Total",#N/A,TRUE,"Provision";"YTD-Utility",#N/A,TRUE,"Prov Utility";"YTD-NonUtility",#N/A,TRUE,"Prov NonUtility"}</definedName>
    <definedName name="COMGENLIAB">#REF!</definedName>
    <definedName name="comm">#REF!</definedName>
    <definedName name="Comm_Exp_AHNA">#REF!</definedName>
    <definedName name="Comm_Exp_Consol">#REF!</definedName>
    <definedName name="Comm_Exp_Unconsol">#REF!</definedName>
    <definedName name="COMM_INC_AHNA">#REF!</definedName>
    <definedName name="COMM_INC_CONSOL">#REF!</definedName>
    <definedName name="COMM_INC_PARENT">#REF!</definedName>
    <definedName name="COMM_INC_UNCONSOL">#REF!</definedName>
    <definedName name="COMM_L_MONTHS">#REF!</definedName>
    <definedName name="COMMISSION">#REF!</definedName>
    <definedName name="Commission.">#REF!</definedName>
    <definedName name="CommissionAmount">#REF!</definedName>
    <definedName name="CommissionTaxAmount">#REF!</definedName>
    <definedName name="commit">#REF!</definedName>
    <definedName name="Committed">"3-Committed"</definedName>
    <definedName name="Common">#REF!</definedName>
    <definedName name="commondiv">#REF!</definedName>
    <definedName name="CommonSt">16715446</definedName>
    <definedName name="COMP">#REF!</definedName>
    <definedName name="COMP_002">#REF!</definedName>
    <definedName name="Comp_AT">#REF!</definedName>
    <definedName name="Comp_AV">#REF!</definedName>
    <definedName name="Comp_GGM">#REF!</definedName>
    <definedName name="Comp_JR">#REF!</definedName>
    <definedName name="Comp_UJ">#REF!</definedName>
    <definedName name="Comp_VJ">#REF!</definedName>
    <definedName name="COMP0203">#REF!</definedName>
    <definedName name="comp1">#REF!</definedName>
    <definedName name="Company">#REF!</definedName>
    <definedName name="Company_Information">#REF!</definedName>
    <definedName name="COMPANY_NAME">#REF!</definedName>
    <definedName name="COMPANYH">#REF!</definedName>
    <definedName name="CompanyName">#REF!</definedName>
    <definedName name="COMPANYV">#REF!</definedName>
    <definedName name="COMPANYV1">#REF!</definedName>
    <definedName name="Comparation">#REF!</definedName>
    <definedName name="compasslabs">#REF!</definedName>
    <definedName name="compdty">#REF!</definedName>
    <definedName name="COMPRESSED">#REF!</definedName>
    <definedName name="compspun">#REF!</definedName>
    <definedName name="comptesUS_FR">#REF!</definedName>
    <definedName name="computation">#REF!</definedName>
    <definedName name="COMPUTATION_OF_INTEREST_UNDER_SECTION_234_C">#REF!</definedName>
    <definedName name="Computers">#REF!</definedName>
    <definedName name="COMS2Q2">#REF!</definedName>
    <definedName name="COMS3Q2">#REF!</definedName>
    <definedName name="con">#REF!</definedName>
    <definedName name="CON_B">#REF!</definedName>
    <definedName name="CON_C">#REF!</definedName>
    <definedName name="CON_E">#REF!</definedName>
    <definedName name="CON_P">#REF!</definedName>
    <definedName name="conb1">#REF!</definedName>
    <definedName name="conb10">#REF!</definedName>
    <definedName name="conb100">#REF!</definedName>
    <definedName name="conb101">#REF!</definedName>
    <definedName name="conb102">#REF!</definedName>
    <definedName name="conb103">#REF!</definedName>
    <definedName name="conb104">#REF!</definedName>
    <definedName name="conb105">#REF!</definedName>
    <definedName name="conb106">#REF!</definedName>
    <definedName name="conb107">#REF!</definedName>
    <definedName name="conb108">#REF!</definedName>
    <definedName name="conb109">#REF!</definedName>
    <definedName name="conb11">#REF!</definedName>
    <definedName name="conb110">#REF!</definedName>
    <definedName name="conb111">#REF!</definedName>
    <definedName name="conb112">#REF!</definedName>
    <definedName name="conb113">#REF!</definedName>
    <definedName name="conb114">#REF!</definedName>
    <definedName name="conb115">#REF!</definedName>
    <definedName name="conb116">#REF!</definedName>
    <definedName name="conb117">#REF!</definedName>
    <definedName name="conb118">#REF!</definedName>
    <definedName name="conb119">#REF!</definedName>
    <definedName name="conb12">#REF!</definedName>
    <definedName name="conb120">#REF!</definedName>
    <definedName name="conb121">#REF!</definedName>
    <definedName name="conb13">#REF!</definedName>
    <definedName name="conb14">#REF!</definedName>
    <definedName name="conb15">#REF!</definedName>
    <definedName name="conb16">#REF!</definedName>
    <definedName name="conb17">#REF!</definedName>
    <definedName name="conb18">#REF!</definedName>
    <definedName name="conb19">#REF!</definedName>
    <definedName name="conb2">#REF!</definedName>
    <definedName name="conb20">#REF!</definedName>
    <definedName name="conb21">#REF!</definedName>
    <definedName name="conb22">#REF!</definedName>
    <definedName name="conb23">#REF!</definedName>
    <definedName name="conb24">#REF!</definedName>
    <definedName name="conb25">#REF!</definedName>
    <definedName name="conb26">#REF!</definedName>
    <definedName name="conb27">#REF!</definedName>
    <definedName name="conb28">#REF!</definedName>
    <definedName name="conb29">#REF!</definedName>
    <definedName name="conb3">#REF!</definedName>
    <definedName name="conb30">#REF!</definedName>
    <definedName name="conb31">#REF!</definedName>
    <definedName name="conb33">#REF!</definedName>
    <definedName name="conb34">#REF!</definedName>
    <definedName name="conb36">#REF!</definedName>
    <definedName name="conb37">#REF!</definedName>
    <definedName name="conb38">#REF!</definedName>
    <definedName name="conb39">#REF!</definedName>
    <definedName name="conb4">#REF!</definedName>
    <definedName name="conb40">#REF!</definedName>
    <definedName name="conb41">#REF!</definedName>
    <definedName name="conb42">#REF!</definedName>
    <definedName name="conb43">#REF!</definedName>
    <definedName name="conb44">#REF!</definedName>
    <definedName name="conb45">#REF!</definedName>
    <definedName name="conb46">#REF!</definedName>
    <definedName name="conb47">#REF!</definedName>
    <definedName name="conb48">#REF!</definedName>
    <definedName name="conb49">#REF!</definedName>
    <definedName name="conb5">#REF!</definedName>
    <definedName name="conb50">#REF!</definedName>
    <definedName name="conb51">#REF!</definedName>
    <definedName name="conb52">#REF!</definedName>
    <definedName name="conb53">#REF!</definedName>
    <definedName name="conb54">#REF!</definedName>
    <definedName name="conb55">#REF!</definedName>
    <definedName name="conb58">#REF!</definedName>
    <definedName name="conb59">#REF!</definedName>
    <definedName name="conb6">#REF!</definedName>
    <definedName name="conb60">#REF!</definedName>
    <definedName name="conb61">#REF!</definedName>
    <definedName name="conb62">#REF!</definedName>
    <definedName name="conb63">#REF!</definedName>
    <definedName name="conb64">#REF!</definedName>
    <definedName name="conb65">#REF!</definedName>
    <definedName name="conb66">#REF!</definedName>
    <definedName name="conb67">#REF!</definedName>
    <definedName name="conb68">#REF!</definedName>
    <definedName name="conb69">#REF!</definedName>
    <definedName name="conb7">#REF!</definedName>
    <definedName name="conb70">#REF!</definedName>
    <definedName name="conb71">#REF!</definedName>
    <definedName name="conb72">#REF!</definedName>
    <definedName name="conb73">#REF!</definedName>
    <definedName name="conb74">#REF!</definedName>
    <definedName name="conb75">#REF!</definedName>
    <definedName name="conb76">#REF!</definedName>
    <definedName name="conb77">#REF!</definedName>
    <definedName name="conb78">#REF!</definedName>
    <definedName name="conb79">#REF!</definedName>
    <definedName name="conb8">#REF!</definedName>
    <definedName name="conb80">#REF!</definedName>
    <definedName name="conb81">#REF!</definedName>
    <definedName name="conb82">#REF!</definedName>
    <definedName name="conb83">#REF!</definedName>
    <definedName name="conb84">#REF!</definedName>
    <definedName name="conb85">#REF!</definedName>
    <definedName name="conb86">#REF!</definedName>
    <definedName name="conb87">#REF!</definedName>
    <definedName name="conb88">#REF!</definedName>
    <definedName name="conb89">#REF!</definedName>
    <definedName name="conb9">#REF!</definedName>
    <definedName name="conb90">#REF!</definedName>
    <definedName name="conb91">#REF!</definedName>
    <definedName name="conb92">#REF!</definedName>
    <definedName name="conb93">#REF!</definedName>
    <definedName name="conb94">#REF!</definedName>
    <definedName name="conb95">#REF!</definedName>
    <definedName name="conb96">#REF!</definedName>
    <definedName name="conb97">#REF!</definedName>
    <definedName name="conb98">#REF!</definedName>
    <definedName name="conb99">#REF!</definedName>
    <definedName name="CondensateRtrn">#REF!</definedName>
    <definedName name="Condicion">#REF!</definedName>
    <definedName name="CONFIG_LG">#REF!</definedName>
    <definedName name="CONFIG_LT">#REF!</definedName>
    <definedName name="Conflict">#REF!</definedName>
    <definedName name="CONFLICT3">#REF!</definedName>
    <definedName name="CONFLICT4">#REF!</definedName>
    <definedName name="CONFLICT5">#REF!</definedName>
    <definedName name="CONFLICT6">#REF!</definedName>
    <definedName name="CONFLICT7">#REF!</definedName>
    <definedName name="ConnectString1">#REF!</definedName>
    <definedName name="CONNECTSTRING2">#REF!</definedName>
    <definedName name="CONNECTSTRING3">#REF!</definedName>
    <definedName name="CONNECTSTRING4">#REF!</definedName>
    <definedName name="CONNECTSTRING5">#REF!</definedName>
    <definedName name="CONNECTSTRING6">#REF!</definedName>
    <definedName name="CONPONENT">#REF!</definedName>
    <definedName name="CONS">#REF!</definedName>
    <definedName name="cons_bs_checks">#REF!</definedName>
    <definedName name="CONS1">#REF!</definedName>
    <definedName name="CONS2">#REF!</definedName>
    <definedName name="CONS3">#REF!</definedName>
    <definedName name="Consol2" hidden="1">{#N/A,#N/A,TRUE,"Key Indices";#N/A,#N/A,TRUE,"Mfg Spending";#N/A,#N/A,TRUE,"Mfg Spending Per Unit";#N/A,#N/A,TRUE,"Spending by Organization";#N/A,#N/A,TRUE,"Inventory";#N/A,#N/A,TRUE,"IDM";#N/A,#N/A,TRUE,"Equipment";#N/A,#N/A,TRUE,"Headcount"}</definedName>
    <definedName name="CONSOLIDA">#REF!</definedName>
    <definedName name="CONSOLIDA_1">#REF!</definedName>
    <definedName name="Consolidation">#REF!</definedName>
    <definedName name="ConsolISFY08Pink">#REF!</definedName>
    <definedName name="CONSTR">#REF!</definedName>
    <definedName name="consumables">#REF!</definedName>
    <definedName name="CONTACTS">#REF!</definedName>
    <definedName name="Contents">#REF!</definedName>
    <definedName name="ContentsHelp" hidden="1">#REF!</definedName>
    <definedName name="CONTINUE">#REF!</definedName>
    <definedName name="ContLo1">#REF!</definedName>
    <definedName name="ContLo2">#REF!</definedName>
    <definedName name="ContLo3">#REF!</definedName>
    <definedName name="ContLo4">#REF!</definedName>
    <definedName name="ContLo5">#REF!</definedName>
    <definedName name="ContractFormat">#REF!</definedName>
    <definedName name="ContractID">#REF!</definedName>
    <definedName name="CONTRACTOR">#REF!</definedName>
    <definedName name="CONTROL">#REF!</definedName>
    <definedName name="Control_Total">#REF!</definedName>
    <definedName name="Control_Totals">#REF!</definedName>
    <definedName name="ControlCR">#REF!</definedName>
    <definedName name="ControlDR">#REF!</definedName>
    <definedName name="Controller">#REF!</definedName>
    <definedName name="CONTROLLER_FORMSDEFINE">"TB01!$A$1"</definedName>
    <definedName name="CONTROLLERFDOPTION.VIEWABLE_RANGE_LRC.">"TB01!$A$1"</definedName>
    <definedName name="CONTROLLERFDOPTION.VIEWABLE_RANGE_ULC.">"TB01!$A$1"</definedName>
    <definedName name="conv">#REF!</definedName>
    <definedName name="CONVAL">#REF!</definedName>
    <definedName name="convdebtrate">#REF!</definedName>
    <definedName name="convdebtshares">#REF!</definedName>
    <definedName name="Conventions">#REF!</definedName>
    <definedName name="ConvLookup">#REF!</definedName>
    <definedName name="convprefrate">#REF!</definedName>
    <definedName name="convprefshares">#REF!</definedName>
    <definedName name="convpricedebt">#REF!</definedName>
    <definedName name="convpricepref">#REF!</definedName>
    <definedName name="CONVRATES">#REF!</definedName>
    <definedName name="coop2">{"'vert'!$A$1:$T$117"}</definedName>
    <definedName name="cooper2">#REF!</definedName>
    <definedName name="copi">#REF!</definedName>
    <definedName name="copia">#REF!</definedName>
    <definedName name="copia_1">#REF!</definedName>
    <definedName name="copia_2">#REF!</definedName>
    <definedName name="copia_3">#REF!</definedName>
    <definedName name="copia_4">#REF!</definedName>
    <definedName name="COPM">#REF!</definedName>
    <definedName name="COPY" hidden="1">{#N/A,#N/A,TRUE,"CPRD";#N/A,#N/A,TRUE,"BCCPDR";#N/A,#N/A,TRUE,"EWRD";#N/A,#N/A,TRUE,"5100";#N/A,#N/A,TRUE,"5110"}</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r">#REF!</definedName>
    <definedName name="CorgentechSecTable">#REF!</definedName>
    <definedName name="CORP">#REF!</definedName>
    <definedName name="corp.bank">#REF!</definedName>
    <definedName name="CORP_CC">#REF!</definedName>
    <definedName name="CORPDepts">#REF!</definedName>
    <definedName name="corporate">#REF!</definedName>
    <definedName name="CORPORATION_BANK">#REF!</definedName>
    <definedName name="CORPTAX_DATAMAPDEFINITIONS_DataMap_1" hidden="1">#REF!</definedName>
    <definedName name="CORPTAX_DATAMAPDEFINITIONS_DataMap_2" hidden="1">#REF!</definedName>
    <definedName name="CORPTAX_DATAMAPDEFINITIONS_DataMap_3" hidden="1">#REF!</definedName>
    <definedName name="CORPTAX_DATAMAPDEFINITIONS_DataMap_4" hidden="1">#REF!</definedName>
    <definedName name="cos">{"'Feb 99'!$A$1:$G$30"}</definedName>
    <definedName name="COS_UC">#N/A</definedName>
    <definedName name="COSA">#REF!</definedName>
    <definedName name="COSJ">#REF!</definedName>
    <definedName name="COSR">#REF!</definedName>
    <definedName name="COST">#REF!</definedName>
    <definedName name="cost_calcn">#REF!</definedName>
    <definedName name="Cost_Center">#REF!</definedName>
    <definedName name="COST_EWSUMM">#REF!</definedName>
    <definedName name="Cost_Of_Sales">#REF!</definedName>
    <definedName name="Cost_range">#REF!</definedName>
    <definedName name="costctr">#REF!</definedName>
    <definedName name="CostData">#REF!</definedName>
    <definedName name="costofgoodsold">#REF!</definedName>
    <definedName name="cosw">{"'Feb 99'!$A$1:$G$30"}</definedName>
    <definedName name="count">3</definedName>
    <definedName name="countFODatas">countRSDatas-1325</definedName>
    <definedName name="Countries">#REF!</definedName>
    <definedName name="Country">#REF!</definedName>
    <definedName name="Country_dropdown">#REF!</definedName>
    <definedName name="countWOLDatas">countFODatas-691</definedName>
    <definedName name="COVER">#REF!</definedName>
    <definedName name="cp">#REF!</definedName>
    <definedName name="CPAGE">"37"</definedName>
    <definedName name="CPEcost">#REF!</definedName>
    <definedName name="cpi">#REF!</definedName>
    <definedName name="cpm">#REF!</definedName>
    <definedName name="CPNMB">"1"</definedName>
    <definedName name="CPP">#REF!</definedName>
    <definedName name="CPPD">#REF!</definedName>
    <definedName name="cpq">#REF!</definedName>
    <definedName name="cps">#REF!</definedName>
    <definedName name="cpy">#REF!</definedName>
    <definedName name="cr">#REF!</definedName>
    <definedName name="cr_knnl_mrbc_ron">#REF!</definedName>
    <definedName name="CR3RT">#REF!</definedName>
    <definedName name="CR3RTDK">#REF!</definedName>
    <definedName name="CR5RTDK">#REF!</definedName>
    <definedName name="crap">#REF!</definedName>
    <definedName name="cre">"VMFG"</definedName>
    <definedName name="CREATEGRAPH1">#REF!</definedName>
    <definedName name="CREATESUMMARYJNLS1">#REF!</definedName>
    <definedName name="CREATESUMMARYJNLS2">#REF!</definedName>
    <definedName name="CREATESUMMARYJNLS3">#REF!</definedName>
    <definedName name="CREATESUMMARYJNLS4">#REF!</definedName>
    <definedName name="CREATESUMMARYJNLS5">#REF!</definedName>
    <definedName name="CREATESUMMARYJNLS6">#REF!</definedName>
    <definedName name="CreateTable" hidden="1">#REF!</definedName>
    <definedName name="Credit">#REF!</definedName>
    <definedName name="CreditMetrics">#REF!</definedName>
    <definedName name="CreditorsA">#REF!</definedName>
    <definedName name="CreditorsJ">#REF!</definedName>
    <definedName name="CreditorsR">#REF!</definedName>
    <definedName name="CREM">#REF!</definedName>
    <definedName name="CREXPORT">#REF!</definedName>
    <definedName name="crfa">#REF!</definedName>
    <definedName name="_xlnm.Criteria">#REF!</definedName>
    <definedName name="Criteria_MI">#REF!</definedName>
    <definedName name="CRITERIACOLUMN1">#REF!</definedName>
    <definedName name="CRITERIACOLUMN2">#REF!</definedName>
    <definedName name="CRITERIACOLUMN3">#REF!</definedName>
    <definedName name="CRITERIACOLUMN4">#REF!</definedName>
    <definedName name="CRITERIACOLUMN5">#REF!</definedName>
    <definedName name="CRITERIACOLUMN6">#REF!</definedName>
    <definedName name="CRJE" hidden="1">{#N/A,#N/A,FALSE,"BS";#N/A,#N/A,FALSE,"PL";#N/A,#N/A,FALSE,"처분";#N/A,#N/A,FALSE,"현금";#N/A,#N/A,FALSE,"매출";#N/A,#N/A,FALSE,"원가";#N/A,#N/A,FALSE,"경영"}</definedName>
    <definedName name="Cromptoon">#REF!</definedName>
    <definedName name="CRONOGRAMA">{"'Edit'!$A$1:$V$2277"}</definedName>
    <definedName name="CrossAgedLookup">#REF!</definedName>
    <definedName name="Crystal_1_1_WEBI_DataGrid">#REF!</definedName>
    <definedName name="Crystal_1_1_WEBI_HHeading">#REF!</definedName>
    <definedName name="Crystal_1_1_WEBI_Table">#REF!</definedName>
    <definedName name="CS">#REF!</definedName>
    <definedName name="cs_cps">#REF!</definedName>
    <definedName name="CS239_1.8V_WW22">{"'Conbined'!$A$1:$W$54"}</definedName>
    <definedName name="CSA" hidden="1">{#N/A,#N/A,FALSE,"Aging Summary";#N/A,#N/A,FALSE,"Ratio Analysis";#N/A,#N/A,FALSE,"Test 120 Day Accts";#N/A,#N/A,FALSE,"Tickmarks"}</definedName>
    <definedName name="csAllowLocalConsolidation">TRUE</definedName>
    <definedName name="csAppName">"BudgetWeb"</definedName>
    <definedName name="csas" hidden="1">{#N/A,#N/A,FALSE,"KMC최종회의(7월) 자료"}</definedName>
    <definedName name="CSC.date">#REF!</definedName>
    <definedName name="CSC.name">#REF!</definedName>
    <definedName name="CSC.open">#REF!</definedName>
    <definedName name="csczd">0</definedName>
    <definedName name="csDesignMode">1</definedName>
    <definedName name="CSG">#REF!</definedName>
    <definedName name="cshcrdt">#REF!</definedName>
    <definedName name="CSHFLW_NOTES_CUM">#REF!</definedName>
    <definedName name="CSHFLW_NTS_FIN">#REF!</definedName>
    <definedName name="csKeepAlive">5</definedName>
    <definedName name="csLocalConsolidationOnSubmit">TRUE</definedName>
    <definedName name="csMIS_OPINC_SCHED_D_Dim01">"="</definedName>
    <definedName name="csMIS_OPINC_SCHED_D_Dim02">"="</definedName>
    <definedName name="csMIS_OPINC_SCHED_D_Dim03">"="</definedName>
    <definedName name="csMIS_OPINC_SCHED_D_Dim04">"="</definedName>
    <definedName name="csMIS_OPINC_SCHED_D_Dim05">"="</definedName>
    <definedName name="csMIS_OPINC_SCHED_D_Dim06">"="</definedName>
    <definedName name="csMIS_OPINC_SCHED_D_Dim07">"="</definedName>
    <definedName name="csMNC_CH_EXPENSE_SCHEDB7_Dim01">"="</definedName>
    <definedName name="csMNC_CH_EXPENSE_SCHEDB7_Dim02">"="</definedName>
    <definedName name="csMNC_CH_EXPENSE_SCHEDB7_Dim04">"="</definedName>
    <definedName name="csMNC_CH_EXPENSE_SCHEDB7_Dim05">"="</definedName>
    <definedName name="csMNC_CH_EXPENSE_SCHEDB7_Dim06">"="</definedName>
    <definedName name="csMNC_CH_EXPENSE_SCHEDB7_Dim08">"="</definedName>
    <definedName name="csMNC_DEPREC_BYMONTH_SCHEDB11_Dim01">"="</definedName>
    <definedName name="csMNC_DEPREC_BYMONTH_SCHEDB11_Dim02">"="</definedName>
    <definedName name="csMNC_DEPREC_BYMONTH_SCHEDB11_Dim04">"="</definedName>
    <definedName name="csMNC_DEPREC_BYMONTH_SCHEDB11_Dim05">"="</definedName>
    <definedName name="csMNC_DEPREC_BYMONTH_SCHEDB11_Dim06">"="</definedName>
    <definedName name="csMNC_DEPREC_BYMONTH_SCHEDB11_Dim07">"="</definedName>
    <definedName name="csMNC_DEPREC_BYMONTH_SCHEDB11_Dim08">"="</definedName>
    <definedName name="csMNC_DEPREC_BYSERVICE_SCHEDB11_Dim01">"="</definedName>
    <definedName name="csMNC_DEPREC_BYSERVICE_SCHEDB11_Dim02">"="</definedName>
    <definedName name="csMNC_DEPREC_BYSERVICE_SCHEDB11_Dim03">"="</definedName>
    <definedName name="csMNC_DEPREC_BYSERVICE_SCHEDB11_Dim05">"="</definedName>
    <definedName name="csMNC_DEPREC_BYSERVICE_SCHEDB11_Dim06">"="</definedName>
    <definedName name="csMNC_DEPREC_BYSERVICE_SCHEDB11_Dim07">"="</definedName>
    <definedName name="csMNC_GAEXPENSE_SCHEDB12_Dim01">"="</definedName>
    <definedName name="csMNC_GAEXPENSE_SCHEDB12_Dim02">"="</definedName>
    <definedName name="csMNC_GAEXPENSE_SCHEDB12_Dim03">"="</definedName>
    <definedName name="csMNC_GAEXPENSE_SCHEDB12_Dim04">"="</definedName>
    <definedName name="csMNC_GAEXPENSE_SCHEDB12_Dim05">"="</definedName>
    <definedName name="csMNC_GAEXPENSE_SCHEDB12_Dim06">"="</definedName>
    <definedName name="csMNC_GAEXPENSE_SCHEDB12_Dim07">"="</definedName>
    <definedName name="csMNC_GAEXPENSE_SCHEDB12_Dim08">"="</definedName>
    <definedName name="csMNC_OPINC_SCHED_B_Dim01">"="</definedName>
    <definedName name="csMNC_OPINC_SCHED_B_Dim02">"="</definedName>
    <definedName name="csMNC_OPINC_SCHED_B_Dim04">"="</definedName>
    <definedName name="csMNC_OPINC_SCHED_B_Dim05">"="</definedName>
    <definedName name="csMNC_OPINC_SCHED_B_Dim06">"="</definedName>
    <definedName name="csMNC_OPINC_SCHED_B_Dim07">"="</definedName>
    <definedName name="csMNC_OPINC_SCHED_B_Dim08">"="</definedName>
    <definedName name="csMNC_OPINC_SCHEDB2_5_Dim01">"="</definedName>
    <definedName name="csMNC_OPINC_SCHEDB2_5_Dim02">"="</definedName>
    <definedName name="csMNC_OPINC_SCHEDB2_5_Dim04">"="</definedName>
    <definedName name="csMNC_OPINC_SCHEDB2_5_Dim05">"="</definedName>
    <definedName name="csMNC_OPINC_SCHEDB2_5_Dim06">"="</definedName>
    <definedName name="csMNC_OPINC_SCHEDB2_5_Dim07">"="</definedName>
    <definedName name="csMNC_OPINC_SCHEDB2_5_Dim08">"="</definedName>
    <definedName name="csMNC_OPINC_SCHEDB2_Guam_Dim01">"="</definedName>
    <definedName name="csMNC_OPINC_SCHEDB2_Guam_Dim02">"="</definedName>
    <definedName name="csMNC_OPINC_SCHEDB2_Guam_Dim03">"="</definedName>
    <definedName name="csMNC_OPINC_SCHEDB2_Guam_Dim04">"="</definedName>
    <definedName name="csMNC_OPINC_SCHEDB2_Guam_Dim05">"="</definedName>
    <definedName name="csMNC_OPINC_SCHEDB2_Guam_Dim06">"="</definedName>
    <definedName name="csMNC_OPINC_SCHEDB2_Guam_Dim07">"="</definedName>
    <definedName name="csMNC_OPINC_SCHEDB2_MPS_Dim01">"="</definedName>
    <definedName name="csMNC_OPINC_SCHEDB2_MPS_Dim02">"="</definedName>
    <definedName name="csMNC_OPINC_SCHEDB2_MPS_Dim03">"="</definedName>
    <definedName name="csMNC_OPINC_SCHEDB2_MPS_Dim04">"="</definedName>
    <definedName name="csMNC_OPINC_SCHEDB2_MPS_Dim05">"="</definedName>
    <definedName name="csMNC_OPINC_SCHEDB2_MPS_Dim06">"="</definedName>
    <definedName name="csMNC_OPINC_SCHEDB2_MPS_Dim07">"="</definedName>
    <definedName name="csMNC_OPINC_SCHEDB6_Dim01">"="</definedName>
    <definedName name="csMNC_OPINC_SCHEDB6_Dim02">"="</definedName>
    <definedName name="csMNC_OPINC_SCHEDB6_Dim03">"="</definedName>
    <definedName name="csMNC_OPINC_SCHEDB6_Dim04">"="</definedName>
    <definedName name="csMNC_OPINC_SCHEDB6_Dim05">"="</definedName>
    <definedName name="csMNC_OPINC_SCHEDB6_Dim06">"="</definedName>
    <definedName name="csMNC_OPINC_SCHEDB6_Dim07">"="</definedName>
    <definedName name="csMNC_OPOH_BYMONTH_SCHEDB9_Dim01">"="</definedName>
    <definedName name="csMNC_OPOH_BYMONTH_SCHEDB9_Dim03">"="</definedName>
    <definedName name="csMNC_OPOH_BYMONTH_SCHEDB9_Dim04">"="</definedName>
    <definedName name="csMNC_OPOH_BYMONTH_SCHEDB9_Dim05">"="</definedName>
    <definedName name="csMNC_OPOH_BYMONTH_SCHEDB9_Dim06">"="</definedName>
    <definedName name="csMNC_OPOH_BYMONTH_SCHEDB9_Dim07">"="</definedName>
    <definedName name="csMNC_OPOH_BYMONTH_SCHEDB9_Dim08">"="</definedName>
    <definedName name="csMNC_OPOH_BYSERVICE_SCHEDB9_Dim01">"="</definedName>
    <definedName name="csMNC_OPOH_BYSERVICE_SCHEDB9_Dim02">"="</definedName>
    <definedName name="csMNC_OPOH_BYSERVICE_SCHEDB9_Dim04">"="</definedName>
    <definedName name="csMNC_OPOH_BYSERVICE_SCHEDB9_Dim05">"="</definedName>
    <definedName name="csMNC_OPOH_BYSERVICE_SCHEDB9_Dim06">"="</definedName>
    <definedName name="csMNC_OPOH_BYSERVICE_SCHEDB9_Dim08">"="</definedName>
    <definedName name="csMNC_OTHINC_BYMONTH_SCHEDB13_Dim01">"="</definedName>
    <definedName name="csMNC_OTHINC_BYMONTH_SCHEDB13_Dim02">"="</definedName>
    <definedName name="csMNC_OTHINC_BYMONTH_SCHEDB13_Dim04">"="</definedName>
    <definedName name="csMNC_OTHINC_BYMONTH_SCHEDB13_Dim05">"="</definedName>
    <definedName name="csMNC_OTHINC_BYMONTH_SCHEDB13_Dim06">"="</definedName>
    <definedName name="csMNC_OTHINC_BYMONTH_SCHEDB13_Dim07">"="</definedName>
    <definedName name="csMNC_OTHINC_BYMONTH_SCHEDB13_Dim08">"="</definedName>
    <definedName name="csMNC_VOE_BYVESSEL_SCHEDB8_Dim01">"="</definedName>
    <definedName name="csMNC_VOE_BYVESSEL_SCHEDB8_Dim02">"="</definedName>
    <definedName name="csMNC_VOE_BYVESSEL_SCHEDB8_Dim03">"="</definedName>
    <definedName name="csMNC_VOE_BYVESSEL_SCHEDB8_Dim04">"="</definedName>
    <definedName name="csMNC_VOE_BYVESSEL_SCHEDB8_Dim05">"="</definedName>
    <definedName name="csMNC_VOE_BYVESSEL_SCHEDB8_Dim06">"="</definedName>
    <definedName name="csMNC_VOE_BYVESSEL_SCHEDB8_Dim07">"="</definedName>
    <definedName name="csMNC_VOE_BYVESSEL_SCHEDB8_Dim08">"="</definedName>
    <definedName name="csMNC_VOH_BYMONTH_SCHEDB10_Dim01">"="</definedName>
    <definedName name="csMNC_VOH_BYMONTH_SCHEDB10_Dim02">"="</definedName>
    <definedName name="csMNC_VOH_BYMONTH_SCHEDB10_Dim04">"="</definedName>
    <definedName name="csMNC_VOH_BYMONTH_SCHEDB10_Dim05">"="</definedName>
    <definedName name="csMNC_VOH_BYMONTH_SCHEDB10_Dim06">"="</definedName>
    <definedName name="csMNC_VOH_BYMONTH_SCHEDB10_Dim07">"="</definedName>
    <definedName name="csMNC_VOH_BYMONTH_SCHEDB10_Dim08">"="</definedName>
    <definedName name="csMNC_VOH_BYVESSEL_SCHEDB10_Dim01">"="</definedName>
    <definedName name="csMNC_VOH_BYVESSEL_SCHEDB10_Dim02">"="</definedName>
    <definedName name="csMNC_VOH_BYVESSEL_SCHEDB10_Dim03">"="</definedName>
    <definedName name="csMNC_VOH_BYVESSEL_SCHEDB10_Dim05">"="</definedName>
    <definedName name="csMNC_VOH_BYVESSEL_SCHEDB10_Dim06">"="</definedName>
    <definedName name="csMNC_VOH_BYVESSEL_SCHEDB10_Dim07">"="</definedName>
    <definedName name="csMTI_OPINC_SCHED_C_Dim01">"="</definedName>
    <definedName name="csMTI_OPINC_SCHED_C_Dim02">"="</definedName>
    <definedName name="csMTI_OPINC_SCHED_C_Dim03">"="</definedName>
    <definedName name="csMTI_OPINC_SCHED_C_Dim04">"="</definedName>
    <definedName name="csMTI_OPINC_SCHED_C_Dim05">"="</definedName>
    <definedName name="csMTI_OPINC_SCHED_C_Dim06">"="</definedName>
    <definedName name="csMTI_OPINC_SCHED_C_Dim07">"="</definedName>
    <definedName name="csMTI_OPINC_SCHED_C_Dim08">"="</definedName>
    <definedName name="csRefreshOnOpen">TRUE</definedName>
    <definedName name="csRefreshOnRotate">TRUE</definedName>
    <definedName name="CTC">#REF!</definedName>
    <definedName name="CTG">#REF!</definedName>
    <definedName name="CTGMW">#REF!</definedName>
    <definedName name="CUMM_1">#REF!</definedName>
    <definedName name="CumminsIndLtd">#REF!</definedName>
    <definedName name="CURR">#REF!</definedName>
    <definedName name="CURR_G_L">#REF!</definedName>
    <definedName name="CURR_LIB">#REF!</definedName>
    <definedName name="CURR_OTLK_COPY">#REF!</definedName>
    <definedName name="Currency">#REF!</definedName>
    <definedName name="Currency_Code">#REF!</definedName>
    <definedName name="Currency_Select">#REF!</definedName>
    <definedName name="Currency_Unit">#REF!</definedName>
    <definedName name="Currency_Unit1">#REF!</definedName>
    <definedName name="Currency1">#REF!</definedName>
    <definedName name="Currency2">#REF!</definedName>
    <definedName name="Currency3">#REF!</definedName>
    <definedName name="Currency4">#REF!</definedName>
    <definedName name="CurrencyCode">#REF!</definedName>
    <definedName name="CurrencyList">#REF!</definedName>
    <definedName name="Currencymcs">#REF!</definedName>
    <definedName name="CurrencyNote">#REF!</definedName>
    <definedName name="Current">#REF!</definedName>
    <definedName name="CURRENT__ASSETS">#REF!</definedName>
    <definedName name="Current_Assets">#REF!</definedName>
    <definedName name="CURRENT_LIABILITIES">#REF!</definedName>
    <definedName name="Current_Net_Cash">#REF!</definedName>
    <definedName name="Current_Shares">#REF!</definedName>
    <definedName name="Current2005">#REF!</definedName>
    <definedName name="Current2006">#REF!</definedName>
    <definedName name="currentbal">#REF!</definedName>
    <definedName name="CurrentMonth">#REF!</definedName>
    <definedName name="CurrentPeriod">#REF!</definedName>
    <definedName name="CurrentYear">#REF!</definedName>
    <definedName name="CURREOM">#REF!</definedName>
    <definedName name="CurrFY">#REF!</definedName>
    <definedName name="CurrQuote0">CurrQuote01,CurrQuote02,CurrQuote03</definedName>
    <definedName name="cush">#REF!</definedName>
    <definedName name="CUSHION">#REF!</definedName>
    <definedName name="CUSHIONA">#REF!</definedName>
    <definedName name="CUSRATE">#REF!</definedName>
    <definedName name="cust">#REF!</definedName>
    <definedName name="cust_drate">#REF!</definedName>
    <definedName name="CustName2005">#REF!</definedName>
    <definedName name="CustName2006">#REF!</definedName>
    <definedName name="CustNbr2006">#REF!</definedName>
    <definedName name="Customer">#REF!</definedName>
    <definedName name="Customer_nr">#REF!</definedName>
    <definedName name="CustomerLookup">#REF!</definedName>
    <definedName name="CustomersPerHead">#REF!</definedName>
    <definedName name="CustomerType">#REF!</definedName>
    <definedName name="cv">#REF!</definedName>
    <definedName name="cv_1">#REF!</definedName>
    <definedName name="cvade">#REF!</definedName>
    <definedName name="cvcfn">#REF!</definedName>
    <definedName name="cvcv">#REF!</definedName>
    <definedName name="cvcvc" hidden="1">{#N/A,#N/A,FALSE,"AstLst"}</definedName>
    <definedName name="cvj" hidden="1">{#N/A,#N/A,FALSE,"KMC최종회의(7월) 자료"}</definedName>
    <definedName name="cvn">#REF!</definedName>
    <definedName name="cvn_1">#REF!</definedName>
    <definedName name="CWAF물정보비">#REF!</definedName>
    <definedName name="CWAF실정보비">#REF!</definedName>
    <definedName name="Cwvu.ALL.">#REF!</definedName>
    <definedName name="Cwvu.FY94_95Qtr." hidden="1">#REF!,#REF!</definedName>
    <definedName name="Cwvu.FY94_99annual." hidden="1">#REF!,#REF!</definedName>
    <definedName name="Cwvu.GREY_ALL.">#REF!</definedName>
    <definedName name="Cwvu.IMSD._.Only.">#REF!</definedName>
    <definedName name="Cwvu.PRT.">#REF!</definedName>
    <definedName name="Cwvu.Qtr." hidden="1">#REF!,#REF!,#REF!,#REF!,#REF!</definedName>
    <definedName name="Cwvu.qtr._.view." hidden="1">#REF!,#REF!,#REF!,#REF!,#REF!,#REF!,#REF!,#REF!,#REF!,#REF!,#REF!,#REF!,#REF!,#REF!,#REF!,#REF!,#REF!,#REF!,#REF!,#REF!,#REF!,#REF!,#REF!,#REF!,#REF!,#REF!,#REF!,#REF!,#REF!,#REF!,#REF!,#REF!</definedName>
    <definedName name="Cwvy.GREY_ALL._dcf">#REF!</definedName>
    <definedName name="cx">"CX6"</definedName>
    <definedName name="cxncxnx" hidden="1">{#N/A,#N/A,FALSE,"Pharm";#N/A,#N/A,FALSE,"WWCM"}</definedName>
    <definedName name="cxnxnaxg" hidden="1">{#N/A,#N/A,FALSE,"REPORT"}</definedName>
    <definedName name="cxvncxn" hidden="1">{#N/A,#N/A,FALSE,"Pharm";#N/A,#N/A,FALSE,"WWCM"}</definedName>
    <definedName name="cxzaq" hidden="1">#REF!</definedName>
    <definedName name="CY_all_Assets">#REF!</definedName>
    <definedName name="CY_all_Equity">#REF!</definedName>
    <definedName name="CY_all_Income">#REF!</definedName>
    <definedName name="CY_all_Liabs">#REF!</definedName>
    <definedName name="CY_all_RetEarn_bf">#REF!</definedName>
    <definedName name="CY_knw_Assets">#REF!</definedName>
    <definedName name="CY_knw_Equity">#REF!</definedName>
    <definedName name="CY_knw_Income">#REF!</definedName>
    <definedName name="CY_knw_Liabs">#REF!</definedName>
    <definedName name="CY_knw_RetEarn_bf">#REF!</definedName>
    <definedName name="CY_lik_Assets">#REF!</definedName>
    <definedName name="CY_lik_Equity">#REF!</definedName>
    <definedName name="CY_lik_Income">#REF!</definedName>
    <definedName name="CY_lik_Liabs">#REF!</definedName>
    <definedName name="CY_lik_RetEarn_bf">#REF!</definedName>
    <definedName name="CY_tx_all_Equity">#REF!</definedName>
    <definedName name="CY_tx_all_Income">#REF!</definedName>
    <definedName name="CY_tx_all_Liabs">#REF!</definedName>
    <definedName name="CY_tx_all_RetEarn_bf">#REF!</definedName>
    <definedName name="CY_tx_knw_Equity">#REF!</definedName>
    <definedName name="CY_tx_knw_Income">#REF!</definedName>
    <definedName name="CY_tx_knw_Liabs">#REF!</definedName>
    <definedName name="CY_tx_knw_RetEarn_bf">#REF!</definedName>
    <definedName name="CY_tx_lik_Equity">#REF!</definedName>
    <definedName name="CY_tx_lik_Income">#REF!</definedName>
    <definedName name="CY_tx_lik_Liabs">#REF!</definedName>
    <definedName name="CY_tx_lik_RetEarn_bf">#REF!</definedName>
    <definedName name="C채권계정과목">#REF!</definedName>
    <definedName name="C채무계정과목">#REF!</definedName>
    <definedName name="d">#REF!</definedName>
    <definedName name="D_1">#REF!</definedName>
    <definedName name="d_2">#REF!</definedName>
    <definedName name="d_3">#REF!</definedName>
    <definedName name="d_4">#REF!</definedName>
    <definedName name="D_REDDY">#REF!</definedName>
    <definedName name="D126757F_8C22_4332_AE16_6A56D0626CD4_AMAPC_Chart_1_ChartType">64</definedName>
    <definedName name="D126757F_8C22_4332_AE16_6A56D0626CD4_AMAPC_Chart_1_distributionSingle">FALSE</definedName>
    <definedName name="D126757F_8C22_4332_AE16_6A56D0626CD4_AMAPC_Chart_1_HorAxisGridlines">FALSE</definedName>
    <definedName name="D126757F_8C22_4332_AE16_6A56D0626CD4_AMAPC_Chart_1_VerAxisGridlines">FALSE</definedName>
    <definedName name="D126757F_8C22_4332_AE16_6A56D0626CD4_Channel_Summary_Chart_1_ChartType">64</definedName>
    <definedName name="D126757F_8C22_4332_AE16_6A56D0626CD4_Channel_Summary_Chart_1_distributionSingle">FALSE</definedName>
    <definedName name="D126757F_8C22_4332_AE16_6A56D0626CD4_Channel_Summary_Chart_1_HorAxisGridlines">FALSE</definedName>
    <definedName name="D126757F_8C22_4332_AE16_6A56D0626CD4_Channel_Summary_Chart_1_VerAxisGridlines">FALSE</definedName>
    <definedName name="D126757F_8C22_4332_AE16_6A56D0626CD4_Channel_Summary_Chart_10_ChartType">64</definedName>
    <definedName name="D126757F_8C22_4332_AE16_6A56D0626CD4_Channel_Summary_Chart_10_distributionSingle">FALSE</definedName>
    <definedName name="D126757F_8C22_4332_AE16_6A56D0626CD4_Channel_Summary_Chart_10_HorAxisGridlines">FALSE</definedName>
    <definedName name="D126757F_8C22_4332_AE16_6A56D0626CD4_Channel_Summary_Chart_10_VerAxisGridlines">FALSE</definedName>
    <definedName name="D126757F_8C22_4332_AE16_6A56D0626CD4_Regional_Reg._Chart_1_ChartType">64</definedName>
    <definedName name="D126757F_8C22_4332_AE16_6A56D0626CD4_Regional_Reg._Chart_1_distributionSingle">FALSE</definedName>
    <definedName name="D126757F_8C22_4332_AE16_6A56D0626CD4_Regional_Reg._Chart_1_HorAxisGridlines">FALSE</definedName>
    <definedName name="D126757F_8C22_4332_AE16_6A56D0626CD4_Regional_Reg._Chart_1_VerAxisGridlines">FALSE</definedName>
    <definedName name="D126757F_8C22_4332_AE16_6A56D0626CD4_Regional_Reg._Chart_2_ChartType">64</definedName>
    <definedName name="D126757F_8C22_4332_AE16_6A56D0626CD4_Regional_Reg._Chart_2_distributionSingle">FALSE</definedName>
    <definedName name="D126757F_8C22_4332_AE16_6A56D0626CD4_Regional_Reg._Chart_2_HorAxisGridlines">FALSE</definedName>
    <definedName name="D126757F_8C22_4332_AE16_6A56D0626CD4_Regional_Reg._Chart_2_VerAxisGridlines">FALSE</definedName>
    <definedName name="D126757F_8C22_4332_AE16_6A56D0626CD4_Regional_Reg._Chart_4_ChartType">128</definedName>
    <definedName name="D126757F_8C22_4332_AE16_6A56D0626CD4_Regional_Reg._Chart_4_distributionSingle">FALSE</definedName>
    <definedName name="D126757F_8C22_4332_AE16_6A56D0626CD4_Regional_Reg._Chart_4_HorAxisGridlines">FALSE</definedName>
    <definedName name="D126757F_8C22_4332_AE16_6A56D0626CD4_Regional_Reg._Chart_4_VerAxisGridlines">FALSE</definedName>
    <definedName name="D126757F_8C22_4332_AE16_6A56D0626CD4_Regional_Ship_Chart_4_ChartType">16</definedName>
    <definedName name="D126757F_8C22_4332_AE16_6A56D0626CD4_Regional_Ship_Chart_4_distributionSingle">FALSE</definedName>
    <definedName name="D126757F_8C22_4332_AE16_6A56D0626CD4_Regional_Ship_Chart_4_HorAxisGridlines">FALSE</definedName>
    <definedName name="D126757F_8C22_4332_AE16_6A56D0626CD4_Regional_Ship_Chart_4_VerAxisGridlines">FALSE</definedName>
    <definedName name="D126757F_8C22_4332_AE16_6A56D0626CD4_Sheet1_Chart_1_ChartType">64</definedName>
    <definedName name="D126757F_8C22_4332_AE16_6A56D0626CD4_Sheet1_Chart_1_distributionSingle">FALSE</definedName>
    <definedName name="D126757F_8C22_4332_AE16_6A56D0626CD4_Sheet1_Chart_1_HorAxisGridlines">FALSE</definedName>
    <definedName name="D126757F_8C22_4332_AE16_6A56D0626CD4_Sheet1_Chart_1_VerAxisGridlines">FALSE</definedName>
    <definedName name="D126757F_8C22_4332_AE16_6A56D0626CD4_Sheet3_Chart_1_ChartType">128</definedName>
    <definedName name="D126757F_8C22_4332_AE16_6A56D0626CD4_Sheet3_Chart_1_distributionSingle">FALSE</definedName>
    <definedName name="D126757F_8C22_4332_AE16_6A56D0626CD4_Sheet3_Chart_1_HorAxisGridlines">FALSE</definedName>
    <definedName name="D126757F_8C22_4332_AE16_6A56D0626CD4_Sheet3_Chart_1_VerAxisGridlines">FALSE</definedName>
    <definedName name="D126757F_8C22_4332_AE16_6A56D0626CD4_Sheet3_Chart_2_ChartType">128</definedName>
    <definedName name="D126757F_8C22_4332_AE16_6A56D0626CD4_Sheet3_Chart_2_distributionSingle">FALSE</definedName>
    <definedName name="D126757F_8C22_4332_AE16_6A56D0626CD4_Sheet3_Chart_2_HorAxisGridlines">FALSE</definedName>
    <definedName name="D126757F_8C22_4332_AE16_6A56D0626CD4_Sheet3_Chart_2_VerAxisGridlines">FALSE</definedName>
    <definedName name="D126757F_8C22_4332_AE16_6A56D0626CD4_Sheet6_Chart_1_ChartType">128</definedName>
    <definedName name="D126757F_8C22_4332_AE16_6A56D0626CD4_Sheet6_Chart_1_distributionSingle">FALSE</definedName>
    <definedName name="D126757F_8C22_4332_AE16_6A56D0626CD4_Sheet6_Chart_1_HorAxisGridlines">FALSE</definedName>
    <definedName name="D126757F_8C22_4332_AE16_6A56D0626CD4_Sheet6_Chart_1_VerAxisGridlines">FALSE</definedName>
    <definedName name="D126757F_8C22_4332_AE16_6A56D0626CD4_Sheet6_Chart_2_ChartType">128</definedName>
    <definedName name="D126757F_8C22_4332_AE16_6A56D0626CD4_Sheet6_Chart_2_distributionSingle">FALSE</definedName>
    <definedName name="D126757F_8C22_4332_AE16_6A56D0626CD4_Sheet6_Chart_2_HorAxisGridlines">FALSE</definedName>
    <definedName name="D126757F_8C22_4332_AE16_6A56D0626CD4_Sheet6_Chart_2_VerAxisGridlines">FALSE</definedName>
    <definedName name="D126757F_8C22_4332_AE16_6A56D0626CD4_West_Region_Chart_4_ChartType">128</definedName>
    <definedName name="D126757F_8C22_4332_AE16_6A56D0626CD4_West_Region_Chart_4_distributionSingle">FALSE</definedName>
    <definedName name="D126757F_8C22_4332_AE16_6A56D0626CD4_West_Region_Chart_4_HorAxisGridlines">FALSE</definedName>
    <definedName name="D126757F_8C22_4332_AE16_6A56D0626CD4_West_Region_Chart_4_VerAxisGridlines">FALSE</definedName>
    <definedName name="D126757F_8C22_4332_AE16_6A56D0626CD4_West_Region_Chart_5_ChartType">4</definedName>
    <definedName name="D126757F_8C22_4332_AE16_6A56D0626CD4_West_Region_Chart_5_distributionSingle">FALSE</definedName>
    <definedName name="D126757F_8C22_4332_AE16_6A56D0626CD4_West_Region_Chart_5_HorAxisGridlines">FALSE</definedName>
    <definedName name="D126757F_8C22_4332_AE16_6A56D0626CD4_West_Region_Chart_5_VerAxisGridlines">FALSE</definedName>
    <definedName name="D126757F_8C22_4332_AE16_6A56D0626CD4_West_Region_Chart_6_ChartType">4</definedName>
    <definedName name="D126757F_8C22_4332_AE16_6A56D0626CD4_West_Region_Chart_6_distributionSingle">FALSE</definedName>
    <definedName name="D126757F_8C22_4332_AE16_6A56D0626CD4_West_Region_Chart_6_HorAxisGridlines">FALSE</definedName>
    <definedName name="D126757F_8C22_4332_AE16_6A56D0626CD4_West_Region_Chart_6_VerAxisGridlines">FALSE</definedName>
    <definedName name="D1Type">#REF!</definedName>
    <definedName name="D2Type">#REF!</definedName>
    <definedName name="D30602005">#REF!</definedName>
    <definedName name="D31602006">#REF!</definedName>
    <definedName name="D60902005">#REF!</definedName>
    <definedName name="D60902006">#REF!</definedName>
    <definedName name="D90Over2005">#REF!</definedName>
    <definedName name="D90Over2006">#REF!</definedName>
    <definedName name="da">#REF!</definedName>
    <definedName name="DA_1504308714900000184" hidden="1">#REF!</definedName>
    <definedName name="DA_1504308753400000052" hidden="1">#REF!</definedName>
    <definedName name="DA_1680038945400000927">#REF!</definedName>
    <definedName name="DA_1680038945400000961">#REF!</definedName>
    <definedName name="DA_1744748389200001508">#REF!</definedName>
    <definedName name="DA_1744748389200001512">#REF!</definedName>
    <definedName name="DA_1933841061700000068" hidden="1">#REF!</definedName>
    <definedName name="DA_1933841061700000069" hidden="1">#REF!</definedName>
    <definedName name="DA_1933841061700000078" hidden="1">#REF!</definedName>
    <definedName name="DA_1933841061700000079" hidden="1">#REF!</definedName>
    <definedName name="DA_1933853091600000092" hidden="1">#REF!</definedName>
    <definedName name="DA_1933853091600000098" hidden="1">#REF!</definedName>
    <definedName name="DA_1933853091600000109" hidden="1">#REF!</definedName>
    <definedName name="DA_1933853091600000116" hidden="1">#REF!</definedName>
    <definedName name="DA_1933853091600000128" hidden="1">#REF!</definedName>
    <definedName name="DA_1995191021500000228">#REF!</definedName>
    <definedName name="DA_2003826307700000370" hidden="1">#REF!</definedName>
    <definedName name="DA_2016090678400000311" hidden="1">#REF!</definedName>
    <definedName name="DA_2016090678400000323" hidden="1">#REF!</definedName>
    <definedName name="dadadsa">{"'Feb 99'!$A$1:$G$30"}</definedName>
    <definedName name="dadgfads">#REF!</definedName>
    <definedName name="dados_ok">#REF!</definedName>
    <definedName name="dados2">#REF!</definedName>
    <definedName name="dados3">#REF!</definedName>
    <definedName name="daeklj">#REF!</definedName>
    <definedName name="daewkl">#REF!</definedName>
    <definedName name="dafadfafadfa" hidden="1">{#N/A,#N/A,FALSE,"Aging Summary";#N/A,#N/A,FALSE,"Ratio Analysis";#N/A,#N/A,FALSE,"Test 120 Day Accts";#N/A,#N/A,FALSE,"Tickmarks"}</definedName>
    <definedName name="dafadfafadfa_3">#REF!</definedName>
    <definedName name="dafdf">#REF!</definedName>
    <definedName name="dafdfdfdf">#REF!</definedName>
    <definedName name="dafdsf">#REF!</definedName>
    <definedName name="dafs">#REF!</definedName>
    <definedName name="DAI">#REF!</definedName>
    <definedName name="Daily">#REF!</definedName>
    <definedName name="daily2">#REF!</definedName>
    <definedName name="dakfkjafgkeaj" hidden="1">{#N/A,#N/A,FALSE,"Pharm";#N/A,#N/A,FALSE,"WWCM"}</definedName>
    <definedName name="danielle">#REF!</definedName>
    <definedName name="dare">{"'1-TheatreBkgs'!$A$1:$L$102"}</definedName>
    <definedName name="DaRWk1">#REF!</definedName>
    <definedName name="Darwk1.">#REF!</definedName>
    <definedName name="DaRWk10">#REF!</definedName>
    <definedName name="Darwk10.">#REF!</definedName>
    <definedName name="DaRWk11">#REF!</definedName>
    <definedName name="Darwk11.">#REF!</definedName>
    <definedName name="DaRWk12">#REF!</definedName>
    <definedName name="Darwk12.">#REF!</definedName>
    <definedName name="DaRWk2">#REF!</definedName>
    <definedName name="Darwk2.">#REF!</definedName>
    <definedName name="DaRWk3">#REF!</definedName>
    <definedName name="Darwk3.">#REF!</definedName>
    <definedName name="DaRWk4">#REF!</definedName>
    <definedName name="Darwk4.">#REF!</definedName>
    <definedName name="DaRWk5">#REF!</definedName>
    <definedName name="Darwk5.">#REF!</definedName>
    <definedName name="DaRWk6">#REF!</definedName>
    <definedName name="Darwk6.">#REF!</definedName>
    <definedName name="DaRWk8">#REF!</definedName>
    <definedName name="Darwk8.">#REF!</definedName>
    <definedName name="DaRwk9">#REF!</definedName>
    <definedName name="Darwk9.">#REF!</definedName>
    <definedName name="das">#REF!</definedName>
    <definedName name="das_1">#REF!</definedName>
    <definedName name="das_2">#REF!</definedName>
    <definedName name="das_3">#REF!</definedName>
    <definedName name="das_4">#REF!</definedName>
    <definedName name="dasda" hidden="1">{#N/A,#N/A,FALSE,"Aging Summary";#N/A,#N/A,FALSE,"Ratio Analysis";#N/A,#N/A,FALSE,"Test 120 Day Accts";#N/A,#N/A,FALSE,"Tickmarks"}</definedName>
    <definedName name="dasda_3">#REF!</definedName>
    <definedName name="dasdas" hidden="1">{#N/A,#N/A,FALSE,"Aging Summary";#N/A,#N/A,FALSE,"Ratio Analysis";#N/A,#N/A,FALSE,"Test 120 Day Accts";#N/A,#N/A,FALSE,"Tickmarks"}</definedName>
    <definedName name="dasdas_3">#REF!</definedName>
    <definedName name="dasf">#REF!</definedName>
    <definedName name="dasf_1">#REF!</definedName>
    <definedName name="dasf_2">#REF!</definedName>
    <definedName name="dasf_3">#REF!</definedName>
    <definedName name="dasf_4">#REF!</definedName>
    <definedName name="dasfdas">#REF!</definedName>
    <definedName name="dasfdas_1">#REF!</definedName>
    <definedName name="dasfdas_2">#REF!</definedName>
    <definedName name="dasfdas_3">#REF!</definedName>
    <definedName name="dasfdas_4">#REF!</definedName>
    <definedName name="dasgfdag">#REF!</definedName>
    <definedName name="dasklej">#REF!</definedName>
    <definedName name="DAT">#REF!</definedName>
    <definedName name="Data">#REF!</definedName>
    <definedName name="DATA_01">#REF!</definedName>
    <definedName name="DATA_02">#REF!</definedName>
    <definedName name="DATA_03">#REF!</definedName>
    <definedName name="DATA_04">#REF!</definedName>
    <definedName name="DATA_05">#REF!</definedName>
    <definedName name="DATA_06">#REF!</definedName>
    <definedName name="DATA_07">#REF!</definedName>
    <definedName name="DATA_08">#REF!</definedName>
    <definedName name="DATA_0800000">#REF!</definedName>
    <definedName name="DATA_DATE">40483</definedName>
    <definedName name="Data_Delay">#REF!</definedName>
    <definedName name="Data_FooterType">"INTERNAL"</definedName>
    <definedName name="Data_input_FooterType">"INTERNAL"</definedName>
    <definedName name="Data_Table">#REF!</definedName>
    <definedName name="Data_Table_License_Revenue_by_Product">#REF!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5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_xlnm.Database">#REF!</definedName>
    <definedName name="Database.">#REF!</definedName>
    <definedName name="Database..">#REF!</definedName>
    <definedName name="Database_MI">#REF!</definedName>
    <definedName name="database1">#REF!</definedName>
    <definedName name="Database2">#REF!</definedName>
    <definedName name="DATACT">#REF!</definedName>
    <definedName name="DataExp">#REF!</definedName>
    <definedName name="DataExpUt">#REF!</definedName>
    <definedName name="DataLE">#REF!</definedName>
    <definedName name="datatable1">#REF!</definedName>
    <definedName name="datatable2">#REF!</definedName>
    <definedName name="Date">#REF!</definedName>
    <definedName name="Date.Actual">#REF!</definedName>
    <definedName name="Date.Price">#REF!</definedName>
    <definedName name="Date_Table">#REF!</definedName>
    <definedName name="Date2">#REF!</definedName>
    <definedName name="dates">#REF!</definedName>
    <definedName name="Dates08">AND(________________thb04=DATEVALUE("1/1/08"),#REF!=DATEVALUE("12/31/08"),FormYear=2008)</definedName>
    <definedName name="DateStamp">TEXT(TODAY(),"d-mmmm-yyyy") &amp; " " &amp; TEXT(NOW(),"h:mm AM/PM")</definedName>
    <definedName name="DateTable">#REF!</definedName>
    <definedName name="DATLAST">#REF!</definedName>
    <definedName name="dave">#REF!</definedName>
    <definedName name="dave_control">{"'Census - Dallas'!$A$1:$S$76"}</definedName>
    <definedName name="davecontrol">{"'Census - Dallas'!$A$1:$S$76"}</definedName>
    <definedName name="davecontrol2">{"'Census - Dallas'!$A$1:$S$76"}</definedName>
    <definedName name="DaWk7">#REF!</definedName>
    <definedName name="Dawk7.">#REF!</definedName>
    <definedName name="daws">#REF!</definedName>
    <definedName name="day_range">#REF!</definedName>
    <definedName name="day_range.">#REF!</definedName>
    <definedName name="day_range..">#REF!</definedName>
    <definedName name="days">#REF!</definedName>
    <definedName name="days_per_mo">30</definedName>
    <definedName name="days_per_yr">360</definedName>
    <definedName name="DaysAndWeeks">{0,1,2,3,4,5,6} + {0;1;2;3;4;5}*7</definedName>
    <definedName name="DaysPerWeek">7</definedName>
    <definedName name="daysrange">#REF!</definedName>
    <definedName name="daysrange.">#REF!</definedName>
    <definedName name="daysrange..">#REF!</definedName>
    <definedName name="db">#REF!</definedName>
    <definedName name="dBase">#REF!</definedName>
    <definedName name="DBDECIMALPOINT1">#REF!</definedName>
    <definedName name="DBName1">#REF!</definedName>
    <definedName name="DBNAME2">#REF!</definedName>
    <definedName name="DBNAME3">#REF!</definedName>
    <definedName name="DBNAME4">#REF!</definedName>
    <definedName name="DBNAME5">#REF!</definedName>
    <definedName name="DBNAME6">#REF!</definedName>
    <definedName name="dbo_SUNITEMMSTR">#REF!</definedName>
    <definedName name="dbo_TimeSheetOnProjects">#REF!</definedName>
    <definedName name="dbrwk1">#REF!</definedName>
    <definedName name="dbrwk1.">#REF!</definedName>
    <definedName name="dbrwk10">#REF!</definedName>
    <definedName name="dbrwk10.">#REF!</definedName>
    <definedName name="dbrwk11">#REF!</definedName>
    <definedName name="dbrwk11.">#REF!</definedName>
    <definedName name="dbrwk12">#REF!</definedName>
    <definedName name="dbrwk12.">#REF!</definedName>
    <definedName name="dbrwk2">#REF!</definedName>
    <definedName name="dbrwk2.">#REF!</definedName>
    <definedName name="dbrwk3">#REF!</definedName>
    <definedName name="dbrwk3.">#REF!</definedName>
    <definedName name="dbrwk4">#REF!</definedName>
    <definedName name="dbrwk4.">#REF!</definedName>
    <definedName name="dbrwk5">#REF!</definedName>
    <definedName name="dbrwk5.">#REF!</definedName>
    <definedName name="dbrwk6">#REF!</definedName>
    <definedName name="dbrwk6.">#REF!</definedName>
    <definedName name="dbrwk7">#REF!</definedName>
    <definedName name="dbrwk7.">#REF!</definedName>
    <definedName name="dbrwk8">#REF!</definedName>
    <definedName name="dbrwk8.">#REF!</definedName>
    <definedName name="dbrwk9">#REF!</definedName>
    <definedName name="dbrwk9.">#REF!</definedName>
    <definedName name="DBTHOUSANDSSEPARATOR1">#REF!</definedName>
    <definedName name="DBTYPEB">#REF!</definedName>
    <definedName name="DBTYPEV">#REF!</definedName>
    <definedName name="DBUsername1">#REF!</definedName>
    <definedName name="DBUSERNAME2">#REF!</definedName>
    <definedName name="DBUSERNAME3">#REF!</definedName>
    <definedName name="DBUSERNAME4">#REF!</definedName>
    <definedName name="DBUSERNAME5">#REF!</definedName>
    <definedName name="DBUSERNAME6">#REF!</definedName>
    <definedName name="dc">#REF!</definedName>
    <definedName name="DC_서울">#REF!</definedName>
    <definedName name="dcf">#REF!</definedName>
    <definedName name="dcf_year">#REF!</definedName>
    <definedName name="DCopyToRange">#REF!</definedName>
    <definedName name="DCriteria">#REF!</definedName>
    <definedName name="dcrwk1">#REF!</definedName>
    <definedName name="dcrwk1.">#REF!</definedName>
    <definedName name="dcrwk10">#REF!</definedName>
    <definedName name="dcrwk10.">#REF!</definedName>
    <definedName name="dcrwk11">#REF!</definedName>
    <definedName name="dcrwk11.">#REF!</definedName>
    <definedName name="dcrwk12">#REF!</definedName>
    <definedName name="dcrwk12.">#REF!</definedName>
    <definedName name="dcrwk2">#REF!</definedName>
    <definedName name="dcrwk2.">#REF!</definedName>
    <definedName name="dcrwk3">#REF!</definedName>
    <definedName name="dcrwk3.">#REF!</definedName>
    <definedName name="dcrwk4">#REF!</definedName>
    <definedName name="dcrwk4.">#REF!</definedName>
    <definedName name="dcrwk5">#REF!</definedName>
    <definedName name="dcrwk5.">#REF!</definedName>
    <definedName name="dcrwk6">#REF!</definedName>
    <definedName name="dcrwk6.">#REF!</definedName>
    <definedName name="dcrwk7">#REF!</definedName>
    <definedName name="dcrwk7.">#REF!</definedName>
    <definedName name="dcrwk8">#REF!</definedName>
    <definedName name="dcrwk8.">#REF!</definedName>
    <definedName name="dcrwk9">#REF!</definedName>
    <definedName name="dcrwk9.">#REF!</definedName>
    <definedName name="dd">#REF!</definedName>
    <definedName name="DD.Category">#REF!</definedName>
    <definedName name="DD.Categoryinput">#REF!</definedName>
    <definedName name="DD.Level1">#REF!</definedName>
    <definedName name="DD.Level1input">#REF!</definedName>
    <definedName name="DD.Level2">#REF!</definedName>
    <definedName name="DD.Level2input">#REF!</definedName>
    <definedName name="DD.Periodinput">#REF!</definedName>
    <definedName name="dd_1">#REF!</definedName>
    <definedName name="ddd">#REF!</definedName>
    <definedName name="ddd_1">#REF!</definedName>
    <definedName name="ddd_2">#REF!</definedName>
    <definedName name="ddd_3">#REF!</definedName>
    <definedName name="ddd_4">#REF!</definedName>
    <definedName name="ddd_5">#REF!</definedName>
    <definedName name="DDD_Aug03">#REF!</definedName>
    <definedName name="dddaz" hidden="1">{#N/A,#N/A,FALSE,"Pharm";#N/A,#N/A,FALSE,"WWCM"}</definedName>
    <definedName name="DDDD" hidden="1">{"Summary Detail",#N/A,FALSE,"Summary";"Summary Rollup",#N/A,FALSE,"Summary"}</definedName>
    <definedName name="dddd_3">#REF!</definedName>
    <definedName name="ddddd">#REF!</definedName>
    <definedName name="dddddd">#REF!</definedName>
    <definedName name="ddddddd" hidden="1">{#N/A,#N/A,FALSE,"UNIT";#N/A,#N/A,FALSE,"UNIT";#N/A,#N/A,FALSE,"계정"}</definedName>
    <definedName name="dddddddafsga">#REF!</definedName>
    <definedName name="dddddddd" hidden="1">{"'5국공정'!$A$1:$E$128"}</definedName>
    <definedName name="ddddddddd" hidden="1">{#N/A,#N/A,FALSE,"UNIT";#N/A,#N/A,FALSE,"UNIT";#N/A,#N/A,FALSE,"계정"}</definedName>
    <definedName name="dddddddddd" hidden="1">{#N/A,#N/A,FALSE,"UNIT";#N/A,#N/A,FALSE,"UNIT";#N/A,#N/A,FALSE,"계정"}</definedName>
    <definedName name="dddddddddddddddd" hidden="1">{#N/A,#N/A,FALSE,"Pharm";#N/A,#N/A,FALSE,"WWCM"}</definedName>
    <definedName name="dddddddddddddddddd" hidden="1">{#N/A,#N/A,FALSE,"Aging Summary";#N/A,#N/A,FALSE,"Ratio Analysis";#N/A,#N/A,FALSE,"Test 120 Day Accts";#N/A,#N/A,FALSE,"Tickmarks"}</definedName>
    <definedName name="dddddddddddddddddd_3">#REF!</definedName>
    <definedName name="ddddddddddddddddddddddddddd" hidden="1">{#N/A,#N/A,FALSE,"Pharm";#N/A,#N/A,FALSE,"WWCM"}</definedName>
    <definedName name="dddfg" hidden="1">{#N/A,#N/A,FALSE,"정공"}</definedName>
    <definedName name="ddewee">#REF!</definedName>
    <definedName name="ddewee_1">#REF!</definedName>
    <definedName name="DDF">#REF!</definedName>
    <definedName name="DDFGSD">#REF!</definedName>
    <definedName name="ddfjsaldfjsda">{"'1-TheatreBkgs'!$A$1:$L$102"}</definedName>
    <definedName name="ddghgj">#REF!</definedName>
    <definedName name="DDI">#REF!</definedName>
    <definedName name="DDS" hidden="1">{#N/A,#N/A,FALSE,"을지 (4)";#N/A,#N/A,FALSE,"을지 (5)";#N/A,#N/A,FALSE,"을지 (6)"}</definedName>
    <definedName name="ddsdss">#REF!</definedName>
    <definedName name="de">#REF!</definedName>
    <definedName name="De._3">#REF!</definedName>
    <definedName name="de_1">#REF!</definedName>
    <definedName name="DE_final">{"'vert'!$A$1:$T$117"}</definedName>
    <definedName name="DealBand">#REF!</definedName>
    <definedName name="DEALBANDV">#REF!</definedName>
    <definedName name="Debbie">#REF!</definedName>
    <definedName name="Debit">#REF!</definedName>
    <definedName name="Debt">#REF!</definedName>
    <definedName name="debt_fv">#REF!</definedName>
    <definedName name="Debt_Market_Cap_Ratio">#REF!</definedName>
    <definedName name="debt_terminal">#REF!</definedName>
    <definedName name="Debtors">#REF!</definedName>
    <definedName name="Debtors_Prov_Detail">#REF!</definedName>
    <definedName name="DebtorsA">#REF!</definedName>
    <definedName name="DebtorsJ">#REF!</definedName>
    <definedName name="DebtorsR">#REF!</definedName>
    <definedName name="debtrepay">#REF!</definedName>
    <definedName name="debtsch">#REF!</definedName>
    <definedName name="DEC">#REF!</definedName>
    <definedName name="Dec_00">#REF!</definedName>
    <definedName name="Dec_18">#REF!</definedName>
    <definedName name="Dec_19">#REF!</definedName>
    <definedName name="Dec_20">#REF!</definedName>
    <definedName name="decaud">#REF!</definedName>
    <definedName name="DECDATA?">#REF!</definedName>
    <definedName name="december" hidden="1">{#N/A,#N/A,TRUE,"Condensed IS";#N/A,#N/A,TRUE,"Condensed BS";#N/A,#N/A,TRUE,"Outlook";#N/A,#N/A,TRUE,"Condensed CF";#N/A,#N/A,TRUE,"Condensed CF - qtr"}</definedName>
    <definedName name="December_98_Control_Totals">#REF!</definedName>
    <definedName name="December_Control_Totals">#REF!</definedName>
    <definedName name="decfa">#REF!</definedName>
    <definedName name="dechkd">#REF!</definedName>
    <definedName name="decsgd">#REF!</definedName>
    <definedName name="decthb">#REF!</definedName>
    <definedName name="dectwd">#REF!</definedName>
    <definedName name="DED_TAX">#REF!</definedName>
    <definedName name="DED_TAX.">#REF!</definedName>
    <definedName name="DedDetail">#REF!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uction_for_Book__increase_of_expense_and_of_reserve_balance__not_allowed_for_tax">"InventoryReserves"</definedName>
    <definedName name="DEDZD" hidden="1">{#N/A,#N/A,FALSE,"Pharm";#N/A,#N/A,FALSE,"WWCM"}</definedName>
    <definedName name="DEE" hidden="1">{#N/A,#N/A,FALSE,"Pharm";#N/A,#N/A,FALSE,"WWCM"}</definedName>
    <definedName name="def">#REF!</definedName>
    <definedName name="DEFAULTACTIVITY1">#REF!</definedName>
    <definedName name="DEFC">#REF!</definedName>
    <definedName name="DEFF">#REF!</definedName>
    <definedName name="Deffered">#REF!</definedName>
    <definedName name="defghi">#REF!</definedName>
    <definedName name="dek">#REF!</definedName>
    <definedName name="DEL">#REF!</definedName>
    <definedName name="DelDC">#REF!</definedName>
    <definedName name="DelDC.">#REF!</definedName>
    <definedName name="DelDm">#REF!</definedName>
    <definedName name="DelDm.">#REF!</definedName>
    <definedName name="delete">{"'1-TheatreBkgs'!$A$1:$L$102"}</definedName>
    <definedName name="delete1">#REF!</definedName>
    <definedName name="DELETELOGICTYPE1">#REF!</definedName>
    <definedName name="DELETELOGICTYPE2">#REF!</definedName>
    <definedName name="DELETELOGICTYPE3">#REF!</definedName>
    <definedName name="DELETELOGICTYPE4">#REF!</definedName>
    <definedName name="DELETELOGICTYPE5">#REF!</definedName>
    <definedName name="DELETELOGICTYPE6">#REF!</definedName>
    <definedName name="DeleteRange" hidden="1">#REF!</definedName>
    <definedName name="DeleteTable" hidden="1">#REF!</definedName>
    <definedName name="DeleteThis2" hidden="1">{#N/A,#N/A,FALSE,"SCHEDULES- board";#N/A,#N/A,FALSE,"BP-Q'S"}</definedName>
    <definedName name="DeleteThis3" hidden="1">{#N/A,#N/A,FALSE,"SCHEDULES- board";#N/A,#N/A,FALSE,"STMT 100"}</definedName>
    <definedName name="DeleteThis4" hidden="1">{"StatementsIncomeStatement",#N/A,TRUE,"Statements";"StatementsBalanceSheet",#N/A,TRUE,"Statements"}</definedName>
    <definedName name="DeleteThis5" hidden="1">{"IncomeStatement",#N/A,FALSE,"Income Statement";"ProductCost",#N/A,FALSE,"Income Statement";"OperatingExpense",#N/A,FALSE,"Income Statement"}</definedName>
    <definedName name="DeleteThis6" hidden="1">{#N/A,#N/A,FALSE,"CANADA";#N/A,#N/A,FALSE,"HOLLAND";#N/A,#N/A,FALSE,"AUSTRALIA";#N/A,#N/A,FALSE,"ALLOW &amp; RESRV "}</definedName>
    <definedName name="Delivery">#REF!</definedName>
    <definedName name="Delivery.">#REF!</definedName>
    <definedName name="Delphine">#REF!</definedName>
    <definedName name="DelType">#REF!</definedName>
    <definedName name="DelType.">#REF!</definedName>
    <definedName name="DEMAPR02OCTF">#REF!</definedName>
    <definedName name="DEMAUG01A">#REF!</definedName>
    <definedName name="DEMAUG01JLF">#REF!</definedName>
    <definedName name="DEMAUG01OCTF">#REF!</definedName>
    <definedName name="DEMDEC01A">#REF!</definedName>
    <definedName name="DEMDEC01OCTF">#REF!</definedName>
    <definedName name="DEMeXToEUR" hidden="1">1/EUReXToDEM</definedName>
    <definedName name="DEMFEB02OCTF">#REF!</definedName>
    <definedName name="DEMFY00A">#REF!</definedName>
    <definedName name="DEMFY01A">#REF!</definedName>
    <definedName name="DEMFY01JLF">#REF!</definedName>
    <definedName name="DEMFY01OCTF">#REF!</definedName>
    <definedName name="DEMFY98A">#REF!</definedName>
    <definedName name="DEMFY99A">#REF!</definedName>
    <definedName name="DEMJAN01A">#REF!</definedName>
    <definedName name="DEMJAN01OCTF">#REF!</definedName>
    <definedName name="DEMJUL02OCTF">#REF!</definedName>
    <definedName name="DEMJUN02OCTF">#REF!</definedName>
    <definedName name="DEMLOBAPR02OCTF">#REF!</definedName>
    <definedName name="DEMLOBAUG01A">#REF!</definedName>
    <definedName name="DEMLOBAUG01JLF">#REF!</definedName>
    <definedName name="DEMLOBAUG01OCTF">#REF!</definedName>
    <definedName name="DEMLOBDEC01A">#REF!</definedName>
    <definedName name="DEMLOBDEC01OCTF">#REF!</definedName>
    <definedName name="DEMLOBFEB02OCTF">#REF!</definedName>
    <definedName name="DEMLOBFY00A">#REF!</definedName>
    <definedName name="DEMLOBFY01A">#REF!</definedName>
    <definedName name="DEMLOBFY01JLF">#REF!</definedName>
    <definedName name="DEMLOBFY01OCTF">#REF!</definedName>
    <definedName name="DEMLOBFY98A">#REF!</definedName>
    <definedName name="DEMLOBFY99A">#REF!</definedName>
    <definedName name="DEMLOBJAN01A">#REF!</definedName>
    <definedName name="DEMLOBJAN01OCTF">#REF!</definedName>
    <definedName name="DEMLOBJUL02OCTF">#REF!</definedName>
    <definedName name="DEMLOBJUN02OCTF">#REF!</definedName>
    <definedName name="DEMLOBMAR02OCTF">#REF!</definedName>
    <definedName name="DEMLOBMAY02OCTF">#REF!</definedName>
    <definedName name="DEMLOBNOV01A">#REF!</definedName>
    <definedName name="DEMLOBNOV01OCTF">#REF!</definedName>
    <definedName name="DEMLOBOCT01A">#REF!</definedName>
    <definedName name="DEMLOBOCT01JLF">#REF!</definedName>
    <definedName name="DEMLOBOCT01OCTF">#REF!</definedName>
    <definedName name="DEMLOBQ100A">#REF!</definedName>
    <definedName name="DEMLOBQ101A">#REF!</definedName>
    <definedName name="DEMLOBQ102JLF">#REF!</definedName>
    <definedName name="DEMLOBQ102OCTF">#REF!</definedName>
    <definedName name="DEMLOBQ198A">#REF!</definedName>
    <definedName name="DEMLOBQ199A">#REF!</definedName>
    <definedName name="DEMLOBQ200A">#REF!</definedName>
    <definedName name="DEMLOBQ201A">#REF!</definedName>
    <definedName name="DEMLOBQ202OCTF">#REF!</definedName>
    <definedName name="DEMLOBQ298A">#REF!</definedName>
    <definedName name="DEMLOBQ299A">#REF!</definedName>
    <definedName name="DEMLOBQ300A">#REF!</definedName>
    <definedName name="DEMLOBQ301A">#REF!</definedName>
    <definedName name="DEMLOBQ301JLF">#REF!</definedName>
    <definedName name="DEMLOBQ301OCTF">#REF!</definedName>
    <definedName name="DEMLOBQ398A">#REF!</definedName>
    <definedName name="DEMLOBQ399A">#REF!</definedName>
    <definedName name="DEMLOBQ400A">#REF!</definedName>
    <definedName name="DEMLOBQ401A">#REF!</definedName>
    <definedName name="DEMLOBQ401JLF">#REF!</definedName>
    <definedName name="DEMLOBQ401OCTF">#REF!</definedName>
    <definedName name="DEMLOBQ498A">#REF!</definedName>
    <definedName name="DEMLOBQ499A">#REF!</definedName>
    <definedName name="DEMLOBSEP01A">#REF!</definedName>
    <definedName name="DEMLOBSEP01JLF">#REF!</definedName>
    <definedName name="DEMLOBSEP01OCTF">#REF!</definedName>
    <definedName name="DEMMAR02OCTF">#REF!</definedName>
    <definedName name="DEMMAY02OCTF">#REF!</definedName>
    <definedName name="DEMNOV01A">#REF!</definedName>
    <definedName name="DEMNOV01OCTF">#REF!</definedName>
    <definedName name="DEMOCT01A">#REF!</definedName>
    <definedName name="DEMOCT01JLF">#REF!</definedName>
    <definedName name="DEMOCT01OCTF">#REF!</definedName>
    <definedName name="DEMQ101A">#REF!</definedName>
    <definedName name="DEMQ102JLF">#REF!</definedName>
    <definedName name="DEMQ102OCTF">#REF!</definedName>
    <definedName name="DEMQ198A">#REF!</definedName>
    <definedName name="DEMQ199A">#REF!</definedName>
    <definedName name="DEMQ200A">#REF!</definedName>
    <definedName name="DEMQ201A">#REF!</definedName>
    <definedName name="DEMQ202OCTF">#REF!</definedName>
    <definedName name="DEMQ298A">#REF!</definedName>
    <definedName name="DEMQ299A">#REF!</definedName>
    <definedName name="DEMQ300A">#REF!</definedName>
    <definedName name="DEMQ301A">#REF!</definedName>
    <definedName name="DEMQ301JLF">#REF!</definedName>
    <definedName name="DEMQ301OCTF">#REF!</definedName>
    <definedName name="DEMQ398A">#REF!</definedName>
    <definedName name="DEMQ399A">#REF!</definedName>
    <definedName name="DEMQ400A">#REF!</definedName>
    <definedName name="DEMQ401A">#REF!</definedName>
    <definedName name="DEMQ401JLF">#REF!</definedName>
    <definedName name="DEMQ401OCTF">#REF!</definedName>
    <definedName name="DEMQ498A">#REF!</definedName>
    <definedName name="DEMQ499A">#REF!</definedName>
    <definedName name="DEMSEP01A">#REF!</definedName>
    <definedName name="DEMSEP01JLF">#REF!</definedName>
    <definedName name="DEMSEP01OCTF">#REF!</definedName>
    <definedName name="dennis">#REF!</definedName>
    <definedName name="DEP">#REF!</definedName>
    <definedName name="Dep.calculation">#REF!</definedName>
    <definedName name="Dep_1">{"'subnets'!$A$1:$F$20"}</definedName>
    <definedName name="Dep_2">{"'subnets'!$A$1:$F$20"}</definedName>
    <definedName name="Dep_3">{"'subnets'!$A$1:$F$20"}</definedName>
    <definedName name="Dep_4">{"'subnets'!$A$1:$F$20"}</definedName>
    <definedName name="Dep_5">{"'subnets'!$A$1:$F$20"}</definedName>
    <definedName name="DEP_EST">#REF!</definedName>
    <definedName name="Dep_margin_fore">#REF!</definedName>
    <definedName name="dep_pm">#REF!</definedName>
    <definedName name="Department">#REF!</definedName>
    <definedName name="Department_List">#REF!</definedName>
    <definedName name="Department2">#REF!</definedName>
    <definedName name="depcom_pa">#REF!</definedName>
    <definedName name="depit">#REF!</definedName>
    <definedName name="DEPLINE">#REF!</definedName>
    <definedName name="DEPN">#REF!</definedName>
    <definedName name="depn_CO">#REF!</definedName>
    <definedName name="depn_IT">#REF!</definedName>
    <definedName name="deposit">#REF!</definedName>
    <definedName name="Deposits">#REF!</definedName>
    <definedName name="Depre">#REF!</definedName>
    <definedName name="DEPREADJT" hidden="1">#REF!</definedName>
    <definedName name="Depreciation">#REF!</definedName>
    <definedName name="DEPRIT0910">#REF!</definedName>
    <definedName name="depsch">#REF!</definedName>
    <definedName name="depsched">#REF!</definedName>
    <definedName name="Dept">#REF!</definedName>
    <definedName name="DeptList">#REF!</definedName>
    <definedName name="deptLookup">#REF!</definedName>
    <definedName name="deptlookup.">#REF!</definedName>
    <definedName name="depveh_pa">#REF!</definedName>
    <definedName name="Description">#REF!</definedName>
    <definedName name="detail">#REF!</definedName>
    <definedName name="detail1">#REF!</definedName>
    <definedName name="Detail1Uncompress">TRUE</definedName>
    <definedName name="DetailedCapFullyDilutedShares">#REF!</definedName>
    <definedName name="DetailedCapShares">#REF!</definedName>
    <definedName name="DetailedCapShares2">#REF!</definedName>
    <definedName name="details">#REF!</definedName>
    <definedName name="Details_of_value_of_land_and_building">#REF!</definedName>
    <definedName name="DEV">#REF!</definedName>
    <definedName name="dev_tech">#REF!</definedName>
    <definedName name="Developed">#REF!</definedName>
    <definedName name="DEVELOPMENT">#REF!</definedName>
    <definedName name="Devi_Offsets">#REF!</definedName>
    <definedName name="DEVICE">#N/A</definedName>
    <definedName name="devtech_drate">#REF!</definedName>
    <definedName name="DEZLFEZKLHF" hidden="1">{#N/A,#N/A,FALSE,"Pharm";#N/A,#N/A,FALSE,"WWCM"}</definedName>
    <definedName name="df" hidden="1">{"CHART",#N/A,FALSE,"Arch Communications"}</definedName>
    <definedName name="dfa">#REF!</definedName>
    <definedName name="dfa_1">#REF!</definedName>
    <definedName name="dfa_2">#REF!</definedName>
    <definedName name="dfa_3">#REF!</definedName>
    <definedName name="dfa_4">#REF!</definedName>
    <definedName name="dfaddf">#REF!</definedName>
    <definedName name="dfadfdafdafdafd" hidden="1">{#N/A,#N/A,FALSE,"Aging Summary";#N/A,#N/A,FALSE,"Ratio Analysis";#N/A,#N/A,FALSE,"Test 120 Day Accts";#N/A,#N/A,FALSE,"Tickmarks"}</definedName>
    <definedName name="dfadfdafdafdafd_3">#REF!</definedName>
    <definedName name="DFASDFDS" hidden="1">{#N/A,#N/A,FALSE,"손익표지";#N/A,#N/A,FALSE,"손익계산";#N/A,#N/A,FALSE,"일반관리비";#N/A,#N/A,FALSE,"영업외수익";#N/A,#N/A,FALSE,"영업외비용";#N/A,#N/A,FALSE,"매출액";#N/A,#N/A,FALSE,"요약손익";#N/A,#N/A,FALSE,"요약대차";#N/A,#N/A,FALSE,"매출채권현황";#N/A,#N/A,FALSE,"매출채권명세"}</definedName>
    <definedName name="dfb">{"'1-TheatreBkgs'!$A$1:$L$102"}</definedName>
    <definedName name="dfbf" hidden="1">{#N/A,#N/A,TRUE,"CPRD";#N/A,#N/A,TRUE,"BCCPDR";#N/A,#N/A,TRUE,"EWRD";#N/A,#N/A,TRUE,"5100";#N/A,#N/A,TRUE,"5110"}</definedName>
    <definedName name="dfcmekjr">"%,LACTUALS,SBAL,R,FBUSINESS_UNIT,TCALPINE_REPORTING,NCALPINE BU,FACCOUNT,TALL_ACCOUNTS,NDFRD_INCOME_TAX"</definedName>
    <definedName name="DFCWS">#REF!</definedName>
    <definedName name="dfd">#REF!</definedName>
    <definedName name="dfdafdf">#REF!</definedName>
    <definedName name="dfdas">#REF!</definedName>
    <definedName name="dfdas1">#REF!</definedName>
    <definedName name="DFDD">#REF!</definedName>
    <definedName name="DFDD_1">#REF!</definedName>
    <definedName name="dfdf">#REF!</definedName>
    <definedName name="dfdfd">#REF!</definedName>
    <definedName name="dfdfdd">#REF!</definedName>
    <definedName name="dfdfdfd">#REF!</definedName>
    <definedName name="dfdfdfd1">#REF!</definedName>
    <definedName name="dfdfgj">#REF!</definedName>
    <definedName name="dfdfgj_1">#REF!</definedName>
    <definedName name="dfdfgj_2">#REF!</definedName>
    <definedName name="dfdfgj_3">#REF!</definedName>
    <definedName name="dfdfgj_4">#REF!</definedName>
    <definedName name="dfdgfgdfg">#REF!</definedName>
    <definedName name="dfdsafs" hidden="1">#REF!</definedName>
    <definedName name="dfdsf">#REF!</definedName>
    <definedName name="dfewg">{"'1-TheatreBkgs'!$A$1:$L$102"}</definedName>
    <definedName name="dfg" hidden="1">{"Page1",#N/A,FALSE,"CF WKSHT";"Page2",#N/A,FALSE,"CF WKSHT"}</definedName>
    <definedName name="dfg_1">#REF!</definedName>
    <definedName name="dfg_2">#REF!</definedName>
    <definedName name="dfg_3">#REF!</definedName>
    <definedName name="dfg_4">#REF!</definedName>
    <definedName name="dfgdfg">#REF!</definedName>
    <definedName name="dfgdgd">#REF!</definedName>
    <definedName name="dfgdxfv">#REF!</definedName>
    <definedName name="dfgf" hidden="1">{#N/A,#N/A,TRUE,"Condensed IS";#N/A,#N/A,TRUE,"Condensed BS";#N/A,#N/A,TRUE,"Outlook";#N/A,#N/A,TRUE,"Condensed CF";#N/A,#N/A,TRUE,"Condensed CF - qtr"}</definedName>
    <definedName name="dfgfd">#REF!</definedName>
    <definedName name="dfgfdhgfdtgdsagfdhgfdg" hidden="1">{"20 Years",#N/A,FALSE,"P&amp;Ls";"2001",#N/A,FALSE,"P&amp;Ls"}</definedName>
    <definedName name="dfghddfgq">#REF!</definedName>
    <definedName name="dfghddfgq_1">#REF!</definedName>
    <definedName name="dfghddfgq_2">#REF!</definedName>
    <definedName name="dfghddfgq_3">#REF!</definedName>
    <definedName name="dfghddfgq_4">#REF!</definedName>
    <definedName name="dfghfe" hidden="1">{#N/A,#N/A,FALSE,"Pharm";#N/A,#N/A,FALSE,"WWCM"}</definedName>
    <definedName name="dfgj">#REF!</definedName>
    <definedName name="dfgj_1">#REF!</definedName>
    <definedName name="dfgj_2">#REF!</definedName>
    <definedName name="dfgj_3">#REF!</definedName>
    <definedName name="dfgj_4">#REF!</definedName>
    <definedName name="dfgjdf">#REF!</definedName>
    <definedName name="dfgjdf_1">#REF!</definedName>
    <definedName name="dfgjdf_2">#REF!</definedName>
    <definedName name="dfgjdf_3">#REF!</definedName>
    <definedName name="dfgjdf_4">#REF!</definedName>
    <definedName name="DFGJDFJ">#REF!</definedName>
    <definedName name="dfgjgf">#REF!</definedName>
    <definedName name="dfgjgf_1">#REF!</definedName>
    <definedName name="dfgjgf_2">#REF!</definedName>
    <definedName name="dfgjgf_3">#REF!</definedName>
    <definedName name="dfgjgf_4">#REF!</definedName>
    <definedName name="dfgnbdfn">#REF!</definedName>
    <definedName name="dfgnbdfn_1">#REF!</definedName>
    <definedName name="dfgrtebvc" hidden="1">#REF!</definedName>
    <definedName name="dfgsdf">#REF!</definedName>
    <definedName name="dfhdfg">#REF!</definedName>
    <definedName name="dfhdfghdg">#REF!</definedName>
    <definedName name="dfhdfghdg_1">#REF!</definedName>
    <definedName name="dfhdfghdg_2">#REF!</definedName>
    <definedName name="dfhdfghdg_3">#REF!</definedName>
    <definedName name="dfhdfghdg_4">#REF!</definedName>
    <definedName name="dfhdgdgdfghjdjyj">#REF!</definedName>
    <definedName name="dfhdgdgdfghjdjyj_1">#REF!</definedName>
    <definedName name="dfhdgdgdfghjdjyj_2">#REF!</definedName>
    <definedName name="dfhdgdgdfghjdjyj_3">#REF!</definedName>
    <definedName name="dfhdgdgdfghjdjyj_4">#REF!</definedName>
    <definedName name="dfhgf" hidden="1">{#N/A,#N/A,FALSE,"Pharm";#N/A,#N/A,FALSE,"WWCM"}</definedName>
    <definedName name="dfhgfgdjgd">#REF!</definedName>
    <definedName name="dfhgjk">#REF!</definedName>
    <definedName name="dfhjg">#REF!</definedName>
    <definedName name="DFilter">#REF!</definedName>
    <definedName name="DFilterRange">#REF!</definedName>
    <definedName name="dfjf">#REF!</definedName>
    <definedName name="dfjf_1">#REF!</definedName>
    <definedName name="dfjf_2">#REF!</definedName>
    <definedName name="dfjf_3">#REF!</definedName>
    <definedName name="dfjf_4">#REF!</definedName>
    <definedName name="dfk">#REF!</definedName>
    <definedName name="dfk1New">#REF!</definedName>
    <definedName name="dfkNew">#REF!</definedName>
    <definedName name="dflt1">#REF!</definedName>
    <definedName name="dfnj">#REF!</definedName>
    <definedName name="dfnj_1">#REF!</definedName>
    <definedName name="DFS">#REF!</definedName>
    <definedName name="dfs_1">#REF!</definedName>
    <definedName name="dfs_2">#REF!</definedName>
    <definedName name="dfs_3">#REF!</definedName>
    <definedName name="dfs_4">#REF!</definedName>
    <definedName name="dfsads">#REF!</definedName>
    <definedName name="dfsafd"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df">#REF!</definedName>
    <definedName name="dfsfa"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gdf" hidden="1">{"'08-14'!$A$3:$I$112"}</definedName>
    <definedName name="DG" hidden="1">#REF!</definedName>
    <definedName name="dgae">#REF!</definedName>
    <definedName name="dgf">#REF!</definedName>
    <definedName name="dgf_1">#REF!</definedName>
    <definedName name="dgf_2">#REF!</definedName>
    <definedName name="dgf_3">#REF!</definedName>
    <definedName name="dgf_4">#REF!</definedName>
    <definedName name="dgfbdfyj">#REF!</definedName>
    <definedName name="dgfbdfyj_1">#REF!</definedName>
    <definedName name="dgfdf">#REF!</definedName>
    <definedName name="dgfdf_1">#REF!</definedName>
    <definedName name="dgfdf_2">#REF!</definedName>
    <definedName name="dgfdf_3">#REF!</definedName>
    <definedName name="dgfdf_4">#REF!</definedName>
    <definedName name="dgfghh">#REF!</definedName>
    <definedName name="dghdgdjyukyu">#REF!</definedName>
    <definedName name="dghdgdjyukyu_1">#REF!</definedName>
    <definedName name="dghdgdjyukyu_2">#REF!</definedName>
    <definedName name="dghdgdjyukyu_3">#REF!</definedName>
    <definedName name="dghdgdjyukyu_4">#REF!</definedName>
    <definedName name="dghdrxtgbhtr">#REF!</definedName>
    <definedName name="dghdrxtgbhtr_1">#REF!</definedName>
    <definedName name="dghdrxtgbhtr_2">#REF!</definedName>
    <definedName name="dghdrxtgbhtr_3">#REF!</definedName>
    <definedName name="dghdrxtgbhtr_4">#REF!</definedName>
    <definedName name="dghfhsdgbsdf">#REF!</definedName>
    <definedName name="dghfhsdgbsdf_1">#REF!</definedName>
    <definedName name="dghfhsdgbsdf_2">#REF!</definedName>
    <definedName name="dghfhsdgbsdf_3">#REF!</definedName>
    <definedName name="dghfhsdgbsdf_4">#REF!</definedName>
    <definedName name="dghgdgf">#REF!</definedName>
    <definedName name="dghgdgf_1">#REF!</definedName>
    <definedName name="dghgdgf_2">#REF!</definedName>
    <definedName name="dghgdgf_3">#REF!</definedName>
    <definedName name="dghgdgf_4">#REF!</definedName>
    <definedName name="dghkh">#REF!</definedName>
    <definedName name="dgjj">#REF!</definedName>
    <definedName name="dgsdf">#REF!</definedName>
    <definedName name="dgsdf_1">#REF!</definedName>
    <definedName name="dgsdf_2">#REF!</definedName>
    <definedName name="dgsdf_3">#REF!</definedName>
    <definedName name="dgsdf_4">#REF!</definedName>
    <definedName name="dgsg">BLCH</definedName>
    <definedName name="dgtdf">#REF!</definedName>
    <definedName name="dhampursugar">#REF!</definedName>
    <definedName name="dhdh">{"'표지'!$B$5"}</definedName>
    <definedName name="dhdhd">#REF!</definedName>
    <definedName name="dhr">#REF!</definedName>
    <definedName name="dhrdh">#REF!</definedName>
    <definedName name="dhtrhdr">#REF!</definedName>
    <definedName name="DI">#REF!</definedName>
    <definedName name="DI_CONSOL">#REF!</definedName>
    <definedName name="DI_UNCONSOL">#REF!</definedName>
    <definedName name="Did">#REF!</definedName>
    <definedName name="DIFF">#REF!</definedName>
    <definedName name="DIFF_10">#REF!</definedName>
    <definedName name="DIFF_12">#REF!</definedName>
    <definedName name="Difference">#REF!</definedName>
    <definedName name="Difference_1">#REF!</definedName>
    <definedName name="digital" hidden="1">#REF!</definedName>
    <definedName name="DII">#REF!</definedName>
    <definedName name="dil">#REF!</definedName>
    <definedName name="dillard">#REF!</definedName>
    <definedName name="Dimension">#REF!</definedName>
    <definedName name="DIP">#REF!</definedName>
    <definedName name="dir">#REF!</definedName>
    <definedName name="dirannpay">#REF!</definedName>
    <definedName name="direct">#REF!</definedName>
    <definedName name="direct_expenses">#REF!</definedName>
    <definedName name="dirmopay">#REF!</definedName>
    <definedName name="DirRev">#REF!</definedName>
    <definedName name="DIS">#REF!</definedName>
    <definedName name="DIS_LIST">#REF!</definedName>
    <definedName name="Disaggregations">#REF!</definedName>
    <definedName name="disbursements">#REF!</definedName>
    <definedName name="Disc_1_FooterType">"EXTERNAL"</definedName>
    <definedName name="Disc_2_FooterType">"EXTERNAL"</definedName>
    <definedName name="Disc_3_FooterType">"EXTERNAL"</definedName>
    <definedName name="Disc_notes_FooterType">"EXTERNAL"</definedName>
    <definedName name="Disc_notes_input_FooterType">"EXTERNAL"</definedName>
    <definedName name="disc_years">#REF!</definedName>
    <definedName name="Disclosure_1_FooterType">"EXTERNAL"</definedName>
    <definedName name="Disclosure_2_FooterType">"EXTERNAL"</definedName>
    <definedName name="Disclosure_3_FooterType">"EXTERNAL"</definedName>
    <definedName name="Disclosure_FooterType">"EXTERNAL"</definedName>
    <definedName name="Disclosure_notes_FooterType">"EXTERNAL"</definedName>
    <definedName name="Disclosure_notes_input_FooterType">"EXTERNAL"</definedName>
    <definedName name="Disclosures_FooterType">"EXTERNAL"</definedName>
    <definedName name="Discount">#REF!</definedName>
    <definedName name="Discount_Rate">#REF!</definedName>
    <definedName name="Discount_Rate1">#REF!</definedName>
    <definedName name="Discount1">#REF!</definedName>
    <definedName name="Discount2">#REF!</definedName>
    <definedName name="DiscountRate">0.1</definedName>
    <definedName name="DiscountsArray">#REF!</definedName>
    <definedName name="DiscountsValid">#REF!</definedName>
    <definedName name="display_area_1">#REF!</definedName>
    <definedName name="display_area_2">#REF!</definedName>
    <definedName name="display_area_3">#REF!</definedName>
    <definedName name="display_area_4">#REF!</definedName>
    <definedName name="display_unit">"($MM)"</definedName>
    <definedName name="DISPLAY10L">"A0652877"</definedName>
    <definedName name="DISPLAY3L">"A0679920"</definedName>
    <definedName name="DISPLAYJAP">"A0729702"</definedName>
    <definedName name="DisplaySelectedSheetsMacroButton">#REF!</definedName>
    <definedName name="DisposalPD">#REF!</definedName>
    <definedName name="DisposalPlan">#REF!</definedName>
    <definedName name="disposition">#REF!</definedName>
    <definedName name="Disruptive">#REF!</definedName>
    <definedName name="disti">#REF!</definedName>
    <definedName name="Distibva" hidden="1">{"PRVSN",#N/A,FALSE,"Q196";"PRVSN",#N/A,FALSE,"Q296";"PRVSN",#N/A,FALSE,"Q396";"PRVSN",#N/A,FALSE,"Q496";"VARIANCES",#N/A,FALSE,"Q196";"VARIANCES",#N/A,FALSE,"Q296"}</definedName>
    <definedName name="DISTOUTSTANDING">#REF!</definedName>
    <definedName name="DISTRIBUTION">#REF!</definedName>
    <definedName name="DISTRIBUTORS">#REF!</definedName>
    <definedName name="Div">#REF!</definedName>
    <definedName name="Div_Industrial">#REF!</definedName>
    <definedName name="dividends">#REF!</definedName>
    <definedName name="Dividends_Paid">#REF!</definedName>
    <definedName name="Dividends_Received">#REF!</definedName>
    <definedName name="DIVISION">#REF!</definedName>
    <definedName name="DIVISION1">#REF!</definedName>
    <definedName name="DIVISION2">#REF!</definedName>
    <definedName name="DJ" hidden="1">{#N/A,#N/A,FALSE,"손익표지";#N/A,#N/A,FALSE,"손익계산";#N/A,#N/A,FALSE,"일반관리비";#N/A,#N/A,FALSE,"영업외수익";#N/A,#N/A,FALSE,"영업외비용";#N/A,#N/A,FALSE,"매출액";#N/A,#N/A,FALSE,"요약손익";#N/A,#N/A,FALSE,"요약대차";#N/A,#N/A,FALSE,"매출채권현황";#N/A,#N/A,FALSE,"매출채권명세"}</definedName>
    <definedName name="djd">#REF!</definedName>
    <definedName name="djd1New">#REF!</definedName>
    <definedName name="djdfhdfghg">#REF!</definedName>
    <definedName name="djdfhdfghg_1">#REF!</definedName>
    <definedName name="djdfhdfghg_2">#REF!</definedName>
    <definedName name="djdfhdfghg_3">#REF!</definedName>
    <definedName name="djdfhdfghg_4">#REF!</definedName>
    <definedName name="djdNew">#REF!</definedName>
    <definedName name="djfdsfjdsfjsa">{"'1-TheatreBkgs'!$A$1:$L$102"}</definedName>
    <definedName name="djflkjdlfk" hidden="1">#REF!</definedName>
    <definedName name="djksljd" hidden="1">{#N/A,#N/A,FALSE,"Other";#N/A,#N/A,FALSE,"Ace";#N/A,#N/A,FALSE,"Derm"}</definedName>
    <definedName name="djld" hidden="1">{#N/A,#N/A,FALSE,"손익표지";#N/A,#N/A,FALSE,"손익계산";#N/A,#N/A,FALSE,"일반관리비";#N/A,#N/A,FALSE,"영업외수익";#N/A,#N/A,FALSE,"영업외비용";#N/A,#N/A,FALSE,"매출액";#N/A,#N/A,FALSE,"요약손익";#N/A,#N/A,FALSE,"요약대차";#N/A,#N/A,FALSE,"매출채권현황";#N/A,#N/A,FALSE,"매출채권명세"}</definedName>
    <definedName name="dk" hidden="1">{#N/A,#N/A,FALSE,"3가";#N/A,#N/A,FALSE,"3나";#N/A,#N/A,FALSE,"3다"}</definedName>
    <definedName name="dk_3">#REF!</definedName>
    <definedName name="dkdk" hidden="1">{#N/A,#N/A,FALSE,"손익표지";#N/A,#N/A,FALSE,"손익계산";#N/A,#N/A,FALSE,"일반관리비";#N/A,#N/A,FALSE,"영업외수익";#N/A,#N/A,FALSE,"영업외비용";#N/A,#N/A,FALSE,"매출액";#N/A,#N/A,FALSE,"요약손익";#N/A,#N/A,FALSE,"요약대차";#N/A,#N/A,FALSE,"매출채권현황";#N/A,#N/A,FALSE,"매출채권명세"}</definedName>
    <definedName name="dkdkd" hidden="1">{#N/A,#N/A,FALSE,"UNIT";#N/A,#N/A,FALSE,"UNIT";#N/A,#N/A,FALSE,"계정"}</definedName>
    <definedName name="DKFASJ">#REF!</definedName>
    <definedName name="dkfjdfNew">#REF!</definedName>
    <definedName name="dkfjdk">#REF!</definedName>
    <definedName name="dkfjdk1">#REF!</definedName>
    <definedName name="dkilildolsjfosuer888888">#REF!</definedName>
    <definedName name="dkj">#REF!</definedName>
    <definedName name="DKK">#REF!</definedName>
    <definedName name="DKS" hidden="1">{#N/A,#N/A,FALSE,"3가";#N/A,#N/A,FALSE,"3나";#N/A,#N/A,FALSE,"3다"}</definedName>
    <definedName name="DKS_3">#REF!</definedName>
    <definedName name="DL">#REF!</definedName>
    <definedName name="DL21236421_c5c5_4edf_be84_db0e638bdcf8">#REF!</definedName>
    <definedName name="DL2sfduohgu">#REF!</definedName>
    <definedName name="DL3dbcdb37_80e8_443d_99aa_c93017ca5109">#REF!</definedName>
    <definedName name="dlajdfaljfd" hidden="1">{#N/A,#N/A,FALSE,"Title";#N/A,#N/A,FALSE,"Index";#N/A,#N/A,FALSE,"1";#N/A,#N/A,FALSE,"2";#N/A,#N/A,FALSE,"3";#N/A,#N/A,FALSE,"4";#N/A,#N/A,FALSE,"5";#N/A,#N/A,FALSE,"6";#N/A,#N/A,FALSE,"7";#N/A,#N/A,FALSE,"8"}</definedName>
    <definedName name="DLJ">#REF!</definedName>
    <definedName name="dls">#REF!</definedName>
    <definedName name="dltmdwo">#REF!</definedName>
    <definedName name="dlx">#REF!</definedName>
    <definedName name="DM">#REF!</definedName>
    <definedName name="DME_BeforeCloseCompleted">"False"</definedName>
    <definedName name="DME_Dirty">"False"</definedName>
    <definedName name="DME_DocumentFlags">"1"</definedName>
    <definedName name="DME_DocumentID">"::ODMA\DME-MSE\London-44356"</definedName>
    <definedName name="DME_DocumentOpened">"True"</definedName>
    <definedName name="DME_DocumentTitle">"London-44356 - impress model"</definedName>
    <definedName name="DME_LocalFile">"False"</definedName>
    <definedName name="DME_NextWindowNumber">"2"</definedName>
    <definedName name="DME_ODMALinks1">"::ODMA\DME-MSE\London-44590=C:\TEMP\Dme\London-44590.xls"</definedName>
    <definedName name="DME_ODMALinks2">"::ODMA\DME-MSE\TAX-55066=C:\DOCUME~1\morris6d\LOCALS~1\Temp\Dme\TAX-55066.xls"</definedName>
    <definedName name="DME_ODMALinks3">"::ODMA\DME-MSE\TAX-54886=C:\DOCUME~1\morris6d\LOCALS~1\Temp\Dme\TAX-54886.xls"</definedName>
    <definedName name="DME_ODMALinks4">"::ODMA\DME-MSE\TAX-54554=C:\DOCUME~1\morris6d\LOCALS~1\Temp\Dme\TAX-54554.xls"</definedName>
    <definedName name="DME_ODMALinks5">"::ODMA\DME-MSE\TAX-55463=C:\DOCUME~1\lewis7m\LOCALS~1\Temp\Dme\TAX-55463.xls"</definedName>
    <definedName name="DME_ODMALinks6">"::ODMA\DME-MSE\TAX-57720=C:\DOCUME~1\morris6d\LOCALS~1\Temp\Dme\TAX-57720.xls"</definedName>
    <definedName name="DME_ODMALinksCount">"1"</definedName>
    <definedName name="dmf">#REF!</definedName>
    <definedName name="DOC">#REF!</definedName>
    <definedName name="DocType">#REF!</definedName>
    <definedName name="Document_array">{"Book1","评估表样1.xls"}</definedName>
    <definedName name="DocumentName">"b1"</definedName>
    <definedName name="DocumentNum">"a1"</definedName>
    <definedName name="doddd">#REF!</definedName>
    <definedName name="dog">#REF!</definedName>
    <definedName name="dog_1">#REF!</definedName>
    <definedName name="dog_3">#REF!</definedName>
    <definedName name="DOI">#REF!</definedName>
    <definedName name="DOLLAR">#REF!</definedName>
    <definedName name="DOLLARS_FINAL">#REF!</definedName>
    <definedName name="DOLLARS_MONTHLY">#REF!</definedName>
    <definedName name="DOM_COS">#N/A</definedName>
    <definedName name="DOM_SALE">#N/A</definedName>
    <definedName name="DOMSALE">#N/A</definedName>
    <definedName name="don">#REF!</definedName>
    <definedName name="Done">#REF!</definedName>
    <definedName name="doo" hidden="1">{"Central",#N/A,FALSE,"Total"}</definedName>
    <definedName name="doo.." hidden="1">{"Central",#N/A,FALSE,"Total"}</definedName>
    <definedName name="dov">#REF!</definedName>
    <definedName name="Dow">41414.6390972222</definedName>
    <definedName name="Download_Inc_Stmnt">#REF!</definedName>
    <definedName name="DP">#REF!</definedName>
    <definedName name="DPC">#REF!</definedName>
    <definedName name="dpts">{"'Sheet1'!$A$1:$AI$34","'Sheet1'!$A$1:$AI$31","'Sheet1'!$B$2:$AM$25"}</definedName>
    <definedName name="dPwjram">#REF!</definedName>
    <definedName name="DR">#REF!</definedName>
    <definedName name="Dr.reddyslab">#REF!</definedName>
    <definedName name="draft">#REF!</definedName>
    <definedName name="dreyer">#REF!</definedName>
    <definedName name="drgarhy">#REF!</definedName>
    <definedName name="drgd">#REF!</definedName>
    <definedName name="drhdrh">#REF!</definedName>
    <definedName name="drhrhdfh">#REF!</definedName>
    <definedName name="drhrhr">#REF!</definedName>
    <definedName name="DropDownList">#REF!</definedName>
    <definedName name="DrReddy">#REF!</definedName>
    <definedName name="drtd">#REF!</definedName>
    <definedName name="drtg">#REF!</definedName>
    <definedName name="drtgdg">#REF!</definedName>
    <definedName name="drthjdrnh">#REF!</definedName>
    <definedName name="drthjdrnh_1">#REF!</definedName>
    <definedName name="drthjdrnh_2">#REF!</definedName>
    <definedName name="drthjdrnh_3">#REF!</definedName>
    <definedName name="drthjdrnh_4">#REF!</definedName>
    <definedName name="DRUCKBEREI03">#REF!</definedName>
    <definedName name="ds">#REF!</definedName>
    <definedName name="ds_1">#REF!</definedName>
    <definedName name="DSA" hidden="1">{#N/A,#N/A,FALSE,"을지 (4)";#N/A,#N/A,FALSE,"을지 (5)";#N/A,#N/A,FALSE,"을지 (6)"}</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AFAHSDHFDHF" hidden="1">{#N/A,#N/A,FALSE,"손익표지";#N/A,#N/A,FALSE,"손익계산";#N/A,#N/A,FALSE,"일반관리비";#N/A,#N/A,FALSE,"영업외수익";#N/A,#N/A,FALSE,"영업외비용";#N/A,#N/A,FALSE,"매출액";#N/A,#N/A,FALSE,"요약손익";#N/A,#N/A,FALSE,"요약대차";#N/A,#N/A,FALSE,"매출채권현황";#N/A,#N/A,FALSE,"매출채권명세"}</definedName>
    <definedName name="dsafd"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afds">#REF!</definedName>
    <definedName name="dsaflkj">#REF!</definedName>
    <definedName name="dsaflkje">#REF!</definedName>
    <definedName name="dsafwlekj">#REF!</definedName>
    <definedName name="dsasdds">#REF!</definedName>
    <definedName name="dsasf" hidden="1">{#N/A,#N/A,FALSE,"KMC최종회의(7월) 자료"}</definedName>
    <definedName name="dsdf" hidden="1">{#N/A,#N/A,TRUE,"Summary";#N/A,#N/A,TRUE,"IS";#N/A,#N/A,TRUE,"Adj";#N/A,#N/A,TRUE,"BS";#N/A,#N/A,TRUE,"CF";#N/A,#N/A,TRUE,"Debt";#N/A,#N/A,TRUE,"IRR"}</definedName>
    <definedName name="dsdsds">#REF!</definedName>
    <definedName name="dsea">#REF!</definedName>
    <definedName name="dsewq" hidden="1">{#N/A,#N/A,FALSE,"KMC최종회의(7월) 자료"}</definedName>
    <definedName name="DSF">#REF!</definedName>
    <definedName name="dsfa" hidden="1">{#VALUE!,#N/A,FALSE,0;#N/A,#N/A,FALSE,0}</definedName>
    <definedName name="dsfasd">#REF!</definedName>
    <definedName name="dsfasd_1">#REF!</definedName>
    <definedName name="dsfasd_2">#REF!</definedName>
    <definedName name="dsfasd_3">#REF!</definedName>
    <definedName name="dsfasd_4">#REF!</definedName>
    <definedName name="dsfd">#REF!</definedName>
    <definedName name="DSFDSA" hidden="1">#REF!</definedName>
    <definedName name="dsfdsf">{"'Feb 99'!$A$1:$G$30"}</definedName>
    <definedName name="dsfg">#REF!</definedName>
    <definedName name="dsfg_1">#REF!</definedName>
    <definedName name="dsfg_2">#REF!</definedName>
    <definedName name="dsfg_3">#REF!</definedName>
    <definedName name="dsfg_4">#REF!</definedName>
    <definedName name="dsfgr">#REF!</definedName>
    <definedName name="DSFSD">{"'Sheet1'!$L$16"}</definedName>
    <definedName name="dsfsffss" hidden="1">{#N/A,#N/A,FALSE,"Pharm";#N/A,#N/A,FALSE,"WWCM"}</definedName>
    <definedName name="dsfssfdg">#REF!</definedName>
    <definedName name="dsfssfdg_1">#REF!</definedName>
    <definedName name="dsfssfdg_2">#REF!</definedName>
    <definedName name="dsfssfdg_3">#REF!</definedName>
    <definedName name="dsfssfdg_4">#REF!</definedName>
    <definedName name="DSHiddenYear1" hidden="1">#REF!</definedName>
    <definedName name="DSHiddenYear2" hidden="1">#REF!</definedName>
    <definedName name="DSHiddenYear3" hidden="1">#REF!</definedName>
    <definedName name="DSHiddenYear4" hidden="1">#REF!</definedName>
    <definedName name="DSIndHiddenYear1" hidden="1">#REF!</definedName>
    <definedName name="DSIndHiddenYear2" hidden="1">#REF!</definedName>
    <definedName name="DSIndHiddenYear3" hidden="1">#REF!</definedName>
    <definedName name="DSIndHiddenYear4" hidden="1">#REF!</definedName>
    <definedName name="DSIndHistHiddenYear1" hidden="1">#REF!</definedName>
    <definedName name="DSIndHistHiddenYear2" hidden="1">#REF!</definedName>
    <definedName name="DSIndHistHiddenYear3" hidden="1">#REF!</definedName>
    <definedName name="DSIndHistHiddenYear4" hidden="1">#REF!</definedName>
    <definedName name="DSIndHistHiddenYear5" hidden="1">#REF!</definedName>
    <definedName name="dskjcieew">"V2001-03-31"</definedName>
    <definedName name="DSM">#REF!</definedName>
    <definedName name="DSM_KEY1" hidden="1">#REF!</definedName>
    <definedName name="DSM_SORT" hidden="1">#REF!</definedName>
    <definedName name="DSM_WRN.FRP" hidden="1">{#N/A,#N/A,FALSE,"Title";#N/A,#N/A,FALSE,"Index";#N/A,#N/A,FALSE,"1";#N/A,#N/A,FALSE,"2";#N/A,#N/A,FALSE,"3";#N/A,#N/A,FALSE,"4";#N/A,#N/A,FALSE,"5";#N/A,#N/A,FALSE,"6";#N/A,#N/A,FALSE,"7";#N/A,#N/A,FALSE,"8"}</definedName>
    <definedName name="DSMWRN.QUARTFRP" hidden="1">{#N/A,#N/A,FALSE,"Title";#N/A,#N/A,FALSE,"Index";#N/A,#N/A,FALSE,"1";#N/A,#N/A,FALSE,"2";#N/A,#N/A,FALSE,"3";#N/A,#N/A,FALSE,"4";#N/A,#N/A,FALSE,"5";#N/A,#N/A,FALSE,"5A";#N/A,#N/A,FALSE,"6";#N/A,#N/A,FALSE,"7";#N/A,#N/A,FALSE,"8"}</definedName>
    <definedName name="DSP">#REF!</definedName>
    <definedName name="DSPIMO">#REF!</definedName>
    <definedName name="DSPMO">#REF!</definedName>
    <definedName name="DSPTLMO">#REF!</definedName>
    <definedName name="dtabase">#REF!</definedName>
    <definedName name="Dtata02">#REF!</definedName>
    <definedName name="dtbsmar03">#REF!</definedName>
    <definedName name="dtdeb">#REF!</definedName>
    <definedName name="dtfin">#REF!</definedName>
    <definedName name="dtgasens1f1">#REF!</definedName>
    <definedName name="dtgasens1f2">#REF!</definedName>
    <definedName name="dtgasens1f3">#REF!</definedName>
    <definedName name="dtgasens2f1">#REF!</definedName>
    <definedName name="dtgasens2f2">#REF!</definedName>
    <definedName name="dtgasens2f3">#REF!</definedName>
    <definedName name="dtgasens3f1">#REF!</definedName>
    <definedName name="dtgasens3f2">#REF!</definedName>
    <definedName name="dtgasens3f3">#REF!</definedName>
    <definedName name="dtgasens4f1">#REF!</definedName>
    <definedName name="dtgasens4f2">#REF!</definedName>
    <definedName name="dtgasens4f3">#REF!</definedName>
    <definedName name="dtgasens5f1">#REF!</definedName>
    <definedName name="dtgasens5f2">#REF!</definedName>
    <definedName name="dtgasens5f3">#REF!</definedName>
    <definedName name="dtht">#REF!</definedName>
    <definedName name="DTL">#REF!</definedName>
    <definedName name="dtr">#REF!</definedName>
    <definedName name="dtr_1">#REF!</definedName>
    <definedName name="dtr_2">#REF!</definedName>
    <definedName name="dtr_3">#REF!</definedName>
    <definedName name="dtr_4">#REF!</definedName>
    <definedName name="DTS">#REF!</definedName>
    <definedName name="dtsalessens1f1">#REF!</definedName>
    <definedName name="dtsalessens1f2">#REF!</definedName>
    <definedName name="dtsalessens1f3">#REF!</definedName>
    <definedName name="dtsalessens2f1">#REF!</definedName>
    <definedName name="dtsalessens2f2">#REF!</definedName>
    <definedName name="dtsalessens2f3">#REF!</definedName>
    <definedName name="dtsalessens3f1">#REF!</definedName>
    <definedName name="dtsalessens3f2">#REF!</definedName>
    <definedName name="dtsalessens3f3">#REF!</definedName>
    <definedName name="dtsalessens4f1">#REF!</definedName>
    <definedName name="dtsalessens4f2">#REF!</definedName>
    <definedName name="dtsalessens4f3">#REF!</definedName>
    <definedName name="dtsalessens5f1">#REF!</definedName>
    <definedName name="dtsalessens5f2">#REF!</definedName>
    <definedName name="dtsalessens5f3">#REF!</definedName>
    <definedName name="dtu">#REF!</definedName>
    <definedName name="dtuk">#REF!</definedName>
    <definedName name="dtuk_1">#REF!</definedName>
    <definedName name="dtyk">#REF!</definedName>
    <definedName name="dtyk_1">#REF!</definedName>
    <definedName name="duck" hidden="1">{#N/A,#N/A,FALSE,"Summary";#N/A,#N/A,FALSE,"1991";#N/A,#N/A,FALSE,"91 AMT";#N/A,#N/A,FALSE,"1992";#N/A,#N/A,FALSE,"92 AMT";#N/A,#N/A,FALSE,"1993";#N/A,#N/A,FALSE,"93 AMT"}</definedName>
    <definedName name="dud" hidden="1">{#N/A,#N/A,FALSE,"Aging Summary";#N/A,#N/A,FALSE,"Ratio Analysis";#N/A,#N/A,FALSE,"Test 120 Day Accts";#N/A,#N/A,FALSE,"Tickmarks"}</definedName>
    <definedName name="dud_3">#REF!</definedName>
    <definedName name="duh">#REF!</definedName>
    <definedName name="dumppr">#REF!</definedName>
    <definedName name="dumppr.">#REF!</definedName>
    <definedName name="duplicate123A">#REF!</definedName>
    <definedName name="DURATION">#REF!</definedName>
    <definedName name="duryapharma">#REF!</definedName>
    <definedName name="DutyAppl">#REF!</definedName>
    <definedName name="DutyRate">#REF!</definedName>
    <definedName name="DVNAM">"LANAR01"</definedName>
    <definedName name="DVS">#REF!</definedName>
    <definedName name="DVSVDVsdvsD2" hidden="1">{"'Planning Data'!$A$2:$X$120"}</definedName>
    <definedName name="DVSVSDVsdvsD" hidden="1">{"'Planning Data'!$A$2:$X$120"}</definedName>
    <definedName name="DVTYP">"PRINTER"</definedName>
    <definedName name="dw">#REF!</definedName>
    <definedName name="dwe">{"'1-TheatreBkgs'!$A$1:$L$102"}</definedName>
    <definedName name="dwerwe">{"'1-TheatreBkgs'!$A$1:$L$102"}</definedName>
    <definedName name="dwfw">#REF!</definedName>
    <definedName name="dxdst">#REF!</definedName>
    <definedName name="dzbvx">#REF!</definedName>
    <definedName name="dzbvx_1">#REF!</definedName>
    <definedName name="e">#REF!</definedName>
    <definedName name="E.12">#REF!</definedName>
    <definedName name="E_1">#REF!</definedName>
    <definedName name="e_3">#REF!</definedName>
    <definedName name="E_7">#REF!</definedName>
    <definedName name="e2k">#REF!</definedName>
    <definedName name="ea" hidden="1">{#N/A,#N/A,FALSE,"Aging Summary";#N/A,#N/A,FALSE,"Ratio Analysis";#N/A,#N/A,FALSE,"Test 120 Day Accts";#N/A,#N/A,FALSE,"Tickmarks"}</definedName>
    <definedName name="EA_2Q">#REF!</definedName>
    <definedName name="ea_3">#REF!</definedName>
    <definedName name="EAA">#REF!</definedName>
    <definedName name="EagleLogo">"Picture 1"</definedName>
    <definedName name="Early_term_pnlty">#REF!</definedName>
    <definedName name="earn">#REF!</definedName>
    <definedName name="EARN2AmortBeg">#REF!</definedName>
    <definedName name="EARN2CheckSum">#REF!</definedName>
    <definedName name="EARN2ColumnRefs">#REF!</definedName>
    <definedName name="EARN2CrValue">#REF!</definedName>
    <definedName name="EARN2Cusip">#REF!</definedName>
    <definedName name="EARN2DayBasis">#REF!</definedName>
    <definedName name="EARN2FAS115">#REF!</definedName>
    <definedName name="EARN2ID">#REF!</definedName>
    <definedName name="EARN2IntAccBegin">#REF!</definedName>
    <definedName name="EARN2PercentPortfolio">#REF!</definedName>
    <definedName name="EARN2RecIncNet">#REF!</definedName>
    <definedName name="EARN2TaxEquivCpn">#REF!</definedName>
    <definedName name="EARN2TaxEquivYld">#REF!</definedName>
    <definedName name="EARN2UnrlzdGLBeg">#REF!</definedName>
    <definedName name="EARN2UnrlzdGLforPeriod">#REF!</definedName>
    <definedName name="EARN2ValueCheck1">#REF!</definedName>
    <definedName name="EARN2ValueCheck2">#REF!</definedName>
    <definedName name="EARNAccCheck">#REF!</definedName>
    <definedName name="EARNAccIntForPrdFormulas">#REF!</definedName>
    <definedName name="EARNAccIntPurchdForPeriodCurrHeld">#REF!</definedName>
    <definedName name="EARNAccIntRcpd">#REF!</definedName>
    <definedName name="EARNAccIntRcpdAll">#REF!</definedName>
    <definedName name="EARNAccIntRcpdCurrHeld">#REF!</definedName>
    <definedName name="EARNAccIntRcpdDate7">#REF!</definedName>
    <definedName name="EARNAccIntRcpdDate7CurrHeld">#REF!</definedName>
    <definedName name="EARNAccIntRcvd">#REF!</definedName>
    <definedName name="EARNAccIntRcvdAll">#REF!</definedName>
    <definedName name="EARNAccIntRcvdCurrHeld">#REF!</definedName>
    <definedName name="EARNAccIntRcvdDate6">#REF!</definedName>
    <definedName name="EARNAccIntRcvdDate6CurrHeld">#REF!</definedName>
    <definedName name="EARNAccIntRcvdSold">#REF!</definedName>
    <definedName name="EARNAccountNum">#REF!</definedName>
    <definedName name="EARNAdj">#REF!</definedName>
    <definedName name="EARNAdjTotal">#REF!</definedName>
    <definedName name="EARNAmortBeg">#REF!</definedName>
    <definedName name="EARNAmortBegCurrHeld">#REF!</definedName>
    <definedName name="EARNAmortEndCurrHeld">#REF!</definedName>
    <definedName name="EARNAmortRemain">#REF!</definedName>
    <definedName name="EARNassetclassdrdpfd">#REF!</definedName>
    <definedName name="EARNAssetClassPercentCurrHeld">#REF!</definedName>
    <definedName name="EARNassetclasstaxabs">#REF!</definedName>
    <definedName name="EARNassetclasstaxarc">#REF!</definedName>
    <definedName name="EARNassetclasstaxcd">#REF!</definedName>
    <definedName name="EARNassetclasstaxcorp">#REF!</definedName>
    <definedName name="EARNassetclasstaxcp">#REF!</definedName>
    <definedName name="EARNassetclasstaxdn">#REF!</definedName>
    <definedName name="EARNassetclasstaxgovt">#REF!</definedName>
    <definedName name="EARNassetclasstaxmmf">#REF!</definedName>
    <definedName name="EARNassetclasstaxmuni">#REF!</definedName>
    <definedName name="EARNassetclasstaxpfd">#REF!</definedName>
    <definedName name="EARNassetclasstearc">#REF!</definedName>
    <definedName name="EARNassetclasstecp">#REF!</definedName>
    <definedName name="EARNassetclasstemmf">#REF!</definedName>
    <definedName name="EARNassetclasstemuni">#REF!</definedName>
    <definedName name="EARNassetclasstepfd">#REF!</definedName>
    <definedName name="EARNassetclasstevrdn">#REF!</definedName>
    <definedName name="EARNBlanks">#REF!</definedName>
    <definedName name="EARNBlanksCurrHeld">#REF!</definedName>
    <definedName name="EARNcheckaccrualforprd">#REF!</definedName>
    <definedName name="EARNcheckaccrualforprddiff">#REF!</definedName>
    <definedName name="EARNcheckamortforprd">#REF!</definedName>
    <definedName name="EARNcheckamortforprddiff">#REF!</definedName>
    <definedName name="EARNcheckforperiod">#REF!</definedName>
    <definedName name="EARNcolumnbreak">#REF!</definedName>
    <definedName name="EARNColumns">#REF!</definedName>
    <definedName name="EARNCpnCurrHeld">#REF!</definedName>
    <definedName name="EARNCrValue">#REF!</definedName>
    <definedName name="EARNCrValueCurrHeld">#REF!</definedName>
    <definedName name="EARNCrValueSummPage">#REF!</definedName>
    <definedName name="EARNCurrentBalTotal">#REF!</definedName>
    <definedName name="EARNCusip">#REF!</definedName>
    <definedName name="EARNCusipCurrHeld">#REF!</definedName>
    <definedName name="EARNDayBasis">#REF!</definedName>
    <definedName name="EARNDaysRemainSummPage">#REF!</definedName>
    <definedName name="EARNDaysSincePay">#REF!</definedName>
    <definedName name="EARNDaysSincePurch">#REF!</definedName>
    <definedName name="EARNDealSizeOutsdg">#REF!</definedName>
    <definedName name="EARNdrdassetclasses1">#REF!</definedName>
    <definedName name="EARNdrdassetclasses2">#REF!</definedName>
    <definedName name="EARNdrdpfdAccIntPurchdForPrdLkp1">#REF!</definedName>
    <definedName name="EARNdrdpfdAccIntPurchdForPrdLkp2">#REF!</definedName>
    <definedName name="EARNdrdpfdAccIntPurchdForPrdSum1">#REF!</definedName>
    <definedName name="EARNdrdpfdAccIntPurchdForPrdSum2">#REF!</definedName>
    <definedName name="EARNdrdpfdamortbeg">#REF!</definedName>
    <definedName name="EARNdrdpfdbegpaste">#REF!</definedName>
    <definedName name="EARNdrdpfdcpncurrent">#REF!</definedName>
    <definedName name="EARNdrdpfdcpnprev">#REF!</definedName>
    <definedName name="EARNdrdpfdintaccbeg">#REF!</definedName>
    <definedName name="EARNDRDPFDTemplate">#REF!</definedName>
    <definedName name="EARNdrdpfdunrlzdbeg">#REF!</definedName>
    <definedName name="EARNdrdsubAccIntPurchdForPrdSum1">#REF!</definedName>
    <definedName name="EARNdrdsubAccIntPurchdForPrdSum2">#REF!</definedName>
    <definedName name="EARNdrdsubamortbeg">#REF!</definedName>
    <definedName name="EARNdrdsubbegpaste">#REF!</definedName>
    <definedName name="EARNdrdsubintaccbeg">#REF!</definedName>
    <definedName name="EARNdrdsubunrlzdbeg">#REF!</definedName>
    <definedName name="EARNDtBlanks">#REF!</definedName>
    <definedName name="EARNDtBlanksCurrHeld">#REF!</definedName>
    <definedName name="EARNDur">#REF!</definedName>
    <definedName name="EARNDurColumn">#REF!</definedName>
    <definedName name="EARNdurinclpending">#REF!</definedName>
    <definedName name="EARNFas115">#REF!</definedName>
    <definedName name="EARNFinalMatDt">#REF!</definedName>
    <definedName name="EARNFirstCallAfterPurch">#REF!</definedName>
    <definedName name="EARNFunds">#REF!</definedName>
    <definedName name="EARNFundsTotal">#REF!</definedName>
    <definedName name="EARNInd">#REF!</definedName>
    <definedName name="EARNIndCurrHeld">#REF!</definedName>
    <definedName name="earnings">#REF!</definedName>
    <definedName name="EARNIntAccBegin">#REF!</definedName>
    <definedName name="EARNIntAccBeginCurrHeld">#REF!</definedName>
    <definedName name="EARNIntAccEndCurrHeld">#REF!</definedName>
    <definedName name="EARNIntColumns">#REF!</definedName>
    <definedName name="EARNIntPymt1">#REF!</definedName>
    <definedName name="EARNIntPymt1CurrHeld">#REF!</definedName>
    <definedName name="EARNIntPymt2">#REF!</definedName>
    <definedName name="EARNIntPymt2CurrHeld">#REF!</definedName>
    <definedName name="EARNIntPymt3">#REF!</definedName>
    <definedName name="EARNIntPymt3CurrHeld">#REF!</definedName>
    <definedName name="EARNIntPymt4">#REF!</definedName>
    <definedName name="EARNIntPymt4CurrHeld">#REF!</definedName>
    <definedName name="EARNIntPymt5">#REF!</definedName>
    <definedName name="EARNIntPymt5CurrHeld">#REF!</definedName>
    <definedName name="EARNIntPymtDate1">#REF!</definedName>
    <definedName name="EARNIntPymtDate1CurrHeld">#REF!</definedName>
    <definedName name="EARNIntPymtDate2">#REF!</definedName>
    <definedName name="EARNIntPymtDate2CurrHeld">#REF!</definedName>
    <definedName name="EARNIntPymtDate3">#REF!</definedName>
    <definedName name="EARNIntPymtDate3CurrHeld">#REF!</definedName>
    <definedName name="EARNIntPymtDate4">#REF!</definedName>
    <definedName name="EARNIntPymtDate4CurrHeld">#REF!</definedName>
    <definedName name="EARNIntPymtDate5">#REF!</definedName>
    <definedName name="EARNIntPymtDate5CurrHeld">#REF!</definedName>
    <definedName name="EARNIntPymtLkp">#REF!</definedName>
    <definedName name="EARNIntPymtLkp2">#REF!</definedName>
    <definedName name="EARNIssuer">#REF!</definedName>
    <definedName name="EARNIssuerCurrHeld">#REF!</definedName>
    <definedName name="EARNLastPayDateAll">#REF!</definedName>
    <definedName name="EARNMatDateAll">#REF!</definedName>
    <definedName name="EARNMatDateCurrHeld">#REF!</definedName>
    <definedName name="EARNMatPrice">#REF!</definedName>
    <definedName name="EARNMatTrdDt">#REF!</definedName>
    <definedName name="EARNMktPrice">#REF!</definedName>
    <definedName name="EARNMMFParTotal">#REF!</definedName>
    <definedName name="EARNNextCallDate">#REF!</definedName>
    <definedName name="EARNNextPayDate">#REF!</definedName>
    <definedName name="EARNOrigFirstCall">#REF!</definedName>
    <definedName name="EARNoutsidemmfs1">#REF!</definedName>
    <definedName name="EARNoutsidemmfs2">#REF!</definedName>
    <definedName name="EARNParTotal">#REF!</definedName>
    <definedName name="EARNPaySchedule">#REF!</definedName>
    <definedName name="EARNPendingCurrentBalTotal">#REF!</definedName>
    <definedName name="EARNpendingestimates">#REF!</definedName>
    <definedName name="EARNPendingParTotal">#REF!</definedName>
    <definedName name="EARNpercentissueoutsdg">#REF!</definedName>
    <definedName name="EARNPercentPortfolio">#REF!</definedName>
    <definedName name="EARNPercentPortfolioCurrHeld">#REF!</definedName>
    <definedName name="EARNPositionTotal">#REF!</definedName>
    <definedName name="EARNPremPaid">#REF!</definedName>
    <definedName name="EARNPremToAmort">#REF!</definedName>
    <definedName name="EARNPrevCpn">#REF!</definedName>
    <definedName name="EARNPrevResDt">#REF!</definedName>
    <definedName name="EARNPurchPrice">#REF!</definedName>
    <definedName name="EARNPurchTrdDt">#REF!</definedName>
    <definedName name="EARNRecIncNet">#REF!</definedName>
    <definedName name="EARNRefNum">#REF!</definedName>
    <definedName name="EARNRlzdAmortSold">#REF!</definedName>
    <definedName name="EARNRlzdGLSold">#REF!</definedName>
    <definedName name="EARNRlzdGLTotal">#REF!</definedName>
    <definedName name="EARNSecNum">#REF!</definedName>
    <definedName name="EARNSecs">#REF!</definedName>
    <definedName name="EARNSecsTotal">#REF!</definedName>
    <definedName name="EARNselectmmfpymt1">#REF!</definedName>
    <definedName name="EARNselectmmfpymt2">#REF!</definedName>
    <definedName name="EARNSold">#REF!</definedName>
    <definedName name="EARNSources">#REF!</definedName>
    <definedName name="EARNStepUpDate">#REF!</definedName>
    <definedName name="EARNStepUpInfo">#REF!</definedName>
    <definedName name="EARNsubformulas">#REF!</definedName>
    <definedName name="EARNTable">#REF!</definedName>
    <definedName name="EARNtaxabsAccIntPurchdForPrdSum1">#REF!</definedName>
    <definedName name="EARNtaxabsAccIntPurchdForPrdSum2">#REF!</definedName>
    <definedName name="EARNtaxabsamortbeg">#REF!</definedName>
    <definedName name="EARNtaxabsbegpaste">#REF!</definedName>
    <definedName name="EARNtaxabsintaccbeg">#REF!</definedName>
    <definedName name="EARNtaxabsunrlzdbeg">#REF!</definedName>
    <definedName name="EARNtaxagcyAccIntPurchdForPrdLkp1">#REF!</definedName>
    <definedName name="EARNtaxagcyAccIntPurchdForPrdLkp2">#REF!</definedName>
    <definedName name="EARNTAXAGCYTemplate">#REF!</definedName>
    <definedName name="EARNtaxamortbeg">#REF!</definedName>
    <definedName name="EARNtaxarcAccIntPurchdForPrdLkp1">#REF!</definedName>
    <definedName name="EARNtaxarcAccIntPurchdForPrdLkp2">#REF!</definedName>
    <definedName name="EARNtaxarcAccIntPurchdForPrdSum1">#REF!</definedName>
    <definedName name="EARNtaxarcAccIntPurchdForPrdSum2">#REF!</definedName>
    <definedName name="EARNtaxarcbegpaste">#REF!</definedName>
    <definedName name="EARNtaxarccpncurrent">#REF!</definedName>
    <definedName name="EARNtaxarccpnprev">#REF!</definedName>
    <definedName name="EARNtaxarcintaccbeg">#REF!</definedName>
    <definedName name="EARNTAXARCTemplate">#REF!</definedName>
    <definedName name="EARNtaxarcunrlzdbeg">#REF!</definedName>
    <definedName name="EARNtaxcdAccIntPurchdForPrdLkp1">#REF!</definedName>
    <definedName name="EARNtaxcdAccIntPurchdForPrdLkp2">#REF!</definedName>
    <definedName name="EARNtaxcdAccIntPurchdForPrdSum1">#REF!</definedName>
    <definedName name="EARNtaxcdAccIntPurchdForPrdSum2">#REF!</definedName>
    <definedName name="EARNtaxcdamortbeg">#REF!</definedName>
    <definedName name="EARNtaxcdbegpaste">#REF!</definedName>
    <definedName name="EARNtaxcdintaccbeg">#REF!</definedName>
    <definedName name="EARNTAXCDTemplate">#REF!</definedName>
    <definedName name="EARNtaxcdunrlzdbeg">#REF!</definedName>
    <definedName name="EARNtaxcorpAccIntPurchdForPrdLkp1">#REF!</definedName>
    <definedName name="EARNtaxcorpAccIntPurchdForPrdLkp2">#REF!</definedName>
    <definedName name="EARNtaxcorpAccIntPurchdForPrdSum1">#REF!</definedName>
    <definedName name="EARNtaxcorpAccIntPurchdForPrdSum2">#REF!</definedName>
    <definedName name="EARNtaxcorpamortbeg">#REF!</definedName>
    <definedName name="EARNtaxcorpbegpaste">#REF!</definedName>
    <definedName name="EARNtaxcorpintaccbeg">#REF!</definedName>
    <definedName name="EARNTAXCORPTemplate">#REF!</definedName>
    <definedName name="EARNtaxcorpunrlzdbeg">#REF!</definedName>
    <definedName name="EARNtaxcpAccIntPurchdForPrdLkp1">#REF!</definedName>
    <definedName name="EARNtaxcpAccIntPurchdForPrdLkp2">#REF!</definedName>
    <definedName name="EARNtaxcpAccIntPurchdForPrdSum1">#REF!</definedName>
    <definedName name="EARNtaxcpAccIntPurchdForPrdSum2">#REF!</definedName>
    <definedName name="EARNtaxcpamortbeg">#REF!</definedName>
    <definedName name="EARNtaxcpbegpaste">#REF!</definedName>
    <definedName name="EARNtaxcpintaccbeg">#REF!</definedName>
    <definedName name="EARNTAXCPTemplate">#REF!</definedName>
    <definedName name="EARNtaxcpunrlzdbeg">#REF!</definedName>
    <definedName name="EARNtaxdnAccIntPurchdForPrdLkp1">#REF!</definedName>
    <definedName name="EARNtaxdnAccIntPurchdForPrdLkp2">#REF!</definedName>
    <definedName name="EARNtaxdnAccIntPurchdForPrdSum1">#REF!</definedName>
    <definedName name="EARNtaxdnAccIntPurchdForPrdSum2">#REF!</definedName>
    <definedName name="EARNtaxdnamortbeg">#REF!</definedName>
    <definedName name="EARNtaxdnbegpaste">#REF!</definedName>
    <definedName name="EARNtaxdnintaccbeg">#REF!</definedName>
    <definedName name="EARNTAXDNTemplate">#REF!</definedName>
    <definedName name="EARNtaxdnunrlzdbeg">#REF!</definedName>
    <definedName name="EARNTaxEquivCpn">#REF!</definedName>
    <definedName name="EARNTaxEquivYld">#REF!</definedName>
    <definedName name="EARNtaxgovtAccIntPurchdForPrdSum1">#REF!</definedName>
    <definedName name="EARNtaxgovtAccIntPurchdForPrdSum2">#REF!</definedName>
    <definedName name="EARNtaxgovtamortbeg">#REF!</definedName>
    <definedName name="EARNtaxgovtbegpaste">#REF!</definedName>
    <definedName name="EARNtaxgovtintaccbeg">#REF!</definedName>
    <definedName name="EARNtaxgovtunrlzdbeg">#REF!</definedName>
    <definedName name="EARNtaxmmf1AccIntPurchdForPrdLkp1">#REF!</definedName>
    <definedName name="EARNtaxmmf1AccIntPurchdForPrdLkp2">#REF!</definedName>
    <definedName name="EARNtaxmmf2AccIntPurchdForPrdLkp1">#REF!</definedName>
    <definedName name="EARNtaxmmf2AccIntPurchdForPrdLkp2">#REF!</definedName>
    <definedName name="EARNtaxmmf3AccIntPurchdForPrdLkp1">#REF!</definedName>
    <definedName name="EARNtaxmmf3AccIntPurchdForPrdLkp2">#REF!</definedName>
    <definedName name="EARNtaxmmf4AccIntPurchdForPrdLkp1">#REF!</definedName>
    <definedName name="EARNtaxmmf4AccIntPurchdForPrdLkp2">#REF!</definedName>
    <definedName name="EARNtaxmmfAccIntPurchdForPrdSum1">#REF!</definedName>
    <definedName name="EARNtaxmmfAccIntPurchdForPrdSum2">#REF!</definedName>
    <definedName name="EARNtaxmmfamortbeg">#REF!</definedName>
    <definedName name="EARNtaxmmfbegpaste">#REF!</definedName>
    <definedName name="EARNtaxmmfintaccbeg">#REF!</definedName>
    <definedName name="EARNtaxmmfunrlzdbeg">#REF!</definedName>
    <definedName name="EARNtaxmuniAccIntPurchdForPrdLkp1">#REF!</definedName>
    <definedName name="EARNtaxmuniAccIntPurchdForPrdLkp2">#REF!</definedName>
    <definedName name="EARNtaxmuniAccIntPurchdForPrdSum1">#REF!</definedName>
    <definedName name="EARNtaxmuniAccIntPurchdForPrdSum2">#REF!</definedName>
    <definedName name="EARNtaxmuniamortbeg">#REF!</definedName>
    <definedName name="EARNtaxmunibegpaste">#REF!</definedName>
    <definedName name="EARNtaxmuniintaccbeg">#REF!</definedName>
    <definedName name="EARNTAXMUNITemplate">#REF!</definedName>
    <definedName name="EARNtaxmuniunrlzdbeg">#REF!</definedName>
    <definedName name="EARNtaxpfdAccIntPurchdForPrdLkp1">#REF!</definedName>
    <definedName name="EARNtaxpfdAccIntPurchdForPrdLkp2">#REF!</definedName>
    <definedName name="EARNtaxpfdAccIntPurchdForPrdSum1">#REF!</definedName>
    <definedName name="EARNtaxpfdAccIntPurchdForPrdSum2">#REF!</definedName>
    <definedName name="EARNtaxpfdamortbeg">#REF!</definedName>
    <definedName name="EARNtaxpfdbegpaste">#REF!</definedName>
    <definedName name="EARNtaxpfdcpncurrent">#REF!</definedName>
    <definedName name="EARNtaxpfdcpnprev">#REF!</definedName>
    <definedName name="EARNtaxpfdintaccbeg">#REF!</definedName>
    <definedName name="EARNTAXPFDTemplate">#REF!</definedName>
    <definedName name="EARNtaxpfdunrlzdbeg">#REF!</definedName>
    <definedName name="EARNTaxStatus">#REF!</definedName>
    <definedName name="EARNtaxsubAccIntPurchdForPrdSum1">#REF!</definedName>
    <definedName name="EARNtaxsubAccIntPurchdForPrdSum2">#REF!</definedName>
    <definedName name="EARNtaxsubamortbeg">#REF!</definedName>
    <definedName name="EARNtaxsubintaccbeg">#REF!</definedName>
    <definedName name="EARNtaxsubpaste">#REF!</definedName>
    <definedName name="EARNtaxsubunrlzdbeg">#REF!</definedName>
    <definedName name="EARNtaxtsryAccIntPurchdForPrdLkp1">#REF!</definedName>
    <definedName name="EARNtaxtsryAccIntPurchdForPrdLkp2">#REF!</definedName>
    <definedName name="EARNTAXTSRYTemplate">#REF!</definedName>
    <definedName name="EARNtearcAccIntPurchdForPrdLkp1">#REF!</definedName>
    <definedName name="EARNtearcAccIntPurchdForPrdLkp2">#REF!</definedName>
    <definedName name="EARNtearcAccIntPurchdForPrdSum1">#REF!</definedName>
    <definedName name="EARNtearcAccIntPurchdForPrdSum2">#REF!</definedName>
    <definedName name="EARNtearcamortbeg">#REF!</definedName>
    <definedName name="EARNtearcbegpaste">#REF!</definedName>
    <definedName name="EARNtearccpncurrent">#REF!</definedName>
    <definedName name="EARNtearccpnprev">#REF!</definedName>
    <definedName name="EARNtearcintaccbeg">#REF!</definedName>
    <definedName name="EARNTEARCTemplate">#REF!</definedName>
    <definedName name="EARNtearcunrlzdbeg">#REF!</definedName>
    <definedName name="EARNteassetclasses">#REF!</definedName>
    <definedName name="EARNteassetclasses1">#REF!</definedName>
    <definedName name="EARNteassetclasses2">#REF!</definedName>
    <definedName name="EARNtecpAccIntPurchdForPrdLkp1">#REF!</definedName>
    <definedName name="EARNtecpAccIntPurchdForPrdLkp2">#REF!</definedName>
    <definedName name="EARNtecpAccIntPurchdForPrdSum1">#REF!</definedName>
    <definedName name="EARNtecpAccIntPurchdForPrdSum2">#REF!</definedName>
    <definedName name="EARNtecpamortbeg">#REF!</definedName>
    <definedName name="EARNtecpbegpaste">#REF!</definedName>
    <definedName name="EARNtecpintaccbeg">#REF!</definedName>
    <definedName name="EARNTECPLCus">#REF!</definedName>
    <definedName name="EARNTECPTemplate">#REF!</definedName>
    <definedName name="EARNtecpunrlzdbeg">#REF!</definedName>
    <definedName name="EARNtemmfAccIntPurchdForPrdLkp1">#REF!</definedName>
    <definedName name="EARNtemmfAccIntPurchdForPrdLkp2">#REF!</definedName>
    <definedName name="EARNtemmfAccIntPurchdForPrdSum1">#REF!</definedName>
    <definedName name="EARNtemmfAccIntPurchdForPrdSum2">#REF!</definedName>
    <definedName name="EARNtemmfamortbeg">#REF!</definedName>
    <definedName name="EARNtemmfbegpaste">#REF!</definedName>
    <definedName name="EARNtemmfintaccbeg">#REF!</definedName>
    <definedName name="EARNTEMMFTEMPLATE">#REF!</definedName>
    <definedName name="EARNtemmfunrlzdbeg">#REF!</definedName>
    <definedName name="EARNtemuniAccIntPurchdForPrdLkp1">#REF!</definedName>
    <definedName name="EARNtemuniAccIntPurchdForPrdLkp2">#REF!</definedName>
    <definedName name="EARNtemuniAccIntPurchdForPrdSum1">#REF!</definedName>
    <definedName name="EARNtemuniAccIntPurchdForPrdSum2">#REF!</definedName>
    <definedName name="EARNtemuniamortbeg">#REF!</definedName>
    <definedName name="EARNtemunibegpaste">#REF!</definedName>
    <definedName name="EARNtemuniintaccbeg">#REF!</definedName>
    <definedName name="EARNTEMUNITemplate">#REF!</definedName>
    <definedName name="EARNtemuniunrlzdbeg">#REF!</definedName>
    <definedName name="EARNtepfdAccIntPurchdForPrdLkp1">#REF!</definedName>
    <definedName name="EARNtepfdAccIntPurchdForPrdLkp2">#REF!</definedName>
    <definedName name="EARNtepfdAccIntPurchdForPrdSum1">#REF!</definedName>
    <definedName name="EARNtepfdAccIntPurchdForPrdSum2">#REF!</definedName>
    <definedName name="EARNtepfdamortbeg">#REF!</definedName>
    <definedName name="EARNtepfdbegpaste">#REF!</definedName>
    <definedName name="EARNtepfdcpncurrent">#REF!</definedName>
    <definedName name="EARNtepfdcpnprev">#REF!</definedName>
    <definedName name="EARNtepfdintaccbeg">#REF!</definedName>
    <definedName name="EARNTEPfdTemplate">#REF!</definedName>
    <definedName name="EARNtepfdunrlzdbeg">#REF!</definedName>
    <definedName name="EARNtesubAccIntPurchdForPrdSum1">#REF!</definedName>
    <definedName name="EARNtesubAccIntPurchdForPrdSum2">#REF!</definedName>
    <definedName name="EARNtesubamortbeg">#REF!</definedName>
    <definedName name="EARNtesubbegpaste">#REF!</definedName>
    <definedName name="EARNtesubintaccbeg">#REF!</definedName>
    <definedName name="EARNtesubunrlzdbeg">#REF!</definedName>
    <definedName name="EARNtevrdnAccIntPurchdForPrdLkp1">#REF!</definedName>
    <definedName name="EARNtevrdnAccIntPurchdForPrdLkp2">#REF!</definedName>
    <definedName name="EARNtevrdnAccIntPurchdForPrdSum1">#REF!</definedName>
    <definedName name="EARNtevrdnAccIntPurchdForPrdSum2">#REF!</definedName>
    <definedName name="EARNtevrdnamortbeg">#REF!</definedName>
    <definedName name="EARNtevrdnbegpaste">#REF!</definedName>
    <definedName name="EARNtevrdncpncurrent">#REF!</definedName>
    <definedName name="EARNtevrdncpnprev">#REF!</definedName>
    <definedName name="EARNtevrdnintaccbeg">#REF!</definedName>
    <definedName name="EARNTEVRDNTemplate">#REF!</definedName>
    <definedName name="EARNtevrdnunrlzdbeg">#REF!</definedName>
    <definedName name="EARNTotalDaysByDayBasis">#REF!</definedName>
    <definedName name="EARNTotalDaysCurrHeld">#REF!</definedName>
    <definedName name="EARNUnqID">#REF!</definedName>
    <definedName name="EARNUnrlzdGLBeg">#REF!</definedName>
    <definedName name="EARNUnrlzdGLBegCurrHeld">#REF!</definedName>
    <definedName name="EARNUnrlzdGLChangeTotal">#REF!</definedName>
    <definedName name="EARNUnrlzdGLEndCurrHeld">#REF!</definedName>
    <definedName name="EARNUnrlzdGLforPeriod">#REF!</definedName>
    <definedName name="EARNUnrlzdGLTotal">#REF!</definedName>
    <definedName name="EARNwac">#REF!</definedName>
    <definedName name="EARNwacr">#REF!</definedName>
    <definedName name="EARNwacrvalue">#REF!</definedName>
    <definedName name="EARNwam">#REF!</definedName>
    <definedName name="EARNwaminclpending">#REF!</definedName>
    <definedName name="EARNwatd">#REF!</definedName>
    <definedName name="EARNway">#REF!</definedName>
    <definedName name="EARNwayinclpending">#REF!</definedName>
    <definedName name="EARNZeros">#REF!</definedName>
    <definedName name="EARNZerosCurrHeld">#REF!</definedName>
    <definedName name="eas">#REF!</definedName>
    <definedName name="easfasd">#REF!</definedName>
    <definedName name="easfasd_1">#REF!</definedName>
    <definedName name="easfasd_2">#REF!</definedName>
    <definedName name="easfasd_3">#REF!</definedName>
    <definedName name="easfasd_4">#REF!</definedName>
    <definedName name="East">#REF!</definedName>
    <definedName name="Eastcoast">#REF!</definedName>
    <definedName name="Eastern">#REF!</definedName>
    <definedName name="eay">#REF!</definedName>
    <definedName name="eb">#REF!</definedName>
    <definedName name="EBIT_margin_fore">#REF!</definedName>
    <definedName name="ebitda">#REF!</definedName>
    <definedName name="EBITDA_growth_avg">#REF!</definedName>
    <definedName name="EBITDA_mult">#REF!</definedName>
    <definedName name="EBITDA_Share">#REF!</definedName>
    <definedName name="EBITDAMonth">#REF!</definedName>
    <definedName name="EBITDAR_Capex_Excl_Medi_Cal">"cov1"</definedName>
    <definedName name="EBITDAYTD">#REF!</definedName>
    <definedName name="EBLAUG01A">#REF!</definedName>
    <definedName name="EBLFY00A">#REF!</definedName>
    <definedName name="EBLFY98A">#REF!</definedName>
    <definedName name="EBLFY99A">#REF!</definedName>
    <definedName name="EBLLOBAUG01A">#REF!</definedName>
    <definedName name="EBLLOBFY00A">#REF!</definedName>
    <definedName name="EBLLOBFY98A">#REF!</definedName>
    <definedName name="EBLLOBFY99A">#REF!</definedName>
    <definedName name="EBLLOBQ100A">#REF!</definedName>
    <definedName name="EBLLOBQ101A">#REF!</definedName>
    <definedName name="EBLLOBQ198A">#REF!</definedName>
    <definedName name="EBLLOBQ199A">#REF!</definedName>
    <definedName name="EBLLOBQ200A">#REF!</definedName>
    <definedName name="EBLLOBQ201A">#REF!</definedName>
    <definedName name="EBLLOBQ298A">#REF!</definedName>
    <definedName name="EBLLOBQ299A">#REF!</definedName>
    <definedName name="EBLLOBQ300A">#REF!</definedName>
    <definedName name="EBLLOBQ398A">#REF!</definedName>
    <definedName name="EBLLOBQ399A">#REF!</definedName>
    <definedName name="EBLLOBQ400A">#REF!</definedName>
    <definedName name="EBLLOBQ498A">#REF!</definedName>
    <definedName name="EBLLOBQ499A">#REF!</definedName>
    <definedName name="EBLQ100A">#REF!</definedName>
    <definedName name="EBLQ101A">#REF!</definedName>
    <definedName name="EBLQ198A">#REF!</definedName>
    <definedName name="EBLQ199A">#REF!</definedName>
    <definedName name="EBLQ200A">#REF!</definedName>
    <definedName name="EBLQ201A">#REF!</definedName>
    <definedName name="EBLQ298A">#REF!</definedName>
    <definedName name="EBLQ300A">#REF!</definedName>
    <definedName name="EBLQ398A">#REF!</definedName>
    <definedName name="EBLQ399A">#REF!</definedName>
    <definedName name="EBLQ400A">#REF!</definedName>
    <definedName name="EBLQ498A">#REF!</definedName>
    <definedName name="EBLQ499A">#REF!</definedName>
    <definedName name="ECONOMIC_ASSUM">#REF!</definedName>
    <definedName name="ed">#REF!</definedName>
    <definedName name="eddd" hidden="1">{#N/A,#N/A,FALSE,"Pharm";#N/A,#N/A,FALSE,"WWCM"}</definedName>
    <definedName name="edddd" hidden="1">{#N/A,#N/A,FALSE,"Pharm";#N/A,#N/A,FALSE,"WWCM"}</definedName>
    <definedName name="eddy" hidden="1">{"Q2_Fcst_Fcst_Var_Detail",#N/A,FALSE,"REPORT FORMAT";"Q2_Fcst_Fcst_Var_Summary",#N/A,FALSE,"REPORT FORMAT"}</definedName>
    <definedName name="edfe" hidden="1">#REF!</definedName>
    <definedName name="EDFG" hidden="1">{#N/A,#N/A,FALSE,"REPORT"}</definedName>
    <definedName name="edp">#REF!</definedName>
    <definedName name="EdtLineNumber">"EdtLineNumber"</definedName>
    <definedName name="Educ">#REF!</definedName>
    <definedName name="Educ1">#REF!</definedName>
    <definedName name="Educ2">#REF!</definedName>
    <definedName name="Educ3">#REF!</definedName>
    <definedName name="Educ4">#REF!</definedName>
    <definedName name="Educ5">#REF!</definedName>
    <definedName name="Educ6">#REF!</definedName>
    <definedName name="ee">#REF!</definedName>
    <definedName name="eee" hidden="1">{#N/A,#N/A,FALSE,"Australia";#N/A,#N/A,FALSE,"Austria";#N/A,#N/A,FALSE,"Belgium";#N/A,#N/A,FALSE,"Canada";#N/A,#N/A,FALSE,"France";#N/A,#N/A,FALSE,"Germany";#N/A,#N/A,FALSE,"Hong Kong";#N/A,#N/A,FALSE,"Italy";#N/A,#N/A,FALSE,"Japan";#N/A,#N/A,FALSE,"Korea";#N/A,#N/A,FALSE,"Mexico";#N/A,#N/A,FALSE,"Poland";#N/A,#N/A,FALSE,"Spain";#N/A,#N/A,FALSE,"Switzerland";#N/A,#N/A,FALSE,"UK"}</definedName>
    <definedName name="eee.ooo">#REF!</definedName>
    <definedName name="eee.ppp">#REF!</definedName>
    <definedName name="EEEE">#REF!</definedName>
    <definedName name="eeeee">#REF!</definedName>
    <definedName name="eeeeee">#REF!</definedName>
    <definedName name="EEEEEEEE">#REF!</definedName>
    <definedName name="EEEEEEEEEEEE">#REF!</definedName>
    <definedName name="EER">{"'표지'!$B$5"}</definedName>
    <definedName name="eergbdb">{"'1-TheatreBkgs'!$A$1:$L$102"}</definedName>
    <definedName name="eerw" hidden="1">{#N/A,#N/A,FALSE,"Taxblinc";#N/A,#N/A,FALSE,"Rsvsacls"}</definedName>
    <definedName name="eerw_3">#REF!</definedName>
    <definedName name="eewewewe" hidden="1">{#N/A,#N/A,FALSE,"UNIT";#N/A,#N/A,FALSE,"UNIT";#N/A,#N/A,FALSE,"계정"}</definedName>
    <definedName name="ef">#REF!</definedName>
    <definedName name="efd">#REF!</definedName>
    <definedName name="effbjk" hidden="1">#REF!</definedName>
    <definedName name="efg">#REF!</definedName>
    <definedName name="efgh">#REF!</definedName>
    <definedName name="efi" hidden="1">{#N/A,#N/A,FALSE,"91NOLCB";#N/A,#N/A,FALSE,"92NOLCB";#N/A,#N/A,FALSE,"93NOLCB"}</definedName>
    <definedName name="efis">#REF!</definedName>
    <definedName name="EFlmv">0</definedName>
    <definedName name="EFsmv">0</definedName>
    <definedName name="egwegwaag">{"'1-TheatreBkgs'!$A$1:$L$102"}</definedName>
    <definedName name="ei">#REF!</definedName>
    <definedName name="eidparry">#REF!</definedName>
    <definedName name="Eight">#REF!</definedName>
    <definedName name="eighteen_pct">#REF!</definedName>
    <definedName name="eighteen_pctneu">#REF!</definedName>
    <definedName name="eih">#REF!</definedName>
    <definedName name="EIhotel">#REF!</definedName>
    <definedName name="EII">#REF!</definedName>
    <definedName name="EIIAA">#REF!</definedName>
    <definedName name="ejkfgkjze" hidden="1">{#N/A,#N/A,FALSE,"Pharm";#N/A,#N/A,FALSE,"WWCM"}</definedName>
    <definedName name="el">#REF!</definedName>
    <definedName name="ELAP">#REF!</definedName>
    <definedName name="ELAPP">#REF!</definedName>
    <definedName name="ele">#REF!</definedName>
    <definedName name="elec">#REF!</definedName>
    <definedName name="Elim">#REF!</definedName>
    <definedName name="ELK">#REF!</definedName>
    <definedName name="ELWI">#REF!</definedName>
    <definedName name="ELWIP">#REF!</definedName>
    <definedName name="EM">#REF!</definedName>
    <definedName name="Email">#REF!</definedName>
    <definedName name="EMEAAPJNewCasesPerHead">#REF!</definedName>
    <definedName name="EMI">#REF!</definedName>
    <definedName name="EMIos">#REF!</definedName>
    <definedName name="EMISSÃO">#REF!</definedName>
    <definedName name="EMM">#REF!</definedName>
    <definedName name="EMP_BENFIT_EXP">#REF!</definedName>
    <definedName name="EmpCount">#REF!</definedName>
    <definedName name="EMPLOYEE">#REF!</definedName>
    <definedName name="EMPLOYEE_EXPENSE">#REF!</definedName>
    <definedName name="EMPLOYEE_REMUNERATION_AND_BENEFITS">#REF!</definedName>
    <definedName name="EmployeePaidLU">#REF!</definedName>
    <definedName name="employees">#REF!</definedName>
    <definedName name="Empty">#REF!</definedName>
    <definedName name="Empty1">#REF!</definedName>
    <definedName name="Empty2">#REF!</definedName>
    <definedName name="Empty3">#REF!</definedName>
    <definedName name="Empty4">#REF!</definedName>
    <definedName name="en">#REF!</definedName>
    <definedName name="end">#REF!</definedName>
    <definedName name="End_Bal">#REF!</definedName>
    <definedName name="End_Cell">#REF!</definedName>
    <definedName name="End_Cell2">#REF!</definedName>
    <definedName name="End_Time">#REF!</definedName>
    <definedName name="EndDelete">#REF!</definedName>
    <definedName name="EndDelete2">#REF!</definedName>
    <definedName name="EndFormat">#REF!</definedName>
    <definedName name="ENDING_DATE">#REF!</definedName>
    <definedName name="EndMonth">#REF!</definedName>
    <definedName name="ENDPERIODNAME1">#REF!</definedName>
    <definedName name="ENDPERIODNUM1">#REF!</definedName>
    <definedName name="ENDPERIODYEAR1">#REF!</definedName>
    <definedName name="EndUser">#REF!</definedName>
    <definedName name="energy" hidden="1">{#N/A,#N/A,FALSE,"Bgt";#N/A,#N/A,FALSE,"Act";#N/A,#N/A,FALSE,"Chrt Data";#N/A,#N/A,FALSE,"Bus Result";#N/A,#N/A,FALSE,"Main Charts";#N/A,#N/A,FALSE,"P&amp;L Ttl";#N/A,#N/A,FALSE,"P&amp;L C_Ttl";#N/A,#N/A,FALSE,"P&amp;L C_Oct";#N/A,#N/A,FALSE,"P&amp;L C_Sep";#N/A,#N/A,FALSE,"1996";#N/A,#N/A,FALSE,"Data"}</definedName>
    <definedName name="ENG_BI_EXE_NAME">"BICORE.EXE"</definedName>
    <definedName name="ENG_BI_EXEC_CMD_ARGS">"03304607808310112009711910408210511109810910903204907404905805805004906405005105804905205303205406612308608408807806908307906309112512211006712011011310211012509804610007611111311709811112507307209812513209811711511806811211411210111512110205509107111"</definedName>
    <definedName name="ENG_BI_EXEC_CMD_ARGS_10">"06807008309811010503209010210812610806203411809811605804805210009712112103403605206303301406007111610912110411112108206903309109711212210107004307608208803503305106203601506005609010211512410611211506201406508410612410706601506108510111511107806804109"</definedName>
    <definedName name="ENG_BI_EXEC_CMD_ARGS_11">"3098108126102062039049052054048059058048052053051035036047066037010069054085097124108063015060051074110127114114115115110102114116066130123088089069069091070069085065086070077092070049129"</definedName>
    <definedName name="ENG_BI_EXEC_CMD_ARGS_2">"61101131011101250780681020680400730930500401300320490791230930780780690830850960710790720740610921281161161101101160371111060370651181101141091040981261270680700890890890760620531341240961171141091230971251100680700880700830900690860660830900830501251"</definedName>
    <definedName name="ENG_BI_EXEC_CMD_ARGS_3">"32096113119105122102116110077066071070085066080079075066109106122054048057096098117112129128095121123105122102117102072066089088069091068084097124098111100082105111097117114125127100113118102108109104076074085072067088069070066101114130123104121117102"</definedName>
    <definedName name="ENG_BI_EXEC_CMD_ARGS_4">"11310610007107908108506508709607906508607006208812111912110111812403211510703306611310111811009910613212409512111809911310510307208509109106908207209006208908307213012310411911809811710610007507308209406907409108308807008308507206508807406105705603307"</definedName>
    <definedName name="ENG_BI_EXEC_CMD_ARGS_5">"40780620490540320781021101261061141250370510490530541291280951211240991081141000710780780930740650910780780720730660850730610550540320771081001011180991021190320540530490631341230991171180991121051030750730870960700650910700790730610540530490631341230"</definedName>
    <definedName name="ENG_BI_EXEC_CMD_ARGS_6">"99117118099112105103075073087096070065091084085070082088066050057058054129128096113121098112110099076092083082086080079089072073083068077074084073066052050036074101115117106121122032059049050059125127100112126107108109104068086086082081084078093079084"</definedName>
    <definedName name="ENG_BI_EXEC_CMD_ARGS_7">"08407408308507306508807406105705803207810211111810111412503705005705605512513209611311910512210211611008606508707208007808106508207308407809508506106907011112310511811611011811011012006701106108710111912010512011706301006908611610611406601506009412410"</definedName>
    <definedName name="ENG_BI_EXEC_CMD_ARGS_8">"11180780690330900971121221010700410500560660530520560340510670100690781101031191221131200801011201151281181151000410870981131171050660340931231171050390480630140600841021151241261121141090330871021081211060610430430470660150610851181171191211011090741"</definedName>
    <definedName name="ENG_BI_EXEC_CMD_ARGS_9">"12110119102100121105115115032095106108121106062035088114121106034041054063010069048086120101118067010069092081080088102115122101118083097118108033086106109118106061038072070088100095099098078066087050096088081085076121112123102116120034036052062019069"</definedName>
    <definedName name="ENG_BI_GEN_LIC">"0"</definedName>
    <definedName name="ENG_BI_GEN_LIC_WS">"True"</definedName>
    <definedName name="ENG_BI_LBI">"C81F82CJ66"</definedName>
    <definedName name="ENG_BI_PROFILE_PATH">"C:\ProgramData\Alchemex\AlchemexSmartReporting\MetaData\MAS\Report Designer Add-In S500 Demo 1-0-2\BICORE_profiler_20130111_145418.csv"</definedName>
    <definedName name="ENG_BI_REPOS_FILE">"\\SQL1\SMI Shared Repository\alchemex.svd"</definedName>
    <definedName name="ENG_BI_REPOS_PATH">"\\SQL1\SMI Shared Repository"</definedName>
    <definedName name="ENG_BI_TLA">"163;81;135;79;123;73;213;247;139;214;168;217;89;130;151;83;168;195;143;133;236;215;67;196;211;220;87;197;45;54;238;285"</definedName>
    <definedName name="ENG_Data">#REF!</definedName>
    <definedName name="ENG_Data_서울">#REF!</definedName>
    <definedName name="ENG_Data_증설후">#REF!</definedName>
    <definedName name="ENG_개체전">#REF!</definedName>
    <definedName name="ENG_개체후">#REF!</definedName>
    <definedName name="ENG11차">#REF!</definedName>
    <definedName name="ENGDATA">#REF!</definedName>
    <definedName name="Engineering">#REF!</definedName>
    <definedName name="engineersind">#REF!</definedName>
    <definedName name="ENGL">#REF!</definedName>
    <definedName name="ENGLAND">#REF!</definedName>
    <definedName name="engr_prcnt_training">0.025</definedName>
    <definedName name="eng감가">#REF!</definedName>
    <definedName name="eng매출">#REF!</definedName>
    <definedName name="ENG배부">#REF!</definedName>
    <definedName name="eng인원">#REF!</definedName>
    <definedName name="enrgy" hidden="1">{#N/A,#N/A,FALSE,"Bgt";#N/A,#N/A,FALSE,"Act";#N/A,#N/A,FALSE,"Chrt Data";#N/A,#N/A,FALSE,"Bus Result";#N/A,#N/A,FALSE,"Main Charts";#N/A,#N/A,FALSE,"P&amp;L Ttl";#N/A,#N/A,FALSE,"P&amp;L C_Ttl";#N/A,#N/A,FALSE,"P&amp;L C_Oct";#N/A,#N/A,FALSE,"P&amp;L C_Sep";#N/A,#N/A,FALSE,"1996";#N/A,#N/A,FALSE,"Data"}</definedName>
    <definedName name="ENT">#REF!</definedName>
    <definedName name="Ent_Delay">#REF!</definedName>
    <definedName name="Entered_Pmt">#REF!</definedName>
    <definedName name="EntitledPct">#REF!</definedName>
    <definedName name="entity">#REF!</definedName>
    <definedName name="ENTRY">#REF!</definedName>
    <definedName name="EntryDate">#REF!</definedName>
    <definedName name="EntryDate1">#REF!</definedName>
    <definedName name="EntryDate11">#REF!</definedName>
    <definedName name="EntryDate12">#REF!</definedName>
    <definedName name="EntryDate13">#REF!</definedName>
    <definedName name="EntryDate3">#REF!</definedName>
    <definedName name="EntryDate4">#REF!</definedName>
    <definedName name="EntryDate5">#REF!</definedName>
    <definedName name="EntryDate6">#REF!</definedName>
    <definedName name="EntryDate7">#REF!</definedName>
    <definedName name="EntryMidPriceList">#REF!</definedName>
    <definedName name="EOH">#N/A</definedName>
    <definedName name="EOH_UC">#N/A</definedName>
    <definedName name="EOHAMT">#N/A</definedName>
    <definedName name="EOHQTY">#N/A</definedName>
    <definedName name="EOM">#REF!</definedName>
    <definedName name="EPL">131585</definedName>
    <definedName name="EPMWorkbookOptions_1">"TXAAAB|LCAAAAAAABADtvQdgHEmWJSYvbcp7f0r1StfgdKEIgGATJNiQQBDswYjN5pLsHWlHIymrKoHKZVZlXWYWQMztnbz33nvvvffee||997o7nU4n99//P1xmZAFs9s5K2smeIYCqyB8/fnwfPyIe/x7vFmV6mddNUS0/|2h3vPNRmi|n1axYXnz20bo939799KPf4|g3Th5/t6rfTqrq7Zerlpo2Kb23bB69a4rPPpq37erR3btXV1fjq3v"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10">"IHuIbSrh||iO|6RLm2fHvD9Z5|eop2OdH1OmxDSmb/x|om//3GLvTL14|//L3OT392qbu/RdO9v/fbesMRTpu5/PntPT85VevTk5/3oplnDKnp78/koz3Pv0RWQKy6Kc/4pauHP3|b558|0dECRaUnnx7Z2f392fztvvg/o/MW9DsVq3iwzkiCp|9|fqJpvc3bvf/X27cmB4h9|3|iN38ZrdqNcRuRum/OX7z1esfItt9|v9ytgvo0rcI9P3vf|"</definedName>
    <definedName name="EPMWorkbookOptions_11">"/lz9v19FuQh7///bXBj8jUI9OLL0GlH9FniD703Y/I0ifLyZc/SpwHzW7VKj6co2dfvTh5c/bli|PnRODjH6L1e/D/busX0qWv3p8d/3|dB382KEMa/UeEiRHm93my|6MIMWh2q1YDSuvzV8dPT5|f/uTp8x|iwjr4f7fCcjTpKyv|7v/r7Jemj79Rwrzc2fv/Okn|3yORr16|OfnqFdH25IeZuHn4/26R9IhC/Eb/e37y/3WO|8ZI8dXrpz|ih"</definedName>
    <definedName name="EPMWorkbookOptions_12">"dLi9KtX/1|nxf97NNGbsy9|mAujuzv/79ZBIEdo9/ZohOOvXvy8Fb8oRfbGOwc/IohHkE/Hb758c/z8RzQJxGbn5|2CeZQg|///YJL/9xivL06PX3/16vSHuQq1u/v/bgNmSCKu0svTV2dfPj37/7wf/Q2y3C0aBdjEGz2|e7xalcU0awmO/Tz41DQnaNVySYjTZ0|zNuOP/Q/fVN3BP36Vn9d5M/9y|eUqXx6dZ2WTP74bfsjtTso8qwH0y|Xr"</definedName>
    <definedName name="EPMWorkbookOptions_13">"7DI3Lbsfc9vvVvXbSVW9Je5smYymdf|L3zhxn365ksH8P7pcqnpNcAAA"</definedName>
    <definedName name="EPMWorkbookOptions_2">"jqr64u7ezs3v39/7i|evpPF9k28WyabPlNP/IvjW7|a2PqNc0fXxSLZf5FH2|qU7WdZ0v258s8iv|Mvj6adZm|il9/iJb5NKb7anNF6t1XXBXXzV5/bLOz3OCN83HhNBHR7//s5df/P5PXp68|O7uzu//PX2p|enpdLKaXl7t7M7Gq6yssrKtlnl7ReRoxmU1zcpHBzs7O3ebbHWXGt79/u//vZfHL|jf09/75emL16f023lWNvn3H98FTg7D49"</definedName>
    <definedName name="EPMWorkbookOptions_3">"WqLKaZR81bY2pghFC8j5UAR4pDp2shnKNlenfwq28Xs1m|fFos8mXDiA43dUg2QRtq9XpeXVkYJ1VZ1Udtvc4f3418selVHkXkzd7o6EX75TBet23lt/tqWfyidc4dHp|cfPnVizeP78a|3ARDBkqSdX9n997BrgcgRgJ|98t6ltdHO4/vyi9R6M2qzK5f1tUqr9vrzkRpo|dZ077OSxKYfPZFvpiQ3EeahfMabUBN5H1vyN9Tgnx/TBLw6vTFm"</definedName>
    <definedName name="EPMWorkbookOptions_4">"2/v0q9PT1|||v2Pv/jy1RuSgN47A7C/XeR1Vk/n165pSqrm0bIoP/sIDPBRdHz8bmQ2bvfu47s3jfobJMvu3kN6fkQSjyTPXn/1|tNPf0SSDkn|v06Qx3dvo3U8Jfizp7C/enr25s2r47PnX19n7|zsk7m/vcre/X|5yrYkCRlPPv/yzfHz/6|z3zdNmbMXL7/6/7wp|3|PTJ4cvzn9/MtXv8/Xlsh79|7f39/fv71E7v2/WyINQYjVIIcnb776"</definedName>
    <definedName name="EPMWorkbookOptions_5">"|SuDIS2effnq9OT49f/nhe|bocbL5xRl/ogS9L8nXz39/PT/81zx/yKV/OXrNydk7k5ffW2l/OmD3Z2Dgwe3V8r3/l|ulC1JnDOwR7|enPz||7s01p3/r3PfN02YZy9Ofv9nxydnz8/enJ3|fz6E|capc/z7Hz9//vt/fvwjwnSyIpQR|/||MP2/R5UTXc/efH3fmubi00/v3XuPcHf//916XOjR4bn/r7PbN0qMnR|JX9jsVq0GxO/ZVy9O3px"</definedName>
    <definedName name="EPMWorkbookOptions_6">"9|eL4OVH4|OuL4XsvFNz/f7cYhnTpZJ6eP3/289YubiLM7/Nk9/7/1|ny/x7RfPnqy2dnHxrmvL9gfvr/MsHs8J9PlZD7Xnz5|788|f86|31dsRwmy4/s5TcplK9evjn56hUR9|QDfNb3lskH/||WSY8oku96/vNWDnuk|Or10x/RQmlx|tWr/6/T4v89mujN2RenP0QVdPD/bhUEaoR2b29nd2/883p9OEqTnf9/0OT/PXL4xenx669enb7|Ic"</definedName>
    <definedName name="EPMWorkbookOptions_7">"riw/93y6KhiCj9l6evzr58evb/eY/gG|S4WzQKsIk3enz3eLUqi2nWEhz7efCpaU7QquWSEKfPnmZtZj6OfkqfC9UW5bL57KN5264e3b3b5ovVui7GVX1x96smrx1O43fN7KOj3//Zyy9|/ycvT158d3fn9/|evtT89HQ6WU0vr3Z2Z|NVVlZZ2VbLvL2q6rfNuKymWfnogOKTu022uksN737/9yd19YL|/fbJF/TveVY2OTFOwCyP/QG|J5Ye9"</definedName>
    <definedName name="EPMWorkbookOptions_8">"WLEs4M/ov473QrB3KR02Mj/6tvFbJYv7Rw3G5puYJLX8|qqoxHAv4/vRr7Y9CqPIvJmRAJvpwhv12pAXR6fnHz51Ys3P0RtufP/bm2pBOmkGF|8|Or4|e//8vj3eXX85vT/66rzGyXNy5M3v/8XZFPe/IgqHlWeEpv8/qcvft7GmlGisKcLIfoRVTyqfPv0|Kl8/P9xqnyDHpmP5tcxal89PXvz5tXx2fOvb9d2dvbJFbq9Wdv9f7lZsyQJue|r"</definedName>
    <definedName name="EPMWorkbookOptions_9">"52/OKFn9/3Xe|6bJIp///yEy/6Yp8/rVye///MvP/78fQH7ThDl78fKr/8/r8G|aKK|PX/5/nST/7zFrJ|RUfv7lq6|/0nXv3v37|/v7tzdqe//vNmqGICHPPfvy1enJ8euft7IYp8rxyZuvvglrdvO4/r9Dk5fPKbn1/3Eu|X|Revry9ZsTIu3pq6|toD59sLtzcPDg9grq3v/LFZQlSch4Jye///7uPsUY/1/nvm|SMHvQUs|f//7uu9c/Ik9"</definedName>
    <definedName name="EPS"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eps.print" hidden="1">{"Page1",#N/A,FALSE,"CF WKSHT";"Page2",#N/A,FALSE,"CF WKSHT"}</definedName>
    <definedName name="EPS_growth_avg">#REF!</definedName>
    <definedName name="eps_q3" hidden="1">{"Page1",#N/A,FALSE,"CF WKSHT";"Page2",#N/A,FALSE,"CF WKSHT"}</definedName>
    <definedName name="EPS2Q04">#REF!</definedName>
    <definedName name="EPSCS">#REF!</definedName>
    <definedName name="EPSCY01">#REF!</definedName>
    <definedName name="EPSON_PRINTER">#REF!</definedName>
    <definedName name="EPSVY02">#REF!</definedName>
    <definedName name="eq" hidden="1">{#N/A,#N/A,FALSE,"REPORT"}</definedName>
    <definedName name="eqroll_checks">#REF!</definedName>
    <definedName name="EQUI">#REF!</definedName>
    <definedName name="Equipment">#REF!</definedName>
    <definedName name="er">#REF!</definedName>
    <definedName name="er_1">#REF!</definedName>
    <definedName name="er_2">#REF!</definedName>
    <definedName name="er_3">#REF!</definedName>
    <definedName name="er_4">#REF!</definedName>
    <definedName name="er_p">1300</definedName>
    <definedName name="Erase">#REF!</definedName>
    <definedName name="erbgegve">#REF!</definedName>
    <definedName name="erbgegve_1">#REF!</definedName>
    <definedName name="erbgegve_2">#REF!</definedName>
    <definedName name="erbgegve_3">#REF!</definedName>
    <definedName name="erbgegve_4">#REF!</definedName>
    <definedName name="erbghergver">#REF!</definedName>
    <definedName name="erbghergver_1">#REF!</definedName>
    <definedName name="erbghergver_2">#REF!</definedName>
    <definedName name="erbghergver_3">#REF!</definedName>
    <definedName name="erbghergver_4">#REF!</definedName>
    <definedName name="erc32d3x">"VCNCAL"</definedName>
    <definedName name="ERCRTDK">#REF!</definedName>
    <definedName name="ere">{"'1-TheatreBkgs'!$A$1:$L$102"}</definedName>
    <definedName name="erer">#REF!</definedName>
    <definedName name="erer_1">#REF!</definedName>
    <definedName name="erer_2">#REF!</definedName>
    <definedName name="erer_3">#REF!</definedName>
    <definedName name="erer_4">#REF!</definedName>
    <definedName name="erere">#REF!</definedName>
    <definedName name="ERERT">#REF!</definedName>
    <definedName name="eret.ert" hidden="1">#REF!</definedName>
    <definedName name="erg">#REF!</definedName>
    <definedName name="erg_1">#REF!</definedName>
    <definedName name="erg_2">#REF!</definedName>
    <definedName name="erg_3">#REF!</definedName>
    <definedName name="erg_4">#REF!</definedName>
    <definedName name="ergaergr">#REF!</definedName>
    <definedName name="ergaergr_1">#REF!</definedName>
    <definedName name="ergaergr_2">#REF!</definedName>
    <definedName name="ergaergr_3">#REF!</definedName>
    <definedName name="ergaergr_4">#REF!</definedName>
    <definedName name="erger">{"'1-TheatreBkgs'!$A$1:$L$102"}</definedName>
    <definedName name="erglkeyrgje">#REF!</definedName>
    <definedName name="erh">#REF!</definedName>
    <definedName name="erh_1">#REF!</definedName>
    <definedName name="erh_2">#REF!</definedName>
    <definedName name="erh_3">#REF!</definedName>
    <definedName name="erh_4">#REF!</definedName>
    <definedName name="ERL">#REF!</definedName>
    <definedName name="ERL_B">#REF!</definedName>
    <definedName name="ERO">#REF!</definedName>
    <definedName name="ERRR">#REF!</definedName>
    <definedName name="ERRRRRRR">{"'Sch B'!$B$15:$L$17"}</definedName>
    <definedName name="ers">#REF!</definedName>
    <definedName name="ersdf">#REF!</definedName>
    <definedName name="erser">#REF!</definedName>
    <definedName name="ersge">#REF!</definedName>
    <definedName name="ert">#REF!</definedName>
    <definedName name="erterg">{"'1-TheatreBkgs'!$A$1:$L$102"}</definedName>
    <definedName name="ertherj">#REF!</definedName>
    <definedName name="ertherj_1">#REF!</definedName>
    <definedName name="ertr" hidden="1">#REF!</definedName>
    <definedName name="ertyui" hidden="1">{#N/A,#N/A,FALSE,"Pharm";#N/A,#N/A,FALSE,"WWCM"}</definedName>
    <definedName name="ervgseer">#REF!</definedName>
    <definedName name="ervgseer_1">#REF!</definedName>
    <definedName name="ervgseer_2">#REF!</definedName>
    <definedName name="ervgseer_3">#REF!</definedName>
    <definedName name="ervgseer_4">#REF!</definedName>
    <definedName name="eryyyyyy">#REF!</definedName>
    <definedName name="es" hidden="1">{#N/A,#N/A,FALSE,"Aging Summary";#N/A,#N/A,FALSE,"Ratio Analysis";#N/A,#N/A,FALSE,"Test 120 Day Accts";#N/A,#N/A,FALSE,"Tickmarks"}</definedName>
    <definedName name="es_3">#REF!</definedName>
    <definedName name="Esc">#REF!</definedName>
    <definedName name="ESI">#REF!</definedName>
    <definedName name="esp">#REF!</definedName>
    <definedName name="ESPeXToEUR" hidden="1">1/EUReXToESP</definedName>
    <definedName name="espp">#REF!</definedName>
    <definedName name="esps">#REF!</definedName>
    <definedName name="esr">#REF!</definedName>
    <definedName name="esre">#REF!</definedName>
    <definedName name="esrgsbg">#REF!</definedName>
    <definedName name="esrgsbg_1">#REF!</definedName>
    <definedName name="esrs">#REF!</definedName>
    <definedName name="ESSAI" hidden="1">{#N/A,#N/A,FALSE,"Pharm";#N/A,#N/A,FALSE,"WWCM"}</definedName>
    <definedName name="EssAliasTable">"ALTERNATE"</definedName>
    <definedName name="EssfHasNonUnique">FALSE</definedName>
    <definedName name="EssLatest">"Jan"</definedName>
    <definedName name="EssOptions">"A2100000000111000011001100000_01000"</definedName>
    <definedName name="ESSP" hidden="1">{"ALLGRANTS",#N/A,FALSE,"OPTIONS"}</definedName>
    <definedName name="EssSamplingValue">100</definedName>
    <definedName name="est">#REF!</definedName>
    <definedName name="EstAct">#REF!</definedName>
    <definedName name="ESTHB">#REF!</definedName>
    <definedName name="ESTHB_1">#REF!</definedName>
    <definedName name="estimado">#REF!</definedName>
    <definedName name="ET">#REF!</definedName>
    <definedName name="et7o9" hidden="1">{#N/A,#N/A,FALSE,"Pharm";#N/A,#N/A,FALSE,"WWCM"}</definedName>
    <definedName name="etc" hidden="1">#REF!</definedName>
    <definedName name="etste" hidden="1">{#N/A,#N/A,FALSE,"Pharm";#N/A,#N/A,FALSE,"WWCM"}</definedName>
    <definedName name="etu">#REF!</definedName>
    <definedName name="Etude_Amont">"CommandButton4"</definedName>
    <definedName name="ety">#REF!</definedName>
    <definedName name="etyjdtuk">#REF!</definedName>
    <definedName name="etyjdtuk_1">#REF!</definedName>
    <definedName name="EUHQ">#REF!</definedName>
    <definedName name="eur">#REF!</definedName>
    <definedName name="EurCntrl">#REF!</definedName>
    <definedName name="EUReXToATS" hidden="1">#REF!</definedName>
    <definedName name="EUReXToBEF" hidden="1">#REF!</definedName>
    <definedName name="EUReXToDEM" hidden="1">#REF!</definedName>
    <definedName name="EUReXToESP" hidden="1">#REF!</definedName>
    <definedName name="EUReXToFIM" hidden="1">#REF!</definedName>
    <definedName name="EUReXToFRF" hidden="1">#REF!</definedName>
    <definedName name="EUReXToIEP" hidden="1">#REF!</definedName>
    <definedName name="EURO">#REF!</definedName>
    <definedName name="EURO00">#REF!</definedName>
    <definedName name="Euro1">#REF!</definedName>
    <definedName name="Euro10">#REF!</definedName>
    <definedName name="Euro11">#REF!</definedName>
    <definedName name="Euro12">#REF!</definedName>
    <definedName name="Euro2">#REF!</definedName>
    <definedName name="Euro7">#REF!</definedName>
    <definedName name="Euro8">#REF!</definedName>
    <definedName name="Euro9">#REF!</definedName>
    <definedName name="EuroName">"M.Euro"</definedName>
    <definedName name="EUROPEAN_HQ">#REF!</definedName>
    <definedName name="ev.Calculation" hidden="1">-4105</definedName>
    <definedName name="ev.Initialized" hidden="1">FALSE</definedName>
    <definedName name="EV__ALLOWSTOPEXPAND__">1</definedName>
    <definedName name="EV__CVPARAMS__">"Any by Any!$B$17:$C$38;"</definedName>
    <definedName name="EV__DECIMALSYMBOL__">"."</definedName>
    <definedName name="EV__EVCOM_OPTIONS__">8</definedName>
    <definedName name="EV__EXPOPTIONS__">0</definedName>
    <definedName name="EV__LASTREFTIME__" hidden="1">39378.6366319444</definedName>
    <definedName name="EV__LOCKEDCVW__BALANCESHEET">"TotAssets,ACTUAL,TotCompany,Worldwide,2004.TOTAL,PERIODIC,"</definedName>
    <definedName name="EV__LOCKEDCVW__CAPEX">"TrialBalance,ALL_AFE_TYPE,ACTUAL,TotalAdj,0000205,Total_Level,All_Projects,100056688,USD,2008.MAR,YTD,"</definedName>
    <definedName name="EV__LOCKEDCVW__CASHFLOW">"A_TOTCFA,AC_CASHAC,ACTUAL,LC,E_QSG,2004.TOTAL,PERIODIC,"</definedName>
    <definedName name="EV__LOCKEDCVW__CB_FINANCE">"Tot_GAAP_NI,Total_BusinessUnits,ACTUAL,Total_Cost_Center,TotWithAlloc,LC,2006.APR,PERIODIC,"</definedName>
    <definedName name="EV__LOCKEDCVW__COGS">"CM,TotalAdj,NoRule,ACTUAL,No_Init,TotCostType,WORLDWIDE,MSPS,All_LOB,USD,NO.YEAR,PERIODIC,"</definedName>
    <definedName name="EV__LOCKEDCVW__CONSO">"A_NONE_BALSHT,B_ALL,ACTUAL,C_ALL,LC,TOTCONSO,E_200,G_ALL,2007.JAN,PERIODIC,"</definedName>
    <definedName name="EV__LOCKEDCVW__CONSOLIDATIONS">"CREV,STANDARD,TotalAdj,NetSales,All_InterCo,BT,0XKR,USD,2007.Q2,PERIODIC,"</definedName>
    <definedName name="EV__LOCKEDCVW__CORPOPS">"A_None_BALSHT,B_ALL,ACTUAL,C_ALL,LC,TotConso,E_CorpOps,G_ALL,2004.TOTAL,PERIODIC,"</definedName>
    <definedName name="EV__LOCKEDCVW__EPA">"TrialBalance,All_Activity_Months,ACTUAL,TotalAdj,NFXALL,Total_Level,MidCon_Hierarchy,USD,2000.TOTAL,PERIODIC,"</definedName>
    <definedName name="EV__LOCKEDCVW__FINANCE">"CM,FORECAST,Japan,INPUT,TotFunction,MSPS,All_LOB,PLANRATE,2005.AUG,PERIODIC,"</definedName>
    <definedName name="EV__LOCKEDCVW__FINANCE2">"CM,ACTUAL,USTot,TotalAdj,TotFunction,MSPS,All_LOB,USD,2005.AUG,PERIODIC,"</definedName>
    <definedName name="EV__LOCKEDCVW__FINANCE2_DETAIL">"CM,ACTUAL,Worldwide,TotalAdj,MSPS,All_LOB,2004.TOTAL,PERIODIC,"</definedName>
    <definedName name="EV__LOCKEDCVW__FINANCEHISTORY">"TrialBalance,Total_Level,ACTUAL,TotalAdj,CONS,MidCon_Hierarchy,USD,XXXX.TOTAL,PERIODIC,"</definedName>
    <definedName name="EV__LOCKEDCVW__FPR">"A_All_RVNUES,B_ALL,ACTUAL,C_ALL,LC,TotConso,D_ALL,E_200,P_ALL,S_ALL,2007.JAN,PERIODIC,"</definedName>
    <definedName name="EV__LOCKEDCVW__FPR_NEW">"A_All_RVNUES,B_ALL,ACTUAL,C_ALL,USD,TotConso,D_ALL,E_QSG,P_ALL,S_ALL,2005.Q3,PERIODIC,"</definedName>
    <definedName name="EV__LOCKEDCVW__FY07_PLAN">"CM,ACTUAL,WORLDWIDE,Input,TotFunction,MSPS,All_LOB,USD,2004.TOTAL,PERIODIC,"</definedName>
    <definedName name="EV__LOCKEDCVW__INTERCOMATCHING">"ICAssets,Actual,Input,E_All,I_All,2004.TOTAL,USD,PERIODIC,"</definedName>
    <definedName name="EV__LOCKEDCVW__KPI">"KPISales,B_ALL,ACTUAL,C_ALL,LC,E_QuikEur,2006.OCT10,PERIODIC,"</definedName>
    <definedName name="EV__LOCKEDCVW__KPIS">"ACTUAL,Mexico,usd,All_LOB,RevSumm,SubclassAll,NO.YEAR,PERIODIC,"</definedName>
    <definedName name="EV__LOCKEDCVW__PRODUCTLINE">"Ord,ACTUAL,GrandTotal,AllDiv,BT,MILX,AllPLoasis,USD,2002.TOTAL,PERIODIC,"</definedName>
    <definedName name="EV__LOCKEDCVW__RATE">"ACTUAL,USD,End,Default,2002.TOTAL,PERIODIC,"</definedName>
    <definedName name="EV__LOCKEDCVW__RATE_INTERCO">"Actual,Avg,Default,2004.TOTAL,USD,PERIODIC,"</definedName>
    <definedName name="EV__LOCKEDCVW__RATEKPI">"ACTUAL,USD,Avg,Default,2004.TOTAL,PERIODIC,"</definedName>
    <definedName name="EV__LOCKSTATUS__">2</definedName>
    <definedName name="EV__MAXEXPCOLS__">100</definedName>
    <definedName name="EV__MAXEXPROWS__">1000</definedName>
    <definedName name="EV__MEMORYCVW__">0</definedName>
    <definedName name="EV__MEMORYCVW__BOOK2" hidden="1">"LEGAL"</definedName>
    <definedName name="EV__MEMORYCVW__BOOK2_ACCDETAIL" hidden="1">"F_DISC_25"</definedName>
    <definedName name="EV__MEMORYCVW__BOOK2_ACCOUNTL" hidden="1">"A_DISC_25"</definedName>
    <definedName name="EV__MEMORYCVW__BOOK2_CATEGORY" hidden="1">"ACTUAL"</definedName>
    <definedName name="EV__MEMORYCVW__BOOK2_CONSOLVIEW" hidden="1">"LC"</definedName>
    <definedName name="EV__MEMORYCVW__BOOK2_DATASRCL" hidden="1">"INPUT"</definedName>
    <definedName name="EV__MEMORYCVW__BOOK2_ENTITY" hidden="1">"GAPS_LLC"</definedName>
    <definedName name="EV__MEMORYCVW__BOOK2_INTCO" hidden="1">"N_IC"</definedName>
    <definedName name="EV__MEMORYCVW__BOOK2_MEASURES" hidden="1">"YTD"</definedName>
    <definedName name="EV__MEMORYCVW__BOOK2_SEGMENT" hidden="1">"Non_Seg"</definedName>
    <definedName name="EV__MEMORYCVW__BOOK2_TIME" hidden="1">"2010.MAR"</definedName>
    <definedName name="EV__MEMORYCVW__BOOK3" hidden="1">"LEGAL"</definedName>
    <definedName name="EV__MEMORYCVW__BOOK3_ACCDETAIL" hidden="1">"F_TOT"</definedName>
    <definedName name="EV__MEMORYCVW__BOOK3_ACCOUNTL" hidden="1">"BSPL"</definedName>
    <definedName name="EV__MEMORYCVW__BOOK3_CATEGORY" hidden="1">"ACTUAL"</definedName>
    <definedName name="EV__MEMORYCVW__BOOK3_CONSOLVIEW" hidden="1">"GLOVIS_LEGAL"</definedName>
    <definedName name="EV__MEMORYCVW__BOOK3_DATASRCL" hidden="1">"ALL_DATASRC"</definedName>
    <definedName name="EV__MEMORYCVW__BOOK3_ENTITY" hidden="1">"CONSOL_ENTITY"</definedName>
    <definedName name="EV__MEMORYCVW__BOOK3_INTCO" hidden="1">"A_IC"</definedName>
    <definedName name="EV__MEMORYCVW__BOOK3_MEASURES" hidden="1">"YTD"</definedName>
    <definedName name="EV__MEMORYCVW__BOOK3_SEGMENT" hidden="1">"All_Seg"</definedName>
    <definedName name="EV__MEMORYCVW__BOOK3_TIME" hidden="1">"2001.TOTAL"</definedName>
    <definedName name="EV__MEMORYCVW__BOOK4" hidden="1">"LEGAL"</definedName>
    <definedName name="EV__MEMORYCVW__BOOK4_ACCDETAIL" hidden="1">"F_TOT"</definedName>
    <definedName name="EV__MEMORYCVW__BOOK4_ACCOUNTL" hidden="1">300000</definedName>
    <definedName name="EV__MEMORYCVW__BOOK4_CATEGORY" hidden="1">"ACTUAL"</definedName>
    <definedName name="EV__MEMORYCVW__BOOK4_CONSOLVIEW" hidden="1">"LC"</definedName>
    <definedName name="EV__MEMORYCVW__BOOK4_DATASRCL" hidden="1">"ALL_DATASRC"</definedName>
    <definedName name="EV__MEMORYCVW__BOOK4_ENTITY" hidden="1">"L1000"</definedName>
    <definedName name="EV__MEMORYCVW__BOOK4_INTCO" hidden="1">"A_IC"</definedName>
    <definedName name="EV__MEMORYCVW__BOOK4_MEASURES" hidden="1">"YTD"</definedName>
    <definedName name="EV__MEMORYCVW__BOOK4_TIME" hidden="1">"2009.MAR"</definedName>
    <definedName name="EV__MEMORYCVW__BOOK5" hidden="1">"LEGAL"</definedName>
    <definedName name="EV__MEMORYCVW__BOOK5_ACCDETAIL" hidden="1">"F_TOT"</definedName>
    <definedName name="EV__MEMORYCVW__BOOK5_ACCOUNTL" hidden="1">300000</definedName>
    <definedName name="EV__MEMORYCVW__BOOK5_CATEGORY" hidden="1">"ACTUAL"</definedName>
    <definedName name="EV__MEMORYCVW__BOOK5_CONSOLVIEW" hidden="1">"LC"</definedName>
    <definedName name="EV__MEMORYCVW__BOOK5_DATASRCL" hidden="1">"RESTATED"</definedName>
    <definedName name="EV__MEMORYCVW__BOOK5_ENTITY" hidden="1">"L1000"</definedName>
    <definedName name="EV__MEMORYCVW__BOOK5_INTCO" hidden="1">"N_IC"</definedName>
    <definedName name="EV__MEMORYCVW__BOOK5_MEASURES" hidden="1">"YTD"</definedName>
    <definedName name="EV__MEMORYCVW__BOOK5_TIME" hidden="1">"2000.TOTAL"</definedName>
    <definedName name="EV__MEMORYCVW__CF_ADJ_MANUAL1" hidden="1">"LEGAL"</definedName>
    <definedName name="EV__MEMORYCVW__CF_ADJ_MANUAL1.XLS" hidden="1">"LEGAL"</definedName>
    <definedName name="EV__MEMORYCVW__CF_ADJ_MANUAL1.XLS_ACCDETAIL" hidden="1">"F_FLOWTO"</definedName>
    <definedName name="EV__MEMORYCVW__CF_ADJ_MANUAL1.XLS_ACCOUNTL" hidden="1">"BSPL"</definedName>
    <definedName name="EV__MEMORYCVW__CF_ADJ_MANUAL1.XLS_CATEGORY" hidden="1">"ACTUAL"</definedName>
    <definedName name="EV__MEMORYCVW__CF_ADJ_MANUAL1.XLS_CONSOLVIEW" hidden="1">"GLOVIS_LEGAL"</definedName>
    <definedName name="EV__MEMORYCVW__CF_ADJ_MANUAL1.XLS_DATASRCL" hidden="1">"ALL_DATASRC"</definedName>
    <definedName name="EV__MEMORYCVW__CF_ADJ_MANUAL1.XLS_ENTITY" hidden="1">"GKR"</definedName>
    <definedName name="EV__MEMORYCVW__CF_ADJ_MANUAL1.XLS_INTCO" hidden="1">"A_IC"</definedName>
    <definedName name="EV__MEMORYCVW__CF_ADJ_MANUAL1.XLS_MEASURES" hidden="1">"YTD"</definedName>
    <definedName name="EV__MEMORYCVW__CF_ADJ_MANUAL1.XLS_SEGMENT" hidden="1">"All_Seg"</definedName>
    <definedName name="EV__MEMORYCVW__CF_ADJ_MANUAL1.XLS_TIME" hidden="1">"2003.DEC"</definedName>
    <definedName name="EV__MEMORYCVW__CF_ADJ_MANUAL1_ACCDETAIL" hidden="1">"F_TOT"</definedName>
    <definedName name="EV__MEMORYCVW__CF_ADJ_MANUAL1_ACCOUNTL" hidden="1">300000</definedName>
    <definedName name="EV__MEMORYCVW__CF_ADJ_MANUAL1_CATEGORY" hidden="1">"ACTUAL"</definedName>
    <definedName name="EV__MEMORYCVW__CF_ADJ_MANUAL1_CONSOLVIEW" hidden="1">"C_LGCorp"</definedName>
    <definedName name="EV__MEMORYCVW__CF_ADJ_MANUAL1_DATASRCL" hidden="1">"ALL_DATASRC"</definedName>
    <definedName name="EV__MEMORYCVW__CF_ADJ_MANUAL1_ENTITY" hidden="1">"L1A00"</definedName>
    <definedName name="EV__MEMORYCVW__CF_ADJ_MANUAL1_INTCO" hidden="1">"A_IC"</definedName>
    <definedName name="EV__MEMORYCVW__CF_ADJ_MANUAL1_MEASURES" hidden="1">"YTD"</definedName>
    <definedName name="EV__MEMORYCVW__CF_ADJ_MANUAL1_TIME" hidden="1">"2009.MAR"</definedName>
    <definedName name="EV__MEMORYCVW__CF_INPUT.XLT" hidden="1">"LEGAL"</definedName>
    <definedName name="EV__MEMORYCVW__CF_INPUT1" hidden="1">"LEGAL"</definedName>
    <definedName name="EV__MEMORYCVW__CF_INPUT1.XLS" hidden="1">"LEGAL"</definedName>
    <definedName name="EV__MEMORYCVW__CF_SND.XLT" hidden="1">"LEGAL"</definedName>
    <definedName name="EV__MEMORYCVW__CF_SND_0623.XLT" hidden="1">"LEGAL"</definedName>
    <definedName name="EV__MEMORYCVW__CF_SND_06231" hidden="1">"LEGAL"</definedName>
    <definedName name="EV__MEMORYCVW__CF_SND_TEST1" hidden="1">"LEGAL"</definedName>
    <definedName name="EV__MEMORYCVW__CF_SND1" hidden="1">"LEGAL"</definedName>
    <definedName name="EV__MEMORYCVW__CF_SND2" hidden="1">"LEGAL"</definedName>
    <definedName name="EV__MEMORYCVW__CF_VALIDATION_ENTITY_0624.XLT" hidden="1">"LEGAL"</definedName>
    <definedName name="EV__MEMORYCVW__CF_VALIDATION_ENTITY_0624.XLT_ACCDETAIL" hidden="1">"F_CLO"</definedName>
    <definedName name="EV__MEMORYCVW__CF_VALIDATION_ENTITY_0624.XLT_ACCOUNTL" hidden="1">"CASHFLOW"</definedName>
    <definedName name="EV__MEMORYCVW__CF_VALIDATION_ENTITY_0624.XLT_CATEGORY" hidden="1">"ACTUAL"</definedName>
    <definedName name="EV__MEMORYCVW__CF_VALIDATION_ENTITY_0624.XLT_CONSOLVIEW" hidden="1">"LC"</definedName>
    <definedName name="EV__MEMORYCVW__CF_VALIDATION_ENTITY_0624.XLT_DATASRCL" hidden="1">"INPUT"</definedName>
    <definedName name="EV__MEMORYCVW__CF_VALIDATION_ENTITY_0624.XLT_ENTITY" hidden="1">"D1000"</definedName>
    <definedName name="EV__MEMORYCVW__CF_VALIDATION_ENTITY_0624.XLT_INTCO" hidden="1">"N_IC"</definedName>
    <definedName name="EV__MEMORYCVW__CF_VALIDATION_ENTITY_0624.XLT_MEASURES" hidden="1">"YTD"</definedName>
    <definedName name="EV__MEMORYCVW__CF_VALIDATION_ENTITY_0624.XLT_TIME" hidden="1">"2009.MAR"</definedName>
    <definedName name="EV__MEMORYCVW__CFVALIDATION_LC1.XLS" hidden="1">"LEGAL"</definedName>
    <definedName name="EV__MEMORYCVW__CFVALIDATION_LC1.XLS_ACCDETAIL" hidden="1">"F_CLO"</definedName>
    <definedName name="EV__MEMORYCVW__CFVALIDATION_LC1.XLS_ACCOUNTL" hidden="1">"BALANCESHEET"</definedName>
    <definedName name="EV__MEMORYCVW__CFVALIDATION_LC1.XLS_CATEGORY" hidden="1">"ACTUAL"</definedName>
    <definedName name="EV__MEMORYCVW__CFVALIDATION_LC1.XLS_CONSOLVIEW" hidden="1">"LC"</definedName>
    <definedName name="EV__MEMORYCVW__CFVALIDATION_LC1.XLS_DATASRCL" hidden="1">"RESTATED"</definedName>
    <definedName name="EV__MEMORYCVW__CFVALIDATION_LC1.XLS_ENTITY" hidden="1">"GKR"</definedName>
    <definedName name="EV__MEMORYCVW__CFVALIDATION_LC1.XLS_INTCO" hidden="1">"N_IC"</definedName>
    <definedName name="EV__MEMORYCVW__CFVALIDATION_LC1.XLS_MEASURES" hidden="1">"YTD"</definedName>
    <definedName name="EV__MEMORYCVW__CFVALIDATION_LC1.XLS_SEGMENT" hidden="1">"All_Seg"</definedName>
    <definedName name="EV__MEMORYCVW__CFVALIDATION_LC1.XLS_TIME" hidden="1">"2002.DEC"</definedName>
    <definedName name="EV__MEMORYCVW__CFVALIDATIONBYENTITY_REPORT1" hidden="1">"LEGAL"</definedName>
    <definedName name="EV__MEMORYCVW__CFVALIDATIONBYENTITY_REPORT1_ACCDETAIL" hidden="1">"F_CLO"</definedName>
    <definedName name="EV__MEMORYCVW__CFVALIDATIONBYENTITY_REPORT1_ACCOUNTL" hidden="1">300000</definedName>
    <definedName name="EV__MEMORYCVW__CFVALIDATIONBYENTITY_REPORT1_CATEGORY" hidden="1">"ACTUAL"</definedName>
    <definedName name="EV__MEMORYCVW__CFVALIDATIONBYENTITY_REPORT1_CONSOLVIEW" hidden="1">"LC"</definedName>
    <definedName name="EV__MEMORYCVW__CFVALIDATIONBYENTITY_REPORT1_DATASRCL" hidden="1">"INPUT"</definedName>
    <definedName name="EV__MEMORYCVW__CFVALIDATIONBYENTITY_REPORT1_ENTITY" hidden="1">"G9000"</definedName>
    <definedName name="EV__MEMORYCVW__CFVALIDATIONBYENTITY_REPORT1_INTCO" hidden="1">"N_IC"</definedName>
    <definedName name="EV__MEMORYCVW__CFVALIDATIONBYENTITY_REPORT1_MEASURES" hidden="1">"YTD"</definedName>
    <definedName name="EV__MEMORYCVW__CFVALIDATIONBYENTITY_REPORT1_TIME" hidden="1">"2009.MAR"</definedName>
    <definedName name="EV__MEMORYCVW__CH_INPUT.XLT" hidden="1">"LEGAL"</definedName>
    <definedName name="EV__MEMORYCVW__CH_INPUT.XLT_ACCDETAIL" hidden="1">"F_TOT"</definedName>
    <definedName name="EV__MEMORYCVW__CH_INPUT.XLT_ACCOUNTL" hidden="1">300000</definedName>
    <definedName name="EV__MEMORYCVW__CH_INPUT.XLT_CATEGORY" hidden="1">"ACTUAL"</definedName>
    <definedName name="EV__MEMORYCVW__CH_INPUT.XLT_CONSOLVIEW" hidden="1">"LC"</definedName>
    <definedName name="EV__MEMORYCVW__CH_INPUT.XLT_DATASRCL" hidden="1">"ALL_DATASRC"</definedName>
    <definedName name="EV__MEMORYCVW__CH_INPUT.XLT_ENTITY" hidden="1">"G9000"</definedName>
    <definedName name="EV__MEMORYCVW__CH_INPUT.XLT_INTCO" hidden="1">"N_IC"</definedName>
    <definedName name="EV__MEMORYCVW__CH_INPUT.XLT_MEASURES" hidden="1">"YTD"</definedName>
    <definedName name="EV__MEMORYCVW__CH_INPUT.XLT_TIME" hidden="1">"2009.MAR"</definedName>
    <definedName name="EV__MEMORYCVW__CH_INPUT1" hidden="1">"LEGAL"</definedName>
    <definedName name="EV__MEMORYCVW__CH_INPUT1_ACCDETAIL" hidden="1">"F_TOT"</definedName>
    <definedName name="EV__MEMORYCVW__CH_INPUT1_ACCOUNTL" hidden="1">"BALANCESHEET"</definedName>
    <definedName name="EV__MEMORYCVW__CH_INPUT1_CATEGORY" hidden="1">"ACTUAL"</definedName>
    <definedName name="EV__MEMORYCVW__CH_INPUT1_CONSOLVIEW" hidden="1">"LC"</definedName>
    <definedName name="EV__MEMORYCVW__CH_INPUT1_DATASRCL" hidden="1">"ALL_DATASRC"</definedName>
    <definedName name="EV__MEMORYCVW__CH_INPUT1_ENTITY" hidden="1">"C2000"</definedName>
    <definedName name="EV__MEMORYCVW__CH_INPUT1_INTCO" hidden="1">"N_IC"</definedName>
    <definedName name="EV__MEMORYCVW__CH_INPUT1_MEASURES" hidden="1">"YTD"</definedName>
    <definedName name="EV__MEMORYCVW__CH_INPUT1_TIME" hidden="1">"2009.MAR"</definedName>
    <definedName name="EV__MEMORYCVW__COMPANYNO_INPUT1" hidden="1">"LEGAL"</definedName>
    <definedName name="EV__MEMORYCVW__COMPANYNO_INPUT1_ACCDETAIL" hidden="1">"F_TOT"</definedName>
    <definedName name="EV__MEMORYCVW__COMPANYNO_INPUT1_ACCOUNTL" hidden="1">100000</definedName>
    <definedName name="EV__MEMORYCVW__COMPANYNO_INPUT1_CATEGORY" hidden="1">"ACTUAL"</definedName>
    <definedName name="EV__MEMORYCVW__COMPANYNO_INPUT1_CONSOLVIEW" hidden="1">"LC"</definedName>
    <definedName name="EV__MEMORYCVW__COMPANYNO_INPUT1_DATASRCL" hidden="1">"ALL_DATASRC"</definedName>
    <definedName name="EV__MEMORYCVW__COMPANYNO_INPUT1_ENTITY" hidden="1">"D1000"</definedName>
    <definedName name="EV__MEMORYCVW__COMPANYNO_INPUT1_INTCO" hidden="1">"A_IC"</definedName>
    <definedName name="EV__MEMORYCVW__COMPANYNO_INPUT1_MEASURES" hidden="1">"YTD"</definedName>
    <definedName name="EV__MEMORYCVW__COMPANYNO_INPUT1_TIME" hidden="1">"2007.TOTAL"</definedName>
    <definedName name="EV__MEMORYCVW__CONWS_REPORT1" hidden="1">"LEGAL"</definedName>
    <definedName name="EV__MEMORYCVW__CONWS_REPORT1_ACCDETAIL" hidden="1">"F_TOT"</definedName>
    <definedName name="EV__MEMORYCVW__CONWS_REPORT1_ACCOUNTL" hidden="1">"BALANCESHEET"</definedName>
    <definedName name="EV__MEMORYCVW__CONWS_REPORT1_CATEGORY" hidden="1">"ACTUAL"</definedName>
    <definedName name="EV__MEMORYCVW__CONWS_REPORT1_CONSOLVIEW" hidden="1">"C_LGCorp"</definedName>
    <definedName name="EV__MEMORYCVW__CONWS_REPORT1_DATASRCL" hidden="1">"ALL_DATASRC"</definedName>
    <definedName name="EV__MEMORYCVW__CONWS_REPORT1_ENTITY" hidden="1">"L1A00"</definedName>
    <definedName name="EV__MEMORYCVW__CONWS_REPORT1_INTCO" hidden="1">"A_IC"</definedName>
    <definedName name="EV__MEMORYCVW__CONWS_REPORT1_MEASURES" hidden="1">"YTD"</definedName>
    <definedName name="EV__MEMORYCVW__CONWS_REPORT1_TIME" hidden="1">"2009.MAR"</definedName>
    <definedName name="EV__MEMORYCVW__CUSTOMMENU1" hidden="1">"LEGAL"</definedName>
    <definedName name="EV__MEMORYCVW__CUSTOMMENU1_ACCDETAIL" hidden="1">"F_TOT"</definedName>
    <definedName name="EV__MEMORYCVW__CUSTOMMENU1_ACCOUNTL" hidden="1">100000</definedName>
    <definedName name="EV__MEMORYCVW__CUSTOMMENU1_CATEGORY" hidden="1">"ACTUAL"</definedName>
    <definedName name="EV__MEMORYCVW__CUSTOMMENU1_CONSOLVIEW" hidden="1">"LC"</definedName>
    <definedName name="EV__MEMORYCVW__CUSTOMMENU1_DATASRCL" hidden="1">"ALL_DATASRC"</definedName>
    <definedName name="EV__MEMORYCVW__CUSTOMMENU1_ENTITY" hidden="1">"LG999"</definedName>
    <definedName name="EV__MEMORYCVW__CUSTOMMENU1_INTCO" hidden="1">"A_IC"</definedName>
    <definedName name="EV__MEMORYCVW__CUSTOMMENU1_MEASURES" hidden="1">"YTD"</definedName>
    <definedName name="EV__MEMORYCVW__CUSTOMMENU1_TIME" hidden="1">"2005.DEC"</definedName>
    <definedName name="EV__MEMORYCVW__D1000_CF_전송분.XLS" hidden="1">"LEGAL"</definedName>
    <definedName name="EV__MEMORYCVW__D1000_CF_전송분.XLS_ACCDETAIL" hidden="1">"F_TOT"</definedName>
    <definedName name="EV__MEMORYCVW__D1000_CF_전송분.XLS_ACCOUNTL" hidden="1">100000</definedName>
    <definedName name="EV__MEMORYCVW__D1000_CF_전송분.XLS_CATEGORY" hidden="1">"ACTUAL"</definedName>
    <definedName name="EV__MEMORYCVW__D1000_CF_전송분.XLS_CONSOLVIEW" hidden="1">"LC"</definedName>
    <definedName name="EV__MEMORYCVW__D1000_CF_전송분.XLS_DATASRCL" hidden="1">"ALL_DATASRC"</definedName>
    <definedName name="EV__MEMORYCVW__D1000_CF_전송분.XLS_ENTITY" hidden="1">"L1000"</definedName>
    <definedName name="EV__MEMORYCVW__D1000_CF_전송분.XLS_INTCO" hidden="1">"N_IC"</definedName>
    <definedName name="EV__MEMORYCVW__D1000_CF_전송분.XLS_MEASURES" hidden="1">"YTD"</definedName>
    <definedName name="EV__MEMORYCVW__D1000_CF_전송분.XLS_TIME" hidden="1">"2009.MAR"</definedName>
    <definedName name="EV__MEMORYCVW__DIMENSION_0514.XLS" hidden="1">"LEGAL"</definedName>
    <definedName name="EV__MEMORYCVW__DIMENSION_0514.XLS_ACCDETAIL" hidden="1">"F_TOT"</definedName>
    <definedName name="EV__MEMORYCVW__DIMENSION_0514.XLS_ACCOUNTL" hidden="1">100000</definedName>
    <definedName name="EV__MEMORYCVW__DIMENSION_0514.XLS_CATEGORY" hidden="1">"ACTUAL"</definedName>
    <definedName name="EV__MEMORYCVW__DIMENSION_0514.XLS_CONSOLVIEW" hidden="1">"C_LGCorp"</definedName>
    <definedName name="EV__MEMORYCVW__DIMENSION_0514.XLS_DATASRCL" hidden="1">"ALL_DATASRC"</definedName>
    <definedName name="EV__MEMORYCVW__DIMENSION_0514.XLS_ENTITY" hidden="1">"L1000"</definedName>
    <definedName name="EV__MEMORYCVW__DIMENSION_0514.XLS_INTCO" hidden="1">"A_IC"</definedName>
    <definedName name="EV__MEMORYCVW__DIMENSION_0514.XLS_MEASURES" hidden="1">"YTD"</definedName>
    <definedName name="EV__MEMORYCVW__DIMENSION_0514.XLS_TIME" hidden="1">"2002.DEC"</definedName>
    <definedName name="EV__MEMORYCVW__LG_BPF순서_CHS_0522_JKJ_0524.XLS" hidden="1">"LEGAL"</definedName>
    <definedName name="EV__MEMORYCVW__LG_BPF순서_CHS_0522_JKJ_0524.XLS_ACCDETAIL" hidden="1">"F_TOT"</definedName>
    <definedName name="EV__MEMORYCVW__LG_BPF순서_CHS_0522_JKJ_0524.XLS_ACCOUNTL" hidden="1">100000</definedName>
    <definedName name="EV__MEMORYCVW__LG_BPF순서_CHS_0522_JKJ_0524.XLS_CATEGORY" hidden="1">"ACTUAL"</definedName>
    <definedName name="EV__MEMORYCVW__LG_BPF순서_CHS_0522_JKJ_0524.XLS_CONSOLVIEW" hidden="1">"C_LGCorp"</definedName>
    <definedName name="EV__MEMORYCVW__LG_BPF순서_CHS_0522_JKJ_0524.XLS_DATASRCL" hidden="1">"ALL_DATASRC"</definedName>
    <definedName name="EV__MEMORYCVW__LG_BPF순서_CHS_0522_JKJ_0524.XLS_ENTITY" hidden="1">"LG999"</definedName>
    <definedName name="EV__MEMORYCVW__LG_BPF순서_CHS_0522_JKJ_0524.XLS_INTCO" hidden="1">"A_IC"</definedName>
    <definedName name="EV__MEMORYCVW__LG_BPF순서_CHS_0522_JKJ_0524.XLS_MEASURES" hidden="1">"YTD"</definedName>
    <definedName name="EV__MEMORYCVW__LG_BPF순서_CHS_0522_JKJ_0524.XLS_TIME" hidden="1">"2008.TOTAL"</definedName>
    <definedName name="EV__MEMORYCVW__NEWUSER_INPUT1" hidden="1">"LEGAL"</definedName>
    <definedName name="EV__MEMORYCVW__NEWUSER_INPUT1_ACCDETAIL" hidden="1">"F_TOT"</definedName>
    <definedName name="EV__MEMORYCVW__NEWUSER_INPUT1_ACCOUNTL" hidden="1">100000</definedName>
    <definedName name="EV__MEMORYCVW__NEWUSER_INPUT1_CATEGORY" hidden="1">"ACTUAL"</definedName>
    <definedName name="EV__MEMORYCVW__NEWUSER_INPUT1_CONSOLVIEW" hidden="1">"LC"</definedName>
    <definedName name="EV__MEMORYCVW__NEWUSER_INPUT1_DATASRCL" hidden="1">"ALL_DATASRC"</definedName>
    <definedName name="EV__MEMORYCVW__NEWUSER_INPUT1_ENTITY" hidden="1">"D1000"</definedName>
    <definedName name="EV__MEMORYCVW__NEWUSER_INPUT1_INTCO" hidden="1">"A_IC"</definedName>
    <definedName name="EV__MEMORYCVW__NEWUSER_INPUT1_MEASURES" hidden="1">"YTD"</definedName>
    <definedName name="EV__MEMORYCVW__NEWUSER_INPUT1_TIME" hidden="1">"2005.DEC"</definedName>
    <definedName name="EV__MEMORYCVW__SAP_사용자교육_추후확인사항_090624_V3.XLS" hidden="1">"LEGAL"</definedName>
    <definedName name="EV__MEMORYCVW__SAP_사용자교육_추후확인사항_090624_V3.XLS_ACCDETAIL" hidden="1">"F_CLO"</definedName>
    <definedName name="EV__MEMORYCVW__SAP_사용자교육_추후확인사항_090624_V3.XLS_ACCOUNTL" hidden="1">"CASHFLOW"</definedName>
    <definedName name="EV__MEMORYCVW__SAP_사용자교육_추후확인사항_090624_V3.XLS_CATEGORY" hidden="1">"ACTUAL"</definedName>
    <definedName name="EV__MEMORYCVW__SAP_사용자교육_추후확인사항_090624_V3.XLS_CONSOLVIEW" hidden="1">"LC"</definedName>
    <definedName name="EV__MEMORYCVW__SAP_사용자교육_추후확인사항_090624_V3.XLS_DATASRCL" hidden="1">"INPUT"</definedName>
    <definedName name="EV__MEMORYCVW__SAP_사용자교육_추후확인사항_090624_V3.XLS_ENTITY" hidden="1">"L1A00"</definedName>
    <definedName name="EV__MEMORYCVW__SAP_사용자교육_추후확인사항_090624_V3.XLS_INTCO" hidden="1">"N_IC"</definedName>
    <definedName name="EV__MEMORYCVW__SAP_사용자교육_추후확인사항_090624_V3.XLS_MEASURES" hidden="1">"YTD"</definedName>
    <definedName name="EV__MEMORYCVW__SAP_사용자교육_추후확인사항_090624_V3.XLS_TIME" hidden="1">"2009.MAR"</definedName>
    <definedName name="EV__MEMORYCVW__TB_INPUT1" hidden="1">"LEGAL"</definedName>
    <definedName name="EV__MEMORYCVW__TB_INPUT1_ACCDETAIL" hidden="1">"F_TOT"</definedName>
    <definedName name="EV__MEMORYCVW__TB_INPUT1_ACCOUNTL" hidden="1">100000</definedName>
    <definedName name="EV__MEMORYCVW__TB_INPUT1_CATEGORY" hidden="1">"ACTUAL"</definedName>
    <definedName name="EV__MEMORYCVW__TB_INPUT1_CONSOLVIEW" hidden="1">"C_LGCorp"</definedName>
    <definedName name="EV__MEMORYCVW__TB_INPUT1_DATASRCL" hidden="1">"ALL_DATASRC"</definedName>
    <definedName name="EV__MEMORYCVW__TB_INPUT1_ENTITY" hidden="1">"E9000"</definedName>
    <definedName name="EV__MEMORYCVW__TB_INPUT1_INTCO" hidden="1">"A_IC"</definedName>
    <definedName name="EV__MEMORYCVW__TB_INPUT1_MEASURES" hidden="1">"YTD"</definedName>
    <definedName name="EV__MEMORYCVW__TB_INPUT1_TIME" hidden="1">"2002.DEC"</definedName>
    <definedName name="EV__MEMORYCVW__TBBYENTITY_REPORT.XLT" hidden="1">"LEGAL"</definedName>
    <definedName name="EV__MEMORYCVW__TBBYENTITY_REPORT.XLT_ACCDETAIL" hidden="1">"F_CLO"</definedName>
    <definedName name="EV__MEMORYCVW__TBBYENTITY_REPORT.XLT_ACCOUNTL" hidden="1">"BALANCESHEET"</definedName>
    <definedName name="EV__MEMORYCVW__TBBYENTITY_REPORT.XLT_CATEGORY" hidden="1">"ACTUAL"</definedName>
    <definedName name="EV__MEMORYCVW__TBBYENTITY_REPORT.XLT_CONSOLVIEW" hidden="1">"LC"</definedName>
    <definedName name="EV__MEMORYCVW__TBBYENTITY_REPORT.XLT_DATASRCL" hidden="1">"RESTATED"</definedName>
    <definedName name="EV__MEMORYCVW__TBBYENTITY_REPORT.XLT_ENTITY" hidden="1">"L1000"</definedName>
    <definedName name="EV__MEMORYCVW__TBBYENTITY_REPORT.XLT_INTCO" hidden="1">"N_IC"</definedName>
    <definedName name="EV__MEMORYCVW__TBBYENTITY_REPORT.XLT_MEASURES" hidden="1">"YTD"</definedName>
    <definedName name="EV__MEMORYCVW__TBBYENTITY_REPORT.XLT_TIME" hidden="1">"2009.MAR"</definedName>
    <definedName name="EV__MEMORYCVW__TB정보조회_그룹1" hidden="1">"LEGAL"</definedName>
    <definedName name="EV__MEMORYCVW__TB정보조회_그룹1_ACCDETAIL" hidden="1">"F_CLO"</definedName>
    <definedName name="EV__MEMORYCVW__TB정보조회_그룹1_ACCOUNTL" hidden="1">330000</definedName>
    <definedName name="EV__MEMORYCVW__TB정보조회_그룹1_CATEGORY" hidden="1">"ACTUAL"</definedName>
    <definedName name="EV__MEMORYCVW__TB정보조회_그룹1_CONSOLVIEW" hidden="1">"LC"</definedName>
    <definedName name="EV__MEMORYCVW__TB정보조회_그룹1_DATASRCL" hidden="1">"INPUT"</definedName>
    <definedName name="EV__MEMORYCVW__TB정보조회_그룹1_ENTITY" hidden="1">"L1A00"</definedName>
    <definedName name="EV__MEMORYCVW__TB정보조회_그룹1_INTCO" hidden="1">"N_IC"</definedName>
    <definedName name="EV__MEMORYCVW__TB정보조회_그룹1_MEASURES" hidden="1">"YTD"</definedName>
    <definedName name="EV__MEMORYCVW__TB정보조회_그룹1_TIME" hidden="1">"2009.MAR"</definedName>
    <definedName name="EV__MEMORYCVW__공정가치손상처분등록1" hidden="1">"LEGAL"</definedName>
    <definedName name="EV__MEMORYCVW__공정가치손상처분등록1_ACCDETAIL" hidden="1">"F_TOT"</definedName>
    <definedName name="EV__MEMORYCVW__공정가치손상처분등록1_ACCOUNTL" hidden="1">"INVACC00"</definedName>
    <definedName name="EV__MEMORYCVW__공정가치손상처분등록1_CATEGORY" hidden="1">"ACTUAL"</definedName>
    <definedName name="EV__MEMORYCVW__공정가치손상처분등록1_CONSOLVIEW" hidden="1">"LC"</definedName>
    <definedName name="EV__MEMORYCVW__공정가치손상처분등록1_DATASRCL" hidden="1">"INVSRC"</definedName>
    <definedName name="EV__MEMORYCVW__공정가치손상처분등록1_ENTITY" hidden="1">"D1000"</definedName>
    <definedName name="EV__MEMORYCVW__공정가치손상처분등록1_INTCO" hidden="1">"A_IC"</definedName>
    <definedName name="EV__MEMORYCVW__공정가치손상처분등록1_MEASURES" hidden="1">"Periodic"</definedName>
    <definedName name="EV__MEMORYCVW__공정가치손상처분등록1_TIME" hidden="1">"2003.DEC"</definedName>
    <definedName name="EV__MEMORYCVW__공정가치차액등록11" hidden="1">"LEGAL"</definedName>
    <definedName name="EV__MEMORYCVW__공정가치차액등록11_ACCDETAIL" hidden="1">"F_TOT"</definedName>
    <definedName name="EV__MEMORYCVW__공정가치차액등록11_ACCOUNTL" hidden="1">100000</definedName>
    <definedName name="EV__MEMORYCVW__공정가치차액등록11_CATEGORY" hidden="1">"ACTUAL"</definedName>
    <definedName name="EV__MEMORYCVW__공정가치차액등록11_CONSOLVIEW" hidden="1">"C_LGCorp"</definedName>
    <definedName name="EV__MEMORYCVW__공정가치차액등록11_DATASRCL" hidden="1">"ALL_DATASRC"</definedName>
    <definedName name="EV__MEMORYCVW__공정가치차액등록11_ENTITY" hidden="1">"L1000"</definedName>
    <definedName name="EV__MEMORYCVW__공정가치차액등록11_INTCO" hidden="1">"A_IC"</definedName>
    <definedName name="EV__MEMORYCVW__공정가치차액등록11_MEASURES" hidden="1">"YTD"</definedName>
    <definedName name="EV__MEMORYCVW__공정가치차액등록11_TIME" hidden="1">"2002.DEC"</definedName>
    <definedName name="EV__MEMORYCVW__리뷰사항_0609.XLS" hidden="1">"LEGAL"</definedName>
    <definedName name="EV__MEMORYCVW__리뷰사항_0609.XLS_ACCDETAIL" hidden="1">"F_TOT"</definedName>
    <definedName name="EV__MEMORYCVW__리뷰사항_0609.XLS_ACCOUNTL" hidden="1">100000</definedName>
    <definedName name="EV__MEMORYCVW__리뷰사항_0609.XLS_CATEGORY" hidden="1">"ACTUAL"</definedName>
    <definedName name="EV__MEMORYCVW__리뷰사항_0609.XLS_CONSOLVIEW" hidden="1">"C_LGCorp"</definedName>
    <definedName name="EV__MEMORYCVW__리뷰사항_0609.XLS_DATASRCL" hidden="1">"ALL_DATASRC"</definedName>
    <definedName name="EV__MEMORYCVW__리뷰사항_0609.XLS_ENTITY" hidden="1">"L1003"</definedName>
    <definedName name="EV__MEMORYCVW__리뷰사항_0609.XLS_INTCO" hidden="1">"A_IC"</definedName>
    <definedName name="EV__MEMORYCVW__리뷰사항_0609.XLS_MEASURES" hidden="1">"YTD"</definedName>
    <definedName name="EV__MEMORYCVW__리뷰사항_0609.XLS_TIME" hidden="1">"2002.DEC"</definedName>
    <definedName name="EV__MEMORYCVW__연결시스템_일정.XLS" hidden="1">"LEGAL"</definedName>
    <definedName name="EV__MEMORYCVW__연결시스템_일정.XLS_ACCDETAIL" hidden="1">"F_UNR"</definedName>
    <definedName name="EV__MEMORYCVW__연결시스템_일정.XLS_ACCOUNTL" hidden="1">"BALANCESHEET"</definedName>
    <definedName name="EV__MEMORYCVW__연결시스템_일정.XLS_CATEGORY" hidden="1">"ACTUAL"</definedName>
    <definedName name="EV__MEMORYCVW__연결시스템_일정.XLS_CONSOLVIEW" hidden="1">"HSI_LEGAL"</definedName>
    <definedName name="EV__MEMORYCVW__연결시스템_일정.XLS_DATASRCL" hidden="1">"EC_STOCK"</definedName>
    <definedName name="EV__MEMORYCVW__연결시스템_일정.XLS_ENTITY" hidden="1">"COMPANY"</definedName>
    <definedName name="EV__MEMORYCVW__연결시스템_일정.XLS_INTCO" hidden="1">"A_IC"</definedName>
    <definedName name="EV__MEMORYCVW__연결시스템_일정.XLS_MEASURES" hidden="1">"YTD"</definedName>
    <definedName name="EV__MEMORYCVW__연결시스템_일정.XLS_SEGMENT" hidden="1">"All_Seg"</definedName>
    <definedName name="EV__MEMORYCVW__연결시스템_일정.XLS_TIME" hidden="1">"2008.DEC"</definedName>
    <definedName name="EV__MEMORYCVW__투자자본TEST_0606.XLS" hidden="1">"LEGAL"</definedName>
    <definedName name="EV__MEMORYCVW__투자자본TEST_0606.XLS_ACCDETAIL" hidden="1">"F_TOT"</definedName>
    <definedName name="EV__MEMORYCVW__투자자본TEST_0606.XLS_ACCOUNTL" hidden="1">100000</definedName>
    <definedName name="EV__MEMORYCVW__투자자본TEST_0606.XLS_CATEGORY" hidden="1">"ACTUAL"</definedName>
    <definedName name="EV__MEMORYCVW__투자자본TEST_0606.XLS_CONSOLVIEW" hidden="1">"LC"</definedName>
    <definedName name="EV__MEMORYCVW__투자자본TEST_0606.XLS_DATASRCL" hidden="1">"ALL_DATASRC"</definedName>
    <definedName name="EV__MEMORYCVW__투자자본TEST_0606.XLS_ENTITY" hidden="1">"L1003"</definedName>
    <definedName name="EV__MEMORYCVW__투자자본TEST_0606.XLS_INTCO" hidden="1">"N_IC"</definedName>
    <definedName name="EV__MEMORYCVW__투자자본TEST_0606.XLS_MEASURES" hidden="1">"YTD"</definedName>
    <definedName name="EV__MEMORYCVW__투자자본TEST_0606.XLS_TIME" hidden="1">"2002.DEC"</definedName>
    <definedName name="EV__MEMORYCVW__투자자본상계시나리오_GLOVIS.XLSX" hidden="1">"LEGAL"</definedName>
    <definedName name="EV__MEMORYCVW__투자자본상계시나리오_GLOVIS.XLSX_ACCDETAIL" hidden="1">"F_TOT"</definedName>
    <definedName name="EV__MEMORYCVW__투자자본상계시나리오_GLOVIS.XLSX_ACCOUNTL" hidden="1">"NETINCOME"</definedName>
    <definedName name="EV__MEMORYCVW__투자자본상계시나리오_GLOVIS.XLSX_CATEGORY" hidden="1">"ACTUAL"</definedName>
    <definedName name="EV__MEMORYCVW__투자자본상계시나리오_GLOVIS.XLSX_CONSOLVIEW" hidden="1">"GLOVIS_LEGAL"</definedName>
    <definedName name="EV__MEMORYCVW__투자자본상계시나리오_GLOVIS.XLSX_DATASRCL" hidden="1">"ALL_DATASRC"</definedName>
    <definedName name="EV__MEMORYCVW__투자자본상계시나리오_GLOVIS.XLSX_ENTITY" hidden="1">"GKR"</definedName>
    <definedName name="EV__MEMORYCVW__투자자본상계시나리오_GLOVIS.XLSX_INTCO" hidden="1">"A_IC"</definedName>
    <definedName name="EV__MEMORYCVW__투자자본상계시나리오_GLOVIS.XLSX_MEASURES" hidden="1">"YTD"</definedName>
    <definedName name="EV__MEMORYCVW__투자자본상계시나리오_GLOVIS.XLSX_SEGMENT" hidden="1">"All_Seg"</definedName>
    <definedName name="EV__MEMORYCVW__투자자본상계시나리오_GLOVIS.XLSX_TIME" hidden="1">"2002.DEC"</definedName>
    <definedName name="EV__MEMORYCVW__하이닉스_노선도.XLS" hidden="1">"LEGAL"</definedName>
    <definedName name="EV__MEMORYCVW__하이닉스_노선도.XLS_ACCDETAIL" hidden="1">"F_CLO"</definedName>
    <definedName name="EV__MEMORYCVW__하이닉스_노선도.XLS_ACCOUNTL" hidden="1">"CASHFLOW"</definedName>
    <definedName name="EV__MEMORYCVW__하이닉스_노선도.XLS_CATEGORY" hidden="1">"ACTUAL"</definedName>
    <definedName name="EV__MEMORYCVW__하이닉스_노선도.XLS_CONSOLVIEW" hidden="1">"C_LGCorp"</definedName>
    <definedName name="EV__MEMORYCVW__하이닉스_노선도.XLS_DATASRCL" hidden="1">"ALL_DATASRC"</definedName>
    <definedName name="EV__MEMORYCVW__하이닉스_노선도.XLS_ENTITY" hidden="1">"L1A00"</definedName>
    <definedName name="EV__MEMORYCVW__하이닉스_노선도.XLS_INTCO" hidden="1">"A_IC"</definedName>
    <definedName name="EV__MEMORYCVW__하이닉스_노선도.XLS_MEASURES" hidden="1">"YTD"</definedName>
    <definedName name="EV__MEMORYCVW__하이닉스_노선도.XLS_TIME" hidden="1">"2009.MAR"</definedName>
    <definedName name="EV__USERCHANGEOPTIONS__">1</definedName>
    <definedName name="EV__WBEVMODE__">0</definedName>
    <definedName name="EV__WBREFOPTIONS__">134217855</definedName>
    <definedName name="EV__WBVERSION__">0</definedName>
    <definedName name="EV__WSINFO__">123</definedName>
    <definedName name="EV_CVPARAMS_2">"Any by Any!$B$17:$C$38;"</definedName>
    <definedName name="event" hidden="1">#REF!</definedName>
    <definedName name="everclear" hidden="1">{"Strategic",#N/A,FALSE,"Total"}</definedName>
    <definedName name="evgfrtdtb">#REF!</definedName>
    <definedName name="evgfrtdtb_1">#REF!</definedName>
    <definedName name="EVIS">#REF!</definedName>
    <definedName name="Evolução">#REF!</definedName>
    <definedName name="ewa">#REF!</definedName>
    <definedName name="ewa_1">#REF!</definedName>
    <definedName name="ewer">#REF!</definedName>
    <definedName name="ewfwe">#REF!</definedName>
    <definedName name="ewgf">#REF!</definedName>
    <definedName name="ewgf_1">#REF!</definedName>
    <definedName name="EWGFEWg">#REF!</definedName>
    <definedName name="ewr">{0,0,0,0,0,0,0,0,0,0,0,0,0,0,0,0,0,0,0,0,0,0,0,0,0,0,0,0,0,0,0,0,0,0,0,0,0,0,0,0,0,0,0,0,0,#VALUE!,0,0,0,0,108.003967338242}</definedName>
    <definedName name="ewwe" hidden="1">{#N/A,#N/A,FALSE,"REPORT"}</definedName>
    <definedName name="ex">110</definedName>
    <definedName name="Ex._Rate">#REF!</definedName>
    <definedName name="EX_RATE">#REF!</definedName>
    <definedName name="EX_REC_S_A_OTHE">#REF!</definedName>
    <definedName name="EX_REC_TO_TR">#REF!</definedName>
    <definedName name="EX9091_">#REF!</definedName>
    <definedName name="ExactAddinConnection">"034"</definedName>
    <definedName name="ExactAddinConnection.001">"slontcount;001;bparmar;0"</definedName>
    <definedName name="ExactAddinConnection.003">"srv3;003;basilio;0"</definedName>
    <definedName name="ExactAddinConnection.004">"srv3;004;basilio;0"</definedName>
    <definedName name="ExactAddinConnection.005">"srv3;005;basilio;0"</definedName>
    <definedName name="ExactAddinConnection.034">"NOIVU;034;gl4;1"</definedName>
    <definedName name="ExactAddinConnection.100">"srv3;100;basilio;0"</definedName>
    <definedName name="ExactAddinConnection.905">"SLOEXACT;905;Administrator;1"</definedName>
    <definedName name="ExactAddinReports" hidden="1">1</definedName>
    <definedName name="example_irr">#REF!</definedName>
    <definedName name="example_variances">#REF!</definedName>
    <definedName name="EXC">#REF!</definedName>
    <definedName name="Excel_BuiltIn__FilterDatabase_10">#REF!</definedName>
    <definedName name="Excel_BuiltIn__FilterDatabase_11">#REF!</definedName>
    <definedName name="Excel_BuiltIn__FilterDatabase_12">#REF!</definedName>
    <definedName name="Excel_BuiltIn__FilterDatabase_13">#REF!</definedName>
    <definedName name="Excel_BuiltIn__FilterDatabase_2">#REF!</definedName>
    <definedName name="Excel_BuiltIn__FilterDatabase_2_1_1_1_1_1_1_1_1_1_1_1_1_1_1_1_1_1_1_1_1_1_1_1_1_1_1_1_1_1_1">#REF!</definedName>
    <definedName name="Excel_BuiltIn__FilterDatabase_3">#REF!</definedName>
    <definedName name="Excel_BuiltIn__FilterDatabase_4">#REF!</definedName>
    <definedName name="Excel_BuiltIn__FilterDatabase_5">#REF!</definedName>
    <definedName name="Excel_BuiltIn__FilterDatabase_7">#REF!</definedName>
    <definedName name="Excel_BuiltIn__FilterDatabase_8">#REF!</definedName>
    <definedName name="Excel_BuiltIn__FilterDatabase_9">#REF!</definedName>
    <definedName name="Excel_BuiltIn_Criteria">#REF!</definedName>
    <definedName name="Excel_BuiltIn_Database">#REF!</definedName>
    <definedName name="Excel_BuiltIn_Database_12">#REF!</definedName>
    <definedName name="Excel_BuiltIn_Print_Area">#REF!</definedName>
    <definedName name="Excel_BuiltIn_Print_Area_0">#REF!</definedName>
    <definedName name="Excel_BuiltIn_Print_Area_0___0">#REF!</definedName>
    <definedName name="Excel_BuiltIn_Print_Area_1">#REF!</definedName>
    <definedName name="Excel_BuiltIn_Print_Area_1_1">#REF!</definedName>
    <definedName name="Excel_BuiltIn_Print_Area_1_1_1">#REF!</definedName>
    <definedName name="Excel_BuiltIn_Print_Area_10">#REF!</definedName>
    <definedName name="Excel_BuiltIn_Print_Area_10_1">#REF!</definedName>
    <definedName name="Excel_BuiltIn_Print_Area_11_1">#REF!</definedName>
    <definedName name="Excel_BuiltIn_Print_Area_12">#REF!</definedName>
    <definedName name="Excel_BuiltIn_Print_Area_12_1">#REF!</definedName>
    <definedName name="Excel_BuiltIn_Print_Area_13">#REF!</definedName>
    <definedName name="Excel_BuiltIn_Print_Area_13_1">#REF!</definedName>
    <definedName name="Excel_BuiltIn_Print_Area_15">#REF!</definedName>
    <definedName name="Excel_BuiltIn_Print_Area_15_1">#REF!</definedName>
    <definedName name="Excel_BuiltIn_Print_Area_15_1_1">#REF!</definedName>
    <definedName name="Excel_BuiltIn_Print_Area_17_1">#REF!</definedName>
    <definedName name="Excel_BuiltIn_Print_Area_2">#REF!</definedName>
    <definedName name="Excel_BuiltIn_Print_Area_2___0">#REF!</definedName>
    <definedName name="Excel_BuiltIn_Print_Area_2_1">#REF!</definedName>
    <definedName name="Excel_BuiltIn_Print_Area_2_1_1">#REF!</definedName>
    <definedName name="Excel_BuiltIn_Print_Area_4">#REF!</definedName>
    <definedName name="Excel_BuiltIn_Print_Area_4___0">#REF!</definedName>
    <definedName name="Excel_BuiltIn_Print_Area_4_1">#REF!</definedName>
    <definedName name="Excel_BuiltIn_Print_Area_4_1_1">#REF!</definedName>
    <definedName name="Excel_BuiltIn_Print_Area_4_1_1_1">#REF!</definedName>
    <definedName name="Excel_BuiltIn_Print_Area_6">#REF!</definedName>
    <definedName name="Excel_BuiltIn_Print_Area_7">#REF!</definedName>
    <definedName name="Excel_BuiltIn_Print_Area_9_1">#REF!</definedName>
    <definedName name="Excel_BuiltIn_Print_Titles_1">#REF!</definedName>
    <definedName name="Excel_BuiltIn_Print_Titles_1_1">#REF!</definedName>
    <definedName name="Excel_BuiltIn_Print_Titles_1_1_1">#REF!,#REF!</definedName>
    <definedName name="Excel_BuiltIn_Print_Titles_2">#REF!</definedName>
    <definedName name="ExcessCashrate">#REF!</definedName>
    <definedName name="exch">#REF!</definedName>
    <definedName name="Exchange">#REF!</definedName>
    <definedName name="EXCHANGE_1">{"'subnets'!$A$1:$F$20"}</definedName>
    <definedName name="EXCHANGE_2">{"'subnets'!$A$1:$F$20"}</definedName>
    <definedName name="EXCHANGE_3">{"'subnets'!$A$1:$F$20"}</definedName>
    <definedName name="EXCHANGE_4">{"'subnets'!$A$1:$F$20"}</definedName>
    <definedName name="EXCHANGE_5">{"'subnets'!$A$1:$F$20"}</definedName>
    <definedName name="Exchange_Rate">#REF!</definedName>
    <definedName name="ExchangeRatio">#REF!</definedName>
    <definedName name="ExchangeRt">#REF!</definedName>
    <definedName name="ExchRate">#REF!</definedName>
    <definedName name="ExchrateSG">#REF!</definedName>
    <definedName name="EXEC1">#REF!</definedName>
    <definedName name="EXEC2">#REF!</definedName>
    <definedName name="ExecLegalPR2">#REF!</definedName>
    <definedName name="executives">#REF!</definedName>
    <definedName name="exhibit">#REF!</definedName>
    <definedName name="existing2">#REF!</definedName>
    <definedName name="existing3">#REF!</definedName>
    <definedName name="existing4">#REF!</definedName>
    <definedName name="existing5">#REF!</definedName>
    <definedName name="exp">#REF!</definedName>
    <definedName name="EXP_COS">#N/A</definedName>
    <definedName name="Exp_direct">#REF!</definedName>
    <definedName name="Exp_indirect">#REF!</definedName>
    <definedName name="Exp_Other">#REF!</definedName>
    <definedName name="EXP_SALE">#N/A</definedName>
    <definedName name="ExpA">#REF!</definedName>
    <definedName name="expcomp">"Option Button 21"</definedName>
    <definedName name="Expected">"4-Expected"</definedName>
    <definedName name="Expected_balance">#REF!</definedName>
    <definedName name="Expected_balance_1">#REF!</definedName>
    <definedName name="Expenditure">#REF!</definedName>
    <definedName name="EXPENSE">#REF!</definedName>
    <definedName name="Expense2">#REF!</definedName>
    <definedName name="Expenses">#REF!</definedName>
    <definedName name="ExpenseUpload">#REF!</definedName>
    <definedName name="Expert_Services">#REF!</definedName>
    <definedName name="expinet">"Option Button 20"</definedName>
    <definedName name="Expired">FALSE</definedName>
    <definedName name="ExpJ">#REF!</definedName>
    <definedName name="Export">#REF!</definedName>
    <definedName name="Exports">#REF!</definedName>
    <definedName name="ExpR">#REF!</definedName>
    <definedName name="EXPSALE">#N/A</definedName>
    <definedName name="exptenant">"exptenant"</definedName>
    <definedName name="EXPWISE_SUMMARY">#REF!</definedName>
    <definedName name="exr">1.1</definedName>
    <definedName name="exrate1">100</definedName>
    <definedName name="ExrateBt">#REF!</definedName>
    <definedName name="ExrateInd">#REF!</definedName>
    <definedName name="ExrateSing">#REF!</definedName>
    <definedName name="ExrateUS">#REF!</definedName>
    <definedName name="Ext._Exposure_Gains_and_Losses">#REF!</definedName>
    <definedName name="EXT.MN">#REF!</definedName>
    <definedName name="ExtendArea1">#REF!</definedName>
    <definedName name="Extended">#REF!</definedName>
    <definedName name="Extra_Pay">#REF!</definedName>
    <definedName name="_xlnm.Extract">#REF!</definedName>
    <definedName name="Extract_MI">#REF!</definedName>
    <definedName name="extractby">#REF!</definedName>
    <definedName name="extraoper.inc.exp.">#REF!</definedName>
    <definedName name="extraoperexp.">#REF!</definedName>
    <definedName name="extraoperinc.">#REF!</definedName>
    <definedName name="EY">{"'Feb 99'!$A$1:$G$30"}</definedName>
    <definedName name="EY_03">#REF!</definedName>
    <definedName name="eymy">{"'Feb 99'!$A$1:$G$30"}</definedName>
    <definedName name="eynetn">#REF!</definedName>
    <definedName name="eynetn_1">#REF!</definedName>
    <definedName name="EZGP">1</definedName>
    <definedName name="E매출">#REF!</definedName>
    <definedName name="E이자">#REF!</definedName>
    <definedName name="e인원">#REF!</definedName>
    <definedName name="f" hidden="1">{#N/A,#N/A,TRUE,"3Q BCG";#N/A,#N/A,TRUE,"3Q w|o Wireless";#N/A,#N/A,TRUE,"3Q Wireless"}</definedName>
    <definedName name="f.asset">#REF!</definedName>
    <definedName name="f_1">#REF!</definedName>
    <definedName name="F_123">#REF!</definedName>
    <definedName name="f_2">#REF!</definedName>
    <definedName name="f_3">#REF!</definedName>
    <definedName name="f_4">#REF!</definedName>
    <definedName name="f_5">#REF!</definedName>
    <definedName name="F9HorizontalAxis">#REF!</definedName>
    <definedName name="F9ModelCompany">#REF!</definedName>
    <definedName name="F9OtherAxes">#REF!</definedName>
    <definedName name="F9ReportBody">#REF!</definedName>
    <definedName name="F9ReportTitle">#REF!</definedName>
    <definedName name="F9VerticalAxis">#REF!</definedName>
    <definedName name="fa" hidden="1">{#N/A,#N/A,FALSE,"Aging Summary";#N/A,#N/A,FALSE,"Ratio Analysis";#N/A,#N/A,FALSE,"Test 120 Day Accts";#N/A,#N/A,FALSE,"Tickmarks"}</definedName>
    <definedName name="FA_Average">#REF!</definedName>
    <definedName name="FA_Premium">#REF!</definedName>
    <definedName name="FA_Return">#REF!</definedName>
    <definedName name="FA_서울">#REF!</definedName>
    <definedName name="FAB">#N/A</definedName>
    <definedName name="Fac">#REF!</definedName>
    <definedName name="Facilities">1700</definedName>
    <definedName name="Factor">#REF!</definedName>
    <definedName name="FACTORY_OTHER">#REF!</definedName>
    <definedName name="fadre">#REF!</definedName>
    <definedName name="fafa">#REF!</definedName>
    <definedName name="fafa_1">#REF!</definedName>
    <definedName name="fafa_2">#REF!</definedName>
    <definedName name="fafa_3">#REF!</definedName>
    <definedName name="fafa_4">#REF!</definedName>
    <definedName name="fafdsfa">#REF!</definedName>
    <definedName name="fafdsfa_1">#REF!</definedName>
    <definedName name="fafdsfa_2">#REF!</definedName>
    <definedName name="fafdsfa_3">#REF!</definedName>
    <definedName name="fafdsfa_4">#REF!</definedName>
    <definedName name="fafs">#REF!</definedName>
    <definedName name="FAREG0405">#REF!</definedName>
    <definedName name="fas">#REF!</definedName>
    <definedName name="fas_1">#REF!</definedName>
    <definedName name="fas_2">#REF!</definedName>
    <definedName name="fas_3">#REF!</definedName>
    <definedName name="fas_4">#REF!</definedName>
    <definedName name="FAS115A">#REF!</definedName>
    <definedName name="FAS133A">#REF!</definedName>
    <definedName name="fasdas">#REF!</definedName>
    <definedName name="fasdas_1">#REF!</definedName>
    <definedName name="fasdas_2">#REF!</definedName>
    <definedName name="fasdas_3">#REF!</definedName>
    <definedName name="fasdas_4">#REF!</definedName>
    <definedName name="fasdasd">#REF!</definedName>
    <definedName name="fasdasd_1">#REF!</definedName>
    <definedName name="fasdasd_2">#REF!</definedName>
    <definedName name="fasdasd_3">#REF!</definedName>
    <definedName name="fasdasd_4">#REF!</definedName>
    <definedName name="fasdasdf">#REF!</definedName>
    <definedName name="fasdasdf_1">#REF!</definedName>
    <definedName name="fasdasdf_2">#REF!</definedName>
    <definedName name="fasdasdf_3">#REF!</definedName>
    <definedName name="fasdasdf_4">#REF!</definedName>
    <definedName name="fasdasdsdaf">#REF!</definedName>
    <definedName name="fasdasdsdaf_1">#REF!</definedName>
    <definedName name="fasdasdsdaf_2">#REF!</definedName>
    <definedName name="fasdasdsdaf_3">#REF!</definedName>
    <definedName name="fasdasdsdaf_4">#REF!</definedName>
    <definedName name="fasddasfd">#REF!</definedName>
    <definedName name="fasddasfd_1">#REF!</definedName>
    <definedName name="fasddasfd_2">#REF!</definedName>
    <definedName name="fasddasfd_3">#REF!</definedName>
    <definedName name="fasddasfd_4">#REF!</definedName>
    <definedName name="fasdf">#REF!</definedName>
    <definedName name="fasdf_1">#REF!</definedName>
    <definedName name="fasdf_2">#REF!</definedName>
    <definedName name="fasdf_3">#REF!</definedName>
    <definedName name="fasdf_4">#REF!</definedName>
    <definedName name="fasdfadf" hidden="1">{#N/A,#N/A,FALSE,"Aging Summary";#N/A,#N/A,FALSE,"Ratio Analysis";#N/A,#N/A,FALSE,"Test 120 Day Accts";#N/A,#N/A,FALSE,"Tickmarks"}</definedName>
    <definedName name="fasdfadf_3">#REF!</definedName>
    <definedName name="fasdfasd">#REF!</definedName>
    <definedName name="fasdfasd_1">#REF!</definedName>
    <definedName name="fasdfasd_2">#REF!</definedName>
    <definedName name="fasdfasd_3">#REF!</definedName>
    <definedName name="fasdfasd_4">#REF!</definedName>
    <definedName name="fasdfasdasdfasdf">#REF!</definedName>
    <definedName name="fasdfasdasdfasdf_1">#REF!</definedName>
    <definedName name="fasdfasdasdfasdf_2">#REF!</definedName>
    <definedName name="fasdfasdasdfasdf_3">#REF!</definedName>
    <definedName name="fasdfasdasdfasdf_4">#REF!</definedName>
    <definedName name="fasdfasdd">#REF!</definedName>
    <definedName name="fasdfasdd_1">#REF!</definedName>
    <definedName name="fasdfasdd_2">#REF!</definedName>
    <definedName name="fasdfasdd_3">#REF!</definedName>
    <definedName name="fasdfasdd_4">#REF!</definedName>
    <definedName name="fasdfasdfa">#REF!</definedName>
    <definedName name="fasdfasdfa_1">#REF!</definedName>
    <definedName name="fasdfasdfa_2">#REF!</definedName>
    <definedName name="fasdfasdfa_3">#REF!</definedName>
    <definedName name="fasdfasdfa_4">#REF!</definedName>
    <definedName name="fasdfsda">#REF!</definedName>
    <definedName name="fasdfsda_1">#REF!</definedName>
    <definedName name="fasdfsda_2">#REF!</definedName>
    <definedName name="fasdfsda_3">#REF!</definedName>
    <definedName name="fasdfsda_4">#REF!</definedName>
    <definedName name="fasdsadfsaf" hidden="1">{#N/A,#N/A,FALSE,"손익표지";#N/A,#N/A,FALSE,"손익계산";#N/A,#N/A,FALSE,"일반관리비";#N/A,#N/A,FALSE,"영업외수익";#N/A,#N/A,FALSE,"영업외비용";#N/A,#N/A,FALSE,"매출액";#N/A,#N/A,FALSE,"요약손익";#N/A,#N/A,FALSE,"요약대차";#N/A,#N/A,FALSE,"매출채권현황";#N/A,#N/A,FALSE,"매출채권명세"}</definedName>
    <definedName name="fasdsdf">#REF!</definedName>
    <definedName name="fasdsdf_1">#REF!</definedName>
    <definedName name="fasdsdf_2">#REF!</definedName>
    <definedName name="fasdsdf_3">#REF!</definedName>
    <definedName name="fasdsdf_4">#REF!</definedName>
    <definedName name="fasfasd">#REF!</definedName>
    <definedName name="fasfasd_1">#REF!</definedName>
    <definedName name="fasfasd_2">#REF!</definedName>
    <definedName name="fasfasd_3">#REF!</definedName>
    <definedName name="fasfasd_4">#REF!</definedName>
    <definedName name="fasfdsaf">#REF!</definedName>
    <definedName name="fasfin">#REF!</definedName>
    <definedName name="fawe">#REF!</definedName>
    <definedName name="fawe_1">#REF!</definedName>
    <definedName name="fawe_2">#REF!</definedName>
    <definedName name="fawe_3">#REF!</definedName>
    <definedName name="fawe_4">#REF!</definedName>
    <definedName name="Fax">#REF!</definedName>
    <definedName name="faxs">#REF!</definedName>
    <definedName name="FBBusOfAircraft.AmtOrValueOfExpenditure">#REF!</definedName>
    <definedName name="FBBusOfAircraft.AmtOrValueOfExpenditure_10">#REF!</definedName>
    <definedName name="FBBusOfAircraft.AmtOrValueOfExpenditure_9">#REF!</definedName>
    <definedName name="FBBusOfAircraft.ValueOfFB">#REF!</definedName>
    <definedName name="FBBusOfAircraft.ValueOfFB_10">#REF!</definedName>
    <definedName name="FBBusOfAircraft.ValueOfFB_9">#REF!</definedName>
    <definedName name="FBBusOfHotel.AmtOrValueOfExpenditure">#REF!</definedName>
    <definedName name="FBBusOfHotel.AmtOrValueOfExpenditure_10">#REF!</definedName>
    <definedName name="FBBusOfHotel.AmtOrValueOfExpenditure_9">#REF!</definedName>
    <definedName name="FBBusOfHotel.ValueOfFB">#REF!</definedName>
    <definedName name="FBBusOfHotel.ValueOfFB_10">#REF!</definedName>
    <definedName name="FBBusOfHotel.ValueOfFB_9">#REF!</definedName>
    <definedName name="FBBusOfShip.AmtOrValueOfExpenditure">#REF!</definedName>
    <definedName name="FBBusOfShip.AmtOrValueOfExpenditure_10">#REF!</definedName>
    <definedName name="FBBusOfShip.AmtOrValueOfExpenditure_9">#REF!</definedName>
    <definedName name="FBBusOfShip.ValueOfFB">#REF!</definedName>
    <definedName name="FBBusOfShip.ValueOfFB_10">#REF!</definedName>
    <definedName name="FBBusOfShip.ValueOfFB_9">#REF!</definedName>
    <definedName name="FBBusOthThan4bcd.AmtOrValueOfExpenditure">#REF!</definedName>
    <definedName name="FBBusOthThan4bcd.AmtOrValueOfExpenditure_10">#REF!</definedName>
    <definedName name="FBBusOthThan4bcd.AmtOrValueOfExpenditure_9">#REF!</definedName>
    <definedName name="FBBusOthThan4bcd.ValueOfFB">#REF!</definedName>
    <definedName name="FBBusOthThan4bcd.ValueOfFB_10">#REF!</definedName>
    <definedName name="FBBusOthThan4bcd.ValueOfFB_9">#REF!</definedName>
    <definedName name="FBCnvyBus.AmtOrValueOfExpenditure">#REF!</definedName>
    <definedName name="FBCnvyBus.AmtOrValueOfExpenditure_10">#REF!</definedName>
    <definedName name="FBCnvyBus.AmtOrValueOfExpenditure_9">#REF!</definedName>
    <definedName name="FBCnvyBus.ValueOfFB">#REF!</definedName>
    <definedName name="FBCnvyBus.ValueOfFB_10">#REF!</definedName>
    <definedName name="FBCnvyBus.ValueOfFB_9">#REF!</definedName>
    <definedName name="FBCnvyConst.AmtOrValueOfExpenditure">#REF!</definedName>
    <definedName name="FBCnvyConst.AmtOrValueOfExpenditure_10">#REF!</definedName>
    <definedName name="FBCnvyConst.AmtOrValueOfExpenditure_9">#REF!</definedName>
    <definedName name="FBCnvyConst.ValueOfFB">#REF!</definedName>
    <definedName name="FBCnvyConst.ValueOfFB_10">#REF!</definedName>
    <definedName name="FBCnvyConst.ValueOfFB_9">#REF!</definedName>
    <definedName name="FBCnvyManPhrama.AmtOrValueOfExpenditure">#REF!</definedName>
    <definedName name="FBCnvyManPhrama.AmtOrValueOfExpenditure_10">#REF!</definedName>
    <definedName name="FBCnvyManPhrama.AmtOrValueOfExpenditure_9">#REF!</definedName>
    <definedName name="FBCnvyManPhrama.ValueOfFB">#REF!</definedName>
    <definedName name="FBCnvyManPhrama.ValueOfFB_10">#REF!</definedName>
    <definedName name="FBCnvyManPhrama.ValueOfFB_9">#REF!</definedName>
    <definedName name="FBCnvyMANProd.AmtOrValueOfExpenditure">#REF!</definedName>
    <definedName name="FBCnvyMANProd.AmtOrValueOfExpenditure_10">#REF!</definedName>
    <definedName name="FBCnvyMANProd.AmtOrValueOfExpenditure_9">#REF!</definedName>
    <definedName name="FBCnvyMANProd.ValueOfFB">#REF!</definedName>
    <definedName name="FBCnvyMANProd.ValueOfFB_10">#REF!</definedName>
    <definedName name="FBCnvyMANProd.ValueOfFB_9">#REF!</definedName>
    <definedName name="FBConf.AmtOrValueOfExpenditure">#REF!</definedName>
    <definedName name="FBConf.AmtOrValueOfExpenditure_10">#REF!</definedName>
    <definedName name="FBConf.AmtOrValueOfExpenditure_9">#REF!</definedName>
    <definedName name="FBConf.ValueOfFB">#REF!</definedName>
    <definedName name="FBConf.ValueOfFB_10">#REF!</definedName>
    <definedName name="FBConf.ValueOfFB_9">#REF!</definedName>
    <definedName name="FBEmplSper.AmtOrValueOfExpenditure">#REF!</definedName>
    <definedName name="FBEmplSper.AmtOrValueOfExpenditure_10">#REF!</definedName>
    <definedName name="FBEmplSper.AmtOrValueOfExpenditure_9">#REF!</definedName>
    <definedName name="FBEmplSper.ValueOfFB">#REF!</definedName>
    <definedName name="FBEmplSper.ValueOfFB_10">#REF!</definedName>
    <definedName name="FBEmplSper.ValueOfFB_9">#REF!</definedName>
    <definedName name="FBEMPWel.AmtOrValueOfExpenditure">#REF!</definedName>
    <definedName name="FBEMPWel.AmtOrValueOfExpenditure_10">#REF!</definedName>
    <definedName name="FBEMPWel.AmtOrValueOfExpenditure_9">#REF!</definedName>
    <definedName name="FBEMPWel.ValueOfFB">#REF!</definedName>
    <definedName name="FBEMPWel.ValueOfFB_10">#REF!</definedName>
    <definedName name="FBEMPWel.ValueOfFB_9">#REF!</definedName>
    <definedName name="FBEnter.AmtOrValueOfExpenditure">#REF!</definedName>
    <definedName name="FBEnter.AmtOrValueOfExpenditure_10">#REF!</definedName>
    <definedName name="FBEnter.AmtOrValueOfExpenditure_9">#REF!</definedName>
    <definedName name="FBEnter.ValueOfFB">#REF!</definedName>
    <definedName name="FBEnter.ValueOfFB_10">#REF!</definedName>
    <definedName name="FBEnter.ValueOfFB_9">#REF!</definedName>
    <definedName name="FBFesti.AmtOrValueOfExpenditure">#REF!</definedName>
    <definedName name="FBFesti.AmtOrValueOfExpenditure_10">#REF!</definedName>
    <definedName name="FBFesti.AmtOrValueOfExpenditure_9">#REF!</definedName>
    <definedName name="FBFesti.ValueOfFB">#REF!</definedName>
    <definedName name="FBFesti.ValueOfFB_10">#REF!</definedName>
    <definedName name="FBFesti.ValueOfFB_9">#REF!</definedName>
    <definedName name="FBFree.AmtOrValueOfExpenditure">#REF!</definedName>
    <definedName name="FBFree.AmtOrValueOfExpenditure_10">#REF!</definedName>
    <definedName name="FBFree.AmtOrValueOfExpenditure_9">#REF!</definedName>
    <definedName name="FBFree.ValueOfFB">#REF!</definedName>
    <definedName name="FBFree.ValueOfFB_10">#REF!</definedName>
    <definedName name="FBFree.ValueOfFB_9">#REF!</definedName>
    <definedName name="FBGift.AmtOrValueOfExpenditure">#REF!</definedName>
    <definedName name="FBGift.AmtOrValueOfExpenditure_10">#REF!</definedName>
    <definedName name="FBGift.AmtOrValueOfExpenditure_9">#REF!</definedName>
    <definedName name="FBGift.ValueOfFB">#REF!</definedName>
    <definedName name="FBGift.ValueOfFB_10">#REF!</definedName>
    <definedName name="FBGift.ValueOfFB_9">#REF!</definedName>
    <definedName name="FBHealth.AmtOrValueOfExpenditure">#REF!</definedName>
    <definedName name="FBHealth.AmtOrValueOfExpenditure_10">#REF!</definedName>
    <definedName name="FBHealth.AmtOrValueOfExpenditure_9">#REF!</definedName>
    <definedName name="FBHealth.ValueOfFB">#REF!</definedName>
    <definedName name="FBHealth.ValueOfFB_10">#REF!</definedName>
    <definedName name="FBHealth.ValueOfFB_9">#REF!</definedName>
    <definedName name="FBHotelBRdAir.AmtOrValueOfExpenditure">#REF!</definedName>
    <definedName name="FBHotelBRdAir.AmtOrValueOfExpenditure_10">#REF!</definedName>
    <definedName name="FBHotelBRdAir.AmtOrValueOfExpenditure_9">#REF!</definedName>
    <definedName name="FBHotelBRdAir.ValueOfFB">#REF!</definedName>
    <definedName name="FBHotelBRdAir.ValueOfFB_10">#REF!</definedName>
    <definedName name="FBHotelBRdAir.ValueOfFB_9">#REF!</definedName>
    <definedName name="FBHotelBRdBus.AmtOrValueOfExpenditure">#REF!</definedName>
    <definedName name="FBHotelBRdBus.AmtOrValueOfExpenditure_10">#REF!</definedName>
    <definedName name="FBHotelBRdBus.AmtOrValueOfExpenditure_9">#REF!</definedName>
    <definedName name="FBHotelBRdBus.ValueOfFB">#REF!</definedName>
    <definedName name="FBHotelBRdBus.ValueOfFB_10">#REF!</definedName>
    <definedName name="FBHotelBRdBus.ValueOfFB_9">#REF!</definedName>
    <definedName name="FBHotelBRdMANPhrama.AmtOrValueOfExpenditure">#REF!</definedName>
    <definedName name="FBHotelBRdMANPhrama.AmtOrValueOfExpenditure_10">#REF!</definedName>
    <definedName name="FBHotelBRdMANPhrama.AmtOrValueOfExpenditure_9">#REF!</definedName>
    <definedName name="FBHotelBRdMANPhrama.ValueOfFB">#REF!</definedName>
    <definedName name="FBHotelBRdMANPhrama.ValueOfFB_10">#REF!</definedName>
    <definedName name="FBHotelBRdMANPhrama.ValueOfFB_9">#REF!</definedName>
    <definedName name="FBHotelBRdMANProd.AmtOrValueOfExpenditure">#REF!</definedName>
    <definedName name="FBHotelBRdMANProd.AmtOrValueOfExpenditure_10">#REF!</definedName>
    <definedName name="FBHotelBRdMANProd.AmtOrValueOfExpenditure_9">#REF!</definedName>
    <definedName name="FBHotelBRdMANProd.ValueOfFB">#REF!</definedName>
    <definedName name="FBHotelBRdMANProd.ValueOfFB_10">#REF!</definedName>
    <definedName name="FBHotelBRdMANProd.ValueOfFB_9">#REF!</definedName>
    <definedName name="FBHotelBRdShip.AmtOrValueOfExpenditure">#REF!</definedName>
    <definedName name="FBHotelBRdShip.AmtOrValueOfExpenditure_10">#REF!</definedName>
    <definedName name="FBHotelBRdShip.AmtOrValueOfExpenditure_9">#REF!</definedName>
    <definedName name="FBHotelBRdShip.ValueOfFB">#REF!</definedName>
    <definedName name="FBHotelBRdShip.ValueOfFB_10">#REF!</definedName>
    <definedName name="FBHotelBRdShip.ValueOfFB_9">#REF!</definedName>
    <definedName name="FBI.EmployeesInOutIndiaFlg">#REF!</definedName>
    <definedName name="FBI.EmployeesInOutIndiaFlg_10">#REF!</definedName>
    <definedName name="FBI.EmployeesInOutIndiaFlg_9">#REF!</definedName>
    <definedName name="FBI.NoOfIndianEmps">#REF!</definedName>
    <definedName name="FBI.NoOfIndianEmps_10">#REF!</definedName>
    <definedName name="FBI.NoOfIndianEmps_9">#REF!</definedName>
    <definedName name="FBI.NoOfOutsideIndiaEmps">#REF!</definedName>
    <definedName name="FBI.NoOfOutsideIndiaEmps_10">#REF!</definedName>
    <definedName name="FBI.NoOfOutsideIndiaEmps_9">#REF!</definedName>
    <definedName name="FBI.SeparateAcntMaintainForIndiaForeignFlg">#REF!</definedName>
    <definedName name="FBI.SeparateAcntMaintainForIndiaForeignFlg_10">#REF!</definedName>
    <definedName name="FBI.SeparateAcntMaintainForIndiaForeignFlg_9">#REF!</definedName>
    <definedName name="FBI.TotNoOfEmps">#REF!</definedName>
    <definedName name="FBI.TotNoOfEmps_10">#REF!</definedName>
    <definedName name="FBI.TotNoOfEmps_9">#REF!</definedName>
    <definedName name="FBMainAcc.AmtOrValueOfExpenditure">#REF!</definedName>
    <definedName name="FBMainAcc.AmtOrValueOfExpenditure_10">#REF!</definedName>
    <definedName name="FBMainAcc.AmtOrValueOfExpenditure_9">#REF!</definedName>
    <definedName name="FBMainAcc.ValueOfFB">#REF!</definedName>
    <definedName name="FBMainAcc.ValueOfFB_10">#REF!</definedName>
    <definedName name="FBMainAcc.ValueOfFB_9">#REF!</definedName>
    <definedName name="FBMainAir.AmtOrValueOfExpenditure">#REF!</definedName>
    <definedName name="FBMainAir.AmtOrValueOfExpenditure_10">#REF!</definedName>
    <definedName name="FBMainAir.AmtOrValueOfExpenditure_9">#REF!</definedName>
    <definedName name="FBMainAir.ValueOfFB">#REF!</definedName>
    <definedName name="FBMainAir.ValueOfFB_10">#REF!</definedName>
    <definedName name="FBMainAir.ValueOfFB_9">#REF!</definedName>
    <definedName name="FBOthr.AmtOrValueOfExpenditure">#REF!</definedName>
    <definedName name="FBOthr.AmtOrValueOfExpenditure_10">#REF!</definedName>
    <definedName name="FBOthr.AmtOrValueOfExpenditure_9">#REF!</definedName>
    <definedName name="FBOthr.ValueOfFB">#REF!</definedName>
    <definedName name="FBOthr.ValueOfFB_10">#REF!</definedName>
    <definedName name="FBOthr.ValueOfFB_9">#REF!</definedName>
    <definedName name="FBReprDep.AmtOrValueOfExpenditure">#REF!</definedName>
    <definedName name="FBReprDep.AmtOrValueOfExpenditure_10">#REF!</definedName>
    <definedName name="FBReprDep.AmtOrValueOfExpenditure_9">#REF!</definedName>
    <definedName name="FBReprDep.ValueOfFB">#REF!</definedName>
    <definedName name="FBReprDep.ValueOfFB_10">#REF!</definedName>
    <definedName name="FBReprDep.ValueOfFB_9">#REF!</definedName>
    <definedName name="FBReprDEPCry.AmtOrValueOfExpenditure">#REF!</definedName>
    <definedName name="FBReprDEPCry.AmtOrValueOfExpenditure_10">#REF!</definedName>
    <definedName name="FBReprDEPCry.AmtOrValueOfExpenditure_9">#REF!</definedName>
    <definedName name="FBReprDEPCry.ValueOfFB">#REF!</definedName>
    <definedName name="FBReprDEPCry.ValueOfFB_10">#REF!</definedName>
    <definedName name="FBReprDEPCry.ValueOfFB_9">#REF!</definedName>
    <definedName name="FBSales.AmtOrValueOfExpenditure">#REF!</definedName>
    <definedName name="FBSales.AmtOrValueOfExpenditure_10">#REF!</definedName>
    <definedName name="FBSales.AmtOrValueOfExpenditure_9">#REF!</definedName>
    <definedName name="FBSales.ValueOfFB">#REF!</definedName>
    <definedName name="FBSales.ValueOfFB_10">#REF!</definedName>
    <definedName name="FBSales.ValueOfFB_9">#REF!</definedName>
    <definedName name="FBSchlr.AmtOrValueOfExpenditure">#REF!</definedName>
    <definedName name="FBSchlr.AmtOrValueOfExpenditure_10">#REF!</definedName>
    <definedName name="FBSchlr.AmtOrValueOfExpenditure_9">#REF!</definedName>
    <definedName name="FBSchlr.ValueOfFB">#REF!</definedName>
    <definedName name="FBSchlr.ValueOfFB_10">#REF!</definedName>
    <definedName name="FBSchlr.ValueOfFB_9">#REF!</definedName>
    <definedName name="fbt">#REF!</definedName>
    <definedName name="FBTele.AmtOrValueOfExpenditure">#REF!</definedName>
    <definedName name="FBTele.AmtOrValueOfExpenditure_10">#REF!</definedName>
    <definedName name="FBTele.AmtOrValueOfExpenditure_9">#REF!</definedName>
    <definedName name="FBTele.ValueOfFB">#REF!</definedName>
    <definedName name="FBTele.ValueOfFB_10">#REF!</definedName>
    <definedName name="FBTele.ValueOfFB_9">#REF!</definedName>
    <definedName name="FBTot.TotValueOfFB">#REF!</definedName>
    <definedName name="FBTot.TotValueOfFB_10">#REF!</definedName>
    <definedName name="FBTot.TotValueOfFB_9">#REF!</definedName>
    <definedName name="FBTour.AmtOrValueOfExpenditure">#REF!</definedName>
    <definedName name="FBTour.AmtOrValueOfExpenditure_10">#REF!</definedName>
    <definedName name="FBTour.AmtOrValueOfExpenditure_9">#REF!</definedName>
    <definedName name="FBTour.ValueOfFB">#REF!</definedName>
    <definedName name="FBTour.ValueOfFB_10">#REF!</definedName>
    <definedName name="FBTour.ValueOfFB_9">#REF!</definedName>
    <definedName name="FBValBIF1.ValueOfFBIf1OfSchFBIisNo">#REF!</definedName>
    <definedName name="FBValBIF1.ValueOfFBIf1OfSchFBIisNo_10">#REF!</definedName>
    <definedName name="FBValBIF1.ValueOfFBIf1OfSchFBIisNo_9">#REF!</definedName>
    <definedName name="FBValBIF2N.ValueOfFBIf2OfSchFBIisNo">#REF!</definedName>
    <definedName name="FBValBIF2N.ValueOfFBIf2OfSchFBIisNo_10">#REF!</definedName>
    <definedName name="FBValBIF2N.ValueOfFBIf2OfSchFBIisNo_9">#REF!</definedName>
    <definedName name="FBValBIF2Y.ValueOfFBIf2OfSchFBIisYes">#REF!</definedName>
    <definedName name="FBValBIF2Y.ValueOfFBIf2OfSchFBIisYes_10">#REF!</definedName>
    <definedName name="FBValBIF2Y.ValueOfFBIf2OfSchFBIisYes_9">#REF!</definedName>
    <definedName name="FBValFrgBen.ValueOfFringeBenefit">#REF!</definedName>
    <definedName name="FBValFrgBen.ValueOfFringeBenefit_10">#REF!</definedName>
    <definedName name="FBValFrgBen.ValueOfFringeBenefit_9">#REF!</definedName>
    <definedName name="FC">#REF!</definedName>
    <definedName name="FCAST_months">#REF!</definedName>
    <definedName name="fcf_unlev_terminal1">#REF!</definedName>
    <definedName name="fcf_unlev_terminal2">#REF!</definedName>
    <definedName name="fcf_unlev_terminal3">#REF!</definedName>
    <definedName name="fcf_unlev_terminal4">#REF!</definedName>
    <definedName name="fcf_unlev_terminal5">#REF!</definedName>
    <definedName name="fcf_unlev10">#REF!</definedName>
    <definedName name="fcf_unlev5">#REF!</definedName>
    <definedName name="fchynd" hidden="1">{#N/A,#N/A,FALSE,"Aging Summary";#N/A,#N/A,FALSE,"Ratio Analysis";#N/A,#N/A,FALSE,"Test 120 Day Accts";#N/A,#N/A,FALSE,"Tickmarks"}</definedName>
    <definedName name="fchynd_3">#REF!</definedName>
    <definedName name="FCode">#REF!</definedName>
    <definedName name="Fcst">#REF!</definedName>
    <definedName name="Fcst_to_Plan">"table"</definedName>
    <definedName name="FD">#REF!</definedName>
    <definedName name="fdafa">{"'1-TheatreBkgs'!$A$1:$L$102"}</definedName>
    <definedName name="fdafdsa">#REF!</definedName>
    <definedName name="fdas">#REF!</definedName>
    <definedName name="fdas_1">#REF!</definedName>
    <definedName name="fdas_2">#REF!</definedName>
    <definedName name="fdas_3">#REF!</definedName>
    <definedName name="fdas_4">#REF!</definedName>
    <definedName name="fdasasdf">#REF!</definedName>
    <definedName name="fdasasdf_1">#REF!</definedName>
    <definedName name="fdasasdf_2">#REF!</definedName>
    <definedName name="fdasasdf_3">#REF!</definedName>
    <definedName name="fdasasdf_4">#REF!</definedName>
    <definedName name="fdasfsa">#REF!</definedName>
    <definedName name="fdasfsa_1">#REF!</definedName>
    <definedName name="fdasfsa_2">#REF!</definedName>
    <definedName name="fdasfsa_3">#REF!</definedName>
    <definedName name="fdasfsa_4">#REF!</definedName>
    <definedName name="fdd" hidden="1">{#N/A,#N/A,FALSE,"Aging Summary";#N/A,#N/A,FALSE,"Ratio Analysis";#N/A,#N/A,FALSE,"Test 120 Day Accts";#N/A,#N/A,FALSE,"Tickmarks"}</definedName>
    <definedName name="FDD_0_0">"A30681"</definedName>
    <definedName name="FDD_0_1">"A31047"</definedName>
    <definedName name="FDD_0_10">"A34334"</definedName>
    <definedName name="FDD_0_11">"A34699"</definedName>
    <definedName name="FDD_0_12">"A35064"</definedName>
    <definedName name="FDD_0_13">"A35430"</definedName>
    <definedName name="FDD_0_14">"A35795"</definedName>
    <definedName name="FDD_0_2">"A31412"</definedName>
    <definedName name="FDD_0_3">"A31777"</definedName>
    <definedName name="FDD_0_4">"A32142"</definedName>
    <definedName name="FDD_0_5">"A32508"</definedName>
    <definedName name="FDD_0_6">"A32873"</definedName>
    <definedName name="FDD_0_7">"A33238"</definedName>
    <definedName name="FDD_0_8">"A33603"</definedName>
    <definedName name="FDD_0_9">"A33969"</definedName>
    <definedName name="FDD_1_0">"U25569"</definedName>
    <definedName name="FDD_10_0">"A25569"</definedName>
    <definedName name="FDD_100_0">"A25569"</definedName>
    <definedName name="FDD_101_0">"A25569"</definedName>
    <definedName name="FDD_102_0">"A25569"</definedName>
    <definedName name="FDD_103_0">"A25569"</definedName>
    <definedName name="FDD_104_0">"A25569"</definedName>
    <definedName name="FDD_105_0">"A25569"</definedName>
    <definedName name="FDD_106_0">"A25569"</definedName>
    <definedName name="FDD_107_0">"A25569"</definedName>
    <definedName name="FDD_108_0">"A25569"</definedName>
    <definedName name="FDD_109_0">"A25569"</definedName>
    <definedName name="FDD_11_0">"A25569"</definedName>
    <definedName name="FDD_110_0">"A25569"</definedName>
    <definedName name="FDD_111_0">"A25569"</definedName>
    <definedName name="FDD_112_0">"A25569"</definedName>
    <definedName name="FDD_113_0">"A25569"</definedName>
    <definedName name="FDD_114_0">"A25569"</definedName>
    <definedName name="FDD_115_0">"A25569"</definedName>
    <definedName name="FDD_116_0">"A25569"</definedName>
    <definedName name="FDD_117_0">"A30681"</definedName>
    <definedName name="FDD_117_1">"A31047"</definedName>
    <definedName name="FDD_117_10">"A34334"</definedName>
    <definedName name="FDD_117_11">"A34699"</definedName>
    <definedName name="FDD_117_12">"A35064"</definedName>
    <definedName name="FDD_117_13">"A35430"</definedName>
    <definedName name="FDD_117_14">"A35795"</definedName>
    <definedName name="FDD_117_2">"A31412"</definedName>
    <definedName name="FDD_117_3">"A31777"</definedName>
    <definedName name="FDD_117_4">"A32142"</definedName>
    <definedName name="FDD_117_5">"A32508"</definedName>
    <definedName name="FDD_117_6">"A32873"</definedName>
    <definedName name="FDD_117_7">"A33238"</definedName>
    <definedName name="FDD_117_8">"A33603"</definedName>
    <definedName name="FDD_117_9">"A33969"</definedName>
    <definedName name="FDD_118_0">"A30681"</definedName>
    <definedName name="FDD_118_1">"A31047"</definedName>
    <definedName name="FDD_118_10">"A34334"</definedName>
    <definedName name="FDD_118_11">"A34699"</definedName>
    <definedName name="FDD_118_12">"A35064"</definedName>
    <definedName name="FDD_118_13">"A35430"</definedName>
    <definedName name="FDD_118_14">"A35795"</definedName>
    <definedName name="FDD_118_2">"A31412"</definedName>
    <definedName name="FDD_118_3">"A31777"</definedName>
    <definedName name="FDD_118_4">"A32142"</definedName>
    <definedName name="FDD_118_5">"A32508"</definedName>
    <definedName name="FDD_118_6">"A32873"</definedName>
    <definedName name="FDD_118_7">"A33238"</definedName>
    <definedName name="FDD_118_8">"A33603"</definedName>
    <definedName name="FDD_118_9">"A33969"</definedName>
    <definedName name="FDD_119_0">"A30681"</definedName>
    <definedName name="FDD_119_1">"A31047"</definedName>
    <definedName name="FDD_119_10">"A34334"</definedName>
    <definedName name="FDD_119_11">"A34699"</definedName>
    <definedName name="FDD_119_12">"A35064"</definedName>
    <definedName name="FDD_119_13">"A35430"</definedName>
    <definedName name="FDD_119_14">"A35795"</definedName>
    <definedName name="FDD_119_2">"A31412"</definedName>
    <definedName name="FDD_119_3">"A31777"</definedName>
    <definedName name="FDD_119_4">"A32142"</definedName>
    <definedName name="FDD_119_5">"A32508"</definedName>
    <definedName name="FDD_119_6">"A32873"</definedName>
    <definedName name="FDD_119_7">"A33238"</definedName>
    <definedName name="FDD_119_8">"A33603"</definedName>
    <definedName name="FDD_119_9">"A33969"</definedName>
    <definedName name="FDD_12_0">"A25569"</definedName>
    <definedName name="FDD_120_0">"A30681"</definedName>
    <definedName name="FDD_120_1">"A31047"</definedName>
    <definedName name="FDD_120_10">"A34334"</definedName>
    <definedName name="FDD_120_11">"A34699"</definedName>
    <definedName name="FDD_120_12">"A35064"</definedName>
    <definedName name="FDD_120_13">"A35430"</definedName>
    <definedName name="FDD_120_14">"A35795"</definedName>
    <definedName name="FDD_120_2">"A31412"</definedName>
    <definedName name="FDD_120_3">"A31777"</definedName>
    <definedName name="FDD_120_4">"A32142"</definedName>
    <definedName name="FDD_120_5">"A32508"</definedName>
    <definedName name="FDD_120_6">"A32873"</definedName>
    <definedName name="FDD_120_7">"A33238"</definedName>
    <definedName name="FDD_120_8">"A33603"</definedName>
    <definedName name="FDD_120_9">"A33969"</definedName>
    <definedName name="FDD_121_0">"A30681"</definedName>
    <definedName name="FDD_121_1">"A31047"</definedName>
    <definedName name="FDD_121_10">"A34334"</definedName>
    <definedName name="FDD_121_11">"A34699"</definedName>
    <definedName name="FDD_121_12">"A35064"</definedName>
    <definedName name="FDD_121_13">"A35430"</definedName>
    <definedName name="FDD_121_14">"A35795"</definedName>
    <definedName name="FDD_121_2">"A31412"</definedName>
    <definedName name="FDD_121_3">"A31777"</definedName>
    <definedName name="FDD_121_4">"A32142"</definedName>
    <definedName name="FDD_121_5">"A32508"</definedName>
    <definedName name="FDD_121_6">"A32873"</definedName>
    <definedName name="FDD_121_7">"A33238"</definedName>
    <definedName name="FDD_121_8">"A33603"</definedName>
    <definedName name="FDD_121_9">"A33969"</definedName>
    <definedName name="FDD_122_0">"A30681"</definedName>
    <definedName name="FDD_122_1">"A31047"</definedName>
    <definedName name="FDD_122_10">"A34334"</definedName>
    <definedName name="FDD_122_11">"A34699"</definedName>
    <definedName name="FDD_122_12">"A35064"</definedName>
    <definedName name="FDD_122_13">"A35430"</definedName>
    <definedName name="FDD_122_14">"A35795"</definedName>
    <definedName name="FDD_122_2">"A31412"</definedName>
    <definedName name="FDD_122_3">"A31777"</definedName>
    <definedName name="FDD_122_4">"A32142"</definedName>
    <definedName name="FDD_122_5">"A32508"</definedName>
    <definedName name="FDD_122_6">"A32873"</definedName>
    <definedName name="FDD_122_7">"A33238"</definedName>
    <definedName name="FDD_122_8">"A33603"</definedName>
    <definedName name="FDD_122_9">"A33969"</definedName>
    <definedName name="FDD_123_0">"A30681"</definedName>
    <definedName name="FDD_123_1">"A31047"</definedName>
    <definedName name="FDD_123_10">"A34334"</definedName>
    <definedName name="FDD_123_11">"A34699"</definedName>
    <definedName name="FDD_123_12">"A35064"</definedName>
    <definedName name="FDD_123_13">"A35430"</definedName>
    <definedName name="FDD_123_14">"A35795"</definedName>
    <definedName name="FDD_123_2">"A31412"</definedName>
    <definedName name="FDD_123_3">"A31777"</definedName>
    <definedName name="FDD_123_4">"A32142"</definedName>
    <definedName name="FDD_123_5">"A32508"</definedName>
    <definedName name="FDD_123_6">"A32873"</definedName>
    <definedName name="FDD_123_7">"A33238"</definedName>
    <definedName name="FDD_123_8">"A33603"</definedName>
    <definedName name="FDD_123_9">"A33969"</definedName>
    <definedName name="FDD_124_0">"A30681"</definedName>
    <definedName name="FDD_124_1">"A31047"</definedName>
    <definedName name="FDD_124_10">"A34334"</definedName>
    <definedName name="FDD_124_11">"A34699"</definedName>
    <definedName name="FDD_124_12">"A35064"</definedName>
    <definedName name="FDD_124_13">"A35430"</definedName>
    <definedName name="FDD_124_14">"A35795"</definedName>
    <definedName name="FDD_124_2">"A31412"</definedName>
    <definedName name="FDD_124_3">"A31777"</definedName>
    <definedName name="FDD_124_4">"A32142"</definedName>
    <definedName name="FDD_124_5">"A32508"</definedName>
    <definedName name="FDD_124_6">"A32873"</definedName>
    <definedName name="FDD_124_7">"A33238"</definedName>
    <definedName name="FDD_124_8">"A33603"</definedName>
    <definedName name="FDD_124_9">"A33969"</definedName>
    <definedName name="FDD_125_0">"A30681"</definedName>
    <definedName name="FDD_125_1">"A31047"</definedName>
    <definedName name="FDD_125_10">"A34334"</definedName>
    <definedName name="FDD_125_11">"A34699"</definedName>
    <definedName name="FDD_125_12">"A35064"</definedName>
    <definedName name="FDD_125_13">"A35430"</definedName>
    <definedName name="FDD_125_14">"A35795"</definedName>
    <definedName name="FDD_125_2">"A31412"</definedName>
    <definedName name="FDD_125_3">"A31777"</definedName>
    <definedName name="FDD_125_4">"A32142"</definedName>
    <definedName name="FDD_125_5">"A32508"</definedName>
    <definedName name="FDD_125_6">"A32873"</definedName>
    <definedName name="FDD_125_7">"A33238"</definedName>
    <definedName name="FDD_125_8">"A33603"</definedName>
    <definedName name="FDD_125_9">"A33969"</definedName>
    <definedName name="FDD_126_0">"A30681"</definedName>
    <definedName name="FDD_126_1">"A31047"</definedName>
    <definedName name="FDD_126_10">"A34334"</definedName>
    <definedName name="FDD_126_11">"A34699"</definedName>
    <definedName name="FDD_126_12">"A35064"</definedName>
    <definedName name="FDD_126_13">"A35430"</definedName>
    <definedName name="FDD_126_14">"A35795"</definedName>
    <definedName name="FDD_126_2">"A31412"</definedName>
    <definedName name="FDD_126_3">"A31777"</definedName>
    <definedName name="FDD_126_4">"A32142"</definedName>
    <definedName name="FDD_126_5">"A32508"</definedName>
    <definedName name="FDD_126_6">"A32873"</definedName>
    <definedName name="FDD_126_7">"A33238"</definedName>
    <definedName name="FDD_126_8">"A33603"</definedName>
    <definedName name="FDD_126_9">"A33969"</definedName>
    <definedName name="FDD_127_0">"A30681"</definedName>
    <definedName name="FDD_127_1">"A31047"</definedName>
    <definedName name="FDD_127_10">"A34334"</definedName>
    <definedName name="FDD_127_11">"A34699"</definedName>
    <definedName name="FDD_127_12">"A35064"</definedName>
    <definedName name="FDD_127_13">"A35430"</definedName>
    <definedName name="FDD_127_14">"A35795"</definedName>
    <definedName name="FDD_127_2">"A31412"</definedName>
    <definedName name="FDD_127_3">"A31777"</definedName>
    <definedName name="FDD_127_4">"A32142"</definedName>
    <definedName name="FDD_127_5">"A32508"</definedName>
    <definedName name="FDD_127_6">"A32873"</definedName>
    <definedName name="FDD_127_7">"A33238"</definedName>
    <definedName name="FDD_127_8">"A33603"</definedName>
    <definedName name="FDD_127_9">"A33969"</definedName>
    <definedName name="FDD_128_0">"A30681"</definedName>
    <definedName name="FDD_128_1">"A31047"</definedName>
    <definedName name="FDD_128_10">"A34334"</definedName>
    <definedName name="FDD_128_11">"A34699"</definedName>
    <definedName name="FDD_128_12">"A35064"</definedName>
    <definedName name="FDD_128_13">"A35430"</definedName>
    <definedName name="FDD_128_14">"A35795"</definedName>
    <definedName name="FDD_128_2">"A31412"</definedName>
    <definedName name="FDD_128_3">"A31777"</definedName>
    <definedName name="FDD_128_4">"A32142"</definedName>
    <definedName name="FDD_128_5">"A32508"</definedName>
    <definedName name="FDD_128_6">"A32873"</definedName>
    <definedName name="FDD_128_7">"A33238"</definedName>
    <definedName name="FDD_128_8">"A33603"</definedName>
    <definedName name="FDD_128_9">"A33969"</definedName>
    <definedName name="FDD_129_0">"A30681"</definedName>
    <definedName name="FDD_129_1">"A31047"</definedName>
    <definedName name="FDD_129_10">"A34334"</definedName>
    <definedName name="FDD_129_11">"A34699"</definedName>
    <definedName name="FDD_129_12">"A35064"</definedName>
    <definedName name="FDD_129_13">"A35430"</definedName>
    <definedName name="FDD_129_14">"A35795"</definedName>
    <definedName name="FDD_129_2">"A31412"</definedName>
    <definedName name="FDD_129_3">"A31777"</definedName>
    <definedName name="FDD_129_4">"A32142"</definedName>
    <definedName name="FDD_129_5">"A32508"</definedName>
    <definedName name="FDD_129_6">"A32873"</definedName>
    <definedName name="FDD_129_7">"A33238"</definedName>
    <definedName name="FDD_129_8">"A33603"</definedName>
    <definedName name="FDD_129_9">"A33969"</definedName>
    <definedName name="FDD_13_0">"A25569"</definedName>
    <definedName name="FDD_130_0">"A30681"</definedName>
    <definedName name="FDD_130_1">"A31047"</definedName>
    <definedName name="FDD_130_10">"A34334"</definedName>
    <definedName name="FDD_130_11">"A34699"</definedName>
    <definedName name="FDD_130_12">"A35064"</definedName>
    <definedName name="FDD_130_13">"A35430"</definedName>
    <definedName name="FDD_130_14">"A35795"</definedName>
    <definedName name="FDD_130_2">"A31412"</definedName>
    <definedName name="FDD_130_3">"A31777"</definedName>
    <definedName name="FDD_130_4">"A32142"</definedName>
    <definedName name="FDD_130_5">"A32508"</definedName>
    <definedName name="FDD_130_6">"A32873"</definedName>
    <definedName name="FDD_130_7">"A33238"</definedName>
    <definedName name="FDD_130_8">"A33603"</definedName>
    <definedName name="FDD_130_9">"A33969"</definedName>
    <definedName name="FDD_131_0">"A30681"</definedName>
    <definedName name="FDD_131_1">"A31047"</definedName>
    <definedName name="FDD_131_10">"A34334"</definedName>
    <definedName name="FDD_131_11">"A34699"</definedName>
    <definedName name="FDD_131_12">"A35064"</definedName>
    <definedName name="FDD_131_13">"A35430"</definedName>
    <definedName name="FDD_131_14">"A35795"</definedName>
    <definedName name="FDD_131_2">"A31412"</definedName>
    <definedName name="FDD_131_3">"A31777"</definedName>
    <definedName name="FDD_131_4">"A32142"</definedName>
    <definedName name="FDD_131_5">"A32508"</definedName>
    <definedName name="FDD_131_6">"A32873"</definedName>
    <definedName name="FDD_131_7">"A33238"</definedName>
    <definedName name="FDD_131_8">"A33603"</definedName>
    <definedName name="FDD_131_9">"A33969"</definedName>
    <definedName name="FDD_132_0">"U30681"</definedName>
    <definedName name="FDD_132_1">"U31047"</definedName>
    <definedName name="FDD_132_10">"U34334"</definedName>
    <definedName name="FDD_132_11">"U34699"</definedName>
    <definedName name="FDD_132_12">"U35064"</definedName>
    <definedName name="FDD_132_13">"U35430"</definedName>
    <definedName name="FDD_132_14">"U35795"</definedName>
    <definedName name="FDD_132_2">"U31412"</definedName>
    <definedName name="FDD_132_3">"U31777"</definedName>
    <definedName name="FDD_132_4">"U32142"</definedName>
    <definedName name="FDD_132_5">"U32508"</definedName>
    <definedName name="FDD_132_6">"U32873"</definedName>
    <definedName name="FDD_132_7">"U33238"</definedName>
    <definedName name="FDD_132_8">"U33603"</definedName>
    <definedName name="FDD_132_9">"U33969"</definedName>
    <definedName name="FDD_133_0">"A30681"</definedName>
    <definedName name="FDD_133_1">"A31047"</definedName>
    <definedName name="FDD_133_10">"A34334"</definedName>
    <definedName name="FDD_133_11">"A34699"</definedName>
    <definedName name="FDD_133_12">"A35064"</definedName>
    <definedName name="FDD_133_13">"A35430"</definedName>
    <definedName name="FDD_133_14">"A35795"</definedName>
    <definedName name="FDD_133_2">"A31412"</definedName>
    <definedName name="FDD_133_3">"A31777"</definedName>
    <definedName name="FDD_133_4">"A32142"</definedName>
    <definedName name="FDD_133_5">"A32508"</definedName>
    <definedName name="FDD_133_6">"A32873"</definedName>
    <definedName name="FDD_133_7">"A33238"</definedName>
    <definedName name="FDD_133_8">"A33603"</definedName>
    <definedName name="FDD_133_9">"A33969"</definedName>
    <definedName name="FDD_134_0">"A30681"</definedName>
    <definedName name="FDD_134_1">"A31047"</definedName>
    <definedName name="FDD_134_10">"A34334"</definedName>
    <definedName name="FDD_134_11">"A34699"</definedName>
    <definedName name="FDD_134_12">"A35064"</definedName>
    <definedName name="FDD_134_13">"A35430"</definedName>
    <definedName name="FDD_134_14">"A35795"</definedName>
    <definedName name="FDD_134_2">"A31412"</definedName>
    <definedName name="FDD_134_3">"A31777"</definedName>
    <definedName name="FDD_134_4">"A32142"</definedName>
    <definedName name="FDD_134_5">"A32508"</definedName>
    <definedName name="FDD_134_6">"A32873"</definedName>
    <definedName name="FDD_134_7">"A33238"</definedName>
    <definedName name="FDD_134_8">"A33603"</definedName>
    <definedName name="FDD_134_9">"A33969"</definedName>
    <definedName name="FDD_135_0">"A30681"</definedName>
    <definedName name="FDD_135_1">"A31047"</definedName>
    <definedName name="FDD_135_10">"A34334"</definedName>
    <definedName name="FDD_135_11">"A34699"</definedName>
    <definedName name="FDD_135_12">"A35064"</definedName>
    <definedName name="FDD_135_13">"A35430"</definedName>
    <definedName name="FDD_135_14">"A35795"</definedName>
    <definedName name="FDD_135_2">"A31412"</definedName>
    <definedName name="FDD_135_3">"A31777"</definedName>
    <definedName name="FDD_135_4">"A32142"</definedName>
    <definedName name="FDD_135_5">"A32508"</definedName>
    <definedName name="FDD_135_6">"A32873"</definedName>
    <definedName name="FDD_135_7">"A33238"</definedName>
    <definedName name="FDD_135_8">"A33603"</definedName>
    <definedName name="FDD_135_9">"A33969"</definedName>
    <definedName name="FDD_136_0">"A30681"</definedName>
    <definedName name="FDD_136_1">"A31047"</definedName>
    <definedName name="FDD_136_10">"A34334"</definedName>
    <definedName name="FDD_136_11">"A34699"</definedName>
    <definedName name="FDD_136_12">"A35064"</definedName>
    <definedName name="FDD_136_13">"A35430"</definedName>
    <definedName name="FDD_136_14">"A35795"</definedName>
    <definedName name="FDD_136_2">"A31412"</definedName>
    <definedName name="FDD_136_3">"A31777"</definedName>
    <definedName name="FDD_136_4">"A32142"</definedName>
    <definedName name="FDD_136_5">"A32508"</definedName>
    <definedName name="FDD_136_6">"A32873"</definedName>
    <definedName name="FDD_136_7">"A33238"</definedName>
    <definedName name="FDD_136_8">"A33603"</definedName>
    <definedName name="FDD_136_9">"A33969"</definedName>
    <definedName name="FDD_137_0">"A30681"</definedName>
    <definedName name="FDD_137_1">"A31047"</definedName>
    <definedName name="FDD_137_10">"A34334"</definedName>
    <definedName name="FDD_137_11">"A34699"</definedName>
    <definedName name="FDD_137_12">"A35064"</definedName>
    <definedName name="FDD_137_13">"A35430"</definedName>
    <definedName name="FDD_137_14">"A35795"</definedName>
    <definedName name="FDD_137_2">"A31412"</definedName>
    <definedName name="FDD_137_3">"A31777"</definedName>
    <definedName name="FDD_137_4">"A32142"</definedName>
    <definedName name="FDD_137_5">"A32508"</definedName>
    <definedName name="FDD_137_6">"A32873"</definedName>
    <definedName name="FDD_137_7">"A33238"</definedName>
    <definedName name="FDD_137_8">"A33603"</definedName>
    <definedName name="FDD_137_9">"A33969"</definedName>
    <definedName name="FDD_138_0">"A30681"</definedName>
    <definedName name="FDD_138_1">"A31047"</definedName>
    <definedName name="FDD_138_10">"A34334"</definedName>
    <definedName name="FDD_138_11">"A34699"</definedName>
    <definedName name="FDD_138_12">"A35064"</definedName>
    <definedName name="FDD_138_13">"A35430"</definedName>
    <definedName name="FDD_138_14">"A35795"</definedName>
    <definedName name="FDD_138_2">"A31412"</definedName>
    <definedName name="FDD_138_3">"A31777"</definedName>
    <definedName name="FDD_138_4">"A32142"</definedName>
    <definedName name="FDD_138_5">"A32508"</definedName>
    <definedName name="FDD_138_6">"A32873"</definedName>
    <definedName name="FDD_138_7">"A33238"</definedName>
    <definedName name="FDD_138_8">"A33603"</definedName>
    <definedName name="FDD_138_9">"A33969"</definedName>
    <definedName name="FDD_139_0">"A30681"</definedName>
    <definedName name="FDD_139_1">"A31047"</definedName>
    <definedName name="FDD_139_10">"U34334"</definedName>
    <definedName name="FDD_139_11">"U34699"</definedName>
    <definedName name="FDD_139_12">"U35064"</definedName>
    <definedName name="FDD_139_13">"U35430"</definedName>
    <definedName name="FDD_139_14">"U35795"</definedName>
    <definedName name="FDD_139_2">"A31412"</definedName>
    <definedName name="FDD_139_3">"U31777"</definedName>
    <definedName name="FDD_139_4">"U32142"</definedName>
    <definedName name="FDD_139_5">"U32508"</definedName>
    <definedName name="FDD_139_6">"U32873"</definedName>
    <definedName name="FDD_139_7">"U33238"</definedName>
    <definedName name="FDD_139_8">"U33603"</definedName>
    <definedName name="FDD_139_9">"U33969"</definedName>
    <definedName name="FDD_14_0">"A25569"</definedName>
    <definedName name="FDD_140_0">"A25569"</definedName>
    <definedName name="FDD_141_0">"A30681"</definedName>
    <definedName name="FDD_141_1">"A31047"</definedName>
    <definedName name="FDD_141_10">"A34334"</definedName>
    <definedName name="FDD_141_11">"A34699"</definedName>
    <definedName name="FDD_141_12">"A35064"</definedName>
    <definedName name="FDD_141_13">"A35430"</definedName>
    <definedName name="FDD_141_14">"A35795"</definedName>
    <definedName name="FDD_141_2">"A31412"</definedName>
    <definedName name="FDD_141_3">"A31777"</definedName>
    <definedName name="FDD_141_4">"A32142"</definedName>
    <definedName name="FDD_141_5">"A32508"</definedName>
    <definedName name="FDD_141_6">"A32873"</definedName>
    <definedName name="FDD_141_7">"A33238"</definedName>
    <definedName name="FDD_141_8">"A33603"</definedName>
    <definedName name="FDD_141_9">"A33969"</definedName>
    <definedName name="FDD_142_0">"A30681"</definedName>
    <definedName name="FDD_142_1">"A31047"</definedName>
    <definedName name="FDD_142_10">"A34334"</definedName>
    <definedName name="FDD_142_11">"A34699"</definedName>
    <definedName name="FDD_142_12">"A35064"</definedName>
    <definedName name="FDD_142_13">"A35430"</definedName>
    <definedName name="FDD_142_14">"A35795"</definedName>
    <definedName name="FDD_142_2">"A31412"</definedName>
    <definedName name="FDD_142_3">"A31777"</definedName>
    <definedName name="FDD_142_4">"A32142"</definedName>
    <definedName name="FDD_142_5">"A32508"</definedName>
    <definedName name="FDD_142_6">"A32873"</definedName>
    <definedName name="FDD_142_7">"A33238"</definedName>
    <definedName name="FDD_142_8">"A33603"</definedName>
    <definedName name="FDD_142_9">"A33969"</definedName>
    <definedName name="FDD_143_0">"A30681"</definedName>
    <definedName name="FDD_143_1">"A31047"</definedName>
    <definedName name="FDD_143_10">"A34334"</definedName>
    <definedName name="FDD_143_11">"A34699"</definedName>
    <definedName name="FDD_143_12">"A35064"</definedName>
    <definedName name="FDD_143_13">"A35430"</definedName>
    <definedName name="FDD_143_14">"A35795"</definedName>
    <definedName name="FDD_143_2">"A31412"</definedName>
    <definedName name="FDD_143_3">"A31777"</definedName>
    <definedName name="FDD_143_4">"A32142"</definedName>
    <definedName name="FDD_143_5">"A32508"</definedName>
    <definedName name="FDD_143_6">"A32873"</definedName>
    <definedName name="FDD_143_7">"A33238"</definedName>
    <definedName name="FDD_143_8">"A33603"</definedName>
    <definedName name="FDD_143_9">"A33969"</definedName>
    <definedName name="FDD_144_0">"A30681"</definedName>
    <definedName name="FDD_144_1">"A31047"</definedName>
    <definedName name="FDD_144_10">"A34334"</definedName>
    <definedName name="FDD_144_11">"A34699"</definedName>
    <definedName name="FDD_144_12">"A35064"</definedName>
    <definedName name="FDD_144_13">"A35430"</definedName>
    <definedName name="FDD_144_14">"A35795"</definedName>
    <definedName name="FDD_144_2">"A31412"</definedName>
    <definedName name="FDD_144_3">"A31777"</definedName>
    <definedName name="FDD_144_4">"A32142"</definedName>
    <definedName name="FDD_144_5">"A32508"</definedName>
    <definedName name="FDD_144_6">"A32873"</definedName>
    <definedName name="FDD_144_7">"A33238"</definedName>
    <definedName name="FDD_144_8">"A33603"</definedName>
    <definedName name="FDD_144_9">"A33969"</definedName>
    <definedName name="FDD_145_0">"A30681"</definedName>
    <definedName name="FDD_145_1">"A31047"</definedName>
    <definedName name="FDD_145_10">"A34334"</definedName>
    <definedName name="FDD_145_11">"A34699"</definedName>
    <definedName name="FDD_145_12">"A35064"</definedName>
    <definedName name="FDD_145_13">"A35430"</definedName>
    <definedName name="FDD_145_14">"A35795"</definedName>
    <definedName name="FDD_145_2">"A31412"</definedName>
    <definedName name="FDD_145_3">"A31777"</definedName>
    <definedName name="FDD_145_4">"A32142"</definedName>
    <definedName name="FDD_145_5">"A32508"</definedName>
    <definedName name="FDD_145_6">"A32873"</definedName>
    <definedName name="FDD_145_7">"A33238"</definedName>
    <definedName name="FDD_145_8">"A33603"</definedName>
    <definedName name="FDD_145_9">"A33969"</definedName>
    <definedName name="FDD_146_0">"A30681"</definedName>
    <definedName name="FDD_146_1">"A31047"</definedName>
    <definedName name="FDD_146_10">"A34334"</definedName>
    <definedName name="FDD_146_11">"A34699"</definedName>
    <definedName name="FDD_146_12">"A35064"</definedName>
    <definedName name="FDD_146_13">"A35430"</definedName>
    <definedName name="FDD_146_14">"A35795"</definedName>
    <definedName name="FDD_146_2">"A31412"</definedName>
    <definedName name="FDD_146_3">"A31777"</definedName>
    <definedName name="FDD_146_4">"A32142"</definedName>
    <definedName name="FDD_146_5">"A32508"</definedName>
    <definedName name="FDD_146_6">"A32873"</definedName>
    <definedName name="FDD_146_7">"A33238"</definedName>
    <definedName name="FDD_146_8">"A33603"</definedName>
    <definedName name="FDD_146_9">"A33969"</definedName>
    <definedName name="FDD_147_0">"U30681"</definedName>
    <definedName name="FDD_147_1">"U31047"</definedName>
    <definedName name="FDD_147_10">"U34334"</definedName>
    <definedName name="FDD_147_11">"U34699"</definedName>
    <definedName name="FDD_147_12">"U35064"</definedName>
    <definedName name="FDD_147_13">"U35430"</definedName>
    <definedName name="FDD_147_14">"U35795"</definedName>
    <definedName name="FDD_147_2">"U31412"</definedName>
    <definedName name="FDD_147_3">"U31777"</definedName>
    <definedName name="FDD_147_4">"U32142"</definedName>
    <definedName name="FDD_147_5">"U32508"</definedName>
    <definedName name="FDD_147_6">"U32873"</definedName>
    <definedName name="FDD_147_7">"U33238"</definedName>
    <definedName name="FDD_147_8">"U33603"</definedName>
    <definedName name="FDD_147_9">"U33969"</definedName>
    <definedName name="FDD_148_0">"A30681"</definedName>
    <definedName name="FDD_148_1">"A31047"</definedName>
    <definedName name="FDD_148_10">"A34334"</definedName>
    <definedName name="FDD_148_11">"A34699"</definedName>
    <definedName name="FDD_148_12">"A35064"</definedName>
    <definedName name="FDD_148_13">"A35430"</definedName>
    <definedName name="FDD_148_14">"A35795"</definedName>
    <definedName name="FDD_148_2">"A31412"</definedName>
    <definedName name="FDD_148_3">"A31777"</definedName>
    <definedName name="FDD_148_4">"A32142"</definedName>
    <definedName name="FDD_148_5">"A32508"</definedName>
    <definedName name="FDD_148_6">"A32873"</definedName>
    <definedName name="FDD_148_7">"A33238"</definedName>
    <definedName name="FDD_148_8">"A33603"</definedName>
    <definedName name="FDD_148_9">"A33969"</definedName>
    <definedName name="FDD_149_0">"U30681"</definedName>
    <definedName name="FDD_149_1">"U31047"</definedName>
    <definedName name="FDD_149_10">"U34334"</definedName>
    <definedName name="FDD_149_11">"U34699"</definedName>
    <definedName name="FDD_149_12">"U35064"</definedName>
    <definedName name="FDD_149_13">"U35430"</definedName>
    <definedName name="FDD_149_14">"A35795"</definedName>
    <definedName name="FDD_149_2">"U31412"</definedName>
    <definedName name="FDD_149_3">"U31777"</definedName>
    <definedName name="FDD_149_4">"U32142"</definedName>
    <definedName name="FDD_149_5">"U32508"</definedName>
    <definedName name="FDD_149_6">"U32873"</definedName>
    <definedName name="FDD_149_7">"U33238"</definedName>
    <definedName name="FDD_149_8">"U33603"</definedName>
    <definedName name="FDD_149_9">"U33969"</definedName>
    <definedName name="FDD_15_0">"A25569"</definedName>
    <definedName name="FDD_151_0">"A30681"</definedName>
    <definedName name="FDD_151_1">"A31047"</definedName>
    <definedName name="FDD_151_10">"A34334"</definedName>
    <definedName name="FDD_151_11">"A34699"</definedName>
    <definedName name="FDD_151_12">"A35064"</definedName>
    <definedName name="FDD_151_13">"A35430"</definedName>
    <definedName name="FDD_151_14">"A35795"</definedName>
    <definedName name="FDD_151_2">"A31412"</definedName>
    <definedName name="FDD_151_3">"A31777"</definedName>
    <definedName name="FDD_151_4">"A32142"</definedName>
    <definedName name="FDD_151_5">"A32508"</definedName>
    <definedName name="FDD_151_6">"A32873"</definedName>
    <definedName name="FDD_151_7">"A33238"</definedName>
    <definedName name="FDD_151_8">"A33603"</definedName>
    <definedName name="FDD_151_9">"A33969"</definedName>
    <definedName name="FDD_152_0">"A30681"</definedName>
    <definedName name="FDD_152_1">"A31047"</definedName>
    <definedName name="FDD_152_10">"A34334"</definedName>
    <definedName name="FDD_152_11">"A34699"</definedName>
    <definedName name="FDD_152_12">"A35064"</definedName>
    <definedName name="FDD_152_13">"A35430"</definedName>
    <definedName name="FDD_152_14">"A35795"</definedName>
    <definedName name="FDD_152_15">"E36160"</definedName>
    <definedName name="FDD_152_2">"A31412"</definedName>
    <definedName name="FDD_152_3">"A31777"</definedName>
    <definedName name="FDD_152_4">"A32142"</definedName>
    <definedName name="FDD_152_5">"A32508"</definedName>
    <definedName name="FDD_152_6">"A32873"</definedName>
    <definedName name="FDD_152_7">"A33238"</definedName>
    <definedName name="FDD_152_8">"A33603"</definedName>
    <definedName name="FDD_152_9">"A33969"</definedName>
    <definedName name="FDD_153_0">"A30681"</definedName>
    <definedName name="FDD_153_1">"A31047"</definedName>
    <definedName name="FDD_153_10">"A34334"</definedName>
    <definedName name="FDD_153_11">"A34699"</definedName>
    <definedName name="FDD_153_12">"A35064"</definedName>
    <definedName name="FDD_153_13">"A35430"</definedName>
    <definedName name="FDD_153_14">"A35795"</definedName>
    <definedName name="FDD_153_2">"A31412"</definedName>
    <definedName name="FDD_153_3">"A31777"</definedName>
    <definedName name="FDD_153_4">"A32142"</definedName>
    <definedName name="FDD_153_5">"A32508"</definedName>
    <definedName name="FDD_153_6">"A32873"</definedName>
    <definedName name="FDD_153_7">"A33238"</definedName>
    <definedName name="FDD_153_8">"A33603"</definedName>
    <definedName name="FDD_153_9">"A33969"</definedName>
    <definedName name="FDD_154_0">"A30681"</definedName>
    <definedName name="FDD_154_1">"A31047"</definedName>
    <definedName name="FDD_154_10">"A34334"</definedName>
    <definedName name="FDD_154_11">"A34699"</definedName>
    <definedName name="FDD_154_12">"A35064"</definedName>
    <definedName name="FDD_154_13">"A35430"</definedName>
    <definedName name="FDD_154_14">"A35795"</definedName>
    <definedName name="FDD_154_2">"A31412"</definedName>
    <definedName name="FDD_154_3">"A31777"</definedName>
    <definedName name="FDD_154_4">"A32142"</definedName>
    <definedName name="FDD_154_5">"A32508"</definedName>
    <definedName name="FDD_154_6">"A32873"</definedName>
    <definedName name="FDD_154_7">"A33238"</definedName>
    <definedName name="FDD_154_8">"A33603"</definedName>
    <definedName name="FDD_154_9">"A33969"</definedName>
    <definedName name="FDD_155_0">"A25569"</definedName>
    <definedName name="FDD_156_0">"A30681"</definedName>
    <definedName name="FDD_156_1">"A31047"</definedName>
    <definedName name="FDD_156_10">"A34334"</definedName>
    <definedName name="FDD_156_11">"A34699"</definedName>
    <definedName name="FDD_156_12">"A35064"</definedName>
    <definedName name="FDD_156_13">"A35430"</definedName>
    <definedName name="FDD_156_14">"A35795"</definedName>
    <definedName name="FDD_156_15">"E36160"</definedName>
    <definedName name="FDD_156_2">"A31412"</definedName>
    <definedName name="FDD_156_3">"A31777"</definedName>
    <definedName name="FDD_156_4">"A32142"</definedName>
    <definedName name="FDD_156_5">"A32508"</definedName>
    <definedName name="FDD_156_6">"A32873"</definedName>
    <definedName name="FDD_156_7">"A33238"</definedName>
    <definedName name="FDD_156_8">"A33603"</definedName>
    <definedName name="FDD_156_9">"A33969"</definedName>
    <definedName name="FDD_157_0">"A30681"</definedName>
    <definedName name="FDD_157_1">"A31047"</definedName>
    <definedName name="FDD_157_10">"A34334"</definedName>
    <definedName name="FDD_157_11">"A34699"</definedName>
    <definedName name="FDD_157_12">"A35064"</definedName>
    <definedName name="FDD_157_13">"A35430"</definedName>
    <definedName name="FDD_157_14">"A35795"</definedName>
    <definedName name="FDD_157_2">"A31412"</definedName>
    <definedName name="FDD_157_3">"A31777"</definedName>
    <definedName name="FDD_157_4">"A32142"</definedName>
    <definedName name="FDD_157_5">"A32508"</definedName>
    <definedName name="FDD_157_6">"A32873"</definedName>
    <definedName name="FDD_157_7">"A33238"</definedName>
    <definedName name="FDD_157_8">"A33603"</definedName>
    <definedName name="FDD_157_9">"A33969"</definedName>
    <definedName name="FDD_158_0">"A30681"</definedName>
    <definedName name="FDD_158_1">"A31047"</definedName>
    <definedName name="FDD_158_10">"A34334"</definedName>
    <definedName name="FDD_158_11">"A34699"</definedName>
    <definedName name="FDD_158_12">"A35064"</definedName>
    <definedName name="FDD_158_13">"A35430"</definedName>
    <definedName name="FDD_158_14">"A35795"</definedName>
    <definedName name="FDD_158_15">"E36160"</definedName>
    <definedName name="FDD_158_2">"A31412"</definedName>
    <definedName name="FDD_158_3">"A31777"</definedName>
    <definedName name="FDD_158_4">"A32142"</definedName>
    <definedName name="FDD_158_5">"A32508"</definedName>
    <definedName name="FDD_158_6">"A32873"</definedName>
    <definedName name="FDD_158_7">"A33238"</definedName>
    <definedName name="FDD_158_8">"A33603"</definedName>
    <definedName name="FDD_158_9">"A33969"</definedName>
    <definedName name="FDD_159_0">"A30681"</definedName>
    <definedName name="FDD_159_1">"A31047"</definedName>
    <definedName name="FDD_159_10">"A34334"</definedName>
    <definedName name="FDD_159_11">"A34699"</definedName>
    <definedName name="FDD_159_12">"A35064"</definedName>
    <definedName name="FDD_159_13">"A35430"</definedName>
    <definedName name="FDD_159_14">"A35795"</definedName>
    <definedName name="FDD_159_2">"A31412"</definedName>
    <definedName name="FDD_159_3">"A31777"</definedName>
    <definedName name="FDD_159_4">"A32142"</definedName>
    <definedName name="FDD_159_5">"A32508"</definedName>
    <definedName name="FDD_159_6">"A32873"</definedName>
    <definedName name="FDD_159_7">"A33238"</definedName>
    <definedName name="FDD_159_8">"A33603"</definedName>
    <definedName name="FDD_159_9">"A33969"</definedName>
    <definedName name="FDD_16_0">"A25569"</definedName>
    <definedName name="FDD_160_0">"A30681"</definedName>
    <definedName name="FDD_160_1">"A31047"</definedName>
    <definedName name="FDD_160_10">"A34334"</definedName>
    <definedName name="FDD_160_11">"A34699"</definedName>
    <definedName name="FDD_160_12">"A35064"</definedName>
    <definedName name="FDD_160_13">"A35430"</definedName>
    <definedName name="FDD_160_14">"A35795"</definedName>
    <definedName name="FDD_160_15">"E36160"</definedName>
    <definedName name="FDD_160_2">"A31412"</definedName>
    <definedName name="FDD_160_3">"A31777"</definedName>
    <definedName name="FDD_160_4">"A32142"</definedName>
    <definedName name="FDD_160_5">"A32508"</definedName>
    <definedName name="FDD_160_6">"A32873"</definedName>
    <definedName name="FDD_160_7">"A33238"</definedName>
    <definedName name="FDD_160_8">"A33603"</definedName>
    <definedName name="FDD_160_9">"A33969"</definedName>
    <definedName name="FDD_161_0">"A30681"</definedName>
    <definedName name="FDD_161_1">"A31047"</definedName>
    <definedName name="FDD_161_10">"A34334"</definedName>
    <definedName name="FDD_161_11">"A34699"</definedName>
    <definedName name="FDD_161_12">"A35064"</definedName>
    <definedName name="FDD_161_13">"A35430"</definedName>
    <definedName name="FDD_161_14">"A35795"</definedName>
    <definedName name="FDD_161_2">"A31412"</definedName>
    <definedName name="FDD_161_3">"A31777"</definedName>
    <definedName name="FDD_161_4">"A32142"</definedName>
    <definedName name="FDD_161_5">"A32508"</definedName>
    <definedName name="FDD_161_6">"A32873"</definedName>
    <definedName name="FDD_161_7">"A33238"</definedName>
    <definedName name="FDD_161_8">"A33603"</definedName>
    <definedName name="FDD_161_9">"A33969"</definedName>
    <definedName name="FDD_162_0">"A30681"</definedName>
    <definedName name="FDD_162_1">"A31047"</definedName>
    <definedName name="FDD_162_10">"A34334"</definedName>
    <definedName name="FDD_162_11">"A34699"</definedName>
    <definedName name="FDD_162_12">"A35064"</definedName>
    <definedName name="FDD_162_13">"A35430"</definedName>
    <definedName name="FDD_162_14">"A35795"</definedName>
    <definedName name="FDD_162_2">"A31412"</definedName>
    <definedName name="FDD_162_3">"A31777"</definedName>
    <definedName name="FDD_162_4">"A32142"</definedName>
    <definedName name="FDD_162_5">"A32508"</definedName>
    <definedName name="FDD_162_6">"A32873"</definedName>
    <definedName name="FDD_162_7">"A33238"</definedName>
    <definedName name="FDD_162_8">"A33603"</definedName>
    <definedName name="FDD_162_9">"A33969"</definedName>
    <definedName name="FDD_163_0">"A30681"</definedName>
    <definedName name="FDD_163_1">"A31047"</definedName>
    <definedName name="FDD_163_10">"A34334"</definedName>
    <definedName name="FDD_163_11">"A34699"</definedName>
    <definedName name="FDD_163_12">"A35064"</definedName>
    <definedName name="FDD_163_13">"A35430"</definedName>
    <definedName name="FDD_163_14">"A35795"</definedName>
    <definedName name="FDD_163_2">"A31412"</definedName>
    <definedName name="FDD_163_3">"A31777"</definedName>
    <definedName name="FDD_163_4">"A32142"</definedName>
    <definedName name="FDD_163_5">"A32508"</definedName>
    <definedName name="FDD_163_6">"A32873"</definedName>
    <definedName name="FDD_163_7">"A33238"</definedName>
    <definedName name="FDD_163_8">"A33603"</definedName>
    <definedName name="FDD_163_9">"A33969"</definedName>
    <definedName name="FDD_164_0">"A25569"</definedName>
    <definedName name="FDD_165_0">"A30681"</definedName>
    <definedName name="FDD_165_1">"A31047"</definedName>
    <definedName name="FDD_165_10">"A34334"</definedName>
    <definedName name="FDD_165_11">"A34699"</definedName>
    <definedName name="FDD_165_12">"A35064"</definedName>
    <definedName name="FDD_165_13">"A35430"</definedName>
    <definedName name="FDD_165_14">"A35795"</definedName>
    <definedName name="FDD_165_2">"A31412"</definedName>
    <definedName name="FDD_165_3">"A31777"</definedName>
    <definedName name="FDD_165_4">"A32142"</definedName>
    <definedName name="FDD_165_5">"A32508"</definedName>
    <definedName name="FDD_165_6">"A32873"</definedName>
    <definedName name="FDD_165_7">"A33238"</definedName>
    <definedName name="FDD_165_8">"A33603"</definedName>
    <definedName name="FDD_165_9">"A33969"</definedName>
    <definedName name="FDD_166_0">"A30681"</definedName>
    <definedName name="FDD_166_1">"A31047"</definedName>
    <definedName name="FDD_166_10">"A34334"</definedName>
    <definedName name="FDD_166_11">"A34699"</definedName>
    <definedName name="FDD_166_12">"A35064"</definedName>
    <definedName name="FDD_166_13">"A35430"</definedName>
    <definedName name="FDD_166_14">"A35795"</definedName>
    <definedName name="FDD_166_2">"A31412"</definedName>
    <definedName name="FDD_166_3">"A31777"</definedName>
    <definedName name="FDD_166_4">"A32142"</definedName>
    <definedName name="FDD_166_5">"A32508"</definedName>
    <definedName name="FDD_166_6">"A32873"</definedName>
    <definedName name="FDD_166_7">"A33238"</definedName>
    <definedName name="FDD_166_8">"A33603"</definedName>
    <definedName name="FDD_166_9">"A33969"</definedName>
    <definedName name="FDD_167_0">"A30681"</definedName>
    <definedName name="FDD_167_1">"A31047"</definedName>
    <definedName name="FDD_167_10">"A34334"</definedName>
    <definedName name="FDD_167_11">"A34699"</definedName>
    <definedName name="FDD_167_12">"A35064"</definedName>
    <definedName name="FDD_167_13">"A35430"</definedName>
    <definedName name="FDD_167_14">"A35795"</definedName>
    <definedName name="FDD_167_2">"A31412"</definedName>
    <definedName name="FDD_167_3">"A31777"</definedName>
    <definedName name="FDD_167_4">"A32142"</definedName>
    <definedName name="FDD_167_5">"A32508"</definedName>
    <definedName name="FDD_167_6">"A32873"</definedName>
    <definedName name="FDD_167_7">"A33238"</definedName>
    <definedName name="FDD_167_8">"A33603"</definedName>
    <definedName name="FDD_167_9">"A33969"</definedName>
    <definedName name="FDD_168_0">"E36160"</definedName>
    <definedName name="FDD_168_1">"E36525"</definedName>
    <definedName name="FDD_168_2">"E36891"</definedName>
    <definedName name="FDD_169_0">"A30681"</definedName>
    <definedName name="FDD_169_1">"A31047"</definedName>
    <definedName name="FDD_169_10">"A34334"</definedName>
    <definedName name="FDD_169_11">"A34699"</definedName>
    <definedName name="FDD_169_12">"A35064"</definedName>
    <definedName name="FDD_169_13">"A35430"</definedName>
    <definedName name="FDD_169_14">"A35795"</definedName>
    <definedName name="FDD_169_2">"A31412"</definedName>
    <definedName name="FDD_169_3">"A31777"</definedName>
    <definedName name="FDD_169_4">"A32142"</definedName>
    <definedName name="FDD_169_5">"A32508"</definedName>
    <definedName name="FDD_169_6">"A32873"</definedName>
    <definedName name="FDD_169_7">"A33238"</definedName>
    <definedName name="FDD_169_8">"A33603"</definedName>
    <definedName name="FDD_169_9">"A33969"</definedName>
    <definedName name="FDD_17_0">"A25569"</definedName>
    <definedName name="FDD_170_0">"A30681"</definedName>
    <definedName name="FDD_170_1">"A31047"</definedName>
    <definedName name="FDD_170_10">"A34334"</definedName>
    <definedName name="FDD_170_11">"A34699"</definedName>
    <definedName name="FDD_170_12">"A35064"</definedName>
    <definedName name="FDD_170_13">"A35430"</definedName>
    <definedName name="FDD_170_14">"A35795"</definedName>
    <definedName name="FDD_170_2">"A31412"</definedName>
    <definedName name="FDD_170_3">"A31777"</definedName>
    <definedName name="FDD_170_4">"A32142"</definedName>
    <definedName name="FDD_170_5">"A32508"</definedName>
    <definedName name="FDD_170_6">"A32873"</definedName>
    <definedName name="FDD_170_7">"A33238"</definedName>
    <definedName name="FDD_170_8">"A33603"</definedName>
    <definedName name="FDD_170_9">"A33969"</definedName>
    <definedName name="FDD_171_0">"A30681"</definedName>
    <definedName name="FDD_171_1">"A31047"</definedName>
    <definedName name="FDD_171_10">"A34334"</definedName>
    <definedName name="FDD_171_11">"A34699"</definedName>
    <definedName name="FDD_171_12">"A35064"</definedName>
    <definedName name="FDD_171_13">"A35430"</definedName>
    <definedName name="FDD_171_14">"A35795"</definedName>
    <definedName name="FDD_171_2">"A31412"</definedName>
    <definedName name="FDD_171_3">"A31777"</definedName>
    <definedName name="FDD_171_4">"A32142"</definedName>
    <definedName name="FDD_171_5">"A32508"</definedName>
    <definedName name="FDD_171_6">"A32873"</definedName>
    <definedName name="FDD_171_7">"A33238"</definedName>
    <definedName name="FDD_171_8">"A33603"</definedName>
    <definedName name="FDD_171_9">"A33969"</definedName>
    <definedName name="FDD_172_0">"A30681"</definedName>
    <definedName name="FDD_172_1">"A31047"</definedName>
    <definedName name="FDD_172_10">"A34334"</definedName>
    <definedName name="FDD_172_11">"A34699"</definedName>
    <definedName name="FDD_172_12">"A35064"</definedName>
    <definedName name="FDD_172_13">"A35430"</definedName>
    <definedName name="FDD_172_14">"A35795"</definedName>
    <definedName name="FDD_172_2">"A31412"</definedName>
    <definedName name="FDD_172_3">"A31777"</definedName>
    <definedName name="FDD_172_4">"A32142"</definedName>
    <definedName name="FDD_172_5">"A32508"</definedName>
    <definedName name="FDD_172_6">"A32873"</definedName>
    <definedName name="FDD_172_7">"A33238"</definedName>
    <definedName name="FDD_172_8">"A33603"</definedName>
    <definedName name="FDD_172_9">"A33969"</definedName>
    <definedName name="FDD_173_0">"A30681"</definedName>
    <definedName name="FDD_173_1">"A31047"</definedName>
    <definedName name="FDD_173_10">"A34334"</definedName>
    <definedName name="FDD_173_11">"A34699"</definedName>
    <definedName name="FDD_173_12">"A35064"</definedName>
    <definedName name="FDD_173_13">"A35430"</definedName>
    <definedName name="FDD_173_14">"A35795"</definedName>
    <definedName name="FDD_173_2">"A31412"</definedName>
    <definedName name="FDD_173_3">"A31777"</definedName>
    <definedName name="FDD_173_4">"A32142"</definedName>
    <definedName name="FDD_173_5">"A32508"</definedName>
    <definedName name="FDD_173_6">"A32873"</definedName>
    <definedName name="FDD_173_7">"A33238"</definedName>
    <definedName name="FDD_173_8">"A33603"</definedName>
    <definedName name="FDD_173_9">"A33969"</definedName>
    <definedName name="FDD_174_0">"A30681"</definedName>
    <definedName name="FDD_174_1">"A31047"</definedName>
    <definedName name="FDD_174_10">"A34334"</definedName>
    <definedName name="FDD_174_11">"A34699"</definedName>
    <definedName name="FDD_174_12">"A35064"</definedName>
    <definedName name="FDD_174_13">"A35430"</definedName>
    <definedName name="FDD_174_14">"A35795"</definedName>
    <definedName name="FDD_174_2">"A31412"</definedName>
    <definedName name="FDD_174_3">"A31777"</definedName>
    <definedName name="FDD_174_4">"A32142"</definedName>
    <definedName name="FDD_174_5">"A32508"</definedName>
    <definedName name="FDD_174_6">"A32873"</definedName>
    <definedName name="FDD_174_7">"A33238"</definedName>
    <definedName name="FDD_174_8">"A33603"</definedName>
    <definedName name="FDD_174_9">"A33969"</definedName>
    <definedName name="FDD_175_0">"E36160"</definedName>
    <definedName name="FDD_175_1">"E36525"</definedName>
    <definedName name="FDD_175_2">"E36891"</definedName>
    <definedName name="FDD_176_0">"E36160"</definedName>
    <definedName name="FDD_176_1">"E36525"</definedName>
    <definedName name="FDD_176_2">"E36891"</definedName>
    <definedName name="FDD_177_0">"E36160"</definedName>
    <definedName name="FDD_177_1">"E36525"</definedName>
    <definedName name="FDD_177_2">"E36891"</definedName>
    <definedName name="FDD_178_0">"E36160"</definedName>
    <definedName name="FDD_178_1">"E36525"</definedName>
    <definedName name="FDD_178_2">"E36891"</definedName>
    <definedName name="FDD_179_0">"E36160"</definedName>
    <definedName name="FDD_179_1">"E36525"</definedName>
    <definedName name="FDD_179_2">"E36891"</definedName>
    <definedName name="FDD_18_0">"A25569"</definedName>
    <definedName name="FDD_180_0">"E36160"</definedName>
    <definedName name="FDD_180_1">"E36525"</definedName>
    <definedName name="FDD_180_2">"E36891"</definedName>
    <definedName name="FDD_181_0">"E36160"</definedName>
    <definedName name="FDD_181_1">"E36525"</definedName>
    <definedName name="FDD_181_2">"E36891"</definedName>
    <definedName name="FDD_182_0">"E36160"</definedName>
    <definedName name="FDD_182_1">"E36525"</definedName>
    <definedName name="FDD_182_2">"E36891"</definedName>
    <definedName name="FDD_183_0">"E36160"</definedName>
    <definedName name="FDD_183_1">"E36525"</definedName>
    <definedName name="FDD_183_2">"E36891"</definedName>
    <definedName name="FDD_184_0">"E36160"</definedName>
    <definedName name="FDD_184_1">"E36525"</definedName>
    <definedName name="FDD_184_2">"E36891"</definedName>
    <definedName name="FDD_185_0">"E36160"</definedName>
    <definedName name="FDD_185_1">"E36525"</definedName>
    <definedName name="FDD_185_2">"E36891"</definedName>
    <definedName name="FDD_186_0">"E36160"</definedName>
    <definedName name="FDD_186_1">"E36525"</definedName>
    <definedName name="FDD_186_2">"E36891"</definedName>
    <definedName name="FDD_187_0">"E36160"</definedName>
    <definedName name="FDD_187_1">"E36525"</definedName>
    <definedName name="FDD_187_2">"E36891"</definedName>
    <definedName name="FDD_188_0">"A30681"</definedName>
    <definedName name="FDD_188_1">"A31047"</definedName>
    <definedName name="FDD_188_10">"A34334"</definedName>
    <definedName name="FDD_188_11">"A34699"</definedName>
    <definedName name="FDD_188_12">"A35064"</definedName>
    <definedName name="FDD_188_13">"A35430"</definedName>
    <definedName name="FDD_188_14">"A35795"</definedName>
    <definedName name="FDD_188_2">"A31412"</definedName>
    <definedName name="FDD_188_3">"A31777"</definedName>
    <definedName name="FDD_188_4">"A32142"</definedName>
    <definedName name="FDD_188_5">"A32508"</definedName>
    <definedName name="FDD_188_6">"A32873"</definedName>
    <definedName name="FDD_188_7">"A33238"</definedName>
    <definedName name="FDD_188_8">"A33603"</definedName>
    <definedName name="FDD_188_9">"A33969"</definedName>
    <definedName name="FDD_189_0">"A30681"</definedName>
    <definedName name="FDD_189_1">"A31047"</definedName>
    <definedName name="FDD_189_10">"A34334"</definedName>
    <definedName name="FDD_189_11">"A34699"</definedName>
    <definedName name="FDD_189_12">"A35064"</definedName>
    <definedName name="FDD_189_13">"A35430"</definedName>
    <definedName name="FDD_189_14">"A35795"</definedName>
    <definedName name="FDD_189_2">"A31412"</definedName>
    <definedName name="FDD_189_3">"A31777"</definedName>
    <definedName name="FDD_189_4">"A32142"</definedName>
    <definedName name="FDD_189_5">"A32508"</definedName>
    <definedName name="FDD_189_6">"A32873"</definedName>
    <definedName name="FDD_189_7">"A33238"</definedName>
    <definedName name="FDD_189_8">"A33603"</definedName>
    <definedName name="FDD_189_9">"A33969"</definedName>
    <definedName name="FDD_19_0">"A25569"</definedName>
    <definedName name="FDD_190_0">"A30681"</definedName>
    <definedName name="FDD_190_1">"A31047"</definedName>
    <definedName name="FDD_190_10">"A34334"</definedName>
    <definedName name="FDD_190_11">"A34699"</definedName>
    <definedName name="FDD_190_12">"A35064"</definedName>
    <definedName name="FDD_190_13">"A35430"</definedName>
    <definedName name="FDD_190_14">"A35795"</definedName>
    <definedName name="FDD_190_2">"A31412"</definedName>
    <definedName name="FDD_190_3">"A31777"</definedName>
    <definedName name="FDD_190_4">"A32142"</definedName>
    <definedName name="FDD_190_5">"A32508"</definedName>
    <definedName name="FDD_190_6">"A32873"</definedName>
    <definedName name="FDD_190_7">"A33238"</definedName>
    <definedName name="FDD_190_8">"A33603"</definedName>
    <definedName name="FDD_190_9">"A33969"</definedName>
    <definedName name="FDD_191_0">"A30681"</definedName>
    <definedName name="FDD_191_1">"A31047"</definedName>
    <definedName name="FDD_191_10">"A34334"</definedName>
    <definedName name="FDD_191_11">"A34699"</definedName>
    <definedName name="FDD_191_12">"A35064"</definedName>
    <definedName name="FDD_191_13">"A35430"</definedName>
    <definedName name="FDD_191_14">"A35795"</definedName>
    <definedName name="FDD_191_2">"A31412"</definedName>
    <definedName name="FDD_191_3">"A31777"</definedName>
    <definedName name="FDD_191_4">"A32142"</definedName>
    <definedName name="FDD_191_5">"A32508"</definedName>
    <definedName name="FDD_191_6">"A32873"</definedName>
    <definedName name="FDD_191_7">"A33238"</definedName>
    <definedName name="FDD_191_8">"A33603"</definedName>
    <definedName name="FDD_191_9">"A33969"</definedName>
    <definedName name="FDD_192_0">"E36160"</definedName>
    <definedName name="FDD_192_1">"E36525"</definedName>
    <definedName name="FDD_192_2">"E36891"</definedName>
    <definedName name="FDD_193_0">"A30681"</definedName>
    <definedName name="FDD_193_1">"A31047"</definedName>
    <definedName name="FDD_193_10">"A34334"</definedName>
    <definedName name="FDD_193_11">"A34699"</definedName>
    <definedName name="FDD_193_12">"A35064"</definedName>
    <definedName name="FDD_193_13">"A35430"</definedName>
    <definedName name="FDD_193_14">"A35795"</definedName>
    <definedName name="FDD_193_2">"A31412"</definedName>
    <definedName name="FDD_193_3">"A31777"</definedName>
    <definedName name="FDD_193_4">"A32142"</definedName>
    <definedName name="FDD_193_5">"A32508"</definedName>
    <definedName name="FDD_193_6">"A32873"</definedName>
    <definedName name="FDD_193_7">"A33238"</definedName>
    <definedName name="FDD_193_8">"A33603"</definedName>
    <definedName name="FDD_193_9">"A33969"</definedName>
    <definedName name="FDD_194_0">"A30681"</definedName>
    <definedName name="FDD_194_1">"A31047"</definedName>
    <definedName name="FDD_194_10">"A34334"</definedName>
    <definedName name="FDD_194_11">"A34699"</definedName>
    <definedName name="FDD_194_12">"A35064"</definedName>
    <definedName name="FDD_194_13">"A35430"</definedName>
    <definedName name="FDD_194_14">"A35795"</definedName>
    <definedName name="FDD_194_2">"A31412"</definedName>
    <definedName name="FDD_194_3">"A31777"</definedName>
    <definedName name="FDD_194_4">"A32142"</definedName>
    <definedName name="FDD_194_5">"A32508"</definedName>
    <definedName name="FDD_194_6">"A32873"</definedName>
    <definedName name="FDD_194_7">"A33238"</definedName>
    <definedName name="FDD_194_8">"A33603"</definedName>
    <definedName name="FDD_194_9">"A33969"</definedName>
    <definedName name="FDD_195_0">"A30681"</definedName>
    <definedName name="FDD_195_1">"A31047"</definedName>
    <definedName name="FDD_195_10">"A34334"</definedName>
    <definedName name="FDD_195_11">"A34699"</definedName>
    <definedName name="FDD_195_12">"A35064"</definedName>
    <definedName name="FDD_195_13">"A35430"</definedName>
    <definedName name="FDD_195_14">"A35795"</definedName>
    <definedName name="FDD_195_2">"A31412"</definedName>
    <definedName name="FDD_195_3">"A31777"</definedName>
    <definedName name="FDD_195_4">"A32142"</definedName>
    <definedName name="FDD_195_5">"A32508"</definedName>
    <definedName name="FDD_195_6">"A32873"</definedName>
    <definedName name="FDD_195_7">"A33238"</definedName>
    <definedName name="FDD_195_8">"A33603"</definedName>
    <definedName name="FDD_195_9">"A33969"</definedName>
    <definedName name="FDD_196_0">"E36160"</definedName>
    <definedName name="FDD_196_1">"E36525"</definedName>
    <definedName name="FDD_196_2">"E36891"</definedName>
    <definedName name="FDD_197_0">"A30681"</definedName>
    <definedName name="FDD_197_1">"A31047"</definedName>
    <definedName name="FDD_197_10">"A34334"</definedName>
    <definedName name="FDD_197_11">"A34699"</definedName>
    <definedName name="FDD_197_12">"A35064"</definedName>
    <definedName name="FDD_197_13">"A35430"</definedName>
    <definedName name="FDD_197_14">"A35795"</definedName>
    <definedName name="FDD_197_2">"A31412"</definedName>
    <definedName name="FDD_197_3">"A31777"</definedName>
    <definedName name="FDD_197_4">"A32142"</definedName>
    <definedName name="FDD_197_5">"A32508"</definedName>
    <definedName name="FDD_197_6">"A32873"</definedName>
    <definedName name="FDD_197_7">"A33238"</definedName>
    <definedName name="FDD_197_8">"A33603"</definedName>
    <definedName name="FDD_197_9">"A33969"</definedName>
    <definedName name="FDD_198_0">"A30681"</definedName>
    <definedName name="FDD_198_1">"A31047"</definedName>
    <definedName name="FDD_198_10">"U34334"</definedName>
    <definedName name="FDD_198_11">"U34699"</definedName>
    <definedName name="FDD_198_12">"U35064"</definedName>
    <definedName name="FDD_198_13">"U35430"</definedName>
    <definedName name="FDD_198_14">"U35795"</definedName>
    <definedName name="FDD_198_2">"A31412"</definedName>
    <definedName name="FDD_198_3">"U31777"</definedName>
    <definedName name="FDD_198_4">"U32142"</definedName>
    <definedName name="FDD_198_5">"U32508"</definedName>
    <definedName name="FDD_198_6">"U32873"</definedName>
    <definedName name="FDD_198_7">"U33238"</definedName>
    <definedName name="FDD_198_8">"U33603"</definedName>
    <definedName name="FDD_198_9">"U33969"</definedName>
    <definedName name="FDD_199_0">"E36160"</definedName>
    <definedName name="FDD_199_1">"E36525"</definedName>
    <definedName name="FDD_199_2">"E36891"</definedName>
    <definedName name="FDD_2_0">"A25569"</definedName>
    <definedName name="FDD_20_0">"A25569"</definedName>
    <definedName name="FDD_200_0">"E36160"</definedName>
    <definedName name="FDD_200_1">"E36525"</definedName>
    <definedName name="FDD_200_2">"E36891"</definedName>
    <definedName name="FDD_201_0">"A30681"</definedName>
    <definedName name="FDD_201_1">"A31047"</definedName>
    <definedName name="FDD_201_10">"A34334"</definedName>
    <definedName name="FDD_201_11">"A34699"</definedName>
    <definedName name="FDD_201_12">"A35064"</definedName>
    <definedName name="FDD_201_13">"A35430"</definedName>
    <definedName name="FDD_201_14">"A35795"</definedName>
    <definedName name="FDD_201_2">"A31412"</definedName>
    <definedName name="FDD_201_3">"A31777"</definedName>
    <definedName name="FDD_201_4">"A32142"</definedName>
    <definedName name="FDD_201_5">"A32508"</definedName>
    <definedName name="FDD_201_6">"A32873"</definedName>
    <definedName name="FDD_201_7">"A33238"</definedName>
    <definedName name="FDD_201_8">"A33603"</definedName>
    <definedName name="FDD_201_9">"A33969"</definedName>
    <definedName name="FDD_202_0">"A30681"</definedName>
    <definedName name="FDD_202_1">"A31047"</definedName>
    <definedName name="FDD_202_10">"A34334"</definedName>
    <definedName name="FDD_202_11">"A34699"</definedName>
    <definedName name="FDD_202_12">"A35064"</definedName>
    <definedName name="FDD_202_13">"A35430"</definedName>
    <definedName name="FDD_202_14">"A35795"</definedName>
    <definedName name="FDD_202_2">"A31412"</definedName>
    <definedName name="FDD_202_3">"A31777"</definedName>
    <definedName name="FDD_202_4">"A32142"</definedName>
    <definedName name="FDD_202_5">"A32508"</definedName>
    <definedName name="FDD_202_6">"A32873"</definedName>
    <definedName name="FDD_202_7">"A33238"</definedName>
    <definedName name="FDD_202_8">"A33603"</definedName>
    <definedName name="FDD_202_9">"A33969"</definedName>
    <definedName name="FDD_203_0">"E36160"</definedName>
    <definedName name="FDD_203_1">"E36525"</definedName>
    <definedName name="FDD_203_2">"E36891"</definedName>
    <definedName name="FDD_204_0">"A25569"</definedName>
    <definedName name="FDD_205_0">"A25569"</definedName>
    <definedName name="FDD_206_0">"A25569"</definedName>
    <definedName name="FDD_207_0">"A25569"</definedName>
    <definedName name="FDD_208_0">"E36160"</definedName>
    <definedName name="FDD_208_1">"E36525"</definedName>
    <definedName name="FDD_208_2">"E36891"</definedName>
    <definedName name="FDD_209_0">"A25569"</definedName>
    <definedName name="FDD_21_0">"A25569"</definedName>
    <definedName name="FDD_210_0">"A25569"</definedName>
    <definedName name="FDD_211_0">"A25569"</definedName>
    <definedName name="FDD_212_0">"A25569"</definedName>
    <definedName name="FDD_213_0">"E36160"</definedName>
    <definedName name="FDD_213_1">"E36525"</definedName>
    <definedName name="FDD_213_2">"E36891"</definedName>
    <definedName name="FDD_214_0">"A25569"</definedName>
    <definedName name="FDD_215_0">"A25569"</definedName>
    <definedName name="FDD_216_0">"A25569"</definedName>
    <definedName name="FDD_217_0">"A25569"</definedName>
    <definedName name="FDD_218_0">"E36160"</definedName>
    <definedName name="FDD_218_1">"E36525"</definedName>
    <definedName name="FDD_218_2">"E36891"</definedName>
    <definedName name="FDD_219_0">"U25569"</definedName>
    <definedName name="FDD_22_0">"A25569"</definedName>
    <definedName name="FDD_220_0">"U25569"</definedName>
    <definedName name="FDD_221_0">"U25569"</definedName>
    <definedName name="FDD_222_0">"U25569"</definedName>
    <definedName name="FDD_223_0">"E36160"</definedName>
    <definedName name="FDD_223_1">"E36525"</definedName>
    <definedName name="FDD_223_2">"E36891"</definedName>
    <definedName name="FDD_224_0">"A25569"</definedName>
    <definedName name="FDD_225_0">"A25569"</definedName>
    <definedName name="FDD_226_0">"A25569"</definedName>
    <definedName name="FDD_227_0">"A25569"</definedName>
    <definedName name="FDD_228_0">"E36160"</definedName>
    <definedName name="FDD_228_1">"E36525"</definedName>
    <definedName name="FDD_228_2">"E36891"</definedName>
    <definedName name="FDD_229_0">"A25569"</definedName>
    <definedName name="FDD_23_0">"A25569"</definedName>
    <definedName name="FDD_230_0">"A25569"</definedName>
    <definedName name="FDD_231_0">"A25569"</definedName>
    <definedName name="FDD_232_0">"A25569"</definedName>
    <definedName name="FDD_233_0">"A25569"</definedName>
    <definedName name="FDD_234_0">"A25569"</definedName>
    <definedName name="FDD_235_0">"A25569"</definedName>
    <definedName name="FDD_236_0">"A25569"</definedName>
    <definedName name="FDD_237_0">"A25569"</definedName>
    <definedName name="FDD_238_0">"A30681"</definedName>
    <definedName name="FDD_238_1">"A31047"</definedName>
    <definedName name="FDD_238_10">"A34334"</definedName>
    <definedName name="FDD_238_11">"A34699"</definedName>
    <definedName name="FDD_238_12">"A35064"</definedName>
    <definedName name="FDD_238_13">"A35430"</definedName>
    <definedName name="FDD_238_14">"A35795"</definedName>
    <definedName name="FDD_238_2">"A31412"</definedName>
    <definedName name="FDD_238_3">"A31777"</definedName>
    <definedName name="FDD_238_4">"A32142"</definedName>
    <definedName name="FDD_238_5">"A32508"</definedName>
    <definedName name="FDD_238_6">"A32873"</definedName>
    <definedName name="FDD_238_7">"A33238"</definedName>
    <definedName name="FDD_238_8">"A33603"</definedName>
    <definedName name="FDD_238_9">"A33969"</definedName>
    <definedName name="FDD_24_0">"A25569"</definedName>
    <definedName name="FDD_243_0">"E36160"</definedName>
    <definedName name="FDD_243_1">"E36525"</definedName>
    <definedName name="FDD_243_2">"E36891"</definedName>
    <definedName name="FDD_244_0">"A25569"</definedName>
    <definedName name="FDD_245_0">"A25569"</definedName>
    <definedName name="FDD_246_0">"A25569"</definedName>
    <definedName name="FDD_247_0">"A25569"</definedName>
    <definedName name="FDD_248_0">"E36160"</definedName>
    <definedName name="FDD_248_1">"E36525"</definedName>
    <definedName name="FDD_248_2">"E36891"</definedName>
    <definedName name="FDD_249_0">"A25569"</definedName>
    <definedName name="FDD_25_0">"A25569"</definedName>
    <definedName name="FDD_250_0">"A25569"</definedName>
    <definedName name="FDD_251_0">"A25569"</definedName>
    <definedName name="FDD_252_0">"A25569"</definedName>
    <definedName name="FDD_253_0">"E36160"</definedName>
    <definedName name="FDD_253_1">"E36525"</definedName>
    <definedName name="FDD_253_2">"E36891"</definedName>
    <definedName name="FDD_254_0">"E36160"</definedName>
    <definedName name="FDD_254_1">"E36525"</definedName>
    <definedName name="FDD_254_2">"E36891"</definedName>
    <definedName name="FDD_255_0">"E36160"</definedName>
    <definedName name="FDD_255_1">"E36525"</definedName>
    <definedName name="FDD_255_2">"E36891"</definedName>
    <definedName name="FDD_256_0">"U36160"</definedName>
    <definedName name="FDD_256_1">"U36525"</definedName>
    <definedName name="FDD_256_2">"U36891"</definedName>
    <definedName name="FDD_257_0">"E36160"</definedName>
    <definedName name="FDD_257_1">"E36525"</definedName>
    <definedName name="FDD_257_2">"E36891"</definedName>
    <definedName name="FDD_258_0">"E36160"</definedName>
    <definedName name="FDD_258_1">"E36525"</definedName>
    <definedName name="FDD_258_2">"E36891"</definedName>
    <definedName name="FDD_259_0">"E36160"</definedName>
    <definedName name="FDD_259_1">"E36525"</definedName>
    <definedName name="FDD_259_2">"E36891"</definedName>
    <definedName name="FDD_26_0">"A25569"</definedName>
    <definedName name="FDD_260_0">"E36160"</definedName>
    <definedName name="FDD_260_1">"E36525"</definedName>
    <definedName name="FDD_260_2">"E36891"</definedName>
    <definedName name="FDD_261_0">"E36160"</definedName>
    <definedName name="FDD_261_1">"E36525"</definedName>
    <definedName name="FDD_261_2">"E36891"</definedName>
    <definedName name="FDD_264_0">"E36160"</definedName>
    <definedName name="FDD_264_1">"E36525"</definedName>
    <definedName name="FDD_264_2">"E36891"</definedName>
    <definedName name="FDD_265_0">"A25569"</definedName>
    <definedName name="FDD_266_0">"A25569"</definedName>
    <definedName name="FDD_267_0">"A25569"</definedName>
    <definedName name="FDD_268_0">"A25569"</definedName>
    <definedName name="FDD_269_0">"E36160"</definedName>
    <definedName name="FDD_269_1">"E36525"</definedName>
    <definedName name="FDD_269_2">"E36891"</definedName>
    <definedName name="FDD_27_0">"A25569"</definedName>
    <definedName name="FDD_270_0">"A25569"</definedName>
    <definedName name="FDD_271_0">"A25569"</definedName>
    <definedName name="FDD_272_0">"A25569"</definedName>
    <definedName name="FDD_273_0">"A25569"</definedName>
    <definedName name="FDD_274_0">"E36160"</definedName>
    <definedName name="FDD_274_1">"E36525"</definedName>
    <definedName name="FDD_274_2">"E36891"</definedName>
    <definedName name="FDD_275_0">"A25569"</definedName>
    <definedName name="FDD_276_0">"A25569"</definedName>
    <definedName name="FDD_277_0">"A25569"</definedName>
    <definedName name="FDD_278_0">"A25569"</definedName>
    <definedName name="FDD_279_0">"E36160"</definedName>
    <definedName name="FDD_279_1">"E36525"</definedName>
    <definedName name="FDD_279_2">"E36891"</definedName>
    <definedName name="FDD_28_0">"A25569"</definedName>
    <definedName name="FDD_280_0">"E36160"</definedName>
    <definedName name="FDD_280_1">"E36525"</definedName>
    <definedName name="FDD_280_2">"E36891"</definedName>
    <definedName name="FDD_281_0">"E36160"</definedName>
    <definedName name="FDD_281_1">"E36525"</definedName>
    <definedName name="FDD_281_2">"E36891"</definedName>
    <definedName name="FDD_282_0">"E36160"</definedName>
    <definedName name="FDD_282_1">"E36525"</definedName>
    <definedName name="FDD_282_2">"E36891"</definedName>
    <definedName name="FDD_283_0">"E36160"</definedName>
    <definedName name="FDD_283_1">"E36525"</definedName>
    <definedName name="FDD_283_2">"E36891"</definedName>
    <definedName name="FDD_284_0">"A30681"</definedName>
    <definedName name="FDD_284_1">"A31047"</definedName>
    <definedName name="FDD_284_10">"A34334"</definedName>
    <definedName name="FDD_284_11">"A34699"</definedName>
    <definedName name="FDD_284_12">"A35064"</definedName>
    <definedName name="FDD_284_13">"A35430"</definedName>
    <definedName name="FDD_284_14">"A35795"</definedName>
    <definedName name="FDD_284_2">"A31412"</definedName>
    <definedName name="FDD_284_3">"A31777"</definedName>
    <definedName name="FDD_284_4">"A32142"</definedName>
    <definedName name="FDD_284_5">"A32508"</definedName>
    <definedName name="FDD_284_6">"A32873"</definedName>
    <definedName name="FDD_284_7">"A33238"</definedName>
    <definedName name="FDD_284_8">"A33603"</definedName>
    <definedName name="FDD_284_9">"A33969"</definedName>
    <definedName name="FDD_285_0">"A35795"</definedName>
    <definedName name="FDD_285_1">"E36160"</definedName>
    <definedName name="FDD_285_10">"E39447"</definedName>
    <definedName name="FDD_285_11">"E39813"</definedName>
    <definedName name="FDD_285_12">"E40178"</definedName>
    <definedName name="FDD_285_13">"E40543"</definedName>
    <definedName name="FDD_285_14">"E40908"</definedName>
    <definedName name="FDD_285_15">"E41274"</definedName>
    <definedName name="FDD_285_16">"E41639"</definedName>
    <definedName name="FDD_285_17">"E42004"</definedName>
    <definedName name="FDD_285_18">"E42369"</definedName>
    <definedName name="FDD_285_19">"E42735"</definedName>
    <definedName name="FDD_285_2">"E36525"</definedName>
    <definedName name="FDD_285_20">"E43100"</definedName>
    <definedName name="FDD_285_21">"E43465"</definedName>
    <definedName name="FDD_285_22">"E43830"</definedName>
    <definedName name="FDD_285_23">"E44196"</definedName>
    <definedName name="FDD_285_24">"E44561"</definedName>
    <definedName name="FDD_285_25">"E44926"</definedName>
    <definedName name="FDD_285_3">"E36891"</definedName>
    <definedName name="FDD_285_4">"E37256"</definedName>
    <definedName name="FDD_285_5">"E37621"</definedName>
    <definedName name="FDD_285_6">"E37986"</definedName>
    <definedName name="FDD_285_7">"E38352"</definedName>
    <definedName name="FDD_285_8">"E38717"</definedName>
    <definedName name="FDD_285_9">"E39082"</definedName>
    <definedName name="FDD_286_0">"E36160"</definedName>
    <definedName name="FDD_286_1">"E36525"</definedName>
    <definedName name="FDD_286_10">"E39813"</definedName>
    <definedName name="FDD_286_11">"E40178"</definedName>
    <definedName name="FDD_286_12">"E40543"</definedName>
    <definedName name="FDD_286_13">"E40908"</definedName>
    <definedName name="FDD_286_14">"E41274"</definedName>
    <definedName name="FDD_286_15">"E41639"</definedName>
    <definedName name="FDD_286_16">"E42004"</definedName>
    <definedName name="FDD_286_17">"E42369"</definedName>
    <definedName name="FDD_286_18">"E42735"</definedName>
    <definedName name="FDD_286_19">"E43100"</definedName>
    <definedName name="FDD_286_2">"E36891"</definedName>
    <definedName name="FDD_286_20">"E43465"</definedName>
    <definedName name="FDD_286_21">"E43830"</definedName>
    <definedName name="FDD_286_22">"E44196"</definedName>
    <definedName name="FDD_286_23">"E44561"</definedName>
    <definedName name="FDD_286_24">"E44926"</definedName>
    <definedName name="FDD_286_3">"E37256"</definedName>
    <definedName name="FDD_286_4">"E37621"</definedName>
    <definedName name="FDD_286_5">"E37986"</definedName>
    <definedName name="FDD_286_6">"E38352"</definedName>
    <definedName name="FDD_286_7">"E38717"</definedName>
    <definedName name="FDD_286_8">"E39082"</definedName>
    <definedName name="FDD_286_9">"E39447"</definedName>
    <definedName name="FDD_287_0">"A25569"</definedName>
    <definedName name="FDD_288_0">"A25569"</definedName>
    <definedName name="FDD_289_0">"A36890"</definedName>
    <definedName name="FDD_29_0">"A25569"</definedName>
    <definedName name="FDD_290_0">"A36890"</definedName>
    <definedName name="FDD_291_0">"A25569"</definedName>
    <definedName name="FDD_295_0">"U25569"</definedName>
    <definedName name="FDD_296_0">"A25569"</definedName>
    <definedName name="FDD_297_0">"A25569"</definedName>
    <definedName name="FDD_298_0">"A25569"</definedName>
    <definedName name="FDD_299_0">"A25569"</definedName>
    <definedName name="FDD_3_0">"A25569"</definedName>
    <definedName name="FDD_30_0">"A25569"</definedName>
    <definedName name="FDD_300_0">"U25569"</definedName>
    <definedName name="FDD_301_0">"U35795"</definedName>
    <definedName name="FDD_301_1">"U36160"</definedName>
    <definedName name="FDD_301_2">"U36525"</definedName>
    <definedName name="FDD_302_0">"U35795"</definedName>
    <definedName name="FDD_302_1">"U36160"</definedName>
    <definedName name="FDD_302_2">"U36525"</definedName>
    <definedName name="FDD_303_0">"U35795"</definedName>
    <definedName name="FDD_303_1">"U36160"</definedName>
    <definedName name="FDD_303_2">"U36525"</definedName>
    <definedName name="FDD_304_0">"U35795"</definedName>
    <definedName name="FDD_304_1">"U36160"</definedName>
    <definedName name="FDD_304_2">"U36525"</definedName>
    <definedName name="FDD_305_0">"A30681"</definedName>
    <definedName name="FDD_305_1">"A31047"</definedName>
    <definedName name="FDD_305_10">"U34334"</definedName>
    <definedName name="FDD_305_11">"U34699"</definedName>
    <definedName name="FDD_305_12">"U35064"</definedName>
    <definedName name="FDD_305_13">"U35430"</definedName>
    <definedName name="FDD_305_14">"U35795"</definedName>
    <definedName name="FDD_305_2">"A31412"</definedName>
    <definedName name="FDD_305_3">"U31777"</definedName>
    <definedName name="FDD_305_4">"U32142"</definedName>
    <definedName name="FDD_305_5">"U32508"</definedName>
    <definedName name="FDD_305_6">"U32873"</definedName>
    <definedName name="FDD_305_7">"U33238"</definedName>
    <definedName name="FDD_305_8">"U33603"</definedName>
    <definedName name="FDD_305_9">"U33969"</definedName>
    <definedName name="FDD_306_0">"U35795"</definedName>
    <definedName name="FDD_306_1">"E36160"</definedName>
    <definedName name="FDD_306_2">"U36525"</definedName>
    <definedName name="FDD_307_0">"A35795"</definedName>
    <definedName name="FDD_307_1">"U36160"</definedName>
    <definedName name="FDD_307_2">"U36525"</definedName>
    <definedName name="FDD_31_0">"A25569"</definedName>
    <definedName name="FDD_32_0">"A25569"</definedName>
    <definedName name="FDD_33_0">"A25569"</definedName>
    <definedName name="FDD_34_0">"A25569"</definedName>
    <definedName name="FDD_35_0">"A25569"</definedName>
    <definedName name="FDD_36_0">"A25569"</definedName>
    <definedName name="FDD_37_0">"A25569"</definedName>
    <definedName name="FDD_38_0">"A25569"</definedName>
    <definedName name="FDD_39_0">"A25569"</definedName>
    <definedName name="FDD_4_0">"A25569"</definedName>
    <definedName name="FDD_40_0">"A25569"</definedName>
    <definedName name="FDD_41_0">"U25569"</definedName>
    <definedName name="FDD_42_0">"U25569"</definedName>
    <definedName name="FDD_43_0">"A25569"</definedName>
    <definedName name="FDD_44_0">"A30681"</definedName>
    <definedName name="FDD_44_1">"A31047"</definedName>
    <definedName name="FDD_44_10">"A34334"</definedName>
    <definedName name="FDD_44_11">"A34699"</definedName>
    <definedName name="FDD_44_12">"A35064"</definedName>
    <definedName name="FDD_44_13">"A35430"</definedName>
    <definedName name="FDD_44_14">"A35795"</definedName>
    <definedName name="FDD_44_2">"A31412"</definedName>
    <definedName name="FDD_44_3">"A31777"</definedName>
    <definedName name="FDD_44_4">"A32142"</definedName>
    <definedName name="FDD_44_5">"A32508"</definedName>
    <definedName name="FDD_44_6">"A32873"</definedName>
    <definedName name="FDD_44_7">"A33238"</definedName>
    <definedName name="FDD_44_8">"A33603"</definedName>
    <definedName name="FDD_44_9">"A33969"</definedName>
    <definedName name="FDD_45_0">"A30681"</definedName>
    <definedName name="FDD_45_1">"A31047"</definedName>
    <definedName name="FDD_45_10">"A34334"</definedName>
    <definedName name="FDD_45_11">"A34699"</definedName>
    <definedName name="FDD_45_12">"A35064"</definedName>
    <definedName name="FDD_45_13">"A35430"</definedName>
    <definedName name="FDD_45_14">"A35795"</definedName>
    <definedName name="FDD_45_2">"A31412"</definedName>
    <definedName name="FDD_45_3">"A31777"</definedName>
    <definedName name="FDD_45_4">"A32142"</definedName>
    <definedName name="FDD_45_5">"A32508"</definedName>
    <definedName name="FDD_45_6">"A32873"</definedName>
    <definedName name="FDD_45_7">"A33238"</definedName>
    <definedName name="FDD_45_8">"A33603"</definedName>
    <definedName name="FDD_45_9">"A33969"</definedName>
    <definedName name="FDD_46_0">"A30681"</definedName>
    <definedName name="FDD_46_1">"A31047"</definedName>
    <definedName name="FDD_46_10">"A34334"</definedName>
    <definedName name="FDD_46_11">"A34699"</definedName>
    <definedName name="FDD_46_12">"A35064"</definedName>
    <definedName name="FDD_46_13">"A35430"</definedName>
    <definedName name="FDD_46_14">"A35795"</definedName>
    <definedName name="FDD_46_2">"A31412"</definedName>
    <definedName name="FDD_46_3">"A31777"</definedName>
    <definedName name="FDD_46_4">"A32142"</definedName>
    <definedName name="FDD_46_5">"A32508"</definedName>
    <definedName name="FDD_46_6">"A32873"</definedName>
    <definedName name="FDD_46_7">"A33238"</definedName>
    <definedName name="FDD_46_8">"A33603"</definedName>
    <definedName name="FDD_46_9">"A33969"</definedName>
    <definedName name="FDD_47_0">"A30681"</definedName>
    <definedName name="FDD_47_1">"A31047"</definedName>
    <definedName name="FDD_47_10">"A34334"</definedName>
    <definedName name="FDD_47_11">"A34699"</definedName>
    <definedName name="FDD_47_12">"A35064"</definedName>
    <definedName name="FDD_47_13">"A35430"</definedName>
    <definedName name="FDD_47_14">"A35795"</definedName>
    <definedName name="FDD_47_2">"A31412"</definedName>
    <definedName name="FDD_47_3">"A31777"</definedName>
    <definedName name="FDD_47_4">"A32142"</definedName>
    <definedName name="FDD_47_5">"A32508"</definedName>
    <definedName name="FDD_47_6">"A32873"</definedName>
    <definedName name="FDD_47_7">"A33238"</definedName>
    <definedName name="FDD_47_8">"A33603"</definedName>
    <definedName name="FDD_47_9">"A33969"</definedName>
    <definedName name="FDD_48_0">"A30681"</definedName>
    <definedName name="FDD_48_1">"A31047"</definedName>
    <definedName name="FDD_48_10">"A34334"</definedName>
    <definedName name="FDD_48_11">"A34699"</definedName>
    <definedName name="FDD_48_12">"A35064"</definedName>
    <definedName name="FDD_48_13">"A35430"</definedName>
    <definedName name="FDD_48_14">"A35795"</definedName>
    <definedName name="FDD_48_2">"A31412"</definedName>
    <definedName name="FDD_48_3">"A31777"</definedName>
    <definedName name="FDD_48_4">"A32142"</definedName>
    <definedName name="FDD_48_5">"A32508"</definedName>
    <definedName name="FDD_48_6">"A32873"</definedName>
    <definedName name="FDD_48_7">"A33238"</definedName>
    <definedName name="FDD_48_8">"A33603"</definedName>
    <definedName name="FDD_48_9">"A33969"</definedName>
    <definedName name="FDD_49_0">"A30681"</definedName>
    <definedName name="FDD_49_1">"A31047"</definedName>
    <definedName name="FDD_49_10">"A34334"</definedName>
    <definedName name="FDD_49_11">"A34699"</definedName>
    <definedName name="FDD_49_12">"A35064"</definedName>
    <definedName name="FDD_49_13">"A35430"</definedName>
    <definedName name="FDD_49_14">"A35795"</definedName>
    <definedName name="FDD_49_2">"A31412"</definedName>
    <definedName name="FDD_49_3">"A31777"</definedName>
    <definedName name="FDD_49_4">"A32142"</definedName>
    <definedName name="FDD_49_5">"A32508"</definedName>
    <definedName name="FDD_49_6">"A32873"</definedName>
    <definedName name="FDD_49_7">"A33238"</definedName>
    <definedName name="FDD_49_8">"A33603"</definedName>
    <definedName name="FDD_49_9">"A33969"</definedName>
    <definedName name="FDD_5_0">"A25569"</definedName>
    <definedName name="FDD_50_0">"A30681"</definedName>
    <definedName name="FDD_50_1">"A31047"</definedName>
    <definedName name="FDD_50_10">"A34334"</definedName>
    <definedName name="FDD_50_11">"A34699"</definedName>
    <definedName name="FDD_50_12">"A35064"</definedName>
    <definedName name="FDD_50_13">"A35430"</definedName>
    <definedName name="FDD_50_14">"A35795"</definedName>
    <definedName name="FDD_50_2">"A31412"</definedName>
    <definedName name="FDD_50_3">"A31777"</definedName>
    <definedName name="FDD_50_4">"A32142"</definedName>
    <definedName name="FDD_50_5">"A32508"</definedName>
    <definedName name="FDD_50_6">"A32873"</definedName>
    <definedName name="FDD_50_7">"A33238"</definedName>
    <definedName name="FDD_50_8">"A33603"</definedName>
    <definedName name="FDD_50_9">"A33969"</definedName>
    <definedName name="FDD_51_0">"A30681"</definedName>
    <definedName name="FDD_51_1">"A31047"</definedName>
    <definedName name="FDD_51_10">"A34334"</definedName>
    <definedName name="FDD_51_11">"A34699"</definedName>
    <definedName name="FDD_51_12">"A35064"</definedName>
    <definedName name="FDD_51_13">"A35430"</definedName>
    <definedName name="FDD_51_14">"A35795"</definedName>
    <definedName name="FDD_51_2">"A31412"</definedName>
    <definedName name="FDD_51_3">"A31777"</definedName>
    <definedName name="FDD_51_4">"A32142"</definedName>
    <definedName name="FDD_51_5">"A32508"</definedName>
    <definedName name="FDD_51_6">"A32873"</definedName>
    <definedName name="FDD_51_7">"A33238"</definedName>
    <definedName name="FDD_51_8">"A33603"</definedName>
    <definedName name="FDD_51_9">"A33969"</definedName>
    <definedName name="FDD_52_0">"A30681"</definedName>
    <definedName name="FDD_52_1">"A31047"</definedName>
    <definedName name="FDD_52_10">"A34334"</definedName>
    <definedName name="FDD_52_11">"A34699"</definedName>
    <definedName name="FDD_52_12">"A35064"</definedName>
    <definedName name="FDD_52_13">"A35430"</definedName>
    <definedName name="FDD_52_14">"A35795"</definedName>
    <definedName name="FDD_52_2">"A31412"</definedName>
    <definedName name="FDD_52_3">"A31777"</definedName>
    <definedName name="FDD_52_4">"A32142"</definedName>
    <definedName name="FDD_52_5">"A32508"</definedName>
    <definedName name="FDD_52_6">"A32873"</definedName>
    <definedName name="FDD_52_7">"A33238"</definedName>
    <definedName name="FDD_52_8">"A33603"</definedName>
    <definedName name="FDD_52_9">"A33969"</definedName>
    <definedName name="FDD_53_0">"U30681"</definedName>
    <definedName name="FDD_53_1">"A31047"</definedName>
    <definedName name="FDD_53_10">"A34334"</definedName>
    <definedName name="FDD_53_11">"A34699"</definedName>
    <definedName name="FDD_53_12">"A35064"</definedName>
    <definedName name="FDD_53_13">"A35430"</definedName>
    <definedName name="FDD_53_14">"A35795"</definedName>
    <definedName name="FDD_53_2">"A31412"</definedName>
    <definedName name="FDD_53_3">"A31777"</definedName>
    <definedName name="FDD_53_4">"A32142"</definedName>
    <definedName name="FDD_53_5">"A32508"</definedName>
    <definedName name="FDD_53_6">"A32873"</definedName>
    <definedName name="FDD_53_7">"A33238"</definedName>
    <definedName name="FDD_53_8">"A33603"</definedName>
    <definedName name="FDD_53_9">"A33969"</definedName>
    <definedName name="FDD_54_0">"A30681"</definedName>
    <definedName name="FDD_54_1">"A31047"</definedName>
    <definedName name="FDD_54_10">"A34334"</definedName>
    <definedName name="FDD_54_11">"A34699"</definedName>
    <definedName name="FDD_54_12">"A35064"</definedName>
    <definedName name="FDD_54_13">"A35430"</definedName>
    <definedName name="FDD_54_14">"A35795"</definedName>
    <definedName name="FDD_54_2">"A31412"</definedName>
    <definedName name="FDD_54_3">"A31777"</definedName>
    <definedName name="FDD_54_4">"A32142"</definedName>
    <definedName name="FDD_54_5">"A32508"</definedName>
    <definedName name="FDD_54_6">"A32873"</definedName>
    <definedName name="FDD_54_7">"A33238"</definedName>
    <definedName name="FDD_54_8">"A33603"</definedName>
    <definedName name="FDD_54_9">"A33969"</definedName>
    <definedName name="FDD_55_0">"A30681"</definedName>
    <definedName name="FDD_55_1">"A31047"</definedName>
    <definedName name="FDD_55_10">"A34334"</definedName>
    <definedName name="FDD_55_11">"A34699"</definedName>
    <definedName name="FDD_55_12">"A35064"</definedName>
    <definedName name="FDD_55_13">"A35430"</definedName>
    <definedName name="FDD_55_14">"A35795"</definedName>
    <definedName name="FDD_55_2">"A31412"</definedName>
    <definedName name="FDD_55_3">"A31777"</definedName>
    <definedName name="FDD_55_4">"A32142"</definedName>
    <definedName name="FDD_55_5">"A32508"</definedName>
    <definedName name="FDD_55_6">"A32873"</definedName>
    <definedName name="FDD_55_7">"A33238"</definedName>
    <definedName name="FDD_55_8">"A33603"</definedName>
    <definedName name="FDD_55_9">"A33969"</definedName>
    <definedName name="FDD_56_0">"A30681"</definedName>
    <definedName name="FDD_56_1">"A31047"</definedName>
    <definedName name="FDD_56_10">"A34334"</definedName>
    <definedName name="FDD_56_11">"A34699"</definedName>
    <definedName name="FDD_56_12">"A35064"</definedName>
    <definedName name="FDD_56_13">"A35430"</definedName>
    <definedName name="FDD_56_14">"A35795"</definedName>
    <definedName name="FDD_56_2">"A31412"</definedName>
    <definedName name="FDD_56_3">"A31777"</definedName>
    <definedName name="FDD_56_4">"A32142"</definedName>
    <definedName name="FDD_56_5">"A32508"</definedName>
    <definedName name="FDD_56_6">"A32873"</definedName>
    <definedName name="FDD_56_7">"A33238"</definedName>
    <definedName name="FDD_56_8">"A33603"</definedName>
    <definedName name="FDD_56_9">"A33969"</definedName>
    <definedName name="FDD_57_0">"A30681"</definedName>
    <definedName name="FDD_57_1">"A31047"</definedName>
    <definedName name="FDD_57_10">"A34334"</definedName>
    <definedName name="FDD_57_11">"A34699"</definedName>
    <definedName name="FDD_57_12">"A35064"</definedName>
    <definedName name="FDD_57_13">"A35430"</definedName>
    <definedName name="FDD_57_14">"A35795"</definedName>
    <definedName name="FDD_57_2">"A31412"</definedName>
    <definedName name="FDD_57_3">"A31777"</definedName>
    <definedName name="FDD_57_4">"A32142"</definedName>
    <definedName name="FDD_57_5">"A32508"</definedName>
    <definedName name="FDD_57_6">"A32873"</definedName>
    <definedName name="FDD_57_7">"A33238"</definedName>
    <definedName name="FDD_57_8">"A33603"</definedName>
    <definedName name="FDD_57_9">"A33969"</definedName>
    <definedName name="FDD_58_0">"A30681"</definedName>
    <definedName name="FDD_58_1">"A31047"</definedName>
    <definedName name="FDD_58_10">"A34334"</definedName>
    <definedName name="FDD_58_11">"A34699"</definedName>
    <definedName name="FDD_58_12">"A35064"</definedName>
    <definedName name="FDD_58_13">"A35430"</definedName>
    <definedName name="FDD_58_14">"A35795"</definedName>
    <definedName name="FDD_58_2">"A31412"</definedName>
    <definedName name="FDD_58_3">"A31777"</definedName>
    <definedName name="FDD_58_4">"A32142"</definedName>
    <definedName name="FDD_58_5">"A32508"</definedName>
    <definedName name="FDD_58_6">"A32873"</definedName>
    <definedName name="FDD_58_7">"A33238"</definedName>
    <definedName name="FDD_58_8">"A33603"</definedName>
    <definedName name="FDD_58_9">"A33969"</definedName>
    <definedName name="FDD_59_0">"A30681"</definedName>
    <definedName name="FDD_59_1">"A31047"</definedName>
    <definedName name="FDD_59_10">"A34334"</definedName>
    <definedName name="FDD_59_11">"A34699"</definedName>
    <definedName name="FDD_59_12">"A35064"</definedName>
    <definedName name="FDD_59_13">"A35430"</definedName>
    <definedName name="FDD_59_14">"A35795"</definedName>
    <definedName name="FDD_59_2">"A31412"</definedName>
    <definedName name="FDD_59_3">"A31777"</definedName>
    <definedName name="FDD_59_4">"A32142"</definedName>
    <definedName name="FDD_59_5">"A32508"</definedName>
    <definedName name="FDD_59_6">"A32873"</definedName>
    <definedName name="FDD_59_7">"A33238"</definedName>
    <definedName name="FDD_59_8">"A33603"</definedName>
    <definedName name="FDD_59_9">"A33969"</definedName>
    <definedName name="FDD_6_0">"A25569"</definedName>
    <definedName name="FDD_60_0">"A30681"</definedName>
    <definedName name="FDD_60_1">"A31047"</definedName>
    <definedName name="FDD_60_10">"A34334"</definedName>
    <definedName name="FDD_60_11">"A34699"</definedName>
    <definedName name="FDD_60_12">"A35064"</definedName>
    <definedName name="FDD_60_13">"A35430"</definedName>
    <definedName name="FDD_60_14">"A35795"</definedName>
    <definedName name="FDD_60_2">"A31412"</definedName>
    <definedName name="FDD_60_3">"A31777"</definedName>
    <definedName name="FDD_60_4">"A32142"</definedName>
    <definedName name="FDD_60_5">"A32508"</definedName>
    <definedName name="FDD_60_6">"A32873"</definedName>
    <definedName name="FDD_60_7">"A33238"</definedName>
    <definedName name="FDD_60_8">"A33603"</definedName>
    <definedName name="FDD_60_9">"A33969"</definedName>
    <definedName name="FDD_61_0">"A30681"</definedName>
    <definedName name="FDD_61_1">"A31047"</definedName>
    <definedName name="FDD_61_10">"A34334"</definedName>
    <definedName name="FDD_61_11">"A34699"</definedName>
    <definedName name="FDD_61_12">"A35064"</definedName>
    <definedName name="FDD_61_13">"A35430"</definedName>
    <definedName name="FDD_61_14">"A35795"</definedName>
    <definedName name="FDD_61_2">"A31412"</definedName>
    <definedName name="FDD_61_3">"A31777"</definedName>
    <definedName name="FDD_61_4">"A32142"</definedName>
    <definedName name="FDD_61_5">"A32508"</definedName>
    <definedName name="FDD_61_6">"A32873"</definedName>
    <definedName name="FDD_61_7">"A33238"</definedName>
    <definedName name="FDD_61_8">"A33603"</definedName>
    <definedName name="FDD_61_9">"A33969"</definedName>
    <definedName name="FDD_62_0">"A30681"</definedName>
    <definedName name="FDD_62_1">"A31047"</definedName>
    <definedName name="FDD_62_10">"A34334"</definedName>
    <definedName name="FDD_62_11">"A34699"</definedName>
    <definedName name="FDD_62_12">"A35064"</definedName>
    <definedName name="FDD_62_13">"A35430"</definedName>
    <definedName name="FDD_62_14">"A35795"</definedName>
    <definedName name="FDD_62_2">"A31412"</definedName>
    <definedName name="FDD_62_3">"A31777"</definedName>
    <definedName name="FDD_62_4">"A32142"</definedName>
    <definedName name="FDD_62_5">"A32508"</definedName>
    <definedName name="FDD_62_6">"A32873"</definedName>
    <definedName name="FDD_62_7">"A33238"</definedName>
    <definedName name="FDD_62_8">"A33603"</definedName>
    <definedName name="FDD_62_9">"A33969"</definedName>
    <definedName name="FDD_63_0">"A30681"</definedName>
    <definedName name="FDD_63_1">"A31047"</definedName>
    <definedName name="FDD_63_10">"A34334"</definedName>
    <definedName name="FDD_63_11">"A34699"</definedName>
    <definedName name="FDD_63_12">"A35064"</definedName>
    <definedName name="FDD_63_13">"A35430"</definedName>
    <definedName name="FDD_63_14">"A35795"</definedName>
    <definedName name="FDD_63_2">"A31412"</definedName>
    <definedName name="FDD_63_3">"A31777"</definedName>
    <definedName name="FDD_63_4">"A32142"</definedName>
    <definedName name="FDD_63_5">"A32508"</definedName>
    <definedName name="FDD_63_6">"A32873"</definedName>
    <definedName name="FDD_63_7">"A33238"</definedName>
    <definedName name="FDD_63_8">"A33603"</definedName>
    <definedName name="FDD_63_9">"A33969"</definedName>
    <definedName name="FDD_64_0">"A30681"</definedName>
    <definedName name="FDD_64_1">"A31047"</definedName>
    <definedName name="FDD_64_10">"A34334"</definedName>
    <definedName name="FDD_64_11">"A34699"</definedName>
    <definedName name="FDD_64_12">"A35064"</definedName>
    <definedName name="FDD_64_13">"A35430"</definedName>
    <definedName name="FDD_64_14">"A35795"</definedName>
    <definedName name="FDD_64_2">"A31412"</definedName>
    <definedName name="FDD_64_3">"A31777"</definedName>
    <definedName name="FDD_64_4">"A32142"</definedName>
    <definedName name="FDD_64_5">"A32508"</definedName>
    <definedName name="FDD_64_6">"A32873"</definedName>
    <definedName name="FDD_64_7">"A33238"</definedName>
    <definedName name="FDD_64_8">"A33603"</definedName>
    <definedName name="FDD_64_9">"A33969"</definedName>
    <definedName name="FDD_65_0">"A30681"</definedName>
    <definedName name="FDD_65_1">"A31047"</definedName>
    <definedName name="FDD_65_10">"A34334"</definedName>
    <definedName name="FDD_65_11">"A34699"</definedName>
    <definedName name="FDD_65_12">"A35064"</definedName>
    <definedName name="FDD_65_13">"A35430"</definedName>
    <definedName name="FDD_65_14">"A35795"</definedName>
    <definedName name="FDD_65_2">"A31412"</definedName>
    <definedName name="FDD_65_3">"A31777"</definedName>
    <definedName name="FDD_65_4">"A32142"</definedName>
    <definedName name="FDD_65_5">"A32508"</definedName>
    <definedName name="FDD_65_6">"A32873"</definedName>
    <definedName name="FDD_65_7">"A33238"</definedName>
    <definedName name="FDD_65_8">"A33603"</definedName>
    <definedName name="FDD_65_9">"A33969"</definedName>
    <definedName name="FDD_66_0">"A30681"</definedName>
    <definedName name="FDD_66_1">"A31047"</definedName>
    <definedName name="FDD_66_10">"A34334"</definedName>
    <definedName name="FDD_66_11">"A34699"</definedName>
    <definedName name="FDD_66_12">"A35064"</definedName>
    <definedName name="FDD_66_13">"A35430"</definedName>
    <definedName name="FDD_66_14">"A35795"</definedName>
    <definedName name="FDD_66_2">"A31412"</definedName>
    <definedName name="FDD_66_3">"A31777"</definedName>
    <definedName name="FDD_66_4">"A32142"</definedName>
    <definedName name="FDD_66_5">"A32508"</definedName>
    <definedName name="FDD_66_6">"A32873"</definedName>
    <definedName name="FDD_66_7">"A33238"</definedName>
    <definedName name="FDD_66_8">"A33603"</definedName>
    <definedName name="FDD_66_9">"A33969"</definedName>
    <definedName name="FDD_67_0">"A30681"</definedName>
    <definedName name="FDD_67_1">"A31047"</definedName>
    <definedName name="FDD_67_10">"A34334"</definedName>
    <definedName name="FDD_67_11">"A34699"</definedName>
    <definedName name="FDD_67_12">"A35064"</definedName>
    <definedName name="FDD_67_13">"A35430"</definedName>
    <definedName name="FDD_67_14">"A35795"</definedName>
    <definedName name="FDD_67_2">"A31412"</definedName>
    <definedName name="FDD_67_3">"A31777"</definedName>
    <definedName name="FDD_67_4">"A32142"</definedName>
    <definedName name="FDD_67_5">"A32508"</definedName>
    <definedName name="FDD_67_6">"A32873"</definedName>
    <definedName name="FDD_67_7">"A33238"</definedName>
    <definedName name="FDD_67_8">"A33603"</definedName>
    <definedName name="FDD_67_9">"A33969"</definedName>
    <definedName name="FDD_68_0">"A30681"</definedName>
    <definedName name="FDD_68_1">"A31047"</definedName>
    <definedName name="FDD_68_10">"A34334"</definedName>
    <definedName name="FDD_68_11">"A34699"</definedName>
    <definedName name="FDD_68_12">"A35064"</definedName>
    <definedName name="FDD_68_13">"A35430"</definedName>
    <definedName name="FDD_68_14">"A35795"</definedName>
    <definedName name="FDD_68_2">"A31412"</definedName>
    <definedName name="FDD_68_3">"A31777"</definedName>
    <definedName name="FDD_68_4">"A32142"</definedName>
    <definedName name="FDD_68_5">"A32508"</definedName>
    <definedName name="FDD_68_6">"A32873"</definedName>
    <definedName name="FDD_68_7">"A33238"</definedName>
    <definedName name="FDD_68_8">"A33603"</definedName>
    <definedName name="FDD_68_9">"A33969"</definedName>
    <definedName name="FDD_69_0">"U30681"</definedName>
    <definedName name="FDD_69_1">"A31047"</definedName>
    <definedName name="FDD_69_10">"A34334"</definedName>
    <definedName name="FDD_69_11">"A34699"</definedName>
    <definedName name="FDD_69_12">"A35064"</definedName>
    <definedName name="FDD_69_13">"A35430"</definedName>
    <definedName name="FDD_69_14">"A35795"</definedName>
    <definedName name="FDD_69_2">"A31412"</definedName>
    <definedName name="FDD_69_3">"A31777"</definedName>
    <definedName name="FDD_69_4">"A32142"</definedName>
    <definedName name="FDD_69_5">"A32508"</definedName>
    <definedName name="FDD_69_6">"A32873"</definedName>
    <definedName name="FDD_69_7">"A33238"</definedName>
    <definedName name="FDD_69_8">"A33603"</definedName>
    <definedName name="FDD_69_9">"A33969"</definedName>
    <definedName name="FDD_7_0">"A25569"</definedName>
    <definedName name="FDD_70_0">"A30681"</definedName>
    <definedName name="FDD_70_1">"A31047"</definedName>
    <definedName name="FDD_70_10">"A34334"</definedName>
    <definedName name="FDD_70_11">"A34699"</definedName>
    <definedName name="FDD_70_12">"A35064"</definedName>
    <definedName name="FDD_70_13">"A35430"</definedName>
    <definedName name="FDD_70_14">"A35795"</definedName>
    <definedName name="FDD_70_2">"A31412"</definedName>
    <definedName name="FDD_70_3">"A31777"</definedName>
    <definedName name="FDD_70_4">"A32142"</definedName>
    <definedName name="FDD_70_5">"A32508"</definedName>
    <definedName name="FDD_70_6">"A32873"</definedName>
    <definedName name="FDD_70_7">"A33238"</definedName>
    <definedName name="FDD_70_8">"A33603"</definedName>
    <definedName name="FDD_70_9">"A33969"</definedName>
    <definedName name="FDD_71_0">"A30681"</definedName>
    <definedName name="FDD_71_1">"A31047"</definedName>
    <definedName name="FDD_71_10">"A34334"</definedName>
    <definedName name="FDD_71_11">"A34699"</definedName>
    <definedName name="FDD_71_12">"A35064"</definedName>
    <definedName name="FDD_71_13">"A35430"</definedName>
    <definedName name="FDD_71_14">"A35795"</definedName>
    <definedName name="FDD_71_2">"A31412"</definedName>
    <definedName name="FDD_71_3">"A31777"</definedName>
    <definedName name="FDD_71_4">"A32142"</definedName>
    <definedName name="FDD_71_5">"A32508"</definedName>
    <definedName name="FDD_71_6">"A32873"</definedName>
    <definedName name="FDD_71_7">"A33238"</definedName>
    <definedName name="FDD_71_8">"A33603"</definedName>
    <definedName name="FDD_71_9">"A33969"</definedName>
    <definedName name="FDD_72_0">"A30681"</definedName>
    <definedName name="FDD_72_1">"A31047"</definedName>
    <definedName name="FDD_72_10">"A34334"</definedName>
    <definedName name="FDD_72_11">"A34699"</definedName>
    <definedName name="FDD_72_12">"A35064"</definedName>
    <definedName name="FDD_72_13">"A35430"</definedName>
    <definedName name="FDD_72_14">"A35795"</definedName>
    <definedName name="FDD_72_2">"A31412"</definedName>
    <definedName name="FDD_72_3">"A31777"</definedName>
    <definedName name="FDD_72_4">"A32142"</definedName>
    <definedName name="FDD_72_5">"A32508"</definedName>
    <definedName name="FDD_72_6">"A32873"</definedName>
    <definedName name="FDD_72_7">"A33238"</definedName>
    <definedName name="FDD_72_8">"A33603"</definedName>
    <definedName name="FDD_72_9">"A33969"</definedName>
    <definedName name="FDD_73_0">"A30681"</definedName>
    <definedName name="FDD_73_1">"A31047"</definedName>
    <definedName name="FDD_73_10">"A34334"</definedName>
    <definedName name="FDD_73_11">"A34699"</definedName>
    <definedName name="FDD_73_12">"A35064"</definedName>
    <definedName name="FDD_73_13">"A35430"</definedName>
    <definedName name="FDD_73_14">"A35795"</definedName>
    <definedName name="FDD_73_2">"A31412"</definedName>
    <definedName name="FDD_73_3">"A31777"</definedName>
    <definedName name="FDD_73_4">"A32142"</definedName>
    <definedName name="FDD_73_5">"A32508"</definedName>
    <definedName name="FDD_73_6">"A32873"</definedName>
    <definedName name="FDD_73_7">"A33238"</definedName>
    <definedName name="FDD_73_8">"A33603"</definedName>
    <definedName name="FDD_73_9">"A33969"</definedName>
    <definedName name="FDD_74_0">"A30681"</definedName>
    <definedName name="FDD_74_1">"A31047"</definedName>
    <definedName name="FDD_74_10">"A34334"</definedName>
    <definedName name="FDD_74_11">"A34699"</definedName>
    <definedName name="FDD_74_12">"A35064"</definedName>
    <definedName name="FDD_74_13">"A35430"</definedName>
    <definedName name="FDD_74_14">"A35795"</definedName>
    <definedName name="FDD_74_2">"A31412"</definedName>
    <definedName name="FDD_74_3">"A31777"</definedName>
    <definedName name="FDD_74_4">"A32142"</definedName>
    <definedName name="FDD_74_5">"A32508"</definedName>
    <definedName name="FDD_74_6">"A32873"</definedName>
    <definedName name="FDD_74_7">"A33238"</definedName>
    <definedName name="FDD_74_8">"A33603"</definedName>
    <definedName name="FDD_74_9">"A33969"</definedName>
    <definedName name="FDD_75_0">"A30681"</definedName>
    <definedName name="FDD_75_1">"A31047"</definedName>
    <definedName name="FDD_75_10">"A34334"</definedName>
    <definedName name="FDD_75_11">"A34699"</definedName>
    <definedName name="FDD_75_12">"A35064"</definedName>
    <definedName name="FDD_75_13">"A35430"</definedName>
    <definedName name="FDD_75_14">"A35795"</definedName>
    <definedName name="FDD_75_2">"A31412"</definedName>
    <definedName name="FDD_75_3">"A31777"</definedName>
    <definedName name="FDD_75_4">"A32142"</definedName>
    <definedName name="FDD_75_5">"A32508"</definedName>
    <definedName name="FDD_75_6">"A32873"</definedName>
    <definedName name="FDD_75_7">"A33238"</definedName>
    <definedName name="FDD_75_8">"A33603"</definedName>
    <definedName name="FDD_75_9">"A33969"</definedName>
    <definedName name="FDD_76_0">"A30681"</definedName>
    <definedName name="FDD_76_1">"A31047"</definedName>
    <definedName name="FDD_76_10">"A34334"</definedName>
    <definedName name="FDD_76_11">"A34699"</definedName>
    <definedName name="FDD_76_12">"A35064"</definedName>
    <definedName name="FDD_76_13">"A35430"</definedName>
    <definedName name="FDD_76_14">"A35795"</definedName>
    <definedName name="FDD_76_2">"A31412"</definedName>
    <definedName name="FDD_76_3">"A31777"</definedName>
    <definedName name="FDD_76_4">"A32142"</definedName>
    <definedName name="FDD_76_5">"A32508"</definedName>
    <definedName name="FDD_76_6">"A32873"</definedName>
    <definedName name="FDD_76_7">"A33238"</definedName>
    <definedName name="FDD_76_8">"A33603"</definedName>
    <definedName name="FDD_76_9">"A33969"</definedName>
    <definedName name="FDD_77_0">"A30681"</definedName>
    <definedName name="FDD_77_1">"A31047"</definedName>
    <definedName name="FDD_77_10">"A34334"</definedName>
    <definedName name="FDD_77_11">"A34699"</definedName>
    <definedName name="FDD_77_12">"A35064"</definedName>
    <definedName name="FDD_77_13">"A35430"</definedName>
    <definedName name="FDD_77_14">"A35795"</definedName>
    <definedName name="FDD_77_2">"A31412"</definedName>
    <definedName name="FDD_77_3">"A31777"</definedName>
    <definedName name="FDD_77_4">"A32142"</definedName>
    <definedName name="FDD_77_5">"A32508"</definedName>
    <definedName name="FDD_77_6">"A32873"</definedName>
    <definedName name="FDD_77_7">"A33238"</definedName>
    <definedName name="FDD_77_8">"A33603"</definedName>
    <definedName name="FDD_77_9">"A33969"</definedName>
    <definedName name="FDD_78_0">"A30681"</definedName>
    <definedName name="FDD_78_1">"A31047"</definedName>
    <definedName name="FDD_78_10">"A34334"</definedName>
    <definedName name="FDD_78_11">"A34699"</definedName>
    <definedName name="FDD_78_12">"A35064"</definedName>
    <definedName name="FDD_78_13">"A35430"</definedName>
    <definedName name="FDD_78_14">"A35795"</definedName>
    <definedName name="FDD_78_2">"A31412"</definedName>
    <definedName name="FDD_78_3">"A31777"</definedName>
    <definedName name="FDD_78_4">"A32142"</definedName>
    <definedName name="FDD_78_5">"A32508"</definedName>
    <definedName name="FDD_78_6">"A32873"</definedName>
    <definedName name="FDD_78_7">"A33238"</definedName>
    <definedName name="FDD_78_8">"A33603"</definedName>
    <definedName name="FDD_78_9">"A33969"</definedName>
    <definedName name="FDD_79_0">"A30681"</definedName>
    <definedName name="FDD_79_1">"A31047"</definedName>
    <definedName name="FDD_79_10">"A34334"</definedName>
    <definedName name="FDD_79_11">"A34699"</definedName>
    <definedName name="FDD_79_12">"A35064"</definedName>
    <definedName name="FDD_79_13">"A35430"</definedName>
    <definedName name="FDD_79_14">"A35795"</definedName>
    <definedName name="FDD_79_2">"A31412"</definedName>
    <definedName name="FDD_79_3">"A31777"</definedName>
    <definedName name="FDD_79_4">"A32142"</definedName>
    <definedName name="FDD_79_5">"A32508"</definedName>
    <definedName name="FDD_79_6">"A32873"</definedName>
    <definedName name="FDD_79_7">"A33238"</definedName>
    <definedName name="FDD_79_8">"A33603"</definedName>
    <definedName name="FDD_79_9">"A33969"</definedName>
    <definedName name="FDD_8_0">"A25569"</definedName>
    <definedName name="FDD_80_0">"A30681"</definedName>
    <definedName name="FDD_80_1">"A31047"</definedName>
    <definedName name="FDD_80_10">"A34334"</definedName>
    <definedName name="FDD_80_11">"A34699"</definedName>
    <definedName name="FDD_80_12">"A35064"</definedName>
    <definedName name="FDD_80_13">"A35430"</definedName>
    <definedName name="FDD_80_14">"A35795"</definedName>
    <definedName name="FDD_80_2">"A31412"</definedName>
    <definedName name="FDD_80_3">"A31777"</definedName>
    <definedName name="FDD_80_4">"A32142"</definedName>
    <definedName name="FDD_80_5">"A32508"</definedName>
    <definedName name="FDD_80_6">"A32873"</definedName>
    <definedName name="FDD_80_7">"A33238"</definedName>
    <definedName name="FDD_80_8">"A33603"</definedName>
    <definedName name="FDD_80_9">"A33969"</definedName>
    <definedName name="FDD_81_0">"A30681"</definedName>
    <definedName name="FDD_81_1">"A31047"</definedName>
    <definedName name="FDD_81_10">"A34334"</definedName>
    <definedName name="FDD_81_11">"A34699"</definedName>
    <definedName name="FDD_81_12">"A35064"</definedName>
    <definedName name="FDD_81_13">"A35430"</definedName>
    <definedName name="FDD_81_14">"A35795"</definedName>
    <definedName name="FDD_81_2">"A31412"</definedName>
    <definedName name="FDD_81_3">"A31777"</definedName>
    <definedName name="FDD_81_4">"A32142"</definedName>
    <definedName name="FDD_81_5">"A32508"</definedName>
    <definedName name="FDD_81_6">"A32873"</definedName>
    <definedName name="FDD_81_7">"A33238"</definedName>
    <definedName name="FDD_81_8">"A33603"</definedName>
    <definedName name="FDD_81_9">"A33969"</definedName>
    <definedName name="FDD_82_0">"A30681"</definedName>
    <definedName name="FDD_82_1">"A31047"</definedName>
    <definedName name="FDD_82_10">"A34334"</definedName>
    <definedName name="FDD_82_11">"A34699"</definedName>
    <definedName name="FDD_82_12">"A35064"</definedName>
    <definedName name="FDD_82_13">"A35430"</definedName>
    <definedName name="FDD_82_14">"A35795"</definedName>
    <definedName name="FDD_82_2">"A31412"</definedName>
    <definedName name="FDD_82_3">"A31777"</definedName>
    <definedName name="FDD_82_4">"A32142"</definedName>
    <definedName name="FDD_82_5">"A32508"</definedName>
    <definedName name="FDD_82_6">"A32873"</definedName>
    <definedName name="FDD_82_7">"A33238"</definedName>
    <definedName name="FDD_82_8">"A33603"</definedName>
    <definedName name="FDD_82_9">"A33969"</definedName>
    <definedName name="FDD_83_0">"A30681"</definedName>
    <definedName name="FDD_83_1">"A31047"</definedName>
    <definedName name="FDD_83_10">"A34334"</definedName>
    <definedName name="FDD_83_11">"A34699"</definedName>
    <definedName name="FDD_83_12">"A35064"</definedName>
    <definedName name="FDD_83_13">"A35430"</definedName>
    <definedName name="FDD_83_14">"A35795"</definedName>
    <definedName name="FDD_83_2">"A31412"</definedName>
    <definedName name="FDD_83_3">"A31777"</definedName>
    <definedName name="FDD_83_4">"A32142"</definedName>
    <definedName name="FDD_83_5">"A32508"</definedName>
    <definedName name="FDD_83_6">"A32873"</definedName>
    <definedName name="FDD_83_7">"A33238"</definedName>
    <definedName name="FDD_83_8">"A33603"</definedName>
    <definedName name="FDD_83_9">"A33969"</definedName>
    <definedName name="FDD_84_0">"A30681"</definedName>
    <definedName name="FDD_84_1">"A31047"</definedName>
    <definedName name="FDD_84_10">"A34334"</definedName>
    <definedName name="FDD_84_11">"A34699"</definedName>
    <definedName name="FDD_84_12">"A35064"</definedName>
    <definedName name="FDD_84_13">"A35430"</definedName>
    <definedName name="FDD_84_14">"A35795"</definedName>
    <definedName name="FDD_84_2">"A31412"</definedName>
    <definedName name="FDD_84_3">"A31777"</definedName>
    <definedName name="FDD_84_4">"A32142"</definedName>
    <definedName name="FDD_84_5">"A32508"</definedName>
    <definedName name="FDD_84_6">"A32873"</definedName>
    <definedName name="FDD_84_7">"A33238"</definedName>
    <definedName name="FDD_84_8">"A33603"</definedName>
    <definedName name="FDD_84_9">"A33969"</definedName>
    <definedName name="FDD_85_0">"A30681"</definedName>
    <definedName name="FDD_85_1">"A31047"</definedName>
    <definedName name="FDD_85_10">"A34334"</definedName>
    <definedName name="FDD_85_11">"A34699"</definedName>
    <definedName name="FDD_85_12">"A35064"</definedName>
    <definedName name="FDD_85_13">"A35430"</definedName>
    <definedName name="FDD_85_14">"A35795"</definedName>
    <definedName name="FDD_85_2">"A31412"</definedName>
    <definedName name="FDD_85_3">"A31777"</definedName>
    <definedName name="FDD_85_4">"A32142"</definedName>
    <definedName name="FDD_85_5">"A32508"</definedName>
    <definedName name="FDD_85_6">"A32873"</definedName>
    <definedName name="FDD_85_7">"A33238"</definedName>
    <definedName name="FDD_85_8">"A33603"</definedName>
    <definedName name="FDD_85_9">"A33969"</definedName>
    <definedName name="FDD_86_0">"A30681"</definedName>
    <definedName name="FDD_86_1">"A31047"</definedName>
    <definedName name="FDD_86_10">"A34334"</definedName>
    <definedName name="FDD_86_11">"A34699"</definedName>
    <definedName name="FDD_86_12">"A35064"</definedName>
    <definedName name="FDD_86_13">"A35430"</definedName>
    <definedName name="FDD_86_14">"A35795"</definedName>
    <definedName name="FDD_86_2">"A31412"</definedName>
    <definedName name="FDD_86_3">"A31777"</definedName>
    <definedName name="FDD_86_4">"A32142"</definedName>
    <definedName name="FDD_86_5">"A32508"</definedName>
    <definedName name="FDD_86_6">"A32873"</definedName>
    <definedName name="FDD_86_7">"A33238"</definedName>
    <definedName name="FDD_86_8">"A33603"</definedName>
    <definedName name="FDD_86_9">"A33969"</definedName>
    <definedName name="FDD_87_0">"A30681"</definedName>
    <definedName name="FDD_87_1">"A31047"</definedName>
    <definedName name="FDD_87_10">"A34334"</definedName>
    <definedName name="FDD_87_11">"A34699"</definedName>
    <definedName name="FDD_87_12">"A35064"</definedName>
    <definedName name="FDD_87_13">"A35430"</definedName>
    <definedName name="FDD_87_14">"A35795"</definedName>
    <definedName name="FDD_87_2">"A31412"</definedName>
    <definedName name="FDD_87_3">"A31777"</definedName>
    <definedName name="FDD_87_4">"A32142"</definedName>
    <definedName name="FDD_87_5">"A32508"</definedName>
    <definedName name="FDD_87_6">"A32873"</definedName>
    <definedName name="FDD_87_7">"A33238"</definedName>
    <definedName name="FDD_87_8">"A33603"</definedName>
    <definedName name="FDD_87_9">"A33969"</definedName>
    <definedName name="FDD_88_0">"A30681"</definedName>
    <definedName name="FDD_88_1">"A31047"</definedName>
    <definedName name="FDD_88_10">"A34334"</definedName>
    <definedName name="FDD_88_11">"A34699"</definedName>
    <definedName name="FDD_88_12">"A35064"</definedName>
    <definedName name="FDD_88_13">"A35430"</definedName>
    <definedName name="FDD_88_14">"A35795"</definedName>
    <definedName name="FDD_88_2">"A31412"</definedName>
    <definedName name="FDD_88_3">"A31777"</definedName>
    <definedName name="FDD_88_4">"A32142"</definedName>
    <definedName name="FDD_88_5">"A32508"</definedName>
    <definedName name="FDD_88_6">"A32873"</definedName>
    <definedName name="FDD_88_7">"A33238"</definedName>
    <definedName name="FDD_88_8">"A33603"</definedName>
    <definedName name="FDD_88_9">"A33969"</definedName>
    <definedName name="FDD_89_0">"A30681"</definedName>
    <definedName name="FDD_89_1">"A31047"</definedName>
    <definedName name="FDD_89_10">"A34334"</definedName>
    <definedName name="FDD_89_11">"A34699"</definedName>
    <definedName name="FDD_89_12">"A35064"</definedName>
    <definedName name="FDD_89_13">"A35430"</definedName>
    <definedName name="FDD_89_14">"A35795"</definedName>
    <definedName name="FDD_89_2">"A31412"</definedName>
    <definedName name="FDD_89_3">"A31777"</definedName>
    <definedName name="FDD_89_4">"A32142"</definedName>
    <definedName name="FDD_89_5">"A32508"</definedName>
    <definedName name="FDD_89_6">"A32873"</definedName>
    <definedName name="FDD_89_7">"A33238"</definedName>
    <definedName name="FDD_89_8">"A33603"</definedName>
    <definedName name="FDD_89_9">"A33969"</definedName>
    <definedName name="FDD_9_0">"A25569"</definedName>
    <definedName name="FDD_90_0">"A30681"</definedName>
    <definedName name="FDD_90_1">"A31047"</definedName>
    <definedName name="FDD_90_10">"A34334"</definedName>
    <definedName name="FDD_90_11">"A34699"</definedName>
    <definedName name="FDD_90_12">"A35064"</definedName>
    <definedName name="FDD_90_13">"A35430"</definedName>
    <definedName name="FDD_90_14">"A35795"</definedName>
    <definedName name="FDD_90_2">"A31412"</definedName>
    <definedName name="FDD_90_3">"A31777"</definedName>
    <definedName name="FDD_90_4">"A32142"</definedName>
    <definedName name="FDD_90_5">"A32508"</definedName>
    <definedName name="FDD_90_6">"A32873"</definedName>
    <definedName name="FDD_90_7">"A33238"</definedName>
    <definedName name="FDD_90_8">"A33603"</definedName>
    <definedName name="FDD_90_9">"A33969"</definedName>
    <definedName name="FDD_91_0">"A30681"</definedName>
    <definedName name="FDD_91_1">"A31047"</definedName>
    <definedName name="FDD_91_10">"A34334"</definedName>
    <definedName name="FDD_91_11">"A34699"</definedName>
    <definedName name="FDD_91_12">"A35064"</definedName>
    <definedName name="FDD_91_13">"A35430"</definedName>
    <definedName name="FDD_91_14">"A35795"</definedName>
    <definedName name="FDD_91_2">"A31412"</definedName>
    <definedName name="FDD_91_3">"A31777"</definedName>
    <definedName name="FDD_91_4">"A32142"</definedName>
    <definedName name="FDD_91_5">"A32508"</definedName>
    <definedName name="FDD_91_6">"A32873"</definedName>
    <definedName name="FDD_91_7">"A33238"</definedName>
    <definedName name="FDD_91_8">"A33603"</definedName>
    <definedName name="FDD_91_9">"A33969"</definedName>
    <definedName name="FDD_92_0">"A30681"</definedName>
    <definedName name="FDD_92_1">"A31047"</definedName>
    <definedName name="FDD_92_10">"A34334"</definedName>
    <definedName name="FDD_92_11">"A34699"</definedName>
    <definedName name="FDD_92_12">"A35064"</definedName>
    <definedName name="FDD_92_13">"A35430"</definedName>
    <definedName name="FDD_92_14">"A35795"</definedName>
    <definedName name="FDD_92_2">"A31412"</definedName>
    <definedName name="FDD_92_3">"A31777"</definedName>
    <definedName name="FDD_92_4">"A32142"</definedName>
    <definedName name="FDD_92_5">"A32508"</definedName>
    <definedName name="FDD_92_6">"A32873"</definedName>
    <definedName name="FDD_92_7">"A33238"</definedName>
    <definedName name="FDD_92_8">"A33603"</definedName>
    <definedName name="FDD_92_9">"A33969"</definedName>
    <definedName name="FDD_93_0">"A30681"</definedName>
    <definedName name="FDD_93_1">"A31047"</definedName>
    <definedName name="FDD_93_10">"A34334"</definedName>
    <definedName name="FDD_93_11">"A34699"</definedName>
    <definedName name="FDD_93_12">"A35064"</definedName>
    <definedName name="FDD_93_13">"A35430"</definedName>
    <definedName name="FDD_93_14">"A35795"</definedName>
    <definedName name="FDD_93_2">"A31412"</definedName>
    <definedName name="FDD_93_3">"A31777"</definedName>
    <definedName name="FDD_93_4">"A32142"</definedName>
    <definedName name="FDD_93_5">"A32508"</definedName>
    <definedName name="FDD_93_6">"A32873"</definedName>
    <definedName name="FDD_93_7">"A33238"</definedName>
    <definedName name="FDD_93_8">"A33603"</definedName>
    <definedName name="FDD_93_9">"A33969"</definedName>
    <definedName name="FDD_94_0">"A30681"</definedName>
    <definedName name="FDD_94_1">"A31047"</definedName>
    <definedName name="FDD_94_10">"A34334"</definedName>
    <definedName name="FDD_94_11">"A34699"</definedName>
    <definedName name="FDD_94_12">"A35064"</definedName>
    <definedName name="FDD_94_13">"A35430"</definedName>
    <definedName name="FDD_94_14">"A35795"</definedName>
    <definedName name="FDD_94_2">"A31412"</definedName>
    <definedName name="FDD_94_3">"A31777"</definedName>
    <definedName name="FDD_94_4">"A32142"</definedName>
    <definedName name="FDD_94_5">"A32508"</definedName>
    <definedName name="FDD_94_6">"A32873"</definedName>
    <definedName name="FDD_94_7">"A33238"</definedName>
    <definedName name="FDD_94_8">"A33603"</definedName>
    <definedName name="FDD_94_9">"A33969"</definedName>
    <definedName name="FDD_95_0">"A30681"</definedName>
    <definedName name="FDD_95_1">"A31047"</definedName>
    <definedName name="FDD_95_10">"A34334"</definedName>
    <definedName name="FDD_95_11">"A34699"</definedName>
    <definedName name="FDD_95_12">"A35064"</definedName>
    <definedName name="FDD_95_13">"A35430"</definedName>
    <definedName name="FDD_95_14">"A35795"</definedName>
    <definedName name="FDD_95_2">"A31412"</definedName>
    <definedName name="FDD_95_3">"A31777"</definedName>
    <definedName name="FDD_95_4">"A32142"</definedName>
    <definedName name="FDD_95_5">"A32508"</definedName>
    <definedName name="FDD_95_6">"A32873"</definedName>
    <definedName name="FDD_95_7">"A33238"</definedName>
    <definedName name="FDD_95_8">"A33603"</definedName>
    <definedName name="FDD_95_9">"A33969"</definedName>
    <definedName name="FDD_96_0">"U30681"</definedName>
    <definedName name="FDD_96_1">"A31047"</definedName>
    <definedName name="FDD_96_10">"A34334"</definedName>
    <definedName name="FDD_96_11">"A34699"</definedName>
    <definedName name="FDD_96_12">"A35064"</definedName>
    <definedName name="FDD_96_13">"A35430"</definedName>
    <definedName name="FDD_96_14">"A35795"</definedName>
    <definedName name="FDD_96_2">"A31412"</definedName>
    <definedName name="FDD_96_3">"A31777"</definedName>
    <definedName name="FDD_96_4">"A32142"</definedName>
    <definedName name="FDD_96_5">"A32508"</definedName>
    <definedName name="FDD_96_6">"A32873"</definedName>
    <definedName name="FDD_96_7">"A33238"</definedName>
    <definedName name="FDD_96_8">"A33603"</definedName>
    <definedName name="FDD_96_9">"A33969"</definedName>
    <definedName name="FDD_97_0">"U30681"</definedName>
    <definedName name="FDD_97_1">"A31047"</definedName>
    <definedName name="FDD_97_10">"A34334"</definedName>
    <definedName name="FDD_97_11">"A34699"</definedName>
    <definedName name="FDD_97_12">"A35064"</definedName>
    <definedName name="FDD_97_13">"A35430"</definedName>
    <definedName name="FDD_97_14">"A35795"</definedName>
    <definedName name="FDD_97_2">"A31412"</definedName>
    <definedName name="FDD_97_3">"A31777"</definedName>
    <definedName name="FDD_97_4">"A32142"</definedName>
    <definedName name="FDD_97_5">"A32508"</definedName>
    <definedName name="FDD_97_6">"A32873"</definedName>
    <definedName name="FDD_97_7">"A33238"</definedName>
    <definedName name="FDD_97_8">"A33603"</definedName>
    <definedName name="FDD_97_9">"A33969"</definedName>
    <definedName name="FDD_98_0">"U30681"</definedName>
    <definedName name="FDD_98_1">"A31047"</definedName>
    <definedName name="FDD_98_10">"A34334"</definedName>
    <definedName name="FDD_98_11">"A34699"</definedName>
    <definedName name="FDD_98_12">"A35064"</definedName>
    <definedName name="FDD_98_13">"A35430"</definedName>
    <definedName name="FDD_98_14">"A35795"</definedName>
    <definedName name="FDD_98_2">"A31412"</definedName>
    <definedName name="FDD_98_3">"A31777"</definedName>
    <definedName name="FDD_98_4">"A32142"</definedName>
    <definedName name="FDD_98_5">"A32508"</definedName>
    <definedName name="FDD_98_6">"A32873"</definedName>
    <definedName name="FDD_98_7">"A33238"</definedName>
    <definedName name="FDD_98_8">"A33603"</definedName>
    <definedName name="FDD_98_9">"A33969"</definedName>
    <definedName name="FDD_99_0">"U30681"</definedName>
    <definedName name="FDD_99_1">"A31047"</definedName>
    <definedName name="FDD_99_10">"A34334"</definedName>
    <definedName name="FDD_99_11">"A34699"</definedName>
    <definedName name="FDD_99_12">"A35064"</definedName>
    <definedName name="FDD_99_13">"A35430"</definedName>
    <definedName name="FDD_99_14">"A35795"</definedName>
    <definedName name="FDD_99_2">"A31412"</definedName>
    <definedName name="FDD_99_3">"A31777"</definedName>
    <definedName name="FDD_99_4">"A32142"</definedName>
    <definedName name="FDD_99_5">"A32508"</definedName>
    <definedName name="FDD_99_6">"A32873"</definedName>
    <definedName name="FDD_99_7">"A33238"</definedName>
    <definedName name="FDD_99_8">"A33603"</definedName>
    <definedName name="FDD_99_9">"A33969"</definedName>
    <definedName name="fddfas">#REF!</definedName>
    <definedName name="fddfas_1">#REF!</definedName>
    <definedName name="fddfas_2">#REF!</definedName>
    <definedName name="fddfas_3">#REF!</definedName>
    <definedName name="fddfas_4">#REF!</definedName>
    <definedName name="fdf" hidden="1">{#N/A,#N/A,FALSE,"Income";#N/A,#N/A,FALSE,"Cost of Goods Sold";#N/A,#N/A,FALSE,"Other Costs";#N/A,#N/A,FALSE,"Other Income";#N/A,#N/A,FALSE,"Taxes";#N/A,#N/A,FALSE,"Other Deductions";#N/A,#N/A,FALSE,"Compensation of Officers"}</definedName>
    <definedName name="FDFD" hidden="1">{#N/A,#N/A,FALSE,"Pharm";#N/A,#N/A,FALSE,"WWCM"}</definedName>
    <definedName name="fdfdfd" hidden="1">{#N/A,#N/A,FALSE,"CAPREIT"}</definedName>
    <definedName name="fdfdfdf" hidden="1">{#N/A,#N/A,FALSE,"CAPREIT"}</definedName>
    <definedName name="fdfdslkfjjslfsdj">#REF!</definedName>
    <definedName name="fdgfdg">#REF!</definedName>
    <definedName name="fdgn">#REF!</definedName>
    <definedName name="fdgn_1">#REF!</definedName>
    <definedName name="fdgsd">#REF!</definedName>
    <definedName name="fdj" hidden="1">{#N/A,#N/A,FALSE,"Pharm";#N/A,#N/A,FALSE,"WWCM"}</definedName>
    <definedName name="FDP_1_1_aDrv">#REF!</definedName>
    <definedName name="FDP_10_1_aUrv">#REF!</definedName>
    <definedName name="FDP_12_1_aUrv">#REF!</definedName>
    <definedName name="FDP_13_1_aUrv">#REF!</definedName>
    <definedName name="FDP_2_1_aUrv">#REF!</definedName>
    <definedName name="FDP_20_1_aUrv">#REF!</definedName>
    <definedName name="FDP_21_1_aUrv">#REF!</definedName>
    <definedName name="FDP_24_1_aSrv">#REF!</definedName>
    <definedName name="FDP_25_1_aUrv">#REF!</definedName>
    <definedName name="FDP_26_1_aUrv">#REF!</definedName>
    <definedName name="FDP_274_1_aSrv">#REF!</definedName>
    <definedName name="FDP_275_1_aSrv">#REF!</definedName>
    <definedName name="FDP_276_1_aSrv">#REF!</definedName>
    <definedName name="FDP_277_1_aSrv">#REF!</definedName>
    <definedName name="FDP_278_1_aSrv">#REF!</definedName>
    <definedName name="FDP_279_1_aSrv">#REF!</definedName>
    <definedName name="FDP_28_1_aUrv">#REF!</definedName>
    <definedName name="FDP_285_1_aSrv">#REF!</definedName>
    <definedName name="FDP_286_1_aSrv">#REF!</definedName>
    <definedName name="FDP_287_1_aSrv">#REF!</definedName>
    <definedName name="FDP_29_1_aUrv">#REF!</definedName>
    <definedName name="FDP_30_1_aSrv">#REF!</definedName>
    <definedName name="FDP_31_1_aSrv">#REF!</definedName>
    <definedName name="FDP_318_1_aUrv">#REF!</definedName>
    <definedName name="FDP_319_1_aUrv">#REF!</definedName>
    <definedName name="FDP_32_1_aUrv">#REF!</definedName>
    <definedName name="FDP_320_1_aUrv">#REF!</definedName>
    <definedName name="FDP_321_1_aUrv">#REF!</definedName>
    <definedName name="FDP_322_1_aUrv">#REF!</definedName>
    <definedName name="FDP_323_1_aUrv">#REF!</definedName>
    <definedName name="FDP_324_1_aUrv">#REF!</definedName>
    <definedName name="FDP_325_1_aUrv">#REF!</definedName>
    <definedName name="FDP_326_1_aUrv">#REF!</definedName>
    <definedName name="FDP_327_1_aUrv">#REF!</definedName>
    <definedName name="FDP_328_1_aUrv">#REF!</definedName>
    <definedName name="FDP_329_1_aUrv">#REF!</definedName>
    <definedName name="FDP_330_1_aUrv">#REF!</definedName>
    <definedName name="FDP_331_1_aUrv">#REF!</definedName>
    <definedName name="FDP_332_1_aUrv">#REF!</definedName>
    <definedName name="FDP_333_1_aUrv">#REF!</definedName>
    <definedName name="FDP_334_1_aSrv">#REF!</definedName>
    <definedName name="FDP_335_1_aSrv">#REF!</definedName>
    <definedName name="FDP_336_1_aUrv">#REF!</definedName>
    <definedName name="FDP_337_1_aUrv">#REF!</definedName>
    <definedName name="FDP_338_1_aUrv">#REF!</definedName>
    <definedName name="FDP_339_1_aSrv">#REF!</definedName>
    <definedName name="FDP_34_1_aUrv">#REF!</definedName>
    <definedName name="FDP_342_1_aUrv">#REF!</definedName>
    <definedName name="FDP_343_1_aUrv">#REF!</definedName>
    <definedName name="FDP_344_1_aUrv">#REF!</definedName>
    <definedName name="FDP_345_1_aUrv">#REF!</definedName>
    <definedName name="FDP_346_1_aUrv">#REF!</definedName>
    <definedName name="FDP_347_1_aSrv">#REF!</definedName>
    <definedName name="FDP_348_1_aUrv">#REF!</definedName>
    <definedName name="FDP_349_1_aUrv">#REF!</definedName>
    <definedName name="FDP_35_1_aUrv">#REF!</definedName>
    <definedName name="FDP_350_1_aUrv">#REF!</definedName>
    <definedName name="FDP_351_1_aUrv">#REF!</definedName>
    <definedName name="FDP_352_1_aUrv">#REF!</definedName>
    <definedName name="FDP_353_1_aSrv">#REF!</definedName>
    <definedName name="FDP_354_1_aSrv">#REF!</definedName>
    <definedName name="FDP_355_1_aUrv">#REF!</definedName>
    <definedName name="FDP_356_1_aUrv">#REF!</definedName>
    <definedName name="FDP_357_1_aUrv">#REF!</definedName>
    <definedName name="FDP_358_1_aUrv">#REF!</definedName>
    <definedName name="FDP_359_1_aUrv">#REF!</definedName>
    <definedName name="FDP_36_1_aUrv">#REF!</definedName>
    <definedName name="FDP_360_1_aSrv">#REF!</definedName>
    <definedName name="FDP_361_1_aUrv">#REF!</definedName>
    <definedName name="FDP_362_1_aUrv">#REF!</definedName>
    <definedName name="FDP_363_1_aUrv">#REF!</definedName>
    <definedName name="FDP_364_1_aUrv">#REF!</definedName>
    <definedName name="FDP_365_1_aUrv">#REF!</definedName>
    <definedName name="FDP_366_1_aUrv">#REF!</definedName>
    <definedName name="FDP_367_1_aUrv">#REF!</definedName>
    <definedName name="FDP_368_1_aUrv">#REF!</definedName>
    <definedName name="FDP_369_1_aUrv">#REF!</definedName>
    <definedName name="FDP_37_1_aSrv">#REF!</definedName>
    <definedName name="FDP_370_1_aUrv">#REF!</definedName>
    <definedName name="FDP_371_1_aUrv">#REF!</definedName>
    <definedName name="FDP_372_1_aUrv">#REF!</definedName>
    <definedName name="FDP_373_1_aSrv">#REF!</definedName>
    <definedName name="FDP_374_1_aSrv">#REF!</definedName>
    <definedName name="FDP_375_1_aSrv">#REF!</definedName>
    <definedName name="FDP_376_1_aSrv">#REF!</definedName>
    <definedName name="FDP_377_1_aUrv">#REF!</definedName>
    <definedName name="FDP_378_1_aUrv">#REF!</definedName>
    <definedName name="FDP_379_1_aSrv">#REF!</definedName>
    <definedName name="FDP_38_1_aUrv">#REF!</definedName>
    <definedName name="FDP_380_1_aUrv">#REF!</definedName>
    <definedName name="FDP_381_1_aUrv">#REF!</definedName>
    <definedName name="FDP_382_1_aSrv">#REF!</definedName>
    <definedName name="FDP_383_1_aUrv">#REF!</definedName>
    <definedName name="FDP_384_1_aUrv">#REF!</definedName>
    <definedName name="FDP_385_1_aUrv">#REF!</definedName>
    <definedName name="FDP_386_1_aUrv">#REF!</definedName>
    <definedName name="FDP_387_1_aUrv">#REF!</definedName>
    <definedName name="FDP_388_1_aSrv">#REF!</definedName>
    <definedName name="FDP_389_1_aUrv">#REF!</definedName>
    <definedName name="FDP_39_1_aUrv">#REF!</definedName>
    <definedName name="FDP_390_1_aSrv">#REF!</definedName>
    <definedName name="FDP_391_1_aUrv">#REF!</definedName>
    <definedName name="FDP_392_1_aUrv">#REF!</definedName>
    <definedName name="FDP_393_1_aUrv">#REF!</definedName>
    <definedName name="FDP_394_1_aSrv">#REF!</definedName>
    <definedName name="FDP_395_1_aSrv">#REF!</definedName>
    <definedName name="FDP_396_1_aSrv">#REF!</definedName>
    <definedName name="FDP_397_1_aUrv">#REF!</definedName>
    <definedName name="FDP_398_1_aSrv">#REF!</definedName>
    <definedName name="FDP_399_1_aUrv">#REF!</definedName>
    <definedName name="FDP_4_1_aUrv">#REF!</definedName>
    <definedName name="FDP_40_1_aUrv">#REF!</definedName>
    <definedName name="FDP_400_1_aUrv">#REF!</definedName>
    <definedName name="FDP_401_1_aUrv">#REF!</definedName>
    <definedName name="FDP_407_1_aUrv">#REF!</definedName>
    <definedName name="FDP_41_1_aUrv">#REF!</definedName>
    <definedName name="FDP_413_1_aUrv">#REF!</definedName>
    <definedName name="FDP_414_1_aUrv">#REF!</definedName>
    <definedName name="FDP_415_1_aUrv">#REF!</definedName>
    <definedName name="FDP_416_1_aUrv">#REF!</definedName>
    <definedName name="FDP_417_1_aUrv">#REF!</definedName>
    <definedName name="FDP_418_1_aUrv">#REF!</definedName>
    <definedName name="FDP_419_1_aUrv">#REF!</definedName>
    <definedName name="FDP_42_1_aUrv">#REF!</definedName>
    <definedName name="FDP_420_1_aUrv">#REF!</definedName>
    <definedName name="FDP_421_1_aUrv">#REF!</definedName>
    <definedName name="FDP_422_1_aUrv">#REF!</definedName>
    <definedName name="FDP_423_1_aUrv">#REF!</definedName>
    <definedName name="FDP_424_1_aUrv">#REF!</definedName>
    <definedName name="FDP_425_1_aUrv">#REF!</definedName>
    <definedName name="FDP_426_1_aUrv">#REF!</definedName>
    <definedName name="FDP_427_1_aUrv">#REF!</definedName>
    <definedName name="FDP_428_1_aUrv">#REF!</definedName>
    <definedName name="FDP_429_1_aUrv">#REF!</definedName>
    <definedName name="FDP_43_1_aUrv">#REF!</definedName>
    <definedName name="FDP_430_1_aUrv">#REF!</definedName>
    <definedName name="FDP_431_1_aUrv">#REF!</definedName>
    <definedName name="FDP_432_1_aUrv">#REF!</definedName>
    <definedName name="FDP_433_1_aUrv">#REF!</definedName>
    <definedName name="FDP_434_1_aUrv">#REF!</definedName>
    <definedName name="FDP_435_1_aUrv">#REF!</definedName>
    <definedName name="FDP_436_1_aUrv">#REF!</definedName>
    <definedName name="FDP_437_1_aUrv">#REF!</definedName>
    <definedName name="FDP_438_1_aUrv">#REF!</definedName>
    <definedName name="FDP_439_1_aUrv">#REF!</definedName>
    <definedName name="FDP_440_1_aSrv">#REF!</definedName>
    <definedName name="FDP_441_1_aUrv">#REF!</definedName>
    <definedName name="FDP_442_1_aUrv">#REF!</definedName>
    <definedName name="FDP_443_1_aUrv">#REF!</definedName>
    <definedName name="FDP_444_1_aSrv">#REF!</definedName>
    <definedName name="FDP_448_1_aSrv">#REF!</definedName>
    <definedName name="FDP_449_1_aUrv">#REF!</definedName>
    <definedName name="FDP_450_1_aUrv">#REF!</definedName>
    <definedName name="FDP_451_1_aUrv">#REF!</definedName>
    <definedName name="FDP_452_1_aSrv">#REF!</definedName>
    <definedName name="FDP_453_1_aSrv">#REF!</definedName>
    <definedName name="FDP_454_1_aSrv">#REF!</definedName>
    <definedName name="FDP_455_1_aSrv">#REF!</definedName>
    <definedName name="FDP_457_1_aSrv">#REF!</definedName>
    <definedName name="FDP_459_1_aSrv">#REF!</definedName>
    <definedName name="FDP_460_1_aSrv">#REF!</definedName>
    <definedName name="FDP_461_1_aSrv">#REF!</definedName>
    <definedName name="FDP_462_1_aSrv">#REF!</definedName>
    <definedName name="FDP_463_1_aSrv">#REF!</definedName>
    <definedName name="FDP_464_1_aSrv">#REF!</definedName>
    <definedName name="FDP_465_1_aSrv">#REF!</definedName>
    <definedName name="FDP_466_1_aSrv">#REF!</definedName>
    <definedName name="FDP_467_1_aSrv">#REF!</definedName>
    <definedName name="FDP_473_1_aSrv">#REF!</definedName>
    <definedName name="FDP_474_1_aSrv">#REF!</definedName>
    <definedName name="FDP_475_1_aSrv">#REF!</definedName>
    <definedName name="FDP_476_1_aSrv">#REF!</definedName>
    <definedName name="FDP_5_1_aUrv">#REF!</definedName>
    <definedName name="FDP_50_1_aSrv">#REF!</definedName>
    <definedName name="FDP_51_1_aSrv">#REF!</definedName>
    <definedName name="FDP_52_1_aUrv">#REF!</definedName>
    <definedName name="FDP_53_1_aUrv">#REF!</definedName>
    <definedName name="FDP_54_1_aUrv">#REF!</definedName>
    <definedName name="FDP_55_1_aUrv">#REF!</definedName>
    <definedName name="FDP_555_1_aUrv">#REF!</definedName>
    <definedName name="FDP_556_1_aUrv">#REF!</definedName>
    <definedName name="FDP_557_1_aSrv">#REF!</definedName>
    <definedName name="FDP_558_1_aSrv">#REF!</definedName>
    <definedName name="FDP_559_1_aSrv">#REF!</definedName>
    <definedName name="FDP_560_1_aSrv">#REF!</definedName>
    <definedName name="FDP_561_1_aSrv">#REF!</definedName>
    <definedName name="FDP_562_1_aSrv">#REF!</definedName>
    <definedName name="FDP_563_1_aSrv">#REF!</definedName>
    <definedName name="FDP_564_1_aSrv">#REF!</definedName>
    <definedName name="FDP_565_1_aSrv">#REF!</definedName>
    <definedName name="FDP_566_1_aSrv">#REF!</definedName>
    <definedName name="FDP_567_1_aSrv">#REF!</definedName>
    <definedName name="FDP_568_1_aSrv">#REF!</definedName>
    <definedName name="FDP_569_1_aSrv">#REF!</definedName>
    <definedName name="FDP_570_1_aSrv">#REF!</definedName>
    <definedName name="FDP_571_1_aSrv">#REF!</definedName>
    <definedName name="FDP_572_1_aSrv">#REF!</definedName>
    <definedName name="FDP_573_1_aSrv">#REF!</definedName>
    <definedName name="FDP_574_1_aSrv">#REF!</definedName>
    <definedName name="FDP_575_1_aSrv">#REF!</definedName>
    <definedName name="FDP_576_1_aSrv">#REF!</definedName>
    <definedName name="FDP_577_1_aSrv">#REF!</definedName>
    <definedName name="FDP_578_1_aSrv">#REF!</definedName>
    <definedName name="FDP_579_1_aSrv">#REF!</definedName>
    <definedName name="FDP_580_1_aSrv">#REF!</definedName>
    <definedName name="FDP_581_1_aSrv">#REF!</definedName>
    <definedName name="FDP_582_1_aSrv">#REF!</definedName>
    <definedName name="FDP_583_1_aSrv">#REF!</definedName>
    <definedName name="FDP_584_1_aSrv">#REF!</definedName>
    <definedName name="FDP_585_1_aUrv">#REF!</definedName>
    <definedName name="FDP_586_1_aUrv">#REF!</definedName>
    <definedName name="FDP_587_1_aUrv">#REF!</definedName>
    <definedName name="FDP_588_1_aUdv">#REF!</definedName>
    <definedName name="FDP_589_1_aUdv">#REF!</definedName>
    <definedName name="FDP_590_1_aUdv">#REF!</definedName>
    <definedName name="FDP_591_1_aUdv">#REF!</definedName>
    <definedName name="FDP_592_1_aUdv">#REF!</definedName>
    <definedName name="FDP_593_1_aUdv">#REF!</definedName>
    <definedName name="FDP_594_1_aUdv">#REF!</definedName>
    <definedName name="FDP_595_1_aUdv">#REF!</definedName>
    <definedName name="FDP_596_1_aUdv">#REF!</definedName>
    <definedName name="FDP_597_1_aUdv">#REF!</definedName>
    <definedName name="FDP_598_1_aUdv">#REF!</definedName>
    <definedName name="FDP_599_1_aUdv">#REF!</definedName>
    <definedName name="FDP_6_1_aUrv">#REF!</definedName>
    <definedName name="FDP_600_1_aUdv">#REF!</definedName>
    <definedName name="FDP_601_1_aUdv">#REF!</definedName>
    <definedName name="FDP_602_1_aUdv">#REF!</definedName>
    <definedName name="FDP_603_1_aUdv">#REF!</definedName>
    <definedName name="FDP_604_1_aUdv">#REF!</definedName>
    <definedName name="FDP_605_1_aUdv">#REF!</definedName>
    <definedName name="FDP_606_1_aUdv">#REF!</definedName>
    <definedName name="FDP_607_1_aUdv">#REF!</definedName>
    <definedName name="FDP_608_1_aUrv">#REF!</definedName>
    <definedName name="FDP_611_1_aSrv">#REF!</definedName>
    <definedName name="FDP_621_1_aUrv">#REF!</definedName>
    <definedName name="FDP_622_1_aUrv">#REF!</definedName>
    <definedName name="FDP_623_1_aSrv">#REF!</definedName>
    <definedName name="FDP_8_1_aUrv">#REF!</definedName>
    <definedName name="FDP_9_1_aUrv">#REF!</definedName>
    <definedName name="FDR">#REF!</definedName>
    <definedName name="fds">#REF!</definedName>
    <definedName name="fds_1">#REF!</definedName>
    <definedName name="fdsa" hidden="1">{#N/A,#N/A,FALSE,"KMC최종회의(7월) 자료"}</definedName>
    <definedName name="fdsadfafda">#REF!</definedName>
    <definedName name="FDSAFDSAFDSAF" hidden="1">#REF!</definedName>
    <definedName name="FDSAFDSFA" hidden="1">{#N/A,#N/A,FALSE,"REPORT"}</definedName>
    <definedName name="fdsafsd">#REF!</definedName>
    <definedName name="fdsafsd_1">#REF!</definedName>
    <definedName name="fdsafsd_2">#REF!</definedName>
    <definedName name="fdsafsd_3">#REF!</definedName>
    <definedName name="fdsafsd_4">#REF!</definedName>
    <definedName name="fdsag">#REF!</definedName>
    <definedName name="fdsakfjds">#REF!</definedName>
    <definedName name="fdsfd">#REF!</definedName>
    <definedName name="fdsfdsfdsfs">Indexn1,IndexN2</definedName>
    <definedName name="FDSFSDF" hidden="1">{#N/A,#N/A,FALSE,"REPORT"}</definedName>
    <definedName name="fdsg">#REF!</definedName>
    <definedName name="fdy">#REF!</definedName>
    <definedName name="FDY___0">#REF!</definedName>
    <definedName name="fe">#REF!</definedName>
    <definedName name="Feasibility">#REF!</definedName>
    <definedName name="FEB">#REF!</definedName>
    <definedName name="Feb_01">#REF!</definedName>
    <definedName name="Feb_04">"usstart"</definedName>
    <definedName name="Feb_18">#REF!</definedName>
    <definedName name="Feb_19">#REF!</definedName>
    <definedName name="Feb_20">#REF!</definedName>
    <definedName name="Feb_21">#REF!</definedName>
    <definedName name="Feb_control_total">#REF!</definedName>
    <definedName name="Feb_CONTROL_TOTALS">#REF!</definedName>
    <definedName name="feb_ea">#REF!</definedName>
    <definedName name="feb_ps">#REF!</definedName>
    <definedName name="feb_rm">#REF!</definedName>
    <definedName name="febaud">#REF!</definedName>
    <definedName name="FEBDATA?">#REF!</definedName>
    <definedName name="Febevents">#REF!</definedName>
    <definedName name="febhkd">#REF!</definedName>
    <definedName name="Febnames">#REF!</definedName>
    <definedName name="February_Control_Totals">#REF!</definedName>
    <definedName name="febsgd">#REF!</definedName>
    <definedName name="febthb">#REF!</definedName>
    <definedName name="febtwd">#REF!</definedName>
    <definedName name="fec">#REF!</definedName>
    <definedName name="Federal_Rate__adjusted_for_State_tax_rate_with_full_phase_out">_461__FDSAUDITLINK__</definedName>
    <definedName name="FEDR_D">#REF!</definedName>
    <definedName name="feee" hidden="1">{"'買掛金'!$J$6"}</definedName>
    <definedName name="fees">#REF!</definedName>
    <definedName name="fer" hidden="1">{#N/A,#N/A,FALSE,"Sales Graph";#N/A,#N/A,FALSE,"PSBM";#N/A,#N/A,FALSE,"BUC Graph";#N/A,#N/A,FALSE,"P&amp;L - YTD"}</definedName>
    <definedName name="few">#REF!</definedName>
    <definedName name="fewq">#REF!</definedName>
    <definedName name="FF">#REF!</definedName>
    <definedName name="FF_945_956">#REF!</definedName>
    <definedName name="FF_967">#REF!</definedName>
    <definedName name="ffa">#REF!</definedName>
    <definedName name="ffa_1">#REF!</definedName>
    <definedName name="ffa_2">#REF!</definedName>
    <definedName name="ffa_3">#REF!</definedName>
    <definedName name="ffa_4">#REF!</definedName>
    <definedName name="FFAbove1_1">#REF!</definedName>
    <definedName name="FFAbove2_1">#REF!</definedName>
    <definedName name="FFAbove3_1">#REF!</definedName>
    <definedName name="FFAbove4_1">#REF!</definedName>
    <definedName name="FFAbove5_1">#REF!</definedName>
    <definedName name="FFAbove6_1">#REF!</definedName>
    <definedName name="FFAppColName1_1">#REF!</definedName>
    <definedName name="FFAPPCOLNAME1_2">#REF!</definedName>
    <definedName name="FFAPPCOLNAME1_3">#REF!</definedName>
    <definedName name="FFAPPCOLNAME1_4">#REF!</definedName>
    <definedName name="FFAPPCOLNAME1_5">#REF!</definedName>
    <definedName name="FFAPPCOLNAME1_6">#REF!</definedName>
    <definedName name="FFAppColName2_1">#REF!</definedName>
    <definedName name="FFAPPCOLNAME2_2">#REF!</definedName>
    <definedName name="FFAPPCOLNAME2_3">#REF!</definedName>
    <definedName name="FFAPPCOLNAME2_4">#REF!</definedName>
    <definedName name="FFAPPCOLNAME2_5">#REF!</definedName>
    <definedName name="FFAPPCOLNAME2_6">#REF!</definedName>
    <definedName name="FFAppColName3_1">#REF!</definedName>
    <definedName name="FFAPPCOLNAME3_2">#REF!</definedName>
    <definedName name="FFAPPCOLNAME3_3">#REF!</definedName>
    <definedName name="FFAPPCOLNAME3_4">#REF!</definedName>
    <definedName name="FFAPPCOLNAME3_5">#REF!</definedName>
    <definedName name="FFAPPCOLNAME3_6">#REF!</definedName>
    <definedName name="FFAppColName4_1">#REF!</definedName>
    <definedName name="FFAPPCOLNAME4_2">#REF!</definedName>
    <definedName name="FFAPPCOLNAME4_3">#REF!</definedName>
    <definedName name="FFAPPCOLNAME4_4">#REF!</definedName>
    <definedName name="FFAPPCOLNAME4_5">#REF!</definedName>
    <definedName name="FFAPPCOLNAME4_6">#REF!</definedName>
    <definedName name="FFAppColName5_1">#REF!</definedName>
    <definedName name="FFAPPCOLNAME5_2">#REF!</definedName>
    <definedName name="FFAPPCOLNAME5_3">#REF!</definedName>
    <definedName name="FFAPPCOLNAME5_4">#REF!</definedName>
    <definedName name="FFAPPCOLNAME5_5">#REF!</definedName>
    <definedName name="FFAPPCOLNAME5_6">#REF!</definedName>
    <definedName name="FFAppColName6_1">#REF!</definedName>
    <definedName name="FFAPPCOLNAME6_2">#REF!</definedName>
    <definedName name="FFAPPCOLNAME6_3">#REF!</definedName>
    <definedName name="FFAPPCOLNAME6_4">#REF!</definedName>
    <definedName name="FFAPPCOLNAME6_5">#REF!</definedName>
    <definedName name="FFAPPCOLNAME6_6">#REF!</definedName>
    <definedName name="FFAPPCOLNAME7_1">#REF!</definedName>
    <definedName name="FFAPPCOLNAME7_2">#REF!</definedName>
    <definedName name="FFAPPCOLNAME8_1">#REF!</definedName>
    <definedName name="FFAPPCOLNAME8_2">#REF!</definedName>
    <definedName name="ffdas">#REF!</definedName>
    <definedName name="ffdas_1">#REF!</definedName>
    <definedName name="ffdas_2">#REF!</definedName>
    <definedName name="ffdas_3">#REF!</definedName>
    <definedName name="ffdas_4">#REF!</definedName>
    <definedName name="FFDisplay1_1">#REF!</definedName>
    <definedName name="FFDisplay2_1">#REF!</definedName>
    <definedName name="FFDisplay3_1">#REF!</definedName>
    <definedName name="FFDisplay4_1">#REF!</definedName>
    <definedName name="FFDisplay5_1">#REF!</definedName>
    <definedName name="FFDisplay6_1">#REF!</definedName>
    <definedName name="ffee" hidden="1">{"'買掛金'!$J$6"}</definedName>
    <definedName name="fff">#REF!</definedName>
    <definedName name="FFFF">#REF!</definedName>
    <definedName name="fffff">#REF!</definedName>
    <definedName name="ffffff">#REF!</definedName>
    <definedName name="fffffff" hidden="1">{#N/A,#N/A,FALSE,"Pharm";#N/A,#N/A,FALSE,"WWCM"}</definedName>
    <definedName name="ffffffffff">#REF!</definedName>
    <definedName name="fffffffffff">{"'Standalone List Price Trends'!$A$1:$X$56"}</definedName>
    <definedName name="FFFFFFFFFFFF">#REF!</definedName>
    <definedName name="FFFFFFFFFFFFFFF">#REF!</definedName>
    <definedName name="FFMaximum1_1">#REF!</definedName>
    <definedName name="FFMaximum2_1">#REF!</definedName>
    <definedName name="FFMaximum3_1">#REF!</definedName>
    <definedName name="FFMaximum4_1">#REF!</definedName>
    <definedName name="FFMaximum5_1">#REF!</definedName>
    <definedName name="FFMaximum6_1">#REF!</definedName>
    <definedName name="FFSEGDESC1_1">#REF!</definedName>
    <definedName name="FFSEGDESC2_1">#REF!</definedName>
    <definedName name="FFSEGDESC3_1">#REF!</definedName>
    <definedName name="FFSEGDESC4_1">#REF!</definedName>
    <definedName name="FFSEGDESC5_1">#REF!</definedName>
    <definedName name="FFSEGDESC6_1">#REF!</definedName>
    <definedName name="FFSegment1_1">#REF!</definedName>
    <definedName name="FFSEGMENT1_2">#REF!</definedName>
    <definedName name="FFSEGMENT1_3">#REF!</definedName>
    <definedName name="FFSEGMENT1_4">#REF!</definedName>
    <definedName name="FFSEGMENT1_5">#REF!</definedName>
    <definedName name="FFSEGMENT1_6">#REF!</definedName>
    <definedName name="FFSegment2_1">#REF!</definedName>
    <definedName name="FFSEGMENT2_2">#REF!</definedName>
    <definedName name="FFSEGMENT2_3">#REF!</definedName>
    <definedName name="FFSEGMENT2_4">#REF!</definedName>
    <definedName name="FFSEGMENT2_5">#REF!</definedName>
    <definedName name="FFSEGMENT2_6">#REF!</definedName>
    <definedName name="FFSegment3_1">#REF!</definedName>
    <definedName name="FFSEGMENT3_2">#REF!</definedName>
    <definedName name="FFSEGMENT3_3">#REF!</definedName>
    <definedName name="FFSEGMENT3_4">#REF!</definedName>
    <definedName name="FFSEGMENT3_5">#REF!</definedName>
    <definedName name="FFSEGMENT3_6">#REF!</definedName>
    <definedName name="FFSegment4_1">#REF!</definedName>
    <definedName name="FFSEGMENT4_2">#REF!</definedName>
    <definedName name="FFSEGMENT4_3">#REF!</definedName>
    <definedName name="FFSEGMENT4_4">#REF!</definedName>
    <definedName name="FFSEGMENT4_5">#REF!</definedName>
    <definedName name="FFSEGMENT4_6">#REF!</definedName>
    <definedName name="FFSegment5_1">#REF!</definedName>
    <definedName name="FFSEGMENT5_2">#REF!</definedName>
    <definedName name="FFSEGMENT5_3">#REF!</definedName>
    <definedName name="FFSEGMENT5_4">#REF!</definedName>
    <definedName name="FFSEGMENT5_5">#REF!</definedName>
    <definedName name="FFSEGMENT5_6">#REF!</definedName>
    <definedName name="FFSegment6_1">#REF!</definedName>
    <definedName name="FFSEGMENT6_2">#REF!</definedName>
    <definedName name="FFSEGMENT6_3">#REF!</definedName>
    <definedName name="FFSEGMENT6_4">#REF!</definedName>
    <definedName name="FFSEGMENT6_5">#REF!</definedName>
    <definedName name="FFSEGMENT6_6">#REF!</definedName>
    <definedName name="FFSEGMENT7_1">#REF!</definedName>
    <definedName name="FFSEGMENT7_2">#REF!</definedName>
    <definedName name="FFSEGMENT8_1">#REF!</definedName>
    <definedName name="FFSEGMENT8_2">#REF!</definedName>
    <definedName name="FFSegSeparator1">#REF!</definedName>
    <definedName name="FFSEGSEPARATOR2">#REF!</definedName>
    <definedName name="FFSEGSEPARATOR3">#REF!</definedName>
    <definedName name="FFSEGSEPARATOR4">#REF!</definedName>
    <definedName name="FFSEGSEPARATOR5">#REF!</definedName>
    <definedName name="FFSEGSEPARATOR6">#REF!</definedName>
    <definedName name="fg" hidden="1">{"bs",#N/A,FALSE,"Balance Sheet"}</definedName>
    <definedName name="FG46TBTB4RTDKDK">#REF!</definedName>
    <definedName name="fgafgagag">#REF!</definedName>
    <definedName name="fgd">"F34KLQJ0VOAI82GQ960QLG56I"</definedName>
    <definedName name="fgefgef">#REF!</definedName>
    <definedName name="fgfdg">#REF!</definedName>
    <definedName name="fgfgf">#REF!</definedName>
    <definedName name="fgghhg">#REF!</definedName>
    <definedName name="fgjfg">#REF!</definedName>
    <definedName name="fgjgf">#REF!</definedName>
    <definedName name="fgjgfj">#REF!</definedName>
    <definedName name="fgk" hidden="1">{#N/A,#N/A,FALSE,"Pharm";#N/A,#N/A,FALSE,"WWCM"}</definedName>
    <definedName name="FGR53C11R63C11TB3RTCN">#REF!</definedName>
    <definedName name="FGR6C8R8C8TB4RTCN">#REF!</definedName>
    <definedName name="FGR6C9R8C9TB3RTCN">#REF!</definedName>
    <definedName name="fgs">#REF!</definedName>
    <definedName name="fgsdfgdfg">#REF!</definedName>
    <definedName name="fgsdfgf">#REF!</definedName>
    <definedName name="FGSOUTMP">#N/A</definedName>
    <definedName name="FGSOUTPP">#N/A</definedName>
    <definedName name="fgsssrewew">#REF!</definedName>
    <definedName name="fgyu" hidden="1">{#N/A,#N/A,TRUE,"CPRD";#N/A,#N/A,TRUE,"BCCPDR";#N/A,#N/A,TRUE,"EWRD";#N/A,#N/A,TRUE,"5100";#N/A,#N/A,TRUE,"5110"}</definedName>
    <definedName name="fhgfgh">#REF!</definedName>
    <definedName name="FHGFH" hidden="1">{#N/A,#N/A,FALSE,"손익표지";#N/A,#N/A,FALSE,"손익계산";#N/A,#N/A,FALSE,"일반관리비";#N/A,#N/A,FALSE,"영업외수익";#N/A,#N/A,FALSE,"영업외비용";#N/A,#N/A,FALSE,"매출액";#N/A,#N/A,FALSE,"요약손익";#N/A,#N/A,FALSE,"요약대차";#N/A,#N/A,FALSE,"매출채권현황";#N/A,#N/A,FALSE,"매출채권명세"}</definedName>
    <definedName name="fhgfhfghgfhfg" hidden="1">{"Central",#N/A,FALSE,"Total"}</definedName>
    <definedName name="FHorizontalAxis">#REF!</definedName>
    <definedName name="fhrghgrd">#REF!</definedName>
    <definedName name="fi">#REF!</definedName>
    <definedName name="Fiber">#REF!</definedName>
    <definedName name="FIBOR">#REF!</definedName>
    <definedName name="field">0.3951</definedName>
    <definedName name="FIELDNAMECOLUMN1">#REF!</definedName>
    <definedName name="FIELDNAMECOLUMN2">#REF!</definedName>
    <definedName name="FIELDNAMECOLUMN3">#REF!</definedName>
    <definedName name="FIELDNAMECOLUMN4">#REF!</definedName>
    <definedName name="FIELDNAMECOLUMN5">#REF!</definedName>
    <definedName name="FIELDNAMECOLUMN6">#REF!</definedName>
    <definedName name="FIELDNAMEROW1">#REF!</definedName>
    <definedName name="FIELDNAMEROW2">#REF!</definedName>
    <definedName name="FIELDNAMEROW3">#REF!</definedName>
    <definedName name="FIELDNAMEROW4">#REF!</definedName>
    <definedName name="FIELDNAMEROW5">#REF!</definedName>
    <definedName name="FIELDNAMEROW6">#REF!</definedName>
    <definedName name="fieldtools">#REF!</definedName>
    <definedName name="FII">#REF!</definedName>
    <definedName name="FIK_FG">#REF!</definedName>
    <definedName name="FIK_Pkg">#REF!</definedName>
    <definedName name="FIK_Raw">#REF!</definedName>
    <definedName name="FileChart" hidden="1">#REF!</definedName>
    <definedName name="Filecomp">#REF!</definedName>
    <definedName name="FilingPriceIncrement">#REF!</definedName>
    <definedName name="Filll">#REF!</definedName>
    <definedName name="Filter_Range">#REF!</definedName>
    <definedName name="FIMeXToEUR" hidden="1">1/EUReXToFIM</definedName>
    <definedName name="FIN">#REF!</definedName>
    <definedName name="FINAL">#REF!</definedName>
    <definedName name="FINAL..">#REF!</definedName>
    <definedName name="FINAL_CONFIG">#REF!</definedName>
    <definedName name="FINAL_CONFIG..">#REF!</definedName>
    <definedName name="FINAL_FS">#REF!</definedName>
    <definedName name="FINAL_INSPECT">#REF!</definedName>
    <definedName name="FINAL_INSPECT..">#REF!</definedName>
    <definedName name="FINAL_PRODUCT">#REF!</definedName>
    <definedName name="FINAL_PRODUCT1">#REF!</definedName>
    <definedName name="FINAL_PRODUCTSTATERATE">#REF!</definedName>
    <definedName name="Final_Summary">#REF!</definedName>
    <definedName name="Final_Unposted_Trial">#REF!</definedName>
    <definedName name="finalReport">#REF!</definedName>
    <definedName name="FINANCE" hidden="1">{#N/A,#N/A,FALSE,"INDEX";#N/A,#N/A,FALSE,"CIS";#N/A,#N/A,FALSE,"CIS INLINE";#N/A,#N/A,FALSE,"summary";#N/A,#N/A,FALSE,"detail";#N/A,#N/A,FALSE,"SALESTAT";#N/A,#N/A,FALSE,"budget graph";#N/A,#N/A,FALSE,"SALES CHART";#N/A,#N/A,FALSE,"SALES REP";#N/A,#N/A,FALSE,"ORDER BACKLOG";#N/A,#N/A,FALSE,"AR AGE";#N/A,#N/A,FALSE,"AGEREP";#N/A,#N/A,FALSE,"RATIO";"Components_Cover",#N/A,FALSE,"COVERS";"ComponentsA_1",#N/A,FALSE,"IS BY DIV";"ComponentsA_2a",#N/A,FALSE,"COGS BY DIV";"ComponentsA_2b",#N/A,FALSE,"COGS BY DIV";"ComponentsA_2c",#N/A,FALSE,"COGS BY DIV";"ComponentsA_3a",#N/A,FALSE,"TOTAL PF";"ComponentsA_3b",#N/A,FALSE,"TOTAL PF";"ComponentsA_4a",#N/A,FALSE,"TOTAL PF";"ComponentsA_4b",#N/A,FALSE,"TOTAL PF";"Components_PL",#N/A,FALSE,"Sales by PL";"Instruments_Cover",#N/A,FALSE,"COVERS";"InstrumentsB_1",#N/A,FALSE,"IS BY DIV";"InstrumentsB_2a",#N/A,FALSE,"COGS BY DIV";"InstrumentsB_2b",#N/A,FALSE,"COGS BY DIV";"InstrumentsB_3",#N/A,FALSE,"TOTAL PF";"InstrumentsB_4",#N/A,FALSE,"TOTAL PF";"Instruments_PL",#N/A,FALSE,"Sales by PL";"Resale_Cover",#N/A,FALSE,"COVERS";"ResaleC_1",#N/A,FALSE,"IS BY DIV";"ResaleC_2",#N/A,FALSE,"COGS BY DIV";"ResaleC_3",#N/A,FALSE,"TOTAL PF";"ResaleC_4",#N/A,FALSE,"TOTAL PF";"Resale_PL",#N/A,FALSE,"Sales by PL";#N/A,#N/A,FALSE,"GMA SUMMARY";#N/A,#N/A,FALSE,"COMPONENTS";#N/A,#N/A,FALSE,"INSTRUMENTS";#N/A,#N/A,FALSE,"RESALE";"Overhead_Summary",#N/A,FALSE,"overhead schedule";"Overhead",#N/A,FALSE,"overhead schedule"}</definedName>
    <definedName name="FINANCE_ADMIN">#REF!</definedName>
    <definedName name="FINANCE_GEORGE" hidden="1">{#N/A,#N/A,FALSE,"INDEX";#N/A,#N/A,FALSE,"CIS";#N/A,#N/A,FALSE,"CIS INLINE";#N/A,#N/A,FALSE,"summary";#N/A,#N/A,FALSE,"detail";#N/A,#N/A,FALSE,"SALESTAT";#N/A,#N/A,FALSE,"budget graph";#N/A,#N/A,FALSE,"SALES CHART";#N/A,#N/A,FALSE,"SALES REP";#N/A,#N/A,FALSE,"ORDER BACKLOG";#N/A,#N/A,FALSE,"AR AGE";#N/A,#N/A,FALSE,"AGEREP";#N/A,#N/A,FALSE,"RATIO";"Components_Cover",#N/A,FALSE,"COVERS";"ComponentsA_1",#N/A,FALSE,"IS BY DIV";"ComponentsA_2a",#N/A,FALSE,"COGS BY DIV";"ComponentsA_2b",#N/A,FALSE,"COGS BY DIV";"ComponentsA_2c",#N/A,FALSE,"COGS BY DIV";"ComponentsA_3a",#N/A,FALSE,"TOTAL PF";"ComponentsA_3b",#N/A,FALSE,"TOTAL PF";"ComponentsA_4a",#N/A,FALSE,"TOTAL PF";"ComponentsA_4b",#N/A,FALSE,"TOTAL PF";"Components_PL",#N/A,FALSE,"Sales by PL";"Instruments_Cover",#N/A,FALSE,"COVERS";"InstrumentsB_1",#N/A,FALSE,"IS BY DIV";"InstrumentsB_2a",#N/A,FALSE,"COGS BY DIV";"InstrumentsB_2b",#N/A,FALSE,"COGS BY DIV";"InstrumentsB_3",#N/A,FALSE,"TOTAL PF";"InstrumentsB_4",#N/A,FALSE,"TOTAL PF";"Instruments_PL",#N/A,FALSE,"Sales by PL";"Resale_Cover",#N/A,FALSE,"COVERS";"ResaleC_1",#N/A,FALSE,"IS BY DIV";"ResaleC_2",#N/A,FALSE,"COGS BY DIV";"ResaleC_3",#N/A,FALSE,"TOTAL PF";"ResaleC_4",#N/A,FALSE,"TOTAL PF";"Resale_PL",#N/A,FALSE,"Sales by PL";#N/A,#N/A,FALSE,"GMA SUMMARY";#N/A,#N/A,FALSE,"COMPONENTS";#N/A,#N/A,FALSE,"INSTRUMENTS";#N/A,#N/A,FALSE,"RESALE";"Overhead_Summary",#N/A,FALSE,"overhead schedule";"Overhead",#N/A,FALSE,"overhead schedule"}</definedName>
    <definedName name="FINANCE2" hidden="1">{#N/A,#N/A,FALSE,"INDEX";#N/A,#N/A,FALSE,"CIS";#N/A,#N/A,FALSE,"CIS INLINE";#N/A,#N/A,FALSE,"summary";#N/A,#N/A,FALSE,"detail";#N/A,#N/A,FALSE,"SALESTAT";#N/A,#N/A,FALSE,"budget graph";#N/A,#N/A,FALSE,"SALES CHART";#N/A,#N/A,FALSE,"SALES REP";#N/A,#N/A,FALSE,"ORDER BACKLOG";#N/A,#N/A,FALSE,"AR AGE";#N/A,#N/A,FALSE,"AGEREP";#N/A,#N/A,FALSE,"RATIO";"Components_Cover",#N/A,FALSE,"COVERS";"ComponentsA_1",#N/A,FALSE,"IS BY DIV";"ComponentsA_2a",#N/A,FALSE,"COGS BY DIV";"ComponentsA_2b",#N/A,FALSE,"COGS BY DIV";"ComponentsA_2c",#N/A,FALSE,"COGS BY DIV";"ComponentsA_3a",#N/A,FALSE,"TOTAL PF";"ComponentsA_3b",#N/A,FALSE,"TOTAL PF";"ComponentsA_4a",#N/A,FALSE,"TOTAL PF";"ComponentsA_4b",#N/A,FALSE,"TOTAL PF";"Components_PL",#N/A,FALSE,"Sales by PL";"Instruments_Cover",#N/A,FALSE,"COVERS";"InstrumentsB_1",#N/A,FALSE,"IS BY DIV";"InstrumentsB_2a",#N/A,FALSE,"COGS BY DIV";"InstrumentsB_2b",#N/A,FALSE,"COGS BY DIV";"InstrumentsB_3",#N/A,FALSE,"TOTAL PF";"InstrumentsB_4",#N/A,FALSE,"TOTAL PF";"Instruments_PL",#N/A,FALSE,"Sales by PL";"Resale_Cover",#N/A,FALSE,"COVERS";"ResaleC_1",#N/A,FALSE,"IS BY DIV";"ResaleC_2",#N/A,FALSE,"COGS BY DIV";"ResaleC_3",#N/A,FALSE,"TOTAL PF";"ResaleC_4",#N/A,FALSE,"TOTAL PF";"Resale_PL",#N/A,FALSE,"Sales by PL";#N/A,#N/A,FALSE,"GMA SUMMARY";#N/A,#N/A,FALSE,"COMPONENTS";#N/A,#N/A,FALSE,"INSTRUMENTS";#N/A,#N/A,FALSE,"RESALE";"Overhead_Summary",#N/A,FALSE,"overhead schedule";"Overhead",#N/A,FALSE,"overhead schedule"}</definedName>
    <definedName name="FINANCE2_GEORGE" hidden="1">{#N/A,#N/A,FALSE,"INDEX";#N/A,#N/A,FALSE,"CIS";#N/A,#N/A,FALSE,"CIS INLINE";#N/A,#N/A,FALSE,"summary";#N/A,#N/A,FALSE,"detail";#N/A,#N/A,FALSE,"SALESTAT";#N/A,#N/A,FALSE,"budget graph";#N/A,#N/A,FALSE,"SALES CHART";#N/A,#N/A,FALSE,"SALES REP";#N/A,#N/A,FALSE,"ORDER BACKLOG";#N/A,#N/A,FALSE,"AR AGE";#N/A,#N/A,FALSE,"AGEREP";#N/A,#N/A,FALSE,"RATIO";"Components_Cover",#N/A,FALSE,"COVERS";"ComponentsA_1",#N/A,FALSE,"IS BY DIV";"ComponentsA_2a",#N/A,FALSE,"COGS BY DIV";"ComponentsA_2b",#N/A,FALSE,"COGS BY DIV";"ComponentsA_2c",#N/A,FALSE,"COGS BY DIV";"ComponentsA_3a",#N/A,FALSE,"TOTAL PF";"ComponentsA_3b",#N/A,FALSE,"TOTAL PF";"ComponentsA_4a",#N/A,FALSE,"TOTAL PF";"ComponentsA_4b",#N/A,FALSE,"TOTAL PF";"Components_PL",#N/A,FALSE,"Sales by PL";"Instruments_Cover",#N/A,FALSE,"COVERS";"InstrumentsB_1",#N/A,FALSE,"IS BY DIV";"InstrumentsB_2a",#N/A,FALSE,"COGS BY DIV";"InstrumentsB_2b",#N/A,FALSE,"COGS BY DIV";"InstrumentsB_3",#N/A,FALSE,"TOTAL PF";"InstrumentsB_4",#N/A,FALSE,"TOTAL PF";"Instruments_PL",#N/A,FALSE,"Sales by PL";"Resale_Cover",#N/A,FALSE,"COVERS";"ResaleC_1",#N/A,FALSE,"IS BY DIV";"ResaleC_2",#N/A,FALSE,"COGS BY DIV";"ResaleC_3",#N/A,FALSE,"TOTAL PF";"ResaleC_4",#N/A,FALSE,"TOTAL PF";"Resale_PL",#N/A,FALSE,"Sales by PL";#N/A,#N/A,FALSE,"GMA SUMMARY";#N/A,#N/A,FALSE,"COMPONENTS";#N/A,#N/A,FALSE,"INSTRUMENTS";#N/A,#N/A,FALSE,"RESALE";"Overhead_Summary",#N/A,FALSE,"overhead schedule";"Overhead",#N/A,FALSE,"overhead schedule"}</definedName>
    <definedName name="FINANCIAL_CHARGES">#REF!</definedName>
    <definedName name="FINANCIAL_YTD">#REF!</definedName>
    <definedName name="financialcharges">#REF!</definedName>
    <definedName name="financialinc.">#REF!</definedName>
    <definedName name="finding" hidden="1">{#N/A,#N/A,FALSE,"BS";#N/A,#N/A,FALSE,"PL";#N/A,#N/A,FALSE,"처분";#N/A,#N/A,FALSE,"현금";#N/A,#N/A,FALSE,"매출";#N/A,#N/A,FALSE,"원가";#N/A,#N/A,FALSE,"경영"}</definedName>
    <definedName name="findingss" hidden="1">{#N/A,#N/A,FALSE,"Aging Summary";#N/A,#N/A,FALSE,"Ratio Analysis";#N/A,#N/A,FALSE,"Test 120 Day Accts";#N/A,#N/A,FALSE,"Tickmarks"}</definedName>
    <definedName name="findingss_3">#REF!</definedName>
    <definedName name="FindLink_Substitution">#REF!</definedName>
    <definedName name="Finolexcables">#REF!</definedName>
    <definedName name="FINOptions">"0,0,1,1,1,0,0,-1,0,0,2,0,"</definedName>
    <definedName name="FINRATE">0.0135</definedName>
    <definedName name="First.w.e.date">DATE(98,10,9)</definedName>
    <definedName name="first_pmt_date">#REF!</definedName>
    <definedName name="First_Year">#REF!</definedName>
    <definedName name="FirstCall">#REF!</definedName>
    <definedName name="FirstCommYr">#REF!</definedName>
    <definedName name="FIRSTDATAROW1">#REF!</definedName>
    <definedName name="FIRSTDATAROW2">#REF!</definedName>
    <definedName name="FIRSTDATAROW3">#REF!</definedName>
    <definedName name="FIRSTDATAROW4">#REF!</definedName>
    <definedName name="FIRSTDATAROW5">#REF!</definedName>
    <definedName name="FIRSTDATAROW6">#REF!</definedName>
    <definedName name="fiscal">#REF!</definedName>
    <definedName name="fiscal_year">#REF!</definedName>
    <definedName name="Five">"c2903"</definedName>
    <definedName name="FIVEDAY">#REF!</definedName>
    <definedName name="FIX">#REF!</definedName>
    <definedName name="FIX_ASSET_CUM">#REF!</definedName>
    <definedName name="FIX_ASSET_FINAL">#REF!</definedName>
    <definedName name="Fixed">#REF!</definedName>
    <definedName name="Fixed.Assets">#REF!</definedName>
    <definedName name="Fixed_assets">#REF!</definedName>
    <definedName name="fixed123">#REF!</definedName>
    <definedName name="FixedExp">#REF!</definedName>
    <definedName name="fj" hidden="1">{#N/A,#N/A,FALSE,"Pharm";#N/A,#N/A,FALSE,"WWCM"}</definedName>
    <definedName name="fjalaslaslfasllaa" hidden="1">{#N/A,#N/A,FALSE,"을지 (4)";#N/A,#N/A,FALSE,"을지 (5)";#N/A,#N/A,FALSE,"을지 (6)"}</definedName>
    <definedName name="fjdi0s" hidden="1">#N/A</definedName>
    <definedName name="fjdks" hidden="1">{#N/A,#N/A,FALSE,"Aging Summary";#N/A,#N/A,FALSE,"Ratio Analysis";#N/A,#N/A,FALSE,"Test 120 Day Accts";#N/A,#N/A,FALSE,"Tickmarks"}</definedName>
    <definedName name="fjdks_3">#REF!</definedName>
    <definedName name="FJEZK" hidden="1">{#N/A,#N/A,FALSE,"Pharm";#N/A,#N/A,FALSE,"WWCM"}</definedName>
    <definedName name="fjgfj">#REF!</definedName>
    <definedName name="fjy" hidden="1">{#N/A,#N/A,FALSE,"Pharm";#N/A,#N/A,FALSE,"WWCM"}</definedName>
    <definedName name="fkasjdfkjasdfkasdf">4</definedName>
    <definedName name="FKFK">#REF!</definedName>
    <definedName name="FL_Strat1">#REF!</definedName>
    <definedName name="FL_Strat1b">#REF!</definedName>
    <definedName name="FL_Strat2">#REF!</definedName>
    <definedName name="FL_Strat2b">#REF!</definedName>
    <definedName name="FL_Strat3">#REF!</definedName>
    <definedName name="FL_Strat3b">#REF!</definedName>
    <definedName name="FL_Strat4">#REF!</definedName>
    <definedName name="FL_Strat4b">#REF!</definedName>
    <definedName name="FL_Strat5">#REF!</definedName>
    <definedName name="FL_Strat5b">#REF!</definedName>
    <definedName name="flajfkajfa">#REF!</definedName>
    <definedName name="FlatBOM">#REF!</definedName>
    <definedName name="Flmv">0</definedName>
    <definedName name="FLUCTUATIONS">#REF!</definedName>
    <definedName name="FModelCompany">#REF!</definedName>
    <definedName name="FMTYP">"*STD"</definedName>
    <definedName name="FMV">#REF!</definedName>
    <definedName name="FNDNAM1">#REF!</definedName>
    <definedName name="FNDNAM2">#REF!</definedName>
    <definedName name="FNDNAM3">#REF!</definedName>
    <definedName name="FNDNAM4">#REF!</definedName>
    <definedName name="FNDNAM5">#REF!</definedName>
    <definedName name="FNDNAM6">#REF!</definedName>
    <definedName name="FNDUserID1">#REF!</definedName>
    <definedName name="FNDUSERID2">#REF!</definedName>
    <definedName name="FNDUSERID3">#REF!</definedName>
    <definedName name="FNDUSERID4">#REF!</definedName>
    <definedName name="FNDUSERID5">#REF!</definedName>
    <definedName name="FNDUSERID6">#REF!</definedName>
    <definedName name="fo">#REF!</definedName>
    <definedName name="FOB">#REF!</definedName>
    <definedName name="foo" hidden="1">{#N/A,#N/A,FALSE,"Bgt";#N/A,#N/A,FALSE,"Act";#N/A,#N/A,FALSE,"Chrt Data";#N/A,#N/A,FALSE,"Bus Result";#N/A,#N/A,FALSE,"Main Charts";#N/A,#N/A,FALSE,"P&amp;L Ttl";#N/A,#N/A,FALSE,"P&amp;L C_Ttl";#N/A,#N/A,FALSE,"P&amp;L C_Oct";#N/A,#N/A,FALSE,"P&amp;L C_Sep";#N/A,#N/A,FALSE,"1996";#N/A,#N/A,FALSE,"Data"}</definedName>
    <definedName name="FOOD">#REF!</definedName>
    <definedName name="FOOTER">#REF!</definedName>
    <definedName name="fop" hidden="1">{#N/A,#N/A,FALSE,"Title";#N/A,#N/A,FALSE,"Index";#N/A,#N/A,FALSE,"1";#N/A,#N/A,FALSE,"2";#N/A,#N/A,FALSE,"3";#N/A,#N/A,FALSE,"4";#N/A,#N/A,FALSE,"5";#N/A,#N/A,FALSE,"6";#N/A,#N/A,FALSE,"7";#N/A,#N/A,FALSE,"8"}</definedName>
    <definedName name="FORE">#REF!</definedName>
    <definedName name="Forecast" hidden="1">{"inflated_pl",#N/A,FALSE,"P&amp;L"}</definedName>
    <definedName name="Forecast_Code">#REF!</definedName>
    <definedName name="Forecast_Names">#REF!</definedName>
    <definedName name="ForecastPeriod" hidden="1">#REF!</definedName>
    <definedName name="FOREEXRS">#REF!</definedName>
    <definedName name="FOREEXUS">#REF!</definedName>
    <definedName name="Foreign">#REF!</definedName>
    <definedName name="Foreign.Info">#REF!</definedName>
    <definedName name="Foreign_Base_Company_Income">#REF!</definedName>
    <definedName name="foreignf" hidden="1">{#N/A,#N/A,FALSE,"Income";#N/A,#N/A,FALSE,"Cost of Goods Sold";#N/A,#N/A,FALSE,"Other Costs";#N/A,#N/A,FALSE,"Other Income";#N/A,#N/A,FALSE,"Taxes";#N/A,#N/A,FALSE,"Other Deductions";#N/A,#N/A,FALSE,"Compensation of Officers"}</definedName>
    <definedName name="forex">#REF!</definedName>
    <definedName name="forfeit">#REF!</definedName>
    <definedName name="forget">#REF!</definedName>
    <definedName name="forget_1">#REF!</definedName>
    <definedName name="forget_3">#REF!</definedName>
    <definedName name="forget1">#REF!</definedName>
    <definedName name="FORK">#REF!</definedName>
    <definedName name="Form_10ccac">#REF!</definedName>
    <definedName name="Form_10ccac1">#REF!</definedName>
    <definedName name="form_3cd1">#REF!</definedName>
    <definedName name="form_3cd2">#REF!</definedName>
    <definedName name="form_3cd3">#REF!</definedName>
    <definedName name="form_3cd4">#REF!</definedName>
    <definedName name="form_3cd5">#REF!</definedName>
    <definedName name="form1">#REF!</definedName>
    <definedName name="Format">#REF!</definedName>
    <definedName name="Format_Value">#REF!</definedName>
    <definedName name="Formula">#REF!</definedName>
    <definedName name="Formulaline">#REF!</definedName>
    <definedName name="Formulas">#REF!</definedName>
    <definedName name="formulaspm1">#REF!</definedName>
    <definedName name="formulaspm2">#REF!</definedName>
    <definedName name="formulaspm3">#REF!</definedName>
    <definedName name="formulaspm4">#REF!</definedName>
    <definedName name="formulaspm5">#REF!</definedName>
    <definedName name="formulaspm6">#REF!</definedName>
    <definedName name="forrest123" hidden="1">#REF!</definedName>
    <definedName name="forrest93" hidden="1">#REF!</definedName>
    <definedName name="forward">(1.1^0.25)</definedName>
    <definedName name="FOtherAxes">#REF!</definedName>
    <definedName name="Founders_Preferred">#REF!</definedName>
    <definedName name="four">#REF!</definedName>
    <definedName name="FourWeekAvg">#REF!</definedName>
    <definedName name="FP">#REF!</definedName>
    <definedName name="FPL_MOUNT">#REF!</definedName>
    <definedName name="Fps">#REF!</definedName>
    <definedName name="FQ">#REF!</definedName>
    <definedName name="FQSDF">#REF!</definedName>
    <definedName name="FR">#REF!</definedName>
    <definedName name="FR_1">#REF!</definedName>
    <definedName name="FR_2">#REF!</definedName>
    <definedName name="FR_3">#REF!</definedName>
    <definedName name="FR_4">#REF!</definedName>
    <definedName name="FR_5">#REF!</definedName>
    <definedName name="FR_6">#REF!</definedName>
    <definedName name="FR_7">#REF!</definedName>
    <definedName name="FRA">#REF!</definedName>
    <definedName name="FrAcct">#REF!</definedName>
    <definedName name="FRAMES">#REF!</definedName>
    <definedName name="FRAMES..">#REF!</definedName>
    <definedName name="FRAN">#REF!</definedName>
    <definedName name="FRANCE">#REF!</definedName>
    <definedName name="frate">#REF!</definedName>
    <definedName name="fre">#REF!</definedName>
    <definedName name="FRED_calcs_98_FooterType">"INTERNAL"</definedName>
    <definedName name="FRED_calcs_99_FooterType">"INTERNAL"</definedName>
    <definedName name="FRED_calcs_FooterType">"INTERNAL"</definedName>
    <definedName name="FRED_calculations_FooterType">"INTERNAL"</definedName>
    <definedName name="FRED_FooterType">"EXTERNAL"</definedName>
    <definedName name="FREDDY" hidden="1">{"Q2_Fcst_Fcst_Var_Detail",#N/A,FALSE,"REPORT FORMAT";"Q2_Fcst_Fcst_Var_Summary",#N/A,FALSE,"REPORT FORMAT"}</definedName>
    <definedName name="Free_Rent_Half_First_End_Date">#REF!</definedName>
    <definedName name="Free_Rent_Half_First_Start_Date">#REF!</definedName>
    <definedName name="Free_Rent_Half_Ground_End_Date">#REF!</definedName>
    <definedName name="Free_Rent_Half_Ground_Start_Date">#REF!</definedName>
    <definedName name="Freight_Est.">#REF!</definedName>
    <definedName name="FReportArea">#REF!</definedName>
    <definedName name="FReportBody">#REF!</definedName>
    <definedName name="FReportTitle">#REF!</definedName>
    <definedName name="frequency">{"Annually";"Semi-Annually";"Quarterly";"Bi-Monthly";"Monthly";"Bi-Weekly"}</definedName>
    <definedName name="FRFERFE" hidden="1">{#N/A,#N/A,FALSE,"Pharm";#N/A,#N/A,FALSE,"WWCM"}</definedName>
    <definedName name="FRFeXToEUR" hidden="1">1/EUReXToFRF</definedName>
    <definedName name="frfr">#REF!</definedName>
    <definedName name="FRJRNL">#REF!</definedName>
    <definedName name="frm">#REF!</definedName>
    <definedName name="From">#REF!</definedName>
    <definedName name="FromSH1Left2Up6">OFFSET(!A1,-5-!$A1,-2)</definedName>
    <definedName name="FromSH1Left3Down37">OFFSET(!A1,38-!$A1,-3)</definedName>
    <definedName name="FromSH1Left3Up6">OFFSET(!A1,-5-!$A1,-3)</definedName>
    <definedName name="FromSH1Left4Up6">OFFSET(!A1,-5-!$A1,-4)</definedName>
    <definedName name="FromSH1Right1Up5">OFFSET(!A1,-4-!$A1,1)</definedName>
    <definedName name="FromSH1Right1Up6">OFFSET(!A1,-5-!$A1,1)</definedName>
    <definedName name="FromSH1Up4">OFFSET(!A1,-3-!$A1,0)</definedName>
    <definedName name="FromSH1Up5">OFFSET(!A1,-4-!$A1,0)</definedName>
    <definedName name="FromSH1Up6">OFFSET(!A1,-5-!$A1,0)</definedName>
    <definedName name="FrontLine_Detail">#REF!</definedName>
    <definedName name="FRPRD">#REF!</definedName>
    <definedName name="FRS">#REF!</definedName>
    <definedName name="FRTRNDT">#REF!</definedName>
    <definedName name="FRTRNREF">#REF!</definedName>
    <definedName name="FS">#REF!</definedName>
    <definedName name="FS_Sub_Type">#REF!</definedName>
    <definedName name="FS_Type">#REF!</definedName>
    <definedName name="FS97Ratios">#REF!</definedName>
    <definedName name="fsa">#REF!</definedName>
    <definedName name="fsa_1">#REF!</definedName>
    <definedName name="fsa_2">#REF!</definedName>
    <definedName name="fsa_3">#REF!</definedName>
    <definedName name="fsa_4">#REF!</definedName>
    <definedName name="fsadf">#REF!</definedName>
    <definedName name="fsadf_1">#REF!</definedName>
    <definedName name="fsadf_2">#REF!</definedName>
    <definedName name="fsadf_3">#REF!</definedName>
    <definedName name="fsadf_4">#REF!</definedName>
    <definedName name="fsadfsaf">#REF!</definedName>
    <definedName name="fsadga">#REF!</definedName>
    <definedName name="FSAFSAF">#REF!</definedName>
    <definedName name="fsd">#REF!</definedName>
    <definedName name="fsd_1">#REF!</definedName>
    <definedName name="fsd_2">#REF!</definedName>
    <definedName name="fsd_3">#REF!</definedName>
    <definedName name="fsd_4">#REF!</definedName>
    <definedName name="fsda">#REF!</definedName>
    <definedName name="fsda_1">#REF!</definedName>
    <definedName name="fsda_2">#REF!</definedName>
    <definedName name="fsda_3">#REF!</definedName>
    <definedName name="fsda_4">#REF!</definedName>
    <definedName name="fsdafas">#REF!</definedName>
    <definedName name="fsdafas_1">#REF!</definedName>
    <definedName name="fsdafas_2">#REF!</definedName>
    <definedName name="fsdafas_3">#REF!</definedName>
    <definedName name="fsdafas_4">#REF!</definedName>
    <definedName name="fsdf">#REF!</definedName>
    <definedName name="fsdf_1">#REF!</definedName>
    <definedName name="fsdf_2">#REF!</definedName>
    <definedName name="fsdf_3">#REF!</definedName>
    <definedName name="fsdf_4">#REF!</definedName>
    <definedName name="fsdfasd">#REF!</definedName>
    <definedName name="fsdfasd_1">#REF!</definedName>
    <definedName name="fsdfasd_2">#REF!</definedName>
    <definedName name="fsdfasd_3">#REF!</definedName>
    <definedName name="fsdfasd_4">#REF!</definedName>
    <definedName name="fsdfdfa">#REF!</definedName>
    <definedName name="FSDFDS" hidden="1">{#N/A,#N/A,FALSE,"REPORT"}</definedName>
    <definedName name="fsdfdsf">Indexn1,IndexN2</definedName>
    <definedName name="fsdfsdf">#REF!</definedName>
    <definedName name="fsdfsdf_1">#REF!</definedName>
    <definedName name="fsdfsdf_2">#REF!</definedName>
    <definedName name="fsdfsdf_3">#REF!</definedName>
    <definedName name="fsdfsdf_4">#REF!</definedName>
    <definedName name="fsdfsdfs">Allx3,Allx4,Allx5</definedName>
    <definedName name="fsdsfafd" hidden="1">{"CSheet",#N/A,FALSE,"C";"SmCap",#N/A,FALSE,"VAL1";"GulfCoast",#N/A,FALSE,"VAL1";"nav",#N/A,FALSE,"NAV";"Summary",#N/A,FALSE,"NAV"}</definedName>
    <definedName name="fsgdr">#REF!</definedName>
    <definedName name="Fsmv">0</definedName>
    <definedName name="FSoPacific">#REF!</definedName>
    <definedName name="fsr">#REF!</definedName>
    <definedName name="FST">#REF!</definedName>
    <definedName name="FST_1">#REF!</definedName>
    <definedName name="FST_2">#REF!</definedName>
    <definedName name="fsv">#REF!</definedName>
    <definedName name="FSWRN.FRP" hidden="1">{#N/A,#N/A,FALSE,"Title";#N/A,#N/A,FALSE,"Index";#N/A,#N/A,FALSE,"1";#N/A,#N/A,FALSE,"2";#N/A,#N/A,FALSE,"3";#N/A,#N/A,FALSE,"4";#N/A,#N/A,FALSE,"5";#N/A,#N/A,FALSE,"6";#N/A,#N/A,FALSE,"7";#N/A,#N/A,FALSE,"8"}</definedName>
    <definedName name="fswrn.ird" hidden="1">{#N/A,#N/A,FALSE,"Title";#N/A,#N/A,FALSE,"Index";#N/A,#N/A,FALSE,"1";#N/A,#N/A,FALSE,"2";#N/A,#N/A,FALSE,"3";#N/A,#N/A,FALSE,"4";#N/A,#N/A,FALSE,"5";#N/A,#N/A,FALSE,"6";#N/A,#N/A,FALSE,"7";#N/A,#N/A,FALSE,"8"}</definedName>
    <definedName name="FSWRN.QUARTFRP" hidden="1">{#N/A,#N/A,FALSE,"Title";#N/A,#N/A,FALSE,"Index";#N/A,#N/A,FALSE,"1";#N/A,#N/A,FALSE,"2";#N/A,#N/A,FALSE,"3";#N/A,#N/A,FALSE,"4";#N/A,#N/A,FALSE,"5";#N/A,#N/A,FALSE,"5A";#N/A,#N/A,FALSE,"6";#N/A,#N/A,FALSE,"7";#N/A,#N/A,FALSE,"8"}</definedName>
    <definedName name="ftjy">#REF!</definedName>
    <definedName name="ftrbhtrghstr">#REF!</definedName>
    <definedName name="ftrbhtrghstr_1">#REF!</definedName>
    <definedName name="ftrbhtrghstr_2">#REF!</definedName>
    <definedName name="ftrbhtrghstr_3">#REF!</definedName>
    <definedName name="ftrbhtrghstr_4">#REF!</definedName>
    <definedName name="fts">#REF!</definedName>
    <definedName name="FTT">#N/A</definedName>
    <definedName name="ftyf">#REF!</definedName>
    <definedName name="ftytf">#REF!</definedName>
    <definedName name="fuckface">#REF!</definedName>
    <definedName name="FUEL">#REF!</definedName>
    <definedName name="Full_IS">#REF!</definedName>
    <definedName name="Full256">#REF!</definedName>
    <definedName name="Full256W">#REF!</definedName>
    <definedName name="Fullcost">#REF!</definedName>
    <definedName name="FullE1">#REF!</definedName>
    <definedName name="FullE1W">#REF!</definedName>
    <definedName name="fully">#REF!</definedName>
    <definedName name="FUNCTIONALCURRENCY1">#REF!</definedName>
    <definedName name="FUNCTIONALCURRENCY2">#REF!</definedName>
    <definedName name="FUNCTIONALCURRENCY3">#REF!</definedName>
    <definedName name="FUNCTIONALCURRENCY4">#REF!</definedName>
    <definedName name="FUNCTIONALCURRENCY5">#REF!</definedName>
    <definedName name="FUNCTIONALCURRENCY6">#REF!</definedName>
    <definedName name="Funding">#REF!</definedName>
    <definedName name="fur" hidden="1">{#N/A,#N/A,FALSE,"Taxblinc";#N/A,#N/A,FALSE,"Rsvsacls"}</definedName>
    <definedName name="FURN_FIX" hidden="1">{#N/A,#N/A,FALSE,"Aging Summary";#N/A,#N/A,FALSE,"Ratio Analysis";#N/A,#N/A,FALSE,"Test 120 Day Accts";#N/A,#N/A,FALSE,"Tickmarks"}</definedName>
    <definedName name="FURNITURE_ACQUISITION_98_99">#REF!</definedName>
    <definedName name="Furnitures">#REF!</definedName>
    <definedName name="FV">2014</definedName>
    <definedName name="fvbgfchj">#REF!</definedName>
    <definedName name="fvbgfchj_1">#REF!</definedName>
    <definedName name="FVerticalAxis">#REF!</definedName>
    <definedName name="FVG" hidden="1">{#N/A,#N/A,FALSE,"Pharm";#N/A,#N/A,FALSE,"WWCM"}</definedName>
    <definedName name="fvlook">#REF!</definedName>
    <definedName name="FW">#REF!</definedName>
    <definedName name="FX">#REF!</definedName>
    <definedName name="FX_TABLE">#REF!</definedName>
    <definedName name="FX_TABLEH">#REF!</definedName>
    <definedName name="FX_TABLEV">#REF!</definedName>
    <definedName name="fxdghsfgh">#REF!</definedName>
    <definedName name="fxdghsfgh_1">#REF!</definedName>
    <definedName name="FXH">#REF!</definedName>
    <definedName name="FXrate">#REF!</definedName>
    <definedName name="FXV">#REF!</definedName>
    <definedName name="fy03aud">#REF!</definedName>
    <definedName name="fy03hkd">#REF!</definedName>
    <definedName name="fy03sgd">#REF!</definedName>
    <definedName name="fy03thb">#REF!</definedName>
    <definedName name="fy03twd">#REF!</definedName>
    <definedName name="fy12cost" hidden="1">#REF!</definedName>
    <definedName name="FY98FILE">#REF!</definedName>
    <definedName name="fyaud">#REF!</definedName>
    <definedName name="FYE">"FYE"</definedName>
    <definedName name="FYeleven">#REF!</definedName>
    <definedName name="fyf">#REF!</definedName>
    <definedName name="FYfive">#REF!</definedName>
    <definedName name="FYfour">#REF!</definedName>
    <definedName name="fyhkd">#REF!</definedName>
    <definedName name="FYI">#REF!</definedName>
    <definedName name="FYseven">#REF!</definedName>
    <definedName name="fysgd">#REF!</definedName>
    <definedName name="FYsix">#REF!</definedName>
    <definedName name="fythb">#REF!</definedName>
    <definedName name="FYthirteen">#REF!</definedName>
    <definedName name="FYthree">#REF!</definedName>
    <definedName name="fytwd">#REF!</definedName>
    <definedName name="FYtwelve">#REF!</definedName>
    <definedName name="g" hidden="1">{#N/A,#N/A,TRUE,"Condensed IS";#N/A,#N/A,TRUE,"Condensed BS";#N/A,#N/A,TRUE,"Outlook";#N/A,#N/A,TRUE,"Condensed CF";#N/A,#N/A,TRUE,"Condensed CF - qtr"}</definedName>
    <definedName name="G.A.exp.">#REF!</definedName>
    <definedName name="G_1">#REF!</definedName>
    <definedName name="g_intl">#REF!</definedName>
    <definedName name="G_L_FooterType">"INTERNAL"</definedName>
    <definedName name="G_Lhistory_FooterType">"INTERNAL"</definedName>
    <definedName name="g_total">#REF!</definedName>
    <definedName name="g_US">#REF!</definedName>
    <definedName name="G1ClearAll">g1clear,G1Clear2</definedName>
    <definedName name="G2NCheck_Red1.1">OFFSET(#REF!,1,0, EmpCount,2)</definedName>
    <definedName name="G2NCheck_Red1.2">OFFSET(#REF!,1,0, EmpCount,1)</definedName>
    <definedName name="G2NCheck_Red1.3">OFFSET(#REF!,1,0, EmpCount,4)</definedName>
    <definedName name="G2NCheck_Red2">OFFSET(#REF!,1,0, EmpCount,21)</definedName>
    <definedName name="G2NCheck_Red3">OFFSET(#REF!,1,0, EmpCount,22)</definedName>
    <definedName name="G2NCheck_Red4">OFFSET(#REF!,1,0, EmpCount,103)</definedName>
    <definedName name="G2NTM_Yellow1.1">OFFSET(#REF!,1,0, EmpCount,81)</definedName>
    <definedName name="G2NTM_Yellow1.2">OFFSET(#REF!,1,0, EmpCount,22)</definedName>
    <definedName name="G2NTM_Yellow1.3">OFFSET(#REF!,1,0, EmpCount,8)</definedName>
    <definedName name="G2NTM_Yellow1.4">OFFSET(#REF!,1,0, EmpCount,15)</definedName>
    <definedName name="G2NTM_Yellow1.5">OFFSET(#REF!,1,0, EmpCount,1)</definedName>
    <definedName name="G2NVariance_Y1.1">OFFSET(#REF!,1,0, EmpCount,81)</definedName>
    <definedName name="G2NVariance_Y1.2">OFFSET(#REF!,1,0, EmpCount,22)</definedName>
    <definedName name="G2NVariance_Y1.3">OFFSET(#REF!,1,0, EmpCount,8)</definedName>
    <definedName name="G2NVariance_Y1.4">OFFSET(#REF!,1,0, EmpCount,15)</definedName>
    <definedName name="G2NVariance_Y1.5">OFFSET(#REF!,1,0, EmpCount,2)</definedName>
    <definedName name="ga" hidden="1">{#N/A,#N/A,FALSE,"Aging Summary";#N/A,#N/A,FALSE,"Ratio Analysis";#N/A,#N/A,FALSE,"Test 120 Day Accts";#N/A,#N/A,FALSE,"Tickmarks"}</definedName>
    <definedName name="GA_1">#REF!</definedName>
    <definedName name="ga_3">#REF!</definedName>
    <definedName name="GA_SUMMARY">#REF!</definedName>
    <definedName name="gaa">#REF!</definedName>
    <definedName name="gab">#REF!</definedName>
    <definedName name="gadew">#REF!</definedName>
    <definedName name="gadfsh">#REF!</definedName>
    <definedName name="gads">#REF!</definedName>
    <definedName name="gadse">#REF!</definedName>
    <definedName name="GAE">#REF!</definedName>
    <definedName name="gaf">#REF!</definedName>
    <definedName name="gaf_1">#REF!</definedName>
    <definedName name="gaf_2">#REF!</definedName>
    <definedName name="gaf_3">#REF!</definedName>
    <definedName name="gaf_4">#REF!</definedName>
    <definedName name="gail">#REF!</definedName>
    <definedName name="galsas">{"'Feb 99'!$A$1:$G$30"}</definedName>
    <definedName name="ganehs">#REF!</definedName>
    <definedName name="ganesh">#REF!</definedName>
    <definedName name="ganesh1">#REF!</definedName>
    <definedName name="ganesh19844">#REF!</definedName>
    <definedName name="gas_to_oil">6</definedName>
    <definedName name="gasdf">#REF!</definedName>
    <definedName name="gasdf_1">#REF!</definedName>
    <definedName name="gasdf_2">#REF!</definedName>
    <definedName name="gasdf_3">#REF!</definedName>
    <definedName name="gasdf_4">#REF!</definedName>
    <definedName name="gawea">#REF!</definedName>
    <definedName name="gawen">#REF!</definedName>
    <definedName name="gb">#REF!</definedName>
    <definedName name="GBP">#REF!</definedName>
    <definedName name="gd">#REF!</definedName>
    <definedName name="gd_1">#REF!</definedName>
    <definedName name="gd_2">#REF!</definedName>
    <definedName name="gd_3">#REF!</definedName>
    <definedName name="gd_4">#REF!</definedName>
    <definedName name="GDF">#REF!</definedName>
    <definedName name="gdf_1">#REF!</definedName>
    <definedName name="gdf_2">#REF!</definedName>
    <definedName name="gdf_3">#REF!</definedName>
    <definedName name="gdf_4">#REF!</definedName>
    <definedName name="GDFA">#REF!</definedName>
    <definedName name="gdfg">#REF!</definedName>
    <definedName name="gdfg_1">#REF!</definedName>
    <definedName name="gdfg_2">#REF!</definedName>
    <definedName name="gdfg_3">#REF!</definedName>
    <definedName name="gdfg_4">#REF!</definedName>
    <definedName name="gdfgdf" hidden="1">{#N/A,#N/A,FALSE,"Pharm";#N/A,#N/A,FALSE,"WWCM"}</definedName>
    <definedName name="gdfgdfg">#REF!</definedName>
    <definedName name="gdfgdfg_1">#REF!</definedName>
    <definedName name="gdfgdfg_2">#REF!</definedName>
    <definedName name="gdfgdfg_3">#REF!</definedName>
    <definedName name="gdfgdfg_4">#REF!</definedName>
    <definedName name="gdfgh">#REF!</definedName>
    <definedName name="gdfgh_1">#REF!</definedName>
    <definedName name="gdfgh_2">#REF!</definedName>
    <definedName name="gdfgh_3">#REF!</definedName>
    <definedName name="gdfgh_4">#REF!</definedName>
    <definedName name="gdfgjj" hidden="1">#REF!</definedName>
    <definedName name="gdgf" hidden="1">{#N/A,#N/A,FALSE,"Pharm";#N/A,#N/A,FALSE,"WWCM"}</definedName>
    <definedName name="gdkjghfhfyfr">"c83"</definedName>
    <definedName name="gdsassd" hidden="1">{#N/A,#N/A,FALSE,"Australia";#N/A,#N/A,FALSE,"Austria";#N/A,#N/A,FALSE,"Belgium";#N/A,#N/A,FALSE,"Canada";#N/A,#N/A,FALSE,"France";#N/A,#N/A,FALSE,"Germany";#N/A,#N/A,FALSE,"Hong Kong";#N/A,#N/A,FALSE,"Italy";#N/A,#N/A,FALSE,"Japan";#N/A,#N/A,FALSE,"Korea";#N/A,#N/A,FALSE,"Mexico";#N/A,#N/A,FALSE,"Poland";#N/A,#N/A,FALSE,"Spain";#N/A,#N/A,FALSE,"Switzerland";#N/A,#N/A,FALSE,"UK"}</definedName>
    <definedName name="gdsassd_3">#REF!</definedName>
    <definedName name="gdsd" hidden="1">{#N/A,#N/A,FALSE,"KMC최종회의(7월) 자료"}</definedName>
    <definedName name="gdsf">#REF!</definedName>
    <definedName name="gdsf_1">#REF!</definedName>
    <definedName name="gdsf_2">#REF!</definedName>
    <definedName name="gdsf_3">#REF!</definedName>
    <definedName name="gdsf_4">#REF!</definedName>
    <definedName name="gdsgfdsg" hidden="1">{#N/A,#N/A,FALSE,"Pharm";#N/A,#N/A,FALSE,"WWCM"}</definedName>
    <definedName name="ge">#REF!</definedName>
    <definedName name="GeelCapexFcst">#REF!</definedName>
    <definedName name="gejsdfngjkosdnm">{"'Sheet1'!$A$5:$E$42"}</definedName>
    <definedName name="general">#REF!</definedName>
    <definedName name="General_Information_and_Questions">#REF!</definedName>
    <definedName name="Generic">#REF!</definedName>
    <definedName name="Genesc">#REF!</definedName>
    <definedName name="GEO">#REF!</definedName>
    <definedName name="george">#REF!</definedName>
    <definedName name="george3">#REF!</definedName>
    <definedName name="GEORSB">#REF!</definedName>
    <definedName name="GEOSEGTYPEASP">#REF!</definedName>
    <definedName name="GEOSEGTYPEB">#REF!</definedName>
    <definedName name="GEOSEGTYPEV">#REF!</definedName>
    <definedName name="GEOTYPEB">#REF!</definedName>
    <definedName name="GEOTYPEPFASP">#REF!</definedName>
    <definedName name="GEOTYPESEGCL">#REF!</definedName>
    <definedName name="geotypesegpfvlb">#REF!</definedName>
    <definedName name="geotypesegpfvlv">#REF!</definedName>
    <definedName name="GEOTYPEV">#REF!</definedName>
    <definedName name="GERM">#REF!</definedName>
    <definedName name="GERMANY">#REF!</definedName>
    <definedName name="Germany_FooterType">"INTERNAL"</definedName>
    <definedName name="GEShip">#REF!</definedName>
    <definedName name="Get_More_Web_Queries_2">#REF!</definedName>
    <definedName name="gf" hidden="1">{#N/A,#N/A,FALSE,"Aging Summary";#N/A,#N/A,FALSE,"Ratio Analysis";#N/A,#N/A,FALSE,"Test 120 Day Accts";#N/A,#N/A,FALSE,"Tickmarks"}</definedName>
    <definedName name="gf_3">#REF!</definedName>
    <definedName name="GFACTOR_9901기준">#REF!</definedName>
    <definedName name="gfad">#REF!</definedName>
    <definedName name="gfasd">#REF!</definedName>
    <definedName name="gfbngnhjdf">#REF!</definedName>
    <definedName name="gfbngnhjdf_1">#REF!</definedName>
    <definedName name="gfbngnhjdf_2">#REF!</definedName>
    <definedName name="gfbngnhjdf_3">#REF!</definedName>
    <definedName name="gfbngnhjdf_4">#REF!</definedName>
    <definedName name="gfd" hidden="1">{#N/A,#N/A,TRUE,"CPRD";#N/A,#N/A,TRUE,"BCCPDR";#N/A,#N/A,TRUE,"EWRD";#N/A,#N/A,TRUE,"5100";#N/A,#N/A,TRUE,"5110"}</definedName>
    <definedName name="GFDJ" hidden="1">{#N/A,#N/A,FALSE,"손익표지";#N/A,#N/A,FALSE,"손익계산";#N/A,#N/A,FALSE,"일반관리비";#N/A,#N/A,FALSE,"영업외수익";#N/A,#N/A,FALSE,"영업외비용";#N/A,#N/A,FALSE,"매출액";#N/A,#N/A,FALSE,"요약손익";#N/A,#N/A,FALSE,"요약대차";#N/A,#N/A,FALSE,"매출채권현황";#N/A,#N/A,FALSE,"매출채권명세"}</definedName>
    <definedName name="gff">#REF!</definedName>
    <definedName name="gffff">#REF!</definedName>
    <definedName name="gfg">#REF!</definedName>
    <definedName name="gfgf" hidden="1">{#N/A,#N/A,FALSE,"REPORT"}</definedName>
    <definedName name="gfh">#REF!</definedName>
    <definedName name="gfh_1">#REF!</definedName>
    <definedName name="gfh_2">#REF!</definedName>
    <definedName name="gfh_3">#REF!</definedName>
    <definedName name="gfh_4">#REF!</definedName>
    <definedName name="GFHGF" hidden="1">{#N/A,#N/A,FALSE,"손익표지";#N/A,#N/A,FALSE,"손익계산";#N/A,#N/A,FALSE,"일반관리비";#N/A,#N/A,FALSE,"영업외수익";#N/A,#N/A,FALSE,"영업외비용";#N/A,#N/A,FALSE,"매출액";#N/A,#N/A,FALSE,"요약손익";#N/A,#N/A,FALSE,"요약대차";#N/A,#N/A,FALSE,"매출채권현황";#N/A,#N/A,FALSE,"매출채권명세"}</definedName>
    <definedName name="gfj">#REF!</definedName>
    <definedName name="gfjf">#REF!</definedName>
    <definedName name="gfjfj">#REF!</definedName>
    <definedName name="gfjfj_1">#REF!</definedName>
    <definedName name="gfjfj_2">#REF!</definedName>
    <definedName name="gfjfj_3">#REF!</definedName>
    <definedName name="gfjfj_4">#REF!</definedName>
    <definedName name="gfjgfj">#REF!</definedName>
    <definedName name="gfjgfjgf">#REF!</definedName>
    <definedName name="GFJHGJHGJKH">{"'OCT  VOIDS'!$A$1:$G$33","'OCT '!$A$1:$G$48","'OCT Adj'!$A$1:$L$37"}</definedName>
    <definedName name="gfkhk">#REF!</definedName>
    <definedName name="gfsdhgsfdhjggsdh" hidden="1">{#N/A,#N/A,FALSE,"Australia";#N/A,#N/A,FALSE,"Austria";#N/A,#N/A,FALSE,"Belgium";#N/A,#N/A,FALSE,"Canada";#N/A,#N/A,FALSE,"France";#N/A,#N/A,FALSE,"Germany";#N/A,#N/A,FALSE,"Hong Kong";#N/A,#N/A,FALSE,"Italy";#N/A,#N/A,FALSE,"Japan";#N/A,#N/A,FALSE,"Korea";#N/A,#N/A,FALSE,"Mexico";#N/A,#N/A,FALSE,"Poland";#N/A,#N/A,FALSE,"Spain";#N/A,#N/A,FALSE,"Switzerland";#N/A,#N/A,FALSE,"UK"}</definedName>
    <definedName name="gfsdhgsfdhjggsdh_3">#REF!</definedName>
    <definedName name="gfsdn">#REF!</definedName>
    <definedName name="gg">#REF!</definedName>
    <definedName name="gg_1">#REF!</definedName>
    <definedName name="gg_2">#REF!</definedName>
    <definedName name="gg_3">#REF!</definedName>
    <definedName name="gg_4">#REF!</definedName>
    <definedName name="ggg">#REF!</definedName>
    <definedName name="gggff">#REF!</definedName>
    <definedName name="gggg"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gggg_3">#REF!</definedName>
    <definedName name="GGGGGGGGGGGGG">#REF!</definedName>
    <definedName name="GGGH">#REF!</definedName>
    <definedName name="GGHH">#REF!</definedName>
    <definedName name="ggsdf">#REF!</definedName>
    <definedName name="ggsdf_1">#REF!</definedName>
    <definedName name="ggsdf_2">#REF!</definedName>
    <definedName name="ggsdf_3">#REF!</definedName>
    <definedName name="ggsdf_4">#REF!</definedName>
    <definedName name="gh">#REF!</definedName>
    <definedName name="gh_1">#REF!</definedName>
    <definedName name="gh_2">#REF!</definedName>
    <definedName name="gh_3">#REF!</definedName>
    <definedName name="gh_4">#REF!</definedName>
    <definedName name="GHD">#REF!</definedName>
    <definedName name="ghdf">#REF!</definedName>
    <definedName name="ghdf_1">#REF!</definedName>
    <definedName name="ghdf_2">#REF!</definedName>
    <definedName name="ghdf_3">#REF!</definedName>
    <definedName name="ghdf_4">#REF!</definedName>
    <definedName name="GHDSAG" hidden="1">{#N/A,#N/A,FALSE,"Pharm";#N/A,#N/A,FALSE,"WWCM"}</definedName>
    <definedName name="ghfghgf">#REF!</definedName>
    <definedName name="ghgjh">#REF!</definedName>
    <definedName name="ghgtj" hidden="1">{#N/A,#N/A,TRUE,"Summary";#N/A,#N/A,TRUE,"Description";#N/A,#N/A,TRUE,"AstLst";#N/A,#N/A,TRUE,"CshFlow";#N/A,#N/A,TRUE,"Inc-Stmt";#N/A,#N/A,TRUE,"B-Sht"}</definedName>
    <definedName name="ghi">#REF!</definedName>
    <definedName name="ghjg">#REF!</definedName>
    <definedName name="ghjggjh" hidden="1">{#N/A,#N/A,FALSE,"Pharm";#N/A,#N/A,FALSE,"WWCM"}</definedName>
    <definedName name="ghjkhgk">#REF!</definedName>
    <definedName name="ghjkhjkhjkh">#REF!</definedName>
    <definedName name="ghjnhnnhj">#REF!</definedName>
    <definedName name="ghjnhnnhj_1">#REF!</definedName>
    <definedName name="ghjnhnnhj_2">#REF!</definedName>
    <definedName name="ghjnhnnhj_3">#REF!</definedName>
    <definedName name="ghjnhnnhj_4">#REF!</definedName>
    <definedName name="ghk" hidden="1">{#N/A,#N/A,FALSE,"Pharm";#N/A,#N/A,FALSE,"WWCM"}</definedName>
    <definedName name="ghkghk">#REF!</definedName>
    <definedName name="ghkgjkhjkhjk">#REF!</definedName>
    <definedName name="ghkhjkjhkjh">#REF!</definedName>
    <definedName name="ghkjhkhk">#REF!</definedName>
    <definedName name="ghmkjf">#REF!</definedName>
    <definedName name="ghmkjf_1">#REF!</definedName>
    <definedName name="ghmkjf_2">#REF!</definedName>
    <definedName name="ghmkjf_3">#REF!</definedName>
    <definedName name="ghmkjf_4">#REF!</definedName>
    <definedName name="gilgul">#REF!</definedName>
    <definedName name="gilgul_rivon_kodem">#REF!</definedName>
    <definedName name="gjdft">#REF!</definedName>
    <definedName name="GJGJGJG">#REF!</definedName>
    <definedName name="GJJ">#REF!</definedName>
    <definedName name="gjty">#REF!</definedName>
    <definedName name="gjygj">#REF!</definedName>
    <definedName name="gkhluoueurqqwireqwrj">5</definedName>
    <definedName name="gkn">#REF!</definedName>
    <definedName name="gl">#REF!</definedName>
    <definedName name="GL_Balance">#REF!</definedName>
    <definedName name="GL_Convert">#REF!</definedName>
    <definedName name="gla" hidden="1">{#N/A,#N/A,FALSE,"Inc Month";#N/A,#N/A,FALSE,"Inc YTD";#N/A,#N/A,FALSE,"Bal Sheet";#N/A,#N/A,FALSE,"Base Cert";#N/A,#N/A,FALSE,"AR-Detail";#N/A,#N/A,FALSE,"PAC Bal";#N/A,#N/A,FALSE,"PAC Cash";#N/A,#N/A,FALSE,"Equity";#N/A,#N/A,FALSE,"PEI Bal";#N/A,#N/A,FALSE,"PEI Cash"}</definedName>
    <definedName name="Glad">#REF!</definedName>
    <definedName name="GLADDATA">#REF!</definedName>
    <definedName name="GLANCE">#REF!</definedName>
    <definedName name="Glaxo">#REF!</definedName>
    <definedName name="GLCR">#REF!</definedName>
    <definedName name="glcredits">#REF!</definedName>
    <definedName name="GlDR">#REF!</definedName>
    <definedName name="GlideChartMarker">"Chart!A1"</definedName>
    <definedName name="GlideDataMarker">"Data!A1"</definedName>
    <definedName name="GlideHiddenMarker">"Costcurvedata!A1"</definedName>
    <definedName name="GlideMaxCharts">7</definedName>
    <definedName name="global_tax">#REF!</definedName>
    <definedName name="global_tax2">#REF!</definedName>
    <definedName name="globalcsmrevenue">#REF!</definedName>
    <definedName name="GLTRX">#REF!</definedName>
    <definedName name="GM">#REF!</definedName>
    <definedName name="gmaint">84000</definedName>
    <definedName name="gmcomm">17957.67</definedName>
    <definedName name="gmd" hidden="1">{#N/A,#N/A,FALSE,"REPORT"}</definedName>
    <definedName name="gmr">#REF!</definedName>
    <definedName name="gnaes">#REF!</definedName>
    <definedName name="go">#REF!</definedName>
    <definedName name="GO_____">#REF!</definedName>
    <definedName name="Goa">#REF!</definedName>
    <definedName name="GoAssetChart">#N/A</definedName>
    <definedName name="GoBack">#N/A</definedName>
    <definedName name="GoBalanceSheet">#N/A</definedName>
    <definedName name="GoCashFlow">#N/A</definedName>
    <definedName name="GoData">#N/A</definedName>
    <definedName name="GOES_BACK_TO_FI">#REF!</definedName>
    <definedName name="GOES_BACK_TO_RE">#REF!</definedName>
    <definedName name="GOFER">#REF!</definedName>
    <definedName name="GOILOAN">#REF!</definedName>
    <definedName name="GoIncomeChart">#N/A</definedName>
    <definedName name="GoingConcernScenarios">#REF!</definedName>
    <definedName name="golia">#REF!</definedName>
    <definedName name="goo">#REF!</definedName>
    <definedName name="good">{"'Budget v2'!$B$78:$H$95","'Budget v2'!$B$78:$M$95"}</definedName>
    <definedName name="goodwill">#REF!</definedName>
    <definedName name="google.data">#REF!</definedName>
    <definedName name="gooo">#REF!</definedName>
    <definedName name="gosbal">499230.33</definedName>
    <definedName name="gotof4">#REF!</definedName>
    <definedName name="GoToF4Ytd">#REF!</definedName>
    <definedName name="gotos3">#REF!</definedName>
    <definedName name="GoToWaterfall">#REF!</definedName>
    <definedName name="gpcomm">142950</definedName>
    <definedName name="GpDollars">#REF!</definedName>
    <definedName name="gproduct">443140</definedName>
    <definedName name="gprpayment">0</definedName>
    <definedName name="gqpayment">135620.67</definedName>
    <definedName name="Grade_Names">#REF!</definedName>
    <definedName name="GradeChg">#REF!</definedName>
    <definedName name="Grand_Total">#REF!</definedName>
    <definedName name="GrandTotal">#REF!</definedName>
    <definedName name="graph" hidden="1">{#N/A,#N/A,FALSE,"REPORT"}</definedName>
    <definedName name="graphs2" hidden="1">{#N/A,#N/A,FALSE,"REPORT"}</definedName>
    <definedName name="grasim">#REF!</definedName>
    <definedName name="GRate">#REF!</definedName>
    <definedName name="GRBLOCK">#REF!</definedName>
    <definedName name="grd">#REF!</definedName>
    <definedName name="grd_1">#REF!</definedName>
    <definedName name="greerererer">#REF!</definedName>
    <definedName name="Greg">#REF!</definedName>
    <definedName name="grftegt" hidden="1">{#N/A,#N/A,FALSE,"REPORT"}</definedName>
    <definedName name="Grid">#REF!</definedName>
    <definedName name="GridCash">#REF!</definedName>
    <definedName name="gross">#REF!</definedName>
    <definedName name="Gross_inc_growth">#REF!</definedName>
    <definedName name="Gross_Margin___Rs_M">#REF!</definedName>
    <definedName name="Gross_margin_fore">#REF!</definedName>
    <definedName name="Gross_Profit">#REF!</definedName>
    <definedName name="GROSS_REAL">#REF!</definedName>
    <definedName name="grossprofit">#REF!</definedName>
    <definedName name="GROUP">#REF!</definedName>
    <definedName name="Group1">#REF!</definedName>
    <definedName name="Group2">#REF!</definedName>
    <definedName name="Group4">#REF!</definedName>
    <definedName name="Grouped">#REF!</definedName>
    <definedName name="groupings">#REF!</definedName>
    <definedName name="groupings1">#REF!</definedName>
    <definedName name="groups">#REF!</definedName>
    <definedName name="GrphActSales">#REF!</definedName>
    <definedName name="GrphActSales.">#REF!</definedName>
    <definedName name="GrphActStk">#REF!</definedName>
    <definedName name="GrphActStk.">#REF!</definedName>
    <definedName name="GrphPlanSales">#REF!</definedName>
    <definedName name="Grphplansales.">#REF!</definedName>
    <definedName name="GrphTgtStk">#REF!</definedName>
    <definedName name="Grphtgtstk.">#REF!</definedName>
    <definedName name="GRPL">#REF!</definedName>
    <definedName name="GRPS">#REF!</definedName>
    <definedName name="grwvfs">#REF!</definedName>
    <definedName name="grwvfs_1">#REF!</definedName>
    <definedName name="gscomm">15500</definedName>
    <definedName name="gsd">#REF!</definedName>
    <definedName name="gsd_1">#REF!</definedName>
    <definedName name="gsd_2">#REF!</definedName>
    <definedName name="gsd_3">#REF!</definedName>
    <definedName name="gsd_4">#REF!</definedName>
    <definedName name="gsdf">#REF!</definedName>
    <definedName name="gsdf_1">#REF!</definedName>
    <definedName name="gsdf_2">#REF!</definedName>
    <definedName name="gsdf_3">#REF!</definedName>
    <definedName name="gsdf_4">#REF!</definedName>
    <definedName name="gsdfdf">#REF!</definedName>
    <definedName name="gsdfdf_1">#REF!</definedName>
    <definedName name="gsdfdf_2">#REF!</definedName>
    <definedName name="gsdfdf_3">#REF!</definedName>
    <definedName name="gsdfdf_4">#REF!</definedName>
    <definedName name="gsdfgfdhg" hidden="1">{#N/A,#N/A,FALSE,"Pharm";#N/A,#N/A,FALSE,"WWCM"}</definedName>
    <definedName name="gsdfgsdf_1">#REF!</definedName>
    <definedName name="gsdfgsdf_2">#REF!</definedName>
    <definedName name="gsdfgsdf_3">#REF!</definedName>
    <definedName name="gsdfgsdf_4">#REF!</definedName>
    <definedName name="gsdfsf">#REF!</definedName>
    <definedName name="gsdfsf_1">#REF!</definedName>
    <definedName name="gsdfsf_2">#REF!</definedName>
    <definedName name="gsdfsf_3">#REF!</definedName>
    <definedName name="gsdfsf_4">#REF!</definedName>
    <definedName name="gservice">107711</definedName>
    <definedName name="gsfdgfsdgrydet" hidden="1">{#N/A,#N/A,FALSE,"Pharm";#N/A,#N/A,FALSE,"WWCM"}</definedName>
    <definedName name="gsfdh">#REF!</definedName>
    <definedName name="gsfdh_1">#REF!</definedName>
    <definedName name="gsfdh_2">#REF!</definedName>
    <definedName name="gsfdh_3">#REF!</definedName>
    <definedName name="gsfdh_4">#REF!</definedName>
    <definedName name="gsfgs">#REF!</definedName>
    <definedName name="gsgseg">#REF!</definedName>
    <definedName name="gsrgr">#REF!</definedName>
    <definedName name="GST">#REF!</definedName>
    <definedName name="GTFixedPrice">#REF!</definedName>
    <definedName name="gtotal">634851</definedName>
    <definedName name="GTScaler">#REF!</definedName>
    <definedName name="GTVariablePrice">#REF!</definedName>
    <definedName name="gu">#REF!</definedName>
    <definedName name="GUIDELINES">#REF!</definedName>
    <definedName name="guj_ambuja">#REF!</definedName>
    <definedName name="gujambuja">#REF!</definedName>
    <definedName name="gujaratalka">#REF!</definedName>
    <definedName name="gujaratambuja">#REF!</definedName>
    <definedName name="Gujratambuja">#REF!</definedName>
    <definedName name="gus">#REF!</definedName>
    <definedName name="gusg" hidden="1">{#N/A,#N/A,TRUE,"Summary";#N/A,#N/A,TRUE,"IS";#N/A,#N/A,TRUE,"Adj";#N/A,#N/A,TRUE,"BS";#N/A,#N/A,TRUE,"CF";#N/A,#N/A,TRUE,"Debt";#N/A,#N/A,TRUE,"IRR"}</definedName>
    <definedName name="gusrmagmfma" hidden="1">{#N/A,#N/A,TRUE,"Summary";#N/A,#N/A,TRUE,"IS";#N/A,#N/A,TRUE,"Adj";#N/A,#N/A,TRUE,"BS";#N/A,#N/A,TRUE,"CF";#N/A,#N/A,TRUE,"Debt";#N/A,#N/A,TRUE,"IRR"}</definedName>
    <definedName name="GVJH">#REF!</definedName>
    <definedName name="GVKey">""</definedName>
    <definedName name="GWEEygera">#REF!</definedName>
    <definedName name="GWIP">#REF!</definedName>
    <definedName name="GWYUID1">#REF!</definedName>
    <definedName name="GWYUID2">#REF!</definedName>
    <definedName name="GWYUID3">#REF!</definedName>
    <definedName name="GWYUID4">#REF!</definedName>
    <definedName name="GWYUID5">#REF!</definedName>
    <definedName name="GWYUID6">#REF!</definedName>
    <definedName name="gytuy">#REF!</definedName>
    <definedName name="gyuy">#REF!</definedName>
    <definedName name="h">#REF!</definedName>
    <definedName name="H_1">{"'Sheet1'!$A$5:$E$42"}</definedName>
    <definedName name="H_1_1">{"'Sheet1'!$A$5:$E$42"}</definedName>
    <definedName name="H_1_2">{"'Sheet1'!$A$5:$E$42"}</definedName>
    <definedName name="H_1_3">{"'Sheet1'!$A$5:$E$42"}</definedName>
    <definedName name="H_2">{"'Sheet1'!$A$5:$E$42"}</definedName>
    <definedName name="H_3">{"'Sheet1'!$A$5:$E$42"}</definedName>
    <definedName name="H_4">{"'Sheet1'!$A$5:$E$42"}</definedName>
    <definedName name="H1_">#REF!</definedName>
    <definedName name="ha">#REF!</definedName>
    <definedName name="Haelth.">#REF!</definedName>
    <definedName name="Handling_Charges">#REF!</definedName>
    <definedName name="harish">#REF!</definedName>
    <definedName name="hb">#REF!</definedName>
    <definedName name="HBA">#REF!</definedName>
    <definedName name="hbhbhj">#REF!</definedName>
    <definedName name="hbhbhj_3">#REF!</definedName>
    <definedName name="HC" hidden="1">{#N/A,#N/A,FALSE,"MP96"}</definedName>
    <definedName name="hcc감가">#REF!</definedName>
    <definedName name="hcc매출">#REF!</definedName>
    <definedName name="hcc인원">#REF!</definedName>
    <definedName name="hd" hidden="1">{#N/A,#N/A,FALSE,"Pharm";#N/A,#N/A,FALSE,"WWCM"}</definedName>
    <definedName name="HdctTrnd">#REF!</definedName>
    <definedName name="hdf" hidden="1">{#N/A,#N/A,FALSE,"REPORT"}</definedName>
    <definedName name="hdfc">#REF!</definedName>
    <definedName name="hdfcbank">#REF!</definedName>
    <definedName name="hdfg">#REF!</definedName>
    <definedName name="hdfg_1">#REF!</definedName>
    <definedName name="hdfg_2">#REF!</definedName>
    <definedName name="hdfg_3">#REF!</definedName>
    <definedName name="hdfg_4">#REF!</definedName>
    <definedName name="hdghgfhdfh" hidden="1">{#N/A,#N/A,FALSE,"Pharm";#N/A,#N/A,FALSE,"WWCM"}</definedName>
    <definedName name="hdn2oui3nbd">17</definedName>
    <definedName name="HDP">#REF!</definedName>
    <definedName name="hds">#REF!</definedName>
    <definedName name="hds_1">#REF!</definedName>
    <definedName name="hds_2">#REF!</definedName>
    <definedName name="hds_3">#REF!</definedName>
    <definedName name="hds_4">#REF!</definedName>
    <definedName name="hdsfh" hidden="1">{#N/A,#N/A,FALSE,"Pharm";#N/A,#N/A,FALSE,"WWCM"}</definedName>
    <definedName name="hdtm">#REF!</definedName>
    <definedName name="hdtm_1">#REF!</definedName>
    <definedName name="he">#REF!</definedName>
    <definedName name="hea">#REF!</definedName>
    <definedName name="HEAD">#REF!</definedName>
    <definedName name="Headcount">#REF!</definedName>
    <definedName name="Headcount2">{"'WS Sales by Rep'!$A$24:$L$46"}</definedName>
    <definedName name="Headcount2_1">{"'WS Sales by Rep'!$A$24:$L$46"}</definedName>
    <definedName name="Header">#REF!</definedName>
    <definedName name="Header_Area">#REF!</definedName>
    <definedName name="HEALTH">#REF!</definedName>
    <definedName name="Heat" hidden="1">#REF!</definedName>
    <definedName name="HedgeTotal">#REF!</definedName>
    <definedName name="helek_yahsi">#REF!</definedName>
    <definedName name="HELLO" hidden="1">{#N/A,#N/A,TRUE,"Key Indices";#N/A,#N/A,TRUE,"Mfg Spending";#N/A,#N/A,TRUE,"Mfg Spending Per Unit";#N/A,#N/A,TRUE,"Spending by Organization";#N/A,#N/A,TRUE,"Inventory";#N/A,#N/A,TRUE,"IDM";#N/A,#N/A,TRUE,"Equipment";#N/A,#N/A,TRUE,"Headcount"}</definedName>
    <definedName name="Hello1">#REF!</definedName>
    <definedName name="help">#REF!</definedName>
    <definedName name="herohonda">#REF!</definedName>
    <definedName name="hfd">#REF!</definedName>
    <definedName name="hfdsdadsfgf">#REF!</definedName>
    <definedName name="hfgh" hidden="1">{#N/A,#N/A,FALSE,"Pharm";#N/A,#N/A,FALSE,"WWCM"}</definedName>
    <definedName name="HFJ" hidden="1">{#N/A,#N/A,FALSE,"REPORT"}</definedName>
    <definedName name="hfjm">#REF!</definedName>
    <definedName name="hfjm_1">#REF!</definedName>
    <definedName name="hfydf">#REF!</definedName>
    <definedName name="hg" hidden="1">{#N/A,#N/A,FALSE,"Pharm";#N/A,#N/A,FALSE,"WWCM"}</definedName>
    <definedName name="HGDSH" hidden="1">{#N/A,#N/A,FALSE,"Pharm";#N/A,#N/A,FALSE,"WWCM"}</definedName>
    <definedName name="hger" hidden="1">{#N/A,#N/A,FALSE,"REPORT"}</definedName>
    <definedName name="HGF" hidden="1">{#N/A,#N/A,FALSE,"손익표지";#N/A,#N/A,FALSE,"손익계산";#N/A,#N/A,FALSE,"일반관리비";#N/A,#N/A,FALSE,"영업외수익";#N/A,#N/A,FALSE,"영업외비용";#N/A,#N/A,FALSE,"매출액";#N/A,#N/A,FALSE,"요약손익";#N/A,#N/A,FALSE,"요약대차";#N/A,#N/A,FALSE,"매출채권현황";#N/A,#N/A,FALSE,"매출채권명세"}</definedName>
    <definedName name="HGFDHGF" hidden="1">{#N/A,#N/A,FALSE,"REPORT"}</definedName>
    <definedName name="hgfhfgh">#REF!</definedName>
    <definedName name="HGFHGFDH" hidden="1">{#N/A,#N/A,FALSE,"Pharm";#N/A,#N/A,FALSE,"WWCM"}</definedName>
    <definedName name="hgfhgg">#REF!</definedName>
    <definedName name="hgfhtr">#REF!</definedName>
    <definedName name="hgfjfh">#REF!</definedName>
    <definedName name="hgfjfh_1">#REF!</definedName>
    <definedName name="hgfjfh_2">#REF!</definedName>
    <definedName name="hgfjfh_3">#REF!</definedName>
    <definedName name="hgfjfh_4">#REF!</definedName>
    <definedName name="hghjgjh">#REF!</definedName>
    <definedName name="HGJ">#REF!</definedName>
    <definedName name="HGJDJ">#REF!</definedName>
    <definedName name="hgkh">#REF!</definedName>
    <definedName name="hgkhjk" hidden="1">{#N/A,#N/A,FALSE,"Pharm";#N/A,#N/A,FALSE,"WWCM"}</definedName>
    <definedName name="hgsrt">#REF!</definedName>
    <definedName name="hh">#REF!</definedName>
    <definedName name="hhfdh" hidden="1">{#N/A,#N/A,FALSE,"Pharm";#N/A,#N/A,FALSE,"WWCM"}</definedName>
    <definedName name="hhgjghj">#REF!</definedName>
    <definedName name="hhh">#REF!</definedName>
    <definedName name="HHHH">#REF!</definedName>
    <definedName name="HHHHHHHHHHH">#REF!</definedName>
    <definedName name="hhhsdf">#REF!</definedName>
    <definedName name="HHIhs">#REF!</definedName>
    <definedName name="hi">#REF!</definedName>
    <definedName name="HICOUT">#N/A</definedName>
    <definedName name="HiddenRows">#REF!</definedName>
    <definedName name="hij">#REF!</definedName>
    <definedName name="hijs">#REF!</definedName>
    <definedName name="Hillview">#REF!</definedName>
    <definedName name="hind">#REF!</definedName>
    <definedName name="hind_petro">#REF!</definedName>
    <definedName name="Hindalco">#REF!</definedName>
    <definedName name="Hindlever">#REF!</definedName>
    <definedName name="hindpetro">#REF!</definedName>
    <definedName name="hindustan_lever">#REF!</definedName>
    <definedName name="HindustanPetro">#REF!</definedName>
    <definedName name="hjghj">#REF!</definedName>
    <definedName name="hjhjhj">#REF!</definedName>
    <definedName name="hjhjhj_1">#REF!</definedName>
    <definedName name="hjhjhj_2">#REF!</definedName>
    <definedName name="hjhjhj_3">#REF!</definedName>
    <definedName name="hjhjhj_4">#REF!</definedName>
    <definedName name="hjhka">#REF!</definedName>
    <definedName name="hjhohjk" hidden="1">{"FN_JE98",#N/A,FALSE,"98 W Options"}</definedName>
    <definedName name="hjhyjy">#REF!</definedName>
    <definedName name="hjjh" hidden="1">{"'08-14'!$A$3:$I$112"}</definedName>
    <definedName name="hjjjh" hidden="1">{#N/A,#N/A,FALSE,"Aging Summary";#N/A,#N/A,FALSE,"Ratio Analysis";#N/A,#N/A,FALSE,"Test 120 Day Accts";#N/A,#N/A,FALSE,"Tickmarks"}</definedName>
    <definedName name="hjjjh_3">#REF!</definedName>
    <definedName name="hjk">#REF!</definedName>
    <definedName name="hjk_1">#REF!</definedName>
    <definedName name="HJK_SUM">#REF!</definedName>
    <definedName name="hjkh">#REF!</definedName>
    <definedName name="hjkjl">#REF!</definedName>
    <definedName name="hjkjlkj">#REF!</definedName>
    <definedName name="hjklhu">#REF!</definedName>
    <definedName name="hjkljlj">#REF!</definedName>
    <definedName name="hjkljlk">#REF!</definedName>
    <definedName name="HJKOL" hidden="1">#N/A</definedName>
    <definedName name="hjlkhgkh">#REF!</definedName>
    <definedName name="hjutyu">#REF!</definedName>
    <definedName name="HK">#REF!</definedName>
    <definedName name="hka">#REF!</definedName>
    <definedName name="HKCCC_Aug03">#REF!</definedName>
    <definedName name="hkd">#REF!</definedName>
    <definedName name="HKIS2Q2">#REF!</definedName>
    <definedName name="HKIS3Q2">#REF!</definedName>
    <definedName name="hkk">#REF!</definedName>
    <definedName name="hkk_1">#REF!</definedName>
    <definedName name="HLREC">#REF!</definedName>
    <definedName name="HMG" hidden="1">{#N/A,#N/A,FALSE,"REPORT"}</definedName>
    <definedName name="hmngf">#REF!</definedName>
    <definedName name="hmngf_1">#REF!</definedName>
    <definedName name="hn._I006">#REF!</definedName>
    <definedName name="hn._I018">#REF!</definedName>
    <definedName name="hn._I024">#REF!</definedName>
    <definedName name="hn._I028">#REF!</definedName>
    <definedName name="hn._I029">#REF!</definedName>
    <definedName name="hn._I030">#REF!</definedName>
    <definedName name="hn._I031">#REF!</definedName>
    <definedName name="hn._I059">#REF!</definedName>
    <definedName name="hn._I071">#REF!</definedName>
    <definedName name="hn._I075">#REF!</definedName>
    <definedName name="hn._I083">#REF!</definedName>
    <definedName name="hn._I085">#REF!</definedName>
    <definedName name="hn._P001">#REF!</definedName>
    <definedName name="hn._P004">#REF!</definedName>
    <definedName name="hn._P014">#REF!</definedName>
    <definedName name="hn._P016">#REF!</definedName>
    <definedName name="hn._P021">#REF!</definedName>
    <definedName name="hn._P024">#REF!</definedName>
    <definedName name="hn.Add015">#REF!</definedName>
    <definedName name="hn.Delete015">#REF!</definedName>
    <definedName name="hn.ExtDb" hidden="1">FALSE</definedName>
    <definedName name="hn.ModelType" hidden="1">"DEAL"</definedName>
    <definedName name="hn.ModelVersion" hidden="1">1</definedName>
    <definedName name="hn.NoUpload" hidden="1">0</definedName>
    <definedName name="hn.PrivateLTMYear">#REF!</definedName>
    <definedName name="HO_COMMON">#REF!</definedName>
    <definedName name="HO_Uncommon">#REF!</definedName>
    <definedName name="hod">#REF!</definedName>
    <definedName name="hod_1">#REF!</definedName>
    <definedName name="hod_2">#REF!</definedName>
    <definedName name="hod_3">#REF!</definedName>
    <definedName name="hod_4">#REF!</definedName>
    <definedName name="holdback_without_3">#REF!</definedName>
    <definedName name="HoldingsPrintArea">#REF!</definedName>
    <definedName name="holdper">#REF!</definedName>
    <definedName name="holdper2">#REF!</definedName>
    <definedName name="Holidays">#REF!</definedName>
    <definedName name="HOLL">#REF!</definedName>
    <definedName name="HOLLAND">#REF!</definedName>
    <definedName name="home">#REF!</definedName>
    <definedName name="HomeKee_Drug">#REF!</definedName>
    <definedName name="HONGK_Aug03">#REF!</definedName>
    <definedName name="Hooi_Choo_Teh">#REF!</definedName>
    <definedName name="hoppner" hidden="1">{#N/A,#N/A,TRUE,"R&amp;D";#N/A,#N/A,TRUE,"Drct exp";#N/A,#N/A,TRUE,"OPEX";#N/A,#N/A,TRUE,"R&amp;D";#N/A,#N/A,TRUE,"S&amp;M";#N/A,#N/A,TRUE,"G&amp;A"}</definedName>
    <definedName name="Horz">{"'MIS format'!$B$2:$W$101"}</definedName>
    <definedName name="houeling">#REF!</definedName>
    <definedName name="HOURS">#REF!</definedName>
    <definedName name="HOURS..">#REF!</definedName>
    <definedName name="houy">#REF!</definedName>
    <definedName name="houy_1">#REF!</definedName>
    <definedName name="houy_2">#REF!</definedName>
    <definedName name="houy_3">#REF!</definedName>
    <definedName name="houy_4">#REF!</definedName>
    <definedName name="HO비">#REF!</definedName>
    <definedName name="hp">#REF!</definedName>
    <definedName name="hpcl">#REF!</definedName>
    <definedName name="HPD">#REF!</definedName>
    <definedName name="HPDDATA">#REF!</definedName>
    <definedName name="hpm">#REF!</definedName>
    <definedName name="hpy">#REF!</definedName>
    <definedName name="HQ">#REF!</definedName>
    <definedName name="HQOTHER">#REF!</definedName>
    <definedName name="HR">#REF!</definedName>
    <definedName name="hr_1">#REF!</definedName>
    <definedName name="hr_2">#REF!</definedName>
    <definedName name="hr_3">#REF!</definedName>
    <definedName name="hr_4">#REF!</definedName>
    <definedName name="hracla">#REF!</definedName>
    <definedName name="HRGLOBAL_SCHEMA_GLOBAL_HR_PROFILE">#REF!</definedName>
    <definedName name="HRSGFlow">#REF!</definedName>
    <definedName name="hrtrt">#REF!</definedName>
    <definedName name="hrwth" hidden="1">{#N/A,#N/A,FALSE,"REPORT"}</definedName>
    <definedName name="hs">#REF!</definedName>
    <definedName name="hs_1">#REF!</definedName>
    <definedName name="hs_2">#REF!</definedName>
    <definedName name="hs_3">#REF!</definedName>
    <definedName name="hs_4">#REF!</definedName>
    <definedName name="HSBC_CC">#REF!</definedName>
    <definedName name="hsdhdr">#REF!</definedName>
    <definedName name="HspLogonApplication">"'UTSIplan'"</definedName>
    <definedName name="HspLogonDomain">"'CAHYPAPP'"</definedName>
    <definedName name="HspLogonServer">"'cahypapp'"</definedName>
    <definedName name="HspLogonUserName">"'HypAdmin'"</definedName>
    <definedName name="ht">{"'표지'!$B$5"}</definedName>
    <definedName name="htgrer">#REF!</definedName>
    <definedName name="hth">#REF!</definedName>
    <definedName name="htht">#REF!</definedName>
    <definedName name="hthtrh">#REF!</definedName>
    <definedName name="hthtrh_1">#REF!</definedName>
    <definedName name="hthtrh_2">#REF!</definedName>
    <definedName name="hthtrh_3">#REF!</definedName>
    <definedName name="hthtrh_4">#REF!</definedName>
    <definedName name="htm">{"'WS Sales by Rep'!$A$24:$L$46"}</definedName>
    <definedName name="htm_1">{"'WS Sales by Rep'!$A$24:$L$46"}</definedName>
    <definedName name="htm_cc">{"'WS Sales by Rep'!$A$24:$L$46"}</definedName>
    <definedName name="htm_cc_1">{"'WS Sales by Rep'!$A$24:$L$46"}</definedName>
    <definedName name="htm_cc_ws">{"'WS Sales by Rep'!$A$24:$L$46"}</definedName>
    <definedName name="htm_cc_ws_1">{"'WS Sales by Rep'!$A$24:$L$46"}</definedName>
    <definedName name="htm_cc_ws4">{"'WS Sales by Rep'!$A$24:$L$46"}</definedName>
    <definedName name="htm_cc_ws4_1">{"'WS Sales by Rep'!$A$24:$L$46"}</definedName>
    <definedName name="htm_cc2">{"'WS Sales by Rep'!$A$24:$L$46"}</definedName>
    <definedName name="htm_cc2_1">{"'WS Sales by Rep'!$A$24:$L$46"}</definedName>
    <definedName name="htm_cc2_ws">{"'WS Sales by Rep'!$A$24:$L$46"}</definedName>
    <definedName name="htm_cc2_ws_1">{"'WS Sales by Rep'!$A$24:$L$46"}</definedName>
    <definedName name="htm_cc3">{"'WS Sales by Rep'!$A$24:$L$46"}</definedName>
    <definedName name="htm_cc3_1">{"'WS Sales by Rep'!$A$24:$L$46"}</definedName>
    <definedName name="htm_cc3_ws">{"'WS Sales by Rep'!$A$24:$L$46"}</definedName>
    <definedName name="htm_cc3_ws_1">{"'WS Sales by Rep'!$A$24:$L$46"}</definedName>
    <definedName name="htm_cc4">{"'WS Sales by Rep'!$A$24:$L$46"}</definedName>
    <definedName name="htm_cc4_1">{"'WS Sales by Rep'!$A$24:$L$46"}</definedName>
    <definedName name="htm_fac">{"'WS Sales by Rep'!$A$24:$L$46"}</definedName>
    <definedName name="htm_fac_1">{"'WS Sales by Rep'!$A$24:$L$46"}</definedName>
    <definedName name="htm_fac2">{"'WS Sales by Rep'!$A$24:$L$46"}</definedName>
    <definedName name="htm_fac2_1">{"'WS Sales by Rep'!$A$24:$L$46"}</definedName>
    <definedName name="htm_fin">{"'WS Sales by Rep'!$A$24:$L$46"}</definedName>
    <definedName name="htm_fin_1">{"'WS Sales by Rep'!$A$24:$L$46"}</definedName>
    <definedName name="htm_fin2">{"'WS Sales by Rep'!$A$24:$L$46"}</definedName>
    <definedName name="htm_fin2_1">{"'WS Sales by Rep'!$A$24:$L$46"}</definedName>
    <definedName name="htm_fin3">{"'WS Sales by Rep'!$A$24:$L$46"}</definedName>
    <definedName name="htm_fin3_1">{"'WS Sales by Rep'!$A$24:$L$46"}</definedName>
    <definedName name="htm_fin4">{"'WS Sales by Rep'!$A$24:$L$46"}</definedName>
    <definedName name="htm_fin4_1">{"'WS Sales by Rep'!$A$24:$L$46"}</definedName>
    <definedName name="htm_fin5">{"'WS Sales by Rep'!$A$24:$L$46"}</definedName>
    <definedName name="htm_fin5_1">{"'WS Sales by Rep'!$A$24:$L$46"}</definedName>
    <definedName name="htm_ga">{"'WS Sales by Rep'!$A$24:$L$46"}</definedName>
    <definedName name="htm_ga_1">{"'WS Sales by Rep'!$A$24:$L$46"}</definedName>
    <definedName name="htm_ga_fin">{"'WS Sales by Rep'!$A$24:$L$46"}</definedName>
    <definedName name="htm_ga_fin_1">{"'WS Sales by Rep'!$A$24:$L$46"}</definedName>
    <definedName name="htm_hr">{"'WS Sales by Rep'!$A$24:$L$46"}</definedName>
    <definedName name="htm_hr_1">{"'WS Sales by Rep'!$A$24:$L$46"}</definedName>
    <definedName name="htm_hr2">{"'WS Sales by Rep'!$A$24:$L$46"}</definedName>
    <definedName name="htm_hr2_1">{"'WS Sales by Rep'!$A$24:$L$46"}</definedName>
    <definedName name="htm_plan_cc">{"'WS Sales by Rep'!$A$24:$L$46"}</definedName>
    <definedName name="htm_plan_cc_1">{"'WS Sales by Rep'!$A$24:$L$46"}</definedName>
    <definedName name="htm_plan_cc2">{"'WS Sales by Rep'!$A$24:$L$46"}</definedName>
    <definedName name="htm_plan_cc2_1">{"'WS Sales by Rep'!$A$24:$L$46"}</definedName>
    <definedName name="htm_plan_fin5">{"'WS Sales by Rep'!$A$24:$L$46"}</definedName>
    <definedName name="htm_plan_fin5_1">{"'WS Sales by Rep'!$A$24:$L$46"}</definedName>
    <definedName name="htm_plana">{"'WS Sales by Rep'!$A$24:$L$46"}</definedName>
    <definedName name="htm_plana_1">{"'WS Sales by Rep'!$A$24:$L$46"}</definedName>
    <definedName name="htm_plana_fin">{"'WS Sales by Rep'!$A$24:$L$46"}</definedName>
    <definedName name="htm_plana_fin_1">{"'WS Sales by Rep'!$A$24:$L$46"}</definedName>
    <definedName name="htm_planfac">{"'WS Sales by Rep'!$A$24:$L$46"}</definedName>
    <definedName name="htm_planfac_1">{"'WS Sales by Rep'!$A$24:$L$46"}</definedName>
    <definedName name="htm_planfin">{"'WS Sales by Rep'!$A$24:$L$46"}</definedName>
    <definedName name="htm_planfin_1">{"'WS Sales by Rep'!$A$24:$L$46"}</definedName>
    <definedName name="htm_planhr">{"'WS Sales by Rep'!$A$24:$L$46"}</definedName>
    <definedName name="htm_planhr_1">{"'WS Sales by Rep'!$A$24:$L$46"}</definedName>
    <definedName name="htm_ws">{"'WS Sales by Rep'!$A$24:$L$46"}</definedName>
    <definedName name="htm_ws_1">{"'WS Sales by Rep'!$A$24:$L$46"}</definedName>
    <definedName name="html">{"'debtors'!$A$1:$I$305","'debtors'!$A$1:$J$285"}</definedName>
    <definedName name="HTML__Control">{"'Sheet1'!$F$15"}</definedName>
    <definedName name="html_cnt">{"'표지'!$B$5"}</definedName>
    <definedName name="html_cnt2">{"'표지'!$B$5"}</definedName>
    <definedName name="HTML_CodePage" hidden="1">1252</definedName>
    <definedName name="HTML_Cont">{"'vert'!$A$1:$T$117"}</definedName>
    <definedName name="HTML_Control" hidden="1">{"'Sheet1'!$A$1:$J$121"}</definedName>
    <definedName name="HTML_Control_1">{"'WS Sales by Rep'!$A$24:$L$46"}</definedName>
    <definedName name="HTML_Control_1_1">{"'GNS Projects'!$A$1:$I$51"}</definedName>
    <definedName name="HTML_Control_1_2">{"'GNS Projects'!$A$1:$I$51"}</definedName>
    <definedName name="HTML_Control_1_3">{"'GNS Projects'!$A$1:$I$51"}</definedName>
    <definedName name="HTML_Control_2">{"'vert'!$A$1:$T$117"}</definedName>
    <definedName name="HTML_Control_2_1">{"'GNS Projects'!$A$1:$I$51"}</definedName>
    <definedName name="HTML_Control_2_2">{"'GNS Projects'!$A$1:$I$51"}</definedName>
    <definedName name="HTML_Control_2_3">{"'GNS Projects'!$A$1:$I$51"}</definedName>
    <definedName name="HTML_Control_3">{"'GNS Projects'!$A$1:$I$51"}</definedName>
    <definedName name="HTML_Control_3_1">{"'GNS Projects'!$A$1:$I$51"}</definedName>
    <definedName name="HTML_Control_3_2">{"'GNS Projects'!$A$1:$I$51"}</definedName>
    <definedName name="HTML_Control_4">{"'GNS Projects'!$A$1:$I$51"}</definedName>
    <definedName name="HTML_Control_5">{"'GNS Projects'!$A$1:$I$51"}</definedName>
    <definedName name="html_control_cc">{"'WS Sales by Rep'!$A$24:$L$46"}</definedName>
    <definedName name="html_control_cc_1">{"'WS Sales by Rep'!$A$24:$L$46"}</definedName>
    <definedName name="html_control_cc2">{"'WS Sales by Rep'!$A$24:$L$46"}</definedName>
    <definedName name="html_control_cc2_1">{"'WS Sales by Rep'!$A$24:$L$46"}</definedName>
    <definedName name="html_control_cc3">{"'WS Sales by Rep'!$A$24:$L$46"}</definedName>
    <definedName name="html_control_cc3_1">{"'WS Sales by Rep'!$A$24:$L$46"}</definedName>
    <definedName name="html_control_cc4">{"'WS Sales by Rep'!$A$24:$L$46"}</definedName>
    <definedName name="html_control_cc4_1">{"'WS Sales by Rep'!$A$24:$L$46"}</definedName>
    <definedName name="html_control_fac">{"'WS Sales by Rep'!$A$24:$L$46"}</definedName>
    <definedName name="html_control_fac_1">{"'WS Sales by Rep'!$A$24:$L$46"}</definedName>
    <definedName name="html_control_fac2">{"'WS Sales by Rep'!$A$24:$L$46"}</definedName>
    <definedName name="html_control_fac2_1">{"'WS Sales by Rep'!$A$24:$L$46"}</definedName>
    <definedName name="HTML_Control_fin">{"'WS Sales by Rep'!$A$24:$L$46"}</definedName>
    <definedName name="HTML_Control_fin_1">{"'WS Sales by Rep'!$A$24:$L$46"}</definedName>
    <definedName name="html_control_fin2">{"'WS Sales by Rep'!$A$24:$L$46"}</definedName>
    <definedName name="html_control_fin2_1">{"'WS Sales by Rep'!$A$24:$L$46"}</definedName>
    <definedName name="html_control_fin3">{"'WS Sales by Rep'!$A$24:$L$46"}</definedName>
    <definedName name="html_control_fin3_1">{"'WS Sales by Rep'!$A$24:$L$46"}</definedName>
    <definedName name="html_control_fin4">{"'WS Sales by Rep'!$A$24:$L$46"}</definedName>
    <definedName name="html_control_fin4_1">{"'WS Sales by Rep'!$A$24:$L$46"}</definedName>
    <definedName name="html_control_fin5">{"'WS Sales by Rep'!$A$24:$L$46"}</definedName>
    <definedName name="html_control_fin5_1">{"'WS Sales by Rep'!$A$24:$L$46"}</definedName>
    <definedName name="html_control_fin6">{"'WS Sales by Rep'!$A$24:$L$46"}</definedName>
    <definedName name="html_control_fin6_1">{"'WS Sales by Rep'!$A$24:$L$46"}</definedName>
    <definedName name="html_control_finance">{"'WS Sales by Rep'!$A$24:$L$46"}</definedName>
    <definedName name="html_control_finance_1">{"'WS Sales by Rep'!$A$24:$L$46"}</definedName>
    <definedName name="html_control_ga">{"'WS Sales by Rep'!$A$24:$L$46"}</definedName>
    <definedName name="html_control_ga_1">{"'WS Sales by Rep'!$A$24:$L$46"}</definedName>
    <definedName name="html_control_hr">{"'WS Sales by Rep'!$A$24:$L$46"}</definedName>
    <definedName name="html_control_hr_1">{"'WS Sales by Rep'!$A$24:$L$46"}</definedName>
    <definedName name="html_control_hr2">{"'WS Sales by Rep'!$A$24:$L$46"}</definedName>
    <definedName name="html_control_hr2_1">{"'WS Sales by Rep'!$A$24:$L$46"}</definedName>
    <definedName name="html_control_plan_cc">{"'WS Sales by Rep'!$A$24:$L$46"}</definedName>
    <definedName name="html_control_plan_cc_1">{"'WS Sales by Rep'!$A$24:$L$46"}</definedName>
    <definedName name="html_control_plan_cc3">{"'WS Sales by Rep'!$A$24:$L$46"}</definedName>
    <definedName name="html_control_plan_cc3_1">{"'WS Sales by Rep'!$A$24:$L$46"}</definedName>
    <definedName name="html_control_plana">{"'WS Sales by Rep'!$A$24:$L$46"}</definedName>
    <definedName name="html_control_plana_1">{"'WS Sales by Rep'!$A$24:$L$46"}</definedName>
    <definedName name="html_control_planfac">{"'WS Sales by Rep'!$A$24:$L$46"}</definedName>
    <definedName name="html_control_planfac_1">{"'WS Sales by Rep'!$A$24:$L$46"}</definedName>
    <definedName name="html_control_planfin">{"'WS Sales by Rep'!$A$24:$L$46"}</definedName>
    <definedName name="html_control_planfin_1">{"'WS Sales by Rep'!$A$24:$L$46"}</definedName>
    <definedName name="html_control_planfin2">{"'WS Sales by Rep'!$A$24:$L$46"}</definedName>
    <definedName name="html_control_planfin2_1">{"'WS Sales by Rep'!$A$24:$L$46"}</definedName>
    <definedName name="html_control_planhr">{"'WS Sales by Rep'!$A$24:$L$46"}</definedName>
    <definedName name="html_control_planhr_1">{"'WS Sales by Rep'!$A$24:$L$46"}</definedName>
    <definedName name="HTML_Control1">{"'Sheet1'!$A$1:$J$121"}</definedName>
    <definedName name="html_control2" hidden="1">{"'Planning Data'!$A$2:$X$120"}</definedName>
    <definedName name="HTML_Control3" hidden="1">{"'Planning Data'!$A$2:$X$120"}</definedName>
    <definedName name="HTML_Description" hidden="1">""</definedName>
    <definedName name="HTML_Email" hidden="1">""</definedName>
    <definedName name="HTML_Header" hidden="1">"Sheet1"</definedName>
    <definedName name="HTML_LastUpdate" hidden="1">"10/21/99"</definedName>
    <definedName name="HTML_LineAfter" hidden="1">FALSE</definedName>
    <definedName name="HTML_LineBefore" hidden="1">FALSE</definedName>
    <definedName name="HTML_Name" hidden="1">"Paulette Peoples"</definedName>
    <definedName name="HTML_OBDlg2" hidden="1">TRUE</definedName>
    <definedName name="HTML_OBDlg3">TRUE</definedName>
    <definedName name="HTML_OBDlg4" hidden="1">TRUE</definedName>
    <definedName name="HTML_OS" hidden="1">0</definedName>
    <definedName name="HTML_PathFile" hidden="1">"\\Bhincres01\groups\Mkt_Dev\EXECMKTR\RIGS\RigBible\Web NA.htm"</definedName>
    <definedName name="HTML_PathFileMac">"Senna:shockwave.com:Statistics:Customer support:SWCS_stats.html"</definedName>
    <definedName name="HTML_PathTemplate">"C:\My Documents\Excel\HTMLTemp.htm"</definedName>
    <definedName name="HTML_Title" hidden="1">"Total North America"</definedName>
    <definedName name="HTML1">{"'Trend_Total'!$A$7:$V$10","'Trend_Total'!$A$1:$V$4"}</definedName>
    <definedName name="HTML1_1" hidden="1">"[수주관리98.xls]회선현황!$A$5:$O$53"</definedName>
    <definedName name="HTML1_10">""</definedName>
    <definedName name="HTML1_11">1</definedName>
    <definedName name="HTML1_12">"Aswath:Adobe SiteMill™ 1.0.2:MyHomePage:FCFF3.html"</definedName>
    <definedName name="HTML1_13">#REF!</definedName>
    <definedName name="HTML1_14">#REF!</definedName>
    <definedName name="HTML1_15">#REF!</definedName>
    <definedName name="HTML1_2">1</definedName>
    <definedName name="HTML1_3">"FCFF3"</definedName>
    <definedName name="HTML1_4">"Three-Stage FCFF Model"</definedName>
    <definedName name="HTML1_5">""</definedName>
    <definedName name="HTML1_6">-4146</definedName>
    <definedName name="HTML1_7">-4146</definedName>
    <definedName name="HTML1_8">"10/22/96"</definedName>
    <definedName name="HTML1_9">"Aswath Damodaran"</definedName>
    <definedName name="HTML10_1" hidden="1">"'[수주관리98.xls]2월1주차'!$A$1:$P$31"</definedName>
    <definedName name="HTML10_10" hidden="1">""</definedName>
    <definedName name="HTML10_11" hidden="1">1</definedName>
    <definedName name="HTML10_12" hidden="1">"C:\My Documents\98년\영업현황\일일현황-98.2.6.htm"</definedName>
    <definedName name="HTML10_2" hidden="1">1</definedName>
    <definedName name="HTML10_3" hidden="1">""</definedName>
    <definedName name="HTML10_4" hidden="1">""</definedName>
    <definedName name="HTML10_5" hidden="1">""</definedName>
    <definedName name="HTML10_6" hidden="1">-4146</definedName>
    <definedName name="HTML10_7" hidden="1">-4146</definedName>
    <definedName name="HTML10_8" hidden="1">""</definedName>
    <definedName name="HTML10_9" hidden="1">""</definedName>
    <definedName name="HTML11_1" hidden="1">"'[수주관리98.xls]2월2주차'!$A$1:$P$21"</definedName>
    <definedName name="HTML11_10" hidden="1">""</definedName>
    <definedName name="HTML11_11" hidden="1">1</definedName>
    <definedName name="HTML11_12" hidden="1">"C:\My Documents\98년\영업현황\일일현황-98.2.12.htm"</definedName>
    <definedName name="HTML11_2" hidden="1">1</definedName>
    <definedName name="HTML11_3" hidden="1">""</definedName>
    <definedName name="HTML11_4" hidden="1">""</definedName>
    <definedName name="HTML11_5" hidden="1">""</definedName>
    <definedName name="HTML11_6" hidden="1">-4146</definedName>
    <definedName name="HTML11_7" hidden="1">-4146</definedName>
    <definedName name="HTML11_8" hidden="1">""</definedName>
    <definedName name="HTML11_9" hidden="1">""</definedName>
    <definedName name="HTML12_1" hidden="1">"'[수주관리98.xls]2월2주차'!$A$1:$P$34"</definedName>
    <definedName name="HTML12_10" hidden="1">""</definedName>
    <definedName name="HTML12_11" hidden="1">1</definedName>
    <definedName name="HTML12_12" hidden="1">"C:\My Documents\98년\영업현황\일일현황-98.2.13.htm"</definedName>
    <definedName name="HTML12_2" hidden="1">1</definedName>
    <definedName name="HTML12_3" hidden="1">""</definedName>
    <definedName name="HTML12_4" hidden="1">""</definedName>
    <definedName name="HTML12_5" hidden="1">""</definedName>
    <definedName name="HTML12_6" hidden="1">-4146</definedName>
    <definedName name="HTML12_7" hidden="1">-4146</definedName>
    <definedName name="HTML12_8" hidden="1">""</definedName>
    <definedName name="HTML12_9" hidden="1">""</definedName>
    <definedName name="HTML13_1" hidden="1">"'[수주관리98.xls]2월2주차'!$A$1:$P$19"</definedName>
    <definedName name="HTML13_10" hidden="1">""</definedName>
    <definedName name="HTML13_11" hidden="1">1</definedName>
    <definedName name="HTML13_12" hidden="1">"C:\My Documents\98년\영업현황\일일현황-98.2.12.htm"</definedName>
    <definedName name="HTML13_2" hidden="1">1</definedName>
    <definedName name="HTML13_3" hidden="1">""</definedName>
    <definedName name="HTML13_4" hidden="1">""</definedName>
    <definedName name="HTML13_5" hidden="1">""</definedName>
    <definedName name="HTML13_6" hidden="1">-4146</definedName>
    <definedName name="HTML13_7" hidden="1">-4146</definedName>
    <definedName name="HTML13_8" hidden="1">""</definedName>
    <definedName name="HTML13_9" hidden="1">""</definedName>
    <definedName name="HTML14_1" hidden="1">"'[수주관리98.xls]2월2주차'!$A$1:$P$17"</definedName>
    <definedName name="HTML14_10" hidden="1">""</definedName>
    <definedName name="HTML14_11" hidden="1">1</definedName>
    <definedName name="HTML14_12" hidden="1">"C:\My Documents\98년\영업현황\일일현황-98.2.9.htm"</definedName>
    <definedName name="HTML14_2" hidden="1">1</definedName>
    <definedName name="HTML14_3" hidden="1">""</definedName>
    <definedName name="HTML14_4" hidden="1">""</definedName>
    <definedName name="HTML14_5" hidden="1">""</definedName>
    <definedName name="HTML14_6" hidden="1">-4146</definedName>
    <definedName name="HTML14_7" hidden="1">-4146</definedName>
    <definedName name="HTML14_8" hidden="1">""</definedName>
    <definedName name="HTML14_9" hidden="1">""</definedName>
    <definedName name="HTML15_1" hidden="1">"'[수주관리98.xls]2월3주차'!$A$1:$P$20"</definedName>
    <definedName name="HTML15_10" hidden="1">""</definedName>
    <definedName name="HTML15_11" hidden="1">1</definedName>
    <definedName name="HTML15_12" hidden="1">"C:\My Documents\98년\영업현황\일일현황-98.2.16.htm"</definedName>
    <definedName name="HTML15_2" hidden="1">1</definedName>
    <definedName name="HTML15_3" hidden="1">""</definedName>
    <definedName name="HTML15_4" hidden="1">""</definedName>
    <definedName name="HTML15_5" hidden="1">""</definedName>
    <definedName name="HTML15_6" hidden="1">-4146</definedName>
    <definedName name="HTML15_7" hidden="1">-4146</definedName>
    <definedName name="HTML15_8" hidden="1">""</definedName>
    <definedName name="HTML15_9" hidden="1">""</definedName>
    <definedName name="HTML16_1" hidden="1">"'[수주통합관리98_2_21.xls]2월3주차'!$A$1:$I$89"</definedName>
    <definedName name="HTML16_10" hidden="1">""</definedName>
    <definedName name="HTML16_11" hidden="1">1</definedName>
    <definedName name="HTML16_12" hidden="1">"C:\My Documents\98년\영업현황\일일현황-98.2.25.htm"</definedName>
    <definedName name="HTML16_2" hidden="1">1</definedName>
    <definedName name="HTML16_3" hidden="1">""</definedName>
    <definedName name="HTML16_4" hidden="1">""</definedName>
    <definedName name="HTML16_5" hidden="1">""</definedName>
    <definedName name="HTML16_6" hidden="1">-4146</definedName>
    <definedName name="HTML16_7" hidden="1">-4146</definedName>
    <definedName name="HTML16_8" hidden="1">""</definedName>
    <definedName name="HTML16_9" hidden="1">""</definedName>
    <definedName name="HTML17_1" hidden="1">"'[수주통합관리98_2_21.xls]2월3주차'!$A$4:$H$30"</definedName>
    <definedName name="HTML17_10" hidden="1">""</definedName>
    <definedName name="HTML17_11" hidden="1">1</definedName>
    <definedName name="HTML17_12" hidden="1">"C:\My Documents\98년\영업현황\1월 수주현황.htm"</definedName>
    <definedName name="HTML17_2" hidden="1">1</definedName>
    <definedName name="HTML17_3" hidden="1">""</definedName>
    <definedName name="HTML17_4" hidden="1">""</definedName>
    <definedName name="HTML17_5" hidden="1">""</definedName>
    <definedName name="HTML17_6" hidden="1">-4146</definedName>
    <definedName name="HTML17_7" hidden="1">-4146</definedName>
    <definedName name="HTML17_8" hidden="1">""</definedName>
    <definedName name="HTML17_9" hidden="1">""</definedName>
    <definedName name="HTML18_1" hidden="1">"'[수주통합관리98_2_21.xls]2월3주차'!$A$32:$I$58"</definedName>
    <definedName name="HTML18_10" hidden="1">""</definedName>
    <definedName name="HTML18_11" hidden="1">1</definedName>
    <definedName name="HTML18_12" hidden="1">"C:\My Documents\98년\영업현황\2월 수주현황(2월25일 현재).htm"</definedName>
    <definedName name="HTML18_2" hidden="1">1</definedName>
    <definedName name="HTML18_3" hidden="1">""</definedName>
    <definedName name="HTML18_4" hidden="1">""</definedName>
    <definedName name="HTML18_5" hidden="1">""</definedName>
    <definedName name="HTML18_6" hidden="1">-4146</definedName>
    <definedName name="HTML18_7" hidden="1">-4146</definedName>
    <definedName name="HTML18_8" hidden="1">""</definedName>
    <definedName name="HTML18_9" hidden="1">""</definedName>
    <definedName name="HTML19_1" hidden="1">"'[수주통합관리98_2_21.xls]2월3주차'!$A$63:$F$89"</definedName>
    <definedName name="HTML19_10" hidden="1">""</definedName>
    <definedName name="HTML19_11" hidden="1">1</definedName>
    <definedName name="HTML19_12" hidden="1">"C:\My Documents\98년\영업현황\월별현황(2월25일 현재).htm"</definedName>
    <definedName name="HTML19_2" hidden="1">1</definedName>
    <definedName name="HTML19_3" hidden="1">""</definedName>
    <definedName name="HTML19_4" hidden="1">""</definedName>
    <definedName name="HTML19_5" hidden="1">""</definedName>
    <definedName name="HTML19_6" hidden="1">-4146</definedName>
    <definedName name="HTML19_7" hidden="1">-4146</definedName>
    <definedName name="HTML19_8" hidden="1">""</definedName>
    <definedName name="HTML19_9" hidden="1">""</definedName>
    <definedName name="HTML2_1" hidden="1">"[수주관리98.xls]일일현황!$A$1:$L$10"</definedName>
    <definedName name="HTML2_10">"technology@midwal.ca"</definedName>
    <definedName name="HTML2_11">1</definedName>
    <definedName name="HTML2_12">"u:\internet\comps2.htm"</definedName>
    <definedName name="HTML2_2">1</definedName>
    <definedName name="HTML2_3">"Technology Stock Comparables"</definedName>
    <definedName name="HTML2_4">"Software Comparables"</definedName>
    <definedName name="HTML2_5">"Year End March 1997"</definedName>
    <definedName name="HTML2_6">1</definedName>
    <definedName name="HTML2_7">1</definedName>
    <definedName name="HTML2_8">35192</definedName>
    <definedName name="HTML2_9">"Alberto Pagliano Ext (8560)"</definedName>
    <definedName name="HTML20_1" hidden="1">"'[수주통합관리98_2_25.xls]2월4주차'!$A$71:$F$97"</definedName>
    <definedName name="HTML20_10" hidden="1">""</definedName>
    <definedName name="HTML20_11" hidden="1">1</definedName>
    <definedName name="HTML20_12" hidden="1">"C:\My Documents\98년\영업현황\월별현황(2월 마감분).htm"</definedName>
    <definedName name="HTML20_2" hidden="1">1</definedName>
    <definedName name="HTML20_3" hidden="1">""</definedName>
    <definedName name="HTML20_4" hidden="1">""</definedName>
    <definedName name="HTML20_5" hidden="1">""</definedName>
    <definedName name="HTML20_6" hidden="1">-4146</definedName>
    <definedName name="HTML20_7" hidden="1">-4146</definedName>
    <definedName name="HTML20_8" hidden="1">""</definedName>
    <definedName name="HTML20_9" hidden="1">""</definedName>
    <definedName name="HTML21_1" hidden="1">"'[수주통합관리98_2_25.xls]2월4주차'!$A$4:$H$29"</definedName>
    <definedName name="HTML21_10" hidden="1">""</definedName>
    <definedName name="HTML21_11" hidden="1">1</definedName>
    <definedName name="HTML21_12" hidden="1">"C:\My Documents\98년\영업현황\1월 수주현황(1월 마감분).htm"</definedName>
    <definedName name="HTML21_2" hidden="1">1</definedName>
    <definedName name="HTML21_3" hidden="1">""</definedName>
    <definedName name="HTML21_4" hidden="1">""</definedName>
    <definedName name="HTML21_5" hidden="1">""</definedName>
    <definedName name="HTML21_6" hidden="1">-4146</definedName>
    <definedName name="HTML21_7" hidden="1">-4146</definedName>
    <definedName name="HTML21_8" hidden="1">""</definedName>
    <definedName name="HTML21_9" hidden="1">""</definedName>
    <definedName name="HTML22_1" hidden="1">"'[수주통합관리98_2_25.xls]2월4주차'!$A$31:$I$66"</definedName>
    <definedName name="HTML22_10" hidden="1">""</definedName>
    <definedName name="HTML22_11" hidden="1">1</definedName>
    <definedName name="HTML22_12" hidden="1">"C:\My Documents\98년\영업현황\1월 수주현황(2월 마감분).htm"</definedName>
    <definedName name="HTML22_2" hidden="1">1</definedName>
    <definedName name="HTML22_3" hidden="1">""</definedName>
    <definedName name="HTML22_4" hidden="1">""</definedName>
    <definedName name="HTML22_5" hidden="1">""</definedName>
    <definedName name="HTML22_6" hidden="1">-4146</definedName>
    <definedName name="HTML22_7" hidden="1">-4146</definedName>
    <definedName name="HTML22_8" hidden="1">""</definedName>
    <definedName name="HTML22_9" hidden="1">""</definedName>
    <definedName name="HTML23_1" hidden="1">"[수주통합관리98_2_25.xls]보고양식!$A$32:$I$68"</definedName>
    <definedName name="HTML23_10" hidden="1">""</definedName>
    <definedName name="HTML23_11" hidden="1">1</definedName>
    <definedName name="HTML23_12" hidden="1">"C:\My Documents\98년\영업현황\2월 수주현황(2월 마감분).htm"</definedName>
    <definedName name="HTML23_2" hidden="1">1</definedName>
    <definedName name="HTML23_3" hidden="1">""</definedName>
    <definedName name="HTML23_4" hidden="1">""</definedName>
    <definedName name="HTML23_5" hidden="1">""</definedName>
    <definedName name="HTML23_6" hidden="1">-4146</definedName>
    <definedName name="HTML23_7" hidden="1">-4146</definedName>
    <definedName name="HTML23_8" hidden="1">""</definedName>
    <definedName name="HTML23_9" hidden="1">""</definedName>
    <definedName name="HTML24_1" hidden="1">"[수주통합관리98_2_25.xls]보고양식!$A$73:$F$98"</definedName>
    <definedName name="HTML24_10" hidden="1">""</definedName>
    <definedName name="HTML24_11" hidden="1">1</definedName>
    <definedName name="HTML24_12" hidden="1">"C:\My Documents\98년\영업현황\월별현황(2월 마감분).htm"</definedName>
    <definedName name="HTML24_2" hidden="1">1</definedName>
    <definedName name="HTML24_3" hidden="1">""</definedName>
    <definedName name="HTML24_4" hidden="1">""</definedName>
    <definedName name="HTML24_5" hidden="1">""</definedName>
    <definedName name="HTML24_6" hidden="1">-4146</definedName>
    <definedName name="HTML24_7" hidden="1">-4146</definedName>
    <definedName name="HTML24_8" hidden="1">""</definedName>
    <definedName name="HTML24_9" hidden="1">""</definedName>
    <definedName name="HTML25_1" hidden="1">"[수주통합관리98_2_25.xls]보고양식!$A$4:$I$29"</definedName>
    <definedName name="HTML25_10" hidden="1">""</definedName>
    <definedName name="HTML25_11" hidden="1">1</definedName>
    <definedName name="HTML25_12" hidden="1">"C:\My Documents\98년\영업현황\1월 수주현황(1월 마감분).htm"</definedName>
    <definedName name="HTML25_2" hidden="1">1</definedName>
    <definedName name="HTML25_3" hidden="1">""</definedName>
    <definedName name="HTML25_4" hidden="1">""</definedName>
    <definedName name="HTML25_5" hidden="1">""</definedName>
    <definedName name="HTML25_6" hidden="1">-4146</definedName>
    <definedName name="HTML25_7" hidden="1">-4146</definedName>
    <definedName name="HTML25_8" hidden="1">""</definedName>
    <definedName name="HTML25_9" hidden="1">""</definedName>
    <definedName name="HTML26_1" hidden="1">"[수주통합관리98_2_25.xls]보고양식!$A$31:$K$80"</definedName>
    <definedName name="HTML26_10" hidden="1">""</definedName>
    <definedName name="HTML26_11" hidden="1">1</definedName>
    <definedName name="HTML26_12" hidden="1">"C:\My Documents\98년\영업현황\2월 수주현황(2월 마감분).htm"</definedName>
    <definedName name="HTML26_2" hidden="1">1</definedName>
    <definedName name="HTML26_3" hidden="1">""</definedName>
    <definedName name="HTML26_4" hidden="1">""</definedName>
    <definedName name="HTML26_5" hidden="1">""</definedName>
    <definedName name="HTML26_6" hidden="1">-4146</definedName>
    <definedName name="HTML26_7" hidden="1">-4146</definedName>
    <definedName name="HTML26_8" hidden="1">""</definedName>
    <definedName name="HTML26_9" hidden="1">""</definedName>
    <definedName name="HTML27_1" hidden="1">"[수주통합관리98_2_25.xls]보고양식!$B$84:$G$109"</definedName>
    <definedName name="HTML27_10" hidden="1">""</definedName>
    <definedName name="HTML27_11" hidden="1">1</definedName>
    <definedName name="HTML27_12" hidden="1">"C:\My Documents\98년\영업현황\월별현황(2월 마감분).htm"</definedName>
    <definedName name="HTML27_2" hidden="1">1</definedName>
    <definedName name="HTML27_3" hidden="1">""</definedName>
    <definedName name="HTML27_4" hidden="1">""</definedName>
    <definedName name="HTML27_5" hidden="1">""</definedName>
    <definedName name="HTML27_6" hidden="1">-4146</definedName>
    <definedName name="HTML27_7" hidden="1">-4146</definedName>
    <definedName name="HTML27_8" hidden="1">""</definedName>
    <definedName name="HTML27_9" hidden="1">""</definedName>
    <definedName name="HTML28_1" hidden="1">"[수주통합관리98_3_2.xls]보고양식!$B$92:$G$117"</definedName>
    <definedName name="HTML28_10" hidden="1">""</definedName>
    <definedName name="HTML28_11" hidden="1">1</definedName>
    <definedName name="HTML28_12" hidden="1">"C:\My Documents\98년\영업현황\월별현황(2월 마감분).htm"</definedName>
    <definedName name="HTML28_2" hidden="1">1</definedName>
    <definedName name="HTML28_3" hidden="1">""</definedName>
    <definedName name="HTML28_4" hidden="1">""</definedName>
    <definedName name="HTML28_5" hidden="1">""</definedName>
    <definedName name="HTML28_6" hidden="1">-4146</definedName>
    <definedName name="HTML28_7" hidden="1">-4146</definedName>
    <definedName name="HTML28_8" hidden="1">""</definedName>
    <definedName name="HTML28_9" hidden="1">""</definedName>
    <definedName name="HTML29_1" hidden="1">"[수주통합관리98_3_2.xls]보고양식!$A$31:$K$88"</definedName>
    <definedName name="HTML29_10" hidden="1">""</definedName>
    <definedName name="HTML29_11" hidden="1">1</definedName>
    <definedName name="HTML29_12" hidden="1">"C:\My Documents\98년\영업현황\2월 수주현황(2월 마감분).htm"</definedName>
    <definedName name="HTML29_2" hidden="1">1</definedName>
    <definedName name="HTML29_3" hidden="1">""</definedName>
    <definedName name="HTML29_4" hidden="1">""</definedName>
    <definedName name="HTML29_5" hidden="1">""</definedName>
    <definedName name="HTML29_6" hidden="1">-4146</definedName>
    <definedName name="HTML29_7" hidden="1">-4146</definedName>
    <definedName name="HTML29_8" hidden="1">""</definedName>
    <definedName name="HTML29_9" hidden="1">""</definedName>
    <definedName name="HTML3_1" hidden="1">"[수주관리98.xls]일일현황!$A$1:$N$9"</definedName>
    <definedName name="HTML3_10">""</definedName>
    <definedName name="HTML3_11">1</definedName>
    <definedName name="HTML3_12">"C:\Ian\Techsite\telecom.htm"</definedName>
    <definedName name="HTML3_2">1</definedName>
    <definedName name="HTML3_3">"Technology Stock Comparables"</definedName>
    <definedName name="HTML3_4">"Telecom &amp; Network &amp; Semi."</definedName>
    <definedName name="HTML3_5">"Year End March 1997"</definedName>
    <definedName name="HTML3_6">-4146</definedName>
    <definedName name="HTML3_7">-4146</definedName>
    <definedName name="HTML3_8">35355</definedName>
    <definedName name="HTML3_9">"Ian Prittie"</definedName>
    <definedName name="HTML30_1" hidden="1">"'[사본 - 영업통합관리(수주.매출).xls]보고양식'!$A$114:$K$131"</definedName>
    <definedName name="HTML30_10" hidden="1">""</definedName>
    <definedName name="HTML30_11" hidden="1">1</definedName>
    <definedName name="HTML30_12" hidden="1">"C:\My Documents\98년\영업현황\일일현황-98.3.12.htm"</definedName>
    <definedName name="HTML30_2" hidden="1">1</definedName>
    <definedName name="HTML30_3" hidden="1">""</definedName>
    <definedName name="HTML30_4" hidden="1">""</definedName>
    <definedName name="HTML30_5" hidden="1">""</definedName>
    <definedName name="HTML30_6" hidden="1">-4146</definedName>
    <definedName name="HTML30_7" hidden="1">-4146</definedName>
    <definedName name="HTML30_8" hidden="1">""</definedName>
    <definedName name="HTML30_9" hidden="1">""</definedName>
    <definedName name="HTML4_1" hidden="1">"[수주관리98.xls]영업!$A$1:$N$15"</definedName>
    <definedName name="HTML4_10">""</definedName>
    <definedName name="HTML4_11">1</definedName>
    <definedName name="HTML4_12">"C:\Ian\Techsite\docs.htm"</definedName>
    <definedName name="HTML4_2">1</definedName>
    <definedName name="HTML4_3">"Technology Stock Comparables"</definedName>
    <definedName name="HTML4_4">"Volpe, Welty &amp; Co. Comps."</definedName>
    <definedName name="HTML4_5">"Financial model by Charlie Tillett of Frontier Software (charlie@frontier.com)
"</definedName>
    <definedName name="HTML4_6">-4146</definedName>
    <definedName name="HTML4_7">-4146</definedName>
    <definedName name="HTML4_8">35355</definedName>
    <definedName name="HTML4_9">"Ian Prittie"</definedName>
    <definedName name="HTML5_1" hidden="1">"[수주관리98.xls]영업!$A$1:$N$29"</definedName>
    <definedName name="HTML5_10">""</definedName>
    <definedName name="HTML5_11">1</definedName>
    <definedName name="HTML5_12">"C:\Ian\Techsite\fibre.htm"</definedName>
    <definedName name="HTML5_2">1</definedName>
    <definedName name="HTML5_3">"Technology Stock Comparables"</definedName>
    <definedName name="HTML5_4">"Fibre Optics"</definedName>
    <definedName name="HTML5_5">"Financial model by Charlie Tillett of Frontier Software (charlie@frontier.com)"</definedName>
    <definedName name="HTML5_6">-4146</definedName>
    <definedName name="HTML5_7">-4146</definedName>
    <definedName name="HTML5_8">35355</definedName>
    <definedName name="HTML5_9">"Ian Prittie"</definedName>
    <definedName name="HTML6_1" hidden="1">"'[수주관리98.xls]2월'!$A$1:$P$48"</definedName>
    <definedName name="HTML6_10">""</definedName>
    <definedName name="HTML6_11">1</definedName>
    <definedName name="HTML6_12">"C:\Ian\Techsite\internet.htm"</definedName>
    <definedName name="HTML6_2">1</definedName>
    <definedName name="HTML6_3">"Technology Stock Comparables"</definedName>
    <definedName name="HTML6_4">"Internet"</definedName>
    <definedName name="HTML6_5">"Financial model by Charlie Tillett of Frontier Software (charlie@frontier.com)"</definedName>
    <definedName name="HTML6_6">-4146</definedName>
    <definedName name="HTML6_7">-4146</definedName>
    <definedName name="HTML6_8">35355</definedName>
    <definedName name="HTML6_9">"Ian Prittie"</definedName>
    <definedName name="HTML7_1" hidden="1">"'[수주관리98.xls]2월'!$A$3:$P$30"</definedName>
    <definedName name="HTML7_10">""</definedName>
    <definedName name="HTML7_11">1</definedName>
    <definedName name="HTML7_12">"C:\My Documents\DoubleEntry.htm"</definedName>
    <definedName name="HTML7_2">1</definedName>
    <definedName name="HTML7_3">"Double Entry Primer"</definedName>
    <definedName name="HTML7_4">"Double Entry Primer"</definedName>
    <definedName name="HTML7_5">"Financial model by Charlie Tillett of Frontier Software (charlie@frontier.com)"</definedName>
    <definedName name="HTML7_6">-4146</definedName>
    <definedName name="HTML7_7">-4146</definedName>
    <definedName name="HTML7_8">""</definedName>
    <definedName name="HTML7_9">""</definedName>
    <definedName name="HTML8_1" hidden="1">"'[수주관리98.xls]2월'!$A$1:$P$30"</definedName>
    <definedName name="HTML8_10" hidden="1">""</definedName>
    <definedName name="HTML8_11" hidden="1">1</definedName>
    <definedName name="HTML8_12" hidden="1">"C:\My Documents\98년\영업현황\일일현황-98.1.31.htm"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definedName>
    <definedName name="HTML8_9" hidden="1">""</definedName>
    <definedName name="HTML9_1" hidden="1">"'[수주관리98.xls]2월'!$A$1:$P$19"</definedName>
    <definedName name="HTML9_10" hidden="1">""</definedName>
    <definedName name="HTML9_11" hidden="1">1</definedName>
    <definedName name="HTML9_12" hidden="1">"C:\My Documents\98년\영업현황\일일현황-98.2.10.htm"</definedName>
    <definedName name="HTML9_2" hidden="1">1</definedName>
    <definedName name="HTML9_3" hidden="1">""</definedName>
    <definedName name="HTML9_4" hidden="1">""</definedName>
    <definedName name="HTML9_5" hidden="1">""</definedName>
    <definedName name="HTML9_6" hidden="1">-4146</definedName>
    <definedName name="HTML9_7" hidden="1">-4146</definedName>
    <definedName name="HTML9_8" hidden="1">""</definedName>
    <definedName name="HTML9_9" hidden="1">""</definedName>
    <definedName name="htmlControl2">{"'표지'!$B$5"}</definedName>
    <definedName name="HTMLCount">1</definedName>
    <definedName name="htr" hidden="1">#N/A</definedName>
    <definedName name="HTRH">{"'표지'!$B$5"}</definedName>
    <definedName name="htrhdfgagadf">#REF!</definedName>
    <definedName name="htrhdfgagadf_1">#REF!</definedName>
    <definedName name="htrhdfgagadf_2">#REF!</definedName>
    <definedName name="htrhdfgagadf_3">#REF!</definedName>
    <definedName name="htrhdfgagadf_4">#REF!</definedName>
    <definedName name="hubperinst">#REF!</definedName>
    <definedName name="HUh">{"'Standalone List Price Trends'!$A$1:$X$56"}</definedName>
    <definedName name="HUI" hidden="1">#N/A</definedName>
    <definedName name="Human2">#REF!</definedName>
    <definedName name="Hun">#REF!</definedName>
    <definedName name="hundred">100</definedName>
    <definedName name="HUSI">{"'Check Request'!$A$1:$BF$37"}</definedName>
    <definedName name="huy" hidden="1">#REF!</definedName>
    <definedName name="HVR">#REF!</definedName>
    <definedName name="HYD">#REF!</definedName>
    <definedName name="Hypertention" hidden="1">{#N/A,#N/A,FALSE,"Pharm";#N/A,#N/A,FALSE,"WWCM"}</definedName>
    <definedName name="hypo" hidden="1">{#N/A,#N/A,FALSE,"Pharm";#N/A,#N/A,FALSE,"WWCM"}</definedName>
    <definedName name="hytjy">#REF!</definedName>
    <definedName name="hyw" hidden="1">{#N/A,#N/A,FALSE,"Summary";#N/A,#N/A,FALSE,"Fed.State Prov";#N/A,#N/A,FALSE,"Foreign Prov";#N/A,#N/A,FALSE,"Thera Fgrn";#N/A,#N/A,FALSE,"CCD Fgrn";#N/A,#N/A,FALSE,"Biocine Fgrn";#N/A,#N/A,FALSE,"Vision Fgrn";#N/A,#N/A,FALSE,"Frgn vs Dom"}</definedName>
    <definedName name="H매출">#REF!</definedName>
    <definedName name="H이자">#REF!</definedName>
    <definedName name="H인원">#REF!</definedName>
    <definedName name="i" hidden="1">{"inflated_pl",#N/A,FALSE,"P&amp;L"}</definedName>
    <definedName name="i_?3">#REF!</definedName>
    <definedName name="i_E">#REF!</definedName>
    <definedName name="i_E__.3">#REF!</definedName>
    <definedName name="i_E_O">#REF!</definedName>
    <definedName name="i_E_O__.3">#REF!</definedName>
    <definedName name="I16S_L">#REF!</definedName>
    <definedName name="I8a">{"'Sheet3'!$CL$329:$CU$335"}</definedName>
    <definedName name="ia" hidden="1">{#N/A,#N/A,FALSE,"Aging Summary";#N/A,#N/A,FALSE,"Ratio Analysis";#N/A,#N/A,FALSE,"Test 120 Day Accts";#N/A,#N/A,FALSE,"Tickmarks"}</definedName>
    <definedName name="ia_3">#REF!</definedName>
    <definedName name="IASprofit">#REF!</definedName>
    <definedName name="IBD_FINAL">#REF!</definedName>
    <definedName name="IC_DIV_INC">#REF!</definedName>
    <definedName name="IC_DIV_REC">#REF!</definedName>
    <definedName name="IC_PURCH_AHNA">#REF!</definedName>
    <definedName name="IC_PURCH_CONS_GROUP">#REF!</definedName>
    <definedName name="IC_PURCH_UNCONSOL_GROUP">#REF!</definedName>
    <definedName name="icannpay">#REF!</definedName>
    <definedName name="icd">#REF!</definedName>
    <definedName name="ICF">#REF!</definedName>
    <definedName name="ichrpay">#REF!</definedName>
    <definedName name="icic">#REF!</definedName>
    <definedName name="ICICI">#REF!</definedName>
    <definedName name="ICICIBank">#REF!</definedName>
    <definedName name="ICICIBanking">#REF!</definedName>
    <definedName name="icotpr">#REF!</definedName>
    <definedName name="IDC">#REF!</definedName>
    <definedName name="IDC工場">#REF!</definedName>
    <definedName name="IDC本社">#REF!</definedName>
    <definedName name="IDF_Data2">#REF!</definedName>
    <definedName name="IDO">#REF!</definedName>
    <definedName name="idontknow" hidden="1">#REF!</definedName>
    <definedName name="IDR">#REF!</definedName>
    <definedName name="idsjf">{"'Sheet1'!$A$1:$H$145"}</definedName>
    <definedName name="IELWSALES">#REF!</definedName>
    <definedName name="IELWSALES.">#REF!</definedName>
    <definedName name="IELYSALES">#REF!</definedName>
    <definedName name="IELYSALES.">#REF!</definedName>
    <definedName name="IEPeXToEUR" hidden="1">1/EUReXToIEP</definedName>
    <definedName name="IEPLANSALES">#REF!</definedName>
    <definedName name="IEPLANSALES.">#REF!</definedName>
    <definedName name="IESP">#REF!</definedName>
    <definedName name="IESP.">#REF!</definedName>
    <definedName name="iflexsolutions">#REF!</definedName>
    <definedName name="IFlmv">0</definedName>
    <definedName name="IFsmv">0</definedName>
    <definedName name="ignore">{"'weekly data'!$A$2:$AS$36"}</definedName>
    <definedName name="ihidepw">"FALSE"</definedName>
    <definedName name="IHY" hidden="1">{#N/A,#N/A,FALSE,"Pharm";#N/A,#N/A,FALSE,"WWCM"}</definedName>
    <definedName name="iiiii">#REF!</definedName>
    <definedName name="iiiiii">#REF!</definedName>
    <definedName name="iiiiii_1">#REF!</definedName>
    <definedName name="iiiiii_2">#REF!</definedName>
    <definedName name="iiiiii_3">#REF!</definedName>
    <definedName name="iiiiii_4">#REF!</definedName>
    <definedName name="IIIIIIIIIIII">#REF!</definedName>
    <definedName name="iiiiiiiiiiiiiiii">#REF!</definedName>
    <definedName name="iiiiiiiiiiiiiiiiiiiiiiiiiiiiiiiiiiii">#REF!</definedName>
    <definedName name="IIIPO" hidden="1">{#N/A,#N/A,FALSE,"Pharm";#N/A,#N/A,FALSE,"WWCM"}</definedName>
    <definedName name="IIS3Q2">#REF!</definedName>
    <definedName name="ij">#REF!</definedName>
    <definedName name="IJHY" hidden="1">#N/A</definedName>
    <definedName name="IK">#REF!</definedName>
    <definedName name="IK_1">#REF!</definedName>
    <definedName name="IK_12">#REF!</definedName>
    <definedName name="IK_2">#REF!</definedName>
    <definedName name="iklutilk">#REF!</definedName>
    <definedName name="iklutilk_1">#REF!</definedName>
    <definedName name="Ikotin" hidden="1">{"Central",#N/A,FALSE,"Total"}</definedName>
    <definedName name="Ikotin.." hidden="1">{"Central",#N/A,FALSE,"Total"}</definedName>
    <definedName name="IL">#REF!</definedName>
    <definedName name="IL_CE">#REF!</definedName>
    <definedName name="IL_CE.">#REF!</definedName>
    <definedName name="IL_OE">#REF!</definedName>
    <definedName name="illll">#REF!</definedName>
    <definedName name="ILT">#REF!</definedName>
    <definedName name="ILT_1">#REF!</definedName>
    <definedName name="ILT_2">#REF!</definedName>
    <definedName name="IM_T">#REF!</definedName>
    <definedName name="ImAClientOrganizer">TRUE</definedName>
    <definedName name="Img_ML_1a9i6f1a" hidden="1">"IMG_11"</definedName>
    <definedName name="Img_ML_1c3d1n6n" hidden="1">"IMG_17"</definedName>
    <definedName name="Img_ML_1e1k9n5y" hidden="1">"IMG_18"</definedName>
    <definedName name="Img_ML_1g9y2u4q" hidden="1">"IMG_3"</definedName>
    <definedName name="Img_ML_1h4n3h8h" hidden="1">"IMG_17"</definedName>
    <definedName name="Img_ML_1k4g9u7k" hidden="1">"IMG_18"</definedName>
    <definedName name="Img_ML_1t5s6u1f" hidden="1">"IMG_17"</definedName>
    <definedName name="Img_ML_1y7a6c1t" hidden="1">"IMG_12"</definedName>
    <definedName name="Img_ML_2b1a1a6f" hidden="1">"IMG_11"</definedName>
    <definedName name="Img_ML_2b2b8h8h" hidden="1">"IMG_5"</definedName>
    <definedName name="Img_ML_2b4d2b3c" hidden="1">"IMG_11"</definedName>
    <definedName name="Img_ML_2b5e9i4d" hidden="1">"IMG_12"</definedName>
    <definedName name="Img_ML_2b9i6f3c" hidden="1">"IMG_12"</definedName>
    <definedName name="Img_ML_2e1r5p2m" hidden="1">"IMG_18"</definedName>
    <definedName name="Img_ML_2i4d6c2r" hidden="1">"IMG_11"</definedName>
    <definedName name="Img_ML_2j4h5d5y" hidden="1">"IMG_18"</definedName>
    <definedName name="Img_ML_2j6i5k6b" hidden="1">"IMG_17"</definedName>
    <definedName name="Img_ML_2v6s9i5c" hidden="1">"IMG_6"</definedName>
    <definedName name="Img_ML_2x1b8j5c" hidden="1">"IMG_5"</definedName>
    <definedName name="Img_ML_2x8r4a2e" hidden="1">"IMG_56"</definedName>
    <definedName name="Img_ML_3b3j3x9k" hidden="1">"IMG_12"</definedName>
    <definedName name="Img_ML_3c4d1a4d" hidden="1">"IMG_12"</definedName>
    <definedName name="Img_ML_3c4d2b5e" hidden="1">"IMG_12"</definedName>
    <definedName name="Img_ML_3c6e9c4g" hidden="1">"IMG_5"</definedName>
    <definedName name="Img_ML_3c7g1a7g" hidden="1">"IMG_6"</definedName>
    <definedName name="Img_ML_3c9i9i4d" hidden="1">"IMG_10"</definedName>
    <definedName name="Img_ML_3e2q4k7i" hidden="1">"IMG_55"</definedName>
    <definedName name="Img_ML_3g8d6p6r" hidden="1">"IMG_10"</definedName>
    <definedName name="Img_ML_3h2n3p4v" hidden="1">"IMG_18"</definedName>
    <definedName name="Img_ML_3p2b9c6w" hidden="1">"IMG_18"</definedName>
    <definedName name="Img_ML_3p5d9q5j" hidden="1">"IMG_12"</definedName>
    <definedName name="Img_ML_3r4u7k1k" hidden="1">"IMG_6"</definedName>
    <definedName name="Img_ML_3x8m5t8j" hidden="1">"IMG_18"</definedName>
    <definedName name="Img_ML_3y1j4m2m" hidden="1">"IMG_10"</definedName>
    <definedName name="Img_ML_4b5r5k9y" hidden="1">"IMG_17"</definedName>
    <definedName name="Img_ML_4d4d7g3c" hidden="1">"IMG_6"</definedName>
    <definedName name="Img_ML_4k8k7q4x" hidden="1">"IMG_17"</definedName>
    <definedName name="Img_ML_4m3p5r8j" hidden="1">"IMG_18"</definedName>
    <definedName name="Img_ML_4n6t1k1h" hidden="1">"IMG_17"</definedName>
    <definedName name="Img_ML_4r3t2p9g" hidden="1">"IMG_56"</definedName>
    <definedName name="Img_ML_4u2s9f9y" hidden="1">"IMG_17"</definedName>
    <definedName name="Img_ML_4u3z1k5l" hidden="1">"IMG_11"</definedName>
    <definedName name="Img_ML_5d3i8b5s" hidden="1">"IMG_56"</definedName>
    <definedName name="Img_ML_5e6f9i8h" hidden="1">"IMG_12"</definedName>
    <definedName name="Img_ML_5e7g5e5e" hidden="1">"IMG_5"</definedName>
    <definedName name="Img_ML_5e7s6t2u" hidden="1">"IMG_17"</definedName>
    <definedName name="Img_ML_5e9i9i2b" hidden="1">"IMG_10"</definedName>
    <definedName name="Img_ML_5e9m1k3s" hidden="1">"IMG_5"</definedName>
    <definedName name="Img_ML_5f9d1i5x" hidden="1">"IMG_6"</definedName>
    <definedName name="Img_ML_5f9x9u4u" hidden="1">"IMG_12"</definedName>
    <definedName name="Img_ML_5h6q3g8u" hidden="1">"IMG_18"</definedName>
    <definedName name="Img_ML_5k1g6v5e" hidden="1">"IMG_56"</definedName>
    <definedName name="Img_ML_5k7e4n8n" hidden="1">"IMG_18"</definedName>
    <definedName name="Img_ML_5k8u7s9i" hidden="1">"IMG_18"</definedName>
    <definedName name="Img_ML_6a6y1x1h" hidden="1">"IMG_11"</definedName>
    <definedName name="Img_ML_6f2b1a5e" hidden="1">"IMG_10"</definedName>
    <definedName name="Img_ML_6f2p1m9g" hidden="1">"IMG_10"</definedName>
    <definedName name="Img_ML_6f5e5e4d" hidden="1">"IMG_12"</definedName>
    <definedName name="Img_ML_6f6f4d9i" hidden="1">"IMG_12"</definedName>
    <definedName name="Img_ML_6f9i2b5e" hidden="1">"IMG_10"</definedName>
    <definedName name="Img_ML_6j2t7j8z" hidden="1">"IMG_4"</definedName>
    <definedName name="Img_ML_6j4v6x5i" hidden="1">"IMG_11"</definedName>
    <definedName name="Img_ML_6k9c9p4d" hidden="1">"IMG_11"</definedName>
    <definedName name="Img_ML_6m3p7m9h" hidden="1">"IMG_17"</definedName>
    <definedName name="Img_ML_6m6i9t6k" hidden="1">"IMG_11"</definedName>
    <definedName name="Img_ML_6n6c2h1d" hidden="1">"IMG_17"</definedName>
    <definedName name="Img_ML_6p2b6u6k" hidden="1">"IMG_11"</definedName>
    <definedName name="Img_ML_6p3m8v1n" hidden="1">"IMG_17"</definedName>
    <definedName name="Img_ML_6r9u1n9k" hidden="1">"IMG_18"</definedName>
    <definedName name="Img_ML_6u1b6h4m" hidden="1">"IMG_17"</definedName>
    <definedName name="Img_ML_6u4t7r7e" hidden="1">"IMG_17"</definedName>
    <definedName name="Img_ML_6w6m7b7r" hidden="1">"IMG_56"</definedName>
    <definedName name="Img_ML_6y9f7y3n" hidden="1">"IMG_18"</definedName>
    <definedName name="Img_ML_7b3x8f2f" hidden="1">"IMG_17"</definedName>
    <definedName name="Img_ML_7e1g7x4r" hidden="1">"IMG_12"</definedName>
    <definedName name="Img_ML_7g3c2b9i" hidden="1">"IMG_12"</definedName>
    <definedName name="Img_ML_7g4k9d6i" hidden="1">"IMG_18"</definedName>
    <definedName name="Img_ML_7g5e5e2b" hidden="1">"IMG_6"</definedName>
    <definedName name="Img_ML_7m3b4p7p" hidden="1">"IMG_17"</definedName>
    <definedName name="Img_ML_7m5m4k3b" hidden="1">"IMG_10"</definedName>
    <definedName name="Img_ML_7n6h3t1t" hidden="1">"IMG_12"</definedName>
    <definedName name="Img_ML_7s4w7c6r" hidden="1">"IMG_18"</definedName>
    <definedName name="Img_ML_7s7w4o2i" hidden="1">"IMG_3"</definedName>
    <definedName name="Img_ML_7w3j1h9t" hidden="1">"IMG_17"</definedName>
    <definedName name="Img_ML_8a8m2p9x" hidden="1">"IMG_12"</definedName>
    <definedName name="Img_ML_8b4s3j4n" hidden="1">"IMG_18"</definedName>
    <definedName name="Img_ML_8b9j5t1p" hidden="1">"IMG_18"</definedName>
    <definedName name="Img_ML_8c2q5i2r" hidden="1">"IMG_55"</definedName>
    <definedName name="Img_ML_8c4u3q4u" hidden="1">"IMG_17"</definedName>
    <definedName name="Img_ML_8d2w4j7j" hidden="1">"IMG_4"</definedName>
    <definedName name="Img_ML_8g3e4a7v" hidden="1">"IMG_6"</definedName>
    <definedName name="Img_ML_8h3m3i1m" hidden="1">"IMG_6"</definedName>
    <definedName name="Img_ML_8h4d9i2b" hidden="1">"IMG_11"</definedName>
    <definedName name="Img_ML_8h5e9i3c" hidden="1">"IMG_5"</definedName>
    <definedName name="Img_ML_8h7g3c9i" hidden="1">"IMG_10"</definedName>
    <definedName name="Img_ML_8h7g4d4d" hidden="1">"IMG_10"</definedName>
    <definedName name="Img_ML_8i9u7w8k" hidden="1">"IMG_56"</definedName>
    <definedName name="Img_ML_8j3w6p4c" hidden="1">"IMG_17"</definedName>
    <definedName name="Img_ML_8r1k8t4y" hidden="1">"IMG_18"</definedName>
    <definedName name="Img_ML_8r9f4n4f" hidden="1">"IMG_11"</definedName>
    <definedName name="Img_ML_8s3q3c1i" hidden="1">"IMG_18"</definedName>
    <definedName name="Img_ML_8t3m5u6f" hidden="1">"IMG_18"</definedName>
    <definedName name="Img_ML_9c9p6w6g" hidden="1">"IMG_11"</definedName>
    <definedName name="Img_ML_9g2r1i7c" hidden="1">"IMG_17"</definedName>
    <definedName name="Img_ML_9g3r6t7h" hidden="1">"IMG_17"</definedName>
    <definedName name="Img_ML_9j3t2m3v" hidden="1">"IMG_56"</definedName>
    <definedName name="Img_ML_9n1s4m5f" hidden="1">"IMG_11"</definedName>
    <definedName name="Img_ML_9u2c1d4e" hidden="1">"IMG_11"</definedName>
    <definedName name="Img_ML_9v6s2g1u" hidden="1">"IMG_18"</definedName>
    <definedName name="Img_Production_Breakdown" hidden="1">"IMG_3"</definedName>
    <definedName name="Img_ROIC_proforma" hidden="1">"IMG_11"</definedName>
    <definedName name="immr">#REF!</definedName>
    <definedName name="Import_in_Area">#REF!</definedName>
    <definedName name="Import_Out_of_Area">#REF!</definedName>
    <definedName name="IMPORTDFF1">#REF!</definedName>
    <definedName name="IMPORTDFF2">#REF!</definedName>
    <definedName name="IMPORTDFF3">#REF!</definedName>
    <definedName name="IMPORTDFF4">#REF!</definedName>
    <definedName name="IMPORTDFF5">#REF!</definedName>
    <definedName name="IMPORTDFF6">#REF!</definedName>
    <definedName name="ImportedSALT">TRUE</definedName>
    <definedName name="ImpôtNormatif">0.35</definedName>
    <definedName name="ImpotStandard">0.35</definedName>
    <definedName name="IMT_HW">#REF!</definedName>
    <definedName name="IMT_OPEX">#REF!</definedName>
    <definedName name="IMT_SCENARIO_INR">#REF!</definedName>
    <definedName name="IMT_SCENARIO_USD">#REF!</definedName>
    <definedName name="IMT_SUMMARY">#REF!</definedName>
    <definedName name="IMT_SW">#REF!</definedName>
    <definedName name="IN">#REF!</definedName>
    <definedName name="IN_TAMT">#N/A</definedName>
    <definedName name="IN_TOTAL">#N/A</definedName>
    <definedName name="IN_TQTY">#N/A</definedName>
    <definedName name="IN_UC">#N/A</definedName>
    <definedName name="INAMT">#N/A</definedName>
    <definedName name="inb" hidden="1">{#N/A,#N/A,FALSE,"Aging Summary";#N/A,#N/A,FALSE,"Ratio Analysis";#N/A,#N/A,FALSE,"Test 120 Day Accts";#N/A,#N/A,FALSE,"Tickmarks"}</definedName>
    <definedName name="INC">#REF!</definedName>
    <definedName name="Inc_HC_CEU">#REF!</definedName>
    <definedName name="Inc_HC_EMEA">#REF!</definedName>
    <definedName name="Inc_HC_Ireland">#REF!</definedName>
    <definedName name="INC_HC_UK">#REF!</definedName>
    <definedName name="INC_STMT_CUM">#REF!</definedName>
    <definedName name="INC_STMT_FINAL">#REF!</definedName>
    <definedName name="INCBUD">#REF!</definedName>
    <definedName name="incentive">#REF!</definedName>
    <definedName name="Incentives_Post_Commencement">#REF!</definedName>
    <definedName name="income">#REF!</definedName>
    <definedName name="Income_before_taxes">#REF!</definedName>
    <definedName name="INCOME_MO">#REF!</definedName>
    <definedName name="INCOME_MO1">#REF!</definedName>
    <definedName name="Income_Statement">#REF!</definedName>
    <definedName name="INCOME_STMT1">#REF!</definedName>
    <definedName name="Income_Taxes_Paid">#REF!</definedName>
    <definedName name="incomebef.taxes">#REF!</definedName>
    <definedName name="incomefromoper.">#REF!</definedName>
    <definedName name="IncomeStatementDates">#REF!</definedName>
    <definedName name="IncomeTaxRate">0.35</definedName>
    <definedName name="Increase_in_other_liabilities">#REF!</definedName>
    <definedName name="Incremental_ROIC">#REF!</definedName>
    <definedName name="Incremental_ROIC_DCF">#REF!</definedName>
    <definedName name="IncStmt">#REF!</definedName>
    <definedName name="ind_equity">#REF!</definedName>
    <definedName name="INDD_Aug03">#REF!</definedName>
    <definedName name="INDEX">#N/A</definedName>
    <definedName name="INDEX1">#REF!</definedName>
    <definedName name="IndexAddModRow">42</definedName>
    <definedName name="IndexNames">Indexn1,IndexN2</definedName>
    <definedName name="IndexSubtractModRow">48</definedName>
    <definedName name="Indhotels">#REF!</definedName>
    <definedName name="INDIA_PLASTIC_in_KUSD">#REF!</definedName>
    <definedName name="IndiaCement">#REF!</definedName>
    <definedName name="indian_hotels">#REF!</definedName>
    <definedName name="indianhotels">#REF!</definedName>
    <definedName name="IndianOil">#REF!</definedName>
    <definedName name="indianpetro">#REF!</definedName>
    <definedName name="IndiaRange">#REF!</definedName>
    <definedName name="INDIG">#REF!</definedName>
    <definedName name="indirect_expenses">#REF!</definedName>
    <definedName name="Indirect_or_Sub">#REF!</definedName>
    <definedName name="Indonesia">#REF!</definedName>
    <definedName name="INDPL">#REF!</definedName>
    <definedName name="industrial">#REF!</definedName>
    <definedName name="ines">#REF!</definedName>
    <definedName name="Infgod">#REF!</definedName>
    <definedName name="inflator">#REF!</definedName>
    <definedName name="inflList" hidden="1">"00000000000000000000000000000000000000000000000000000000000000000000000000000000000000000000000000000000000000000000000000000000000000000000000000000000000000000000000000000000000000000000000000000000"</definedName>
    <definedName name="INFO">#REF!</definedName>
    <definedName name="INFO_BI_EXE_NAME">"BICORE.EXE"</definedName>
    <definedName name="INFO_EXE_SERVER_PATH">"C:\Program Files (x86)\Sage Software\Sage MAS 500 Client\Managed Applications\SMIFramework\BICORE.EXE"</definedName>
    <definedName name="INFO_INSTANCE_ID">"0"</definedName>
    <definedName name="INFO_REPORT_CODE">"S500-AI01-1-0"</definedName>
    <definedName name="INFO_REPORT_ID">"9"</definedName>
    <definedName name="INFO_REPORT_NAME">"FY20141_Financials"</definedName>
    <definedName name="INFO_RUN_USER">""</definedName>
    <definedName name="INFO_RUN_WORKSTATION">"TS1"</definedName>
    <definedName name="infomemo">#REF!</definedName>
    <definedName name="Infosed">#REF!</definedName>
    <definedName name="Infosys">#REF!</definedName>
    <definedName name="infosystech">#REF!</definedName>
    <definedName name="InfoTech2">#REF!</definedName>
    <definedName name="INFRA">#REF!</definedName>
    <definedName name="ing" hidden="1">{#N/A,#N/A,FALSE,"Aging Summary";#N/A,#N/A,FALSE,"Ratio Analysis";#N/A,#N/A,FALSE,"Test 120 Day Accts";#N/A,#N/A,FALSE,"Tickmarks"}</definedName>
    <definedName name="ini_button_Click">#REF!</definedName>
    <definedName name="InitializeCommand">"$d$1"</definedName>
    <definedName name="INLINE">#REF!</definedName>
    <definedName name="INLINE..">#REF!</definedName>
    <definedName name="inn" hidden="1">{#N/A,#N/A,FALSE,"Aging Summary";#N/A,#N/A,FALSE,"Ratio Analysis";#N/A,#N/A,FALSE,"Test 120 Day Accts";#N/A,#N/A,FALSE,"Tickmarks"}</definedName>
    <definedName name="Innovmarine">#REF!</definedName>
    <definedName name="inprocess3">#REF!</definedName>
    <definedName name="INPUT">#REF!</definedName>
    <definedName name="INPUT1">#REF!</definedName>
    <definedName name="InputIndicator">#REF!</definedName>
    <definedName name="inputs">#REF!</definedName>
    <definedName name="INQTY">#N/A</definedName>
    <definedName name="INRBSRate">#REF!</definedName>
    <definedName name="INSECT">#REF!</definedName>
    <definedName name="insert">#REF!</definedName>
    <definedName name="Inspection_Detail">#REF!</definedName>
    <definedName name="Inspection_Summary">#REF!</definedName>
    <definedName name="insrateBH">1545800+13346</definedName>
    <definedName name="insratedom">7065000+135816+375000</definedName>
    <definedName name="instodate">73415420</definedName>
    <definedName name="Instructions">#REF!</definedName>
    <definedName name="insurance">#REF!</definedName>
    <definedName name="Int">#REF!</definedName>
    <definedName name="Int_Ass">#REF!</definedName>
    <definedName name="INT_CO_PAYABLES">#REF!</definedName>
    <definedName name="INT_CO_RECEIVAB">#REF!</definedName>
    <definedName name="int_ext_sel">1</definedName>
    <definedName name="INT_INC_AHNA">#REF!</definedName>
    <definedName name="INT_INC_CONSOL">#REF!</definedName>
    <definedName name="INT_INC_PARENT">#REF!</definedName>
    <definedName name="INT_INC_UNCONSOL">#REF!</definedName>
    <definedName name="INT_Table">#REF!</definedName>
    <definedName name="int234B">#REF!</definedName>
    <definedName name="int234C">#REF!</definedName>
    <definedName name="Int256W">#REF!</definedName>
    <definedName name="INTCALC">#REF!</definedName>
    <definedName name="INTCOV">#REF!</definedName>
    <definedName name="intdty">#REF!</definedName>
    <definedName name="IntE1">#REF!</definedName>
    <definedName name="IntE1W">#REF!</definedName>
    <definedName name="interco">#REF!</definedName>
    <definedName name="Intercomapny_Rent_Expense">#REF!</definedName>
    <definedName name="Intercompany_Commission_Expense">#REF!</definedName>
    <definedName name="Intercompany_Commission_Income">#REF!</definedName>
    <definedName name="Intercompany_Interest_Expense">#REF!</definedName>
    <definedName name="Intercompany_Interest_Income">#REF!</definedName>
    <definedName name="Intercompany_Purchases">#REF!</definedName>
    <definedName name="Intercompany_Receivables">#REF!</definedName>
    <definedName name="Intercompany_Rent_Income">#REF!</definedName>
    <definedName name="Intercompany_Royalty_Expense">#REF!</definedName>
    <definedName name="Intercompany_Royalty_Income">#REF!</definedName>
    <definedName name="Intercompany_Sales">#REF!</definedName>
    <definedName name="interest">#REF!</definedName>
    <definedName name="Interest_Rate">#REF!</definedName>
    <definedName name="INTEREST_RECEIVED_OT">40643</definedName>
    <definedName name="INTEREST1">#REF!</definedName>
    <definedName name="interestoverall" hidden="1">{#N/A,#N/A,FALSE,"Aging Summary";#N/A,#N/A,FALSE,"Ratio Analysis";#N/A,#N/A,FALSE,"Test 120 Day Accts";#N/A,#N/A,FALSE,"Tickmarks"}</definedName>
    <definedName name="interestoverall_3">#REF!</definedName>
    <definedName name="IntermediateCapFullyDilutedShares">#REF!</definedName>
    <definedName name="InternalVersion">#REF!</definedName>
    <definedName name="International.new" localSheetId="0" hidden="1">{"fdsup://directions/FAT Viewer?action=UPDATE&amp;creator=factset&amp;DYN_ARGS=TRUE&amp;DOC_NAME=FAT:FQL_AUDITING_CLIENT_TEMPLATE.FAT&amp;display_string=Audit&amp;VAR:KEY=CZIDODGVEV&amp;VAR:QUERY=Q1NGX0RJVl9ZTEQoUVRSX1IsMTIvMzEvMjAwNCk=&amp;WINDOW=FIRST_POPUP&amp;HEIGHT=450&amp;WIDTH=450&amp;STAR","T_MAXIMIZED=FALSE&amp;VAR:CALENDAR=US&amp;VAR:SYMBOL=MO&amp;VAR:INDEX=0"}</definedName>
    <definedName name="International.new" hidden="1">{"fdsup://directions/FAT Viewer?action=UPDATE&amp;creator=factset&amp;DYN_ARGS=TRUE&amp;DOC_NAME=FAT:FQL_AUDITING_CLIENT_TEMPLATE.FAT&amp;display_string=Audit&amp;VAR:KEY=CZIDODGVEV&amp;VAR:QUERY=Q1NGX0RJVl9ZTEQoUVRSX1IsMTIvMzEvMjAwNCk=&amp;WINDOW=FIRST_POPUP&amp;HEIGHT=450&amp;WIDTH=450&amp;STAR","T_MAXIMIZED=FALSE&amp;VAR:CALENDAR=US&amp;VAR:SYMBOL=MO&amp;VAR:INDEX=0"}</definedName>
    <definedName name="Interunit_accounts">#REF!</definedName>
    <definedName name="intexp">#REF!</definedName>
    <definedName name="IntFreeCre.">#REF!</definedName>
    <definedName name="IntFreeCred">#REF!</definedName>
    <definedName name="intinc">#REF!</definedName>
    <definedName name="Intl_tax">#REF!</definedName>
    <definedName name="Intl_tax2">#REF!</definedName>
    <definedName name="intrec">#REF!</definedName>
    <definedName name="INTRO">#REF!</definedName>
    <definedName name="IntroPrintArea">#REF!</definedName>
    <definedName name="intsch">#REF!</definedName>
    <definedName name="intspun">#REF!</definedName>
    <definedName name="INTT_EXP">#REF!</definedName>
    <definedName name="inttrgtdty">#REF!</definedName>
    <definedName name="inttrgtspun">#REF!</definedName>
    <definedName name="INV">#REF!</definedName>
    <definedName name="Invalid">"Invalid"</definedName>
    <definedName name="InvDiv">#REF!</definedName>
    <definedName name="Inventory">#REF!</definedName>
    <definedName name="Inventory_Avail">#REF!</definedName>
    <definedName name="INVENTORY_TRANS">#REF!</definedName>
    <definedName name="invest" hidden="1">{"00000summary",#N/A,FALSE,"00000";"10000summary",#N/A,FALSE,"10000"}</definedName>
    <definedName name="Invest_Inp">#REF!,#REF!</definedName>
    <definedName name="Investment">{"'Sch B'!$B$15:$L$17"}</definedName>
    <definedName name="invoice">#REF!</definedName>
    <definedName name="invoices">#REF!</definedName>
    <definedName name="InvSt" hidden="1">{#N/A,#N/A,TRUE,"CPRD";#N/A,#N/A,TRUE,"BCCPDR";#N/A,#N/A,TRUE,"EWRD";#N/A,#N/A,TRUE,"5100";#N/A,#N/A,TRUE,"5110"}</definedName>
    <definedName name="InvStage" hidden="1">{#N/A,#N/A,TRUE,"CPRD";#N/A,#N/A,TRUE,"BCCPDR";#N/A,#N/A,TRUE,"EWRD";#N/A,#N/A,TRUE,"5100";#N/A,#N/A,TRUE,"5110"}</definedName>
    <definedName name="INVT">{"'Sch B'!$B$15:$L$17"}</definedName>
    <definedName name="invtype">#REF!</definedName>
    <definedName name="invtype2">#REF!</definedName>
    <definedName name="inwon" hidden="1">{#N/A,#N/A,FALSE,"UNIT";#N/A,#N/A,FALSE,"UNIT";#N/A,#N/A,FALSE,"계정"}</definedName>
    <definedName name="io_2">#REF!</definedName>
    <definedName name="IO_CUR_COL">1</definedName>
    <definedName name="IO_CUR_ROW">7</definedName>
    <definedName name="iob">#REF!</definedName>
    <definedName name="iolwehf" hidden="1">{#N/A,#N/A,FALSE,"REPORT"}</definedName>
    <definedName name="IP" hidden="1">{#N/A,#N/A,FALSE,"Pharm";#N/A,#N/A,FALSE,"WWCM"}</definedName>
    <definedName name="IPOTRIG">#REF!</definedName>
    <definedName name="iprd_drate">#REF!</definedName>
    <definedName name="IPRD_mites">#REF!</definedName>
    <definedName name="IPRD_Pollen">#REF!</definedName>
    <definedName name="IQ_00EL">"c449"</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 hidden="1">"c1449"</definedName>
    <definedName name="IQ_ACCOUNT_CHANGE_1">"c413"</definedName>
    <definedName name="IQ_Account_delta">"c413"</definedName>
    <definedName name="IQ_ACCOUNTS_PAY" hidden="1">"c1343"</definedName>
    <definedName name="IQ_ACCOUNTS_PAY_1">"c32"</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RUED_EXP_1">"c8"</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_DEP_1">"c7"</definedName>
    <definedName name="IQ_ACCUMULATED_PENSION_OBLIGATION" hidden="1">"c2244"</definedName>
    <definedName name="IQ_ACCUMULATED_PENSION_OBLIGATION_1">"c2108"</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"c6535"</definedName>
    <definedName name="IQ_ACQUISITION_RE_ASSETS" hidden="1">"c1628"</definedName>
    <definedName name="IQ_AD" hidden="1">"c7"</definedName>
    <definedName name="IQ_ADD_PAID_IN" hidden="1">"c1344"</definedName>
    <definedName name="IQ_ADD_PAID_IN_1">"c39"</definedName>
    <definedName name="IQ_ADDIN" hidden="1">"AUTO"</definedName>
    <definedName name="IQ_ADDITIONAL_NON_INT_INC_FDIC">"c6574"</definedName>
    <definedName name="IQ_ADJ_AVG_BANK_ASSETS" hidden="1">"c2671"</definedName>
    <definedName name="IQ_ADJUSTABLE_RATE_LOANS_FDIC">"c6375"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CONST_1">"c16"</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"c6499"</definedName>
    <definedName name="IQ_AMORT_EXPENSE_FDIC">"c6677"</definedName>
    <definedName name="IQ_AMORTIZATION" hidden="1">"c1591"</definedName>
    <definedName name="IQ_AMORTIZATION_1">"c1471"</definedName>
    <definedName name="IQ_AMORTIZED_COST_FDIC">"c6426"</definedName>
    <definedName name="IQ_AMT_OUT" hidden="1">"c2145"</definedName>
    <definedName name="IQ_ANALYST_DET_EST_REUT">"c12135"</definedName>
    <definedName name="IQ_ANALYST_NON_PER_DET_EST_REUT">"c12758"</definedName>
    <definedName name="IQ_ANNU_DISTRIBUTION_UNIT" hidden="1">"c3004"</definedName>
    <definedName name="IQ_ANNUAL_DIVIDEND">"c229"</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BACKED_FDIC">"c6301"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"c6305"</definedName>
    <definedName name="IQ_ASSETS_OPER_LEASE_DEPR" hidden="1">"c2070"</definedName>
    <definedName name="IQ_ASSETS_OPER_LEASE_GROSS" hidden="1">"c2071"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"c5315"</definedName>
    <definedName name="IQ_AVG_BROKER_REC_REUT">"c3630"</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AVG_VOLUME_1">"c65"</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 hidden="1">"c2544"</definedName>
    <definedName name="IQ_BANK_DEBT_PCT" hidden="1">"c2545"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IZ_SEG_ASSETS">"c90"</definedName>
    <definedName name="IQ_BIZ_SEG_EBT">"c91"</definedName>
    <definedName name="IQ_BIZ_SEG_GP">"c92"</definedName>
    <definedName name="IQ_BIZ_SEG_NI">"c93"</definedName>
    <definedName name="IQ_BIZ_SEG_OPER_INC">"c94"</definedName>
    <definedName name="IQ_BIZ_SEG_REV">"c95"</definedName>
    <definedName name="IQ_BOARD_MEMBER" hidden="1">"c96"</definedName>
    <definedName name="IQ_BOARD_MEMBER_BACKGROUND" hidden="1">"c2101"</definedName>
    <definedName name="IQ_BOARD_MEMBER_FAX">"c2100"</definedName>
    <definedName name="IQ_BOARD_MEMBER_OFFICE">"c2098"</definedName>
    <definedName name="IQ_BOARD_MEMBER_PHONE">"c2099"</definedName>
    <definedName name="IQ_BOARD_MEMBER_TITLE" hidden="1">"c97"</definedName>
    <definedName name="IQ_BOND_COUPON" hidden="1">"c2183"</definedName>
    <definedName name="IQ_BOND_COUPON_TYPE" hidden="1">"c2184"</definedName>
    <definedName name="IQ_BOND_PRICE" hidden="1">"c2162"</definedName>
    <definedName name="IQ_BONDRATING_FITCH">"IQ_BONDRATING_FITCH"</definedName>
    <definedName name="IQ_BONDRATING_FITCH_DATE">"c241"</definedName>
    <definedName name="IQ_BONDRATING_MOODYS">"IQ_BONDRATING_MOODYS"</definedName>
    <definedName name="IQ_BONDRATING_SP">"IQ_BONDRATING_SP"</definedName>
    <definedName name="IQ_BONDRATING_SP_DATE">"c242"</definedName>
    <definedName name="IQ_BOOK_VALUE">"IQ_BOOK_VALUE"</definedName>
    <definedName name="IQ_BROK_COMISSION" hidden="1">"c98"</definedName>
    <definedName name="IQ_BROKERED_DEPOSITS_FDIC">"c6486"</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ILDINGS" hidden="1">"c99"</definedName>
    <definedName name="IQ_BUS_SEG_PRIMARY_GIC" hidden="1">"c15584"</definedName>
    <definedName name="IQ_BUS_SEG_PRIMARY_GIC_ABS" hidden="1">"c15572"</definedName>
    <definedName name="IQ_BUS_SEG_SECONDARY_GIC" hidden="1">"c15585"</definedName>
    <definedName name="IQ_BUS_SEG_SECONDARY_GIC_ABS" hidden="1">"c15573"</definedName>
    <definedName name="IQ_BUSINESS_DESCRIPTION" hidden="1">"c322"</definedName>
    <definedName name="IQ_BV_ACT_OR_EST_REUT">"c5471"</definedName>
    <definedName name="IQ_BV_ACT_OR_EST_THOM">"c5308"</definedName>
    <definedName name="IQ_BV_EST_REUT">"c5403"</definedName>
    <definedName name="IQ_BV_EST_THOM">"c5147"</definedName>
    <definedName name="IQ_BV_HIGH_EST_REUT">"c5405"</definedName>
    <definedName name="IQ_BV_HIGH_EST_THOM">"c5149"</definedName>
    <definedName name="IQ_BV_LOW_EST_REUT">"c5406"</definedName>
    <definedName name="IQ_BV_LOW_EST_THOM">"c5150"</definedName>
    <definedName name="IQ_BV_MEDIAN_EST_REUT">"c5404"</definedName>
    <definedName name="IQ_BV_MEDIAN_EST_THOM">"c5148"</definedName>
    <definedName name="IQ_BV_NUM_EST_REUT">"c5407"</definedName>
    <definedName name="IQ_BV_NUM_EST_THOM">"c5151"</definedName>
    <definedName name="IQ_BV_OVER_SHARES" hidden="1">"c1349"</definedName>
    <definedName name="IQ_BV_OVER_SHARES_1">"c100"</definedName>
    <definedName name="IQ_BV_SHARE" hidden="1">"c100"</definedName>
    <definedName name="IQ_BV_SHARE_ACT_OR_EST_REUT">"c5477"</definedName>
    <definedName name="IQ_BV_SHARE_DET_EST_CURRENCY_REUT">"c12524"</definedName>
    <definedName name="IQ_BV_SHARE_DET_EST_DATE_REUT">"c12281"</definedName>
    <definedName name="IQ_BV_SHARE_DET_EST_INCL_REUT">"c12407"</definedName>
    <definedName name="IQ_BV_SHARE_DET_EST_ORIGIN_REUT">"c12649"</definedName>
    <definedName name="IQ_BV_SHARE_DET_EST_REUT">"c12139"</definedName>
    <definedName name="IQ_BV_SHARE_EST_REUT">"c5439"</definedName>
    <definedName name="IQ_BV_SHARE_HIGH_EST_REUT">"c5441"</definedName>
    <definedName name="IQ_BV_SHARE_LOW_EST_REUT">"c5442"</definedName>
    <definedName name="IQ_BV_SHARE_MEDIAN_EST_REUT">"c5440"</definedName>
    <definedName name="IQ_BV_SHARE_NUM_EST_REUT">"c5443"</definedName>
    <definedName name="IQ_BV_SHARE_STDDEV_EST_REUT">"c5444"</definedName>
    <definedName name="IQ_BV_STDDEV_EST_REUT">"c5408"</definedName>
    <definedName name="IQ_BV_STDDEV_EST_THOM">"c5152"</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_REUT">"c6800"</definedName>
    <definedName name="IQ_CAL_Y" hidden="1">"c102"</definedName>
    <definedName name="IQ_CAL_Y_EST_REUT">"c6801"</definedName>
    <definedName name="IQ_CALL_DATE_SCHEDULE" hidden="1">"c2481"</definedName>
    <definedName name="IQ_CALL_FEATURE" hidden="1">"c2197"</definedName>
    <definedName name="IQ_CALL_PRICE_SCHEDULE" hidden="1">"c2482"</definedName>
    <definedName name="IQ_CALLABLE" hidden="1">"c2196"</definedName>
    <definedName name="IQ_Cap">"c2076"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ACT_OR_EST_REUT">"c5474"</definedName>
    <definedName name="IQ_CAPEX_BR" hidden="1">"c111"</definedName>
    <definedName name="IQ_CAPEX_DET_EST_CURRENCY_REUT">"c12525"</definedName>
    <definedName name="IQ_CAPEX_DET_EST_DATE_REUT">"c12282"</definedName>
    <definedName name="IQ_CAPEX_DET_EST_INCL_REUT">"c12408"</definedName>
    <definedName name="IQ_CAPEX_DET_EST_ORIGIN_REUT">"c12768"</definedName>
    <definedName name="IQ_CAPEX_DET_EST_REUT">"c12140"</definedName>
    <definedName name="IQ_CAPEX_EST_REUT">"c3969"</definedName>
    <definedName name="IQ_CAPEX_HIGH_EST_REUT">"c3971"</definedName>
    <definedName name="IQ_CAPEX_LOW_EST_REUT">"c3972"</definedName>
    <definedName name="IQ_CAPEX_MEDIAN_EST_REUT">"c3970"</definedName>
    <definedName name="IQ_CAPEX_NUM_EST_REUT">"c3973"</definedName>
    <definedName name="IQ_CAPEX_STDDEV_EST_REUT">"c3974"</definedName>
    <definedName name="IQ_CAPITAL_LEASE_1">"c115"</definedName>
    <definedName name="IQ_CAPITAL_LEASES_TOTAL" hidden="1">"c3031"</definedName>
    <definedName name="IQ_CAPITAL_LEASES_TOTAL_PCT" hidden="1">"c2506"</definedName>
    <definedName name="IQ_CAPITALIZED_INTEREST" hidden="1">"c2076"</definedName>
    <definedName name="IQ_CAPITALIZED_INTEREST_1">"c3460"</definedName>
    <definedName name="IQ_CASH_1">"c118"</definedName>
    <definedName name="IQ_CASH_ACQUIRE_CF_1">"c1630"</definedName>
    <definedName name="IQ_CASH_ACQUIRE_CF2">"c1630"</definedName>
    <definedName name="IQ_CASH_DIVIDENDS_NET_INCOME_FDIC">"c6738"</definedName>
    <definedName name="IQ_CASH_DUE_BANKS_1">"c118"</definedName>
    <definedName name="IQ_CASH_IN_PROCESS_FDIC">"c6386"</definedName>
    <definedName name="IQ_CASH_SHARE" hidden="1">"c1911"</definedName>
    <definedName name="IQ_CASH_ST_1">"c124"</definedName>
    <definedName name="IQ_CCE_FDIC">"c6296"</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PS_ACT_OR_EST_REUT">"c5463"</definedName>
    <definedName name="IQ_CFPS_DET_EST_CURRENCY_REUT">"c12526"</definedName>
    <definedName name="IQ_CFPS_DET_EST_DATE_REUT">"c12283"</definedName>
    <definedName name="IQ_CFPS_DET_EST_INCL_REUT">"c12409"</definedName>
    <definedName name="IQ_CFPS_DET_EST_ORIGIN_REUT">"c12651"</definedName>
    <definedName name="IQ_CFPS_DET_EST_REUT">"c12141"</definedName>
    <definedName name="IQ_CFPS_EST_REUT">"c3844"</definedName>
    <definedName name="IQ_CFPS_HIGH_EST_REUT">"c3846"</definedName>
    <definedName name="IQ_CFPS_LOW_EST_REUT">"c3847"</definedName>
    <definedName name="IQ_CFPS_MEDIAN_EST_REUT">"c3845"</definedName>
    <definedName name="IQ_CFPS_NUM_EST_REUT">"c3848"</definedName>
    <definedName name="IQ_CFPS_STDDEV_EST_REUT">"c3849"</definedName>
    <definedName name="IQ_CH">110000</definedName>
    <definedName name="IQ_CHANGE_AP_BR" hidden="1">"c135"</definedName>
    <definedName name="IQ_CHANGE_AR_BR" hidden="1">"c142"</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NET_WORKING_CAPITAL" hidden="1">"c1909"</definedName>
    <definedName name="IQ_CHANGE_OTHER_NET_OPER_ASSETS_BR">"c3595"</definedName>
    <definedName name="IQ_CHANGE_OTHER_WORK_CAP_BR" hidden="1">"c154"</definedName>
    <definedName name="IQ_CHANGES_WORK_CAP_1">"c161"</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"c1972"</definedName>
    <definedName name="IQ_CLASSB_OUTSTANDING_FILING_DATE">"c1974"</definedName>
    <definedName name="IQ_CLOSEPRICE_ADJ" hidden="1">"c2115"</definedName>
    <definedName name="IQ_CMO_FDIC">"c6406"</definedName>
    <definedName name="IQ_COLLECTION_DOMESTIC_FDIC">"c6387"</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 hidden="1">"c177"</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 hidden="1">"c179"</definedName>
    <definedName name="IQ_COMMERCIAL_RE_CONSTRUCTION_LAND_DEV_FDIC">"c6526"</definedName>
    <definedName name="IQ_COMMERCIAL_RE_LOANS_FDIC">"c6312"</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_APIC_BR" hidden="1">"c185"</definedName>
    <definedName name="IQ_COMMON_DIV" hidden="1">"c3006"</definedName>
    <definedName name="IQ_COMMON_FDIC">"c6350"</definedName>
    <definedName name="IQ_COMMON_ISSUED_BR" hidden="1">"c199"</definedName>
    <definedName name="IQ_COMMON_REP_BR" hidden="1">"c208"</definedName>
    <definedName name="IQ_COMMON_STOCK_1">"c182"</definedName>
    <definedName name="IQ_COMPANY_STATUS" hidden="1">"c2097"</definedName>
    <definedName name="IQ_COMPANY_TYPE" hidden="1">"c2096"</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TRACTS_OTHER_COMMODITIES_EQUITIES._FDIC">"c6522"</definedName>
    <definedName name="IQ_CONTRACTS_OTHER_COMMODITIES_EQUITIES_FDIC">"c6522"</definedName>
    <definedName name="IQ_CONTRIB_ID_DET_EST_REUT">"c12137"</definedName>
    <definedName name="IQ_CONTRIB_ID_NON_PER_DET_EST_REUT">"c13827"</definedName>
    <definedName name="IQ_CONTRIB_NAME_DET_EST_REUT">"c12138"</definedName>
    <definedName name="IQ_CONTRIB_NAME_NON_PER_DET_EST_REUT">"c12763"</definedName>
    <definedName name="IQ_CONTRIB_REC_DET_EST_DATE_REUT">"c12285"</definedName>
    <definedName name="IQ_CONTRIB_REC_DET_EST_ORIGIN_REUT">"c12653"</definedName>
    <definedName name="IQ_CONTRIB_REC_DET_EST_REUT">"c12143"</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DEBT">"c224"</definedName>
    <definedName name="IQ_CONVERT_PCT" hidden="1">"c2537"</definedName>
    <definedName name="IQ_CONVEXITY" hidden="1">"c2182"</definedName>
    <definedName name="IQ_CONVEYED_TO_OTHERS_FDIC">"c6534"</definedName>
    <definedName name="IQ_CORE_CAPITAL_RATIO_FDIC">"c6745"</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BORROWING" hidden="1">"c2936"</definedName>
    <definedName name="IQ_COST_OF_FUNDING_ASSETS_FDIC">"c6725"</definedName>
    <definedName name="IQ_COST_REVENUE_1">"c226"</definedName>
    <definedName name="IQ_COVERED_POPS" hidden="1">"c2124"</definedName>
    <definedName name="IQ_CP" hidden="1">"c2495"</definedName>
    <definedName name="IQ_CP_PCT" hidden="1">"c2496"</definedName>
    <definedName name="IQ_CQ">5000</definedName>
    <definedName name="IQ_CREDIT_CARD_CHARGE_OFFS_FDIC">"c6652"</definedName>
    <definedName name="IQ_CREDIT_CARD_FEE">"c231"</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PROVISION_NET_CHARGE_OFFS_FDIC">"c6734"</definedName>
    <definedName name="IQ_CUMULATIVE_SPLIT_FACTOR" hidden="1">"c2094"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_DOMESTIC_TAXES" hidden="1">"c2074"</definedName>
    <definedName name="IQ_CURR_FOREIGN_TAXES" hidden="1">"c2075"</definedName>
    <definedName name="IQ_CURRENCY_COIN_DOMESTIC_FDIC">"c6388"</definedName>
    <definedName name="IQ_CURRENCY_GAIN_BR" hidden="1">"c236"</definedName>
    <definedName name="IQ_CURRENT_PORT_DEBT_BR" hidden="1">"c1567"</definedName>
    <definedName name="IQ_CURRENT_PORT_PCT" hidden="1">"c2541"</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ATED_DATE" hidden="1">"c2185"</definedName>
    <definedName name="IQ_DAY_COUNT" hidden="1">"c2161"</definedName>
    <definedName name="IQ_DAYS_PAY_OUTST_1">"c274"</definedName>
    <definedName name="IQ_DAYS_SALES_OUTST_1">"c275"</definedName>
    <definedName name="IQ_DEBT_ADJ" hidden="1">"c2515"</definedName>
    <definedName name="IQ_DEBT_ADJ_PCT" hidden="1">"c2516"</definedName>
    <definedName name="IQ_DEBT_EQUIV_NET_PBO" hidden="1">"c2938"</definedName>
    <definedName name="IQ_DEBT_EQUIV_OPER_LEASE" hidden="1">"c2935"</definedName>
    <definedName name="IQ_DEF_ACQ_CST_1">"c301"</definedName>
    <definedName name="IQ_DEF_AMORT_BR" hidden="1">"c278"</definedName>
    <definedName name="IQ_DEF_BENEFIT_INTEREST_COST_DOMESTIC" hidden="1">"c2652"</definedName>
    <definedName name="IQ_DEF_BENEFIT_INTEREST_COST_FOREIGN" hidden="1">"c2660"</definedName>
    <definedName name="IQ_DEF_BENEFIT_OTHER_COST_DOMESTIC" hidden="1">"c2654"</definedName>
    <definedName name="IQ_DEF_BENEFIT_OTHER_COST_FOREIGN" hidden="1">"c2662"</definedName>
    <definedName name="IQ_DEF_BENEFIT_ROA_DOMESTIC" hidden="1">"c2653"</definedName>
    <definedName name="IQ_DEF_BENEFIT_ROA_FOREIGN" hidden="1">"c2661"</definedName>
    <definedName name="IQ_DEF_BENEFIT_SERVICE_COST_DOMESTIC" hidden="1">"c2651"</definedName>
    <definedName name="IQ_DEF_BENEFIT_SERVICE_COST_FOREIGN" hidden="1">"c2659"</definedName>
    <definedName name="IQ_DEF_BENEFIT_TOTAL_COST_DOMESTIC" hidden="1">"c2655"</definedName>
    <definedName name="IQ_DEF_BENEFIT_TOTAL_COST_FOREIGN" hidden="1">"c2663"</definedName>
    <definedName name="IQ_DEF_CHARGES_BR" hidden="1">"c288"</definedName>
    <definedName name="IQ_DEF_CHARGES_LT_BR" hidden="1">"c294"</definedName>
    <definedName name="IQ_DEF_INC_TAX_1">"c313"</definedName>
    <definedName name="IQ_DEF_TAX_ASSET_LT_BR" hidden="1">"c304"</definedName>
    <definedName name="IQ_DEF_TAX_LIAB_LT_BR" hidden="1">"c315"</definedName>
    <definedName name="IQ_DEFERRED_DOMESTIC_TAXES" hidden="1">"c2077"</definedName>
    <definedName name="IQ_DEFERRED_FOREIGN_TAXES" hidden="1">"c2078"</definedName>
    <definedName name="IQ_DEFERRED_INC_TAX_1">"c315"</definedName>
    <definedName name="IQ_DEFERRED_TAXES_1">"c147"</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HELD_DOMESTIC_FDIC">"c6340"</definedName>
    <definedName name="IQ_DEPOSITS_HELD_FOREIGN_FDIC">"c6341"</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_1">"c247"</definedName>
    <definedName name="IQ_DEPRE_DEPLE_1">"c261"</definedName>
    <definedName name="IQ_DERIVATIVES_FDIC">"c6523"</definedName>
    <definedName name="IQ_DESCRIPTION_LONG_1">"c322"</definedName>
    <definedName name="IQ_DIFF_LASTCLOSE_TARGET_PRICE" hidden="1">"c1854"</definedName>
    <definedName name="IQ_DIFF_LASTCLOSE_TARGET_PRICE_REUT">"c5436"</definedName>
    <definedName name="IQ_DILUT_EPS_NORM" hidden="1">"c1903"</definedName>
    <definedName name="IQ_DILUT_NI" hidden="1">"c2079"</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_1">"c333"</definedName>
    <definedName name="IQ_DISTRIBUTABLE_CASH" hidden="1">"c3002"</definedName>
    <definedName name="IQ_DISTRIBUTABLE_CASH_EST_CIQ">"c4802"</definedName>
    <definedName name="IQ_DISTRIBUTABLE_CASH_HIGH_EST_CIQ">"c4805"</definedName>
    <definedName name="IQ_DISTRIBUTABLE_CASH_LOW_EST_CIQ">"c4806"</definedName>
    <definedName name="IQ_DISTRIBUTABLE_CASH_MEDIAN_EST_CIQ">"c4807"</definedName>
    <definedName name="IQ_DISTRIBUTABLE_CASH_NUM_EST_CIQ">"c4808"</definedName>
    <definedName name="IQ_DISTRIBUTABLE_CASH_PAYOUT" hidden="1">"c3005"</definedName>
    <definedName name="IQ_DISTRIBUTABLE_CASH_SHARE" hidden="1">"c3003"</definedName>
    <definedName name="IQ_DISTRIBUTABLE_CASH_SHARE_EST_CIQ">"c4810"</definedName>
    <definedName name="IQ_DISTRIBUTABLE_CASH_SHARE_HIGH_EST_CIQ">"c4813"</definedName>
    <definedName name="IQ_DISTRIBUTABLE_CASH_SHARE_LOW_EST_CIQ">"c4814"</definedName>
    <definedName name="IQ_DISTRIBUTABLE_CASH_SHARE_MEDIAN_EST_CIQ">"c4815"</definedName>
    <definedName name="IQ_DISTRIBUTABLE_CASH_SHARE_NUM_EST_CIQ">"c4816"</definedName>
    <definedName name="IQ_DISTRIBUTABLE_CASH_SHARE_STDDEV_EST_CIQ">"c4817"</definedName>
    <definedName name="IQ_DISTRIBUTABLE_CASH_STDDEV_EST_CIQ">"c4819"</definedName>
    <definedName name="IQ_DIV_AMOUNT" hidden="1">"c3041"</definedName>
    <definedName name="IQ_DIV_PAYMENT_DATE" hidden="1">"c2205"</definedName>
    <definedName name="IQ_DIV_PAYMENT_DATE_1">"c2106"</definedName>
    <definedName name="IQ_DIV_RECORD_DATE" hidden="1">"c2204"</definedName>
    <definedName name="IQ_DIV_RECORD_DATE_1">"c2105"</definedName>
    <definedName name="IQ_DIVID_SHARE_1">"c330"</definedName>
    <definedName name="IQ_DIVIDENDS_DECLARED_COMMON_FDIC">"c6659"</definedName>
    <definedName name="IQ_DIVIDENDS_DECLARED_PREFERRED_FDIC">"c6658"</definedName>
    <definedName name="IQ_DIVIDENDS_FDIC">"c6660"</definedName>
    <definedName name="IQ_DNTM" hidden="1">700000</definedName>
    <definedName name="IQ_DPAC">"c2801"</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ACT_OR_EST_REUT">"c5464"</definedName>
    <definedName name="IQ_DPS_DET_EST_CURRENCY_REUT">"c12527"</definedName>
    <definedName name="IQ_DPS_DET_EST_DATE_REUT">"c12286"</definedName>
    <definedName name="IQ_DPS_DET_EST_INCL_REUT">"c12410"</definedName>
    <definedName name="IQ_DPS_DET_EST_ORIGIN_REUT">"c12654"</definedName>
    <definedName name="IQ_DPS_DET_EST_REUT">"c12144"</definedName>
    <definedName name="IQ_DPS_EST_BOTTOM_UP_REUT">"c5501"</definedName>
    <definedName name="IQ_DPS_EST_REUT">"c3851"</definedName>
    <definedName name="IQ_DPS_HIGH_EST_REUT">"c3853"</definedName>
    <definedName name="IQ_DPS_LOW_EST_REUT">"c3854"</definedName>
    <definedName name="IQ_DPS_MEDIAN_EST_REUT">"c3852"</definedName>
    <definedName name="IQ_DPS_NUM_EST_REUT">"c3855"</definedName>
    <definedName name="IQ_DPS_STDDEV_EST_REUT">"c3856"</definedName>
    <definedName name="IQ_DURATION" hidden="1">"c2181"</definedName>
    <definedName name="IQ_DYSCONT_OPER">"c1367"</definedName>
    <definedName name="IQ_EARNING_ASSETS_FDIC">"c6360"</definedName>
    <definedName name="IQ_EARNING_ASSETS_YIELD_FDIC">"c6724"</definedName>
    <definedName name="IQ_EARNINGS_ANNOUNCE_DATE" hidden="1">"c1649"</definedName>
    <definedName name="IQ_EARNINGS_ANNOUNCE_DATE_REUT">"c5314"</definedName>
    <definedName name="IQ_EARNINGS_COVERAGE_NET_CHARGE_OFFS_FDIC">"c6735"</definedName>
    <definedName name="IQ_EBIT_10K">"IQ_EBIT_10K"</definedName>
    <definedName name="IQ_EBIT_10Q">"IQ_EBIT_10Q"</definedName>
    <definedName name="IQ_EBIT_10Q1">"IQ_EBIT_10Q1"</definedName>
    <definedName name="IQ_EBIT_ACT_OR_EST_REUT">"c5465"</definedName>
    <definedName name="IQ_EBIT_DET_EST_CURRENCY_REUT">"c12528"</definedName>
    <definedName name="IQ_EBIT_DET_EST_DATE_REUT">"c12287"</definedName>
    <definedName name="IQ_EBIT_DET_EST_INCL_REUT">"c12411"</definedName>
    <definedName name="IQ_EBIT_DET_EST_ORIGIN_REUT">"c12655"</definedName>
    <definedName name="IQ_EBIT_DET_EST_REUT">"c12145"</definedName>
    <definedName name="IQ_EBIT_EST_REUT">"c5333"</definedName>
    <definedName name="IQ_EBIT_GROWTH_1">"IQ_EBIT_GROWTH_1"</definedName>
    <definedName name="IQ_EBIT_GROWTH_2">"IQ_EBIT_GROWTH_2"</definedName>
    <definedName name="IQ_EBIT_HIGH_EST_REUT">"c5335"</definedName>
    <definedName name="IQ_EBIT_LOW_EST_REUT">"c5336"</definedName>
    <definedName name="IQ_EBIT_MEDIAN_EST_REUT">"c5334"</definedName>
    <definedName name="IQ_EBIT_NET_INT">"c360"</definedName>
    <definedName name="IQ_EBIT_NUM_EST_REUT">"c5337"</definedName>
    <definedName name="IQ_EBIT_OVER_IE_1">"c360"</definedName>
    <definedName name="IQ_EBIT_STDDEV_EST_REUT">"c5338"</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_10K">"IQ_EBITDA_10K"</definedName>
    <definedName name="IQ_EBITDA_10Q">"IQ_EBITDA_10Q"</definedName>
    <definedName name="IQ_EBITDA_10Q1">"IQ_EBITDA_10Q1"</definedName>
    <definedName name="IQ_EBITDA_ACT_OR_EST_REUT">"c5462"</definedName>
    <definedName name="IQ_EBITDA_CAPEX_NET_INT">"c368"</definedName>
    <definedName name="IQ_EBITDA_CAPEX_OVER_TOTAL_IE_1">"c368"</definedName>
    <definedName name="IQ_EBITDA_DET_EST_CURRENCY_REUT">"c12529"</definedName>
    <definedName name="IQ_EBITDA_DET_EST_DATE_REUT">"c12288"</definedName>
    <definedName name="IQ_EBITDA_DET_EST_INCL_REUT">"c12412"</definedName>
    <definedName name="IQ_EBITDA_DET_EST_ORIGIN_REUT">"c12656"</definedName>
    <definedName name="IQ_EBITDA_DET_EST_REUT">"c12146"</definedName>
    <definedName name="IQ_EBITDA_EST_REUT">"c3640"</definedName>
    <definedName name="IQ_EBITDA_GROWTH_1">"IQ_EBITDA_GROWTH_1"</definedName>
    <definedName name="IQ_EBITDA_GROWTH_2">"IQ_EBITDA_GROWTH_2"</definedName>
    <definedName name="IQ_EBITDA_HIGH_EST_REUT">"c3642"</definedName>
    <definedName name="IQ_EBITDA_LOW_EST_REUT">"c3643"</definedName>
    <definedName name="IQ_EBITDA_MEDIAN_EST_REUT">"c3641"</definedName>
    <definedName name="IQ_EBITDA_NET_INT">"c373"</definedName>
    <definedName name="IQ_EBITDA_NO_EST">"c267"</definedName>
    <definedName name="IQ_EBITDA_NUM_EST_REUT">"c3644"</definedName>
    <definedName name="IQ_EBITDA_OVER_TOTAL_IE_1">"c373"</definedName>
    <definedName name="IQ_EBITDA_STDDEV_EST_REUT">"c3645"</definedName>
    <definedName name="IQ_EBITDAR" hidden="1">"c2989"</definedName>
    <definedName name="IQ_EBT_BR" hidden="1">"c378"</definedName>
    <definedName name="IQ_EBT_EXCL_BR" hidden="1">"c381"</definedName>
    <definedName name="IQ_EBT_INCL_MARGIN" hidden="1">"c387"</definedName>
    <definedName name="IQ_ECO_METRIC_6810">"c6810"</definedName>
    <definedName name="IQ_ECO_METRIC_6811">"c6811"</definedName>
    <definedName name="IQ_ECO_METRIC_6812">"c6812"</definedName>
    <definedName name="IQ_ECO_METRIC_6813">"c6813"</definedName>
    <definedName name="IQ_ECO_METRIC_6814">"c6814"</definedName>
    <definedName name="IQ_ECO_METRIC_6815">"c6815"</definedName>
    <definedName name="IQ_ECO_METRIC_6816">"c6816"</definedName>
    <definedName name="IQ_ECO_METRIC_6817">"c6817"</definedName>
    <definedName name="IQ_ECO_METRIC_6818">"c6818"</definedName>
    <definedName name="IQ_ECO_METRIC_6819">"c6819"</definedName>
    <definedName name="IQ_ECO_METRIC_6820">"c6820"</definedName>
    <definedName name="IQ_ECO_METRIC_6821">"c6821"</definedName>
    <definedName name="IQ_ECO_METRIC_6822">"c6822"</definedName>
    <definedName name="IQ_ECO_METRIC_6823">"c6823"</definedName>
    <definedName name="IQ_ECO_METRIC_6824">"c6824"</definedName>
    <definedName name="IQ_ECO_METRIC_6825">"c6825"</definedName>
    <definedName name="IQ_ECO_METRIC_6825_UNUSED_UNUSED_UNUSED">"c6825"</definedName>
    <definedName name="IQ_ECO_METRIC_6826">"c6826"</definedName>
    <definedName name="IQ_ECO_METRIC_6827">"c6827"</definedName>
    <definedName name="IQ_ECO_METRIC_6828">"c6828"</definedName>
    <definedName name="IQ_ECO_METRIC_6829">"c6829"</definedName>
    <definedName name="IQ_ECO_METRIC_6830">"c6830"</definedName>
    <definedName name="IQ_ECO_METRIC_6831">"c6831"</definedName>
    <definedName name="IQ_ECO_METRIC_6832">"c6832"</definedName>
    <definedName name="IQ_ECO_METRIC_6833">"c6833"</definedName>
    <definedName name="IQ_ECO_METRIC_6834">"c6834"</definedName>
    <definedName name="IQ_ECO_METRIC_6835">"c6835"</definedName>
    <definedName name="IQ_ECO_METRIC_6836">"c6836"</definedName>
    <definedName name="IQ_ECO_METRIC_6837">"c6837"</definedName>
    <definedName name="IQ_ECO_METRIC_6838">"c6838"</definedName>
    <definedName name="IQ_ECO_METRIC_6839">"c6839"</definedName>
    <definedName name="IQ_ECO_METRIC_6839_UNUSED_UNUSED_UNUSED">"c6839"</definedName>
    <definedName name="IQ_ECO_METRIC_6840">"c6840"</definedName>
    <definedName name="IQ_ECO_METRIC_6841">"c6841"</definedName>
    <definedName name="IQ_ECO_METRIC_6842">"c6842"</definedName>
    <definedName name="IQ_ECO_METRIC_6843">"c6843"</definedName>
    <definedName name="IQ_ECO_METRIC_6844">"c6844"</definedName>
    <definedName name="IQ_ECO_METRIC_6845">"c6845"</definedName>
    <definedName name="IQ_ECO_METRIC_6846">"c6846"</definedName>
    <definedName name="IQ_ECO_METRIC_6847">"c6847"</definedName>
    <definedName name="IQ_ECO_METRIC_6848">"c6848"</definedName>
    <definedName name="IQ_ECO_METRIC_6849">"c6849"</definedName>
    <definedName name="IQ_ECO_METRIC_6850">"c6850"</definedName>
    <definedName name="IQ_ECO_METRIC_6851">"c6851"</definedName>
    <definedName name="IQ_ECO_METRIC_6852">"c6852"</definedName>
    <definedName name="IQ_ECO_METRIC_6853">"c6853"</definedName>
    <definedName name="IQ_ECO_METRIC_6854">"c6854"</definedName>
    <definedName name="IQ_ECO_METRIC_6855">"c6855"</definedName>
    <definedName name="IQ_ECO_METRIC_6856">"c6856"</definedName>
    <definedName name="IQ_ECO_METRIC_6857">"c6857"</definedName>
    <definedName name="IQ_ECO_METRIC_6858">"c6858"</definedName>
    <definedName name="IQ_ECO_METRIC_6859">"c6859"</definedName>
    <definedName name="IQ_ECO_METRIC_6860">"c6860"</definedName>
    <definedName name="IQ_ECO_METRIC_6861">"c6861"</definedName>
    <definedName name="IQ_ECO_METRIC_6862">"c6862"</definedName>
    <definedName name="IQ_ECO_METRIC_6863">"c6863"</definedName>
    <definedName name="IQ_ECO_METRIC_6864">"c6864"</definedName>
    <definedName name="IQ_ECO_METRIC_6865">"c6865"</definedName>
    <definedName name="IQ_ECO_METRIC_6866">"c6866"</definedName>
    <definedName name="IQ_ECO_METRIC_6867">"c6867"</definedName>
    <definedName name="IQ_ECO_METRIC_6868">"c6868"</definedName>
    <definedName name="IQ_ECO_METRIC_6869">"c6869"</definedName>
    <definedName name="IQ_ECO_METRIC_6870">"c6870"</definedName>
    <definedName name="IQ_ECO_METRIC_6871">"c6871"</definedName>
    <definedName name="IQ_ECO_METRIC_6872">"c6872"</definedName>
    <definedName name="IQ_ECO_METRIC_6873">"c6873"</definedName>
    <definedName name="IQ_ECO_METRIC_6874">"c6874"</definedName>
    <definedName name="IQ_ECO_METRIC_6875">"c6875"</definedName>
    <definedName name="IQ_ECO_METRIC_6876">"c6876"</definedName>
    <definedName name="IQ_ECO_METRIC_6877">"c6877"</definedName>
    <definedName name="IQ_ECO_METRIC_6878">"c6878"</definedName>
    <definedName name="IQ_ECO_METRIC_6879">"c6879"</definedName>
    <definedName name="IQ_ECO_METRIC_6880">"c6880"</definedName>
    <definedName name="IQ_ECO_METRIC_6881">"c6881"</definedName>
    <definedName name="IQ_ECO_METRIC_6882">"c6882"</definedName>
    <definedName name="IQ_ECO_METRIC_6883">"c6883"</definedName>
    <definedName name="IQ_ECO_METRIC_6884">"c6884"</definedName>
    <definedName name="IQ_ECO_METRIC_6885">"c6885"</definedName>
    <definedName name="IQ_ECO_METRIC_6886">"c6886"</definedName>
    <definedName name="IQ_ECO_METRIC_6887">"c6887"</definedName>
    <definedName name="IQ_ECO_METRIC_6888">"c6888"</definedName>
    <definedName name="IQ_ECO_METRIC_6889">"c6889"</definedName>
    <definedName name="IQ_ECO_METRIC_6890">"c6890"</definedName>
    <definedName name="IQ_ECO_METRIC_6891">"c6891"</definedName>
    <definedName name="IQ_ECO_METRIC_6892">"c6892"</definedName>
    <definedName name="IQ_ECO_METRIC_6893">"c6893"</definedName>
    <definedName name="IQ_ECO_METRIC_6894">"c6894"</definedName>
    <definedName name="IQ_ECO_METRIC_6895">"c6895"</definedName>
    <definedName name="IQ_ECO_METRIC_6896">"c6896"</definedName>
    <definedName name="IQ_ECO_METRIC_6896_UNUSED_UNUSED_UNUSED">"c6896"</definedName>
    <definedName name="IQ_ECO_METRIC_6897">"c6897"</definedName>
    <definedName name="IQ_ECO_METRIC_6897_UNUSED_UNUSED_UNUSED">"c6897"</definedName>
    <definedName name="IQ_ECO_METRIC_6899">"c6899"</definedName>
    <definedName name="IQ_ECO_METRIC_6900">"c6900"</definedName>
    <definedName name="IQ_ECO_METRIC_6901">"c6901"</definedName>
    <definedName name="IQ_ECO_METRIC_6902">"c6902"</definedName>
    <definedName name="IQ_ECO_METRIC_6903">"c6903"</definedName>
    <definedName name="IQ_ECO_METRIC_6904">"c6904"</definedName>
    <definedName name="IQ_ECO_METRIC_6905">"c6905"</definedName>
    <definedName name="IQ_ECO_METRIC_6906">"c6906"</definedName>
    <definedName name="IQ_ECO_METRIC_6907">"c6907"</definedName>
    <definedName name="IQ_ECO_METRIC_6908">"c6908"</definedName>
    <definedName name="IQ_ECO_METRIC_6909">"c6909"</definedName>
    <definedName name="IQ_ECO_METRIC_6910">"c6910"</definedName>
    <definedName name="IQ_ECO_METRIC_6911">"c6911"</definedName>
    <definedName name="IQ_ECO_METRIC_6912">"c6912"</definedName>
    <definedName name="IQ_ECO_METRIC_6913">"c6913"</definedName>
    <definedName name="IQ_ECO_METRIC_6914">"c6914"</definedName>
    <definedName name="IQ_ECO_METRIC_6915">"c6915"</definedName>
    <definedName name="IQ_ECO_METRIC_6916">"c6916"</definedName>
    <definedName name="IQ_ECO_METRIC_6917">"c6917"</definedName>
    <definedName name="IQ_ECO_METRIC_6918">"c6918"</definedName>
    <definedName name="IQ_ECO_METRIC_6919">"c6919"</definedName>
    <definedName name="IQ_ECO_METRIC_6920">"c6920"</definedName>
    <definedName name="IQ_ECO_METRIC_6921">"c6921"</definedName>
    <definedName name="IQ_ECO_METRIC_6922">"c6922"</definedName>
    <definedName name="IQ_ECO_METRIC_6923">"c6923"</definedName>
    <definedName name="IQ_ECO_METRIC_6924">"c6924"</definedName>
    <definedName name="IQ_ECO_METRIC_6925">"c6925"</definedName>
    <definedName name="IQ_ECO_METRIC_6926">"c6926"</definedName>
    <definedName name="IQ_ECO_METRIC_6928">"c6928"</definedName>
    <definedName name="IQ_ECO_METRIC_6929">"c6929"</definedName>
    <definedName name="IQ_ECO_METRIC_6930">"c6930"</definedName>
    <definedName name="IQ_ECO_METRIC_6931">"c6931"</definedName>
    <definedName name="IQ_ECO_METRIC_6932">"c6932"</definedName>
    <definedName name="IQ_ECO_METRIC_6933">"c6933"</definedName>
    <definedName name="IQ_ECO_METRIC_6934">"c6934"</definedName>
    <definedName name="IQ_ECO_METRIC_6935">"c6935"</definedName>
    <definedName name="IQ_ECO_METRIC_6936">"c6936"</definedName>
    <definedName name="IQ_ECO_METRIC_6937">"c6937"</definedName>
    <definedName name="IQ_ECO_METRIC_6938">"c6938"</definedName>
    <definedName name="IQ_ECO_METRIC_6939">"c6939"</definedName>
    <definedName name="IQ_ECO_METRIC_6940">"c6940"</definedName>
    <definedName name="IQ_ECO_METRIC_6941">"c6941"</definedName>
    <definedName name="IQ_ECO_METRIC_6942">"c6942"</definedName>
    <definedName name="IQ_ECO_METRIC_6943">"c6943"</definedName>
    <definedName name="IQ_ECO_METRIC_6944">"c6944"</definedName>
    <definedName name="IQ_ECO_METRIC_6945">"c6945"</definedName>
    <definedName name="IQ_ECO_METRIC_6946">"c6946"</definedName>
    <definedName name="IQ_ECO_METRIC_6947">"c6947"</definedName>
    <definedName name="IQ_ECO_METRIC_6948">"c6948"</definedName>
    <definedName name="IQ_ECO_METRIC_6949">"c6949"</definedName>
    <definedName name="IQ_ECO_METRIC_6950">"c6950"</definedName>
    <definedName name="IQ_ECO_METRIC_6951">"c6951"</definedName>
    <definedName name="IQ_ECO_METRIC_6952">"c6952"</definedName>
    <definedName name="IQ_ECO_METRIC_6953">"c6953"</definedName>
    <definedName name="IQ_ECO_METRIC_6954">"c6954"</definedName>
    <definedName name="IQ_ECO_METRIC_6955">"c6955"</definedName>
    <definedName name="IQ_ECO_METRIC_6956">"c6956"</definedName>
    <definedName name="IQ_ECO_METRIC_6957">"c6957"</definedName>
    <definedName name="IQ_ECO_METRIC_6958">"c6958"</definedName>
    <definedName name="IQ_ECO_METRIC_6959">"c6959"</definedName>
    <definedName name="IQ_ECO_METRIC_6960">"c6960"</definedName>
    <definedName name="IQ_ECO_METRIC_6962">"c6962"</definedName>
    <definedName name="IQ_ECO_METRIC_6963">"c6963"</definedName>
    <definedName name="IQ_ECO_METRIC_6964">"c6964"</definedName>
    <definedName name="IQ_ECO_METRIC_6965">"c6965"</definedName>
    <definedName name="IQ_ECO_METRIC_6966">"c6966"</definedName>
    <definedName name="IQ_ECO_METRIC_6967">"c6967"</definedName>
    <definedName name="IQ_ECO_METRIC_6968">"c6968"</definedName>
    <definedName name="IQ_ECO_METRIC_6969">"c6969"</definedName>
    <definedName name="IQ_ECO_METRIC_6970">"c6970"</definedName>
    <definedName name="IQ_ECO_METRIC_6971">"c6971"</definedName>
    <definedName name="IQ_ECO_METRIC_6972">"c6972"</definedName>
    <definedName name="IQ_ECO_METRIC_6973">"c6973"</definedName>
    <definedName name="IQ_ECO_METRIC_6974">"c6974"</definedName>
    <definedName name="IQ_ECO_METRIC_6975">"c6975"</definedName>
    <definedName name="IQ_ECO_METRIC_6976">"c6976"</definedName>
    <definedName name="IQ_ECO_METRIC_6977">"c6977"</definedName>
    <definedName name="IQ_ECO_METRIC_6978">"c6978"</definedName>
    <definedName name="IQ_ECO_METRIC_6979">"c6979"</definedName>
    <definedName name="IQ_ECO_METRIC_6980">"c6980"</definedName>
    <definedName name="IQ_ECO_METRIC_6981">"c6981"</definedName>
    <definedName name="IQ_ECO_METRIC_6982">"c6982"</definedName>
    <definedName name="IQ_ECO_METRIC_6983">"c6983"</definedName>
    <definedName name="IQ_ECO_METRIC_6984">"c6984"</definedName>
    <definedName name="IQ_ECO_METRIC_6985">"c6985"</definedName>
    <definedName name="IQ_ECO_METRIC_6986">"c6986"</definedName>
    <definedName name="IQ_ECO_METRIC_6987">"c6987"</definedName>
    <definedName name="IQ_ECO_METRIC_6988">"c6988"</definedName>
    <definedName name="IQ_ECO_METRIC_6988_UNUSED_UNUSED_UNUSED">"c6988"</definedName>
    <definedName name="IQ_ECO_METRIC_6989">"c6989"</definedName>
    <definedName name="IQ_ECO_METRIC_6990">"c6990"</definedName>
    <definedName name="IQ_ECO_METRIC_6991">"c6991"</definedName>
    <definedName name="IQ_ECO_METRIC_6992">"c6992"</definedName>
    <definedName name="IQ_ECO_METRIC_6993">"c6993"</definedName>
    <definedName name="IQ_ECO_METRIC_6994">"c6994"</definedName>
    <definedName name="IQ_ECO_METRIC_6995">"c6995"</definedName>
    <definedName name="IQ_ECO_METRIC_6996">"c6996"</definedName>
    <definedName name="IQ_ECO_METRIC_6997">"c6997"</definedName>
    <definedName name="IQ_ECO_METRIC_6998">"c6998"</definedName>
    <definedName name="IQ_ECO_METRIC_7000">"c7000"</definedName>
    <definedName name="IQ_ECO_METRIC_7001">"c7001"</definedName>
    <definedName name="IQ_ECO_METRIC_7002">"c7002"</definedName>
    <definedName name="IQ_ECO_METRIC_7003">"c7003"</definedName>
    <definedName name="IQ_ECO_METRIC_7004">"c7004"</definedName>
    <definedName name="IQ_ECO_METRIC_7005">"c7005"</definedName>
    <definedName name="IQ_ECO_METRIC_7006">"c7006"</definedName>
    <definedName name="IQ_ECO_METRIC_7007">"c7007"</definedName>
    <definedName name="IQ_ECO_METRIC_7008">"c7008"</definedName>
    <definedName name="IQ_ECO_METRIC_7009">"c7009"</definedName>
    <definedName name="IQ_ECO_METRIC_7010">"c7010"</definedName>
    <definedName name="IQ_ECO_METRIC_7011">"c7011"</definedName>
    <definedName name="IQ_ECO_METRIC_7012">"c7012"</definedName>
    <definedName name="IQ_ECO_METRIC_7013">"c7013"</definedName>
    <definedName name="IQ_ECO_METRIC_7015">"c7015"</definedName>
    <definedName name="IQ_ECO_METRIC_7016">"c7016"</definedName>
    <definedName name="IQ_ECO_METRIC_7017">"c7017"</definedName>
    <definedName name="IQ_ECO_METRIC_7018">"c7018"</definedName>
    <definedName name="IQ_ECO_METRIC_7019">"c7019"</definedName>
    <definedName name="IQ_ECO_METRIC_7020">"c7020"</definedName>
    <definedName name="IQ_ECO_METRIC_7021">"c7021"</definedName>
    <definedName name="IQ_ECO_METRIC_7023">"c7023"</definedName>
    <definedName name="IQ_ECO_METRIC_7024">"c7024"</definedName>
    <definedName name="IQ_ECO_METRIC_7025">"c7025"</definedName>
    <definedName name="IQ_ECO_METRIC_7026">"c7026"</definedName>
    <definedName name="IQ_ECO_METRIC_7027">"c7027"</definedName>
    <definedName name="IQ_ECO_METRIC_7028">"c7028"</definedName>
    <definedName name="IQ_ECO_METRIC_7029">"c7029"</definedName>
    <definedName name="IQ_ECO_METRIC_7030">"c7030"</definedName>
    <definedName name="IQ_ECO_METRIC_7031">"c7031"</definedName>
    <definedName name="IQ_ECO_METRIC_7032">"c7032"</definedName>
    <definedName name="IQ_ECO_METRIC_7033">"c7033"</definedName>
    <definedName name="IQ_ECO_METRIC_7034">"c7034"</definedName>
    <definedName name="IQ_ECO_METRIC_7035">"c7035"</definedName>
    <definedName name="IQ_ECO_METRIC_7036">"c7036"</definedName>
    <definedName name="IQ_ECO_METRIC_7037">"c7037"</definedName>
    <definedName name="IQ_ECO_METRIC_7038">"c7038"</definedName>
    <definedName name="IQ_ECO_METRIC_7039">"c7039"</definedName>
    <definedName name="IQ_ECO_METRIC_7040">"c7040"</definedName>
    <definedName name="IQ_ECO_METRIC_7041">"c7041"</definedName>
    <definedName name="IQ_ECO_METRIC_7042">"c7042"</definedName>
    <definedName name="IQ_ECO_METRIC_7043">"c7043"</definedName>
    <definedName name="IQ_ECO_METRIC_7044">"c7044"</definedName>
    <definedName name="IQ_ECO_METRIC_7045">"c7045"</definedName>
    <definedName name="IQ_ECO_METRIC_7045_UNUSED_UNUSED_UNUSED">"c7045"</definedName>
    <definedName name="IQ_ECO_METRIC_7046">"c7046"</definedName>
    <definedName name="IQ_ECO_METRIC_7047">"c7047"</definedName>
    <definedName name="IQ_ECO_METRIC_7048">"c7048"</definedName>
    <definedName name="IQ_ECO_METRIC_7049">"c7049"</definedName>
    <definedName name="IQ_ECO_METRIC_7050">"c7050"</definedName>
    <definedName name="IQ_ECO_METRIC_7051">"c7051"</definedName>
    <definedName name="IQ_ECO_METRIC_7052">"c7052"</definedName>
    <definedName name="IQ_ECO_METRIC_7053">"c7053"</definedName>
    <definedName name="IQ_ECO_METRIC_7054">"c7054"</definedName>
    <definedName name="IQ_ECO_METRIC_7055">"c7055"</definedName>
    <definedName name="IQ_ECO_METRIC_7056">"c7056"</definedName>
    <definedName name="IQ_ECO_METRIC_7057">"c7057"</definedName>
    <definedName name="IQ_ECO_METRIC_7058">"c7058"</definedName>
    <definedName name="IQ_ECO_METRIC_7059">"c7059"</definedName>
    <definedName name="IQ_ECO_METRIC_7059_UNUSED_UNUSED_UNUSED">"c7059"</definedName>
    <definedName name="IQ_ECO_METRIC_7060">"c7060"</definedName>
    <definedName name="IQ_ECO_METRIC_7061">"c7061"</definedName>
    <definedName name="IQ_ECO_METRIC_7062">"c7062"</definedName>
    <definedName name="IQ_ECO_METRIC_7063">"c7063"</definedName>
    <definedName name="IQ_ECO_METRIC_7064">"c7064"</definedName>
    <definedName name="IQ_ECO_METRIC_7065">"c7065"</definedName>
    <definedName name="IQ_ECO_METRIC_7066">"c7066"</definedName>
    <definedName name="IQ_ECO_METRIC_7067">"c7067"</definedName>
    <definedName name="IQ_ECO_METRIC_7068">"c7068"</definedName>
    <definedName name="IQ_ECO_METRIC_7069">"c7069"</definedName>
    <definedName name="IQ_ECO_METRIC_7070">"c7070"</definedName>
    <definedName name="IQ_ECO_METRIC_7071">"c7071"</definedName>
    <definedName name="IQ_ECO_METRIC_7072">"c7072"</definedName>
    <definedName name="IQ_ECO_METRIC_7073">"c7073"</definedName>
    <definedName name="IQ_ECO_METRIC_7074">"c7074"</definedName>
    <definedName name="IQ_ECO_METRIC_7075">"c7075"</definedName>
    <definedName name="IQ_ECO_METRIC_7076">"c7076"</definedName>
    <definedName name="IQ_ECO_METRIC_7077">"c7077"</definedName>
    <definedName name="IQ_ECO_METRIC_7078">"c7078"</definedName>
    <definedName name="IQ_ECO_METRIC_7079">"c7079"</definedName>
    <definedName name="IQ_ECO_METRIC_7080">"c7080"</definedName>
    <definedName name="IQ_ECO_METRIC_7081">"c7081"</definedName>
    <definedName name="IQ_ECO_METRIC_7082">"c7082"</definedName>
    <definedName name="IQ_ECO_METRIC_7083">"c7083"</definedName>
    <definedName name="IQ_ECO_METRIC_7084">"c7084"</definedName>
    <definedName name="IQ_ECO_METRIC_7085">"c7085"</definedName>
    <definedName name="IQ_ECO_METRIC_7086">"c7086"</definedName>
    <definedName name="IQ_ECO_METRIC_7087">"c7087"</definedName>
    <definedName name="IQ_ECO_METRIC_7088">"c7088"</definedName>
    <definedName name="IQ_ECO_METRIC_7089">"c7089"</definedName>
    <definedName name="IQ_ECO_METRIC_7090">"c7090"</definedName>
    <definedName name="IQ_ECO_METRIC_7091">"c7091"</definedName>
    <definedName name="IQ_ECO_METRIC_7092">"c7092"</definedName>
    <definedName name="IQ_ECO_METRIC_7093">"c7093"</definedName>
    <definedName name="IQ_ECO_METRIC_7094">"c7094"</definedName>
    <definedName name="IQ_ECO_METRIC_7095">"c7095"</definedName>
    <definedName name="IQ_ECO_METRIC_7096">"c7096"</definedName>
    <definedName name="IQ_ECO_METRIC_7097">"c7097"</definedName>
    <definedName name="IQ_ECO_METRIC_7098">"c7098"</definedName>
    <definedName name="IQ_ECO_METRIC_7099">"c7099"</definedName>
    <definedName name="IQ_ECO_METRIC_7100">"c7100"</definedName>
    <definedName name="IQ_ECO_METRIC_7101">"c7101"</definedName>
    <definedName name="IQ_ECO_METRIC_7102">"c7102"</definedName>
    <definedName name="IQ_ECO_METRIC_7103">"c7103"</definedName>
    <definedName name="IQ_ECO_METRIC_7104">"c7104"</definedName>
    <definedName name="IQ_ECO_METRIC_7105">"c7105"</definedName>
    <definedName name="IQ_ECO_METRIC_7106">"c7106"</definedName>
    <definedName name="IQ_ECO_METRIC_7107">"c7107"</definedName>
    <definedName name="IQ_ECO_METRIC_7108">"c7108"</definedName>
    <definedName name="IQ_ECO_METRIC_7109">"c7109"</definedName>
    <definedName name="IQ_ECO_METRIC_7110">"c7110"</definedName>
    <definedName name="IQ_ECO_METRIC_7111">"c7111"</definedName>
    <definedName name="IQ_ECO_METRIC_7112">"c7112"</definedName>
    <definedName name="IQ_ECO_METRIC_7113">"c7113"</definedName>
    <definedName name="IQ_ECO_METRIC_7114">"c7114"</definedName>
    <definedName name="IQ_ECO_METRIC_7115">"c7115"</definedName>
    <definedName name="IQ_ECO_METRIC_7116">"c7116"</definedName>
    <definedName name="IQ_ECO_METRIC_7116_UNUSED_UNUSED_UNUSED">"c7116"</definedName>
    <definedName name="IQ_ECO_METRIC_7117">"c7117"</definedName>
    <definedName name="IQ_ECO_METRIC_7117_UNUSED_UNUSED_UNUSED">"c7117"</definedName>
    <definedName name="IQ_ECO_METRIC_7119">"c7119"</definedName>
    <definedName name="IQ_ECO_METRIC_7120">"c7120"</definedName>
    <definedName name="IQ_ECO_METRIC_7121">"c7121"</definedName>
    <definedName name="IQ_ECO_METRIC_7122">"c7122"</definedName>
    <definedName name="IQ_ECO_METRIC_7123">"c7123"</definedName>
    <definedName name="IQ_ECO_METRIC_7124">"c7124"</definedName>
    <definedName name="IQ_ECO_METRIC_7125">"c7125"</definedName>
    <definedName name="IQ_ECO_METRIC_7126">"c7126"</definedName>
    <definedName name="IQ_ECO_METRIC_7127">"c7127"</definedName>
    <definedName name="IQ_ECO_METRIC_7128">"c7128"</definedName>
    <definedName name="IQ_ECO_METRIC_7129">"c7129"</definedName>
    <definedName name="IQ_ECO_METRIC_7130">"c7130"</definedName>
    <definedName name="IQ_ECO_METRIC_7131">"c7131"</definedName>
    <definedName name="IQ_ECO_METRIC_7132">"c7132"</definedName>
    <definedName name="IQ_ECO_METRIC_7133">"c7133"</definedName>
    <definedName name="IQ_ECO_METRIC_7134">"c7134"</definedName>
    <definedName name="IQ_ECO_METRIC_7135">"c7135"</definedName>
    <definedName name="IQ_ECO_METRIC_7136">"c7136"</definedName>
    <definedName name="IQ_ECO_METRIC_7137">"c7137"</definedName>
    <definedName name="IQ_ECO_METRIC_7138">"c7138"</definedName>
    <definedName name="IQ_ECO_METRIC_7139">"c7139"</definedName>
    <definedName name="IQ_ECO_METRIC_7140">"c7140"</definedName>
    <definedName name="IQ_ECO_METRIC_7141">"c7141"</definedName>
    <definedName name="IQ_ECO_METRIC_7142">"c7142"</definedName>
    <definedName name="IQ_ECO_METRIC_7143">"c7143"</definedName>
    <definedName name="IQ_ECO_METRIC_7144">"c7144"</definedName>
    <definedName name="IQ_ECO_METRIC_7145">"c7145"</definedName>
    <definedName name="IQ_ECO_METRIC_7146">"c7146"</definedName>
    <definedName name="IQ_ECO_METRIC_7148">"c7148"</definedName>
    <definedName name="IQ_ECO_METRIC_7149">"c7149"</definedName>
    <definedName name="IQ_ECO_METRIC_7150">"c7150"</definedName>
    <definedName name="IQ_ECO_METRIC_7151">"c7151"</definedName>
    <definedName name="IQ_ECO_METRIC_7152">"c7152"</definedName>
    <definedName name="IQ_ECO_METRIC_7153">"c7153"</definedName>
    <definedName name="IQ_ECO_METRIC_7154">"c7154"</definedName>
    <definedName name="IQ_ECO_METRIC_7155">"c7155"</definedName>
    <definedName name="IQ_ECO_METRIC_7156">"c7156"</definedName>
    <definedName name="IQ_ECO_METRIC_7157">"c7157"</definedName>
    <definedName name="IQ_ECO_METRIC_7158">"c7158"</definedName>
    <definedName name="IQ_ECO_METRIC_7159">"c7159"</definedName>
    <definedName name="IQ_ECO_METRIC_7160">"c7160"</definedName>
    <definedName name="IQ_ECO_METRIC_7161">"c7161"</definedName>
    <definedName name="IQ_ECO_METRIC_7162">"c7162"</definedName>
    <definedName name="IQ_ECO_METRIC_7163">"c7163"</definedName>
    <definedName name="IQ_ECO_METRIC_7164">"c7164"</definedName>
    <definedName name="IQ_ECO_METRIC_7165">"c7165"</definedName>
    <definedName name="IQ_ECO_METRIC_7166">"c7166"</definedName>
    <definedName name="IQ_ECO_METRIC_7167">"c7167"</definedName>
    <definedName name="IQ_ECO_METRIC_7168">"c7168"</definedName>
    <definedName name="IQ_ECO_METRIC_7169">"c7169"</definedName>
    <definedName name="IQ_ECO_METRIC_7170">"c7170"</definedName>
    <definedName name="IQ_ECO_METRIC_7171">"c7171"</definedName>
    <definedName name="IQ_ECO_METRIC_7172">"c7172"</definedName>
    <definedName name="IQ_ECO_METRIC_7173">"c7173"</definedName>
    <definedName name="IQ_ECO_METRIC_7174">"c7174"</definedName>
    <definedName name="IQ_ECO_METRIC_7175">"c7175"</definedName>
    <definedName name="IQ_ECO_METRIC_7176">"c7176"</definedName>
    <definedName name="IQ_ECO_METRIC_7177">"c7177"</definedName>
    <definedName name="IQ_ECO_METRIC_7178">"c7178"</definedName>
    <definedName name="IQ_ECO_METRIC_7179">"c7179"</definedName>
    <definedName name="IQ_ECO_METRIC_7180">"c7180"</definedName>
    <definedName name="IQ_ECO_METRIC_7182">"c7182"</definedName>
    <definedName name="IQ_ECO_METRIC_7183">"c7183"</definedName>
    <definedName name="IQ_ECO_METRIC_7184">"c7184"</definedName>
    <definedName name="IQ_ECO_METRIC_7185">"c7185"</definedName>
    <definedName name="IQ_ECO_METRIC_7186">"c7186"</definedName>
    <definedName name="IQ_ECO_METRIC_7187">"c7187"</definedName>
    <definedName name="IQ_ECO_METRIC_7188">"c7188"</definedName>
    <definedName name="IQ_ECO_METRIC_7189">"c7189"</definedName>
    <definedName name="IQ_ECO_METRIC_7190">"c7190"</definedName>
    <definedName name="IQ_ECO_METRIC_7191">"c7191"</definedName>
    <definedName name="IQ_ECO_METRIC_7192">"c7192"</definedName>
    <definedName name="IQ_ECO_METRIC_7193">"c7193"</definedName>
    <definedName name="IQ_ECO_METRIC_7194">"c7194"</definedName>
    <definedName name="IQ_ECO_METRIC_7195">"c7195"</definedName>
    <definedName name="IQ_ECO_METRIC_7196">"c7196"</definedName>
    <definedName name="IQ_ECO_METRIC_7197">"c7197"</definedName>
    <definedName name="IQ_ECO_METRIC_7198">"c7198"</definedName>
    <definedName name="IQ_ECO_METRIC_7199">"c7199"</definedName>
    <definedName name="IQ_ECO_METRIC_7200">"c7200"</definedName>
    <definedName name="IQ_ECO_METRIC_7201">"c7201"</definedName>
    <definedName name="IQ_ECO_METRIC_7202">"c7202"</definedName>
    <definedName name="IQ_ECO_METRIC_7203">"c7203"</definedName>
    <definedName name="IQ_ECO_METRIC_7204">"c7204"</definedName>
    <definedName name="IQ_ECO_METRIC_7205">"c7205"</definedName>
    <definedName name="IQ_ECO_METRIC_7206">"c7206"</definedName>
    <definedName name="IQ_ECO_METRIC_7207">"c7207"</definedName>
    <definedName name="IQ_ECO_METRIC_7208">"c7208"</definedName>
    <definedName name="IQ_ECO_METRIC_7208_UNUSED_UNUSED_UNUSED">"c7208"</definedName>
    <definedName name="IQ_ECO_METRIC_7209">"c7209"</definedName>
    <definedName name="IQ_ECO_METRIC_7210">"c7210"</definedName>
    <definedName name="IQ_ECO_METRIC_7211">"c7211"</definedName>
    <definedName name="IQ_ECO_METRIC_7212">"c7212"</definedName>
    <definedName name="IQ_ECO_METRIC_7213">"c7213"</definedName>
    <definedName name="IQ_ECO_METRIC_7214">"c7214"</definedName>
    <definedName name="IQ_ECO_METRIC_7215">"c7215"</definedName>
    <definedName name="IQ_ECO_METRIC_7216">"c7216"</definedName>
    <definedName name="IQ_ECO_METRIC_7217">"c7217"</definedName>
    <definedName name="IQ_ECO_METRIC_7218">"c7218"</definedName>
    <definedName name="IQ_ECO_METRIC_7220">"c7220"</definedName>
    <definedName name="IQ_ECO_METRIC_7221">"c7221"</definedName>
    <definedName name="IQ_ECO_METRIC_7222">"c7222"</definedName>
    <definedName name="IQ_ECO_METRIC_7223">"c7223"</definedName>
    <definedName name="IQ_ECO_METRIC_7224">"c7224"</definedName>
    <definedName name="IQ_ECO_METRIC_7225">"c7225"</definedName>
    <definedName name="IQ_ECO_METRIC_7226">"c7226"</definedName>
    <definedName name="IQ_ECO_METRIC_7227">"c7227"</definedName>
    <definedName name="IQ_ECO_METRIC_7228">"c7228"</definedName>
    <definedName name="IQ_ECO_METRIC_7229">"c7229"</definedName>
    <definedName name="IQ_ECO_METRIC_7230">"c7230"</definedName>
    <definedName name="IQ_ECO_METRIC_7231">"c7231"</definedName>
    <definedName name="IQ_ECO_METRIC_7232">"c7232"</definedName>
    <definedName name="IQ_ECO_METRIC_7233">"c7233"</definedName>
    <definedName name="IQ_ECO_METRIC_7235">"c7235"</definedName>
    <definedName name="IQ_ECO_METRIC_7236">"c7236"</definedName>
    <definedName name="IQ_ECO_METRIC_7237">"c7237"</definedName>
    <definedName name="IQ_ECO_METRIC_7238">"c7238"</definedName>
    <definedName name="IQ_ECO_METRIC_7239">"c7239"</definedName>
    <definedName name="IQ_ECO_METRIC_7240">"c7240"</definedName>
    <definedName name="IQ_ECO_METRIC_7241">"c7241"</definedName>
    <definedName name="IQ_ECO_METRIC_7243">"c7243"</definedName>
    <definedName name="IQ_ECO_METRIC_7244">"c7244"</definedName>
    <definedName name="IQ_ECO_METRIC_7245">"c7245"</definedName>
    <definedName name="IQ_ECO_METRIC_7246">"c7246"</definedName>
    <definedName name="IQ_ECO_METRIC_7247">"c7247"</definedName>
    <definedName name="IQ_ECO_METRIC_7248">"c7248"</definedName>
    <definedName name="IQ_ECO_METRIC_7249">"c7249"</definedName>
    <definedName name="IQ_ECO_METRIC_7250">"c7250"</definedName>
    <definedName name="IQ_ECO_METRIC_7251">"c7251"</definedName>
    <definedName name="IQ_ECO_METRIC_7252">"c7252"</definedName>
    <definedName name="IQ_ECO_METRIC_7253">"c7253"</definedName>
    <definedName name="IQ_ECO_METRIC_7254">"c7254"</definedName>
    <definedName name="IQ_ECO_METRIC_7255">"c7255"</definedName>
    <definedName name="IQ_ECO_METRIC_7256">"c7256"</definedName>
    <definedName name="IQ_ECO_METRIC_7257">"c7257"</definedName>
    <definedName name="IQ_ECO_METRIC_7258">"c7258"</definedName>
    <definedName name="IQ_ECO_METRIC_7259">"c7259"</definedName>
    <definedName name="IQ_ECO_METRIC_7260">"c7260"</definedName>
    <definedName name="IQ_ECO_METRIC_7261">"c7261"</definedName>
    <definedName name="IQ_ECO_METRIC_7262">"c7262"</definedName>
    <definedName name="IQ_ECO_METRIC_7263">"c7263"</definedName>
    <definedName name="IQ_ECO_METRIC_7264">"c7264"</definedName>
    <definedName name="IQ_ECO_METRIC_7265">"c7265"</definedName>
    <definedName name="IQ_ECO_METRIC_7265_UNUSED_UNUSED_UNUSED">"c7265"</definedName>
    <definedName name="IQ_ECO_METRIC_7266">"c7266"</definedName>
    <definedName name="IQ_ECO_METRIC_7267">"c7267"</definedName>
    <definedName name="IQ_ECO_METRIC_7268">"c7268"</definedName>
    <definedName name="IQ_ECO_METRIC_7269">"c7269"</definedName>
    <definedName name="IQ_ECO_METRIC_7270">"c7270"</definedName>
    <definedName name="IQ_ECO_METRIC_7272">"c7272"</definedName>
    <definedName name="IQ_ECO_METRIC_7273">"c7273"</definedName>
    <definedName name="IQ_ECO_METRIC_7274">"c7274"</definedName>
    <definedName name="IQ_ECO_METRIC_7275">"c7275"</definedName>
    <definedName name="IQ_ECO_METRIC_7276">"c7276"</definedName>
    <definedName name="IQ_ECO_METRIC_7277">"c7277"</definedName>
    <definedName name="IQ_ECO_METRIC_7278">"c7278"</definedName>
    <definedName name="IQ_ECO_METRIC_7279">"c7279"</definedName>
    <definedName name="IQ_ECO_METRIC_7279_UNUSED_UNUSED_UNUSED">"c7279"</definedName>
    <definedName name="IQ_ECO_METRIC_7280">"c7280"</definedName>
    <definedName name="IQ_ECO_METRIC_7281">"c7281"</definedName>
    <definedName name="IQ_ECO_METRIC_7282">"c7282"</definedName>
    <definedName name="IQ_ECO_METRIC_7283">"c7283"</definedName>
    <definedName name="IQ_ECO_METRIC_7284">"c7284"</definedName>
    <definedName name="IQ_ECO_METRIC_7285">"c7285"</definedName>
    <definedName name="IQ_ECO_METRIC_7286">"c7286"</definedName>
    <definedName name="IQ_ECO_METRIC_7287">"c7287"</definedName>
    <definedName name="IQ_ECO_METRIC_7288">"c7288"</definedName>
    <definedName name="IQ_ECO_METRIC_7289">"c7289"</definedName>
    <definedName name="IQ_ECO_METRIC_7290">"c7290"</definedName>
    <definedName name="IQ_ECO_METRIC_7291">"c7291"</definedName>
    <definedName name="IQ_ECO_METRIC_7292">"c7292"</definedName>
    <definedName name="IQ_ECO_METRIC_7293">"c7293"</definedName>
    <definedName name="IQ_ECO_METRIC_7294">"c7294"</definedName>
    <definedName name="IQ_ECO_METRIC_7295">"c7295"</definedName>
    <definedName name="IQ_ECO_METRIC_7296">"c7296"</definedName>
    <definedName name="IQ_ECO_METRIC_7297">"c7297"</definedName>
    <definedName name="IQ_ECO_METRIC_7298">"c7298"</definedName>
    <definedName name="IQ_ECO_METRIC_7299">"c7299"</definedName>
    <definedName name="IQ_ECO_METRIC_7300">"c7300"</definedName>
    <definedName name="IQ_ECO_METRIC_7301">"c7301"</definedName>
    <definedName name="IQ_ECO_METRIC_7302">"c7302"</definedName>
    <definedName name="IQ_ECO_METRIC_7303">"c7303"</definedName>
    <definedName name="IQ_ECO_METRIC_7304">"c7304"</definedName>
    <definedName name="IQ_ECO_METRIC_7305">"c7305"</definedName>
    <definedName name="IQ_ECO_METRIC_7306">"c7306"</definedName>
    <definedName name="IQ_ECO_METRIC_7307">"c7307"</definedName>
    <definedName name="IQ_ECO_METRIC_7308">"c7308"</definedName>
    <definedName name="IQ_ECO_METRIC_7309">"c7309"</definedName>
    <definedName name="IQ_ECO_METRIC_7310">"c7310"</definedName>
    <definedName name="IQ_ECO_METRIC_7311">"c7311"</definedName>
    <definedName name="IQ_ECO_METRIC_7312">"c7312"</definedName>
    <definedName name="IQ_ECO_METRIC_7313">"c7313"</definedName>
    <definedName name="IQ_ECO_METRIC_7314">"c7314"</definedName>
    <definedName name="IQ_ECO_METRIC_7315">"c7315"</definedName>
    <definedName name="IQ_ECO_METRIC_7316">"c7316"</definedName>
    <definedName name="IQ_ECO_METRIC_7317">"c7317"</definedName>
    <definedName name="IQ_ECO_METRIC_7318">"c7318"</definedName>
    <definedName name="IQ_ECO_METRIC_7319">"c7319"</definedName>
    <definedName name="IQ_ECO_METRIC_7320">"c7320"</definedName>
    <definedName name="IQ_ECO_METRIC_7321">"c7321"</definedName>
    <definedName name="IQ_ECO_METRIC_7322">"c7322"</definedName>
    <definedName name="IQ_ECO_METRIC_7323">"c7323"</definedName>
    <definedName name="IQ_ECO_METRIC_7324">"c7324"</definedName>
    <definedName name="IQ_ECO_METRIC_7325">"c7325"</definedName>
    <definedName name="IQ_ECO_METRIC_7326">"c7326"</definedName>
    <definedName name="IQ_ECO_METRIC_7327">"c7327"</definedName>
    <definedName name="IQ_ECO_METRIC_7328">"c7328"</definedName>
    <definedName name="IQ_ECO_METRIC_7329">"c7329"</definedName>
    <definedName name="IQ_ECO_METRIC_7330">"c7330"</definedName>
    <definedName name="IQ_ECO_METRIC_7331">"c7331"</definedName>
    <definedName name="IQ_ECO_METRIC_7332">"c7332"</definedName>
    <definedName name="IQ_ECO_METRIC_7333">"c7333"</definedName>
    <definedName name="IQ_ECO_METRIC_7334">"c7334"</definedName>
    <definedName name="IQ_ECO_METRIC_7335">"c7335"</definedName>
    <definedName name="IQ_ECO_METRIC_7336">"c7336"</definedName>
    <definedName name="IQ_ECO_METRIC_7336_UNUSED_UNUSED_UNUSED">"c7336"</definedName>
    <definedName name="IQ_ECO_METRIC_7337">"c7337"</definedName>
    <definedName name="IQ_ECO_METRIC_7337_UNUSED_UNUSED_UNUSED">"c7337"</definedName>
    <definedName name="IQ_ECO_METRIC_7339">"c7339"</definedName>
    <definedName name="IQ_ECO_METRIC_7341">"c7341"</definedName>
    <definedName name="IQ_ECO_METRIC_7342">"c7342"</definedName>
    <definedName name="IQ_ECO_METRIC_7343">"c7343"</definedName>
    <definedName name="IQ_ECO_METRIC_7344">"c7344"</definedName>
    <definedName name="IQ_ECO_METRIC_7345">"c7345"</definedName>
    <definedName name="IQ_ECO_METRIC_7346">"c7346"</definedName>
    <definedName name="IQ_ECO_METRIC_7347">"c7347"</definedName>
    <definedName name="IQ_ECO_METRIC_7348">"c7348"</definedName>
    <definedName name="IQ_ECO_METRIC_7349">"c7349"</definedName>
    <definedName name="IQ_ECO_METRIC_7350">"c7350"</definedName>
    <definedName name="IQ_ECO_METRIC_7351">"c7351"</definedName>
    <definedName name="IQ_ECO_METRIC_7352">"c7352"</definedName>
    <definedName name="IQ_ECO_METRIC_7353">"c7353"</definedName>
    <definedName name="IQ_ECO_METRIC_7354">"c7354"</definedName>
    <definedName name="IQ_ECO_METRIC_7355">"c7355"</definedName>
    <definedName name="IQ_ECO_METRIC_7356">"c7356"</definedName>
    <definedName name="IQ_ECO_METRIC_7357">"c7357"</definedName>
    <definedName name="IQ_ECO_METRIC_7358">"c7358"</definedName>
    <definedName name="IQ_ECO_METRIC_7359">"c7359"</definedName>
    <definedName name="IQ_ECO_METRIC_7360">"c7360"</definedName>
    <definedName name="IQ_ECO_METRIC_7361">"c7361"</definedName>
    <definedName name="IQ_ECO_METRIC_7362">"c7362"</definedName>
    <definedName name="IQ_ECO_METRIC_7363">"c7363"</definedName>
    <definedName name="IQ_ECO_METRIC_7364">"c7364"</definedName>
    <definedName name="IQ_ECO_METRIC_7365">"c7365"</definedName>
    <definedName name="IQ_ECO_METRIC_7366">"c7366"</definedName>
    <definedName name="IQ_ECO_METRIC_7368">"c7368"</definedName>
    <definedName name="IQ_ECO_METRIC_7369">"c7369"</definedName>
    <definedName name="IQ_ECO_METRIC_7370">"c7370"</definedName>
    <definedName name="IQ_ECO_METRIC_7371">"c7371"</definedName>
    <definedName name="IQ_ECO_METRIC_7372">"c7372"</definedName>
    <definedName name="IQ_ECO_METRIC_7373">"c7373"</definedName>
    <definedName name="IQ_ECO_METRIC_7374">"c7374"</definedName>
    <definedName name="IQ_ECO_METRIC_7375">"c7375"</definedName>
    <definedName name="IQ_ECO_METRIC_7376">"c7376"</definedName>
    <definedName name="IQ_ECO_METRIC_7377">"c7377"</definedName>
    <definedName name="IQ_ECO_METRIC_7378">"c7378"</definedName>
    <definedName name="IQ_ECO_METRIC_7379">"c7379"</definedName>
    <definedName name="IQ_ECO_METRIC_7380">"c7380"</definedName>
    <definedName name="IQ_ECO_METRIC_7381">"c7381"</definedName>
    <definedName name="IQ_ECO_METRIC_7382">"c7382"</definedName>
    <definedName name="IQ_ECO_METRIC_7383">"c7383"</definedName>
    <definedName name="IQ_ECO_METRIC_7384">"c7384"</definedName>
    <definedName name="IQ_ECO_METRIC_7385">"c7385"</definedName>
    <definedName name="IQ_ECO_METRIC_7386">"c7386"</definedName>
    <definedName name="IQ_ECO_METRIC_7387">"c7387"</definedName>
    <definedName name="IQ_ECO_METRIC_7388">"c7388"</definedName>
    <definedName name="IQ_ECO_METRIC_7389">"c7389"</definedName>
    <definedName name="IQ_ECO_METRIC_7390">"c7390"</definedName>
    <definedName name="IQ_ECO_METRIC_7391">"c7391"</definedName>
    <definedName name="IQ_ECO_METRIC_7392">"c7392"</definedName>
    <definedName name="IQ_ECO_METRIC_7393">"c7393"</definedName>
    <definedName name="IQ_ECO_METRIC_7394">"c7394"</definedName>
    <definedName name="IQ_ECO_METRIC_7395">"c7395"</definedName>
    <definedName name="IQ_ECO_METRIC_7396">"c7396"</definedName>
    <definedName name="IQ_ECO_METRIC_7397">"c7397"</definedName>
    <definedName name="IQ_ECO_METRIC_7398">"c7398"</definedName>
    <definedName name="IQ_ECO_METRIC_7399">"c7399"</definedName>
    <definedName name="IQ_ECO_METRIC_7400">"c7400"</definedName>
    <definedName name="IQ_ECO_METRIC_7402">"c7402"</definedName>
    <definedName name="IQ_ECO_METRIC_7403">"c7403"</definedName>
    <definedName name="IQ_ECO_METRIC_7404">"c7404"</definedName>
    <definedName name="IQ_ECO_METRIC_7405">"c7405"</definedName>
    <definedName name="IQ_ECO_METRIC_7406">"c7406"</definedName>
    <definedName name="IQ_ECO_METRIC_7407">"c7407"</definedName>
    <definedName name="IQ_ECO_METRIC_7408">"c7408"</definedName>
    <definedName name="IQ_ECO_METRIC_7409">"c7409"</definedName>
    <definedName name="IQ_ECO_METRIC_7410">"c7410"</definedName>
    <definedName name="IQ_ECO_METRIC_7411">"c7411"</definedName>
    <definedName name="IQ_ECO_METRIC_7412">"c7412"</definedName>
    <definedName name="IQ_ECO_METRIC_7413">"c7413"</definedName>
    <definedName name="IQ_ECO_METRIC_7414">"c7414"</definedName>
    <definedName name="IQ_ECO_METRIC_7415">"c7415"</definedName>
    <definedName name="IQ_ECO_METRIC_7416">"c7416"</definedName>
    <definedName name="IQ_ECO_METRIC_7417">"c7417"</definedName>
    <definedName name="IQ_ECO_METRIC_7418">"c7418"</definedName>
    <definedName name="IQ_ECO_METRIC_7419">"c7419"</definedName>
    <definedName name="IQ_ECO_METRIC_7420">"c7420"</definedName>
    <definedName name="IQ_ECO_METRIC_7421">"c7421"</definedName>
    <definedName name="IQ_ECO_METRIC_7422">"c7422"</definedName>
    <definedName name="IQ_ECO_METRIC_7423">"c7423"</definedName>
    <definedName name="IQ_ECO_METRIC_7424">"c7424"</definedName>
    <definedName name="IQ_ECO_METRIC_7425">"c7425"</definedName>
    <definedName name="IQ_ECO_METRIC_7426">"c7426"</definedName>
    <definedName name="IQ_ECO_METRIC_7427">"c7427"</definedName>
    <definedName name="IQ_ECO_METRIC_7428">"c7428"</definedName>
    <definedName name="IQ_ECO_METRIC_7428_UNUSED_UNUSED_UNUSED">"c7428"</definedName>
    <definedName name="IQ_ECO_METRIC_7429">"c7429"</definedName>
    <definedName name="IQ_ECO_METRIC_7430">"c7430"</definedName>
    <definedName name="IQ_ECO_METRIC_7431">"c7431"</definedName>
    <definedName name="IQ_ECO_METRIC_7432">"c7432"</definedName>
    <definedName name="IQ_ECO_METRIC_7433">"c7433"</definedName>
    <definedName name="IQ_ECO_METRIC_7434">"c7434"</definedName>
    <definedName name="IQ_ECO_METRIC_7435">"c7435"</definedName>
    <definedName name="IQ_ECO_METRIC_7436">"c7436"</definedName>
    <definedName name="IQ_ECO_METRIC_7437">"c7437"</definedName>
    <definedName name="IQ_ECO_METRIC_7438">"c7438"</definedName>
    <definedName name="IQ_ECO_METRIC_7440">"c7440"</definedName>
    <definedName name="IQ_ECO_METRIC_7441">"c7441"</definedName>
    <definedName name="IQ_ECO_METRIC_7442">"c7442"</definedName>
    <definedName name="IQ_ECO_METRIC_7443">"c7443"</definedName>
    <definedName name="IQ_ECO_METRIC_7444">"c7444"</definedName>
    <definedName name="IQ_ECO_METRIC_7445">"c7445"</definedName>
    <definedName name="IQ_ECO_METRIC_7446">"c7446"</definedName>
    <definedName name="IQ_ECO_METRIC_7447">"c7447"</definedName>
    <definedName name="IQ_ECO_METRIC_7448">"c7448"</definedName>
    <definedName name="IQ_ECO_METRIC_7449">"c7449"</definedName>
    <definedName name="IQ_ECO_METRIC_7450">"c7450"</definedName>
    <definedName name="IQ_ECO_METRIC_7451">"c7451"</definedName>
    <definedName name="IQ_ECO_METRIC_7452">"c7452"</definedName>
    <definedName name="IQ_ECO_METRIC_7453">"c7453"</definedName>
    <definedName name="IQ_ECO_METRIC_7455">"c7455"</definedName>
    <definedName name="IQ_ECO_METRIC_7456">"c7456"</definedName>
    <definedName name="IQ_ECO_METRIC_7457">"c7457"</definedName>
    <definedName name="IQ_ECO_METRIC_7458">"c7458"</definedName>
    <definedName name="IQ_ECO_METRIC_7459">"c7459"</definedName>
    <definedName name="IQ_ECO_METRIC_7460">"c7460"</definedName>
    <definedName name="IQ_ECO_METRIC_7461">"c7461"</definedName>
    <definedName name="IQ_ECO_METRIC_7463">"c7463"</definedName>
    <definedName name="IQ_ECO_METRIC_7464">"c7464"</definedName>
    <definedName name="IQ_ECO_METRIC_7465">"c7465"</definedName>
    <definedName name="IQ_ECO_METRIC_7466">"c7466"</definedName>
    <definedName name="IQ_ECO_METRIC_7467">"c7467"</definedName>
    <definedName name="IQ_ECO_METRIC_7468">"c7468"</definedName>
    <definedName name="IQ_ECO_METRIC_7469">"c7469"</definedName>
    <definedName name="IQ_ECO_METRIC_7470">"c7470"</definedName>
    <definedName name="IQ_ECO_METRIC_7472">"c7472"</definedName>
    <definedName name="IQ_ECO_METRIC_7473">"c7473"</definedName>
    <definedName name="IQ_ECO_METRIC_7474">"c7474"</definedName>
    <definedName name="IQ_ECO_METRIC_7475">"c7475"</definedName>
    <definedName name="IQ_ECO_METRIC_7476">"c7476"</definedName>
    <definedName name="IQ_ECO_METRIC_7477">"c7477"</definedName>
    <definedName name="IQ_ECO_METRIC_7478">"c7478"</definedName>
    <definedName name="IQ_ECO_METRIC_7479">"c7479"</definedName>
    <definedName name="IQ_ECO_METRIC_7480">"c7480"</definedName>
    <definedName name="IQ_ECO_METRIC_7481">"c7481"</definedName>
    <definedName name="IQ_ECO_METRIC_7482">"c7482"</definedName>
    <definedName name="IQ_ECO_METRIC_7483">"c7483"</definedName>
    <definedName name="IQ_ECO_METRIC_7486">"c7486"</definedName>
    <definedName name="IQ_ECO_METRIC_7487">"c7487"</definedName>
    <definedName name="IQ_ECO_METRIC_7488">"c7488"</definedName>
    <definedName name="IQ_ECO_METRIC_7489">"c7489"</definedName>
    <definedName name="IQ_ECO_METRIC_7490">"c7490"</definedName>
    <definedName name="IQ_ECO_METRIC_7491">"c7491"</definedName>
    <definedName name="IQ_ECO_METRIC_7492">"c7492"</definedName>
    <definedName name="IQ_ECO_METRIC_7493">"c7493"</definedName>
    <definedName name="IQ_ECO_METRIC_7494">"c7494"</definedName>
    <definedName name="IQ_ECO_METRIC_7495">"c7495"</definedName>
    <definedName name="IQ_ECO_METRIC_7496">"c7496"</definedName>
    <definedName name="IQ_ECO_METRIC_7497">"c7497"</definedName>
    <definedName name="IQ_ECO_METRIC_7498">"c7498"</definedName>
    <definedName name="IQ_ECO_METRIC_7500">"c7500"</definedName>
    <definedName name="IQ_ECO_METRIC_7501">"c7501"</definedName>
    <definedName name="IQ_ECO_METRIC_7502">"c7502"</definedName>
    <definedName name="IQ_ECO_METRIC_7503">"c7503"</definedName>
    <definedName name="IQ_ECO_METRIC_7504">"c7504"</definedName>
    <definedName name="IQ_ECO_METRIC_7505">"c7505"</definedName>
    <definedName name="IQ_ECO_METRIC_7507">"c7507"</definedName>
    <definedName name="IQ_ECO_METRIC_7508">"c7508"</definedName>
    <definedName name="IQ_ECO_METRIC_7509">"c7509"</definedName>
    <definedName name="IQ_ECO_METRIC_7510">"c7510"</definedName>
    <definedName name="IQ_ECO_METRIC_7511">"c7511"</definedName>
    <definedName name="IQ_ECO_METRIC_7512">"c7512"</definedName>
    <definedName name="IQ_ECO_METRIC_7513">"c7513"</definedName>
    <definedName name="IQ_ECO_METRIC_7514">"c7514"</definedName>
    <definedName name="IQ_ECO_METRIC_7515">"c7515"</definedName>
    <definedName name="IQ_ECO_METRIC_7516">"c7516"</definedName>
    <definedName name="IQ_ECO_METRIC_7517">"c7517"</definedName>
    <definedName name="IQ_ECO_METRIC_7518">"c7518"</definedName>
    <definedName name="IQ_ECO_METRIC_7519">"c7519"</definedName>
    <definedName name="IQ_ECO_METRIC_7520">"c7520"</definedName>
    <definedName name="IQ_ECO_METRIC_7521">"c7521"</definedName>
    <definedName name="IQ_ECO_METRIC_7522">"c7522"</definedName>
    <definedName name="IQ_ECO_METRIC_7523">"c7523"</definedName>
    <definedName name="IQ_ECO_METRIC_7524">"c7524"</definedName>
    <definedName name="IQ_ECO_METRIC_7525">"c7525"</definedName>
    <definedName name="IQ_ECO_METRIC_7526">"c7526"</definedName>
    <definedName name="IQ_ECO_METRIC_7527">"c7527"</definedName>
    <definedName name="IQ_ECO_METRIC_7528">"c7528"</definedName>
    <definedName name="IQ_ECO_METRIC_7529">"c7529"</definedName>
    <definedName name="IQ_ECO_METRIC_7530">"c7530"</definedName>
    <definedName name="IQ_ECO_METRIC_7531">"c7531"</definedName>
    <definedName name="IQ_ECO_METRIC_7532">"c7532"</definedName>
    <definedName name="IQ_ECO_METRIC_7533">"c7533"</definedName>
    <definedName name="IQ_ECO_METRIC_7534">"c7534"</definedName>
    <definedName name="IQ_ECO_METRIC_7535">"c7535"</definedName>
    <definedName name="IQ_ECO_METRIC_7536">"c7536"</definedName>
    <definedName name="IQ_ECO_METRIC_7537">"c7537"</definedName>
    <definedName name="IQ_ECO_METRIC_7538">"c7538"</definedName>
    <definedName name="IQ_ECO_METRIC_7539">"c7539"</definedName>
    <definedName name="IQ_ECO_METRIC_7540">"c7540"</definedName>
    <definedName name="IQ_ECO_METRIC_7541">"c7541"</definedName>
    <definedName name="IQ_ECO_METRIC_7542">"c7542"</definedName>
    <definedName name="IQ_ECO_METRIC_7543">"c7543"</definedName>
    <definedName name="IQ_ECO_METRIC_7544">"c7544"</definedName>
    <definedName name="IQ_ECO_METRIC_7545">"c7545"</definedName>
    <definedName name="IQ_ECO_METRIC_7546">"c7546"</definedName>
    <definedName name="IQ_ECO_METRIC_7547">"c7547"</definedName>
    <definedName name="IQ_ECO_METRIC_7548">"c7548"</definedName>
    <definedName name="IQ_ECO_METRIC_7549">"c7549"</definedName>
    <definedName name="IQ_ECO_METRIC_7550">"c7550"</definedName>
    <definedName name="IQ_ECO_METRIC_7551">"c7551"</definedName>
    <definedName name="IQ_ECO_METRIC_7552">"c7552"</definedName>
    <definedName name="IQ_ECO_METRIC_7553">"c7553"</definedName>
    <definedName name="IQ_ECO_METRIC_7554">"c7554"</definedName>
    <definedName name="IQ_ECO_METRIC_7555">"c7555"</definedName>
    <definedName name="IQ_ECO_METRIC_7556">"c7556"</definedName>
    <definedName name="IQ_ECO_METRIC_7556_UNUSED_UNUSED_UNUSED">"c7556"</definedName>
    <definedName name="IQ_ECO_METRIC_7557">"c7557"</definedName>
    <definedName name="IQ_ECO_METRIC_7557_UNUSED_UNUSED_UNUSED">"c7557"</definedName>
    <definedName name="IQ_ECO_METRIC_7560">"c7560"</definedName>
    <definedName name="IQ_ECO_METRIC_7561">"c7561"</definedName>
    <definedName name="IQ_ECO_METRIC_7562">"c7562"</definedName>
    <definedName name="IQ_ECO_METRIC_7563">"c7563"</definedName>
    <definedName name="IQ_ECO_METRIC_7564">"c7564"</definedName>
    <definedName name="IQ_ECO_METRIC_7565">"c7565"</definedName>
    <definedName name="IQ_ECO_METRIC_7566">"c7566"</definedName>
    <definedName name="IQ_ECO_METRIC_7567">"c7567"</definedName>
    <definedName name="IQ_ECO_METRIC_7568">"c7568"</definedName>
    <definedName name="IQ_ECO_METRIC_7570">"c7570"</definedName>
    <definedName name="IQ_ECO_METRIC_7571">"c7571"</definedName>
    <definedName name="IQ_ECO_METRIC_7572">"c7572"</definedName>
    <definedName name="IQ_ECO_METRIC_7573">"c7573"</definedName>
    <definedName name="IQ_ECO_METRIC_7574">"c7574"</definedName>
    <definedName name="IQ_ECO_METRIC_7575">"c7575"</definedName>
    <definedName name="IQ_ECO_METRIC_7576">"c7576"</definedName>
    <definedName name="IQ_ECO_METRIC_7577">"c7577"</definedName>
    <definedName name="IQ_ECO_METRIC_7578">"c7578"</definedName>
    <definedName name="IQ_ECO_METRIC_7579">"c7579"</definedName>
    <definedName name="IQ_ECO_METRIC_7580">"c7580"</definedName>
    <definedName name="IQ_ECO_METRIC_7581">"c7581"</definedName>
    <definedName name="IQ_ECO_METRIC_7582">"c7582"</definedName>
    <definedName name="IQ_ECO_METRIC_7583">"c7583"</definedName>
    <definedName name="IQ_ECO_METRIC_7584">"c7584"</definedName>
    <definedName name="IQ_ECO_METRIC_7585">"c7585"</definedName>
    <definedName name="IQ_ECO_METRIC_7586">"c7586"</definedName>
    <definedName name="IQ_ECO_METRIC_7588">"c7588"</definedName>
    <definedName name="IQ_ECO_METRIC_7589">"c7589"</definedName>
    <definedName name="IQ_ECO_METRIC_7590">"c7590"</definedName>
    <definedName name="IQ_ECO_METRIC_7591">"c7591"</definedName>
    <definedName name="IQ_ECO_METRIC_7592">"c7592"</definedName>
    <definedName name="IQ_ECO_METRIC_7593">"c7593"</definedName>
    <definedName name="IQ_ECO_METRIC_7594">"c7594"</definedName>
    <definedName name="IQ_ECO_METRIC_7596">"c7596"</definedName>
    <definedName name="IQ_ECO_METRIC_7597">"c7597"</definedName>
    <definedName name="IQ_ECO_METRIC_7598">"c7598"</definedName>
    <definedName name="IQ_ECO_METRIC_7599">"c7599"</definedName>
    <definedName name="IQ_ECO_METRIC_7600">"c7600"</definedName>
    <definedName name="IQ_ECO_METRIC_7601">"c7601"</definedName>
    <definedName name="IQ_ECO_METRIC_7602">"c7602"</definedName>
    <definedName name="IQ_ECO_METRIC_7603">"c7603"</definedName>
    <definedName name="IQ_ECO_METRIC_7604">"c7604"</definedName>
    <definedName name="IQ_ECO_METRIC_7605">"c7605"</definedName>
    <definedName name="IQ_ECO_METRIC_7606">"c7606"</definedName>
    <definedName name="IQ_ECO_METRIC_7607">"c7607"</definedName>
    <definedName name="IQ_ECO_METRIC_7608">"c7608"</definedName>
    <definedName name="IQ_ECO_METRIC_7609">"c7609"</definedName>
    <definedName name="IQ_ECO_METRIC_7610">"c7610"</definedName>
    <definedName name="IQ_ECO_METRIC_7611">"c7611"</definedName>
    <definedName name="IQ_ECO_METRIC_7612">"c7612"</definedName>
    <definedName name="IQ_ECO_METRIC_7613">"c7613"</definedName>
    <definedName name="IQ_ECO_METRIC_7614">"c7614"</definedName>
    <definedName name="IQ_ECO_METRIC_7615">"c7615"</definedName>
    <definedName name="IQ_ECO_METRIC_7616">"c7616"</definedName>
    <definedName name="IQ_ECO_METRIC_7617">"c7617"</definedName>
    <definedName name="IQ_ECO_METRIC_7618">"c7618"</definedName>
    <definedName name="IQ_ECO_METRIC_7619">"c7619"</definedName>
    <definedName name="IQ_ECO_METRIC_7620">"c7620"</definedName>
    <definedName name="IQ_ECO_METRIC_7622">"c7622"</definedName>
    <definedName name="IQ_ECO_METRIC_7623">"c7623"</definedName>
    <definedName name="IQ_ECO_METRIC_7624">"c7624"</definedName>
    <definedName name="IQ_ECO_METRIC_7625">"c7625"</definedName>
    <definedName name="IQ_ECO_METRIC_7626">"c7626"</definedName>
    <definedName name="IQ_ECO_METRIC_7627">"c7627"</definedName>
    <definedName name="IQ_ECO_METRIC_7628">"c7628"</definedName>
    <definedName name="IQ_ECO_METRIC_7629">"c7629"</definedName>
    <definedName name="IQ_ECO_METRIC_7630">"c7630"</definedName>
    <definedName name="IQ_ECO_METRIC_7631">"c7631"</definedName>
    <definedName name="IQ_ECO_METRIC_7632">"c7632"</definedName>
    <definedName name="IQ_ECO_METRIC_7633">"c7633"</definedName>
    <definedName name="IQ_ECO_METRIC_7634">"c7634"</definedName>
    <definedName name="IQ_ECO_METRIC_7635">"c7635"</definedName>
    <definedName name="IQ_ECO_METRIC_7636">"c7636"</definedName>
    <definedName name="IQ_ECO_METRIC_7637">"c7637"</definedName>
    <definedName name="IQ_ECO_METRIC_7638">"c7638"</definedName>
    <definedName name="IQ_ECO_METRIC_7639">"c7639"</definedName>
    <definedName name="IQ_ECO_METRIC_7640">"c7640"</definedName>
    <definedName name="IQ_ECO_METRIC_7641">"c7641"</definedName>
    <definedName name="IQ_ECO_METRIC_7642">"c7642"</definedName>
    <definedName name="IQ_ECO_METRIC_7643">"c7643"</definedName>
    <definedName name="IQ_ECO_METRIC_7644">"c7644"</definedName>
    <definedName name="IQ_ECO_METRIC_7645">"c7645"</definedName>
    <definedName name="IQ_ECO_METRIC_7646">"c7646"</definedName>
    <definedName name="IQ_ECO_METRIC_7647">"c7647"</definedName>
    <definedName name="IQ_ECO_METRIC_7648">"c7648"</definedName>
    <definedName name="IQ_ECO_METRIC_7648_UNUSED_UNUSED_UNUSED">"c7648"</definedName>
    <definedName name="IQ_ECO_METRIC_7649">"c7649"</definedName>
    <definedName name="IQ_ECO_METRIC_7650">"c7650"</definedName>
    <definedName name="IQ_ECO_METRIC_7651">"c7651"</definedName>
    <definedName name="IQ_ECO_METRIC_7652">"c7652"</definedName>
    <definedName name="IQ_ECO_METRIC_7653">"c7653"</definedName>
    <definedName name="IQ_ECO_METRIC_7654">"c7654"</definedName>
    <definedName name="IQ_ECO_METRIC_7655">"c7655"</definedName>
    <definedName name="IQ_ECO_METRIC_7656">"c7656"</definedName>
    <definedName name="IQ_ECO_METRIC_7657">"c7657"</definedName>
    <definedName name="IQ_ECO_METRIC_7658">"c7658"</definedName>
    <definedName name="IQ_ECO_METRIC_7660">"c7660"</definedName>
    <definedName name="IQ_ECO_METRIC_7661">"c7661"</definedName>
    <definedName name="IQ_ECO_METRIC_7663">"c7663"</definedName>
    <definedName name="IQ_ECO_METRIC_7664">"c7664"</definedName>
    <definedName name="IQ_ECO_METRIC_7665">"c7665"</definedName>
    <definedName name="IQ_ECO_METRIC_7666">"c7666"</definedName>
    <definedName name="IQ_ECO_METRIC_7667">"c7667"</definedName>
    <definedName name="IQ_ECO_METRIC_7668">"c7668"</definedName>
    <definedName name="IQ_ECO_METRIC_7669">"c7669"</definedName>
    <definedName name="IQ_ECO_METRIC_7670">"c7670"</definedName>
    <definedName name="IQ_ECO_METRIC_7675">"c7675"</definedName>
    <definedName name="IQ_ECO_METRIC_7676">"c7676"</definedName>
    <definedName name="IQ_ECO_METRIC_7677">"c7677"</definedName>
    <definedName name="IQ_ECO_METRIC_7678">"c7678"</definedName>
    <definedName name="IQ_ECO_METRIC_7679">"c7679"</definedName>
    <definedName name="IQ_ECO_METRIC_7680">"c7680"</definedName>
    <definedName name="IQ_ECO_METRIC_7681">"c7681"</definedName>
    <definedName name="IQ_ECO_METRIC_7685">"c7685"</definedName>
    <definedName name="IQ_ECO_METRIC_7687">"c7687"</definedName>
    <definedName name="IQ_ECO_METRIC_7688">"c7688"</definedName>
    <definedName name="IQ_ECO_METRIC_7689">"c7689"</definedName>
    <definedName name="IQ_ECO_METRIC_7690">"c7690"</definedName>
    <definedName name="IQ_ECO_METRIC_7691">"c7691"</definedName>
    <definedName name="IQ_ECO_METRIC_7692">"c7692"</definedName>
    <definedName name="IQ_ECO_METRIC_7693">"c7693"</definedName>
    <definedName name="IQ_ECO_METRIC_7694">"c7694"</definedName>
    <definedName name="IQ_ECO_METRIC_7695">"c7695"</definedName>
    <definedName name="IQ_ECO_METRIC_7696">"c7696"</definedName>
    <definedName name="IQ_ECO_METRIC_7697">"c7697"</definedName>
    <definedName name="IQ_ECO_METRIC_7698">"c7698"</definedName>
    <definedName name="IQ_ECO_METRIC_7699">"c7699"</definedName>
    <definedName name="IQ_ECO_METRIC_7700">"c7700"</definedName>
    <definedName name="IQ_ECO_METRIC_7701">"c7701"</definedName>
    <definedName name="IQ_ECO_METRIC_7702">"c7702"</definedName>
    <definedName name="IQ_ECO_METRIC_7703">"c7703"</definedName>
    <definedName name="IQ_ECO_METRIC_7705">"c7705"</definedName>
    <definedName name="IQ_ECO_METRIC_7705_UNUSED_UNUSED_UNUSED">"c7705"</definedName>
    <definedName name="IQ_ECO_METRIC_7707">"c7707"</definedName>
    <definedName name="IQ_ECO_METRIC_7708">"c7708"</definedName>
    <definedName name="IQ_ECO_METRIC_7709">"c7709"</definedName>
    <definedName name="IQ_ECO_METRIC_7710">"c7710"</definedName>
    <definedName name="IQ_ECO_METRIC_7711">"c7711"</definedName>
    <definedName name="IQ_ECO_METRIC_7712">"c7712"</definedName>
    <definedName name="IQ_ECO_METRIC_7713">"c7713"</definedName>
    <definedName name="IQ_ECO_METRIC_7714">"c7714"</definedName>
    <definedName name="IQ_ECO_METRIC_7715">"c7715"</definedName>
    <definedName name="IQ_ECO_METRIC_7716">"c7716"</definedName>
    <definedName name="IQ_ECO_METRIC_7717">"c7717"</definedName>
    <definedName name="IQ_ECO_METRIC_7719">"c7719"</definedName>
    <definedName name="IQ_ECO_METRIC_7719_UNUSED_UNUSED_UNUSED">"c7719"</definedName>
    <definedName name="IQ_ECO_METRIC_7720">"c7720"</definedName>
    <definedName name="IQ_ECO_METRIC_7721">"c7721"</definedName>
    <definedName name="IQ_ECO_METRIC_7722">"c7722"</definedName>
    <definedName name="IQ_ECO_METRIC_7723">"c7723"</definedName>
    <definedName name="IQ_ECO_METRIC_7724">"c7724"</definedName>
    <definedName name="IQ_ECO_METRIC_7725">"c7725"</definedName>
    <definedName name="IQ_ECO_METRIC_7726">"c7726"</definedName>
    <definedName name="IQ_ECO_METRIC_7727">"c7727"</definedName>
    <definedName name="IQ_ECO_METRIC_7728">"c7728"</definedName>
    <definedName name="IQ_ECO_METRIC_7729">"c7729"</definedName>
    <definedName name="IQ_ECO_METRIC_7730">"c7730"</definedName>
    <definedName name="IQ_ECO_METRIC_7731">"c7731"</definedName>
    <definedName name="IQ_ECO_METRIC_7732">"c7732"</definedName>
    <definedName name="IQ_ECO_METRIC_7733">"c7733"</definedName>
    <definedName name="IQ_ECO_METRIC_7734">"c7734"</definedName>
    <definedName name="IQ_ECO_METRIC_7735">"c7735"</definedName>
    <definedName name="IQ_ECO_METRIC_7736">"c7736"</definedName>
    <definedName name="IQ_ECO_METRIC_7737">"c7737"</definedName>
    <definedName name="IQ_ECO_METRIC_7738">"c7738"</definedName>
    <definedName name="IQ_ECO_METRIC_7739">"c7739"</definedName>
    <definedName name="IQ_ECO_METRIC_7740">"c7740"</definedName>
    <definedName name="IQ_ECO_METRIC_7741">"c7741"</definedName>
    <definedName name="IQ_ECO_METRIC_7742">"c7742"</definedName>
    <definedName name="IQ_ECO_METRIC_7743">"c7743"</definedName>
    <definedName name="IQ_ECO_METRIC_7744">"c7744"</definedName>
    <definedName name="IQ_ECO_METRIC_7745">"c7745"</definedName>
    <definedName name="IQ_ECO_METRIC_7746">"c7746"</definedName>
    <definedName name="IQ_ECO_METRIC_7747">"c7747"</definedName>
    <definedName name="IQ_ECO_METRIC_7748">"c7748"</definedName>
    <definedName name="IQ_ECO_METRIC_7749">"c7749"</definedName>
    <definedName name="IQ_ECO_METRIC_7750">"c7750"</definedName>
    <definedName name="IQ_ECO_METRIC_7751">"c7751"</definedName>
    <definedName name="IQ_ECO_METRIC_7752">"c7752"</definedName>
    <definedName name="IQ_ECO_METRIC_7753">"c7753"</definedName>
    <definedName name="IQ_ECO_METRIC_7754">"c7754"</definedName>
    <definedName name="IQ_ECO_METRIC_7755">"c7755"</definedName>
    <definedName name="IQ_ECO_METRIC_7756">"c7756"</definedName>
    <definedName name="IQ_ECO_METRIC_7757">"c7757"</definedName>
    <definedName name="IQ_ECO_METRIC_7758">"c7758"</definedName>
    <definedName name="IQ_ECO_METRIC_7759">"c7759"</definedName>
    <definedName name="IQ_ECO_METRIC_7760">"c7760"</definedName>
    <definedName name="IQ_ECO_METRIC_7761">"c7761"</definedName>
    <definedName name="IQ_ECO_METRIC_7762">"c7762"</definedName>
    <definedName name="IQ_ECO_METRIC_7763">"c7763"</definedName>
    <definedName name="IQ_ECO_METRIC_7764">"c7764"</definedName>
    <definedName name="IQ_ECO_METRIC_7765">"c7765"</definedName>
    <definedName name="IQ_ECO_METRIC_7766">"c7766"</definedName>
    <definedName name="IQ_ECO_METRIC_7767">"c7767"</definedName>
    <definedName name="IQ_ECO_METRIC_7768">"c7768"</definedName>
    <definedName name="IQ_ECO_METRIC_7769">"c7769"</definedName>
    <definedName name="IQ_ECO_METRIC_7770">"c7770"</definedName>
    <definedName name="IQ_ECO_METRIC_7771">"c7771"</definedName>
    <definedName name="IQ_ECO_METRIC_7772">"c7772"</definedName>
    <definedName name="IQ_ECO_METRIC_7773">"c7773"</definedName>
    <definedName name="IQ_ECO_METRIC_7774">"c7774"</definedName>
    <definedName name="IQ_ECO_METRIC_7775">"c7775"</definedName>
    <definedName name="IQ_ECO_METRIC_7776">"c7776"</definedName>
    <definedName name="IQ_ECO_METRIC_7776_UNUSED_UNUSED_UNUSED">"c7776"</definedName>
    <definedName name="IQ_ECO_METRIC_7777">"c7777"</definedName>
    <definedName name="IQ_ECO_METRIC_7777_UNUSED_UNUSED_UNUSED">"c7777"</definedName>
    <definedName name="IQ_ECO_METRIC_7779">"c7779"</definedName>
    <definedName name="IQ_ECO_METRIC_7780">"c7780"</definedName>
    <definedName name="IQ_ECO_METRIC_7781">"c7781"</definedName>
    <definedName name="IQ_ECO_METRIC_7782">"c7782"</definedName>
    <definedName name="IQ_ECO_METRIC_7783">"c7783"</definedName>
    <definedName name="IQ_ECO_METRIC_7784">"c7784"</definedName>
    <definedName name="IQ_ECO_METRIC_7785">"c7785"</definedName>
    <definedName name="IQ_ECO_METRIC_7786">"c7786"</definedName>
    <definedName name="IQ_ECO_METRIC_7787">"c7787"</definedName>
    <definedName name="IQ_ECO_METRIC_7788">"c7788"</definedName>
    <definedName name="IQ_ECO_METRIC_7789">"c7789"</definedName>
    <definedName name="IQ_ECO_METRIC_7790">"c7790"</definedName>
    <definedName name="IQ_ECO_METRIC_7791">"c7791"</definedName>
    <definedName name="IQ_ECO_METRIC_7792">"c7792"</definedName>
    <definedName name="IQ_ECO_METRIC_7793">"c7793"</definedName>
    <definedName name="IQ_ECO_METRIC_7794">"c7794"</definedName>
    <definedName name="IQ_ECO_METRIC_7795">"c7795"</definedName>
    <definedName name="IQ_ECO_METRIC_7796">"c7796"</definedName>
    <definedName name="IQ_ECO_METRIC_7797">"c7797"</definedName>
    <definedName name="IQ_ECO_METRIC_7798">"c7798"</definedName>
    <definedName name="IQ_ECO_METRIC_7799">"c7799"</definedName>
    <definedName name="IQ_ECO_METRIC_7800">"c7800"</definedName>
    <definedName name="IQ_ECO_METRIC_7801">"c7801"</definedName>
    <definedName name="IQ_ECO_METRIC_7802">"c7802"</definedName>
    <definedName name="IQ_ECO_METRIC_7803">"c7803"</definedName>
    <definedName name="IQ_ECO_METRIC_7804">"c7804"</definedName>
    <definedName name="IQ_ECO_METRIC_7805">"c7805"</definedName>
    <definedName name="IQ_ECO_METRIC_7806">"c7806"</definedName>
    <definedName name="IQ_ECO_METRIC_7808">"c7808"</definedName>
    <definedName name="IQ_ECO_METRIC_7809">"c7809"</definedName>
    <definedName name="IQ_ECO_METRIC_7810">"c7810"</definedName>
    <definedName name="IQ_ECO_METRIC_7812">"c7812"</definedName>
    <definedName name="IQ_ECO_METRIC_7813">"c7813"</definedName>
    <definedName name="IQ_ECO_METRIC_7814">"c7814"</definedName>
    <definedName name="IQ_ECO_METRIC_7815">"c7815"</definedName>
    <definedName name="IQ_ECO_METRIC_7816">"c7816"</definedName>
    <definedName name="IQ_ECO_METRIC_7817">"c7817"</definedName>
    <definedName name="IQ_ECO_METRIC_7818">"c7818"</definedName>
    <definedName name="IQ_ECO_METRIC_7819">"c7819"</definedName>
    <definedName name="IQ_ECO_METRIC_7820">"c7820"</definedName>
    <definedName name="IQ_ECO_METRIC_7821">"c7821"</definedName>
    <definedName name="IQ_ECO_METRIC_7822">"c7822"</definedName>
    <definedName name="IQ_ECO_METRIC_7823">"c7823"</definedName>
    <definedName name="IQ_ECO_METRIC_7824">"c7824"</definedName>
    <definedName name="IQ_ECO_METRIC_7825">"c7825"</definedName>
    <definedName name="IQ_ECO_METRIC_7826">"c7826"</definedName>
    <definedName name="IQ_ECO_METRIC_7827">"c7827"</definedName>
    <definedName name="IQ_ECO_METRIC_7828">"c7828"</definedName>
    <definedName name="IQ_ECO_METRIC_7829">"c7829"</definedName>
    <definedName name="IQ_ECO_METRIC_7830">"c7830"</definedName>
    <definedName name="IQ_ECO_METRIC_7831">"c7831"</definedName>
    <definedName name="IQ_ECO_METRIC_7832">"c7832"</definedName>
    <definedName name="IQ_ECO_METRIC_7833">"c7833"</definedName>
    <definedName name="IQ_ECO_METRIC_7834">"c7834"</definedName>
    <definedName name="IQ_ECO_METRIC_7835">"c7835"</definedName>
    <definedName name="IQ_ECO_METRIC_7836">"c7836"</definedName>
    <definedName name="IQ_ECO_METRIC_7837">"c7837"</definedName>
    <definedName name="IQ_ECO_METRIC_7838">"c7838"</definedName>
    <definedName name="IQ_ECO_METRIC_7839">"c7839"</definedName>
    <definedName name="IQ_ECO_METRIC_7840">"c7840"</definedName>
    <definedName name="IQ_ECO_METRIC_7842">"c7842"</definedName>
    <definedName name="IQ_ECO_METRIC_7843">"c7843"</definedName>
    <definedName name="IQ_ECO_METRIC_7844">"c7844"</definedName>
    <definedName name="IQ_ECO_METRIC_7845">"c7845"</definedName>
    <definedName name="IQ_ECO_METRIC_7846">"c7846"</definedName>
    <definedName name="IQ_ECO_METRIC_7847">"c7847"</definedName>
    <definedName name="IQ_ECO_METRIC_7848">"c7848"</definedName>
    <definedName name="IQ_ECO_METRIC_7849">"c7849"</definedName>
    <definedName name="IQ_ECO_METRIC_7850">"c7850"</definedName>
    <definedName name="IQ_ECO_METRIC_7851">"c7851"</definedName>
    <definedName name="IQ_ECO_METRIC_7852">"c7852"</definedName>
    <definedName name="IQ_ECO_METRIC_7853">"c7853"</definedName>
    <definedName name="IQ_ECO_METRIC_7854">"c7854"</definedName>
    <definedName name="IQ_ECO_METRIC_7855">"c7855"</definedName>
    <definedName name="IQ_ECO_METRIC_7856">"c7856"</definedName>
    <definedName name="IQ_ECO_METRIC_7857">"c7857"</definedName>
    <definedName name="IQ_ECO_METRIC_7858">"c7858"</definedName>
    <definedName name="IQ_ECO_METRIC_7859">"c7859"</definedName>
    <definedName name="IQ_ECO_METRIC_7860">"c7860"</definedName>
    <definedName name="IQ_ECO_METRIC_7861">"c7861"</definedName>
    <definedName name="IQ_ECO_METRIC_7862">"c7862"</definedName>
    <definedName name="IQ_ECO_METRIC_7863">"c7863"</definedName>
    <definedName name="IQ_ECO_METRIC_7864">"c7864"</definedName>
    <definedName name="IQ_ECO_METRIC_7865">"c7865"</definedName>
    <definedName name="IQ_ECO_METRIC_7866">"c7866"</definedName>
    <definedName name="IQ_ECO_METRIC_7867">"c7867"</definedName>
    <definedName name="IQ_ECO_METRIC_7868">"c7868"</definedName>
    <definedName name="IQ_ECO_METRIC_7868_UNUSED_UNUSED_UNUSED">"c7868"</definedName>
    <definedName name="IQ_ECO_METRIC_7869">"c7869"</definedName>
    <definedName name="IQ_ECO_METRIC_7870">"c7870"</definedName>
    <definedName name="IQ_ECO_METRIC_7871">"c7871"</definedName>
    <definedName name="IQ_ECO_METRIC_7872">"c7872"</definedName>
    <definedName name="IQ_ECO_METRIC_7874">"c7874"</definedName>
    <definedName name="IQ_ECO_METRIC_7875">"c7875"</definedName>
    <definedName name="IQ_ECO_METRIC_7876">"c7876"</definedName>
    <definedName name="IQ_ECO_METRIC_7877">"c7877"</definedName>
    <definedName name="IQ_ECO_METRIC_7878">"c7878"</definedName>
    <definedName name="IQ_ECO_METRIC_7880">"c7880"</definedName>
    <definedName name="IQ_ECO_METRIC_7881">"c7881"</definedName>
    <definedName name="IQ_ECO_METRIC_7882">"c7882"</definedName>
    <definedName name="IQ_ECO_METRIC_7883">"c7883"</definedName>
    <definedName name="IQ_ECO_METRIC_7884">"c7884"</definedName>
    <definedName name="IQ_ECO_METRIC_7885">"c7885"</definedName>
    <definedName name="IQ_ECO_METRIC_7886">"c7886"</definedName>
    <definedName name="IQ_ECO_METRIC_7887">"c7887"</definedName>
    <definedName name="IQ_ECO_METRIC_7888">"c7888"</definedName>
    <definedName name="IQ_ECO_METRIC_7889">"c7889"</definedName>
    <definedName name="IQ_ECO_METRIC_7890">"c7890"</definedName>
    <definedName name="IQ_ECO_METRIC_7891">"c7891"</definedName>
    <definedName name="IQ_ECO_METRIC_7892">"c7892"</definedName>
    <definedName name="IQ_ECO_METRIC_7893">"c7893"</definedName>
    <definedName name="IQ_ECO_METRIC_7895">"c7895"</definedName>
    <definedName name="IQ_ECO_METRIC_7896">"c7896"</definedName>
    <definedName name="IQ_ECO_METRIC_7897">"c7897"</definedName>
    <definedName name="IQ_ECO_METRIC_7898">"c7898"</definedName>
    <definedName name="IQ_ECO_METRIC_7899">"c7899"</definedName>
    <definedName name="IQ_ECO_METRIC_7900">"c7900"</definedName>
    <definedName name="IQ_ECO_METRIC_7901">"c7901"</definedName>
    <definedName name="IQ_ECO_METRIC_7903">"c7903"</definedName>
    <definedName name="IQ_ECO_METRIC_7904">"c7904"</definedName>
    <definedName name="IQ_ECO_METRIC_7905">"c7905"</definedName>
    <definedName name="IQ_ECO_METRIC_7906">"c7906"</definedName>
    <definedName name="IQ_ECO_METRIC_7907">"c7907"</definedName>
    <definedName name="IQ_ECO_METRIC_7908">"c7908"</definedName>
    <definedName name="IQ_ECO_METRIC_7909">"c7909"</definedName>
    <definedName name="IQ_ECO_METRIC_7910">"c7910"</definedName>
    <definedName name="IQ_ECO_METRIC_7911">"c7911"</definedName>
    <definedName name="IQ_ECO_METRIC_7912">"c7912"</definedName>
    <definedName name="IQ_ECO_METRIC_7913">"c7913"</definedName>
    <definedName name="IQ_ECO_METRIC_7914">"c7914"</definedName>
    <definedName name="IQ_ECO_METRIC_7915">"c7915"</definedName>
    <definedName name="IQ_ECO_METRIC_7916">"c7916"</definedName>
    <definedName name="IQ_ECO_METRIC_7917">"c7917"</definedName>
    <definedName name="IQ_ECO_METRIC_7918">"c7918"</definedName>
    <definedName name="IQ_ECO_METRIC_7919">"c7919"</definedName>
    <definedName name="IQ_ECO_METRIC_7920">"c7920"</definedName>
    <definedName name="IQ_ECO_METRIC_7921">"c7921"</definedName>
    <definedName name="IQ_ECO_METRIC_7922">"c7922"</definedName>
    <definedName name="IQ_ECO_METRIC_7923">"c7923"</definedName>
    <definedName name="IQ_ECO_METRIC_7925">"c7925"</definedName>
    <definedName name="IQ_ECO_METRIC_7925_UNUSED_UNUSED_UNUSED">"c7925"</definedName>
    <definedName name="IQ_ECO_METRIC_7927">"c7927"</definedName>
    <definedName name="IQ_ECO_METRIC_7928">"c7928"</definedName>
    <definedName name="IQ_ECO_METRIC_7929">"c7929"</definedName>
    <definedName name="IQ_ECO_METRIC_7930">"c7930"</definedName>
    <definedName name="IQ_ECO_METRIC_7931">"c7931"</definedName>
    <definedName name="IQ_ECO_METRIC_7932">"c7932"</definedName>
    <definedName name="IQ_ECO_METRIC_7933">"c7933"</definedName>
    <definedName name="IQ_ECO_METRIC_7934">"c7934"</definedName>
    <definedName name="IQ_ECO_METRIC_7935">"c7935"</definedName>
    <definedName name="IQ_ECO_METRIC_7936">"c7936"</definedName>
    <definedName name="IQ_ECO_METRIC_7937">"c7937"</definedName>
    <definedName name="IQ_ECO_METRIC_7939">"c7939"</definedName>
    <definedName name="IQ_ECO_METRIC_7939_UNUSED_UNUSED_UNUSED">"c7939"</definedName>
    <definedName name="IQ_ECO_METRIC_7940">"c7940"</definedName>
    <definedName name="IQ_ECO_METRIC_7941">"c7941"</definedName>
    <definedName name="IQ_ECO_METRIC_7942">"c7942"</definedName>
    <definedName name="IQ_ECO_METRIC_7943">"c7943"</definedName>
    <definedName name="IQ_ECO_METRIC_7944">"c7944"</definedName>
    <definedName name="IQ_ECO_METRIC_7945">"c7945"</definedName>
    <definedName name="IQ_ECO_METRIC_7946">"c7946"</definedName>
    <definedName name="IQ_ECO_METRIC_7947">"c7947"</definedName>
    <definedName name="IQ_ECO_METRIC_7948">"c7948"</definedName>
    <definedName name="IQ_ECO_METRIC_7949">"c7949"</definedName>
    <definedName name="IQ_ECO_METRIC_7950">"c7950"</definedName>
    <definedName name="IQ_ECO_METRIC_7951">"c7951"</definedName>
    <definedName name="IQ_ECO_METRIC_7952">"c7952"</definedName>
    <definedName name="IQ_ECO_METRIC_7953">"c7953"</definedName>
    <definedName name="IQ_ECO_METRIC_7954">"c7954"</definedName>
    <definedName name="IQ_ECO_METRIC_7955">"c7955"</definedName>
    <definedName name="IQ_ECO_METRIC_7956">"c7956"</definedName>
    <definedName name="IQ_ECO_METRIC_7957">"c7957"</definedName>
    <definedName name="IQ_ECO_METRIC_7958">"c7958"</definedName>
    <definedName name="IQ_ECO_METRIC_7959">"c7959"</definedName>
    <definedName name="IQ_ECO_METRIC_7960">"c7960"</definedName>
    <definedName name="IQ_ECO_METRIC_7961">"c7961"</definedName>
    <definedName name="IQ_ECO_METRIC_7962">"c7962"</definedName>
    <definedName name="IQ_ECO_METRIC_7963">"c7963"</definedName>
    <definedName name="IQ_ECO_METRIC_7964">"c7964"</definedName>
    <definedName name="IQ_ECO_METRIC_7965">"c7965"</definedName>
    <definedName name="IQ_ECO_METRIC_7966">"c7966"</definedName>
    <definedName name="IQ_ECO_METRIC_7967">"c7967"</definedName>
    <definedName name="IQ_ECO_METRIC_7968">"c7968"</definedName>
    <definedName name="IQ_ECO_METRIC_7969">"c7969"</definedName>
    <definedName name="IQ_ECO_METRIC_7970">"c7970"</definedName>
    <definedName name="IQ_ECO_METRIC_7971">"c7971"</definedName>
    <definedName name="IQ_ECO_METRIC_7972">"c7972"</definedName>
    <definedName name="IQ_ECO_METRIC_7973">"c7973"</definedName>
    <definedName name="IQ_ECO_METRIC_7974">"c7974"</definedName>
    <definedName name="IQ_ECO_METRIC_7975">"c7975"</definedName>
    <definedName name="IQ_ECO_METRIC_7976">"c7976"</definedName>
    <definedName name="IQ_ECO_METRIC_7977">"c7977"</definedName>
    <definedName name="IQ_ECO_METRIC_7978">"c7978"</definedName>
    <definedName name="IQ_ECO_METRIC_7979">"c7979"</definedName>
    <definedName name="IQ_ECO_METRIC_7980">"c7980"</definedName>
    <definedName name="IQ_ECO_METRIC_7981">"c7981"</definedName>
    <definedName name="IQ_ECO_METRIC_7982">"c7982"</definedName>
    <definedName name="IQ_ECO_METRIC_7983">"c7983"</definedName>
    <definedName name="IQ_ECO_METRIC_7984">"c7984"</definedName>
    <definedName name="IQ_ECO_METRIC_7985">"c7985"</definedName>
    <definedName name="IQ_ECO_METRIC_7986">"c7986"</definedName>
    <definedName name="IQ_ECO_METRIC_7987">"c7987"</definedName>
    <definedName name="IQ_ECO_METRIC_7988">"c7988"</definedName>
    <definedName name="IQ_ECO_METRIC_7989">"c7989"</definedName>
    <definedName name="IQ_ECO_METRIC_7990">"c7990"</definedName>
    <definedName name="IQ_ECO_METRIC_7991">"c7991"</definedName>
    <definedName name="IQ_ECO_METRIC_7992">"c7992"</definedName>
    <definedName name="IQ_ECO_METRIC_7993">"c7993"</definedName>
    <definedName name="IQ_ECO_METRIC_7994">"c7994"</definedName>
    <definedName name="IQ_ECO_METRIC_7995">"c7995"</definedName>
    <definedName name="IQ_ECO_METRIC_7996">"c7996"</definedName>
    <definedName name="IQ_ECO_METRIC_7996_UNUSED_UNUSED_UNUSED">"c7996"</definedName>
    <definedName name="IQ_ECO_METRIC_7997">"c7997"</definedName>
    <definedName name="IQ_ECO_METRIC_7997_UNUSED_UNUSED_UNUSED">"c7997"</definedName>
    <definedName name="IQ_ECO_METRIC_7999">"c7999"</definedName>
    <definedName name="IQ_ECO_METRIC_8000">"c8000"</definedName>
    <definedName name="IQ_ECO_METRIC_8001">"c8001"</definedName>
    <definedName name="IQ_ECO_METRIC_8002">"c8002"</definedName>
    <definedName name="IQ_ECO_METRIC_8003">"c8003"</definedName>
    <definedName name="IQ_ECO_METRIC_8004">"c8004"</definedName>
    <definedName name="IQ_ECO_METRIC_8005">"c8005"</definedName>
    <definedName name="IQ_ECO_METRIC_8006">"c8006"</definedName>
    <definedName name="IQ_ECO_METRIC_8007">"c8007"</definedName>
    <definedName name="IQ_ECO_METRIC_8008">"c8008"</definedName>
    <definedName name="IQ_ECO_METRIC_8009">"c8009"</definedName>
    <definedName name="IQ_ECO_METRIC_8010">"c8010"</definedName>
    <definedName name="IQ_ECO_METRIC_8011">"c8011"</definedName>
    <definedName name="IQ_ECO_METRIC_8012">"c8012"</definedName>
    <definedName name="IQ_ECO_METRIC_8013">"c8013"</definedName>
    <definedName name="IQ_ECO_METRIC_8014">"c8014"</definedName>
    <definedName name="IQ_ECO_METRIC_8015">"c8015"</definedName>
    <definedName name="IQ_ECO_METRIC_8016">"c8016"</definedName>
    <definedName name="IQ_ECO_METRIC_8017">"c8017"</definedName>
    <definedName name="IQ_ECO_METRIC_8018">"c8018"</definedName>
    <definedName name="IQ_ECO_METRIC_8019">"c8019"</definedName>
    <definedName name="IQ_ECO_METRIC_8020">"c8020"</definedName>
    <definedName name="IQ_ECO_METRIC_8021">"c8021"</definedName>
    <definedName name="IQ_ECO_METRIC_8022">"c8022"</definedName>
    <definedName name="IQ_ECO_METRIC_8023">"c8023"</definedName>
    <definedName name="IQ_ECO_METRIC_8024">"c8024"</definedName>
    <definedName name="IQ_ECO_METRIC_8025">"c8025"</definedName>
    <definedName name="IQ_ECO_METRIC_8026">"c8026"</definedName>
    <definedName name="IQ_ECO_METRIC_8028">"c8028"</definedName>
    <definedName name="IQ_ECO_METRIC_8029">"c8029"</definedName>
    <definedName name="IQ_ECO_METRIC_8030">"c8030"</definedName>
    <definedName name="IQ_ECO_METRIC_8032">"c8032"</definedName>
    <definedName name="IQ_ECO_METRIC_8033">"c8033"</definedName>
    <definedName name="IQ_ECO_METRIC_8034">"c8034"</definedName>
    <definedName name="IQ_ECO_METRIC_8035">"c8035"</definedName>
    <definedName name="IQ_ECO_METRIC_8036">"c8036"</definedName>
    <definedName name="IQ_ECO_METRIC_8037">"c8037"</definedName>
    <definedName name="IQ_ECO_METRIC_8038">"c8038"</definedName>
    <definedName name="IQ_ECO_METRIC_8039">"c8039"</definedName>
    <definedName name="IQ_ECO_METRIC_8040">"c8040"</definedName>
    <definedName name="IQ_ECO_METRIC_8041">"c8041"</definedName>
    <definedName name="IQ_ECO_METRIC_8042">"c8042"</definedName>
    <definedName name="IQ_ECO_METRIC_8043">"c8043"</definedName>
    <definedName name="IQ_ECO_METRIC_8044">"c8044"</definedName>
    <definedName name="IQ_ECO_METRIC_8045">"c8045"</definedName>
    <definedName name="IQ_ECO_METRIC_8046">"c8046"</definedName>
    <definedName name="IQ_ECO_METRIC_8047">"c8047"</definedName>
    <definedName name="IQ_ECO_METRIC_8048">"c8048"</definedName>
    <definedName name="IQ_ECO_METRIC_8049">"c8049"</definedName>
    <definedName name="IQ_ECO_METRIC_8050">"c8050"</definedName>
    <definedName name="IQ_ECO_METRIC_8051">"c8051"</definedName>
    <definedName name="IQ_ECO_METRIC_8052">"c8052"</definedName>
    <definedName name="IQ_ECO_METRIC_8053">"c8053"</definedName>
    <definedName name="IQ_ECO_METRIC_8054">"c8054"</definedName>
    <definedName name="IQ_ECO_METRIC_8055">"c8055"</definedName>
    <definedName name="IQ_ECO_METRIC_8056">"c8056"</definedName>
    <definedName name="IQ_ECO_METRIC_8057">"c8057"</definedName>
    <definedName name="IQ_ECO_METRIC_8058">"c8058"</definedName>
    <definedName name="IQ_ECO_METRIC_8059">"c8059"</definedName>
    <definedName name="IQ_ECO_METRIC_8060">"c8060"</definedName>
    <definedName name="IQ_ECO_METRIC_8062">"c8062"</definedName>
    <definedName name="IQ_ECO_METRIC_8063">"c8063"</definedName>
    <definedName name="IQ_ECO_METRIC_8064">"c8064"</definedName>
    <definedName name="IQ_ECO_METRIC_8065">"c8065"</definedName>
    <definedName name="IQ_ECO_METRIC_8066">"c8066"</definedName>
    <definedName name="IQ_ECO_METRIC_8067">"c8067"</definedName>
    <definedName name="IQ_ECO_METRIC_8068">"c8068"</definedName>
    <definedName name="IQ_ECO_METRIC_8069">"c8069"</definedName>
    <definedName name="IQ_ECO_METRIC_8070">"c8070"</definedName>
    <definedName name="IQ_ECO_METRIC_8071">"c8071"</definedName>
    <definedName name="IQ_ECO_METRIC_8072">"c8072"</definedName>
    <definedName name="IQ_ECO_METRIC_8073">"c8073"</definedName>
    <definedName name="IQ_ECO_METRIC_8074">"c8074"</definedName>
    <definedName name="IQ_ECO_METRIC_8075">"c8075"</definedName>
    <definedName name="IQ_ECO_METRIC_8076">"c8076"</definedName>
    <definedName name="IQ_ECO_METRIC_8077">"c8077"</definedName>
    <definedName name="IQ_ECO_METRIC_8078">"c8078"</definedName>
    <definedName name="IQ_ECO_METRIC_8079">"c8079"</definedName>
    <definedName name="IQ_ECO_METRIC_8080">"c8080"</definedName>
    <definedName name="IQ_ECO_METRIC_8081">"c8081"</definedName>
    <definedName name="IQ_ECO_METRIC_8082">"c8082"</definedName>
    <definedName name="IQ_ECO_METRIC_8083">"c8083"</definedName>
    <definedName name="IQ_ECO_METRIC_8084">"c8084"</definedName>
    <definedName name="IQ_ECO_METRIC_8085">"c8085"</definedName>
    <definedName name="IQ_ECO_METRIC_8086">"c8086"</definedName>
    <definedName name="IQ_ECO_METRIC_8087">"c8087"</definedName>
    <definedName name="IQ_ECO_METRIC_8088">"c8088"</definedName>
    <definedName name="IQ_ECO_METRIC_8088_UNUSED_UNUSED_UNUSED">"c8088"</definedName>
    <definedName name="IQ_ECO_METRIC_8089">"c8089"</definedName>
    <definedName name="IQ_ECO_METRIC_8090">"c8090"</definedName>
    <definedName name="IQ_ECO_METRIC_8091">"c8091"</definedName>
    <definedName name="IQ_ECO_METRIC_8092">"c8092"</definedName>
    <definedName name="IQ_ECO_METRIC_8094">"c8094"</definedName>
    <definedName name="IQ_ECO_METRIC_8095">"c8095"</definedName>
    <definedName name="IQ_ECO_METRIC_8096">"c8096"</definedName>
    <definedName name="IQ_ECO_METRIC_8097">"c8097"</definedName>
    <definedName name="IQ_ECO_METRIC_8098">"c8098"</definedName>
    <definedName name="IQ_ECO_METRIC_8100">"c8100"</definedName>
    <definedName name="IQ_ECO_METRIC_8101">"c8101"</definedName>
    <definedName name="IQ_ECO_METRIC_8102">"c8102"</definedName>
    <definedName name="IQ_ECO_METRIC_8103">"c8103"</definedName>
    <definedName name="IQ_ECO_METRIC_8104">"c8104"</definedName>
    <definedName name="IQ_ECO_METRIC_8105">"c8105"</definedName>
    <definedName name="IQ_ECO_METRIC_8106">"c8106"</definedName>
    <definedName name="IQ_ECO_METRIC_8107">"c8107"</definedName>
    <definedName name="IQ_ECO_METRIC_8108">"c8108"</definedName>
    <definedName name="IQ_ECO_METRIC_8109">"c8109"</definedName>
    <definedName name="IQ_ECO_METRIC_8110">"c8110"</definedName>
    <definedName name="IQ_ECO_METRIC_8111">"c8111"</definedName>
    <definedName name="IQ_ECO_METRIC_8112">"c8112"</definedName>
    <definedName name="IQ_ECO_METRIC_8113">"c8113"</definedName>
    <definedName name="IQ_ECO_METRIC_8115">"c8115"</definedName>
    <definedName name="IQ_ECO_METRIC_8116">"c8116"</definedName>
    <definedName name="IQ_ECO_METRIC_8117">"c8117"</definedName>
    <definedName name="IQ_ECO_METRIC_8118">"c8118"</definedName>
    <definedName name="IQ_ECO_METRIC_8119">"c8119"</definedName>
    <definedName name="IQ_ECO_METRIC_8120">"c8120"</definedName>
    <definedName name="IQ_ECO_METRIC_8121">"c8121"</definedName>
    <definedName name="IQ_ECO_METRIC_8123">"c8123"</definedName>
    <definedName name="IQ_ECO_METRIC_8124">"c8124"</definedName>
    <definedName name="IQ_ECO_METRIC_8125">"c8125"</definedName>
    <definedName name="IQ_ECO_METRIC_8126">"c8126"</definedName>
    <definedName name="IQ_ECO_METRIC_8127">"c8127"</definedName>
    <definedName name="IQ_ECO_METRIC_8128">"c8128"</definedName>
    <definedName name="IQ_ECO_METRIC_8129">"c8129"</definedName>
    <definedName name="IQ_ECO_METRIC_8130">"c8130"</definedName>
    <definedName name="IQ_ECO_METRIC_8131">"c8131"</definedName>
    <definedName name="IQ_ECO_METRIC_8132">"c8132"</definedName>
    <definedName name="IQ_ECO_METRIC_8133">"c8133"</definedName>
    <definedName name="IQ_ECO_METRIC_8134">"c8134"</definedName>
    <definedName name="IQ_ECO_METRIC_8135">"c8135"</definedName>
    <definedName name="IQ_ECO_METRIC_8136">"c8136"</definedName>
    <definedName name="IQ_ECO_METRIC_8137">"c8137"</definedName>
    <definedName name="IQ_ECO_METRIC_8138">"c8138"</definedName>
    <definedName name="IQ_ECO_METRIC_8139">"c8139"</definedName>
    <definedName name="IQ_ECO_METRIC_8140">"c8140"</definedName>
    <definedName name="IQ_ECO_METRIC_8141">"c8141"</definedName>
    <definedName name="IQ_ECO_METRIC_8142">"c8142"</definedName>
    <definedName name="IQ_ECO_METRIC_8143">"c8143"</definedName>
    <definedName name="IQ_ECO_METRIC_8145">"c8145"</definedName>
    <definedName name="IQ_ECO_METRIC_8145_UNUSED_UNUSED_UNUSED">"c8145"</definedName>
    <definedName name="IQ_ECO_METRIC_8147">"c8147"</definedName>
    <definedName name="IQ_ECO_METRIC_8148">"c8148"</definedName>
    <definedName name="IQ_ECO_METRIC_8149">"c8149"</definedName>
    <definedName name="IQ_ECO_METRIC_8150">"c8150"</definedName>
    <definedName name="IQ_ECO_METRIC_8152">"c8152"</definedName>
    <definedName name="IQ_ECO_METRIC_8153">"c8153"</definedName>
    <definedName name="IQ_ECO_METRIC_8154">"c8154"</definedName>
    <definedName name="IQ_ECO_METRIC_8155">"c8155"</definedName>
    <definedName name="IQ_ECO_METRIC_8156">"c8156"</definedName>
    <definedName name="IQ_ECO_METRIC_8157">"c8157"</definedName>
    <definedName name="IQ_ECO_METRIC_8159">"c8159"</definedName>
    <definedName name="IQ_ECO_METRIC_8159_UNUSED_UNUSED_UNUSED">"c8159"</definedName>
    <definedName name="IQ_ECO_METRIC_8160">"c8160"</definedName>
    <definedName name="IQ_ECO_METRIC_8161">"c8161"</definedName>
    <definedName name="IQ_ECO_METRIC_8162">"c8162"</definedName>
    <definedName name="IQ_ECO_METRIC_8163">"c8163"</definedName>
    <definedName name="IQ_ECO_METRIC_8164">"c8164"</definedName>
    <definedName name="IQ_ECO_METRIC_8165">"c8165"</definedName>
    <definedName name="IQ_ECO_METRIC_8166">"c8166"</definedName>
    <definedName name="IQ_ECO_METRIC_8167">"c8167"</definedName>
    <definedName name="IQ_ECO_METRIC_8168">"c8168"</definedName>
    <definedName name="IQ_ECO_METRIC_8169">"c8169"</definedName>
    <definedName name="IQ_ECO_METRIC_8170">"c8170"</definedName>
    <definedName name="IQ_ECO_METRIC_8171">"c8171"</definedName>
    <definedName name="IQ_ECO_METRIC_8172">"c8172"</definedName>
    <definedName name="IQ_ECO_METRIC_8173">"c8173"</definedName>
    <definedName name="IQ_ECO_METRIC_8174">"c8174"</definedName>
    <definedName name="IQ_ECO_METRIC_8175">"c8175"</definedName>
    <definedName name="IQ_ECO_METRIC_8176">"c8176"</definedName>
    <definedName name="IQ_ECO_METRIC_8177">"c8177"</definedName>
    <definedName name="IQ_ECO_METRIC_8178">"c8178"</definedName>
    <definedName name="IQ_ECO_METRIC_8179">"c8179"</definedName>
    <definedName name="IQ_ECO_METRIC_8180">"c8180"</definedName>
    <definedName name="IQ_ECO_METRIC_8181">"c8181"</definedName>
    <definedName name="IQ_ECO_METRIC_8182">"c8182"</definedName>
    <definedName name="IQ_ECO_METRIC_8183">"c8183"</definedName>
    <definedName name="IQ_ECO_METRIC_8184">"c8184"</definedName>
    <definedName name="IQ_ECO_METRIC_8185">"c8185"</definedName>
    <definedName name="IQ_ECO_METRIC_8186">"c8186"</definedName>
    <definedName name="IQ_ECO_METRIC_8187">"c8187"</definedName>
    <definedName name="IQ_ECO_METRIC_8188">"c8188"</definedName>
    <definedName name="IQ_ECO_METRIC_8189">"c8189"</definedName>
    <definedName name="IQ_ECO_METRIC_8190">"c8190"</definedName>
    <definedName name="IQ_ECO_METRIC_8191">"c8191"</definedName>
    <definedName name="IQ_ECO_METRIC_8192">"c8192"</definedName>
    <definedName name="IQ_ECO_METRIC_8193">"c8193"</definedName>
    <definedName name="IQ_ECO_METRIC_8194">"c8194"</definedName>
    <definedName name="IQ_ECO_METRIC_8195">"c8195"</definedName>
    <definedName name="IQ_ECO_METRIC_8196">"c8196"</definedName>
    <definedName name="IQ_ECO_METRIC_8197">"c8197"</definedName>
    <definedName name="IQ_ECO_METRIC_8198">"c8198"</definedName>
    <definedName name="IQ_ECO_METRIC_8199">"c8199"</definedName>
    <definedName name="IQ_ECO_METRIC_8200">"c8200"</definedName>
    <definedName name="IQ_ECO_METRIC_8201">"c8201"</definedName>
    <definedName name="IQ_ECO_METRIC_8202">"c8202"</definedName>
    <definedName name="IQ_ECO_METRIC_8203">"c8203"</definedName>
    <definedName name="IQ_ECO_METRIC_8204">"c8204"</definedName>
    <definedName name="IQ_ECO_METRIC_8205">"c8205"</definedName>
    <definedName name="IQ_ECO_METRIC_8206">"c8206"</definedName>
    <definedName name="IQ_ECO_METRIC_8207">"c8207"</definedName>
    <definedName name="IQ_ECO_METRIC_8208">"c8208"</definedName>
    <definedName name="IQ_ECO_METRIC_8209">"c8209"</definedName>
    <definedName name="IQ_ECO_METRIC_8210">"c8210"</definedName>
    <definedName name="IQ_ECO_METRIC_8211">"c8211"</definedName>
    <definedName name="IQ_ECO_METRIC_8212">"c8212"</definedName>
    <definedName name="IQ_ECO_METRIC_8213">"c8213"</definedName>
    <definedName name="IQ_ECO_METRIC_8214">"c8214"</definedName>
    <definedName name="IQ_ECO_METRIC_8215">"c8215"</definedName>
    <definedName name="IQ_ECO_METRIC_8216">"c8216"</definedName>
    <definedName name="IQ_ECO_METRIC_8216_UNUSED_UNUSED_UNUSED">"c8216"</definedName>
    <definedName name="IQ_ECO_METRIC_8217">"c8217"</definedName>
    <definedName name="IQ_ECO_METRIC_8217_UNUSED_UNUSED_UNUSED">"c8217"</definedName>
    <definedName name="IQ_ECO_METRIC_8219">"c8219"</definedName>
    <definedName name="IQ_ECO_METRIC_8221">"c8221"</definedName>
    <definedName name="IQ_ECO_METRIC_8222">"c8222"</definedName>
    <definedName name="IQ_ECO_METRIC_8223">"c8223"</definedName>
    <definedName name="IQ_ECO_METRIC_8224">"c8224"</definedName>
    <definedName name="IQ_ECO_METRIC_8225">"c8225"</definedName>
    <definedName name="IQ_ECO_METRIC_8226">"c8226"</definedName>
    <definedName name="IQ_ECO_METRIC_8227">"c8227"</definedName>
    <definedName name="IQ_ECO_METRIC_8228">"c8228"</definedName>
    <definedName name="IQ_ECO_METRIC_8229">"c8229"</definedName>
    <definedName name="IQ_ECO_METRIC_8230">"c8230"</definedName>
    <definedName name="IQ_ECO_METRIC_8231">"c8231"</definedName>
    <definedName name="IQ_ECO_METRIC_8232">"c8232"</definedName>
    <definedName name="IQ_ECO_METRIC_8233">"c8233"</definedName>
    <definedName name="IQ_ECO_METRIC_8234">"c8234"</definedName>
    <definedName name="IQ_ECO_METRIC_8235">"c8235"</definedName>
    <definedName name="IQ_ECO_METRIC_8236">"c8236"</definedName>
    <definedName name="IQ_ECO_METRIC_8237">"c8237"</definedName>
    <definedName name="IQ_ECO_METRIC_8238">"c8238"</definedName>
    <definedName name="IQ_ECO_METRIC_8239">"c8239"</definedName>
    <definedName name="IQ_ECO_METRIC_8240">"c8240"</definedName>
    <definedName name="IQ_ECO_METRIC_8241">"c8241"</definedName>
    <definedName name="IQ_ECO_METRIC_8242">"c8242"</definedName>
    <definedName name="IQ_ECO_METRIC_8243">"c8243"</definedName>
    <definedName name="IQ_ECO_METRIC_8244">"c8244"</definedName>
    <definedName name="IQ_ECO_METRIC_8245">"c8245"</definedName>
    <definedName name="IQ_ECO_METRIC_8246">"c8246"</definedName>
    <definedName name="IQ_ECO_METRIC_8248">"c8248"</definedName>
    <definedName name="IQ_ECO_METRIC_8249">"c8249"</definedName>
    <definedName name="IQ_ECO_METRIC_8250">"c8250"</definedName>
    <definedName name="IQ_ECO_METRIC_8252">"c8252"</definedName>
    <definedName name="IQ_ECO_METRIC_8253">"c8253"</definedName>
    <definedName name="IQ_ECO_METRIC_8254">"c8254"</definedName>
    <definedName name="IQ_ECO_METRIC_8255">"c8255"</definedName>
    <definedName name="IQ_ECO_METRIC_8256">"c8256"</definedName>
    <definedName name="IQ_ECO_METRIC_8257">"c8257"</definedName>
    <definedName name="IQ_ECO_METRIC_8258">"c8258"</definedName>
    <definedName name="IQ_ECO_METRIC_8259">"c8259"</definedName>
    <definedName name="IQ_ECO_METRIC_8260">"c8260"</definedName>
    <definedName name="IQ_ECO_METRIC_8261">"c8261"</definedName>
    <definedName name="IQ_ECO_METRIC_8262">"c8262"</definedName>
    <definedName name="IQ_ECO_METRIC_8263">"c8263"</definedName>
    <definedName name="IQ_ECO_METRIC_8264">"c8264"</definedName>
    <definedName name="IQ_ECO_METRIC_8265">"c8265"</definedName>
    <definedName name="IQ_ECO_METRIC_8266">"c8266"</definedName>
    <definedName name="IQ_ECO_METRIC_8267">"c8267"</definedName>
    <definedName name="IQ_ECO_METRIC_8268">"c8268"</definedName>
    <definedName name="IQ_ECO_METRIC_8269">"c8269"</definedName>
    <definedName name="IQ_ECO_METRIC_8270">"c8270"</definedName>
    <definedName name="IQ_ECO_METRIC_8271">"c8271"</definedName>
    <definedName name="IQ_ECO_METRIC_8272">"c8272"</definedName>
    <definedName name="IQ_ECO_METRIC_8273">"c8273"</definedName>
    <definedName name="IQ_ECO_METRIC_8274">"c8274"</definedName>
    <definedName name="IQ_ECO_METRIC_8275">"c8275"</definedName>
    <definedName name="IQ_ECO_METRIC_8276">"c8276"</definedName>
    <definedName name="IQ_ECO_METRIC_8277">"c8277"</definedName>
    <definedName name="IQ_ECO_METRIC_8278">"c8278"</definedName>
    <definedName name="IQ_ECO_METRIC_8279">"c8279"</definedName>
    <definedName name="IQ_ECO_METRIC_8280">"c8280"</definedName>
    <definedName name="IQ_ECO_METRIC_8282">"c8282"</definedName>
    <definedName name="IQ_ECO_METRIC_8283">"c8283"</definedName>
    <definedName name="IQ_ECO_METRIC_8284">"c8284"</definedName>
    <definedName name="IQ_ECO_METRIC_8285">"c8285"</definedName>
    <definedName name="IQ_ECO_METRIC_8286">"c8286"</definedName>
    <definedName name="IQ_ECO_METRIC_8287">"c8287"</definedName>
    <definedName name="IQ_ECO_METRIC_8288">"c8288"</definedName>
    <definedName name="IQ_ECO_METRIC_8289">"c8289"</definedName>
    <definedName name="IQ_ECO_METRIC_8290">"c8290"</definedName>
    <definedName name="IQ_ECO_METRIC_8291">"c8291"</definedName>
    <definedName name="IQ_ECO_METRIC_8292">"c8292"</definedName>
    <definedName name="IQ_ECO_METRIC_8293">"c8293"</definedName>
    <definedName name="IQ_ECO_METRIC_8294">"c8294"</definedName>
    <definedName name="IQ_ECO_METRIC_8295">"c8295"</definedName>
    <definedName name="IQ_ECO_METRIC_8296">"c8296"</definedName>
    <definedName name="IQ_ECO_METRIC_8297">"c8297"</definedName>
    <definedName name="IQ_ECO_METRIC_8298">"c8298"</definedName>
    <definedName name="IQ_ECO_METRIC_8299">"c8299"</definedName>
    <definedName name="IQ_ECO_METRIC_8300">"c8300"</definedName>
    <definedName name="IQ_ECO_METRIC_8301">"c8301"</definedName>
    <definedName name="IQ_ECO_METRIC_8302">"c8302"</definedName>
    <definedName name="IQ_ECO_METRIC_8303">"c8303"</definedName>
    <definedName name="IQ_ECO_METRIC_8304">"c8304"</definedName>
    <definedName name="IQ_ECO_METRIC_8305">"c8305"</definedName>
    <definedName name="IQ_ECO_METRIC_8306">"c8306"</definedName>
    <definedName name="IQ_ECO_METRIC_8307">"c8307"</definedName>
    <definedName name="IQ_ECO_METRIC_8308">"c8308"</definedName>
    <definedName name="IQ_ECO_METRIC_8308_UNUSED_UNUSED_UNUSED">"c8308"</definedName>
    <definedName name="IQ_ECO_METRIC_8309">"c8309"</definedName>
    <definedName name="IQ_ECO_METRIC_8310">"c8310"</definedName>
    <definedName name="IQ_ECO_METRIC_8311">"c8311"</definedName>
    <definedName name="IQ_ECO_METRIC_8312">"c8312"</definedName>
    <definedName name="IQ_ECO_METRIC_8314">"c8314"</definedName>
    <definedName name="IQ_ECO_METRIC_8315">"c8315"</definedName>
    <definedName name="IQ_ECO_METRIC_8316">"c8316"</definedName>
    <definedName name="IQ_ECO_METRIC_8317">"c8317"</definedName>
    <definedName name="IQ_ECO_METRIC_8318">"c8318"</definedName>
    <definedName name="IQ_ECO_METRIC_8320">"c8320"</definedName>
    <definedName name="IQ_ECO_METRIC_8321">"c8321"</definedName>
    <definedName name="IQ_ECO_METRIC_8322">"c8322"</definedName>
    <definedName name="IQ_ECO_METRIC_8323">"c8323"</definedName>
    <definedName name="IQ_ECO_METRIC_8324">"c8324"</definedName>
    <definedName name="IQ_ECO_METRIC_8325">"c8325"</definedName>
    <definedName name="IQ_ECO_METRIC_8326">"c8326"</definedName>
    <definedName name="IQ_ECO_METRIC_8327">"c8327"</definedName>
    <definedName name="IQ_ECO_METRIC_8328">"c8328"</definedName>
    <definedName name="IQ_ECO_METRIC_8329">"c8329"</definedName>
    <definedName name="IQ_ECO_METRIC_8330">"c8330"</definedName>
    <definedName name="IQ_ECO_METRIC_8331">"c8331"</definedName>
    <definedName name="IQ_ECO_METRIC_8332">"c8332"</definedName>
    <definedName name="IQ_ECO_METRIC_8333">"c8333"</definedName>
    <definedName name="IQ_ECO_METRIC_8335">"c8335"</definedName>
    <definedName name="IQ_ECO_METRIC_8336">"c8336"</definedName>
    <definedName name="IQ_ECO_METRIC_8337">"c8337"</definedName>
    <definedName name="IQ_ECO_METRIC_8338">"c8338"</definedName>
    <definedName name="IQ_ECO_METRIC_8339">"c8339"</definedName>
    <definedName name="IQ_ECO_METRIC_8340">"c8340"</definedName>
    <definedName name="IQ_ECO_METRIC_8341">"c8341"</definedName>
    <definedName name="IQ_ECO_METRIC_8343">"c8343"</definedName>
    <definedName name="IQ_ECO_METRIC_8344">"c8344"</definedName>
    <definedName name="IQ_ECO_METRIC_8345">"c8345"</definedName>
    <definedName name="IQ_ECO_METRIC_8346">"c8346"</definedName>
    <definedName name="IQ_ECO_METRIC_8347">"c8347"</definedName>
    <definedName name="IQ_ECO_METRIC_8348">"c8348"</definedName>
    <definedName name="IQ_ECO_METRIC_8349">"c8349"</definedName>
    <definedName name="IQ_ECO_METRIC_8350">"c8350"</definedName>
    <definedName name="IQ_ECO_METRIC_8352">"c8352"</definedName>
    <definedName name="IQ_ECO_METRIC_8353">"c8353"</definedName>
    <definedName name="IQ_ECO_METRIC_8354">"c8354"</definedName>
    <definedName name="IQ_ECO_METRIC_8355">"c8355"</definedName>
    <definedName name="IQ_ECO_METRIC_8356">"c8356"</definedName>
    <definedName name="IQ_ECO_METRIC_8357">"c8357"</definedName>
    <definedName name="IQ_ECO_METRIC_8358">"c8358"</definedName>
    <definedName name="IQ_ECO_METRIC_8359">"c8359"</definedName>
    <definedName name="IQ_ECO_METRIC_8360">"c8360"</definedName>
    <definedName name="IQ_ECO_METRIC_8361">"c8361"</definedName>
    <definedName name="IQ_ECO_METRIC_8362">"c8362"</definedName>
    <definedName name="IQ_ECO_METRIC_8363">"c8363"</definedName>
    <definedName name="IQ_ECO_METRIC_8367">"c8367"</definedName>
    <definedName name="IQ_ECO_METRIC_8368">"c8368"</definedName>
    <definedName name="IQ_ECO_METRIC_8369">"c8369"</definedName>
    <definedName name="IQ_ECO_METRIC_8370">"c8370"</definedName>
    <definedName name="IQ_ECO_METRIC_8371">"c8371"</definedName>
    <definedName name="IQ_ECO_METRIC_8372">"c8372"</definedName>
    <definedName name="IQ_ECO_METRIC_8373">"c8373"</definedName>
    <definedName name="IQ_ECO_METRIC_8374">"c8374"</definedName>
    <definedName name="IQ_ECO_METRIC_8375">"c8375"</definedName>
    <definedName name="IQ_ECO_METRIC_8376">"c8376"</definedName>
    <definedName name="IQ_ECO_METRIC_8377">"c8377"</definedName>
    <definedName name="IQ_ECO_METRIC_8380">"c8380"</definedName>
    <definedName name="IQ_ECO_METRIC_8381">"c8381"</definedName>
    <definedName name="IQ_ECO_METRIC_8382">"c8382"</definedName>
    <definedName name="IQ_ECO_METRIC_8383">"c8383"</definedName>
    <definedName name="IQ_ECO_METRIC_8384">"c8384"</definedName>
    <definedName name="IQ_ECO_METRIC_8385">"c8385"</definedName>
    <definedName name="IQ_ECO_METRIC_8387">"c8387"</definedName>
    <definedName name="IQ_ECO_METRIC_8388">"c8388"</definedName>
    <definedName name="IQ_ECO_METRIC_8389">"c8389"</definedName>
    <definedName name="IQ_ECO_METRIC_8390">"c8390"</definedName>
    <definedName name="IQ_ECO_METRIC_8391">"c8391"</definedName>
    <definedName name="IQ_ECO_METRIC_8392">"c8392"</definedName>
    <definedName name="IQ_ECO_METRIC_8393">"c8393"</definedName>
    <definedName name="IQ_ECO_METRIC_8394">"c8394"</definedName>
    <definedName name="IQ_ECO_METRIC_8395">"c8395"</definedName>
    <definedName name="IQ_ECO_METRIC_8396">"c8396"</definedName>
    <definedName name="IQ_ECO_METRIC_8397">"c8397"</definedName>
    <definedName name="IQ_ECO_METRIC_8398">"c8398"</definedName>
    <definedName name="IQ_ECO_METRIC_8399">"c8399"</definedName>
    <definedName name="IQ_ECO_METRIC_8400">"c8400"</definedName>
    <definedName name="IQ_ECO_METRIC_8401">"c8401"</definedName>
    <definedName name="IQ_ECO_METRIC_8402">"c8402"</definedName>
    <definedName name="IQ_ECO_METRIC_8403">"c8403"</definedName>
    <definedName name="IQ_ECO_METRIC_8404">"c8404"</definedName>
    <definedName name="IQ_ECO_METRIC_8405">"c8405"</definedName>
    <definedName name="IQ_ECO_METRIC_8406">"c8406"</definedName>
    <definedName name="IQ_ECO_METRIC_8407">"c8407"</definedName>
    <definedName name="IQ_ECO_METRIC_8408">"c8408"</definedName>
    <definedName name="IQ_ECO_METRIC_8409">"c8409"</definedName>
    <definedName name="IQ_ECO_METRIC_8410">"c8410"</definedName>
    <definedName name="IQ_ECO_METRIC_8411">"c8411"</definedName>
    <definedName name="IQ_ECO_METRIC_8412">"c8412"</definedName>
    <definedName name="IQ_ECO_METRIC_8413">"c8413"</definedName>
    <definedName name="IQ_ECO_METRIC_8414">"c8414"</definedName>
    <definedName name="IQ_ECO_METRIC_8415">"c8415"</definedName>
    <definedName name="IQ_ECO_METRIC_8416">"c8416"</definedName>
    <definedName name="IQ_ECO_METRIC_8417">"c8417"</definedName>
    <definedName name="IQ_ECO_METRIC_8418">"c8418"</definedName>
    <definedName name="IQ_ECO_METRIC_8419">"c8419"</definedName>
    <definedName name="IQ_ECO_METRIC_8420">"c8420"</definedName>
    <definedName name="IQ_ECO_METRIC_8421">"c8421"</definedName>
    <definedName name="IQ_ECO_METRIC_8422">"c8422"</definedName>
    <definedName name="IQ_ECO_METRIC_8423">"c8423"</definedName>
    <definedName name="IQ_ECO_METRIC_8424">"c8424"</definedName>
    <definedName name="IQ_ECO_METRIC_8425">"c8425"</definedName>
    <definedName name="IQ_ECO_METRIC_8426">"c8426"</definedName>
    <definedName name="IQ_ECO_METRIC_8427">"c8427"</definedName>
    <definedName name="IQ_ECO_METRIC_8428">"c8428"</definedName>
    <definedName name="IQ_ECO_METRIC_8429">"c8429"</definedName>
    <definedName name="IQ_ECO_METRIC_8430">"c8430"</definedName>
    <definedName name="IQ_ECO_METRIC_8431">"c8431"</definedName>
    <definedName name="IQ_ECO_METRIC_8432">"c8432"</definedName>
    <definedName name="IQ_ECO_METRIC_8433">"c8433"</definedName>
    <definedName name="IQ_ECO_METRIC_8434">"c8434"</definedName>
    <definedName name="IQ_ECO_METRIC_8435">"c8435"</definedName>
    <definedName name="IQ_ECO_METRIC_8436">"c8436"</definedName>
    <definedName name="IQ_ECO_METRIC_8436_UNUSED_UNUSED_UNUSED">"c8436"</definedName>
    <definedName name="IQ_ECO_METRIC_8437">"c8437"</definedName>
    <definedName name="IQ_ECO_METRIC_8437_UNUSED_UNUSED_UNUSED">"c8437"</definedName>
    <definedName name="IQ_ECO_METRIC_8440">"c8440"</definedName>
    <definedName name="IQ_ECO_METRIC_8441">"c8441"</definedName>
    <definedName name="IQ_ECO_METRIC_8442">"c8442"</definedName>
    <definedName name="IQ_ECO_METRIC_8443">"c8443"</definedName>
    <definedName name="IQ_ECO_METRIC_8444">"c8444"</definedName>
    <definedName name="IQ_ECO_METRIC_8445">"c8445"</definedName>
    <definedName name="IQ_ECO_METRIC_8446">"c8446"</definedName>
    <definedName name="IQ_ECO_METRIC_8447">"c8447"</definedName>
    <definedName name="IQ_ECO_METRIC_8448">"c8448"</definedName>
    <definedName name="IQ_ECO_METRIC_8450">"c8450"</definedName>
    <definedName name="IQ_ECO_METRIC_8451">"c8451"</definedName>
    <definedName name="IQ_ECO_METRIC_8452">"c8452"</definedName>
    <definedName name="IQ_ECO_METRIC_8453">"c8453"</definedName>
    <definedName name="IQ_ECO_METRIC_8454">"c8454"</definedName>
    <definedName name="IQ_ECO_METRIC_8455">"c8455"</definedName>
    <definedName name="IQ_ECO_METRIC_8456">"c8456"</definedName>
    <definedName name="IQ_ECO_METRIC_8457">"c8457"</definedName>
    <definedName name="IQ_ECO_METRIC_8458">"c8458"</definedName>
    <definedName name="IQ_ECO_METRIC_8459">"c8459"</definedName>
    <definedName name="IQ_ECO_METRIC_8460">"c8460"</definedName>
    <definedName name="IQ_ECO_METRIC_8461">"c8461"</definedName>
    <definedName name="IQ_ECO_METRIC_8462">"c8462"</definedName>
    <definedName name="IQ_ECO_METRIC_8463">"c8463"</definedName>
    <definedName name="IQ_ECO_METRIC_8464">"c8464"</definedName>
    <definedName name="IQ_ECO_METRIC_8465">"c8465"</definedName>
    <definedName name="IQ_ECO_METRIC_8466">"c8466"</definedName>
    <definedName name="IQ_ECO_METRIC_8468">"c8468"</definedName>
    <definedName name="IQ_ECO_METRIC_8469">"c8469"</definedName>
    <definedName name="IQ_ECO_METRIC_8470">"c8470"</definedName>
    <definedName name="IQ_ECO_METRIC_8472">"c8472"</definedName>
    <definedName name="IQ_ECO_METRIC_8473">"c8473"</definedName>
    <definedName name="IQ_ECO_METRIC_8474">"c8474"</definedName>
    <definedName name="IQ_ECO_METRIC_8476">"c8476"</definedName>
    <definedName name="IQ_ECO_METRIC_8477">"c8477"</definedName>
    <definedName name="IQ_ECO_METRIC_8478">"c8478"</definedName>
    <definedName name="IQ_ECO_METRIC_8479">"c8479"</definedName>
    <definedName name="IQ_ECO_METRIC_8480">"c8480"</definedName>
    <definedName name="IQ_ECO_METRIC_8481">"c8481"</definedName>
    <definedName name="IQ_ECO_METRIC_8482">"c8482"</definedName>
    <definedName name="IQ_ECO_METRIC_8483">"c8483"</definedName>
    <definedName name="IQ_ECO_METRIC_8484">"c8484"</definedName>
    <definedName name="IQ_ECO_METRIC_8485">"c8485"</definedName>
    <definedName name="IQ_ECO_METRIC_8486">"c8486"</definedName>
    <definedName name="IQ_ECO_METRIC_8487">"c8487"</definedName>
    <definedName name="IQ_ECO_METRIC_8488">"c8488"</definedName>
    <definedName name="IQ_ECO_METRIC_8489">"c8489"</definedName>
    <definedName name="IQ_ECO_METRIC_8490">"c8490"</definedName>
    <definedName name="IQ_ECO_METRIC_8491">"c8491"</definedName>
    <definedName name="IQ_ECO_METRIC_8492">"c8492"</definedName>
    <definedName name="IQ_ECO_METRIC_8493">"c8493"</definedName>
    <definedName name="IQ_ECO_METRIC_8494">"c8494"</definedName>
    <definedName name="IQ_ECO_METRIC_8495">"c8495"</definedName>
    <definedName name="IQ_ECO_METRIC_8496">"c8496"</definedName>
    <definedName name="IQ_ECO_METRIC_8497">"c8497"</definedName>
    <definedName name="IQ_ECO_METRIC_8498">"c8498"</definedName>
    <definedName name="IQ_ECO_METRIC_8499">"c8499"</definedName>
    <definedName name="IQ_ECO_METRIC_8500">"c8500"</definedName>
    <definedName name="IQ_ECO_METRIC_8502">"c8502"</definedName>
    <definedName name="IQ_ECO_METRIC_8503">"c8503"</definedName>
    <definedName name="IQ_ECO_METRIC_8504">"c8504"</definedName>
    <definedName name="IQ_ECO_METRIC_8505">"c8505"</definedName>
    <definedName name="IQ_ECO_METRIC_8506">"c8506"</definedName>
    <definedName name="IQ_ECO_METRIC_8507">"c8507"</definedName>
    <definedName name="IQ_ECO_METRIC_8508">"c8508"</definedName>
    <definedName name="IQ_ECO_METRIC_8509">"c8509"</definedName>
    <definedName name="IQ_ECO_METRIC_8510">"c8510"</definedName>
    <definedName name="IQ_ECO_METRIC_8511">"c8511"</definedName>
    <definedName name="IQ_ECO_METRIC_8512">"c8512"</definedName>
    <definedName name="IQ_ECO_METRIC_8513">"c8513"</definedName>
    <definedName name="IQ_ECO_METRIC_8514">"c8514"</definedName>
    <definedName name="IQ_ECO_METRIC_8515">"c8515"</definedName>
    <definedName name="IQ_ECO_METRIC_8516">"c8516"</definedName>
    <definedName name="IQ_ECO_METRIC_8517">"c8517"</definedName>
    <definedName name="IQ_ECO_METRIC_8518">"c8518"</definedName>
    <definedName name="IQ_ECO_METRIC_8519">"c8519"</definedName>
    <definedName name="IQ_ECO_METRIC_8520">"c8520"</definedName>
    <definedName name="IQ_ECO_METRIC_8521">"c8521"</definedName>
    <definedName name="IQ_ECO_METRIC_8522">"c8522"</definedName>
    <definedName name="IQ_ECO_METRIC_8523">"c8523"</definedName>
    <definedName name="IQ_ECO_METRIC_8524">"c8524"</definedName>
    <definedName name="IQ_ECO_METRIC_8525">"c8525"</definedName>
    <definedName name="IQ_ECO_METRIC_8526">"c8526"</definedName>
    <definedName name="IQ_ECO_METRIC_8527">"c8527"</definedName>
    <definedName name="IQ_ECO_METRIC_8528">"c8528"</definedName>
    <definedName name="IQ_ECO_METRIC_8528_UNUSED_UNUSED_UNUSED">"c8528"</definedName>
    <definedName name="IQ_ECO_METRIC_8529">"c8529"</definedName>
    <definedName name="IQ_ECO_METRIC_8530">"c8530"</definedName>
    <definedName name="IQ_ECO_METRIC_8531">"c8531"</definedName>
    <definedName name="IQ_ECO_METRIC_8532">"c8532"</definedName>
    <definedName name="IQ_ECO_METRIC_8534">"c8534"</definedName>
    <definedName name="IQ_ECO_METRIC_8535">"c8535"</definedName>
    <definedName name="IQ_ECO_METRIC_8536">"c8536"</definedName>
    <definedName name="IQ_ECO_METRIC_8537">"c8537"</definedName>
    <definedName name="IQ_ECO_METRIC_8538">"c8538"</definedName>
    <definedName name="IQ_ECO_METRIC_8540">"c8540"</definedName>
    <definedName name="IQ_ECO_METRIC_8541">"c8541"</definedName>
    <definedName name="IQ_ECO_METRIC_8543">"c8543"</definedName>
    <definedName name="IQ_ECO_METRIC_8544">"c8544"</definedName>
    <definedName name="IQ_ECO_METRIC_8545">"c8545"</definedName>
    <definedName name="IQ_ECO_METRIC_8546">"c8546"</definedName>
    <definedName name="IQ_ECO_METRIC_8547">"c8547"</definedName>
    <definedName name="IQ_ECO_METRIC_8548">"c8548"</definedName>
    <definedName name="IQ_ECO_METRIC_8549">"c8549"</definedName>
    <definedName name="IQ_ECO_METRIC_8550">"c8550"</definedName>
    <definedName name="IQ_ECO_METRIC_8555">"c8555"</definedName>
    <definedName name="IQ_ECO_METRIC_8556">"c8556"</definedName>
    <definedName name="IQ_ECO_METRIC_8557">"c8557"</definedName>
    <definedName name="IQ_ECO_METRIC_8558">"c8558"</definedName>
    <definedName name="IQ_ECO_METRIC_8559">"c8559"</definedName>
    <definedName name="IQ_ECO_METRIC_8560">"c8560"</definedName>
    <definedName name="IQ_ECO_METRIC_8561">"c8561"</definedName>
    <definedName name="IQ_ECO_METRIC_8565">"c8565"</definedName>
    <definedName name="IQ_ECO_METRIC_8567">"c8567"</definedName>
    <definedName name="IQ_ECO_METRIC_8568">"c8568"</definedName>
    <definedName name="IQ_ECO_METRIC_8569">"c8569"</definedName>
    <definedName name="IQ_EFFECT_TAX_RATE" hidden="1">"c1899"</definedName>
    <definedName name="IQ_EFFICIENCY_RATIO_FDIC">"c6736"</definedName>
    <definedName name="IQ_ENTERPRISE_VALUE_1">"c84"</definedName>
    <definedName name="IQ_ENTITLEMENT_DET_EST_REUT">"c12136"</definedName>
    <definedName name="IQ_EPS">"IQ_EPS"</definedName>
    <definedName name="IQ_EPS_10K">"IQ_EPS_10K"</definedName>
    <definedName name="IQ_EPS_10Q">"IQ_EPS_10Q"</definedName>
    <definedName name="IQ_EPS_10Q1">"IQ_EPS_10Q1"</definedName>
    <definedName name="IQ_EPS_ACT_OR_EST" hidden="1">"c2213"</definedName>
    <definedName name="IQ_EPS_ACT_OR_EST_REUT">"c5460"</definedName>
    <definedName name="IQ_EPS_DET_EST_CURRENCY_REUT">"c13584"</definedName>
    <definedName name="IQ_EPS_DET_EST_DATE_REUT">"c13576"</definedName>
    <definedName name="IQ_EPS_DET_EST_INCL_REUT">"c13588"</definedName>
    <definedName name="IQ_EPS_DET_EST_ORIGIN_REUT">"c13580"</definedName>
    <definedName name="IQ_EPS_DET_EST_REUT">"c13572"</definedName>
    <definedName name="IQ_EPS_EST_1">"IQ_EPS_EST_1"</definedName>
    <definedName name="IQ_EPS_EST_BOTTOM_UP_REUT">"c5497"</definedName>
    <definedName name="IQ_EPS_EST_REUT">"c5453"</definedName>
    <definedName name="IQ_EPS_GW_ACT_OR_EST_REUT">"c5469"</definedName>
    <definedName name="IQ_EPS_GW_DET_EST_CURRENCY_REUT">"c12533"</definedName>
    <definedName name="IQ_EPS_GW_DET_EST_DATE_REUT">"c12292"</definedName>
    <definedName name="IQ_EPS_GW_DET_EST_INCL_REUT">"c12416"</definedName>
    <definedName name="IQ_EPS_GW_DET_EST_ORIGIN_REUT">"c12660"</definedName>
    <definedName name="IQ_EPS_GW_DET_EST_REUT">"c12150"</definedName>
    <definedName name="IQ_EPS_GW_EST_BOTTOM_UP_REUT">"c5499"</definedName>
    <definedName name="IQ_EPS_GW_EST_REUT">"c5389"</definedName>
    <definedName name="IQ_EPS_GW_HIGH_EST_REUT">"c5391"</definedName>
    <definedName name="IQ_EPS_GW_LOW_EST_REUT">"c5392"</definedName>
    <definedName name="IQ_EPS_GW_MEDIAN_EST_REUT">"c5390"</definedName>
    <definedName name="IQ_EPS_GW_NUM_EST_REUT">"c5393"</definedName>
    <definedName name="IQ_EPS_GW_STDDEV_EST_REUT">"c5394"</definedName>
    <definedName name="IQ_EPS_HIGH_EST_REUT">"c5454"</definedName>
    <definedName name="IQ_EPS_LOW_EST_REUT">"c5455"</definedName>
    <definedName name="IQ_EPS_MEDIAN_EST" hidden="1">"c1661"</definedName>
    <definedName name="IQ_EPS_MEDIAN_EST_REUT">"c5456"</definedName>
    <definedName name="IQ_EPS_NO_EST">"c271"</definedName>
    <definedName name="IQ_EPS_NORM" hidden="1">"c1902"</definedName>
    <definedName name="IQ_EPS_NORM_DET_EST_CURRENCY_REUT">"c12535"</definedName>
    <definedName name="IQ_EPS_NORM_DET_EST_DATE_REUT">"c12294"</definedName>
    <definedName name="IQ_EPS_NORM_DET_EST_INCL_REUT">"c12418"</definedName>
    <definedName name="IQ_EPS_NORM_DET_EST_ORIGIN_REUT">"c12662"</definedName>
    <definedName name="IQ_EPS_NORM_DET_EST_REUT">"c12152"</definedName>
    <definedName name="IQ_EPS_NORM_EST_BOTTOM_UP_REUT">"c5498"</definedName>
    <definedName name="IQ_EPS_NORM_EST_REUT">"c5326"</definedName>
    <definedName name="IQ_EPS_NORM_HIGH_EST_REUT">"c5328"</definedName>
    <definedName name="IQ_EPS_NORM_LOW_EST_REUT">"c5329"</definedName>
    <definedName name="IQ_EPS_NORM_MEDIAN_EST_REUT">"c5327"</definedName>
    <definedName name="IQ_EPS_NORM_NUM_EST_REUT">"c5330"</definedName>
    <definedName name="IQ_EPS_NORM_STDDEV_EST_REUT">"c5331"</definedName>
    <definedName name="IQ_EPS_NUM_EST_REUT">"c5451"</definedName>
    <definedName name="IQ_EPS_PRIMARY_EST">"c2226"</definedName>
    <definedName name="IQ_EPS_PRIMARY_HIGH_EST">"c2228"</definedName>
    <definedName name="IQ_EPS_PRIMARY_LOW_EST">"c2229"</definedName>
    <definedName name="IQ_EPS_PRIMARY_MEDIAN_EST">"c2227"</definedName>
    <definedName name="IQ_EPS_PRIMARY_NUM_EST">"c2230"</definedName>
    <definedName name="IQ_EPS_PRIMARY_STDDEV_EST">"c2231"</definedName>
    <definedName name="IQ_EPS_REPORT_ACT_OR_EST_REUT">"c5470"</definedName>
    <definedName name="IQ_EPS_REPORTED_DET_EST_CURRENCY_REUT">"c12534"</definedName>
    <definedName name="IQ_EPS_REPORTED_DET_EST_DATE_REUT">"c12293"</definedName>
    <definedName name="IQ_EPS_REPORTED_DET_EST_INCL_REUT">"c12417"</definedName>
    <definedName name="IQ_EPS_REPORTED_DET_EST_ORIGIN_REUT">"c12661"</definedName>
    <definedName name="IQ_EPS_REPORTED_DET_EST_REUT">"c12151"</definedName>
    <definedName name="IQ_EPS_REPORTED_EST_BOTTOM_UP_REUT">"c5500"</definedName>
    <definedName name="IQ_EPS_REPORTED_EST_REUT">"c5396"</definedName>
    <definedName name="IQ_EPS_REPORTED_HIGH_EST_REUT">"c5398"</definedName>
    <definedName name="IQ_EPS_REPORTED_LOW_EST_REUT">"c5399"</definedName>
    <definedName name="IQ_EPS_REPORTED_MEDIAN_EST_REUT">"c5397"</definedName>
    <definedName name="IQ_EPS_REPORTED_NUM_EST_REUT">"c5400"</definedName>
    <definedName name="IQ_EPS_REPORTED_STDDEV_EST_REUT">"c5401"</definedName>
    <definedName name="IQ_EPS_STDDEV_EST_REUT">"c5452"</definedName>
    <definedName name="IQ_EQUITY_AFFIL_1">"c552"</definedName>
    <definedName name="IQ_EQUITY_CAPITAL_ASSETS_FDIC">"c6744"</definedName>
    <definedName name="IQ_EQUITY_FDIC">"c6353"</definedName>
    <definedName name="IQ_EQUITY_SECURITIES_FDIC">"c6304"</definedName>
    <definedName name="IQ_EQUITY_SECURITY_EXPOSURES_FDIC">"c6664"</definedName>
    <definedName name="IQ_EQV_OVER_LTM_PRETAX_INC_1">"c739"</definedName>
    <definedName name="IQ_EST_ACT_BV_REUT">"c5409"</definedName>
    <definedName name="IQ_EST_ACT_BV_SHARE_REUT">"c5445"</definedName>
    <definedName name="IQ_EST_ACT_BV_THOM">"c5153"</definedName>
    <definedName name="IQ_EST_ACT_CAPEX_REUT">"c3975"</definedName>
    <definedName name="IQ_EST_ACT_CFPS_REUT">"c3850"</definedName>
    <definedName name="IQ_EST_ACT_DPS_REUT">"c3857"</definedName>
    <definedName name="IQ_EST_ACT_EBIT_REUT">"c5339"</definedName>
    <definedName name="IQ_EST_ACT_EBITDA_REUT">"c3836"</definedName>
    <definedName name="IQ_EST_ACT_EPS_GW_REUT">"c5395"</definedName>
    <definedName name="IQ_EST_ACT_EPS_NORM_REUT">"c5332"</definedName>
    <definedName name="IQ_EST_ACT_EPS_PRIMARY">"c2232"</definedName>
    <definedName name="IQ_EST_ACT_EPS_REPORTED_REUT">"c5402"</definedName>
    <definedName name="IQ_EST_ACT_EPS_REUT">"c5457"</definedName>
    <definedName name="IQ_EST_ACT_FFO_CIQ_1">"c4932"</definedName>
    <definedName name="IQ_EST_ACT_FFO_REUT">"c3843"</definedName>
    <definedName name="IQ_EST_ACT_FFO_SHARE_CIQ_1">"c3674"</definedName>
    <definedName name="IQ_EST_ACT_FFO_SHARE_REUT">"c3843"</definedName>
    <definedName name="IQ_EST_ACT_FFO_SHARE_SHARE_REUT">"c3843"</definedName>
    <definedName name="IQ_EST_ACT_FFO_SHARE_SHARE_THOM">"c4005"</definedName>
    <definedName name="IQ_EST_ACT_FFO_THOM">"c4005"</definedName>
    <definedName name="IQ_EST_ACT_NAV_SHARE_REUT">"c5616"</definedName>
    <definedName name="IQ_EST_ACT_NET_DEBT_REUT">"c5446"</definedName>
    <definedName name="IQ_EST_ACT_NI_GW_REUT">"c5381"</definedName>
    <definedName name="IQ_EST_ACT_NI_GW_THOM">"c5139"</definedName>
    <definedName name="IQ_EST_ACT_NI_REPORTED_REUT">"c5388"</definedName>
    <definedName name="IQ_EST_ACT_NI_REUT">"c5374"</definedName>
    <definedName name="IQ_EST_ACT_OPER_INC_REUT">"c5346"</definedName>
    <definedName name="IQ_EST_ACT_PRETAX_GW_INC_REUT">"c5360"</definedName>
    <definedName name="IQ_EST_ACT_PRETAX_INC_REUT">"c5353"</definedName>
    <definedName name="IQ_EST_ACT_PRETAX_REPORT_INC_REUT">"c5367"</definedName>
    <definedName name="IQ_EST_ACT_RETURN_ASSETS_REUT">"c3996"</definedName>
    <definedName name="IQ_EST_ACT_RETURN_EQUITY_REUT">"c3989"</definedName>
    <definedName name="IQ_EST_ACT_REV_REUT">"c3835"</definedName>
    <definedName name="IQ_EST_BV_DIFF_CIQ">"c4765"</definedName>
    <definedName name="IQ_EST_BV_DIFF_REUT">"c5433"</definedName>
    <definedName name="IQ_EST_BV_DIFF_THOM">"c5204"</definedName>
    <definedName name="IQ_EST_BV_SURPRISE_PERCENT_CIQ">"c4766"</definedName>
    <definedName name="IQ_EST_BV_SURPRISE_PERCENT_REUT">"c5434"</definedName>
    <definedName name="IQ_EST_BV_SURPRISE_PERCENT_THOM">"c5205"</definedName>
    <definedName name="IQ_EST_CAPEX_GROWTH_1YR_REUT">"c5447"</definedName>
    <definedName name="IQ_EST_CAPEX_GROWTH_2YR_REUT">"c5448"</definedName>
    <definedName name="IQ_EST_CAPEX_GROWTH_Q_1YR_REUT">"c5449"</definedName>
    <definedName name="IQ_EST_CAPEX_SEQ_GROWTH_Q_REUT">"c5450"</definedName>
    <definedName name="IQ_EST_CFPS_DIFF_REUT">"c3892"</definedName>
    <definedName name="IQ_EST_CFPS_GROWTH_1YR_REUT">"c3878"</definedName>
    <definedName name="IQ_EST_CFPS_GROWTH_2YR_REUT">"c3879"</definedName>
    <definedName name="IQ_EST_CFPS_GROWTH_Q_1YR_REUT">"c3880"</definedName>
    <definedName name="IQ_EST_CFPS_SEQ_GROWTH_Q_REUT">"c3881"</definedName>
    <definedName name="IQ_EST_CFPS_SURPRISE_PERCENT_REUT">"c3893"</definedName>
    <definedName name="IQ_EST_CURRENCY" hidden="1">"c2140"</definedName>
    <definedName name="IQ_EST_CURRENCY_REUT">"c5437"</definedName>
    <definedName name="IQ_EST_DATE_REUT">"c5438"</definedName>
    <definedName name="IQ_EST_DPS_DIFF_REUT">"c3894"</definedName>
    <definedName name="IQ_EST_DPS_GROWTH_1YR_REUT">"c3882"</definedName>
    <definedName name="IQ_EST_DPS_GROWTH_2YR_REUT">"c3883"</definedName>
    <definedName name="IQ_EST_DPS_GROWTH_Q_1YR_REUT">"c3884"</definedName>
    <definedName name="IQ_EST_DPS_SEQ_GROWTH_Q_REUT">"c3885"</definedName>
    <definedName name="IQ_EST_DPS_SURPRISE_PERCENT_REUT">"c3895"</definedName>
    <definedName name="IQ_EST_EBIT_DIFF_REUT">"c5413"</definedName>
    <definedName name="IQ_EST_EBIT_SURPRISE_PERCENT_REUT">"c5414"</definedName>
    <definedName name="IQ_EST_EBITDA_DIFF_REUT">"c3888"</definedName>
    <definedName name="IQ_EST_EBITDA_GROWTH_1YR_REUT">"c3864"</definedName>
    <definedName name="IQ_EST_EBITDA_GROWTH_2YR_REUT">"c3865"</definedName>
    <definedName name="IQ_EST_EBITDA_GROWTH_Q_1YR_REUT">"c3866"</definedName>
    <definedName name="IQ_EST_EBITDA_SEQ_GROWTH_Q_REUT">"c3867"</definedName>
    <definedName name="IQ_EST_EBITDA_SURPRISE_PERCENT_REUT">"c3889"</definedName>
    <definedName name="IQ_EST_EPS_DIFF" hidden="1">"c1864"</definedName>
    <definedName name="IQ_EST_EPS_DIFF_REUT">"c5458"</definedName>
    <definedName name="IQ_EST_EPS_GROWTH_1YR_REUT">"c3646"</definedName>
    <definedName name="IQ_EST_EPS_GROWTH_2YR_REUT">"c3858"</definedName>
    <definedName name="IQ_EST_EPS_GROWTH_5YR" hidden="1">"c1655"</definedName>
    <definedName name="IQ_EST_EPS_GROWTH_5YR_BOTTOM_UP_REUT">"c5495"</definedName>
    <definedName name="IQ_EST_EPS_GROWTH_5YR_HIGH_REUT">"c5322"</definedName>
    <definedName name="IQ_EST_EPS_GROWTH_5YR_LOW_REUT">"c5323"</definedName>
    <definedName name="IQ_EST_EPS_GROWTH_5YR_MEDIAN_REUT">"c5321"</definedName>
    <definedName name="IQ_EST_EPS_GROWTH_5YR_NUM_REUT">"c5324"</definedName>
    <definedName name="IQ_EST_EPS_GROWTH_5YR_REUT">"c3633"</definedName>
    <definedName name="IQ_EST_EPS_GROWTH_5YR_STDDEV_REUT">"c5325"</definedName>
    <definedName name="IQ_EST_EPS_GROWTH_Q_1YR_REUT">"c5410"</definedName>
    <definedName name="IQ_EST_EPS_GW_DIFF_REUT">"c5429"</definedName>
    <definedName name="IQ_EST_EPS_GW_SURPRISE_PERCENT_REUT">"c5430"</definedName>
    <definedName name="IQ_EST_EPS_NORM_DIFF_REUT">"c5411"</definedName>
    <definedName name="IQ_EST_EPS_NORM_SURPRISE_PERCENT_REUT">"c5412"</definedName>
    <definedName name="IQ_EST_EPS_REPORT_DIFF_REUT">"c5431"</definedName>
    <definedName name="IQ_EST_EPS_REPORT_SURPRISE_PERCENT_REUT">"c5432"</definedName>
    <definedName name="IQ_EST_EPS_SEQ_GROWTH_Q_REUT">"c3859"</definedName>
    <definedName name="IQ_EST_EPS_SURPRISE">"c1635"</definedName>
    <definedName name="IQ_EST_EPS_SURPRISE_PERCENT_REUT">"c5459"</definedName>
    <definedName name="IQ_EST_FFO_DIFF_CIQ_1">"c4969"</definedName>
    <definedName name="IQ_EST_FFO_DIFF_REUT">"c3890"</definedName>
    <definedName name="IQ_EST_FFO_DIFF_THOM">"c5186"</definedName>
    <definedName name="IQ_EST_FFO_GROWTH_1YR_CIQ_1">"c4950"</definedName>
    <definedName name="IQ_EST_FFO_GROWTH_1YR_REUT">"c3874"</definedName>
    <definedName name="IQ_EST_FFO_GROWTH_2YR_CIQ_1">"c4951"</definedName>
    <definedName name="IQ_EST_FFO_GROWTH_2YR_REUT">"c3875"</definedName>
    <definedName name="IQ_EST_FFO_GROWTH_Q_1YR_CIQ_1">"c4952"</definedName>
    <definedName name="IQ_EST_FFO_GROWTH_Q_1YR_REUT">"c3876"</definedName>
    <definedName name="IQ_EST_FFO_SEQ_GROWTH_Q_CIQ_1">"c4953"</definedName>
    <definedName name="IQ_EST_FFO_SEQ_GROWTH_Q_REUT">"c3877"</definedName>
    <definedName name="IQ_EST_FFO_SHARE_DIFF_CIQ_1">"c3721"</definedName>
    <definedName name="IQ_EST_FFO_SHARE_DIFF_REUT">"c3890"</definedName>
    <definedName name="IQ_EST_FFO_SHARE_GROWTH_1YR_CIQ_1">"c3705"</definedName>
    <definedName name="IQ_EST_FFO_SHARE_GROWTH_2YR_CIQ_1">"c3706"</definedName>
    <definedName name="IQ_EST_FFO_SHARE_GROWTH_Q_1YR_CIQ_1">"c3707"</definedName>
    <definedName name="IQ_EST_FFO_SHARE_SEQ_GROWTH_Q_CIQ_1">"c3708"</definedName>
    <definedName name="IQ_EST_FFO_SHARE_SHARE_DIFF_REUT">"c3890"</definedName>
    <definedName name="IQ_EST_FFO_SHARE_SHARE_DIFF_THOM">"c5186"</definedName>
    <definedName name="IQ_EST_FFO_SHARE_SHARE_SURPRISE_PERCENT_REUT">"c3891"</definedName>
    <definedName name="IQ_EST_FFO_SHARE_SHARE_SURPRISE_PERCENT_THOM">"c5187"</definedName>
    <definedName name="IQ_EST_FFO_SHARE_SURPRISE_PERCENT_CIQ_1">"c3722"</definedName>
    <definedName name="IQ_EST_FFO_SHARE_SURPRISE_PERCENT_REUT">"c3891"</definedName>
    <definedName name="IQ_EST_FFO_SURPRISE_PERCENT_CIQ_1">"c4982"</definedName>
    <definedName name="IQ_EST_FFO_SURPRISE_PERCENT_REUT">"c3891"</definedName>
    <definedName name="IQ_EST_FFO_SURPRISE_PERCENT_THOM">"c5187"</definedName>
    <definedName name="IQ_EST_FOOTNOTE_REUT">"c5478"</definedName>
    <definedName name="IQ_EST_NAV_SURPRISE_PERCENT_1">"c1896"</definedName>
    <definedName name="IQ_EST_NI_DIFF_REUT">"c5423"</definedName>
    <definedName name="IQ_EST_NI_GW_DIFF_REUT">"c5425"</definedName>
    <definedName name="IQ_EST_NI_GW_DIFF_THOM">"c5200"</definedName>
    <definedName name="IQ_EST_NI_GW_SURPRISE_PERCENT_REUT">"c5426"</definedName>
    <definedName name="IQ_EST_NI_GW_SURPRISE_PERCENT_THOM">"c5201"</definedName>
    <definedName name="IQ_EST_NI_REPORT_DIFF_REUT">"c5427"</definedName>
    <definedName name="IQ_EST_NI_REPORT_SURPRISE_PERCENT_REUT">"c5428"</definedName>
    <definedName name="IQ_EST_NI_SURPRISE_PERCENT_REUT">"c5424"</definedName>
    <definedName name="IQ_EST_NUM_BUY_CIQ">"c3700"</definedName>
    <definedName name="IQ_EST_NUM_BUY_REUT">"c3869"</definedName>
    <definedName name="IQ_EST_NUM_BUY_THOM">"c5165"</definedName>
    <definedName name="IQ_EST_NUM_HIGH_REC_REUT">"c3870"</definedName>
    <definedName name="IQ_EST_NUM_HIGHEST_REC_REUT">"c3869"</definedName>
    <definedName name="IQ_EST_NUM_HOLD_CIQ">"c3702"</definedName>
    <definedName name="IQ_EST_NUM_HOLD_REUT">"c3871"</definedName>
    <definedName name="IQ_EST_NUM_HOLD_THOM">"c5167"</definedName>
    <definedName name="IQ_EST_NUM_LOW_REC_REUT">"c3872"</definedName>
    <definedName name="IQ_EST_NUM_LOWEST_REC_REUT">"c3873"</definedName>
    <definedName name="IQ_EST_NUM_NEUTRAL_REC_REUT">"c3871"</definedName>
    <definedName name="IQ_EST_NUM_NO_OPINION_REUT">"c3868"</definedName>
    <definedName name="IQ_EST_NUM_OUTPERFORM_CIQ">"c3701"</definedName>
    <definedName name="IQ_EST_NUM_OUTPERFORM_REUT">"c3870"</definedName>
    <definedName name="IQ_EST_NUM_OUTPERFORM_THOM">"c5166"</definedName>
    <definedName name="IQ_EST_NUM_SELL_CIQ">"c3704"</definedName>
    <definedName name="IQ_EST_NUM_SELL_REUT">"c3873"</definedName>
    <definedName name="IQ_EST_NUM_SELL_THOM">"c5169"</definedName>
    <definedName name="IQ_EST_NUM_UNDERPERFORM_CIQ">"c3703"</definedName>
    <definedName name="IQ_EST_NUM_UNDERPERFORM_REUT">"c3872"</definedName>
    <definedName name="IQ_EST_NUM_UNDERPERFORM_THOM">"c5168"</definedName>
    <definedName name="IQ_EST_OPER_INC_DIFF_REUT">"c5415"</definedName>
    <definedName name="IQ_EST_OPER_INC_SURPRISE_PERCENT_REUT">"c5416"</definedName>
    <definedName name="IQ_EST_PRE_TAX_DIFF_REUT">"c5417"</definedName>
    <definedName name="IQ_EST_PRE_TAX_GW_DIFF_REUT">"c5419"</definedName>
    <definedName name="IQ_EST_PRE_TAX_GW_SURPRISE_PERCENT_REUT">"c5420"</definedName>
    <definedName name="IQ_EST_PRE_TAX_REPORT_DIFF_REUT">"c5421"</definedName>
    <definedName name="IQ_EST_PRE_TAX_REPORT_SURPRISE_PERCENT_REUT">"c5422"</definedName>
    <definedName name="IQ_EST_PRE_TAX_SURPRISE_PERCENT_REUT">"c5418"</definedName>
    <definedName name="IQ_EST_REUT_ACT_CAPEX">"c3975"</definedName>
    <definedName name="IQ_EST_REV_DIFF_REUT">"c3886"</definedName>
    <definedName name="IQ_EST_REV_GROWTH_1YR_REUT">"c3860"</definedName>
    <definedName name="IQ_EST_REV_GROWTH_2YR_REUT">"c3861"</definedName>
    <definedName name="IQ_EST_REV_GROWTH_Q_1YR_REUT">"c3862"</definedName>
    <definedName name="IQ_EST_REV_SEQ_GROWTH_Q_REUT">"c3863"</definedName>
    <definedName name="IQ_EST_REV_SURPRISE_PERCENT_REUT">"c3887"</definedName>
    <definedName name="IQ_ESTIMATED_ASSESSABLE_DEPOSITS_FDIC">"c6490"</definedName>
    <definedName name="IQ_ESTIMATED_INSURED_DEPOSITS_FDIC">"c6491"</definedName>
    <definedName name="IQ_EV_OVER_EMPLOYEE_1">"c1225"</definedName>
    <definedName name="IQ_EV_OVER_LTM_EBIT_1">"c1221"</definedName>
    <definedName name="IQ_EV_OVER_LTM_EBITDA_1">"c1223"</definedName>
    <definedName name="IQ_EV_OVER_LTM_REVENUE_1">"c1227"</definedName>
    <definedName name="IQ_EV_OVER_REVENUE_EST">"IQ_EV_OVER_REVENUE_EST"</definedName>
    <definedName name="IQ_EV_OVER_REVENUE_EST_1">"IQ_EV_OVER_REVENUE_EST_1"</definedName>
    <definedName name="IQ_EVAL_DATE" hidden="1">"c2180"</definedName>
    <definedName name="IQ_EXERCISE_PRICE_1">"c406"</definedName>
    <definedName name="IQ_EXERCISED" hidden="1">"c406"</definedName>
    <definedName name="IQ_EXPENSE_CODE_">"001"</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_BR" hidden="1">"c412"</definedName>
    <definedName name="IQ_EXTRA_ITEMS_1">"c413"</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ED_FUNDS_PURCHASED_FDIC">"c6343"</definedName>
    <definedName name="IQ_FED_FUNDS_SOLD_FDIC">"c6307"</definedName>
    <definedName name="IQ_FEDFUNDS_SOLD" hidden="1">"c2256"</definedName>
    <definedName name="IQ_FFO_ADJ_EST_CIQ">"c4959"</definedName>
    <definedName name="IQ_FFO_ADJ_HIGH_EST_CIQ">"c4962"</definedName>
    <definedName name="IQ_FFO_ADJ_LOW_EST_CIQ">"c4963"</definedName>
    <definedName name="IQ_FFO_ADJ_MEDIAN_EST_CIQ">"c4964"</definedName>
    <definedName name="IQ_FFO_ADJ_NUM_EST_CIQ">"c4965"</definedName>
    <definedName name="IQ_FFO_ADJ_STDDEV_EST_CIQ">"c4966"</definedName>
    <definedName name="IQ_FFO_EST_CIQ">"c3668"</definedName>
    <definedName name="IQ_FFO_EST_CIQ_1">"c3668"</definedName>
    <definedName name="IQ_FFO_EST_DET_EST">"c12059"</definedName>
    <definedName name="IQ_FFO_EST_DET_EST_CIQ">"c12121"</definedName>
    <definedName name="IQ_FFO_EST_DET_EST_CURRENCY">"c12466"</definedName>
    <definedName name="IQ_FFO_EST_DET_EST_CURRENCY_CIQ">"c12512"</definedName>
    <definedName name="IQ_FFO_EST_DET_EST_CURRENCY_REUT">"c12536"</definedName>
    <definedName name="IQ_FFO_EST_DET_EST_CURRENCY_THOM">"c12487"</definedName>
    <definedName name="IQ_FFO_EST_DET_EST_DATE">"c12212"</definedName>
    <definedName name="IQ_FFO_EST_DET_EST_DATE_CIQ">"c12267"</definedName>
    <definedName name="IQ_FFO_EST_DET_EST_DATE_REUT">"c12295"</definedName>
    <definedName name="IQ_FFO_EST_DET_EST_DATE_THOM">"c12238"</definedName>
    <definedName name="IQ_FFO_EST_DET_EST_INCL">"c12349"</definedName>
    <definedName name="IQ_FFO_EST_DET_EST_INCL_CIQ">"c12395"</definedName>
    <definedName name="IQ_FFO_EST_DET_EST_INCL_REUT">"c12419"</definedName>
    <definedName name="IQ_FFO_EST_DET_EST_INCL_THOM">"c12370"</definedName>
    <definedName name="IQ_FFO_EST_DET_EST_ORIGIN">"c12722"</definedName>
    <definedName name="IQ_FFO_EST_DET_EST_ORIGIN_CIQ">"c12720"</definedName>
    <definedName name="IQ_FFO_EST_DET_EST_ORIGIN_REUT">"c12724"</definedName>
    <definedName name="IQ_FFO_EST_DET_EST_ORIGIN_THOM">"c12608"</definedName>
    <definedName name="IQ_FFO_EST_DET_EST_REUT">"c12153"</definedName>
    <definedName name="IQ_FFO_EST_DET_EST_THOM">"c12088"</definedName>
    <definedName name="IQ_FFO_EST_REUT">"c3837"</definedName>
    <definedName name="IQ_FFO_EST_THOM">"c3999"</definedName>
    <definedName name="IQ_FFO_HIGH_EST_CIQ">"c3670"</definedName>
    <definedName name="IQ_FFO_HIGH_EST_CIQ_1">"c3670"</definedName>
    <definedName name="IQ_FFO_HIGH_EST_REUT">"c3839"</definedName>
    <definedName name="IQ_FFO_HIGH_EST_THOM">"c4001"</definedName>
    <definedName name="IQ_FFO_LOW_EST_CIQ">"c3671"</definedName>
    <definedName name="IQ_FFO_LOW_EST_CIQ_1">"c3671"</definedName>
    <definedName name="IQ_FFO_LOW_EST_REUT">"c3840"</definedName>
    <definedName name="IQ_FFO_LOW_EST_THOM">"c4002"</definedName>
    <definedName name="IQ_FFO_MEDIAN_EST_CIQ">"c3669"</definedName>
    <definedName name="IQ_FFO_MEDIAN_EST_CIQ_1">"c3669"</definedName>
    <definedName name="IQ_FFO_MEDIAN_EST_REUT">"c3838"</definedName>
    <definedName name="IQ_FFO_MEDIAN_EST_THOM">"c4000"</definedName>
    <definedName name="IQ_FFO_NO_EST">"c276"</definedName>
    <definedName name="IQ_FFO_NUM_EST_CIQ">"c3672"</definedName>
    <definedName name="IQ_FFO_NUM_EST_CIQ_1">"c3672"</definedName>
    <definedName name="IQ_FFO_NUM_EST_REUT">"c3841"</definedName>
    <definedName name="IQ_FFO_NUM_EST_THOM">"c4003"</definedName>
    <definedName name="IQ_FFO_SHARE_EST_CIQ_1">"c3668"</definedName>
    <definedName name="IQ_FFO_SHARE_EST_DET_EST_CURRENCY_REUT">"c12536"</definedName>
    <definedName name="IQ_FFO_SHARE_EST_DET_EST_DATE_REUT">"c12295"</definedName>
    <definedName name="IQ_FFO_SHARE_EST_DET_EST_INCL_REUT">"c12419"</definedName>
    <definedName name="IQ_FFO_SHARE_EST_DET_EST_ORIGIN_REUT">"c12724"</definedName>
    <definedName name="IQ_FFO_SHARE_EST_DET_EST_REUT">"c12153"</definedName>
    <definedName name="IQ_FFO_SHARE_EST_REUT">"c3837"</definedName>
    <definedName name="IQ_FFO_SHARE_HIGH_EST_CIQ_1">"c3670"</definedName>
    <definedName name="IQ_FFO_SHARE_HIGH_EST_REUT">"c3839"</definedName>
    <definedName name="IQ_FFO_SHARE_LOW_EST_CIQ_1">"c3671"</definedName>
    <definedName name="IQ_FFO_SHARE_LOW_EST_REUT">"c3840"</definedName>
    <definedName name="IQ_FFO_SHARE_MEDIAN_EST_CIQ_1">"c3669"</definedName>
    <definedName name="IQ_FFO_SHARE_MEDIAN_EST_REUT">"c3838"</definedName>
    <definedName name="IQ_FFO_SHARE_NUM_EST_CIQ_1">"c3672"</definedName>
    <definedName name="IQ_FFO_SHARE_NUM_EST_REUT">"c3841"</definedName>
    <definedName name="IQ_FFO_SHARE_SHARE_EST_DET_EST">"c12059"</definedName>
    <definedName name="IQ_FFO_SHARE_SHARE_EST_DET_EST_CIQ">"c12121"</definedName>
    <definedName name="IQ_FFO_SHARE_SHARE_EST_DET_EST_CURRENCY">"c12466"</definedName>
    <definedName name="IQ_FFO_SHARE_SHARE_EST_DET_EST_CURRENCY_CIQ">"c12512"</definedName>
    <definedName name="IQ_FFO_SHARE_SHARE_EST_DET_EST_CURRENCY_REUT">"c12536"</definedName>
    <definedName name="IQ_FFO_SHARE_SHARE_EST_DET_EST_CURRENCY_THOM">"c12487"</definedName>
    <definedName name="IQ_FFO_SHARE_SHARE_EST_DET_EST_DATE">"c12212"</definedName>
    <definedName name="IQ_FFO_SHARE_SHARE_EST_DET_EST_DATE_CIQ">"c12267"</definedName>
    <definedName name="IQ_FFO_SHARE_SHARE_EST_DET_EST_DATE_REUT">"c12295"</definedName>
    <definedName name="IQ_FFO_SHARE_SHARE_EST_DET_EST_DATE_THOM">"c12238"</definedName>
    <definedName name="IQ_FFO_SHARE_SHARE_EST_DET_EST_INCL">"c12349"</definedName>
    <definedName name="IQ_FFO_SHARE_SHARE_EST_DET_EST_INCL_CIQ">"c12395"</definedName>
    <definedName name="IQ_FFO_SHARE_SHARE_EST_DET_EST_INCL_REUT">"c12419"</definedName>
    <definedName name="IQ_FFO_SHARE_SHARE_EST_DET_EST_INCL_THOM">"c12370"</definedName>
    <definedName name="IQ_FFO_SHARE_SHARE_EST_DET_EST_ORIGIN">"c12722"</definedName>
    <definedName name="IQ_FFO_SHARE_SHARE_EST_DET_EST_ORIGIN_CIQ">"c12720"</definedName>
    <definedName name="IQ_FFO_SHARE_SHARE_EST_DET_EST_ORIGIN_REUT">"c12724"</definedName>
    <definedName name="IQ_FFO_SHARE_SHARE_EST_DET_EST_ORIGIN_THOM">"c12608"</definedName>
    <definedName name="IQ_FFO_SHARE_SHARE_EST_DET_EST_REUT">"c12153"</definedName>
    <definedName name="IQ_FFO_SHARE_SHARE_EST_DET_EST_THOM">"c12088"</definedName>
    <definedName name="IQ_FFO_SHARE_SHARE_EST_REUT">"c3837"</definedName>
    <definedName name="IQ_FFO_SHARE_SHARE_EST_THOM">"c3999"</definedName>
    <definedName name="IQ_FFO_SHARE_SHARE_HIGH_EST_REUT">"c3839"</definedName>
    <definedName name="IQ_FFO_SHARE_SHARE_HIGH_EST_THOM">"c4001"</definedName>
    <definedName name="IQ_FFO_SHARE_SHARE_LOW_EST_REUT">"c3840"</definedName>
    <definedName name="IQ_FFO_SHARE_SHARE_LOW_EST_THOM">"c4002"</definedName>
    <definedName name="IQ_FFO_SHARE_SHARE_MEDIAN_EST_REUT">"c3838"</definedName>
    <definedName name="IQ_FFO_SHARE_SHARE_MEDIAN_EST_THOM">"c4000"</definedName>
    <definedName name="IQ_FFO_SHARE_SHARE_NUM_EST_REUT">"c3841"</definedName>
    <definedName name="IQ_FFO_SHARE_SHARE_NUM_EST_THOM">"c4003"</definedName>
    <definedName name="IQ_FFO_SHARE_SHARE_STDDEV_EST_REUT">"c3842"</definedName>
    <definedName name="IQ_FFO_SHARE_SHARE_STDDEV_EST_THOM">"c4004"</definedName>
    <definedName name="IQ_FFO_SHARE_STDDEV_EST_CIQ_1">"c3673"</definedName>
    <definedName name="IQ_FFO_SHARE_STDDEV_EST_REUT">"c3842"</definedName>
    <definedName name="IQ_FFO_STDDEV_EST_CIQ">"c3673"</definedName>
    <definedName name="IQ_FFO_STDDEV_EST_CIQ_1">"c3673"</definedName>
    <definedName name="IQ_FFO_STDDEV_EST_REUT">"c3842"</definedName>
    <definedName name="IQ_FFO_STDDEV_EST_THOM">"c4004"</definedName>
    <definedName name="IQ_FH">100000</definedName>
    <definedName name="IQ_FHLB_ADVANCES_FDIC">"c6366"</definedName>
    <definedName name="IQ_FHLB_DUE_AFTER_FIVE">"c2086"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"c6571"</definedName>
    <definedName name="IQ_FIFETEEN_YEAR_FIXED_AND_FLOATING_RATE_FDIC">"c6423"</definedName>
    <definedName name="IQ_FIFETEEN_YEAR_MORTGAGE_PASS_THROUGHS_FDIC">"c6415"</definedName>
    <definedName name="IQ_FII_12M_RETURN">"c25807"</definedName>
    <definedName name="IQ_FII_3M_RETURN">"c25808"</definedName>
    <definedName name="IQ_FII_6M_RETURN">"c25809"</definedName>
    <definedName name="IQ_FII_AVGBIDSPREAD">"c25820"</definedName>
    <definedName name="IQ_FII_CONVEX">"c25799"</definedName>
    <definedName name="IQ_FII_COUPON">"c25800"</definedName>
    <definedName name="IQ_FII_DAILY_RETURN">"c25810"</definedName>
    <definedName name="IQ_FII_DURTW">"c25802"</definedName>
    <definedName name="IQ_FII_EXCESS_RETURN">"c25819"</definedName>
    <definedName name="IQ_FII_INDEXPRICE">"c25806"</definedName>
    <definedName name="IQ_FII_MATURITY">"c25804"</definedName>
    <definedName name="IQ_FII_MODDUR">"c25801"</definedName>
    <definedName name="IQ_FII_MTD_RETURN_COUPON">"c25813"</definedName>
    <definedName name="IQ_FII_MTD_RETURN_CURRENCY">"c25814"</definedName>
    <definedName name="IQ_FII_MTD_RETURN_PAYDOWN">"c25815"</definedName>
    <definedName name="IQ_FII_MTD_RETURN_PRICE">"c25816"</definedName>
    <definedName name="IQ_FII_MTD_RETURN_TOTAL">"c25812"</definedName>
    <definedName name="IQ_FII_MV">"c25803"</definedName>
    <definedName name="IQ_FII_NUMISSUE">"c25805"</definedName>
    <definedName name="IQ_FII_OAS">"c25798"</definedName>
    <definedName name="IQ_FII_RETURN_INCEPTION">"c25811"</definedName>
    <definedName name="IQ_FII_YTD_RETURN">"c25817"</definedName>
    <definedName name="IQ_FII_YTW">"c25818"</definedName>
    <definedName name="IQ_FILING_CURRENCY" hidden="1">"c2129"</definedName>
    <definedName name="IQ_FILM_RIGHTS" hidden="1">"c2254"</definedName>
    <definedName name="IQ_FIN_DIV_CURRENT_PORT_DEBT_TOTAL">"c5524"</definedName>
    <definedName name="IQ_FIN_DIV_CURRENT_PORT_LEASES_TOTAL">"c5523"</definedName>
    <definedName name="IQ_FIN_DIV_DEBT_LT_TOTAL">"c5526"</definedName>
    <definedName name="IQ_FIN_DIV_LEASES_LT_TOTAL">"c5525"</definedName>
    <definedName name="IQ_FIN_DIV_NOTES_PAY_TOTAL">"c5522"</definedName>
    <definedName name="IQ_FINANCING_CASH_1">"c893"</definedName>
    <definedName name="IQ_FINANCING_CASH_SUPPL_1">"c899"</definedName>
    <definedName name="IQ_FINANCING_OBLIG_CURRENT_1">"c6190"</definedName>
    <definedName name="IQ_FINANCING_OBLIG_NON_CURRENT_1">"c6191"</definedName>
    <definedName name="IQ_FIRST_INT_DATE" hidden="1">"c2186"</definedName>
    <definedName name="IQ_FIRST_YEAR_LIFE_PREM" hidden="1">"c2787"</definedName>
    <definedName name="IQ_FIRST_YEAR_PREM" hidden="1">"c2786"</definedName>
    <definedName name="IQ_FIRSTPRICINGDATE" hidden="1">"c3050"</definedName>
    <definedName name="IQ_FISCAL_Q_EST_REUT">"c6798"</definedName>
    <definedName name="IQ_FISCAL_Y_EST_REUT">"c6799"</definedName>
    <definedName name="IQ_FIVE_PERCENT_AMOUNT">"c240"</definedName>
    <definedName name="IQ_FIVE_YEAR_FIXED_AND_FLOATING_RATE_FDIC">"c6422"</definedName>
    <definedName name="IQ_FIVE_YEAR_MORTGAGE_PASS_THROUGHS_FDIC">"c6414"</definedName>
    <definedName name="IQ_FIVEPERCENT_OWNER">"c239"</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OSITS_NONTRANSACTION_ACCOUNTS_FDIC">"c6549"</definedName>
    <definedName name="IQ_FOREIGN_DEPOSITS_TRANSACTION_ACCOUNTS_FDIC">"c6541"</definedName>
    <definedName name="IQ_FOREIGN_EXCHANGE_1">"c451"</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Q">500</definedName>
    <definedName name="IQ_FULLY_INSURED_DEPOSITS_FDIC">"c6487"</definedName>
    <definedName name="IQ_FUTURES_FORWARD_CONTRACTS_NOTIONAL_AMOUNT_FDIC">"c6518"</definedName>
    <definedName name="IQ_FUTURES_FORWARD_CONTRACTS_RATE_RISK_FDIC">"c6508"</definedName>
    <definedName name="IQ_FWD">"LTM"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"504"</definedName>
    <definedName name="IQ_FWD_Q4">"505"</definedName>
    <definedName name="IQ_FWD_Q5">"506"</definedName>
    <definedName name="IQ_FWD_Q6">"507"</definedName>
    <definedName name="IQ_FWD_Q7">"508"</definedName>
    <definedName name="IQ_FWD1">"LTM"</definedName>
    <definedName name="IQ_FX_CONTRACTS_FDIC">"c6517"</definedName>
    <definedName name="IQ_FX_CONTRACTS_SPOT_FDIC">"c6356"</definedName>
    <definedName name="IQ_FY">1000</definedName>
    <definedName name="IQ_FY_DATE">"IQ_FY_DATE"</definedName>
    <definedName name="IQ_GA_EXP" hidden="1">"c2241"</definedName>
    <definedName name="IQ_GAIN_ASSETS_BR" hidden="1">"c454"</definedName>
    <definedName name="IQ_GAIN_ASSETS_CF_BR" hidden="1">"c457"</definedName>
    <definedName name="IQ_GAIN_ASSETS_REC">"c464"</definedName>
    <definedName name="IQ_GAIN_ASSETS_REC_BNK">"c465"</definedName>
    <definedName name="IQ_GAIN_ASSETS_REC_BR">"c466"</definedName>
    <definedName name="IQ_GAIN_ASSETS_REC_FIN">"c467"</definedName>
    <definedName name="IQ_GAIN_ASSETS_REC_INS">"c468"</definedName>
    <definedName name="IQ_GAIN_ASSETS_REC_REIT">"c469"</definedName>
    <definedName name="IQ_GAIN_ASSETS_REC_UTI">"c470"</definedName>
    <definedName name="IQ_GAIN_ASSETS_REV_BR" hidden="1">"c474"</definedName>
    <definedName name="IQ_GAIN_INVEST_BR" hidden="1">"c1464"</definedName>
    <definedName name="IQ_GAIN_INVEST_CF_BR" hidden="1">"c482"</definedName>
    <definedName name="IQ_GAIN_INVEST_REC">"c487"</definedName>
    <definedName name="IQ_GAIN_INVEST_REC_BNK">"c488"</definedName>
    <definedName name="IQ_GAIN_INVEST_REC_BR">"c489"</definedName>
    <definedName name="IQ_GAIN_INVEST_REC_FIN">"c490"</definedName>
    <definedName name="IQ_GAIN_INVEST_REC_INS">"c491"</definedName>
    <definedName name="IQ_GAIN_INVEST_REC_REIT">"c492"</definedName>
    <definedName name="IQ_GAIN_INVEST_REC_UTI">"c493"</definedName>
    <definedName name="IQ_GAIN_INVEST_REV_BR" hidden="1">"c496"</definedName>
    <definedName name="IQ_GAIN_SALE_ASSETS_1">"c452"</definedName>
    <definedName name="IQ_GAIN_SALE_LOANS_FDIC">"c6673"</definedName>
    <definedName name="IQ_GAIN_SALE_RE_FDIC">"c6674"</definedName>
    <definedName name="IQ_GAINS_SALE_ASSETS_FDIC">"c6675"</definedName>
    <definedName name="IQ_GNMA_FDIC">"c6398"</definedName>
    <definedName name="IQ_GOODWILL_FDIC">"c6334"</definedName>
    <definedName name="IQ_GOODWILL_IMPAIRMENT_FDIC">"c6678"</definedName>
    <definedName name="IQ_GOODWILL_INTAN_FDIC">"c6333"</definedName>
    <definedName name="IQ_GOODWILL_NET_1">"c530"</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_1">"c192"</definedName>
    <definedName name="IQ_GROSS_EARNED" hidden="1">"c2732"</definedName>
    <definedName name="IQ_GROSS_INTAN">"c520"</definedName>
    <definedName name="IQ_GROSS_LIFE_EARNED" hidden="1">"c2737"</definedName>
    <definedName name="IQ_GROSS_LIFE_IN_FORCE" hidden="1">"c2767"</definedName>
    <definedName name="IQ_GROSS_PC_EARNED" hidden="1">"c2747"</definedName>
    <definedName name="IQ_GROSS_PROFIT_1">"c511"</definedName>
    <definedName name="IQ_GROSS_SPRD" hidden="1">"c2155"</definedName>
    <definedName name="IQ_GROSS_WRITTEN" hidden="1">"c2726"</definedName>
    <definedName name="IQ_GW_AMORT">"c531"</definedName>
    <definedName name="IQ_GW_AMORT_BR" hidden="1">"c532"</definedName>
    <definedName name="IQ_GW_AMORT_CF">"c533"</definedName>
    <definedName name="IQ_GW_AMORT_CF_BNK">"c534"</definedName>
    <definedName name="IQ_GW_AMORT_CF_BR">"c535"</definedName>
    <definedName name="IQ_GW_AMORT_CF_FIN">"c536"</definedName>
    <definedName name="IQ_GW_AMORT_CF_INS">"c537"</definedName>
    <definedName name="IQ_GW_AMORT_CF_REIT">"c538"</definedName>
    <definedName name="IQ_GW_AMORT_CF_UTI">"c539"</definedName>
    <definedName name="IQ_GW_AMORT_FIN" hidden="1">"c540"</definedName>
    <definedName name="IQ_GW_AMORT_INS" hidden="1">"c541"</definedName>
    <definedName name="IQ_GW_AMORT_REIT" hidden="1">"c542"</definedName>
    <definedName name="IQ_GW_AMORT_UTI" hidden="1">"c543"</definedName>
    <definedName name="IQ_GW_INTAN_AMORT_BR" hidden="1">"c1470"</definedName>
    <definedName name="IQ_GW_INTAN_AMORT_CF_BR" hidden="1">"c1473"</definedName>
    <definedName name="IQ_HC뱟AVG⡟BEDS_SV䱃">"c5951"</definedName>
    <definedName name="IQ_HELD_MATURITY_FDIC">"c6408"</definedName>
    <definedName name="IQ_HG_REV_OTHER_HOTEL_MOTEL">"c8731"</definedName>
    <definedName name="IQ_HG_REV_TOTAL_CASINO_GAMING">"c8723"</definedName>
    <definedName name="IQ_HG_REV_TOTAL_HOTEL_MOTEL">"c8732"</definedName>
    <definedName name="IQ_HIGH_TARGET_PRICE" hidden="1">"c1651"</definedName>
    <definedName name="IQ_HIGH_TARGET_PRICE_REUT">"c5317"</definedName>
    <definedName name="IQ_HOME_EQUITY_LOC_NET_CHARGE_OFFS_FDIC">"c6644"</definedName>
    <definedName name="IQ_HOME_EQUITY_LOC_TOTAL_CHARGE_OFFS_FDIC">"c6606"</definedName>
    <definedName name="IQ_HOME_EQUITY_LOC_TOTAL_RECOVERIES_FDIC">"c6625"</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MPUT_OPER_LEASE_DEPR" hidden="1">"c2987"</definedName>
    <definedName name="IQ_IMPUT_OPER_LEASE_INT_EXP" hidden="1">"c2986"</definedName>
    <definedName name="IQ_INC_AVAIL_EXCL_1">"c789"</definedName>
    <definedName name="IQ_INC_AVAIL_INCL_1">"c791"</definedName>
    <definedName name="IQ_INC_BEFORE_TAX_1">"c386"</definedName>
    <definedName name="IQ_INC_EQUITY_BR" hidden="1">"c550"</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EX_PROVIDED_DIVIDEND">"c19252"</definedName>
    <definedName name="IQ_INDEXCONSTITUENT_CLOSEPRICE" hidden="1">"c19241"</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S_ANNUITY_REV" hidden="1">"c2788"</definedName>
    <definedName name="IQ_INS_SETTLE_BR" hidden="1">"c572"</definedName>
    <definedName name="IQ_INSIDER_3MTH_BOUGHT">"c1534"</definedName>
    <definedName name="IQ_INSIDER_3MTH_NET">"c1535"</definedName>
    <definedName name="IQ_INSIDER_3MTH_SOLD">"c1533"</definedName>
    <definedName name="IQ_INSIDER_6MTH_BOUGHT">"c1537"</definedName>
    <definedName name="IQ_INSIDER_6MTH_NET">"c1538"</definedName>
    <definedName name="IQ_INSIDER_6MTH_SOLD">"c1536"</definedName>
    <definedName name="IQ_INSIDER_AMOUNT">"c238"</definedName>
    <definedName name="IQ_INSIDER_LOANS_FDIC">"c6365"</definedName>
    <definedName name="IQ_INSTITUTIONAL_AMOUNT">"c236"</definedName>
    <definedName name="IQ_INSTITUTIONS_EARNINGS_GAINS_FDIC">"c6723"</definedName>
    <definedName name="IQ_INSURANCE_COMMISSION_FEES_FDIC">"c6670"</definedName>
    <definedName name="IQ_INSURANCE_UNDERWRITING_INCOME_FDIC">"c6671"</definedName>
    <definedName name="IQ_INT_DEMAND_NOTES_FDIC">"c6567"</definedName>
    <definedName name="IQ_INT_DOMESTIC_DEPOSITS_FDIC">"c6564"</definedName>
    <definedName name="IQ_INT_EXP_BR" hidden="1">"c586"</definedName>
    <definedName name="IQ_INT_EXP_INCL_CAP" hidden="1">"c2988"</definedName>
    <definedName name="IQ_INT_EXP_LTD" hidden="1">"c2086"</definedName>
    <definedName name="IQ_INT_EXP_TOTAL_FDIC">"c6569"</definedName>
    <definedName name="IQ_INT_FED_FUNDS_FDIC">"c6566"</definedName>
    <definedName name="IQ_INT_FOREIGN_DEPOSITS_FDIC">"c6565"</definedName>
    <definedName name="IQ_INT_INC_BR" hidden="1">"c593"</definedName>
    <definedName name="IQ_INT_INC_DEPOSITORY_INST_FDIC">"c6558"</definedName>
    <definedName name="IQ_INT_INC_DOM_LOANS_FDIC">"c6555"</definedName>
    <definedName name="IQ_INT_INC_FED_FUNDS_FDIC">"c6561"</definedName>
    <definedName name="IQ_INT_INC_FOREIGN_LOANS_FDIC">"c6556"</definedName>
    <definedName name="IQ_INT_INC_LEASE_RECEIVABLES_FDIC">"c6557"</definedName>
    <definedName name="IQ_INT_INC_OTHER_FDIC">"c6562"</definedName>
    <definedName name="IQ_INT_INC_SECURITIES_FDIC">"c6559"</definedName>
    <definedName name="IQ_INT_INC_TOTAL_FDIC">"c6563"</definedName>
    <definedName name="IQ_INT_INC_TRADING_ACCOUNTS_FDIC">"c6560"</definedName>
    <definedName name="IQ_INT_SUB_NOTES_FDIC">"c6568"</definedName>
    <definedName name="IQ_INTAN_AMORT">"c605"</definedName>
    <definedName name="IQ_INTAN_AMORT_BR">"c606"</definedName>
    <definedName name="IQ_INTAN_AMORT_CF">"c607"</definedName>
    <definedName name="IQ_INTAN_AMORT_CF_BNK">"c608"</definedName>
    <definedName name="IQ_INTAN_AMORT_CF_BR">"c609"</definedName>
    <definedName name="IQ_INTAN_AMORT_CF_FIN">"c610"</definedName>
    <definedName name="IQ_INTAN_AMORT_CF_INS">"c611"</definedName>
    <definedName name="IQ_INTAN_AMORT_CF_REIT">"c612"</definedName>
    <definedName name="IQ_INTAN_AMORT_CF_UTI">"c613"</definedName>
    <definedName name="IQ_INTAN_AMORT_FIN">"c614"</definedName>
    <definedName name="IQ_INTAN_AMORT_INS">"c615"</definedName>
    <definedName name="IQ_INTAN_AMORT_REIT">"c616"</definedName>
    <definedName name="IQ_INTAN_AMORT_UTI">"c617"</definedName>
    <definedName name="IQ_INTANGIBLES_NET_1">"c907"</definedName>
    <definedName name="IQ_INTEL_EPS_EST">"c24729"</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 hidden="1">"c2255"</definedName>
    <definedName name="IQ_INTEREST_EXP_NON_1">"c618"</definedName>
    <definedName name="IQ_INTEREST_INC_1">"c769"</definedName>
    <definedName name="IQ_INTEREST_INC_10K">"IQ_INTEREST_INC_10K"</definedName>
    <definedName name="IQ_INTEREST_INC_10Q">"IQ_INTEREST_INC_10Q"</definedName>
    <definedName name="IQ_INTEREST_INC_10Q1">"IQ_INTEREST_INC_10Q1"</definedName>
    <definedName name="IQ_INTEREST_INC_NON_1">"c619"</definedName>
    <definedName name="IQ_INTEREST_LT_DEBT">"c2086"</definedName>
    <definedName name="IQ_INTEREST_RATE_CONTRACTS_FDIC">"c6512"</definedName>
    <definedName name="IQ_INTEREST_RATE_EXPOSURES_FDIC">"c6662"</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ENTORIES_POP_塅䕃">"c8001"</definedName>
    <definedName name="IQ_INVEST_LOANS_CF_BR" hidden="1">"c630"</definedName>
    <definedName name="IQ_INVEST_SECURITY_CF_BR" hidden="1">"c639"</definedName>
    <definedName name="IQ_INVESTMENT_BANKING_OTHER_FEES_FDIC">"c6666"</definedName>
    <definedName name="IQ_IRA_KEOGH_ACCOUNTS_FDIC">"c6496"</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_DEBT_NET_1">"c751"</definedName>
    <definedName name="IQ_ISSUE_CURRENCY" hidden="1">"c2156"</definedName>
    <definedName name="IQ_ISSUE_NAME" hidden="1">"c2142"</definedName>
    <definedName name="IQ_ISSUED_GUARANTEED_US_FDIC">"c6404"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ST_EBIT_MARGIN">"IQ_LAST_EBIT_MARGIN"</definedName>
    <definedName name="IQ_LAST_EBITDA_MARGIN">"IQ_LAST_EBITDA_MARGIN"</definedName>
    <definedName name="IQ_LAST_GROSS_MARGIN">"IQ_LAST_GROSS_MARGIN"</definedName>
    <definedName name="IQ_LAST_NET_INC_MARGIN">"IQ_LAST_NET_INC_MARGIN"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_DATE" hidden="1">"c2109"</definedName>
    <definedName name="IQ_LATEST">"1"</definedName>
    <definedName name="IQ_LATESTK" hidden="1">1000</definedName>
    <definedName name="IQ_LATESTKFR">"100"</definedName>
    <definedName name="IQ_LATESTQ" hidden="1">500</definedName>
    <definedName name="IQ_LATESTQFR">"50"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_BR" hidden="1">"c649"</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"c6372"</definedName>
    <definedName name="IQ_LISTING_CURRENCY">"c2127"</definedName>
    <definedName name="IQ_LOAN_COMMITMENTS_REVOLVING_FDIC">"c6524"</definedName>
    <definedName name="IQ_LOAN_LOSS_1">"c656"</definedName>
    <definedName name="IQ_LOAN_LOSS_ALLOW_FDIC">"c6326"</definedName>
    <definedName name="IQ_LOAN_LOSS_ALLOWANCE_NONCURRENT_LOANS_FDIC">"c6740"</definedName>
    <definedName name="IQ_LOAN_LOSSES_FDIC">"c6580"</definedName>
    <definedName name="IQ_LOANS_AND_LEASES_HELD_FDIC">"c6367"</definedName>
    <definedName name="IQ_LOANS_CF_BR" hidden="1">"c661"</definedName>
    <definedName name="IQ_LOANS_DEPOSITORY_INSTITUTIONS_FDIC">"c6382"</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_1">"c674"</definedName>
    <definedName name="IQ_LONG_TERM_DEBT_OVER_TOTAL_CAP_1">"c677"</definedName>
    <definedName name="IQ_LONG_TERM_INV_1">"c697"</definedName>
    <definedName name="IQ_LOSS_ALLOWANCE_LOANS_FDIC">"c6739"</definedName>
    <definedName name="IQ_LOSS_TO_NET_EARNED" hidden="1">"c2751"</definedName>
    <definedName name="IQ_LOW_TARGET_PRICE" hidden="1">"c1652"</definedName>
    <definedName name="IQ_LOW_TARGET_PRICE_REUT">"c5318"</definedName>
    <definedName name="IQ_LT_DEBT_BR" hidden="1">"c676"</definedName>
    <definedName name="IQ_LT_DEBT_CAPITAL_LEASES" hidden="1">"c2542"</definedName>
    <definedName name="IQ_LT_DEBT_CAPITAL_LEASES_PCT" hidden="1">"c2543"</definedName>
    <definedName name="IQ_LT_DEBT_ISSUED_BR" hidden="1">"c683"</definedName>
    <definedName name="IQ_LT_DEBT_REPAID_BR" hidden="1">"c691"</definedName>
    <definedName name="IQ_LT_GROWTH_DET_EST_DATE_REUT">"c12296"</definedName>
    <definedName name="IQ_LT_GROWTH_DET_EST_INCL_REUT">"c12420"</definedName>
    <definedName name="IQ_LT_GROWTH_DET_EST_ORIGIN_REUT">"c12728"</definedName>
    <definedName name="IQ_LT_GROWTH_DET_EST_REUT">"c12154"</definedName>
    <definedName name="IQ_LT_INVEST_BR" hidden="1">"c698"</definedName>
    <definedName name="IQ_LT_SENIOR_DEBT">"c702"</definedName>
    <definedName name="IQ_LT_SUB_DEBT">"c703"</definedName>
    <definedName name="IQ_LTM">2000</definedName>
    <definedName name="IQ_LTM_DATE">"IQ_LTM_DATE"</definedName>
    <definedName name="IQ_LTM_REVENUE_OVER_EMPLOYEES_1">"c1304"</definedName>
    <definedName name="IQ_LTMMONTH" hidden="1">120000</definedName>
    <definedName name="IQ_MACRO_SURVEY_CONSUMER_SENTIMENT">"c20808"</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ING" hidden="1">"c2239"</definedName>
    <definedName name="IQ_MARKTCAP">"c258"</definedName>
    <definedName name="IQ_MATURITY_DATE" hidden="1">"c2146"</definedName>
    <definedName name="IQ_MATURITY_ONE_YEAR_LESS_FDIC">"c6425"</definedName>
    <definedName name="IQ_MC_GA_MARGIN">"c9930"</definedName>
    <definedName name="IQ_MC_GA_OPERATING_REV">"c9929"</definedName>
    <definedName name="IQ_MC_MEDICAL_EXPENSE_RATIO">"c9927"</definedName>
    <definedName name="IQ_MC_RATIO" hidden="1">"c2783"</definedName>
    <definedName name="IQ_MC_SGA_MARGIN">"c9932"</definedName>
    <definedName name="IQ_MC_SGA_OPERATING_REV">"c9931"</definedName>
    <definedName name="IQ_MC_STATUTORY_SURPLUS" hidden="1">"c2772"</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 hidden="1">"c1650"</definedName>
    <definedName name="IQ_MEDIAN_TARGET_PRICE_REUT">"c5316"</definedName>
    <definedName name="IQ_MERGER_BR" hidden="1">"c715"</definedName>
    <definedName name="IQ_MERGER_RESTRUCTURE_BR" hidden="1">"c721"</definedName>
    <definedName name="IQ_MINORITY_INTEREST_BR" hidden="1">"c729"</definedName>
    <definedName name="IQ_MINORITY_INTEREST_TOTAL" hidden="1">"c1905"</definedName>
    <definedName name="IQ_MKTCAP_TOTAL_REV_FWD_REUT">"c4048"</definedName>
    <definedName name="IQ_MONEY_MARKET_DEPOSIT_ACCOUNTS_FDIC">"c6553"</definedName>
    <definedName name="IQ_MONTH">15000</definedName>
    <definedName name="IQ_MORTGAGE_BACKED_SECURITIES_FDIC">"c6402"</definedName>
    <definedName name="IQ_MORTGAGE_SERV_RIGHTS" hidden="1">"c2242"</definedName>
    <definedName name="IQ_MORTGAGE_SERVICING_FDIC">"c6335"</definedName>
    <definedName name="IQ_MTD" hidden="1">800000</definedName>
    <definedName name="IQ_MULTIFAMILY_RESIDENTIAL_LOANS_FDIC">"c6311"</definedName>
    <definedName name="IQ_NAMES_REVISION_DATE_" hidden="1">45737.7049189815</definedName>
    <definedName name="IQ_NAMES_REVISION_DATE__1">40879.6773263888</definedName>
    <definedName name="IQ_NAV_ACT_OR_EST" hidden="1">"c2225"</definedName>
    <definedName name="IQ_NAV_SHARE_ACT_OR_EST_REUT">"c5623"</definedName>
    <definedName name="IQ_NAV_SHARE_DET_EST_CURRENCY_REUT">"c12538"</definedName>
    <definedName name="IQ_NAV_SHARE_DET_EST_DATE_REUT">"c12297"</definedName>
    <definedName name="IQ_NAV_SHARE_DET_EST_INCL_REUT">"c12421"</definedName>
    <definedName name="IQ_NAV_SHARE_DET_EST_ORIGIN_REUT">"c12665"</definedName>
    <definedName name="IQ_NAV_SHARE_DET_EST_REUT">"c12155"</definedName>
    <definedName name="IQ_NAV_SHARE_EST_REUT">"c5617"</definedName>
    <definedName name="IQ_NAV_SHARE_HIGH_EST_REUT">"c5620"</definedName>
    <definedName name="IQ_NAV_SHARE_LOW_EST_REUT">"c5621"</definedName>
    <definedName name="IQ_NAV_SHARE_MEDIAN_EST_REUT">"c5618"</definedName>
    <definedName name="IQ_NAV_SHARE_NUM_EST_REUT">"c5622"</definedName>
    <definedName name="IQ_NAV_SHARE_STDDEV_EST_REUT">"c5619"</definedName>
    <definedName name="IQ_NET_CHARGE_OFFS_FDIC">"c6641"</definedName>
    <definedName name="IQ_NET_CHARGE_OFFS_LOANS_FDIC">"c6751"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_ACT_OR_EST_REUT">"c5473"</definedName>
    <definedName name="IQ_NET_DEBT_DET_EST_CURRENCY_REUT">"c12539"</definedName>
    <definedName name="IQ_NET_DEBT_DET_EST_DATE_REUT">"c12298"</definedName>
    <definedName name="IQ_NET_DEBT_DET_EST_INCL_REUT">"c12422"</definedName>
    <definedName name="IQ_NET_DEBT_DET_EST_ORIGIN_REUT">"c12666"</definedName>
    <definedName name="IQ_NET_DEBT_DET_EST_REUT">"c12156"</definedName>
    <definedName name="IQ_NET_DEBT_EBITDA_CAPEX" hidden="1">"c2949"</definedName>
    <definedName name="IQ_NET_DEBT_EST_REUT">"c3976"</definedName>
    <definedName name="IQ_NET_DEBT_HIGH_EST_REUT">"c3978"</definedName>
    <definedName name="IQ_NET_DEBT_ISSUED_BR" hidden="1">"c753"</definedName>
    <definedName name="IQ_NET_DEBT_LOW_EST_REUT">"c3979"</definedName>
    <definedName name="IQ_NET_DEBT_MEDIAN_EST_REUT">"c3977"</definedName>
    <definedName name="IQ_NET_DEBT_NUM_EST_REUT">"c3980"</definedName>
    <definedName name="IQ_NET_DEBT_STDDEV_EST_REUT">"c3981"</definedName>
    <definedName name="IQ_NET_EARNED" hidden="1">"c2734"</definedName>
    <definedName name="IQ_NET_INC_1">"c781"</definedName>
    <definedName name="IQ_NET_INC_10K">"IQ_NET_INC_10K"</definedName>
    <definedName name="IQ_NET_INC_10Q">"IQ_NET_INC_10Q"</definedName>
    <definedName name="IQ_NET_INC_10Q1">"IQ_NET_INC_10Q1"</definedName>
    <definedName name="IQ_NET_INC_BEFORE_1">"c344"</definedName>
    <definedName name="IQ_NET_INC_CF_1">"c793"</definedName>
    <definedName name="IQ_NET_INC_GROWTH_1">"IQ_NET_INC_GROWTH_1"</definedName>
    <definedName name="IQ_NET_INC_GROWTH_2">"IQ_NET_INC_GROWTH_2"</definedName>
    <definedName name="IQ_NET_INC_MARGIN_1">"c794"</definedName>
    <definedName name="IQ_NET_INCOME_FDIC">"c6587"</definedName>
    <definedName name="IQ_NET_INT_INC_BNK_FDIC">"c6570"</definedName>
    <definedName name="IQ_NET_INT_INC_BR" hidden="1">"c765"</definedName>
    <definedName name="IQ_NET_INTEREST_INC_1">"c764"</definedName>
    <definedName name="IQ_NET_INTEREST_MARGIN_FDIC">"c6726"</definedName>
    <definedName name="IQ_NET_LIFE_INS_IN_FORCE" hidden="1">"c2769"</definedName>
    <definedName name="IQ_NET_LOANS_LEASES_CORE_DEPOSITS_FDIC">"c6743"</definedName>
    <definedName name="IQ_NET_LOANS_LEASES_DEPOSITS_FDIC">"c6742"</definedName>
    <definedName name="IQ_NET_OPERATING_INCOME_ASSETS_FDIC">"c6729"</definedName>
    <definedName name="IQ_NET_SECURITIZATION_INCOME_FDIC">"c6669"</definedName>
    <definedName name="IQ_NET_SERVICING_FEES_FDIC">"c6668"</definedName>
    <definedName name="IQ_NET_TO_GROSS_EARNED" hidden="1">"c2750"</definedName>
    <definedName name="IQ_NET_TO_GROSS_WRITTEN" hidden="1">"c2729"</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_ACT_OR_EST_REUT">"c5468"</definedName>
    <definedName name="IQ_NI_DET_EST_CURRENCY_REUT">"c12540"</definedName>
    <definedName name="IQ_NI_DET_EST_DATE_REUT">"c12299"</definedName>
    <definedName name="IQ_NI_DET_EST_INCL_REUT">"c12423"</definedName>
    <definedName name="IQ_NI_DET_EST_ORIGIN_REUT">"c12667"</definedName>
    <definedName name="IQ_NI_DET_EST_REUT">"c12157"</definedName>
    <definedName name="IQ_NI_EST_REUT">"c5368"</definedName>
    <definedName name="IQ_NI_GW_DET_EST_CURRENCY_REUT">"c12541"</definedName>
    <definedName name="IQ_NI_GW_DET_EST_DATE_REUT">"c12300"</definedName>
    <definedName name="IQ_NI_GW_DET_EST_INCL_REUT">"c12424"</definedName>
    <definedName name="IQ_NI_GW_DET_EST_ORIGIN_REUT">"c12668"</definedName>
    <definedName name="IQ_NI_GW_DET_EST_REUT">"c12158"</definedName>
    <definedName name="IQ_NI_GW_EST_REUT">"c5375"</definedName>
    <definedName name="IQ_NI_GW_EST_THOM">"c5133"</definedName>
    <definedName name="IQ_NI_GW_HIGH_EST_REUT">"c5377"</definedName>
    <definedName name="IQ_NI_GW_HIGH_EST_THOM">"c5135"</definedName>
    <definedName name="IQ_NI_GW_LOW_EST_REUT">"c5378"</definedName>
    <definedName name="IQ_NI_GW_LOW_EST_THOM">"c5136"</definedName>
    <definedName name="IQ_NI_GW_MEDIAN_EST_REUT">"c5376"</definedName>
    <definedName name="IQ_NI_GW_MEDIAN_EST_THOM">"c5134"</definedName>
    <definedName name="IQ_NI_GW_NUM_EST_REUT">"c5379"</definedName>
    <definedName name="IQ_NI_GW_NUM_EST_THOM">"c5137"</definedName>
    <definedName name="IQ_NI_GW_STDDEV_EST_REUT">"c5380"</definedName>
    <definedName name="IQ_NI_GW_STDDEV_EST_THOM">"c5138"</definedName>
    <definedName name="IQ_NI_HIGH_EST_REUT">"c5370"</definedName>
    <definedName name="IQ_NI_LOW_EST_REUT">"c5371"</definedName>
    <definedName name="IQ_NI_MEDIAN_EST_REUT">"c5369"</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_REUT">"c5372"</definedName>
    <definedName name="IQ_NI_REPORTED_DET_EST_CURRENCY_REUT">"c12542"</definedName>
    <definedName name="IQ_NI_REPORTED_DET_EST_DATE_REUT">"c12301"</definedName>
    <definedName name="IQ_NI_REPORTED_DET_EST_INCL_REUT">"c12425"</definedName>
    <definedName name="IQ_NI_REPORTED_DET_EST_ORIGIN_REUT">"c12669"</definedName>
    <definedName name="IQ_NI_REPORTED_DET_EST_REUT">"c12159"</definedName>
    <definedName name="IQ_NI_REPORTED_EST_REUT">"c5382"</definedName>
    <definedName name="IQ_NI_REPORTED_HIGH_EST_REUT">"c5384"</definedName>
    <definedName name="IQ_NI_REPORTED_LOW_EST_REUT">"c5385"</definedName>
    <definedName name="IQ_NI_REPORTED_MEDIAN_EST_REUT">"c5383"</definedName>
    <definedName name="IQ_NI_REPORTED_NUM_EST_REUT">"c5386"</definedName>
    <definedName name="IQ_NI_REPORTED_STDDEV_EST_REUT">"c5387"</definedName>
    <definedName name="IQ_NI_STDDEV_EST_REUT">"c5373"</definedName>
    <definedName name="IQ_NON_CASH_1">"c797"</definedName>
    <definedName name="IQ_NON_INT_EXP_FDIC">"c6579"</definedName>
    <definedName name="IQ_NON_INT_INC_FDIC">"c6575"</definedName>
    <definedName name="IQ_NON_INTEREST_EXP_1">"c801"</definedName>
    <definedName name="IQ_NON_INTEREST_INC_1">"c802"</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 hidden="1">"c3000"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 hidden="1">"c2550"</definedName>
    <definedName name="IQ_NONRECOURSE_DEBT_PCT" hidden="1">"c2551"</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TRANSACTION_ACCOUNTS_FDIC">"c6552"</definedName>
    <definedName name="IQ_NONUTIL_REV" hidden="1">"c2089"</definedName>
    <definedName name="IQ_NORM_EPS_ACT_OR_EST_REUT">"c5472"</definedName>
    <definedName name="IQ_NOTES_PAY_1">"c1176"</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TM">6000</definedName>
    <definedName name="IQ_NUM_BRANCHES" hidden="1">"c2088"</definedName>
    <definedName name="IQ_NUM_OFFICES">"c2088"</definedName>
    <definedName name="IQ_NUMBER_ADRHOLDERS" hidden="1">"c1970"</definedName>
    <definedName name="IQ_NUMBER_DAYS" hidden="1">"c1904"</definedName>
    <definedName name="IQ_NUMBER_DEPOSITS_LESS_THAN_100K_FDIC">"c6495"</definedName>
    <definedName name="IQ_NUMBER_DEPOSITS_MORE_THAN_100K_FDIC">"c6493"</definedName>
    <definedName name="IQ_NUMBER_SHAREHOLDERS" hidden="1">"c1967"</definedName>
    <definedName name="IQ_NUMBER_SHAREHOLDERS_CLASSA" hidden="1">"c1968"</definedName>
    <definedName name="IQ_NUMBER_SHAREHOLDERS_CLASSB">"c1969"</definedName>
    <definedName name="IQ_NUMBER_SHAREHOLDERS_OTHER" hidden="1">"c1969"</definedName>
    <definedName name="IQ_OBLIGATIONS_OF_STATES_TOTAL_LOANS_FOREIGN_FDIC">"c6447"</definedName>
    <definedName name="IQ_OBLIGATIONS_STATES_FDIC">"c6431"</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AILY_PRDUCTION_GROWTH_GAS_1">"c12732"</definedName>
    <definedName name="IQ_OG_DAILY_PRDUCTION_GROWTH_GAS_EQUIVALENT_1">"c12733"</definedName>
    <definedName name="IQ_OG_DAILY_PRDUCTION_GROWTH_NGL_1">"c12734"</definedName>
    <definedName name="IQ_OG_DAILY_PRDUCTION_GROWTH_OIL_1">"c12735"</definedName>
    <definedName name="IQ_OG_DAILY_PRDUCTION_GROWTH_OIL_EQUIVALENT_1">"c12736"</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_1">"c12737"</definedName>
    <definedName name="IQ_OG_PRDUCTION_GROWTH_GAS_EQUIVALENT_1">"c12738"</definedName>
    <definedName name="IQ_OG_PRDUCTION_GROWTH_NGL_1">"c12739"</definedName>
    <definedName name="IQ_OG_PRDUCTION_GROWTH_OIL_1">"c12740"</definedName>
    <definedName name="IQ_OG_PRDUCTION_GROWTH_OIL_EQUIVALENT_1">"c12741"</definedName>
    <definedName name="IQ_OG_PRDUCTION_GROWTH_TOAL_1">"c12742"</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NGL" hidden="1">"c2923"</definedName>
    <definedName name="IQ_OG_UNDEVELOPED_RESERVES_OIL" hidden="1">"c2039"</definedName>
    <definedName name="IQ_OPEB_OBLIGATION_ACTUARIAL_GAIN_LOSS_DOMօ鑤㊦">"c3369"</definedName>
    <definedName name="IQ_OPENED55">1</definedName>
    <definedName name="IQ_OPER_INC_ACT_OR_EST_REUT">"c5466"</definedName>
    <definedName name="IQ_OPER_INC_BR" hidden="1">"c850"</definedName>
    <definedName name="IQ_OPER_INC_DET_EST_CURRENCY_REUT">"c12543"</definedName>
    <definedName name="IQ_OPER_INC_DET_EST_DATE_REUT">"c12302"</definedName>
    <definedName name="IQ_OPER_INC_DET_EST_INCL_REUT">"c12426"</definedName>
    <definedName name="IQ_OPER_INC_DET_EST_ORIGIN_REUT">"c12670"</definedName>
    <definedName name="IQ_OPER_INC_DET_EST_REUT">"c12160"</definedName>
    <definedName name="IQ_OPER_INC_EST_REUT">"c5340"</definedName>
    <definedName name="IQ_OPER_INC_HIGH_EST_REUT">"c5342"</definedName>
    <definedName name="IQ_OPER_INC_LOW_EST_REUT">"c5343"</definedName>
    <definedName name="IQ_OPER_INC_MARGIN_1">"c362"</definedName>
    <definedName name="IQ_OPER_INC_MEDIAN_EST_REUT">"c5341"</definedName>
    <definedName name="IQ_OPER_INC_NUM_EST_REUT">"c5344"</definedName>
    <definedName name="IQ_OPER_INC_STDDEV_EST_REUT">"c5345"</definedName>
    <definedName name="IQ_OPTIONS_EXCERCISED">"c2116"</definedName>
    <definedName name="IQ_OPTIONS_EXERCISED" hidden="1">"c2116"</definedName>
    <definedName name="IQ_OPTIONS_GRANTED" hidden="1">"c2673"</definedName>
    <definedName name="IQ_OPTIONS_OS">"c858"</definedName>
    <definedName name="IQ_OPTIONS_STRIKE_PRICE_GRANTED" hidden="1">"c2678"</definedName>
    <definedName name="IQ_OPTIONS_STRIKE_PRICE_OS" hidden="1">"c2677"</definedName>
    <definedName name="IQ_ORDER_BACKLOG" hidden="1">"c2090"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MORT_BR">"c5566"</definedName>
    <definedName name="IQ_OTHER_ASSETS_BR" hidden="1">"c862"</definedName>
    <definedName name="IQ_OTHER_ASSETS_FDIC">"c6338"</definedName>
    <definedName name="IQ_OTHER_ASSETS_SERV_RIGHTS" hidden="1">"c2243"</definedName>
    <definedName name="IQ_OTHER_BORROWED_FUNDS_FDIC">"c6345"</definedName>
    <definedName name="IQ_OTHER_CA_SUPPL_BR" hidden="1">"c871"</definedName>
    <definedName name="IQ_OTHER_CL_SUPPL_BR" hidden="1">"c880"</definedName>
    <definedName name="IQ_OTHER_COMPREHENSIVE_INCOME_FDIC">"c6503"</definedName>
    <definedName name="IQ_OTHER_CURRENT_ASSETS_1">"c868"</definedName>
    <definedName name="IQ_OTHER_CURRENT_LIAB_1">"c877"</definedName>
    <definedName name="IQ_OTHER_DEBT" hidden="1">"c2507"</definedName>
    <definedName name="IQ_OTHER_DEBT_PCT" hidden="1">"c2508"</definedName>
    <definedName name="IQ_OTHER_DEPOSITORY_INSTITUTIONS_LOANS_FDIC">"c6436"</definedName>
    <definedName name="IQ_OTHER_DEPOSITORY_INSTITUTIONS_TOTAL_LOANS_FOREIGN_FDIC">"c6442"</definedName>
    <definedName name="IQ_OTHER_DOMESTIC_DEBT_SECURITIES_FDIC">"c6302"</definedName>
    <definedName name="IQ_OTHER_EQUITY_BR" hidden="1">"c888"</definedName>
    <definedName name="IQ_OTHER_FINANCE_ACT_BR" hidden="1">"c895"</definedName>
    <definedName name="IQ_OTHER_FINANCE_ACT_SUPPL_BR" hidden="1">"c901"</definedName>
    <definedName name="IQ_OTHER_INSURANCE_FEES_FDIC">"c6672"</definedName>
    <definedName name="IQ_OTHER_INTAN_BR" hidden="1">"c909"</definedName>
    <definedName name="IQ_OTHER_INTANGIBLE_FDIC">"c6337"</definedName>
    <definedName name="IQ_OTHER_INVEST_ACT_BR" hidden="1">"c918"</definedName>
    <definedName name="IQ_OTHER_INVEST_ACT_SUPPL_BR" hidden="1">"c924"</definedName>
    <definedName name="IQ_OTHER_INVESTING_1">"c916"</definedName>
    <definedName name="IQ_OTHER_LIAB_BR" hidden="1">"c932"</definedName>
    <definedName name="IQ_OTHER_LIAB_LT_BR" hidden="1">"c937"</definedName>
    <definedName name="IQ_OTHER_LIABILITIES_FDIC">"c6347"</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_1">"c946"</definedName>
    <definedName name="IQ_OTHER_LT_ASSETS_BR" hidden="1">"c948"</definedName>
    <definedName name="IQ_OTHER_MINING_REVENUE_COAL" hidden="1">"c15931"</definedName>
    <definedName name="IQ_OTHER_NET_1">"c959"</definedName>
    <definedName name="IQ_OTHER_NON_INT_EXP_FDIC">"c6578"</definedName>
    <definedName name="IQ_OTHER_NON_INT_EXPENSE_FDIC">"c6679"</definedName>
    <definedName name="IQ_OTHER_NON_INT_INC_FDIC">"c6676"</definedName>
    <definedName name="IQ_OTHER_NON_OPER_EXP_BR" hidden="1">"c957"</definedName>
    <definedName name="IQ_OTHER_NON_OPER_EXP_SUPPL_BR" hidden="1">"c962"</definedName>
    <definedName name="IQ_OTHER_NON_REC">"c968"</definedName>
    <definedName name="IQ_OTHER_NON_REC_BNK">"c969"</definedName>
    <definedName name="IQ_OTHER_NON_REC_BR">"c970"</definedName>
    <definedName name="IQ_OTHER_NON_REC_FIN">"c971"</definedName>
    <definedName name="IQ_OTHER_NON_REC_INS">"c972"</definedName>
    <definedName name="IQ_OTHER_NON_REC_REIT">"c973"</definedName>
    <definedName name="IQ_OTHER_NON_REC_SUPPL">"c974"</definedName>
    <definedName name="IQ_OTHER_NON_REC_SUPPL_BNK">"c975"</definedName>
    <definedName name="IQ_OTHER_NON_REC_SUPPL_BR">"c976"</definedName>
    <definedName name="IQ_OTHER_NON_REC_SUPPL_FIN">"c977"</definedName>
    <definedName name="IQ_OTHER_NON_REC_SUPPL_INS">"c978"</definedName>
    <definedName name="IQ_OTHER_NON_REC_SUPPL_REIT">"c979"</definedName>
    <definedName name="IQ_OTHER_NON_REC_SUPPL_UTI">"c980"</definedName>
    <definedName name="IQ_OTHER_NON_REC_UTI">"c981"</definedName>
    <definedName name="IQ_OTHER_OFF_BS_LIAB_FDIC">"c6533"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RE_OWNED_FDIC">"c6330"</definedName>
    <definedName name="IQ_OTHER_REV_BR" hidden="1">"c1011"</definedName>
    <definedName name="IQ_OTHER_REV_SUPPL_BR" hidden="1">"c1016"</definedName>
    <definedName name="IQ_OTHER_REVENUE_1">"c1010"</definedName>
    <definedName name="IQ_OTHER_SAVINGS_DEPOSITS_FDIC">"c6554"</definedName>
    <definedName name="IQ_OTHER_STRIKE_PRICE_GRANTED" hidden="1">"c2692"</definedName>
    <definedName name="IQ_OTHER_TRANSACTIONS_FDIC">"c6504"</definedName>
    <definedName name="IQ_OTHER_UNDRAWN" hidden="1">"c2522"</definedName>
    <definedName name="IQ_OTHER_UNUSAL">"c998"</definedName>
    <definedName name="IQ_OTHER_UNUSAL_BNK">"c999"</definedName>
    <definedName name="IQ_OTHER_UNUSAL_BR">"c1000"</definedName>
    <definedName name="IQ_OTHER_UNUSAL_FIN">"c1001"</definedName>
    <definedName name="IQ_OTHER_UNUSAL_INS">"c1002"</definedName>
    <definedName name="IQ_OTHER_UNUSAL_REIT">"c1003"</definedName>
    <definedName name="IQ_OTHER_UNUSAL_SUPPL">"c1004"</definedName>
    <definedName name="IQ_OTHER_UNUSAL_SUPPL_BNK">"c1005"</definedName>
    <definedName name="IQ_OTHER_UNUSAL_SUPPL_BR">"c1006"</definedName>
    <definedName name="IQ_OTHER_UNUSAL_SUPPL_FIN">"c1007"</definedName>
    <definedName name="IQ_OTHER_UNUSAL_SUPPL_INS">"c1008"</definedName>
    <definedName name="IQ_OTHER_UNUSAL_SUPPL_REIT">"c1009"</definedName>
    <definedName name="IQ_OTHER_UNUSAL_SUPPL_UTI">"c1010"</definedName>
    <definedName name="IQ_OTHER_UNUSAL_UTI">"c1011"</definedName>
    <definedName name="IQ_OTHER_UNUSED_COMMITMENTS_FDIC">"c6530"</definedName>
    <definedName name="IQ_OTHER_UNUSUAL_BR" hidden="1">"c1561"</definedName>
    <definedName name="IQ_OTHER_UNUSUAL_SUPPL_BR" hidden="1">"c1496"</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_1">"c1022"</definedName>
    <definedName name="IQ_OUTSTANDING_FILING_DATE_1">"c1023"</definedName>
    <definedName name="IQ_OUTSTANDING_FILING_DATE_TOTAL">"c2107"</definedName>
    <definedName name="IQ_OVER_FIFETEEN_YEAR_MORTGAGE_PASS_THROUGHS_FDIC">"c6416"</definedName>
    <definedName name="IQ_OVER_FIFTEEN_YEAR_FIXED_AND_FLOATING_RATE_FDIC">"c6424"</definedName>
    <definedName name="IQ_OVER_THREE_YEARS_FDIC">"c6418"</definedName>
    <definedName name="IQ_OWNERSHIP" hidden="1">"c2160"</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_1">"c8"</definedName>
    <definedName name="IQ_PAYOUT_RATIO" hidden="1">"c1900"</definedName>
    <definedName name="IQ_PBV_FWD_REUT">"c15238"</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_FWD_REUT">"c4049"</definedName>
    <definedName name="IQ_PE_NORMALIZED" hidden="1">"c2207"</definedName>
    <definedName name="IQ_PEG_FWD_REUT">"c4052"</definedName>
    <definedName name="IQ_PERCENT_CHANGE_EST_5YR_GROWTH_RATE_12MONTHS_REUT">"c3959"</definedName>
    <definedName name="IQ_PERCENT_CHANGE_EST_5YR_GROWTH_RATE_18MONTHS_REUT">"c3960"</definedName>
    <definedName name="IQ_PERCENT_CHANGE_EST_5YR_GROWTH_RATE_3MONTHS_REUT">"c3956"</definedName>
    <definedName name="IQ_PERCENT_CHANGE_EST_5YR_GROWTH_RATE_6MONTHS_REUT">"c3957"</definedName>
    <definedName name="IQ_PERCENT_CHANGE_EST_5YR_GROWTH_RATE_9MONTHS_REUT">"c3958"</definedName>
    <definedName name="IQ_PERCENT_CHANGE_EST_5YR_GROWTH_RATE_DAY_REUT">"c3954"</definedName>
    <definedName name="IQ_PERCENT_CHANGE_EST_5YR_GROWTH_RATE_MONTH_REUT">"c3955"</definedName>
    <definedName name="IQ_PERCENT_CHANGE_EST_5YR_GROWTH_RATE_WEEK_REUT">"c5435"</definedName>
    <definedName name="IQ_PERCENT_CHANGE_EST_CFPS_12MONTHS_REUT">"c3924"</definedName>
    <definedName name="IQ_PERCENT_CHANGE_EST_CFPS_18MONTHS_REUT">"c3925"</definedName>
    <definedName name="IQ_PERCENT_CHANGE_EST_CFPS_3MONTHS_REUT">"c3921"</definedName>
    <definedName name="IQ_PERCENT_CHANGE_EST_CFPS_6MONTHS_REUT">"c3922"</definedName>
    <definedName name="IQ_PERCENT_CHANGE_EST_CFPS_9MONTHS_REUT">"c3923"</definedName>
    <definedName name="IQ_PERCENT_CHANGE_EST_CFPS_DAY_REUT">"c3919"</definedName>
    <definedName name="IQ_PERCENT_CHANGE_EST_CFPS_MONTH_REUT">"c3920"</definedName>
    <definedName name="IQ_PERCENT_CHANGE_EST_CFPS_WEEK_REUT">"c3962"</definedName>
    <definedName name="IQ_PERCENT_CHANGE_EST_DPS_12MONTHS_REUT">"c3931"</definedName>
    <definedName name="IQ_PERCENT_CHANGE_EST_DPS_18MONTHS_REUT">"c3932"</definedName>
    <definedName name="IQ_PERCENT_CHANGE_EST_DPS_3MONTHS_REUT">"c3928"</definedName>
    <definedName name="IQ_PERCENT_CHANGE_EST_DPS_6MONTHS_REUT">"c3929"</definedName>
    <definedName name="IQ_PERCENT_CHANGE_EST_DPS_9MONTHS_REUT">"c3930"</definedName>
    <definedName name="IQ_PERCENT_CHANGE_EST_DPS_DAY_REUT">"c3926"</definedName>
    <definedName name="IQ_PERCENT_CHANGE_EST_DPS_MONTH_REUT">"c3927"</definedName>
    <definedName name="IQ_PERCENT_CHANGE_EST_DPS_WEEK_REUT">"c3963"</definedName>
    <definedName name="IQ_PERCENT_CHANGE_EST_EBITDA_12MONTHS_REUT">"c3917"</definedName>
    <definedName name="IQ_PERCENT_CHANGE_EST_EBITDA_18MONTHS_REUT">"c3918"</definedName>
    <definedName name="IQ_PERCENT_CHANGE_EST_EBITDA_3MONTHS_REUT">"c3914"</definedName>
    <definedName name="IQ_PERCENT_CHANGE_EST_EBITDA_6MONTHS_REUT">"c3915"</definedName>
    <definedName name="IQ_PERCENT_CHANGE_EST_EBITDA_9MONTHS_REUT">"c3916"</definedName>
    <definedName name="IQ_PERCENT_CHANGE_EST_EBITDA_DAY_REUT">"c3912"</definedName>
    <definedName name="IQ_PERCENT_CHANGE_EST_EBITDA_MONTH_REUT">"c3913"</definedName>
    <definedName name="IQ_PERCENT_CHANGE_EST_EBITDA_WEEK_REUT">"c3961"</definedName>
    <definedName name="IQ_PERCENT_CHANGE_EST_EPS_12MONTHS_REUT">"c3902"</definedName>
    <definedName name="IQ_PERCENT_CHANGE_EST_EPS_18MONTHS_REUT">"c3903"</definedName>
    <definedName name="IQ_PERCENT_CHANGE_EST_EPS_3MONTHS_REUT">"c3899"</definedName>
    <definedName name="IQ_PERCENT_CHANGE_EST_EPS_6MONTHS_REUT">"c3900"</definedName>
    <definedName name="IQ_PERCENT_CHANGE_EST_EPS_9MONTHS_REUT">"c3901"</definedName>
    <definedName name="IQ_PERCENT_CHANGE_EST_EPS_DAY_REUT">"c3896"</definedName>
    <definedName name="IQ_PERCENT_CHANGE_EST_EPS_MONTH_REUT">"c3898"</definedName>
    <definedName name="IQ_PERCENT_CHANGE_EST_EPS_WEEK_REUT">"c3897"</definedName>
    <definedName name="IQ_PERCENT_CHANGE_EST_FFO_12MONTHS" hidden="1">"c1828"</definedName>
    <definedName name="IQ_PERCENT_CHANGE_EST_FFO_12MONTHS_CIQ">"c3769"</definedName>
    <definedName name="IQ_PERCENT_CHANGE_EST_FFO_12MONTHS_REUT">"c3938"</definedName>
    <definedName name="IQ_PERCENT_CHANGE_EST_FFO_12MONTHS_THOM">"c5248"</definedName>
    <definedName name="IQ_PERCENT_CHANGE_EST_FFO_18MONTHS" hidden="1">"c1829"</definedName>
    <definedName name="IQ_PERCENT_CHANGE_EST_FFO_18MONTHS_CIQ">"c3770"</definedName>
    <definedName name="IQ_PERCENT_CHANGE_EST_FFO_18MONTHS_REUT">"c3939"</definedName>
    <definedName name="IQ_PERCENT_CHANGE_EST_FFO_18MONTHS_THOM">"c5249"</definedName>
    <definedName name="IQ_PERCENT_CHANGE_EST_FFO_3MONTHS" hidden="1">"c1825"</definedName>
    <definedName name="IQ_PERCENT_CHANGE_EST_FFO_3MONTHS_CIQ">"c3766"</definedName>
    <definedName name="IQ_PERCENT_CHANGE_EST_FFO_3MONTHS_REUT">"c3935"</definedName>
    <definedName name="IQ_PERCENT_CHANGE_EST_FFO_3MONTHS_THOM">"c5245"</definedName>
    <definedName name="IQ_PERCENT_CHANGE_EST_FFO_6MONTHS" hidden="1">"c1826"</definedName>
    <definedName name="IQ_PERCENT_CHANGE_EST_FFO_6MONTHS_CIQ">"c3767"</definedName>
    <definedName name="IQ_PERCENT_CHANGE_EST_FFO_6MONTHS_REUT">"c3936"</definedName>
    <definedName name="IQ_PERCENT_CHANGE_EST_FFO_6MONTHS_THOM">"c5246"</definedName>
    <definedName name="IQ_PERCENT_CHANGE_EST_FFO_9MONTHS" hidden="1">"c1827"</definedName>
    <definedName name="IQ_PERCENT_CHANGE_EST_FFO_9MONTHS_CIQ">"c3768"</definedName>
    <definedName name="IQ_PERCENT_CHANGE_EST_FFO_9MONTHS_REUT">"c3937"</definedName>
    <definedName name="IQ_PERCENT_CHANGE_EST_FFO_9MONTHS_THOM">"c5247"</definedName>
    <definedName name="IQ_PERCENT_CHANGE_EST_FFO_DAY" hidden="1">"c1822"</definedName>
    <definedName name="IQ_PERCENT_CHANGE_EST_FFO_DAY_CIQ">"c3764"</definedName>
    <definedName name="IQ_PERCENT_CHANGE_EST_FFO_DAY_REUT">"c3933"</definedName>
    <definedName name="IQ_PERCENT_CHANGE_EST_FFO_DAY_THOM">"c5243"</definedName>
    <definedName name="IQ_PERCENT_CHANGE_EST_FFO_MONTH" hidden="1">"c1824"</definedName>
    <definedName name="IQ_PERCENT_CHANGE_EST_FFO_MONTH_CIQ">"c3765"</definedName>
    <definedName name="IQ_PERCENT_CHANGE_EST_FFO_MONTH_REUT">"c3934"</definedName>
    <definedName name="IQ_PERCENT_CHANGE_EST_FFO_MONTH_THOM">"c5244"</definedName>
    <definedName name="IQ_PERCENT_CHANGE_EST_FFO_SHARE_12MONTHS_REUT">"c3938"</definedName>
    <definedName name="IQ_PERCENT_CHANGE_EST_FFO_SHARE_18MONTHS_REUT">"c3939"</definedName>
    <definedName name="IQ_PERCENT_CHANGE_EST_FFO_SHARE_3MONTHS_REUT">"c3935"</definedName>
    <definedName name="IQ_PERCENT_CHANGE_EST_FFO_SHARE_6MONTHS_REUT">"c3936"</definedName>
    <definedName name="IQ_PERCENT_CHANGE_EST_FFO_SHARE_9MONTHS_REUT">"c3937"</definedName>
    <definedName name="IQ_PERCENT_CHANGE_EST_FFO_SHARE_DAY_REUT">"c3933"</definedName>
    <definedName name="IQ_PERCENT_CHANGE_EST_FFO_SHARE_MONTH_REUT">"c3934"</definedName>
    <definedName name="IQ_PERCENT_CHANGE_EST_FFO_SHARE_SHARE_12MONTHS">"c1828"</definedName>
    <definedName name="IQ_PERCENT_CHANGE_EST_FFO_SHARE_SHARE_12MONTHS_CIQ">"c3769"</definedName>
    <definedName name="IQ_PERCENT_CHANGE_EST_FFO_SHARE_SHARE_12MONTHS_REUT">"c3938"</definedName>
    <definedName name="IQ_PERCENT_CHANGE_EST_FFO_SHARE_SHARE_12MONTHS_THOM">"c5248"</definedName>
    <definedName name="IQ_PERCENT_CHANGE_EST_FFO_SHARE_SHARE_18MONTHS">"c1829"</definedName>
    <definedName name="IQ_PERCENT_CHANGE_EST_FFO_SHARE_SHARE_18MONTHS_CIQ">"c3770"</definedName>
    <definedName name="IQ_PERCENT_CHANGE_EST_FFO_SHARE_SHARE_18MONTHS_REUT">"c3939"</definedName>
    <definedName name="IQ_PERCENT_CHANGE_EST_FFO_SHARE_SHARE_18MONTHS_THOM">"c5249"</definedName>
    <definedName name="IQ_PERCENT_CHANGE_EST_FFO_SHARE_SHARE_3MONTHS">"c1825"</definedName>
    <definedName name="IQ_PERCENT_CHANGE_EST_FFO_SHARE_SHARE_3MONTHS_CIQ">"c3766"</definedName>
    <definedName name="IQ_PERCENT_CHANGE_EST_FFO_SHARE_SHARE_3MONTHS_REUT">"c3935"</definedName>
    <definedName name="IQ_PERCENT_CHANGE_EST_FFO_SHARE_SHARE_3MONTHS_THOM">"c5245"</definedName>
    <definedName name="IQ_PERCENT_CHANGE_EST_FFO_SHARE_SHARE_6MONTHS">"c1826"</definedName>
    <definedName name="IQ_PERCENT_CHANGE_EST_FFO_SHARE_SHARE_6MONTHS_CIQ">"c3767"</definedName>
    <definedName name="IQ_PERCENT_CHANGE_EST_FFO_SHARE_SHARE_6MONTHS_REUT">"c3936"</definedName>
    <definedName name="IQ_PERCENT_CHANGE_EST_FFO_SHARE_SHARE_6MONTHS_THOM">"c5246"</definedName>
    <definedName name="IQ_PERCENT_CHANGE_EST_FFO_SHARE_SHARE_9MONTHS">"c1827"</definedName>
    <definedName name="IQ_PERCENT_CHANGE_EST_FFO_SHARE_SHARE_9MONTHS_CIQ">"c3768"</definedName>
    <definedName name="IQ_PERCENT_CHANGE_EST_FFO_SHARE_SHARE_9MONTHS_REUT">"c3937"</definedName>
    <definedName name="IQ_PERCENT_CHANGE_EST_FFO_SHARE_SHARE_9MONTHS_THOM">"c5247"</definedName>
    <definedName name="IQ_PERCENT_CHANGE_EST_FFO_SHARE_SHARE_DAY">"c1822"</definedName>
    <definedName name="IQ_PERCENT_CHANGE_EST_FFO_SHARE_SHARE_DAY_CIQ">"c3764"</definedName>
    <definedName name="IQ_PERCENT_CHANGE_EST_FFO_SHARE_SHARE_DAY_REUT">"c3933"</definedName>
    <definedName name="IQ_PERCENT_CHANGE_EST_FFO_SHARE_SHARE_DAY_THOM">"c5243"</definedName>
    <definedName name="IQ_PERCENT_CHANGE_EST_FFO_SHARE_SHARE_MONTH">"c1824"</definedName>
    <definedName name="IQ_PERCENT_CHANGE_EST_FFO_SHARE_SHARE_MONTH_CIQ">"c3765"</definedName>
    <definedName name="IQ_PERCENT_CHANGE_EST_FFO_SHARE_SHARE_MONTH_REUT">"c3934"</definedName>
    <definedName name="IQ_PERCENT_CHANGE_EST_FFO_SHARE_SHARE_MONTH_THOM">"c5244"</definedName>
    <definedName name="IQ_PERCENT_CHANGE_EST_FFO_SHARE_SHARE_WEEK">"c1823"</definedName>
    <definedName name="IQ_PERCENT_CHANGE_EST_FFO_SHARE_SHARE_WEEK_CIQ">"c3795"</definedName>
    <definedName name="IQ_PERCENT_CHANGE_EST_FFO_SHARE_SHARE_WEEK_REUT">"c3964"</definedName>
    <definedName name="IQ_PERCENT_CHANGE_EST_FFO_SHARE_SHARE_WEEK_THOM">"c5274"</definedName>
    <definedName name="IQ_PERCENT_CHANGE_EST_FFO_SHARE_WEEK_REUT">"c3964"</definedName>
    <definedName name="IQ_PERCENT_CHANGE_EST_FFO_WEEK" hidden="1">"c1823"</definedName>
    <definedName name="IQ_PERCENT_CHANGE_EST_FFO_WEEK_CIQ">"c3795"</definedName>
    <definedName name="IQ_PERCENT_CHANGE_EST_FFO_WEEK_REUT">"c3964"</definedName>
    <definedName name="IQ_PERCENT_CHANGE_EST_FFO_WEEK_THOM">"c5274"</definedName>
    <definedName name="IQ_PERCENT_CHANGE_EST_PRICE_TARGET_12MONTHS_REUT">"c3952"</definedName>
    <definedName name="IQ_PERCENT_CHANGE_EST_PRICE_TARGET_18MONTHS_REUT">"c3953"</definedName>
    <definedName name="IQ_PERCENT_CHANGE_EST_PRICE_TARGET_3MONTHS_REUT">"c3949"</definedName>
    <definedName name="IQ_PERCENT_CHANGE_EST_PRICE_TARGET_6MONTHS_REUT">"c3950"</definedName>
    <definedName name="IQ_PERCENT_CHANGE_EST_PRICE_TARGET_9MONTHS_REUT">"c3951"</definedName>
    <definedName name="IQ_PERCENT_CHANGE_EST_PRICE_TARGET_DAY_REUT">"c3947"</definedName>
    <definedName name="IQ_PERCENT_CHANGE_EST_PRICE_TARGET_MONTH_REUT">"c3948"</definedName>
    <definedName name="IQ_PERCENT_CHANGE_EST_PRICE_TARGET_WEEK_REUT">"c3967"</definedName>
    <definedName name="IQ_PERCENT_CHANGE_EST_RECO_12MONTHS_REUT">"c3945"</definedName>
    <definedName name="IQ_PERCENT_CHANGE_EST_RECO_18MONTHS_REUT">"c3946"</definedName>
    <definedName name="IQ_PERCENT_CHANGE_EST_RECO_3MONTHS_REUT">"c3942"</definedName>
    <definedName name="IQ_PERCENT_CHANGE_EST_RECO_6MONTHS_REUT">"c3943"</definedName>
    <definedName name="IQ_PERCENT_CHANGE_EST_RECO_9MONTHS_REUT">"c3944"</definedName>
    <definedName name="IQ_PERCENT_CHANGE_EST_RECO_DAY_REUT">"c3940"</definedName>
    <definedName name="IQ_PERCENT_CHANGE_EST_RECO_MONTH_REUT">"c3941"</definedName>
    <definedName name="IQ_PERCENT_CHANGE_EST_RECO_WEEK_REUT">"c3966"</definedName>
    <definedName name="IQ_PERCENT_CHANGE_EST_REV_12MONTHS_REUT">"c3910"</definedName>
    <definedName name="IQ_PERCENT_CHANGE_EST_REV_18MONTHS_REUT">"c3911"</definedName>
    <definedName name="IQ_PERCENT_CHANGE_EST_REV_3MONTHS_REUT">"c3907"</definedName>
    <definedName name="IQ_PERCENT_CHANGE_EST_REV_6MONTHS_REUT">"c3908"</definedName>
    <definedName name="IQ_PERCENT_CHANGE_EST_REV_9MONTHS_REUT">"c3909"</definedName>
    <definedName name="IQ_PERCENT_CHANGE_EST_REV_DAY_REUT">"c3904"</definedName>
    <definedName name="IQ_PERCENT_CHANGE_EST_REV_MONTH_REUT">"c3906"</definedName>
    <definedName name="IQ_PERCENT_CHANGE_EST_REV_WEEK_REUT">"c3905"</definedName>
    <definedName name="IQ_PERCENT_FLOAT">"c227"</definedName>
    <definedName name="IQ_PERCENT_INSURED_FDIC">"c6374"</definedName>
    <definedName name="IQ_PERIODDATE_1">"c1034"</definedName>
    <definedName name="IQ_PERIODDATE_FDIC">"c13646"</definedName>
    <definedName name="IQ_PHARMBIO_NUMBER_PROD__APPROVED_DURING_PERIOD_1">"c12750"</definedName>
    <definedName name="IQ_PHARMBIO_NUMBER_PROD__CLINICAL_DEV_1">"c12745"</definedName>
    <definedName name="IQ_PHARMBIO_NUMBER_PROD__LAUNCHED_DURING_PERIOD_1">"c12751"</definedName>
    <definedName name="IQ_PHARMBIO_NUMBER_PROD__PHASE_I_1">"c12746"</definedName>
    <definedName name="IQ_PHARMBIO_NUMBER_PROD__PHASE_II_1">"c12747"</definedName>
    <definedName name="IQ_PHARMBIO_NUMBER_PROD__PHASE_III_1">"c12748"</definedName>
    <definedName name="IQ_PHARMBIO_NUMBER_PROD__PRE_CLINICAL_TRIALS_1">"c12744"</definedName>
    <definedName name="IQ_PHARMBIO_NUMBER_PROD__PRE_REGISTRATION_1">"c12749"</definedName>
    <definedName name="IQ_PHARMBIO_NUMBER_PROD__RESEARCH_DEV_1">"c12743"</definedName>
    <definedName name="IQ_PLEDGED_SECURITIES_FDIC">"c6401"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STPAID_CHURN" hidden="1">"c2121"</definedName>
    <definedName name="IQ_POSTPAID_SUBS" hidden="1">"c2118"</definedName>
    <definedName name="IQ_POTENTIAL_UPSIDE_REUT">"c3968"</definedName>
    <definedName name="IQ_PRE_TAX_ACT_OR_EST_REUT">"c5467"</definedName>
    <definedName name="IQ_PRE_TAX_INCOME_FDIC">"c6581"</definedName>
    <definedName name="IQ_PREF_ISSUED_BR" hidden="1">"c1047"</definedName>
    <definedName name="IQ_PREF_OTHER_BR" hidden="1">"c1055"</definedName>
    <definedName name="IQ_PREF_REP_BR" hidden="1">"c1062"</definedName>
    <definedName name="IQ_PREF_STOCK_1">"c1052"</definedName>
    <definedName name="IQ_PREF_TOT_1">"c1044"</definedName>
    <definedName name="IQ_PREFERRED_FDIC">"c6349"</definedName>
    <definedName name="IQ_PREMISES_EQUIPMENT_FDIC">"c6577"</definedName>
    <definedName name="IQ_PREPAID_CHURN" hidden="1">"c2120"</definedName>
    <definedName name="IQ_PREPAID_EXPEN_1">"c1068"</definedName>
    <definedName name="IQ_PREPAID_SUBS" hidden="1">"c2117"</definedName>
    <definedName name="IQ_PRETAX_GW_INC_DET_EST_CURRENCY_REUT">"c12531"</definedName>
    <definedName name="IQ_PRETAX_GW_INC_DET_EST_DATE_REUT">"c12290"</definedName>
    <definedName name="IQ_PRETAX_GW_INC_DET_EST_INCL_REUT">"c12414"</definedName>
    <definedName name="IQ_PRETAX_GW_INC_DET_EST_ORIGIN_REUT">"c12658"</definedName>
    <definedName name="IQ_PRETAX_GW_INC_DET_EST_REUT">"c12148"</definedName>
    <definedName name="IQ_PRETAX_GW_INC_EST_REUT">"c5354"</definedName>
    <definedName name="IQ_PRETAX_GW_INC_HIGH_EST_REUT">"c5356"</definedName>
    <definedName name="IQ_PRETAX_GW_INC_LOW_EST_REUT">"c5357"</definedName>
    <definedName name="IQ_PRETAX_GW_INC_MEDIAN_EST_REUT">"c5355"</definedName>
    <definedName name="IQ_PRETAX_GW_INC_NUM_EST_REUT">"c5358"</definedName>
    <definedName name="IQ_PRETAX_GW_INC_STDDEV_EST_REUT">"c5359"</definedName>
    <definedName name="IQ_PRETAX_INC">"IQ_PRETAX_INC"</definedName>
    <definedName name="IQ_PRETAX_INC_10K">"IQ_PRETAX_INC_10K"</definedName>
    <definedName name="IQ_PRETAX_INC_10Q">"IQ_PRETAX_INC_10Q"</definedName>
    <definedName name="IQ_PRETAX_INC_10Q1">"IQ_PRETAX_INC_10Q1"</definedName>
    <definedName name="IQ_PRETAX_INC_DET_EST_CURRENCY_REUT">"c12530"</definedName>
    <definedName name="IQ_PRETAX_INC_DET_EST_DATE_REUT">"c12289"</definedName>
    <definedName name="IQ_PRETAX_INC_DET_EST_INCL_REUT">"c12413"</definedName>
    <definedName name="IQ_PRETAX_INC_DET_EST_ORIGIN_REUT">"c12657"</definedName>
    <definedName name="IQ_PRETAX_INC_DET_EST_REUT">"c12147"</definedName>
    <definedName name="IQ_PRETAX_INC_EST_REUT">"c5347"</definedName>
    <definedName name="IQ_PRETAX_INC_HIGH_EST_REUT">"c5349"</definedName>
    <definedName name="IQ_PRETAX_INC_LOW_EST_REUT">"c5350"</definedName>
    <definedName name="IQ_PRETAX_INC_MEDIAN_EST_REUT">"c5348"</definedName>
    <definedName name="IQ_PRETAX_INC_NUM_EST_REUT">"c5351"</definedName>
    <definedName name="IQ_PRETAX_INC_STDDEV_EST_REUT">"c5352"</definedName>
    <definedName name="IQ_PRETAX_REPORT_INC_DET_EST_CURRENCY_REUT">"c12532"</definedName>
    <definedName name="IQ_PRETAX_REPORT_INC_DET_EST_DATE_REUT">"c12291"</definedName>
    <definedName name="IQ_PRETAX_REPORT_INC_DET_EST_INCL_REUT">"c12415"</definedName>
    <definedName name="IQ_PRETAX_REPORT_INC_DET_EST_ORIGIN_REUT">"c12769"</definedName>
    <definedName name="IQ_PRETAX_REPORT_INC_DET_EST_REUT">"c12149"</definedName>
    <definedName name="IQ_PRETAX_REPORT_INC_EST_REUT">"c5361"</definedName>
    <definedName name="IQ_PRETAX_REPORT_INC_HIGH_EST_REUT">"c5363"</definedName>
    <definedName name="IQ_PRETAX_REPORT_INC_LOW_EST_REUT">"c5364"</definedName>
    <definedName name="IQ_PRETAX_REPORT_INC_MEDIAN_EST_REUT">"c5362"</definedName>
    <definedName name="IQ_PRETAX_REPORT_INC_NUM_EST_REUT">"c5365"</definedName>
    <definedName name="IQ_PRETAX_REPORT_INC_STDDEV_EST_REUT">"c5366"</definedName>
    <definedName name="IQ_PRETAX_RETURN_ASSETS_FDIC">"c6731"</definedName>
    <definedName name="IQ_PRICE_CFPS_FWD_REUT">"c4053"</definedName>
    <definedName name="IQ_PRICE_OVER_BVPS_1">"c1026"</definedName>
    <definedName name="IQ_PRICE_OVER_EPS_EST">"IQ_PRICE_OVER_EPS_EST"</definedName>
    <definedName name="IQ_PRICE_OVER_EPS_EST_1">"IQ_PRICE_OVER_EPS_EST_1"</definedName>
    <definedName name="IQ_PRICE_OVER_LTM_EPS_1">"c1029"</definedName>
    <definedName name="IQ_PRICE_TARGET" hidden="1">"c82"</definedName>
    <definedName name="IQ_PRICE_TARGET_BOTTOM_UP_REUT">"c5494"</definedName>
    <definedName name="IQ_PRICE_TARGET_REUT">"c3631"</definedName>
    <definedName name="IQ_PRICEDATETIME">"IQ_PRICEDATETIME"</definedName>
    <definedName name="IQ_PRIMARY_EPS_TYPE_REUT">"c5481"</definedName>
    <definedName name="IQ_PRIMARY_EPS_TYPE_THOM">"c5297"</definedName>
    <definedName name="IQ_PRINCIPAL_AMT" hidden="1">"c2157"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IVATELY_ISSUED_MORTGAGE_BACKED_SECURITIES_FDIC">"c6407"</definedName>
    <definedName name="IQ_PRIVATELY_ISSUED_MORTGAGE_PASS_THROUGHS_FDIC">"c6405"</definedName>
    <definedName name="IQ_PRO_FORMA_NET_INC_1">"c795"</definedName>
    <definedName name="IQ_PROJECTED_PENSION_OBLIGATION" hidden="1">"c1292"</definedName>
    <definedName name="IQ_PROJECTED_PENSION_OBLIGATION_DOMESTIC" hidden="1">"c2656"</definedName>
    <definedName name="IQ_PROJECTED_PENSION_OBLIGATION_FOREIGN" hidden="1">"c2664"</definedName>
    <definedName name="IQ_PROPERTY_GROSS_1">"c518"</definedName>
    <definedName name="IQ_PROPERTY_NET_1">"c829"</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PUT_DATE_SCHEDULE" hidden="1">"c2483"</definedName>
    <definedName name="IQ_PUT_NOTIFICATION" hidden="1">"c2485"</definedName>
    <definedName name="IQ_PUT_PRICE_SCHEDULE" hidden="1">"c2484"</definedName>
    <definedName name="IQ_QTD" hidden="1">750000</definedName>
    <definedName name="IQ_RC" hidden="1">"c2497"</definedName>
    <definedName name="IQ_RC_PCT" hidden="1">"c2498"</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_1">"c1059"</definedName>
    <definedName name="IQ_RELATED_PLANS_FDIC">"c6320"</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EARCH_DEV_1">"c1090"</definedName>
    <definedName name="IQ_RESIDENTIAL_LOANS" hidden="1">"c1102"</definedName>
    <definedName name="IQ_RESTATEMENTS_NET_FDIC">"c6500"</definedName>
    <definedName name="IQ_RESTRUCTURE_BR" hidden="1">"c1106"</definedName>
    <definedName name="IQ_RESTRUCTURED_LOANS_1_4_RESIDENTIAL_FDIC">"c6378"</definedName>
    <definedName name="IQ_RESTRUCTURED_LOANS_LEASES_FDIC">"c6377"</definedName>
    <definedName name="IQ_RESTRUCTURED_LOANS_NON_1_4_FDIC">"c6379"</definedName>
    <definedName name="IQ_RETAIL_ACQUIRED_FRANCHISE_STORES" hidden="1">"c2903"</definedName>
    <definedName name="IQ_RETAIL_ACQUIRED_FRANCHISE_STORES_1">"c2895"</definedName>
    <definedName name="IQ_RETAIL_ACQUIRED_OWNED_STORES" hidden="1">"c2895"</definedName>
    <definedName name="IQ_RETAIL_ACQUIRED_OWNED_STORES_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_1">"c1092"</definedName>
    <definedName name="IQ_RETAINED_EARNINGS_AVERAGE_EQUITY_FDIC">"c6733"</definedName>
    <definedName name="IQ_RETURN_ASSETS_ACT_OR_EST_REUT">"c5475"</definedName>
    <definedName name="IQ_RETURN_ASSETS_BROK" hidden="1">"c1115"</definedName>
    <definedName name="IQ_RETURN_ASSETS_DET_EST_DATE_REUT">"c12304"</definedName>
    <definedName name="IQ_RETURN_ASSETS_DET_EST_INCL_REUT">"c12428"</definedName>
    <definedName name="IQ_RETURN_ASSETS_DET_EST_ORIGIN_REUT">"c12672"</definedName>
    <definedName name="IQ_RETURN_ASSETS_DET_EST_REUT">"c12162"</definedName>
    <definedName name="IQ_RETURN_ASSETS_EST_REUT">"c3990"</definedName>
    <definedName name="IQ_RETURN_ASSETS_FDIC">"c6730"</definedName>
    <definedName name="IQ_RETURN_ASSETS_HIGH_EST_REUT">"c3992"</definedName>
    <definedName name="IQ_RETURN_ASSETS_LOW_EST_REUT">"c3993"</definedName>
    <definedName name="IQ_RETURN_ASSETS_MEDIAN_EST_REUT">"c3991"</definedName>
    <definedName name="IQ_RETURN_ASSETS_NUM_EST_REUT">"c3994"</definedName>
    <definedName name="IQ_RETURN_ASSETS_STDDEV_EST_REUT">"c3995"</definedName>
    <definedName name="IQ_RETURN_EQUITY_ACT_OR_EST_REUT">"c5476"</definedName>
    <definedName name="IQ_RETURN_EQUITY_BROK" hidden="1">"c1120"</definedName>
    <definedName name="IQ_RETURN_EQUITY_DET_EST_DATE_REUT">"c12305"</definedName>
    <definedName name="IQ_RETURN_EQUITY_DET_EST_INCL_REUT">"c12429"</definedName>
    <definedName name="IQ_RETURN_EQUITY_DET_EST_ORIGIN_REUT">"c12673"</definedName>
    <definedName name="IQ_RETURN_EQUITY_DET_EST_REUT">"c12163"</definedName>
    <definedName name="IQ_RETURN_EQUITY_EST_REUT">"c3983"</definedName>
    <definedName name="IQ_RETURN_EQUITY_FDIC">"c6732"</definedName>
    <definedName name="IQ_RETURN_EQUITY_HIGH_EST_REUT">"c3985"</definedName>
    <definedName name="IQ_RETURN_EQUITY_LOW_EST_REUT">"c3986"</definedName>
    <definedName name="IQ_RETURN_EQUITY_MEDIAN_EST_REUT">"c3984"</definedName>
    <definedName name="IQ_RETURN_EQUITY_NUM_EST_REUT">"c3987"</definedName>
    <definedName name="IQ_RETURN_EQUITY_STDDEV_EST_REUT">"c3988"</definedName>
    <definedName name="IQ_RETURN_INVESTMENT_1">"c1117"</definedName>
    <definedName name="IQ_REV_DET_EST_CURRENCY_REUT">"c12544"</definedName>
    <definedName name="IQ_REV_DET_EST_DATE_REUT">"c12303"</definedName>
    <definedName name="IQ_REV_DET_EST_INCL_REUT">"c12427"</definedName>
    <definedName name="IQ_REV_DET_EST_ORIGIN_REUT">"c12671"</definedName>
    <definedName name="IQ_REV_DET_EST_REUT">"c12161"</definedName>
    <definedName name="IQ_REV_STDDEV_EST_REUT">"c3639"</definedName>
    <definedName name="IQ_REVALUATION_GAINS_FDIC">"c6428"</definedName>
    <definedName name="IQ_REVALUATION_LOSSES_FDIC">"c6429"</definedName>
    <definedName name="IQ_REVENUE_1">"c1122"</definedName>
    <definedName name="IQ_REVENUE_10K">"IQ_REVENUE_10K"</definedName>
    <definedName name="IQ_REVENUE_10Q">"IQ_REVENUE_10Q"</definedName>
    <definedName name="IQ_REVENUE_10Q1">"IQ_REVENUE_10Q1"</definedName>
    <definedName name="IQ_REVENUE_ACT_OR_EST_REUT">"c5461"</definedName>
    <definedName name="IQ_REVENUE_EST_1">"IQ_REVENUE_EST_1"</definedName>
    <definedName name="IQ_REVENUE_EST_BOTTOM_UP_REUT">"c5496"</definedName>
    <definedName name="IQ_REVENUE_EST_REUT">"c3634"</definedName>
    <definedName name="IQ_REVENUE_GROWTH_1">"IQ_REVENUE_GROWTH_1"</definedName>
    <definedName name="IQ_REVENUE_GROWTH_2">"IQ_REVENUE_GROWTH_2"</definedName>
    <definedName name="IQ_REVENUE_HIGH_EST_REUT">"c3636"</definedName>
    <definedName name="IQ_REVENUE_LOW_EST_REUT">"c3637"</definedName>
    <definedName name="IQ_REVENUE_MEDIAN_EST_REUT">"c3635"</definedName>
    <definedName name="IQ_REVENUE_NO_EST">"c263"</definedName>
    <definedName name="IQ_REVENUE_NUM_EST_REUT">"c3638"</definedName>
    <definedName name="IQ_REVISION_DATE_" hidden="1">39220.6890046296</definedName>
    <definedName name="IQ_REVISION_DATE__1">39244.4696180556</definedName>
    <definedName name="IQ_Revision_date_2" hidden="1">38784.4474652778</definedName>
    <definedName name="IQ_REVOLVING_SECURED_1_–4_NON_ACCRUAL_FFIEC">"c13314"</definedName>
    <definedName name="IQ_RISK_ADJ_BANK_ASSETS" hidden="1">"c2670"</definedName>
    <definedName name="IQ_RISK_WEIGHTED_ASSETS_FDIC">"c6370"</definedName>
    <definedName name="IQ_ROYALTY_REVENUE_COAL" hidden="1">"c15932"</definedName>
    <definedName name="IQ_SALARY_FDIC">"c6576"</definedName>
    <definedName name="IQ_SALE_CONVERSION_RETIREMENT_STOCK_FDIC">"c6661"</definedName>
    <definedName name="IQ_SALE_INTAN_CF_BR" hidden="1">"c1133"</definedName>
    <definedName name="IQ_SALE_PPE_CF_BR" hidden="1">"c1139"</definedName>
    <definedName name="IQ_SALE_REAL_ESTATE_CF_BR" hidden="1">"c1145"</definedName>
    <definedName name="IQ_SALES_MARKETING" hidden="1">"c2240"</definedName>
    <definedName name="IQ_SAME_STORE_FRANCHISE" hidden="1">"c2900"</definedName>
    <definedName name="IQ_SAME_STORE_OWNED" hidden="1">"c2908"</definedName>
    <definedName name="IQ_SAME_STORE_TOTAL" hidden="1">"c2892"</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 hidden="1">"c2546"</definedName>
    <definedName name="IQ_SECURED_DEBT_PCT" hidden="1">"c2547"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LEVEL" hidden="1">"c2159"</definedName>
    <definedName name="IQ_SECURITY_NOTES" hidden="1">"c2202"</definedName>
    <definedName name="IQ_SECURITY_TYPE" hidden="1">"c2158"</definedName>
    <definedName name="IQ_SEMI_BACKLOG_UNITS">"c10005"</definedName>
    <definedName name="IQ_SEMI_BOOKINGS_AVG_PRICE">"c10002"</definedName>
    <definedName name="IQ_SEMI_BOOKINGS_UNITS">"c10001"</definedName>
    <definedName name="IQ_SEMI_BOOKINGS_VALUE">"c10003"</definedName>
    <definedName name="IQ_SEMI_BOOKINGS_VALUE_CHANGE">"c10004"</definedName>
    <definedName name="IQ_SERVICE_CHARGES_FDIC">"c6572"</definedName>
    <definedName name="IQ_SGA_MARGIN" hidden="1">"c1898"</definedName>
    <definedName name="IQ_SHAREOUTSTANDING" hidden="1">"c1347"</definedName>
    <definedName name="IQ_SHAREOUTSTANDING_1">"c83"</definedName>
    <definedName name="IQ_SHORT_INTEREST_VOLUME">"c228"</definedName>
    <definedName name="IQ_SHORT_TERM_INVEST_1">"c1197"</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C_ACTION">"c2644"</definedName>
    <definedName name="IQ_SP_ISSUE_LC_DATE">"c2643"</definedName>
    <definedName name="IQ_SP_ISSUE_LC_LT">"c2645"</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_BR" hidden="1">"c1171"</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_BR" hidden="1">"c1178"</definedName>
    <definedName name="IQ_ST_DEBT_ISSUED_BR" hidden="1">"c1183"</definedName>
    <definedName name="IQ_ST_DEBT_PCT" hidden="1">"c2539"</definedName>
    <definedName name="IQ_ST_DEBT_REPAID_BR" hidden="1">"c1191"</definedName>
    <definedName name="IQ_STAND_REC_DET_EST_DATE_REUT">"c12307"</definedName>
    <definedName name="IQ_STAND_REC_DET_EST_ORIGIN_REUT">"c12675"</definedName>
    <definedName name="IQ_STAND_REC_DET_EST_REUT">"c12165"</definedName>
    <definedName name="IQ_STAND_REC_NUM_DET_EST_DATE_REUT">"c12306"</definedName>
    <definedName name="IQ_STAND_REC_NUM_DET_EST_ORIGIN_REUT">"c12674"</definedName>
    <definedName name="IQ_STAND_REC_NUM_DET_EST_REUT">"c12164"</definedName>
    <definedName name="IQ_STATES_NONTRANSACTION_ACCOUNTS_FDIC">"c6547"</definedName>
    <definedName name="IQ_STATES_TOTAL_DEPOSITS_FDIC">"c6473"</definedName>
    <definedName name="IQ_STATES_TRANSACTION_ACCOUNTS_FDIC">"c6539"</definedName>
    <definedName name="IQ_STOCK_BASED_AT" hidden="1">"c2999"</definedName>
    <definedName name="IQ_STOCK_BASED_COGS" hidden="1">"c2990"</definedName>
    <definedName name="IQ_STOCK_BASED_COGS_FIN">"c2998"</definedName>
    <definedName name="IQ_STOCK_BASED_COGS_UTIL">"c2997"</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"c6346"</definedName>
    <definedName name="IQ_SUB_DEBT_PCT" hidden="1">"c2533"</definedName>
    <definedName name="IQ_SURPLUS_FDIC">"c6351"</definedName>
    <definedName name="IQ_TARGET_PRICE_DET_EST_CURRENCY_REUT">"c12547"</definedName>
    <definedName name="IQ_TARGET_PRICE_DET_EST_DATE_REUT">"c12308"</definedName>
    <definedName name="IQ_TARGET_PRICE_DET_EST_INCL_REUT">"c12430"</definedName>
    <definedName name="IQ_TARGET_PRICE_DET_EST_ORIGIN_REUT">"c12731"</definedName>
    <definedName name="IQ_TARGET_PRICE_DET_EST_REUT">"c12166"</definedName>
    <definedName name="IQ_TARGET_PRICE_LASTCLOSE">"c1855"</definedName>
    <definedName name="IQ_TARGET_PRICE_NUM" hidden="1">"c1653"</definedName>
    <definedName name="IQ_TARGET_PRICE_NUM_REUT">"c5319"</definedName>
    <definedName name="IQ_TARGET_PRICE_STDDEV" hidden="1">"c1654"</definedName>
    <definedName name="IQ_TARGET_PRICE_STDDEV_REUT">"c5320"</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EMPLATE_BS">"c1211"</definedName>
    <definedName name="IQ_TEMPLATE_CF">"c1212"</definedName>
    <definedName name="IQ_TEMPLATE_IS">"c1213"</definedName>
    <definedName name="IQ_TERM_LOANS" hidden="1">"c2499"</definedName>
    <definedName name="IQ_TERM_LOANS_PCT" hidden="1">"c2500"</definedName>
    <definedName name="IQ_TEV_EBIT_FWD_REUT">"c4054"</definedName>
    <definedName name="IQ_TEV_EBITDA_FWD_REUT">"c4050"</definedName>
    <definedName name="IQ_TEV_TOTAL_REV_FWD_REUT">"c4051"</definedName>
    <definedName name="IQ_TEV_UFCF" hidden="1">"c2208"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 hidden="1">"c2667"</definedName>
    <definedName name="IQ_TIER_ONE_FDIC">"c6369"</definedName>
    <definedName name="IQ_TIER_TWO_CAPITAL" hidden="1">"c2669"</definedName>
    <definedName name="IQ_TIME_DEPOSITS_LESS_THAN_100K_FDIC">"c6465"</definedName>
    <definedName name="IQ_TIME_DEPOSITS_MORE_THAN_100K_FDIC">"c6470"</definedName>
    <definedName name="IQ_TODAY" hidden="1">0</definedName>
    <definedName name="IQ_TOTAL_AR_BR" hidden="1">"c1231"</definedName>
    <definedName name="IQ_TOTAL_ASSETS_FDIC">"c6339"</definedName>
    <definedName name="IQ_TOTAL_BANK_CAPITAL" hidden="1">"c2668"</definedName>
    <definedName name="IQ_TOTAL_CASH_DIVID_1">"c1266"</definedName>
    <definedName name="IQ_TOTAL_CASH_FINAN_1">"c119"</definedName>
    <definedName name="IQ_TOTAL_CASH_INVEST_1">"c121"</definedName>
    <definedName name="IQ_TOTAL_CASH_OPER_1">"c122"</definedName>
    <definedName name="IQ_TOTAL_CHARGE_OFFS_FDIC">"c6603"</definedName>
    <definedName name="IQ_TOTAL_CHURN" hidden="1">"c2122"</definedName>
    <definedName name="IQ_TOTAL_COMMON_1">"c1022"</definedName>
    <definedName name="IQ_TOTAL_CURRENT_ASSETS_1">"c1243"</definedName>
    <definedName name="IQ_TOTAL_CURRENT_LIAB_1">"c1245"</definedName>
    <definedName name="IQ_TOTAL_DEBT_DUE">"c2509"</definedName>
    <definedName name="IQ_TOTAL_DEBT_EBITDA_CAPEX" hidden="1">"c2948"</definedName>
    <definedName name="IQ_TOTAL_DEBT_EXCL_FIN" hidden="1">"c2937"</definedName>
    <definedName name="IQ_TOTAL_DEBT_ISSUED_BR" hidden="1">"c1253"</definedName>
    <definedName name="IQ_TOTAL_DEBT_OVER_EBITDA_1">"c1249"</definedName>
    <definedName name="IQ_TOTAL_DEBT_OVER_TOTAL_BV_1">"c1250"</definedName>
    <definedName name="IQ_TOTAL_DEBT_OVER_TOTAL_CAP_1">"c1248"</definedName>
    <definedName name="IQ_TOTAL_DEBT_REPAID_BR" hidden="1">"c1260"</definedName>
    <definedName name="IQ_TOTAL_DEBT_SECURITIES_FDIC">"c6410"</definedName>
    <definedName name="IQ_TOTAL_DEPOSITS_FDIC">"c6342"</definedName>
    <definedName name="IQ_TOTAL_EMPLOYEE_1">"c1522"</definedName>
    <definedName name="IQ_TOTAL_EMPLOYEES" hidden="1">"c1522"</definedName>
    <definedName name="IQ_TOTAL_EMPLOYEES_FDIC">"c6355"</definedName>
    <definedName name="IQ_TOTAL_INTEREST_EXP_1">"c591"</definedName>
    <definedName name="IQ_TOTAL_INVENTORY_1">"c622"</definedName>
    <definedName name="IQ_TOTAL_LIAB_BR" hidden="1">"c1278"</definedName>
    <definedName name="IQ_TOTAL_LIAB_EQUITY_FDIC">"c6354"</definedName>
    <definedName name="IQ_TOTAL_LIAB_SHAREHOLD_1">"c1279"</definedName>
    <definedName name="IQ_TOTAL_LIABILITIES_FDIC">"c6348"</definedName>
    <definedName name="IQ_TOTAL_NON_REC" hidden="1">"c1444"</definedName>
    <definedName name="IQ_TOTAL_OPER_EXP_BR" hidden="1">"c1284"</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UTSTANDING_BS_DATE" hidden="1">"c1022"</definedName>
    <definedName name="IQ_TOTAL_OUTSTANDING_FILING_DATE" hidden="1">"c2107"</definedName>
    <definedName name="IQ_TOTAL_PENSION_ASSETS_DOMESTIC" hidden="1">"c2658"</definedName>
    <definedName name="IQ_TOTAL_PENSION_ASSETS_FOREIGN" hidden="1">"c2666"</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OVERIES_FDIC">"c6622"</definedName>
    <definedName name="IQ_TOTAL_REV_BNK_FDIC">"c6786"</definedName>
    <definedName name="IQ_TOTAL_REV_BR" hidden="1">"c1303"</definedName>
    <definedName name="IQ_TOTAL_REV_SHARE" hidden="1">"c1912"</definedName>
    <definedName name="IQ_TOTAL_REVENUE_1">"c1294"</definedName>
    <definedName name="IQ_TOTAL_RISK_BASED_CAPITAL_RATIO_FDIC">"c6747"</definedName>
    <definedName name="IQ_TOTAL_SECURITIES_FDIC">"c6306"</definedName>
    <definedName name="IQ_TOTAL_ST_BORROW_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"c6497"</definedName>
    <definedName name="IQ_TOTAL_TIME_SAVINGS_DEPOSITS_FDIC">"c6498"</definedName>
    <definedName name="IQ_TOTAL_UNUSAL">"c1308"</definedName>
    <definedName name="IQ_TOTAL_UNUSED_COMMITMENTS_FDIC">"c6536"</definedName>
    <definedName name="IQ_TOTAL_UNUSUAL_BR">"c5517"</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ADVISORS">"c2387"</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ADVISORS">"c2388"</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BDEBT">"c2370"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ADVISORS">"c2386"</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_1">"c40"</definedName>
    <definedName name="IQ_TRADING_ACCOUNT_GAINS_FEES_FDIC">"c6573"</definedName>
    <definedName name="IQ_TRADING_ASSETS_FDIC">"c6328"</definedName>
    <definedName name="IQ_TRADING_CURRENCY" hidden="1">"c2212"</definedName>
    <definedName name="IQ_TRADING_LIABILITIES_FDIC">"c6344"</definedName>
    <definedName name="IQ_TRANSACTION_ACCOUNTS_FDIC">"c6544"</definedName>
    <definedName name="IQ_TREASURY_OTHER_EQUITY_BR" hidden="1">"c1314"</definedName>
    <definedName name="IQ_TREASURY_STOCK_1">"c1311"</definedName>
    <definedName name="IQ_TREASURY_STOCK_TRANSACTIONS_FDIC">"c6501"</definedName>
    <definedName name="IQ_TRUST_PREFERRED" hidden="1">"c3029"</definedName>
    <definedName name="IQ_TRUST_PREFERRED_PCT" hidden="1">"c3030"</definedName>
    <definedName name="IQ_TWELVE_MONTHS_FIXED_AND_FLOATING_FDIC">"c6420"</definedName>
    <definedName name="IQ_TWELVE_MONTHS_MORTGAGE_PASS_THROUGHS_FDIC">"c6412"</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"c6352"</definedName>
    <definedName name="IQ_UNDRAWN_CP" hidden="1">"c2518"</definedName>
    <definedName name="IQ_UNDRAWN_CREDIT" hidden="1">"c3032"</definedName>
    <definedName name="IQ_UNDRAWN_RC" hidden="1">"c2517"</definedName>
    <definedName name="IQ_UNDRAWN_TL" hidden="1">"c2519"</definedName>
    <definedName name="IQ_UNEARN_REV_CURRENT_BR" hidden="1">"c1324"</definedName>
    <definedName name="IQ_UNEARNED_INCOME_FDIC">"c6324"</definedName>
    <definedName name="IQ_UNEARNED_INCOME_FOREIGN_FDIC">"c6385"</definedName>
    <definedName name="IQ_UNLEVERED_FCF" hidden="1">"c1908"</definedName>
    <definedName name="IQ_UNPROFITABLE_INSTITUTIONS_FDIC">"c6722"</definedName>
    <definedName name="IQ_UNSECURED_DEBT" hidden="1">"c2548"</definedName>
    <definedName name="IQ_UNSECURED_DEBT_PCT" hidden="1">"c2549"</definedName>
    <definedName name="IQ_UNUSED_LOAN_COMMITMENTS_FDIC">"c6368"</definedName>
    <definedName name="IQ_UNUSUAL_EXP" hidden="1">"c1456"</definedName>
    <definedName name="IQ_US_BRANCHES_FOREIGN_BANK_LOANS_FDIC">"c6435"</definedName>
    <definedName name="IQ_US_BRANCHES_FOREIGN_BANKS_FDIC">"c6390"</definedName>
    <definedName name="IQ_US_GAAP_BASIC_EPS_EXCL" hidden="1">"c2984"</definedName>
    <definedName name="IQ_US_GAAP_BASIC_EPS_INCL" hidden="1">"c2982"</definedName>
    <definedName name="IQ_US_GAAP_BASIC_WEIGHT" hidden="1">"c2980"</definedName>
    <definedName name="IQ_US_GAAP_CA">"c2930"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"c2932"</definedName>
    <definedName name="IQ_US_GAAP_CL_ADJ" hidden="1">"c2927"</definedName>
    <definedName name="IQ_US_GAAP_COST_REV">"c2965"</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"c2973"</definedName>
    <definedName name="IQ_US_GAAP_DO_ADJ" hidden="1">"c2959"</definedName>
    <definedName name="IQ_US_GAAP_EXTRA_ACC_ITEMS">"c2972"</definedName>
    <definedName name="IQ_US_GAAP_EXTRA_ACC_ITEMS_ADJ" hidden="1">"c2958"</definedName>
    <definedName name="IQ_US_GAAP_INC_TAX">"c2975"</definedName>
    <definedName name="IQ_US_GAAP_INC_TAX_ADJ" hidden="1">"c2961"</definedName>
    <definedName name="IQ_US_GAAP_INTEREST_EXP">"c2971"</definedName>
    <definedName name="IQ_US_GAAP_INTEREST_EXP_ADJ" hidden="1">"c2957"</definedName>
    <definedName name="IQ_US_GAAP_LIAB_LT">"c2933"</definedName>
    <definedName name="IQ_US_GAAP_LIAB_LT_ADJ" hidden="1">"c2928"</definedName>
    <definedName name="IQ_US_GAAP_LIAB_TOTAL_LIAB" hidden="1">"c2933"</definedName>
    <definedName name="IQ_US_GAAP_MINORITY_INTEREST_IS">"c2974"</definedName>
    <definedName name="IQ_US_GAAP_MINORITY_INTEREST_IS_ADJ" hidden="1">"c2960"</definedName>
    <definedName name="IQ_US_GAAP_NCA">"c2931"</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EXCL">"c2977"</definedName>
    <definedName name="IQ_US_GAAP_NI_AVAIL_INCL" hidden="1">"c2978"</definedName>
    <definedName name="IQ_US_GAAP_OTHER_ADJ_ADJ" hidden="1">"c2962"</definedName>
    <definedName name="IQ_US_GAAP_OTHER_NON_OPER">"c2969"</definedName>
    <definedName name="IQ_US_GAAP_OTHER_NON_OPER_ADJ" hidden="1">"c2955"</definedName>
    <definedName name="IQ_US_GAAP_OTHER_OPER">"c2968"</definedName>
    <definedName name="IQ_US_GAAP_OTHER_OPER_ADJ" hidden="1">"c2954"</definedName>
    <definedName name="IQ_US_GAAP_RD">"c2967"</definedName>
    <definedName name="IQ_US_GAAP_RD_ADJ" hidden="1">"c2953"</definedName>
    <definedName name="IQ_US_GAAP_SGA">"c2966"</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"c2964"</definedName>
    <definedName name="IQ_US_GAAP_TOTAL_REV_ADJ" hidden="1">"c2950"</definedName>
    <definedName name="IQ_US_GAAP_TOTAL_UNUSUAL">"c2970"</definedName>
    <definedName name="IQ_US_GAAP_TOTAL_UNUSUAL_ADJ" hidden="1">"c2956"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REV" hidden="1">"c2091"</definedName>
    <definedName name="IQ_VALUATION_ALLOWANCES_FDIC">"c6400"</definedName>
    <definedName name="IQ_VC_REVENUE_FDIC">"c6667"</definedName>
    <definedName name="IQ_VOLATILE_LIABILITIES_FDIC">"c6364"</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50000</definedName>
    <definedName name="IQ_WRITTEN_OPTION_CONTRACTS_FDIC">"c6509"</definedName>
    <definedName name="IQ_WRITTEN_OPTION_CONTRACTS_FX_RISK_FDIC">"c6514"</definedName>
    <definedName name="IQ_WRITTEN_OPTION_CONTRACTS_NON_FX_IR_FDIC">"c6519"</definedName>
    <definedName name="IQ_XDIV_DATE" hidden="1">"c2203"</definedName>
    <definedName name="IQ_XDIV_DATE_1">"c2104"</definedName>
    <definedName name="IQ_YEARHIGH_DATE" hidden="1">"c2250"</definedName>
    <definedName name="IQ_YEARLOW_DATE" hidden="1">"c2251"</definedName>
    <definedName name="IQ_YTD">3000</definedName>
    <definedName name="IQ_YTDMONTH" hidden="1">130000</definedName>
    <definedName name="IQ_YTW" hidden="1">"c2163"</definedName>
    <definedName name="IQ_YTW_DATE" hidden="1">"c2164"</definedName>
    <definedName name="IQ_YTW_DATE_TYPE" hidden="1">"c2165"</definedName>
    <definedName name="IQB_BOOKMARK_COUNT">0</definedName>
    <definedName name="IQB_BOOKMARK_LOCATION_0">#REF!</definedName>
    <definedName name="IQB_BOOKMARK_LOCATION_1">#REF!</definedName>
    <definedName name="IQB_BOOKMARK_LOCATION_2">#REF!</definedName>
    <definedName name="IQB_BOOKMARK_LOCATION_3">#REF!</definedName>
    <definedName name="IQB_CURRENT_BOOKMARK">0</definedName>
    <definedName name="IQRA10">"$A$11:$A$262"</definedName>
    <definedName name="IQRA11">"$A$12:$A$1285"</definedName>
    <definedName name="IQRA190">"$A$191:$A$202"</definedName>
    <definedName name="IQRA22">"$A$23:$A$2539"</definedName>
    <definedName name="IQRA25">"$A$26:$A$31"</definedName>
    <definedName name="IQRA3">"$A$4:$A$36"</definedName>
    <definedName name="IQRA4">"$A$5:$A$256"</definedName>
    <definedName name="IQRA45">"$A$46:$A$51"</definedName>
    <definedName name="IQRA5">"$A$6:$A$11"</definedName>
    <definedName name="IQRA55">"$A$56:$A$61"</definedName>
    <definedName name="IQRA6">"$A$7:$A$12"</definedName>
    <definedName name="IQRA65">"$A$66:$A$71"</definedName>
    <definedName name="IQRA7">"$A$8:$A$2522"</definedName>
    <definedName name="IQRA8">"$A$9:$A$282"</definedName>
    <definedName name="IQRA9">"$A$10:$A$1269"</definedName>
    <definedName name="IQRAC38">"$AC$39:$AC$43"</definedName>
    <definedName name="IQRAD38">"$AD$39:$AD$43"</definedName>
    <definedName name="IQRAF22">"$AF$23:$AF$2539"</definedName>
    <definedName name="IQRAG38">"$AG$39:$AG$43"</definedName>
    <definedName name="IQRAH38">"$AH$39:$AH$43"</definedName>
    <definedName name="IQRAL22">"$AL$23:$AL$2539"</definedName>
    <definedName name="IQRAR22">"$AR$23:$AR$2539"</definedName>
    <definedName name="IQRAX22">"$AX$23:$AX$2539"</definedName>
    <definedName name="IQRB10">"$B$11:$B$263"</definedName>
    <definedName name="IQRB100">"$B$101:$B$363"</definedName>
    <definedName name="IQRB104">"$B$105:$B$164"</definedName>
    <definedName name="IQRB11">"$B$12:$B$264"</definedName>
    <definedName name="IQRB12">"$B$13:$B$265"</definedName>
    <definedName name="IQRB13">"$B$14:$B$266"</definedName>
    <definedName name="IQRB14">"$B$15:$B$267"</definedName>
    <definedName name="IQRB15">"$B$16:$B$17"</definedName>
    <definedName name="IQRB16">"$B$17:$B$520"</definedName>
    <definedName name="IQRB17">"$B$18:$B$22"</definedName>
    <definedName name="IQRB18">"$B$19:$B$23"</definedName>
    <definedName name="IQRB19">"$B$20:$B$24"</definedName>
    <definedName name="IQRB20">"$B$21:$B$25"</definedName>
    <definedName name="IQRB21">"$B$22:$B$26"</definedName>
    <definedName name="IQRB22">"$B$23:$B$27"</definedName>
    <definedName name="IQRB23">"$B$24:$B$28"</definedName>
    <definedName name="IQRB24">"$B$25:$B$29"</definedName>
    <definedName name="IQRB25">"$B$26:$B$31"</definedName>
    <definedName name="IQRB27">"$B$28:$B$1301"</definedName>
    <definedName name="IQRB3">"$B$4:$B$38"</definedName>
    <definedName name="IQRB32">"$B$33:$B$37"</definedName>
    <definedName name="IQRB33">"$B$34:$B$38"</definedName>
    <definedName name="IQRB34">"$B$35:$B$39"</definedName>
    <definedName name="IQRB4">"$B$5:$B$6807"</definedName>
    <definedName name="IQRB45">"$B$46:$B$51"</definedName>
    <definedName name="IQRB5">"$B$6:$B$257"</definedName>
    <definedName name="IQRB55">"$B$56:$B$61"</definedName>
    <definedName name="IQRB6">"$B$7:$B$259"</definedName>
    <definedName name="IQRB65">"$B$66:$B$71"</definedName>
    <definedName name="IQRB7">"$B$8:$B$260"</definedName>
    <definedName name="IQRB8">"$B$9:$B$261"</definedName>
    <definedName name="IQRB9">"$B$10:$B$262"</definedName>
    <definedName name="IQRB99">"$B$100:$B$160"</definedName>
    <definedName name="IQRBA4">"$BA$5:$BA$9"</definedName>
    <definedName name="IQRBB17">"$BB$18:$BB$1299"</definedName>
    <definedName name="IQRBB4">"$BB$5:$BB$9"</definedName>
    <definedName name="IQRBD22">"$BD$23:$BD$2539"</definedName>
    <definedName name="IQRBellweatherDataA3">#REF!</definedName>
    <definedName name="IQRBI34">"$BJ$34:$BS$34"</definedName>
    <definedName name="IQRBI35">"$BJ$35:$BS$35"</definedName>
    <definedName name="IQRBI36">"$BJ$36:$BS$36"</definedName>
    <definedName name="IQRBI37">"$BJ$37:$BS$37"</definedName>
    <definedName name="IQRBI38">"$BJ$38:$BS$38"</definedName>
    <definedName name="IQRBI39">"$BJ$39"</definedName>
    <definedName name="IQRBI40">"$BJ$40"</definedName>
    <definedName name="IQRBI41">"$BJ$41"</definedName>
    <definedName name="IQRBI42">"$BJ$42"</definedName>
    <definedName name="IQRBI43">"$BJ$43"</definedName>
    <definedName name="IQRBJ22">"$BJ$23:$BJ$2539"</definedName>
    <definedName name="IQRBN51">"$BN$52"</definedName>
    <definedName name="IQRC11">"$C$12:$C$264"</definedName>
    <definedName name="IQRC13">"$C$14:$C$73"</definedName>
    <definedName name="IQRC14">"$C$15:$C$119"</definedName>
    <definedName name="IQRC15">"$C$16:$C$20"</definedName>
    <definedName name="IQRC16">"$C$17:$C$756"</definedName>
    <definedName name="IQRC24">"$C$25:$C$29"</definedName>
    <definedName name="IQRC25">"$C$26:$C$31"</definedName>
    <definedName name="IQRC27">"$C$28:$C$37"</definedName>
    <definedName name="IQRC3">"$C$4:$C$256"</definedName>
    <definedName name="IQRC4">"$C$5:$C$6807"</definedName>
    <definedName name="IQRC45">"$C$46:$C$51"</definedName>
    <definedName name="IQRC5">"$C$6:$C$25"</definedName>
    <definedName name="IQRC55">"$C$56:$C$61"</definedName>
    <definedName name="IQRC6">"$C$7:$C$15"</definedName>
    <definedName name="IQRC7">"$C$8:$C$511"</definedName>
    <definedName name="IQRC8">"$C$9:$C$282"</definedName>
    <definedName name="IQRCI25">"$CI$26"</definedName>
    <definedName name="IQRCI51">"$CI$52"</definedName>
    <definedName name="IQRControlPanelG95">#REF!</definedName>
    <definedName name="IQRControlPanelG96">#REF!</definedName>
    <definedName name="IQRD10">"$D$11:$D$263"</definedName>
    <definedName name="IQRD108">"$D$109:$D$111"</definedName>
    <definedName name="IQRD11">"$D$12:$D$259"</definedName>
    <definedName name="IQRD110">"$D$111:$D$114"</definedName>
    <definedName name="IQRD13">"$D$14:$D$275"</definedName>
    <definedName name="IQRD14">"$D$15:$D$38"</definedName>
    <definedName name="IQRD15">"$D$16:$D$17"</definedName>
    <definedName name="IQRD22">"$D$23:$D$25"</definedName>
    <definedName name="IQRD3">"$D$4:$D$23"</definedName>
    <definedName name="IQRD4">"$D$5:$D$254"</definedName>
    <definedName name="IQRD44">"$D$45:$D$54"</definedName>
    <definedName name="IQRD5">"$D$6:$D$257"</definedName>
    <definedName name="IQRD66">"$D$67:$D$69"</definedName>
    <definedName name="IQRD67">"$D$68:$D$77"</definedName>
    <definedName name="IQRD7">"$D$8:$D$259"</definedName>
    <definedName name="IQRD77">"$D$78:$D$87"</definedName>
    <definedName name="IQRD78">"$D$79:$D$88"</definedName>
    <definedName name="IQRD8">"$D$9:$D$261"</definedName>
    <definedName name="IQRD88">"$D$89"</definedName>
    <definedName name="IQRD90">"$D$91:$D$100"</definedName>
    <definedName name="IQRDataA1">#REF!</definedName>
    <definedName name="IQRE11">"$E$12:$E$264"</definedName>
    <definedName name="IQRE121">"$F$121"</definedName>
    <definedName name="IQRE133">"$E$134:$E$173"</definedName>
    <definedName name="IQRE138">"$E$139:$E$178"</definedName>
    <definedName name="IQRE176">"$E$177:$E$216"</definedName>
    <definedName name="IQRE219">"$E$220:$E$224"</definedName>
    <definedName name="IQRE224">"$E$225:$E$232"</definedName>
    <definedName name="IQRE25">"$E$26:$E$31"</definedName>
    <definedName name="IQRE254">"$E$255:$E$501"</definedName>
    <definedName name="IQRE262">"$E$263:$E$302"</definedName>
    <definedName name="IQRE267">"$E$268:$E$307"</definedName>
    <definedName name="IQRE27">"$E$28:$E$274"</definedName>
    <definedName name="IQRE305">"$E$306:$E$338"</definedName>
    <definedName name="IQRE310">"$E$311:$E$348"</definedName>
    <definedName name="IQRE348">"$E$349:$E$355"</definedName>
    <definedName name="IQRE353">"$E$354:$E$360"</definedName>
    <definedName name="IQRE391">"$E$392:$E$411"</definedName>
    <definedName name="IQRE396">"$E$397:$E$416"</definedName>
    <definedName name="IQRE434">"$E$435:$E$449"</definedName>
    <definedName name="IQRE439">"$E$440:$E$454"</definedName>
    <definedName name="IQRE45">"$E$46:$E$51"</definedName>
    <definedName name="IQRE5">"$E$6:$E$11"</definedName>
    <definedName name="IQRE52">"$E$53:$E$90"</definedName>
    <definedName name="IQRE55">"$E$56:$E$61"</definedName>
    <definedName name="IQRE7">"$E$8:$E$260"</definedName>
    <definedName name="IQRE8">"$E$9:$E$261"</definedName>
    <definedName name="IQRE95">"$E$96:$E$108"</definedName>
    <definedName name="IQRF4">"$F$5:$F$24"</definedName>
    <definedName name="IQRF6">"$F$7:$F$27"</definedName>
    <definedName name="IQRF8">"$F$9:$F$260"</definedName>
    <definedName name="IQRFedexDataA3">#REF!</definedName>
    <definedName name="IQRG11">"$G$12:$G$31"</definedName>
    <definedName name="IQRG24">"$G$25:$G$550"</definedName>
    <definedName name="IQRG25">"$G$26:$G$31"</definedName>
    <definedName name="IQRG27">"$G$28:$G$553"</definedName>
    <definedName name="IQRG35">"$G$36:$G$41"</definedName>
    <definedName name="IQRG45">"$G$46:$G$51"</definedName>
    <definedName name="IQRG5">"$G$6"</definedName>
    <definedName name="IQRG65">"$G$66:$G$71"</definedName>
    <definedName name="IQRG7">"$G$8:$G$260"</definedName>
    <definedName name="IQRG8">"$G$9:$G$260"</definedName>
    <definedName name="IQRH11">"$H$12:$H$31"</definedName>
    <definedName name="IQRH22">"$H$23:$H$2539"</definedName>
    <definedName name="IQRH25">"$H$26:$H$31"</definedName>
    <definedName name="IQRH35">"$H$36:$H$41"</definedName>
    <definedName name="IQRH45">"$H$46:$H$51"</definedName>
    <definedName name="IQRH5">"$H$6:$H$11"</definedName>
    <definedName name="IQRH65">"$H$66:$H$71"</definedName>
    <definedName name="IQRH7">"$H$8:$H$70"</definedName>
    <definedName name="IQRH8">"$H$9:$H$260"</definedName>
    <definedName name="IQRI25">"$I$26:$I$31"</definedName>
    <definedName name="IQRI28">"$I$29:$I$276"</definedName>
    <definedName name="IQRI35">"$I$36:$I$41"</definedName>
    <definedName name="IQRI37">"$I$38:$I$42"</definedName>
    <definedName name="IQRI38">"$I$39:$I$43"</definedName>
    <definedName name="IQRI4">"$I$5:$I$1768"</definedName>
    <definedName name="IQRI45">"$I$46:$I$51"</definedName>
    <definedName name="IQRI5">"$I$6:$I$11"</definedName>
    <definedName name="IQRI8">"$I$9:$I$260"</definedName>
    <definedName name="IQRJ25">"$J$26:$J$31"</definedName>
    <definedName name="IQRJ35">"$J$36:$J$41"</definedName>
    <definedName name="IQRJ37">"$J$38:$J$42"</definedName>
    <definedName name="IQRJ38">"$J$39:$J$43"</definedName>
    <definedName name="IQRJ39">"$J$40:$J$2553"</definedName>
    <definedName name="IQRJ45">"$J$46:$J$51"</definedName>
    <definedName name="IQRJ5">"$J$6:$J$11"</definedName>
    <definedName name="IQRJ8">"$J$9"</definedName>
    <definedName name="IQRK25">"$K$26:$K$31"</definedName>
    <definedName name="IQRK35">"$K$36:$K$41"</definedName>
    <definedName name="IQRK45">"$K$46:$K$51"</definedName>
    <definedName name="IQRK5">"$K$6:$K$11"</definedName>
    <definedName name="IQRL25">"$L$26:$L$31"</definedName>
    <definedName name="IQRL35">"$L$36:$L$41"</definedName>
    <definedName name="IQRL45">"$L$46:$L$51"</definedName>
    <definedName name="IQRL5">"$L$6:$L$11"</definedName>
    <definedName name="IQRM15">"$M$16:$M$21"</definedName>
    <definedName name="IQRM17">"$M$18:$M$264"</definedName>
    <definedName name="IQRM25">"$M$26:$M$31"</definedName>
    <definedName name="IQRM35">"$M$36:$M$41"</definedName>
    <definedName name="IQRM37">"$M$38:$M$42"</definedName>
    <definedName name="IQRM38">"$M$39:$M$43"</definedName>
    <definedName name="IQRM45">"$M$46:$M$51"</definedName>
    <definedName name="IQRM5">"$M$6:$M$11"</definedName>
    <definedName name="IQRM65">"$M$66:$M$71"</definedName>
    <definedName name="IQRN129">"$N$130:$N$147"</definedName>
    <definedName name="IQRN15">"$N$16:$N$21"</definedName>
    <definedName name="IQRN22">"$N$23:$N$2539"</definedName>
    <definedName name="IQRN25">"$N$26:$N$31"</definedName>
    <definedName name="IQRN35">"$N$36:$N$41"</definedName>
    <definedName name="IQRN37">"$N$38:$N$42"</definedName>
    <definedName name="IQRN38">"$N$39:$N$43"</definedName>
    <definedName name="IQRN45">"$N$46:$N$51"</definedName>
    <definedName name="IQRN5">"$N$6:$N$11"</definedName>
    <definedName name="IQRN65">"$N$66:$N$71"</definedName>
    <definedName name="IQRO15">"$O$16:$O$21"</definedName>
    <definedName name="IQRO25">"$O$26:$O$31"</definedName>
    <definedName name="IQRO35">"$O$36:$O$41"</definedName>
    <definedName name="IQRO45">"$O$46:$O$51"</definedName>
    <definedName name="IQRO5">"$O$6:$O$11"</definedName>
    <definedName name="IQRO65">"$O$66"</definedName>
    <definedName name="IQRP15">"$P$16:$P$21"</definedName>
    <definedName name="IQRP25">"$P$26:$P$31"</definedName>
    <definedName name="IQRP35">"$P$36:$P$41"</definedName>
    <definedName name="IQRP45">"$P$46:$P$51"</definedName>
    <definedName name="IQRP5">"$P$6:$P$11"</definedName>
    <definedName name="IQRQ15">"$Q$16:$Q$21"</definedName>
    <definedName name="IQRQ25">"$Q$26:$Q$31"</definedName>
    <definedName name="IQRQ35">"$Q$36:$Q$41"</definedName>
    <definedName name="IQRQ37">"$Q$38:$Q$42"</definedName>
    <definedName name="IQRQ38">"$Q$39:$Q$43"</definedName>
    <definedName name="IQRQ45">"$Q$46:$Q$51"</definedName>
    <definedName name="IQRQ5">"$Q$6:$Q$11"</definedName>
    <definedName name="IQRR14">"$R$15:$R$267"</definedName>
    <definedName name="IQRR15">"$R$16:$R$21"</definedName>
    <definedName name="IQRR25">"$R$26:$R$31"</definedName>
    <definedName name="IQRR32">"$R$33:$R$60"</definedName>
    <definedName name="IQRR35">"$R$36:$R$41"</definedName>
    <definedName name="IQRR37">"$R$38:$R$42"</definedName>
    <definedName name="IQRR38">"$R$39:$R$43"</definedName>
    <definedName name="IQRR45">"$R$46:$R$51"</definedName>
    <definedName name="IQRR5">"$R$6:$R$11"</definedName>
    <definedName name="IQRS15">"$S$16:$S$21"</definedName>
    <definedName name="IQRS25">"$S$26:$S$31"</definedName>
    <definedName name="IQRS35">"$S$36:$S$41"</definedName>
    <definedName name="IQRS4">"$S$5:$S$2518"</definedName>
    <definedName name="IQRS45">"$S$46:$S$51"</definedName>
    <definedName name="IQRS5">"$S$6:$S$11"</definedName>
    <definedName name="IQRS65">"$S$66:$S$71"</definedName>
    <definedName name="IQRSheet1A1">#REF!</definedName>
    <definedName name="IQRSheet2A1">#REF!</definedName>
    <definedName name="IQRSheet2A3">#REF!</definedName>
    <definedName name="IQRSheet2A5">#REF!</definedName>
    <definedName name="IQRSheet2D225">#REF!</definedName>
    <definedName name="IQRSheet2D871">#REF!</definedName>
    <definedName name="IQRSPEarningsA3">#REF!</definedName>
    <definedName name="IQRT15">"$T$16:$T$21"</definedName>
    <definedName name="IQRT22">"$T$23:$T$2539"</definedName>
    <definedName name="IQRT25">"$T$26:$T$31"</definedName>
    <definedName name="IQRT35">"$T$36:$T$41"</definedName>
    <definedName name="IQRT45">"$T$46:$T$51"</definedName>
    <definedName name="IQRT5">"$T$6:$T$11"</definedName>
    <definedName name="IQRT65">"$T$66:$T$71"</definedName>
    <definedName name="IQRU14">"$U$15:$U$266"</definedName>
    <definedName name="IQRU15">"$U$16:$U$21"</definedName>
    <definedName name="IQRU25">"$U$26:$U$31"</definedName>
    <definedName name="IQRU35">"$U$36:$U$41"</definedName>
    <definedName name="IQRU37">"$U$38:$U$42"</definedName>
    <definedName name="IQRU38">"$U$39:$U$43"</definedName>
    <definedName name="IQRU4">"$U$5:$U$2518"</definedName>
    <definedName name="IQRU45">"$U$46:$U$51"</definedName>
    <definedName name="IQRU5">"$U$6:$U$11"</definedName>
    <definedName name="IQRV15">"$V$16:$V$21"</definedName>
    <definedName name="IQRV25">"$V$26:$V$31"</definedName>
    <definedName name="IQRV35">"$V$36:$V$41"</definedName>
    <definedName name="IQRV37">"$V$38:$V$42"</definedName>
    <definedName name="IQRV38">"$V$39:$V$43"</definedName>
    <definedName name="IQRV45">"$V$46:$V$51"</definedName>
    <definedName name="IQRV5">"$V$6:$V$11"</definedName>
    <definedName name="IQRV8">"$V$9:$V$261"</definedName>
    <definedName name="IQRW15">"$W$16:$W$21"</definedName>
    <definedName name="IQRW25">"$W$26:$W$31"</definedName>
    <definedName name="IQRW35">"$W$36:$W$41"</definedName>
    <definedName name="IQRW45">"$W$46:$W$51"</definedName>
    <definedName name="IQRW5">"$W$6:$W$11"</definedName>
    <definedName name="IQRW65">"$W$66:$W$71"</definedName>
    <definedName name="IQRX15">"$X$16:$X$21"</definedName>
    <definedName name="IQRX25">"$X$26:$X$31"</definedName>
    <definedName name="IQRX35">"$X$36:$X$41"</definedName>
    <definedName name="IQRX45">"$X$46:$X$51"</definedName>
    <definedName name="IQRX5">"$X$6:$X$11"</definedName>
    <definedName name="IQRX65">"$X$66:$X$71"</definedName>
    <definedName name="IQRY38">"$Y$39:$Y$43"</definedName>
    <definedName name="IQRY65">"$Y$66:$Y$69"</definedName>
    <definedName name="IQRZ22">"$Z$23:$Z$2539"</definedName>
    <definedName name="IQRZ38">"$Z$39:$Z$43"</definedName>
    <definedName name="iQShowHideColumns" hidden="1">"iQShowAnnual"</definedName>
    <definedName name="IQSKey2012IPOsB27">"$B$28:$B$46"</definedName>
    <definedName name="IQSL24MoDealsA3">"$A$4:$A$319"</definedName>
    <definedName name="IQSL24MoDealsB22">"$B$23:$B$125"</definedName>
    <definedName name="IQSL24MoDealsB26">"$B$27:$B$146"</definedName>
    <definedName name="IQSSheet1A1">"$A$2:$A$13"</definedName>
    <definedName name="IQSSheet1B2">"$C$2:$N$2"</definedName>
    <definedName name="IQSSheet2A1">"$B$1:$IQ$1"</definedName>
    <definedName name="IQSSheet2H21">"$H$22:$H$271"</definedName>
    <definedName name="IQSSheet3A1">"$A$2:$A$156"</definedName>
    <definedName name="IQSTransactionCompsA12" hidden="1">"$A$13:$A$56"</definedName>
    <definedName name="IQSTransactionsRedBrickA12" hidden="1">"$A$13:$A$52"</definedName>
    <definedName name="IQSTransactionsRedBrickA13" hidden="1">"$A$14:$A$43"</definedName>
    <definedName name="IR_Oven__speed">#REF!</definedName>
    <definedName name="IR_Oven_speed..">#REF!</definedName>
    <definedName name="irange_1_App">"ZEUS2"</definedName>
    <definedName name="irange_1_DB">"ACCOUNTS"</definedName>
    <definedName name="irange_1_Svr">"olympia.equant.com"</definedName>
    <definedName name="irange_1_Updated">"12/07/2002 17:26:32"</definedName>
    <definedName name="irange_2_App">"ZEUS2"</definedName>
    <definedName name="irange_2_DB">"ACCOUNTS"</definedName>
    <definedName name="irange_2_Svr">"olympia.equant.com"</definedName>
    <definedName name="irange_2_Updated">"12/07/2002 17:32:59"</definedName>
    <definedName name="irange_3_App">"ZEUS2"</definedName>
    <definedName name="irange_3_DB">"ACCOUNTS"</definedName>
    <definedName name="irange_3_Svr">"olympia.equant.com"</definedName>
    <definedName name="irange_3_Updated">"12/07/2002 17:37:42"</definedName>
    <definedName name="irange_4_App">"ZEUS2"</definedName>
    <definedName name="irange_4_DB">"ACCOUNTS"</definedName>
    <definedName name="irange_4_Svr">"olympia.equant.com"</definedName>
    <definedName name="irange_4_Updated">"12/07/2002 17:43:57"</definedName>
    <definedName name="irange_5_App">"ZEUS2"</definedName>
    <definedName name="irange_5_DB">"ACCOUNTS"</definedName>
    <definedName name="irange_5_Svr">"olympia.equant.com"</definedName>
    <definedName name="irange_5_Updated">"12/07/2002 18:01:54"</definedName>
    <definedName name="irange_6_App">"ZEUS2"</definedName>
    <definedName name="irange_6_DB">"ACCOUNTS"</definedName>
    <definedName name="irange_6_Svr">"olympia.equant.com"</definedName>
    <definedName name="irange_6_Updated">"16/07/2002 13:05:30"</definedName>
    <definedName name="irange_7_App">"ZEUS2"</definedName>
    <definedName name="irange_7_DB">"ACCOUNTS"</definedName>
    <definedName name="irange_7_Svr">"olympia.equant.com"</definedName>
    <definedName name="irange_7_Updated">"12/07/2002 18:02:12"</definedName>
    <definedName name="irange_A_Updated">"03/07/2002 09:49:04"</definedName>
    <definedName name="irange_B_Updated">"03/07/2002 11:10:47"</definedName>
    <definedName name="iRange_P10_App">"Icarus2"</definedName>
    <definedName name="iRange_P10_DB">"Revenue"</definedName>
    <definedName name="iRange_P10_Svr">"Olympia.Equant.Com"</definedName>
    <definedName name="iRange_P10_Updated">"02/07/2002 11:03:32"</definedName>
    <definedName name="iRange_P11_App">"Icarus2"</definedName>
    <definedName name="iRange_P11_DB">"Revenue"</definedName>
    <definedName name="iRange_P11_Svr">"Olympia.Equant.Com"</definedName>
    <definedName name="iRange_P11_Updated">"02/07/2002 11:03:56"</definedName>
    <definedName name="iRange_p12_App">"Icarus2"</definedName>
    <definedName name="iRange_p12_DB">"Revenue"</definedName>
    <definedName name="iRange_p12_Svr">"Olympia.Equant.Com"</definedName>
    <definedName name="iRange_p12_Updated">"02/07/2002 11:03:59"</definedName>
    <definedName name="iRange_P13_App">"Icarus2"</definedName>
    <definedName name="iRange_P13_DB">"Revenue"</definedName>
    <definedName name="iRange_P13_Svr">"Olympia.Equant.Com"</definedName>
    <definedName name="iRange_P13_Updated">"02/07/2002 11:04:04"</definedName>
    <definedName name="iRange_P14_App">"Icarus2"</definedName>
    <definedName name="iRange_P14_DB">"Revenue"</definedName>
    <definedName name="iRange_P14_Svr">"Olympia.Equant.Com"</definedName>
    <definedName name="iRange_P14_Updated">"02/07/2002 11:04:13"</definedName>
    <definedName name="iRange_P15_App">"Icarus2"</definedName>
    <definedName name="iRange_P15_DB">"Revenue"</definedName>
    <definedName name="iRange_P15_Svr">"Olympia.Equant.Com"</definedName>
    <definedName name="iRange_P15_Updated">"02/07/2002 11:04:35"</definedName>
    <definedName name="iRange_P2_App">"Zeus2"</definedName>
    <definedName name="iRange_P2_DB">"Accounts"</definedName>
    <definedName name="iRange_P2_Svr">"Olympia.Equant.Com"</definedName>
    <definedName name="iRange_P2_Updated">"02/07/2002 11:04:38"</definedName>
    <definedName name="iRange_p3_App">"Zeus2"</definedName>
    <definedName name="iRange_p3_DB">"Accounts"</definedName>
    <definedName name="iRange_p3_Svr">"Olympia.Equant.Com"</definedName>
    <definedName name="iRange_p3_Updated">"02/07/2002 11:04:42"</definedName>
    <definedName name="iRange_P4_App">"Zeus2"</definedName>
    <definedName name="iRange_P4_DB">"Accounts"</definedName>
    <definedName name="iRange_P4_Svr">"Olympia.Equant.Com"</definedName>
    <definedName name="iRange_P4_Updated">"02/07/2002 11:04:44"</definedName>
    <definedName name="iRange_P5_App">"ZEUS2"</definedName>
    <definedName name="iRange_P5_DB">"Accounts"</definedName>
    <definedName name="iRange_P5_Svr">"Olympia.Equant.Com"</definedName>
    <definedName name="iRange_P5_Updated">"02/07/2002 11:04:46"</definedName>
    <definedName name="iRange_P6_App">"ZEUS2"</definedName>
    <definedName name="iRange_P6_DB">"Accounts"</definedName>
    <definedName name="iRange_P6_Svr">"Olympia.Equant.Com"</definedName>
    <definedName name="iRange_P6_Updated">"02/07/2002 11:04:48"</definedName>
    <definedName name="iRange_P7_App">"ZEUS2"</definedName>
    <definedName name="iRange_P7_DB">"Accounts"</definedName>
    <definedName name="iRange_P7_Svr">"Olympia.Equant.Com"</definedName>
    <definedName name="iRange_P7_Updated">"02/07/2002 11:04:50"</definedName>
    <definedName name="iRange_P7b_App">"ZEUS2"</definedName>
    <definedName name="iRange_P7b_DB">"Accounts"</definedName>
    <definedName name="iRange_P7b_Svr">"Olympia.Equant.Com"</definedName>
    <definedName name="iRange_P7b_Updated">"02/07/2002 11:04:51"</definedName>
    <definedName name="irange_P9_App">"ZEUS2"</definedName>
    <definedName name="irange_P9_DB">"Accounts"</definedName>
    <definedName name="irange_P9_Svr">"Olympia.Equant.Com"</definedName>
    <definedName name="irange_P9_Updated">"02/07/2002 11:04:53"</definedName>
    <definedName name="iRANGE_RECON_Updated">"10/07/2002 11:04:49"</definedName>
    <definedName name="iRANGE1_App">"ZEUS2"</definedName>
    <definedName name="iRANGE1_DB">"ACCOUNTS"</definedName>
    <definedName name="iRANGE1_Svr">"olympia.equant.com"</definedName>
    <definedName name="iRANGE1_Updated">"23/07/2002 18:34:38"</definedName>
    <definedName name="Irbe" hidden="1">{#N/A,#N/A,FALSE,"Pharm";#N/A,#N/A,FALSE,"WWCM"}</definedName>
    <definedName name="IRG">#REF!</definedName>
    <definedName name="IRO_L">#REF!</definedName>
    <definedName name="IRR">#REF!</definedName>
    <definedName name="IS">'Income Statement'!$A$1:$BA$67</definedName>
    <definedName name="IS_goodwill">#REF!</definedName>
    <definedName name="IS_intconvert">#REF!</definedName>
    <definedName name="IS_otherexp">#REF!</definedName>
    <definedName name="is2012after_adj">#REF!</definedName>
    <definedName name="ISBL_K">#REF!</definedName>
    <definedName name="IsColHidden" hidden="1">FALSE</definedName>
    <definedName name="ISG">#REF!</definedName>
    <definedName name="IsLTMColHidden" hidden="1">FALSE</definedName>
    <definedName name="Ismael" hidden="1">{#N/A,#N/A,TRUE,"CPRD";#N/A,#N/A,TRUE,"BCCPDR";#N/A,#N/A,TRUE,"EWRD";#N/A,#N/A,TRUE,"5100";#N/A,#N/A,TRUE,"5110"}</definedName>
    <definedName name="Isolate">#REF!</definedName>
    <definedName name="IS최종" hidden="1">{#N/A,#N/A,FALSE,"Aging Summary";#N/A,#N/A,FALSE,"Ratio Analysis";#N/A,#N/A,FALSE,"Test 120 Day Accts";#N/A,#N/A,FALSE,"Tickmarks"}</definedName>
    <definedName name="IT" hidden="1">{"'Sheet1'!$A$1:$H$36"}</definedName>
    <definedName name="ITAL">#REF!</definedName>
    <definedName name="ITALY">#REF!</definedName>
    <definedName name="itc">#REF!</definedName>
    <definedName name="ITCLtd">#REF!</definedName>
    <definedName name="itdep">#REF!</definedName>
    <definedName name="Item_Master">#REF!</definedName>
    <definedName name="ITJ工場">#REF!</definedName>
    <definedName name="ITJ神戸">#REF!</definedName>
    <definedName name="ITLeXToEUR" hidden="1">1/EUReXToITL</definedName>
    <definedName name="itri" hidden="1">{#N/A,#N/A,FALSE,"REPORT"}</definedName>
    <definedName name="IT수정" hidden="1">{"'Sheet1'!$A$1:$H$36"}</definedName>
    <definedName name="IU">{"'Check Request'!$A$1:$BF$37"}</definedName>
    <definedName name="IU_1">#REF!</definedName>
    <definedName name="IU_2">#REF!</definedName>
    <definedName name="iui" hidden="1">{#N/A,#N/A,FALSE,"Pharm";#N/A,#N/A,FALSE,"WWCM"}</definedName>
    <definedName name="iup" hidden="1">{#N/A,#N/A,FALSE,"REPORT"}</definedName>
    <definedName name="iuu">#REF!</definedName>
    <definedName name="iuw5i">#REF!</definedName>
    <definedName name="iv">#REF!</definedName>
    <definedName name="iv_1">#REF!</definedName>
    <definedName name="iv_10">#REF!</definedName>
    <definedName name="iv_12">#REF!</definedName>
    <definedName name="iv_2">#REF!</definedName>
    <definedName name="iv_9">#REF!</definedName>
    <definedName name="IWJJJJ" hidden="1">{#N/A,#N/A,FALSE,"Aging Summary";#N/A,#N/A,FALSE,"Ratio Analysis";#N/A,#N/A,FALSE,"Test 120 Day Accts";#N/A,#N/A,FALSE,"Tickmarks"}</definedName>
    <definedName name="IWJJJJ_3">#REF!</definedName>
    <definedName name="j" hidden="1">{"PL_no_inflated",#N/A,FALSE,"P&amp;L"}</definedName>
    <definedName name="j_1">#REF!</definedName>
    <definedName name="j_2">#REF!</definedName>
    <definedName name="j_3">#REF!</definedName>
    <definedName name="j_4">#REF!</definedName>
    <definedName name="J2F1">#REF!</definedName>
    <definedName name="J2F2">#REF!</definedName>
    <definedName name="J2F3">#REF!</definedName>
    <definedName name="J2F4">#REF!</definedName>
    <definedName name="J2F5">#REF!</definedName>
    <definedName name="J2FB">#REF!</definedName>
    <definedName name="J2R1">#REF!</definedName>
    <definedName name="J2R2">#REF!</definedName>
    <definedName name="J2기타">#REF!</definedName>
    <definedName name="J3F1">#REF!</definedName>
    <definedName name="J3F2">#REF!</definedName>
    <definedName name="J3F3">#REF!</definedName>
    <definedName name="J3F4">#REF!</definedName>
    <definedName name="J3F5">#REF!</definedName>
    <definedName name="J3FB">#REF!</definedName>
    <definedName name="J3R1">#REF!</definedName>
    <definedName name="J3R2">#REF!</definedName>
    <definedName name="J4F1">#REF!</definedName>
    <definedName name="J4F2">#REF!</definedName>
    <definedName name="J4F3">#REF!</definedName>
    <definedName name="J4F4">#REF!</definedName>
    <definedName name="J4F5">#REF!</definedName>
    <definedName name="J4FB">#REF!</definedName>
    <definedName name="J4R1">#REF!</definedName>
    <definedName name="J4R2">#REF!</definedName>
    <definedName name="J5F1">#REF!</definedName>
    <definedName name="J5F2">#REF!</definedName>
    <definedName name="J5F3">#REF!</definedName>
    <definedName name="J5F4">#REF!</definedName>
    <definedName name="J5F5">#REF!</definedName>
    <definedName name="J5FB">#REF!</definedName>
    <definedName name="J5R1">#REF!</definedName>
    <definedName name="J5R2">#REF!</definedName>
    <definedName name="J6F1">#REF!</definedName>
    <definedName name="J6F2">#REF!</definedName>
    <definedName name="J6F3">#REF!</definedName>
    <definedName name="J6F4">#REF!</definedName>
    <definedName name="J6F5">#REF!</definedName>
    <definedName name="J6FB">#REF!</definedName>
    <definedName name="J6R1">#REF!</definedName>
    <definedName name="J6R2">#REF!</definedName>
    <definedName name="J7_F5">#REF!</definedName>
    <definedName name="J7F1">#REF!</definedName>
    <definedName name="J7F2">#REF!</definedName>
    <definedName name="J7F3">#REF!</definedName>
    <definedName name="J7F4">#REF!</definedName>
    <definedName name="J7FB">#REF!</definedName>
    <definedName name="J7R1">#REF!</definedName>
    <definedName name="J7R2">#REF!</definedName>
    <definedName name="JA">#REF!</definedName>
    <definedName name="jack">{"'Feb 99'!$A$1:$G$30"}</definedName>
    <definedName name="JAI">#REF!</definedName>
    <definedName name="jakdjsjfd">57</definedName>
    <definedName name="jaksdjfkajsf">15</definedName>
    <definedName name="JAN">#REF!</definedName>
    <definedName name="Jan_00">#REF!</definedName>
    <definedName name="Jan_01">#REF!</definedName>
    <definedName name="Jan_02">#REF!</definedName>
    <definedName name="Jan_03">#REF!</definedName>
    <definedName name="Jan_04">"3gstart"</definedName>
    <definedName name="Jan_18">#REF!</definedName>
    <definedName name="Jan_19">#REF!</definedName>
    <definedName name="Jan_20">#REF!</definedName>
    <definedName name="Jan_21">#REF!</definedName>
    <definedName name="Jan_Master_totals">#REF!</definedName>
    <definedName name="janaud">#REF!</definedName>
    <definedName name="JANDATA?">#REF!</definedName>
    <definedName name="jane">#REF!</definedName>
    <definedName name="Janevents">#REF!</definedName>
    <definedName name="janhkd">#REF!</definedName>
    <definedName name="Jannames">#REF!</definedName>
    <definedName name="jansgd">#REF!</definedName>
    <definedName name="janthb">#REF!</definedName>
    <definedName name="jantwd">#REF!</definedName>
    <definedName name="January_Control_Totals">#REF!</definedName>
    <definedName name="JAPA">#REF!</definedName>
    <definedName name="japafx">" "</definedName>
    <definedName name="JAPAN">#REF!</definedName>
    <definedName name="Jas">{"'Feb 99'!$A$1:$G$30"}</definedName>
    <definedName name="jasdkfaksdfj">3</definedName>
    <definedName name="jaskdfjkasdjf">57</definedName>
    <definedName name="jaskfaskdjfa">4</definedName>
    <definedName name="JBNAM">"GL291KS08"</definedName>
    <definedName name="JBNMB">"261143"</definedName>
    <definedName name="jde">#REF!</definedName>
    <definedName name="jdf">#REF!</definedName>
    <definedName name="jdf_1">#REF!</definedName>
    <definedName name="jdf_2">#REF!</definedName>
    <definedName name="jdf_3">#REF!</definedName>
    <definedName name="jdf_4">#REF!</definedName>
    <definedName name="jdfakskajsfd">3</definedName>
    <definedName name="jdjdj">{"'WS Sales by Rep'!$A$24:$L$46"}</definedName>
    <definedName name="jdjdj_1">{"'WS Sales by Rep'!$A$24:$L$46"}</definedName>
    <definedName name="jdk">0</definedName>
    <definedName name="jdkfjdkfjdkfj">#REF!</definedName>
    <definedName name="jdlandnk">#REF!</definedName>
    <definedName name="je">#REF!</definedName>
    <definedName name="jeeeee">#REF!</definedName>
    <definedName name="jeeeee_1">#REF!</definedName>
    <definedName name="jei">#REF!</definedName>
    <definedName name="jeld" hidden="1">{#N/A,#N/A,FALSE,"Sheet5"}</definedName>
    <definedName name="JENS">#REF!</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#REF!</definedName>
    <definedName name="jet">#REF!</definedName>
    <definedName name="JEType">#REF!</definedName>
    <definedName name="JEType1">#REF!</definedName>
    <definedName name="JEType11">#REF!</definedName>
    <definedName name="JEType12">#REF!</definedName>
    <definedName name="JEType13">#REF!</definedName>
    <definedName name="JEType3">#REF!</definedName>
    <definedName name="JEType4">#REF!</definedName>
    <definedName name="JEType5">#REF!</definedName>
    <definedName name="JEType6">#REF!</definedName>
    <definedName name="JEType7">#REF!</definedName>
    <definedName name="JETypeLC">#REF!</definedName>
    <definedName name="JEV">#REF!</definedName>
    <definedName name="jfgjfgj">#REF!</definedName>
    <definedName name="jfgw" hidden="1">{#N/A,#N/A,FALSE,"Pharm";#N/A,#N/A,FALSE,"WWCM"}</definedName>
    <definedName name="jfiek20d02">#REF!</definedName>
    <definedName name="JFJ" hidden="1">{#N/A,#N/A,FALSE,"손익표지";#N/A,#N/A,FALSE,"손익계산";#N/A,#N/A,FALSE,"일반관리비";#N/A,#N/A,FALSE,"영업외수익";#N/A,#N/A,FALSE,"영업외비용";#N/A,#N/A,FALSE,"매출액";#N/A,#N/A,FALSE,"요약손익";#N/A,#N/A,FALSE,"요약대차";#N/A,#N/A,FALSE,"매출채권현황";#N/A,#N/A,FALSE,"매출채권명세"}</definedName>
    <definedName name="jgf">#REF!</definedName>
    <definedName name="jgf_1">#REF!</definedName>
    <definedName name="jgf_2">#REF!</definedName>
    <definedName name="jgf_3">#REF!</definedName>
    <definedName name="jgf_4">#REF!</definedName>
    <definedName name="jgfj">#REF!</definedName>
    <definedName name="jgfj_1">#REF!</definedName>
    <definedName name="jgfj_2">#REF!</definedName>
    <definedName name="jgfj_3">#REF!</definedName>
    <definedName name="jgfj_4">#REF!</definedName>
    <definedName name="jgfjgfj">#REF!</definedName>
    <definedName name="jgh">#REF!</definedName>
    <definedName name="jgh_1">#REF!</definedName>
    <definedName name="jgh_2">#REF!</definedName>
    <definedName name="jgh_3">#REF!</definedName>
    <definedName name="jgh_4">#REF!</definedName>
    <definedName name="JHBGVC">#REF!</definedName>
    <definedName name="JHBGVC_1">#REF!</definedName>
    <definedName name="jhbjkhkj" hidden="1">{#N/A,#N/A,TRUE,"Summary";#N/A,#N/A,TRUE,"IS";#N/A,#N/A,TRUE,"Adj";#N/A,#N/A,TRUE,"BS";#N/A,#N/A,TRUE,"CF";#N/A,#N/A,TRUE,"Debt";#N/A,#N/A,TRUE,"IRR"}</definedName>
    <definedName name="jhfg">#REF!</definedName>
    <definedName name="jhfg_1">#REF!</definedName>
    <definedName name="JHGD" hidden="1">{#N/A,#N/A,FALSE,"REPORT"}</definedName>
    <definedName name="jhgg">#REF!</definedName>
    <definedName name="JHGJ" hidden="1">{#N/A,#N/A,FALSE,"손익표지";#N/A,#N/A,FALSE,"손익계산";#N/A,#N/A,FALSE,"일반관리비";#N/A,#N/A,FALSE,"영업외수익";#N/A,#N/A,FALSE,"영업외비용";#N/A,#N/A,FALSE,"매출액";#N/A,#N/A,FALSE,"요약손익";#N/A,#N/A,FALSE,"요약대차";#N/A,#N/A,FALSE,"매출채권현황";#N/A,#N/A,FALSE,"매출채권명세"}</definedName>
    <definedName name="JHGJG" hidden="1">{#N/A,#N/A,FALSE,"손익표지";#N/A,#N/A,FALSE,"손익계산";#N/A,#N/A,FALSE,"일반관리비";#N/A,#N/A,FALSE,"영업외수익";#N/A,#N/A,FALSE,"영업외비용";#N/A,#N/A,FALSE,"매출액";#N/A,#N/A,FALSE,"요약손익";#N/A,#N/A,FALSE,"요약대차";#N/A,#N/A,FALSE,"매출채권현황";#N/A,#N/A,FALSE,"매출채권명세"}</definedName>
    <definedName name="JHGJGF" hidden="1">{#N/A,#N/A,FALSE,"Pharm";#N/A,#N/A,FALSE,"WWCM"}</definedName>
    <definedName name="JHJH" hidden="1">{#N/A,#N/A,FALSE,"손익표지";#N/A,#N/A,FALSE,"손익계산";#N/A,#N/A,FALSE,"일반관리비";#N/A,#N/A,FALSE,"영업외수익";#N/A,#N/A,FALSE,"영업외비용";#N/A,#N/A,FALSE,"매출액";#N/A,#N/A,FALSE,"요약손익";#N/A,#N/A,FALSE,"요약대차";#N/A,#N/A,FALSE,"매출채권현황";#N/A,#N/A,FALSE,"매출채권명세"}</definedName>
    <definedName name="JHJHGFGJ" hidden="1">{#N/A,#N/A,FALSE,"Pharm";#N/A,#N/A,FALSE,"WWCM"}</definedName>
    <definedName name="jhkjh">#REF!</definedName>
    <definedName name="jhljlk" hidden="1">{#N/A,#N/A,FALSE,"Pharm";#N/A,#N/A,FALSE,"WWCM"}</definedName>
    <definedName name="ji">#REF!</definedName>
    <definedName name="jim">#REF!</definedName>
    <definedName name="jj">#REF!</definedName>
    <definedName name="jjf">#REF!</definedName>
    <definedName name="jjf_1">#REF!</definedName>
    <definedName name="jjf_2">#REF!</definedName>
    <definedName name="jjf_3">#REF!</definedName>
    <definedName name="jjf_4">#REF!</definedName>
    <definedName name="jjj" hidden="1">{#N/A,#N/A,TRUE,"4Q BCG";#N/A,#N/A,TRUE,"4Q w|o Wireless";#N/A,#N/A,TRUE,"4Q Wireless"}</definedName>
    <definedName name="jjj_1">#REF!</definedName>
    <definedName name="JJJJ" hidden="1">#N/A</definedName>
    <definedName name="jjjjj">#REF!</definedName>
    <definedName name="jjjjj_1">#REF!</definedName>
    <definedName name="jjjjjjjj">#REF!</definedName>
    <definedName name="JJJJJJJJJJJ">#REF!</definedName>
    <definedName name="jjkk" hidden="1">{"'Planning Data'!$A$2:$X$120"}</definedName>
    <definedName name="jjkl">#REF!</definedName>
    <definedName name="jjl">{"'표지'!$B$5"}</definedName>
    <definedName name="JK">#REF!</definedName>
    <definedName name="jke">#REF!</definedName>
    <definedName name="jkhjfghkjfc" hidden="1">{#N/A,#N/A,FALSE,"Summary";#N/A,#N/A,FALSE,"1991";#N/A,#N/A,FALSE,"91 AMT";#N/A,#N/A,FALSE,"1992";#N/A,#N/A,FALSE,"92 AMT";#N/A,#N/A,FALSE,"1993";#N/A,#N/A,FALSE,"93 AMT"}</definedName>
    <definedName name="jkhjfghkjfc_3">#REF!</definedName>
    <definedName name="jkhjhjk">#REF!</definedName>
    <definedName name="jkhjkhlkj">#REF!</definedName>
    <definedName name="jkj">#REF!</definedName>
    <definedName name="jkj_1">#REF!</definedName>
    <definedName name="jkjklj">#REF!</definedName>
    <definedName name="jkjkljkljlk">#REF!</definedName>
    <definedName name="jkjlk">#REF!</definedName>
    <definedName name="jkjlkj">#REF!</definedName>
    <definedName name="jkkjkljlkj">#REF!</definedName>
    <definedName name="jkkkk">#REF!</definedName>
    <definedName name="jklj">#REF!</definedName>
    <definedName name="jklji">#REF!</definedName>
    <definedName name="jkljkl">#REF!</definedName>
    <definedName name="jkljklj">#REF!</definedName>
    <definedName name="jkljl">#REF!</definedName>
    <definedName name="jkljli">#REF!</definedName>
    <definedName name="jkljlk">#REF!</definedName>
    <definedName name="jkljlkj">#REF!</definedName>
    <definedName name="jkljlkjl" hidden="1">{#N/A,#N/A,FALSE,"UNIT";#N/A,#N/A,FALSE,"UNIT";#N/A,#N/A,FALSE,"계정"}</definedName>
    <definedName name="jklki">#REF!</definedName>
    <definedName name="jklkj">#REF!</definedName>
    <definedName name="jklkjkj">#REF!</definedName>
    <definedName name="jkllj">#REF!</definedName>
    <definedName name="jkyuk">#REF!</definedName>
    <definedName name="jkyuk_1">#REF!</definedName>
    <definedName name="jl">#REF!</definedName>
    <definedName name="jl_1">#REF!</definedName>
    <definedName name="jljlkj">#REF!</definedName>
    <definedName name="jlkjkjl">#REF!</definedName>
    <definedName name="jllk">#REF!</definedName>
    <definedName name="jllk_1">#REF!</definedName>
    <definedName name="JM">#REF!</definedName>
    <definedName name="JNPRpublish">#REF!</definedName>
    <definedName name="JNPRpublish_1">#REF!</definedName>
    <definedName name="JNPRpublish_2">#REF!</definedName>
    <definedName name="JNPRpublish_3">#REF!</definedName>
    <definedName name="JNPRpublish_4">#REF!</definedName>
    <definedName name="job">#REF!</definedName>
    <definedName name="job_run">#REF!</definedName>
    <definedName name="JobID">#REF!</definedName>
    <definedName name="Joerg">#REF!</definedName>
    <definedName name="joñjhlk" hidden="1">{#N/A,#N/A,FALSE,"Pharm";#N/A,#N/A,FALSE,"WWCM"}</definedName>
    <definedName name="JOUR1">#REF!</definedName>
    <definedName name="JOURNAL">#REF!</definedName>
    <definedName name="Journal_Entries">#REF!</definedName>
    <definedName name="JOURT">#REF!</definedName>
    <definedName name="JPY">#REF!</definedName>
    <definedName name="JPY_PL_3">#REF!</definedName>
    <definedName name="JRcomp">#REF!</definedName>
    <definedName name="JSDKFJ">4</definedName>
    <definedName name="jskljsljslk">#REF!</definedName>
    <definedName name="jtdy">#REF!</definedName>
    <definedName name="jtdy_1">#REF!</definedName>
    <definedName name="jtrj">#REF!</definedName>
    <definedName name="jtrj_1">#REF!</definedName>
    <definedName name="jtrj_2">#REF!</definedName>
    <definedName name="jtrj_3">#REF!</definedName>
    <definedName name="jtrj_4">#REF!</definedName>
    <definedName name="jty">#REF!</definedName>
    <definedName name="jty_1">#REF!</definedName>
    <definedName name="jty_2">#REF!</definedName>
    <definedName name="jty_3">#REF!</definedName>
    <definedName name="jty_4">#REF!</definedName>
    <definedName name="jtyj">#REF!</definedName>
    <definedName name="jtyj_1">#REF!</definedName>
    <definedName name="jtyj_2">#REF!</definedName>
    <definedName name="jtyj_3">#REF!</definedName>
    <definedName name="jtyj_4">#REF!</definedName>
    <definedName name="jtyjk">#REF!</definedName>
    <definedName name="jtyjk_1">#REF!</definedName>
    <definedName name="jtyjk_2">#REF!</definedName>
    <definedName name="jtyjk_3">#REF!</definedName>
    <definedName name="jtyjk_4">#REF!</definedName>
    <definedName name="ju">#REF!</definedName>
    <definedName name="judy" hidden="1">{#N/A,#N/A,FALSE,"Pharm";#N/A,#N/A,FALSE,"WWCM"}</definedName>
    <definedName name="judy1" hidden="1">{#N/A,#N/A,FALSE,"Pharm";#N/A,#N/A,FALSE,"WWCM"}</definedName>
    <definedName name="jufn">#REF!</definedName>
    <definedName name="Jul_01">#REF!</definedName>
    <definedName name="Jul_18">#REF!</definedName>
    <definedName name="Jul_19">#REF!</definedName>
    <definedName name="Jul_20">#REF!</definedName>
    <definedName name="Jul_21">#REF!</definedName>
    <definedName name="julaud">#REF!</definedName>
    <definedName name="JULDATA?">#REF!</definedName>
    <definedName name="julhkd">#REF!</definedName>
    <definedName name="julsgd">#REF!</definedName>
    <definedName name="julthb">#REF!</definedName>
    <definedName name="jultwd">#REF!</definedName>
    <definedName name="July">#REF!</definedName>
    <definedName name="July_1">#REF!</definedName>
    <definedName name="July_Control_Totals">#REF!</definedName>
    <definedName name="july1">#REF!</definedName>
    <definedName name="july2001" hidden="1">{#N/A,#N/A,FALSE,"1";#N/A,#N/A,FALSE,"2";#N/A,#N/A,FALSE,"16 - 17";#N/A,#N/A,FALSE,"18 - 19";#N/A,#N/A,FALSE,"26";#N/A,#N/A,FALSE,"27";#N/A,#N/A,FALSE,"28"}</definedName>
    <definedName name="JulyNZ">#REF!</definedName>
    <definedName name="Jun_03">#REF!</definedName>
    <definedName name="Jun_18">#REF!</definedName>
    <definedName name="Jun_19">#REF!</definedName>
    <definedName name="Jun_20">#REF!</definedName>
    <definedName name="Jun_21">#REF!</definedName>
    <definedName name="junaud">#REF!</definedName>
    <definedName name="JUNDATA?">#REF!</definedName>
    <definedName name="June">#REF!</definedName>
    <definedName name="June_1">#REF!</definedName>
    <definedName name="June_Control_Totals">#REF!</definedName>
    <definedName name="junhkd">#REF!</definedName>
    <definedName name="junsgd">#REF!</definedName>
    <definedName name="junthb">#REF!</definedName>
    <definedName name="juntwd">#REF!</definedName>
    <definedName name="juu">#REF!</definedName>
    <definedName name="jv">#REF!</definedName>
    <definedName name="JV_Form">#REF!</definedName>
    <definedName name="JVBDJVDSJVD" hidden="1">#REF!</definedName>
    <definedName name="jy">#REF!</definedName>
    <definedName name="JYBUD">#REF!</definedName>
    <definedName name="jygy">#REF!</definedName>
    <definedName name="jytjty">#REF!</definedName>
    <definedName name="jytyj">#REF!</definedName>
    <definedName name="K">#REF!</definedName>
    <definedName name="K_1">#REF!</definedName>
    <definedName name="K2__MAXEXPCOLS__">100</definedName>
    <definedName name="K2__MAXEXPROWS__">1000</definedName>
    <definedName name="K2__WBEVMODE__">1</definedName>
    <definedName name="K2__WBREFOPTIONS__">134217728</definedName>
    <definedName name="K2_WBEVMODE">-1</definedName>
    <definedName name="k2m">"Ptnr is Final--wp K2"</definedName>
    <definedName name="K7a">255</definedName>
    <definedName name="ka">#REF!</definedName>
    <definedName name="KACr95">#REF!</definedName>
    <definedName name="KACr96">#REF!</definedName>
    <definedName name="KACr97">#REF!</definedName>
    <definedName name="KACr98">#REF!</definedName>
    <definedName name="KACr98.10">#REF!</definedName>
    <definedName name="KACr98.11">#REF!</definedName>
    <definedName name="KADr95">#REF!</definedName>
    <definedName name="KADr96">#REF!</definedName>
    <definedName name="KADr97">#REF!</definedName>
    <definedName name="KADr98">#REF!</definedName>
    <definedName name="KADr98.10">#REF!</definedName>
    <definedName name="KADr98.11">#REF!</definedName>
    <definedName name="kai">{"'OCT  VOIDS'!$A$1:$G$33","'OCT '!$A$1:$G$48","'OCT Adj'!$A$1:$L$37"}</definedName>
    <definedName name="kajsdkjfkajsdfjasdfkjasjdkf">3</definedName>
    <definedName name="kaminami" hidden="1">{#N/A,#N/A,FALSE,"Australia";#N/A,#N/A,FALSE,"Austria";#N/A,#N/A,FALSE,"Belgium";#N/A,#N/A,FALSE,"Canada";#N/A,#N/A,FALSE,"France";#N/A,#N/A,FALSE,"Germany";#N/A,#N/A,FALSE,"Hong Kong";#N/A,#N/A,FALSE,"Italy";#N/A,#N/A,FALSE,"Japan";#N/A,#N/A,FALSE,"Korea";#N/A,#N/A,FALSE,"Mexico";#N/A,#N/A,FALSE,"Poland";#N/A,#N/A,FALSE,"Spain";#N/A,#N/A,FALSE,"Switzerland";#N/A,#N/A,FALSE,"UK"}</definedName>
    <definedName name="karnatakabank">#REF!</definedName>
    <definedName name="kay">#REF!</definedName>
    <definedName name="kb">#REF!</definedName>
    <definedName name="KBRHill">#REF!</definedName>
    <definedName name="KC" hidden="1">{#N/A,#N/A,FALSE,"을지 (4)";#N/A,#N/A,FALSE,"을지 (5)";#N/A,#N/A,FALSE,"을지 (6)"}</definedName>
    <definedName name="Kd">#REF!</definedName>
    <definedName name="KDD">#REF!</definedName>
    <definedName name="KDDD">#REF!</definedName>
    <definedName name="KDilSwitch">#REF!</definedName>
    <definedName name="kdjfkasf">"AS2DocumentBrowse"</definedName>
    <definedName name="KDJHSKDSKH">BLCH</definedName>
    <definedName name="kdkdkkdk">{"'ASIENTOS'!$C$11:$G$144"}</definedName>
    <definedName name="Kent">#REF!</definedName>
    <definedName name="Key_A_CAT">#REF!</definedName>
    <definedName name="Key_A_ELEM">#REF!</definedName>
    <definedName name="Key_A_OPSEC">#REF!</definedName>
    <definedName name="Key_A_PER">#REF!</definedName>
    <definedName name="Key_A_TCUR">#REF!</definedName>
    <definedName name="Key_A_TOFR">#REF!</definedName>
    <definedName name="Key_A_UNIT">#REF!</definedName>
    <definedName name="Key_A1_CAT">#REF!</definedName>
    <definedName name="Key_A1_ELEM">#REF!</definedName>
    <definedName name="Key_A1_OPSEC">#REF!</definedName>
    <definedName name="Key_A1_PER">#REF!</definedName>
    <definedName name="Key_A1_TCUR">#REF!</definedName>
    <definedName name="Key_A1_TOFR">#REF!</definedName>
    <definedName name="Key_A1_UNIT">#REF!</definedName>
    <definedName name="Key_C_CAT">#REF!</definedName>
    <definedName name="Key_C_ELEM">#REF!</definedName>
    <definedName name="Key_C_OPSEC">#REF!</definedName>
    <definedName name="Key_C_PER">#REF!</definedName>
    <definedName name="Key_C_TCUR">#REF!</definedName>
    <definedName name="Key_C_TOFR">#REF!</definedName>
    <definedName name="Key_C_UNIT">#REF!</definedName>
    <definedName name="KEY_HELP_ACC">#REF!</definedName>
    <definedName name="KEY_UNADJ_ACC">#REF!</definedName>
    <definedName name="keysum">#REF!</definedName>
    <definedName name="KFDHVRDATA">#REF!</definedName>
    <definedName name="KFH" hidden="1">{#N/A,#N/A,FALSE,"손익표지";#N/A,#N/A,FALSE,"손익계산";#N/A,#N/A,FALSE,"일반관리비";#N/A,#N/A,FALSE,"영업외수익";#N/A,#N/A,FALSE,"영업외비용";#N/A,#N/A,FALSE,"매출액";#N/A,#N/A,FALSE,"요약손익";#N/A,#N/A,FALSE,"요약대차";#N/A,#N/A,FALSE,"매출채권현황";#N/A,#N/A,FALSE,"매출채권명세"}</definedName>
    <definedName name="KGaap95">#REF!</definedName>
    <definedName name="KGaap96">#REF!</definedName>
    <definedName name="KGaap97">#REF!</definedName>
    <definedName name="KGaap98">#REF!</definedName>
    <definedName name="KGaap98.10">#REF!</definedName>
    <definedName name="KGaap98.11">#REF!</definedName>
    <definedName name="kgdata">#REF!</definedName>
    <definedName name="kgh" hidden="1">{#N/A,#N/A,FALSE,"Pharm";#N/A,#N/A,FALSE,"WWCM"}</definedName>
    <definedName name="kgjlhjmkjmgf">#REF!</definedName>
    <definedName name="kgjlhjmkjmgf_1">#REF!</definedName>
    <definedName name="kgjlhjmkjmgf_2">#REF!</definedName>
    <definedName name="kgjlhjmkjmgf_3">#REF!</definedName>
    <definedName name="kgjlhjmkjmgf_4">#REF!</definedName>
    <definedName name="KGP">#REF!</definedName>
    <definedName name="KGS">#REF!</definedName>
    <definedName name="kh">#REF!</definedName>
    <definedName name="khg" hidden="1">{#N/A,#N/A,FALSE,"Pharm";#N/A,#N/A,FALSE,"WWCM"}</definedName>
    <definedName name="KI_Dev_QA">#REF!</definedName>
    <definedName name="kinis">#REF!</definedName>
    <definedName name="kinop">#REF!</definedName>
    <definedName name="kjh">#REF!</definedName>
    <definedName name="kjh_1">#REF!</definedName>
    <definedName name="KJHG">#REF!</definedName>
    <definedName name="KJHG_1">#REF!</definedName>
    <definedName name="KJHGG" hidden="1">{#N/A,#N/A,FALSE,"Pharm";#N/A,#N/A,FALSE,"WWCM"}</definedName>
    <definedName name="kjj">binary</definedName>
    <definedName name="kjk">#REF!</definedName>
    <definedName name="kjkhui">#REF!</definedName>
    <definedName name="kjkl">#REF!</definedName>
    <definedName name="kjkli">#REF!</definedName>
    <definedName name="kjklji">#REF!</definedName>
    <definedName name="kjkljl">#REF!</definedName>
    <definedName name="kjlkji">#REF!</definedName>
    <definedName name="kjlkjli">#REF!</definedName>
    <definedName name="KJNK">BLCH</definedName>
    <definedName name="kjo">#REF!</definedName>
    <definedName name="kk" hidden="1">{"inflated_pl",#N/A,FALSE,"P&amp;L"}</definedName>
    <definedName name="kka">#REF!</definedName>
    <definedName name="KKK" hidden="1">255</definedName>
    <definedName name="kkk.pp">#REF!</definedName>
    <definedName name="kkkk">#REF!</definedName>
    <definedName name="kkkkk">{"'1-TheatreBkgs'!$A$1:$L$102"}</definedName>
    <definedName name="kkkkkkkk">#REF!</definedName>
    <definedName name="KKKKKKKKKKK">#REF!</definedName>
    <definedName name="KKKLL">#REF!</definedName>
    <definedName name="kkl">{"'Customer Support Trends'!$A$1:$AB$13"}</definedName>
    <definedName name="kl" hidden="1">{#N/A,#N/A,FALSE,"Income";#N/A,#N/A,FALSE,"Cost of Goods Sold";#N/A,#N/A,FALSE,"Other Costs";#N/A,#N/A,FALSE,"Other Income";#N/A,#N/A,FALSE,"Taxes";#N/A,#N/A,FALSE,"Other Deductions";#N/A,#N/A,FALSE,"Compensation of Officers"}</definedName>
    <definedName name="klhj">#REF!</definedName>
    <definedName name="kljklji">#REF!</definedName>
    <definedName name="klk">#REF!</definedName>
    <definedName name="klkl" hidden="1">{#N/A,#N/A,FALSE,"Description"}</definedName>
    <definedName name="klklklkl">#REF!</definedName>
    <definedName name="klklklkl_1">#REF!</definedName>
    <definedName name="klklklkl_2">#REF!</definedName>
    <definedName name="klklklkl_3">#REF!</definedName>
    <definedName name="klklklkl_4">#REF!</definedName>
    <definedName name="kll">#REF!</definedName>
    <definedName name="klop" hidden="1">#REF!</definedName>
    <definedName name="KN" hidden="1">{#N/A,#N/A,FALSE,"을지 (4)";#N/A,#N/A,FALSE,"을지 (5)";#N/A,#N/A,FALSE,"을지 (6)"}</definedName>
    <definedName name="knitplub" hidden="1">{#N/A,#N/A,FALSE,"Income";#N/A,#N/A,FALSE,"Cost of Goods Sold";#N/A,#N/A,FALSE,"Other Costs";#N/A,#N/A,FALSE,"Other Income";#N/A,#N/A,FALSE,"Taxes";#N/A,#N/A,FALSE,"Other Deductions";#N/A,#N/A,FALSE,"Compensation of Officers"}</definedName>
    <definedName name="ko">#REF!</definedName>
    <definedName name="KOLLO">#REF!</definedName>
    <definedName name="Komarla">#REF!</definedName>
    <definedName name="KOREA_PLASTIC_in_KUSD">#REF!</definedName>
    <definedName name="Kotakmahindra">#REF!</definedName>
    <definedName name="KPDCHAR">#REF!</definedName>
    <definedName name="KPDRECAP">#REF!</definedName>
    <definedName name="KPI">#REF!</definedName>
    <definedName name="krutnh">#REF!</definedName>
    <definedName name="krutnh_1">#REF!</definedName>
    <definedName name="KRW">#REF!</definedName>
    <definedName name="kslkjkjlkjd" hidden="1">{#N/A,#N/A,FALSE,"REPORT"}</definedName>
    <definedName name="KUULSD">#REF!</definedName>
    <definedName name="KV_AC">#REF!</definedName>
    <definedName name="kyd.ChngCell.01.">"x"</definedName>
    <definedName name="kyd.CounterLimitCell.01.">"x"</definedName>
    <definedName name="kyd.Dim.01.">"CLG:SUBS"</definedName>
    <definedName name="kyd.ElementList.01.">"x"</definedName>
    <definedName name="kyd.ElementType.01.">1</definedName>
    <definedName name="kyd.FileSaveDir.">"F:\FP&amp;A\Monciela\Test\"</definedName>
    <definedName name="kyd.GroupFileName.">""</definedName>
    <definedName name="kyd.GroupFiles.">-4146</definedName>
    <definedName name="kyd.ItemType.01.">1</definedName>
    <definedName name="kyd.KillLinks.">-4146</definedName>
    <definedName name="kyd.MacroAfterMemoRow.">""</definedName>
    <definedName name="kyd.MacroAfterZap.">""</definedName>
    <definedName name="kyd.MacroAtEnd.">""</definedName>
    <definedName name="kyd.MacroEachCycle.">""</definedName>
    <definedName name="kyd.MacroEndOfEachCycle.">""</definedName>
    <definedName name="kyd.MacroStartOfProc.">""</definedName>
    <definedName name="kyd.MemKillRows.">-4146</definedName>
    <definedName name="kyd.MemoSortHide.">FALSE</definedName>
    <definedName name="kyd.NumLevels.01.">999</definedName>
    <definedName name="kyd.PanicStop.">FALSE</definedName>
    <definedName name="kyd.ParentName.01.">"World Wide"</definedName>
    <definedName name="kyd.Password.">""</definedName>
    <definedName name="kyd.PreScreenData.">FALSE</definedName>
    <definedName name="kyd.PrintMemo.">FALSE</definedName>
    <definedName name="kyd.PrintParent.01.">TRUE</definedName>
    <definedName name="kyd.PrintStdWhen.">3</definedName>
    <definedName name="kyd.PrintToWbk.">FALSE</definedName>
    <definedName name="kyd.ProtWbkStruct.">-4146</definedName>
    <definedName name="kyd.ProtWbkWin.">-4146</definedName>
    <definedName name="kyd.ReplaceFile.">-4146</definedName>
    <definedName name="kyd.SaveAsFile.">FALSE</definedName>
    <definedName name="kyd.SaveCopy.">3</definedName>
    <definedName name="kyd.SaveMemo.">FALSE</definedName>
    <definedName name="kyd.SelectString.01.">"*"</definedName>
    <definedName name="kyd.Shortcut.">FALSE</definedName>
    <definedName name="kyd.StdHasFooterRow." hidden="1">-4146</definedName>
    <definedName name="kyd.StdHasHeaderRow." hidden="1">-4146</definedName>
    <definedName name="kyd.StdHideRowRange." hidden="1">#REF!</definedName>
    <definedName name="kyd.StdKillRows.">-4146</definedName>
    <definedName name="kyd.StdKillSheets.">-4146</definedName>
    <definedName name="kyd.StdRecalcAfterSort." hidden="1">-4146</definedName>
    <definedName name="kyd.StdSortHide.">FALSE</definedName>
    <definedName name="kyd.StdSortRpt1." hidden="1">1</definedName>
    <definedName name="kyd.StdSortRpt2." hidden="1">1</definedName>
    <definedName name="kyd.StdSortRpt3." hidden="1">1</definedName>
    <definedName name="kyd.StdSortRptList1." hidden="1">""</definedName>
    <definedName name="kyd.StdSortRptList2." hidden="1">""</definedName>
    <definedName name="kyd.StdSortRptList3." hidden="1">""</definedName>
    <definedName name="kyd.StopRow.">65536</definedName>
    <definedName name="kyd.SuspendEmail.">-4146</definedName>
    <definedName name="kyd.UsePrintCtrlRange.">TRUE</definedName>
    <definedName name="kyd.WriteMemWhenOptn.">3</definedName>
    <definedName name="kyujkgfujhy">#REF!</definedName>
    <definedName name="kyujkgfujhy_1">#REF!</definedName>
    <definedName name="kyujkgfujhy_2">#REF!</definedName>
    <definedName name="kyujkgfujhy_3">#REF!</definedName>
    <definedName name="kyujkgfujhy_4">#REF!</definedName>
    <definedName name="l" hidden="1">{"'Sheet1'!$A$1:$H$36"}</definedName>
    <definedName name="l_3">#REF!</definedName>
    <definedName name="L_AcctDes1">#REF!</definedName>
    <definedName name="L_Adjust">#REF!</definedName>
    <definedName name="L_Adjust_GT1">#REF!</definedName>
    <definedName name="L_Adjust1">#REF!</definedName>
    <definedName name="L_AJE_Tot">#REF!</definedName>
    <definedName name="L_AJE_Tot_GT1">#REF!</definedName>
    <definedName name="L_AJE_Tot1">#REF!</definedName>
    <definedName name="L_CompNum1">#REF!</definedName>
    <definedName name="L_CY_Beg">#REF!</definedName>
    <definedName name="L_CY_Beg_GT1">#REF!</definedName>
    <definedName name="L_CY_Beg1">#REF!</definedName>
    <definedName name="L_CY_End">#REF!</definedName>
    <definedName name="L_CY_End_GT1">#REF!</definedName>
    <definedName name="L_CY_End1">#REF!</definedName>
    <definedName name="L_GrpNum1">#REF!</definedName>
    <definedName name="L_Headings1">#REF!</definedName>
    <definedName name="L_PY_End">#REF!</definedName>
    <definedName name="L_RJE_Tot">#REF!</definedName>
    <definedName name="L_TCost">#REF!</definedName>
    <definedName name="L1_">#REF!</definedName>
    <definedName name="L23_">#REF!</definedName>
    <definedName name="LA_PALMA">#REF!</definedName>
    <definedName name="lab" hidden="1">{#N/A,#N/A,FALSE,"91NOLCB";#N/A,#N/A,FALSE,"92NOLCB";#N/A,#N/A,FALSE,"93NOLCB"}</definedName>
    <definedName name="Labeltable">#REF!</definedName>
    <definedName name="LABELTEXTCOLUMN1">#REF!</definedName>
    <definedName name="LABELTEXTCOLUMN2">#REF!</definedName>
    <definedName name="LABELTEXTCOLUMN3">#REF!</definedName>
    <definedName name="LABELTEXTCOLUMN4">#REF!</definedName>
    <definedName name="LABELTEXTCOLUMN5">#REF!</definedName>
    <definedName name="LABELTEXTCOLUMN6">#REF!</definedName>
    <definedName name="LABELTEXTROW1">#REF!</definedName>
    <definedName name="LABELTEXTROW2">#REF!</definedName>
    <definedName name="LABELTEXTROW3">#REF!</definedName>
    <definedName name="LABELTEXTROW4">#REF!</definedName>
    <definedName name="LABELTEXTROW5">#REF!</definedName>
    <definedName name="LABELTEXTROW6">#REF!</definedName>
    <definedName name="LABOR3">#REF!</definedName>
    <definedName name="lac">#REF!</definedName>
    <definedName name="Land">#REF!</definedName>
    <definedName name="LAND_DEV">#REF!</definedName>
    <definedName name="LandFtPerAcre">43560</definedName>
    <definedName name="LANDIMP">#REF!</definedName>
    <definedName name="LANDREV">#REF!</definedName>
    <definedName name="Language">#REF!</definedName>
    <definedName name="LANprod1">#REF!</definedName>
    <definedName name="LANprod2">#REF!</definedName>
    <definedName name="LAP">#REF!</definedName>
    <definedName name="LAPP">#REF!</definedName>
    <definedName name="laptopcost">#REF!</definedName>
    <definedName name="larry">#REF!</definedName>
    <definedName name="larsen_toubro">#REF!</definedName>
    <definedName name="LASER_MU">#REF!</definedName>
    <definedName name="LASER_MU2">#REF!</definedName>
    <definedName name="LASER_MU3">#REF!</definedName>
    <definedName name="LASJKXNLK">#REF!</definedName>
    <definedName name="LAST_PRINT">#REF!</definedName>
    <definedName name="Last_year_s_numbers_FooterType">"INTERNAL"</definedName>
    <definedName name="Last_yr_s_nos_FooterType">"EXTERNAL"</definedName>
    <definedName name="LastRowA">4</definedName>
    <definedName name="LaundryMonth">#REF!</definedName>
    <definedName name="LaundryYTD">#REF!</definedName>
    <definedName name="laura">{"'1-TheatreBkgs'!$A$1:$L$102"}</definedName>
    <definedName name="Lavelle">#REF!</definedName>
    <definedName name="lawrence">#REF!</definedName>
    <definedName name="lawrencee">#REF!</definedName>
    <definedName name="lbo">#REF!</definedName>
    <definedName name="lbo_1">#REF!</definedName>
    <definedName name="lbo_2">#REF!</definedName>
    <definedName name="lbo_3">#REF!</definedName>
    <definedName name="lbo_4">#REF!</definedName>
    <definedName name="LBOCreditConsol">#REF!</definedName>
    <definedName name="lc">#REF!</definedName>
    <definedName name="LC_Price">#REF!</definedName>
    <definedName name="LC256PY">#REF!</definedName>
    <definedName name="LCD" hidden="1">{#N/A,#N/A,FALSE,"표지&amp;목차";#N/A,#N/A,FALSE,"경영현황";#N/A,#N/A,FALSE,"매출현황";#N/A,#N/A,FALSE,"매출차이분석(양식)";#N/A,#N/A,FALSE,"손익현황";#N/A,#N/A,FALSE,"손익차이분석";#N/A,#N/A,FALSE,"제품별손익";#N/A,#N/A,FALSE,"재공재고";#N/A,#N/A,FALSE,"원가추이"}</definedName>
    <definedName name="LCurveMultiplier">#REF!</definedName>
    <definedName name="LCW">#REF!</definedName>
    <definedName name="LC명">#REF!</definedName>
    <definedName name="lease_comm_date">#REF!</definedName>
    <definedName name="lease_incentives">#REF!</definedName>
    <definedName name="Lease_obligation">#REF!</definedName>
    <definedName name="LEASE_RENT">#REF!</definedName>
    <definedName name="Leasehold">#REF!</definedName>
    <definedName name="LEAVE">#REF!</definedName>
    <definedName name="LEAVEs">#REF!</definedName>
    <definedName name="Ledger">#REF!</definedName>
    <definedName name="lee" hidden="1">{#N/A,#N/A,FALSE,"Sheet5"}</definedName>
    <definedName name="lef">#REF!</definedName>
    <definedName name="LEFT">#REF!</definedName>
    <definedName name="LEFT1">#REF!</definedName>
    <definedName name="leftcol">#REF!</definedName>
    <definedName name="Legacy1">{"'표지'!$B$5"}</definedName>
    <definedName name="Legal">#REF!</definedName>
    <definedName name="Legal_entity_name">#REF!</definedName>
    <definedName name="legal_entity_number">#REF!</definedName>
    <definedName name="lek">#REF!</definedName>
    <definedName name="lel">#REF!</definedName>
    <definedName name="les" hidden="1">{#N/A,#N/A,TRUE,"R&amp;D";#N/A,#N/A,TRUE,"Drct exp";#N/A,#N/A,TRUE,"OPEX";#N/A,#N/A,TRUE,"R&amp;D";#N/A,#N/A,TRUE,"S&amp;M";#N/A,#N/A,TRUE,"G&amp;A"}</definedName>
    <definedName name="LETTER">#REF!</definedName>
    <definedName name="letter1">#REF!</definedName>
    <definedName name="Level_BOM">#REF!</definedName>
    <definedName name="lever2">1920/1500*#REF!</definedName>
    <definedName name="LevMaint_">#REF!</definedName>
    <definedName name="lf">#REF!</definedName>
    <definedName name="LG_16">#REF!</definedName>
    <definedName name="LG_17">#REF!</definedName>
    <definedName name="LG64PY">#REF!</definedName>
    <definedName name="li">#REF!</definedName>
    <definedName name="LI.">#REF!</definedName>
    <definedName name="li_qu">#REF!</definedName>
    <definedName name="LIAB">#REF!</definedName>
    <definedName name="liabilities">#REF!</definedName>
    <definedName name="Liabilities_FooterType">"INTERNAL"</definedName>
    <definedName name="Lib">5.8</definedName>
    <definedName name="LibelléEuro">"M.USD"</definedName>
    <definedName name="Libo">#REF!</definedName>
    <definedName name="LIBOR">#REF!</definedName>
    <definedName name="Library">"a1"</definedName>
    <definedName name="LICENSE">#REF!</definedName>
    <definedName name="LicenseCOS">0.01</definedName>
    <definedName name="LicGrant">#REF!</definedName>
    <definedName name="LicLook">#REF!</definedName>
    <definedName name="lidhalsfdhe.f">{"'Feb 99'!$A$1:$G$30"}</definedName>
    <definedName name="life_bal">#REF!</definedName>
    <definedName name="life_capex">#REF!</definedName>
    <definedName name="LIFO">#REF!</definedName>
    <definedName name="lig">{"'1-TheatreBkgs'!$A$1:$L$102"}</definedName>
    <definedName name="limcount" hidden="1">1</definedName>
    <definedName name="LINE">#REF!</definedName>
    <definedName name="LINE_ITEM">#REF!</definedName>
    <definedName name="line1">#REF!</definedName>
    <definedName name="LineCount">#REF!</definedName>
    <definedName name="LineCount1">#REF!</definedName>
    <definedName name="LineNbr">#REF!</definedName>
    <definedName name="LINE검토2" hidden="1">{#N/A,#N/A,TRUE,"Y생산";#N/A,#N/A,TRUE,"Y판매";#N/A,#N/A,TRUE,"Y총물량";#N/A,#N/A,TRUE,"Y능력";#N/A,#N/A,TRUE,"YKD"}</definedName>
    <definedName name="link">#REF!</definedName>
    <definedName name="LinkedArea1">#REF!</definedName>
    <definedName name="LinkedArea10">#REF!</definedName>
    <definedName name="LinkedArea11">#REF!</definedName>
    <definedName name="LinkedArea2">#REF!</definedName>
    <definedName name="LinkedArea3">#REF!</definedName>
    <definedName name="LinkedArea4">#REF!</definedName>
    <definedName name="LinkedArea5">#REF!</definedName>
    <definedName name="LinkedArea6">#REF!</definedName>
    <definedName name="LinkedArea7">#REF!</definedName>
    <definedName name="LinkedArea8">#REF!</definedName>
    <definedName name="LinkedArea9">#REF!</definedName>
    <definedName name="linkpt">#REF!</definedName>
    <definedName name="linr">#REF!</definedName>
    <definedName name="LiquidationScenarios">#REF!</definedName>
    <definedName name="Lire">#REF!</definedName>
    <definedName name="Lisa_extract_ML_080825">#REF!</definedName>
    <definedName name="list">#REF!</definedName>
    <definedName name="list_1">#REF!</definedName>
    <definedName name="list_10">#REF!</definedName>
    <definedName name="list_12">#REF!</definedName>
    <definedName name="list_2">#REF!</definedName>
    <definedName name="list_9">#REF!</definedName>
    <definedName name="LIST_ALL">#REF!</definedName>
    <definedName name="LIST_FIELD">#REF!</definedName>
    <definedName name="List_SR">#REF!</definedName>
    <definedName name="list2">#REF!</definedName>
    <definedName name="ListOffset" hidden="1">1</definedName>
    <definedName name="ListOffset_1">16</definedName>
    <definedName name="ListSheetsMacroButton">#REF!</definedName>
    <definedName name="LITTER">#REF!</definedName>
    <definedName name="ljflkjdlkfjldf" hidden="1">#REF!</definedName>
    <definedName name="ljh" hidden="1">{#N/A,#N/A,FALSE,"Sheet5"}</definedName>
    <definedName name="lk">{"'Feb 99'!$A$1:$G$30"}</definedName>
    <definedName name="lkhkgj" hidden="1">{#N/A,#N/A,FALSE,"Taxblinc";#N/A,#N/A,FALSE,"Rsvsacls"}</definedName>
    <definedName name="lkhkgj_3">#REF!</definedName>
    <definedName name="lkj" hidden="1">#REF!</definedName>
    <definedName name="lkjhmn" hidden="1">#REF!</definedName>
    <definedName name="lkjlkj">#REF!</definedName>
    <definedName name="lkjlkj_1">#REF!</definedName>
    <definedName name="lkjlkj_2">#REF!</definedName>
    <definedName name="lkjlkj_3">#REF!</definedName>
    <definedName name="lkjlkj_4">#REF!</definedName>
    <definedName name="LKK">#REF!</definedName>
    <definedName name="lkk_1">{"'WS Sales by Rep'!$A$24:$L$46"}</definedName>
    <definedName name="lkletter">#REF!</definedName>
    <definedName name="LKLKLKLK">#REF!</definedName>
    <definedName name="lkmn">#REF!</definedName>
    <definedName name="lkmn_1">#REF!</definedName>
    <definedName name="LKUP">#REF!</definedName>
    <definedName name="ll" hidden="1">#REF!</definedName>
    <definedName name="ll.pp">#REF!</definedName>
    <definedName name="LL_10">#REF!</definedName>
    <definedName name="LL_12">#REF!</definedName>
    <definedName name="LL_16">#REF!</definedName>
    <definedName name="llc.Info">#REF!</definedName>
    <definedName name="llkkj" hidden="1">{#N/A,#N/A,TRUE,"CPRD";#N/A,#N/A,TRUE,"BCCPDR";#N/A,#N/A,TRUE,"EWRD";#N/A,#N/A,TRUE,"5100";#N/A,#N/A,TRUE,"5110"}</definedName>
    <definedName name="lll" hidden="1">{#N/A,#N/A,FALSE,"Title Page (2)";#N/A,#N/A,FALSE,"YTD - Pharm";#N/A,#N/A,FALSE,"MTH - Pharm"}</definedName>
    <definedName name="lll.ll">#REF!</definedName>
    <definedName name="lll_1">{"'WS Sales by Rep'!$A$24:$L$46"}</definedName>
    <definedName name="llll">#REF!</definedName>
    <definedName name="llll3" hidden="1">#REF!</definedName>
    <definedName name="LLLLLL">#REF!</definedName>
    <definedName name="lllllll" hidden="1">#REF!</definedName>
    <definedName name="lllpo" hidden="1">{#N/A,#N/A,FALSE,"Pharm";#N/A,#N/A,FALSE,"WWCM"}</definedName>
    <definedName name="ln">#REF!</definedName>
    <definedName name="Load">" 'Cryptic Employee Info'!$G$338"</definedName>
    <definedName name="loan">#REF!</definedName>
    <definedName name="Loan_Amount">#REF!</definedName>
    <definedName name="Loan_Amountneu">#REF!</definedName>
    <definedName name="Loan_Loss_Provision_fore">#REF!</definedName>
    <definedName name="Loan_Start">#REF!</definedName>
    <definedName name="Loan_Years">#REF!</definedName>
    <definedName name="LOANS___ADVANCES">#REF!</definedName>
    <definedName name="LOANS__A">#REF!</definedName>
    <definedName name="LoansandAdvances">#REF!</definedName>
    <definedName name="LoanTable">#REF!</definedName>
    <definedName name="LOC">#REF!</definedName>
    <definedName name="local">#REF!</definedName>
    <definedName name="LOCAL_FINAL">#REF!</definedName>
    <definedName name="LOCAL_MONTHLY">#REF!</definedName>
    <definedName name="LOCAL_MYSQL_DATE_FORMAT" hidden="1">REPT(#REF!,4)&amp;_288__FDSAUDITLINK__&amp;REPT(#REF!,2)&amp;_288__FDSAUDITLINK__&amp;REPT(#REF!,2)&amp;" "&amp;REPT(#REF!,2)&amp;#REF!&amp;REPT(_28main_form_account_grants_list_20_j_id1022,2)&amp;#REF!&amp;REPT(_29__123Graph_DQRE_S_BY_CO.,2)</definedName>
    <definedName name="LOCALOS">#REF!</definedName>
    <definedName name="LocationsValid">#REF!</definedName>
    <definedName name="Locator">#REF!</definedName>
    <definedName name="Lock_Send_Practice">#REF!</definedName>
    <definedName name="Lock_Send_Range_1">#REF!</definedName>
    <definedName name="Lock_Send_Range_2">#REF!</definedName>
    <definedName name="LOGS">#REF!</definedName>
    <definedName name="Lokhouse">#REF!</definedName>
    <definedName name="lokllk">#REF!</definedName>
    <definedName name="lokm">#REF!</definedName>
    <definedName name="lokm_1">#REF!</definedName>
    <definedName name="lol">{"'vert'!$A$1:$T$117"}</definedName>
    <definedName name="lola">#REF!</definedName>
    <definedName name="lola_1">#REF!</definedName>
    <definedName name="lola_2">#REF!</definedName>
    <definedName name="lola_3">#REF!</definedName>
    <definedName name="lola_4">#REF!</definedName>
    <definedName name="lolal">#REF!</definedName>
    <definedName name="lolal_1">#REF!</definedName>
    <definedName name="lolal_2">#REF!</definedName>
    <definedName name="lolal_3">#REF!</definedName>
    <definedName name="lolal_4">#REF!</definedName>
    <definedName name="lolas">#REF!</definedName>
    <definedName name="lolas_1">#REF!</definedName>
    <definedName name="lolas_2">#REF!</definedName>
    <definedName name="lolas_3">#REF!</definedName>
    <definedName name="lolas_4">#REF!</definedName>
    <definedName name="lolass">#REF!</definedName>
    <definedName name="lolass_1">#REF!</definedName>
    <definedName name="lolass_2">#REF!</definedName>
    <definedName name="lolass_3">#REF!</definedName>
    <definedName name="lolass_4">#REF!</definedName>
    <definedName name="lolasss">#REF!</definedName>
    <definedName name="lolasss_1">#REF!</definedName>
    <definedName name="lolasss_2">#REF!</definedName>
    <definedName name="lolasss_3">#REF!</definedName>
    <definedName name="lolasss_4">#REF!</definedName>
    <definedName name="lolin" hidden="1">{#N/A,#N/A,FALSE,"Pharm";#N/A,#N/A,FALSE,"WWCM"}</definedName>
    <definedName name="loliuuu" hidden="1">{#N/A,#N/A,FALSE,"Pharm";#N/A,#N/A,FALSE,"WWCM"}</definedName>
    <definedName name="LOlmv">72591092.1875</definedName>
    <definedName name="LOLO" hidden="1">{#N/A,#N/A,FALSE,"Pharm";#N/A,#N/A,FALSE,"WWCM"}</definedName>
    <definedName name="lon" hidden="1">{#N/A,#N/A,FALSE,"91NOLCB";#N/A,#N/A,FALSE,"92NOLCB";#N/A,#N/A,FALSE,"93NOLCB"}</definedName>
    <definedName name="loo">#REF!</definedName>
    <definedName name="look">#REF!</definedName>
    <definedName name="Look1Area">#REF!</definedName>
    <definedName name="Look2Area">#REF!</definedName>
    <definedName name="Look3Area">#REF!</definedName>
    <definedName name="Look4Area">#REF!</definedName>
    <definedName name="Look5Area">#REF!</definedName>
    <definedName name="LookParent">#REF!</definedName>
    <definedName name="LookPO">#REF!</definedName>
    <definedName name="lookup">#REF!</definedName>
    <definedName name="LookupConcatenate3">#REF!</definedName>
    <definedName name="lookupdata">#REF!</definedName>
    <definedName name="lookupdata2">#REF!</definedName>
    <definedName name="LookupLoad">#REF!</definedName>
    <definedName name="LookupQ4">#REF!</definedName>
    <definedName name="LookupRange">#REF!</definedName>
    <definedName name="lop" hidden="1">{#N/A,#N/A,FALSE,"Title";#N/A,#N/A,FALSE,"Index";#N/A,#N/A,FALSE,"1";#N/A,#N/A,FALSE,"2";#N/A,#N/A,FALSE,"3";#N/A,#N/A,FALSE,"4";#N/A,#N/A,FALSE,"5";#N/A,#N/A,FALSE,"6";#N/A,#N/A,FALSE,"7";#N/A,#N/A,FALSE,"8"}</definedName>
    <definedName name="LOsmv">-170743312.5</definedName>
    <definedName name="LOV_FinGlDesktopEntryPageDef_CurrencyCode" hidden="1">#REF!</definedName>
    <definedName name="LOV_FinGlDesktopEntryPageDef_HeaderAccountingPeriodList" hidden="1">#REF!</definedName>
    <definedName name="LOV_FinGlDesktopEntryPageDef_HeaderLedgerIdList" hidden="1">#REF!</definedName>
    <definedName name="LOV_FinGlDesktopEntryPageDef_HeaderReversalPeriodList" hidden="1">#REF!</definedName>
    <definedName name="LOV_FinGlDesktopEntryPageDef_HeaderSourceList" hidden="1">#REF!</definedName>
    <definedName name="LOV_FinGlDesktopEntryPageDef_UserCurrencyConversionType" hidden="1">#REF!</definedName>
    <definedName name="LOV_oracle_apps_financials_generalLedger_journals_desktopEntry_di_FinGlDesktopBulkEntryPageDef_CurrencyCode" hidden="1">#REF!</definedName>
    <definedName name="LOV_oracle_apps_financials_generalLedger_journals_desktopEntry_di_FinGlDesktopBulkEntryPageDef_LedgerId" hidden="1">#REF!</definedName>
    <definedName name="LOV_oracle_apps_financials_generalLedger_journals_desktopEntry_di_FinGlDesktopBulkEntryPageDef_PeriodName" hidden="1">#REF!</definedName>
    <definedName name="LOV_oracle_apps_financials_generalLedger_journals_desktopEntry_di_FinGlDesktopBulkEntryPageDef_ReversalPeriodName" hidden="1">#REF!</definedName>
    <definedName name="LOV_oracle_apps_financials_generalLedger_journals_desktopEntry_di_FinGlDesktopBulkEntryPageDef_UserCurrencyConversionType" hidden="1">#REF!</definedName>
    <definedName name="LOV_oracle_apps_financials_generalLedger_journals_desktopEntry_di_FinGlDesktopBulkEntryPageDef_UserJeSourceName" hidden="1">#REF!</definedName>
    <definedName name="LOV_oracle_apps_financials_generalLedger_journals_desktopEntry_di_FinGlDesktopMultibatchEntryPageDef_CurrencyCode" hidden="1">#REF!</definedName>
    <definedName name="LOV_oracle_apps_financials_generalLedger_journals_desktopEntry_di_FinGlDesktopMultibatchEntryPageDef_LedgerId" hidden="1">#REF!</definedName>
    <definedName name="LOV_oracle_apps_financials_generalLedger_journals_desktopEntry_di_FinGlDesktopMultibatchEntryPageDef_PeriodName" hidden="1">#REF!</definedName>
    <definedName name="LOV_oracle_apps_financials_generalLedger_journals_desktopEntry_di_FinGlDesktopMultibatchEntryPageDef_ReversalPeriodName" hidden="1">#REF!</definedName>
    <definedName name="LOV_oracle_apps_financials_generalLedger_journals_desktopEntry_di_FinGlDesktopMultibatchEntryPageDef_UserCurrencyConversionType" hidden="1">#REF!</definedName>
    <definedName name="LOV_oracle_apps_financials_generalLedger_journals_desktopEntry_di_FinGlDesktopMultibatchEntryPageDef_UserJeSourceName" hidden="1">#REF!</definedName>
    <definedName name="Lowk">#REF!</definedName>
    <definedName name="LP">#REF!</definedName>
    <definedName name="LP_1">#REF!</definedName>
    <definedName name="LP_2">#REF!</definedName>
    <definedName name="LPA_서울">#REF!</definedName>
    <definedName name="LPD">#REF!</definedName>
    <definedName name="Lprice">#REF!</definedName>
    <definedName name="LR">#REF!</definedName>
    <definedName name="ls_temp1">"  "</definedName>
    <definedName name="ls_temp2">"FOURTH QUARTER 2004 - YEAR TO DATE"</definedName>
    <definedName name="LS104.CalcTables">#REF!</definedName>
    <definedName name="lsl">#REF!</definedName>
    <definedName name="LT">#REF!</definedName>
    <definedName name="LT_AHNA">#REF!</definedName>
    <definedName name="LT_CONSOL">#REF!</definedName>
    <definedName name="LT_FIN48">#REF!</definedName>
    <definedName name="LT_FIN48A">#REF!</definedName>
    <definedName name="LT_LIAB">#REF!</definedName>
    <definedName name="LT_LIABA">#REF!</definedName>
    <definedName name="LT_PARENT">#REF!</definedName>
    <definedName name="LT_UNCONSOL">#REF!</definedName>
    <definedName name="lt0">_lt01,_lt02</definedName>
    <definedName name="ltaccr">#REF!</definedName>
    <definedName name="ltamort">#REF!</definedName>
    <definedName name="ltinvest">#REF!</definedName>
    <definedName name="LTL_Inp">#REF!,#REF!,#REF!,#REF!,#REF!,#REF!,#REF!,#REF!,#REF!,#REF!,#REF!,#REF!,#REF!,#REF!</definedName>
    <definedName name="ltpaid">#REF!</definedName>
    <definedName name="ltpurch">#REF!</definedName>
    <definedName name="LTR">#REF!</definedName>
    <definedName name="ltugl">#REF!</definedName>
    <definedName name="ltunreal">#REF!</definedName>
    <definedName name="LUFeXToEUR" hidden="1">1/EUReXToLUF</definedName>
    <definedName name="luoñioñkñ" hidden="1">{#N/A,#N/A,FALSE,"REPORT"}</definedName>
    <definedName name="LWI">#REF!</definedName>
    <definedName name="LWIP">#REF!</definedName>
    <definedName name="LWK">{"'NPL @ 30 June 00'!$B$22"}</definedName>
    <definedName name="LWSALES">#REF!</definedName>
    <definedName name="LWSALES.">#REF!</definedName>
    <definedName name="LYBin">#REF!</definedName>
    <definedName name="Lybin.">#REF!</definedName>
    <definedName name="lye">"31/12/"&amp;LEFT(dc,4)-1</definedName>
    <definedName name="lyec">LEFT(dc,4)-1&amp;"年12月31日"</definedName>
    <definedName name="lyhkd">#REF!</definedName>
    <definedName name="LYHolds">#REF!</definedName>
    <definedName name="LYHolds.">#REF!</definedName>
    <definedName name="LYN">#REF!</definedName>
    <definedName name="LYNet">#REF!</definedName>
    <definedName name="LYNet.">#REF!</definedName>
    <definedName name="LYoos">#REF!</definedName>
    <definedName name="LYoos.">#REF!</definedName>
    <definedName name="LYReselects">#REF!</definedName>
    <definedName name="LYReselects.">#REF!</definedName>
    <definedName name="LYReturns">#REF!</definedName>
    <definedName name="LYReturns.">#REF!</definedName>
    <definedName name="LYSales">#REF!</definedName>
    <definedName name="LYSales.">#REF!</definedName>
    <definedName name="lysgd">#REF!</definedName>
    <definedName name="LYTotal">#REF!</definedName>
    <definedName name="LYTotal.">#REF!</definedName>
    <definedName name="m" hidden="1">{#N/A,#N/A,FALSE,"Australia";#N/A,#N/A,FALSE,"Austria";#N/A,#N/A,FALSE,"Belgium";#N/A,#N/A,FALSE,"Canada";#N/A,#N/A,FALSE,"France";#N/A,#N/A,FALSE,"Germany";#N/A,#N/A,FALSE,"Hong Kong";#N/A,#N/A,FALSE,"Italy";#N/A,#N/A,FALSE,"Japan";#N/A,#N/A,FALSE,"Korea";#N/A,#N/A,FALSE,"Mexico";#N/A,#N/A,FALSE,"Poland";#N/A,#N/A,FALSE,"Spain";#N/A,#N/A,FALSE,"Switzerland";#N/A,#N/A,FALSE,"UK"}</definedName>
    <definedName name="M_ACost">#REF!</definedName>
    <definedName name="M_Corp">#REF!</definedName>
    <definedName name="M_O_R_________MAY__2000">#REF!</definedName>
    <definedName name="M_PlaceofPath" hidden="1">"H:\Tobacco General\Philip Morris\VDF\Mo_vdf.xls"</definedName>
    <definedName name="M_START">#REF!</definedName>
    <definedName name="ma">#REF!</definedName>
    <definedName name="MA_CE">#REF!</definedName>
    <definedName name="MA_CE.">#REF!</definedName>
    <definedName name="MA_OE">#REF!</definedName>
    <definedName name="MAC">#REF!</definedName>
    <definedName name="macmillan">#REF!</definedName>
    <definedName name="macro">#REF!</definedName>
    <definedName name="macro_name">#REF!</definedName>
    <definedName name="Macro16">#REF!</definedName>
    <definedName name="macro2">#REF!</definedName>
    <definedName name="Macro28">#REF!</definedName>
    <definedName name="Macro29">#REF!</definedName>
    <definedName name="macro3">#REF!</definedName>
    <definedName name="Macro30">#REF!</definedName>
    <definedName name="Macro32">#REF!</definedName>
    <definedName name="Macro33">#REF!</definedName>
    <definedName name="Macro34">#REF!</definedName>
    <definedName name="Macro35">#REF!</definedName>
    <definedName name="Macro37">#REF!</definedName>
    <definedName name="Macro38">#REF!</definedName>
    <definedName name="macro4">#REF!</definedName>
    <definedName name="macro6">#REF!</definedName>
    <definedName name="Macro67">#REF!</definedName>
    <definedName name="MACROMENU">#REF!</definedName>
    <definedName name="MACROS">#REF!</definedName>
    <definedName name="MadrasCement">#REF!</definedName>
    <definedName name="Magie" hidden="1">{#N/A,#N/A,TRUE,"Key Indices";#N/A,#N/A,TRUE,"Mfg Spending";#N/A,#N/A,TRUE,"Mfg Spending Per Unit";#N/A,#N/A,TRUE,"Spending by Organization";#N/A,#N/A,TRUE,"Inventory";#N/A,#N/A,TRUE,"IDM";#N/A,#N/A,TRUE,"Equipment";#N/A,#N/A,TRUE,"Headcount"}</definedName>
    <definedName name="Magix_Sales___JFM_2001">#REF!</definedName>
    <definedName name="mahesh">#REF!</definedName>
    <definedName name="mahindra">#REF!</definedName>
    <definedName name="mahindra_mah">#REF!</definedName>
    <definedName name="main">#REF!</definedName>
    <definedName name="Main_5">#REF!</definedName>
    <definedName name="Main_calcs_FooterType">"INTERNAL"</definedName>
    <definedName name="main_comp">#REF!</definedName>
    <definedName name="MAINCOMP">#REF!</definedName>
    <definedName name="MainOptOlive">"OptionButton1"</definedName>
    <definedName name="maint">0</definedName>
    <definedName name="Maintenance">0.15</definedName>
    <definedName name="MAINTENANCE_FACILITIES">#REF!</definedName>
    <definedName name="MaintenanceMonth">#REF!</definedName>
    <definedName name="MaintenanceYTD">#REF!</definedName>
    <definedName name="MAJOR">#REF!</definedName>
    <definedName name="MAJORFUND">#REF!</definedName>
    <definedName name="MakeUpGPH">#REF!</definedName>
    <definedName name="MALA_Aug03">#REF!</definedName>
    <definedName name="Malaysia">#REF!</definedName>
    <definedName name="Malcolm">#REF!</definedName>
    <definedName name="malli">#REF!</definedName>
    <definedName name="mama">#REF!</definedName>
    <definedName name="Manpower">#REF!</definedName>
    <definedName name="MansBDA">#REF!</definedName>
    <definedName name="Mansion">#REF!</definedName>
    <definedName name="MANU_EXP">#REF!</definedName>
    <definedName name="manufacturing">#REF!</definedName>
    <definedName name="map">#REF!</definedName>
    <definedName name="Mar_01">#REF!</definedName>
    <definedName name="Mar_18">#REF!</definedName>
    <definedName name="Mar_19">#REF!</definedName>
    <definedName name="Mar_20">#REF!</definedName>
    <definedName name="Mar_21">#REF!</definedName>
    <definedName name="maraud">#REF!</definedName>
    <definedName name="MARCH">#REF!</definedName>
    <definedName name="March_Control_Total">#REF!</definedName>
    <definedName name="March_Control_totals">#REF!</definedName>
    <definedName name="Marchiis">#REF!</definedName>
    <definedName name="marchiopass">#REF!</definedName>
    <definedName name="MARDATA?">#REF!</definedName>
    <definedName name="marg">#REF!</definedName>
    <definedName name="Margin">#REF!</definedName>
    <definedName name="MARGIN_SUM">#REF!</definedName>
    <definedName name="MARGINPLAN">#REF!</definedName>
    <definedName name="MARGINPLAN.">#REF!</definedName>
    <definedName name="MARGINPROJ">#REF!</definedName>
    <definedName name="MARGINS">#REF!</definedName>
    <definedName name="marhkd">#REF!</definedName>
    <definedName name="Maria" hidden="1">{#N/A,#N/A,FALSE,"REPORT"}</definedName>
    <definedName name="maricel">1</definedName>
    <definedName name="MARK">#REF!</definedName>
    <definedName name="Market_capitalization">#REF!</definedName>
    <definedName name="Market_Value">"columna"</definedName>
    <definedName name="marketing">#REF!</definedName>
    <definedName name="marketing_1">#REF!</definedName>
    <definedName name="MarketingMtg">#REF!</definedName>
    <definedName name="marsgd">#REF!</definedName>
    <definedName name="MARTH">#REF!</definedName>
    <definedName name="marthb">#REF!</definedName>
    <definedName name="martin2" hidden="1">{"M3E_3_PT3",#N/A,FALSE,"Support Sch"}</definedName>
    <definedName name="martine">#REF!</definedName>
    <definedName name="martine1">#REF!</definedName>
    <definedName name="martwd">#REF!</definedName>
    <definedName name="mary">#REF!</definedName>
    <definedName name="mastek">#REF!</definedName>
    <definedName name="Master" hidden="1">{#N/A,#N/A,TRUE,"CPRD";#N/A,#N/A,TRUE,"BCCPDR";#N/A,#N/A,TRUE,"EWRD";#N/A,#N/A,TRUE,"5100";#N/A,#N/A,TRUE,"5110"}</definedName>
    <definedName name="MAT">#REF!</definedName>
    <definedName name="matcomp">#REF!</definedName>
    <definedName name="Material_Quote">#REF!</definedName>
    <definedName name="Materiality">#REF!</definedName>
    <definedName name="matnotes">#REF!</definedName>
    <definedName name="MATRICE1">#REF!</definedName>
    <definedName name="MATRICE2">#REF!</definedName>
    <definedName name="matrix">#REF!</definedName>
    <definedName name="maturity">#REF!</definedName>
    <definedName name="Mauritius">#REF!</definedName>
    <definedName name="Max">#REF!</definedName>
    <definedName name="MaxMIPFactor">#REF!</definedName>
    <definedName name="MAY">#REF!</definedName>
    <definedName name="May_18">#REF!</definedName>
    <definedName name="May_19">#REF!</definedName>
    <definedName name="May_20">#REF!</definedName>
    <definedName name="May_21">#REF!</definedName>
    <definedName name="May_Control_Totals">#REF!</definedName>
    <definedName name="mayaud">#REF!</definedName>
    <definedName name="MAYDATA?">#REF!</definedName>
    <definedName name="mayhkd">#REF!</definedName>
    <definedName name="mayo">#REF!</definedName>
    <definedName name="maysgd">#REF!</definedName>
    <definedName name="maythb">#REF!</definedName>
    <definedName name="maytwd">#REF!</definedName>
    <definedName name="mbnmbmb">#REF!</definedName>
    <definedName name="mcdowell">#REF!</definedName>
    <definedName name="mcomm">0</definedName>
    <definedName name="MD_CE">#REF!</definedName>
    <definedName name="MD_OE">#REF!</definedName>
    <definedName name="MDEVISES">#REF!</definedName>
    <definedName name="MDI">#REF!</definedName>
    <definedName name="MDL">#REF!</definedName>
    <definedName name="MDS">#REF!</definedName>
    <definedName name="mef">155000</definedName>
    <definedName name="MEIWA">#REF!</definedName>
    <definedName name="mel">73788</definedName>
    <definedName name="Member_Info_Practice_1">#REF!</definedName>
    <definedName name="Member_Info_Practice_2">#REF!</definedName>
    <definedName name="Member_Info_Practice_Name1">#REF!</definedName>
    <definedName name="Member_Info_Practice_Name2">#REF!</definedName>
    <definedName name="MEMORNDM">#REF!</definedName>
    <definedName name="MENO">#REF!</definedName>
    <definedName name="MENU">#REF!</definedName>
    <definedName name="menu_button_Click">#REF!</definedName>
    <definedName name="Menu1">#REF!</definedName>
    <definedName name="menu11">#REF!</definedName>
    <definedName name="menu12">#REF!</definedName>
    <definedName name="Menu2">#REF!</definedName>
    <definedName name="menus">#REF!</definedName>
    <definedName name="MerrillPrintIt" hidden="1">#REF!</definedName>
    <definedName name="Metrics">#REF!</definedName>
    <definedName name="Metrics_Data">#REF!</definedName>
    <definedName name="MetroSort">#REF!</definedName>
    <definedName name="MEWarning">1</definedName>
    <definedName name="MEX_SUB">#REF!</definedName>
    <definedName name="mf">#REF!</definedName>
    <definedName name="Mfg_OH">#REF!</definedName>
    <definedName name="MFRF">#REF!</definedName>
    <definedName name="MG_A">#REF!</definedName>
    <definedName name="MGA">#REF!</definedName>
    <definedName name="Mgmt_Svc_Fee_Exp_AHNA">#REF!</definedName>
    <definedName name="Mgmt_Svc_Fee_Exp_ConsolGrp">#REF!</definedName>
    <definedName name="Mgmt_Svc_Fee_Exp_RHCO">#REF!</definedName>
    <definedName name="Mgmt_Svc_Fee_Exp_Uncon_Affil">#REF!</definedName>
    <definedName name="Mgmt_Svc_Fee_Inc_AHNA">#REF!</definedName>
    <definedName name="Mgmt_Svc_Fee_Inc_ConsolGrp">#REF!</definedName>
    <definedName name="Mgmt_Svc_Fee_Inc_RHCO">#REF!</definedName>
    <definedName name="Mgmt_Svc_Fee_Inc_Uncon_Affil">#REF!</definedName>
    <definedName name="mgrannpay">#REF!</definedName>
    <definedName name="mgrmopay">#REF!</definedName>
    <definedName name="mh">#REF!</definedName>
    <definedName name="mhjgm" hidden="1">{#N/A,#N/A,FALSE,"1";#N/A,#N/A,FALSE,"2";#N/A,#N/A,FALSE,"16 - 17";#N/A,#N/A,FALSE,"18 - 19";#N/A,#N/A,FALSE,"26";#N/A,#N/A,FALSE,"27";#N/A,#N/A,FALSE,"28"}</definedName>
    <definedName name="MI_ME08">#REF!</definedName>
    <definedName name="MICON">#N/A</definedName>
    <definedName name="MidPoint">#REF!</definedName>
    <definedName name="Midwest">#REF!</definedName>
    <definedName name="Mill">#REF!</definedName>
    <definedName name="MIN">#REF!</definedName>
    <definedName name="Minimum">#REF!</definedName>
    <definedName name="Misc">#REF!</definedName>
    <definedName name="Misc._Questions">#REF!</definedName>
    <definedName name="misc.questions">#REF!</definedName>
    <definedName name="MISC_EXP">#REF!</definedName>
    <definedName name="mj">#REF!</definedName>
    <definedName name="mjgr" hidden="1">#REF!</definedName>
    <definedName name="MK11USD">#REF!</definedName>
    <definedName name="MKI">#REF!</definedName>
    <definedName name="mkjl" hidden="1">{"PL_no_inflated",#N/A,FALSE,"P&amp;L"}</definedName>
    <definedName name="MKT_2">#REF!</definedName>
    <definedName name="MKT10LC">#REF!</definedName>
    <definedName name="Mkt10Local">#REF!</definedName>
    <definedName name="Mkt10USD">#REF!</definedName>
    <definedName name="MKT11LC">#REF!</definedName>
    <definedName name="Mkt11Local">#REF!</definedName>
    <definedName name="Mkt11USD">#REF!</definedName>
    <definedName name="MKT1LC">#REF!</definedName>
    <definedName name="Mkt1Local">#REF!</definedName>
    <definedName name="Mkt1USD">#REF!</definedName>
    <definedName name="MKT2LC">#REF!</definedName>
    <definedName name="Mkt2Local">#REF!</definedName>
    <definedName name="Mkt2USD">#REF!</definedName>
    <definedName name="MKT3LC">#REF!</definedName>
    <definedName name="Mkt3Local">#REF!</definedName>
    <definedName name="Mkt3USD">#REF!</definedName>
    <definedName name="MKT4LC">#REF!</definedName>
    <definedName name="Mkt4Local">#REF!</definedName>
    <definedName name="Mkt4USD">#REF!</definedName>
    <definedName name="MKT5LC">#REF!</definedName>
    <definedName name="Mkt5Local">#REF!</definedName>
    <definedName name="Mkt5USD">#REF!</definedName>
    <definedName name="MKT6LC">#REF!</definedName>
    <definedName name="Mkt6Local">#REF!</definedName>
    <definedName name="Mkt6USD">#REF!</definedName>
    <definedName name="MKT7LC">#REF!</definedName>
    <definedName name="Mkt7Local">#REF!</definedName>
    <definedName name="Mkt7USD">#REF!</definedName>
    <definedName name="MKT8LC">#REF!</definedName>
    <definedName name="Mkt8Local">#REF!</definedName>
    <definedName name="Mkt8USD">#REF!</definedName>
    <definedName name="MKT9LC">#REF!</definedName>
    <definedName name="Mkt9Local">#REF!</definedName>
    <definedName name="Mkt9USD">#REF!</definedName>
    <definedName name="mln">#REF!</definedName>
    <definedName name="MLP">#REF!</definedName>
    <definedName name="mlr">#REF!</definedName>
    <definedName name="mlw" hidden="1">{#N/A,#N/A,FALSE,"Pharm";#N/A,#N/A,FALSE,"WWCM"}</definedName>
    <definedName name="mm">#REF!</definedName>
    <definedName name="MMLB_SO_DECEMBE">#REF!</definedName>
    <definedName name="MMLB_SO_FEBRUAR">#REF!</definedName>
    <definedName name="MMLB_SO_JANUARY">#REF!</definedName>
    <definedName name="MMLB_SO_NOVEMBE">#REF!</definedName>
    <definedName name="MMLB_SO_OCTOBER">#REF!</definedName>
    <definedName name="MMLB_SO_SEPTEMB">#REF!</definedName>
    <definedName name="MMLB_SOLD_ANNUA">#REF!</definedName>
    <definedName name="MMLB_SOLD_APRIL">#REF!</definedName>
    <definedName name="MMLB_SOLD_AUGUS">#REF!</definedName>
    <definedName name="MMLB_SOLD_JULY">#REF!</definedName>
    <definedName name="MMLB_SOLD_JUNE">#REF!</definedName>
    <definedName name="MMLB_SOLD_MARCH">#REF!</definedName>
    <definedName name="MMLB_SOLD_MAY">#REF!</definedName>
    <definedName name="mmm"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mm_3">#REF!</definedName>
    <definedName name="mmmm" hidden="1">{#N/A,#N/A,TRUE,"Condensed IS";#N/A,#N/A,TRUE,"Condensed BS";#N/A,#N/A,TRUE,"Outlook";#N/A,#N/A,TRUE,"Condensed CF";#N/A,#N/A,TRUE,"Condensed CF - qtr"}</definedName>
    <definedName name="mmmmm">#REF!</definedName>
    <definedName name="mn" hidden="1">{"HAYWARD",#N/A,FALSE,"M-1"}</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ntSupport">#REF!</definedName>
    <definedName name="MO" hidden="1">#REF!</definedName>
    <definedName name="MO_1">#REF!</definedName>
    <definedName name="MO_2">#REF!</definedName>
    <definedName name="Mo_Bk_Disc">#REF!</definedName>
    <definedName name="Mo_disc_Trend">#REF!</definedName>
    <definedName name="MODEL">#N/A</definedName>
    <definedName name="Module">#REF!</definedName>
    <definedName name="Mohit">#REF!</definedName>
    <definedName name="moisval">35947</definedName>
    <definedName name="mom">#REF!</definedName>
    <definedName name="momma">#REF!</definedName>
    <definedName name="MON">#REF!</definedName>
    <definedName name="Mondal">#REF!</definedName>
    <definedName name="Monetary_Precision">#REF!</definedName>
    <definedName name="MoneyMarket">#REF!</definedName>
    <definedName name="monst">#REF!</definedName>
    <definedName name="MONTH">#REF!</definedName>
    <definedName name="Month_Actual">#REF!</definedName>
    <definedName name="MONTH_DEPT">#REF!</definedName>
    <definedName name="Month_End">#REF!</definedName>
    <definedName name="MONTH_EXP">#REF!</definedName>
    <definedName name="Month_Year">#REF!</definedName>
    <definedName name="MONTH1">"June 30, 2008"</definedName>
    <definedName name="Month1_Ending_Bal">#REF!</definedName>
    <definedName name="Month10">#REF!</definedName>
    <definedName name="Month11">#REF!</definedName>
    <definedName name="Month12">#REF!</definedName>
    <definedName name="Month13">#REF!</definedName>
    <definedName name="MONTH2">"June 30, 2008"</definedName>
    <definedName name="Month3">#REF!</definedName>
    <definedName name="Month4">#REF!</definedName>
    <definedName name="Month5">#REF!</definedName>
    <definedName name="Month6">#REF!</definedName>
    <definedName name="Month7">#REF!</definedName>
    <definedName name="Month8">#REF!</definedName>
    <definedName name="Month9">#REF!</definedName>
    <definedName name="Monthly">#REF!</definedName>
    <definedName name="MONTHLY_BS">#REF!</definedName>
    <definedName name="MONTHLY_GM">#REF!</definedName>
    <definedName name="MONTHLY_GM_D">#REF!</definedName>
    <definedName name="MONTHLY_GM_FJ">#REF!</definedName>
    <definedName name="MONTHLY_GM_FK">#REF!</definedName>
    <definedName name="MONTHLY_GM_FS">#REF!</definedName>
    <definedName name="MONTHLY_GM_FT">#REF!</definedName>
    <definedName name="MONTHLY_GM_HJ">#REF!</definedName>
    <definedName name="MONTHLY_GM_HK">#REF!</definedName>
    <definedName name="MONTHLY_GM_HS">#REF!</definedName>
    <definedName name="MONTHLY_GM_HT">#REF!</definedName>
    <definedName name="MONTHLY_GM_O">#REF!</definedName>
    <definedName name="MONTHLY_GM_P">#REF!</definedName>
    <definedName name="MONTHLY_GM_Q">#REF!</definedName>
    <definedName name="MONTHLY_GM_QJ">#REF!</definedName>
    <definedName name="MONTHLY_GM_QK">#REF!</definedName>
    <definedName name="MONTHLY_GM_QS">#REF!</definedName>
    <definedName name="MONTHLY_GM_QT">#REF!</definedName>
    <definedName name="MONTHLY_GM_RI">#REF!</definedName>
    <definedName name="Monthly_income" hidden="1">{#N/A,#N/A,FALSE,"Annual income statement";#N/A,#N/A,FALSE,"Annual balance sheet";#N/A,#N/A,FALSE,"Annual cash flow";#N/A,#N/A,FALSE,"2-year Income statement";#N/A,#N/A,FALSE,"2 year balance sheet";#N/A,#N/A,FALSE,"2- year cash flow statement";#N/A,#N/A,FALSE,"Sales drivers"}</definedName>
    <definedName name="MONTHLY_NET">#REF!</definedName>
    <definedName name="MONTHLY_NET_D">#REF!</definedName>
    <definedName name="MONTHLY_NET_FJ">#REF!</definedName>
    <definedName name="MONTHLY_NET_FK">#REF!</definedName>
    <definedName name="MONTHLY_NET_FS">#REF!</definedName>
    <definedName name="MONTHLY_NET_FT">#REF!</definedName>
    <definedName name="MONTHLY_NET_HJ">#REF!</definedName>
    <definedName name="MONTHLY_NET_HK">#REF!</definedName>
    <definedName name="MONTHLY_NET_HS">#REF!</definedName>
    <definedName name="MONTHLY_NET_HT">#REF!</definedName>
    <definedName name="MONTHLY_NET_O">#REF!</definedName>
    <definedName name="MONTHLY_NET_P">#REF!</definedName>
    <definedName name="MONTHLY_NET_Q">#REF!</definedName>
    <definedName name="MONTHLY_NET_QJ">#REF!</definedName>
    <definedName name="MONTHLY_NET_QK">#REF!</definedName>
    <definedName name="MONTHLY_NET_QS">#REF!</definedName>
    <definedName name="MONTHLY_NET_QT">#REF!</definedName>
    <definedName name="MONTHLY_NET_RI">#REF!</definedName>
    <definedName name="MONTHLY_PL">#REF!</definedName>
    <definedName name="Months_BS">#REF!</definedName>
    <definedName name="Months_PL">#REF!</definedName>
    <definedName name="MOO" hidden="1">{#N/A,#N/A,TRUE,"91AMTNOL";#N/A,#N/A,TRUE,"92AMTNOL";#N/A,#N/A,TRUE,"93AMTNOL"}</definedName>
    <definedName name="Mooootorindust">#REF!</definedName>
    <definedName name="MOR">#REF!</definedName>
    <definedName name="Motar_Car">#REF!</definedName>
    <definedName name="motorindust">#REF!</definedName>
    <definedName name="MOVED" hidden="1">{"CHART",#N/A,FALSE,"Arch Communications"}</definedName>
    <definedName name="mow" hidden="1">{#N/A,#N/A,FALSE,"Australia";#N/A,#N/A,FALSE,"Austria";#N/A,#N/A,FALSE,"Belgium";#N/A,#N/A,FALSE,"Canada";#N/A,#N/A,FALSE,"France";#N/A,#N/A,FALSE,"Germany";#N/A,#N/A,FALSE,"Hong Kong";#N/A,#N/A,FALSE,"Italy";#N/A,#N/A,FALSE,"Japan";#N/A,#N/A,FALSE,"Korea";#N/A,#N/A,FALSE,"Mexico";#N/A,#N/A,FALSE,"Poland";#N/A,#N/A,FALSE,"Spain";#N/A,#N/A,FALSE,"Switzerland";#N/A,#N/A,FALSE,"UK"}</definedName>
    <definedName name="MP">#REF!</definedName>
    <definedName name="MPBOH">#N/A</definedName>
    <definedName name="MPEOH">#N/A</definedName>
    <definedName name="MPM">#REF!</definedName>
    <definedName name="mr">#REF!</definedName>
    <definedName name="MRCalcCode">#REF!</definedName>
    <definedName name="MRG" hidden="1">{"INCOME",#N/A,FALSE,"ProNet";"VALUE",#N/A,FALSE,"ProNet"}</definedName>
    <definedName name="mrn.全体">#REF!</definedName>
    <definedName name="MRV_FooterType">"INTERNAL"</definedName>
    <definedName name="ms">#REF!</definedName>
    <definedName name="MS.CreatedAt">"19.03.1999 14:28:19"</definedName>
    <definedName name="MS.CreatedBy">"TB"</definedName>
    <definedName name="MS.ModifiedAt">"25.06.1999 09:34:53"</definedName>
    <definedName name="MS.ModifiedBy">"TB"</definedName>
    <definedName name="MS.Version">"4.1"</definedName>
    <definedName name="msaprtwd">#REF!</definedName>
    <definedName name="MSCCFCost">#REF!</definedName>
    <definedName name="Msia">#REF!</definedName>
    <definedName name="MST_MU">#REF!</definedName>
    <definedName name="MSU_1">#REF!</definedName>
    <definedName name="MTD_DEPT">#REF!</definedName>
    <definedName name="MTD_DEPT_VALUE">#REF!</definedName>
    <definedName name="MTD_DEPT_VALUE1">#REF!</definedName>
    <definedName name="MTD_DEPT_VALUE2">#REF!</definedName>
    <definedName name="MTD_DEPT_VALUE3">#REF!</definedName>
    <definedName name="MTD_DEPT_VALUE4">#REF!</definedName>
    <definedName name="MTD_DEPT1">#REF!</definedName>
    <definedName name="mth">#REF!</definedName>
    <definedName name="mthcov">#REF!</definedName>
    <definedName name="mthsum">#REF!</definedName>
    <definedName name="MTNL">#REF!</definedName>
    <definedName name="mud" hidden="1">{#N/A,#N/A,FALSE,"MP Cover";#N/A,#N/A,FALSE,"MP Table of Contents";#N/A,#N/A,FALSE,"MP Metrics";"MP Mgmt Report",#N/A,FALSE,"P&amp;L- MP (w Seed)";#N/A,#N/A,FALSE,"P&amp;L- Landec";#N/A,#N/A,FALSE,"P&amp;L- Seed";"MP Mgmt Report",#N/A,FALSE,"Prod Line P&amp;L";#N/A,#N/A,FALSE,"MP (w Seed) BS";#N/A,#N/A,FALSE,"Cash Flow-MP (w Seed)"}</definedName>
    <definedName name="muhsnr">#REF!</definedName>
    <definedName name="muhsnr_1">#REF!</definedName>
    <definedName name="Muliplicator">#REF!</definedName>
    <definedName name="mult">#REF!</definedName>
    <definedName name="mult_sen">#REF!</definedName>
    <definedName name="MULTIPLICATOR">#REF!</definedName>
    <definedName name="Multmtr">#REF!</definedName>
    <definedName name="MURTHY">#REF!</definedName>
    <definedName name="MV">#REF!</definedName>
    <definedName name="MVA_L">#REF!</definedName>
    <definedName name="mw" hidden="1">{#N/A,#N/A,FALSE,"Pharm";#N/A,#N/A,FALSE,"WWCM"}</definedName>
    <definedName name="MW_PA">#REF!</definedName>
    <definedName name="MWScale">#REF!</definedName>
    <definedName name="MyBegOfYEar">IF(BegOfYear5253week&lt;&gt;"",BegOfYear5253week,IF(#REF!="","",#REF!-364))</definedName>
    <definedName name="MyBookIncome">IF(BookIncome = "","",BookIncome)</definedName>
    <definedName name="MYJ" hidden="1">{#N/A,#N/A,FALSE,"UNIT";#N/A,#N/A,FALSE,"UNIT";#N/A,#N/A,FALSE,"계정"}</definedName>
    <definedName name="MyLastYear">IF(#REF!="","",#REF!-366)</definedName>
    <definedName name="MyName">IF(#REF! = "","",#REF!)</definedName>
    <definedName name="MyNextYear">IF(#REF!="","",#REF!+365)</definedName>
    <definedName name="MYR">#REF!</definedName>
    <definedName name="MyTaxYear">IF(#REF!="","",#REF!)</definedName>
    <definedName name="MZ">#REF!</definedName>
    <definedName name="m記" hidden="1">{"'買掛金'!$J$6"}</definedName>
    <definedName name="n" hidden="1">{"Central",#N/A,FALSE,"Total"}</definedName>
    <definedName name="n.." hidden="1">{"Central",#N/A,FALSE,"Total"}</definedName>
    <definedName name="Na">#REF!</definedName>
    <definedName name="nada" hidden="1">{#N/A,#N/A,FALSE,"Australia";#N/A,#N/A,FALSE,"Austria";#N/A,#N/A,FALSE,"Belgium";#N/A,#N/A,FALSE,"Canada";#N/A,#N/A,FALSE,"France";#N/A,#N/A,FALSE,"Germany";#N/A,#N/A,FALSE,"Hong Kong";#N/A,#N/A,FALSE,"Italy";#N/A,#N/A,FALSE,"Japan";#N/A,#N/A,FALSE,"Korea";#N/A,#N/A,FALSE,"Mexico";#N/A,#N/A,FALSE,"Poland";#N/A,#N/A,FALSE,"Spain";#N/A,#N/A,FALSE,"Switzerland";#N/A,#N/A,FALSE,"UK"}</definedName>
    <definedName name="nam">#REF!</definedName>
    <definedName name="Nama">#REF!</definedName>
    <definedName name="NAME">#REF!</definedName>
    <definedName name="Name_and_Federal_Tax">#REF!</definedName>
    <definedName name="name_cap">#REF!</definedName>
    <definedName name="NAME1">""</definedName>
    <definedName name="name2">#REF!</definedName>
    <definedName name="nameconf1">#REF!</definedName>
    <definedName name="NAMELOOK">#REF!</definedName>
    <definedName name="namelookup">#REF!</definedName>
    <definedName name="namename">#REF!</definedName>
    <definedName name="NAMES">#REF!</definedName>
    <definedName name="Nametable">#REF!</definedName>
    <definedName name="NANewCasesPerHead">#REF!</definedName>
    <definedName name="Natalum">#REF!</definedName>
    <definedName name="NationalAluminium">#REF!</definedName>
    <definedName name="NBM">#REF!</definedName>
    <definedName name="nbmbmnm">#REF!</definedName>
    <definedName name="NBV">#REF!</definedName>
    <definedName name="NBV_1">#REF!</definedName>
    <definedName name="nca_form_name">#REF!</definedName>
    <definedName name="ncas">#REF!</definedName>
    <definedName name="NCDTA_FED">#REF!</definedName>
    <definedName name="NCDTA_FEDA">#REF!</definedName>
    <definedName name="NCDTA_STATE">#REF!</definedName>
    <definedName name="NCDTA_STATEA">#REF!</definedName>
    <definedName name="NCDTL_FED">#REF!</definedName>
    <definedName name="NCDTL_FEDA">#REF!</definedName>
    <definedName name="NCDTL_STATE">#REF!</definedName>
    <definedName name="NCDTL_STATEA">#REF!</definedName>
    <definedName name="nck">#REF!</definedName>
    <definedName name="ncn">#REF!</definedName>
    <definedName name="NCNB">#REF!</definedName>
    <definedName name="NCNB2">#REF!</definedName>
    <definedName name="nd">#REF!</definedName>
    <definedName name="Nektar">#REF!</definedName>
    <definedName name="Net_Income">#REF!</definedName>
    <definedName name="Net_income_growth_avg">#REF!</definedName>
    <definedName name="Net_margin_fore">#REF!</definedName>
    <definedName name="Net_Range">"SOR_DB"</definedName>
    <definedName name="Net_Revenues">#REF!</definedName>
    <definedName name="Net_Sales">#REF!</definedName>
    <definedName name="NET_SALES_AHNA">#REF!</definedName>
    <definedName name="NET_SALES_CONSOL">#REF!</definedName>
    <definedName name="NET_SALES_UNCONSOL">#REF!</definedName>
    <definedName name="netamort">#REF!</definedName>
    <definedName name="NETAP">#REF!</definedName>
    <definedName name="NETAPP">#REF!</definedName>
    <definedName name="NetAppSecTable">#REF!</definedName>
    <definedName name="Netcost">#REF!</definedName>
    <definedName name="Netherlands_FooterType">"INTERNAL"</definedName>
    <definedName name="NetRate97PremDiscount">#REF!</definedName>
    <definedName name="NetRate97SchedRate">#REF!</definedName>
    <definedName name="NetRate97XMod">#REF!</definedName>
    <definedName name="NetRate98PremDiscount">#REF!</definedName>
    <definedName name="NetRate98SchedRate">#REF!</definedName>
    <definedName name="NetRate98XMod">#REF!</definedName>
    <definedName name="netsales">#REF!</definedName>
    <definedName name="NETSCREEN_DISCOUNT">50%</definedName>
    <definedName name="networksensitivity">#REF!</definedName>
    <definedName name="NEUC">#REF!</definedName>
    <definedName name="NEUCHATEL">#REF!</definedName>
    <definedName name="new">#REF!</definedName>
    <definedName name="New.." hidden="1">{"West",#N/A,FALSE,"Total"}</definedName>
    <definedName name="new\" hidden="1">{"quarterly",#N/A,FALSE,"Consol by Mo";"monthly",#N/A,FALSE,"Consol by Mo";#N/A,#N/A,FALSE,"Dock by Mo";#N/A,#N/A,FALSE,"ProdP&amp;L";#N/A,#N/A,FALSE,"MP by Mo";#N/A,#N/A,FALSE,"FC by Mo";#N/A,#N/A,FALSE,"Intellicoat+FC"}</definedName>
    <definedName name="new_3">#REF!</definedName>
    <definedName name="new_accounts">#REF!</definedName>
    <definedName name="New_DCF">#REF!</definedName>
    <definedName name="NEW_JERS.">#REF!</definedName>
    <definedName name="new_name">{"'1-TheatreBkgs'!$A$1:$L$102"}</definedName>
    <definedName name="New_Subs">#REF!</definedName>
    <definedName name="new1.." hidden="1">{"Central",#N/A,FALSE,"Total"}</definedName>
    <definedName name="new2.." hidden="1">{"Central",#N/A,FALSE,"Total"}</definedName>
    <definedName name="newack2">#REF!</definedName>
    <definedName name="NewAConvRatio">#REF!</definedName>
    <definedName name="newbp1">#REF!</definedName>
    <definedName name="NewCases">#REF!</definedName>
    <definedName name="NewCasesPerCustomer">#REF!</definedName>
    <definedName name="NewCasesPerHead">#REF!</definedName>
    <definedName name="newcoa">#REF!</definedName>
    <definedName name="newer">#REF!</definedName>
    <definedName name="newers">#REF!</definedName>
    <definedName name="NEWFROMCW">#REF!</definedName>
    <definedName name="newfromcw2">#REF!</definedName>
    <definedName name="newfromcw3">#REF!</definedName>
    <definedName name="newfromcw4">#REF!</definedName>
    <definedName name="newfromcw5">#REF!</definedName>
    <definedName name="NewHire">8500</definedName>
    <definedName name="NewName_1">#REF!</definedName>
    <definedName name="newnewnew" hidden="1">{#N/A,#N/A,FALSE,"Pharm";#N/A,#N/A,FALSE,"WWCM"}</definedName>
    <definedName name="newpdt">#REF!</definedName>
    <definedName name="newprod">#REF!</definedName>
    <definedName name="NewRange" hidden="1">#REF!</definedName>
    <definedName name="newret">#REF!</definedName>
    <definedName name="newsa">#REF!</definedName>
    <definedName name="NewTaxGW">#REF!</definedName>
    <definedName name="NewTaxIntangibles">#REF!</definedName>
    <definedName name="neww">#REF!</definedName>
    <definedName name="neww4">#REF!</definedName>
    <definedName name="NEWZE_Aug03">#REF!</definedName>
    <definedName name="NEXT">#REF!</definedName>
    <definedName name="Next_run_date">#REF!</definedName>
    <definedName name="Next_yr_FooterType">"EXTERNAL"</definedName>
    <definedName name="next2">#REF!</definedName>
    <definedName name="nextcell">#REF!</definedName>
    <definedName name="neyveli">#REF!</definedName>
    <definedName name="nhtt">#REF!</definedName>
    <definedName name="ni_terminal">#REF!</definedName>
    <definedName name="nice">#REF!</definedName>
    <definedName name="nifty">#REF!</definedName>
    <definedName name="NIIT">#REF!</definedName>
    <definedName name="nine">#REF!</definedName>
    <definedName name="Niva">{"'Feb 99'!$A$1:$G$30"}</definedName>
    <definedName name="nj">#REF!</definedName>
    <definedName name="NJ_ce">#REF!</definedName>
    <definedName name="NJ_OE">#REF!</definedName>
    <definedName name="ñjhñ" hidden="1">{#N/A,#N/A,FALSE,"Pharm";#N/A,#N/A,FALSE,"WWCM"}</definedName>
    <definedName name="njhteg">#REF!</definedName>
    <definedName name="njhteg_1">#REF!</definedName>
    <definedName name="njkh">#REF!</definedName>
    <definedName name="NKSJDFKJA">8</definedName>
    <definedName name="NL_Strat1">#REF!</definedName>
    <definedName name="NL_Strat1b">#REF!</definedName>
    <definedName name="NL_Strat2">#REF!</definedName>
    <definedName name="NL_Strat2b">#REF!</definedName>
    <definedName name="NL_Strat3">#REF!</definedName>
    <definedName name="NL_Strat3b">#REF!</definedName>
    <definedName name="NL_Strat4">#REF!</definedName>
    <definedName name="NL_Strat4b">#REF!</definedName>
    <definedName name="NL_Strat5">#REF!</definedName>
    <definedName name="NL_Strat5b">#REF!</definedName>
    <definedName name="NLGeXToEUR" hidden="1">1/EUReXToNLG</definedName>
    <definedName name="NM">#REF!</definedName>
    <definedName name="nmbv">#REF!</definedName>
    <definedName name="nmbv_1">#REF!</definedName>
    <definedName name="nmnmm">#REF!</definedName>
    <definedName name="nmnmm_1">#REF!</definedName>
    <definedName name="nmnmm_2">#REF!</definedName>
    <definedName name="nmnmm_3">#REF!</definedName>
    <definedName name="nmnmm_4">#REF!</definedName>
    <definedName name="NMWH_ANNUAL">#REF!</definedName>
    <definedName name="NMWH_APRIL">#REF!</definedName>
    <definedName name="NMWH_AUGUST">#REF!</definedName>
    <definedName name="NMWH_DECEMBER">#REF!</definedName>
    <definedName name="NMWH_FEBRUARY">#REF!</definedName>
    <definedName name="NMWH_JANUARY">#REF!</definedName>
    <definedName name="NMWH_JULY">#REF!</definedName>
    <definedName name="NMWH_JUNE">#REF!</definedName>
    <definedName name="NMWH_MARCH">#REF!</definedName>
    <definedName name="NMWH_MAY">#REF!</definedName>
    <definedName name="NMWH_NOVEMBER">#REF!</definedName>
    <definedName name="NMWH_OCTOBER">#REF!</definedName>
    <definedName name="NMWH_SEPTEMBER">#REF!</definedName>
    <definedName name="nn">#REF!</definedName>
    <definedName name="nna">#REF!</definedName>
    <definedName name="NNAAMMEE">#REF!</definedName>
    <definedName name="NNN" hidden="1">{"Resale_Cover",#N/A,FALSE,"COVERS";"ResaleC_1",#N/A,FALSE,"IS BY DIV";"ResaleC_2",#N/A,FALSE,"COGS BY DIV";"ResaleC_3",#N/A,FALSE,"TOTAL PF";"ResaleC_4",#N/A,FALSE,"TOTAL PF";"Resale_PL",#N/A,FALSE,"Sales by PL"}</definedName>
    <definedName name="nnnn" hidden="1">{#N/A,#N/A,FALSE,"Pharm";#N/A,#N/A,FALSE,"WWCM"}</definedName>
    <definedName name="nnnnn">#REF!</definedName>
    <definedName name="NnxElapsedTime">0.000416666662204079</definedName>
    <definedName name="no" hidden="1">{#N/A,#N/A,FALSE,"Summary";#N/A,#N/A,FALSE,"1991";#N/A,#N/A,FALSE,"91 AMT";#N/A,#N/A,FALSE,"1992";#N/A,#N/A,FALSE,"92 AMT";#N/A,#N/A,FALSE,"1993";#N/A,#N/A,FALSE,"93 AMT"}</definedName>
    <definedName name="No_Class">"No Class"</definedName>
    <definedName name="No_Renewal_Pnlty">#REF!</definedName>
    <definedName name="No_term_Pnlty">#REF!</definedName>
    <definedName name="No_term_pnlty_period">#REF!</definedName>
    <definedName name="nod">#REF!</definedName>
    <definedName name="NoDepartment">#REF!</definedName>
    <definedName name="NODES_per_Panel">#REF!</definedName>
    <definedName name="NOI_Min">5000</definedName>
    <definedName name="noidea">#REF!</definedName>
    <definedName name="NOIDEA2">#REF!</definedName>
    <definedName name="NOK">#REF!</definedName>
    <definedName name="nol">#REF!</definedName>
    <definedName name="nol_1">#REF!</definedName>
    <definedName name="nol_3">#REF!</definedName>
    <definedName name="NOMEANING1">#REF!</definedName>
    <definedName name="NOMO">#REF!</definedName>
    <definedName name="non_exec">#REF!</definedName>
    <definedName name="non_executives">#REF!</definedName>
    <definedName name="NON_GROUP_APRIL">"RECHERCHEV($D80;PL_GSA_TABLE;3;FAUX)"</definedName>
    <definedName name="Non_Moving_COL_Detail">#REF!</definedName>
    <definedName name="Non_Moving_PrePay_Detail">#REF!</definedName>
    <definedName name="none" hidden="1">{#N/A,#N/A,FALSE,"Australia";#N/A,#N/A,FALSE,"Austria";#N/A,#N/A,FALSE,"Belgium";#N/A,#N/A,FALSE,"Canada";#N/A,#N/A,FALSE,"France";#N/A,#N/A,FALSE,"Germany";#N/A,#N/A,FALSE,"Hong Kong";#N/A,#N/A,FALSE,"Italy";#N/A,#N/A,FALSE,"Japan";#N/A,#N/A,FALSE,"Korea";#N/A,#N/A,FALSE,"Mexico";#N/A,#N/A,FALSE,"Poland";#N/A,#N/A,FALSE,"Spain";#N/A,#N/A,FALSE,"Switzerland";#N/A,#N/A,FALSE,"UK"}</definedName>
    <definedName name="NonF_Inp">#REF!,#REF!,#REF!,#REF!,#REF!</definedName>
    <definedName name="NoOfFFSegments1">#REF!</definedName>
    <definedName name="NOOFFFSEGMENTS2">#REF!</definedName>
    <definedName name="NOOFFFSEGMENTS3">#REF!</definedName>
    <definedName name="NOOFFFSEGMENTS4">#REF!</definedName>
    <definedName name="NOOFFFSEGMENTS5">#REF!</definedName>
    <definedName name="NOOFFFSEGMENTS6">#REF!</definedName>
    <definedName name="NOOFPERIODS1">#REF!</definedName>
    <definedName name="NOPAT_growth_avg">#REF!</definedName>
    <definedName name="NOPAT_Share">#REF!</definedName>
    <definedName name="NORIN">#N/A</definedName>
    <definedName name="NORM">#REF!</definedName>
    <definedName name="northeastcs">#REF!</definedName>
    <definedName name="northeastfin">#REF!</definedName>
    <definedName name="northeastrenewal">#REF!</definedName>
    <definedName name="NoSAF">"2-Closed-No SAF"</definedName>
    <definedName name="not" hidden="1">#REF!</definedName>
    <definedName name="note">#REF!</definedName>
    <definedName name="NOTE_1">#REF!</definedName>
    <definedName name="NOTE_1_4">#REF!</definedName>
    <definedName name="Note_10_12">#REF!</definedName>
    <definedName name="note_1to7">#REF!</definedName>
    <definedName name="note_2">#REF!</definedName>
    <definedName name="NOTE_3">#REF!</definedName>
    <definedName name="NOTE_4">#REF!</definedName>
    <definedName name="NOTE_5_7">#REF!</definedName>
    <definedName name="Note_7_9">#REF!</definedName>
    <definedName name="NOTE_8">#REF!</definedName>
    <definedName name="Note_GGM">#REF!</definedName>
    <definedName name="NOTE13">#REF!</definedName>
    <definedName name="Note1JR">#REF!</definedName>
    <definedName name="NOTE2">#REF!</definedName>
    <definedName name="Note2JR">#REF!</definedName>
    <definedName name="Note3JR">#REF!</definedName>
    <definedName name="Notes">#REF!</definedName>
    <definedName name="Notes_1_6">#REF!</definedName>
    <definedName name="NOTEs_AT">#REF!</definedName>
    <definedName name="NOTEs_AT1">#REF!</definedName>
    <definedName name="NOTEs_AV">#REF!</definedName>
    <definedName name="NOTEs_AV1">#REF!</definedName>
    <definedName name="NOTEs_AV2">#REF!</definedName>
    <definedName name="NOTES_MAINCOMP">#REF!</definedName>
    <definedName name="NOTES_UJ">#REF!</definedName>
    <definedName name="NOTES_VJ">#REF!</definedName>
    <definedName name="notes1">#REF!</definedName>
    <definedName name="NoteStatus">#REF!</definedName>
    <definedName name="NoteType">#REF!</definedName>
    <definedName name="notused" hidden="1">{#N/A,#N/A,TRUE,"CPRD";#N/A,#N/A,TRUE,"BCCPDR";#N/A,#N/A,TRUE,"EWRD";#N/A,#N/A,TRUE,"5100";#N/A,#N/A,TRUE,"5110"}</definedName>
    <definedName name="nouv" hidden="1">{#N/A,#N/A,FALSE,"Pharm";#N/A,#N/A,FALSE,"WWCM"}</definedName>
    <definedName name="NOV">#REF!</definedName>
    <definedName name="Nov_00">#REF!</definedName>
    <definedName name="Nov_01">#REF!</definedName>
    <definedName name="Nov_18">#REF!</definedName>
    <definedName name="Nov_19">#REF!</definedName>
    <definedName name="Nov_20">#REF!</definedName>
    <definedName name="nov_Control_Totals">#REF!</definedName>
    <definedName name="novaud">#REF!</definedName>
    <definedName name="NOVDATA?">#REF!</definedName>
    <definedName name="November">#REF!</definedName>
    <definedName name="November_Control_Totals">#REF!</definedName>
    <definedName name="November2018">#REF!</definedName>
    <definedName name="novhkd">#REF!</definedName>
    <definedName name="novsgd">#REF!</definedName>
    <definedName name="novthb">#REF!</definedName>
    <definedName name="novtwd">#REF!</definedName>
    <definedName name="NOW_DATE">#REF!</definedName>
    <definedName name="NOW_TIME">#REF!</definedName>
    <definedName name="NP">#REF!</definedName>
    <definedName name="NP_AHNA">#REF!</definedName>
    <definedName name="NP_CONSOL">#REF!</definedName>
    <definedName name="NP_PARENT">#REF!</definedName>
    <definedName name="NP_SNS">#REF!</definedName>
    <definedName name="NP_UNCONSOL_AFFIL">#REF!</definedName>
    <definedName name="npallin">#REF!</definedName>
    <definedName name="npint">#REF!</definedName>
    <definedName name="NPV">#REF!</definedName>
    <definedName name="NR_1203" hidden="1">{"'Sheet1'!$A$1:$H$36"}</definedName>
    <definedName name="NR_AHNA">#REF!</definedName>
    <definedName name="NR_Consol">#REF!</definedName>
    <definedName name="NR_Parent">#REF!</definedName>
    <definedName name="NR_SNS">#REF!</definedName>
    <definedName name="NR_Unconsol">#REF!</definedName>
    <definedName name="ns">#REF!</definedName>
    <definedName name="nt">#REF!</definedName>
    <definedName name="ntpc">#REF!</definedName>
    <definedName name="NTRO">#REF!</definedName>
    <definedName name="NTT仙台">#REF!</definedName>
    <definedName name="NTT大阪">#REF!</definedName>
    <definedName name="NTT工場">#REF!</definedName>
    <definedName name="NTT工場2">#REF!</definedName>
    <definedName name="NTT広島">#REF!</definedName>
    <definedName name="NTT本社">#REF!</definedName>
    <definedName name="NTT神戸">#REF!</definedName>
    <definedName name="NTT福岡">#REF!</definedName>
    <definedName name="nu">#REF!</definedName>
    <definedName name="NU_Strat1">#REF!</definedName>
    <definedName name="Nu_Strat1b">#REF!</definedName>
    <definedName name="NU_Strat2">#REF!</definedName>
    <definedName name="NU_Strat2b">#REF!</definedName>
    <definedName name="NU_Strat3">#REF!</definedName>
    <definedName name="NU_Strat3b">#REF!</definedName>
    <definedName name="NU_Strat4">#REF!</definedName>
    <definedName name="NU_Strat4b">#REF!</definedName>
    <definedName name="nu_strat5">#REF!</definedName>
    <definedName name="NU_Strat5b">#REF!</definedName>
    <definedName name="NU_Strat6">#REF!</definedName>
    <definedName name="NU_Strat6b">#REF!</definedName>
    <definedName name="NU_Strat7">#REF!</definedName>
    <definedName name="NU_Strat7b">#REF!</definedName>
    <definedName name="NU_Strat8">#REF!</definedName>
    <definedName name="NU_Strat8b">#REF!</definedName>
    <definedName name="NU_Strat9">#REF!</definedName>
    <definedName name="NU_Strat9b">#REF!</definedName>
    <definedName name="Num_Pmt_Per_Year">#REF!</definedName>
    <definedName name="NUMBER">#REF!</definedName>
    <definedName name="Number_of_Payments">MATCH(0.01,End_Bal,-1)+1</definedName>
    <definedName name="Number_of_Pins">#REF!</definedName>
    <definedName name="Number_of_pins..">#REF!</definedName>
    <definedName name="Number_of_Shares">#REF!</definedName>
    <definedName name="Number_Periods1">#REF!</definedName>
    <definedName name="NumberArea">#REF!</definedName>
    <definedName name="NUMBEROFDETAILFIELDS1">#REF!</definedName>
    <definedName name="NUMBEROFDETAILFIELDS2">#REF!</definedName>
    <definedName name="NUMBEROFDETAILFIELDS3">#REF!</definedName>
    <definedName name="NUMBEROFDETAILFIELDS4">#REF!</definedName>
    <definedName name="NUMBEROFDETAILFIELDS5">#REF!</definedName>
    <definedName name="NUMBEROFDETAILFIELDS6">#REF!</definedName>
    <definedName name="NUMBEROFHEADERFIELDS1">#REF!</definedName>
    <definedName name="NUMBEROFHEADERFIELDS2">#REF!</definedName>
    <definedName name="NUMBEROFHEADERFIELDS3">#REF!</definedName>
    <definedName name="NUMBEROFHEADERFIELDS4">#REF!</definedName>
    <definedName name="NUMBEROFHEADERFIELDS5">#REF!</definedName>
    <definedName name="NUMBEROFHEADERFIELDS6">#REF!</definedName>
    <definedName name="NUMCHECK">AND(ISNUMBER(#REF!),ISNUMBER(#REF!),ISNUMBER(#REF!),ISNUMBER(#REF!))</definedName>
    <definedName name="NUMENTRIES">#REF!</definedName>
    <definedName name="NVS">38000.4076273148</definedName>
    <definedName name="NvsASD">"V2001-03-31"</definedName>
    <definedName name="NvsASD_1">"V1999-11-08"</definedName>
    <definedName name="NvsASD1">"V2004-07-31"</definedName>
    <definedName name="NvsAutoDrillOk">"VN"</definedName>
    <definedName name="NvsBranchASD">"V2001-01-01"</definedName>
    <definedName name="NvsDateToNumber">"Y"</definedName>
    <definedName name="NvsElapsedTime">0.0000971064800978638</definedName>
    <definedName name="NvsElapsedTime_1">0.000231481484661344</definedName>
    <definedName name="NvsElapsedTime_2">0.000072222224844154</definedName>
    <definedName name="NvsEndDate">TODAY()</definedName>
    <definedName name="NvsEndTime">37032.7249042824</definedName>
    <definedName name="NvsEndTime_1">38999.5725462963</definedName>
    <definedName name="NvsEndTime_2">36923.4785111111</definedName>
    <definedName name="NvsEndTime2">38797.4003240741</definedName>
    <definedName name="NvsInstanceHook">#REF!</definedName>
    <definedName name="NvsInstLang">"VENG"</definedName>
    <definedName name="NvsInstSpec">"%"</definedName>
    <definedName name="NvsInstSpec_1">"%"</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definedName>
    <definedName name="NvsNplSpec_1">"%,X,RZF..FORMAT,CZF.."</definedName>
    <definedName name="NvsPanelBusUnit">"V"</definedName>
    <definedName name="NvsPanelBusUnit_1">"V"</definedName>
    <definedName name="NvsPanelEffdt">"V1998-01-01"</definedName>
    <definedName name="NvsPanelEffdt_1">"V2005-01-01"</definedName>
    <definedName name="NvsPanelSetid">"VEPNY1"</definedName>
    <definedName name="NvsPanelSetid_1">"VSHARE"</definedName>
    <definedName name="NvsReqBU">"VEPNY1"</definedName>
    <definedName name="NvsReqBU_1">"V10000"</definedName>
    <definedName name="NvsReqBUOnly">"VY"</definedName>
    <definedName name="NvsReqBUOnly_1">"VN"</definedName>
    <definedName name="NvsSkipDetailStyle">1</definedName>
    <definedName name="NvsStyleNme">"TC_CLASSIC.xls"</definedName>
    <definedName name="NvsTransLed">"VN"</definedName>
    <definedName name="NvsTreeASD">"V2001-03-31"</definedName>
    <definedName name="NvsTreeASD_1">"V1999-11-08"</definedName>
    <definedName name="NvsValTbl.ACCOUNT">"GL_ACCOUNT_TBL"</definedName>
    <definedName name="NvsValTbl.AFFILIATE">"AFFILIATE_VW"</definedName>
    <definedName name="NvsValTbl.BOOK_CODE">"BOOK_CODE_TBL"</definedName>
    <definedName name="NvsValTbl.BUSINESS_UNIT">"BUS_UNIT_TBL_FS"</definedName>
    <definedName name="NvsValTbl.CHARTFIELD1">"CF1_ALL_VW"</definedName>
    <definedName name="NvsValTbl.CURRENCY_CD">"CURRENCY_CD_TBL"</definedName>
    <definedName name="NvsValTbl.DEPTID">"DEPT_TBL"</definedName>
    <definedName name="NvsValTbl.FUND_CODE">"FUND_TBL"</definedName>
    <definedName name="NvsValTbl.PRODUCT">"PRODUCT_TBL"</definedName>
    <definedName name="NvsValTbl.PROJECT_ID">"PROJECT"</definedName>
    <definedName name="NvsValTbl.SCENARIO">"BD_SCENARIO_TBL"</definedName>
    <definedName name="NvsValTbl.STATISTICS_CODE">"STAT_TBL"</definedName>
    <definedName name="NWC_Return">#REF!</definedName>
    <definedName name="o">#REF!</definedName>
    <definedName name="O4.1">#REF!</definedName>
    <definedName name="O4.10">#REF!</definedName>
    <definedName name="O4.11">#REF!</definedName>
    <definedName name="O4.12">#REF!</definedName>
    <definedName name="O4.13">#REF!</definedName>
    <definedName name="O4.2">#REF!</definedName>
    <definedName name="O4.3">#REF!</definedName>
    <definedName name="O4.4">#REF!</definedName>
    <definedName name="O4.5">#REF!</definedName>
    <definedName name="O4.6">#REF!</definedName>
    <definedName name="O4.7">#REF!</definedName>
    <definedName name="O4.8">#REF!</definedName>
    <definedName name="O4.9">#REF!</definedName>
    <definedName name="O6.5">#REF!</definedName>
    <definedName name="O6.6">#REF!</definedName>
    <definedName name="O6.7">#REF!</definedName>
    <definedName name="O6.8">#REF!</definedName>
    <definedName name="OA">#REF!</definedName>
    <definedName name="OBAL">#REF!</definedName>
    <definedName name="OBC">#REF!</definedName>
    <definedName name="oc">#REF!</definedName>
    <definedName name="oc_1">#REF!</definedName>
    <definedName name="ocf" hidden="1">#REF!</definedName>
    <definedName name="Oct">#REF!</definedName>
    <definedName name="Oct_18">#REF!</definedName>
    <definedName name="Oct_19">#REF!</definedName>
    <definedName name="Oct_20">#REF!</definedName>
    <definedName name="OCt_srn">#REF!</definedName>
    <definedName name="octaud">#REF!</definedName>
    <definedName name="OCTDATA?">#REF!</definedName>
    <definedName name="octhkd">#REF!</definedName>
    <definedName name="October">#REF!</definedName>
    <definedName name="October2018">#REF!</definedName>
    <definedName name="octsgd">#REF!</definedName>
    <definedName name="octthb">#REF!</definedName>
    <definedName name="octtwd">#REF!</definedName>
    <definedName name="od">#REF!</definedName>
    <definedName name="OE">#REF!</definedName>
    <definedName name="OEM">#REF!</definedName>
    <definedName name="OER">#REF!</definedName>
    <definedName name="Office_Equipments">#REF!</definedName>
    <definedName name="OFFLOAD">#REF!</definedName>
    <definedName name="OFFLOAD..">#REF!</definedName>
    <definedName name="ogl" hidden="1">#REF!,#REF!,#REF!,#REF!,#REF!</definedName>
    <definedName name="ohjn">#REF!</definedName>
    <definedName name="ohjn_1">#REF!</definedName>
    <definedName name="OHMKAccounts">#REF!</definedName>
    <definedName name="OHMKDepartmentCode">#REF!</definedName>
    <definedName name="OHMKFirstHalf">#REF!</definedName>
    <definedName name="OHMKSecondHalf">#REF!</definedName>
    <definedName name="oi" hidden="1">#REF!</definedName>
    <definedName name="oijnhyu" hidden="1">#REF!</definedName>
    <definedName name="OIK" hidden="1">{#N/A,#N/A,FALSE,"REPORT"}</definedName>
    <definedName name="OIO" hidden="1">{#N/A,#N/A,FALSE,"REPORT"}</definedName>
    <definedName name="oioioi" hidden="1">#REF!</definedName>
    <definedName name="oipi" hidden="1">#REF!</definedName>
    <definedName name="oiu">#REF!</definedName>
    <definedName name="OIUYT">#REF!</definedName>
    <definedName name="OIUYT_1">#REF!</definedName>
    <definedName name="oiwea">#REF!</definedName>
    <definedName name="ok">#REF!</definedName>
    <definedName name="OKCHECK">#REF!</definedName>
    <definedName name="olan">5</definedName>
    <definedName name="old" hidden="1">{#N/A,#N/A,FALSE,"Income";#N/A,#N/A,FALSE,"Cost of Goods Sold";#N/A,#N/A,FALSE,"Other Costs";#N/A,#N/A,FALSE,"Other Income";#N/A,#N/A,FALSE,"Taxes";#N/A,#N/A,FALSE,"Other Deductions";#N/A,#N/A,FALSE,"Compensation of Officers"}</definedName>
    <definedName name="old_1">#REF!</definedName>
    <definedName name="old_3">#REF!</definedName>
    <definedName name="old_NC">#REF!</definedName>
    <definedName name="old_sale">#REF!</definedName>
    <definedName name="old2_NC">#REF!</definedName>
    <definedName name="old3_NC">#REF!</definedName>
    <definedName name="old4_NC">#REF!</definedName>
    <definedName name="old5_NC">#REF!</definedName>
    <definedName name="old8_NC">#REF!</definedName>
    <definedName name="old9_NC">#REF!</definedName>
    <definedName name="oldname" hidden="1">{#N/A,#N/A,FALSE,"Index";#N/A,#N/A,FALSE,"IncStmt";#N/A,#N/A,FALSE,"Ratios";#N/A,#N/A,FALSE,"CashFlows";#N/A,#N/A,FALSE,"Ins1";#N/A,#N/A,FALSE,"Ins2";#N/A,#N/A,FALSE,"SelfFund";#N/A,#N/A,FALSE,"SGA";#N/A,#N/A,FALSE,"Recon";#N/A,#N/A,FALSE,"Earnings";#N/A,#N/A,FALSE,"Earnings (2)";#N/A,#N/A,FALSE,"Stock";#N/A,#N/A,FALSE,"Stock (2)";#N/A,#N/A,FALSE,"PeerRatios";#N/A,#N/A,FALSE,"PeerRanks"}</definedName>
    <definedName name="omfsfsa">#REF!</definedName>
    <definedName name="on" hidden="1">{#N/A,#N/A,FALSE,"91NOLCB";#N/A,#N/A,FALSE,"92NOLCB";#N/A,#N/A,FALSE,"93NOLCB"}</definedName>
    <definedName name="one">#REF!</definedName>
    <definedName name="ongc">#REF!</definedName>
    <definedName name="OnShow">#REF!</definedName>
    <definedName name="oo">#REF!</definedName>
    <definedName name="OOlmv">521021500.783901</definedName>
    <definedName name="ooo">#REF!</definedName>
    <definedName name="OOOOOOOOOOOOO">#REF!</definedName>
    <definedName name="ooop" hidden="1">{"'매출'!$A$1:$I$22"}</definedName>
    <definedName name="OOsmv">-694880256.448615</definedName>
    <definedName name="OP">#REF!</definedName>
    <definedName name="Op_Income">#REF!</definedName>
    <definedName name="opbs">#REF!</definedName>
    <definedName name="OPCAP">#REF!</definedName>
    <definedName name="OpenCases">#REF!</definedName>
    <definedName name="OpenCasesPerCustomer">#REF!</definedName>
    <definedName name="OpenCasesPerHead">#REF!</definedName>
    <definedName name="Opentable">#REF!</definedName>
    <definedName name="operating">#REF!</definedName>
    <definedName name="Operating_Income">#REF!</definedName>
    <definedName name="operatingexp.">#REF!</definedName>
    <definedName name="OperatingHrs">#REF!</definedName>
    <definedName name="OperatingWorkingCapital">#REF!</definedName>
    <definedName name="OPERATIONAL___BUSINESS_DEVELOPMENT">#REF!</definedName>
    <definedName name="Operations">#REF!</definedName>
    <definedName name="OperisTopLeft">#REF!</definedName>
    <definedName name="opex">{"'Feb 99'!$A$1:$G$30"}</definedName>
    <definedName name="OpStats">#REF!</definedName>
    <definedName name="OPTexponents">"0 3 6"</definedName>
    <definedName name="OptionButton21_Click">#REF!</definedName>
    <definedName name="OptionPlanA">#REF!</definedName>
    <definedName name="OptionPlanB">#REF!</definedName>
    <definedName name="OptionPlanC">#REF!</definedName>
    <definedName name="OptionPlanD">#REF!</definedName>
    <definedName name="options">#REF!</definedName>
    <definedName name="options_cancelled">#REF!</definedName>
    <definedName name="options_exercised">#REF!</definedName>
    <definedName name="options_expired">#REF!</definedName>
    <definedName name="options_outstanding">#REF!</definedName>
    <definedName name="options_vested">#REF!</definedName>
    <definedName name="Optronics" hidden="1">{#N/A,#N/A,FALSE,"Title";#N/A,#N/A,FALSE,"Index";#N/A,#N/A,FALSE,"1";#N/A,#N/A,FALSE,"2";#N/A,#N/A,FALSE,"3";#N/A,#N/A,FALSE,"4";#N/A,#N/A,FALSE,"5";#N/A,#N/A,FALSE,"6";#N/A,#N/A,FALSE,"7";#N/A,#N/A,FALSE,"8"}</definedName>
    <definedName name="OPTvec">"1 1 1 3 1 0 0 1 1 0 2 8 7 1 0 34 1 1 0 1 1 2 1 0 1 0 0 0 0 0 0 0 100 300 0 0 0 0 13.78125 0 0 0 0"</definedName>
    <definedName name="OQLIB">"QUSRSYS"</definedName>
    <definedName name="OQNAM">"LANAR01"</definedName>
    <definedName name="ORDER">#REF!</definedName>
    <definedName name="Order1">255</definedName>
    <definedName name="OrderQty">#REF!</definedName>
    <definedName name="OrderTable">#REF!</definedName>
    <definedName name="OrdLinNo">"Edit Box 5"</definedName>
    <definedName name="orglookup">#REF!</definedName>
    <definedName name="orientalbank">#REF!</definedName>
    <definedName name="Orig_Bank_Statement">#REF!</definedName>
    <definedName name="Original">#REF!</definedName>
    <definedName name="originalvaluestable">#REF!</definedName>
    <definedName name="OS">#REF!</definedName>
    <definedName name="osbal">0</definedName>
    <definedName name="OSBL_K">#REF!</definedName>
    <definedName name="OSD">#REF!</definedName>
    <definedName name="osdty">#REF!</definedName>
    <definedName name="osexprt">#REF!</definedName>
    <definedName name="osfdy">#REF!</definedName>
    <definedName name="osspun">#REF!</definedName>
    <definedName name="otbb">IF(ISERROR(#REF!*1),#REF!,#REF!*1)</definedName>
    <definedName name="OTC_DERIVATIVES">"TraderSpreads"</definedName>
    <definedName name="OTE">#REF!</definedName>
    <definedName name="OTH_INC">#REF!</definedName>
    <definedName name="OTH_LIAB">#REF!</definedName>
    <definedName name="OTH_UC">#N/A</definedName>
    <definedName name="OTHAMT">#N/A</definedName>
    <definedName name="OTHBOH">#N/A</definedName>
    <definedName name="OTHEOH">#N/A</definedName>
    <definedName name="OTHER">#REF!</definedName>
    <definedName name="Other_dividends">#REF!</definedName>
    <definedName name="other_expense">#REF!</definedName>
    <definedName name="OTHER_INCOME">#REF!</definedName>
    <definedName name="Other_Segment_Revenues">#REF!</definedName>
    <definedName name="other1590" hidden="1">{#N/A,#N/A,FALSE,"REPORT"}</definedName>
    <definedName name="Other2007">{"'Check Request'!$A$1:$BF$37"}</definedName>
    <definedName name="other33" hidden="1">{#N/A,#N/A,FALSE,"Pharm";#N/A,#N/A,FALSE,"WWCM"}</definedName>
    <definedName name="otheraccruals">#REF!</definedName>
    <definedName name="OtherCurrentAssets">#REF!</definedName>
    <definedName name="othermar" hidden="1">{#N/A,#N/A,FALSE,"Pharm";#N/A,#N/A,FALSE,"WWCM"}</definedName>
    <definedName name="others">#REF!</definedName>
    <definedName name="OTHours">#REF!</definedName>
    <definedName name="otpr">#REF!</definedName>
    <definedName name="OUT">#REF!</definedName>
    <definedName name="OUT_TOTAL">#N/A</definedName>
    <definedName name="OUTAMT">#N/A</definedName>
    <definedName name="Outlook">#REF!</definedName>
    <definedName name="Outlook_Date">#REF!</definedName>
    <definedName name="OUTPUT">#REF!</definedName>
    <definedName name="Output_data_FooterType">"EXTERNAL"</definedName>
    <definedName name="Output1_FooterType">"INTERNAL"</definedName>
    <definedName name="Output2_FooterType">"INTERNAL"</definedName>
    <definedName name="Output3_FooterType">"INTERNAL"</definedName>
    <definedName name="Output4_FooterType">"INTERNAL"</definedName>
    <definedName name="Output5_FooterType">"INTERNAL"</definedName>
    <definedName name="OutputEV">#REF!,#REF!</definedName>
    <definedName name="OutputMarketCap">#REF!,#REF!</definedName>
    <definedName name="OutputPrice">#REF!</definedName>
    <definedName name="OUTQTY">#N/A</definedName>
    <definedName name="OUTSTANDING">#REF!</definedName>
    <definedName name="Overall">#REF!</definedName>
    <definedName name="Overveiw">#REF!</definedName>
    <definedName name="OVERVIEW">#REF!</definedName>
    <definedName name="overviewaa">#REF!</definedName>
    <definedName name="OvrUndrAccrued">#REF!</definedName>
    <definedName name="Own">#REF!</definedName>
    <definedName name="ownership" hidden="1">{#N/A,#N/A,TRUE,"Summary";#N/A,#N/A,TRUE,"IS";#N/A,#N/A,TRUE,"Adj";#N/A,#N/A,TRUE,"BS";#N/A,#N/A,TRUE,"CF";#N/A,#N/A,TRUE,"Debt";#N/A,#N/A,TRUE,"IRR"}</definedName>
    <definedName name="ownership2" hidden="1">{#N/A,#N/A,TRUE,"Summary";#N/A,#N/A,TRUE,"IS";#N/A,#N/A,TRUE,"Adj";#N/A,#N/A,TRUE,"BS";#N/A,#N/A,TRUE,"CF";#N/A,#N/A,TRUE,"Debt";#N/A,#N/A,TRUE,"IRR"}</definedName>
    <definedName name="P">#REF!</definedName>
    <definedName name="P_?">#REF!</definedName>
    <definedName name="P__">#REF!</definedName>
    <definedName name="P___L___Statement">#REF!</definedName>
    <definedName name="P_L">#REF!</definedName>
    <definedName name="P_LA_C">#REF!</definedName>
    <definedName name="P_M">#REF!</definedName>
    <definedName name="p_m1">#REF!</definedName>
    <definedName name="P3_NumberHigh">#REF!</definedName>
    <definedName name="P3_NumberLow">#REF!</definedName>
    <definedName name="P3_NumberMid">#REF!</definedName>
    <definedName name="PA">#REF!</definedName>
    <definedName name="PA_TXd">#REF!</definedName>
    <definedName name="Package" hidden="1">{"IS no EPS",#N/A,FALSE,"FINANCIALS";"Bal Sheet P1",#N/A,FALSE,"FINANCIALS";"Bal Sheet P2",#N/A,FALSE,"FINANCIALS";"Bal Sheet Ratios",#N/A,FALSE,"FINANCIALS";"Cash Flow Stmt",#N/A,FALSE,"FINANCIALS"}</definedName>
    <definedName name="PACKER">#REF!</definedName>
    <definedName name="PAC물정보비">#REF!</definedName>
    <definedName name="PAC실정보비">#REF!</definedName>
    <definedName name="PAG">#REF!</definedName>
    <definedName name="PAGE">#REF!</definedName>
    <definedName name="PAGE_1">#REF!</definedName>
    <definedName name="PAGE_10">#REF!</definedName>
    <definedName name="PAGE_2">#REF!</definedName>
    <definedName name="PAGE_3">#REF!</definedName>
    <definedName name="Page_4">#REF!</definedName>
    <definedName name="PAGE_5">#REF!</definedName>
    <definedName name="PAGE_6">#REF!</definedName>
    <definedName name="PAGE_7">#REF!</definedName>
    <definedName name="PAGE_8">#REF!</definedName>
    <definedName name="PAGE_9">#REF!</definedName>
    <definedName name="PAGE0">"'YTD Deferred Tax Expense'!$A$1:$J$55"</definedName>
    <definedName name="PAGE1">#REF!</definedName>
    <definedName name="PAGE2">#REF!</definedName>
    <definedName name="PAGE2A">#REF!</definedName>
    <definedName name="Page3">#REF!</definedName>
    <definedName name="PAGE4">#REF!</definedName>
    <definedName name="PAGE5">#REF!</definedName>
    <definedName name="PAGE6">#REF!</definedName>
    <definedName name="page7">#REF!</definedName>
    <definedName name="PAGE8">#REF!</definedName>
    <definedName name="PAGE9">#REF!</definedName>
    <definedName name="paid">#REF!</definedName>
    <definedName name="PaidDept">#REF!</definedName>
    <definedName name="Pal_Workbook_GUID">"MM7DBJWXIFT28ZN6YF84Q6YE"</definedName>
    <definedName name="PAN">#REF!</definedName>
    <definedName name="PandL">#REF!</definedName>
    <definedName name="pao">#REF!</definedName>
    <definedName name="Par">#REF!</definedName>
    <definedName name="Parameters_FooterType">"INTERNAL"</definedName>
    <definedName name="PARAMS">#REF!</definedName>
    <definedName name="parent_pps">#REF!</definedName>
    <definedName name="Parent_table">#REF!</definedName>
    <definedName name="ParNetApp">#REF!</definedName>
    <definedName name="part" hidden="1">{#N/A,#N/A,FALSE,"Summary";#N/A,#N/A,FALSE,"Fed.State Prov";#N/A,#N/A,FALSE,"Foreign Prov";#N/A,#N/A,FALSE,"Thera Fgrn";#N/A,#N/A,FALSE,"CCD Fgrn";#N/A,#N/A,FALSE,"Biocine Fgrn";#N/A,#N/A,FALSE,"Vision Fgrn";#N/A,#N/A,FALSE,"Frgn vs Dom"}</definedName>
    <definedName name="PART_DETAIL">#REF!</definedName>
    <definedName name="part1a1">VLOOKUP(IF(ISNUMBER(INDIRECT("rc",FALSE)),INDIRECT("rc",FALSE)*1,INDIRECT("rc",FALSE)),#REF!,3,FALSE)</definedName>
    <definedName name="PartFile">"PartMaster.xls"</definedName>
    <definedName name="PartsArray">#REF!</definedName>
    <definedName name="parvalue">#REF!</definedName>
    <definedName name="PASTE_DATA">#REF!</definedName>
    <definedName name="pat">#REF!</definedName>
    <definedName name="PAWHELP">{"'Page 2-4'!$A$1:$O$47","'Page 2-2'!$A$1:$P$58"}</definedName>
    <definedName name="PaxA">#REF!</definedName>
    <definedName name="PaxT">#REF!</definedName>
    <definedName name="pay" hidden="1">#REF!</definedName>
    <definedName name="Pay_Num">#REF!</definedName>
    <definedName name="payable">0</definedName>
    <definedName name="PAYACCR">#REF!</definedName>
    <definedName name="PAYINPUT">#REF!</definedName>
    <definedName name="Payment">#REF!</definedName>
    <definedName name="Payment_Number">ROW()-Header_Row</definedName>
    <definedName name="Payment_system">#REF!</definedName>
    <definedName name="Payment_type">#REF!</definedName>
    <definedName name="payment1" hidden="1">#REF!</definedName>
    <definedName name="Payments">#REF!</definedName>
    <definedName name="PayoutAmount">#REF!</definedName>
    <definedName name="PayoutDept">#REF!</definedName>
    <definedName name="PAYROLL">#REF!</definedName>
    <definedName name="Payroll_Statement">#REF!</definedName>
    <definedName name="payrolltax">#REF!</definedName>
    <definedName name="PayrollTaxRate">#REF!</definedName>
    <definedName name="paytiming">#REF!</definedName>
    <definedName name="PBC">#REF!</definedName>
    <definedName name="PBC_List">#REF!</definedName>
    <definedName name="PBT">#REF!</definedName>
    <definedName name="PC">#REF!</definedName>
    <definedName name="PCC">#REF!</definedName>
    <definedName name="PCDAT">"8/18/2008"</definedName>
    <definedName name="PCDT2">"20080818"</definedName>
    <definedName name="pcomm">0</definedName>
    <definedName name="PCTIM">"8:55:34 AM"</definedName>
    <definedName name="pcttot">398826</definedName>
    <definedName name="PData">#REF!</definedName>
    <definedName name="PDVT">#REF!</definedName>
    <definedName name="pe">#REF!</definedName>
    <definedName name="PEA">#REF!</definedName>
    <definedName name="Pechous">#REF!</definedName>
    <definedName name="Pel" hidden="1">{#N/A,#N/A,TRUE,"R&amp;D";#N/A,#N/A,TRUE,"Drct exp";#N/A,#N/A,TRUE,"OPEX";#N/A,#N/A,TRUE,"R&amp;D";#N/A,#N/A,TRUE,"S&amp;M";#N/A,#N/A,TRUE,"G&amp;A"}</definedName>
    <definedName name="pepe" hidden="1">{#N/A,#N/A,FALSE,"Pharm";#N/A,#N/A,FALSE,"WWCM"}</definedName>
    <definedName name="PEPE4" hidden="1">{#N/A,#N/A,FALSE,"Pharm";#N/A,#N/A,FALSE,"WWCM"}</definedName>
    <definedName name="PEPE5" hidden="1">{#N/A,#N/A,FALSE,"Pharm";#N/A,#N/A,FALSE,"WWCM"}</definedName>
    <definedName name="Per_Annum_Rent_First_USD">#REF!</definedName>
    <definedName name="Per_Annum_Rent_Ground_USD">#REF!</definedName>
    <definedName name="Percent">"Debtcost"</definedName>
    <definedName name="percent_multiplier">100</definedName>
    <definedName name="percent_range">#REF!</definedName>
    <definedName name="percent_range.">#REF!</definedName>
    <definedName name="percent_range..">#REF!</definedName>
    <definedName name="PERFAcctgReturn">#REF!</definedName>
    <definedName name="PERFAcctgReturnAnnlzd">#REF!</definedName>
    <definedName name="PERFAvgBal">#REF!</definedName>
    <definedName name="PERFBalDetails">#REF!</definedName>
    <definedName name="PERFChecks">#REF!</definedName>
    <definedName name="PERFHardCode">#REF!</definedName>
    <definedName name="PERFmodifieddietz">#REF!</definedName>
    <definedName name="PERFORMANCE">#REF!</definedName>
    <definedName name="PERFTaxRate">#REF!</definedName>
    <definedName name="PERFTotalReturn">#REF!</definedName>
    <definedName name="PERFTotalReturnAnnlzd">#REF!</definedName>
    <definedName name="PERFValueCheck">#REF!</definedName>
    <definedName name="PERFZeros">#REF!</definedName>
    <definedName name="Period">#REF!</definedName>
    <definedName name="PERIOD_END">#REF!</definedName>
    <definedName name="Period_From">#REF!</definedName>
    <definedName name="Period_To">#REF!</definedName>
    <definedName name="Period1">#REF!</definedName>
    <definedName name="Period11">#REF!</definedName>
    <definedName name="Period12">#REF!</definedName>
    <definedName name="Period13">#REF!</definedName>
    <definedName name="Period3">#REF!</definedName>
    <definedName name="Period4">#REF!</definedName>
    <definedName name="Period5">#REF!</definedName>
    <definedName name="Period6">#REF!</definedName>
    <definedName name="Period7">#REF!</definedName>
    <definedName name="Periodic_rate">Annual_interest_rate/#REF!</definedName>
    <definedName name="PeriodSetName1">#REF!</definedName>
    <definedName name="PERIODSETNAME2">#REF!</definedName>
    <definedName name="PERIODSETNAME3">#REF!</definedName>
    <definedName name="PERIODSETNAME4">#REF!</definedName>
    <definedName name="PERIODSETNAME5">#REF!</definedName>
    <definedName name="PERIODSETNAME6">#REF!</definedName>
    <definedName name="PERIODYEAR1">#REF!</definedName>
    <definedName name="perp_unlev">#REF!</definedName>
    <definedName name="perp_unlev_sen">#REF!</definedName>
    <definedName name="perp_unlev1">#REF!</definedName>
    <definedName name="perp_unlev2">#REF!</definedName>
    <definedName name="perp_unlev3">#REF!</definedName>
    <definedName name="perp_unlev4">#REF!</definedName>
    <definedName name="perp_unlev5">#REF!</definedName>
    <definedName name="perro">#REF!</definedName>
    <definedName name="PERSONAL">"Button 31"</definedName>
    <definedName name="Personnel">#REF!</definedName>
    <definedName name="Perth">#REF!</definedName>
    <definedName name="PERYR">#REF!</definedName>
    <definedName name="pes" hidden="1">{#N/A,#N/A,TRUE,"CPRD";#N/A,#N/A,TRUE,"BCCPDR";#N/A,#N/A,TRUE,"EWRD";#N/A,#N/A,TRUE,"5100";#N/A,#N/A,TRUE,"5110"}</definedName>
    <definedName name="pete" hidden="1">{#N/A,#N/A,FALSE,"Bgt";#N/A,#N/A,FALSE,"Act";#N/A,#N/A,FALSE,"Chrt Data";#N/A,#N/A,FALSE,"Bus Result";#N/A,#N/A,FALSE,"Main Charts";#N/A,#N/A,FALSE,"P&amp;L Ttl";#N/A,#N/A,FALSE,"P&amp;L C_Ttl";#N/A,#N/A,FALSE,"P&amp;L C_Oct";#N/A,#N/A,FALSE,"P&amp;L C_Sep";#N/A,#N/A,FALSE,"1996";#N/A,#N/A,FALSE,"Data"}</definedName>
    <definedName name="PeterTEST">#REF!</definedName>
    <definedName name="PETTY">#REF!</definedName>
    <definedName name="PF1_L">#REF!</definedName>
    <definedName name="PFIC">#REF!</definedName>
    <definedName name="Pfizer">#REF!</definedName>
    <definedName name="PFKLE">#REF!</definedName>
    <definedName name="PG">#REF!</definedName>
    <definedName name="PG_16_104">#REF!</definedName>
    <definedName name="PG_16_150">#REF!</definedName>
    <definedName name="PG_2">#REF!</definedName>
    <definedName name="PG_4">#REF!</definedName>
    <definedName name="PG_5">#REF!</definedName>
    <definedName name="PG_Convert">#REF!</definedName>
    <definedName name="PG_LENGTH">#REF!</definedName>
    <definedName name="pg10a">#REF!</definedName>
    <definedName name="PG11A">#REF!</definedName>
    <definedName name="pg1a">#REF!</definedName>
    <definedName name="Pg1India" hidden="1">{"M3H.370",#N/A,FALSE,"SupportDetail"}</definedName>
    <definedName name="ph">#REF!</definedName>
    <definedName name="pharma" hidden="1">{#N/A,#N/A,FALSE,"Sales Graph";#N/A,#N/A,FALSE,"PSBM";#N/A,#N/A,FALSE,"BUC Graph";#N/A,#N/A,FALSE,"P&amp;L - YTD"}</definedName>
    <definedName name="PhaseOut">IF(YEAR(#REF!)=2006,60%,IF(YEAR(#REF!)=2007,40%,IF(YEAR(#REF!)=2008,20%,0)))</definedName>
    <definedName name="phil">#REF!</definedName>
    <definedName name="Philippines">#REF!</definedName>
    <definedName name="Phone">#REF!</definedName>
    <definedName name="pi">#REF!</definedName>
    <definedName name="pi_2">#REF!</definedName>
    <definedName name="pig" hidden="1">{#N/A,#N/A,TRUE,"CPRD";#N/A,#N/A,TRUE,"BCCPDR";#N/A,#N/A,TRUE,"EWRD";#N/A,#N/A,TRUE,"5100";#N/A,#N/A,TRUE,"5110"}</definedName>
    <definedName name="PillarFilename">#REF!</definedName>
    <definedName name="PingCompSheet">#REF!</definedName>
    <definedName name="PIPage2">+#REF!</definedName>
    <definedName name="Pipeline">"6-Pipeline"</definedName>
    <definedName name="pipi" hidden="1">{#N/A,#N/A,FALSE,"Pharm";#N/A,#N/A,FALSE,"WWCM"}</definedName>
    <definedName name="PIPPO">#REF!</definedName>
    <definedName name="PITTWAY">#REF!</definedName>
    <definedName name="PivotTable5.doc">#REF!</definedName>
    <definedName name="PivotTable8.doc">#REF!</definedName>
    <definedName name="PivotTableRange">#REF!</definedName>
    <definedName name="PJ_RPK">#REF!</definedName>
    <definedName name="PJAM3Yr" hidden="1">{"INCOME",#N/A,FALSE,"ProNet";"VALUE",#N/A,FALSE,"ProNet"}</definedName>
    <definedName name="pjj_pa">#REF!</definedName>
    <definedName name="PKG_LD">#N/A</definedName>
    <definedName name="PkgBrlFlow">#REF!</definedName>
    <definedName name="PL"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PL_12">#REF!</definedName>
    <definedName name="PL_12_60">#REF!</definedName>
    <definedName name="PL_16">#REF!</definedName>
    <definedName name="PL_3">#REF!</definedName>
    <definedName name="PL_Statement">#REF!</definedName>
    <definedName name="PL_YTD">#REF!</definedName>
    <definedName name="PL1_Calc">#REF!,#REF!,#REF!,#REF!,#REF!,#REF!,#REF!,#REF!,#REF!,#REF!,#REF!,#REF!,#REF!,#REF!,#REF!,#REF!,#REF!,#REF!,#REF!,#REF!,#REF!,#REF!</definedName>
    <definedName name="PL2_Calc">#REF!,#REF!,#REF!,#REF!,#REF!,#REF!,#REF!,#REF!,#REF!,#REF!,#REF!,#REF!,#REF!,#REF!,#REF!,#REF!,#REF!,#REF!</definedName>
    <definedName name="PL3_Calc">#REF!,#REF!,#REF!,#REF!,#REF!</definedName>
    <definedName name="plac">#REF!</definedName>
    <definedName name="plan">#REF!</definedName>
    <definedName name="Plan_Type">#REF!</definedName>
    <definedName name="PLAN99FILE">#REF!</definedName>
    <definedName name="Plant">#REF!</definedName>
    <definedName name="PLANT___MACHINERY">#REF!</definedName>
    <definedName name="PLANT___MACHINERY__PRODUCTION_EQUIPMENTS">#REF!</definedName>
    <definedName name="PLANTCOST_99">#REF!</definedName>
    <definedName name="PlanTypes">#REF!</definedName>
    <definedName name="PlanVLE">#REF!</definedName>
    <definedName name="planvsact">#REF!</definedName>
    <definedName name="Plaza">#REF!</definedName>
    <definedName name="PLbeforeadj.95">#REF!</definedName>
    <definedName name="PLbeforeadj.96">#REF!</definedName>
    <definedName name="PLbeforeadj.97">#REF!</definedName>
    <definedName name="PLbeforeadj.98">#REF!</definedName>
    <definedName name="PLbeforeadj.98.10">#REF!</definedName>
    <definedName name="PLbeforeadj.98.11">#REF!</definedName>
    <definedName name="PLBS">#REF!</definedName>
    <definedName name="plbsfeb">#REF!</definedName>
    <definedName name="PLBSFEBMTH">#REF!</definedName>
    <definedName name="PLBSJan">#REF!</definedName>
    <definedName name="PLBSYTDFEB">#REF!</definedName>
    <definedName name="PLFIN">#REF!</definedName>
    <definedName name="PLGR">#REF!</definedName>
    <definedName name="Pline">#REF!</definedName>
    <definedName name="PLKACr95">#REF!</definedName>
    <definedName name="PLKACr96">#REF!</definedName>
    <definedName name="PLKACr97">#REF!</definedName>
    <definedName name="PLKACr98">#REF!</definedName>
    <definedName name="PLKACr98.10">#REF!</definedName>
    <definedName name="PLKACr98.11">#REF!</definedName>
    <definedName name="PLKADr95">#REF!</definedName>
    <definedName name="PLKADr96">#REF!</definedName>
    <definedName name="PLKADr97">#REF!</definedName>
    <definedName name="PLKADr98">#REF!</definedName>
    <definedName name="PLKADr98.10">#REF!</definedName>
    <definedName name="PLKADr98.11">#REF!</definedName>
    <definedName name="PLKGaap95">#REF!</definedName>
    <definedName name="PLKGaap96">#REF!</definedName>
    <definedName name="PLKGaap97">#REF!</definedName>
    <definedName name="PLKGaap98">#REF!</definedName>
    <definedName name="PLKGaap98.10">#REF!</definedName>
    <definedName name="PLKGaap98.11">#REF!</definedName>
    <definedName name="plmkn" hidden="1">#REF!</definedName>
    <definedName name="plNote">#REF!</definedName>
    <definedName name="PLPRODUCT">#REF!</definedName>
    <definedName name="PLrate">#REF!</definedName>
    <definedName name="pls">#REF!</definedName>
    <definedName name="PLSCH">{"'Sch B'!$B$15:$L$17"}</definedName>
    <definedName name="plsummth">#REF!</definedName>
    <definedName name="PLtotCopy">#REF!</definedName>
    <definedName name="PLUACr95">#REF!</definedName>
    <definedName name="PLUACr96">#REF!</definedName>
    <definedName name="PLUACr97">#REF!</definedName>
    <definedName name="PLUACr98">#REF!</definedName>
    <definedName name="PLUACr98.10">#REF!</definedName>
    <definedName name="PLUACr98.11">#REF!</definedName>
    <definedName name="PLUADr95">#REF!</definedName>
    <definedName name="PLUADr96">#REF!</definedName>
    <definedName name="PLUADr97">#REF!</definedName>
    <definedName name="PLUADr98">#REF!</definedName>
    <definedName name="PLUADr98.10">#REF!</definedName>
    <definedName name="PLUADr98.11">#REF!</definedName>
    <definedName name="PLUGaap95">#REF!</definedName>
    <definedName name="PLUGaap96">#REF!</definedName>
    <definedName name="PLUGaap97">#REF!</definedName>
    <definedName name="PLUGaap98">#REF!</definedName>
    <definedName name="PLUGaap98.10">#REF!</definedName>
    <definedName name="PLUGaap98.11">#REF!</definedName>
    <definedName name="PLYTD">#REF!</definedName>
    <definedName name="pm">#REF!</definedName>
    <definedName name="PMCHK">#REF!</definedName>
    <definedName name="PMIX">#REF!</definedName>
    <definedName name="pmnt">#REF!</definedName>
    <definedName name="PMTRX">#REF!</definedName>
    <definedName name="PmtTerms">#REF!</definedName>
    <definedName name="PMVPY">#REF!</definedName>
    <definedName name="PN_PA">#REF!</definedName>
    <definedName name="PN_VT">#REF!</definedName>
    <definedName name="PNAME">#REF!</definedName>
    <definedName name="pnb">#REF!</definedName>
    <definedName name="pnboptions">#REF!</definedName>
    <definedName name="Pnl" hidden="1">{#N/A,#N/A,FALSE,"Pharm";#N/A,#N/A,FALSE,"WWCM"}</definedName>
    <definedName name="PNL1_Inp">#REF!,#REF!,#REF!,#REF!,#REF!,#REF!,#REF!,#REF!,#REF!,#REF!,#REF!,#REF!,#REF!,#REF!,#REF!,#REF!,#REF!,#REF!,#REF!,#REF!</definedName>
    <definedName name="PNL2_Inp">#REF!,#REF!,#REF!,#REF!,#REF!,#REF!,#REF!,#REF!,#REF!,#REF!,#REF!,#REF!,#REF!,#REF!,#REF!,#REF!,#REF!,#REF!,#REF!,#REF!</definedName>
    <definedName name="PNT_DRAWS">#REF!</definedName>
    <definedName name="PNT_DRAWW">#REF!</definedName>
    <definedName name="PNT_INTS">#REF!</definedName>
    <definedName name="PNT_INTW">#REF!</definedName>
    <definedName name="PNT_PAYS">#REF!</definedName>
    <definedName name="PNT_PAYW">#REF!</definedName>
    <definedName name="PNT_ROLLS">#REF!</definedName>
    <definedName name="PNTMACROS">#REF!</definedName>
    <definedName name="po" hidden="1">{#N/A,#N/A,TRUE,"Monthly Wireless";#N/A,#N/A,TRUE,"Qrt Wireless";#N/A,#N/A,TRUE,"FY Wireless";#N/A,#N/A,TRUE,"1Q Wireless";#N/A,#N/A,TRUE,"2Q Wireless";#N/A,#N/A,TRUE,"3Q Wireless";#N/A,#N/A,TRUE,"4Q Wireless"}</definedName>
    <definedName name="po_2001">#REF!</definedName>
    <definedName name="poiu" hidden="1">{#N/A,#N/A,FALSE,"Actual";#N/A,#N/A,FALSE,"Normalized";#N/A,#N/A,FALSE,"Electric Actual";#N/A,#N/A,FALSE,"Electric Normalized"}</definedName>
    <definedName name="poiuy" hidden="1">#REF!</definedName>
    <definedName name="Pol">#REF!</definedName>
    <definedName name="POLICYclosedatecurrent">#REF!</definedName>
    <definedName name="polorisoft">#REF!</definedName>
    <definedName name="pols">#REF!</definedName>
    <definedName name="pols1">#REF!</definedName>
    <definedName name="POLY">#REF!</definedName>
    <definedName name="poop">39776.3847569444</definedName>
    <definedName name="PopCache_FA_MASS_ADDITIONS_AMORTIZE_NBV_FLAG" hidden="1">#REF!</definedName>
    <definedName name="PopCache_FA_MASS_ADDITIONS_ASSET_TYPE" hidden="1">#REF!</definedName>
    <definedName name="PopCache_FA_MASS_ADDITIONS_DEPRECIATE_FLAG" hidden="1">#REF!</definedName>
    <definedName name="PopCache_FA_MASS_ADDITIONS_IN_USE_FLAG" hidden="1">#REF!</definedName>
    <definedName name="PopCache_FA_MASS_ADDITIONS_INVENTORIAL" hidden="1">#REF!</definedName>
    <definedName name="PopCache_FA_MASS_ADDITIONS_NEW_USED" hidden="1">#REF!</definedName>
    <definedName name="PopCache_FA_MASS_ADDITIONS_OWNED_LEASED" hidden="1">#REF!</definedName>
    <definedName name="PopCache_FA_MASS_ADDITIONS_PROPERTY_1245_1250_CODE" hidden="1">#REF!</definedName>
    <definedName name="PopCache_FA_MASS_ADDITIONS_PROPERTY_TYPE_CODE" hidden="1">#REF!</definedName>
    <definedName name="PopCache_FA_MASS_ADDITIONS_SHORT_FISCAL_YEAR_FLAG" hidden="1">#REF!</definedName>
    <definedName name="PopCache_GL_INTERFACE_REFERENCE7" hidden="1">#REF!</definedName>
    <definedName name="Popn">{"'Sheet1'!$L$16"}</definedName>
    <definedName name="popopo" hidden="1">#REF!</definedName>
    <definedName name="porpweor" hidden="1">{#N/A,#N/A,FALSE,"Pharm";#N/A,#N/A,FALSE,"WWCM"}</definedName>
    <definedName name="port29" hidden="1">{#N/A,#N/A,FALSE,"Pharm";#N/A,#N/A,FALSE,"WWCM"}</definedName>
    <definedName name="PORTRAIT">#REF!</definedName>
    <definedName name="Post_Commence_Incentives_Period">#REF!</definedName>
    <definedName name="POSTERRORSTOSUSP1">#REF!</definedName>
    <definedName name="POSTERRORSTOSUSP2">#REF!</definedName>
    <definedName name="POSTERRORSTOSUSP3">#REF!</definedName>
    <definedName name="POSTERRORSTOSUSP4">#REF!</definedName>
    <definedName name="POSTERRORSTOSUSP5">#REF!</definedName>
    <definedName name="POSTERRORSTOSUSP6">#REF!</definedName>
    <definedName name="PostMoney">#REF!</definedName>
    <definedName name="pots">#REF!</definedName>
    <definedName name="POWER">#REF!</definedName>
    <definedName name="POY">#REF!</definedName>
    <definedName name="POYBE">#REF!</definedName>
    <definedName name="POYBE___0">#REF!</definedName>
    <definedName name="pp">#REF!</definedName>
    <definedName name="PPAccum">0</definedName>
    <definedName name="PPBOH">#N/A</definedName>
    <definedName name="PPCost">#REF!</definedName>
    <definedName name="PPEOH">#N/A</definedName>
    <definedName name="PPEuro">0</definedName>
    <definedName name="PPK" hidden="1">{#N/A,#N/A,FALSE,"96 3월물량표";#N/A,#N/A,FALSE,"96 4월물량표";#N/A,#N/A,FALSE,"96 5월물량표"}</definedName>
    <definedName name="PPL">#REF!</definedName>
    <definedName name="PPMIX">#REF!</definedName>
    <definedName name="ppp" hidden="1">{"Page1",#N/A,FALSE,"CF WKSHT";"Page2",#N/A,FALSE,"CF WKSHT"}</definedName>
    <definedName name="pppp" hidden="1">{"Page1",#N/A,FALSE,"CF WKSHT";"Page2",#N/A,FALSE,"CF WKSHT"}</definedName>
    <definedName name="pppppppppppppppppppppppppppppppppppp">#REF!</definedName>
    <definedName name="PPS">#REF!</definedName>
    <definedName name="PPSCS">#REF!</definedName>
    <definedName name="PPSPFD">#REF!</definedName>
    <definedName name="PPUpdate">0</definedName>
    <definedName name="PPWorkState">0</definedName>
    <definedName name="pq">#REF!</definedName>
    <definedName name="pr">#REF!</definedName>
    <definedName name="pra">#REF!</definedName>
    <definedName name="praba">#REF!</definedName>
    <definedName name="practicestraightline">#REF!</definedName>
    <definedName name="PRATIO">#REF!</definedName>
    <definedName name="Pravachol" hidden="1">{#N/A,#N/A,FALSE,"Pharm";#N/A,#N/A,FALSE,"WWCM"}</definedName>
    <definedName name="PRDN">#REF!</definedName>
    <definedName name="PRDump">#REF!</definedName>
    <definedName name="PRDump.">#REF!</definedName>
    <definedName name="PRE_INS">#REF!</definedName>
    <definedName name="Precision_Text">#REF!</definedName>
    <definedName name="prefrate">#REF!</definedName>
    <definedName name="preisfaktor">#REF!</definedName>
    <definedName name="premises">#REF!</definedName>
    <definedName name="PREOPS">#REF!</definedName>
    <definedName name="PREPAID">#REF!</definedName>
    <definedName name="PREPAID_DO">#REF!</definedName>
    <definedName name="PREPAID_DOA">#REF!</definedName>
    <definedName name="PREPAID_OTHER">#REF!</definedName>
    <definedName name="PREPAIDA">#REF!</definedName>
    <definedName name="Prepaids">#REF!</definedName>
    <definedName name="PREPARED_BY">#REF!</definedName>
    <definedName name="PREPARED_DATE">#REF!</definedName>
    <definedName name="Pres">#REF!</definedName>
    <definedName name="presen">#REF!</definedName>
    <definedName name="PresentationNormalA4">#REF!</definedName>
    <definedName name="PRETRIP">#REF!</definedName>
    <definedName name="PREV_DEPT_YTD">#REF!</definedName>
    <definedName name="PreviousPeriod">#REF!</definedName>
    <definedName name="prgrp">#REF!</definedName>
    <definedName name="PRI_CON">#REF!</definedName>
    <definedName name="Price">#REF!</definedName>
    <definedName name="price_share">#REF!</definedName>
    <definedName name="pricecomp">#REF!</definedName>
    <definedName name="PriceRev">#REF!</definedName>
    <definedName name="PriceWarning">#REF!</definedName>
    <definedName name="prift">#REF!</definedName>
    <definedName name="PRIME">#REF!</definedName>
    <definedName name="prin_bal">#REF!</definedName>
    <definedName name="prin_os">#REF!</definedName>
    <definedName name="Princ">#REF!</definedName>
    <definedName name="Principal">#REF!</definedName>
    <definedName name="principal_and_interest">#REF!</definedName>
    <definedName name="Principal_plus_Interest">#REF!</definedName>
    <definedName name="Print" hidden="1">{"Page1",#N/A,FALSE,"CF WKSHT";"Page2",#N/A,FALSE,"CF WKSHT"}</definedName>
    <definedName name="print.again" hidden="1">{"Page1",#N/A,FALSE,"CF WKSHT";"Page2",#N/A,FALSE,"CF WKSHT"}</definedName>
    <definedName name="Print_A1">#REF!</definedName>
    <definedName name="print_again" hidden="1">{"Page1",#N/A,FALSE,"CF WKSHT";"Page2",#N/A,FALSE,"CF WKSHT"}</definedName>
    <definedName name="print_again3" hidden="1">{"Page1",#N/A,FALSE,"CF WKSHT";"Page2",#N/A,FALSE,"CF WKSHT"}</definedName>
    <definedName name="PRINT_ALL">#REF!</definedName>
    <definedName name="_xlnm.Print_Area" localSheetId="3">'Balance Sheet'!$A$1:$BA$52</definedName>
    <definedName name="_xlnm.Print_Area" localSheetId="4">'Cash Flow'!$A$1:$BA$61</definedName>
    <definedName name="_xlnm.Print_Area" localSheetId="1">'Income Statement'!$A$1:$BA$78</definedName>
    <definedName name="_xlnm.Print_Area" localSheetId="2">'Revenue Build'!$A$1:$BA$86</definedName>
    <definedName name="_xlnm.Print_Area">#REF!</definedName>
    <definedName name="Print_Area.">#REF!</definedName>
    <definedName name="Print_Area..">#REF!</definedName>
    <definedName name="print_area_m2">#REF!</definedName>
    <definedName name="Print_Area_MI">#REF!</definedName>
    <definedName name="PRINT_AREA_MI.">#REF!</definedName>
    <definedName name="Print_Area_MI_1">#REF!</definedName>
    <definedName name="Print_Area_MI_2">#REF!</definedName>
    <definedName name="PRINT_AREA_MI1">#REF!</definedName>
    <definedName name="Print_Area_Reset">OFFSET(Full_Print,0,0,Last_Row)</definedName>
    <definedName name="Print_Area01">#REF!</definedName>
    <definedName name="Print_Area02">#REF!</definedName>
    <definedName name="Print_Areaa">#REF!</definedName>
    <definedName name="Print_B7">#REF!</definedName>
    <definedName name="PRINT_BOTH">#REF!</definedName>
    <definedName name="Print_C4">#REF!</definedName>
    <definedName name="Print_CASH_FLOW">#REF!</definedName>
    <definedName name="Print_CSC_Report_2">#REF!</definedName>
    <definedName name="Print_CSC_Report_2_1">#REF!</definedName>
    <definedName name="Print_CSC_Report_2_2">#REF!</definedName>
    <definedName name="Print_CSC_Report_2_3">#REF!</definedName>
    <definedName name="Print_CSC_Report_2_4">#REF!</definedName>
    <definedName name="PRINT_DETAILS">#REF!</definedName>
    <definedName name="Print_Instructions">#REF!</definedName>
    <definedName name="Print_macro.Print_macro">#REF!</definedName>
    <definedName name="Print_Range___0___0___0___0___0___0___0___0">#REF!</definedName>
    <definedName name="PRINT_SUMMARY">#REF!</definedName>
    <definedName name="Print_tiltes">#REF!</definedName>
    <definedName name="_xlnm.Print_Titles">#N/A</definedName>
    <definedName name="Print_Titles_MI">#REF!</definedName>
    <definedName name="PRINT1">#REF!</definedName>
    <definedName name="Print2" hidden="1">{"Page1",#N/A,FALSE,"CF WKSHT";"Page2",#N/A,FALSE,"CF WKSHT"}</definedName>
    <definedName name="Print3" hidden="1">{"Page1",#N/A,FALSE,"CF WKSHT";"Page2",#N/A,FALSE,"CF WKSHT"}</definedName>
    <definedName name="print6" hidden="1">{"Page1",#N/A,FALSE,"CF WKSHT";"Page2",#N/A,FALSE,"CF WKSHT"}</definedName>
    <definedName name="PRINTALL">#REF!</definedName>
    <definedName name="PrintManagerQuery">#REF!</definedName>
    <definedName name="PrintPreview">#REF!</definedName>
    <definedName name="PrintSelectedSheetsMacroButton">#REF!</definedName>
    <definedName name="PRIOR">" 5"</definedName>
    <definedName name="PRIOREOM">#REF!</definedName>
    <definedName name="pro">#REF!</definedName>
    <definedName name="probers">{"'327012'!$A$2:$L$63"}</definedName>
    <definedName name="problem1">#REF!</definedName>
    <definedName name="PROD">#REF!</definedName>
    <definedName name="prod2000">5445341</definedName>
    <definedName name="prod2001">5032306</definedName>
    <definedName name="ProdAcct">#REF!</definedName>
    <definedName name="ProdForm">#REF!</definedName>
    <definedName name="ProdForm1">#REF!</definedName>
    <definedName name="ProdMarket2">#REF!</definedName>
    <definedName name="prodndty">#REF!</definedName>
    <definedName name="prodnspun">#REF!</definedName>
    <definedName name="produa">{"'Trend_Total'!$A$7:$V$10","'Trend_Total'!$A$1:$V$4"}</definedName>
    <definedName name="product">#REF!</definedName>
    <definedName name="Product_Class">#REF!</definedName>
    <definedName name="product_set">{"'Trend_Total'!$A$7:$V$10","'Trend_Total'!$A$1:$V$4"}</definedName>
    <definedName name="product_set2">#REF!</definedName>
    <definedName name="PRODUCTION">#REF!</definedName>
    <definedName name="productivity">#REF!</definedName>
    <definedName name="Prof">#REF!</definedName>
    <definedName name="Prof_Loss">#REF!</definedName>
    <definedName name="PROFIT">#REF!</definedName>
    <definedName name="Profit___loss_account">#REF!</definedName>
    <definedName name="PROFIT___LOSS_ACCOUNT_FOR_THE_YEAR_ENDED_MARCH_31__2001">#REF!</definedName>
    <definedName name="Profit_Loss">#REF!</definedName>
    <definedName name="Profit_Loss.">#REF!</definedName>
    <definedName name="profit_Loss_Grouping1">#REF!</definedName>
    <definedName name="profit_Loss_Grouping2">#REF!</definedName>
    <definedName name="ProfitA">#REF!</definedName>
    <definedName name="ProfitA.">#REF!</definedName>
    <definedName name="ProfitA..">#REF!</definedName>
    <definedName name="profits">#REF!</definedName>
    <definedName name="Proforma">#REF!</definedName>
    <definedName name="Profservs1">#REF!</definedName>
    <definedName name="Profsvs2">#REF!</definedName>
    <definedName name="Program" hidden="1">{"PRVSN",#N/A,FALSE,"Q196";"PRVSN",#N/A,FALSE,"Q296";"PRVSN",#N/A,FALSE,"Q396";"PRVSN",#N/A,FALSE,"Q496";"VARIANCES",#N/A,FALSE,"Q196";"VARIANCES",#N/A,FALSE,"Q296"}</definedName>
    <definedName name="Program_for_output_FooterType">"INTERNAL"</definedName>
    <definedName name="Programs">#REF!</definedName>
    <definedName name="proj">#REF!</definedName>
    <definedName name="ProjDesc">#REF!</definedName>
    <definedName name="Project">#REF!</definedName>
    <definedName name="project_1">{"Client Name or Project Name"}</definedName>
    <definedName name="project_2">{"Client Name or Project Name"}</definedName>
    <definedName name="PROJECT_COST">#REF!</definedName>
    <definedName name="Project_name">#REF!</definedName>
    <definedName name="PROJECT_TYPES">#REF!</definedName>
    <definedName name="Projection_FooterType">"INTERNAL"</definedName>
    <definedName name="ProjectName">{"Client Name or Project Name"}</definedName>
    <definedName name="ProjectName_1">{"Client Name or Project Name"}</definedName>
    <definedName name="ProjectName_1_1">{"Client Name or Project Name"}</definedName>
    <definedName name="ProjectName_1_2">{"Client Name or Project Name"}</definedName>
    <definedName name="ProjectName_1_3">{"Client Name or Project Name"}</definedName>
    <definedName name="ProjectName_2">{"Client Name or Project Name"}</definedName>
    <definedName name="ProjectName_2_1">{"Client Name or Project Name"}</definedName>
    <definedName name="ProjectName_2_2">{"Client Name or Project Name"}</definedName>
    <definedName name="ProjectName_2_3">{"Client Name or Project Name"}</definedName>
    <definedName name="ProjectName_3">{"Client Name or Project Name"}</definedName>
    <definedName name="ProjectName_3_1">{"Client Name or Project Name"}</definedName>
    <definedName name="ProjectName_3_2">{"Client Name or Project Name"}</definedName>
    <definedName name="ProjectName_4">{"Client Name or Project Name"}</definedName>
    <definedName name="ProjectName_5">{"Client Name or Project Name"}</definedName>
    <definedName name="ProjectName1">{"Client Name or Project Name"}</definedName>
    <definedName name="projectname2">{"Client Name or Project Name"}</definedName>
    <definedName name="projectname2_1">{"Client Name or Project Name"}</definedName>
    <definedName name="projectname2_2">{"Client Name or Project Name"}</definedName>
    <definedName name="projectname2_3">{"Client Name or Project Name"}</definedName>
    <definedName name="projectname2_4">{"Client Name or Project Name"}</definedName>
    <definedName name="projectname2_5">{"Client Name or Project Name"}</definedName>
    <definedName name="projectname21">{"Client Name or Project Name"}</definedName>
    <definedName name="ProjName">#REF!</definedName>
    <definedName name="prolinks_12fca4561471421bbde6bb4c3b6559c9">#REF!</definedName>
    <definedName name="prolinks_27d8c586dacc494eb536ff3e924c5029">#REF!</definedName>
    <definedName name="prolinks_2b48bd77dff247f5821ba8660a159e0c">#REF!</definedName>
    <definedName name="prolinks_3a95135bf07e434ab6faa5ff8f1364a4">#REF!</definedName>
    <definedName name="prolinks_5331ac37af6f43619b93c542e2c9fea3">#REF!</definedName>
    <definedName name="prolinks_7de02fb113c748058a7a35438fccba94">#REF!</definedName>
    <definedName name="prolinks_954c8837c508456faef7ab9186ec2050">#REF!</definedName>
    <definedName name="prolinks_99ed6b79b94549a794ed1ea407d0f33a">#REF!</definedName>
    <definedName name="prolinks_c43d2076c9aa4e25ae3e908b99183320">#REF!</definedName>
    <definedName name="prolinks_ceac50bca970425da033a7639ce91efe">#REF!</definedName>
    <definedName name="prolinks_ee48fe29268c47cd817e4e2c616ea0ea">#REF!</definedName>
    <definedName name="property">680000</definedName>
    <definedName name="PROPERTY_DESCRIPTION">"rating"</definedName>
    <definedName name="property04">614491</definedName>
    <definedName name="PROPINC">1</definedName>
    <definedName name="prot">#REF!</definedName>
    <definedName name="proteus" hidden="1">#REF!</definedName>
    <definedName name="prov" hidden="1">{#N/A,#N/A,FALSE,"Taxblinc";#N/A,#N/A,FALSE,"Rsvsacls"}</definedName>
    <definedName name="prov.forinc.taxes">#REF!</definedName>
    <definedName name="PROV_DO">#REF!</definedName>
    <definedName name="PROV_DOA">#REF!</definedName>
    <definedName name="Prov1">#REF!</definedName>
    <definedName name="Prov2">#REF!</definedName>
    <definedName name="PROVA">#REF!</definedName>
    <definedName name="provcy">#REF!</definedName>
    <definedName name="provision">#REF!</definedName>
    <definedName name="PROVISIONS">#REF!</definedName>
    <definedName name="provly">#REF!</definedName>
    <definedName name="prpayment">0</definedName>
    <definedName name="PRR">{"'status'!$B$2:$H$15"}</definedName>
    <definedName name="PrtMajMaint">#REF!</definedName>
    <definedName name="PrtOffsite">#REF!</definedName>
    <definedName name="PrtPrecomm">#REF!</definedName>
    <definedName name="PrtSetup">#REF!</definedName>
    <definedName name="pry">#REF!</definedName>
    <definedName name="ps">#REF!</definedName>
    <definedName name="PSC_FooterType">"INTERNAL"</definedName>
    <definedName name="PSF">#REF!</definedName>
    <definedName name="PSF___0">#REF!</definedName>
    <definedName name="PSIdata">#REF!</definedName>
    <definedName name="PSM">#REF!</definedName>
    <definedName name="PSMBegMMF">#REF!</definedName>
    <definedName name="PSMColumnRefs">#REF!</definedName>
    <definedName name="PSMEndMMF">#REF!</definedName>
    <definedName name="PSMPurchID">#REF!</definedName>
    <definedName name="PSMSalesMatsID">#REF!</definedName>
    <definedName name="PSWSeries_0_0_Labels">#REF!</definedName>
    <definedName name="PSWSeries_0_0_Values">#REF!</definedName>
    <definedName name="PSWSeries_1_0_Labels">#REF!</definedName>
    <definedName name="PSWSeries_1_0_Values">#REF!</definedName>
    <definedName name="PSWSeries_2_0_Labels">#REF!</definedName>
    <definedName name="PSWSeries_2_0_Values">#REF!</definedName>
    <definedName name="PSWSeries_3_0_Labels">#REF!</definedName>
    <definedName name="PSWSeries_3_0_Values">#REF!</definedName>
    <definedName name="PSWSeries_3_1_Labels">#REF!</definedName>
    <definedName name="PSWSeries_3_1_Values">#REF!</definedName>
    <definedName name="PSWSeries_3_2_Labels">#REF!</definedName>
    <definedName name="PSWSeries_3_2_Values">#REF!</definedName>
    <definedName name="Ptas">#REF!</definedName>
    <definedName name="PTEeXToEUR" hidden="1">1/EUReXToPTE</definedName>
    <definedName name="PTree_SensitivityAnalysis_AnalysisType">0</definedName>
    <definedName name="PTree_SensitivityAnalysis_GraphsDisplayPercentageChange">FALSE</definedName>
    <definedName name="PTree_SensitivityAnalysis_IncludeSensitivityGraph">FALSE</definedName>
    <definedName name="PTree_SensitivityAnalysis_IncludeSpiderGraph">FALSE</definedName>
    <definedName name="PTree_SensitivityAnalysis_IncludeStrategyRegion">TRUE</definedName>
    <definedName name="PTree_SensitivityAnalysis_IncludeTornadoGraph">TRUE</definedName>
    <definedName name="PTree_SensitivityAnalysis_Inputs_1_AlternateCellLabel">""</definedName>
    <definedName name="PTree_SensitivityAnalysis_Inputs_1_BaseValueIsAutomatic">TRUE</definedName>
    <definedName name="PTree_SensitivityAnalysis_Inputs_1_MaintainProbabilityNormalization">FALSE</definedName>
    <definedName name="PTree_SensitivityAnalysis_Inputs_1_ManualBaseValue">0</definedName>
    <definedName name="PTree_SensitivityAnalysis_Inputs_1_Maximum">25</definedName>
    <definedName name="PTree_SensitivityAnalysis_Inputs_1_Minimum">-25</definedName>
    <definedName name="PTree_SensitivityAnalysis_Inputs_1_OneWayAnalysis">1</definedName>
    <definedName name="PTree_SensitivityAnalysis_Inputs_1_Steps">11</definedName>
    <definedName name="PTree_SensitivityAnalysis_Inputs_1_TwoWayAnalysis">0</definedName>
    <definedName name="PTree_SensitivityAnalysis_Inputs_1_VariationMethod">0</definedName>
    <definedName name="PTree_SensitivityAnalysis_Inputs_2_AlternateCellLabel">""</definedName>
    <definedName name="PTree_SensitivityAnalysis_Inputs_2_BaseValueIsAutomatic">TRUE</definedName>
    <definedName name="PTree_SensitivityAnalysis_Inputs_2_MaintainProbabilityNormalization">FALSE</definedName>
    <definedName name="PTree_SensitivityAnalysis_Inputs_2_ManualBaseValue">0</definedName>
    <definedName name="PTree_SensitivityAnalysis_Inputs_2_Maximum">25</definedName>
    <definedName name="PTree_SensitivityAnalysis_Inputs_2_Minimum">-25</definedName>
    <definedName name="PTree_SensitivityAnalysis_Inputs_2_OneWayAnalysis">1</definedName>
    <definedName name="PTree_SensitivityAnalysis_Inputs_2_Steps">11</definedName>
    <definedName name="PTree_SensitivityAnalysis_Inputs_2_TwoWayAnalysis">0</definedName>
    <definedName name="PTree_SensitivityAnalysis_Inputs_2_VariationMethod">0</definedName>
    <definedName name="PTree_SensitivityAnalysis_Inputs_3_AlternateCellLabel">""</definedName>
    <definedName name="PTree_SensitivityAnalysis_Inputs_3_BaseValueIsAutomatic">TRUE</definedName>
    <definedName name="PTree_SensitivityAnalysis_Inputs_3_MaintainProbabilityNormalization">FALSE</definedName>
    <definedName name="PTree_SensitivityAnalysis_Inputs_3_ManualBaseValue">0</definedName>
    <definedName name="PTree_SensitivityAnalysis_Inputs_3_Maximum">25</definedName>
    <definedName name="PTree_SensitivityAnalysis_Inputs_3_Minimum">-25</definedName>
    <definedName name="PTree_SensitivityAnalysis_Inputs_3_OneWayAnalysis">1</definedName>
    <definedName name="PTree_SensitivityAnalysis_Inputs_3_Steps">11</definedName>
    <definedName name="PTree_SensitivityAnalysis_Inputs_3_TwoWayAnalysis">0</definedName>
    <definedName name="PTree_SensitivityAnalysis_Inputs_3_VariationMethod">0</definedName>
    <definedName name="PTree_SensitivityAnalysis_Inputs_4_AlternateCellLabel">""</definedName>
    <definedName name="PTree_SensitivityAnalysis_Inputs_4_BaseValueIsAutomatic">TRUE</definedName>
    <definedName name="PTree_SensitivityAnalysis_Inputs_4_MaintainProbabilityNormalization">FALSE</definedName>
    <definedName name="PTree_SensitivityAnalysis_Inputs_4_ManualBaseValue">0</definedName>
    <definedName name="PTree_SensitivityAnalysis_Inputs_4_Maximum">25</definedName>
    <definedName name="PTree_SensitivityAnalysis_Inputs_4_Minimum">-25</definedName>
    <definedName name="PTree_SensitivityAnalysis_Inputs_4_OneWayAnalysis">1</definedName>
    <definedName name="PTree_SensitivityAnalysis_Inputs_4_Steps">11</definedName>
    <definedName name="PTree_SensitivityAnalysis_Inputs_4_TwoWayAnalysis">0</definedName>
    <definedName name="PTree_SensitivityAnalysis_Inputs_4_VariationMethod">0</definedName>
    <definedName name="PTree_SensitivityAnalysis_Inputs_5_AlternateCellLabel">"1 Year Shift in Commercial CFs"</definedName>
    <definedName name="PTree_SensitivityAnalysis_Inputs_5_BaseValueIsAutomatic">TRUE</definedName>
    <definedName name="PTree_SensitivityAnalysis_Inputs_5_MaintainProbabilityNormalization">FALSE</definedName>
    <definedName name="PTree_SensitivityAnalysis_Inputs_5_ManualBaseValue">0</definedName>
    <definedName name="PTree_SensitivityAnalysis_Inputs_5_Maximum">11.5</definedName>
    <definedName name="PTree_SensitivityAnalysis_Inputs_5_Minimum">-11.5</definedName>
    <definedName name="PTree_SensitivityAnalysis_Inputs_5_OneWayAnalysis">1</definedName>
    <definedName name="PTree_SensitivityAnalysis_Inputs_5_Steps">11</definedName>
    <definedName name="PTree_SensitivityAnalysis_Inputs_5_TwoWayAnalysis">0</definedName>
    <definedName name="PTree_SensitivityAnalysis_Inputs_5_VariationMethod">0</definedName>
    <definedName name="PTree_SensitivityAnalysis_Inputs_Count">5</definedName>
    <definedName name="PTree_SensitivityAnalysis_Output_AlternateCellLabel">""</definedName>
    <definedName name="PTree_SensitivityAnalysis_Output_OutputType">1</definedName>
    <definedName name="PTree_SensitivityAnalysis_Output_StartingNode">#REF!(#REF!,#REF!)</definedName>
    <definedName name="PTree_SensitivityAnalysis_UpdateDisplay">FALSE</definedName>
    <definedName name="Pts">#REF!</definedName>
    <definedName name="pub">#REF!</definedName>
    <definedName name="PUB_FileID">"L10003787.xls"</definedName>
    <definedName name="PUB_UserID">"MAYERX"</definedName>
    <definedName name="Pudding">#REF!</definedName>
    <definedName name="purch">#REF!</definedName>
    <definedName name="puui" hidden="1">{#N/A,#N/A,TRUE,"Qrt BCG";#N/A,#N/A,TRUE,"Qrt w|o Wireless";#N/A,#N/A,TRUE,"Qrt Wireless"}</definedName>
    <definedName name="PV_BPO">#REF!</definedName>
    <definedName name="PV_incentives">#REF!</definedName>
    <definedName name="PV_penalties">#REF!</definedName>
    <definedName name="pwc" hidden="1">{#N/A,#N/A,FALSE,"Aging Summary";#N/A,#N/A,FALSE,"Ratio Analysis";#N/A,#N/A,FALSE,"Test 120 Day Accts";#N/A,#N/A,FALSE,"Tickmarks"}</definedName>
    <definedName name="px">"PX8"</definedName>
    <definedName name="PY">#REF!</definedName>
    <definedName name="PY_all_Equity">#REF!</definedName>
    <definedName name="PY_all_Income">#REF!</definedName>
    <definedName name="PY_all_RetEarn">#REF!</definedName>
    <definedName name="PY_knw_Income">#REF!</definedName>
    <definedName name="PY_knw_RetEarn">#REF!</definedName>
    <definedName name="PY_lik_Income">#REF!</definedName>
    <definedName name="PY_lik_RetEarn">#REF!</definedName>
    <definedName name="PY_tot_knw_Xfoot">#REF!</definedName>
    <definedName name="PY_tot_lik_Xfoot">#REF!</definedName>
    <definedName name="PY_tx_all_Income">#REF!</definedName>
    <definedName name="PY_tx_all_RetEarn">#REF!</definedName>
    <definedName name="PY_tx_knw_Income">#REF!</definedName>
    <definedName name="PY_tx_knw_RetEarn">#REF!</definedName>
    <definedName name="PY_tx_lik_Income">#REF!</definedName>
    <definedName name="PY_tx_lik_RetEarn">#REF!</definedName>
    <definedName name="PYqtrTotalExp">"$T$32"</definedName>
    <definedName name="q" hidden="1">{#N/A,#N/A,TRUE,"Condensed IS";#N/A,#N/A,TRUE,"Condensed BS";#N/A,#N/A,TRUE,"Outlook";#N/A,#N/A,TRUE,"Condensed CF";#N/A,#N/A,TRUE,"Condensed CF - qtr"}</definedName>
    <definedName name="Q_1">#REF!</definedName>
    <definedName name="q_3">#REF!</definedName>
    <definedName name="Q1_Table">#REF!</definedName>
    <definedName name="Q1_Table_x">#REF!</definedName>
    <definedName name="Q1fill" hidden="1">#REF!</definedName>
    <definedName name="Q2_Table">#REF!</definedName>
    <definedName name="Q2_Table_x">#REF!</definedName>
    <definedName name="Q218_Amort">#REF!</definedName>
    <definedName name="Q218_Bad_Debts">#REF!</definedName>
    <definedName name="Q2EP">#REF!</definedName>
    <definedName name="Q3_Table">#REF!</definedName>
    <definedName name="Q3_Table_x">#REF!</definedName>
    <definedName name="Q3versusSeg">#REF!</definedName>
    <definedName name="Q3vsSeg">#REF!</definedName>
    <definedName name="Q4_Optiplex_P4">#REF!</definedName>
    <definedName name="Q4_Table">#REF!</definedName>
    <definedName name="Q4_Table_x">#REF!</definedName>
    <definedName name="Q4BOQ">#REF!</definedName>
    <definedName name="qa" hidden="1">{#N/A,#N/A,FALSE,"Aging Summary";#N/A,#N/A,FALSE,"Ratio Analysis";#N/A,#N/A,FALSE,"Test 120 Day Accts";#N/A,#N/A,FALSE,"Tickmarks"}</definedName>
    <definedName name="qa_3">#REF!</definedName>
    <definedName name="QAMT86106">#N/A</definedName>
    <definedName name="qarere">{"'1-TheatreBkgs'!$A$1:$L$102"}</definedName>
    <definedName name="QAW" hidden="1">{#N/A,#N/A,FALSE,"을지 (4)";#N/A,#N/A,FALSE,"을지 (5)";#N/A,#N/A,FALSE,"을지 (6)"}</definedName>
    <definedName name="QB_COLUMN_2920">NA()</definedName>
    <definedName name="QB_COLUMN_2921">NA()</definedName>
    <definedName name="QB_COLUMN_2922">NA()</definedName>
    <definedName name="QB_COLUMN_2923">NA()</definedName>
    <definedName name="QB_COLUMN_2924">NA()</definedName>
    <definedName name="QB_COLUMN_2925">NA()</definedName>
    <definedName name="QB_FORMULA_0">NA()</definedName>
    <definedName name="QB_FORMULA_1">NA()</definedName>
    <definedName name="QB_FORMULA_2">NA()</definedName>
    <definedName name="QB_FORMULA_3">NA()</definedName>
    <definedName name="QB_FORMULA_4">NA()</definedName>
    <definedName name="QB_FORMULA_5">NA()</definedName>
    <definedName name="QB_FORMULA_6">NA()</definedName>
    <definedName name="QB_FORMULA_7">NA()</definedName>
    <definedName name="QB_FORMULA_8">NA()</definedName>
    <definedName name="QBCANSUPPORTUPDATE">1</definedName>
    <definedName name="QBCOMPANYFILENAME">"D:\qb\PuratoInc Jul 25 2012.QBW"</definedName>
    <definedName name="QBENDDATE">20130531</definedName>
    <definedName name="QBHEADERSONSCREEN">0</definedName>
    <definedName name="QBMETADATASIZE">5794</definedName>
    <definedName name="QBPRESERVECOLOR">1</definedName>
    <definedName name="QBPRESERVEFONT">1</definedName>
    <definedName name="QBPRESERVEROWHEIGHT">1</definedName>
    <definedName name="QBPRESERVESPACE">1</definedName>
    <definedName name="QBREPORTCOLAXIS">6</definedName>
    <definedName name="QBREPORTCOMPANYID">"915d10e64e1340228e0a86400f72d4df"</definedName>
    <definedName name="QBREPORTCOMPARECOL_ANNUALBUDGET">0</definedName>
    <definedName name="QBREPORTCOMPARECOL_AVGCOGS">0</definedName>
    <definedName name="QBREPORTCOMPARECOL_AVGPRICE">0</definedName>
    <definedName name="QBREPORTCOMPARECOL_BUDDIFF">0</definedName>
    <definedName name="QBREPORTCOMPARECOL_BUDGET">0</definedName>
    <definedName name="QBREPORTCOMPARECOL_BUDPCT">0</definedName>
    <definedName name="QBREPORTCOMPARECOL_COGS">0</definedName>
    <definedName name="QBREPORTCOMPARECOL_EXCLUDEAMOUNT">0</definedName>
    <definedName name="QBREPORTCOMPARECOL_EXCLUDECURPERIOD">0</definedName>
    <definedName name="QBREPORTCOMPARECOL_FORECAST">0</definedName>
    <definedName name="QBREPORTCOMPARECOL_GROSSMARGIN">0</definedName>
    <definedName name="QBREPORTCOMPARECOL_GROSSMARGINPCT">0</definedName>
    <definedName name="QBREPORTCOMPARECOL_HOURS">0</definedName>
    <definedName name="QBREPORTCOMPARECOL_PCTCOL">0</definedName>
    <definedName name="QBREPORTCOMPARECOL_PCTEXPENSE">0</definedName>
    <definedName name="QBREPORTCOMPARECOL_PCTINCOME">0</definedName>
    <definedName name="QBREPORTCOMPARECOL_PCTOFSALES">0</definedName>
    <definedName name="QBREPORTCOMPARECOL_PCTROW">0</definedName>
    <definedName name="QBREPORTCOMPARECOL_PPDIFF">0</definedName>
    <definedName name="QBREPORTCOMPARECOL_PPPCT">0</definedName>
    <definedName name="QBREPORTCOMPARECOL_PREVPERIOD">0</definedName>
    <definedName name="QBREPORTCOMPARECOL_PREVYEAR">0</definedName>
    <definedName name="QBREPORTCOMPARECOL_PYDIFF">0</definedName>
    <definedName name="QBREPORTCOMPARECOL_PYPCT">0</definedName>
    <definedName name="QBREPORTCOMPARECOL_QTY">0</definedName>
    <definedName name="QBREPORTCOMPARECOL_RATE">0</definedName>
    <definedName name="QBREPORTCOMPARECOL_TRIPBILLEDMILES">0</definedName>
    <definedName name="QBREPORTCOMPARECOL_TRIPBILLINGAMOUNT">0</definedName>
    <definedName name="QBREPORTCOMPARECOL_TRIPMILES">0</definedName>
    <definedName name="QBREPORTCOMPARECOL_TRIPNOTBILLABLEMILES">0</definedName>
    <definedName name="QBREPORTCOMPARECOL_TRIPTAXDEDUCTIBLEAMOUNT">0</definedName>
    <definedName name="QBREPORTCOMPARECOL_TRIPUNBILLEDMILES">0</definedName>
    <definedName name="QBREPORTCOMPARECOL_YTD">0</definedName>
    <definedName name="QBREPORTCOMPARECOL_YTDBUDGET">0</definedName>
    <definedName name="QBREPORTCOMPARECOL_YTDPCT">0</definedName>
    <definedName name="QBREPORTROWAXIS">9</definedName>
    <definedName name="QBREPORTSUBCOLAXIS">0</definedName>
    <definedName name="QBREPORTTYPE">5</definedName>
    <definedName name="QBROWHEADERS">6</definedName>
    <definedName name="QBSTARTDATE">20121231</definedName>
    <definedName name="QE" hidden="1">{#N/A,#N/A,FALSE,"초도품";#N/A,#N/A,FALSE,"초도품 (2)";#N/A,#N/A,FALSE,"초도품 (3)";#N/A,#N/A,FALSE,"초도품 (4)";#N/A,#N/A,FALSE,"초도품 (5)";#N/A,#N/A,FALSE,"초도품 (6)"}</definedName>
    <definedName name="qedate">#REF!</definedName>
    <definedName name="qeeeeq">#REF!</definedName>
    <definedName name="qer" hidden="1">{#N/A,#N/A,FALSE,"Pharm";#N/A,#N/A,FALSE,"WWCM"}</definedName>
    <definedName name="qew" hidden="1">{#N/A,#N/A,FALSE,"Pharm";#N/A,#N/A,FALSE,"WWCM"}</definedName>
    <definedName name="qff">{"'1-TheatreBkgs'!$A$1:$L$102"}</definedName>
    <definedName name="qGLJE_Sum">#REF!</definedName>
    <definedName name="qher" hidden="1">{#N/A,#N/A,FALSE,"REPORT"}</definedName>
    <definedName name="qINVA_Sum">#REF!</definedName>
    <definedName name="qITMC_Sum">#REF!</definedName>
    <definedName name="qkrk"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qkrk_3">#REF!</definedName>
    <definedName name="qkrtnwls" hidden="1">{#N/A,#N/A,FALSE,"Aging Summary";#N/A,#N/A,FALSE,"Ratio Analysis";#N/A,#N/A,FALSE,"Test 120 Day Accts";#N/A,#N/A,FALSE,"Tickmarks"}</definedName>
    <definedName name="qkrtnwls_3">#REF!</definedName>
    <definedName name="QLGC" hidden="1">{"CHART",#N/A,FALSE,"Arch Communications"}</definedName>
    <definedName name="qlqnsshdkd" hidden="1">{#N/A,#N/A,FALSE,"손익표지";#N/A,#N/A,FALSE,"손익계산";#N/A,#N/A,FALSE,"일반관리비";#N/A,#N/A,FALSE,"영업외수익";#N/A,#N/A,FALSE,"영업외비용";#N/A,#N/A,FALSE,"매출액";#N/A,#N/A,FALSE,"요약손익";#N/A,#N/A,FALSE,"요약대차";#N/A,#N/A,FALSE,"매출채권현황";#N/A,#N/A,FALSE,"매출채권명세"}</definedName>
    <definedName name="qMnthly_Inven_Trans">#REF!</definedName>
    <definedName name="qMORV_Sum">#REF!</definedName>
    <definedName name="qOn_Hold">#REF!</definedName>
    <definedName name="qOVAR_Sum">#REF!</definedName>
    <definedName name="qpayment">0</definedName>
    <definedName name="qq" hidden="1">{"CF",#N/A,FALSE,"Cash Flow"}</definedName>
    <definedName name="qq_3">#REF!</definedName>
    <definedName name="qq0">#REF!</definedName>
    <definedName name="qqq" hidden="1">{"KOREA",#N/A,FALSE,"M-1"}</definedName>
    <definedName name="qqqq" hidden="1">{"Page1",#N/A,FALSE,"CF WKSHT";"Page2",#N/A,FALSE,"CF WKSHT"}</definedName>
    <definedName name="qqqqq" hidden="1">#REF!</definedName>
    <definedName name="qqqqqq" hidden="1">#REF!</definedName>
    <definedName name="QQQQQQQQQQQQQQQ">#REF!</definedName>
    <definedName name="qqweq">{0,0,FALSE,0,FALSE,TRUE,0,0,0,0,0,0,0,#VALUE!,0,0,0,0,0,0,0,0,0,0,#VALUE!,0,FALSE,0,0,0,0,0,0,0,0,0,0,0,0,0,0,0,0,0,0,0,0,0,0,0,0}</definedName>
    <definedName name="QQWQ">#REF!</definedName>
    <definedName name="qr">#REF!</definedName>
    <definedName name="QRABOH">#N/A</definedName>
    <definedName name="QRAEOH">#N/A</definedName>
    <definedName name="qregt3yg">#REF!</definedName>
    <definedName name="qrwd" hidden="1">{#N/A,#N/A,FALSE,"Pharm";#N/A,#N/A,FALSE,"WWCM"}</definedName>
    <definedName name="QRYCOUNT">0</definedName>
    <definedName name="qryExcelPriceBook">#REF!</definedName>
    <definedName name="qryExcelPriceBook.">#REF!</definedName>
    <definedName name="qryFailed_Batch_Mnthly_Trans">#REF!</definedName>
    <definedName name="qryFwdDaySup_BHV">#REF!</definedName>
    <definedName name="qryFwdDaySup_DHV_Dips">#REF!</definedName>
    <definedName name="qryFwdDaySup_KCM_mar">#REF!</definedName>
    <definedName name="qryFwdDaySup_KCM_Sauces">#REF!</definedName>
    <definedName name="qryFwdDaySup_Total_Food">#REF!</definedName>
    <definedName name="qryGLJE">#REF!</definedName>
    <definedName name="qryInspection">#REF!</definedName>
    <definedName name="qryINVA">#REF!</definedName>
    <definedName name="qryITMC">#REF!</definedName>
    <definedName name="qryMnth_Hold">#REF!</definedName>
    <definedName name="qryMnth_Inspection">#REF!</definedName>
    <definedName name="qryMnth_On_Hand">#REF!</definedName>
    <definedName name="qryMnth_On_Hold">#REF!</definedName>
    <definedName name="qryMORV">#REF!</definedName>
    <definedName name="QRYNAME1">"Qlimberg"</definedName>
    <definedName name="QRYNAME2">"Qlimbergdivision"</definedName>
    <definedName name="QRYNAME20">"BQ w-o Quante &amp; Gore"</definedName>
    <definedName name="QRYNAME21">"Div P&amp;L by Qtr-without Q &amp; Gore"</definedName>
    <definedName name="QRYNAME22">"bqSlsOIWW"</definedName>
    <definedName name="QRYNAME23">"bqSlsOIWW MPP"</definedName>
    <definedName name="QRYNAME24">"bqSlsOIWW MSD"</definedName>
    <definedName name="QRYNAME25">"bqEP OP Plan"</definedName>
    <definedName name="QRYNAME26">"bqIndirectOpPlan"</definedName>
    <definedName name="QRYNAME27">"bqIndirectOpPlanHK"</definedName>
    <definedName name="QRYNAME28">"bqP&amp;LUSFcstHK"</definedName>
    <definedName name="QRYNAME29">"bqP&amp;LOUSFcstHK"</definedName>
    <definedName name="QRYNAME3">"BQ EP Dtl for OI Var OUS"</definedName>
    <definedName name="QRYNAME30">"bqEPOPPlanHK"</definedName>
    <definedName name="QRYNAME4">"BQ WWAcctspayable"</definedName>
    <definedName name="QRYNAME5">"BQ OI Var BU99998"</definedName>
    <definedName name="QRYNAME6">"BQ Hdct"</definedName>
    <definedName name="QRYNEXT">1</definedName>
    <definedName name="qryOVAR">#REF!</definedName>
    <definedName name="qryPICK">#REF!</definedName>
    <definedName name="qryPORV">#REF!</definedName>
    <definedName name="qryReserv_Roll_FG">#REF!</definedName>
    <definedName name="qryReserve_Current_By_Account">#REF!</definedName>
    <definedName name="QryRowStrCount">2</definedName>
    <definedName name="qrySHIPC">#REF!</definedName>
    <definedName name="QRYSOURCE1">"EXCELRANGE-EXPAND-BQ"</definedName>
    <definedName name="QRYSOURCE16">"IW P&amp;L Data"</definedName>
    <definedName name="QRYSOURCE2">"EXCELRANGE-EXPAND-BQ"</definedName>
    <definedName name="QRYSOURCE20">"EXCELRANGE-EXPAND"</definedName>
    <definedName name="QRYSOURCE22">"EXCELRANGE-EXPAND-BQ"</definedName>
    <definedName name="QRYSOURCE23">"EXCELRANGE-EXPAND-BQ"</definedName>
    <definedName name="QRYSOURCE24">"EXCELRANGE-EXPAND-BQ"</definedName>
    <definedName name="QRYSOURCE25">"EXCELRANGE-EXPAND-BQ"</definedName>
    <definedName name="QRYSOURCE26">"EXCELRANGE-EXPAND-BQ"</definedName>
    <definedName name="QRYSOURCE27">"EXCELRANGE-EXPAND-BQ"</definedName>
    <definedName name="QRYSOURCE28">"EXCELRANGE-EXPAND-BQ"</definedName>
    <definedName name="QRYSOURCE29">"EXCELRANGE-EXPAND-BQ"</definedName>
    <definedName name="QRYSOURCE3">"EXCELRANGE-EXPAND-BQ"</definedName>
    <definedName name="QRYSOURCE30">"EXCELRANGE-EXPAND-BQ"</definedName>
    <definedName name="QRYSOURCE4">"EXCELRANGE-EXPAND-BQ"</definedName>
    <definedName name="QRYSOURCE5">"EXCELRANGE-EXPAND-BQ"</definedName>
    <definedName name="QRYSOURCE6">"EXCELRANGE-EXPAND-BQ"</definedName>
    <definedName name="QRYWKS1">0</definedName>
    <definedName name="qscvbuh" hidden="1">#REF!</definedName>
    <definedName name="qSHIPC_Sum">#REF!</definedName>
    <definedName name="qsMTDSold_Container">#REF!</definedName>
    <definedName name="qsSPA_Trans_Detail">#REF!</definedName>
    <definedName name="qt">#REF!</definedName>
    <definedName name="QT_12">#REF!</definedName>
    <definedName name="QTD_Q2_18">#REF!</definedName>
    <definedName name="QTD_Q2_19">#REF!</definedName>
    <definedName name="QTD_Q3_18">#REF!</definedName>
    <definedName name="QTdec">#REF!</definedName>
    <definedName name="QTR">#REF!</definedName>
    <definedName name="QTR_CORP">#REF!</definedName>
    <definedName name="Qtr_dropdown">#REF!</definedName>
    <definedName name="QTR_FCST">#REF!</definedName>
    <definedName name="qtrstub">#REF!</definedName>
    <definedName name="qtrstubrate">#REF!</definedName>
    <definedName name="Qty">#REF!</definedName>
    <definedName name="qtyex">#REF!</definedName>
    <definedName name="qua">#REF!</definedName>
    <definedName name="QUANTITY">#REF!</definedName>
    <definedName name="quarter">#REF!</definedName>
    <definedName name="quarter_1">#REF!</definedName>
    <definedName name="quarter_2">#REF!</definedName>
    <definedName name="quarter_3">#REF!</definedName>
    <definedName name="quarter_4">#REF!</definedName>
    <definedName name="Quarterly">#REF!</definedName>
    <definedName name="QuarterlyBalanceSheet">#REF!</definedName>
    <definedName name="QuarterlyCashFlow">#REF!</definedName>
    <definedName name="QuarterlyIncomeStatement">#REF!</definedName>
    <definedName name="Quarterspm1">#REF!</definedName>
    <definedName name="Quarterspm2">#REF!</definedName>
    <definedName name="Quarterspm3">#REF!</definedName>
    <definedName name="Quarterspm4">#REF!</definedName>
    <definedName name="Quarterspm5">#REF!</definedName>
    <definedName name="Quarterspm6">#REF!</definedName>
    <definedName name="Query_from_TallyODBC_5">#REF!</definedName>
    <definedName name="Query1">#REF!</definedName>
    <definedName name="Query15">#REF!</definedName>
    <definedName name="Query16">#REF!</definedName>
    <definedName name="QUIT">#REF!</definedName>
    <definedName name="quit_button_Click">#REF!</definedName>
    <definedName name="QUIT2">#REF!</definedName>
    <definedName name="Quotation">#REF!</definedName>
    <definedName name="Quotation..">#REF!</definedName>
    <definedName name="QuotationSummary">#REF!</definedName>
    <definedName name="Quote">#REF!</definedName>
    <definedName name="QuoteLine">#REF!</definedName>
    <definedName name="Quyen">#REF!</definedName>
    <definedName name="qw" hidden="1">{#N/A,#N/A,FALSE,"Aging Summary";#N/A,#N/A,FALSE,"Ratio Analysis";#N/A,#N/A,FALSE,"Test 120 Day Accts";#N/A,#N/A,FALSE,"Tickmarks"}</definedName>
    <definedName name="qw_3">#REF!</definedName>
    <definedName name="QWA" hidden="1">{#N/A,#N/A,FALSE,"을지 (4)";#N/A,#N/A,FALSE,"을지 (5)";#N/A,#N/A,FALSE,"을지 (6)"}</definedName>
    <definedName name="qwcww">#REF!</definedName>
    <definedName name="qwdqwd">#REF!</definedName>
    <definedName name="qwdwdw">#REF!</definedName>
    <definedName name="qwdwqd">#REF!</definedName>
    <definedName name="QWE">#REF!</definedName>
    <definedName name="qwee.erty" hidden="1">#REF!</definedName>
    <definedName name="QWEQWEEW">#REF!</definedName>
    <definedName name="qwer" hidden="1">#REF!</definedName>
    <definedName name="qwerdngf">#REF!</definedName>
    <definedName name="qwerdngf_1">#REF!</definedName>
    <definedName name="qwerrt">#REF!</definedName>
    <definedName name="qwertyu" hidden="1">#REF!</definedName>
    <definedName name="qwerwr">#REF!</definedName>
    <definedName name="qwewqe">{"'1-TheatreBkgs'!$A$1:$L$102"}</definedName>
    <definedName name="qwqe">#REF!</definedName>
    <definedName name="qwqwqwww" hidden="1">{#N/A,#N/A,FALSE,"UNIT";#N/A,#N/A,FALSE,"UNIT";#N/A,#N/A,FALSE,"계정"}</definedName>
    <definedName name="qwqwwww" hidden="1">{#N/A,#N/A,FALSE,"UNIT";#N/A,#N/A,FALSE,"UNIT";#N/A,#N/A,FALSE,"계정"}</definedName>
    <definedName name="QWW">#REF!</definedName>
    <definedName name="qwwe">#REF!</definedName>
    <definedName name="qwwqwqw" hidden="1">{#N/A,#N/A,FALSE,"UNIT";#N/A,#N/A,FALSE,"UNIT";#N/A,#N/A,FALSE,"계정"}</definedName>
    <definedName name="qzqzqz10">#REF!</definedName>
    <definedName name="qzqzqz1000000000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#REF!</definedName>
    <definedName name="R_1M">#REF!</definedName>
    <definedName name="R_2M">#REF!</definedName>
    <definedName name="R_3M">#REF!</definedName>
    <definedName name="R_6M">#REF!</definedName>
    <definedName name="R_COVER" hidden="1">{#N/A,#N/A,FALSE,"단축1";#N/A,#N/A,FALSE,"단축2";#N/A,#N/A,FALSE,"단축3";#N/A,#N/A,FALSE,"장축";#N/A,#N/A,FALSE,"4WD"}</definedName>
    <definedName name="R_D">#REF!</definedName>
    <definedName name="R_Factor">#REF!</definedName>
    <definedName name="RAC물정보비">#REF!</definedName>
    <definedName name="RAC실정보제외">#REF!</definedName>
    <definedName name="RAD">#REF!</definedName>
    <definedName name="radg">#REF!</definedName>
    <definedName name="radha">#REF!</definedName>
    <definedName name="RADIALE">#REF!</definedName>
    <definedName name="Radnor">binary</definedName>
    <definedName name="RAFRFD">#REF!</definedName>
    <definedName name="RAM">#REF!</definedName>
    <definedName name="rama1">#REF!</definedName>
    <definedName name="RAMCO">#REF!</definedName>
    <definedName name="ramcoindus">#REF!</definedName>
    <definedName name="ramcosys">#REF!</definedName>
    <definedName name="ramp">#REF!</definedName>
    <definedName name="Ranbaxy">#REF!</definedName>
    <definedName name="ranbaxylabs">#REF!</definedName>
    <definedName name="range">#REF!</definedName>
    <definedName name="RANGE1">#REF!</definedName>
    <definedName name="range2">#REF!</definedName>
    <definedName name="RANGEA">#N/A</definedName>
    <definedName name="RANGEA1">#N/A</definedName>
    <definedName name="RANGEB">#N/A</definedName>
    <definedName name="RANGEB1">#N/A</definedName>
    <definedName name="RANGEB1B">#N/A</definedName>
    <definedName name="RANGEBB">#N/A</definedName>
    <definedName name="RANGEC">#N/A</definedName>
    <definedName name="RANGEC1">#N/A</definedName>
    <definedName name="RANGED">#N/A</definedName>
    <definedName name="RANGED1">#N/A</definedName>
    <definedName name="RANGEE">#N/A</definedName>
    <definedName name="RANGEE1">#N/A</definedName>
    <definedName name="RANGEF">#N/A</definedName>
    <definedName name="RANGEF1">#N/A</definedName>
    <definedName name="RANGEG">#N/A</definedName>
    <definedName name="RANGEG1">#N/A</definedName>
    <definedName name="RangeLookup">#REF!</definedName>
    <definedName name="RAO">#REF!</definedName>
    <definedName name="RATE">#REF!</definedName>
    <definedName name="Rate_Max">4910</definedName>
    <definedName name="Rate_Min">35</definedName>
    <definedName name="RATE1">#REF!</definedName>
    <definedName name="rate10">#REF!</definedName>
    <definedName name="rate11">#REF!</definedName>
    <definedName name="rate12">#REF!</definedName>
    <definedName name="rate13">#REF!</definedName>
    <definedName name="rate14">#REF!</definedName>
    <definedName name="rate15">#REF!</definedName>
    <definedName name="rate2">#REF!</definedName>
    <definedName name="rate3">#REF!</definedName>
    <definedName name="rate4">#REF!</definedName>
    <definedName name="rate5">#REF!</definedName>
    <definedName name="rate6">#REF!</definedName>
    <definedName name="rate7">#REF!</definedName>
    <definedName name="rate8">#REF!</definedName>
    <definedName name="rate9">#REF!</definedName>
    <definedName name="ratebyname">#REF!</definedName>
    <definedName name="RATEMASTER_99">#REF!</definedName>
    <definedName name="rates">#REF!</definedName>
    <definedName name="Rating">#REF!</definedName>
    <definedName name="Ratings">#REF!</definedName>
    <definedName name="ratingslook">#REF!</definedName>
    <definedName name="RATIO">#REF!</definedName>
    <definedName name="RATIOS">#REF!</definedName>
    <definedName name="RATIOWORK">#REF!</definedName>
    <definedName name="raw">#REF!</definedName>
    <definedName name="RAW_PACK">#REF!</definedName>
    <definedName name="RawAgencyPrice">#REF!</definedName>
    <definedName name="RawAgencyprice.">#REF!</definedName>
    <definedName name="RawData">#REF!</definedName>
    <definedName name="RawHeader">#REF!</definedName>
    <definedName name="ray">#REF!</definedName>
    <definedName name="RBData">#REF!</definedName>
    <definedName name="RBData.">#REF!</definedName>
    <definedName name="RC0_서울">#REF!</definedName>
    <definedName name="RCArea">#REF!</definedName>
    <definedName name="RCOA">#REF!</definedName>
    <definedName name="RCP">#REF!</definedName>
    <definedName name="RCS2Q2">#REF!</definedName>
    <definedName name="RCS3Q2">#REF!</definedName>
    <definedName name="RD">#REF!</definedName>
    <definedName name="RD___0">#REF!</definedName>
    <definedName name="rdrhd">#REF!</definedName>
    <definedName name="re">#REF!</definedName>
    <definedName name="RE_DEV">#REF!</definedName>
    <definedName name="REACAR">#REF!</definedName>
    <definedName name="READONLYBACKCOLOUR1">#REF!</definedName>
    <definedName name="READWRITEBACKCOLOUR1">#REF!</definedName>
    <definedName name="real_average">#REF!</definedName>
    <definedName name="real_ye">#REF!</definedName>
    <definedName name="Realisations_salevalue">#REF!</definedName>
    <definedName name="ReasonId">0</definedName>
    <definedName name="reasons">#REF!</definedName>
    <definedName name="Rebate" hidden="1">{#N/A,#N/A,FALSE,"Aging Summary";#N/A,#N/A,FALSE,"Ratio Analysis";#N/A,#N/A,FALSE,"Test 120 Day Accts";#N/A,#N/A,FALSE,"Tickmarks"}</definedName>
    <definedName name="Rebate_3">#REF!</definedName>
    <definedName name="REC">#REF!</definedName>
    <definedName name="RECAmortBeg">#REF!</definedName>
    <definedName name="RECAmortEnd">#REF!</definedName>
    <definedName name="RECAP">#REF!</definedName>
    <definedName name="RECAR">#REF!</definedName>
    <definedName name="RECBookBeg">#REF!</definedName>
    <definedName name="RECBookEnd">#REF!</definedName>
    <definedName name="RECCarryingBeg">#REF!</definedName>
    <definedName name="RECCarryingEnd">#REF!</definedName>
    <definedName name="RECCurrentBalBeg">#REF!</definedName>
    <definedName name="RECCurrentBalDiff">#REF!</definedName>
    <definedName name="RECCurrentBalEnd">#REF!</definedName>
    <definedName name="receipts">#REF!</definedName>
    <definedName name="Receivables">#REF!</definedName>
    <definedName name="RECIntRcvblBeg">#REF!</definedName>
    <definedName name="RECIntRcvblEnd">#REF!</definedName>
    <definedName name="Reclass11">#REF!</definedName>
    <definedName name="Reclass12">#REF!</definedName>
    <definedName name="Reclass13">#REF!</definedName>
    <definedName name="reclass2">#REF!</definedName>
    <definedName name="RECLiquidityBeg">#REF!</definedName>
    <definedName name="RECLiquidityEnd">#REF!</definedName>
    <definedName name="reco">#REF!</definedName>
    <definedName name="Reco_Xai">#REF!</definedName>
    <definedName name="reco1">#REF!</definedName>
    <definedName name="recon">#REF!</definedName>
    <definedName name="Recons">#REF!</definedName>
    <definedName name="_xlnm.Recorder">#REF!</definedName>
    <definedName name="Records">#REF!</definedName>
    <definedName name="Recover">#REF!</definedName>
    <definedName name="RECPositionBeg">#REF!</definedName>
    <definedName name="RECPositionEnd">#REF!</definedName>
    <definedName name="RECPrincipalBeg">#REF!</definedName>
    <definedName name="RECPrincipalEnd">#REF!</definedName>
    <definedName name="RECUnrlzdGLBeg">#REF!</definedName>
    <definedName name="RECUnrlzdGLEnd">#REF!</definedName>
    <definedName name="RECValueCheck1">#REF!</definedName>
    <definedName name="RECValueCheck2">#REF!</definedName>
    <definedName name="RedefinePrintTableRange" hidden="1">#REF!</definedName>
    <definedName name="REDEV">#REF!</definedName>
    <definedName name="redo">#REF!</definedName>
    <definedName name="REF">#REF!</definedName>
    <definedName name="Ref_1">#REF!</definedName>
    <definedName name="Ref_10">#REF!</definedName>
    <definedName name="Ref_11">#REF!</definedName>
    <definedName name="Ref_12">#REF!</definedName>
    <definedName name="Ref_13">#REF!</definedName>
    <definedName name="Ref_14">#REF!</definedName>
    <definedName name="Ref_15">#REF!</definedName>
    <definedName name="Ref_16">#REF!</definedName>
    <definedName name="Ref_17">#REF!</definedName>
    <definedName name="Ref_18">#REF!</definedName>
    <definedName name="Ref_19">#REF!</definedName>
    <definedName name="Ref_2">#REF!</definedName>
    <definedName name="Ref_20">#REF!</definedName>
    <definedName name="Ref_21">#REF!</definedName>
    <definedName name="Ref_3">#REF!</definedName>
    <definedName name="Ref_4">#REF!</definedName>
    <definedName name="Ref_5">#REF!</definedName>
    <definedName name="Ref_6">#REF!</definedName>
    <definedName name="Ref_7">#REF!</definedName>
    <definedName name="Ref_8">#REF!</definedName>
    <definedName name="Ref_9">#REF!</definedName>
    <definedName name="Ref_Sheet">#REF!</definedName>
    <definedName name="Ref_Sheet2">#REF!</definedName>
    <definedName name="reference1" hidden="1">{#N/A,#N/A,FALSE,"Aging Summary";#N/A,#N/A,FALSE,"Ratio Analysis";#N/A,#N/A,FALSE,"Test 120 Day Accts";#N/A,#N/A,FALSE,"Tickmarks"}</definedName>
    <definedName name="Refr_Cell">#REF!</definedName>
    <definedName name="RefreshArea">#REF!</definedName>
    <definedName name="REFRV">#REF!</definedName>
    <definedName name="Refund">#REF!</definedName>
    <definedName name="refunds">#REF!</definedName>
    <definedName name="RegenCost">#REF!</definedName>
    <definedName name="Regency">#REF!</definedName>
    <definedName name="region" hidden="1">{#N/A,#N/A,FALSE,"Aging Summary";#N/A,#N/A,FALSE,"Ratio Analysis";#N/A,#N/A,FALSE,"Test 120 Day Accts";#N/A,#N/A,FALSE,"Tickmarks"}</definedName>
    <definedName name="region_international">#REF!</definedName>
    <definedName name="Region_US">#REF!</definedName>
    <definedName name="regiondty">#REF!</definedName>
    <definedName name="regionytd">#REF!</definedName>
    <definedName name="Registered_Capital">#REF!</definedName>
    <definedName name="RegisteredUsers">{"'Customer Support Trends'!$A$1:$AB$13"}</definedName>
    <definedName name="RegisteredUsers2">{"'Customer Support Trends'!$A$1:$AB$13"}</definedName>
    <definedName name="Regression">#REF!</definedName>
    <definedName name="REGULAR">#REF!</definedName>
    <definedName name="regvervgervg">#REF!</definedName>
    <definedName name="regvervgervg_1">#REF!</definedName>
    <definedName name="regvervgervg_2">#REF!</definedName>
    <definedName name="regvervgervg_3">#REF!</definedName>
    <definedName name="regvervgervg_4">#REF!</definedName>
    <definedName name="RegY">#REF!</definedName>
    <definedName name="rel">#REF!</definedName>
    <definedName name="relenergy">#REF!</definedName>
    <definedName name="RELIANCE">#REF!</definedName>
    <definedName name="relindus">#REF!</definedName>
    <definedName name="remaining_warrants">#REF!</definedName>
    <definedName name="remove">#REF!</definedName>
    <definedName name="rename">#REF!</definedName>
    <definedName name="Rene">{"'Customer Support Trends'!$A$1:$AB$13"}</definedName>
    <definedName name="rene_registered3">{"'Customer Support Trends'!$A$1:$AB$13"}</definedName>
    <definedName name="rene_registeredusers2">{"'Customer Support Trends'!$A$1:$AB$13"}</definedName>
    <definedName name="Rene2">{"'Customer Support Trends'!$A$1:$AB$13"}</definedName>
    <definedName name="Renew_Subs">#REF!</definedName>
    <definedName name="Rent_Start_Date_First">#REF!</definedName>
    <definedName name="Rent_Start_Date_Ground">#REF!</definedName>
    <definedName name="rentadv">#REF!</definedName>
    <definedName name="Rental_Exp_AHNA">#REF!</definedName>
    <definedName name="Rental_Exp_ConsolGrp">#REF!</definedName>
    <definedName name="Rental_Exp_RHCO">#REF!</definedName>
    <definedName name="Rental_Exp_Uncon_Affil">#REF!</definedName>
    <definedName name="Rental_Inc_ConsolGrp">#REF!</definedName>
    <definedName name="Rental_Inc_RHCO">#REF!</definedName>
    <definedName name="Rental_Inc_Uncon_Affil">#REF!</definedName>
    <definedName name="REP">#REF!</definedName>
    <definedName name="REPAIR">#REF!</definedName>
    <definedName name="REPAIR..">#REF!</definedName>
    <definedName name="RepairedName0435">"iQShowAnnual"</definedName>
    <definedName name="RepairedName0679">"iQShowAnnual"</definedName>
    <definedName name="Repay">#REF!</definedName>
    <definedName name="REPBY">#REF!</definedName>
    <definedName name="REPLACE_AREA">#REF!</definedName>
    <definedName name="REPNAME">#REF!</definedName>
    <definedName name="REPNAME1">#REF!</definedName>
    <definedName name="REPNAME3">#REF!</definedName>
    <definedName name="report">#REF!</definedName>
    <definedName name="Report_DIM.01">"hr_emp"</definedName>
    <definedName name="REPORT_ID">#REF!</definedName>
    <definedName name="Report_MemoSortHide">TRUE</definedName>
    <definedName name="Report_ParentName.01">"Total"</definedName>
    <definedName name="Report_Version_3">"A1"</definedName>
    <definedName name="Report_WriteMemWhenOptn">2</definedName>
    <definedName name="ReportCreated">TRUE</definedName>
    <definedName name="ReportGroup" hidden="1">0</definedName>
    <definedName name="ReportPage1">#REF!</definedName>
    <definedName name="reportPl">#REF!</definedName>
    <definedName name="REPORTPRINT">#REF!</definedName>
    <definedName name="ReportTitle1">#REF!</definedName>
    <definedName name="ReportTitle2">#REF!</definedName>
    <definedName name="reps">#REF!</definedName>
    <definedName name="REQUIREBUDGETJOURNALSFLAG1">#REF!</definedName>
    <definedName name="REre.ageg._.adfd._fff._.fwefwf.">#REF!</definedName>
    <definedName name="resapr">#REF!</definedName>
    <definedName name="Reselects">#REF!</definedName>
    <definedName name="Reselects.">#REF!</definedName>
    <definedName name="Reserve">#REF!</definedName>
    <definedName name="RESERVES___SURPLUS">#REF!</definedName>
    <definedName name="Reset">#REF!</definedName>
    <definedName name="resfeb">#REF!</definedName>
    <definedName name="Residual_difference">#REF!</definedName>
    <definedName name="Residual_difference_1">#REF!</definedName>
    <definedName name="resjan">#REF!</definedName>
    <definedName name="resmar">#REF!</definedName>
    <definedName name="ResponsibilityApplicationID1">#REF!</definedName>
    <definedName name="RESPONSIBILITYAPPLICATIONID2">#REF!</definedName>
    <definedName name="RESPONSIBILITYAPPLICATIONID3">#REF!</definedName>
    <definedName name="RESPONSIBILITYAPPLICATIONID4">#REF!</definedName>
    <definedName name="RESPONSIBILITYAPPLICATIONID5">#REF!</definedName>
    <definedName name="RESPONSIBILITYAPPLICATIONID6">#REF!</definedName>
    <definedName name="ResponsibilityID1">#REF!</definedName>
    <definedName name="RESPONSIBILITYID2">#REF!</definedName>
    <definedName name="RESPONSIBILITYID3">#REF!</definedName>
    <definedName name="RESPONSIBILITYID4">#REF!</definedName>
    <definedName name="RESPONSIBILITYID5">#REF!</definedName>
    <definedName name="RESPONSIBILITYID6">#REF!</definedName>
    <definedName name="ResponsibilityName1">#REF!</definedName>
    <definedName name="RESPONSIBILITYNAME2">#REF!</definedName>
    <definedName name="RESPONSIBILITYNAME3">#REF!</definedName>
    <definedName name="RESPONSIBILITYNAME4">#REF!</definedName>
    <definedName name="RESPONSIBILITYNAME5">#REF!</definedName>
    <definedName name="RESPONSIBILITYNAME6">#REF!</definedName>
    <definedName name="resq3">#REF!</definedName>
    <definedName name="resq4">#REF!</definedName>
    <definedName name="RESTART">#REF!</definedName>
    <definedName name="RESTATED197">#REF!</definedName>
    <definedName name="Restructuring_charges">#REF!</definedName>
    <definedName name="Results">#REF!</definedName>
    <definedName name="ret">#REF!</definedName>
    <definedName name="retail" hidden="1">{#N/A,#N/A,FALSE,"Loans";#N/A,#N/A,FALSE,"Program Costs";#N/A,#N/A,FALSE,"Measures";#N/A,#N/A,FALSE,"Net Lost Rev";#N/A,#N/A,FALSE,"Incentive"}</definedName>
    <definedName name="retail_CC" hidden="1">{#N/A,#N/A,FALSE,"Loans";#N/A,#N/A,FALSE,"Program Costs";#N/A,#N/A,FALSE,"Measures";#N/A,#N/A,FALSE,"Net Lost Rev";#N/A,#N/A,FALSE,"Incentive"}</definedName>
    <definedName name="retail_CC1" hidden="1">{#N/A,#N/A,FALSE,"Loans";#N/A,#N/A,FALSE,"Program Costs";#N/A,#N/A,FALSE,"Measures";#N/A,#N/A,FALSE,"Net Lost Rev";#N/A,#N/A,FALSE,"Incentive"}</definedName>
    <definedName name="RETCARCLN">#REF!</definedName>
    <definedName name="RetChar">"
"</definedName>
    <definedName name="RETDET">#REF!</definedName>
    <definedName name="RETGLCLN">#REF!</definedName>
    <definedName name="RETGLOSS">#REF!</definedName>
    <definedName name="RETINT">#REF!</definedName>
    <definedName name="RETLCLN">#REF!</definedName>
    <definedName name="RETMPC">#REF!</definedName>
    <definedName name="RETORIG">#REF!</definedName>
    <definedName name="RETULTRA">#REF!</definedName>
    <definedName name="return">#REF!</definedName>
    <definedName name="returns">#REF!</definedName>
    <definedName name="REV">'Revenue Build'!$A$1:$AZ$454</definedName>
    <definedName name="REV_NOW">[1]Rev!$A$1:$EU$190</definedName>
    <definedName name="REV_Q1">#REF!</definedName>
    <definedName name="REV_Q2">#REF!</definedName>
    <definedName name="REV_Q3">#REF!</definedName>
    <definedName name="REV_Q4">#REF!</definedName>
    <definedName name="REV_Reclass">#REF!</definedName>
    <definedName name="Rev2Q04">#REF!</definedName>
    <definedName name="Rev3Q04">#REF!</definedName>
    <definedName name="Rev4Q04">#REF!</definedName>
    <definedName name="reval">#REF!</definedName>
    <definedName name="RevConclusion">#REF!</definedName>
    <definedName name="REVCOST">#REF!</definedName>
    <definedName name="REvCY01">#REF!</definedName>
    <definedName name="revenue">#REF!</definedName>
    <definedName name="Revenue_Licenses">"Invoice Type"</definedName>
    <definedName name="Revenue_Rate">0.05</definedName>
    <definedName name="reversal">#REF!</definedName>
    <definedName name="review">{"'Sch B'!$B$15:$L$17"}</definedName>
    <definedName name="ReviewBy">#REF!</definedName>
    <definedName name="REVLINE">#REF!</definedName>
    <definedName name="RevModel2">#REF!</definedName>
    <definedName name="revseg3sensitivitytemp">#REF!</definedName>
    <definedName name="revseg4sensitivitytemp">#REF!</definedName>
    <definedName name="revseg5sensitivitytemp">#REF!</definedName>
    <definedName name="RevStatus">#REF!</definedName>
    <definedName name="rewq">#REF!</definedName>
    <definedName name="rewq_1">#REF!</definedName>
    <definedName name="rews" hidden="1">#N/A</definedName>
    <definedName name="rewtwe">#REF!</definedName>
    <definedName name="rf">#REF!</definedName>
    <definedName name="rf2e" hidden="1">{#N/A,#N/A,FALSE,"Pharm";#N/A,#N/A,FALSE,"WWCM"}</definedName>
    <definedName name="rfbn">#REF!</definedName>
    <definedName name="rfbn_1">#REF!</definedName>
    <definedName name="rfgfg">{"'1-TheatreBkgs'!$A$1:$L$102"}</definedName>
    <definedName name="rfgvbvgsdfb">#REF!</definedName>
    <definedName name="rfgvbvgsdfb_1">#REF!</definedName>
    <definedName name="rfgvbvgsdfb_2">#REF!</definedName>
    <definedName name="rfgvbvgsdfb_3">#REF!</definedName>
    <definedName name="rfgvbvgsdfb_4">#REF!</definedName>
    <definedName name="RFSDF">BLCH</definedName>
    <definedName name="rg" hidden="1">#REF!</definedName>
    <definedName name="rgbegbver">#REF!</definedName>
    <definedName name="rgbegbver_1">#REF!</definedName>
    <definedName name="rgbegbver_2">#REF!</definedName>
    <definedName name="rgbegbver_3">#REF!</definedName>
    <definedName name="rgbegbver_4">#REF!</definedName>
    <definedName name="rgegb">{"'1-TheatreBkgs'!$A$1:$L$102"}</definedName>
    <definedName name="RGHKJH">{"'표지'!$B$5"}</definedName>
    <definedName name="RGL">#REF!</definedName>
    <definedName name="rgnyjk" hidden="1">#REF!</definedName>
    <definedName name="rhdrh">#REF!</definedName>
    <definedName name="rhrh">#REF!</definedName>
    <definedName name="rhrhr">#REF!</definedName>
    <definedName name="rhsdrhr">#REF!</definedName>
    <definedName name="ri7yk">#REF!</definedName>
    <definedName name="ri7yk_1">#REF!</definedName>
    <definedName name="Rick">#REF!</definedName>
    <definedName name="RID">#REF!</definedName>
    <definedName name="rig">#REF!</definedName>
    <definedName name="RIGHT">#REF!</definedName>
    <definedName name="rina">{"'Feb 99'!$A$1:$G$30"}</definedName>
    <definedName name="RISK">#REF!</definedName>
    <definedName name="Risk_free_rate">#REF!</definedName>
    <definedName name="Risk_level__H__M__L">#REF!</definedName>
    <definedName name="RiskAfterRecalcMacro">""</definedName>
    <definedName name="RiskAfterSimMacro">""</definedName>
    <definedName name="RiskAutoStopPercChange">1.5</definedName>
    <definedName name="RiskBeforeRecalcMacro">""</definedName>
    <definedName name="RiskBeforeSimMacro">""</definedName>
    <definedName name="RiskCollectDistributionSamples">2</definedName>
    <definedName name="RiskExcelReportsGoInNewWorkbook">TRUE</definedName>
    <definedName name="RiskExcelReportsToGenerate">6335</definedName>
    <definedName name="RiskFixedSeed">1</definedName>
    <definedName name="RiskGenerateExcelReportsAtEndOfSimulation">FALSE</definedName>
    <definedName name="RiskHasSettings">6</definedName>
    <definedName name="RiskMinimizeOnStart">FALSE</definedName>
    <definedName name="RiskMonitorConvergence">FALSE</definedName>
    <definedName name="RiskMultipleCPUSupportEnabled">TRUE</definedName>
    <definedName name="RiskNumIterations">100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#REF!</definedName>
    <definedName name="RiskSamplingType">3</definedName>
    <definedName name="RiskShowRiskWindowAtEndOfSimulation">TRUE</definedName>
    <definedName name="RiskStandardRecalc">2</definedName>
    <definedName name="RiskStatFunctionsUpdateFreq">1</definedName>
    <definedName name="RiskTemplateSheetName">"myTemplate"</definedName>
    <definedName name="RiskUpdateDisplay">FALSE</definedName>
    <definedName name="RiskUpdateStatFunctions">TRUE</definedName>
    <definedName name="RiskUseDifferentSeedForEachSim">FALSE</definedName>
    <definedName name="RiskUseFixedSeed">FALSE</definedName>
    <definedName name="RiskUseMultipleCPUs">TRUE</definedName>
    <definedName name="RISK내용" hidden="1">{#N/A,#N/A,FALSE,"UNIT";#N/A,#N/A,FALSE,"UNIT";#N/A,#N/A,FALSE,"계정"}</definedName>
    <definedName name="RIT">g1clear,G1Clear2</definedName>
    <definedName name="rjhhhhhhhhhhpok">#REF!</definedName>
    <definedName name="rk" hidden="1">{#N/A,#N/A,FALSE,"BS";#N/A,#N/A,FALSE,"PL";#N/A,#N/A,FALSE,"처분";#N/A,#N/A,FALSE,"현금";#N/A,#N/A,FALSE,"매출";#N/A,#N/A,FALSE,"원가";#N/A,#N/A,FALSE,"경영"}</definedName>
    <definedName name="rkq">#REF!</definedName>
    <definedName name="RKRKR" hidden="1">{#N/A,#N/A,FALSE,"초도품";#N/A,#N/A,FALSE,"초도품 (2)";#N/A,#N/A,FALSE,"초도품 (3)";#N/A,#N/A,FALSE,"초도품 (4)";#N/A,#N/A,FALSE,"초도품 (5)";#N/A,#N/A,FALSE,"초도품 (6)"}</definedName>
    <definedName name="RKSK" hidden="1">#REF!</definedName>
    <definedName name="rla" hidden="1">{#N/A,#N/A,FALSE,"표지&amp;목차";#N/A,#N/A,FALSE,"경영현황";#N/A,#N/A,FALSE,"매출현황";#N/A,#N/A,FALSE,"매출차이분석(양식)";#N/A,#N/A,FALSE,"손익현황";#N/A,#N/A,FALSE,"손익차이분석";#N/A,#N/A,FALSE,"제품별손익";#N/A,#N/A,FALSE,"재공재고";#N/A,#N/A,FALSE,"원가추이"}</definedName>
    <definedName name="RLDBRange">#REF!</definedName>
    <definedName name="RLDBRange1">#REF!</definedName>
    <definedName name="rldbrange2">#REF!</definedName>
    <definedName name="rldbrange3">#REF!</definedName>
    <definedName name="RM">#REF!</definedName>
    <definedName name="RM___0">#REF!</definedName>
    <definedName name="RMA">#REF!</definedName>
    <definedName name="RMC">#REF!</definedName>
    <definedName name="rmcAccount">"C71120"</definedName>
    <definedName name="rmcApplication">"PROD"</definedName>
    <definedName name="rmcCategory">"ACTCD"</definedName>
    <definedName name="rmcFrequency">"QTD"</definedName>
    <definedName name="rmcName">"DMANSQ"</definedName>
    <definedName name="RMCOptions">"*200000000000000"</definedName>
    <definedName name="RMIN">#N/A</definedName>
    <definedName name="RMREOH">#N/A</definedName>
    <definedName name="RMRNOT">#N/A</definedName>
    <definedName name="RMRT">#REF!</definedName>
    <definedName name="RNAO" hidden="1">{#N/A,#N/A,FALSE,"Aging Summary";#N/A,#N/A,FALSE,"Ratio Analysis";#N/A,#N/A,FALSE,"Test 120 Day Accts";#N/A,#N/A,FALSE,"Tickmarks"}</definedName>
    <definedName name="RNAO_3">#REF!</definedName>
    <definedName name="rnarh">#REF!</definedName>
    <definedName name="rnarh_1">#REF!</definedName>
    <definedName name="RNDBOH">#N/A</definedName>
    <definedName name="RNDEOH">#N/A</definedName>
    <definedName name="RNG">#REF!</definedName>
    <definedName name="rngAddress1">#REF!</definedName>
    <definedName name="rngAddress2">#REF!</definedName>
    <definedName name="rngCoName" hidden="1">#REF!</definedName>
    <definedName name="rngContactName">#REF!</definedName>
    <definedName name="rngData_Level">OFFSET(#REF!,0,-1)</definedName>
    <definedName name="rngEmailAddress">#REF!</definedName>
    <definedName name="rngFax">#REF!</definedName>
    <definedName name="rngHead">OFFSET(#REF!,0,1)</definedName>
    <definedName name="rngLegend">OFFSET(#REF!,0,6)</definedName>
    <definedName name="rngLicenseeName">#REF!</definedName>
    <definedName name="rngMonth_Number">OFFSET(#REF!,0,3)</definedName>
    <definedName name="rngQuarter">OFFSET(#REF!,0,4)</definedName>
    <definedName name="rngRoyaltyPeriodEndDate">#REF!</definedName>
    <definedName name="rngRoyaltyPeriodStartDate">#REF!</definedName>
    <definedName name="rngTelephone">#REF!</definedName>
    <definedName name="rngUserDef_PA">OFFSET(#REF!,5,0,25,6)</definedName>
    <definedName name="rngValue_">OFFSET(#REF!,0,2)</definedName>
    <definedName name="rngYear">OFFSET(#REF!,0,5)</definedName>
    <definedName name="ro">#REF!</definedName>
    <definedName name="RO?">#REF!</definedName>
    <definedName name="ROA">#REF!</definedName>
    <definedName name="robot">#REF!</definedName>
    <definedName name="Rock2">#REF!</definedName>
    <definedName name="Rockwell">#REF!</definedName>
    <definedName name="roe">#REF!</definedName>
    <definedName name="ROI">#REF!</definedName>
    <definedName name="ROLL">#REF!</definedName>
    <definedName name="Rolta">#REF!</definedName>
    <definedName name="Ron" hidden="1">{"Page1",#N/A,FALSE,"CF WKSHT";"Page2",#N/A,FALSE,"CF WKSHT"}</definedName>
    <definedName name="RoomRevenueYTD">#REF!</definedName>
    <definedName name="RoomRevMonth">#REF!</definedName>
    <definedName name="ROOTL1">#REF!</definedName>
    <definedName name="ROOTL2">#REF!</definedName>
    <definedName name="RORIC__3_yr_rolling">#REF!</definedName>
    <definedName name="rosid">#REF!</definedName>
    <definedName name="ross">#REF!</definedName>
    <definedName name="RossJrnl">#REF!</definedName>
    <definedName name="RossJrnl1">#REF!</definedName>
    <definedName name="RossJrnl11">#REF!</definedName>
    <definedName name="RossJrnl12">#REF!</definedName>
    <definedName name="RossJrnl13">#REF!</definedName>
    <definedName name="RossJrnl3">#REF!</definedName>
    <definedName name="RossJrnl4">#REF!</definedName>
    <definedName name="RossJrnl5">#REF!</definedName>
    <definedName name="RossJrnl6">#REF!</definedName>
    <definedName name="RossJrnl7">#REF!</definedName>
    <definedName name="RossJrnlTemplate1313">#REF!</definedName>
    <definedName name="RossJrnlTemplate1841">#REF!</definedName>
    <definedName name="RossJrnlTemplate4013">#REF!</definedName>
    <definedName name="RossJrnlTemplate4014">#REF!</definedName>
    <definedName name="RossJrnlTemplate4042">#REF!</definedName>
    <definedName name="RossJrnlTemplate4046">#REF!</definedName>
    <definedName name="RossJrnlTemplate4065">#REF!</definedName>
    <definedName name="RossJrnlTemplate4545">#REF!</definedName>
    <definedName name="RossJrnlTemplate8242">#REF!</definedName>
    <definedName name="RossJrnlTemplate8270">#REF!</definedName>
    <definedName name="row">#REF!</definedName>
    <definedName name="RowDetails1">#REF!</definedName>
    <definedName name="RowDetails2">#REF!</definedName>
    <definedName name="rows_array">{"סעיף",0,"Auto","Auto",""}</definedName>
    <definedName name="rows_array00">{"סעיף",0,"Auto","Auto",""}</definedName>
    <definedName name="ROWSTOUPLOAD1">#REF!</definedName>
    <definedName name="ROWSTOUPLOAD2">#REF!</definedName>
    <definedName name="ROWSTOUPLOAD3">#REF!</definedName>
    <definedName name="ROWSTOUPLOAD4">#REF!</definedName>
    <definedName name="ROWSTOUPLOAD5">#REF!</definedName>
    <definedName name="ROWSTOUPLOAD6">#REF!</definedName>
    <definedName name="Roy_exp_Consol">#REF!</definedName>
    <definedName name="roy_exp_unconsol">#REF!</definedName>
    <definedName name="ROY_INC_CONSOL">#REF!</definedName>
    <definedName name="ROY_INC_UNCONSOL">#REF!</definedName>
    <definedName name="ROYAL">#REF!</definedName>
    <definedName name="royalties">#REF!</definedName>
    <definedName name="rp">#REF!</definedName>
    <definedName name="RP_1M">#REF!</definedName>
    <definedName name="RP_2M">#REF!</definedName>
    <definedName name="RP_3M">#REF!</definedName>
    <definedName name="RP_6M">#REF!</definedName>
    <definedName name="rPghlr" hidden="1">{#N/A,#N/A,FALSE,"기술료 비교"}</definedName>
    <definedName name="RPK_PA">#REF!</definedName>
    <definedName name="RPSP">#REF!</definedName>
    <definedName name="RPT">#REF!</definedName>
    <definedName name="RPTCOUNT">1</definedName>
    <definedName name="RPTID">0</definedName>
    <definedName name="RPTM">#REF!</definedName>
    <definedName name="RPTNEXT">2</definedName>
    <definedName name="RPTQRY1">1</definedName>
    <definedName name="RPTQRY10">"sRptNo"</definedName>
    <definedName name="RPTQRY11">5</definedName>
    <definedName name="RPTQRY12">6</definedName>
    <definedName name="RPTQRY13">16</definedName>
    <definedName name="RPTQRY14">22</definedName>
    <definedName name="RPTQRY15">18</definedName>
    <definedName name="RPTQRY16">18</definedName>
    <definedName name="RPTQRY17">19</definedName>
    <definedName name="RPTQRY18">17</definedName>
    <definedName name="RPTQRY19">17</definedName>
    <definedName name="RPTQRY2">2</definedName>
    <definedName name="RPTQRY20">17</definedName>
    <definedName name="RPTQRY21">17</definedName>
    <definedName name="RPTQRY22">17</definedName>
    <definedName name="RPTQRY23">17</definedName>
    <definedName name="RPTQRY24">17</definedName>
    <definedName name="RPTQRY25">17</definedName>
    <definedName name="RPTQRY26">17</definedName>
    <definedName name="RPTQRY27">" "</definedName>
    <definedName name="RPTQRY28">17</definedName>
    <definedName name="RPTQRY29">17</definedName>
    <definedName name="RPTQRY3">2</definedName>
    <definedName name="RPTQRY30">17</definedName>
    <definedName name="RPTQRY31">17</definedName>
    <definedName name="RPTQRY32">17</definedName>
    <definedName name="RPTQRY33">20</definedName>
    <definedName name="RPTQRY34">17</definedName>
    <definedName name="RPTQRY35">20</definedName>
    <definedName name="RPTQRY36">20</definedName>
    <definedName name="RPTQRY37">22</definedName>
    <definedName name="RPTQRY38">22</definedName>
    <definedName name="RPTQRY39">22</definedName>
    <definedName name="RPTQRY4">2</definedName>
    <definedName name="RPTQRY40">22</definedName>
    <definedName name="RPTQRY41">22</definedName>
    <definedName name="RPTQRY42">23</definedName>
    <definedName name="RPTQRY43">23</definedName>
    <definedName name="RPTQRY44">23</definedName>
    <definedName name="RPTQRY45">22</definedName>
    <definedName name="RPTQRY46">24</definedName>
    <definedName name="RPTQRY47">22</definedName>
    <definedName name="RPTQRY48">22</definedName>
    <definedName name="RPTQRY49">22</definedName>
    <definedName name="RPTQRY5">3</definedName>
    <definedName name="RPTQRY50">20</definedName>
    <definedName name="RPTQRY51">20</definedName>
    <definedName name="RPTQRY52">20</definedName>
    <definedName name="RPTQRY53">20</definedName>
    <definedName name="RPTQRY54">20</definedName>
    <definedName name="RPTQRY55">20</definedName>
    <definedName name="RPTQRY56">21</definedName>
    <definedName name="RPTQRY57">20</definedName>
    <definedName name="RPTQRY58">20</definedName>
    <definedName name="RPTQRY59">21</definedName>
    <definedName name="RPTQRY6">3</definedName>
    <definedName name="RPTQRY60">20</definedName>
    <definedName name="RPTQRY61">20</definedName>
    <definedName name="RPTQRY62">21</definedName>
    <definedName name="RPTQRY63">20</definedName>
    <definedName name="RPTQRY64">24</definedName>
    <definedName name="RPTQRY65">23</definedName>
    <definedName name="RPTQRY66">25</definedName>
    <definedName name="RPTQRY67">25</definedName>
    <definedName name="RPTQRY68">25</definedName>
    <definedName name="RPTQRY69">26</definedName>
    <definedName name="RPTQRY7">2</definedName>
    <definedName name="RPTQRY70">25</definedName>
    <definedName name="RPTQRY71">24</definedName>
    <definedName name="RPTQRY72">29</definedName>
    <definedName name="RPTQRY8">1</definedName>
    <definedName name="RPTQRY9">4</definedName>
    <definedName name="RR">#REF!</definedName>
    <definedName name="RR.BRAKE" hidden="1">{#N/A,#N/A,FALSE,"단축1";#N/A,#N/A,FALSE,"단축2";#N/A,#N/A,FALSE,"단축3";#N/A,#N/A,FALSE,"장축";#N/A,#N/A,FALSE,"4WD"}</definedName>
    <definedName name="RR.BRK" hidden="1">{#N/A,#N/A,FALSE,"단축1";#N/A,#N/A,FALSE,"단축2";#N/A,#N/A,FALSE,"단축3";#N/A,#N/A,FALSE,"장축";#N/A,#N/A,FALSE,"4WD"}</definedName>
    <definedName name="rrate">#REF!</definedName>
    <definedName name="RRR" hidden="1">#REF!</definedName>
    <definedName name="rrrrr" hidden="1">#REF!</definedName>
    <definedName name="rrrrrr">#REF!</definedName>
    <definedName name="rrrrrrrr" hidden="1">{#N/A,#N/A,FALSE,"Pharm";#N/A,#N/A,FALSE,"WWCM"}</definedName>
    <definedName name="rrrrrrrrr" hidden="1">{#N/A,#N/A,FALSE,"Pharm";#N/A,#N/A,FALSE,"WWCM"}</definedName>
    <definedName name="RRRRRRRRRR">#REF!</definedName>
    <definedName name="RRRRRRRRRRRRRR">#REF!</definedName>
    <definedName name="rrrrrrrrrrrrrrrr" hidden="1">{#N/A,#N/A,FALSE,"Pharm";#N/A,#N/A,FALSE,"WWCM"}</definedName>
    <definedName name="rrrrrrrrrrrrrrrrrrrrrr" hidden="1">{#N/A,#N/A,FALSE,"Pharm";#N/A,#N/A,FALSE,"WWCM"}</definedName>
    <definedName name="rrrrrrrrrrrrrrrrrrrrrrrrrrrrrr" hidden="1">{#N/A,#N/A,FALSE,"Pharm";#N/A,#N/A,FALSE,"WWCM"}</definedName>
    <definedName name="rrrrrrrrrrrrrrrrrrrrrrrrrrrrrrr" hidden="1">{#N/A,#N/A,FALSE,"Pharm";#N/A,#N/A,FALSE,"WWCM"}</definedName>
    <definedName name="rs">#REF!</definedName>
    <definedName name="Rs.2.25">#REF!</definedName>
    <definedName name="rse">#REF!</definedName>
    <definedName name="RSP">#REF!</definedName>
    <definedName name="RSprod1">#REF!</definedName>
    <definedName name="RSprod2">#REF!</definedName>
    <definedName name="RSU">#REF!</definedName>
    <definedName name="RSUdata">#REF!</definedName>
    <definedName name="rsurp">#REF!</definedName>
    <definedName name="RT">#REF!</definedName>
    <definedName name="RTE">{"'Planning Data'!$A$2:$X$120"}</definedName>
    <definedName name="rth">{"'표지'!$B$5"}</definedName>
    <definedName name="RTHHGH">{"'표지'!$B$5"}</definedName>
    <definedName name="RTIN">#N/A</definedName>
    <definedName name="RTM">#REF!</definedName>
    <definedName name="rtrt">{"'1-TheatreBkgs'!$A$1:$L$102"}</definedName>
    <definedName name="rtrttrttrtr">#REF!</definedName>
    <definedName name="rtsslk" hidden="1">{"'Planning Data'!$A$2:$X$120"}</definedName>
    <definedName name="rtty" hidden="1">{#N/A,#N/A,FALSE,"UNIT";#N/A,#N/A,FALSE,"UNIT";#N/A,#N/A,FALSE,"계정"}</definedName>
    <definedName name="rttyu" hidden="1">#REF!</definedName>
    <definedName name="rttyyu" hidden="1">#REF!</definedName>
    <definedName name="rtukytk">#REF!</definedName>
    <definedName name="rtukytk_1">#REF!</definedName>
    <definedName name="rtyu">#REF!</definedName>
    <definedName name="rtyu_1">#REF!</definedName>
    <definedName name="RunBugyo">#REF!</definedName>
    <definedName name="RUNBY">#REF!</definedName>
    <definedName name="RUNDATE">#REF!</definedName>
    <definedName name="RunName">#REF!</definedName>
    <definedName name="russ">{"'Inventory &amp; Anal-Cur Wkbk'!$A$7:$AP$71"}</definedName>
    <definedName name="RV_TM">#REF!</definedName>
    <definedName name="rw">{"'Standalone List Price Trends'!$A$1:$X$56"}</definedName>
    <definedName name="rwrwr">{"'Standalone List Price Trends'!$A$1:$X$56"}</definedName>
    <definedName name="rwrwrwrwr">{"'Standalone List Price Trends'!$A$1:$X$56"}</definedName>
    <definedName name="Rwvu.Analysis." hidden="1">#REF!,#REF!,#REF!,#REF!,#REF!,#REF!</definedName>
    <definedName name="Rwvu.CurF1997." hidden="1">#REF!,#REF!,#REF!,#REF!,#REF!</definedName>
    <definedName name="Rwvu.Current." hidden="1">#REF!,#REF!,#REF!,#REF!,#REF!</definedName>
    <definedName name="Rwvu.CurrentYear." hidden="1">#REF!,#REF!,#REF!,#REF!,#REF!</definedName>
    <definedName name="Rwvu.FY_97MB." hidden="1">#REF!,#REF!</definedName>
    <definedName name="Rwvu.FY_97MF." hidden="1">#REF!,#REF!</definedName>
    <definedName name="Rwvu.FY_97REF1." hidden="1">#REF!,#REF!</definedName>
    <definedName name="Rwvu.FY_98_V2." hidden="1">#REF!,#REF!,#REF!,#REF!,#REF!</definedName>
    <definedName name="Rwvu.FY94_95Qtr." hidden="1">#REF!,#REF!,#REF!,#REF!,#REF!,#REF!</definedName>
    <definedName name="Rwvu.FY96ACTUAL." hidden="1">#REF!,#REF!</definedName>
    <definedName name="Rwvu.incearn." hidden="1">#REF!,#REF!,#REF!,#REF!,#REF!</definedName>
    <definedName name="Rwvu.PRT.">#REF!</definedName>
    <definedName name="Rwvu.qtr._.view." hidden="1">#REF!,#REF!,#REF!,#REF!,#REF!,#REF!,#REF!,#REF!,#REF!,#REF!,#REF!,#REF!</definedName>
    <definedName name="Rwvu.Report1." hidden="1">#REF!,#REF!</definedName>
    <definedName name="Rwvu.Standard._.Report." hidden="1">#REF!,#REF!,#REF!</definedName>
    <definedName name="rwwr">{"'Standalone List Price Trends'!$A$1:$X$56"}</definedName>
    <definedName name="ry">#REF!</definedName>
    <definedName name="rydhn">#REF!</definedName>
    <definedName name="rydhn_1">#REF!</definedName>
    <definedName name="ryik">#REF!</definedName>
    <definedName name="ryik_1">#REF!</definedName>
    <definedName name="ryjhn">#REF!</definedName>
    <definedName name="ryjhn_1">#REF!</definedName>
    <definedName name="ryjhtyj">#REF!</definedName>
    <definedName name="ryjhtyj_1">#REF!</definedName>
    <definedName name="ryjyj">#REF!</definedName>
    <definedName name="ryjyj_1">#REF!</definedName>
    <definedName name="RzAccounts">#REF!</definedName>
    <definedName name="RzAccounts1">#REF!</definedName>
    <definedName name="RzGroups">#REF!</definedName>
    <definedName name="s">#REF!</definedName>
    <definedName name="S_1_2">#REF!</definedName>
    <definedName name="S_10_11_12">#REF!</definedName>
    <definedName name="S_13_14___15">#REF!</definedName>
    <definedName name="S_16_17">#REF!</definedName>
    <definedName name="S_18___19">#REF!</definedName>
    <definedName name="S_20_21___22">#REF!</definedName>
    <definedName name="S_23">#REF!</definedName>
    <definedName name="S_3_4">#REF!</definedName>
    <definedName name="S_8_9">#REF!</definedName>
    <definedName name="S_AcctDes">#REF!</definedName>
    <definedName name="S_AcctNum">#REF!</definedName>
    <definedName name="S_Adjust">#REF!</definedName>
    <definedName name="S_Adjust_Data">#REF!</definedName>
    <definedName name="S_Adjust_GT">#REF!</definedName>
    <definedName name="S_AJE_Tot">#REF!</definedName>
    <definedName name="S_AJE_Tot_Data">#REF!</definedName>
    <definedName name="S_AJE_Tot_GT">#REF!</definedName>
    <definedName name="S_CompNum">#REF!</definedName>
    <definedName name="S_CRS">#REF!</definedName>
    <definedName name="S_CY_Beg">#REF!</definedName>
    <definedName name="S_CY_Beg_Data">#REF!</definedName>
    <definedName name="S_CY_Beg_GT">#REF!</definedName>
    <definedName name="S_CY_End">#REF!</definedName>
    <definedName name="S_CY_End_Data">#REF!</definedName>
    <definedName name="S_CY_End_GT">#REF!</definedName>
    <definedName name="S_Diff_Amt">#REF!</definedName>
    <definedName name="S_Diff_Pct">#REF!</definedName>
    <definedName name="s_fb">#REF!</definedName>
    <definedName name="s_fb_10">#REF!</definedName>
    <definedName name="s_fb_9">#REF!</definedName>
    <definedName name="s_fbi">#REF!</definedName>
    <definedName name="s_fbi_10">#REF!</definedName>
    <definedName name="s_fbi_9">#REF!</definedName>
    <definedName name="S_GrpNum">#REF!</definedName>
    <definedName name="S_Headings">#REF!</definedName>
    <definedName name="S_KeyValue">#REF!</definedName>
    <definedName name="S_LSRange1">#REF!</definedName>
    <definedName name="S_LSRange1Balance">#REF!</definedName>
    <definedName name="S_LSRange1Balance1">#REF!</definedName>
    <definedName name="S_LSRange1Balance2">#REF!</definedName>
    <definedName name="S_LSRange1Balance3">#REF!</definedName>
    <definedName name="S_LSRange2">#REF!</definedName>
    <definedName name="S_LSRange2Balance">#REF!</definedName>
    <definedName name="S_LSRange2Balance1">#REF!</definedName>
    <definedName name="S_LSRange2Balance2">#REF!</definedName>
    <definedName name="S_LSRange2Balance3">#REF!</definedName>
    <definedName name="S_LSRange3">#REF!</definedName>
    <definedName name="S_LSRange3Balance">#REF!</definedName>
    <definedName name="S_LSRange3Balance1">#REF!</definedName>
    <definedName name="S_LSRange3Balance2">#REF!</definedName>
    <definedName name="S_LSRange3Balance3">#REF!</definedName>
    <definedName name="S_LSRange4">#REF!</definedName>
    <definedName name="S_LSRange4Balance">#REF!</definedName>
    <definedName name="S_LSRange4Balance1">#REF!</definedName>
    <definedName name="S_LSRange4Balance2">#REF!</definedName>
    <definedName name="S_LSRange4Balance3">#REF!</definedName>
    <definedName name="S_PY_End">#REF!</definedName>
    <definedName name="S_PY_End_Data">#REF!</definedName>
    <definedName name="S_PY_End_GT">#REF!</definedName>
    <definedName name="S_RJE_Tot">#REF!</definedName>
    <definedName name="S_RJE_Tot_Data">#REF!</definedName>
    <definedName name="S_RJE_Tot_GT">#REF!</definedName>
    <definedName name="S_RowNum">#REF!</definedName>
    <definedName name="S_Total">#REF!</definedName>
    <definedName name="S_Total1">#REF!</definedName>
    <definedName name="S_Total2">#REF!</definedName>
    <definedName name="S_Total3">#REF!</definedName>
    <definedName name="S_U">#REF!</definedName>
    <definedName name="S3a">#REF!</definedName>
    <definedName name="s50c1"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sa">#REF!</definedName>
    <definedName name="SA_PA">#REF!</definedName>
    <definedName name="saasdsf">#REF!</definedName>
    <definedName name="saasdsf_1">#REF!</definedName>
    <definedName name="saasdsf_2">#REF!</definedName>
    <definedName name="saasdsf_3">#REF!</definedName>
    <definedName name="saasdsf_4">#REF!</definedName>
    <definedName name="sabi">#REF!</definedName>
    <definedName name="SAD">#REF!</definedName>
    <definedName name="sadf">#REF!</definedName>
    <definedName name="sadfdg">{"'1-TheatreBkgs'!$A$1:$L$102"}</definedName>
    <definedName name="sadfds">{"'Trend_Total'!$A$7:$V$10","'Trend_Total'!$A$1:$V$4"}</definedName>
    <definedName name="sadfdsa">#REF!</definedName>
    <definedName name="sadfdsafsdf">#REF!</definedName>
    <definedName name="sadfg">{"'Trend_Total'!$A$7:$V$10","'Trend_Total'!$A$1:$V$4"}</definedName>
    <definedName name="sadfsadfasadf">#REF!</definedName>
    <definedName name="sadfsdfsdfsaf">#REF!</definedName>
    <definedName name="sadg" hidden="1">{#N/A,#N/A,FALSE,"Pharm";#N/A,#N/A,FALSE,"WWCM"}</definedName>
    <definedName name="SADGF">#REF!</definedName>
    <definedName name="saf">#REF!</definedName>
    <definedName name="saff" hidden="1">{#N/A,#N/A,FALSE,"KMC최종회의(7월) 자료"}</definedName>
    <definedName name="sail">#REF!</definedName>
    <definedName name="SAINT_GOBAIN_CRYSTALS___DETECTORS_INDIA_PRIVATE_LIMITED">#REF!</definedName>
    <definedName name="sajasas">#REF!</definedName>
    <definedName name="sakuseibi">#REF!</definedName>
    <definedName name="Sal">#REF!</definedName>
    <definedName name="Salary">#REF!</definedName>
    <definedName name="Salary_Worksheets">#REF!</definedName>
    <definedName name="SALE">#N/A</definedName>
    <definedName name="SALE_SUM">#REF!</definedName>
    <definedName name="SALEBOH">#N/A</definedName>
    <definedName name="SALEEOH">#N/A</definedName>
    <definedName name="Sales">#REF!</definedName>
    <definedName name="Sales_by_Country_by_Group_99">#REF!</definedName>
    <definedName name="Sales_Funnel">#REF!</definedName>
    <definedName name="Sales_INR">#REF!</definedName>
    <definedName name="Sales_Rs">#REF!</definedName>
    <definedName name="Sales_Tax_Rate_2015">#REF!</definedName>
    <definedName name="Sales_USD">#REF!</definedName>
    <definedName name="Sales_USD_48.614">#REF!</definedName>
    <definedName name="Sales1">#REF!</definedName>
    <definedName name="Sales2">#REF!</definedName>
    <definedName name="SalesA">#REF!</definedName>
    <definedName name="salesdata">#REF!</definedName>
    <definedName name="SalesJ">#REF!</definedName>
    <definedName name="SALESPLAN">#REF!</definedName>
    <definedName name="SALESPLAN.">#REF!</definedName>
    <definedName name="SALESPROJ">#REF!</definedName>
    <definedName name="SALESPROJ.">#REF!</definedName>
    <definedName name="SalesR">#REF!</definedName>
    <definedName name="salesrep">#REF!</definedName>
    <definedName name="sally" hidden="1">{#N/A,#N/A,FALSE,"Pharm";#N/A,#N/A,FALSE,"WWCM"}</definedName>
    <definedName name="salsum">#REF!</definedName>
    <definedName name="sam">#REF!</definedName>
    <definedName name="SAMBOH">#N/A</definedName>
    <definedName name="same" hidden="1">{#N/A,#N/A,FALSE,"Summary";#N/A,#N/A,FALSE,"Fed.State Prov";#N/A,#N/A,FALSE,"Foreign Prov";#N/A,#N/A,FALSE,"Thera Fgrn";#N/A,#N/A,FALSE,"CCD Fgrn";#N/A,#N/A,FALSE,"Biocine Fgrn";#N/A,#N/A,FALSE,"Vision Fgrn";#N/A,#N/A,FALSE,"Frgn vs Dom"}</definedName>
    <definedName name="SAMEOH">#N/A</definedName>
    <definedName name="sample">{"'Customer Support Trends'!$A$1:$AB$13"}</definedName>
    <definedName name="sANOFI" hidden="1">{#N/A,#N/A,FALSE,"Pharm";#N/A,#N/A,FALSE,"WWCM"}</definedName>
    <definedName name="sao">#REF!</definedName>
    <definedName name="SAP_ByDesign_R0001">#REF!</definedName>
    <definedName name="SAP_ByDesign_R0002">#REF!</definedName>
    <definedName name="SAP_ByDesign_R0003">#REF!</definedName>
    <definedName name="SAP_ByDesign_R0004">#REF!</definedName>
    <definedName name="SAP_ByDesign_R0005">#REF!</definedName>
    <definedName name="SAP_ByDesign_R0006">#REF!</definedName>
    <definedName name="SAP_ByDesign_R0007">#REF!</definedName>
    <definedName name="SAP_ByDesign_R0008">#REF!</definedName>
    <definedName name="SAP_ByDesign_R0009">#REF!</definedName>
    <definedName name="SAP_ByDesign_R0010">#REF!</definedName>
    <definedName name="SAP_ByDesign_R0015">#REF!</definedName>
    <definedName name="SAP_ByDesign_T0002RP_TITLE">#REF!</definedName>
    <definedName name="SAP_ByDesign_T0003RP_TITLE">#REF!</definedName>
    <definedName name="SAP_ByDesign_T0004RP_TITLE">#REF!</definedName>
    <definedName name="SAP_ByDesign_T0005RP_TITLE">#REF!</definedName>
    <definedName name="SAP_ByDesign_T0006RP_TITLE">#REF!</definedName>
    <definedName name="SAP_ByDesign_T0007RP_TITLE">#REF!</definedName>
    <definedName name="SAP_ByDesign_T0009RP_TITLE">#REF!</definedName>
    <definedName name="SAP_ByDesign_T0010RP_TITLE">#REF!</definedName>
    <definedName name="SAPBEX">5</definedName>
    <definedName name="SAPBEXdnldView" hidden="1">"447PMR2NX272FB4OX3679YRJI"</definedName>
    <definedName name="SAPBEXhrIndnt" hidden="1">1</definedName>
    <definedName name="SAPBEXr">9</definedName>
    <definedName name="SAPBEXrevision" hidden="1">1</definedName>
    <definedName name="SAPBEXrevision_1">159</definedName>
    <definedName name="SAPBEXsysID" hidden="1">"BWP"</definedName>
    <definedName name="SAPBEXw">"3TZDSACWB6YEYPZ98R0Y0CK07"</definedName>
    <definedName name="SAPBEXwbID" hidden="1">"437R7F6551XMDJ6GBZFJ8D5BE"</definedName>
    <definedName name="SAPBEXwbID_1">"ER8Y4QNGQ0TZGTOU3DGOBEICT"</definedName>
    <definedName name="SAPBEXwbID2">"3TZDSACWB6YEYPZ98R0Y0CK07"</definedName>
    <definedName name="SAPFuncF4Help">#REF!()</definedName>
    <definedName name="SAPsysID" hidden="1">"708C5W7SBKP804JT78WJ0JNKI"</definedName>
    <definedName name="SAPwbID" hidden="1">"ARS"</definedName>
    <definedName name="sary">#REF!</definedName>
    <definedName name="sasa">#REF!</definedName>
    <definedName name="sasd" hidden="1">{#N/A,#N/A,FALSE,"KMC최종회의(7월) 자료"}</definedName>
    <definedName name="sasdf" hidden="1">{#N/A,#N/A,FALSE,"KMC최종회의(7월) 자료"}</definedName>
    <definedName name="sasdfkj">#REF!</definedName>
    <definedName name="sasdsaf">#REF!</definedName>
    <definedName name="sasf" hidden="1">{#N/A,#N/A,FALSE,"KMC최종회의(7월) 자료"}</definedName>
    <definedName name="satyamcomp">#REF!</definedName>
    <definedName name="Save_Delay">#REF!</definedName>
    <definedName name="SaveReason">FALSE</definedName>
    <definedName name="SaveReasonCell">0</definedName>
    <definedName name="SaveReasonPosHdrId">0</definedName>
    <definedName name="SaveWorkbookNo">#REF!</definedName>
    <definedName name="SaveWorkbookYes">#REF!</definedName>
    <definedName name="sb">#REF!</definedName>
    <definedName name="SBC">#REF!</definedName>
    <definedName name="SBI">#REF!</definedName>
    <definedName name="SBI__APCC_">#REF!</definedName>
    <definedName name="SBI_APCC">#REF!</definedName>
    <definedName name="SBR_TOP_Rs">#REF!</definedName>
    <definedName name="SBR_TOP_USD">#REF!</definedName>
    <definedName name="sc" hidden="1">{#N/A,#N/A,TRUE,"Condensed IS";#N/A,#N/A,TRUE,"Condensed BS";#N/A,#N/A,TRUE,"Outlook";#N/A,#N/A,TRUE,"Condensed CF";#N/A,#N/A,TRUE,"Condensed CF - qtr"}</definedName>
    <definedName name="Scenarios">#REF!</definedName>
    <definedName name="SCf">#REF!</definedName>
    <definedName name="sch">#REF!</definedName>
    <definedName name="SCH_D">#REF!</definedName>
    <definedName name="Sch_M_Table">#REF!</definedName>
    <definedName name="Sch_to_Bs">#REF!</definedName>
    <definedName name="SCH_WH_TAX">#REF!</definedName>
    <definedName name="Sch11to13">#REF!</definedName>
    <definedName name="Sch1to5">#REF!</definedName>
    <definedName name="Sch6to10">#REF!</definedName>
    <definedName name="Sched_Pay">#REF!</definedName>
    <definedName name="SCHEDA_1.3">#REF!</definedName>
    <definedName name="Schedule">#REF!</definedName>
    <definedName name="SCHEDULE____5">#REF!</definedName>
    <definedName name="SCHEDULE___9">#REF!</definedName>
    <definedName name="SCHEDULE_1">#REF!</definedName>
    <definedName name="SCHEDULE_10_K_15">"print title"</definedName>
    <definedName name="Scheduled_Extra_Payments">#REF!</definedName>
    <definedName name="Scheduled_Monthly_Payment">#REF!</definedName>
    <definedName name="ScheduleDate">#REF!</definedName>
    <definedName name="schs">#REF!</definedName>
    <definedName name="SCHVI_IV">#REF!</definedName>
    <definedName name="scms">580000</definedName>
    <definedName name="SCOA">#REF!</definedName>
    <definedName name="SCOAREC">#REF!</definedName>
    <definedName name="scomm">0</definedName>
    <definedName name="ScoreFrcstCategory">#REF!</definedName>
    <definedName name="ScoreFrcstMargin">#REF!</definedName>
    <definedName name="ScoreFrcstRevenue">#REF!</definedName>
    <definedName name="ScoreMargin">#REF!</definedName>
    <definedName name="SCRAP">{"'subnets'!$A$1:$F$20"}</definedName>
    <definedName name="SCRAP_1">{"'subnets'!$A$1:$F$20"}</definedName>
    <definedName name="SCRAP_2">{"'subnets'!$A$1:$F$20"}</definedName>
    <definedName name="SCRAP_3">{"'subnets'!$A$1:$F$20"}</definedName>
    <definedName name="SCRAP_4">{"'subnets'!$A$1:$F$20"}</definedName>
    <definedName name="SCRAP_5">{"'subnets'!$A$1:$F$20"}</definedName>
    <definedName name="SCRBOH">#N/A</definedName>
    <definedName name="SCREOH">#N/A</definedName>
    <definedName name="scs">#REF!</definedName>
    <definedName name="sd">#REF!</definedName>
    <definedName name="sd_1">#REF!</definedName>
    <definedName name="sd_2">#REF!</definedName>
    <definedName name="sd_3">#REF!</definedName>
    <definedName name="sd_4">#REF!</definedName>
    <definedName name="SD_SB">#REF!</definedName>
    <definedName name="sda">#REF!</definedName>
    <definedName name="sda_1">#REF!</definedName>
    <definedName name="sda_2">#REF!</definedName>
    <definedName name="sda_3">#REF!</definedName>
    <definedName name="sda_4">#REF!</definedName>
    <definedName name="sdaddsa">#REF!</definedName>
    <definedName name="sdaddsa_3">#REF!</definedName>
    <definedName name="sdaf">#REF!</definedName>
    <definedName name="sdaf_1">#REF!</definedName>
    <definedName name="sdaf_2">#REF!</definedName>
    <definedName name="sdaf_3">#REF!</definedName>
    <definedName name="sdaf_4">#REF!</definedName>
    <definedName name="SDAFADF" hidden="1">{#N/A,#N/A,FALSE,"손익표지";#N/A,#N/A,FALSE,"손익계산";#N/A,#N/A,FALSE,"일반관리비";#N/A,#N/A,FALSE,"영업외수익";#N/A,#N/A,FALSE,"영업외비용";#N/A,#N/A,FALSE,"매출액";#N/A,#N/A,FALSE,"요약손익";#N/A,#N/A,FALSE,"요약대차";#N/A,#N/A,FALSE,"매출채권현황";#N/A,#N/A,FALSE,"매출채권명세"}</definedName>
    <definedName name="sdafdadfad" hidden="1">{#N/A,#N/A,FALSE,"Aging Summary";#N/A,#N/A,FALSE,"Ratio Analysis";#N/A,#N/A,FALSE,"Test 120 Day Accts";#N/A,#N/A,FALSE,"Tickmarks"}</definedName>
    <definedName name="sdafdadfad_3">#REF!</definedName>
    <definedName name="sdafds">#REF!</definedName>
    <definedName name="sdafe">#REF!</definedName>
    <definedName name="sdaff">#REF!</definedName>
    <definedName name="sdaff_1">#REF!</definedName>
    <definedName name="sdaff_2">#REF!</definedName>
    <definedName name="sdaff_3">#REF!</definedName>
    <definedName name="sdaff_4">#REF!</definedName>
    <definedName name="sdaffdsafd">#REF!</definedName>
    <definedName name="sdaffdsafd_1">#REF!</definedName>
    <definedName name="sdaffdsafd_2">#REF!</definedName>
    <definedName name="sdaffdsafd_3">#REF!</definedName>
    <definedName name="sdaffdsafd_4">#REF!</definedName>
    <definedName name="sdaflkej">#REF!</definedName>
    <definedName name="sdafsdafsaf">#REF!</definedName>
    <definedName name="sdafsdfadsfasfa">#REF!</definedName>
    <definedName name="sdas" hidden="1">{"Total",#N/A,FALSE,"Six Fields";"PDP",#N/A,FALSE,"Six Fields";"PNP",#N/A,FALSE,"Six Fields";"PUD",#N/A,FALSE,"Six Fields";"Prob",#N/A,FALSE,"Six Fields"}</definedName>
    <definedName name="sdas_1">#REF!</definedName>
    <definedName name="sdas_2">#REF!</definedName>
    <definedName name="sdas_3">#REF!</definedName>
    <definedName name="sdas_4">#REF!</definedName>
    <definedName name="sdasd">#REF!</definedName>
    <definedName name="Sdate">#REF!</definedName>
    <definedName name="sdAWSD">{"'Feb 99'!$A$1:$G$30"}</definedName>
    <definedName name="sddas">#REF!</definedName>
    <definedName name="sddas_1">#REF!</definedName>
    <definedName name="sddas_2">#REF!</definedName>
    <definedName name="sddas_3">#REF!</definedName>
    <definedName name="sddas_4">#REF!</definedName>
    <definedName name="sdf" hidden="1">{"Central",#N/A,FALSE,"Total"}</definedName>
    <definedName name="sdf_1">#REF!</definedName>
    <definedName name="sdf_2">#REF!</definedName>
    <definedName name="sdf_3">#REF!</definedName>
    <definedName name="sdf_4">#REF!</definedName>
    <definedName name="sdfa">#REF!</definedName>
    <definedName name="sdfa1">#REF!</definedName>
    <definedName name="sdfasd">#REF!</definedName>
    <definedName name="sdfasdf">#REF!</definedName>
    <definedName name="sdfasdf_1">#REF!</definedName>
    <definedName name="sdfasdf_2">#REF!</definedName>
    <definedName name="sdfasdf_3">#REF!</definedName>
    <definedName name="sdfasdf_4">#REF!</definedName>
    <definedName name="SDFASFASDF">#REF!</definedName>
    <definedName name="sdfasr">#REF!</definedName>
    <definedName name="sdfd" hidden="1">{#N/A,#N/A,TRUE,"CPRD";#N/A,#N/A,TRUE,"BCCPDR";#N/A,#N/A,TRUE,"EWRD";#N/A,#N/A,TRUE,"5100";#N/A,#N/A,TRUE,"5110"}</definedName>
    <definedName name="sdfdf">#REF!</definedName>
    <definedName name="sdfds" hidden="1">{#N/A,#N/A,FALSE,"KMC최종회의(7월) 자료"}</definedName>
    <definedName name="sdfdsf">#REF!</definedName>
    <definedName name="sdff">#REF!</definedName>
    <definedName name="sdffsd">"36AUZS02UM0VDE8AJ25O096WO"</definedName>
    <definedName name="sdfg" hidden="1">{#N/A,#N/A,FALSE,"Nov 96";#N/A,#N/A,FALSE,"Dec 96";#N/A,#N/A,FALSE,"Jan 97";#N/A,#N/A,FALSE,"Feb 97";#N/A,#N/A,FALSE,"Mar 97";#N/A,#N/A,FALSE,"Apr 97";#N/A,#N/A,FALSE,"May 97";#N/A,#N/A,FALSE,"Jun 97";#N/A,#N/A,FALSE,"Jul 97";#N/A,#N/A,FALSE,"Aug 97";#N/A,#N/A,FALSE,"Sep 97";#N/A,#N/A,FALSE,"Oct 97"}</definedName>
    <definedName name="sdfgdsggfsg">#REF!</definedName>
    <definedName name="SDFGF" hidden="1">{#N/A,#N/A,FALSE,"1";#N/A,#N/A,FALSE,"2";#N/A,#N/A,FALSE,"16 - 17";#N/A,#N/A,FALSE,"18 - 19";#N/A,#N/A,FALSE,"26";#N/A,#N/A,FALSE,"27";#N/A,#N/A,FALSE,"28"}</definedName>
    <definedName name="sdfgfds">#REF!</definedName>
    <definedName name="sdfgs">#REF!</definedName>
    <definedName name="sdfgsdfg">#REF!</definedName>
    <definedName name="sdfgsdfg_1">#REF!</definedName>
    <definedName name="sdfgsdfg_2">#REF!</definedName>
    <definedName name="sdfgsdfg_3">#REF!</definedName>
    <definedName name="sdfgsdfg_4">#REF!</definedName>
    <definedName name="sdfgsdfgbve">#REF!</definedName>
    <definedName name="sdfgsdfgbve_1">#REF!</definedName>
    <definedName name="sdfgsdfgbve_2">#REF!</definedName>
    <definedName name="sdfgsdfgbve_3">#REF!</definedName>
    <definedName name="sdfgsdfgbve_4">#REF!</definedName>
    <definedName name="sdfgsdfgsdfgs">#REF!</definedName>
    <definedName name="sdfgsdfgsdfgs_1">#REF!</definedName>
    <definedName name="sdfgsdfgsdfgs_2">#REF!</definedName>
    <definedName name="sdfgsdfgsdfgs_3">#REF!</definedName>
    <definedName name="sdfgsdfgsdfgs_4">#REF!</definedName>
    <definedName name="sdfgsdg">#REF!</definedName>
    <definedName name="sdfgsfd">#REF!</definedName>
    <definedName name="sdfgsfd_1">#REF!</definedName>
    <definedName name="sdfgsfd_2">#REF!</definedName>
    <definedName name="sdfgsfd_3">#REF!</definedName>
    <definedName name="sdfgsfd_4">#REF!</definedName>
    <definedName name="sdfh">#REF!</definedName>
    <definedName name="sdfhbtgbhtr">#REF!</definedName>
    <definedName name="sdfhbtgbhtr_1">#REF!</definedName>
    <definedName name="sdfhbtgbhtr_2">#REF!</definedName>
    <definedName name="sdfhbtgbhtr_3">#REF!</definedName>
    <definedName name="sdfhbtgbhtr_4">#REF!</definedName>
    <definedName name="sdfhdgfhdgfhdgd">#REF!</definedName>
    <definedName name="sdfhdgfhdgfhdgd_1">#REF!</definedName>
    <definedName name="sdfhdgfhdgfhdgd_2">#REF!</definedName>
    <definedName name="sdfhdgfhdgfhdgd_3">#REF!</definedName>
    <definedName name="sdfhdgfhdgfhdgd_4">#REF!</definedName>
    <definedName name="sdfhsdfgsdfgsdfg">#REF!</definedName>
    <definedName name="sdfhsdfgsdfgsdfg_1">#REF!</definedName>
    <definedName name="sdfhsdfgsdfgsdfg_2">#REF!</definedName>
    <definedName name="sdfhsdfgsdfgsdfg_3">#REF!</definedName>
    <definedName name="sdfhsdfgsdfgsdfg_4">#REF!</definedName>
    <definedName name="sdfjaskdjfkasdjfaskdfjasdf">"AS2DocumentBrowse"</definedName>
    <definedName name="sdfjdfjdfk">#REF!</definedName>
    <definedName name="sdfjh">#REF!</definedName>
    <definedName name="sdfs">#REF!</definedName>
    <definedName name="sdfs1">#REF!</definedName>
    <definedName name="sdfsa" hidden="1">{#N/A,#N/A,FALSE,"KMC최종회의(7월) 자료"}</definedName>
    <definedName name="sdfsadf">#REF!</definedName>
    <definedName name="sdfsd">#REF!</definedName>
    <definedName name="sdfsdf">#REF!</definedName>
    <definedName name="sdfsdfsdf">#REF!</definedName>
    <definedName name="sdfsdfsdfsafsdf">#REF!</definedName>
    <definedName name="sdfsdgfdfhsfdhfgshfgsjhfsh">#REF!</definedName>
    <definedName name="sdfstf">#REF!</definedName>
    <definedName name="sdfstw">{"'1-TheatreBkgs'!$A$1:$L$102"}</definedName>
    <definedName name="sdft">#REF!</definedName>
    <definedName name="sdfv">#REF!</definedName>
    <definedName name="sdfv_1">#REF!</definedName>
    <definedName name="sdg">{"'1-TheatreBkgs'!$A$1:$L$102"}</definedName>
    <definedName name="SDGSDB">#REF!</definedName>
    <definedName name="sdhr">#REF!</definedName>
    <definedName name="sdhrsh">#REF!</definedName>
    <definedName name="SDJFKSDJF">71</definedName>
    <definedName name="sdjlk">#REF!</definedName>
    <definedName name="sdrfse">#REF!</definedName>
    <definedName name="sdrgesrgergsdf">#REF!</definedName>
    <definedName name="sdrgesrgergsdf_1">#REF!</definedName>
    <definedName name="sdrgesrgergsdf_2">#REF!</definedName>
    <definedName name="sdrgesrgergsdf_3">#REF!</definedName>
    <definedName name="sdrgesrgergsdf_4">#REF!</definedName>
    <definedName name="SDS">#REF!</definedName>
    <definedName name="sds_1">{"'WS Sales by Rep'!$A$24:$L$46"}</definedName>
    <definedName name="sdsa">{"'Sheet1'!$A$5:$E$42"}</definedName>
    <definedName name="sdsd">#REF!</definedName>
    <definedName name="sdvsdvsDVVd" hidden="1">{"'Planning Data'!$A$2:$X$120"}</definedName>
    <definedName name="sdz">#REF!</definedName>
    <definedName name="SE" hidden="1">{"Q3_Fcst_Fcst_Var_Detail",#N/A,FALSE,"REPORT FORMAT";"Q3_Fcst_Fcst_Var_Summary",#N/A,FALSE,"REPORT FORMAT";"QTR_TREND_DETAIL",#N/A,FALSE,"REPORT FORMAT";"QTR_TREND_SUMMARY",#N/A,FALSE,"REPORT FORMAT"}</definedName>
    <definedName name="SEAT">#REF!</definedName>
    <definedName name="SEC">#REF!</definedName>
    <definedName name="SEC_LOAN">#REF!</definedName>
    <definedName name="SEC_서울">#REF!</definedName>
    <definedName name="section.SheduleFB">#REF!</definedName>
    <definedName name="section.SheduleFB_10">#REF!</definedName>
    <definedName name="section.SheduleFB_9">#REF!</definedName>
    <definedName name="section.SheduleFBI">#REF!</definedName>
    <definedName name="section.SheduleFBI_10">#REF!</definedName>
    <definedName name="section.SheduleFBI_9">#REF!</definedName>
    <definedName name="sectionNames">#REF!</definedName>
    <definedName name="sectionpm1">#REF!</definedName>
    <definedName name="sectionpm2">#REF!</definedName>
    <definedName name="sectionpm3">#REF!</definedName>
    <definedName name="sectionpm4">#REF!</definedName>
    <definedName name="sectionpm5">#REF!</definedName>
    <definedName name="sectionpm6">#REF!</definedName>
    <definedName name="SectionTotalRow">1</definedName>
    <definedName name="sef">#REF!</definedName>
    <definedName name="seg_equity">#REF!</definedName>
    <definedName name="Seg_LBO_Summ">#REF!</definedName>
    <definedName name="SEG1_DIRECTION1">#REF!</definedName>
    <definedName name="SEG1_FROM1">#REF!</definedName>
    <definedName name="SEG1_SORT1">#REF!</definedName>
    <definedName name="SEG1_TO1">#REF!</definedName>
    <definedName name="SEG2_DIRECTION1">#REF!</definedName>
    <definedName name="SEG2_FROM1">#REF!</definedName>
    <definedName name="SEG2_SORT1">#REF!</definedName>
    <definedName name="SEG2_TO1">#REF!</definedName>
    <definedName name="SEG3_DIRECTION1">#REF!</definedName>
    <definedName name="SEG3_FROM1">#REF!</definedName>
    <definedName name="SEG3_SORT1">#REF!</definedName>
    <definedName name="SEG3_TO1">#REF!</definedName>
    <definedName name="SEG4_DIRECTION1">#REF!</definedName>
    <definedName name="SEG4_FROM1">#REF!</definedName>
    <definedName name="SEG4_SORT1">#REF!</definedName>
    <definedName name="SEG4_TO1">#REF!</definedName>
    <definedName name="SEG5_DIRECTION1">#REF!</definedName>
    <definedName name="SEG5_FROM1">#REF!</definedName>
    <definedName name="SEG5_SORT1">#REF!</definedName>
    <definedName name="SEG5_TO1">#REF!</definedName>
    <definedName name="SEG6_DIRECTION1">#REF!</definedName>
    <definedName name="SEG6_FROM1">#REF!</definedName>
    <definedName name="SEG6_SORT1">#REF!</definedName>
    <definedName name="SEG6_TO1">#REF!</definedName>
    <definedName name="segfsdvgfsd">#REF!</definedName>
    <definedName name="SEGGEOTYPECL">#REF!</definedName>
    <definedName name="Segment">#REF!</definedName>
    <definedName name="SEGTYPEMTB">#REF!</definedName>
    <definedName name="SEGTYPEMTV">#REF!</definedName>
    <definedName name="segvx" hidden="1">{"'買掛金'!$J$6"}</definedName>
    <definedName name="SEI_rate">643000/35000000</definedName>
    <definedName name="SEJINBS" hidden="1">{#N/A,#N/A,FALSE,"정공"}</definedName>
    <definedName name="SEK">#REF!</definedName>
    <definedName name="SelCom">"Button 8"</definedName>
    <definedName name="SELECT_EPSON">#REF!</definedName>
    <definedName name="Select_Inp">#REF!,#REF!,#REF!,#REF!</definedName>
    <definedName name="SELECT_MENU">#REF!</definedName>
    <definedName name="SELECT_PRINTER">#REF!</definedName>
    <definedName name="SELECT_RESULT">#REF!</definedName>
    <definedName name="Select1_sheet0">"'Sheet1'
0
"</definedName>
    <definedName name="Select1_sheets">1</definedName>
    <definedName name="SelectedPosDtlId">1</definedName>
    <definedName name="SelectedPosHdrId">10003691</definedName>
    <definedName name="seller_note_sweep">#REF!</definedName>
    <definedName name="SellingExp">#REF!</definedName>
    <definedName name="sellingexp.">#REF!</definedName>
    <definedName name="SEMIIN">#N/A</definedName>
    <definedName name="sencount" hidden="1">1</definedName>
    <definedName name="Sep_18">#REF!</definedName>
    <definedName name="Sep_19">#REF!</definedName>
    <definedName name="Sep_20">#REF!</definedName>
    <definedName name="Sep_21">#REF!</definedName>
    <definedName name="sepaud">#REF!</definedName>
    <definedName name="SEPDATA?">#REF!</definedName>
    <definedName name="sephkd">#REF!</definedName>
    <definedName name="sepsgd">#REF!</definedName>
    <definedName name="SEPT">#REF!</definedName>
    <definedName name="sept_control_totals">#REF!</definedName>
    <definedName name="sept2000">#REF!</definedName>
    <definedName name="September">#REF!</definedName>
    <definedName name="septhb">#REF!</definedName>
    <definedName name="septwd">#REF!</definedName>
    <definedName name="sere">#REF!</definedName>
    <definedName name="sergse">#REF!</definedName>
    <definedName name="sergse_1">#REF!</definedName>
    <definedName name="Series_A_1_Preferred">#REF!</definedName>
    <definedName name="Series_A_Preferred">#REF!</definedName>
    <definedName name="serjhs">#REF!</definedName>
    <definedName name="serjhs_1">#REF!</definedName>
    <definedName name="serthtj">#REF!</definedName>
    <definedName name="serthtj_1">#REF!</definedName>
    <definedName name="sertxk">#REF!</definedName>
    <definedName name="sertxk_1">#REF!</definedName>
    <definedName name="servfee">#REF!</definedName>
    <definedName name="service">0</definedName>
    <definedName name="SERVICE_RECOVER">#REF!</definedName>
    <definedName name="ServiceLogistics">#REF!</definedName>
    <definedName name="SERVICES">#REF!</definedName>
    <definedName name="Seshmahal">#REF!</definedName>
    <definedName name="Set">" "</definedName>
    <definedName name="SetOfBooksID1">#REF!</definedName>
    <definedName name="SETOFBOOKSID2">#REF!</definedName>
    <definedName name="SETOFBOOKSID3">#REF!</definedName>
    <definedName name="SETOFBOOKSID4">#REF!</definedName>
    <definedName name="SETOFBOOKSID5">#REF!</definedName>
    <definedName name="SETOFBOOKSID6">#REF!</definedName>
    <definedName name="SetOfBooksName1">#REF!</definedName>
    <definedName name="SETOFBOOKSNAME2">#REF!</definedName>
    <definedName name="SETOFBOOKSNAME3">#REF!</definedName>
    <definedName name="SETOFBOOKSNAME4">#REF!</definedName>
    <definedName name="SETOFBOOKSNAME5">#REF!</definedName>
    <definedName name="SETOFBOOKSNAME6">#REF!</definedName>
    <definedName name="SETTINGS">#REF!</definedName>
    <definedName name="Settlement">#REF!</definedName>
    <definedName name="Setup_Practice_Number">#REF!</definedName>
    <definedName name="SETUP_PRINT">#REF!</definedName>
    <definedName name="seven">#REF!</definedName>
    <definedName name="SEVENDAY">#REF!</definedName>
    <definedName name="sex">{"'1-TheatreBkgs'!$A$1:$L$102"}</definedName>
    <definedName name="sf">#REF!</definedName>
    <definedName name="SF_ACT">#REF!</definedName>
    <definedName name="sfads">#REF!</definedName>
    <definedName name="sfasd">#REF!</definedName>
    <definedName name="sfasd_1">#REF!</definedName>
    <definedName name="sfasd_2">#REF!</definedName>
    <definedName name="sfasd_3">#REF!</definedName>
    <definedName name="sfasd_4">#REF!</definedName>
    <definedName name="sfdas">#REF!</definedName>
    <definedName name="sfdas_1">#REF!</definedName>
    <definedName name="sfdas_2">#REF!</definedName>
    <definedName name="sfdas_3">#REF!</definedName>
    <definedName name="sfdas_4">#REF!</definedName>
    <definedName name="sfdg">#REF!</definedName>
    <definedName name="SFDGD">#REF!</definedName>
    <definedName name="sfdgsar">#REF!</definedName>
    <definedName name="sfgdfg">#REF!</definedName>
    <definedName name="sfghr">#REF!</definedName>
    <definedName name="sforrest93" hidden="1">#REF!</definedName>
    <definedName name="SFS" hidden="1">#REF!</definedName>
    <definedName name="sfsdcf">#REF!</definedName>
    <definedName name="sfsdfsdafa" hidden="1">{#N/A,#N/A,FALSE,"손익표지";#N/A,#N/A,FALSE,"손익계산";#N/A,#N/A,FALSE,"일반관리비";#N/A,#N/A,FALSE,"영업외수익";#N/A,#N/A,FALSE,"영업외비용";#N/A,#N/A,FALSE,"매출액";#N/A,#N/A,FALSE,"요약손익";#N/A,#N/A,FALSE,"요약대차";#N/A,#N/A,FALSE,"매출채권현황";#N/A,#N/A,FALSE,"매출채권명세"}</definedName>
    <definedName name="sfss" hidden="1">{#N/A,#N/A,FALSE,"KMC최종회의(7월) 자료"}</definedName>
    <definedName name="SG_LCAClient">#REF!</definedName>
    <definedName name="SGA">#REF!</definedName>
    <definedName name="SGA_growth">#REF!</definedName>
    <definedName name="SGA_margin_fore">#REF!</definedName>
    <definedName name="sgadg">#REF!</definedName>
    <definedName name="sgadgd">#REF!</definedName>
    <definedName name="sgag">#REF!</definedName>
    <definedName name="SGALINE">#REF!</definedName>
    <definedName name="sgasensitivitytemp">#REF!</definedName>
    <definedName name="sgd">#REF!</definedName>
    <definedName name="sgdg" hidden="1">{#N/A,#N/A,FALSE,"REPORT"}</definedName>
    <definedName name="sgdgs">#REF!</definedName>
    <definedName name="SGDXTO">"Hyperion"</definedName>
    <definedName name="sgegeg">#REF!</definedName>
    <definedName name="sgeseg">#REF!</definedName>
    <definedName name="sgf">"8S22574HODOIDG88FCJT9A4QP"</definedName>
    <definedName name="sgherhe">#REF!</definedName>
    <definedName name="sghser">#REF!</definedName>
    <definedName name="SGP_India">#REF!</definedName>
    <definedName name="SGQERVY">#REF!</definedName>
    <definedName name="sgsdfgsd" hidden="1">#REF!</definedName>
    <definedName name="sgsdg">#REF!</definedName>
    <definedName name="sGSGkj" hidden="1">{"'Planning Data'!$A$2:$X$120"}</definedName>
    <definedName name="SH">#REF!</definedName>
    <definedName name="sha">#REF!</definedName>
    <definedName name="SHAPE">#REF!</definedName>
    <definedName name="SHARE__CAPITAL">#REF!</definedName>
    <definedName name="Share_Data">#REF!</definedName>
    <definedName name="Share_Data.">#REF!</definedName>
    <definedName name="Share_Price">#REF!</definedName>
    <definedName name="share_tog">#REF!</definedName>
    <definedName name="SHARED_FORMULA_11">60958/18</definedName>
    <definedName name="SHARED_FORMULA_12">11825/18</definedName>
    <definedName name="shares_granted">#REF!</definedName>
    <definedName name="Shares_repurchase_liability">#REF!</definedName>
    <definedName name="Sheet" hidden="1">#REF!</definedName>
    <definedName name="Sheet1" hidden="1">210</definedName>
    <definedName name="Sheet1_BNE_MESSAGES">#REF!</definedName>
    <definedName name="Sheet1_BNE_MESSAGES_HIDDEN">#REF!</definedName>
    <definedName name="Sheet1_BNE_MESSAGES_LAMP">#REF!</definedName>
    <definedName name="Sheet1_BNE_UPLOAD">#REF!</definedName>
    <definedName name="Sheet1_FooterType">"EXTERNAL"</definedName>
    <definedName name="Sheet1_GL_INTERFACE_ACCOUNTING_DATE">#REF!</definedName>
    <definedName name="Sheet1_GL_INTERFACE_ACTUAL_FLAG">#REF!</definedName>
    <definedName name="Sheet1_GL_INTERFACE_CURRENCY_CODE">#REF!</definedName>
    <definedName name="Sheet1_GL_INTERFACE_DATABASE">#REF!</definedName>
    <definedName name="Sheet1_GL_INTERFACE_ENTERED_CR">#REF!</definedName>
    <definedName name="Sheet1_GL_INTERFACE_ENTERED_DR">#REF!</definedName>
    <definedName name="Sheet1_GL_INTERFACE_REFERENCE1">#REF!</definedName>
    <definedName name="Sheet1_GL_INTERFACE_REFERENCE10">#REF!</definedName>
    <definedName name="Sheet1_GL_INTERFACE_REFERENCE4">#REF!</definedName>
    <definedName name="Sheet1_GL_INTERFACE_REFERENCE5">#REF!</definedName>
    <definedName name="Sheet1_GL_INTERFACE_REFERENCE7">#REF!</definedName>
    <definedName name="Sheet1_GL_INTERFACE_REFERENCE8">#REF!</definedName>
    <definedName name="Sheet1_GL_INTERFACE_SEGMENT1">#REF!</definedName>
    <definedName name="Sheet1_GL_INTERFACE_SEGMENT2">#REF!</definedName>
    <definedName name="Sheet1_GL_INTERFACE_SEGMENT3">#REF!</definedName>
    <definedName name="Sheet1_GL_INTERFACE_SEGMENT4">#REF!</definedName>
    <definedName name="Sheet1_GL_INTERFACE_SEGMENT5">#REF!</definedName>
    <definedName name="Sheet1_GL_INTERFACE_SEGMENT6">#REF!</definedName>
    <definedName name="Sheet1_GL_INTERFACE_SET_OF_BOOKS_ID">#REF!</definedName>
    <definedName name="Sheet1_GL_INTERFACE_USER_JE_CATEGORY_NAME">#REF!</definedName>
    <definedName name="Sheet1_GL_INTERFACE_USER_JE_SOURCE_NAME">#REF!</definedName>
    <definedName name="SHEET13">#REF!</definedName>
    <definedName name="Sheet1NvsInstanceHook">Collapse_Columns</definedName>
    <definedName name="sheet2">CELL("filename")</definedName>
    <definedName name="SHEETC">#REF!</definedName>
    <definedName name="SHEETC2">#REF!</definedName>
    <definedName name="SHEETC3">#REF!</definedName>
    <definedName name="SHEETC4">#REF!</definedName>
    <definedName name="SHEETF">#REF!</definedName>
    <definedName name="SHEETF2">#REF!</definedName>
    <definedName name="SHEETF3">#REF!</definedName>
    <definedName name="SHEETF4">#REF!</definedName>
    <definedName name="SHEETG">#REF!</definedName>
    <definedName name="SHEETH">#REF!</definedName>
    <definedName name="SHEETI">#REF!</definedName>
    <definedName name="SHEETJ">#REF!</definedName>
    <definedName name="SHEETK">#REF!</definedName>
    <definedName name="SHEETL">#REF!</definedName>
    <definedName name="SHEETM">#REF!</definedName>
    <definedName name="SHEETN">#REF!</definedName>
    <definedName name="SHEETO">#REF!</definedName>
    <definedName name="SHEETP">#REF!</definedName>
    <definedName name="SHEETQ">#REF!</definedName>
    <definedName name="SHEETR">#REF!</definedName>
    <definedName name="shettetrws">#REF!</definedName>
    <definedName name="shfklashdfilasjfoiwaejoi">#REF!</definedName>
    <definedName name="shfsdfjsjf">#REF!</definedName>
    <definedName name="Shhet3" hidden="1">{#N/A,#N/A,FALSE,"Aging Summary";#N/A,#N/A,FALSE,"Ratio Analysis";#N/A,#N/A,FALSE,"Test 120 Day Accts";#N/A,#N/A,FALSE,"Tickmarks"}</definedName>
    <definedName name="SHIN" hidden="1">{#N/A,#N/A,FALSE,"P.C.B"}</definedName>
    <definedName name="ShippingCorp.">#REF!</definedName>
    <definedName name="shirley">#REF!</definedName>
    <definedName name="shirley_1">#REF!</definedName>
    <definedName name="shit">#REF!</definedName>
    <definedName name="shitttt">255</definedName>
    <definedName name="ShortTermInterestRate">0.038</definedName>
    <definedName name="shos">#REF!</definedName>
    <definedName name="ShowSeparator1">#REF!</definedName>
    <definedName name="shpr">#REF!</definedName>
    <definedName name="shrh">#REF!</definedName>
    <definedName name="Shridhar">#REF!</definedName>
    <definedName name="shrihdarsd">#REF!</definedName>
    <definedName name="shrsdh">#REF!</definedName>
    <definedName name="shsgr">#REF!</definedName>
    <definedName name="shsr">#REF!</definedName>
    <definedName name="SHT">#REF!</definedName>
    <definedName name="SHT_1">#REF!</definedName>
    <definedName name="SHT_2">#REF!</definedName>
    <definedName name="shtName" xml:space="preserve"> INDEX(#REF!,#REF!)</definedName>
    <definedName name="shuling"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i">#REF!</definedName>
    <definedName name="siannpay">#REF!</definedName>
    <definedName name="sibina" hidden="1">{#N/A,#N/A,TRUE,"CPRD";#N/A,#N/A,TRUE,"BCCPDR";#N/A,#N/A,TRUE,"EWRD";#N/A,#N/A,TRUE,"5100";#N/A,#N/A,TRUE,"5110"}</definedName>
    <definedName name="SICK">#REF!</definedName>
    <definedName name="SIDEWAYS">#REF!</definedName>
    <definedName name="Siemen">#REF!</definedName>
    <definedName name="siemens">#REF!</definedName>
    <definedName name="SierraOptima">#REF!</definedName>
    <definedName name="sig_dig">#REF!</definedName>
    <definedName name="Signatory_level">#REF!</definedName>
    <definedName name="sihrpay">#REF!</definedName>
    <definedName name="sim">#REF!</definedName>
    <definedName name="SING_Aug03">#REF!</definedName>
    <definedName name="Singapore">#REF!</definedName>
    <definedName name="siotpr">#REF!</definedName>
    <definedName name="SIP">#REF!</definedName>
    <definedName name="sirf">#REF!</definedName>
    <definedName name="SITYN">#REF!</definedName>
    <definedName name="SIW">#REF!</definedName>
    <definedName name="SIWneu">#REF!</definedName>
    <definedName name="Six">#REF!</definedName>
    <definedName name="sixty_pct">#REF!</definedName>
    <definedName name="sixty_pctneu">#REF!</definedName>
    <definedName name="SIZE">#REF!</definedName>
    <definedName name="SizingColumn">#REF!</definedName>
    <definedName name="sjfj">#REF!</definedName>
    <definedName name="sjhydjgyjufkf">#REF!</definedName>
    <definedName name="sjhydjgyjufkf_1">#REF!</definedName>
    <definedName name="sjhydjgyjufkf_2">#REF!</definedName>
    <definedName name="sjhydjgyjufkf_3">#REF!</definedName>
    <definedName name="sjhydjgyjufkf_4">#REF!</definedName>
    <definedName name="sjtshgth">#REF!</definedName>
    <definedName name="sjtshgth_1">#REF!</definedName>
    <definedName name="sjtshgth_2">#REF!</definedName>
    <definedName name="sjtshgth_3">#REF!</definedName>
    <definedName name="sjtshgth_4">#REF!</definedName>
    <definedName name="sk">"1, 3, 1, False, 2, False, False, , 0, False, True, 3, 2"</definedName>
    <definedName name="skaaldud"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skdfksaj">{"'Planning Data'!$A$2:$X$120"}</definedName>
    <definedName name="skdjfksjdf">27</definedName>
    <definedName name="SKORE_Aug03">#REF!</definedName>
    <definedName name="SKU">#REF!</definedName>
    <definedName name="SKU_SGMAT">#REF!</definedName>
    <definedName name="SKU_SGPLST">#REF!</definedName>
    <definedName name="skurollup">#REF!</definedName>
    <definedName name="SL">#REF!</definedName>
    <definedName name="SL.NO.">#REF!</definedName>
    <definedName name="SL_NO">#REF!</definedName>
    <definedName name="SLEVIN">#REF!</definedName>
    <definedName name="SLG4_1">{"'status'!$B$2:$H$15"}</definedName>
    <definedName name="Slicer_Account">#REF!</definedName>
    <definedName name="Slicer_Requesting_Employee">#REF!</definedName>
    <definedName name="Slicer_Subsidiary">#REF!</definedName>
    <definedName name="slip">#REF!</definedName>
    <definedName name="Slmv">1541841812.17664</definedName>
    <definedName name="small_ch">#REF!</definedName>
    <definedName name="smallsmall">#REF!,#REF!</definedName>
    <definedName name="sng" hidden="1">{#N/A,#N/A,FALSE,"Aging Summary";#N/A,#N/A,FALSE,"Ratio Analysis";#N/A,#N/A,FALSE,"Test 120 Day Accts";#N/A,#N/A,FALSE,"Tickmarks"}</definedName>
    <definedName name="SNQ">#REF!</definedName>
    <definedName name="SOEDIFF">#REF!</definedName>
    <definedName name="Softchalk">#REF!</definedName>
    <definedName name="Software">#REF!</definedName>
    <definedName name="SoftwareOld">#REF!</definedName>
    <definedName name="solver_adj" localSheetId="4" hidden="1">'Cash Flow'!$J$28,'Cash Flow'!$K$28,'Cash Flow'!$L$28,'Cash Flow'!$M$28</definedName>
    <definedName name="solver_adj" localSheetId="1" hidden="1">'Income Statement'!#REF!,'Income Statement'!#REF!,'Income Statement'!#REF!,'Income Statement'!#REF!</definedName>
    <definedName name="solver_adj">#REF!</definedName>
    <definedName name="solver_cvg" localSheetId="4" hidden="1">0.0001</definedName>
    <definedName name="solver_cvg" localSheetId="1" hidden="1">0.0001</definedName>
    <definedName name="solver_cvg">0.0001</definedName>
    <definedName name="solver_drv" localSheetId="4" hidden="1">1</definedName>
    <definedName name="solver_drv" localSheetId="1" hidden="1">2</definedName>
    <definedName name="solver_drv">1</definedName>
    <definedName name="solver_eng" localSheetId="4" hidden="1">1</definedName>
    <definedName name="solver_eng" localSheetId="1" hidden="1">1</definedName>
    <definedName name="solver_eng" hidden="1">1</definedName>
    <definedName name="solver_est" localSheetId="4" hidden="1">1</definedName>
    <definedName name="solver_est" localSheetId="1" hidden="1">1</definedName>
    <definedName name="solver_est">1</definedName>
    <definedName name="solver_itr" localSheetId="4" hidden="1">2147483647</definedName>
    <definedName name="solver_itr" localSheetId="1" hidden="1">2147483647</definedName>
    <definedName name="solver_itr">100</definedName>
    <definedName name="solver_lhs1">#REF!</definedName>
    <definedName name="solver_lin" hidden="1">0</definedName>
    <definedName name="solver_lin_1">2</definedName>
    <definedName name="solver_mip" localSheetId="4" hidden="1">2147483647</definedName>
    <definedName name="solver_mip" localSheetId="1" hidden="1">2147483647</definedName>
    <definedName name="solver_mni" localSheetId="4" hidden="1">30</definedName>
    <definedName name="solver_mni" localSheetId="1" hidden="1">30</definedName>
    <definedName name="solver_mrt" localSheetId="4" hidden="1">0.075</definedName>
    <definedName name="solver_mrt" localSheetId="1" hidden="1">0.075</definedName>
    <definedName name="solver_msl" localSheetId="4" hidden="1">2</definedName>
    <definedName name="solver_msl" localSheetId="1" hidden="1">2</definedName>
    <definedName name="solver_neg" localSheetId="4" hidden="1">2</definedName>
    <definedName name="solver_neg" localSheetId="1" hidden="1">1</definedName>
    <definedName name="solver_neg">2</definedName>
    <definedName name="solver_nod" localSheetId="4" hidden="1">2147483647</definedName>
    <definedName name="solver_nod" localSheetId="1" hidden="1">2147483647</definedName>
    <definedName name="solver_ntri">1000</definedName>
    <definedName name="solver_num" localSheetId="4" hidden="1">0</definedName>
    <definedName name="solver_num" localSheetId="1" hidden="1">0</definedName>
    <definedName name="solver_num" hidden="1">0</definedName>
    <definedName name="solver_nwt" localSheetId="4" hidden="1">1</definedName>
    <definedName name="solver_nwt" localSheetId="1" hidden="1">1</definedName>
    <definedName name="solver_nwt">1</definedName>
    <definedName name="solver_oldobj">1543721.6579517</definedName>
    <definedName name="solver_opt" localSheetId="4" hidden="1">'Cash Flow'!$M$22</definedName>
    <definedName name="solver_opt" localSheetId="1" hidden="1">'Income Statement'!#REF!</definedName>
    <definedName name="solver_opt">#REF!</definedName>
    <definedName name="solver_pre" localSheetId="4" hidden="1">0.000001</definedName>
    <definedName name="solver_pre" localSheetId="1" hidden="1">0.000001</definedName>
    <definedName name="solver_pre">0.000001</definedName>
    <definedName name="solver_rbv" localSheetId="4" hidden="1">1</definedName>
    <definedName name="solver_rbv" localSheetId="1" hidden="1">2</definedName>
    <definedName name="solver_rel1">1</definedName>
    <definedName name="solver_rel10">5</definedName>
    <definedName name="solver_rel11">5</definedName>
    <definedName name="solver_rel12">5</definedName>
    <definedName name="solver_rel13">5</definedName>
    <definedName name="solver_rel14">5</definedName>
    <definedName name="solver_rel15">5</definedName>
    <definedName name="solver_rel16">5</definedName>
    <definedName name="solver_rel17">5</definedName>
    <definedName name="solver_rel18">5</definedName>
    <definedName name="solver_rel19">5</definedName>
    <definedName name="solver_rel2">2</definedName>
    <definedName name="solver_rel20">5</definedName>
    <definedName name="solver_rel21">5</definedName>
    <definedName name="solver_rel22">5</definedName>
    <definedName name="solver_rel23">1</definedName>
    <definedName name="solver_rel24">5</definedName>
    <definedName name="solver_rel25">5</definedName>
    <definedName name="solver_rel26">5</definedName>
    <definedName name="solver_rel27">5</definedName>
    <definedName name="solver_rel28">5</definedName>
    <definedName name="solver_rel29">5</definedName>
    <definedName name="solver_rel3">2</definedName>
    <definedName name="solver_rel30">5</definedName>
    <definedName name="solver_rel31">5</definedName>
    <definedName name="solver_rel32">5</definedName>
    <definedName name="solver_rel33">5</definedName>
    <definedName name="solver_rel34">5</definedName>
    <definedName name="solver_rel35">5</definedName>
    <definedName name="solver_rel36">5</definedName>
    <definedName name="solver_rel37">5</definedName>
    <definedName name="solver_rel38">5</definedName>
    <definedName name="solver_rel39">5</definedName>
    <definedName name="solver_rel4">3</definedName>
    <definedName name="solver_rel40">5</definedName>
    <definedName name="solver_rel41">5</definedName>
    <definedName name="solver_rel42">5</definedName>
    <definedName name="solver_rel43">5</definedName>
    <definedName name="solver_rel44">5</definedName>
    <definedName name="solver_rel45">1</definedName>
    <definedName name="solver_rel46">5</definedName>
    <definedName name="solver_rel47">5</definedName>
    <definedName name="solver_rel48">5</definedName>
    <definedName name="solver_rel49">5</definedName>
    <definedName name="solver_rel5">3</definedName>
    <definedName name="solver_rel50">5</definedName>
    <definedName name="solver_rel51">5</definedName>
    <definedName name="solver_rel52">5</definedName>
    <definedName name="solver_rel53">5</definedName>
    <definedName name="solver_rel54">5</definedName>
    <definedName name="solver_rel55">5</definedName>
    <definedName name="solver_rel56">5</definedName>
    <definedName name="solver_rel57">5</definedName>
    <definedName name="solver_rel58">5</definedName>
    <definedName name="solver_rel59">5</definedName>
    <definedName name="solver_rel6">3</definedName>
    <definedName name="solver_rel60">5</definedName>
    <definedName name="solver_rel61">5</definedName>
    <definedName name="solver_rel62">5</definedName>
    <definedName name="solver_rel63">5</definedName>
    <definedName name="solver_rel64">5</definedName>
    <definedName name="solver_rel65">5</definedName>
    <definedName name="solver_rel66">5</definedName>
    <definedName name="solver_rel67">1</definedName>
    <definedName name="solver_rel68">5</definedName>
    <definedName name="solver_rel69">5</definedName>
    <definedName name="solver_rel7">2</definedName>
    <definedName name="solver_rel70">5</definedName>
    <definedName name="solver_rel71">5</definedName>
    <definedName name="solver_rel72">5</definedName>
    <definedName name="solver_rel73">5</definedName>
    <definedName name="solver_rel74">5</definedName>
    <definedName name="solver_rel75">5</definedName>
    <definedName name="solver_rel76">5</definedName>
    <definedName name="solver_rel77">5</definedName>
    <definedName name="solver_rel78">5</definedName>
    <definedName name="solver_rel79">5</definedName>
    <definedName name="solver_rel8">3</definedName>
    <definedName name="solver_rel80">5</definedName>
    <definedName name="solver_rel81">5</definedName>
    <definedName name="solver_rel82">5</definedName>
    <definedName name="solver_rel83">5</definedName>
    <definedName name="solver_rel84">5</definedName>
    <definedName name="solver_rel85">5</definedName>
    <definedName name="solver_rel86">5</definedName>
    <definedName name="solver_rel87">5</definedName>
    <definedName name="solver_rel88">5</definedName>
    <definedName name="solver_rel9">5</definedName>
    <definedName name="solver_rhs1">0.15</definedName>
    <definedName name="solver_rhs10">binary</definedName>
    <definedName name="solver_rhs11">binary</definedName>
    <definedName name="solver_rhs12">binary</definedName>
    <definedName name="solver_rhs13">binary</definedName>
    <definedName name="solver_rhs14">binary</definedName>
    <definedName name="solver_rhs15">binary</definedName>
    <definedName name="solver_rhs16">binary</definedName>
    <definedName name="solver_rhs17">binary</definedName>
    <definedName name="solver_rhs18">binary</definedName>
    <definedName name="solver_rhs19">binary</definedName>
    <definedName name="solver_rhs2">0</definedName>
    <definedName name="solver_rhs20">binary</definedName>
    <definedName name="solver_rhs21">binary</definedName>
    <definedName name="solver_rhs22">binary</definedName>
    <definedName name="solver_rhs24">binary</definedName>
    <definedName name="solver_rhs25">binary</definedName>
    <definedName name="solver_rhs26">binary</definedName>
    <definedName name="solver_rhs27">binary</definedName>
    <definedName name="solver_rhs28">binary</definedName>
    <definedName name="solver_rhs29">binary</definedName>
    <definedName name="solver_rhs3">0</definedName>
    <definedName name="solver_rhs30">binary</definedName>
    <definedName name="solver_rhs31">binary</definedName>
    <definedName name="solver_rhs32">binary</definedName>
    <definedName name="solver_rhs33">binary</definedName>
    <definedName name="solver_rhs34">binary</definedName>
    <definedName name="solver_rhs35">binary</definedName>
    <definedName name="solver_rhs36">binary</definedName>
    <definedName name="solver_rhs37">binary</definedName>
    <definedName name="solver_rhs38">binary</definedName>
    <definedName name="solver_rhs39">binary</definedName>
    <definedName name="solver_rhs4">5320</definedName>
    <definedName name="solver_rhs40">binary</definedName>
    <definedName name="solver_rhs41">binary</definedName>
    <definedName name="solver_rhs42">binary</definedName>
    <definedName name="solver_rhs43">binary</definedName>
    <definedName name="solver_rhs44">binary</definedName>
    <definedName name="solver_rhs46">binary</definedName>
    <definedName name="solver_rhs47">binary</definedName>
    <definedName name="solver_rhs48">binary</definedName>
    <definedName name="solver_rhs49">binary</definedName>
    <definedName name="solver_rhs5">214</definedName>
    <definedName name="solver_rhs50">binary</definedName>
    <definedName name="solver_rhs51">binary</definedName>
    <definedName name="solver_rhs52">binary</definedName>
    <definedName name="solver_rhs53">binary</definedName>
    <definedName name="solver_rhs54">binary</definedName>
    <definedName name="solver_rhs55">binary</definedName>
    <definedName name="solver_rhs56">binary</definedName>
    <definedName name="solver_rhs57">binary</definedName>
    <definedName name="solver_rhs58">binary</definedName>
    <definedName name="solver_rhs59">binary</definedName>
    <definedName name="solver_rhs6">350</definedName>
    <definedName name="solver_rhs60">binary</definedName>
    <definedName name="solver_rhs61">binary</definedName>
    <definedName name="solver_rhs62">binary</definedName>
    <definedName name="solver_rhs63">binary</definedName>
    <definedName name="solver_rhs64">binary</definedName>
    <definedName name="solver_rhs65">binary</definedName>
    <definedName name="solver_rhs66">binary</definedName>
    <definedName name="solver_rhs68">binary</definedName>
    <definedName name="solver_rhs69">binary</definedName>
    <definedName name="solver_rhs7">0</definedName>
    <definedName name="solver_rhs70">binary</definedName>
    <definedName name="solver_rhs71">binary</definedName>
    <definedName name="solver_rhs72">binary</definedName>
    <definedName name="solver_rhs73">binary</definedName>
    <definedName name="solver_rhs74">binary</definedName>
    <definedName name="solver_rhs75">binary</definedName>
    <definedName name="solver_rhs76">binary</definedName>
    <definedName name="solver_rhs77">binary</definedName>
    <definedName name="solver_rhs78">binary</definedName>
    <definedName name="solver_rhs79">binary</definedName>
    <definedName name="solver_rhs8">0</definedName>
    <definedName name="solver_rhs80">binary</definedName>
    <definedName name="solver_rhs81">binary</definedName>
    <definedName name="solver_rhs82">binary</definedName>
    <definedName name="solver_rhs83">binary</definedName>
    <definedName name="solver_rhs84">binary</definedName>
    <definedName name="solver_rhs85">binary</definedName>
    <definedName name="solver_rhs86">binary</definedName>
    <definedName name="solver_rhs87">binary</definedName>
    <definedName name="solver_rhs88">binary</definedName>
    <definedName name="solver_rhs9">binary</definedName>
    <definedName name="solver_rlx" localSheetId="4" hidden="1">2</definedName>
    <definedName name="solver_rlx" localSheetId="1" hidden="1">2</definedName>
    <definedName name="solver_rsd" localSheetId="4" hidden="1">0</definedName>
    <definedName name="solver_rsd" localSheetId="1" hidden="1">0</definedName>
    <definedName name="solver_rsmp">1</definedName>
    <definedName name="solver_scl" localSheetId="4" hidden="1">1</definedName>
    <definedName name="solver_scl" localSheetId="1" hidden="1">2</definedName>
    <definedName name="solver_scl">2</definedName>
    <definedName name="solver_seed">0</definedName>
    <definedName name="solver_sho" localSheetId="4" hidden="1">2</definedName>
    <definedName name="solver_sho" localSheetId="1" hidden="1">2</definedName>
    <definedName name="solver_sho">2</definedName>
    <definedName name="solver_ssz" localSheetId="4" hidden="1">100</definedName>
    <definedName name="solver_ssz" localSheetId="1" hidden="1">100</definedName>
    <definedName name="solver_tim" localSheetId="4" hidden="1">2147483647</definedName>
    <definedName name="solver_tim" localSheetId="1" hidden="1">2147483647</definedName>
    <definedName name="solver_tim">100</definedName>
    <definedName name="solver_tmp">0.15</definedName>
    <definedName name="solver_tol" localSheetId="4" hidden="1">0.01</definedName>
    <definedName name="solver_tol" localSheetId="1" hidden="1">0.01</definedName>
    <definedName name="solver_tol">0.05</definedName>
    <definedName name="solver_typ" localSheetId="4" hidden="1">3</definedName>
    <definedName name="solver_typ" localSheetId="1" hidden="1">3</definedName>
    <definedName name="solver_typ" hidden="1">3</definedName>
    <definedName name="solver_val" localSheetId="4" hidden="1">1458.7</definedName>
    <definedName name="solver_val" localSheetId="1" hidden="1">17.7</definedName>
    <definedName name="solver_val" hidden="1">0</definedName>
    <definedName name="solver_ver" localSheetId="4" hidden="1">3</definedName>
    <definedName name="solver_ver" localSheetId="1" hidden="1">3</definedName>
    <definedName name="sonaolhsadlkjfn">#REF!</definedName>
    <definedName name="SONBOH">#N/A</definedName>
    <definedName name="SONEOH">#N/A</definedName>
    <definedName name="SOON" hidden="1">{#N/A,#N/A,FALSE,"P.C.B"}</definedName>
    <definedName name="SORTAllpositions1">#REF!</definedName>
    <definedName name="SORTAllpositions2">#REF!</definedName>
    <definedName name="SortArea">#REF!</definedName>
    <definedName name="Sorted" hidden="1">{"PRVSN",#N/A,FALSE,"Q196";"PRVSN",#N/A,FALSE,"Q296";"PRVSN",#N/A,FALSE,"Q396";"PRVSN",#N/A,FALSE,"Q496";"VARIANCES",#N/A,FALSE,"Q196";"VARIANCES",#N/A,FALSE,"Q296"}</definedName>
    <definedName name="SORTPurchs1">#REF!</definedName>
    <definedName name="SORTPurchs2">#REF!</definedName>
    <definedName name="SortRange">#REF!</definedName>
    <definedName name="SORTSales1">#REF!</definedName>
    <definedName name="SORTSales2">#REF!</definedName>
    <definedName name="soul_patrol">{"'Census - Dallas'!$A$1:$S$76"}</definedName>
    <definedName name="soulpatrol">{"'Census - Dallas'!$A$1:$S$76"}</definedName>
    <definedName name="soulpatrol2">{"'Census - Dallas'!$A$1:$S$76"}</definedName>
    <definedName name="SourceRange">#REF!</definedName>
    <definedName name="SOURCES_OF_FUNDS">#REF!</definedName>
    <definedName name="Sourcing3">{"'vert'!$A$1:$T$117"}</definedName>
    <definedName name="southeastcs">#REF!</definedName>
    <definedName name="southeastfin">#REF!</definedName>
    <definedName name="southeastrenewal">#REF!</definedName>
    <definedName name="SP">#REF!</definedName>
    <definedName name="SPA.MN">#REF!</definedName>
    <definedName name="SPAIN">#REF!</definedName>
    <definedName name="Spalte4">"$4"</definedName>
    <definedName name="SPAN">#REF!</definedName>
    <definedName name="span1">#REF!</definedName>
    <definedName name="SPARELINE">#REF!</definedName>
    <definedName name="SPATH">"S1038720\LANAR01"</definedName>
    <definedName name="SPDAT">"8/18/2008"</definedName>
    <definedName name="SPDT2">"20080818"</definedName>
    <definedName name="Speaker_Session_Export_Qry_by_Last_Name">#REF!</definedName>
    <definedName name="SpecialPrice">#REF!</definedName>
    <definedName name="spiffs">#REF!</definedName>
    <definedName name="spippw" hidden="1">{#N/A,#N/A,FALSE,"Actual";#N/A,#N/A,FALSE,"Normalized";#N/A,#N/A,FALSE,"Electric Actual";#N/A,#N/A,FALSE,"Electric Normalized"}</definedName>
    <definedName name="Splitbs">#REF!</definedName>
    <definedName name="splitbs1">#REF!</definedName>
    <definedName name="spludge">#REF!</definedName>
    <definedName name="splurge2">#REF!</definedName>
    <definedName name="SPM">#REF!</definedName>
    <definedName name="SPNAM">"GL291_PRT"</definedName>
    <definedName name="SPNMB">"1"</definedName>
    <definedName name="spread">#REF!</definedName>
    <definedName name="SPSet">"current"</definedName>
    <definedName name="SPTAM">{"'Standalone List Price Trends'!$A$1:$X$56"}</definedName>
    <definedName name="SPTIM">"08:45:47"</definedName>
    <definedName name="spundisp">#REF!</definedName>
    <definedName name="SPVerticalAccountName">{"'1-TheatreBkgs'!$A$1:$L$102"}</definedName>
    <definedName name="SPWS_WBID">"F5875748-F9AC-4EAD-A86C-2ED852DC79DE"</definedName>
    <definedName name="Sq_Orchid">#REF!</definedName>
    <definedName name="srate">#REF!</definedName>
    <definedName name="SREX">#REF!</definedName>
    <definedName name="srf" hidden="1">{#N/A,#N/A,FALSE,"BS";#N/A,#N/A,FALSE,"PL";#N/A,#N/A,FALSE,"처분";#N/A,#N/A,FALSE,"현금";#N/A,#N/A,FALSE,"매출";#N/A,#N/A,FALSE,"원가";#N/A,#N/A,FALSE,"경영"}</definedName>
    <definedName name="srgserg">#REF!</definedName>
    <definedName name="srhsr">#REF!</definedName>
    <definedName name="Sri_Lanka">#REF!</definedName>
    <definedName name="srinivas">#REF!</definedName>
    <definedName name="Srinivasa">#REF!</definedName>
    <definedName name="SRLC">#REF!</definedName>
    <definedName name="SrRevMgr">#REF!</definedName>
    <definedName name="SRTAM">#REF!</definedName>
    <definedName name="srthd">#REF!</definedName>
    <definedName name="srthd_1">#REF!</definedName>
    <definedName name="SRU" localSheetId="0" hidden="1">{"fdsup://directions/FAT Viewer?action=UPDATE&amp;creator=factset&amp;DYN_ARGS=TRUE&amp;DOC_NAME=FAT:FQL_AUDITING_CLIENT_TEMPLATE.FAT&amp;display_string=Audit&amp;VAR:KEY=CFIHWBOHKR&amp;VAR:QUERY=Q1NGX0RJVl9ZTEQoUVRSX1IsMTIvMzEvMjAwNyk=&amp;WINDOW=FIRST_POPUP&amp;HEIGHT=450&amp;WIDTH=450&amp;STAR","T_MAXIMIZED=FALSE&amp;VAR:CALENDAR=US&amp;VAR:SYMBOL=MO&amp;VAR:INDEX=0"}</definedName>
    <definedName name="SRU" hidden="1">{"fdsup://directions/FAT Viewer?action=UPDATE&amp;creator=factset&amp;DYN_ARGS=TRUE&amp;DOC_NAME=FAT:FQL_AUDITING_CLIENT_TEMPLATE.FAT&amp;display_string=Audit&amp;VAR:KEY=CFIHWBOHKR&amp;VAR:QUERY=Q1NGX0RJVl9ZTEQoUVRSX1IsMTIvMzEvMjAwNyk=&amp;WINDOW=FIRST_POPUP&amp;HEIGHT=450&amp;WIDTH=450&amp;STAR","T_MAXIMIZED=FALSE&amp;VAR:CALENDAR=US&amp;VAR:SYMBOL=MO&amp;VAR:INDEX=0"}</definedName>
    <definedName name="ss" hidden="1">{"'Sheet1'!$A$1:$H$36"}</definedName>
    <definedName name="ssa">#REF!</definedName>
    <definedName name="SSAP24_rounded_FooterType">"INTERNAL"</definedName>
    <definedName name="ssd">#REF!</definedName>
    <definedName name="ssdsd">{"'Demand Units'!$Z$2:$AF$53"}</definedName>
    <definedName name="ssf">#REF!</definedName>
    <definedName name="Ssmv">-2522241697.50385</definedName>
    <definedName name="sss">#REF!</definedName>
    <definedName name="sssa">#REF!</definedName>
    <definedName name="ssss">#REF!</definedName>
    <definedName name="ssss_1">#REF!</definedName>
    <definedName name="SSSSS">#REF!</definedName>
    <definedName name="ssssssss">#REF!</definedName>
    <definedName name="sssssssssss">#REF!</definedName>
    <definedName name="SSSSSSSSSSSSS">#REF!</definedName>
    <definedName name="sssssssssssssssssss">#REF!</definedName>
    <definedName name="ST">#REF!</definedName>
    <definedName name="ST_1">#REF!</definedName>
    <definedName name="ST_2">#REF!</definedName>
    <definedName name="ST_Refund_Detail">#REF!</definedName>
    <definedName name="ST_SP">#REF!</definedName>
    <definedName name="st25a">#REF!</definedName>
    <definedName name="staccr">#REF!</definedName>
    <definedName name="staff">#REF!</definedName>
    <definedName name="Staffing">#REF!</definedName>
    <definedName name="StaffScale">#REF!</definedName>
    <definedName name="staffwel">#REF!</definedName>
    <definedName name="stamort">#REF!</definedName>
    <definedName name="standard1" hidden="1">{"YTD-Total",#N/A,FALSE,"Provision"}</definedName>
    <definedName name="stands">#REF!</definedName>
    <definedName name="stands1">#REF!</definedName>
    <definedName name="Staril" hidden="1">{#N/A,#N/A,FALSE,"REPORT"}</definedName>
    <definedName name="start_table1">#REF!</definedName>
    <definedName name="start_table2">#REF!</definedName>
    <definedName name="start_table3">#REF!</definedName>
    <definedName name="Start_Time">#REF!</definedName>
    <definedName name="Start10">#REF!</definedName>
    <definedName name="Start11">#REF!</definedName>
    <definedName name="Start12">#REF!</definedName>
    <definedName name="Start13">#REF!</definedName>
    <definedName name="Start14">#REF!</definedName>
    <definedName name="Start15">#REF!</definedName>
    <definedName name="Start16">#REF!</definedName>
    <definedName name="Start17">#REF!</definedName>
    <definedName name="Start18">#REF!</definedName>
    <definedName name="Start2">#REF!</definedName>
    <definedName name="Start5">#REF!</definedName>
    <definedName name="Start6">#REF!</definedName>
    <definedName name="Start7">#REF!</definedName>
    <definedName name="Start8">#REF!</definedName>
    <definedName name="Start9">#REF!</definedName>
    <definedName name="STARTBUDGETPOST1">#REF!</definedName>
    <definedName name="StartDate">#REF!</definedName>
    <definedName name="StartDelete">#REF!</definedName>
    <definedName name="StartDelete2">#REF!</definedName>
    <definedName name="StartFormat">#REF!</definedName>
    <definedName name="STARTJOURNALIMPORT1">#REF!</definedName>
    <definedName name="STARTJOURNALIMPORT2">#REF!</definedName>
    <definedName name="STARTJOURNALIMPORT3">#REF!</definedName>
    <definedName name="STARTJOURNALIMPORT4">#REF!</definedName>
    <definedName name="STARTJOURNALIMPORT5">#REF!</definedName>
    <definedName name="STARTJOURNALIMPORT6">#REF!</definedName>
    <definedName name="STARTPERIODNAME1">#REF!</definedName>
    <definedName name="STARTPERIODNUM1">#REF!</definedName>
    <definedName name="STARTPERIODYEAR1">#REF!</definedName>
    <definedName name="STAT">#REF!</definedName>
    <definedName name="stat_copy">#REF!</definedName>
    <definedName name="State_carryovers">#REF!</definedName>
    <definedName name="State_other">#REF!</definedName>
    <definedName name="STATUS">#REF!</definedName>
    <definedName name="status___All">#REF!</definedName>
    <definedName name="StatusFields">#REF!</definedName>
    <definedName name="stbhgthnsrt">#REF!</definedName>
    <definedName name="stbhgthnsrt_1">#REF!</definedName>
    <definedName name="stbhgthnsrt_2">#REF!</definedName>
    <definedName name="stbhgthnsrt_3">#REF!</definedName>
    <definedName name="stbhgthnsrt_4">#REF!</definedName>
    <definedName name="stckdty">#REF!</definedName>
    <definedName name="stckspun">#REF!</definedName>
    <definedName name="StdBom">#REF!</definedName>
    <definedName name="StdMargin_Dec04">#REF!</definedName>
    <definedName name="STDMrgn_Dec04">#REF!</definedName>
    <definedName name="STDTB">#REF!</definedName>
    <definedName name="stef">#REF!</definedName>
    <definedName name="Steve">#REF!</definedName>
    <definedName name="sti">#REF!</definedName>
    <definedName name="stinvest">#REF!</definedName>
    <definedName name="stk">#REF!</definedName>
    <definedName name="STL_Inp">#REF!,#REF!,#REF!</definedName>
    <definedName name="STMTacctgreturnbeg">#REF!</definedName>
    <definedName name="STMTacctgreturnend">#REF!</definedName>
    <definedName name="STMTCloseDateEnd">#REF!</definedName>
    <definedName name="STMTCloseDatePrev">#REF!</definedName>
    <definedName name="STMTprevanalytics">#REF!</definedName>
    <definedName name="STMTtotalreturnbeg">#REF!</definedName>
    <definedName name="STMTtotalreturnend">#REF!</definedName>
    <definedName name="STMTValueCheck">#REF!</definedName>
    <definedName name="STMTwambeg">#REF!</definedName>
    <definedName name="STMTwamend">#REF!</definedName>
    <definedName name="STMTyldbeg">#REF!</definedName>
    <definedName name="STMTyldend">#REF!</definedName>
    <definedName name="stock">#REF!</definedName>
    <definedName name="stock_status2001">#REF!</definedName>
    <definedName name="Stock_Take">#REF!</definedName>
    <definedName name="Stock_Valuation">#REF!</definedName>
    <definedName name="StockA">#REF!</definedName>
    <definedName name="stockdata">#REF!</definedName>
    <definedName name="StockJ">#REF!</definedName>
    <definedName name="StockR">#REF!</definedName>
    <definedName name="Stocks">#REF!</definedName>
    <definedName name="stpaid">#REF!</definedName>
    <definedName name="stpurch">#REF!</definedName>
    <definedName name="STRAT__UP">#REF!</definedName>
    <definedName name="Strat1">#REF!</definedName>
    <definedName name="strat1b">#REF!</definedName>
    <definedName name="strawbridge">#REF!</definedName>
    <definedName name="STREAM">#REF!</definedName>
    <definedName name="STREAM.">#REF!</definedName>
    <definedName name="StrID">#REF!</definedName>
    <definedName name="STScale">#REF!</definedName>
    <definedName name="stub">#REF!</definedName>
    <definedName name="stubrate">#REF!</definedName>
    <definedName name="stuff">#REF!</definedName>
    <definedName name="stugl">#REF!</definedName>
    <definedName name="Stunit">#REF!</definedName>
    <definedName name="stunreal">#REF!</definedName>
    <definedName name="Stupid" hidden="1">#REF!</definedName>
    <definedName name="SUB">#REF!</definedName>
    <definedName name="Sub.St.Appor">#REF!</definedName>
    <definedName name="SUBA">#REF!</definedName>
    <definedName name="subdate">#REF!</definedName>
    <definedName name="SUBFINAL">#REF!</definedName>
    <definedName name="Subject">#REF!</definedName>
    <definedName name="Sublease_End_Date">#REF!</definedName>
    <definedName name="Sublease_Per_Annum_Rent">#REF!</definedName>
    <definedName name="Sublease_Rent_Start_Date">#REF!</definedName>
    <definedName name="subpart">#REF!</definedName>
    <definedName name="subpart_1">#REF!</definedName>
    <definedName name="subpart_3">#REF!</definedName>
    <definedName name="subpart1">#REF!</definedName>
    <definedName name="SUBS">#REF!</definedName>
    <definedName name="Subs1">#REF!</definedName>
    <definedName name="SubsGrowth" hidden="1">#REF!</definedName>
    <definedName name="Subsidiary">#REF!</definedName>
    <definedName name="SUBTRACT">#REF!</definedName>
    <definedName name="subtract2">#REF!</definedName>
    <definedName name="SuhStatus">#REF!</definedName>
    <definedName name="sum">#REF!</definedName>
    <definedName name="Sum_KSheet2_2">#REF!</definedName>
    <definedName name="sum_of_3_holdbacks">#REF!</definedName>
    <definedName name="SumInvDB">#REF!</definedName>
    <definedName name="summ">#REF!</definedName>
    <definedName name="SUMM.">#REF!</definedName>
    <definedName name="SUMM_K">#REF!</definedName>
    <definedName name="SummAll">#REF!</definedName>
    <definedName name="SUMMARY">#REF!</definedName>
    <definedName name="Summary_11">#REF!</definedName>
    <definedName name="Summary_12">#REF!</definedName>
    <definedName name="Summary_167">#REF!</definedName>
    <definedName name="Summary_175">#REF!</definedName>
    <definedName name="Summary_177">#REF!</definedName>
    <definedName name="Summary_212">#REF!</definedName>
    <definedName name="Summary_258">#REF!</definedName>
    <definedName name="Summary_337">#REF!</definedName>
    <definedName name="Summary_339">#REF!</definedName>
    <definedName name="Summary_340">#REF!</definedName>
    <definedName name="Summary_341">#REF!</definedName>
    <definedName name="Summary_348">#REF!</definedName>
    <definedName name="Summary_350">#REF!</definedName>
    <definedName name="Summary_352">#REF!</definedName>
    <definedName name="Summary_360">#REF!</definedName>
    <definedName name="Summary_62">#REF!</definedName>
    <definedName name="Summary_71">#REF!</definedName>
    <definedName name="Summary_Budget_2016">#REF!</definedName>
    <definedName name="Summary_CoCode">#REF!</definedName>
    <definedName name="Summary_FA">#REF!</definedName>
    <definedName name="Summary_IS">#REF!</definedName>
    <definedName name="Summary_of_audit_differences">#REF!</definedName>
    <definedName name="SummaryCapTableFullyDilutedShares">#REF!</definedName>
    <definedName name="SummaryCapTableFullyDilutedSharesWithDrafts">#REF!</definedName>
    <definedName name="SUMMassetclassoptions">#REF!</definedName>
    <definedName name="SUMMAstCLsOpt">#REF!</definedName>
    <definedName name="SUMMCompName">#REF!</definedName>
    <definedName name="SummED">#REF!</definedName>
    <definedName name="SUMMEW">#REF!</definedName>
    <definedName name="SUMMmatdistribtools">#REF!</definedName>
    <definedName name="summplan">#REF!</definedName>
    <definedName name="SUMMValueCheck">#REF!</definedName>
    <definedName name="SumPoDB">#REF!</definedName>
    <definedName name="sumQry_FwdDaySup_Total_Food">#REF!</definedName>
    <definedName name="sumQryCaseFill_BHV">#REF!</definedName>
    <definedName name="sumQryCaseFill_DCL">#REF!</definedName>
    <definedName name="sumQryCaseFill_DHV_Dips">#REF!</definedName>
    <definedName name="sumQryCaseFill_Food">#REF!</definedName>
    <definedName name="sumQryCaseFill_KCM_mar">#REF!</definedName>
    <definedName name="sumQryCaseFill_KCM_Sauces">#REF!</definedName>
    <definedName name="sumQryCaseFill_LCL">#REF!</definedName>
    <definedName name="sumQryCaseFill_Total_C2">#REF!</definedName>
    <definedName name="sumQryCaseFill_Total_HVR">#REF!</definedName>
    <definedName name="sumQryCaseFill_Total_KCM">#REF!</definedName>
    <definedName name="sumQryFwdDaySupp_BHV">#REF!</definedName>
    <definedName name="sumQryFwdDaySupp_DCL">#REF!</definedName>
    <definedName name="sumQryFwdDaySupp_DHV_Dips">#REF!</definedName>
    <definedName name="sumQryFwdDaySupp_KCM_mar">#REF!</definedName>
    <definedName name="sumQryFwdDaySupp_KCM_sauce">#REF!</definedName>
    <definedName name="sumQryFwdDaySupp_LCL">#REF!</definedName>
    <definedName name="sumQryFwdDaySupp_Total_C2">#REF!</definedName>
    <definedName name="sumQryFwdDaySupp_Total_HVR">#REF!</definedName>
    <definedName name="sumQryFwdDaySupp_Total_KCM">#REF!</definedName>
    <definedName name="SUN_CRED_FINAL">#REF!</definedName>
    <definedName name="SUNAA">#REF!</definedName>
    <definedName name="SUNDRY">#REF!</definedName>
    <definedName name="Sundry_Crs">#REF!</definedName>
    <definedName name="sundry_Drs">#REF!</definedName>
    <definedName name="sunflag">#REF!</definedName>
    <definedName name="sunpharma">#REF!</definedName>
    <definedName name="super">#REF!</definedName>
    <definedName name="SUPER_COMPRESSE">#REF!</definedName>
    <definedName name="superannpay">#REF!</definedName>
    <definedName name="supermopay">#REF!</definedName>
    <definedName name="Supervisor_Name">#REF!</definedName>
    <definedName name="Support">#REF!</definedName>
    <definedName name="surtu">#REF!</definedName>
    <definedName name="suryapharma">#REF!</definedName>
    <definedName name="susan" hidden="1">{"Q3_Fcst_Fcst_Var_Detail",#N/A,FALSE,"REPORT FORMAT";"Q3_Fcst_Fcst_Var_Summary",#N/A,FALSE,"REPORT FORMAT";"QTR_TREND_DETAIL",#N/A,FALSE,"REPORT FORMAT";"QTR_TREND_SUMMARY",#N/A,FALSE,"REPORT FORMAT"}</definedName>
    <definedName name="SV_AUTO_CONN_CATALOG">"mas500_app"</definedName>
    <definedName name="SV_AUTO_CONN_SERVER">"SQL1"</definedName>
    <definedName name="SV_ENCPT_AUTO_CONN_PASSWORD">"083096084083070125102109101111113103"</definedName>
    <definedName name="SV_ENCPT_AUTO_CONN_USER">"095094088070084089098116099110099084101115104108108"</definedName>
    <definedName name="SV_ENCPT_LOGON_PWD">"078104085088070118116120102"</definedName>
    <definedName name="SV_ENCPT_LOGON_USER">"095094088070084089098116099110099084101115104108108"</definedName>
    <definedName name="SW">#REF!</definedName>
    <definedName name="swapna">#REF!</definedName>
    <definedName name="SWED">#REF!</definedName>
    <definedName name="SWEDEN">#REF!</definedName>
    <definedName name="Sweep">#REF!</definedName>
    <definedName name="SWIT">#REF!</definedName>
    <definedName name="SWITZERLAND">#REF!</definedName>
    <definedName name="swl">#REF!</definedName>
    <definedName name="SWlmv">220704992.7288</definedName>
    <definedName name="SWsmv">-7742425.3798</definedName>
    <definedName name="Swvu.All.">#REF!</definedName>
    <definedName name="Swvu.IMSD._.Only.">#REF!</definedName>
    <definedName name="Swvu.incearn." hidden="1">#REF!</definedName>
    <definedName name="Swvu.inputs._.raw._.data.">#REF!</definedName>
    <definedName name="Swvu.qtr._.view." hidden="1">#REF!</definedName>
    <definedName name="SXBNDDSP">0</definedName>
    <definedName name="SYM">#REF!</definedName>
    <definedName name="S시간">#REF!</definedName>
    <definedName name="t">#REF!</definedName>
    <definedName name="T_100">#REF!</definedName>
    <definedName name="T_200">#REF!</definedName>
    <definedName name="t_3">#REF!</definedName>
    <definedName name="T10C" hidden="1">{"West",#N/A,FALSE,"Total"}</definedName>
    <definedName name="T2_">"'T2'!$A$1:$AC$194"</definedName>
    <definedName name="t3tr">#REF!</definedName>
    <definedName name="t6ujru">#REF!</definedName>
    <definedName name="t6ujru_1">#REF!</definedName>
    <definedName name="t6uky">#REF!</definedName>
    <definedName name="t6uky_1">#REF!</definedName>
    <definedName name="ta" hidden="1">{#N/A,#N/A,FALSE,"Aging Summary";#N/A,#N/A,FALSE,"Ratio Analysis";#N/A,#N/A,FALSE,"Test 120 Day Accts";#N/A,#N/A,FALSE,"Tickmarks"}</definedName>
    <definedName name="ta_3">#REF!</definedName>
    <definedName name="Taaaatappppppower">#REF!</definedName>
    <definedName name="TAB">#REF!</definedName>
    <definedName name="tab_delay">#REF!</definedName>
    <definedName name="Tab1.">#REF!</definedName>
    <definedName name="TABLE">#REF!</definedName>
    <definedName name="TABLE1">#REF!</definedName>
    <definedName name="Table1.">#REF!</definedName>
    <definedName name="Table19">#REF!</definedName>
    <definedName name="table2">#REF!</definedName>
    <definedName name="table3">#REF!</definedName>
    <definedName name="TableFive">#REF!</definedName>
    <definedName name="TableFour">#REF!</definedName>
    <definedName name="TableName">"Dummy"</definedName>
    <definedName name="Tables">#REF!</definedName>
    <definedName name="TableThree">#REF!</definedName>
    <definedName name="TableTwo">#REF!</definedName>
    <definedName name="TAIWA_Aug03">#REF!</definedName>
    <definedName name="Tally">#REF!</definedName>
    <definedName name="TAM">#REF!</definedName>
    <definedName name="tar.retention">#REF!</definedName>
    <definedName name="Target">#REF!</definedName>
    <definedName name="TAta">#REF!</definedName>
    <definedName name="tatachemical">#REF!</definedName>
    <definedName name="TataInfo">#REF!</definedName>
    <definedName name="Tatapower">#REF!</definedName>
    <definedName name="TataTea">#REF!</definedName>
    <definedName name="TauxCT">0.038</definedName>
    <definedName name="Tauxdollar">#REF!</definedName>
    <definedName name="tax">#REF!</definedName>
    <definedName name="tax_1">#REF!</definedName>
    <definedName name="tax_3">#REF!</definedName>
    <definedName name="Tax_Effect_Income">#REF!</definedName>
    <definedName name="Tax_Effect_Liabs">#REF!</definedName>
    <definedName name="Tax_Effect_RetEarn">#REF!</definedName>
    <definedName name="Tax_Rate">#REF!</definedName>
    <definedName name="Tax_rate_for_WACC">#REF!</definedName>
    <definedName name="Tax_Rate1">#REF!</definedName>
    <definedName name="TAX2x">#REF!</definedName>
    <definedName name="TAXCOMP">#REF!</definedName>
    <definedName name="TAXCOMP1">#REF!</definedName>
    <definedName name="taxcy">#REF!</definedName>
    <definedName name="taxdepr">#REF!</definedName>
    <definedName name="Taxes">0.085</definedName>
    <definedName name="Taxformula">#REF!</definedName>
    <definedName name="Taxinfo">#REF!</definedName>
    <definedName name="taxliab">#REF!</definedName>
    <definedName name="taxly">#REF!</definedName>
    <definedName name="taxman" hidden="1">{#N/A,#N/A,FALSE,"Australia";#N/A,#N/A,FALSE,"Austria";#N/A,#N/A,FALSE,"Belgium";#N/A,#N/A,FALSE,"Canada";#N/A,#N/A,FALSE,"France";#N/A,#N/A,FALSE,"Germany";#N/A,#N/A,FALSE,"Hong Kong";#N/A,#N/A,FALSE,"Italy";#N/A,#N/A,FALSE,"Japan";#N/A,#N/A,FALSE,"Korea";#N/A,#N/A,FALSE,"Mexico";#N/A,#N/A,FALSE,"Poland";#N/A,#N/A,FALSE,"Spain";#N/A,#N/A,FALSE,"Switzerland";#N/A,#N/A,FALSE,"UK"}</definedName>
    <definedName name="taxol" hidden="1">{#N/A,#N/A,FALSE,"Pharm";#N/A,#N/A,FALSE,"WWCM"}</definedName>
    <definedName name="TB">#REF!</definedName>
    <definedName name="tb_area">#REF!</definedName>
    <definedName name="TB_DOWNLOAD">#REF!</definedName>
    <definedName name="TB112.1">#REF!</definedName>
    <definedName name="TB113.1">#REF!</definedName>
    <definedName name="TB114.1">#REF!</definedName>
    <definedName name="TB115.1">#REF!</definedName>
    <definedName name="TB116.1">#REF!</definedName>
    <definedName name="TB117.1">#REF!</definedName>
    <definedName name="tb17.04">#REF!</definedName>
    <definedName name="tb2010afteradj">#REF!</definedName>
    <definedName name="tb2010beforeadj">#REF!</definedName>
    <definedName name="tb2011afteradj">#REF!</definedName>
    <definedName name="tb2011beforeadj">#REF!</definedName>
    <definedName name="TB2012AfterAdj">#REF!</definedName>
    <definedName name="tb2012beforeadj">#REF!</definedName>
    <definedName name="TB212.1">#REF!</definedName>
    <definedName name="TB213.1">#REF!</definedName>
    <definedName name="TB221.1">#REF!</definedName>
    <definedName name="TB222.1">#REF!</definedName>
    <definedName name="TB222.2">#REF!</definedName>
    <definedName name="TB223.1">#REF!</definedName>
    <definedName name="TB224.1">#REF!</definedName>
    <definedName name="TB312.1">#REF!</definedName>
    <definedName name="TB313.1">#REF!</definedName>
    <definedName name="TB314.1">#REF!</definedName>
    <definedName name="TB315.1">#REF!</definedName>
    <definedName name="TB316.1">#REF!</definedName>
    <definedName name="TB317.1">#REF!</definedName>
    <definedName name="TB318.1">#REF!</definedName>
    <definedName name="TB601.1">#REF!</definedName>
    <definedName name="TB605.1">#REF!</definedName>
    <definedName name="TB904.1">#REF!</definedName>
    <definedName name="TB904.2">#REF!</definedName>
    <definedName name="tbcheck">#REF!</definedName>
    <definedName name="tbdata">#REF!</definedName>
    <definedName name="TBDYN">#REF!</definedName>
    <definedName name="tberd">#REF!</definedName>
    <definedName name="TBFINAL">#REF!</definedName>
    <definedName name="TBHO">#REF!</definedName>
    <definedName name="tbl_ProdInfo">#REF!</definedName>
    <definedName name="TBL_SeasonalAdjustments">#REF!</definedName>
    <definedName name="tblTestInfo">#REF!</definedName>
    <definedName name="tbpow">#REF!</definedName>
    <definedName name="tbpt">#REF!</definedName>
    <definedName name="tbs">#REF!</definedName>
    <definedName name="tcredit">#REF!</definedName>
    <definedName name="tcs">#REF!</definedName>
    <definedName name="TD">#REF!</definedName>
    <definedName name="TDCost">#REF!</definedName>
    <definedName name="TDNumber">#REF!</definedName>
    <definedName name="TDS">#REF!</definedName>
    <definedName name="TDSCERTICATES">#REF!</definedName>
    <definedName name="te">#REF!</definedName>
    <definedName name="Team_Name">#REF!</definedName>
    <definedName name="telco">#REF!</definedName>
    <definedName name="telephone">#REF!</definedName>
    <definedName name="Temp">#REF!</definedName>
    <definedName name="Temp_1">#REF!</definedName>
    <definedName name="Temp_2">{"Client Name or Project Name"}</definedName>
    <definedName name="Temp_3">{"Client Name or Project Name"}</definedName>
    <definedName name="Temp_4">{"Client Name or Project Name"}</definedName>
    <definedName name="Temp_5">{"Client Name or Project Name"}</definedName>
    <definedName name="temp_range">#REF!</definedName>
    <definedName name="temp_range_hmc">#REF!</definedName>
    <definedName name="temp1">#REF!</definedName>
    <definedName name="temp1_1">#REF!</definedName>
    <definedName name="temp2">#REF!</definedName>
    <definedName name="temp3">#REF!</definedName>
    <definedName name="temp4">#REF!</definedName>
    <definedName name="temp5">#REF!</definedName>
    <definedName name="temp6">#REF!</definedName>
    <definedName name="temp7">#REF!</definedName>
    <definedName name="temp8">#REF!</definedName>
    <definedName name="temp9">#REF!</definedName>
    <definedName name="template">#REF!</definedName>
    <definedName name="Template.WIRE">"DBACCESS"</definedName>
    <definedName name="TEMPLATENUMBER1">#REF!</definedName>
    <definedName name="TEMPLATENUMBER2">#REF!</definedName>
    <definedName name="TEMPLATENUMBER3">#REF!</definedName>
    <definedName name="TEMPLATENUMBER4">#REF!</definedName>
    <definedName name="TEMPLATENUMBER5">#REF!</definedName>
    <definedName name="TEMPLATENUMBER6">#REF!</definedName>
    <definedName name="TemplatePrintArea">#REF!</definedName>
    <definedName name="templates">#REF!</definedName>
    <definedName name="TEMPLATESTYLE1">#REF!</definedName>
    <definedName name="TEMPLATESTYLE2">#REF!</definedName>
    <definedName name="TEMPLATESTYLE3">#REF!</definedName>
    <definedName name="TEMPLATESTYLE4">#REF!</definedName>
    <definedName name="TEMPLATESTYLE5">#REF!</definedName>
    <definedName name="TEMPLATESTYLE6">#REF!</definedName>
    <definedName name="TEMPLATETYPE1">#REF!</definedName>
    <definedName name="TEMPLATETYPE2">#REF!</definedName>
    <definedName name="TEMPLATETYPE3">#REF!</definedName>
    <definedName name="TEMPLATETYPE4">#REF!</definedName>
    <definedName name="TEMPLATETYPE5">#REF!</definedName>
    <definedName name="TEMPLATETYPE6">#REF!</definedName>
    <definedName name="TemplateVersion" hidden="1">#REF!</definedName>
    <definedName name="ten">#REF!</definedName>
    <definedName name="TENDAY">#REF!</definedName>
    <definedName name="tens">#REF!</definedName>
    <definedName name="teq" hidden="1">{#N/A,#N/A,FALSE,"Pharm";#N/A,#N/A,FALSE,"WWCM"}</definedName>
    <definedName name="Tequin" hidden="1">{#N/A,#N/A,FALSE,"Pharm";#N/A,#N/A,FALSE,"WWCM"}</definedName>
    <definedName name="tequinol" hidden="1">{#N/A,#N/A,FALSE,"REPORT"}</definedName>
    <definedName name="ter" hidden="1">{#N/A,#N/A,FALSE,"REPORT"}</definedName>
    <definedName name="terfte">#REF!</definedName>
    <definedName name="term_value">#REF!</definedName>
    <definedName name="term_year">#REF!</definedName>
    <definedName name="Terminplan" hidden="1">{#N/A,#N/A,FALSE,"CshFlow"}</definedName>
    <definedName name="TermLoanStructure">#REF!</definedName>
    <definedName name="Terms">#REF!</definedName>
    <definedName name="tert" hidden="1">{#N/A,#N/A,FALSE,"Pharm";#N/A,#N/A,FALSE,"WWCM"}</definedName>
    <definedName name="tesdt">"3593bc82-bdfd-4640-a035-09ffc3942bb1"</definedName>
    <definedName name="TEST">#REF!</definedName>
    <definedName name="test.">#REF!</definedName>
    <definedName name="TEST..">#REF!</definedName>
    <definedName name="Test_1">#REF!</definedName>
    <definedName name="TEST0">#REF!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17">#REF!</definedName>
    <definedName name="TEST18">#REF!</definedName>
    <definedName name="TEST19">#REF!</definedName>
    <definedName name="TEST2">#REF!</definedName>
    <definedName name="test21">{"'1-TheatreBkgs'!$A$1:$L$102"}</definedName>
    <definedName name="TEST23">{"'1-TheatreBkgs'!$A$1:$L$102"}</definedName>
    <definedName name="TEST25">{"'1-TheatreBkgs'!$A$1:$L$102"}</definedName>
    <definedName name="Test3" hidden="1">{"INCOME",#N/A,FALSE,"ProNet";"VALUE",#N/A,FALSE,"ProNet"}</definedName>
    <definedName name="test4" hidden="1">{"CHART",#N/A,FALSE,"Arch Communications"}</definedName>
    <definedName name="test5">#REF!</definedName>
    <definedName name="test6">#REF!</definedName>
    <definedName name="TEST7">#REF!</definedName>
    <definedName name="TEST8">#REF!</definedName>
    <definedName name="TEST9">#REF!</definedName>
    <definedName name="TestAdd">"Test RefersTo1"</definedName>
    <definedName name="teste" hidden="1">{#N/A,#N/A,FALSE,"REPORT"}</definedName>
    <definedName name="TESTHKEY">#REF!</definedName>
    <definedName name="testing" hidden="1">{"bs",#N/A,FALSE,"Balance Sheet"}</definedName>
    <definedName name="TESTKEYS">#REF!</definedName>
    <definedName name="Testme">#REF!</definedName>
    <definedName name="testsss">#REF!</definedName>
    <definedName name="TESTVKEY">#REF!</definedName>
    <definedName name="tetre" hidden="1">{#N/A,#N/A,FALSE,"Pharm";#N/A,#N/A,FALSE,"WWCM"}</definedName>
    <definedName name="teujdtj">#REF!</definedName>
    <definedName name="teujdtj_1">#REF!</definedName>
    <definedName name="tewdh" hidden="1">{#N/A,#N/A,FALSE,"Pharm";#N/A,#N/A,FALSE,"WWCM"}</definedName>
    <definedName name="teww" hidden="1">#N/A</definedName>
    <definedName name="text">"($ in '000s)"</definedName>
    <definedName name="TextRefCopy1">#REF!</definedName>
    <definedName name="TextRefCopy10">#REF!</definedName>
    <definedName name="textrefcopy100">#REF!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3">#REF!</definedName>
    <definedName name="TextRefCopy4">#REF!</definedName>
    <definedName name="TextRefCopy5">#REF!</definedName>
    <definedName name="TextRefCopy6">#REF!</definedName>
    <definedName name="TextRefCopy7">#REF!</definedName>
    <definedName name="TextRefCopy8">#REF!</definedName>
    <definedName name="TextRefCopy9">#REF!</definedName>
    <definedName name="TextRefCopyRangeCount" hidden="1">1</definedName>
    <definedName name="TextRefCopyRangeCount_1">287</definedName>
    <definedName name="TextRefVRangeCount">3</definedName>
    <definedName name="teyjt">#REF!</definedName>
    <definedName name="teyjt_1">#REF!</definedName>
    <definedName name="teytr">#REF!</definedName>
    <definedName name="teytr_1">#REF!</definedName>
    <definedName name="teytr_2">#REF!</definedName>
    <definedName name="teytr_3">#REF!</definedName>
    <definedName name="teytr_4">#REF!</definedName>
    <definedName name="tfd">#REF!</definedName>
    <definedName name="tfDataPivot">#REF!</definedName>
    <definedName name="TFO">#REF!</definedName>
    <definedName name="tfrdc">#REF!</definedName>
    <definedName name="tfrdc_1">#REF!</definedName>
    <definedName name="tftchristine">#REF!</definedName>
    <definedName name="tggf" hidden="1">#N/A</definedName>
    <definedName name="th">#REF!</definedName>
    <definedName name="THAI_PLASTIC_in_KUSD">#REF!</definedName>
    <definedName name="THAIL_Aug03">#REF!</definedName>
    <definedName name="Thailand">#REF!</definedName>
    <definedName name="that" hidden="1">{#N/A,#N/A,FALSE,"COVER";#N/A,#N/A,FALSE,"BS";#N/A,#N/A,FALSE,"P&amp;L ";#N/A,#N/A,FALSE,"P&amp;L Detail";#N/A,#N/A,FALSE,"P&amp;L Worksheet";#N/A,#N/A,FALSE,"BS Worksheet";#N/A,#N/A,FALSE,"M-VARIANCE"}</definedName>
    <definedName name="that_3">#REF!</definedName>
    <definedName name="thb">#REF!</definedName>
    <definedName name="the">#REF!</definedName>
    <definedName name="the_east_india_hotels">#REF!</definedName>
    <definedName name="Theatre">#REF!</definedName>
    <definedName name="TheDate">#REF!</definedName>
    <definedName name="THEME2" hidden="1">{#N/A,#N/A,FALSE,"96 3월물량표";#N/A,#N/A,FALSE,"96 4월물량표";#N/A,#N/A,FALSE,"96 5월물량표"}</definedName>
    <definedName name="Thermax">#REF!</definedName>
    <definedName name="Theta">#REF!</definedName>
    <definedName name="THIS_MONTH">#REF!</definedName>
    <definedName name="ThisDate">#REF!</definedName>
    <definedName name="thisDay">#REF!</definedName>
    <definedName name="thj">#REF!</definedName>
    <definedName name="thj_1">#REF!</definedName>
    <definedName name="thj_2">#REF!</definedName>
    <definedName name="thj_3">#REF!</definedName>
    <definedName name="thj_4">#REF!</definedName>
    <definedName name="thnbgr" hidden="1">#REF!</definedName>
    <definedName name="THNN">{"'표지'!$B$5"}</definedName>
    <definedName name="ThomasEliot">#REF!</definedName>
    <definedName name="thou">#REF!</definedName>
    <definedName name="Thous">#REF!</definedName>
    <definedName name="thousands">1000</definedName>
    <definedName name="three">#REF!</definedName>
    <definedName name="THREEDAY">#REF!</definedName>
    <definedName name="thresh.0">#REF!</definedName>
    <definedName name="thresh.125">#REF!</definedName>
    <definedName name="Threshold">#REF!</definedName>
    <definedName name="Threshold_1">#REF!</definedName>
    <definedName name="thsdls" hidden="1">{#N/A,#N/A,FALSE,"Aging Summary";#N/A,#N/A,FALSE,"Ratio Analysis";#N/A,#N/A,FALSE,"Test 120 Day Accts";#N/A,#N/A,FALSE,"Tickmarks"}</definedName>
    <definedName name="thsdls_3">#REF!</definedName>
    <definedName name="THYT">{"'표지'!$B$5"}</definedName>
    <definedName name="ti">#REF!</definedName>
    <definedName name="Ticker">""</definedName>
    <definedName name="tickers">#REF!</definedName>
    <definedName name="Tier">#REF!</definedName>
    <definedName name="Tigr_Exhibit4a5e6f98_68f7_4694_bbb6_7d6dc89ebdea">#REF!</definedName>
    <definedName name="Tigr_Exhibit77267613_a8ce_4be5_b413_b75023fbfe0d">#REF!</definedName>
    <definedName name="Tigr_Exhibit78cac291_f6a9_4b76_9033_8c46c8d3aa5c">#REF!</definedName>
    <definedName name="Tigr_Exhibita7cf4eca_ca82_427c_bcb3_1de62fe37631">#REF!</definedName>
    <definedName name="Tigr_Exhibitce8297a6_d66a_4851_b44e_ca99c933ce70">#REF!</definedName>
    <definedName name="TIME">#REF!</definedName>
    <definedName name="Time_required">#REF!</definedName>
    <definedName name="TIMES">#REF!</definedName>
    <definedName name="TimeSheetOnProjects">#REF!</definedName>
    <definedName name="TIna" hidden="1">{"Page1",#N/A,FALSE,"CF WKSHT";"Page2",#N/A,FALSE,"CF WKSHT"}</definedName>
    <definedName name="Tina_again" hidden="1">{"Page1",#N/A,FALSE,"CF WKSHT";"Page2",#N/A,FALSE,"CF WKSHT"}</definedName>
    <definedName name="Tina_again1" hidden="1">{"Page1",#N/A,FALSE,"CF WKSHT";"Page2",#N/A,FALSE,"CF WKSHT"}</definedName>
    <definedName name="Tina1" hidden="1">{"Page1",#N/A,FALSE,"CF WKSHT";"Page2",#N/A,FALSE,"CF WKSHT"}</definedName>
    <definedName name="TIna2" hidden="1">{"Page1",#N/A,FALSE,"CF WKSHT";"Page2",#N/A,FALSE,"CF WKSHT"}</definedName>
    <definedName name="tisco">#REF!</definedName>
    <definedName name="Titan">#REF!</definedName>
    <definedName name="titi">{"'SynthèsesAffaires'!$A$1:$D$82"}</definedName>
    <definedName name="Title">#REF!</definedName>
    <definedName name="TITLE_1">#REF!</definedName>
    <definedName name="TITLE_2">#REF!</definedName>
    <definedName name="TITLE_3">#REF!</definedName>
    <definedName name="TITLE_4">#REF!</definedName>
    <definedName name="TITLE_5">#REF!</definedName>
    <definedName name="TITLE_6">#REF!</definedName>
    <definedName name="TITLE_7">#REF!</definedName>
    <definedName name="title_date">#REF!</definedName>
    <definedName name="Title1">#REF!</definedName>
    <definedName name="Title2">#REF!</definedName>
    <definedName name="Title3">#REF!</definedName>
    <definedName name="Title4">#REF!</definedName>
    <definedName name="Title5">#REF!</definedName>
    <definedName name="Title6">#REF!</definedName>
    <definedName name="tix_rev_ebita">#REF!</definedName>
    <definedName name="TLA.004">#REF!</definedName>
    <definedName name="TLA.024">#REF!</definedName>
    <definedName name="TLA.027">#REF!</definedName>
    <definedName name="TLA.056">#REF!</definedName>
    <definedName name="TLBB">{"'Check Request'!$A$1:$BF$37"}</definedName>
    <definedName name="TLT">#REF!</definedName>
    <definedName name="TLT_1">#REF!</definedName>
    <definedName name="TLT_2">#REF!</definedName>
    <definedName name="TM">#REF!</definedName>
    <definedName name="TM_INPUT_C1">OFFSET(#REF!,1,0,EmpCount,1)</definedName>
    <definedName name="TM_PA">#REF!</definedName>
    <definedName name="TM_Red1.1">OFFSET(#REF!,1,0, EmpCount,1)</definedName>
    <definedName name="TM_Yellow1.1">OFFSET(#REF!,1,0, EmpCount,30)</definedName>
    <definedName name="TM_Yellow1.2">OFFSET(#REF!,1,0, EmpCount,20)</definedName>
    <definedName name="TM_Yellow1.3">OFFSET(#REF!,1,0, EmpCount,1)</definedName>
    <definedName name="TM_Yellow1.4">OFFSET(#REF!,1,0, EmpCount,81)</definedName>
    <definedName name="TM_Yellow2">OFFSET(#REF!,1,0, EmpCount,1)</definedName>
    <definedName name="TM_Yellow3">OFFSET(#REF!,1,0, EmpCount,7)</definedName>
    <definedName name="TM_Yellow4">OFFSET(#REF!,1,0, EmpCount,5)</definedName>
    <definedName name="TM_Yellow5">OFFSET(#REF!,1,0, EmpCount,1)</definedName>
    <definedName name="tm1\\_0_H">"{ ""server"" : ""http://10.128.160.37"", ""cube"" : ""{ \""server\"" : \""TM1\"", \""cube\"" : \""GL Line Item\""}""}"</definedName>
    <definedName name="tm1\\_1_H">"{ ""server"" : ""http://10.128.160.37"", ""cube"" : ""{ \""server\"" : \""TM1\"", \""cube\"" : \""GL Line Item\""}""}"</definedName>
    <definedName name="TM1REBUILDOPTION">1</definedName>
    <definedName name="tmp">#REF!</definedName>
    <definedName name="TNS">#REF!</definedName>
    <definedName name="TNV">#REF!</definedName>
    <definedName name="To">#REF!</definedName>
    <definedName name="TO_1">#REF!</definedName>
    <definedName name="to_10">#REF!</definedName>
    <definedName name="TO_2">#REF!</definedName>
    <definedName name="TO_3">#REF!</definedName>
    <definedName name="TO_4">#REF!</definedName>
    <definedName name="TO_5">#REF!</definedName>
    <definedName name="TO_6">#REF!</definedName>
    <definedName name="TO_7">#REF!</definedName>
    <definedName name="TO_8">#REF!</definedName>
    <definedName name="ToAcct">#REF!</definedName>
    <definedName name="tod">#REF!</definedName>
    <definedName name="TODAY">#REF!</definedName>
    <definedName name="TOJRNL">#REF!</definedName>
    <definedName name="tol">#REF!</definedName>
    <definedName name="Tolerance">0.0025</definedName>
    <definedName name="tom">#REF!</definedName>
    <definedName name="tomk" hidden="1">#REF!</definedName>
    <definedName name="toof_Control">{"'Sheet1'!$F$15"}</definedName>
    <definedName name="Tools">#REF!</definedName>
    <definedName name="Tools1">#REF!</definedName>
    <definedName name="TOP">#REF!</definedName>
    <definedName name="Top_20_BD_Listing">#REF!</definedName>
    <definedName name="top_arr_15">#REF!</definedName>
    <definedName name="top_arr_16">#REF!</definedName>
    <definedName name="top_bookings_15">#REF!</definedName>
    <definedName name="top_burn">#REF!</definedName>
    <definedName name="top_cac_16">#REF!</definedName>
    <definedName name="top_capital_raised">#REF!</definedName>
    <definedName name="top_churn_15">#REF!</definedName>
    <definedName name="top_churn_16">#REF!</definedName>
    <definedName name="top_cogs_15">#REF!</definedName>
    <definedName name="top_cogs_16">#REF!</definedName>
    <definedName name="top_customers_15">#REF!</definedName>
    <definedName name="top_ebitda_15">#REF!</definedName>
    <definedName name="top_ga_16">#REF!</definedName>
    <definedName name="top_gp_16">#REF!</definedName>
    <definedName name="top_ltv_15">#REF!</definedName>
    <definedName name="top_ltv_16">#REF!</definedName>
    <definedName name="Top_of_Page">#REF!</definedName>
    <definedName name="top_opex_16">#REF!</definedName>
    <definedName name="top_opinc_15">#REF!</definedName>
    <definedName name="top_opinc_16">#REF!</definedName>
    <definedName name="top_opinc_ltm">#REF!</definedName>
    <definedName name="top_rd_16">#REF!</definedName>
    <definedName name="top_rev_16">#REF!</definedName>
    <definedName name="top_sm_16">#REF!</definedName>
    <definedName name="top_update">#REF!</definedName>
    <definedName name="TOP1..">#REF!</definedName>
    <definedName name="topcell">#REF!</definedName>
    <definedName name="TOPFINAL">#REF!</definedName>
    <definedName name="TOPFINAL..">#REF!</definedName>
    <definedName name="TOPFRAMES">#REF!</definedName>
    <definedName name="TOPFRAMES..">#REF!</definedName>
    <definedName name="TOPHOURS">#REF!</definedName>
    <definedName name="TOPHOURS..">#REF!</definedName>
    <definedName name="topl">#REF!</definedName>
    <definedName name="topn">#REF!</definedName>
    <definedName name="TOPRD">#REF!</definedName>
    <definedName name="TOPTOTAL">#REF!</definedName>
    <definedName name="TOPTOTAL..">#REF!</definedName>
    <definedName name="TOPUNITS">#REF!</definedName>
    <definedName name="TOPUNITS.">#REF!</definedName>
    <definedName name="TORSION" hidden="1">{#N/A,#N/A,FALSE,"단축1";#N/A,#N/A,FALSE,"단축2";#N/A,#N/A,FALSE,"단축3";#N/A,#N/A,FALSE,"장축";#N/A,#N/A,FALSE,"4WD"}</definedName>
    <definedName name="TOT">#REF!</definedName>
    <definedName name="TOT_1">#REF!</definedName>
    <definedName name="TOT_2">#REF!</definedName>
    <definedName name="Tot_knw_Xfoot">#REF!</definedName>
    <definedName name="Tot_lik_Xfoot">#REF!</definedName>
    <definedName name="Tot_Outstand_Check">#REF!</definedName>
    <definedName name="TOTAL">#REF!</definedName>
    <definedName name="Total_COS_net_DnA_fore">#REF!</definedName>
    <definedName name="Total_Expenses">#REF!</definedName>
    <definedName name="Total_income_rounded_off_as_per_section_288A_of_the_Act">"main_2"</definedName>
    <definedName name="Total_Liabilities">#REF!</definedName>
    <definedName name="Total_Pay">#REF!</definedName>
    <definedName name="Total_Payment">#REF!+Extra_Payment</definedName>
    <definedName name="Total_Payment2">#REF!+Extra_Payment</definedName>
    <definedName name="Total_Payment3">#REF!+Extra_Payment</definedName>
    <definedName name="Total_Payment4">#REF!+Extra_Payment</definedName>
    <definedName name="Total_Payment5">#REF!+Extra_Payment</definedName>
    <definedName name="Total_Payment6">#REF!+Extra_Payment</definedName>
    <definedName name="Total_payments">#REF!*#REF!</definedName>
    <definedName name="Total_Principal_plus_Accrued_Interest">#REF!</definedName>
    <definedName name="Total_Sale">#REF!</definedName>
    <definedName name="Total_Sale_Pax">#REF!</definedName>
    <definedName name="total_shares">#REF!</definedName>
    <definedName name="Total_South_Asia">#REF!</definedName>
    <definedName name="TOTAL1">#REF!</definedName>
    <definedName name="TOTAL2">#REF!</definedName>
    <definedName name="TOTAL3">#REF!</definedName>
    <definedName name="TotalAllocCost">#REF!</definedName>
    <definedName name="TotalCases">#REF!</definedName>
    <definedName name="TOTALCC">#REF!</definedName>
    <definedName name="TotalLocal">#REF!</definedName>
    <definedName name="TOTALMACRO">#REF!</definedName>
    <definedName name="TotalMatlCost">#REF!</definedName>
    <definedName name="TotalPrice">#REF!</definedName>
    <definedName name="Totals">#REF!</definedName>
    <definedName name="TotalStmFlw">#REF!</definedName>
    <definedName name="TotalUSD">#REF!</definedName>
    <definedName name="TotalXformCost">#REF!</definedName>
    <definedName name="TOTBV" hidden="1">{"PRVSN",#N/A,FALSE,"Q196";"PRVSN",#N/A,FALSE,"Q296";"PRVSN",#N/A,FALSE,"Q396";"PRVSN",#N/A,FALSE,"Q496";"VARIANCES",#N/A,FALSE,"Q196";"VARIANCES",#N/A,FALSE,"Q296"}</definedName>
    <definedName name="TOTBVAW" hidden="1">{"PRVSN",#N/A,FALSE,"Q196";"PRVSN",#N/A,FALSE,"Q296";"PRVSN",#N/A,FALSE,"Q396";"PRVSN",#N/A,FALSE,"Q496";"VARIANCES",#N/A,FALSE,"Q196";"VARIANCES",#N/A,FALSE,"Q296"}</definedName>
    <definedName name="TotCC100">#REF!</definedName>
    <definedName name="TotCC110">#REF!</definedName>
    <definedName name="TotCC115">#REF!</definedName>
    <definedName name="TotCC120">#REF!</definedName>
    <definedName name="TotCC130">#REF!</definedName>
    <definedName name="TotCC140">#REF!</definedName>
    <definedName name="TotCC160">#REF!</definedName>
    <definedName name="TotCC170">#REF!</definedName>
    <definedName name="TotCC180">#REF!</definedName>
    <definedName name="TotCC200">#REF!</definedName>
    <definedName name="TotCC202">#REF!</definedName>
    <definedName name="TotCC204">#REF!</definedName>
    <definedName name="TotCC206">#REF!</definedName>
    <definedName name="TotCC208">#REF!</definedName>
    <definedName name="TotCC210">#REF!</definedName>
    <definedName name="TotCC212">#REF!</definedName>
    <definedName name="TotCC220">#REF!</definedName>
    <definedName name="TotCC230">#REF!</definedName>
    <definedName name="TotCC240">#REF!</definedName>
    <definedName name="TotCC250">#REF!</definedName>
    <definedName name="TotCC300">#REF!</definedName>
    <definedName name="TotCC310">#REF!</definedName>
    <definedName name="TotCC320">#REF!</definedName>
    <definedName name="TotCC330">#REF!</definedName>
    <definedName name="TotCC400">#REF!</definedName>
    <definedName name="TotCC410">#REF!</definedName>
    <definedName name="TotCC415">#REF!</definedName>
    <definedName name="TotCC420">#REF!</definedName>
    <definedName name="TotCC425">#REF!</definedName>
    <definedName name="TotCC430">#REF!</definedName>
    <definedName name="TotCC500">#REF!</definedName>
    <definedName name="TotCC504">#REF!</definedName>
    <definedName name="TotCC505">#REF!</definedName>
    <definedName name="TotCC510">#REF!</definedName>
    <definedName name="TotCC520">#REF!</definedName>
    <definedName name="TotCC521">#REF!</definedName>
    <definedName name="TotCC585">#REF!</definedName>
    <definedName name="TotCC590">#REF!</definedName>
    <definedName name="TotCC600">#REF!</definedName>
    <definedName name="TotCC604">#REF!</definedName>
    <definedName name="TotCC635">#REF!</definedName>
    <definedName name="TotCC675">#REF!</definedName>
    <definedName name="TOTINSURANCE">#REF!</definedName>
    <definedName name="TotLiab">#REF!</definedName>
    <definedName name="toto">#REF!</definedName>
    <definedName name="toto2">#REF!</definedName>
    <definedName name="TOTOHBUD">#REF!</definedName>
    <definedName name="tototo2">#REF!</definedName>
    <definedName name="TOTPG">"9"</definedName>
    <definedName name="TOTRNDT">#REF!</definedName>
    <definedName name="TOTRNREF">#REF!</definedName>
    <definedName name="totsum">#REF!</definedName>
    <definedName name="tou">#REF!</definedName>
    <definedName name="TP_Footer_Path">"S:\30876\03welf\othsys\levinel\FAS 112\"</definedName>
    <definedName name="TP_Footer_User">"levinel"</definedName>
    <definedName name="TP_Footer_Version">"v3.00"</definedName>
    <definedName name="tpm">#REF!</definedName>
    <definedName name="TPS">#REF!</definedName>
    <definedName name="tqmp10">#REF!</definedName>
    <definedName name="tr">#REF!</definedName>
    <definedName name="Trade_Creditors">#REF!</definedName>
    <definedName name="Trade_Debtors">#REF!</definedName>
    <definedName name="TradingPriceIncrement">#REF!</definedName>
    <definedName name="trans_C">#REF!</definedName>
    <definedName name="trans_D">#REF!</definedName>
    <definedName name="trans_per_training_dept17">120</definedName>
    <definedName name="TransactionCurrencyCode">#REF!</definedName>
    <definedName name="TRANSFERS">#REF!</definedName>
    <definedName name="TRANSITION_COST">#REF!</definedName>
    <definedName name="translation_adj">#REF!</definedName>
    <definedName name="TRATE">#REF!</definedName>
    <definedName name="travel">#REF!</definedName>
    <definedName name="trc_XLS_DATASHEET_ProtectDate">36881.5985416667</definedName>
    <definedName name="trdut">#REF!</definedName>
    <definedName name="tre">#REF!</definedName>
    <definedName name="Treasury">#REF!</definedName>
    <definedName name="treeList" hidden="1">"00000000000000000000000000000000000000000000000000000000000000000000000000000000000000000000000000000000000000000000000000000000000000000000000000000000000000000000000000000000000000000000000000000000"</definedName>
    <definedName name="treeList_1">"11100000000000000000000000000000000000000000000000000000000000000000000000000000000000000000000000000000000000000000000000000000000000000000000000000000000000000000000000000000000000000000000000000000"</definedName>
    <definedName name="trend">#REF!</definedName>
    <definedName name="Trg">#REF!</definedName>
    <definedName name="TRHTHJ">{"'표지'!$B$5"}</definedName>
    <definedName name="TRIA">#REF!</definedName>
    <definedName name="trial">#REF!</definedName>
    <definedName name="Trial_Balance">#REF!</definedName>
    <definedName name="Trial_Balance_Check_June_2014_BS">#REF!</definedName>
    <definedName name="Trial_Balance_Check_June_2014_PL">#REF!</definedName>
    <definedName name="trialbal">#REF!</definedName>
    <definedName name="triy" hidden="1">{#N/A,#N/A,FALSE,"REPORT"}</definedName>
    <definedName name="trjhtrhbtr">#REF!</definedName>
    <definedName name="trjhtrhbtr_1">#REF!</definedName>
    <definedName name="trjhtrhbtr_2">#REF!</definedName>
    <definedName name="trjhtrhbtr_3">#REF!</definedName>
    <definedName name="trjhtrhbtr_4">#REF!</definedName>
    <definedName name="TRS2Q2">#REF!</definedName>
    <definedName name="TRS3Q2">#REF!</definedName>
    <definedName name="trsf">#REF!</definedName>
    <definedName name="trucklease">#REF!</definedName>
    <definedName name="TRUE_UP">#REF!</definedName>
    <definedName name="truhydtrhdrth">#REF!</definedName>
    <definedName name="truhydtrhdrth_1">#REF!</definedName>
    <definedName name="truhydtrhdrth_2">#REF!</definedName>
    <definedName name="truhydtrhdrth_3">#REF!</definedName>
    <definedName name="truhydtrhdrth_4">#REF!</definedName>
    <definedName name="trust">#REF!</definedName>
    <definedName name="tryu" hidden="1">{#N/A,#N/A,TRUE,"Monthly w|o Wireless";#N/A,#N/A,TRUE,"Qrt w|o Wireless";#N/A,#N/A,TRUE,"FY w|o Wireless";#N/A,#N/A,TRUE,"1Q w|o Wireless";#N/A,#N/A,TRUE,"2Q w|o Wireless";#N/A,#N/A,TRUE,"3Q w|o Wireless";#N/A,#N/A,TRUE,"4Q w|o Wireless"}</definedName>
    <definedName name="tryyt">#REF!</definedName>
    <definedName name="TS">#REF!</definedName>
    <definedName name="TSD">#REF!</definedName>
    <definedName name="tsi">#REF!</definedName>
    <definedName name="tste" hidden="1">{#N/A,#N/A,FALSE,"REPORT"}</definedName>
    <definedName name="tt" hidden="1">{"00000summary",#N/A,FALSE,"00000";"10000summary",#N/A,FALSE,"10000"}</definedName>
    <definedName name="tthh" hidden="1">#N/A</definedName>
    <definedName name="TTL">#REF!</definedName>
    <definedName name="TTL_COS">#N/A</definedName>
    <definedName name="TTL_SALE">#N/A</definedName>
    <definedName name="TTL_UC">#N/A</definedName>
    <definedName name="TTLSALE">#N/A</definedName>
    <definedName name="ttt">#REF!</definedName>
    <definedName name="TTTT" hidden="1">1</definedName>
    <definedName name="ttttt">#REF!</definedName>
    <definedName name="TTTTTTTTTTTT">#REF!</definedName>
    <definedName name="tttttttttttttttttttttttttttt">#REF!</definedName>
    <definedName name="tttwert">{"'1-TheatreBkgs'!$A$1:$L$102"}</definedName>
    <definedName name="tu">{"'Trend_Total'!$A$7:$V$10","'Trend_Total'!$A$1:$V$4"}</definedName>
    <definedName name="Tua">{"'Vendor Info'!$A$3:$G$56"}</definedName>
    <definedName name="tuiol">#REF!</definedName>
    <definedName name="tuiol_1">#REF!</definedName>
    <definedName name="tuv">#REF!</definedName>
    <definedName name="TUYJ">#REF!</definedName>
    <definedName name="TUYJ_1">#REF!</definedName>
    <definedName name="TVD">#REF!</definedName>
    <definedName name="TVRevenueMonth">#REF!</definedName>
    <definedName name="TVRevenueYTD">#REF!</definedName>
    <definedName name="tvs_suzuki">#REF!</definedName>
    <definedName name="TW">#REF!</definedName>
    <definedName name="twap" hidden="1">{#N/A,#N/A,FALSE,"Title";#N/A,#N/A,FALSE,"Index";#N/A,#N/A,FALSE,"1";#N/A,#N/A,FALSE,"2";#N/A,#N/A,FALSE,"3";#N/A,#N/A,FALSE,"4";#N/A,#N/A,FALSE,"5";#N/A,#N/A,FALSE,"5A";#N/A,#N/A,FALSE,"6";#N/A,#N/A,FALSE,"7";#N/A,#N/A,FALSE,"8"}</definedName>
    <definedName name="twd">#REF!</definedName>
    <definedName name="twentytwo_pct">#REF!</definedName>
    <definedName name="twentytwo_pctneu">#REF!</definedName>
    <definedName name="twertert">#REF!</definedName>
    <definedName name="two">#REF!</definedName>
    <definedName name="TWO_YRS_BY_MTH">#REF!</definedName>
    <definedName name="TWOTOONE">#REF!</definedName>
    <definedName name="TX_CE">#REF!</definedName>
    <definedName name="TX_OE">#REF!</definedName>
    <definedName name="TX_OE.">#REF!</definedName>
    <definedName name="tyj">#REF!</definedName>
    <definedName name="tyj_1">#REF!</definedName>
    <definedName name="tyj_2">#REF!</definedName>
    <definedName name="tyj_3">#REF!</definedName>
    <definedName name="tyj_4">#REF!</definedName>
    <definedName name="TYKJY">#REF!</definedName>
    <definedName name="TYKJY_1">#REF!</definedName>
    <definedName name="tyler">#REF!</definedName>
    <definedName name="tyler1">#REF!</definedName>
    <definedName name="type">#REF!</definedName>
    <definedName name="Typist">"b1"</definedName>
    <definedName name="TYR" hidden="1">{#N/A,#N/A,FALSE,"REPORT"}</definedName>
    <definedName name="tytt">#REF!</definedName>
    <definedName name="tyty">{"'1-TheatreBkgs'!$A$1:$L$102"}</definedName>
    <definedName name="tyuiop" hidden="1">#REF!</definedName>
    <definedName name="tyukm">#REF!</definedName>
    <definedName name="tyukm_1">#REF!</definedName>
    <definedName name="tyututu">#REF!</definedName>
    <definedName name="tyyyy">8</definedName>
    <definedName name="U">#REF!</definedName>
    <definedName name="U_11_FG_Variance">#REF!</definedName>
    <definedName name="U_6_RM_Variance">#REF!</definedName>
    <definedName name="U30a57">#REF!</definedName>
    <definedName name="ua" hidden="1">{#N/A,#N/A,FALSE,"Aging Summary";#N/A,#N/A,FALSE,"Ratio Analysis";#N/A,#N/A,FALSE,"Test 120 Day Accts";#N/A,#N/A,FALSE,"Tickmarks"}</definedName>
    <definedName name="ua_3">#REF!</definedName>
    <definedName name="UACr95">#REF!</definedName>
    <definedName name="UACr96">#REF!</definedName>
    <definedName name="UACr97">#REF!</definedName>
    <definedName name="UACr98">#REF!</definedName>
    <definedName name="UACr98.10">#REF!</definedName>
    <definedName name="UACr98.11">#REF!</definedName>
    <definedName name="UADr95">#REF!</definedName>
    <definedName name="UADr96">#REF!</definedName>
    <definedName name="UADr97">#REF!</definedName>
    <definedName name="UADr98">#REF!</definedName>
    <definedName name="UADr98.10">#REF!</definedName>
    <definedName name="UADr98.11">#REF!</definedName>
    <definedName name="ubi">#REF!</definedName>
    <definedName name="ubv" hidden="1">{#N/A,#N/A,FALSE,"Aging Summary";#N/A,#N/A,FALSE,"Ratio Analysis";#N/A,#N/A,FALSE,"Test 120 Day Accts";#N/A,#N/A,FALSE,"Tickmarks"}</definedName>
    <definedName name="UER">#REF!</definedName>
    <definedName name="UER_1">#REF!</definedName>
    <definedName name="UER_2">#REF!</definedName>
    <definedName name="UGaap95">#REF!</definedName>
    <definedName name="UGaap96">#REF!</definedName>
    <definedName name="UGaap97">#REF!</definedName>
    <definedName name="UGaap98">#REF!</definedName>
    <definedName name="UGaap98.10">#REF!</definedName>
    <definedName name="UGaap98.11">#REF!</definedName>
    <definedName name="UI">#REF!</definedName>
    <definedName name="uihjyn" hidden="1">{#N/A,#N/A,TRUE,"CPRD";#N/A,#N/A,TRUE,"BCCPDR";#N/A,#N/A,TRUE,"EWRD";#N/A,#N/A,TRUE,"5100";#N/A,#N/A,TRUE,"5110"}</definedName>
    <definedName name="uilt">#REF!</definedName>
    <definedName name="uilt_1">#REF!</definedName>
    <definedName name="uioui">#REF!</definedName>
    <definedName name="uiui">#REF!</definedName>
    <definedName name="uiyg">#REF!</definedName>
    <definedName name="UJ">#REF!</definedName>
    <definedName name="UJ_1">#REF!</definedName>
    <definedName name="UK">#REF!</definedName>
    <definedName name="UK_Units">#REF!</definedName>
    <definedName name="uksgkhshas">#REF!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CAP">#REF!</definedName>
    <definedName name="UNICAP_44">NA()</definedName>
    <definedName name="UNICAP_45">NA()</definedName>
    <definedName name="Unit_Cost">#REF!</definedName>
    <definedName name="Unit_Percent">#REF!</definedName>
    <definedName name="UNIT1">""</definedName>
    <definedName name="UNIT2">""</definedName>
    <definedName name="units">#REF!</definedName>
    <definedName name="UNITS.">#REF!</definedName>
    <definedName name="Units_Nos">#REF!</definedName>
    <definedName name="unkcolumnpm1">#REF!</definedName>
    <definedName name="unkcolumnpm2">#REF!</definedName>
    <definedName name="unkcolumnpm3">#REF!</definedName>
    <definedName name="unkcolumnpm4">#REF!</definedName>
    <definedName name="unkcolumnpm5">#REF!</definedName>
    <definedName name="unkcolumnpm6">#REF!</definedName>
    <definedName name="unknownpm1">#REF!</definedName>
    <definedName name="unknownpm2">#REF!</definedName>
    <definedName name="unknownpm3">#REF!</definedName>
    <definedName name="unknownpm4">#REF!</definedName>
    <definedName name="unknownpm5">#REF!</definedName>
    <definedName name="unknownpm6">#REF!</definedName>
    <definedName name="unlev_fcf_rate">#REF!</definedName>
    <definedName name="unnamed_0">#REF!</definedName>
    <definedName name="UnrealGLPrintArea">#REF!</definedName>
    <definedName name="Unrealised">#REF!</definedName>
    <definedName name="UNSEC_LOAN">#REF!</definedName>
    <definedName name="UNSECURED_LOANS">#REF!</definedName>
    <definedName name="Untitled">#REF!</definedName>
    <definedName name="unvested_repurchased">#REF!</definedName>
    <definedName name="UNZIPP" hidden="1">#REF!</definedName>
    <definedName name="UP">{"'Inventory &amp; Anal-Cur Wkbk'!$A$7:$AP$71"}</definedName>
    <definedName name="Upcomcables">#REF!</definedName>
    <definedName name="update">#REF!</definedName>
    <definedName name="Update_By">#REF!</definedName>
    <definedName name="Update_Date">#REF!</definedName>
    <definedName name="Update_NotesTrading">#REF!</definedName>
    <definedName name="Update_NotesUpdate">#REF!</definedName>
    <definedName name="updated">#REF!</definedName>
    <definedName name="UPDATELOGICTYPE1">#REF!</definedName>
    <definedName name="Upgrade">#REF!</definedName>
    <definedName name="Upside">"5-Upside"</definedName>
    <definedName name="ur">#REF!</definedName>
    <definedName name="URGENT">#REF!</definedName>
    <definedName name="us">#REF!</definedName>
    <definedName name="us_cpi">#REF!</definedName>
    <definedName name="US_FooterType">"EXTERNAL"</definedName>
    <definedName name="US_tax">#REF!</definedName>
    <definedName name="USAGE">#REF!</definedName>
    <definedName name="Usage_Country__if_outside_US">#REF!</definedName>
    <definedName name="USBS">#REF!</definedName>
    <definedName name="usd">#REF!</definedName>
    <definedName name="USD.A">#REF!</definedName>
    <definedName name="USD.E">#REF!</definedName>
    <definedName name="USD_B">#REF!</definedName>
    <definedName name="USDAT">"GL291"</definedName>
    <definedName name="UseMidPoint">#REF!</definedName>
    <definedName name="User" hidden="1">{#N/A,#N/A,FALSE,"Data"}</definedName>
    <definedName name="user1">#REF!</definedName>
    <definedName name="USERPD">#REF!</definedName>
    <definedName name="USERYR">#REF!</definedName>
    <definedName name="USF_FooterType">"INTERNAL"</definedName>
    <definedName name="USIS">#REF!</definedName>
    <definedName name="usis1">#REF!</definedName>
    <definedName name="USNAM">"LAWKSL"</definedName>
    <definedName name="USWest">#REF!</definedName>
    <definedName name="uti">#REF!</definedName>
    <definedName name="Util">#REF!</definedName>
    <definedName name="Util1">#REF!</definedName>
    <definedName name="UtilitiesMonth">#REF!</definedName>
    <definedName name="UtilitiesYTD">#REF!</definedName>
    <definedName name="UTO_FooterType">"INTERNAL"</definedName>
    <definedName name="uu">#REF!</definedName>
    <definedName name="uuuu">#REF!</definedName>
    <definedName name="UUUUUUUUUUUU">#REF!</definedName>
    <definedName name="UUUUUUUUUUUUU">#REF!</definedName>
    <definedName name="uy">#REF!</definedName>
    <definedName name="uyhgv">#REF!</definedName>
    <definedName name="uyhgv_1">#REF!</definedName>
    <definedName name="uyhjkuyhjdfezfd">#REF!</definedName>
    <definedName name="uytr">#REF!</definedName>
    <definedName name="uytr_1">#REF!</definedName>
    <definedName name="UYTRE">#REF!</definedName>
    <definedName name="UYTRE_1">#REF!</definedName>
    <definedName name="v">#REF!</definedName>
    <definedName name="v_3">#REF!</definedName>
    <definedName name="Vac">#REF!</definedName>
    <definedName name="VACATION">#REF!</definedName>
    <definedName name="ValidAccts">#REF!</definedName>
    <definedName name="value_date">#REF!</definedName>
    <definedName name="Value_of_Equity">#REF!</definedName>
    <definedName name="Value3">#REF!</definedName>
    <definedName name="Value4">#REF!</definedName>
    <definedName name="ValueDate">#REF!</definedName>
    <definedName name="Values_Entered">IF(#REF!*Interest_Rate*#REF!*#REF!&gt;0,1,0)</definedName>
    <definedName name="var" hidden="1">{"00000summary",#N/A,FALSE,"00000";"10000summary",#N/A,FALSE,"10000"}</definedName>
    <definedName name="varalakshmi">#REF!</definedName>
    <definedName name="VARAMT">#N/A</definedName>
    <definedName name="VAREOH">#N/A</definedName>
    <definedName name="Variance_Yellow1">OFFSET(#REF!,1,0, EmpCount,141)</definedName>
    <definedName name="Variances">#REF!</definedName>
    <definedName name="VarJ">#REF!</definedName>
    <definedName name="vars">#REF!</definedName>
    <definedName name="vasavi">#REF!</definedName>
    <definedName name="VAT">#REF!</definedName>
    <definedName name="vbmb">#REF!</definedName>
    <definedName name="vbmdg">#REF!</definedName>
    <definedName name="vbn" hidden="1">{#N/A,#N/A,FALSE,"Pharm";#N/A,#N/A,FALSE,"WWCM"}</definedName>
    <definedName name="VCBDVD" hidden="1">#REF!</definedName>
    <definedName name="VCD">#REF!</definedName>
    <definedName name="VCL_LS">#REF!</definedName>
    <definedName name="VDA_L">#REF!</definedName>
    <definedName name="vdasvda">#REF!</definedName>
    <definedName name="vds" hidden="1">{"'買掛金'!$J$6"}</definedName>
    <definedName name="Veeco1" hidden="1">{#N/A,#N/A,FALSE,"1263 Total"}</definedName>
    <definedName name="Vehicles">#REF!</definedName>
    <definedName name="VEHS">#REF!</definedName>
    <definedName name="VendorNumber">#REF!</definedName>
    <definedName name="VendorsValid">#REF!</definedName>
    <definedName name="ver">"1.1e"</definedName>
    <definedName name="VER_CF_BALANCES">#REF!</definedName>
    <definedName name="VER_SCH_1">#REF!</definedName>
    <definedName name="VER_SCH_10">#REF!</definedName>
    <definedName name="VER_SCH_11">#REF!</definedName>
    <definedName name="VER_SCH_12">#REF!</definedName>
    <definedName name="VER_SCH_13">#REF!</definedName>
    <definedName name="VER_SCH_14">#REF!</definedName>
    <definedName name="VER_SCH_15">#REF!</definedName>
    <definedName name="VER_SCH_16">#REF!</definedName>
    <definedName name="VER_SCH_17">#REF!</definedName>
    <definedName name="VER_SCH_18">#REF!</definedName>
    <definedName name="VER_SCH_19">#REF!</definedName>
    <definedName name="VER_SCH_2">#REF!</definedName>
    <definedName name="VER_SCH_20">#REF!</definedName>
    <definedName name="VER_SCH_21">#REF!</definedName>
    <definedName name="VER_SCH_22">#REF!</definedName>
    <definedName name="VER_SCH_23">#REF!</definedName>
    <definedName name="VER_SCH_3">#REF!</definedName>
    <definedName name="VER_SCH_4">#REF!</definedName>
    <definedName name="VER_SCH_5">#REF!</definedName>
    <definedName name="VER_SCH_6">#REF!</definedName>
    <definedName name="VER_SCH_7">#REF!</definedName>
    <definedName name="VER_SCH_8">#REF!</definedName>
    <definedName name="VER_SCH_9">#REF!</definedName>
    <definedName name="VER_SH_RATIOS">#REF!</definedName>
    <definedName name="Vergleich">#REF!</definedName>
    <definedName name="Version">1.2</definedName>
    <definedName name="Version.WIRE">1</definedName>
    <definedName name="Versions_FooterType">"INTERNAL"</definedName>
    <definedName name="vest25i">#REF!</definedName>
    <definedName name="vh">#REF!</definedName>
    <definedName name="vi">#REF!</definedName>
    <definedName name="videsh">#REF!</definedName>
    <definedName name="Vietnam">#REF!</definedName>
    <definedName name="view_comps">#REF!</definedName>
    <definedName name="Vince">#REF!</definedName>
    <definedName name="virus?">#REF!</definedName>
    <definedName name="virus?_1">#REF!</definedName>
    <definedName name="virus?_2">#REF!</definedName>
    <definedName name="virus?_3">#REF!</definedName>
    <definedName name="virus?_4">#REF!</definedName>
    <definedName name="Virus2">#REF!</definedName>
    <definedName name="Virus2_1">#REF!</definedName>
    <definedName name="Virus2_2">#REF!</definedName>
    <definedName name="Virus2_3">#REF!</definedName>
    <definedName name="Virus2_4">#REF!</definedName>
    <definedName name="virus3">#REF!</definedName>
    <definedName name="virus3_1">#REF!</definedName>
    <definedName name="virus3_2">#REF!</definedName>
    <definedName name="virus3_3">#REF!</definedName>
    <definedName name="virus3_4">#REF!</definedName>
    <definedName name="virus4">#REF!</definedName>
    <definedName name="virus4_1">#REF!</definedName>
    <definedName name="virus4_2">#REF!</definedName>
    <definedName name="virus4_3">#REF!</definedName>
    <definedName name="virus4_4">#REF!</definedName>
    <definedName name="virus5">#REF!</definedName>
    <definedName name="virus5_1">#REF!</definedName>
    <definedName name="virus5_2">#REF!</definedName>
    <definedName name="virus5_3">#REF!</definedName>
    <definedName name="virus5_4">#REF!</definedName>
    <definedName name="virus6">#REF!</definedName>
    <definedName name="virus6_1">#REF!</definedName>
    <definedName name="virus6_2">#REF!</definedName>
    <definedName name="virus6_3">#REF!</definedName>
    <definedName name="virus6_4">#REF!</definedName>
    <definedName name="vishwa">#REF!</definedName>
    <definedName name="vision2" hidden="1">{#N/A,#N/A,FALSE,"손익표지";#N/A,#N/A,FALSE,"손익계산";#N/A,#N/A,FALSE,"일반관리비";#N/A,#N/A,FALSE,"영업외수익";#N/A,#N/A,FALSE,"영업외비용";#N/A,#N/A,FALSE,"매출액";#N/A,#N/A,FALSE,"요약손익";#N/A,#N/A,FALSE,"요약대차";#N/A,#N/A,FALSE,"매출채권현황";#N/A,#N/A,FALSE,"매출채권명세"}</definedName>
    <definedName name="visits">{"'Customer Support Trends'!$A$1:$AB$13"}</definedName>
    <definedName name="vistis2">{"'Customer Support Trends'!$A$1:$AB$13"}</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nbs">#REF!</definedName>
    <definedName name="VNUS">#REF!</definedName>
    <definedName name="vodka">#REF!</definedName>
    <definedName name="VOL8OZ95">#REF!</definedName>
    <definedName name="VOL8OZ96">#REF!</definedName>
    <definedName name="VOL8OZ97FCST">#REF!</definedName>
    <definedName name="VOL8OZ97PLAN">#REF!</definedName>
    <definedName name="VOL8OZ98PLAN">#REF!</definedName>
    <definedName name="Volatility">#REF!</definedName>
    <definedName name="VOLR95">#REF!</definedName>
    <definedName name="VOLR96">#REF!</definedName>
    <definedName name="VOLR97FCST">#REF!</definedName>
    <definedName name="VOLR97PLAN">#REF!</definedName>
    <definedName name="VOLR98PLAN">#REF!</definedName>
    <definedName name="VOUCHER">#REF!</definedName>
    <definedName name="VP">#REF!</definedName>
    <definedName name="VP3BOX">#REF!</definedName>
    <definedName name="vpannpay">#REF!</definedName>
    <definedName name="VPCSTD">#REF!</definedName>
    <definedName name="VPFin">#REF!</definedName>
    <definedName name="VPGYP">#REF!</definedName>
    <definedName name="vpmopay">#REF!</definedName>
    <definedName name="VPOFRV">#REF!</definedName>
    <definedName name="vs">#REF!</definedName>
    <definedName name="Vsn">25</definedName>
    <definedName name="VSNL">#REF!</definedName>
    <definedName name="vsr">#REF!</definedName>
    <definedName name="VT_PA">#REF!</definedName>
    <definedName name="VTM_1" hidden="1">#REF!</definedName>
    <definedName name="VTM_2" hidden="1">#REF!</definedName>
    <definedName name="VTM_3" hidden="1">#REF!</definedName>
    <definedName name="VTM_4" hidden="1">#REF!</definedName>
    <definedName name="VTM_5" hidden="1">#REF!</definedName>
    <definedName name="VTM_6" hidden="1">#REF!</definedName>
    <definedName name="VTM_7" hidden="1">#REF!</definedName>
    <definedName name="VTM_8" hidden="1">#REF!</definedName>
    <definedName name="VULIQ_NAMES_REVISION_DATE">40869.8079513889</definedName>
    <definedName name="vv">#REF!</definedName>
    <definedName name="vvv">#REF!</definedName>
    <definedName name="vvvv">{"DCF","UPSIDE CASE",FALSE,"Sheet1";"DCF","BASE CASE",FALSE,"Sheet1";"DCF","DOWNSIDE CASE",FALSE,"Sheet1"}</definedName>
    <definedName name="vvvvvv" hidden="1">{#N/A,#N/A,FALSE,"Pharm";#N/A,#N/A,FALSE,"WWCM"}</definedName>
    <definedName name="vvvvvvv" hidden="1">{#N/A,#N/A,FALSE,"Pharm";#N/A,#N/A,FALSE,"WWCM"}</definedName>
    <definedName name="vxccx" hidden="1">{"'買掛金'!$J$6"}</definedName>
    <definedName name="vzqzqz16">#REF!</definedName>
    <definedName name="w">#REF!</definedName>
    <definedName name="w_1">#REF!</definedName>
    <definedName name="w_3">#REF!</definedName>
    <definedName name="w45yu45hyh">#REF!</definedName>
    <definedName name="w45yu45hyh_1">#REF!</definedName>
    <definedName name="w45yu45hyh_2">#REF!</definedName>
    <definedName name="w45yu45hyh_3">#REF!</definedName>
    <definedName name="w45yu45hyh_4">#REF!</definedName>
    <definedName name="w5y">#REF!</definedName>
    <definedName name="wa">#REF!</definedName>
    <definedName name="WACC">#REF!</definedName>
    <definedName name="WACC_P_8">#REF!</definedName>
    <definedName name="WACC_sen">#REF!</definedName>
    <definedName name="wacc1">#REF!</definedName>
    <definedName name="wacc1_1">#REF!</definedName>
    <definedName name="wacc1_2">#REF!</definedName>
    <definedName name="wacc1_3">#REF!</definedName>
    <definedName name="wacc1_4">#REF!</definedName>
    <definedName name="WACC3">#REF!</definedName>
    <definedName name="WADE">#REF!</definedName>
    <definedName name="waefdasfdgrdg">clra1b1,clra1b2,clra1b3,clra1b4,clra1b5,clra1b6,clra1b7,clra1b8</definedName>
    <definedName name="WAGES">#REF!</definedName>
    <definedName name="Waiting">"Picture 1"</definedName>
    <definedName name="wam">#REF!</definedName>
    <definedName name="warn1">#REF!</definedName>
    <definedName name="warn2">#REF!</definedName>
    <definedName name="Warranty1" hidden="1">{#N/A,#N/A,TRUE,"CPRD";#N/A,#N/A,TRUE,"BCCPDR";#N/A,#N/A,TRUE,"EWRD";#N/A,#N/A,TRUE,"5100";#N/A,#N/A,TRUE,"5110"}</definedName>
    <definedName name="Wartsila">#REF!</definedName>
    <definedName name="was" hidden="1">{#N/A,#N/A,FALSE,"Sales Graph";#N/A,#N/A,FALSE,"BUC Graph";#N/A,#N/A,FALSE,"P&amp;L - YTD"}</definedName>
    <definedName name="wasd" hidden="1">{#N/A,#N/A,FALSE,"KMC최종회의(7월) 자료"}</definedName>
    <definedName name="wasdf" hidden="1">{#N/A,#N/A,FALSE,"KMC최종회의(7월) 자료"}</definedName>
    <definedName name="WASK">#REF!</definedName>
    <definedName name="wat">#REF!</definedName>
    <definedName name="Waterfall">{"'vert'!$A$1:$T$117"}</definedName>
    <definedName name="wawsss" hidden="1">{#N/A,#N/A,FALSE,"KMC최종회의(7월) 자료"}</definedName>
    <definedName name="wb">#REF!</definedName>
    <definedName name="WBMAX">#REF!</definedName>
    <definedName name="WBS" hidden="1">{#N/A,#N/A,FALSE,"Aging Summary";#N/A,#N/A,FALSE,"Ratio Analysis";#N/A,#N/A,FALSE,"Test 120 Day Accts";#N/A,#N/A,FALSE,"Tickmarks"}</definedName>
    <definedName name="WBS_3">#REF!</definedName>
    <definedName name="WC">#REF!</definedName>
    <definedName name="WC_Premium">#REF!</definedName>
    <definedName name="wdd" hidden="1">{#N/A,#N/A,FALSE,"UNIT";#N/A,#N/A,FALSE,"UNIT";#N/A,#N/A,FALSE,"계정"}</definedName>
    <definedName name="wdefrgth" hidden="1">#REF!</definedName>
    <definedName name="wdfg">#REF!</definedName>
    <definedName name="wdminus1">{"'1-TheatreBkgs'!$A$1:$L$102"}</definedName>
    <definedName name="we">#REF!</definedName>
    <definedName name="weas" hidden="1">{#N/A,#N/A,FALSE,"KMC최종회의(7월) 자료"}</definedName>
    <definedName name="web">#REF!</definedName>
    <definedName name="web_1">#REF!</definedName>
    <definedName name="web_3">#REF!</definedName>
    <definedName name="WEE">#REF!</definedName>
    <definedName name="WeekID">#REF!</definedName>
    <definedName name="weeklydty">#REF!</definedName>
    <definedName name="weeklyspun">#REF!</definedName>
    <definedName name="WeeksPerQuarter">13</definedName>
    <definedName name="WEF">#REF!</definedName>
    <definedName name="WEF_1">#REF!</definedName>
    <definedName name="wefaff">#REF!</definedName>
    <definedName name="weff.l" hidden="1">{#N/A,#N/A,FALSE,"B-Sht"}</definedName>
    <definedName name="wegwet">{"'1-TheatreBkgs'!$A$1:$L$102"}</definedName>
    <definedName name="Weight">#REF!</definedName>
    <definedName name="WELLS">#REF!</definedName>
    <definedName name="WELLS2">#REF!</definedName>
    <definedName name="WENDY">#REF!</definedName>
    <definedName name="wer" hidden="1">{#N/A,#N/A,TRUE,"CPRD";#N/A,#N/A,TRUE,"BCCPDR";#N/A,#N/A,TRUE,"EWRD";#N/A,#N/A,TRUE,"5100";#N/A,#N/A,TRUE,"5110"}</definedName>
    <definedName name="WER54R" hidden="1">#REF!</definedName>
    <definedName name="were">#REF!</definedName>
    <definedName name="werevcs">{"'1-TheatreBkgs'!$A$1:$L$102"}</definedName>
    <definedName name="werew">{"'1-TheatreBkgs'!$A$1:$L$102"}</definedName>
    <definedName name="werfwe">#REF!</definedName>
    <definedName name="werg">#REF!</definedName>
    <definedName name="werg_1">#REF!</definedName>
    <definedName name="werqwerq">#REF!</definedName>
    <definedName name="werqwerq_1">#REF!</definedName>
    <definedName name="werqwerq_2">#REF!</definedName>
    <definedName name="werqwerq_3">#REF!</definedName>
    <definedName name="werqwerq_4">#REF!</definedName>
    <definedName name="werrr" hidden="1">{#N/A,#N/A,FALSE,"Pharm";#N/A,#N/A,FALSE,"WWCM"}</definedName>
    <definedName name="wert">#REF!</definedName>
    <definedName name="wert_1">#REF!</definedName>
    <definedName name="wert1">#REF!</definedName>
    <definedName name="werth">#REF!</definedName>
    <definedName name="werth_1">#REF!</definedName>
    <definedName name="werty" hidden="1">#REF!</definedName>
    <definedName name="wertytyr" hidden="1">#REF!</definedName>
    <definedName name="wertyu" hidden="1">#REF!</definedName>
    <definedName name="werwe">#REF!</definedName>
    <definedName name="wesdfgf" hidden="1">{#N/A,#N/A,TRUE,"CPRD";#N/A,#N/A,TRUE,"BCCPDR";#N/A,#N/A,TRUE,"EWRD";#N/A,#N/A,TRUE,"5100";#N/A,#N/A,TRUE,"5110"}</definedName>
    <definedName name="westcs">#REF!</definedName>
    <definedName name="westfin">#REF!</definedName>
    <definedName name="westrenewal">#REF!</definedName>
    <definedName name="weth">#REF!</definedName>
    <definedName name="weth_1">#REF!</definedName>
    <definedName name="wetr" hidden="1">{#N/A,#N/A,FALSE,"Pharm";#N/A,#N/A,FALSE,"WWCM"}</definedName>
    <definedName name="wew">{"'Demand Units'!$Z$2:$AF$53"}</definedName>
    <definedName name="wewdew" hidden="1">{#N/A,#N/A,FALSE,"UNIT";#N/A,#N/A,FALSE,"UNIT";#N/A,#N/A,FALSE,"계정"}</definedName>
    <definedName name="wewewew" hidden="1">{#N/A,#N/A,FALSE,"UNIT";#N/A,#N/A,FALSE,"UNIT";#N/A,#N/A,FALSE,"계정"}</definedName>
    <definedName name="wewewewewwww" hidden="1">{#N/A,#N/A,FALSE,"UNIT";#N/A,#N/A,FALSE,"UNIT";#N/A,#N/A,FALSE,"계정"}</definedName>
    <definedName name="wewewewwwww" hidden="1">{#N/A,#N/A,FALSE,"UNIT";#N/A,#N/A,FALSE,"UNIT";#N/A,#N/A,FALSE,"계정"}</definedName>
    <definedName name="WGJDFHJ">#REF!</definedName>
    <definedName name="What" hidden="1">{#N/A,#N/A,FALSE,"MP Cover";#N/A,#N/A,FALSE,"MP Table of Contents";#N/A,#N/A,FALSE,"MP Metrics";"MP Mgmt Report",#N/A,FALSE,"P&amp;L- MP (w Seed)";#N/A,#N/A,FALSE,"P&amp;L- Landec";#N/A,#N/A,FALSE,"P&amp;L- Seed";"MP Mgmt Report",#N/A,FALSE,"Prod Line P&amp;L";#N/A,#N/A,FALSE,"MP (w Seed) BS";#N/A,#N/A,FALSE,"Cash Flow-MP (w Seed)"}</definedName>
    <definedName name="WHAT_3">#REF!</definedName>
    <definedName name="whatever">#REF!</definedName>
    <definedName name="whatever_1">#REF!</definedName>
    <definedName name="whatever_3">#REF!</definedName>
    <definedName name="whatever1">#REF!</definedName>
    <definedName name="whatisthis">#REF!</definedName>
    <definedName name="whatisthis_1">#REF!</definedName>
    <definedName name="whatisthis_2">#REF!</definedName>
    <definedName name="whatisthis_3">#REF!</definedName>
    <definedName name="whatisthis_4">#REF!</definedName>
    <definedName name="whatisthissss">#REF!</definedName>
    <definedName name="whatisthissss_1">#REF!</definedName>
    <definedName name="whatisthissss_2">#REF!</definedName>
    <definedName name="whatisthissss_3">#REF!</definedName>
    <definedName name="whatisthissss_4">#REF!</definedName>
    <definedName name="whatisthisssss">#REF!</definedName>
    <definedName name="whatisthisssss_1">#REF!</definedName>
    <definedName name="whatisthisssss_2">#REF!</definedName>
    <definedName name="whatisthisssss_3">#REF!</definedName>
    <definedName name="whatisthisssss_4">#REF!</definedName>
    <definedName name="whatsthis">#REF!</definedName>
    <definedName name="whatthehell">{"'Trend_Total'!$A$7:$V$10","'Trend_Total'!$A$1:$V$4"}</definedName>
    <definedName name="WHEN_PRINT">#REF!</definedName>
    <definedName name="whenever" hidden="1">{#N/A,#N/A,FALSE,"Australia";#N/A,#N/A,FALSE,"Austria";#N/A,#N/A,FALSE,"Belgium";#N/A,#N/A,FALSE,"Canada";#N/A,#N/A,FALSE,"France";#N/A,#N/A,FALSE,"Germany";#N/A,#N/A,FALSE,"Hong Kong";#N/A,#N/A,FALSE,"Italy";#N/A,#N/A,FALSE,"Japan";#N/A,#N/A,FALSE,"Korea";#N/A,#N/A,FALSE,"Mexico";#N/A,#N/A,FALSE,"Poland";#N/A,#N/A,FALSE,"Spain";#N/A,#N/A,FALSE,"Switzerland";#N/A,#N/A,FALSE,"UK"}</definedName>
    <definedName name="WHtax">#REF!</definedName>
    <definedName name="why" hidden="1">{#N/A,#N/A,FALSE,"Australia";#N/A,#N/A,FALSE,"Austria";#N/A,#N/A,FALSE,"Belgium";#N/A,#N/A,FALSE,"Canada";#N/A,#N/A,FALSE,"France";#N/A,#N/A,FALSE,"Germany";#N/A,#N/A,FALSE,"Hong Kong";#N/A,#N/A,FALSE,"Italy";#N/A,#N/A,FALSE,"Japan";#N/A,#N/A,FALSE,"Korea";#N/A,#N/A,FALSE,"Mexico";#N/A,#N/A,FALSE,"Poland";#N/A,#N/A,FALSE,"Spain";#N/A,#N/A,FALSE,"Switzerland";#N/A,#N/A,FALSE,"UK"}</definedName>
    <definedName name="WI">#REF!</definedName>
    <definedName name="wickley">#REF!</definedName>
    <definedName name="WID">#REF!</definedName>
    <definedName name="WIIII">#REF!</definedName>
    <definedName name="WIP">#REF!</definedName>
    <definedName name="WIPRO">#REF!</definedName>
    <definedName name="Wire">#REF!</definedName>
    <definedName name="WIRING">#REF!</definedName>
    <definedName name="WIRING..">#REF!</definedName>
    <definedName name="wix" hidden="1">{"'JANICE'!$B$155:$L$171"}</definedName>
    <definedName name="wjd" hidden="1">{#N/A,#N/A,FALSE,"BS";#N/A,#N/A,FALSE,"PL";#N/A,#N/A,FALSE,"처분";#N/A,#N/A,FALSE,"현금";#N/A,#N/A,FALSE,"매출";#N/A,#N/A,FALSE,"원가";#N/A,#N/A,FALSE,"경영"}</definedName>
    <definedName name="wjhat">#REF!</definedName>
    <definedName name="wkcopy">#REF!</definedName>
    <definedName name="wkd" hidden="1">{#N/A,#N/A,FALSE,"3가";#N/A,#N/A,FALSE,"3나";#N/A,#N/A,FALSE,"3다"}</definedName>
    <definedName name="wkd_3">#REF!</definedName>
    <definedName name="wkgk">#REF!</definedName>
    <definedName name="Wlmv">82197109.3305751</definedName>
    <definedName name="wn.06200">#REF!</definedName>
    <definedName name="wockhardt">#REF!</definedName>
    <definedName name="woob">"Warning! Out of Balance!"</definedName>
    <definedName name="wop" hidden="1">{#N/A,#N/A,FALSE,"Title";#N/A,#N/A,FALSE,"Index";#N/A,#N/A,FALSE,"1";#N/A,#N/A,FALSE,"2";#N/A,#N/A,FALSE,"3";#N/A,#N/A,FALSE,"4";#N/A,#N/A,FALSE,"5";#N/A,#N/A,FALSE,"5A";#N/A,#N/A,FALSE,"6";#N/A,#N/A,FALSE,"7";#N/A,#N/A,FALSE,"8"}</definedName>
    <definedName name="words">#REF!</definedName>
    <definedName name="WORK_CAP_FIN">#REF!</definedName>
    <definedName name="Work_Sheet">#REF!</definedName>
    <definedName name="work_type">#REF!</definedName>
    <definedName name="WORK1">#REF!</definedName>
    <definedName name="WORK2">#REF!</definedName>
    <definedName name="WORK3">#REF!</definedName>
    <definedName name="WorkbookName">"MSOPER.XLS"</definedName>
    <definedName name="WORKER">#REF!</definedName>
    <definedName name="workerscomp">#REF!</definedName>
    <definedName name="workexmw_pa">#REF!</definedName>
    <definedName name="workforce_drate">#REF!</definedName>
    <definedName name="Working_Area">#REF!</definedName>
    <definedName name="WORKING_CAPITAL">#REF!</definedName>
    <definedName name="WORKSHEET">#REF!</definedName>
    <definedName name="worldwide">#REF!</definedName>
    <definedName name="worldwidefin">#REF!</definedName>
    <definedName name="WP">"CommandButton2"</definedName>
    <definedName name="WP_SW">"CommandButton3"</definedName>
    <definedName name="WPL" hidden="1">{#N/A,#N/A,FALSE,"Aging Summary";#N/A,#N/A,FALSE,"Ratio Analysis";#N/A,#N/A,FALSE,"Test 120 Day Accts";#N/A,#N/A,FALSE,"Tickmarks"}</definedName>
    <definedName name="WPL_3">#REF!</definedName>
    <definedName name="wpw">#REF!</definedName>
    <definedName name="wq">#REF!</definedName>
    <definedName name="wqasd" hidden="1">{#N/A,#N/A,FALSE,"KMC최종회의(7월) 자료"}</definedName>
    <definedName name="wqe">#REF!</definedName>
    <definedName name="wqfges">#REF!</definedName>
    <definedName name="wqfges_1">#REF!</definedName>
    <definedName name="wqqwq">#REF!</definedName>
    <definedName name="wr">#REF!</definedName>
    <definedName name="wr.Full._.Model.2">#REF!</definedName>
    <definedName name="wrb">#REF!</definedName>
    <definedName name="wrd.2._.pagers.3">#REF!</definedName>
    <definedName name="wret">#REF!</definedName>
    <definedName name="wret_1">#REF!</definedName>
    <definedName name="wrg">#REF!</definedName>
    <definedName name="wrg_1">#REF!</definedName>
    <definedName name="wrgerger">#REF!</definedName>
    <definedName name="wrgerger_1">#REF!</definedName>
    <definedName name="wrgerger_2">#REF!</definedName>
    <definedName name="wrgerger_3">#REF!</definedName>
    <definedName name="wrgerger_4">#REF!</definedName>
    <definedName name="wrgr53gt3gtv">#REF!</definedName>
    <definedName name="wrgr53gt3gtv_1">#REF!</definedName>
    <definedName name="wrgr53gt3gtv_2">#REF!</definedName>
    <definedName name="wrgr53gt3gtv_3">#REF!</definedName>
    <definedName name="wrgr53gt3gtv_4">#REF!</definedName>
    <definedName name="WRI">#REF!</definedName>
    <definedName name="WRITBACK">#REF!</definedName>
    <definedName name="WriteUp_inventories">#REF!</definedName>
    <definedName name="WriteUp_otherCA">#REF!</definedName>
    <definedName name="WriteUp_otherCL">#REF!</definedName>
    <definedName name="WriteUp_otherLTA">#REF!</definedName>
    <definedName name="WriteUp_otherLTL">#REF!</definedName>
    <definedName name="WriteUp_payables">#REF!</definedName>
    <definedName name="WriteUP_PPE">#REF!</definedName>
    <definedName name="WriteUp_receivables">#REF!</definedName>
    <definedName name="writeupdeprec">#REF!</definedName>
    <definedName name="wrm.All.">#REF!</definedName>
    <definedName name="wrm.CashFlow.">#REF!</definedName>
    <definedName name="wrm.IncStmt.">#REF!</definedName>
    <definedName name="wrm.PL1990.">#REF!</definedName>
    <definedName name="wrm.PL1991.">#REF!</definedName>
    <definedName name="wrm.PL1992.">#REF!</definedName>
    <definedName name="wrm.PL1993.">#REF!</definedName>
    <definedName name="wrm.PL1994.">#REF!</definedName>
    <definedName name="wrm.PLVar.">#REF!</definedName>
    <definedName name="wrm.WorkCap.">#REF!</definedName>
    <definedName name="wrm.Y95current.">#REF!</definedName>
    <definedName name="wrm.Y95qtrs.">#REF!</definedName>
    <definedName name="wrn">#REF!</definedName>
    <definedName name="wrn." hidden="1">{"PL_no_inflated",#N/A,FALSE,"P&amp;L"}</definedName>
    <definedName name="wrn.???????._3">#REF!</definedName>
    <definedName name="wrn.????????._3">#REF!</definedName>
    <definedName name="wrn.??????????._3">#REF!</definedName>
    <definedName name="wrn.????94._3">#REF!</definedName>
    <definedName name="wrn.??94??._3">#REF!</definedName>
    <definedName name="wrn.0100._.Package">#REF!</definedName>
    <definedName name="wrn.0102._.package.">#REF!</definedName>
    <definedName name="wrn.0103._.package.">#REF!</definedName>
    <definedName name="wrn.0104._.package.">#REF!</definedName>
    <definedName name="wrn.0200._.Package">#REF!</definedName>
    <definedName name="wrn.0202._.package.">#REF!</definedName>
    <definedName name="wrn.0203._.package.">#REF!</definedName>
    <definedName name="wrn.0204._.package.">#REF!</definedName>
    <definedName name="wrn.0300._.Package">#REF!</definedName>
    <definedName name="wrn.0302._.package.">#REF!</definedName>
    <definedName name="wrn.0303._.package.">#REF!</definedName>
    <definedName name="wrn.0304._.package.">#REF!</definedName>
    <definedName name="wrn.0402._.package.">#REF!</definedName>
    <definedName name="wrn.0403._.package.">#REF!</definedName>
    <definedName name="wrn.0404._.package.">#REF!</definedName>
    <definedName name="wrn.0499._.Package.">#REF!</definedName>
    <definedName name="wrn.0502._.package.">#REF!</definedName>
    <definedName name="wrn.0503._.package.">#REF!</definedName>
    <definedName name="wrn.0504._.package.">#REF!</definedName>
    <definedName name="wrn.0602._.package.">#REF!</definedName>
    <definedName name="wrn.0603._.package.">#REF!</definedName>
    <definedName name="wrn.0604._.package.">#REF!</definedName>
    <definedName name="wrn.0699._.Package.">#REF!</definedName>
    <definedName name="wrn.0702._.package.">#REF!</definedName>
    <definedName name="wrn.0703._.package.">#REF!</definedName>
    <definedName name="wrn.0704._.package.">#REF!</definedName>
    <definedName name="wrn.0802._.package.">#REF!</definedName>
    <definedName name="wrn.0803._.package.">#REF!</definedName>
    <definedName name="wrn.0804._.package.">#REF!</definedName>
    <definedName name="wrn.0902._.package.">#REF!</definedName>
    <definedName name="wrn.0903._.package.">#REF!</definedName>
    <definedName name="wrn.0904._.package.">#REF!</definedName>
    <definedName name="wrn.1">#REF!</definedName>
    <definedName name="wrn.1.">#REF!</definedName>
    <definedName name="wrn.10.">#REF!</definedName>
    <definedName name="wrn.100._.Monthly._.Package.">#REF!</definedName>
    <definedName name="wrn.1002._.package.">#REF!</definedName>
    <definedName name="wrn.1003._.package.">#REF!</definedName>
    <definedName name="wrn.101.">#REF!</definedName>
    <definedName name="wrn.101._1">#REF!</definedName>
    <definedName name="wrn.1094stmts." hidden="1">{"ophigh",#N/A,FALSE,"OPHGH994.XLS"}</definedName>
    <definedName name="wrn.11.">#REF!</definedName>
    <definedName name="wrn.1102._.package.">#REF!</definedName>
    <definedName name="wrn.1111._.Report.">#REF!</definedName>
    <definedName name="wrn.111111" hidden="1">{#N/A,#N/A,FALSE,"Pharm";#N/A,#N/A,FALSE,"WWCM"}</definedName>
    <definedName name="wrn.111RPT._.AND._.BOARD._.PACKG." hidden="1">{#N/A,#N/A,FALSE,"SCHEDULES- board";#N/A,#N/A,FALSE,"BP-Q'S"}</definedName>
    <definedName name="wrn.111RPT._.AND._.BOARD._.PACKG._1">#REF!</definedName>
    <definedName name="wrn.12.">#REF!</definedName>
    <definedName name="wrn.1202._.package.">#REF!</definedName>
    <definedName name="wrn.13.">#REF!</definedName>
    <definedName name="wrn.14.">#REF!</definedName>
    <definedName name="wrn.15.">#REF!</definedName>
    <definedName name="wrn.16.">#REF!</definedName>
    <definedName name="wrn.17.">#REF!</definedName>
    <definedName name="wrn.18.">#REF!</definedName>
    <definedName name="wrn.19.">#REF!</definedName>
    <definedName name="wrn.1996._.BUDGET.">#REF!</definedName>
    <definedName name="wrn.1996._.Budget._.Support._.Schedules.">#REF!</definedName>
    <definedName name="wrn.1996._.BUDGET.1">#REF!</definedName>
    <definedName name="wrn.1996._.TO._.2004.">#REF!</definedName>
    <definedName name="wrn.1997._.Operations._.Budget._.All.">#REF!</definedName>
    <definedName name="wrn.1999._.Corporate.">#REF!</definedName>
    <definedName name="wrn.1999._.Funding.">#REF!</definedName>
    <definedName name="wrn.1999._.Grp._.Adjustments.">#REF!</definedName>
    <definedName name="wrn.1999._.Grp._.Consol.">#REF!</definedName>
    <definedName name="wrn.1999._.HTUK.">#REF!</definedName>
    <definedName name="wrn.1999._.International.">#REF!</definedName>
    <definedName name="wrn.1999._.OIDL.">#REF!</definedName>
    <definedName name="wrn.1999._.Trust.">#REF!</definedName>
    <definedName name="wrn.1st._.Quarter.">#REF!</definedName>
    <definedName name="wrn.1st._.Quarter._1">#REF!</definedName>
    <definedName name="wrn.1월속보." hidden="1">{#N/A,#N/A,FALSE,"표지&amp;목차";#N/A,#N/A,FALSE,"경영현황";#N/A,#N/A,FALSE,"매출현황";#N/A,#N/A,FALSE,"매출차이분석(양식)";#N/A,#N/A,FALSE,"손익현황";#N/A,#N/A,FALSE,"손익차이분석";#N/A,#N/A,FALSE,"제품별손익";#N/A,#N/A,FALSE,"재공재고";#N/A,#N/A,FALSE,"원가추이"}</definedName>
    <definedName name="wrn.2.">#REF!</definedName>
    <definedName name="wrn.2._.pagers.">#REF!</definedName>
    <definedName name="wrn.2._.pagers.2">#REF!</definedName>
    <definedName name="wrn.20.">#REF!</definedName>
    <definedName name="wrn.2000._.Corporate.">#REF!</definedName>
    <definedName name="wrn.2000._.Funding.">#REF!</definedName>
    <definedName name="wrn.2000._.Grp._.Adjustments.">#REF!</definedName>
    <definedName name="wrn.2000._.Grp._.Consol.">#REF!</definedName>
    <definedName name="wrn.2000._.HTUK.">#REF!</definedName>
    <definedName name="wrn.2000._.International.">#REF!</definedName>
    <definedName name="wrn.2000._.OIDL.">#REF!</definedName>
    <definedName name="wrn.2000._.Trust.">#REF!</definedName>
    <definedName name="wrn.21.">#REF!</definedName>
    <definedName name="wrn.22.">#REF!</definedName>
    <definedName name="wrn.23.">#REF!</definedName>
    <definedName name="wrn.24.">#REF!</definedName>
    <definedName name="wrn.25.">#REF!</definedName>
    <definedName name="wrn.26.">#REF!</definedName>
    <definedName name="wrn.27.">#REF!</definedName>
    <definedName name="wrn.28.">#REF!</definedName>
    <definedName name="wrn.29.">#REF!</definedName>
    <definedName name="wrn.2nd._.Quarter.">#REF!</definedName>
    <definedName name="wrn.2nd._.Quarter._1">#REF!</definedName>
    <definedName name="wrn.3.">#REF!</definedName>
    <definedName name="wrn.30.">#REF!</definedName>
    <definedName name="wrn.31.">#REF!</definedName>
    <definedName name="wrn.32.">#REF!</definedName>
    <definedName name="wrn.33.">#REF!</definedName>
    <definedName name="wrn.34.">#REF!</definedName>
    <definedName name="wrn.345." hidden="1">{#N/A,#N/A,FALSE,"96 3월물량표";#N/A,#N/A,FALSE,"96 4월물량표";#N/A,#N/A,FALSE,"96 5월물량표"}</definedName>
    <definedName name="wrn.35.">#REF!</definedName>
    <definedName name="wrn.36.">#REF!</definedName>
    <definedName name="wrn.37.">#REF!</definedName>
    <definedName name="wrn.38.">#REF!</definedName>
    <definedName name="wrn.39.">#REF!</definedName>
    <definedName name="wrn.3cases.">#REF!</definedName>
    <definedName name="wrn.3rd._.Quarter.">#REF!</definedName>
    <definedName name="wrn.3rd._.Quarter._1">#REF!</definedName>
    <definedName name="wrn.4.">#REF!</definedName>
    <definedName name="wrn.40.">#REF!</definedName>
    <definedName name="wrn.41.">#REF!</definedName>
    <definedName name="wrn.42.">#REF!</definedName>
    <definedName name="wrn.43.">#REF!</definedName>
    <definedName name="wrn.44.">#REF!</definedName>
    <definedName name="wrn.45.">#REF!</definedName>
    <definedName name="wrn.46.">#REF!</definedName>
    <definedName name="wrn.47.">#REF!</definedName>
    <definedName name="wrn.48.">#REF!</definedName>
    <definedName name="wrn.49.">#REF!</definedName>
    <definedName name="wrn.4th._.Quarter.">#REF!</definedName>
    <definedName name="wrn.4th._.Quarter._1">#REF!</definedName>
    <definedName name="wrn.5.">#REF!</definedName>
    <definedName name="wrn.50.">#REF!</definedName>
    <definedName name="wrn.50._.50.">#REF!</definedName>
    <definedName name="wrn.51.">#REF!</definedName>
    <definedName name="wrn.51_8.">#REF!</definedName>
    <definedName name="wrn.52.">#REF!</definedName>
    <definedName name="wrn.53.">#REF!</definedName>
    <definedName name="wrn.54.">#REF!</definedName>
    <definedName name="wrn.55.">#REF!</definedName>
    <definedName name="wrn.56.">#REF!</definedName>
    <definedName name="wrn.57.">#REF!</definedName>
    <definedName name="wrn.58.">#REF!</definedName>
    <definedName name="wrn.59.">#REF!</definedName>
    <definedName name="wrn.6.">#REF!</definedName>
    <definedName name="wrn.60.">#REF!</definedName>
    <definedName name="wrn.61.">#REF!</definedName>
    <definedName name="wrn.62.">#REF!</definedName>
    <definedName name="wrn.63.">#REF!</definedName>
    <definedName name="wrn.64.">#REF!</definedName>
    <definedName name="wrn.65.">#REF!</definedName>
    <definedName name="wrn.66.">#REF!</definedName>
    <definedName name="wrn.67.">#REF!</definedName>
    <definedName name="wrn.68.">#REF!</definedName>
    <definedName name="wrn.69.">#REF!</definedName>
    <definedName name="wrn.7.">#REF!</definedName>
    <definedName name="wrn.70.">#REF!</definedName>
    <definedName name="wrn.71.">#REF!</definedName>
    <definedName name="wrn.72.">#REF!</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#REF!</definedName>
    <definedName name="wrn.82603._.Rebound._.2002._.August._.MC._.Update.">#REF!</definedName>
    <definedName name="wrn.9.">#REF!</definedName>
    <definedName name="wrn.905" hidden="1">{#N/A,#N/A,FALSE,"REPORT"}</definedName>
    <definedName name="wrn.95PROV.">#REF!</definedName>
    <definedName name="wrn.95PROV._1">#REF!</definedName>
    <definedName name="wrn.95PROV._3">#REF!</definedName>
    <definedName name="wrn.95년도결산보고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wrn.96_model.">#REF!</definedName>
    <definedName name="wrn.99999" hidden="1">{#N/A,#N/A,FALSE,"REPORT"}</definedName>
    <definedName name="wrn.A.">#REF!</definedName>
    <definedName name="wrn.A.._.1263._.yr._.1." hidden="1">{#N/A,#N/A,FALSE,"1263 yr1"}</definedName>
    <definedName name="wrn.A.._.Print._.All.">#REF!</definedName>
    <definedName name="wrn.A._1">#REF!</definedName>
    <definedName name="wrn.A._2">#REF!</definedName>
    <definedName name="wrn.A._3">#REF!</definedName>
    <definedName name="wrn.A._4">#REF!</definedName>
    <definedName name="wrn.A_VALUATION.">#REF!</definedName>
    <definedName name="wrn.A_VALUATION._1">#REF!</definedName>
    <definedName name="wrn.A_VALUATION._2">#REF!</definedName>
    <definedName name="wrn.A_VALUATION._3">#REF!</definedName>
    <definedName name="wrn.A_VALUATION._4">#REF!</definedName>
    <definedName name="wrn.A4BSSCH.">#REF!</definedName>
    <definedName name="wrn.A4PL.">#REF!</definedName>
    <definedName name="wrn.aa." hidden="1">{#N/A,#N/A,FALSE,"UNIT";#N/A,#N/A,FALSE,"UNIT";#N/A,#N/A,FALSE,"계정"}</definedName>
    <definedName name="wrn.aaa" hidden="1">{#N/A,#N/A,FALSE,"Pharm";#N/A,#N/A,FALSE,"WWCM"}</definedName>
    <definedName name="wrn.aaaaaaa" hidden="1">{#N/A,#N/A,FALSE,"Pharm";#N/A,#N/A,FALSE,"WWCM"}</definedName>
    <definedName name="wrn.abc" hidden="1">{#N/A,#N/A,FALSE,"Index";#N/A,#N/A,FALSE,"IncStmt";#N/A,#N/A,FALSE,"Ratios";#N/A,#N/A,FALSE,"CashFlows";#N/A,#N/A,FALSE,"Ins1";#N/A,#N/A,FALSE,"Ins2";#N/A,#N/A,FALSE,"SelfFund";#N/A,#N/A,FALSE,"SGA";#N/A,#N/A,FALSE,"Recon";#N/A,#N/A,FALSE,"Earnings";#N/A,#N/A,FALSE,"Earnings (2)";#N/A,#N/A,FALSE,"Stock";#N/A,#N/A,FALSE,"Stock (2)";#N/A,#N/A,FALSE,"PeerRatios";#N/A,#N/A,FALSE,"PeerRanks"}</definedName>
    <definedName name="wrn.Acc._.Misc._.Expenses.">#REF!</definedName>
    <definedName name="wrn.Accounts.">#REF!</definedName>
    <definedName name="wrn.Accounts._.Receivable._.Aging._.Sc">#REF!</definedName>
    <definedName name="wrn.Accounts._.Receivable._.Aging._.Schedule.">#REF!</definedName>
    <definedName name="wrn.Accounts._1">#REF!</definedName>
    <definedName name="wrn.Accounts._2">#REF!</definedName>
    <definedName name="wrn.Accounts._3">#REF!</definedName>
    <definedName name="wrn.Accounts._4">#REF!</definedName>
    <definedName name="wrn.Accr_Dil.">#REF!</definedName>
    <definedName name="wrn.Accr_Dil._1">#REF!</definedName>
    <definedName name="wrn.Accr_Dil._2">#REF!</definedName>
    <definedName name="wrn.Accr_Dil._3">#REF!</definedName>
    <definedName name="wrn.Accr_Dil._4">#REF!</definedName>
    <definedName name="wrn.Accretion.">#REF!</definedName>
    <definedName name="wrn.Accretion._.Dilution.">#REF!</definedName>
    <definedName name="wrn.Accretion._.Dilution._split">#REF!</definedName>
    <definedName name="wrn.Accrued._.Medical.">#REF!</definedName>
    <definedName name="wrn.accsum." hidden="1">{#N/A,#N/A,FALSE,"Acctg";#N/A,#N/A,FALSE,"Total"}</definedName>
    <definedName name="wrn.accsum._1">#REF!</definedName>
    <definedName name="wrn.accsum._3">#REF!</definedName>
    <definedName name="wrn.ACCTRECONS.">#REF!</definedName>
    <definedName name="wrn.ACHESON94TAXRETURN." hidden="1">{#N/A,#N/A,FALSE,"일반적사항";#N/A,#N/A,FALSE,"주요재무자료";#N/A,#N/A,FALSE,"표지";#N/A,#N/A,FALSE,"총괄표";#N/A,#N/A,FALSE,"1호 과표세액";#N/A,#N/A,FALSE,"1-2호 농어촌과표";#N/A,#N/A,FALSE,"2호 서식";#N/A,#N/A,FALSE,"3(1)호 공제감면";#N/A,#N/A,FALSE,"임시특별감면";#N/A,#N/A,FALSE,"3(1)부7 기업합리";#N/A,#N/A,FALSE,"3(3)호(갑) 원천납부";#N/A,#N/A,FALSE,"5호 농어촌";#N/A,#N/A,FALSE,"6호 소득금액";#N/A,#N/A,FALSE,"6호 첨부(익)";#N/A,#N/A,FALSE,"6호 첨부(손)";#N/A,#N/A,FALSE,"6-1호 수입금액";#N/A,#N/A,FALSE,"6-3호 퇴충";#N/A,#N/A,FALSE,"6-3(4)호 대손";#N/A,#N/A,FALSE,"6-4호 접대(갑)";#N/A,#N/A,FALSE,"6-4호 접대(을)";#N/A,#N/A,FALSE,"6-6호(부표) 자본적지출";#N/A,#N/A,FALSE,"6-10호 재고자산";#N/A,#N/A,FALSE,"6-11호 세금과공과";#N/A,#N/A,FALSE,"6-12호 선급비용";#N/A,#N/A,FALSE,"6-14호 부동산보유";#N/A,#N/A,FALSE,"9호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wrn.ACHESON94TAXRETURN._1">#REF!</definedName>
    <definedName name="wrn.ACHESON94TAXRETURN._3">#REF!</definedName>
    <definedName name="wrn.AcqState.">#REF!</definedName>
    <definedName name="wrn.AcqState._1">#REF!</definedName>
    <definedName name="wrn.AcqState._2">#REF!</definedName>
    <definedName name="wrn.AcqState._3">#REF!</definedName>
    <definedName name="wrn.AcqState._4">#REF!</definedName>
    <definedName name="wrn.AcqState1">#REF!</definedName>
    <definedName name="wrn.Acquiror.">#REF!</definedName>
    <definedName name="wrn.Acquiror._1">#REF!</definedName>
    <definedName name="wrn.Acquiror._2">#REF!</definedName>
    <definedName name="wrn.Acquiror._3">#REF!</definedName>
    <definedName name="wrn.Acquiror._4">#REF!</definedName>
    <definedName name="wrn.AcqVal.">#REF!</definedName>
    <definedName name="wrn.AcqVal._1">#REF!</definedName>
    <definedName name="wrn.AcqVal._2">#REF!</definedName>
    <definedName name="wrn.AcqVal._3">#REF!</definedName>
    <definedName name="wrn.AcqVal._4">#REF!</definedName>
    <definedName name="wrn.actual">#REF!</definedName>
    <definedName name="wrn.Actual._.Data._.Entry.">#REF!</definedName>
    <definedName name="wrn.actual_2">#REF!</definedName>
    <definedName name="wrn.Additonal.">#REF!</definedName>
    <definedName name="wrn.Additonal._1">#REF!</definedName>
    <definedName name="wrn.adj95.">#REF!</definedName>
    <definedName name="wrn.Adjustments.">#REF!</definedName>
    <definedName name="wrn.Admin.">#REF!</definedName>
    <definedName name="wrn.admin._.budget._.1997.">#REF!</definedName>
    <definedName name="wrn.af">#REF!</definedName>
    <definedName name="wrn.Aging._.and._.Trend._.Analysis.">#REF!</definedName>
    <definedName name="wrn.Aging._.and._.Trend._.Analysis._1">#REF!</definedName>
    <definedName name="wrn.Aging._.and._.Trend._.Analysis._3">#REF!</definedName>
    <definedName name="wrn.Aging._.and._.Trend._.Analysis._3_1">#REF!</definedName>
    <definedName name="wrn.Aging._.and._.Trend._.Analysis._5">#REF!</definedName>
    <definedName name="wrn.Aging._.and._.Trend._.Analysis._5_1">#REF!</definedName>
    <definedName name="wrn.Aging._.and._.Trend._.Analysis._6">#REF!</definedName>
    <definedName name="wrn.Aging._.and._.Trend._.Analysis._6_1">#REF!</definedName>
    <definedName name="wrn.Aging._.and_.Trend._.Analysis._4">#REF!</definedName>
    <definedName name="wrn.Aging._.and_.Trend._.Analysis._4_1">#REF!</definedName>
    <definedName name="wrn.Aging._and._.Trend._.Analysis">#REF!</definedName>
    <definedName name="wrn.Aging._and._.Trend._.Analysis_1">#REF!</definedName>
    <definedName name="wrn.ahfstep.">#REF!</definedName>
    <definedName name="wrn.AHFYLD.">#REF!</definedName>
    <definedName name="wrn.ALAN.">#REF!</definedName>
    <definedName name="wrn.Alan._.Report.">#REF!</definedName>
    <definedName name="wrn.Alex.">#REF!</definedName>
    <definedName name="wrn.ALL.">#REF!</definedName>
    <definedName name="wrn.ALL._....original.">#REF!</definedName>
    <definedName name="wrn.ALL._....original._1">#REF!</definedName>
    <definedName name="wrn.ALL._.6." hidden="1">{"PRVSN",#N/A,FALSE,"Q196";"PRVSN",#N/A,FALSE,"Q296";"PRVSN",#N/A,FALSE,"Q396";"PRVSN",#N/A,FALSE,"Q496";"VARIANCES",#N/A,FALSE,"Q196";"VARIANCES",#N/A,FALSE,"Q296"}</definedName>
    <definedName name="wrn.All._.Audit.">#REF!</definedName>
    <definedName name="wrn.all._.comps.">#REF!</definedName>
    <definedName name="wrn.All._.Countries.">#REF!</definedName>
    <definedName name="wrn.All._.Countries._1">#REF!</definedName>
    <definedName name="wrn.All._.Countries._3">#REF!</definedName>
    <definedName name="wrn.all._.gulp._.sheets.">#REF!</definedName>
    <definedName name="wrn.all._.gulp._.sheets._1">#REF!</definedName>
    <definedName name="wrn.all._.gulp._.sheets._2">#REF!</definedName>
    <definedName name="wrn.all._.gulp._.sheets._3">#REF!</definedName>
    <definedName name="wrn.all._.gulp._.sheets._4">#REF!</definedName>
    <definedName name="wrn.all._.input.">#REF!</definedName>
    <definedName name="wrn.all._.input._1">#REF!</definedName>
    <definedName name="wrn.all._.input._2">#REF!</definedName>
    <definedName name="wrn.all._.input._3">#REF!</definedName>
    <definedName name="wrn.all._.input._4">#REF!</definedName>
    <definedName name="wrn.All._.Models.">#REF!</definedName>
    <definedName name="wrn.All._.Pages.">#REF!</definedName>
    <definedName name="wrn.All._.Pages._1">#REF!</definedName>
    <definedName name="wrn.ALL._.PAGES._2">#REF!</definedName>
    <definedName name="wrn.ALL._.PAGES._3">#REF!</definedName>
    <definedName name="wrn.ALL._.PAGES._4">#REF!</definedName>
    <definedName name="wrn.ALL._.PAGES._5">#REF!</definedName>
    <definedName name="wrn.all._.print.">#REF!</definedName>
    <definedName name="wrn.All._.Reports.">#REF!</definedName>
    <definedName name="wrn.all._.sheets.">#REF!</definedName>
    <definedName name="wrn.ALL._.SHEETS._1">#REF!</definedName>
    <definedName name="wrn.ALL._.SHEETS._2">#REF!</definedName>
    <definedName name="wrn.ALL._.SHEETS._3">#REF!</definedName>
    <definedName name="wrn.ALL._.SHEETS._4">#REF!</definedName>
    <definedName name="wrn.All._.Worksheets.">#REF!</definedName>
    <definedName name="wrn.All._.Worksheets._1">#REF!</definedName>
    <definedName name="wrn.All._.Worksheets._2">#REF!</definedName>
    <definedName name="wrn.All._.Worksheets._3">#REF!</definedName>
    <definedName name="wrn.All._.Worksheets._4">#REF!</definedName>
    <definedName name="wrn.ALL._1">#REF!</definedName>
    <definedName name="wrn.ALL._2">#REF!</definedName>
    <definedName name="wrn.ALL._3">#REF!</definedName>
    <definedName name="wrn.ALL._4">#REF!</definedName>
    <definedName name="wrn.All_Models.">#REF!</definedName>
    <definedName name="wrn.All_Models._1">#REF!</definedName>
    <definedName name="wrn.All_Models._2">#REF!</definedName>
    <definedName name="wrn.All_Models._3">#REF!</definedName>
    <definedName name="wrn.All_Models._4">#REF!</definedName>
    <definedName name="wrn.All_Sheets.">#REF!</definedName>
    <definedName name="wrn.All_Sheets._1">#REF!</definedName>
    <definedName name="wrn.All_Sheets._2">#REF!</definedName>
    <definedName name="wrn.All_Sheets._3">#REF!</definedName>
    <definedName name="wrn.All_Sheets._4">#REF!</definedName>
    <definedName name="wrn.ALLbutPREMIUM.">#REF!</definedName>
    <definedName name="wrn.ALLbutPREMIUM._1">#REF!</definedName>
    <definedName name="wrn.ALLbutPREMIUM._2">#REF!</definedName>
    <definedName name="wrn.ALLbutPREMIUM._3">#REF!</definedName>
    <definedName name="wrn.ALLbutPREMIUM._4">#REF!</definedName>
    <definedName name="wrn.alle._.Anlagen." hidden="1">{#N/A,#N/A,FALSE,"3";#N/A,#N/A,FALSE,"G+V";#N/A,#N/A,FALSE,"Bilanz";#N/A,#N/A,FALSE,"Steuern";#N/A,#N/A,FALSE,"Zuundab";#N/A,#N/A,FALSE,"ASP2";#N/A,#N/A,FALSE,"Gesellkto"}</definedName>
    <definedName name="wrn.allitems.">#REF!</definedName>
    <definedName name="wrn.AllModels.">#REF!</definedName>
    <definedName name="wrn.AllModels._1">#REF!</definedName>
    <definedName name="wrn.AllModels._2">#REF!</definedName>
    <definedName name="wrn.AllModels._3">#REF!</definedName>
    <definedName name="wrn.AllModels._4">#REF!</definedName>
    <definedName name="wrn.allnew">#REF!</definedName>
    <definedName name="wrn.ALLPAG.">#REF!</definedName>
    <definedName name="wrn.allpages.">#REF!</definedName>
    <definedName name="wrn.America._.Online.">#REF!</definedName>
    <definedName name="wrn.Amortization.">#REF!</definedName>
    <definedName name="wrn.AMTNOL.">#REF!</definedName>
    <definedName name="wrn.AMTNOL._1">#REF!</definedName>
    <definedName name="wrn.AMTNOL._3">#REF!</definedName>
    <definedName name="wrn.Analyze." hidden="1">{"Analysis",#N/A,FALSE,"DETAIL"}</definedName>
    <definedName name="wrn.Annual_n_Quarterly.">#REF!</definedName>
    <definedName name="WRN.ARCCYLD2003">#REF!</definedName>
    <definedName name="wrn.ARCSTEP.">#REF!</definedName>
    <definedName name="wrn.ARCYLD.">#REF!</definedName>
    <definedName name="wrn.ASN.">#REF!</definedName>
    <definedName name="wrn.ASO.">#REF!</definedName>
    <definedName name="wrn.ASO1.">#REF!</definedName>
    <definedName name="wrn.Assumptions.">#REF!</definedName>
    <definedName name="wrn.Assumptions._.Report." hidden="1">{"Client Production Assumptions",#N/A,TRUE,"Assumptions";"Summary Assumptions",#N/A,TRUE,"Assumptions"}</definedName>
    <definedName name="wrn.ASTLST." hidden="1">{"ASTLST",#N/A,FALSE,"AstLst"}</definedName>
    <definedName name="wrn.astlst2" hidden="1">{"ASTLST",#N/A,FALSE,"AstLst"}</definedName>
    <definedName name="wrn.AU._.검사성적서." hidden="1">{#N/A,#N/A,FALSE,"을지 (4)";#N/A,#N/A,FALSE,"을지 (5)";#N/A,#N/A,FALSE,"을지 (6)"}</definedName>
    <definedName name="wrn.AU._.초도품._.보증서." hidden="1">{#N/A,#N/A,FALSE,"초도품";#N/A,#N/A,FALSE,"초도품 (2)";#N/A,#N/A,FALSE,"초도품 (3)";#N/A,#N/A,FALSE,"초도품 (4)";#N/A,#N/A,FALSE,"초도품 (5)";#N/A,#N/A,FALSE,"초도품 (6)"}</definedName>
    <definedName name="wrn.audit._.adjustments.">#REF!</definedName>
    <definedName name="wrn.audit._.adjustments._1">#REF!</definedName>
    <definedName name="wrn.audit._.adjustments._3">#REF!</definedName>
    <definedName name="wrn.Auto._.Comp.">#REF!</definedName>
    <definedName name="wrn.away.">#REF!</definedName>
    <definedName name="wrn.B.._.1263._.yr2." hidden="1">{#N/A,#N/A,FALSE,"1263 yr2"}</definedName>
    <definedName name="wrn.B.._.Qtr._.of._.Responsibility.">#REF!</definedName>
    <definedName name="wrn.ba.">#REF!</definedName>
    <definedName name="wrn.backup.">#REF!</definedName>
    <definedName name="wrn.balance._.sheet.">#REF!</definedName>
    <definedName name="wrn.Balance._.sheet._.and._.cashflow.">#REF!</definedName>
    <definedName name="wrn.Balance._.Sheet._.Qtr._.Workbook." hidden="1">{#N/A,#N/A,FALSE,"Checklist";#N/A,#N/A,FALSE,"Balance Sheet";#N/A,#N/A,FALSE,"COC - Quarterly";#N/A,#N/A,FALSE,"COC - Year-To-Date";#N/A,#N/A,FALSE,"AR Aging";#N/A,#N/A,FALSE,"Other AR";#N/A,#N/A,FALSE,"Fixed Assets";#N/A,#N/A,FALSE,"Inventory_LC";#N/A,#N/A,FALSE,"Inventory_Units";#N/A,#N/A,FALSE,"Income Tax Schedule";#N/A,#N/A,FALSE,"Interco. Detail";#N/A,#N/A,FALSE,"Interco. Summary";#N/A,#N/A,FALSE,"Interco. Sales &amp; GP";#N/A,#N/A,FALSE,"Due dates";#N/A,#N/A,FALSE,"Policies"}</definedName>
    <definedName name="wrn.Balance._.Sheet._.Qtr._.Workbook._1">#REF!</definedName>
    <definedName name="wrn.Balance._.Sheet._.Qtr._.Workbook._3">#REF!</definedName>
    <definedName name="wrn.balance._.sheet2.">#REF!</definedName>
    <definedName name="wrn.balance._.sheet3.">#REF!</definedName>
    <definedName name="wrn.balance._.sheet4.">#REF!</definedName>
    <definedName name="wrn.balance._sheet2.">#REF!</definedName>
    <definedName name="wrn.Balance_Sheet">#REF!</definedName>
    <definedName name="wrn.Balance_Sheet." hidden="1">{"bs",#N/A,FALSE,"Balance Sheet"}</definedName>
    <definedName name="wrn.Balsheet." hidden="1">{#N/A,#N/A,FALSE,"Sheet1"}</definedName>
    <definedName name="wrn.Balsheet.1" hidden="1">{#N/A,#N/A,FALSE,"Sheet1"}</definedName>
    <definedName name="wrn.BalshtCshflw.">#REF!</definedName>
    <definedName name="wrn.Bank._.Package." hidden="1">{"IS no EPS",#N/A,FALSE,"FINANCIALS";"Bal Sheet P1",#N/A,FALSE,"FINANCIALS";"Bal Sheet P2",#N/A,FALSE,"FINANCIALS";"Bal Sheet Ratios",#N/A,FALSE,"FINANCIALS";"Cash Flow Stmt",#N/A,FALSE,"FINANCIALS"}</definedName>
    <definedName name="wrn.Bankers.">#REF!</definedName>
    <definedName name="wrn.BARRIERS.">#REF!</definedName>
    <definedName name="wrn.barthelet._.resp._.profit.">#REF!</definedName>
    <definedName name="wrn.barthelet._.resp._.profit.cc">#REF!</definedName>
    <definedName name="wrn.barthelet._.resp._.profit.eu">#REF!</definedName>
    <definedName name="wrn.Base_Middle_Drivers.">#REF!</definedName>
    <definedName name="wrn.Basic." hidden="1">{#N/A,#N/A,FALSE,"Cover";#N/A,#N/A,FALSE,"Assumptions";#N/A,#N/A,FALSE,"Acquirer";#N/A,#N/A,FALSE,"Target";#N/A,#N/A,FALSE,"Income Statement";#N/A,#N/A,FALSE,"Summary Tables"}</definedName>
    <definedName name="wrn.Basic._.Division._.Small.">#REF!</definedName>
    <definedName name="wrn.Basic._.Report.">#REF!</definedName>
    <definedName name="wrn.Basic._1">#REF!</definedName>
    <definedName name="wrn.BasicModel.">#REF!</definedName>
    <definedName name="wrn.basics.">#REF!</definedName>
    <definedName name="wrn.basics._1">#REF!</definedName>
    <definedName name="wrn.basics._2">#REF!</definedName>
    <definedName name="wrn.basics._3">#REF!</definedName>
    <definedName name="wrn.basics._4">#REF!</definedName>
    <definedName name="wrn.BCG._.All._.Periods.">#REF!</definedName>
    <definedName name="wrn.BCG._.All._.Periods._1">#REF!</definedName>
    <definedName name="wrn.BEAVERTON.">#REF!</definedName>
    <definedName name="wrn.BEAVERTON._1">#REF!</definedName>
    <definedName name="wrn.Belgium_Total.">#REF!</definedName>
    <definedName name="wrn.BelgSummary.">#REF!</definedName>
    <definedName name="wrn.Berichtsteil." hidden="1">{#N/A,#N/A,FALSE,"EÜ";#N/A,#N/A,FALSE,"VÜ";#N/A,#N/A,FALSE,"MFR";#N/A,#N/A,FALSE,"sonstige Rückstellungen"}</definedName>
    <definedName name="wrn.BidCo.">#REF!</definedName>
    <definedName name="wrn.BidCo._1">#REF!</definedName>
    <definedName name="wrn.BidCo._2">#REF!</definedName>
    <definedName name="wrn.BidCo._3">#REF!</definedName>
    <definedName name="wrn.BidCo._4">#REF!</definedName>
    <definedName name="wrn.BKK._.Assembly._.Capacity._.Statement.">#REF!</definedName>
    <definedName name="wrn.BL94TAXRETURN." hidden="1">{#N/A,#N/A,FALSE,"일반적사항";#N/A,#N/A,FALSE,"주요재무자료";#N/A,#N/A,FALSE,"10(2)호 소득공제";#N/A,#N/A,FALSE,"표지";#N/A,#N/A,FALSE,"총괄표";#N/A,#N/A,FALSE,"1호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PL";#N/A,#N/A,FALSE,"요약원가";#N/A,#N/A,FALSE,"요약RE";#N/A,#N/A,FALSE,"60호 을 적정유보";#N/A,#N/A,FALSE,"60호 갑 적정유보";#N/A,#N/A,FALSE,"표지";#N/A,#N/A,FALSE,"총괄표";#N/A,#N/A,FALSE,"1호 과표세액";#N/A,#N/A,FALSE,"1호 과표세액";#N/A,#N/A,FALSE,"1호 과표세액";#N/A,#N/A,FALSE,"1-2호 농어촌과표";#N/A,#N/A,FALSE,"2호 서식";#N/A,#N/A,FALSE,"2호부표 최저한세";#N/A,#N/A,FALSE,"3(1)호 공제감면";#N/A,#N/A,FALSE,"3(1) 부1 공제감면";#N/A,#N/A,FALSE,"3(1) 부2 공제감면";#N/A,#N/A,FALSE,"3(1) 부3 세액조정";#N/A,#N/A,FALSE,"3(1) 부4 공제감면";#N/A,#N/A,FALSE,"3호 임시투자공제";#N/A,#N/A,FALSE,"3(1)부7 기업합리";#N/A,#N/A,FALSE,"3(3)호(갑) 원천납부";#N/A,#N/A,FALSE,"5호 농어촌";#N/A,#N/A,FALSE,"6호 소득금액";#N/A,#N/A,FALSE,"6호 첨부(익)";#N/A,#N/A,FALSE,"6-1호 수입금액";#N/A,#N/A,FALSE,"6-1호 수입금액";#N/A,#N/A,FALSE,"6-3호 퇴충";#N/A,#N/A,FALSE,"6-3(3)호 단퇴";#N/A,#N/A,FALSE,"6-3(4)호 대손";#N/A,#N/A,FALSE,"6-4호 접대(갑)";#N/A,#N/A,FALSE,"6-4호 접대(을)";#N/A,#N/A,FALSE,"6-5호 외화(갑)";#N/A,#N/A,FALSE,"6-5호 외화(을)";#N/A,#N/A,FALSE,"6-6호(부표) 자본적지출";#N/A,#N/A,FALSE,"6-10호 재고자산";#N/A,#N/A,FALSE,"6-11호 세금과공과";#N/A,#N/A,FALSE,"6-12호 선급비용";#N/A,#N/A,FALSE,"9호 자본금(갑)";#N/A,#N/A,FALSE,"9호 자본금(을)";#N/A,#N/A,FALSE,"10(2)호 소득공제";#N/A,#N/A,FALSE,"10(3)호 부표";#N/A,#N/A,FALSE,"10(3)호 주요계정";#N/A,#N/A,FALSE,"10(4)호 조정수입";#N/A,#N/A,FALSE,"14(1)호 갑 주식";#N/A,#N/A,FALSE,"59호 해외특수";#N/A,#N/A,FALSE,"60호 갑 적정유보";#N/A,#N/A,FALSE,"60호 을 적정유보";#N/A,#N/A,FALSE,"요약 BS";#N/A,#N/A,FALSE,"요약 PL";#N/A,#N/A,FALSE,"요약원가";#N/A,#N/A,FALSE,"요약RE";#N/A,#N/A,FALSE,"요약RE"}</definedName>
    <definedName name="wrn.BL94TAXRETURN._1">#REF!</definedName>
    <definedName name="wrn.BL94TAXRETURN._3">#REF!</definedName>
    <definedName name="wrn.blabla.">#REF!</definedName>
    <definedName name="wrn.Blue._.Book._.Dec.">#REF!</definedName>
    <definedName name="wrn.Blue._.Book._.Feb._.01.">#REF!</definedName>
    <definedName name="wrn.Blue._.Book._.Feb._.01._1">#REF!</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ard.">#REF!</definedName>
    <definedName name="wrn.BOARD._.PACK." hidden="1">{#N/A,#N/A,FALSE,"SCHEDULES- board";#N/A,#N/A,FALSE,"STMT 100"}</definedName>
    <definedName name="wrn.BOARD._.PACK._1">#REF!</definedName>
    <definedName name="wrn.Board._.Summary.">#REF!</definedName>
    <definedName name="wrn.book.">#REF!</definedName>
    <definedName name="wrn.BOOKINGS_BOOKWEEK." hidden="1">{#N/A,#N/A,FALSE,"REVBOOKWEEK";#N/A,#N/A,FALSE,"REVBOOKINGS"}</definedName>
    <definedName name="wrn.both._.pages.">#REF!</definedName>
    <definedName name="wrn.brazil." hidden="1">{"brazilinstallation",#N/A,FALSE,"Brazil";"brazilwarranty",#N/A,FALSE,"Brazil"}</definedName>
    <definedName name="wrn.brian.">#REF!</definedName>
    <definedName name="wrn.BRIDGE._.REPORTS.">#REF!</definedName>
    <definedName name="wrn.bs.com.">#REF!</definedName>
    <definedName name="wrn.BSA4.">#REF!</definedName>
    <definedName name="wrn.BSHT." hidden="1">{"BSHT",#N/A,FALSE,"B-Sht"}</definedName>
    <definedName name="wrn.bsht2" hidden="1">{"BSHT",#N/A,FALSE,"B-Sht"}</definedName>
    <definedName name="wrn.BT._.CIT." hidden="1">{#N/A,#N/A,FALSE,"Master";#N/A,#N/A,FALSE,"EXP-STATEMENT";#N/A,#N/A,FALSE,"CIT-RETURN";#N/A,#N/A,FALSE,"BT&amp;CIT-COM";#N/A,#N/A,FALSE,"BT-RETURN";#N/A,#N/A,FALSE,"LT-RETURN"}</definedName>
    <definedName name="wrn.BT._.Sch._.M._.Detail.">#REF!</definedName>
    <definedName name="wrn.BT_CIT." hidden="1">{#N/A,#N/A,FALSE,"Master";#N/A,#N/A,FALSE,"EXP-STATEMENT";#N/A,#N/A,FALSE,"BT&amp;CIT-COM";#N/A,#N/A,FALSE,"CIT-RETURN";#N/A,#N/A,FALSE,"BT-RETURN"}</definedName>
    <definedName name="wrn.BTCIT." hidden="1">{#N/A,#N/A,FALSE,"EXP-STATEMENT (BT)";#N/A,#N/A,FALSE,"CIT-RETURN";#N/A,#N/A,FALSE,"CIT-COM";#N/A,#N/A,FALSE,"BT-RETURN";#N/A,#N/A,FALSE,"BT-COM";#N/A,#N/A,FALSE,"FLOOD RETURN";#N/A,#N/A,FALSE,"EXP-STATEMENT (CIT)"}</definedName>
    <definedName name="wrn.BU.">#REF!</definedName>
    <definedName name="wrn.Buchwerk." hidden="1">{#N/A,#N/A,FALSE,"Umb";#N/A,#N/A,FALSE,"HÜ";#N/A,#N/A,FALSE,"sonst.A.";#N/A,#N/A,FALSE,"Kontr.";#N/A,#N/A,FALSE,"Steuern"}</definedName>
    <definedName name="wrn.Budget.">#REF!</definedName>
    <definedName name="wrn.Buildups.">#REF!</definedName>
    <definedName name="wrn.bullshit1.">#REF!</definedName>
    <definedName name="wrn.bullshit1._1">#REF!</definedName>
    <definedName name="wrn.bullshit1._2">#REF!</definedName>
    <definedName name="wrn.bullshit1._3">#REF!</definedName>
    <definedName name="wrn.bullshit1._4">#REF!</definedName>
    <definedName name="wrn.BUS._.RPT." hidden="1">{#N/A,#N/A,FALSE,"P&amp;L Ttl";#N/A,#N/A,FALSE,"P&amp;L C_Ttl New";#N/A,#N/A,FALSE,"Bus Res";#N/A,#N/A,FALSE,"Chrts";#N/A,#N/A,FALSE,"pcf";#N/A,#N/A,FALSE,"pcr ";#N/A,#N/A,FALSE,"Exp Stmt ";#N/A,#N/A,FALSE,"Exp Stmt BU";#N/A,#N/A,FALSE,"Cap";#N/A,#N/A,FALSE,"IT Ytd"}</definedName>
    <definedName name="wrn.C.._.1263._.yr3." hidden="1">{#N/A,#N/A,FALSE,"1263 yr3"}</definedName>
    <definedName name="wrn.C.._.YTD._.Responsibility.">#REF!</definedName>
    <definedName name="wrn.CAG.">#REF!</definedName>
    <definedName name="wrn.Camparative." hidden="1">{#N/A,#N/A,FALSE,"MARCH. RESULTS"}</definedName>
    <definedName name="wrn.canada." hidden="1">{"installation",#N/A,FALSE,"Canada";"warranty",#N/A,FALSE,"Canada"}</definedName>
    <definedName name="wrn.capA4.">#REF!</definedName>
    <definedName name="wrn.Capex._.Reports.">#REF!</definedName>
    <definedName name="wrn.Capitated.">#REF!</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rrefour._.Worse._.Case.">#REF!</definedName>
    <definedName name="wrn.Carrefour._.Worse._.Case._Split">#REF!</definedName>
    <definedName name="wrn.cash.">#REF!</definedName>
    <definedName name="wrn.Cash._.flow.">#REF!</definedName>
    <definedName name="wrn.Cash_Flow." hidden="1">{"CF",#N/A,FALSE,"Cash Flow"}</definedName>
    <definedName name="wrn.cashbal." hidden="1">{"CONBUD",#N/A,FALSE,"Conbud";"conbud96",#N/A,FALSE,"Conbud";"qtrly",#N/A,FALSE,"Conbud";"FORECAST",#N/A,FALSE,"Res";"ninetysix",#N/A,FALSE,"Clinicals";"bud96",#N/A,FALSE,"G&amp;A"}</definedName>
    <definedName name="wrn.cashflow." hidden="1">{#N/A,#N/A,FALSE,"CashFlow";#N/A,#N/A,FALSE,"Prod Cost"}</definedName>
    <definedName name="wrn.cashflow._1">#REF!</definedName>
    <definedName name="wrn.cashflow._3">#REF!</definedName>
    <definedName name="wrn.ccroll.">#REF!</definedName>
    <definedName name="wrn.ccroll._1">#REF!</definedName>
    <definedName name="wrn.cellular.">#REF!</definedName>
    <definedName name="wrn.Central." hidden="1">{"Central",#N/A,FALSE,"Total"}</definedName>
    <definedName name="wrn.Central..." hidden="1">{"Central",#N/A,FALSE,"Total"}</definedName>
    <definedName name="wrn.Central._.Nervous._.System." hidden="1">{#N/A,#N/A,FALSE,"CNS";#N/A,#N/A,FALSE,"Serz";#N/A,#N/A,FALSE,"Ace"}</definedName>
    <definedName name="wrn.CEOReport.">#REF!</definedName>
    <definedName name="wrn.CF._.worksheet.">#REF!</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min.">#REF!</definedName>
    <definedName name="wrn.CHART." hidden="1">{"CHART",#N/A,FALSE,"Arch Communications"}</definedName>
    <definedName name="wrn.Chart._.Printouts."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iron._.IRS._.Audit.">#REF!</definedName>
    <definedName name="wrn.Chiron._.IRS._.Audit._1">#REF!</definedName>
    <definedName name="wrn.Chiron._.IRS._.Audit._3">#REF!</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C94TAX."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wrn.CIC94TAX._1">#REF!</definedName>
    <definedName name="wrn.CIC94TAX._3">#REF!</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la." hidden="1">{#N/A,#N/A,FALSE,"CLA";#N/A,#N/A,FALSE,"Sales Treat";#N/A,#N/A,FALSE,"Tech Ops.";#N/A,#N/A,FALSE,"Pymt";#N/A,#N/A,FALSE,"AC Price";#N/A,#N/A,FALSE,"Delivery"}</definedName>
    <definedName name="wrn.cla._1">#REF!</definedName>
    <definedName name="wrn.cla._3">#REF!</definedName>
    <definedName name="wrn.client.">#REF!</definedName>
    <definedName name="wrn.Client._.cfbs.">#REF!</definedName>
    <definedName name="wrn.Client._.is.">#REF!</definedName>
    <definedName name="wrn.Client._.Process._.Report.">#REF!</definedName>
    <definedName name="wrn.Client._.stats.">#REF!</definedName>
    <definedName name="wrn.Client3.">#REF!</definedName>
    <definedName name="wrn.client4.">#REF!</definedName>
    <definedName name="wrn.clientcopy.">#REF!</definedName>
    <definedName name="wrn.cns">#REF!</definedName>
    <definedName name="wrn.Color._.Printer.">#REF!</definedName>
    <definedName name="wrn.Color._.Printer._1">#REF!</definedName>
    <definedName name="wrn.ColumbiaModel.">#REF!</definedName>
    <definedName name="wrn.Combination.">#REF!</definedName>
    <definedName name="wrn.Combination._1">#REF!</definedName>
    <definedName name="wrn.Combination._2">#REF!</definedName>
    <definedName name="wrn.Combination._3">#REF!</definedName>
    <definedName name="wrn.Combination._4">#REF!</definedName>
    <definedName name="wrn.Combined.">#REF!</definedName>
    <definedName name="wrn.Combined._.YTD." hidden="1">{"YTD-Total",#N/A,TRUE,"Provision";"YTD-Utility",#N/A,TRUE,"Prov Utility";"YTD-NonUtility",#N/A,TRUE,"Prov NonUtility"}</definedName>
    <definedName name="wrn.Combined._1">#REF!</definedName>
    <definedName name="wrn.Combined._2">#REF!</definedName>
    <definedName name="wrn.Combined._3">#REF!</definedName>
    <definedName name="wrn.Combined._4">#REF!</definedName>
    <definedName name="wrn.ComboResults.">#REF!</definedName>
    <definedName name="wrn.ComboResults._1">#REF!</definedName>
    <definedName name="wrn.ComboResults._2">#REF!</definedName>
    <definedName name="wrn.ComboResults._3">#REF!</definedName>
    <definedName name="wrn.ComboResults._4">#REF!</definedName>
    <definedName name="wrn.ComboState.">#REF!</definedName>
    <definedName name="wrn.ComboState._1">#REF!</definedName>
    <definedName name="wrn.ComboState._2">#REF!</definedName>
    <definedName name="wrn.ComboState._3">#REF!</definedName>
    <definedName name="wrn.ComboState._4">#REF!</definedName>
    <definedName name="wrn.Company._.Analysis.">#REF!</definedName>
    <definedName name="wrn.Company._Analysis._Split">#REF!</definedName>
    <definedName name="wrn.compare.">#REF!</definedName>
    <definedName name="wrn.compare.s">#REF!</definedName>
    <definedName name="wrn.compco.">#REF!</definedName>
    <definedName name="wrn.compco2">#REF!</definedName>
    <definedName name="wrn.Compensation.">#REF!</definedName>
    <definedName name="wrn.Complete.">#REF!</definedName>
    <definedName name="wrn.Complete._.Budget.">#REF!</definedName>
    <definedName name="wrn.Complete._.Report." hidden="1">{#N/A,#N/A,FALSE,"Title Page";#N/A,#N/A,FALSE,"Assumptions";#N/A,#N/A,FALSE,"EBITDA";#N/A,#N/A,FALSE,"Debt";#N/A,#N/A,FALSE,"Cov";#N/A,#N/A,FALSE,"ERET";#N/A,#N/A,FALSE,"DRET";#N/A,#N/A,FALSE,"Balance Sheet";#N/A,#N/A,FALSE,"Plan Summary"}</definedName>
    <definedName name="wrn.Complete.2">#REF!</definedName>
    <definedName name="wrn.Complete.3">#REF!</definedName>
    <definedName name="wrn.CompleteReport.">#REF!</definedName>
    <definedName name="wrn.Components." hidden="1">{"Components_Cover",#N/A,FALSE,"COVERS";"ComponentsA_1",#N/A,FALSE,"IS BY DIV";"ComponentsA_2a",#N/A,FALSE,"COGS BY DIV";"ComponentsA_2b",#N/A,FALSE,"COGS BY DIV";"ComponentsA_2c",#N/A,FALSE,"COGS BY DIV";"ComponentsA_3a",#N/A,FALSE,"TOTAL PF";"ComponentsA_3b",#N/A,FALSE,"TOTAL PF";"ComponentsA_4a",#N/A,FALSE,"TOTAL PF";"ComponentsA_4b",#N/A,FALSE,"TOTAL PF";"Components_PL",#N/A,FALSE,"Sales by PL"}</definedName>
    <definedName name="wrn.Comps.">#REF!</definedName>
    <definedName name="wrn.Comptes95.">#REF!</definedName>
    <definedName name="wrn.conbbuds." hidden="1">{"CONBUD",#N/A,FALSE,"Conbud";"conbud96",#N/A,FALSE,"Conbud";"qtrly",#N/A,FALSE,"Conbud"}</definedName>
    <definedName name="wrn.Concentration.">#REF!</definedName>
    <definedName name="wrn.Concrete._.Q.A.._.S10.">#REF!</definedName>
    <definedName name="wrn.Concrete._.Wastage._.Report.">#REF!</definedName>
    <definedName name="wrn.consbud.">#REF!</definedName>
    <definedName name="wrn.Consol._.ISBS.">#REF!</definedName>
    <definedName name="wrn.Consol._.Worksheet.">#REF!</definedName>
    <definedName name="wrn.ConsolGrossGrp." hidden="1">{"Conol gross povision grouped",#N/A,FALSE,"Consol Gross";"Consol Gross Grouped",#N/A,FALSE,"Consol Gross"}</definedName>
    <definedName name="wrn.CONSOLIDATED.">#REF!</definedName>
    <definedName name="wrn.Consolidated._.Breakeven._.and._.by._.Plant.">#REF!</definedName>
    <definedName name="wrn.Consolidated._.Statements.">#REF!</definedName>
    <definedName name="wrn.Consolidated._.Statements._1">#REF!</definedName>
    <definedName name="wrn.Consolidated._.Statements._2">#REF!</definedName>
    <definedName name="wrn.Consolidated._.Statements._3">#REF!</definedName>
    <definedName name="wrn.Consolidated._.Statements._4">#REF!</definedName>
    <definedName name="wrn.CONSOLIDATED._1">#REF!</definedName>
    <definedName name="wrn.CONSOLIDATION.">#REF!</definedName>
    <definedName name="wrn.Consumer._.Medicines." hidden="1">{#N/A,#N/A,FALSE,"OTC";#N/A,#N/A,FALSE,"Ther";#N/A,#N/A,FALSE,"Temp";#N/A,#N/A,FALSE,"Exce";#N/A,#N/A,FALSE,"Buff";#N/A,#N/A,FALSE,"Picot";#N/A,#N/A,FALSE,"Luftal";#N/A,#N/A,FALSE,"Comt"}</definedName>
    <definedName name="wrn.contribution.">#REF!</definedName>
    <definedName name="wrn.contribution._1">#REF!</definedName>
    <definedName name="wrn.contribution._2">#REF!</definedName>
    <definedName name="wrn.contribution._3">#REF!</definedName>
    <definedName name="wrn.contribution._4">#REF!</definedName>
    <definedName name="wrn.contributory._.asset._.charges.">#REF!</definedName>
    <definedName name="wrn.Convertible._.Note._.Ledger._.Summary.">#REF!</definedName>
    <definedName name="wrn.cooper.">#REF!</definedName>
    <definedName name="wrn.CORE._.KINETICS.">#REF!</definedName>
    <definedName name="wrn.CORE._.KINETICS._1">#REF!</definedName>
    <definedName name="wrn.Corp.mb.xls." hidden="1">{#N/A,#N/A,TRUE,"Summary";#N/A,#N/A,TRUE,"Description";#N/A,#N/A,TRUE,"AstLst";#N/A,#N/A,TRUE,"CshFlow";#N/A,#N/A,TRUE,"Inc-Stmt";#N/A,#N/A,TRUE,"B-Sht"}</definedName>
    <definedName name="wrn.CORR.">#REF!</definedName>
    <definedName name="wrn.COS." hidden="1">{#N/A,#N/A,FALSE,"COS"}</definedName>
    <definedName name="wrn.COSA._.FS._.국문.">#REF!</definedName>
    <definedName name="wrn.COSA._.FS._.국문._1">#REF!</definedName>
    <definedName name="wrn.COSA._.FS._.국문._3">#REF!</definedName>
    <definedName name="wrn.COSA94TAXRETURN."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COSA94TAXRETURN._1">#REF!</definedName>
    <definedName name="wrn.COSA94TAXRETURN._3">#REF!</definedName>
    <definedName name="wrn.cotop." hidden="1">{"ReportTop",#N/A,FALSE,"report top"}</definedName>
    <definedName name="wrn.Country._.Summary.">#REF!</definedName>
    <definedName name="wrn.Country._.Worksheet.">#REF!</definedName>
    <definedName name="wrn.Covers.">#REF!</definedName>
    <definedName name="wrn.Covers._1">#REF!</definedName>
    <definedName name="wrn.Covers._2">#REF!</definedName>
    <definedName name="wrn.Covers._3">#REF!</definedName>
    <definedName name="wrn.Covers._4">#REF!</definedName>
    <definedName name="wrn.cowboy.">#REF!</definedName>
    <definedName name="wrn.cowboy2">#REF!</definedName>
    <definedName name="wrn.cowboy3">#REF!</definedName>
    <definedName name="wrn.cowboy4">#REF!</definedName>
    <definedName name="wrn.cp1monthly">#REF!</definedName>
    <definedName name="wrn.cp1quarterly">#REF!</definedName>
    <definedName name="wrn.cp1shareholder">#REF!</definedName>
    <definedName name="wrn.cp1year._.End.">#REF!</definedName>
    <definedName name="wrn.cp2ceoreport">#REF!</definedName>
    <definedName name="wrn.cp2monthly">#REF!</definedName>
    <definedName name="wrn.cp2quarterly">#REF!</definedName>
    <definedName name="wrn.cp2shareholder">#REF!</definedName>
    <definedName name="wrn.cp2year._.end.">#REF!</definedName>
    <definedName name="wrn.cp3.monthly">#REF!</definedName>
    <definedName name="wrn.cp3ceoreport">#REF!</definedName>
    <definedName name="wrn.cp3quarterly">#REF!</definedName>
    <definedName name="wrn.cp3shareholder">#REF!</definedName>
    <definedName name="wrn.cp3year._.end.">#REF!</definedName>
    <definedName name="wrn.CPB.">#REF!</definedName>
    <definedName name="wrn.cpceoreport">#REF!</definedName>
    <definedName name="wrn.cpmonthly">#REF!</definedName>
    <definedName name="wrn.cpquarterly">#REF!</definedName>
    <definedName name="wrn.cpshareholder">#REF!</definedName>
    <definedName name="wrn.cpyear._.End.">#REF!</definedName>
    <definedName name="wrn.Credit._.Summary.">#REF!</definedName>
    <definedName name="wrn.Crisp_2002_1.">#REF!</definedName>
    <definedName name="wrn.Crisp_2002_1._1">#REF!</definedName>
    <definedName name="wrn.Crisp_2002_1._2">#REF!</definedName>
    <definedName name="wrn.Crisp_2002_1._3">#REF!</definedName>
    <definedName name="wrn.Crisp_2002_1._4">#REF!</definedName>
    <definedName name="wrn.csc.">#REF!</definedName>
    <definedName name="wrn.csc._1">#REF!</definedName>
    <definedName name="wrn.csc._2">#REF!</definedName>
    <definedName name="wrn.csc._3">#REF!</definedName>
    <definedName name="wrn.csc._4">#REF!</definedName>
    <definedName name="wrn.csc2.">#REF!</definedName>
    <definedName name="wrn.csc2._1">#REF!</definedName>
    <definedName name="wrn.csc2._2">#REF!</definedName>
    <definedName name="wrn.csc2._3">#REF!</definedName>
    <definedName name="wrn.csc2._4">#REF!</definedName>
    <definedName name="wrn.CSHFLOW." hidden="1">{"CSHFLOW",#N/A,FALSE,"CshFlow"}</definedName>
    <definedName name="wrn.CSN._.M._.Detail.">#REF!</definedName>
    <definedName name="wrn.CURRENT._.PROVISION." hidden="1">{#N/A,#N/A,FALSE,"CURRENT PROVISON"}</definedName>
    <definedName name="wrn.Customer_base.">#REF!</definedName>
    <definedName name="wrn.CY97PBPL.">#REF!</definedName>
    <definedName name="wrn.D.._.1263._.yr4." hidden="1">{#N/A,#N/A,FALSE,"1263 yr4"}</definedName>
    <definedName name="wrn.D.._.Performance.">#REF!</definedName>
    <definedName name="wrn.Daily." hidden="1">{#N/A,#N/A,FALSE,"Input";#N/A,#N/A,FALSE,"BBC";#N/A,#N/A,FALSE,"Sch A";#N/A,#N/A,FALSE,"Sch B";#N/A,#N/A,FALSE,"Ineligible"}</definedName>
    <definedName name="wrn.Daily._.P._.and._.L._.Forecast.">#REF!</definedName>
    <definedName name="wrn.data." hidden="1">{#N/A,#N/A,FALSE,"Data"}</definedName>
    <definedName name="wrn.DCF." hidden="1">{#N/A,#N/A,FALSE,"DCF Cov";#N/A,#N/A,FALSE,"dcf"}</definedName>
    <definedName name="wrn.DCF._.III._.Report.">#REF!</definedName>
    <definedName name="wrn.DCF._.Valuation.">#REF!</definedName>
    <definedName name="wrn.DCF._.Valuation._1">#REF!</definedName>
    <definedName name="wrn.DCF._.Valuation._2">#REF!</definedName>
    <definedName name="wrn.DCF._.Valuation._3">#REF!</definedName>
    <definedName name="wrn.DCF._.Valuation._4">#REF!</definedName>
    <definedName name="wrn.dcf._1">#REF!</definedName>
    <definedName name="wrn.dcf._2">#REF!</definedName>
    <definedName name="wrn.dcf._3">#REF!</definedName>
    <definedName name="wrn.dcf._4">#REF!</definedName>
    <definedName name="wrn.dcf2">#REF!</definedName>
    <definedName name="wrn.dd"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_1">#REF!</definedName>
    <definedName name="wrn.dd_3">#REF!</definedName>
    <definedName name="wrn.debt.">#REF!</definedName>
    <definedName name="wrn.DEFERRED._.ASSET._.DETAIL." hidden="1">{#N/A,#N/A,FALSE,"DEFERRED ASSET DETAIL"}</definedName>
    <definedName name="wrn.DEFERRED._.FOOTNOTE._.SUMMARY." hidden="1">{#N/A,#N/A,FALSE,"DEFERRED FOOTNOTE SUMMARY"}</definedName>
    <definedName name="wrn.department._.detail." hidden="1">{"page a",#N/A,FALSE,"exist rev 01_99";"page b",#N/A,FALSE,"exist rev 01_99";"page c",#N/A,FALSE,"exist rev 01_99";"page d",#N/A,FALSE,"exist rev 01_99";"page e",#N/A,FALSE,"exist rev 01_99";"page f",#N/A,FALSE,"exist rev 01_99"}</definedName>
    <definedName name="wrn.Depreciation.">#REF!</definedName>
    <definedName name="wrn.Depreciation._1">#REF!</definedName>
    <definedName name="wrn.Depreciation._3">#REF!</definedName>
    <definedName name="wrn.depschA4.">#REF!</definedName>
    <definedName name="wrn.Dept._.Totals.">#REF!</definedName>
    <definedName name="wrn.Deptartment._.Expenses." hidden="1">{#N/A,#N/A,TRUE,"CPRD";#N/A,#N/A,TRUE,"BCCPDR";#N/A,#N/A,TRUE,"EWRD";#N/A,#N/A,TRUE,"5100";#N/A,#N/A,TRUE,"5110"}</definedName>
    <definedName name="wrn.deptsal." hidden="1">{"G_A",#N/A,FALSE,"SALWS";"labops",#N/A,FALSE,"SALWS";"scidir",#N/A,FALSE,"SALWS";"dev",#N/A,FALSE,"SALWS";"clin",#N/A,FALSE,"SALWS";"reg",#N/A,FALSE,"SALWS";"bcdm",#N/A,FALSE,"SALWS";"np",#N/A,FALSE,"SALWS";"tb",#N/A,FALSE,"SALWS";"micro",#N/A,FALSE,"SALWS";"chem",#N/A,FALSE,"SALWS"}</definedName>
    <definedName name="wrn.Derate.">#REF!</definedName>
    <definedName name="wrn.Derek.">#REF!</definedName>
    <definedName name="wrn.DESCRIPTION." hidden="1">{"DESCRIPTION",#N/A,FALSE,"Description"}</definedName>
    <definedName name="wrn.detail.">#REF!</definedName>
    <definedName name="wrn.Detail._.income._.and._.expense.">#REF!</definedName>
    <definedName name="wrn.Detail._.income._.and._.expense._1">#REF!</definedName>
    <definedName name="wrn.Detail._.income._.and._.expense._2">#REF!</definedName>
    <definedName name="wrn.Detail._.income._.and._.expense._3">#REF!</definedName>
    <definedName name="wrn.Detail._.income._.and._.expense._4">#REF!</definedName>
    <definedName name="wrn.detalles._.total.">{"total","abonados garantia",FALSE,"detalle19982007"}</definedName>
    <definedName name="wrn.devdeal.">#REF!</definedName>
    <definedName name="wrn.Development." hidden="1">{"Development",#N/A,FALSE,"Total"}</definedName>
    <definedName name="wrn.Development..." hidden="1">{"Development",#N/A,FALSE,"Total"}</definedName>
    <definedName name="wrn.Development._.Hours.">#REF!</definedName>
    <definedName name="wrn.DG">#REF!</definedName>
    <definedName name="wrn.DG.">#REF!</definedName>
    <definedName name="wrn.Diagnostics.">#REF!</definedName>
    <definedName name="wrn.Diebold._.1.">#REF!</definedName>
    <definedName name="wrn.dil_anal.">#REF!</definedName>
    <definedName name="wrn.dir.">#REF!</definedName>
    <definedName name="wrn.dir._1">#REF!</definedName>
    <definedName name="wrn.dir._2">#REF!</definedName>
    <definedName name="wrn.dir._3">#REF!</definedName>
    <definedName name="wrn.dir._4">#REF!</definedName>
    <definedName name="wrn.divestiture.">#REF!</definedName>
    <definedName name="wrn.DOC.">#REF!</definedName>
    <definedName name="wrn.document.">#REF!</definedName>
    <definedName name="wrn.documentaero.">#REF!</definedName>
    <definedName name="wrn.documentation.">#REF!</definedName>
    <definedName name="wrn.documenthand.">#REF!</definedName>
    <definedName name="wrn.DOM.">#REF!</definedName>
    <definedName name="wrn.DPI._.Summary.">#REF!</definedName>
    <definedName name="wrn.Draft.">#REF!</definedName>
    <definedName name="wrn.Draft._1">#REF!</definedName>
    <definedName name="wrn.Draft._2">#REF!</definedName>
    <definedName name="wrn.Draft._3">#REF!</definedName>
    <definedName name="wrn.Draft._4">#REF!</definedName>
    <definedName name="wrn.E.._.1263._.yr5." hidden="1">{#N/A,#N/A,FALSE,"1263 yr5"}</definedName>
    <definedName name="wrn.Earnings._.Model.">#REF!</definedName>
    <definedName name="wrn.Earnings._.Model._1">#REF!</definedName>
    <definedName name="wrn.Earnings._.Model._2">#REF!</definedName>
    <definedName name="wrn.Earnings._.Model._3">#REF!</definedName>
    <definedName name="wrn.Earnings._.Model._4">#REF!</definedName>
    <definedName name="wrn.East." hidden="1">{"East",#N/A,FALSE,"Total"}</definedName>
    <definedName name="wrn.East..." hidden="1">{"East",#N/A,FALSE,"Total"}</definedName>
    <definedName name="wrn.ebara.">#REF!</definedName>
    <definedName name="wrn.ecart.">#REF!</definedName>
    <definedName name="wrn.Economic._.Value._.Added._.Analysis.">#REF!</definedName>
    <definedName name="wrn.Emg._.report.">#REF!</definedName>
    <definedName name="wrn.EMM._.detail._.edition.">#REF!</definedName>
    <definedName name="wrn.EO.">#REF!</definedName>
    <definedName name="wrn.Equity.">#REF!</definedName>
    <definedName name="wrn.Equity._.Analysis." hidden="1">{#N/A,#N/A,FALSE,"Equity Rollforward";#N/A,#N/A,FALSE,"Common Stock Rollforward";#N/A,#N/A,FALSE,"Common Stock Issued";#N/A,#N/A,FALSE,"Common Stock Repurchased"}</definedName>
    <definedName name="wrn.equity._.comps.">#REF!</definedName>
    <definedName name="wrn.Error." hidden="1">{#N/A,#N/A,FALSE,"Error"}</definedName>
    <definedName name="wrn.esl.">#REF!</definedName>
    <definedName name="wrn.ESPP." hidden="1">{#N/A,#N/A,FALSE,"REPORT"}</definedName>
    <definedName name="wrn.etran.">#REF!</definedName>
    <definedName name="wrn.EURO4.">#REF!</definedName>
    <definedName name="wrn.EURO5.">#REF!</definedName>
    <definedName name="wrn.Everything.">#REF!</definedName>
    <definedName name="wrn.Everything._.landscape." hidden="1">{"IS with EPS",#N/A,FALSE,"FINANCIALS";"IS stats",#N/A,FALSE,"FINANCIALS";"Bal Sheet P1",#N/A,FALSE,"FINANCIALS";"Bal Sheet P2",#N/A,FALSE,"FINANCIALS";"Bal Sheet Ratios",#N/A,FALSE,"FINANCIALS";"Cash Flow Stmt",#N/A,FALSE,"FINANCIALS";"Analysis Stats P1",#N/A,FALSE,"FINANCIALS";"Analysis Stats P2",#N/A,FALSE,"FINANCIALS"}</definedName>
    <definedName name="wrn.Ex.._.A.">#REF!</definedName>
    <definedName name="wrn.Exam._.Workpapers._.1.">#REF!</definedName>
    <definedName name="wrn.Executive._.Summary.">#REF!</definedName>
    <definedName name="wrn.Executive._.Summary._1">#REF!</definedName>
    <definedName name="wrn.EXITO.">#REF!</definedName>
    <definedName name="wrn.EXPORT.">#REF!</definedName>
    <definedName name="wrn.External." hidden="1">{#N/A,#N/A,FALSE,"INDEX (2)";#N/A,#N/A,FALSE,"CIS";#N/A,#N/A,FALSE,"CIS INLINE";#N/A,#N/A,FALSE,"summary";#N/A,#N/A,FALSE,"detail";#N/A,#N/A,FALSE,"SALESTAT";#N/A,#N/A,FALSE,"budget graph";#N/A,#N/A,FALSE,"SALES CHART";#N/A,#N/A,FALSE,"SALES REP";#N/A,#N/A,FALSE,"ORDER BACKLOG";#N/A,#N/A,FALSE,"AR AGE";#N/A,#N/A,FALSE,"AGEREP";#N/A,#N/A,FALSE,"RATIO"}</definedName>
    <definedName name="wrn.external.2">#REF!</definedName>
    <definedName name="wrn.F.._.1263._.Total." hidden="1">{#N/A,#N/A,FALSE,"1263 Total"}</definedName>
    <definedName name="wrn.Facilities.">#REF!</definedName>
    <definedName name="wrn.Factors._.Tab._.10." hidden="1">{"Factors Pages 1-2",#N/A,FALSE,"Factors";"Factors Page 3",#N/A,FALSE,"Factors";"Factors Page 4",#N/A,FALSE,"Factors";"Factors Page 5",#N/A,FALSE,"Factors";"Factors Pages 8-27",#N/A,FALSE,"Factors"}</definedName>
    <definedName name="wrn.Fax.">#REF!</definedName>
    <definedName name="wrn.fc">#REF!</definedName>
    <definedName name="wrn.FC.">#REF!</definedName>
    <definedName name="wrn.fc12">#REF!</definedName>
    <definedName name="wrn.fcb">#REF!</definedName>
    <definedName name="wrn.FCB.">#REF!</definedName>
    <definedName name="wrn.fcb._dcf">#REF!</definedName>
    <definedName name="wrn.fcb.1">#REF!</definedName>
    <definedName name="wrn.fcb.9">#REF!</definedName>
    <definedName name="wrn.fcb1">#REF!</definedName>
    <definedName name="wrn.fcb10">#REF!</definedName>
    <definedName name="wrn.fcb11">#REF!</definedName>
    <definedName name="wrn.fcb2">#REF!</definedName>
    <definedName name="wrn.fcb2_dcf">#REF!</definedName>
    <definedName name="wrn.fcb3">#REF!</definedName>
    <definedName name="wrn.fcb4">#REF!</definedName>
    <definedName name="wrn.fcb5">#REF!</definedName>
    <definedName name="wrn.fcb6">#REF!</definedName>
    <definedName name="wrn.fcb7">#REF!</definedName>
    <definedName name="wrn.fcb8">#REF!</definedName>
    <definedName name="wrn.fcb9">#REF!</definedName>
    <definedName name="wrn.Fcst._.by._.Mon.">#REF!</definedName>
    <definedName name="wrn.Fcst._.by._.Qtr.">#REF!</definedName>
    <definedName name="wrn.Fed._.4797.">#REF!</definedName>
    <definedName name="wrn.Fees._.by._.Quarter.">#REF!</definedName>
    <definedName name="wrn.Fees._.by._.Quarter._1">#REF!</definedName>
    <definedName name="wrn.Fees._.by._.Quarter._2">#REF!</definedName>
    <definedName name="wrn.Fees._.by._.Quarter._3">#REF!</definedName>
    <definedName name="wrn.Fees._.by._.Quarter._4">#REF!</definedName>
    <definedName name="wrn.filecopy.">#REF!</definedName>
    <definedName name="wrn.Filter.">#REF!</definedName>
    <definedName name="wrn.Filter._1">#REF!</definedName>
    <definedName name="wrn.Filter._2">#REF!</definedName>
    <definedName name="wrn.Filter._3">#REF!</definedName>
    <definedName name="wrn.Filter._4">#REF!</definedName>
    <definedName name="wrn.Final.">#REF!</definedName>
    <definedName name="wrn.Final._1">#REF!</definedName>
    <definedName name="wrn.Final._2">#REF!</definedName>
    <definedName name="wrn.Final._3">#REF!</definedName>
    <definedName name="wrn.Final._4">#REF!</definedName>
    <definedName name="wrn.Finance" hidden="1">{"Resale_Cover",#N/A,FALSE,"COVERS";"ResaleC_1",#N/A,FALSE,"IS BY DIV";"ResaleC_2",#N/A,FALSE,"COGS BY DIV";"ResaleC_3",#N/A,FALSE,"TOTAL PF";"ResaleC_4",#N/A,FALSE,"TOTAL PF";"Resale_PL",#N/A,FALSE,"Sales by PL"}</definedName>
    <definedName name="wrn.FINANCE." hidden="1">{#N/A,#N/A,FALSE,"INDEX";#N/A,#N/A,FALSE,"CIS";#N/A,#N/A,FALSE,"CIS INLINE";#N/A,#N/A,FALSE,"summary";#N/A,#N/A,FALSE,"detail";#N/A,#N/A,FALSE,"SALESTAT";#N/A,#N/A,FALSE,"budget graph";#N/A,#N/A,FALSE,"SALES CHART";#N/A,#N/A,FALSE,"SALES REP";#N/A,#N/A,FALSE,"ORDER BACKLOG";#N/A,#N/A,FALSE,"AR AGE";#N/A,#N/A,FALSE,"AGEREP";#N/A,#N/A,FALSE,"RATIO";"Components_Cover",#N/A,FALSE,"COVERS";"ComponentsA_1",#N/A,FALSE,"IS BY DIV";"ComponentsA_2a",#N/A,FALSE,"COGS BY DIV";"ComponentsA_2b",#N/A,FALSE,"COGS BY DIV";"ComponentsA_2c",#N/A,FALSE,"COGS BY DIV";"ComponentsA_3a",#N/A,FALSE,"TOTAL PF";"ComponentsA_3b",#N/A,FALSE,"TOTAL PF";"ComponentsA_4a",#N/A,FALSE,"TOTAL PF";"ComponentsA_4b",#N/A,FALSE,"TOTAL PF";"Components_PL",#N/A,FALSE,"Sales by PL";"Instruments_Cover",#N/A,FALSE,"COVERS";"InstrumentsB_1",#N/A,FALSE,"IS BY DIV";"InstrumentsB_2a",#N/A,FALSE,"COGS BY DIV";"InstrumentsB_2b",#N/A,FALSE,"COGS BY DIV";"InstrumentsB_3",#N/A,FALSE,"TOTAL PF";"InstrumentsB_4",#N/A,FALSE,"TOTAL PF";"Instruments_PL",#N/A,FALSE,"Sales by PL";"Resale_Cover",#N/A,FALSE,"COVERS";"ResaleC_1",#N/A,FALSE,"IS BY DIV";"ResaleC_2",#N/A,FALSE,"COGS BY DIV";"ResaleC_3",#N/A,FALSE,"TOTAL PF";"ResaleC_4",#N/A,FALSE,"TOTAL PF";"Resale_PL",#N/A,FALSE,"Sales by PL";#N/A,#N/A,FALSE,"GMA SUMMARY";#N/A,#N/A,FALSE,"COMPONENTS";#N/A,#N/A,FALSE,"INSTRUMENTS";#N/A,#N/A,FALSE,"RESALE";"Overhead_Summary",#N/A,FALSE,"overhead schedule";"Overhead",#N/A,FALSE,"overhead schedule"}</definedName>
    <definedName name="wrn.Financial._.Model._.Full._.Report." hidden="1">{"Full View (Normal)",#N/A,TRUE,"Financial Summary";"Full View (Normal)",#N/A,TRUE,"IS-Summary";"Full View (Normal)",#N/A,TRUE,"BS - Summary";"Full View (Normal)",#N/A,TRUE,"CS - Summary";"Client Production Assumptions",#N/A,TRUE,"Assumptions";"Summary Assumptions",#N/A,TRUE,"Assumptions"}</definedName>
    <definedName name="wrn.Financial._.Model._.Summary._.Report." hidden="1">{"Full View (Normal)",#N/A,TRUE,"Financial Summary";"Full View (Normal)",#N/A,TRUE,"IS-Summary";"Full View (Normal)",#N/A,TRUE,"BS - Summary";"Full View (Normal)",#N/A,TRUE,"CS - Summary"}</definedName>
    <definedName name="wrn.Financial._.Results.">#REF!</definedName>
    <definedName name="wrn.Financials." hidden="1">{"StatementsIncomeStatement",#N/A,TRUE,"Statements";"StatementsBalanceSheet",#N/A,TRUE,"Statements"}</definedName>
    <definedName name="wrn.Financials._1">#REF!</definedName>
    <definedName name="wrn.Financials._2">#REF!</definedName>
    <definedName name="wrn.Financials._3">#REF!</definedName>
    <definedName name="wrn.Financials._4">#REF!</definedName>
    <definedName name="wrn.Financials_long.">#REF!</definedName>
    <definedName name="wrn.finstat.">#REF!</definedName>
    <definedName name="wrn.first2.">#REF!</definedName>
    <definedName name="wrn.first2._1">#REF!</definedName>
    <definedName name="wrn.first2._2">#REF!</definedName>
    <definedName name="wrn.first2._3">#REF!</definedName>
    <definedName name="wrn.first2._4">#REF!</definedName>
    <definedName name="wrn.first3.">#REF!</definedName>
    <definedName name="wrn.first3._1">#REF!</definedName>
    <definedName name="wrn.first3._2">#REF!</definedName>
    <definedName name="wrn.first3._3">#REF!</definedName>
    <definedName name="wrn.first3._4">#REF!</definedName>
    <definedName name="wrn.first4.">#REF!</definedName>
    <definedName name="wrn.first4._1">#REF!</definedName>
    <definedName name="wrn.first4._2">#REF!</definedName>
    <definedName name="wrn.first4._3">#REF!</definedName>
    <definedName name="wrn.first4._4">#REF!</definedName>
    <definedName name="wrn.Fiscal._.Year.">#REF!</definedName>
    <definedName name="wrn.Fiscal._.Year._1">#REF!</definedName>
    <definedName name="wrn.FISV._.5._.year._.model.">#REF!</definedName>
    <definedName name="wrn.FISV._.5._.year._.model._1">#REF!</definedName>
    <definedName name="wrn.FISV._.5._.year._.model._2">#REF!</definedName>
    <definedName name="wrn.FISV._.5._.year._.model._3">#REF!</definedName>
    <definedName name="wrn.FISV._.5._.year._.model._4">#REF!</definedName>
    <definedName name="wrn.Five._.Year._.Model."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PROJECTION.">#REF!</definedName>
    <definedName name="wrn.Five._.Year._.Projections.">#REF!</definedName>
    <definedName name="wrn.Fixed._.Asset._.Detail." hidden="1">{#N/A,#N/A,FALSE,"Summary";#N/A,#N/A,FALSE,"Computer Software";#N/A,#N/A,FALSE,"Computer Hardware";#N/A,#N/A,FALSE,"Furniture &amp; Fixtures";#N/A,#N/A,FALSE,"Other Fixed Assets";#N/A,#N/A,FALSE,"Hardware Lab Equipment";#N/A,#N/A,FALSE,"Software Lab Equipment";#N/A,#N/A,FALSE,"Interoperability Equipment";#N/A,#N/A,FALSE,"Demo Equipment ";#N/A,#N/A,FALSE,"Mfg Test Equipment  "}</definedName>
    <definedName name="wrn.FixedAssetSchedule." hidden="1">{#N/A,#N/A,TRUE,"JE Entry";#N/A,#N/A,TRUE,"Recap";#N/A,#N/A,TRUE,"Furniture &amp; Fixtures";#N/A,#N/A,TRUE,"Equipment";#N/A,#N/A,TRUE,"Computer Equipment";#N/A,#N/A,TRUE,"Software";#N/A,#N/A,TRUE,"Leasehold"}</definedName>
    <definedName name="wrn.FN_JE98." hidden="1">{"FN_JE98",#N/A,FALSE,"98 W Options"}</definedName>
    <definedName name="wrn.FN_JE99." hidden="1">{"FN_JE",#N/A,FALSE,"99 W Options"}</definedName>
    <definedName name="wrn.Forecast._.Model.">#REF!</definedName>
    <definedName name="wrn.FORECAST._.PACK.">#REF!</definedName>
    <definedName name="wrn.FORM1.">#REF!</definedName>
    <definedName name="wrn.forms.">#REF!</definedName>
    <definedName name="wrn.FOUR._.CASES.">{"MODEL","ALL STOCK",FALSE,"CS First Boston Merger Model";"MODEL","ALL CASH",FALSE,"CS First Boston Merger Model";"MODEL","ALL CASH WITH EQUITY OFFERING",FALSE,"CS First Boston Merger Model";"MODEL","HALF CASH/HALF STOCK",FALSE,"CS First Boston Merger Model"}</definedName>
    <definedName name="wrn.FP._.REPORT." hidden="1">{#N/A,#N/A,FALSE,"HILITES";#N/A,#N/A,FALSE,"GM ANALYSIS";#N/A,#N/A,FALSE,"EXPTRND";#N/A,#N/A,FALSE,"L.C. INC STMT";#N/A,#N/A,FALSE,"INC STMT TREND IN USD";#N/A,#N/A,FALSE,"L.C. INC STMT AT PSR";#N/A,#N/A,FALSE,"I_S SUMM";#N/A,#N/A,FALSE,"BALSHEET TRENDS"}</definedName>
    <definedName name="wrn.Freq_Res." hidden="1">{#N/A,#N/A,TRUE,"FR_HC";#N/A,#N/A,TRUE,"FR_REST";#N/A,#N/A,TRUE,"FR_RETA";#N/A,#N/A,TRUE,"FR_TECSOF";#N/A,#N/A,TRUE,"FR_NETTEC";#N/A,#N/A,TRUE,"FR_CLISER"}</definedName>
    <definedName name="wrn.Friendly.">#REF!</definedName>
    <definedName name="wrn.FRP." hidden="1">{#N/A,#N/A,FALSE,"Title";#N/A,#N/A,FALSE,"Index";#N/A,#N/A,FALSE,"1";#N/A,#N/A,FALSE,"2";#N/A,#N/A,FALSE,"3";#N/A,#N/A,FALSE,"4";#N/A,#N/A,FALSE,"5";#N/A,#N/A,FALSE,"6";#N/A,#N/A,FALSE,"7";#N/A,#N/A,FALSE,"8"}</definedName>
    <definedName name="wrn.fsfti." hidden="1">{#N/A,#N/A,FALSE,"COVER";#N/A,#N/A,FALSE,"BS";#N/A,#N/A,FALSE,"P&amp;L ";#N/A,#N/A,FALSE,"P&amp;L Detail";#N/A,#N/A,FALSE,"P&amp;L Worksheet";#N/A,#N/A,FALSE,"BS Worksheet";#N/A,#N/A,FALSE,"M-VARIANCE"}</definedName>
    <definedName name="wrn.fsfti._1">#REF!</definedName>
    <definedName name="wrn.fsfti._3">#REF!</definedName>
    <definedName name="wrn.fsgraphs." hidden="1">{#N/A,#N/A,FALSE,"SALES";#N/A,#N/A,FALSE,"TERRITORY";#N/A,#N/A,FALSE,"INCOME";#N/A,#N/A,FALSE,"VENDOR";#N/A,#N/A,FALSE,"PRODUCTLINE"}</definedName>
    <definedName name="wrn.fsgraphs._1">#REF!</definedName>
    <definedName name="wrn.fsgraphs._3">#REF!</definedName>
    <definedName name="wrn.fsmisc." hidden="1">{#N/A,#N/A,FALSE,"M-JIMENEZ";#N/A,#N/A,FALSE,"L-KELLER";#N/A,#N/A,FALSE,"EMP-REC";#N/A,#N/A,FALSE,"INVESTMENTS";#N/A,#N/A,FALSE,"TERR SALES";#N/A,#N/A,FALSE,"AR-ANALYSIS"}</definedName>
    <definedName name="wrn.fsmisc._1">#REF!</definedName>
    <definedName name="wrn.fsmisc._3">#REF!</definedName>
    <definedName name="wrn.FTS.">#REF!</definedName>
    <definedName name="wrn.Full.">#REF!</definedName>
    <definedName name="wrn.Full._.Financials.">#REF!</definedName>
    <definedName name="wrn.Full._.Model." hidden="1">{#N/A,#N/A,FALSE,"Cov";#N/A,#N/A,FALSE,"sum";#N/A,#N/A,FALSE,"baladj";#N/A,#N/A,FALSE,"bs";#N/A,#N/A,FALSE,"is";#N/A,#N/A,FALSE,"pis";#N/A,#N/A,FALSE,"pis";#N/A,#N/A,FALSE,"cf";#N/A,#N/A,FALSE,"balhist";#N/A,#N/A,FALSE,"wc";#N/A,#N/A,FALSE,"ltd";#N/A,#N/A,FALSE,"cover";#N/A,#N/A,FALSE,"fa";#N/A,#N/A,FALSE,"tax";#N/A,#N/A,FALSE,"irr";#N/A,#N/A,FALSE,"in";#N/A,#N/A,FALSE,"DCF Cov";#N/A,#N/A,FALSE,"dcf"}</definedName>
    <definedName name="wrn.Full._.Model.1">#REF!</definedName>
    <definedName name="wrn.Full._.Monty.">#REF!</definedName>
    <definedName name="wrn.Full._.Report." hidden="1">{"Month_March",#N/A,TRUE,"March99";"YTD_March",#N/A,TRUE,"March99"}</definedName>
    <definedName name="wrn.full._.report._1">#REF!</definedName>
    <definedName name="wrn.full._.report._2">#REF!</definedName>
    <definedName name="wrn.full._.report._3">#REF!</definedName>
    <definedName name="wrn.full._.report._4">#REF!</definedName>
    <definedName name="wrn.full._.report._5">#REF!</definedName>
    <definedName name="wrn.Full._.View." hidden="1">{"FullView",#N/A,FALSE,"Consltd-For contngcy"}</definedName>
    <definedName name="wrn.Full_Analysis_Analyst.">#REF!</definedName>
    <definedName name="wrn.Full_Analysis_Base.">#REF!</definedName>
    <definedName name="wrn.Full_Analysis_Middle.">#REF!</definedName>
    <definedName name="wrn.fullpackage." hidden="1">{"quarterly",#N/A,FALSE,"Consol by Mo";"monthly",#N/A,FALSE,"Consol by Mo";#N/A,#N/A,FALSE,"Dock by Mo";#N/A,#N/A,FALSE,"ProdP&amp;L";#N/A,#N/A,FALSE,"MP by Mo";#N/A,#N/A,FALSE,"FC by Mo";#N/A,#N/A,FALSE,"Intellicoat+FC"}</definedName>
    <definedName name="wrn.Fullprint.">#REF!</definedName>
    <definedName name="wrn.Fullprint._1">#REF!</definedName>
    <definedName name="wrn.Fullreport." hidden="1">{"full",#N/A,FALSE,"WW";"full",#N/A,FALSE,"WWissues";"full",#N/A,FALSE,"WW - ki";"full",#N/A,FALSE,"ECM";"full",#N/A,FALSE,"Trading Sum";"full",#N/A,FALSE,"Bal Sheet";"full",#N/A,FALSE,"Funds Flow";"full",#N/A,FALSE,"Cashflow";"full",#N/A,FALSE,"Cash report";"full",#N/A,FALSE,"Fix Ass Forc";"full",#N/A,FALSE,"Fix Ass Bud"}</definedName>
    <definedName name="wrn.FUZ_REP.">#REF!</definedName>
    <definedName name="wrn.fuz_report.">#REF!</definedName>
    <definedName name="wrn.FY01_Fin_Stmts.">#REF!</definedName>
    <definedName name="wrn.FY02._.Without._.Roxio.">#REF!</definedName>
    <definedName name="wrn.FY02._.Without._.Roxio1">#REF!</definedName>
    <definedName name="wrn.FY02_Fin_Stmts.">#REF!</definedName>
    <definedName name="wrn.FY03._.Amortization.">#REF!</definedName>
    <definedName name="wrn.FY03_Fin_Stmts.">#REF!</definedName>
    <definedName name="wrn.FY04_Fin._.Stmts.">#REF!</definedName>
    <definedName name="wrn.FY06">#REF!</definedName>
    <definedName name="wrn.FY07">#REF!</definedName>
    <definedName name="wrn.FY07_fin">#REF!</definedName>
    <definedName name="wrn.FY97SBP.">#REF!</definedName>
    <definedName name="wrn.FY97SBP._1">#REF!</definedName>
    <definedName name="wrn.FY97SBP._2">#REF!</definedName>
    <definedName name="wrn.FY97SBP._3">#REF!</definedName>
    <definedName name="wrn.FY97SBP._4">#REF!</definedName>
    <definedName name="wrn.gastos.">#REF!</definedName>
    <definedName name="wrn.gastos._1">#REF!</definedName>
    <definedName name="wrn.gastos._2">#REF!</definedName>
    <definedName name="wrn.gastos._3">#REF!</definedName>
    <definedName name="wrn.gastos._4">#REF!</definedName>
    <definedName name="wrn.GEER_report." hidden="1">{#N/A,#N/A,FALSE,"Table_Ass.";#N/A,#N/A,FALSE,"# of cust";#N/A,#N/A,FALSE,"Res_Report";#N/A,#N/A,FALSE,"Income Statement";"Qtr Cust",#N/A,FALSE,"Qtrly Proj"}</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IS.">#REF!</definedName>
    <definedName name="wrn.Global._.CompCo.">#REF!</definedName>
    <definedName name="wrn.GMA." hidden="1">{#N/A,#N/A,FALSE,"INDEX";#N/A,#N/A,FALSE,"INDEX (2)";#N/A,#N/A,FALSE,"GMA SUMMARY";#N/A,#N/A,FALSE,"RESALE";#N/A,#N/A,FALSE,"COMPONENTS";#N/A,#N/A,FALSE,"INSTRUMENTS";#N/A,#N/A,FALSE,"summary";#N/A,#N/A,FALSE,"detail";#N/A,#N/A,FALSE,"SALESTAT";#N/A,#N/A,FALSE,"budget graph";#N/A,#N/A,FALSE,"SALES CHART";#N/A,#N/A,FALSE,"SALES REP";#N/A,#N/A,FALSE,"ORDER BACKLOG";#N/A,#N/A,FALSE,"AR AGE";#N/A,#N/A,FALSE,"AGEREP";#N/A,#N/A,FALSE,"RATIO";#N/A,#N/A,FALSE,"Sales by PL"}</definedName>
    <definedName name="wrn.Goodwill._.Amortization._.FY01.">#REF!</definedName>
    <definedName name="wrn.Goodwill._.Amortization._.FY02.">#REF!</definedName>
    <definedName name="wrn.Goodwill._.Amortization._.FY02.1">#REF!</definedName>
    <definedName name="wrn.GOODWILL._.AND._.INTANGIBLES." hidden="1">{"RECON FROM PRIOR QTR",#N/A,FALSE,"JUNFY03";"GOODWILL AND INTANGIBLES",#N/A,FALSE,"JUNFY03"}</definedName>
    <definedName name="wrn.gr.">#REF!</definedName>
    <definedName name="wrn.Grainger.">#REF!</definedName>
    <definedName name="wrn.Graph._.edition.">#REF!</definedName>
    <definedName name="wrn.Graphs.">#REF!</definedName>
    <definedName name="wrn.Graphs._1">#REF!</definedName>
    <definedName name="wrn.Grinnell">#REF!</definedName>
    <definedName name="wrn.Gross._.Profit._.by._.Month.">#REF!</definedName>
    <definedName name="wrn.gth." hidden="1">{#N/A,#N/A,FALSE,"Title Page";#N/A,#N/A,FALSE,"Summary Sheet"}</definedName>
    <definedName name="wrn.gunsmoke.">#REF!</definedName>
    <definedName name="wrn.H.">#REF!</definedName>
    <definedName name="wrn.HAYWARD.">#REF!</definedName>
    <definedName name="wrn.HAYWARD._1">#REF!</definedName>
    <definedName name="wrn.HEAT.">#REF!</definedName>
    <definedName name="wrn.HEAT._1">#REF!</definedName>
    <definedName name="wrn.HEAT._2">#REF!</definedName>
    <definedName name="wrn.HEAT._3">#REF!</definedName>
    <definedName name="wrn.HEAT._4">#REF!</definedName>
    <definedName name="wrn.HMO.">#REF!</definedName>
    <definedName name="wrn.HNZ.">#REF!</definedName>
    <definedName name="wrn.HÜ._.Umb.liste._.sonst.Angaben." hidden="1">{#N/A,#N/A,FALSE,"HÜ";#N/A,#N/A,FALSE,"Umb";#N/A,#N/A,FALSE,"sonst.A."}</definedName>
    <definedName name="wrn.Hydraulic.">#REF!</definedName>
    <definedName name="wrn.Hydraulic._1">#REF!</definedName>
    <definedName name="wrn.Hydraulic._2">#REF!</definedName>
    <definedName name="wrn.Hydraulic._3">#REF!</definedName>
    <definedName name="wrn.Hydraulic._4">#REF!</definedName>
    <definedName name="wrn.Hydraulic2.">#REF!</definedName>
    <definedName name="wrn.Hydraulic2._1">#REF!</definedName>
    <definedName name="wrn.Hydraulic2._2">#REF!</definedName>
    <definedName name="wrn.Hydraulic2._3">#REF!</definedName>
    <definedName name="wrn.Hydraulic2._4">#REF!</definedName>
    <definedName name="wrn.icem.">#REF!</definedName>
    <definedName name="wrn.icem._1">#REF!</definedName>
    <definedName name="wrn.icem._2">#REF!</definedName>
    <definedName name="wrn.icem._3">#REF!</definedName>
    <definedName name="wrn.icem._4">#REF!</definedName>
    <definedName name="wrn.ICSTMTS.">#REF!</definedName>
    <definedName name="wrn.iedetail." hidden="1">{#N/A,#N/A,FALSE,"Sheet1"}</definedName>
    <definedName name="wrn.Iesummary." hidden="1">{#N/A,#N/A,FALSE,"Sheet1"}</definedName>
    <definedName name="wrn.IFF94TAX."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wrn.IFF94TAX._1">#REF!</definedName>
    <definedName name="wrn.IFF94TAX._3">#REF!</definedName>
    <definedName name="wrn.Ilijan._.Print.">#REF!</definedName>
    <definedName name="wrn.imp.">#REF!</definedName>
    <definedName name="wrn.IMPACT." hidden="1">{"ALLGRANTS",#N/A,FALSE,"OPTIONS"}</definedName>
    <definedName name="wrn.imprim.">#REF!</definedName>
    <definedName name="wrn.imprim._.ifc.">#REF!</definedName>
    <definedName name="wrn.IMS._.PANEL.">#REF!</definedName>
    <definedName name="wrn.inc.">#REF!</definedName>
    <definedName name="wrn.Income." hidden="1">{"IncomeStatement",#N/A,FALSE,"Income Statement";"ProductCost",#N/A,FALSE,"Income Statement";"OperatingExpense",#N/A,FALSE,"Income Statement"}</definedName>
    <definedName name="wrn.Income._.Statement.">#REF!</definedName>
    <definedName name="wrn.Income._1">#REF!</definedName>
    <definedName name="wrn.IncStmt.">#REF!</definedName>
    <definedName name="wrn.Individual._.Pract._.Summaries.">#REF!</definedName>
    <definedName name="wrn.Industry.xls.">#REF!</definedName>
    <definedName name="wrn.Infectious._.Diseases." hidden="1">{#N/A,#N/A,FALSE,"Anti";#N/A,#N/A,FALSE,"Cefa";#N/A,#N/A,FALSE,"Ceph";#N/A,#N/A,FALSE,"Cefp";#N/A,#N/A,FALSE,"Cefe";#N/A,#N/A,FALSE,"Pens";#N/A,#N/A,FALSE,"Ampi";#N/A,#N/A,FALSE,"Amox";#N/A,#N/A,FALSE,"Isox";#N/A,#N/A,FALSE,"Aztr";#N/A,#N/A,FALSE,"Videx";#N/A,#N/A,FALSE,"Zerit"}</definedName>
    <definedName name="wrn.ingreso.">#REF!</definedName>
    <definedName name="wrn.ingreso._1">#REF!</definedName>
    <definedName name="wrn.ingreso._2">#REF!</definedName>
    <definedName name="wrn.ingreso._3">#REF!</definedName>
    <definedName name="wrn.ingreso._4">#REF!</definedName>
    <definedName name="wrn.ingresos.">#REF!</definedName>
    <definedName name="wrn.ingresos._1">#REF!</definedName>
    <definedName name="wrn.ingresos._2">#REF!</definedName>
    <definedName name="wrn.ingresos._3">#REF!</definedName>
    <definedName name="wrn.ingresos._4">#REF!</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nput._.and._.output._1">#REF!</definedName>
    <definedName name="wrn.input._.and._.output._3">#REF!</definedName>
    <definedName name="wrn.Input._.Print._.Area.">#REF!</definedName>
    <definedName name="wrn.Inputs.">#REF!</definedName>
    <definedName name="wrn.Inputs._.and._.detail._.calculations.">#REF!</definedName>
    <definedName name="wrn.Inputs._.and._.detail._.calculations._1">#REF!</definedName>
    <definedName name="wrn.Inputs._.and._.detail._.calculations._2">#REF!</definedName>
    <definedName name="wrn.Inputs._.and._.detail._.calculations._3">#REF!</definedName>
    <definedName name="wrn.Inputs._.and._.detail._.calculations._4">#REF!</definedName>
    <definedName name="wrn.Instructor._.Tips."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struments." hidden="1">{"Instruments_Cover",#N/A,FALSE,"COVERS";"InstrumentsB_1",#N/A,FALSE,"IS BY DIV";"InstrumentsB_2a",#N/A,FALSE,"COGS BY DIV";"InstrumentsB_2b",#N/A,FALSE,"COGS BY DIV";"InstrumentsB_3",#N/A,FALSE,"TOTAL PF";"InstrumentsB_4",#N/A,FALSE,"TOTAL PF";"Instruments_PL",#N/A,FALSE,"Sales by PL"}</definedName>
    <definedName name="wrn.Internal.">#REF!</definedName>
    <definedName name="wrn.Internal._.is.">#REF!</definedName>
    <definedName name="wrn.Interpolations.">#REF!</definedName>
    <definedName name="wrn.INTL._.GROUP.">#REF!</definedName>
    <definedName name="wrn.INTL._.GROUP._1">#REF!</definedName>
    <definedName name="wrn.Investment._.Summary.">#REF!</definedName>
    <definedName name="wrn.IPC._.Fits.">#REF!</definedName>
    <definedName name="wrn.IPIX.">#REF!</definedName>
    <definedName name="wrn.ipo." hidden="1">{"assumptions",#N/A,FALSE,"Scenario 1";"valuation",#N/A,FALSE,"Scenario 1"}</definedName>
    <definedName name="wrn.IPO._.Valuation." hidden="1">{"assumptions",#N/A,FALSE,"Scenario 1";"valuation",#N/A,FALSE,"Scenario 1"}</definedName>
    <definedName name="wrn.IPO._.Valuation._1">#REF!</definedName>
    <definedName name="wrn.IPO._.Valuation._2">#REF!</definedName>
    <definedName name="wrn.IPO._.Valuation._3">#REF!</definedName>
    <definedName name="wrn.IPO._.Valuation._4">#REF!</definedName>
    <definedName name="wrn.ipovalue.">#REF!</definedName>
    <definedName name="wrn.ipovalue._1">#REF!</definedName>
    <definedName name="wrn.ipovalue._2">#REF!</definedName>
    <definedName name="wrn.ipovalue._3">#REF!</definedName>
    <definedName name="wrn.ipovalue._4">#REF!</definedName>
    <definedName name="wrn.ireland">#REF!</definedName>
    <definedName name="wrn.irving._.report.">#REF!</definedName>
    <definedName name="wrn.ISCG._.model.">#REF!</definedName>
    <definedName name="wrn.ISCG._.model._1">#REF!</definedName>
    <definedName name="wrn.ISCG._.model._2">#REF!</definedName>
    <definedName name="wrn.ISCG._.model._3">#REF!</definedName>
    <definedName name="wrn.ISCG._.model._4">#REF!</definedName>
    <definedName name="wrn.IVTI_Rep." hidden="1">{#N/A,#N/A,FALSE,"Title Page";#N/A,#N/A,FALSE,"Summary Sheet";#N/A,#N/A,FALSE,"Fiscal Year Income Statement";#N/A,#N/A,FALSE,"Valuation Summary";#N/A,#N/A,FALSE,"Comps with IVT";#N/A,#N/A,FALSE,"Comps without IVT"}</definedName>
    <definedName name="wrn.JANI._.REBATES.">#REF!</definedName>
    <definedName name="wrn.japan." hidden="1">{"japanwarranty",#N/A,FALSE,"Japan";"japaninstallation",#N/A,FALSE,"Japan"}</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_1">#REF!</definedName>
    <definedName name="wrn.jck94TAXRETURN._3">#REF!</definedName>
    <definedName name="wrn.JE_Pkg.">#REF!</definedName>
    <definedName name="wrn.JODM._.Graphs." hidden="1">{"graph",#N/A,FALSE,"WWJU";"graph",#N/A,FALSE,"WWSEM";"graph",#N/A,FALSE,"GOMJU";"graph",#N/A,FALSE,"GOMSEM";"graph",#N/A,FALSE,"NSJU";"graph",#N/A,FALSE,"NSSEM";"graph",#N/A,FALSE,"WAJU";"graph",#N/A,FALSE,"STOCKPRI";"graph",#N/A,FALSE,"CFTEV";"graph",#N/A,FALSE,"NAV-RCV";"graph",#N/A,FALSE,"CRUDEWW"}</definedName>
    <definedName name="wrn.Journal._.Entry.">#REF!</definedName>
    <definedName name="wrn.July.">#REF!</definedName>
    <definedName name="wrn.June.">#REF!</definedName>
    <definedName name="wrn.junk">#REF!</definedName>
    <definedName name="wrn.K.">#REF!</definedName>
    <definedName name="wrn.k1._.attachment." hidden="1">{"Christian",#N/A,FALSE,"K1 TAX";"evan",#N/A,FALSE,"K1 TAX";"Gail",#N/A,FALSE,"K1 TAX";"Gretchen",#N/A,FALSE,"K1 TAX";"Gun",#N/A,FALSE,"K1 TAX";"master k1",#N/A,FALSE,"K1 TAX";"Michael",#N/A,FALSE,"K1 TAX";"philip",#N/A,FALSE,"K1 TAX";"steve",#N/A,FALSE,"K1 TAX";"Thomas",#N/A,FALSE,"K1 TAX"}</definedName>
    <definedName name="wrn.k1._.attachment._1">#REF!</definedName>
    <definedName name="wrn.k1._.attachment._3">#REF!</definedName>
    <definedName name="wrn.kompletter._.Bericht." hidden="1">{#N/A,#N/A,FALSE,"EÜ";#N/A,#N/A,FALSE,"Besprechung EÜ";#N/A,#N/A,FALSE,"VÜ";#N/A,#N/A,FALSE,"MFR";#N/A,#N/A,FALSE,"AV";#N/A,#N/A,FALSE,"Vorräte";#N/A,#N/A,FALSE,"Ford.";#N/A,#N/A,FALSE,"Wertb.";#N/A,#N/A,FALSE,"Aktiva Rest";#N/A,#N/A,FALSE,"EK 1";#N/A,#N/A,FALSE,"EK 2";#N/A,#N/A,FALSE,"SoPo, Rückst.";#N/A,#N/A,FALSE,"Pensionsrückst.";#N/A,#N/A,FALSE,"Rückst.";#N/A,#N/A,FALSE,"Bilanz";#N/A,#N/A,FALSE,"G+V";#N/A,#N/A,FALSE,"ASP 1";#N/A,#N/A,FALSE,"4";#N/A,#N/A,FALSE,"3";#N/A,#N/A,FALSE,"Bi.K.";#N/A,#N/A,FALSE,"Anlage 7";#N/A,#N/A,FALSE,"ASP 2"}</definedName>
    <definedName name="wrn.KOREA.">#REF!</definedName>
    <definedName name="wrn.KOREA._1">#REF!</definedName>
    <definedName name="wrn.LabCorpModel.">#REF!</definedName>
    <definedName name="wrn.Lag._.Report.">#REF!</definedName>
    <definedName name="wrn.Lag._.Report._1">#REF!</definedName>
    <definedName name="wrn.LBO." hidden="1">{#N/A,#N/A,FALSE,"Cov";#N/A,#N/A,FALSE,"sum";#N/A,#N/A,FALSE,"baladj";#N/A,#N/A,FALSE,"bs";#N/A,#N/A,FALSE,"is";#N/A,#N/A,FALSE,"pis";#N/A,#N/A,FALSE,"cf";#N/A,#N/A,FALSE,"balhist";#N/A,#N/A,FALSE,"wc";#N/A,#N/A,FALSE,"ltd";#N/A,#N/A,FALSE,"cover";#N/A,#N/A,FALSE,"fa";#N/A,#N/A,FALSE,"tax";#N/A,#N/A,FALSE,"irr";#N/A,#N/A,FALSE,"in"}</definedName>
    <definedName name="wrn.LBO._.Summary.">#REF!</definedName>
    <definedName name="wrn.LBO._.Summary._1">#REF!</definedName>
    <definedName name="wrn.LBO._.Summary._2">#REF!</definedName>
    <definedName name="wrn.LBO._.Summary._3">#REF!</definedName>
    <definedName name="wrn.LBO._.Summary._4">#REF!</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ad._.Schedule._1">#REF!</definedName>
    <definedName name="wrn.Lead._.Schedule._3">#REF!</definedName>
    <definedName name="wrn.Lead._.Sheets.">#REF!</definedName>
    <definedName name="wrn.legal.">#REF!</definedName>
    <definedName name="wrn.Limbach.">#REF!</definedName>
    <definedName name="wrn.Limited._.March.">#REF!</definedName>
    <definedName name="WRN.LIMITED._APR">#REF!</definedName>
    <definedName name="wrn.LIST.">#REF!</definedName>
    <definedName name="wrn.LOB.">#REF!</definedName>
    <definedName name="wrn.M_1." hidden="1">{"M_1",#N/A,FALSE,"Main Sch"}</definedName>
    <definedName name="wrn.M_2." hidden="1">{"M_2",#N/A,FALSE,"Main Sch"}</definedName>
    <definedName name="wrn.M_20." hidden="1">{"M_1",#N/A,FALSE,"Main Sch"}</definedName>
    <definedName name="wrn.M_3." hidden="1">{"M_3",#N/A,FALSE,"Main Sch"}</definedName>
    <definedName name="wrn.m_cash.">#REF!</definedName>
    <definedName name="wrn.M1B." hidden="1">{"M1B",#N/A,FALSE,"Support Sch"}</definedName>
    <definedName name="wrn.M1C." hidden="1">{"M1C",#N/A,FALSE,"Support Sch"}</definedName>
    <definedName name="wrn.M1D_1." hidden="1">{"M1D_1",#N/A,FALSE,"Support Sch"}</definedName>
    <definedName name="wrn.M1D_2." hidden="1">{"M1D_2",#N/A,FALSE,"Support Sch"}</definedName>
    <definedName name="wrn.M1E." hidden="1">{"M1E",#N/A,FALSE,"Support Sch"}</definedName>
    <definedName name="wrn.M2A." hidden="1">{"M2A",#N/A,FALSE,"Support Sch"}</definedName>
    <definedName name="wrn.M3A_COMMISSIONS." hidden="1">{"M3A_COMMISSIONS",#N/A,FALSE,"Support Sch"}</definedName>
    <definedName name="wrn.M3A_REVENUE." hidden="1">{"M3A_REVENUE",#N/A,FALSE,"Support Sch"}</definedName>
    <definedName name="wrn.M3A_SUMMARY." hidden="1">{"M3A_SUMMARY",#N/A,FALSE,"Support Sch"}</definedName>
    <definedName name="wrn.M3B_1." hidden="1">{"M3B_1",#N/A,FALSE,"Support Sch"}</definedName>
    <definedName name="wrn.M3B_2." hidden="1">{"M3B_2",#N/A,FALSE,"Support Sch"}</definedName>
    <definedName name="wrn.M3C_PT1." hidden="1">{"M3C_PT1",#N/A,FALSE,"Support Sch"}</definedName>
    <definedName name="wrn.M3C_PT2" hidden="1">{"M3C_PT1",#N/A,FALSE,"Support Sch"}</definedName>
    <definedName name="wrn.M3C_PT2." hidden="1">{"M3C_PT2",#N/A,FALSE,"Support Sch"}</definedName>
    <definedName name="wrn.M3D_PT1." hidden="1">{"M3D_PT1",#N/A,FALSE,"Support Sch"}</definedName>
    <definedName name="wrn.M3D_PT2." hidden="1">{"M3D_PT2",#N/A,FALSE,"Support Sch"}</definedName>
    <definedName name="wrn.M3E_1_PT1." hidden="1">{"M3E_1_PT1",#N/A,FALSE,"Support Sch"}</definedName>
    <definedName name="wrn.M3E_1_PT2." hidden="1">{"M3E_1_PT2",#N/A,FALSE,"Support Sch"}</definedName>
    <definedName name="wrn.M3E_1_PT3." hidden="1">{"M3E_1_PT3",#N/A,FALSE,"Support Sch"}</definedName>
    <definedName name="wrn.M3E_2_PT1." hidden="1">{"M3E_2_PT1",#N/A,FALSE,"Support Sch"}</definedName>
    <definedName name="wrn.M3E_2_PT2." hidden="1">{"M3E_2_PT2",#N/A,FALSE,"Support Sch"}</definedName>
    <definedName name="wrn.M3E_2_PT3." hidden="1">{"M3E_2_PT3",#N/A,FALSE,"Support Sch"}</definedName>
    <definedName name="wrn.M3E_3_PT1." hidden="1">{"M3E_3_PT1",#N/A,FALSE,"Support Sch"}</definedName>
    <definedName name="wrn.M3E_3_PT2." hidden="1">{"M3E_3_PT2",#N/A,FALSE,"Support Sch"}</definedName>
    <definedName name="wrn.M3E_3_PT3." hidden="1">{"M3E_3_PT3",#N/A,FALSE,"Support Sch"}</definedName>
    <definedName name="wrn.M3F_PT1." hidden="1">{"M3F_PT1",#N/A,FALSE,"Support Sch"}</definedName>
    <definedName name="wrn.M3F_PT2." hidden="1">{"M3F_PT2",#N/A,FALSE,"Support Sch"}</definedName>
    <definedName name="wrn.M3F_PT3." hidden="1">{"M3F_PT3",#N/A,FALSE,"Support Sch"}</definedName>
    <definedName name="wrn.M3H." hidden="1">{"M3H",#N/A,FALSE,"Support Sch"}</definedName>
    <definedName name="wrn.M3H_10." hidden="1">{"M3HL10",#N/A,FALSE,"SupportDetail"}</definedName>
    <definedName name="wrn.M3H_20." hidden="1">{"M3HL20",#N/A,FALSE,"SupportDetail"}</definedName>
    <definedName name="wrn.M3H_30." hidden="1">{"M3HL30",#N/A,FALSE,"SupportDetail"}</definedName>
    <definedName name="wrn.M3H_40." hidden="1">{"M3HL40",#N/A,FALSE,"SupportDetail"}</definedName>
    <definedName name="wrn.M3H_50." hidden="1">{"M3HL50",#N/A,FALSE,"SupportDetail"}</definedName>
    <definedName name="wrn.M3H_60." hidden="1">{"M3HL60",#N/A,FALSE,"SupportDetail"}</definedName>
    <definedName name="wrn.M3H_70." hidden="1">{"M3HL70",#N/A,FALSE,"SupportDetail"}</definedName>
    <definedName name="wrn.M3H_80." hidden="1">{"M3HL80",#N/A,FALSE,"SupportDetail"}</definedName>
    <definedName name="wrn.M3H_90." hidden="1">{"M3HL90",#N/A,FALSE,"SupportDetail"}</definedName>
    <definedName name="wrn.M3H100." hidden="1">{"M3H.100",#N/A,FALSE,"SupportDetail"}</definedName>
    <definedName name="wrn.M3H110." hidden="1">{"M3H.110",#N/A,FALSE,"SupportDetail"}</definedName>
    <definedName name="wrn.M3H120." hidden="1">{"M3H.120",#N/A,FALSE,"SupportDetail"}</definedName>
    <definedName name="wrn.M3H130." hidden="1">{"M3H.130",#N/A,FALSE,"SupportDetail"}</definedName>
    <definedName name="wrn.M3H140." hidden="1">{"M3H.140",#N/A,FALSE,"SupportDetail"}</definedName>
    <definedName name="wrn.M3H150." hidden="1">{"M3H.150",#N/A,FALSE,"SupportDetail"}</definedName>
    <definedName name="wrn.M3H160." hidden="1">{"M3H.160",#N/A,FALSE,"SupportDetail"}</definedName>
    <definedName name="wrn.M3H170." hidden="1">{"M3H.170",#N/A,FALSE,"SupportDetail"}</definedName>
    <definedName name="wrn.M3H180." hidden="1">{"M3H.180",#N/A,FALSE,"SupportDetail"}</definedName>
    <definedName name="wrn.M3H190." hidden="1">{"M3H.190",#N/A,FALSE,"SupportDetail"}</definedName>
    <definedName name="wrn.M3H200." hidden="1">{"M3H.200",#N/A,FALSE,"SupportDetail"}</definedName>
    <definedName name="wrn.M3H210." hidden="1">{"M3H.210",#N/A,FALSE,"SupportDetail"}</definedName>
    <definedName name="wrn.M3H220." hidden="1">{"M3H.220",#N/A,FALSE,"SupportDetail"}</definedName>
    <definedName name="wrn.M3H230." hidden="1">{"M3H.230",#N/A,FALSE,"SupportDetail"}</definedName>
    <definedName name="wrn.M3H240." hidden="1">{"M3H.240",#N/A,FALSE,"SupportDetail"}</definedName>
    <definedName name="wrn.M3H250." hidden="1">{"M3H.250",#N/A,FALSE,"SupportDetail"}</definedName>
    <definedName name="wrn.M3H260." hidden="1">{"M3H.260",#N/A,FALSE,"SupportDetail"}</definedName>
    <definedName name="wrn.M3H270." hidden="1">{"M3H.270",#N/A,FALSE,"SupportDetail"}</definedName>
    <definedName name="wrn.M3H280." hidden="1">{"M3H.280",#N/A,FALSE,"SupportDetail"}</definedName>
    <definedName name="wrn.M3H290." hidden="1">{"M3H.290",#N/A,FALSE,"SupportDetail"}</definedName>
    <definedName name="wrn.M3H300." hidden="1">{"M3H.300",#N/A,FALSE,"SupportDetail"}</definedName>
    <definedName name="wrn.M3H310." hidden="1">{"M3H.310",#N/A,FALSE,"SupportDetail"}</definedName>
    <definedName name="wrn.M3H320." hidden="1">{"M3H.320",#N/A,FALSE,"SupportDetail"}</definedName>
    <definedName name="wrn.M3H330." hidden="1">{"M3H.330",#N/A,FALSE,"SupportDetail"}</definedName>
    <definedName name="wrn.M3H340." hidden="1">{"M3H.340",#N/A,FALSE,"SupportDetail"}</definedName>
    <definedName name="wrn.M3H350." hidden="1">{"M3H.350",#N/A,FALSE,"SupportDetail"}</definedName>
    <definedName name="wrn.M3H360." hidden="1">{"M3H.360",#N/A,FALSE,"SupportDetail"}</definedName>
    <definedName name="wrn.M3H370." hidden="1">{"M3H.370",#N/A,FALSE,"SupportDetail"}</definedName>
    <definedName name="wrn.M3H380." hidden="1">{"M3H.380",#N/A,FALSE,"SupportDetail"}</definedName>
    <definedName name="wrn.M3H390." hidden="1">{"M3H.390",#N/A,FALSE,"SupportDetail"}</definedName>
    <definedName name="wrn.M3H400." hidden="1">{"M3H.400",#N/A,FALSE,"SupportDetail"}</definedName>
    <definedName name="wrn.M3J." hidden="1">{"M3J",#N/A,FALSE,"Support Sch"}</definedName>
    <definedName name="wrn.M4B." hidden="1">{"M4B",#N/A,FALSE,"Support Sch"}</definedName>
    <definedName name="wrn.Main." hidden="1">{#N/A,#N/A,FALSE,"Worldwide";#N/A,#N/A,FALSE,"Milpitas";#N/A,#N/A,FALSE,"Fremont";#N/A,#N/A,FALSE,"Tuas";#N/A,#N/A,FALSE,"Woodlands"}</definedName>
    <definedName name="wrn.Main._.Fields."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Report._.All._.Sections.">#REF!</definedName>
    <definedName name="wrn.Maine.">#REF!</definedName>
    <definedName name="wrn.Maine._1">#REF!</definedName>
    <definedName name="wrn.Maine._2">#REF!</definedName>
    <definedName name="wrn.Maine._3">#REF!</definedName>
    <definedName name="wrn.Maine._4">#REF!</definedName>
    <definedName name="wrn.Maine2.">#REF!</definedName>
    <definedName name="wrn.Maine2._1">#REF!</definedName>
    <definedName name="wrn.Maine2._2">#REF!</definedName>
    <definedName name="wrn.Maine2._3">#REF!</definedName>
    <definedName name="wrn.Maine2._4">#REF!</definedName>
    <definedName name="wrn.Maintenance.">#REF!</definedName>
    <definedName name="wrn.Manpower._.1996.">#REF!</definedName>
    <definedName name="wrn.MARK98FULL.1">#REF!</definedName>
    <definedName name="wrn.Marketing.">#REF!</definedName>
    <definedName name="wrn.Marketing._1">#REF!</definedName>
    <definedName name="wrn.Marketing1">#REF!</definedName>
    <definedName name="wrn.Marketing1_1">#REF!</definedName>
    <definedName name="wrn.MARKF98FULL.">#REF!</definedName>
    <definedName name="wrn.MARKF98FULL.1">#REF!</definedName>
    <definedName name="wrn.MARKF98H.">#REF!</definedName>
    <definedName name="wrn.MARKF98P.">#REF!</definedName>
    <definedName name="wrn.master.">#REF!</definedName>
    <definedName name="wrn.Master_Income.">#REF!</definedName>
    <definedName name="wrn.MCCRK.">#REF!</definedName>
    <definedName name="wrn.MDS1.">#REF!</definedName>
    <definedName name="wrn.MEET.">#REF!</definedName>
    <definedName name="wrn.memo.">#REF!</definedName>
    <definedName name="wrn.merge.">#REF!</definedName>
    <definedName name="wrn.merge._1">#REF!</definedName>
    <definedName name="wrn.merge._2">#REF!</definedName>
    <definedName name="wrn.merge._3">#REF!</definedName>
    <definedName name="wrn.merge._4">#REF!</definedName>
    <definedName name="wrn.merger.">#REF!</definedName>
    <definedName name="wrn.MergerModel.">#REF!</definedName>
    <definedName name="wrn.mergermodel1">#REF!</definedName>
    <definedName name="wrn.Methods.">#REF!</definedName>
    <definedName name="wrn.mexico." hidden="1">{"mexicoinstallation",#N/A,FALSE,"Mexico";"mexicowarranty",#N/A,FALSE,"Mexico"}</definedName>
    <definedName name="wrn.MHHD.">#REF!</definedName>
    <definedName name="wrn.Mid._.Qtr._.Fcst.">#REF!</definedName>
    <definedName name="wrn.MOBIL.">#REF!</definedName>
    <definedName name="wrn.Model.">#REF!</definedName>
    <definedName name="wrn.Model_Analysis.">#REF!</definedName>
    <definedName name="wrn.Model_Analysis._1">#REF!</definedName>
    <definedName name="wrn.Model_Analysis._2">#REF!</definedName>
    <definedName name="wrn.Model_Analysis._3">#REF!</definedName>
    <definedName name="wrn.Model_Analysis._4">#REF!</definedName>
    <definedName name="wrn.MoEuro3.">#REF!</definedName>
    <definedName name="wrn.Monthly.">#REF!</definedName>
    <definedName name="wrn.Monthly._.Act._.P_L.">#REF!</definedName>
    <definedName name="wrn.Monthly._.Consolidation._.Report." hidden="1">{#N/A,#N/A,FALSE,"Index";#N/A,#N/A,FALSE,"YTD_Consolidation";#N/A,#N/A,FALSE,"Trended Consolidation";#N/A,#N/A,FALSE,"US IS";#N/A,#N/A,FALSE,"US BS";#N/A,#N/A,FALSE,"KOREA IS USD";#N/A,#N/A,FALSE,"KOREA BS USD";#N/A,#N/A,FALSE,"JP BS USD";#N/A,#N/A,FALSE,"JP IS USD"}</definedName>
    <definedName name="wrn.Monthly._.Report.">#REF!</definedName>
    <definedName name="wrn.Monthly._.ST.">#REF!</definedName>
    <definedName name="wrn.monthlynew">#REF!</definedName>
    <definedName name="wrn.MONTHLYRPT.">#REF!</definedName>
    <definedName name="wrn.Monthlys.">#REF!</definedName>
    <definedName name="wrn.Monthlys._1">#REF!</definedName>
    <definedName name="wrn.monthlyunits.">#REF!</definedName>
    <definedName name="wrn.Mor._.Pack._.January.">#REF!</definedName>
    <definedName name="wrn.MP._.Mgmt._.Report." hidden="1">{#N/A,#N/A,FALSE,"MP Cover";#N/A,#N/A,FALSE,"MP Table of Contents";#N/A,#N/A,FALSE,"MP Metrics";"MP Mgmt Report",#N/A,FALSE,"P&amp;L- MP (w Seed)";#N/A,#N/A,FALSE,"P&amp;L- Landec";#N/A,#N/A,FALSE,"P&amp;L- Seed";"MP Mgmt Report",#N/A,FALSE,"Prod Line P&amp;L";#N/A,#N/A,FALSE,"MP (w Seed) BS";#N/A,#N/A,FALSE,"Cash Flow-MP (w Seed)"}</definedName>
    <definedName name="wrn.MRP._.Pack._.excl._.cash.">#REF!</definedName>
    <definedName name="wrn.MRP._.Pack._.excl._.commentary.">#REF!</definedName>
    <definedName name="wrn.MRP._.Pack._.inc._.commentary.">#REF!</definedName>
    <definedName name="wrn.Munsell." hidden="1">{#N/A,#N/A,FALSE,"Index";#N/A,#N/A,FALSE,"IncStmt";#N/A,#N/A,FALSE,"Ratios";#N/A,#N/A,FALSE,"CashFlows";#N/A,#N/A,FALSE,"Ins1";#N/A,#N/A,FALSE,"Ins2";#N/A,#N/A,FALSE,"SelfFund";#N/A,#N/A,FALSE,"SGA";#N/A,#N/A,FALSE,"Recon";#N/A,#N/A,FALSE,"Earnings";#N/A,#N/A,FALSE,"Earnings (2)";#N/A,#N/A,FALSE,"Stock";#N/A,#N/A,FALSE,"Stock (2)";#N/A,#N/A,FALSE,"PeerRatios";#N/A,#N/A,FALSE,"PeerRanks"}</definedName>
    <definedName name="wrn.MVD.">#REF!</definedName>
    <definedName name="wrn.N.O.L..">#REF!</definedName>
    <definedName name="wrn.N.O.L.._1">#REF!</definedName>
    <definedName name="wrn.N.O.L.._3">#REF!</definedName>
    <definedName name="wrn.NA.">#REF!</definedName>
    <definedName name="wrn.nema.">#REF!</definedName>
    <definedName name="wrn.nema._1">#REF!</definedName>
    <definedName name="wrn.nema._2">#REF!</definedName>
    <definedName name="wrn.nema._3">#REF!</definedName>
    <definedName name="wrn.nema._4">#REF!</definedName>
    <definedName name="wrn.Neurocrine._.1995._.Dept.._.Budgets.">#REF!</definedName>
    <definedName name="wrn.new.">#REF!</definedName>
    <definedName name="wrn.New._.business.">#REF!</definedName>
    <definedName name="wrn.newest.">#REF!</definedName>
    <definedName name="wrn.newest._1">#REF!</definedName>
    <definedName name="wrn.newest._2">#REF!</definedName>
    <definedName name="wrn.newest._3">#REF!</definedName>
    <definedName name="wrn.newest._4">#REF!</definedName>
    <definedName name="wrn.Nico.">#REF!</definedName>
    <definedName name="wrn.Non._.Current._.Assets." hidden="1">{"month roll",#N/A,FALSE,"cost";"ytd summary",#N/A,FALSE,"cost"}</definedName>
    <definedName name="wrn.ntfinance.">#REF!</definedName>
    <definedName name="wrn.O._.and._.M._.and._.Fuel.">#REF!</definedName>
    <definedName name="wrn.Ofcr._.Comp._.Stmt._.4.">#REF!</definedName>
    <definedName name="wrn.Ofcr._.Comp._.WP.">#REF!</definedName>
    <definedName name="wrn.Officers._.Letter.">#REF!</definedName>
    <definedName name="wrn.Olk._.by._.Qtr.">#REF!</definedName>
    <definedName name="wrn.Oncology." hidden="1">{#N/A,#N/A,FALSE,"Onco";#N/A,#N/A,FALSE,"Taxol";#N/A,#N/A,FALSE,"UFT";#N/A,#N/A,FALSE,"Carb"}</definedName>
    <definedName name="wrn.one" hidden="1">{"page1",#N/A,FALSE,"A";"page2",#N/A,FALSE,"A"}</definedName>
    <definedName name="wrn.one." hidden="1">{"page1",#N/A,FALSE,"A";"page2",#N/A,FALSE,"A"}</definedName>
    <definedName name="wrn.One._.Pager._.plus._.Technicals.">#REF!</definedName>
    <definedName name="wrn.Only._.Distr.._.list.">#REF!</definedName>
    <definedName name="wrn.ONTK." hidden="1">{#N/A,#N/A,FALSE,"Title Page";#N/A,#N/A,FALSE,"Summary Sheet";#N/A,#N/A,FALSE,"Quarterly Income Statement";#N/A,#N/A,FALSE,"Proforma QTR Income Statement";#N/A,#N/A,FALSE,"Fiscal Year Income Statement";#N/A,#N/A,FALSE,"Valuation Summary";#N/A,#N/A,FALSE,"Comps Without";#N/A,#N/A,FALSE,"Comps With"}</definedName>
    <definedName name="wrn.OPC.">#REF!</definedName>
    <definedName name="wrn.Open._.Issues._.Only." hidden="1">{"Open issues Only",#N/A,FALSE,"TIMELINE"}</definedName>
    <definedName name="wrn.Operaions._.net._.income.">#REF!</definedName>
    <definedName name="wrn.Operations.">#REF!</definedName>
    <definedName name="wrn.Opportunity._.Assessment.">#REF!</definedName>
    <definedName name="wrn.OR._.Carrying._.Charge._.JV." hidden="1">{#N/A,#N/A,FALSE,"Loans";#N/A,#N/A,FALSE,"Program Costs";#N/A,#N/A,FALSE,"Measures";#N/A,#N/A,FALSE,"Net Lost Rev";#N/A,#N/A,FALSE,"Incentive"}</definedName>
    <definedName name="wrn.OR._.Carrying._.Charge._.JV.1" hidden="1">{#N/A,#N/A,FALSE,"Loans";#N/A,#N/A,FALSE,"Program Costs";#N/A,#N/A,FALSE,"Measures";#N/A,#N/A,FALSE,"Net Lost Rev";#N/A,#N/A,FALSE,"Incentive"}</definedName>
    <definedName name="wrn.OTC._.Market._.Report." hidden="1">{#N/A,#N/A,FALSE,"Sales Graph";#N/A,#N/A,FALSE,"BUC Graph";#N/A,#N/A,FALSE,"P&amp;L - YTD"}</definedName>
    <definedName name="wrn.OTHER.">#REF!</definedName>
    <definedName name="wrn.Other._.Pharm." hidden="1">{#N/A,#N/A,FALSE,"Other";#N/A,#N/A,FALSE,"Ace";#N/A,#N/A,FALSE,"Derm"}</definedName>
    <definedName name="wrn.Outlook._.for._.US._.Domestic._.Paging.">#REF!</definedName>
    <definedName name="wrn.Outlook._.for._.US._.Domestic._.Paging._1">#REF!</definedName>
    <definedName name="wrn.Outlook._.for._.US._.Domestic._.Paging._2">#REF!</definedName>
    <definedName name="wrn.Outlook._.for._.US._.Domestic._.Paging._3">#REF!</definedName>
    <definedName name="wrn.Outlook._.for._.US._.Domestic._.Paging._4">#REF!</definedName>
    <definedName name="wrn.OUTPUT.">{"DCF","UPSIDE CASE",FALSE,"Sheet1";"DCF","BASE CASE",FALSE,"Sheet1";"DCF","DOWNSIDE CASE",FALSE,"Sheet1"}</definedName>
    <definedName name="wrn.OUTPUT._1">{"DCF","UPSIDE CASE",FALSE,"Sheet1";"DCF","BASE CASE",FALSE,"Sheet1";"DCF","DOWNSIDE CASE",FALSE,"Sheet1"}</definedName>
    <definedName name="wrn.OUTPUT._1_1">{"DCF","UPSIDE CASE",FALSE,"Sheet1";"DCF","BASE CASE",FALSE,"Sheet1";"DCF","DOWNSIDE CASE",FALSE,"Sheet1"}</definedName>
    <definedName name="wrn.OUTPUT._1_2">{"DCF","UPSIDE CASE",FALSE,"Sheet1";"DCF","BASE CASE",FALSE,"Sheet1";"DCF","DOWNSIDE CASE",FALSE,"Sheet1"}</definedName>
    <definedName name="wrn.OUTPUT._2">{"DCF","UPSIDE CASE",FALSE,"Sheet1";"DCF","BASE CASE",FALSE,"Sheet1";"DCF","DOWNSIDE CASE",FALSE,"Sheet1"}</definedName>
    <definedName name="wrn.OUTPUT._3">{"DCF","UPSIDE CASE",FALSE,"Sheet1";"DCF","BASE CASE",FALSE,"Sheet1";"DCF","DOWNSIDE CASE",FALSE,"Sheet1"}</definedName>
    <definedName name="wrn.p" hidden="1">{#N/A,#N/A,FALSE,"1";#N/A,#N/A,FALSE,"2";#N/A,#N/A,FALSE,"16 - 17";#N/A,#N/A,FALSE,"18 - 19";#N/A,#N/A,FALSE,"26";#N/A,#N/A,FALSE,"27";#N/A,#N/A,FALSE,"28"}</definedName>
    <definedName name="wrn.p3">{"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er._.1.">#REF!</definedName>
    <definedName name="wrn.packer._.1._1">#REF!</definedName>
    <definedName name="wrn.packer._.1._2">#REF!</definedName>
    <definedName name="wrn.packer._.1._3">#REF!</definedName>
    <definedName name="wrn.packer._.1._4">#REF!</definedName>
    <definedName name="wrn.page._.1." hidden="1">{"page one",#N/A,FALSE,"revision 01_99"}</definedName>
    <definedName name="wrn.page._.2." hidden="1">{"page two",#N/A,FALSE,"revision 01_99"}</definedName>
    <definedName name="wrn.page._.3." hidden="1">{"page three",#N/A,FALSE,"revision 01_99"}</definedName>
    <definedName name="wrn.pages." hidden="1">{#N/A,#N/A,FALSE,"Bgt";#N/A,#N/A,FALSE,"Act";#N/A,#N/A,FALSE,"Chrt Data";#N/A,#N/A,FALSE,"Bus Result";#N/A,#N/A,FALSE,"Main Charts";#N/A,#N/A,FALSE,"P&amp;L Ttl";#N/A,#N/A,FALSE,"P&amp;L C_Ttl";#N/A,#N/A,FALSE,"P&amp;L C_Oct";#N/A,#N/A,FALSE,"P&amp;L C_Sep";#N/A,#N/A,FALSE,"1996";#N/A,#N/A,FALSE,"Data"}</definedName>
    <definedName name="wrn.paging.">#REF!</definedName>
    <definedName name="wrn.PAIM._.TAX._.PRO." hidden="1">{#N/A,#N/A,FALSE,"표지";#N/A,#N/A,FALSE,"총괄표";#N/A,#N/A,FALSE,"1호 과표세액";#N/A,#N/A,FALSE,"2호 서식";#N/A,#N/A,FALSE,"3(3)호(갑) 원천납부";#N/A,#N/A,FALSE,"6호 소득금액";#N/A,#N/A,FALSE,"6호 첨부(익)";#N/A,#N/A,FALSE,"6호 첨부(손)";#N/A,#N/A,FALSE,"6-1호 수입금액";#N/A,#N/A,FALSE,"6-3호 퇴충";#N/A,#N/A,FALSE,"6-3(3)호 단퇴";#N/A,#N/A,FALSE,"6-3(4)호 대손";#N/A,#N/A,FALSE,"6-4호 접대(갑)";#N/A,#N/A,FALSE,"6-4호 접대(을)";#N/A,#N/A,FALSE,"6-5호 외화(갑)";#N/A,#N/A,FALSE,"6-5호 외화(을)";#N/A,#N/A,FALSE,"6-6호(부표) 자본적지출";#N/A,#N/A,FALSE,"6-11호 세금과공과";#N/A,#N/A,FALSE,"6-12호 선급비용";#N/A,#N/A,FALSE,"9호 자본금(갑)";#N/A,#N/A,FALSE,"9호 자본금(을)";#N/A,#N/A,FALSE,"10(3)호 주요계정";#N/A,#N/A,FALSE,"10(3)호 부표";#N/A,#N/A,FALSE,"10(4)호 조정수입";#N/A,#N/A,FALSE,"요약 BS";#N/A,#N/A,FALSE,"요약 PL";#N/A,#N/A,FALSE,"요약RE"}</definedName>
    <definedName name="wrn.PAIM._.TAX._.PRO._1">#REF!</definedName>
    <definedName name="wrn.PAIM._.TAX._.PRO._3">#REF!</definedName>
    <definedName name="wrn.PandL_Summary.">#REF!</definedName>
    <definedName name="wrn.paul.">#REF!</definedName>
    <definedName name="wrn.Payment._.View." hidden="1">{#N/A,#N/A,FALSE,"Consltd-For contngcy";"PaymentView",#N/A,FALSE,"Consltd-For contngcy"}</definedName>
    <definedName name="wrn.PCB원가계산." hidden="1">{#N/A,#N/A,FALSE,"P.C.B"}</definedName>
    <definedName name="wrn.PCN.">#REF!</definedName>
    <definedName name="wrn.PCN._.SET.">#REF!</definedName>
    <definedName name="wrn.PCN._.SET.2">#REF!</definedName>
    <definedName name="wrn.PCN.2">#REF!</definedName>
    <definedName name="wrn.Pentair.">#REF!</definedName>
    <definedName name="wrn.PETC.">#REF!</definedName>
    <definedName name="wrn.petey.">#REF!</definedName>
    <definedName name="wrn.PFSreconview." hidden="1">{"PFS recon view",#N/A,FALSE,"Hyperion Proof"}</definedName>
    <definedName name="wrn.PGHCreconview." hidden="1">{"PGHC recon view",#N/A,FALSE,"Hyperion Proof"}</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BU.">#REF!</definedName>
    <definedName name="wrn.pl" hidden="1">{"20 Years",#N/A,FALSE,"P&amp;Ls";"2001",#N/A,FALSE,"P&amp;Ls"}</definedName>
    <definedName name="wrn.PL." hidden="1">{"20 Years",#N/A,FALSE,"P&amp;Ls";"2001",#N/A,FALSE,"P&amp;Ls"}</definedName>
    <definedName name="wrn.PL_inflated." hidden="1">{"inflated_pl",#N/A,FALSE,"P&amp;L"}</definedName>
    <definedName name="wrn.PL_no_inflated." hidden="1">{"PL_no_inflated",#N/A,FALSE,"P&amp;L"}</definedName>
    <definedName name="wrn.PL1990.">#REF!</definedName>
    <definedName name="wrn.PL1991.">#REF!</definedName>
    <definedName name="wrn.PL1992.">#REF!</definedName>
    <definedName name="wrn.PL1993.">#REF!</definedName>
    <definedName name="wrn.PL1994.">#REF!</definedName>
    <definedName name="wrn.Plan._.EVA.">#REF!</definedName>
    <definedName name="wrn.Plan._.EVA._1">#REF!</definedName>
    <definedName name="wrn.PLSCHA4.">#REF!</definedName>
    <definedName name="wrn.PLVar.">#REF!</definedName>
    <definedName name="wrn.PLX." hidden="1">{"cred comp",#N/A,FALSE,"Comparable Credit Analysis";"IS",#N/A,FALSE,"IS";"Sensitivity",#N/A,FALSE,"Sensitivity";"BS",#N/A,FALSE,"BS";"Bond Summary",#N/A,FALSE,"B Summary";"AD",#N/A,FALSE,"Accretion";"NAV",#N/A,FALSE,"NAV";"SU",#N/A,FALSE,"S&amp;U";"acq. study",#N/A,FALSE,"Acq. Study";"F Charges",#N/A,FALSE,"Fixed Charges"}</definedName>
    <definedName name="wrn.Poe.">#REF!</definedName>
    <definedName name="wrn.Portrait." hidden="1">{"IS with Stats PORTRAIT",#N/A,FALSE,"FINANCIALS";"Bal Sheet PORTRAIT",#N/A,FALSE,"FINANCIALS"}</definedName>
    <definedName name="wrn.Portrait._.letter._.is.">#REF!</definedName>
    <definedName name="wrn.Pound._.Sterling.">#REF!</definedName>
    <definedName name="wrn.PPMCoCodeView." hidden="1">{"PPM Co Code View",#N/A,FALSE,"Comp Codes"}</definedName>
    <definedName name="wrn.PPMreconview." hidden="1">{"PPM Recon View",#N/A,FALSE,"Hyperion Proof"}</definedName>
    <definedName name="wrn.ppp" hidden="1">{#N/A,#N/A,FALSE,"1";#N/A,#N/A,FALSE,"2";#N/A,#N/A,FALSE,"16 - 17";#N/A,#N/A,FALSE,"18 - 19";#N/A,#N/A,FALSE,"26";#N/A,#N/A,FALSE,"27";#N/A,#N/A,FALSE,"28"}</definedName>
    <definedName name="wrn.PR_TRIAL_BALANCE.">{"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eliminary." hidden="1">{"Analysis",#N/A,FALSE,"DETAIL"}</definedName>
    <definedName name="wrn.prices.">#REF!</definedName>
    <definedName name="wrn.prin2._.all." hidden="1">{#N/A,#N/A,FALSE,"Pharm";#N/A,#N/A,FALSE,"WWCM"}</definedName>
    <definedName name="wrn.prin2._.all1" hidden="1">{#N/A,#N/A,FALSE,"Pharm";#N/A,#N/A,FALSE,"WWCM"}</definedName>
    <definedName name="wrn.print" hidden="1">{#N/A,#N/A,FALSE,"Pharm";#N/A,#N/A,FALSE,"WWCM"}</definedName>
    <definedName name="wrn.Print." localSheetId="0" hidden="1">{#N/A,#N/A,FALSE,"Balance Sheet_VDF";#N/A,#N/A,FALSE,"Income Statement_VDF";#N/A,#N/A,FALSE,"Forecasts_VDF";#N/A,#N/A,FALSE,"Summary Page_VDF";#N/A,#N/A,FALSE,"Invested capital_VDF";#N/A,#N/A,FALSE,"NOPAT_VDF";#N/A,#N/A,FALSE,"WACC_VDF";#N/A,#N/A,FALSE,"DCF_VDF";#N/A,#N/A,FALSE,"Charts_VDF"}</definedName>
    <definedName name="wrn.Print." hidden="1">{#N/A,#N/A,FALSE,"Balance Sheet_VDF";#N/A,#N/A,FALSE,"Income Statement_VDF";#N/A,#N/A,FALSE,"Forecasts_VDF";#N/A,#N/A,FALSE,"Summary Page_VDF";#N/A,#N/A,FALSE,"Invested capital_VDF";#N/A,#N/A,FALSE,"NOPAT_VDF";#N/A,#N/A,FALSE,"WACC_VDF";#N/A,#N/A,FALSE,"DCF_VDF";#N/A,#N/A,FALSE,"Charts_VDF"}</definedName>
    <definedName name="wrn.Print._.24.">#REF!</definedName>
    <definedName name="wrn.Print._.24._1">#REF!</definedName>
    <definedName name="wrn.Print._.24._2">#REF!</definedName>
    <definedName name="wrn.Print._.24._3">#REF!</definedName>
    <definedName name="wrn.Print._.24._4">#REF!</definedName>
    <definedName name="wrn.Print._.All." localSheetId="0" hidden="1">{#N/A,#N/A,FALSE,"Corp";#N/A,#N/A,FALSE,"D. Tobacco";#N/A,#N/A,FALSE,"Int'l Tobacco";#N/A,#N/A,FALSE,"Tobacco";#N/A,#N/A,FALSE,"D. Food";#N/A,#N/A,FALSE,"Intl Food";#N/A,#N/A,FALSE,"Food";#N/A,#N/A,FALSE,"Miller";#N/A,#N/A,FALSE,"Fin &amp; RE"}</definedName>
    <definedName name="wrn.Print._.All." hidden="1">{#N/A,#N/A,FALSE,"Corp";#N/A,#N/A,FALSE,"D. Tobacco";#N/A,#N/A,FALSE,"Int'l Tobacco";#N/A,#N/A,FALSE,"Tobacco";#N/A,#N/A,FALSE,"D. Food";#N/A,#N/A,FALSE,"Intl Food";#N/A,#N/A,FALSE,"Food";#N/A,#N/A,FALSE,"Miller";#N/A,#N/A,FALSE,"Fin &amp; RE"}</definedName>
    <definedName name="wrn.Print._.All._.Exhibits.">#REF!</definedName>
    <definedName name="wrn.Print._.All._.Exhibits._1">#REF!</definedName>
    <definedName name="wrn.Print._.All._.Exhibits._2">#REF!</definedName>
    <definedName name="wrn.Print._.All._.Exhibits._3">#REF!</definedName>
    <definedName name="wrn.Print._.All._.Exhibits._4">#REF!</definedName>
    <definedName name="wrn.Print._.All._.Pages.">#REF!</definedName>
    <definedName name="wrn.Print._.All._.Pages._1">#REF!</definedName>
    <definedName name="wrn.Print._.All._.Pages._2">#REF!</definedName>
    <definedName name="wrn.Print._.All._.Pages._3">#REF!</definedName>
    <definedName name="wrn.Print._.All._.Pages._4">#REF!</definedName>
    <definedName name="wrn.print._.all._.sheets.">#REF!</definedName>
    <definedName name="wrn.Print._.All._.Suppliers.">#REF!</definedName>
    <definedName name="wrn.Print._.all.1" hidden="1">{"Page1",#N/A,FALSE,"CF WKSHT";"Page2",#N/A,FALSE,"CF WKSHT"}</definedName>
    <definedName name="wrn.PRINT._.ALL.2" hidden="1">{#N/A,#N/A,FALSE,"Pharm";#N/A,#N/A,FALSE,"WWCM"}</definedName>
    <definedName name="wrn.print._.all2" hidden="1">{#N/A,#N/A,FALSE,"Pharm";#N/A,#N/A,FALSE,"WWCM"}</definedName>
    <definedName name="wrn.Print._.allagain" hidden="1">{"Page1",#N/A,FALSE,"CF WKSHT";"Page2",#N/A,FALSE,"CF WKSHT"}</definedName>
    <definedName name="wrn.Print._.allagain3" hidden="1">{"Page1",#N/A,FALSE,"CF WKSHT";"Page2",#N/A,FALSE,"CF WKSHT"}</definedName>
    <definedName name="wrn.Print._.April." hidden="1">{"Slide1",#N/A,TRUE,"April 98";"Slide2",#N/A,TRUE,"April 98";"Slide3",#N/A,TRUE,"April 98";"Slide4",#N/A,TRUE,"April 98";"Slide5_Lisa",#N/A,TRUE,"April 98"}</definedName>
    <definedName name="wrn.Print._.BS._.Exhibits.">#REF!</definedName>
    <definedName name="wrn.Print._.BS._.Exhibits._1">#REF!</definedName>
    <definedName name="wrn.Print._.BS._.Exhibits._2">#REF!</definedName>
    <definedName name="wrn.Print._.BS._.Exhibits._3">#REF!</definedName>
    <definedName name="wrn.Print._.BS._.Exhibits._4">#REF!</definedName>
    <definedName name="wrn.Print._.CF._.Exhibit.">#REF!</definedName>
    <definedName name="wrn.Print._.CF._.Exhibit._1">#REF!</definedName>
    <definedName name="wrn.Print._.CF._.Exhibit._2">#REF!</definedName>
    <definedName name="wrn.Print._.CF._.Exhibit._3">#REF!</definedName>
    <definedName name="wrn.Print._.CF._.Exhibit._4">#REF!</definedName>
    <definedName name="wrn.Print._.Daily._.Conversion._.Points." hidden="1">{"Conversion (Daily Only)","SITE",FALSE,"Daily";"Conversion (Daily Only)","Apparel",FALSE,"Daily";"Conversion (Daily Only)","Baby",FALSE,"Daily";"Conversion (Daily Only)","Books",FALSE,"Daily";"Conversion (Daily Only)","Electronics",FALSE,"Daily";"Conversion (Daily Only)","Garden",FALSE,"Daily";"Conversion (Daily Only)","Gifts",FALSE,"Daily";"Conversion (Daily Only)","Home",FALSE,"Daily";"Conversion (Daily Only)","Jewelry",FALSE,"Daily";"Conversion (Daily Only)","Movies",FALSE,"Daily";"Conversion (Daily Only)","Music",FALSE,"Daily";"Conversion (Daily Only)","Sports",FALSE,"Daily";"Conversion (Daily Only)","Toys",FALSE,"Daily";"Conversion (Daily Only)","Video Games",FALSE,"Daily"}</definedName>
    <definedName name="wrn.Print._.Distr.">#REF!</definedName>
    <definedName name="wrn.Print._.Econ.">#REF!</definedName>
    <definedName name="wrn.Print._.Economics.">#REF!</definedName>
    <definedName name="wrn.PRINT._.FULL.">#REF!</definedName>
    <definedName name="wrn.print._.graphs.">#REF!</definedName>
    <definedName name="wrn.print._.graphs._1">#REF!</definedName>
    <definedName name="wrn.print._.graphs._2">#REF!</definedName>
    <definedName name="wrn.print._.graphs._3">#REF!</definedName>
    <definedName name="wrn.print._.graphs._4">#REF!</definedName>
    <definedName name="wrn.print._.graphs2">#REF!</definedName>
    <definedName name="wrn.Print._.IS._.Exhibits.">#REF!</definedName>
    <definedName name="wrn.Print._.IS._.Exhibits._1">#REF!</definedName>
    <definedName name="wrn.Print._.IS._.Exhibits._2">#REF!</definedName>
    <definedName name="wrn.Print._.IS._.Exhibits._3">#REF!</definedName>
    <definedName name="wrn.Print._.IS._.Exhibits._4">#REF!</definedName>
    <definedName name="wrn.PRINT._.JOURNAL." hidden="1">{#N/A,#N/A,FALSE,"ADI JE";#N/A,#N/A,FALSE,"ATA"}</definedName>
    <definedName name="wrn.Print._.Ratio._.Exhibits.">#REF!</definedName>
    <definedName name="wrn.Print._.Ratio._.Exhibits._1">#REF!</definedName>
    <definedName name="wrn.Print._.Ratio._.Exhibits._2">#REF!</definedName>
    <definedName name="wrn.Print._.Ratio._.Exhibits._3">#REF!</definedName>
    <definedName name="wrn.Print._.Ratio._.Exhibits._4">#REF!</definedName>
    <definedName name="wrn.print._.raw._.data._.entry.">#REF!</definedName>
    <definedName name="wrn.print._.raw._.data._.entry._1">#REF!</definedName>
    <definedName name="wrn.print._.raw._.data._.entry._2">#REF!</definedName>
    <definedName name="wrn.print._.raw._.data._.entry._3">#REF!</definedName>
    <definedName name="wrn.print._.raw._.data._.entry._4">#REF!</definedName>
    <definedName name="wrn.print._.raw._data._.entry2.">#REF!</definedName>
    <definedName name="wrn.Print._.Report.">#REF!</definedName>
    <definedName name="wrn.print._.standalone.">#REF!</definedName>
    <definedName name="wrn.Print._.Summary.">#REF!</definedName>
    <definedName name="wrn.print._.summary._.sheets.">#REF!</definedName>
    <definedName name="wrn.print._.summary._.sheets._1">#REF!</definedName>
    <definedName name="wrn.print._.summary._.sheets._2">#REF!</definedName>
    <definedName name="wrn.print._.summary._.sheets._3">#REF!</definedName>
    <definedName name="wrn.print._.summary._.sheets._4">#REF!</definedName>
    <definedName name="wrn.print._.summary._.sheets.2">#REF!</definedName>
    <definedName name="wrn.print._.tenaska.">#REF!</definedName>
    <definedName name="wrn.Print._.Weekly._.Conversion._.Points." hidden="1">{"Conversion (Weekly Only)","SITE",FALSE,"Sheet1";"Conversion (Weekly Only)","Apparel",FALSE,"Sheet1";"Conversion (Weekly Only)","Baby",FALSE,"Sheet1";"Conversion (Weekly Only)","Books",FALSE,"Sheet1";"Conversion (Weekly Only)","Electronics",FALSE,"Sheet1";"Conversion (Weekly Only)","Garden",FALSE,"Sheet1";"Conversion (Weekly Only)","Gifts",FALSE,"Sheet1";"Conversion (Weekly Only)","Home",FALSE,"Sheet1";"Conversion (Weekly Only)","Jewelry",FALSE,"Sheet1";"Conversion (Weekly Only)","Movies",FALSE,"Sheet1";"Conversion (Weekly Only)","Music",FALSE,"Sheet1";"Conversion (Weekly Only)","Sports",FALSE,"Sheet1";"Conversion (Weekly Only)","Toys",FALSE,"Sheet1";"Conversion (Weekly Only)","Video Games",FALSE,"Sheet1"}</definedName>
    <definedName name="wrn.Print._1">#REF!</definedName>
    <definedName name="wrn.Print._2">#REF!</definedName>
    <definedName name="wrn.Print._3">#REF!</definedName>
    <definedName name="wrn.Print._4">#REF!</definedName>
    <definedName name="wrn.PRINT._All._Suppliers.">#REF!</definedName>
    <definedName name="wrn.print._all1." hidden="1">{#N/A,#N/A,FALSE,"Pharm";#N/A,#N/A,FALSE,"WWCM"}</definedName>
    <definedName name="wrn.Print_Buyer.">#REF!</definedName>
    <definedName name="wrn.Print_Color." hidden="1">{"Color_Qtr",#N/A,FALSE,"Summary";"Color_YTD",#N/A,FALSE,"Summary"}</definedName>
    <definedName name="wrn.Print_CSC.">#REF!</definedName>
    <definedName name="wrn.Print_CSC._1">#REF!</definedName>
    <definedName name="wrn.Print_CSC._2">#REF!</definedName>
    <definedName name="wrn.Print_CSC._3">#REF!</definedName>
    <definedName name="wrn.Print_CSC._4">#REF!</definedName>
    <definedName name="wrn.Print_Inputs.">#REF!</definedName>
    <definedName name="wrn.Print_Inputs._1">#REF!</definedName>
    <definedName name="wrn.Print_Inputs._2">#REF!</definedName>
    <definedName name="wrn.Print_Inputs._3">#REF!</definedName>
    <definedName name="wrn.Print_Inputs._4">#REF!</definedName>
    <definedName name="wrn.Print_Target.">#REF!</definedName>
    <definedName name="wrn.print1" localSheetId="0" hidden="1">{#N/A,#N/A,FALSE,"Balance Sheet_VDF";#N/A,#N/A,FALSE,"Income Statement_VDF";#N/A,#N/A,FALSE,"Forecasts_VDF";#N/A,#N/A,FALSE,"Summary Page_VDF";#N/A,#N/A,FALSE,"Invested capital_VDF";#N/A,#N/A,FALSE,"NOPAT_VDF";#N/A,#N/A,FALSE,"WACC_VDF";#N/A,#N/A,FALSE,"DCF_VDF";#N/A,#N/A,FALSE,"Charts_VDF"}</definedName>
    <definedName name="wrn.print1" hidden="1">{#N/A,#N/A,FALSE,"Balance Sheet_VDF";#N/A,#N/A,FALSE,"Income Statement_VDF";#N/A,#N/A,FALSE,"Forecasts_VDF";#N/A,#N/A,FALSE,"Summary Page_VDF";#N/A,#N/A,FALSE,"Invested capital_VDF";#N/A,#N/A,FALSE,"NOPAT_VDF";#N/A,#N/A,FALSE,"WACC_VDF";#N/A,#N/A,FALSE,"DCF_VDF";#N/A,#N/A,FALSE,"Charts_VDF"}</definedName>
    <definedName name="wrn.PRINT1.">#REF!</definedName>
    <definedName name="wrn.print2" hidden="1">{#N/A,#N/A,FALSE,"Pharm";#N/A,#N/A,FALSE,"WWCM"}</definedName>
    <definedName name="wrn.print2.">#REF!</definedName>
    <definedName name="wrn.PRINT2._1">#REF!</definedName>
    <definedName name="wrn.PRINT2._2">#REF!</definedName>
    <definedName name="wrn.PRINT2._3">#REF!</definedName>
    <definedName name="wrn.PRINT2._4">#REF!</definedName>
    <definedName name="wrn.print3.">#REF!</definedName>
    <definedName name="wrn.printac.">#REF!</definedName>
    <definedName name="wrn.printac._1">#REF!</definedName>
    <definedName name="wrn.printac._2">#REF!</definedName>
    <definedName name="wrn.printac._3">#REF!</definedName>
    <definedName name="wrn.printac._4">#REF!</definedName>
    <definedName name="wrn.PrintAll.">#REF!</definedName>
    <definedName name="wrn.PrintAll._1">#REF!</definedName>
    <definedName name="wrn.PrintAll._2">#REF!</definedName>
    <definedName name="wrn.PrintAll._3">#REF!</definedName>
    <definedName name="wrn.PrintAll._4">#REF!</definedName>
    <definedName name="wrn.Printout." hidden="1">{"page1",#N/A,FALSE,"Casual RLE";"page2",#N/A,FALSE,"Casual RLE"}</definedName>
    <definedName name="wrn.PrintTheDarnSheets." hidden="1">{"AUP_Prod_Detail",#N/A,FALSE,"Prod Detail 2_97";"Rev_Prod_Detail",#N/A,FALSE,"Prod Detail 2_97";"Units_Prod_Detail",#N/A,FALSE,"Prod Detail 2_97"}</definedName>
    <definedName name="wrn.prn2">#REF!</definedName>
    <definedName name="wrn.prn3">#REF!</definedName>
    <definedName name="wrn.Product._.Full._.Detail._.Media._.Tech." hidden="1">{"Full Detail",#N/A,FALSE,"Adder";"Full Detail",#N/A,FALSE,"Explorer Mint";"Full Detail",#N/A,FALSE,"Copperhead Mint";"Full Detail",#N/A,FALSE,"Matador Mint";"Full Detail",#N/A,FALSE,"Anaconda MDP";"Full Detail",#N/A,FALSE,"Anaconda Mint";"Full Detail",#N/A,FALSE,"Elite Mint";"Full Detail",#N/A,FALSE,"Viper Mint";"Full Detail",#N/A,FALSE,"Media Research"}</definedName>
    <definedName name="wrn.Product._.Full._.Detail._.PD." hidden="1">{"Full detail",#N/A,FALSE,"Cobra MDP";"Full Detail",#N/A,FALSE,"Cobra Mint";"Full Detail",#N/A,FALSE,"Python MDP";"Full Detail",#N/A,FALSE,"Python Mint";"Full Detail",#N/A,FALSE,"Zebra MDP";"Full Detail",#N/A,FALSE,"Zebra Mint";"Full Detail",#N/A,FALSE,"Belize Mint";"Full Detail",#N/A,FALSE,"Maui Mint";"Full Detail",#N/A,FALSE,"Trigger Mint";"Full Detail",#N/A,FALSE,"Anaconda MDP";"Full Detail",#N/A,FALSE,"Anaconda Mint";"Full Detail",#N/A,FALSE,"ST32132";"Full Detail",#N/A,FALSE,"Process Equip Research"}</definedName>
    <definedName name="wrn.PRODUCT._.GROUP.">#REF!</definedName>
    <definedName name="wrn.PRODUCT._.GROUP._1">#REF!</definedName>
    <definedName name="wrn.Product._.Summary." hidden="1">{"Summary Detail",#N/A,FALSE,"Summary";"Summary Rollup",#N/A,FALSE,"Summary"}</definedName>
    <definedName name="wrn.Products." hidden="1">{#N/A,#N/A,FALSE,"1";#N/A,#N/A,FALSE,"2";#N/A,#N/A,FALSE,"16 - 17";#N/A,#N/A,FALSE,"18 - 19";#N/A,#N/A,FALSE,"26";#N/A,#N/A,FALSE,"27";#N/A,#N/A,FALSE,"28"}</definedName>
    <definedName name="wrn.ProForma.">#REF!</definedName>
    <definedName name="wrn.Proforma._.Report.">#REF!</definedName>
    <definedName name="wrn.ProForma._1">#REF!</definedName>
    <definedName name="wrn.Proforma._2">#REF!</definedName>
    <definedName name="wrn.Proforma._3">#REF!</definedName>
    <definedName name="wrn.Proforma._4">#REF!</definedName>
    <definedName name="wrn.PROJECT._.SUMMARY.">#REF!</definedName>
    <definedName name="wrn.ProofElectricOnly." hidden="1">{"Electric Only",#N/A,FALSE,"Hyperion Proof"}</definedName>
    <definedName name="wrn.ProofTotal." hidden="1">{"Proof Total",#N/A,FALSE,"Hyperion Proof"}</definedName>
    <definedName name="wrn.pror" hidden="1">{#N/A,#N/A,FALSE,"Pharm";#N/A,#N/A,FALSE,"WWCM"}</definedName>
    <definedName name="wrn.prov98w._.opt." hidden="1">{"provcal",#N/A,FALSE,"99 W Options"}</definedName>
    <definedName name="wrn.provcal99w._.opt." hidden="1">{#N/A,#N/A,FALSE,"99 W Options";"prov99w opt",#N/A,FALSE,"99 W Options"}</definedName>
    <definedName name="wrn.Pulp.">#REF!</definedName>
    <definedName name="wrn.Pulp.2">#REF!</definedName>
    <definedName name="wrn.Pulp.3">#REF!</definedName>
    <definedName name="wrn.Pump.">#REF!</definedName>
    <definedName name="wrn.Pump._1">#REF!</definedName>
    <definedName name="wrn.Pump._2">#REF!</definedName>
    <definedName name="wrn.Pump._3">#REF!</definedName>
    <definedName name="wrn.Pump._4">#REF!</definedName>
    <definedName name="wrn.Q._.Report.">#REF!</definedName>
    <definedName name="wrn.Q198._.Cash._.Flow._.Package.">#REF!</definedName>
    <definedName name="wrn.QQ_Quick_Merge_3yr.">#REF!</definedName>
    <definedName name="wrn.QQ_Quick_Merge_4yr.">#REF!</definedName>
    <definedName name="wrn.QQ_Quick_Merge_5yr.">#REF!</definedName>
    <definedName name="wrn.QQ_Quick_Merge_6yr.">#REF!</definedName>
    <definedName name="wrn.QQQ_Quick_Merge_3yr.">#REF!</definedName>
    <definedName name="wrn.QQQ_Quick_Merge_4yr.">#REF!</definedName>
    <definedName name="wrn.QQQ_Quick_Merge_5yr.">#REF!</definedName>
    <definedName name="wrn.QQQ_Quick_Merge_6yr.">#REF!</definedName>
    <definedName name="wrn.Qrtly._.Grp._.Consol.">#REF!</definedName>
    <definedName name="wrn.Qrtly._.International.">#REF!</definedName>
    <definedName name="wrn.Qtrly._.Corporate.">#REF!</definedName>
    <definedName name="wrn.Qtrly._.Funding.">#REF!</definedName>
    <definedName name="wrn.Qtrly._.Grp._.Adjustments.">#REF!</definedName>
    <definedName name="wrn.Qtrly._.HTUK.">#REF!</definedName>
    <definedName name="wrn.Qtrly._.OIDL.">#REF!</definedName>
    <definedName name="wrn.Qtrly._.Trust.">#REF!</definedName>
    <definedName name="wrn.Qtrs_PL.">#REF!</definedName>
    <definedName name="wrn.quart.">#REF!</definedName>
    <definedName name="wrn.Quarterly.">#REF!</definedName>
    <definedName name="wrn.Quarterly._.Analysis.">#REF!</definedName>
    <definedName name="wrn.Quarterly._.Analysis._1">#REF!</definedName>
    <definedName name="wrn.Quarterly._.Analysis._2">#REF!</definedName>
    <definedName name="wrn.Quarterly._.Analysis._3">#REF!</definedName>
    <definedName name="wrn.Quarterly._.Analysis._4">#REF!</definedName>
    <definedName name="wrn.Quarterly._.Model.">#REF!</definedName>
    <definedName name="wrn.Quarterly._.Model._1">#REF!</definedName>
    <definedName name="wrn.Quarterly._.Model._2">#REF!</definedName>
    <definedName name="wrn.Quarterly._.Model._3">#REF!</definedName>
    <definedName name="wrn.Quarterly._.Model._4">#REF!</definedName>
    <definedName name="wrn.quarterly._.package.">#REF!</definedName>
    <definedName name="wrn.quarterly._.package._1">#REF!</definedName>
    <definedName name="wrn.quarterly._.package._2">#REF!</definedName>
    <definedName name="wrn.quarterly._.package._3">#REF!</definedName>
    <definedName name="wrn.quarterly._.package._4">#REF!</definedName>
    <definedName name="wrn.Quarterly_All._.pages.">#REF!</definedName>
    <definedName name="wrn.Quarterlys.">#REF!</definedName>
    <definedName name="wrn.Quarterlys._1">#REF!</definedName>
    <definedName name="wrn.quartfin.">#REF!</definedName>
    <definedName name="wrn.QUARTFRP." hidden="1">{#N/A,#N/A,FALSE,"Title";#N/A,#N/A,FALSE,"Index";#N/A,#N/A,FALSE,"1";#N/A,#N/A,FALSE,"2";#N/A,#N/A,FALSE,"3";#N/A,#N/A,FALSE,"4";#N/A,#N/A,FALSE,"5";#N/A,#N/A,FALSE,"5A";#N/A,#N/A,FALSE,"6";#N/A,#N/A,FALSE,"7";#N/A,#N/A,FALSE,"8"}</definedName>
    <definedName name="wrn.Quick_Merge_3yr.">#REF!</definedName>
    <definedName name="wrn.Quick_Merge_4yr.">#REF!</definedName>
    <definedName name="wrn.Quick_Merge_5yr.">#REF!</definedName>
    <definedName name="wrn.Quick_Merge_6yr.">#REF!</definedName>
    <definedName name="wrn.R_D._.Tax._.Services.">#REF!</definedName>
    <definedName name="wrn.Rankings.">#REF!</definedName>
    <definedName name="wrn.Reader.">#REF!</definedName>
    <definedName name="wrn.Rebound._.August._.2002._.MC.">#REF!</definedName>
    <definedName name="wrn.Rebound._.September2002.">#REF!</definedName>
    <definedName name="wrn.Recons.">#REF!</definedName>
    <definedName name="wrn.Reformat._.only." hidden="1">{#N/A,#N/A,FALSE,"Dec 1999 mapping"}</definedName>
    <definedName name="wrn.Reg._.Printer.">#REF!</definedName>
    <definedName name="wrn.Reg._.Printer._1">#REF!</definedName>
    <definedName name="wrn.Relatório._.Resumido.">#REF!</definedName>
    <definedName name="wrn.Relevant.">#REF!</definedName>
    <definedName name="wrn.Relevant1.">#REF!</definedName>
    <definedName name="wrn.RELEVANTSHEETS.">#REF!</definedName>
    <definedName name="wrn.RELEVANTSHEETS._1">#REF!</definedName>
    <definedName name="wrn.RELEVANTSHEETS._2">#REF!</definedName>
    <definedName name="wrn.RELEVANTSHEETS._3">#REF!</definedName>
    <definedName name="wrn.RELEVANTSHEETS._4">#REF!</definedName>
    <definedName name="wrn.rep_page.">#REF!</definedName>
    <definedName name="wrn.report." hidden="1">{#N/A,#N/A,FALSE,"Exchange Rates 1";#N/A,#N/A,FALSE,"Exchange Rates 2"}</definedName>
    <definedName name="wrn.Report._.1.">#REF!</definedName>
    <definedName name="wrn.Report._.2.">#REF!</definedName>
    <definedName name="wrn.Report._.2._1">#REF!</definedName>
    <definedName name="wrn.Report._.2._2">#REF!</definedName>
    <definedName name="wrn.Report._.2._3">#REF!</definedName>
    <definedName name="wrn.Report._.2._4">#REF!</definedName>
    <definedName name="wrn.REPORT._.C.">#REF!</definedName>
    <definedName name="wrn.report._.set._.with._.311.">#REF!</definedName>
    <definedName name="wrn.report._.set._.without._.311.">#REF!</definedName>
    <definedName name="wrn.report._1">#REF!</definedName>
    <definedName name="wrn.report._2">#REF!</definedName>
    <definedName name="wrn.report._3">#REF!</definedName>
    <definedName name="wrn.report._4">#REF!</definedName>
    <definedName name="wrn.Report_Page.">#REF!</definedName>
    <definedName name="wrn.Report_PR_1." hidden="1">{"PR1","pr1",TRUE,"Sch PR-1"}</definedName>
    <definedName name="wrn.Report1.">#REF!</definedName>
    <definedName name="wrn.Report1._1">#REF!</definedName>
    <definedName name="wrn.Report1._2">#REF!</definedName>
    <definedName name="wrn.Report1._3">#REF!</definedName>
    <definedName name="wrn.Report1._4">#REF!</definedName>
    <definedName name="wrn.reports." hidden="1">{#N/A,#N/A,FALSE,"yrtoyr";#N/A,#N/A,FALSE,"finstmtform";"conbud",#N/A,FALSE,"CONBUD"}</definedName>
    <definedName name="wrn.Resale." hidden="1">{"Resale_Cover",#N/A,FALSE,"COVERS";"ResaleC_1",#N/A,FALSE,"IS BY DIV";"ResaleC_2",#N/A,FALSE,"COGS BY DIV";"ResaleC_3",#N/A,FALSE,"TOTAL PF";"ResaleC_4",#N/A,FALSE,"TOTAL PF";"Resale_PL",#N/A,FALSE,"Sales by PL"}</definedName>
    <definedName name="wrn.Results.">#REF!</definedName>
    <definedName name="wrn.Revenue._.Breakdown._.By._.Client." hidden="1">{"Client Revenue Breakdown",#N/A,TRUE,"Assumptions"}</definedName>
    <definedName name="wrn.revenue._.detail.">#REF!</definedName>
    <definedName name="wrn.Review._.all.">#REF!</definedName>
    <definedName name="wrn.Revs.">#REF!</definedName>
    <definedName name="wrn.Riverwood_comp_model.">#REF!</definedName>
    <definedName name="wrn.Roll._.Up._.Fields." hidden="1">{"Total",#N/A,FALSE,"Six Fields";"PDP",#N/A,FALSE,"Six Fields";"PNP",#N/A,FALSE,"Six Fields";"PUD",#N/A,FALSE,"Six Fields";"Prob",#N/A,FALSE,"Six Fields"}</definedName>
    <definedName name="wrn.Royalty." hidden="1">{#N/A,#N/A,FALSE,"ESI";#N/A,#N/A,FALSE,"LTI";#N/A,#N/A,FALSE,"Medical";#N/A,#N/A,FALSE,"DSG";#N/A,#N/A,FALSE,"PI";#N/A,#N/A,FALSE,"OI"}</definedName>
    <definedName name="wrn.rprt.">#REF!</definedName>
    <definedName name="wrn.rpts.">#REF!</definedName>
    <definedName name="wrn.RTS.">#REF!</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_1">#REF!</definedName>
    <definedName name="wrn.SAA94TAX._3">#REF!</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_1">#REF!</definedName>
    <definedName name="wrn.saasimple._3">#REF!</definedName>
    <definedName name="wrn.sales">#REF!</definedName>
    <definedName name="wrn.sales.">#REF!</definedName>
    <definedName name="wrn.Sales._.and._.Admin.">#REF!</definedName>
    <definedName name="wrn.Sales._.nosplit.">#REF!</definedName>
    <definedName name="wrn.Sales._.Split.">#REF!</definedName>
    <definedName name="wrn.sales._1">#REF!</definedName>
    <definedName name="wrn.sales._2">#REF!</definedName>
    <definedName name="wrn.sales._3">#REF!</definedName>
    <definedName name="wrn.sales._4">#REF!</definedName>
    <definedName name="wrn.salesassum.">#REF!</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M.">#REF!</definedName>
    <definedName name="wrn.sdi.">#REF!</definedName>
    <definedName name="wrn.sdi._1">#REF!</definedName>
    <definedName name="wrn.sdi._2">#REF!</definedName>
    <definedName name="wrn.sdi._3">#REF!</definedName>
    <definedName name="wrn.sdi._4">#REF!</definedName>
    <definedName name="wrn.section._.A." hidden="1">{"pg A1",#N/A,FALSE,"Sum P&amp;L";"pg A2",#N/A,FALSE,"Charts1";"pg A3",#N/A,FALSE,"Sum Cash";"pg A4",#N/A,FALSE,"Charts2";"pg A5",#N/A,FALSE,"Sum BS";"pg A6",#N/A,FALSE,"Sum Invest"}</definedName>
    <definedName name="wrn.section._.B." hidden="1">{"pg B1",#N/A,FALSE,"P&amp;L Detail - Month";"pg B2",#N/A,FALSE,"P&amp;L Detail - YTD";"pg B3",#N/A,FALSE,"Cash Detail - Month";"pg B4",#N/A,FALSE,"Cash Detail - YTD";"pg B5",#N/A,FALSE,"BS Detail - CY";"pg B6",#N/A,FALSE,"BS Detail - PY";"pg B7",#N/A,FALSE,"Headcount Detail"}</definedName>
    <definedName name="wrn.section._.E." hidden="1">{"pg E1",#N/A,FALSE,"Ventures Portfolio";"pg E2",#N/A,FALSE,"Venture - Cash";"pg E3",#N/A,FALSE,"Unrealized Gains";"pg E4",#N/A,FALSE,"Realized Gains"}</definedName>
    <definedName name="wrn.section._.F." hidden="1">{"pg F1",#N/A,FALSE,"Fin Smry1";"pg F2",#N/A,FALSE,"Fin Smry2";"pg F3",#N/A,FALSE,"Fin Smry3";"pg F4",#N/A,FALSE,"Fin Smry4"}</definedName>
    <definedName name="wrn.Segments.">#REF!</definedName>
    <definedName name="wrn.Segments._1">#REF!</definedName>
    <definedName name="wrn.Segments._2">#REF!</definedName>
    <definedName name="wrn.Segments._3">#REF!</definedName>
    <definedName name="wrn.Segments._4">#REF!</definedName>
    <definedName name="wrn.SELLTHRU.">#REF!</definedName>
    <definedName name="wrn.sens.">#REF!</definedName>
    <definedName name="wrn.sens3.">#REF!</definedName>
    <definedName name="wrn.sensitivity._.analyses.">#REF!</definedName>
    <definedName name="wrn.Sensitivity._.Analysis.">#REF!</definedName>
    <definedName name="wrn.Sensitivity._.Analysis._1">#REF!</definedName>
    <definedName name="wrn.Sensitivity._.Analysis._2">#REF!</definedName>
    <definedName name="wrn.Sensitivity._.Analysis._3">#REF!</definedName>
    <definedName name="wrn.Sensitivity._.Analysis._4">#REF!</definedName>
    <definedName name="wrn.Seven._.Page.">#REF!</definedName>
    <definedName name="wrn.shareholder.">#REF!</definedName>
    <definedName name="wrn.SHEET.">#REF!</definedName>
    <definedName name="wrn.Ship._.Summary." hidden="1">{"Ship Summary",#N/A,FALSE,"Cobra MDP";"Ship Summary",#N/A,FALSE,"Cobra Mint";"Ship Summary",#N/A,FALSE,"Adder";"Ship Summary",#N/A,FALSE,"Python MDP";"Ship Summary",#N/A,FALSE,"Python Mint";"Ship Summary",#N/A,FALSE,"Zebra MDP";"Ship Summary",#N/A,FALSE,"Zebra Mint";"Ship Summary",#N/A,FALSE,"Belize Mint";"Ship Summary",#N/A,FALSE,"Explorer Mint";"Ship Summary",#N/A,FALSE,"Maui Mint";"Ship Summary",#N/A,FALSE,"Trigger Mint";"Ship Summary",#N/A,FALSE,"Copperhead Mint";"Ship Summary",#N/A,FALSE,"Matador Mint";"Ship Summary",#N/A,FALSE,"Anaconda MDP";"Ship Summary",#N/A,FALSE,"Anaconda Mint";"Ship Summary",#N/A,FALSE,"Elite Mint";"Ship Summary",#N/A,FALSE,"ST32132";"Ship Summary",#N/A,FALSE,"Viper Mint";"Ship Summary",#N/A,FALSE,"Media Research";"Ship Summary",#N/A,FALSE,"Process Equip Research"}</definedName>
    <definedName name="wrn.SHORT.">#REF!</definedName>
    <definedName name="wrn.Short._.Report.">#REF!</definedName>
    <definedName name="wrn.Six._.Page.">#REF!</definedName>
    <definedName name="wrn.Sixpage.">#REF!</definedName>
    <definedName name="wrn.SKSCS1.">#REF!</definedName>
    <definedName name="wrn.stand_alone.">#REF!</definedName>
    <definedName name="wrn.stand_alone_both">#REF!</definedName>
    <definedName name="wrn.STAND_ALONE_BOTH.">#REF!</definedName>
    <definedName name="wrn.Stand_alone_both._dcf">#REF!</definedName>
    <definedName name="wrn.stand_alone_both.1">#REF!</definedName>
    <definedName name="wrn.stand_alone_both1">#REF!</definedName>
    <definedName name="wrn.stand_alone_both9">#REF!</definedName>
    <definedName name="wrn.standaloneboth1">#REF!</definedName>
    <definedName name="wrn.Standard." hidden="1">{"Standard Report",#N/A,FALSE,"DETAIL";"Summary",#N/A,FALSE,"Summary"}</definedName>
    <definedName name="wrn.Standard._.NonUtility._.Only." hidden="1">{"YTD-NonUtility",#N/A,FALSE,"Prov NonUtility"}</definedName>
    <definedName name="wrn.Standard._.Utility._.Only." hidden="1">{"YTD-Utility",#N/A,FALSE,"Prov Utility"}</definedName>
    <definedName name="wrn.Standard._1">#REF!</definedName>
    <definedName name="wrn.Standard._2">#REF!</definedName>
    <definedName name="wrn.Standard._3">#REF!</definedName>
    <definedName name="wrn.Standard._4">#REF!</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#REF!</definedName>
    <definedName name="wrn.stay">#REF!</definedName>
    <definedName name="wrn.std" hidden="1">{"Standard Report",#N/A,FALSE,"DETAIL";"Summary",#N/A,FALSE,"Summary"}</definedName>
    <definedName name="wrn.step_el.">#REF!</definedName>
    <definedName name="wrn.Strategic." hidden="1">{"Strategic",#N/A,FALSE,"Total"}</definedName>
    <definedName name="wrn.Strategic..." hidden="1">{"Strategic",#N/A,FALSE,"Total"}</definedName>
    <definedName name="wrn.subs." hidden="1">{#N/A,#N/A,FALSE,"Comp - War";#N/A,#N/A,FALSE,"Comp - War"}</definedName>
    <definedName name="wrn.sum">#REF!</definedName>
    <definedName name="wrn.sum.">#REF!</definedName>
    <definedName name="wrn.sum._.and._.detail." hidden="1">{#N/A,#N/A,FALSE,"Reported$ - Sum";#N/A,#N/A,FALSE,"Reported$ - Detail";#N/A,#N/A,FALSE,"Constant$ - Sum";#N/A,#N/A,FALSE,"Constant$ - Detail"}</definedName>
    <definedName name="wrn.sum2">#REF!</definedName>
    <definedName name="wrn.SumandMitems.">#REF!</definedName>
    <definedName name="wrn.summary">#REF!</definedName>
    <definedName name="wrn.Summary." hidden="1">{"Summary",#N/A,FALSE,"Summary"}</definedName>
    <definedName name="wrn.Summary._.Presentation.">#REF!</definedName>
    <definedName name="wrn.Summary._.Report._.by._.Month.">#REF!</definedName>
    <definedName name="wrn.Summary._.Report._.by._.Month._1">#REF!</definedName>
    <definedName name="wrn.Summary._.Report._.by._.Month._2">#REF!</definedName>
    <definedName name="wrn.Summary._.Report._.by._.Month._3">#REF!</definedName>
    <definedName name="wrn.Summary._.Report._.by._.Month._4">#REF!</definedName>
    <definedName name="wrn.Summary._.Report._.by._.Year.">#REF!</definedName>
    <definedName name="wrn.Summary._.Report._.by._.Year._1">#REF!</definedName>
    <definedName name="wrn.Summary._.Report._.by._.Year._2">#REF!</definedName>
    <definedName name="wrn.Summary._.Report._.by._.Year._3">#REF!</definedName>
    <definedName name="wrn.Summary._.Report._.by._.Year._4">#REF!</definedName>
    <definedName name="wrn.summary._.schedules.">#REF!</definedName>
    <definedName name="wrn.Summary._.View." hidden="1">{#N/A,#N/A,FALSE,"Consltd-For contngcy"}</definedName>
    <definedName name="wrn.summary_Parameters_tariffs.">#REF!</definedName>
    <definedName name="wrn.SummaryPgs.">#REF!</definedName>
    <definedName name="wrn.SUPP.">#REF!</definedName>
    <definedName name="wrn.Supporting._.Schedules.">#REF!</definedName>
    <definedName name="wrn.SVALE._.FP." hidden="1">{#N/A,#N/A,FALSE,"I_S SUMM";"BS TREND IN L.C.",#N/A,FALSE,"BALSHEET TRENDS"}</definedName>
    <definedName name="wrn.SVALEMONTH." hidden="1">{#N/A,#N/A,FALSE,"RATE";#N/A,#N/A,FALSE,"REVBOOKINGS";#N/A,#N/A,FALSE,"BALSHEET";#N/A,#N/A,FALSE,"INC STMT";#N/A,#N/A,FALSE,"COS";#N/A,#N/A,FALSE,"SERVICE COS";#N/A,#N/A,FALSE,"SERVICE COS ($US)";#N/A,#N/A,FALSE,"COS ($US)";#N/A,#N/A,FALSE,"SHIPPED, NOT INV.";#N/A,#N/A,FALSE,"RTNS IN TRANSIT";#N/A,#N/A,FALSE,"OPEXP";#N/A,#N/A,FALSE,"INTER-CO";#N/A,#N/A,FALSE,"INTER-CO SALES";#N/A,#N/A,FALSE,"CASH";#N/A,#N/A,FALSE,"CAPITAL EQUIP";#N/A,#N/A,FALSE,"AR";#N/A,#N/A,FALSE,"DSO";#N/A,#N/A,FALSE,"INVENTORY";#N/A,#N/A,FALSE,"COMMENTS";#N/A,#N/A,FALSE,"ERRORS";#N/A,#N/A,FALSE,"ELIMINFO";#N/A,#N/A,FALSE,"JE'S";#N/A,#N/A,FALSE,"HILITES";#N/A,#N/A,FALSE,"GM ANALYSIS";#N/A,#N/A,FALSE,"EXPTRND";#N/A,#N/A,FALSE,"L.C. INC STMT";#N/A,#N/A,FALSE,"INC STMT TREND IN USD";#N/A,#N/A,FALSE,"L.C. INC STMT AT PSR";#N/A,#N/A,FALSE,"I_S SUMM";#N/A,#N/A,FALSE,"BALSHEET TRENDS"}</definedName>
    <definedName name="wrn.SVALEQTR." hidden="1">{#N/A,#N/A,FALSE,"QTR OTHER ASSETS";#N/A,#N/A,FALSE,"QTR ACCD LIAB";#N/A,#N/A,FALSE,"QTRTAX"}</definedName>
    <definedName name="wrn.t_cash.">#REF!</definedName>
    <definedName name="wrn.Tables.">#REF!</definedName>
    <definedName name="wrn.Tables._1">#REF!</definedName>
    <definedName name="wrn.Tables._2">#REF!</definedName>
    <definedName name="wrn.Tables._3">#REF!</definedName>
    <definedName name="wrn.Tables._4">#REF!</definedName>
    <definedName name="wrn.tap." hidden="1">{#N/A,#N/A,FALSE,"AC Price";#N/A,#N/A,FALSE,"Spec Sum";#N/A,#N/A,FALSE,"AC1-52";#N/A,#N/A,FALSE,"AC53-57";#N/A,#N/A,FALSE,"AC58-119";#N/A,#N/A,FALSE,"Worksheet";#N/A,#N/A,FALSE,"Early Lease Return";#N/A,#N/A,FALSE,"Escalation Cap";#N/A,#N/A,FALSE,"40 Seat Subsidy";#N/A,#N/A,FALSE,"44 Seat Subsidy";#N/A,#N/A,FALSE,"Cash Sum";#N/A,#N/A,FALSE,"Pymt";#N/A,#N/A,FALSE,"Delivery"}</definedName>
    <definedName name="wrn.tap._1">#REF!</definedName>
    <definedName name="wrn.tap._3">#REF!</definedName>
    <definedName name="wrn.Target.">#REF!</definedName>
    <definedName name="wrn.Target._1">#REF!</definedName>
    <definedName name="wrn.Target._2">#REF!</definedName>
    <definedName name="wrn.Target._3">#REF!</definedName>
    <definedName name="wrn.Target._4">#REF!</definedName>
    <definedName name="wrn.TargetLBO.">#REF!</definedName>
    <definedName name="wrn.TargetLBO._1">#REF!</definedName>
    <definedName name="wrn.TargetLBO._2">#REF!</definedName>
    <definedName name="wrn.TargetLBO._3">#REF!</definedName>
    <definedName name="wrn.TargetLBO._4">#REF!</definedName>
    <definedName name="wrn.TargetState.">#REF!</definedName>
    <definedName name="wrn.TargetState._1">#REF!</definedName>
    <definedName name="wrn.TargetState._2">#REF!</definedName>
    <definedName name="wrn.TargetState._3">#REF!</definedName>
    <definedName name="wrn.TargetState._4">#REF!</definedName>
    <definedName name="wrn.TargetVal.">#REF!</definedName>
    <definedName name="wrn.TargetVal._1">#REF!</definedName>
    <definedName name="wrn.TargetVal._2">#REF!</definedName>
    <definedName name="wrn.TargetVal._3">#REF!</definedName>
    <definedName name="wrn.TargetVal._4">#REF!</definedName>
    <definedName name="wrn.Tariff._.working.">#REF!</definedName>
    <definedName name="wrn.Tax_Package.">#REF!</definedName>
    <definedName name="wrn.Taxes.">#REF!</definedName>
    <definedName name="wrn.Teacher.">#REF!</definedName>
    <definedName name="wrn.Tech._.Support.">#REF!</definedName>
    <definedName name="wrn.technology.">#REF!</definedName>
    <definedName name="wrn.tel2.">#REF!</definedName>
    <definedName name="wrn.tel2._1">#REF!</definedName>
    <definedName name="wrn.tel2._2">#REF!</definedName>
    <definedName name="wrn.tel2._3">#REF!</definedName>
    <definedName name="wrn.tel2._4">#REF!</definedName>
    <definedName name="wrn.telem.">#REF!</definedName>
    <definedName name="wrn.telem._1">#REF!</definedName>
    <definedName name="wrn.telem._2">#REF!</definedName>
    <definedName name="wrn.telem._3">#REF!</definedName>
    <definedName name="wrn.telem._4">#REF!</definedName>
    <definedName name="wrn.Telstra._.Inputs.">#REF!</definedName>
    <definedName name="wrn.Telstra._.Output.">#REF!</definedName>
    <definedName name="wrn.TenQ." hidden="1">{"TenQ IS",#N/A,TRUE,"10Q Format IS";"TenQ BS",#N/A,TRUE,"10Q Format BS";"TenQ Csh Flo",#N/A,TRUE,"10Q Format Cash Flow";"TenQ Notes",#N/A,TRUE,"10Q Format Notes to Financials"}</definedName>
    <definedName name="wrn.TEST." hidden="1">{#N/A,#N/A,FALSE,"3가";#N/A,#N/A,FALSE,"3나";#N/A,#N/A,FALSE,"3다"}</definedName>
    <definedName name="wrn.TEST._1">#REF!</definedName>
    <definedName name="wrn.TEST._3">#REF!</definedName>
    <definedName name="wrn.Textron.">#REF!</definedName>
    <definedName name="wrn.Therasense." hidden="1">{#N/A,#N/A,FALSE,"Portfolio Summary";#N/A,#N/A,FALSE,"Performance ";#N/A,#N/A,FALSE,"Earnings";#N/A,#N/A,FALSE,"Earnings by Maturity";#N/A,#N/A,FALSE,"Credit Analysis";#N/A,#N/A,FALSE,"Reconciliation "}</definedName>
    <definedName name="wrn.Therasense._1">#REF!</definedName>
    <definedName name="wrn.TheWholeEnchilada." hidden="1">{"CSheet",#N/A,FALSE,"C";"SmCap",#N/A,FALSE,"VAL1";"GulfCoast",#N/A,FALSE,"VAL1";"nav",#N/A,FALSE,"NAV";"Summary",#N/A,FALSE,"NAV"}</definedName>
    <definedName name="wrn.Thomas_Case.">#REF!</definedName>
    <definedName name="wrn.three">#REF!</definedName>
    <definedName name="wrn.Three._.Month._.I.S.">#REF!</definedName>
    <definedName name="wrn.Three._.Months._.Cash._.Flow." hidden="1">{"Landscape Detail CF",#N/A,FALSE,"Cash Flow for the 3 m-e 8.31";"Portrait Detail CF",#N/A,FALSE,"Cash Flow for the 3 m-e 8.31"}</definedName>
    <definedName name="wrn.Tobra." hidden="1">{"clinbud",#N/A,FALSE,"Tobra";"followon",#N/A,FALSE,"Tobra";"canada",#N/A,FALSE,"Tobra"}</definedName>
    <definedName name="wrn.TODO.">#REF!</definedName>
    <definedName name="wrn.TODO._1">#REF!</definedName>
    <definedName name="wrn.TODO._2">#REF!</definedName>
    <definedName name="wrn.TODO._3">#REF!</definedName>
    <definedName name="wrn.TODO._4">#REF!</definedName>
    <definedName name="wrn.TOOL.">#REF!</definedName>
    <definedName name="wrn.TOOL._1">#REF!</definedName>
    <definedName name="wrn.TOOL._2">#REF!</definedName>
    <definedName name="wrn.TOOL._3">#REF!</definedName>
    <definedName name="wrn.TOOL._4">#REF!</definedName>
    <definedName name="wrn.Top._.Level._.Summaries.">#REF!</definedName>
    <definedName name="wrn.toshg.">#REF!</definedName>
    <definedName name="wrn.Total.">#REF!</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_.Presentation.">#REF!</definedName>
    <definedName name="wrn.Total._.Proved." hidden="1">{"Total",#N/A,FALSE,"Total Proved";"PDP",#N/A,FALSE,"Total Proved";"PNP",#N/A,FALSE,"Total Proved";"PUD",#N/A,FALSE,"Total Proved"}</definedName>
    <definedName name="wrn.Total._.Proved._.plus._.Probable." hidden="1">{"Total",#N/A,FALSE,"Total Proved + Probable";"PDP",#N/A,FALSE,"Total Proved + Probable";"PNP",#N/A,FALSE,"Total Proved + Probable";"PUD",#N/A,FALSE,"Total Proved + Probable";"Prob",#N/A,FALSE,"Total Proved + Probable"}</definedName>
    <definedName name="wrn.TOTAL._.REPORT.">#REF!</definedName>
    <definedName name="wrn.Total._1">#REF!</definedName>
    <definedName name="wrn.Total._2">#REF!</definedName>
    <definedName name="wrn.Total._3">#REF!</definedName>
    <definedName name="wrn.Total._4">#REF!</definedName>
    <definedName name="wrn.totalcomp.">#REF!</definedName>
    <definedName name="wrn.tox." hidden="1">{"tox95",#N/A,FALSE,"studydata";"tox96",#N/A,FALSE,"studydata";"tox97",#N/A,FALSE,"studydata";"tox98",#N/A,FALSE,"studydata"}</definedName>
    <definedName name="wrn.TP.">#REF!</definedName>
    <definedName name="wrn.trademark._.and._.trade._.name.">#REF!</definedName>
    <definedName name="wrn.Trading._.Summary.">#REF!</definedName>
    <definedName name="wrn.TRANSLATED._.B.S." hidden="1">{#N/A,#N/A,FALSE,"CANADA";#N/A,#N/A,FALSE,"HOLLAND";#N/A,#N/A,FALSE,"AUSTRALIA";#N/A,#N/A,FALSE,"ALLOW &amp; RESRV "}</definedName>
    <definedName name="wrn.TRANSLATED._.B.S._1">#REF!</definedName>
    <definedName name="wrn.Transparency.">#REF!</definedName>
    <definedName name="wrn.TransPrcd_123.">#REF!</definedName>
    <definedName name="wrn.TransPrcd_123._1">#REF!</definedName>
    <definedName name="wrn.TransPrcd_123._2">#REF!</definedName>
    <definedName name="wrn.TransPrcd_123._3">#REF!</definedName>
    <definedName name="wrn.TransPrcd_123._4">#REF!</definedName>
    <definedName name="wrn.TREND.">#REF!</definedName>
    <definedName name="wrn.Trends.">#REF!</definedName>
    <definedName name="wrn.Trial._.Balance.">#REF!</definedName>
    <definedName name="wrn.Triangles.">#REF!</definedName>
    <definedName name="wrn.Tweety.">#REF!</definedName>
    <definedName name="wrn.Typhoon.">#REF!</definedName>
    <definedName name="wrn.Typhoon._1">#REF!</definedName>
    <definedName name="wrn.Typhoon._2">#REF!</definedName>
    <definedName name="wrn.Typhoon._3">#REF!</definedName>
    <definedName name="wrn.Typhoon._4">#REF!</definedName>
    <definedName name="wrn.U.S.._.Industries._.Inc..">#REF!</definedName>
    <definedName name="wrn.UK._.Conversion._.Only." hidden="1">{#N/A,#N/A,FALSE,"Dec 1999 UK Continuing Ops"}</definedName>
    <definedName name="wrn.uni">#REF!</definedName>
    <definedName name="wrn.UNIONGAS94TAXRETURN." hidden="1">{#N/A,#N/A,FALSE,"일반적사항";#N/A,#N/A,FALSE,"주요재무자료";#N/A,#N/A,FALSE,"표지";#N/A,#N/A,FALSE,"총괄표";#N/A,#N/A,FALSE,"1호 과표세액";#N/A,#N/A,FALSE,"1-2호 농어촌과표";#N/A,#N/A,FALSE,"2호 서식";#N/A,#N/A,FALSE,"2호부표 최저한세";#N/A,#N/A,FALSE,"3(1)호 공제감면";#N/A,#N/A,FALSE,"3(1) 부3 세액조정";#N/A,#N/A,FALSE,"3호 임시투자공제";#N/A,#N/A,FALSE,"조8호 기술인력";#N/A,#N/A,FALSE,"3(1)부7 기업합리";#N/A,#N/A,FALSE,"3(3)호(갑) 원천납부";#N/A,#N/A,FALSE,"5호 농어촌";#N/A,#N/A,FALSE,"5호2 농감면(갑)";#N/A,#N/A,FALSE,"6호 소득금액";#N/A,#N/A,FALSE,"6호 첨부(익)";#N/A,#N/A,FALSE,"6호 첨부(손)";#N/A,#N/A,FALSE,"6-1호 수입금액";#N/A,#N/A,FALSE,"6-3호 퇴충";#N/A,#N/A,FALSE,"6-3(4)호 대손";#N/A,#N/A,FALSE,"6-4호 접대(갑)";#N/A,#N/A,FALSE,"6-4호 접대(을)";#N/A,#N/A,FALSE,"6-5호 외화(갑)";#N/A,#N/A,FALSE,"6-6호(부표)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조정수입";#N/A,#N/A,FALSE,"14(1)호 갑 주식";#N/A,#N/A,FALSE,"59호 해외특수";#N/A,#N/A,FALSE,"60호 갑 적정유보";#N/A,#N/A,FALSE,"60호 을 적정유보";#N/A,#N/A,FALSE,"요약 BS";#N/A,#N/A,FALSE,"요약 PL";#N/A,#N/A,FALSE,"요약원가";#N/A,#N/A,FALSE,"요약RE"}</definedName>
    <definedName name="wrn.UNIONGAS94TAXRETURN._1">#REF!</definedName>
    <definedName name="wrn.UNIONGAS94TAXRETURN._3">#REF!</definedName>
    <definedName name="wrn.Units.">#REF!</definedName>
    <definedName name="wrn.up.">#REF!</definedName>
    <definedName name="wrn.Update._.certificate.">#REF!</definedName>
    <definedName name="wrn.upstairs.">#REF!</definedName>
    <definedName name="wrn.upstairs._1">#REF!</definedName>
    <definedName name="wrn.upstairs._2">#REF!</definedName>
    <definedName name="wrn.upstairs._3">#REF!</definedName>
    <definedName name="wrn.upstairs._4">#REF!</definedName>
    <definedName name="wrn.US._.Dollar.">#REF!</definedName>
    <definedName name="wrn.USAmc.">#REF!</definedName>
    <definedName name="wrn.USAmg.">#REF!</definedName>
    <definedName name="wrn.USAsg.">#REF!</definedName>
    <definedName name="wrn.USF._.GROUP.">#REF!</definedName>
    <definedName name="wrn.USF._.GROUP._1">#REF!</definedName>
    <definedName name="wrn.USR.">#REF!</definedName>
    <definedName name="wrn.V96_USA.">#REF!</definedName>
    <definedName name="wrn.Valuation.">#REF!</definedName>
    <definedName name="wrn.Valuation._.Package._.1.">#REF!</definedName>
    <definedName name="wrn.Valuation._.Package._.1._1">#REF!</definedName>
    <definedName name="wrn.Valuation._.Package._.1._2">#REF!</definedName>
    <definedName name="wrn.Valuation._.Package._.1._3">#REF!</definedName>
    <definedName name="wrn.Valuation._.Package._.1._4">#REF!</definedName>
    <definedName name="wrn.Valuation._.Worksheets.">#REF!</definedName>
    <definedName name="wrn.Valuation._1">#REF!</definedName>
    <definedName name="wrn.VALUATION._2">#REF!</definedName>
    <definedName name="wrn.VALUATION._3">#REF!</definedName>
    <definedName name="wrn.VALUATION._4">#REF!</definedName>
    <definedName name="wrn.Wacc.">#REF!</definedName>
    <definedName name="wrn.Wacc._1">#REF!</definedName>
    <definedName name="wrn.Wacc._2">#REF!</definedName>
    <definedName name="wrn.Wacc._3">#REF!</definedName>
    <definedName name="wrn.Wacc._4">#REF!</definedName>
    <definedName name="wrn.wara.">#REF!</definedName>
    <definedName name="wrn.Warranty._.Reserves.">#REF!</definedName>
    <definedName name="wrn.WATERTOWN._.BUDGET.">#REF!</definedName>
    <definedName name="wrn.West." hidden="1">{"West",#N/A,FALSE,"Total"}</definedName>
    <definedName name="wrn.West..." hidden="1">{"West",#N/A,FALSE,"Total"}</definedName>
    <definedName name="wrn.Western._.Metal.">#REF!</definedName>
    <definedName name="wrn.Whitebk." hidden="1">{#N/A,#N/A,FALSE,"ROTARY";#N/A,#N/A,FALSE,"CHARTS"}</definedName>
    <definedName name="wrn.Whitebk._1">#REF!</definedName>
    <definedName name="wrn.whole._.document.">#REF!</definedName>
    <definedName name="wrn.whole._.document._1">#REF!</definedName>
    <definedName name="wrn.whole._.document._2">#REF!</definedName>
    <definedName name="wrn.whole._.document._3">#REF!</definedName>
    <definedName name="wrn.whole._.document._4">#REF!</definedName>
    <definedName name="wrn.Whole._.Pack.">#REF!</definedName>
    <definedName name="wrn.WholeShabang.">#REF!</definedName>
    <definedName name="wrn.WholeShabang._1">#REF!</definedName>
    <definedName name="wrn.WholeShabang._2">#REF!</definedName>
    <definedName name="wrn.WholeShabang._3">#REF!</definedName>
    <definedName name="wrn.WholeShabang._4">#REF!</definedName>
    <definedName name="wrn.wicor.">#REF!</definedName>
    <definedName name="wrn.wicor._1">#REF!</definedName>
    <definedName name="wrn.wicor._2">#REF!</definedName>
    <definedName name="wrn.wicor._3">#REF!</definedName>
    <definedName name="wrn.wicor._4">#REF!</definedName>
    <definedName name="wrn.Wireless.">#REF!</definedName>
    <definedName name="wrn.Wireless._1">#REF!</definedName>
    <definedName name="wrn.without._.Wireless._.All._.Periods.">#REF!</definedName>
    <definedName name="wrn.without._.Wireless._.All._.Periods._1">#REF!</definedName>
    <definedName name="wrn.WL._.Business._.Plan._.Nov._.1996." hidden="1">{#N/A,#N/A,FALSE,"Annual income statement";#N/A,#N/A,FALSE,"Annual balance sheet";#N/A,#N/A,FALSE,"Annual cash flow";#N/A,#N/A,FALSE,"2-year Income statement";#N/A,#N/A,FALSE,"2 year balance sheet";#N/A,#N/A,FALSE,"2- year cash flow statement";#N/A,#N/A,FALSE,"Sales drivers"}</definedName>
    <definedName name="wrn.work._.paper._.shcedules.">#REF!</definedName>
    <definedName name="wrn.WorkCap.">#REF!</definedName>
    <definedName name="wrn.Workpapers.">#REF!</definedName>
    <definedName name="wrn.Worldwide." hidden="1">{"Worldwide",#N/A,FALSE,"Total";"West",#N/A,FALSE,"Total";"Central",#N/A,FALSE,"Total";"East",#N/A,FALSE,"Total";"Strategic",#N/A,FALSE,"Total";"Development",#N/A,FALSE,"Total"}</definedName>
    <definedName name="wrn.Worldwide..." hidden="1">{"Worldwide",#N/A,FALSE,"Total";"West",#N/A,FALSE,"Total";"Central",#N/A,FALSE,"Total";"East",#N/A,FALSE,"Total";"Strategic",#N/A,FALSE,"Total";"Development",#N/A,FALSE,"Total"}</definedName>
    <definedName name="wrn.WP._.4797.">#REF!</definedName>
    <definedName name="wrn.wpoall.">#REF!</definedName>
    <definedName name="wrn.WW._.M._.Detail.">#REF!</definedName>
    <definedName name="wrn.WWY.">#REF!</definedName>
    <definedName name="wrn.Y95current.">#REF!</definedName>
    <definedName name="wrn.Y95qtrs.">#REF!</definedName>
    <definedName name="wrn.Yahoo.">#REF!</definedName>
    <definedName name="wrn.Year._.End.">#REF!</definedName>
    <definedName name="wrn.YearEnd." hidden="1">{"Factors Pages 1-2",#N/A,FALSE,"Variables";"Factors Page 3",#N/A,FALSE,"Variables";"Factors Page 4",#N/A,FALSE,"Variables";"Factors Page 5",#N/A,FALSE,"Variables";"YE Pages 7-26",#N/A,FALSE,"Variables"}</definedName>
    <definedName name="wrn.Yield._.Graph.">#REF!</definedName>
    <definedName name="wrn.Yield._.Graph._.plus._.Input.">#REF!</definedName>
    <definedName name="wrn.YTD_ROY_PL.">#REF!</definedName>
    <definedName name="wrn.Y차._.종합." hidden="1">{#N/A,#N/A,TRUE,"Y생산";#N/A,#N/A,TRUE,"Y판매";#N/A,#N/A,TRUE,"Y총물량";#N/A,#N/A,TRUE,"Y능력";#N/A,#N/A,TRUE,"YKD"}</definedName>
    <definedName name="wrn.ｷｬｼｭﾌﾛｰ.">#REF!</definedName>
    <definedName name="wrn.מאזן_בוחן_כללי.">#REF!</definedName>
    <definedName name="wrn.סעיפי_מאזן_בוחן.">#REF!</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_1">#REF!</definedName>
    <definedName name="wrn.간단한세무조정계산서._3">#REF!</definedName>
    <definedName name="wrn.결산서." hidden="1">{#N/A,#N/A,TRUE,"최종합계잔액시산표";#N/A,#N/A,TRUE,"최종대차대조표";#N/A,#N/A,TRUE,"최종손익계산서";#N/A,#N/A,TRUE,"재무상태변동표";#N/A,#N/A,TRUE,"이익잉여금처분"}</definedName>
    <definedName name="wrn.구조2." hidden="1">{#N/A,#N/A,FALSE,"구조2"}</definedName>
    <definedName name="wrn.기술료._.비교." hidden="1">{#N/A,#N/A,FALSE,"기술료 비교"}</definedName>
    <definedName name="wrn.낙관적000112." hidden="1">{#N/A,#N/A,FALSE,"추정손익계산서";#N/A,#N/A,FALSE,"추정대차대조표";#N/A,#N/A,FALSE,"자금수지예상표";#N/A,#N/A,FALSE,"재무비율분석"}</definedName>
    <definedName name="wrn.대차._.대조표." hidden="1">{#N/A,#N/A,TRUE,"대 차 대 조 표"}</definedName>
    <definedName name="wrn.배수1." hidden="1">{#N/A,#N/A,FALSE,"배수1"}</definedName>
    <definedName name="wrn.배수2." hidden="1">{#N/A,#N/A,FALSE,"배수2"}</definedName>
    <definedName name="wrn.보고서." hidden="1">{#N/A,#N/A,FALSE,"Sheet1";#N/A,#N/A,FALSE,"기평9607"}</definedName>
    <definedName name="wrn.부대1." hidden="1">{#N/A,#N/A,FALSE,"부대1"}</definedName>
    <definedName name="wrn.부대2." hidden="1">{#N/A,#N/A,FALSE,"부대2"}</definedName>
    <definedName name="wrn.부문손익." hidden="1">{#N/A,#N/A,FALSE,"매출이익"}</definedName>
    <definedName name="wrn.설변현황." hidden="1">{#N/A,#N/A,FALSE,"KMC최종회의(7월) 자료"}</definedName>
    <definedName name="wrn.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_1">#REF!</definedName>
    <definedName name="wrn.세무_3">#REF!</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_1">#REF!</definedName>
    <definedName name="wrn.세무조정계산서._3">#REF!</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_1">#REF!</definedName>
    <definedName name="wrn.세무조정모든양식._3">#REF!</definedName>
    <definedName name="wrn.속도." hidden="1">{#N/A,#N/A,FALSE,"속도"}</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수." hidden="1">{#N/A,"수불부",FALSE,"사급자재수불서";#N/A,"수불부",FALSE,"사급자재수불서"}</definedName>
    <definedName name="wrn.수주현황." hidden="1">{#N/A,#N/A,FALSE,"수주현황";#N/A,#N/A,FALSE,"수주현황";#N/A,#N/A,FALSE,"수주현황"}</definedName>
    <definedName name="wrn.신규dep._.full._.set." hidden="1">{#N/A,#N/A,FALSE,"신규dep";#N/A,#N/A,FALSE,"신규dep-금형상각후";#N/A,#N/A,FALSE,"신규dep-연구비상각후";#N/A,#N/A,FALSE,"신규dep-기계,공구상각후"}</definedName>
    <definedName name="wrn.에금차입금명세." hidden="1">{#N/A,#N/A,FALSE,"Sheet3"}</definedName>
    <definedName name="wrn.월말보고서."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wrn.월분석." hidden="1">{#N/A,#N/A,FALSE,"표지";#N/A,#N/A,FALSE,"주요지표";#N/A,#N/A,FALSE,"고장현황(시간)";#N/A,#N/A,FALSE,"고장현황(1제강)"}</definedName>
    <definedName name="wrn.이정표." hidden="1">{#N/A,#N/A,FALSE,"이정표"}</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재무제표." hidden="1">{#N/A,#N/A,FALSE,"BS";#N/A,#N/A,FALSE,"IS";#N/A,#N/A,FALSE,"결손금처리";#N/A,#N/A,FALSE,"cashflow"}</definedName>
    <definedName name="wrn.전부인쇄." hidden="1">{#N/A,#N/A,FALSE,"단축1";#N/A,#N/A,FALSE,"단축2";#N/A,#N/A,FALSE,"단축3";#N/A,#N/A,FALSE,"장축";#N/A,#N/A,FALSE,"4WD"}</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_1">#REF!</definedName>
    <definedName name="wrn.조흥94세무._3">#REF!</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_1">#REF!</definedName>
    <definedName name="wrn.조흥축약94._3">#REF!</definedName>
    <definedName name="wrn.채권재조정."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wrn.채권채무조회서." hidden="1">{#N/A,#N/A,FALSE,"채권채무";#N/A,#N/A,FALSE,"control sheet"}</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현대정공구매현황." hidden="1">{#N/A,#N/A,FALSE,"정공"}</definedName>
    <definedName name="wrn.회선임차현황." hidden="1">{#N/A,#N/A,FALSE,"회선임차현황"}</definedName>
    <definedName name="wrn.회의0104.XLS." hidden="1">{#N/A,#N/A,TRUE,"매출진척-1";#N/A,#N/A,TRUE,"매출진척-2";#N/A,#N/A,TRUE,"제품실적";#N/A,#N/A,TRUE,"RAC";#N/A,#N/A,TRUE,"PAC ";#N/A,#N/A,TRUE,"재고현황";#N/A,#N/A,TRUE,"공지사항"}</definedName>
    <definedName name="wrn.회의0104.XLS._1">#REF!</definedName>
    <definedName name="wrn.회의0104.XLS._3">#REF!</definedName>
    <definedName name="wrn.中期.">#REF!</definedName>
    <definedName name="wrn.全体.">#REF!</definedName>
    <definedName name="wrn.収支">#REF!</definedName>
    <definedName name="wrn.収支.">#REF!</definedName>
    <definedName name="wrn.営業報告.">#REF!</definedName>
    <definedName name="wrn.店別.">#REF!</definedName>
    <definedName name="wrn.第一四半期.">#REF!</definedName>
    <definedName name="wrn.第三四半期.">#REF!</definedName>
    <definedName name="wrn.第二四半期.">#REF!</definedName>
    <definedName name="wrn.第四四半期.">#REF!</definedName>
    <definedName name="wrn_otpt">{"DCF","UPSIDE CASE",FALSE,"Sheet1";"DCF","BASE CASE",FALSE,"Sheet1";"DCF","DOWNSIDE CASE",FALSE,"Sheet1"}</definedName>
    <definedName name="wrn1.all._Sheets">#REF!</definedName>
    <definedName name="wrn1.Fax.">#REF!</definedName>
    <definedName name="wrn1.supp.">#REF!</definedName>
    <definedName name="WRN2.Document">#REF!</definedName>
    <definedName name="wrn2.summary" hidden="1">{"00000summary",#N/A,FALSE,"00000";"10000summary",#N/A,FALSE,"10000"}</definedName>
    <definedName name="wrnn">#REF!</definedName>
    <definedName name="wrnn_1">#REF!</definedName>
    <definedName name="wrnn_2">#REF!</definedName>
    <definedName name="wrnn_3">#REF!</definedName>
    <definedName name="wrnn_4">#REF!</definedName>
    <definedName name="WRNNO" hidden="1">{"PRVSN",#N/A,FALSE,"Q196";"PRVSN",#N/A,FALSE,"Q296";"PRVSN",#N/A,FALSE,"Q396";"PRVSN",#N/A,FALSE,"Q496";"VARIANCES",#N/A,FALSE,"Q196";"VARIANCES",#N/A,FALSE,"Q296"}</definedName>
    <definedName name="wrrrrr" hidden="1">{#N/A,#N/A,FALSE,"REPORT"}</definedName>
    <definedName name="wrt">#REF!</definedName>
    <definedName name="wrth">#REF!</definedName>
    <definedName name="wrth_1">#REF!</definedName>
    <definedName name="wrtwyt">#REF!</definedName>
    <definedName name="wrvg">#REF!</definedName>
    <definedName name="wrvg_1">#REF!</definedName>
    <definedName name="wrvg_2">#REF!</definedName>
    <definedName name="wrvg_3">#REF!</definedName>
    <definedName name="wrvg_4">#REF!</definedName>
    <definedName name="wS">#REF!</definedName>
    <definedName name="WS_1">#REF!</definedName>
    <definedName name="WS_ALL">#REF!</definedName>
    <definedName name="Wsmv">-26269838.1705935</definedName>
    <definedName name="WTTL">#REF!</definedName>
    <definedName name="wv" hidden="1">{#N/A,#N/A,FALSE,"Pharm";#N/A,#N/A,FALSE,"WWCM"}</definedName>
    <definedName name="wvu.All.">#REF!</definedName>
    <definedName name="wvu.Analysis." hidden="1">{TRUE,TRUE,-1.25,-15.5,484.5,276.75,FALSE,TRUE,TRUE,TRUE,0,1,#N/A,1,#N/A,17.9772727272727,21.9230769230769,1,FALSE,FALSE,3,TRUE,1,FALSE,75,"Swvu.Analysis.","ACwvu.Analysis.",#N/A,FALSE,FALSE,0.36,0.36,1,1,2,"&amp;L&amp;""Courier New,Regular""&amp;8Prepared by:  Pete Goodell
File:  &amp;F &amp;A","&amp;L&amp;""Arial,Bold""Actel Corporation Confidential&amp;C&amp;D &amp;T&amp;RPage &amp;P of &amp;N",TRUE,FALSE,FALSE,FALSE,1,#N/A,1,#N/A,"=R6C2:R82C28","=R1:R6","Rwvu.Analysis.",#N/A,FALSE,FALSE,FALSE,1,#N/A,#N/A,FALSE,FALSE,TRUE,TRUE,TRUE}</definedName>
    <definedName name="wvu.cash.">#REF!</definedName>
    <definedName name="wvu.cash._1">#REF!</definedName>
    <definedName name="wvu.cash._2">#REF!</definedName>
    <definedName name="wvu.cash._3">#REF!</definedName>
    <definedName name="wvu.cash._4">#REF!</definedName>
    <definedName name="wvu.holdings." hidden="1">{TRUE,TRUE,-1.25,-15.5,484.5,276.75,FALSE,TRUE,TRUE,TRUE,0,15,#N/A,37,#N/A,8.46666666666667,14.8095238095238,1,FALSE,FALSE,3,TRUE,1,FALSE,100,"Swvu.holdings.","ACwvu.holdings.",#N/A,FALSE,FALSE,0.2,0.2,0.73,1,2,"","&amp;L&amp;""Book Antiqua,Bold""&amp;14FIXED INCOME ADVISORY SERVICES&amp;R&amp;""Book Antiqua,Bold""&amp;16GREENWICH
STREET
ADVISORS",FALSE,FALSE,FALSE,FALSE,1,#N/A,1,1,FALSE,FALSE,#N/A,#N/A,FALSE,FALSE,FALSE,1,65532,65532,FALSE,FALSE,TRUE,TRUE,TRUE}</definedName>
    <definedName name="wvu.IMSD._.Only.">#REF!</definedName>
    <definedName name="wvu.incearn." hidden="1">{TRUE,TRUE,-1.25,-15.5,484.5,277.5,FALSE,TRUE,TRUE,TRUE,0,10,#N/A,100,#N/A,9.30434782608696,14.8571428571429,1,FALSE,FALSE,3,TRUE,1,FALSE,100,"Swvu.incearn.","ACwvu.incearn.",#N/A,FALSE,FALSE,0.2,0.2,0.73,0.45,2,"","&amp;L&amp;""Book Antiqua,Bold""&amp;14FIXED INCOME ADVISORY SERVICES&amp;R&amp;""Book Antiqua,Bold""&amp;16GREENWICH
STREET
ADVISORS",TRUE,FALSE,FALSE,FALSE,1,#N/A,1,1,FALSE,FALSE,"Rwvu.incearn.",#N/A,FALSE,FALSE,FALSE,5,65532,65532,FALSE,FALSE,TRUE,TRUE,TRUE}</definedName>
    <definedName name="wvu.inputs._.raw._.data.">#REF!</definedName>
    <definedName name="wvu.inputs._.raw._.data._1">#REF!</definedName>
    <definedName name="wvu.inputs._.raw._.data._2">#REF!</definedName>
    <definedName name="wvu.inputs._.raw._.data._3">#REF!</definedName>
    <definedName name="wvu.inputs._.raw._.data._4">#REF!</definedName>
    <definedName name="wvu.Presentation.">#REF!</definedName>
    <definedName name="wvu.profits.">#REF!</definedName>
    <definedName name="wvu.profits._1">#REF!</definedName>
    <definedName name="wvu.profits._2">#REF!</definedName>
    <definedName name="wvu.profits._3">#REF!</definedName>
    <definedName name="wvu.profits._4">#REF!</definedName>
    <definedName name="wvu.provision.">#REF!</definedName>
    <definedName name="wvu.PRT.">#REF!</definedName>
    <definedName name="wvu.qtr._.view." hidden="1">{TRUE,TRUE,-0.8,-17,618,355.8,FALSE,FALSE,TRUE,TRUE,0,1,#N/A,1,#N/A,79.1318681318681,23.4090909090909,1,FALSE,FALSE,3,TRUE,1,FALSE,100,"Swvu.qtr._.view.","ACwvu.qtr._.view.",#N/A,FALSE,FALSE,0.5,0.5,0.55,0.55,2,"&amp;RWorldwide","&amp;LPrepared by: Lisa Racine&amp;CSeagate Technology, Inc. Confidential&amp;R&amp;D   &amp;T    Page ________",TRUE,FALSE,FALSE,FALSE,1,60,#N/A,#N/A,"=R1C1:R167C82","=R1:R5","Rwvu.qtr._.view.","Cwvu.qtr._.view.",FALSE,FALSE,FALSE,1,65532,65532,FALSE,FALSE,TRUE,TRUE,TRUE}</definedName>
    <definedName name="wvu.Report1." hidden="1">{TRUE,TRUE,-1.25,-15.5,484.5,276.75,FALSE,TRUE,TRUE,TRUE,0,1,#N/A,1,#N/A,14.6020408163265,22.6153846153846,1,FALSE,FALSE,3,TRUE,1,FALSE,75,"Swvu.Report1.","ACwvu.Report1.",#N/A,FALSE,FALSE,0.3,0.3,1,1,2,"&amp;L&amp;""Courier New,Regular""&amp;8Prepared by:  Pete Goodell
File:  &amp;F &amp;A","&amp;L&amp;""Arial,Bold""Actel Corporation Confidential&amp;C&amp;D &amp;T&amp;RPage &amp;P of &amp;N",TRUE,FALSE,FALSE,FALSE,1,#N/A,1,#N/A,"=R8C5:R403C28","=R1:R6","Rwvu.Report1.",#N/A,FALSE,FALSE,FALSE,1,#N/A,#N/A,FALSE,FALSE,TRUE,TRUE,TRUE}</definedName>
    <definedName name="wvu.reserve._.analysis.">#REF!</definedName>
    <definedName name="wvu.Standard._.Report." hidden="1">{TRUE,TRUE,-1.25,-15.5,484.5,276.75,FALSE,TRUE,TRUE,TRUE,0,1,#N/A,1,#N/A,14.0714285714286,23.0769230769231,1,FALSE,FALSE,3,TRUE,1,FALSE,75,"Swvu.Standard._.Report.","ACwvu.Standard._.Report.",#N/A,FALSE,FALSE,0.3,0.3,1,1,2,"&amp;L&amp;""Courier New,Regular""&amp;8Prepared by:  Pete Goodell
File:  &amp;F &amp;A","&amp;L&amp;""Arial,Bold""Actel Corporation Confidential&amp;C&amp;D &amp;T&amp;RPage &amp;P of &amp;N",TRUE,FALSE,FALSE,FALSE,1,#N/A,1,#N/A,"=R8C2:R488C27","=R1:R6","Rwvu.Standard._.Report.",#N/A,FALSE,FALSE,FALSE,1,#N/A,#N/A,FALSE,FALSE,TRUE,TRUE,TRUE}</definedName>
    <definedName name="wvu.Summary." hidden="1">{TRUE,TRUE,1.75,1,480,258,FALSE,TRUE,TRUE,TRUE,0,1,#N/A,1,#N/A,7.075,22.3846153846154,1,FALSE,FALSE,1,TRUE,1,FALSE,75,"Swvu.Summary.","ACwvu.Summary.",#N/A,FALSE,FALSE,0.75,0.75,1,1,2,"&amp;L&amp;BActel Corporation Confidential&amp;B&amp;C&amp;A&amp;RPage &amp;P","&amp;L&amp;F &amp;A&amp;CPrepared by Pete Goodell &amp;RPage &amp;P",TRUE,FALSE,FALSE,FALSE,1,#N/A,1,1,"=R3C1:R33C8",FALSE,#N/A,#N/A,FALSE,FALSE,FALSE,1,#N/A,#N/A,FALSE,FALSE,TRUE,TRUE,TRUE}</definedName>
    <definedName name="wvu.summary1.">#REF!</definedName>
    <definedName name="wvu.summary1._1">#REF!</definedName>
    <definedName name="wvu.summary1._2">#REF!</definedName>
    <definedName name="wvu.summary1._3">#REF!</definedName>
    <definedName name="wvu.summary1._4">#REF!</definedName>
    <definedName name="wvu.summary2.">#REF!</definedName>
    <definedName name="wvu.summary2._1">#REF!</definedName>
    <definedName name="wvu.summary2._2">#REF!</definedName>
    <definedName name="wvu.summary2._3">#REF!</definedName>
    <definedName name="wvu.summary2._4">#REF!</definedName>
    <definedName name="wvu.summary3.">#REF!</definedName>
    <definedName name="wvu.summary3._1">#REF!</definedName>
    <definedName name="wvu.summary3._2">#REF!</definedName>
    <definedName name="wvu.summary3._3">#REF!</definedName>
    <definedName name="wvu.summary3._4">#REF!</definedName>
    <definedName name="wvu.summary4">#REF!</definedName>
    <definedName name="wvu.summary4.">#REF!</definedName>
    <definedName name="wvu.summary6">#REF!</definedName>
    <definedName name="wvu.turnover.">#REF!</definedName>
    <definedName name="wvu.turnover._1">#REF!</definedName>
    <definedName name="wvu.turnover._2">#REF!</definedName>
    <definedName name="wvu.turnover._3">#REF!</definedName>
    <definedName name="wvu.turnover._4">#REF!</definedName>
    <definedName name="wvu.Wty._.accrual._.summary.">#REF!</definedName>
    <definedName name="ww" hidden="1">{#N/A,#N/A,TRUE,"Condensed IS";#N/A,#N/A,TRUE,"Condensed BS";#N/A,#N/A,TRUE,"Outlook";#N/A,#N/A,TRUE,"Condensed CF";#N/A,#N/A,TRUE,"Condensed CF - qtr"}</definedName>
    <definedName name="ww.Rele">#REF!</definedName>
    <definedName name="WW03825db139ec4d1b9b07c639b7ae7c2a_634237032743338121">#REF!</definedName>
    <definedName name="WWCompany">#REF!</definedName>
    <definedName name="wweee" hidden="1">#REF!</definedName>
    <definedName name="wwetwev">{"'1-TheatreBkgs'!$A$1:$L$102"}</definedName>
    <definedName name="wwew" hidden="1">{#N/A,#N/A,FALSE,"UNIT";#N/A,#N/A,FALSE,"UNIT";#N/A,#N/A,FALSE,"계정"}</definedName>
    <definedName name="wwewewewe" hidden="1">{#N/A,#N/A,TRUE,"Summary";#N/A,#N/A,TRUE,"IS";#N/A,#N/A,TRUE,"Adj";#N/A,#N/A,TRUE,"BS";#N/A,#N/A,TRUE,"CF";#N/A,#N/A,TRUE,"Debt";#N/A,#N/A,TRUE,"IRR"}</definedName>
    <definedName name="wwewww" hidden="1">{#N/A,#N/A,FALSE,"UNIT";#N/A,#N/A,FALSE,"UNIT";#N/A,#N/A,FALSE,"계정"}</definedName>
    <definedName name="wwqety">#REF!</definedName>
    <definedName name="wwqety_1">#REF!</definedName>
    <definedName name="www" hidden="1">{"DOMETIC CONSOLIDATED",#N/A,FALSE,"M-1"}</definedName>
    <definedName name="www.wki">#REF!</definedName>
    <definedName name="wwww" hidden="1">{"Page1",#N/A,FALSE,"CF WKSHT";"Page2",#N/A,FALSE,"CF WKSHT"}</definedName>
    <definedName name="wwwww" hidden="1">#REF!</definedName>
    <definedName name="wwwwww" hidden="1">#REF!</definedName>
    <definedName name="wwwwwww" hidden="1">{#N/A,#N/A,FALSE,"UNIT";#N/A,#N/A,FALSE,"UNIT";#N/A,#N/A,FALSE,"계정"}</definedName>
    <definedName name="WWWWWWWW">#REF!</definedName>
    <definedName name="wwwwwwwwdw" hidden="1">{#N/A,#N/A,FALSE,"UNIT";#N/A,#N/A,FALSE,"UNIT";#N/A,#N/A,FALSE,"계정"}</definedName>
    <definedName name="wwwwwwwww" hidden="1">{#N/A,#N/A,FALSE,"UNIT";#N/A,#N/A,FALSE,"UNIT";#N/A,#N/A,FALSE,"계정"}</definedName>
    <definedName name="wwwwwwwwwwww" hidden="1">{#N/A,#N/A,FALSE,"UNIT";#N/A,#N/A,FALSE,"UNIT";#N/A,#N/A,FALSE,"계정"}</definedName>
    <definedName name="wwwwwwwwwwwwwww" hidden="1">{#N/A,#N/A,FALSE,"UNIT";#N/A,#N/A,FALSE,"UNIT";#N/A,#N/A,FALSE,"계정"}</definedName>
    <definedName name="wx" hidden="1">{#N/A,#N/A,FALSE,"Pharm";#N/A,#N/A,FALSE,"WWCM"}</definedName>
    <definedName name="wyh">#REF!</definedName>
    <definedName name="wyh_1">#REF!</definedName>
    <definedName name="wyh_3">#REF!</definedName>
    <definedName name="WYSE">#REF!</definedName>
    <definedName name="WZ">#REF!</definedName>
    <definedName name="x">#REF!</definedName>
    <definedName name="x_1">#REF!</definedName>
    <definedName name="x_2">#REF!</definedName>
    <definedName name="x_3">#REF!</definedName>
    <definedName name="x_4">#REF!</definedName>
    <definedName name="x_5">#REF!</definedName>
    <definedName name="x_dataentry">#REF!</definedName>
    <definedName name="x_dataentry_1">#REF!</definedName>
    <definedName name="X9802장판원본_원본_List">#REF!</definedName>
    <definedName name="xasd" hidden="1">{#N/A,#N/A,FALSE,"KMC최종회의(7월) 자료"}</definedName>
    <definedName name="xbcxbxcb">#REF!</definedName>
    <definedName name="xbxcbc">#REF!</definedName>
    <definedName name="XC">#REF!</definedName>
    <definedName name="xcbxcbxcb">#REF!</definedName>
    <definedName name="xcbxcbxcbc">#REF!</definedName>
    <definedName name="xcgjgy">#REF!</definedName>
    <definedName name="xcgjgy_1">#REF!</definedName>
    <definedName name="xCurrency">#REF!</definedName>
    <definedName name="xcvb">#REF!</definedName>
    <definedName name="xcvbn">#REF!</definedName>
    <definedName name="xcvbn_1">#REF!</definedName>
    <definedName name="xcvm">#REF!</definedName>
    <definedName name="xcvm_1">#REF!</definedName>
    <definedName name="xdcvbxcv">#REF!</definedName>
    <definedName name="XDS" hidden="1">{#N/A,#N/A,FALSE,"을지 (4)";#N/A,#N/A,FALSE,"을지 (5)";#N/A,#N/A,FALSE,"을지 (6)"}</definedName>
    <definedName name="XIT">#REF!</definedName>
    <definedName name="xl">#REF!</definedName>
    <definedName name="XLDW_UID">"us318357"</definedName>
    <definedName name="XLDW_VER">"Office 2000 2.0 with Query Builder"</definedName>
    <definedName name="XLOPTvec">"12 14 1 125 1 0 1 1 1 1 1 2 0 0 0 0 0 0 0 0"</definedName>
    <definedName name="XLSIMIM2">{"Sim",3,"Raleigh","'DC Inventory Turns'!$AL$25","Midwest","'DC Inventory Turns'!$AL$26","New Orleans","'DC Inventory Turns'!$AL$27","1","2","100","0"}</definedName>
    <definedName name="XLSIMSIM">{"Sim",3,"Raleigh","'DC Inventory Turns'!$AL$25","Midwest","'DC Inventory Turns'!$AL$26","New Orleans","'DC Inventory Turns'!$AL$27","1","2","100","0"}</definedName>
    <definedName name="xnvhlk">#REF!</definedName>
    <definedName name="xnvhlk_1">#REF!</definedName>
    <definedName name="xqsx">#REF!</definedName>
    <definedName name="XR">#REF!</definedName>
    <definedName name="xRange10001">#REF!</definedName>
    <definedName name="xRange10002">#REF!</definedName>
    <definedName name="xRange10003">#REF!</definedName>
    <definedName name="xRange10004">#REF!</definedName>
    <definedName name="xRange10005">#REF!</definedName>
    <definedName name="xRange10006">#REF!</definedName>
    <definedName name="xRange10007">#REF!</definedName>
    <definedName name="xRange10008">#REF!</definedName>
    <definedName name="xRange10009">#REF!</definedName>
    <definedName name="xRange10010">#REF!</definedName>
    <definedName name="xRange10011">#REF!</definedName>
    <definedName name="xRange10012">#REF!</definedName>
    <definedName name="xRange10013">#REF!</definedName>
    <definedName name="xRange10014">#REF!</definedName>
    <definedName name="xRange10015">#REF!</definedName>
    <definedName name="xRange10016">#REF!</definedName>
    <definedName name="xRange10017">#REF!</definedName>
    <definedName name="xRange10019">#REF!</definedName>
    <definedName name="xRange10020">#REF!</definedName>
    <definedName name="xRange10021">#REF!</definedName>
    <definedName name="xRange10022">#REF!</definedName>
    <definedName name="xRange10039">#REF!</definedName>
    <definedName name="xRange10040">#REF!</definedName>
    <definedName name="xRange10044">#REF!</definedName>
    <definedName name="xRange10045">#REF!</definedName>
    <definedName name="xRange10050">#REF!</definedName>
    <definedName name="xRange10051">#REF!</definedName>
    <definedName name="xRange10052">#REF!</definedName>
    <definedName name="xRange10053">#REF!</definedName>
    <definedName name="xRange10067">#REF!</definedName>
    <definedName name="xRange10069">#REF!</definedName>
    <definedName name="xRange10070">#REF!</definedName>
    <definedName name="xRange10071">#REF!</definedName>
    <definedName name="xRange10072">#REF!</definedName>
    <definedName name="xRange10075">#REF!</definedName>
    <definedName name="xRange10077">#REF!</definedName>
    <definedName name="xRange10081">#REF!</definedName>
    <definedName name="xRange10084">#REF!</definedName>
    <definedName name="xRange10102">#REF!</definedName>
    <definedName name="xRange10103">#REF!</definedName>
    <definedName name="xRange10104">#REF!</definedName>
    <definedName name="xRange10105">#REF!</definedName>
    <definedName name="xRange10106">#REF!</definedName>
    <definedName name="xRange10107">#REF!</definedName>
    <definedName name="xRange10108">#REF!</definedName>
    <definedName name="xRange10109">#REF!</definedName>
    <definedName name="xRange10110">#REF!</definedName>
    <definedName name="xRange10111">#REF!</definedName>
    <definedName name="xRange10112">#REF!</definedName>
    <definedName name="xRange10114">#REF!</definedName>
    <definedName name="xRange10115">#REF!</definedName>
    <definedName name="xRange10118">#REF!</definedName>
    <definedName name="xRange10119">#REF!</definedName>
    <definedName name="xRange10128">#REF!</definedName>
    <definedName name="xRange10129">#REF!</definedName>
    <definedName name="xRange10130">#REF!</definedName>
    <definedName name="xRange10131">#REF!</definedName>
    <definedName name="xRange10132">#REF!</definedName>
    <definedName name="xRange10133">#REF!</definedName>
    <definedName name="xRange10134">#REF!</definedName>
    <definedName name="xRange10135">#REF!</definedName>
    <definedName name="xRange10136">#REF!</definedName>
    <definedName name="Xrecap">#REF!</definedName>
    <definedName name="XREF_COLUMN_1">#REF!</definedName>
    <definedName name="XREF_COLUMN_10" hidden="1">#REF!</definedName>
    <definedName name="XREF_COLUMN_11">#REF!</definedName>
    <definedName name="XREF_COLUMN_110" hidden="1">#REF!</definedName>
    <definedName name="XREF_COLUMN_12">#REF!</definedName>
    <definedName name="XREF_COLUMN_13">#REF!</definedName>
    <definedName name="XREF_COLUMN_14">#REF!</definedName>
    <definedName name="XREF_COLUMN_15">#REF!</definedName>
    <definedName name="XREF_COLUMN_16">#REF!</definedName>
    <definedName name="XREF_COLUMN_17">#REF!</definedName>
    <definedName name="XREF_COLUMN_18">#REF!</definedName>
    <definedName name="XREF_COLUMN_19">#REF!</definedName>
    <definedName name="XREF_COLUMN_2">#REF!</definedName>
    <definedName name="XREF_COLUMN_20">#REF!</definedName>
    <definedName name="XREF_COLUMN_21">#REF!</definedName>
    <definedName name="XREF_COLUMN_22">#REF!</definedName>
    <definedName name="XREF_COLUMN_23">#REF!</definedName>
    <definedName name="XREF_COLUMN_24">#REF!</definedName>
    <definedName name="XREF_COLUMN_25">#REF!</definedName>
    <definedName name="XREF_COLUMN_26">#REF!</definedName>
    <definedName name="XREF_COLUMN_27">#REF!</definedName>
    <definedName name="XREF_COLUMN_28">#REF!</definedName>
    <definedName name="XREF_COLUMN_29" hidden="1">#REF!</definedName>
    <definedName name="XREF_COLUMN_3">#REF!</definedName>
    <definedName name="XREF_COLUMN_30" hidden="1">#REF!</definedName>
    <definedName name="XREF_COLUMN_31" hidden="1">#REF!</definedName>
    <definedName name="XREF_COLUMN_32" hidden="1">#REF!</definedName>
    <definedName name="XREF_COLUMN_33" hidden="1">#REF!</definedName>
    <definedName name="XREF_COLUMN_34" hidden="1">#N/A</definedName>
    <definedName name="XREF_COLUMN_35" hidden="1">#REF!</definedName>
    <definedName name="XREF_COLUMN_36" hidden="1">#N/A</definedName>
    <definedName name="XREF_COLUMN_37" hidden="1">#REF!</definedName>
    <definedName name="XREF_COLUMN_38" hidden="1">#REF!</definedName>
    <definedName name="XREF_COLUMN_39" hidden="1">#REF!</definedName>
    <definedName name="XREF_COLUMN_4">#REF!</definedName>
    <definedName name="XREF_COLUMN_40" hidden="1">#REF!</definedName>
    <definedName name="XREF_COLUMN_41" hidden="1">#REF!</definedName>
    <definedName name="XREF_COLUMN_42" hidden="1">#REF!</definedName>
    <definedName name="XREF_COLUMN_43" hidden="1">#REF!</definedName>
    <definedName name="XREF_COLUMN_44" hidden="1">#REF!</definedName>
    <definedName name="XREF_COLUMN_45" hidden="1">#REF!</definedName>
    <definedName name="XREF_COLUMN_46" hidden="1">#REF!</definedName>
    <definedName name="XREF_COLUMN_47" hidden="1">#REF!</definedName>
    <definedName name="XREF_COLUMN_48" hidden="1">#REF!</definedName>
    <definedName name="XREF_COLUMN_49" hidden="1">#REF!</definedName>
    <definedName name="XREF_COLUMN_5">#REF!</definedName>
    <definedName name="XREF_COLUMN_50" hidden="1">#REF!</definedName>
    <definedName name="XREF_COLUMN_51" hidden="1">#REF!</definedName>
    <definedName name="XREF_COLUMN_52" hidden="1">#REF!</definedName>
    <definedName name="XREF_COLUMN_53" hidden="1">#REF!</definedName>
    <definedName name="XREF_COLUMN_54" hidden="1">#REF!</definedName>
    <definedName name="XREF_COLUMN_55" hidden="1">#REF!</definedName>
    <definedName name="XREF_COLUMN_56" hidden="1">#REF!</definedName>
    <definedName name="XREF_COLUMN_57" hidden="1">#REF!</definedName>
    <definedName name="XREF_COLUMN_58" hidden="1">#REF!</definedName>
    <definedName name="XREF_COLUMN_59" hidden="1">#REF!</definedName>
    <definedName name="XREF_COLUMN_6">#REF!</definedName>
    <definedName name="XREF_COLUMN_60" hidden="1">#REF!</definedName>
    <definedName name="XREF_COLUMN_61" hidden="1">#REF!</definedName>
    <definedName name="XREF_COLUMN_62" hidden="1">#REF!</definedName>
    <definedName name="XREF_COLUMN_63" hidden="1">#REF!</definedName>
    <definedName name="XREF_COLUMN_64" hidden="1">#REF!</definedName>
    <definedName name="XREF_COLUMN_65" hidden="1">#REF!</definedName>
    <definedName name="XREF_COLUMN_66" hidden="1">#REF!</definedName>
    <definedName name="XREF_COLUMN_67" hidden="1">#REF!</definedName>
    <definedName name="XREF_COLUMN_68" hidden="1">#REF!</definedName>
    <definedName name="XREF_COLUMN_69" hidden="1">#REF!</definedName>
    <definedName name="XREF_COLUMN_7">#REF!</definedName>
    <definedName name="XREF_COLUMN_70" hidden="1">#REF!</definedName>
    <definedName name="XREF_COLUMN_71" hidden="1">#REF!</definedName>
    <definedName name="XREF_COLUMN_72" hidden="1">#REF!</definedName>
    <definedName name="XREF_COLUMN_73" hidden="1">#REF!</definedName>
    <definedName name="XREF_COLUMN_74" hidden="1">#REF!</definedName>
    <definedName name="XREF_COLUMN_75" hidden="1">#REF!</definedName>
    <definedName name="XREF_COLUMN_76" hidden="1">#REF!</definedName>
    <definedName name="XREF_COLUMN_77" hidden="1">#REF!</definedName>
    <definedName name="XREF_COLUMN_79" hidden="1">#REF!</definedName>
    <definedName name="XREF_COLUMN_8" hidden="1">#REF!</definedName>
    <definedName name="XREF_COLUMN_81" hidden="1">#REF!</definedName>
    <definedName name="XREF_COLUMN_83" hidden="1">#REF!</definedName>
    <definedName name="XREF_COLUMN_87" hidden="1">#REF!</definedName>
    <definedName name="XREF_COLUMN_89" hidden="1">#REF!</definedName>
    <definedName name="XREF_COLUMN_9" hidden="1">#REF!</definedName>
    <definedName name="XREF_COLUMN_91" hidden="1">#REF!</definedName>
    <definedName name="XREF_COLUMN_93" hidden="1">#REF!</definedName>
    <definedName name="XREF_COLUMN_95" hidden="1">#REF!</definedName>
    <definedName name="XREF_COLUMN_97" hidden="1">#REF!</definedName>
    <definedName name="XRefActiveRow">#REF!</definedName>
    <definedName name="XRefColumnsCnt">6</definedName>
    <definedName name="XRefColumnsCount" hidden="1">2</definedName>
    <definedName name="XRefColumnsCount_1">4</definedName>
    <definedName name="XRefCopy1">#REF!</definedName>
    <definedName name="XRefCopy10">#REF!</definedName>
    <definedName name="XRefCopy100" hidden="1">#REF!</definedName>
    <definedName name="XRefCopy101" hidden="1">#REF!</definedName>
    <definedName name="XRefCopy101Row" hidden="1">#N/A</definedName>
    <definedName name="XRefCopy102" hidden="1">#REF!</definedName>
    <definedName name="XRefCopy103" hidden="1">#REF!</definedName>
    <definedName name="XRefCopy104" hidden="1">#REF!</definedName>
    <definedName name="XRefCopy104Row" hidden="1">#N/A</definedName>
    <definedName name="XRefCopy105" hidden="1">#REF!</definedName>
    <definedName name="XRefCopy106Row" hidden="1">#N/A</definedName>
    <definedName name="XRefCopy108Row" hidden="1">#N/A</definedName>
    <definedName name="XRefCopy109Row" hidden="1">#N/A</definedName>
    <definedName name="XRefCopy10Row" hidden="1">#REF!</definedName>
    <definedName name="XRefCopy11">#REF!</definedName>
    <definedName name="XRefCopy111Row" hidden="1">#N/A</definedName>
    <definedName name="XRefCopy112Row" hidden="1">#N/A</definedName>
    <definedName name="XRefCopy113Row" hidden="1">#N/A</definedName>
    <definedName name="XRefCopy114Row" hidden="1">#N/A</definedName>
    <definedName name="XRefCopy115Row" hidden="1">#N/A</definedName>
    <definedName name="XRefCopy116Row" hidden="1">#N/A</definedName>
    <definedName name="XRefCopy117Row" hidden="1">#N/A</definedName>
    <definedName name="XRefCopy119Row" hidden="1">#N/A</definedName>
    <definedName name="XRefCopy11Row">#REF!</definedName>
    <definedName name="XRefCopy12">#REF!</definedName>
    <definedName name="XRefCopy120" hidden="1">#REF!</definedName>
    <definedName name="XRefCopy122Row" hidden="1">#N/A</definedName>
    <definedName name="XRefCopy123Row" hidden="1">#N/A</definedName>
    <definedName name="XRefCopy124Row" hidden="1">#REF!</definedName>
    <definedName name="XRefCopy125Row" hidden="1">#REF!</definedName>
    <definedName name="XRefCopy126Row" hidden="1">#REF!</definedName>
    <definedName name="XRefCopy12Row">#REF!</definedName>
    <definedName name="XRefCopy13" hidden="1">#REF!</definedName>
    <definedName name="XRefCopy13Row">#REF!</definedName>
    <definedName name="XRefCopy14">#REF!</definedName>
    <definedName name="XRefCopy14Row" hidden="1">#REF!</definedName>
    <definedName name="XRefCopy15" hidden="1">#REF!</definedName>
    <definedName name="XRefCopy15Row" hidden="1">#REF!</definedName>
    <definedName name="XRefCopy16" hidden="1">#REF!</definedName>
    <definedName name="XRefCopy16Row">#REF!</definedName>
    <definedName name="XRefCopy17">#REF!</definedName>
    <definedName name="XRefCopy17Row">#REF!</definedName>
    <definedName name="XRefCopy18">#REF!</definedName>
    <definedName name="XRefCopy18Row">#REF!</definedName>
    <definedName name="XRefCopy19">#REF!</definedName>
    <definedName name="XRefCopy19Row">#REF!</definedName>
    <definedName name="XRefCopy1Row">#REF!</definedName>
    <definedName name="XRefCopy2">#REF!</definedName>
    <definedName name="XRefCopy20">#REF!</definedName>
    <definedName name="XRefCopy20Row">#REF!</definedName>
    <definedName name="XRefCopy21">#REF!</definedName>
    <definedName name="XRefCopy21Row">#REF!</definedName>
    <definedName name="XRefCopy22">#REF!</definedName>
    <definedName name="XRefCopy22Row">#REF!</definedName>
    <definedName name="XRefCopy23">#REF!</definedName>
    <definedName name="XRefCopy23Row">#REF!</definedName>
    <definedName name="XRefCopy24">#REF!</definedName>
    <definedName name="XRefCopy24Row">#REF!</definedName>
    <definedName name="XRefCopy25" hidden="1">#REF!</definedName>
    <definedName name="XRefCopy25Row" hidden="1">#REF!</definedName>
    <definedName name="XRefCopy26" hidden="1">#REF!</definedName>
    <definedName name="XRefCopy26Row" hidden="1">#REF!</definedName>
    <definedName name="XRefCopy27">#REF!</definedName>
    <definedName name="XRefCopy27Row">#REF!</definedName>
    <definedName name="XRefCopy28">#REF!</definedName>
    <definedName name="XRefCopy28Row" hidden="1">#REF!</definedName>
    <definedName name="XRefCopy29">#REF!</definedName>
    <definedName name="XRefCopy29Row">#REF!</definedName>
    <definedName name="XRefCopy2Row">#REF!</definedName>
    <definedName name="XRefCopy3">#REF!</definedName>
    <definedName name="XRefCopy30">#REF!</definedName>
    <definedName name="XRefCopy30Row">#REF!</definedName>
    <definedName name="XRefCopy31">#REF!</definedName>
    <definedName name="XRefCopy31Row">#REF!</definedName>
    <definedName name="XRefCopy32">#REF!</definedName>
    <definedName name="XRefCopy32Row">#REF!</definedName>
    <definedName name="XRefCopy33">#REF!</definedName>
    <definedName name="XRefCopy33Row">#REF!</definedName>
    <definedName name="XRefCopy34">#REF!</definedName>
    <definedName name="XRefCopy34Row">#REF!</definedName>
    <definedName name="XRefCopy35">#REF!</definedName>
    <definedName name="XRefCopy35Row">#REF!</definedName>
    <definedName name="XRefCopy36">#REF!</definedName>
    <definedName name="XRefCopy36Row" hidden="1">#N/A</definedName>
    <definedName name="XRefCopy37">#REF!</definedName>
    <definedName name="XRefCopy37Row">#REF!</definedName>
    <definedName name="XRefCopy38">#REF!</definedName>
    <definedName name="XRefCopy38Row">#REF!</definedName>
    <definedName name="XRefCopy39">#REF!</definedName>
    <definedName name="XRefCopy39Row">#REF!</definedName>
    <definedName name="XRefCopy3Row">#REF!</definedName>
    <definedName name="XRefCopy4" hidden="1">#REF!</definedName>
    <definedName name="XRefCopy40" hidden="1">#REF!</definedName>
    <definedName name="XRefCopy40Row" hidden="1">#N/A</definedName>
    <definedName name="XRefCopy41" hidden="1">#REF!</definedName>
    <definedName name="XRefCopy41Row">#REF!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#REF!</definedName>
    <definedName name="XRefCopy5" hidden="1">#REF!</definedName>
    <definedName name="XRefCopy50" hidden="1">#REF!</definedName>
    <definedName name="XRefCopy50Row" hidden="1">#REF!</definedName>
    <definedName name="XRefCopy51">#REF!</definedName>
    <definedName name="XRefCopy51Row">#REF!</definedName>
    <definedName name="XRefCopy52" hidden="1">#REF!</definedName>
    <definedName name="XRefCopy52Row" hidden="1">#REF!</definedName>
    <definedName name="XRefCopy53">#REF!</definedName>
    <definedName name="XRefCopy53Row">#REF!</definedName>
    <definedName name="XRefCopy54">#REF!</definedName>
    <definedName name="XRefCopy54Row">#REF!</definedName>
    <definedName name="XRefCopy55">#REF!</definedName>
    <definedName name="XRefCopy55Row">#REF!</definedName>
    <definedName name="XRefCopy56">#REF!</definedName>
    <definedName name="XRefCopy56Row">#REF!</definedName>
    <definedName name="XRefCopy57" hidden="1">#REF!</definedName>
    <definedName name="XRefCopy57Row" hidden="1">#N/A</definedName>
    <definedName name="XRefCopy58">#REF!</definedName>
    <definedName name="XRefCopy58Row" hidden="1">#N/A</definedName>
    <definedName name="XRefCopy59">#REF!</definedName>
    <definedName name="XRefCopy59Row">#REF!</definedName>
    <definedName name="XRefCopy5Row">#REF!</definedName>
    <definedName name="XRefCopy6" hidden="1">#REF!</definedName>
    <definedName name="XRefCopy60">#REF!</definedName>
    <definedName name="XRefCopy60Row" hidden="1">#N/A</definedName>
    <definedName name="XRefCopy61">#REF!</definedName>
    <definedName name="XRefCopy61Row">#REF!</definedName>
    <definedName name="XRefCopy62">#REF!</definedName>
    <definedName name="XRefCopy62Row">#REF!</definedName>
    <definedName name="XRefCopy63">#REF!</definedName>
    <definedName name="XRefCopy63Row" hidden="1">#N/A</definedName>
    <definedName name="XRefCopy64">#REF!</definedName>
    <definedName name="XRefCopy64Row" hidden="1">#N/A</definedName>
    <definedName name="XRefCopy65">#REF!</definedName>
    <definedName name="XRefCopy65Row" hidden="1">#N/A</definedName>
    <definedName name="XRefCopy66">#REF!</definedName>
    <definedName name="XRefCopy66Row">#REF!</definedName>
    <definedName name="XRefCopy67" hidden="1">#REF!</definedName>
    <definedName name="XRefCopy67Row" hidden="1">#N/A</definedName>
    <definedName name="XRefCopy68">#REF!</definedName>
    <definedName name="XRefCopy68Row" hidden="1">#N/A</definedName>
    <definedName name="XRefCopy69" hidden="1">#REF!</definedName>
    <definedName name="XRefCopy69Row" hidden="1">#N/A</definedName>
    <definedName name="XRefCopy6Row">#REF!</definedName>
    <definedName name="XRefCopy7" hidden="1">#REF!</definedName>
    <definedName name="XRefCopy70">#REF!</definedName>
    <definedName name="XRefCopy70Row" hidden="1">#N/A</definedName>
    <definedName name="XRefCopy71">#REF!</definedName>
    <definedName name="XRefCopy71Row" hidden="1">#N/A</definedName>
    <definedName name="XRefCopy72">#REF!</definedName>
    <definedName name="XRefCopy72Row" hidden="1">#N/A</definedName>
    <definedName name="XRefCopy73">#REF!</definedName>
    <definedName name="XRefCopy73Row" hidden="1">#N/A</definedName>
    <definedName name="XRefCopy74" hidden="1">#REF!</definedName>
    <definedName name="XRefCopy74Row" hidden="1">#N/A</definedName>
    <definedName name="XRefCopy75">#REF!</definedName>
    <definedName name="XRefCopy75Row" hidden="1">#N/A</definedName>
    <definedName name="XRefCopy76">#REF!</definedName>
    <definedName name="XRefCopy76Row" hidden="1">#N/A</definedName>
    <definedName name="XRefCopy77" hidden="1">#REF!</definedName>
    <definedName name="XRefCopy77Row" hidden="1">#N/A</definedName>
    <definedName name="XRefCopy78" hidden="1">#REF!</definedName>
    <definedName name="XRefCopy78Row" hidden="1">#N/A</definedName>
    <definedName name="XRefCopy79" hidden="1">#REF!</definedName>
    <definedName name="XRefCopy79Row" hidden="1">#N/A</definedName>
    <definedName name="XRefCopy7Row">#REF!</definedName>
    <definedName name="XRefCopy8" hidden="1">#REF!</definedName>
    <definedName name="XRefCopy80" hidden="1">#REF!</definedName>
    <definedName name="XRefCopy80Row" hidden="1">#N/A</definedName>
    <definedName name="XRefCopy81">#REF!</definedName>
    <definedName name="XRefCopy82" hidden="1">#REF!</definedName>
    <definedName name="XRefCopy83" hidden="1">#REF!</definedName>
    <definedName name="XRefCopy84">#REF!</definedName>
    <definedName name="XRefCopy85">#REF!</definedName>
    <definedName name="XRefCopy86">#REF!</definedName>
    <definedName name="XRefCopy87">#REF!</definedName>
    <definedName name="XRefCopy88">#REF!</definedName>
    <definedName name="XRefCopy89">#REF!</definedName>
    <definedName name="XRefCopy8Row" hidden="1">#REF!</definedName>
    <definedName name="XRefCopy9">#REF!</definedName>
    <definedName name="XRefCopy90">#REF!</definedName>
    <definedName name="XRefCopy91">#REF!</definedName>
    <definedName name="XRefCopy92">#REF!</definedName>
    <definedName name="XRefCopy93">#REF!</definedName>
    <definedName name="XRefCopy94">#REF!</definedName>
    <definedName name="XRefCopy95">#REF!</definedName>
    <definedName name="XRefCopy95Row">#REF!</definedName>
    <definedName name="XRefCopy96">#REF!</definedName>
    <definedName name="XRefCopy97">#REF!</definedName>
    <definedName name="XRefCopy98">#REF!</definedName>
    <definedName name="XRefCopy99">#REF!</definedName>
    <definedName name="XRefCopy9Row" hidden="1">#REF!</definedName>
    <definedName name="XRefCopyRangeCount" hidden="1">3</definedName>
    <definedName name="XRefCopyRangeCount_1">27</definedName>
    <definedName name="XRefPaste1">#REF!</definedName>
    <definedName name="XRefPaste10">#REF!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Row">#REF!</definedName>
    <definedName name="XRefPaste11">#REF!</definedName>
    <definedName name="XRefPaste110" hidden="1">#REF!</definedName>
    <definedName name="XRefPaste111" hidden="1">#REF!</definedName>
    <definedName name="XRefPaste112"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Row">#REF!</definedName>
    <definedName name="XRefPaste12">#REF!</definedName>
    <definedName name="XRefPaste120" hidden="1">#REF!</definedName>
    <definedName name="XRefPaste121" hidden="1">#REF!</definedName>
    <definedName name="XRefPaste124" hidden="1">#REF!</definedName>
    <definedName name="XRefPaste126" hidden="1">#REF!</definedName>
    <definedName name="XRefPaste129" hidden="1">#REF!</definedName>
    <definedName name="XRefPaste12Row">#REF!</definedName>
    <definedName name="XRefPaste13">#REF!</definedName>
    <definedName name="XRefPaste130" hidden="1">#REF!</definedName>
    <definedName name="XRefPaste134" hidden="1">#REF!</definedName>
    <definedName name="XRefPaste135" hidden="1">#REF!</definedName>
    <definedName name="XRefPaste136" hidden="1">#REF!</definedName>
    <definedName name="XRefPaste138" hidden="1">#REF!</definedName>
    <definedName name="XRefPaste13Row">#REF!</definedName>
    <definedName name="XRefPaste14">#REF!</definedName>
    <definedName name="XRefPaste140" hidden="1">#REF!</definedName>
    <definedName name="XRefPaste143" hidden="1">#REF!</definedName>
    <definedName name="XRefPaste144" hidden="1">#REF!</definedName>
    <definedName name="XRefPaste145"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9" hidden="1">#REF!</definedName>
    <definedName name="XRefPaste14Row">#REF!</definedName>
    <definedName name="XRefPaste15">#REF!</definedName>
    <definedName name="XRefPaste150" hidden="1">#REF!</definedName>
    <definedName name="XRefPaste151" hidden="1">#REF!</definedName>
    <definedName name="XRefPaste152" hidden="1">#REF!</definedName>
    <definedName name="XRefPaste153" hidden="1">#REF!</definedName>
    <definedName name="XRefPaste154" hidden="1">#REF!</definedName>
    <definedName name="XRefPaste155" hidden="1">#REF!</definedName>
    <definedName name="XRefPaste156" hidden="1">#REF!</definedName>
    <definedName name="XRefPaste157" hidden="1">#REF!</definedName>
    <definedName name="XRefPaste158" hidden="1">#REF!</definedName>
    <definedName name="XRefPaste159" hidden="1">#REF!</definedName>
    <definedName name="XRefPaste15Row">#REF!</definedName>
    <definedName name="XRefPaste16">#REF!</definedName>
    <definedName name="XRefPaste160" hidden="1">#REF!</definedName>
    <definedName name="XRefPaste161" hidden="1">#REF!</definedName>
    <definedName name="XRefPaste162" hidden="1">#REF!</definedName>
    <definedName name="XRefPaste163" hidden="1">#REF!</definedName>
    <definedName name="XRefPaste164" hidden="1">#REF!</definedName>
    <definedName name="XRefPaste165" hidden="1">#REF!</definedName>
    <definedName name="XRefPaste166" hidden="1">#REF!</definedName>
    <definedName name="XRefPaste167" hidden="1">#REF!</definedName>
    <definedName name="XRefPaste168" hidden="1">#REF!</definedName>
    <definedName name="XRefPaste169" hidden="1">#REF!</definedName>
    <definedName name="XRefPaste16Row">#REF!</definedName>
    <definedName name="XRefPaste17">#REF!</definedName>
    <definedName name="XRefPaste170" hidden="1">#REF!</definedName>
    <definedName name="XRefPaste171" hidden="1">#REF!</definedName>
    <definedName name="XRefPaste172" hidden="1">#REF!</definedName>
    <definedName name="XRefPaste173" hidden="1">#REF!</definedName>
    <definedName name="XRefPaste174" hidden="1">#REF!</definedName>
    <definedName name="XRefPaste175" hidden="1">#REF!</definedName>
    <definedName name="XRefPaste179" hidden="1">#REF!</definedName>
    <definedName name="XRefPaste17Row">#REF!</definedName>
    <definedName name="XRefPaste18">#REF!</definedName>
    <definedName name="XRefPaste180" hidden="1">#REF!</definedName>
    <definedName name="XRefPaste180Row" hidden="1">#REF!</definedName>
    <definedName name="XRefPaste181" hidden="1">#REF!</definedName>
    <definedName name="XRefPaste182" hidden="1">#REF!</definedName>
    <definedName name="XRefPaste183" hidden="1">#REF!</definedName>
    <definedName name="XRefPaste184" hidden="1">#REF!</definedName>
    <definedName name="XRefPaste185" hidden="1">#REF!</definedName>
    <definedName name="XRefPaste186" hidden="1">#REF!</definedName>
    <definedName name="XRefPaste187" hidden="1">#REF!</definedName>
    <definedName name="XRefPaste188" hidden="1">#REF!</definedName>
    <definedName name="XRefPaste189" hidden="1">#REF!</definedName>
    <definedName name="XRefPaste18Row">#REF!</definedName>
    <definedName name="XRefPaste19" hidden="1">#REF!</definedName>
    <definedName name="XRefPaste190Row" hidden="1">#REF!</definedName>
    <definedName name="XRefPaste191Row" hidden="1">#REF!</definedName>
    <definedName name="XRefPaste192Row" hidden="1">#REF!</definedName>
    <definedName name="XRefPaste193Row" hidden="1">#REF!</definedName>
    <definedName name="XRefPaste194" hidden="1">#REF!</definedName>
    <definedName name="XRefPaste194Row" hidden="1">#REF!</definedName>
    <definedName name="XRefPaste195Row"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#REF!</definedName>
    <definedName name="XRefPaste2">#REF!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5" hidden="1">#REF!</definedName>
    <definedName name="XRefPaste205Row" hidden="1">#REF!</definedName>
    <definedName name="XRefPaste206" hidden="1">#REF!</definedName>
    <definedName name="XRefPaste206Row" hidden="1">#REF!</definedName>
    <definedName name="XRefPaste207" hidden="1">#REF!</definedName>
    <definedName name="XRefPaste207Row" hidden="1">#REF!</definedName>
    <definedName name="XRefPaste208" hidden="1">#REF!</definedName>
    <definedName name="XRefPaste208Row" hidden="1">#REF!</definedName>
    <definedName name="XRefPaste209" hidden="1">#REF!</definedName>
    <definedName name="XRefPaste209Row" hidden="1">#REF!</definedName>
    <definedName name="XRefPaste20Row">#REF!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2" hidden="1">#REF!</definedName>
    <definedName name="XRefPaste212Row" hidden="1">#REF!</definedName>
    <definedName name="XRefPaste213" hidden="1">#REF!</definedName>
    <definedName name="XRefPaste213Row" hidden="1">#REF!</definedName>
    <definedName name="XRefPaste214" hidden="1">#REF!</definedName>
    <definedName name="XRefPaste214Row" hidden="1">#REF!</definedName>
    <definedName name="XRefPaste215" hidden="1">#REF!</definedName>
    <definedName name="XRefPaste215Row" hidden="1">#REF!</definedName>
    <definedName name="XRefPaste216" hidden="1">#REF!</definedName>
    <definedName name="XRefPaste216Row" hidden="1">#REF!</definedName>
    <definedName name="XRefPaste217" hidden="1">#REF!</definedName>
    <definedName name="XRefPaste217Row" hidden="1">#REF!</definedName>
    <definedName name="XRefPaste218" hidden="1">#REF!</definedName>
    <definedName name="XRefPaste218Row" hidden="1">#REF!</definedName>
    <definedName name="XRefPaste219" hidden="1">#REF!</definedName>
    <definedName name="XRefPaste219Row" hidden="1">#REF!</definedName>
    <definedName name="XRefPaste21Row" hidden="1">#REF!</definedName>
    <definedName name="XRefPaste22" hidden="1">#REF!</definedName>
    <definedName name="XRefPaste220" hidden="1">#REF!</definedName>
    <definedName name="XRefPaste220Row" hidden="1">#REF!</definedName>
    <definedName name="XRefPaste221" hidden="1">#REF!</definedName>
    <definedName name="XRefPaste221Row" hidden="1">#REF!</definedName>
    <definedName name="XRefPaste222" hidden="1">#REF!</definedName>
    <definedName name="XRefPaste222Row" hidden="1">#REF!</definedName>
    <definedName name="XRefPaste223" hidden="1">#REF!</definedName>
    <definedName name="XRefPaste223Row" hidden="1">#REF!</definedName>
    <definedName name="XRefPaste224" hidden="1">#REF!</definedName>
    <definedName name="XRefPaste224Row" hidden="1">#REF!</definedName>
    <definedName name="XRefPaste225" hidden="1">#REF!</definedName>
    <definedName name="XRefPaste225Row" hidden="1">#REF!</definedName>
    <definedName name="XRefPaste226" hidden="1">#REF!</definedName>
    <definedName name="XRefPaste226Row" hidden="1">#REF!</definedName>
    <definedName name="XRefPaste227" hidden="1">#REF!</definedName>
    <definedName name="XRefPaste227Row" hidden="1">#REF!</definedName>
    <definedName name="XRefPaste228" hidden="1">#REF!</definedName>
    <definedName name="XRefPaste228Row" hidden="1">#REF!</definedName>
    <definedName name="XRefPaste229" hidden="1">#REF!</definedName>
    <definedName name="XRefPaste229Row" hidden="1">#REF!</definedName>
    <definedName name="XRefPaste22Row" hidden="1">#REF!</definedName>
    <definedName name="XRefPaste23" hidden="1">#REF!</definedName>
    <definedName name="XRefPaste230" hidden="1">#REF!</definedName>
    <definedName name="XRefPaste230Row" hidden="1">#REF!</definedName>
    <definedName name="XRefPaste231" hidden="1">#REF!</definedName>
    <definedName name="XRefPaste231Row" hidden="1">#REF!</definedName>
    <definedName name="XRefPaste232" hidden="1">#REF!</definedName>
    <definedName name="XRefPaste232Row" hidden="1">#REF!</definedName>
    <definedName name="XRefPaste233Row" hidden="1">#REF!</definedName>
    <definedName name="XRefPaste234Row" hidden="1">#REF!</definedName>
    <definedName name="XRefPaste235" hidden="1">#REF!</definedName>
    <definedName name="XRefPaste235Row" hidden="1">#REF!</definedName>
    <definedName name="XRefPaste236Row" hidden="1">#REF!</definedName>
    <definedName name="XRefPaste237Row" hidden="1">#REF!</definedName>
    <definedName name="XRefPaste238Row" hidden="1">#REF!</definedName>
    <definedName name="XRefPaste239Row" hidden="1">#REF!</definedName>
    <definedName name="XRefPaste23Row" hidden="1">#REF!</definedName>
    <definedName name="XRefPaste24" hidden="1">#REF!</definedName>
    <definedName name="XRefPaste240" hidden="1">#REF!</definedName>
    <definedName name="XRefPaste240Row" hidden="1">#REF!</definedName>
    <definedName name="XRefPaste241" hidden="1">#REF!</definedName>
    <definedName name="XRefPaste241Row" hidden="1">#REF!</definedName>
    <definedName name="XRefPaste242" hidden="1">#REF!</definedName>
    <definedName name="XRefPaste242Row" hidden="1">#REF!</definedName>
    <definedName name="XRefPaste243" hidden="1">#REF!</definedName>
    <definedName name="XRefPaste243Row" hidden="1">#REF!</definedName>
    <definedName name="XRefPaste244" hidden="1">#REF!</definedName>
    <definedName name="XRefPaste244Row" hidden="1">#REF!</definedName>
    <definedName name="XRefPaste245Row" hidden="1">#REF!</definedName>
    <definedName name="XRefPaste246Row"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#REF!</definedName>
    <definedName name="XRefPaste27Row">#REF!</definedName>
    <definedName name="XRefPaste28" hidden="1">#REF!</definedName>
    <definedName name="XRefPaste28Row">#REF!</definedName>
    <definedName name="XRefPaste29" hidden="1">#REF!</definedName>
    <definedName name="XRefPaste29Row" hidden="1">#REF!</definedName>
    <definedName name="XRefPaste2Row">#REF!</definedName>
    <definedName name="XRefPaste3">#REF!</definedName>
    <definedName name="XRefPaste30" hidden="1">#REF!</definedName>
    <definedName name="XRefPaste30Row" hidden="1">#REF!</definedName>
    <definedName name="XRefPaste31" hidden="1">#REF!</definedName>
    <definedName name="XRefPaste31Row" hidden="1">#REF!</definedName>
    <definedName name="XRefPaste32">#REF!</definedName>
    <definedName name="XRefPaste32Row" hidden="1">#REF!</definedName>
    <definedName name="XRefPaste33">#REF!</definedName>
    <definedName name="XRefPaste33Row" hidden="1">#REF!</definedName>
    <definedName name="XRefPaste34">#REF!</definedName>
    <definedName name="XRefPaste34Row" hidden="1">#REF!</definedName>
    <definedName name="XRefPaste35">#REF!</definedName>
    <definedName name="XRefPaste35Row">#REF!</definedName>
    <definedName name="XRefPaste36">#REF!</definedName>
    <definedName name="XRefPaste36Row">#REF!</definedName>
    <definedName name="XRefPaste37">#REF!</definedName>
    <definedName name="XRefPaste37Row">#REF!</definedName>
    <definedName name="XRefPaste38">#REF!</definedName>
    <definedName name="XRefPaste38Row">#REF!</definedName>
    <definedName name="XRefPaste39">#REF!</definedName>
    <definedName name="XRefPaste39Row">#REF!</definedName>
    <definedName name="XRefPaste3Row">#REF!</definedName>
    <definedName name="XRefPaste4">#REF!</definedName>
    <definedName name="XRefPaste40" hidden="1">#REF!</definedName>
    <definedName name="XRefPaste40Row" hidden="1">#N/A</definedName>
    <definedName name="XRefPaste41" hidden="1">#REF!</definedName>
    <definedName name="XRefPaste41Row" hidden="1">#N/A</definedName>
    <definedName name="XRefPaste42">#REF!</definedName>
    <definedName name="XRefPaste42Row">#REF!</definedName>
    <definedName name="XRefPaste43">#REF!</definedName>
    <definedName name="XRefPaste43Row">#REF!</definedName>
    <definedName name="XRefPaste44" hidden="1">#REF!</definedName>
    <definedName name="XRefPaste44Row" hidden="1">#N/A</definedName>
    <definedName name="XRefPaste45" hidden="1">#REF!</definedName>
    <definedName name="XRefPaste45Row" hidden="1">#N/A</definedName>
    <definedName name="XRefPaste46">#REF!</definedName>
    <definedName name="XRefPaste46Row">#REF!</definedName>
    <definedName name="XRefPaste47" hidden="1">#REF!</definedName>
    <definedName name="XRefPaste47Row" hidden="1">#REF!</definedName>
    <definedName name="XRefPaste48" hidden="1">#REF!</definedName>
    <definedName name="XRefPaste49" hidden="1">#REF!</definedName>
    <definedName name="XRefPaste4Row">#REF!</definedName>
    <definedName name="XRefPaste5">#REF!</definedName>
    <definedName name="XRefPaste50" hidden="1">#REF!</definedName>
    <definedName name="XRefPaste51" hidden="1">#REF!</definedName>
    <definedName name="XRefPaste52" hidden="1">#REF!</definedName>
    <definedName name="XRefPaste52Row" hidden="1">#REF!</definedName>
    <definedName name="XRefPaste53" hidden="1">#REF!</definedName>
    <definedName name="XRefPaste54" hidden="1">#REF!</definedName>
    <definedName name="XRefPaste55" hidden="1">#REF!</definedName>
    <definedName name="XRefPaste56" hidden="1">#REF!</definedName>
    <definedName name="XRefPaste58" hidden="1">#REF!</definedName>
    <definedName name="XRefPaste59" hidden="1">#REF!</definedName>
    <definedName name="XRefPaste5Row">#REF!</definedName>
    <definedName name="XRefPaste6">#REF!</definedName>
    <definedName name="XRefPaste60" hidden="1">#REF!</definedName>
    <definedName name="XRefPaste61" hidden="1">#REF!</definedName>
    <definedName name="XRefPaste62" hidden="1">#REF!</definedName>
    <definedName name="XRefPaste64" hidden="1">#REF!</definedName>
    <definedName name="XRefPaste65" hidden="1">#REF!</definedName>
    <definedName name="XRefPaste66" hidden="1">#REF!</definedName>
    <definedName name="XRefPaste67" hidden="1">#REF!</definedName>
    <definedName name="XRefPaste68" hidden="1">#REF!</definedName>
    <definedName name="XRefPaste69" hidden="1">#REF!</definedName>
    <definedName name="XRefPaste6Row">#REF!</definedName>
    <definedName name="XRefPaste7">#REF!</definedName>
    <definedName name="XRefPaste70" hidden="1">#REF!</definedName>
    <definedName name="XRefPaste71" hidden="1">#REF!</definedName>
    <definedName name="XRefPaste72" hidden="1">#REF!</definedName>
    <definedName name="XRefPaste73" hidden="1">#REF!</definedName>
    <definedName name="XRefPaste74" hidden="1">#REF!</definedName>
    <definedName name="XRefPaste75" hidden="1">#REF!</definedName>
    <definedName name="XRefPaste76" hidden="1">#REF!</definedName>
    <definedName name="XRefPaste77" hidden="1">#REF!</definedName>
    <definedName name="XRefPaste78" hidden="1">#REF!</definedName>
    <definedName name="XRefPaste79" hidden="1">#REF!</definedName>
    <definedName name="XRefPaste7Row">#REF!</definedName>
    <definedName name="XRefPaste8">#REF!</definedName>
    <definedName name="XRefPaste80" hidden="1">#REF!</definedName>
    <definedName name="XRefPaste81" hidden="1">#REF!</definedName>
    <definedName name="XRefPaste82" hidden="1">#REF!</definedName>
    <definedName name="XRefPaste83" hidden="1">#REF!</definedName>
    <definedName name="XRefPaste84" hidden="1">#REF!</definedName>
    <definedName name="XRefPaste85" hidden="1">#REF!</definedName>
    <definedName name="XRefPaste86" hidden="1">#REF!</definedName>
    <definedName name="XRefPaste87" hidden="1">#REF!</definedName>
    <definedName name="XRefPaste88" hidden="1">#REF!</definedName>
    <definedName name="XRefPaste89" hidden="1">#REF!</definedName>
    <definedName name="XRefPaste89Row" hidden="1">#REF!</definedName>
    <definedName name="XRefPaste8Row">#REF!</definedName>
    <definedName name="XRefPaste9">#REF!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Row"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#REF!</definedName>
    <definedName name="XRefPasteRange">3</definedName>
    <definedName name="XRefPasteRangeCount" hidden="1">11</definedName>
    <definedName name="XRefPasteRangeCount_1">4</definedName>
    <definedName name="XRefVRangeCnt">6</definedName>
    <definedName name="xRng_19922257178745fdbc41422b37711d7c">#REF!</definedName>
    <definedName name="xRng_7b7e59fe9c1c439fa24e944d7c2cd348">#REF!</definedName>
    <definedName name="xRng_9aac743d1cbb44118c0d0403bc8b0d69">#REF!</definedName>
    <definedName name="xRng_beaed4ccfab34442aa5dfc877321490d">#REF!</definedName>
    <definedName name="XS" hidden="1">{#N/A,#N/A,FALSE,"을지 (4)";#N/A,#N/A,FALSE,"을지 (5)";#N/A,#N/A,FALSE,"을지 (6)"}</definedName>
    <definedName name="xsort" hidden="1">#REF!</definedName>
    <definedName name="xta92경전.서TBr23c13r23c36TBr13">#REF!</definedName>
    <definedName name="xta경영계92.서TBr13c7r41c30TBr1">#REF!</definedName>
    <definedName name="xvc">#REF!</definedName>
    <definedName name="xx" hidden="1">#REF!</definedName>
    <definedName name="xxx">#REF!</definedName>
    <definedName name="xxxConstR195C2">0</definedName>
    <definedName name="xxxx" hidden="1">{"Page1",#N/A,FALSE,"CF WKSHT";"Page2",#N/A,FALSE,"CF WKSHT"}</definedName>
    <definedName name="xxxxx" hidden="1">{#N/A,#N/A,FALSE,"UNIT";#N/A,#N/A,FALSE,"UNIT";#N/A,#N/A,FALSE,"계정"}</definedName>
    <definedName name="xxxxxx">#REF!</definedName>
    <definedName name="xxxxxxx">#REF!</definedName>
    <definedName name="xxxxxxxxxxxxxxxxxxxx" hidden="1">#REF!</definedName>
    <definedName name="xy" hidden="1">#REF!</definedName>
    <definedName name="xyx">#REF!</definedName>
    <definedName name="xyz" hidden="1">{#N/A,#N/A,TRUE,"Condensed IS";#N/A,#N/A,TRUE,"Condensed BS";#N/A,#N/A,TRUE,"Outlook";#N/A,#N/A,TRUE,"Condensed CF";#N/A,#N/A,TRUE,"Condensed CF - qtr"}</definedName>
    <definedName name="xzcg">#REF!</definedName>
    <definedName name="xzcg_1">#REF!</definedName>
    <definedName name="xzy" hidden="1">{#N/A,#N/A,FALSE,"Sales Graph";#N/A,#N/A,FALSE,"PSBM";#N/A,#N/A,FALSE,"BUC Graph";#N/A,#N/A,FALSE,"P&amp;L - YTD"}</definedName>
    <definedName name="y" hidden="1">{"00000summary",#N/A,FALSE,"00000";"10000summary",#N/A,FALSE,"10000"}</definedName>
    <definedName name="y1active">#REF!</definedName>
    <definedName name="y1build">#REF!</definedName>
    <definedName name="y1build_alt">#REF!</definedName>
    <definedName name="y1sport">#REF!</definedName>
    <definedName name="y2active">#REF!</definedName>
    <definedName name="y2build">#REF!</definedName>
    <definedName name="y2build_alt">#REF!</definedName>
    <definedName name="y2sport">#REF!</definedName>
    <definedName name="y3active">#REF!</definedName>
    <definedName name="y3build">#REF!</definedName>
    <definedName name="y3build_alt">#REF!</definedName>
    <definedName name="y3sport">#REF!</definedName>
    <definedName name="y4active">#REF!</definedName>
    <definedName name="y4build">#REF!</definedName>
    <definedName name="y4build_alt">#REF!</definedName>
    <definedName name="y4sport">#REF!</definedName>
    <definedName name="y5active">#REF!</definedName>
    <definedName name="y5build">#REF!</definedName>
    <definedName name="y5build_alt">#REF!</definedName>
    <definedName name="y5sport">#REF!</definedName>
    <definedName name="y6active">#REF!</definedName>
    <definedName name="y6build">#REF!</definedName>
    <definedName name="y6build_alt">#REF!</definedName>
    <definedName name="y6sport">#REF!</definedName>
    <definedName name="ya" hidden="1">{#N/A,#N/A,FALSE,"Aging Summary";#N/A,#N/A,FALSE,"Ratio Analysis";#N/A,#N/A,FALSE,"Test 120 Day Accts";#N/A,#N/A,FALSE,"Tickmarks"}</definedName>
    <definedName name="ya_3">#REF!</definedName>
    <definedName name="ya5y">#REF!</definedName>
    <definedName name="Yahoo">#REF!</definedName>
    <definedName name="Yahoo__Annual_EPS_Model___1995A___1998E">#REF!</definedName>
    <definedName name="Yahoo__Quarterly_Advertising_Revenue_Summary__1996E___1998E">#REF!</definedName>
    <definedName name="ye">#REF!</definedName>
    <definedName name="YEAR">#REF!</definedName>
    <definedName name="YEAR_1__2004">"RentGrowthAssumptions"</definedName>
    <definedName name="Year_end_exchange_rate">#REF!</definedName>
    <definedName name="Year_ended">#REF!</definedName>
    <definedName name="YEAREND">#REF!</definedName>
    <definedName name="yedate">#REF!</definedName>
    <definedName name="yell">#REF!</definedName>
    <definedName name="Yellow">#N/A</definedName>
    <definedName name="yells">#REF!</definedName>
    <definedName name="yells2">#REF!</definedName>
    <definedName name="Yen">#REF!</definedName>
    <definedName name="yen020531">6.6616</definedName>
    <definedName name="yes" hidden="1">#REF!</definedName>
    <definedName name="Yes_Np">#REF!</definedName>
    <definedName name="YESMEANING1">#REF!</definedName>
    <definedName name="YesNo">#REF!</definedName>
    <definedName name="yfy">{"'NPL @ 30 June 00'!$B$22"}</definedName>
    <definedName name="YG">#REF!</definedName>
    <definedName name="YG_1">#REF!</definedName>
    <definedName name="yh" hidden="1">{#N/A,#N/A,FALSE,"Aging Summary";#N/A,#N/A,FALSE,"Ratio Analysis";#N/A,#N/A,FALSE,"Test 120 Day Accts";#N/A,#N/A,FALSE,"Tickmarks"}</definedName>
    <definedName name="yh_3">#REF!</definedName>
    <definedName name="yhg">2</definedName>
    <definedName name="yhgf">#REF!</definedName>
    <definedName name="yhgf_1">#REF!</definedName>
    <definedName name="yhjkhdfhset">#REF!</definedName>
    <definedName name="yhjkhdfhset_1">#REF!</definedName>
    <definedName name="yhjkhdfhset_2">#REF!</definedName>
    <definedName name="yhjkhdfhset_3">#REF!</definedName>
    <definedName name="yhjkhdfhset_4">#REF!</definedName>
    <definedName name="YIHR">#REF!</definedName>
    <definedName name="YIHR1">#REF!</definedName>
    <definedName name="YIHR2">#REF!</definedName>
    <definedName name="YIHR3">#REF!</definedName>
    <definedName name="YIHR4">#REF!</definedName>
    <definedName name="YIHR5">#REF!</definedName>
    <definedName name="YIHR6">#REF!</definedName>
    <definedName name="yioyi">#REF!</definedName>
    <definedName name="yioyi_1">#REF!</definedName>
    <definedName name="ykj">#REF!</definedName>
    <definedName name="yn">#REF!</definedName>
    <definedName name="you">#REF!</definedName>
    <definedName name="yr">39686.6865509259</definedName>
    <definedName name="ysj" hidden="1">{#N/A,#N/A,FALSE,"Sheet5"}</definedName>
    <definedName name="YT" hidden="1">{#N/A,#N/A,FALSE,"Pharm";#N/A,#N/A,FALSE,"WWCM"}</definedName>
    <definedName name="YTD">#REF!</definedName>
    <definedName name="YTD_2019">#REF!</definedName>
    <definedName name="YTD_2020">#REF!</definedName>
    <definedName name="YTD_BS">#REF!</definedName>
    <definedName name="YTD_PL">#REF!</definedName>
    <definedName name="YTDBudget">#REF!</definedName>
    <definedName name="ytdrec">#REF!</definedName>
    <definedName name="ytdsum">#REF!</definedName>
    <definedName name="YTF">#REF!</definedName>
    <definedName name="YTF_1">#REF!</definedName>
    <definedName name="ytgf">#REF!</definedName>
    <definedName name="ytgf_1">#REF!</definedName>
    <definedName name="ytjdyfhfgdfh">#REF!</definedName>
    <definedName name="ytjdyfhfgdfh_1">#REF!</definedName>
    <definedName name="ytjdyfhfgdfh_2">#REF!</definedName>
    <definedName name="ytjdyfhfgdfh_3">#REF!</definedName>
    <definedName name="ytjdyfhfgdfh_4">#REF!</definedName>
    <definedName name="ytruy">#REF!</definedName>
    <definedName name="ytryrry" hidden="1">{#N/A,#N/A,FALSE,"Pharm";#N/A,#N/A,FALSE,"WWCM"}</definedName>
    <definedName name="YTTY" hidden="1">{#N/A,#N/A,FALSE,"Pharm";#N/A,#N/A,FALSE,"WWCM"}</definedName>
    <definedName name="ytuio">#REF!</definedName>
    <definedName name="ytuio_1">#REF!</definedName>
    <definedName name="YTYT" hidden="1">{#N/A,#N/A,FALSE,"Pharm";#N/A,#N/A,FALSE,"WWCM"}</definedName>
    <definedName name="YU">#REF!</definedName>
    <definedName name="yui">#REF!</definedName>
    <definedName name="yuk">#REF!</definedName>
    <definedName name="yuk_1">#REF!</definedName>
    <definedName name="yuk_2">#REF!</definedName>
    <definedName name="yuk_3">#REF!</definedName>
    <definedName name="yuk_4">#REF!</definedName>
    <definedName name="yulia" hidden="1">{"page two",#N/A,FALSE,"revision 01_99"}</definedName>
    <definedName name="yulkui">#REF!</definedName>
    <definedName name="yulkui_1">#REF!</definedName>
    <definedName name="yuyuyu" hidden="1">#REF!</definedName>
    <definedName name="yvonne" hidden="1">#REF!</definedName>
    <definedName name="yy">#REF!</definedName>
    <definedName name="yyy" hidden="1">{"Page1",#N/A,FALSE,"CF WKSHT";"Page2",#N/A,FALSE,"CF WKSHT"}</definedName>
    <definedName name="yyyy" hidden="1">{"Page1",#N/A,FALSE,"CF WKSHT";"Page2",#N/A,FALSE,"CF WKSHT"}</definedName>
    <definedName name="YYYYYYYYYYYY">#REF!</definedName>
    <definedName name="YYYYYYYYYYYYY">#REF!</definedName>
    <definedName name="yyyyyyyyyyyyyyy">#REF!</definedName>
    <definedName name="z" hidden="1">{#N/A,#N/A,FALSE,"Aging Summary";#N/A,#N/A,FALSE,"Ratio Analysis";#N/A,#N/A,FALSE,"Test 120 Day Accts";#N/A,#N/A,FALSE,"Tickmarks"}</definedName>
    <definedName name="Z_00AC0B71_AA97_11D0_B456_0000F62B346E_.wvu.Cols" hidden="1">#REF!,#REF!,#REF!,#REF!,#REF!</definedName>
    <definedName name="Z_01844156_6462_4A28_9785_1A86F4D0C834_.wvu.PrintTitles" hidden="1">#REF!</definedName>
    <definedName name="Z_03612579_9F94_11D0_B44C_0000F62B346E_.wvu.Cols" hidden="1">#REF!,#REF!,#REF!,#REF!,#REF!</definedName>
    <definedName name="Z_0D0B497D_21F8_11D5_91EF_00B0D058E5A7_.wvu.Cols">#REF!</definedName>
    <definedName name="Z_0D0B497D_21F8_11D5_91EF_00B0D058E5A7_.wvu.FilterData" hidden="1">#REF!</definedName>
    <definedName name="Z_0DD2C3B1_93D5_11D4_976F_00062985DD58_.wvu.Cols">#REF!</definedName>
    <definedName name="Z_0FDEF005_6C86_11D3_B9EF_00C04F680B2A_.wvu.FilterData" hidden="1">#REF!</definedName>
    <definedName name="Z_0FDEF005_6C86_11D3_B9EF_00C04F680B2A_.wvu.PrintTitles" hidden="1">#REF!,#REF!</definedName>
    <definedName name="Z_0FDEF007_6C86_11D3_B9EF_00C04F680B2A_.wvu.Cols" hidden="1">#REF!,#REF!</definedName>
    <definedName name="Z_0FDEF007_6C86_11D3_B9EF_00C04F680B2A_.wvu.FilterData" hidden="1">#REF!</definedName>
    <definedName name="Z_0FDEF007_6C86_11D3_B9EF_00C04F680B2A_.wvu.PrintTitles" hidden="1">#REF!,#REF!</definedName>
    <definedName name="Z_101EC640_5E07_11D2_AD7B_08001703272A_.wvu.Cols" hidden="1">#REF!,#REF!,#REF!,#REF!,#REF!,#REF!,#REF!,#REF!,#REF!,#REF!</definedName>
    <definedName name="Z_101EC640_5E07_11D2_AD7B_08001703272A_.wvu.Rows" hidden="1">#REF!,#REF!,#REF!,#REF!,#REF!,#REF!,#REF!,#REF!,#REF!,#REF!,#REF!,#REF!,#REF!,#REF!,#REF!,#REF!,#REF!,#REF!,#REF!,#REF!,#REF!,#REF!,#REF!,#REF!,#REF!,#REF!,#REF!,#REF!,#REF!</definedName>
    <definedName name="Z_128D8F34_9864_4F93_98E2_12587B58B6EC_.wvu.Cols" hidden="1">#REF!,#REF!,#REF!,#REF!,#REF!</definedName>
    <definedName name="Z_128D8F34_9864_4F93_98E2_12587B58B6EC_.wvu.Rows" hidden="1">#REF!,#REF!,#REF!,#REF!,#REF!,#REF!,#REF!,#REF!,#REF!,#REF!,#REF!,#REF!,#REF!,#REF!,#REF!,#REF!,#REF!,#REF!,#REF!,#REF!,#REF!,#REF!,#REF!,#REF!,#REF!</definedName>
    <definedName name="Z_1BE54220_644B_11D2_AD7B_08001703272A_.wvu.Cols" hidden="1">#REF!,#REF!,#REF!,#REF!,#REF!,#REF!,#REF!,#REF!,#REF!,#REF!</definedName>
    <definedName name="Z_1BE54220_644B_11D2_AD7B_08001703272A_.wvu.Rows" hidden="1">#REF!,#REF!,#REF!,#REF!,#REF!,#REF!,#REF!,#REF!,#REF!,#REF!,#REF!,#REF!,#REF!,#REF!,#REF!,#REF!,#REF!,#REF!,#REF!,#REF!,#REF!,#REF!,#REF!,#REF!,#REF!,#REF!,#REF!,#REF!,#REF!</definedName>
    <definedName name="Z_1DEB6CA4_BC56_4C3B_B0E7_A284A3A002A1_.wvu.Rows">#REF!</definedName>
    <definedName name="Z_1E06FFC0_30FD_11D2_AD7B_08001703272A_.wvu.Cols" hidden="1">#REF!,#REF!,#REF!,#REF!,#REF!,#REF!,#REF!,#REF!,#REF!,#REF!</definedName>
    <definedName name="Z_1E06FFC0_30FD_11D2_AD7B_08001703272A_.wvu.Rows" hidden="1">#REF!,#REF!,#REF!,#REF!,#REF!,#REF!,#REF!,#REF!,#REF!,#REF!,#REF!,#REF!,#REF!,#REF!,#REF!,#REF!,#REF!,#REF!,#REF!,#REF!,#REF!,#REF!,#REF!,#REF!,#REF!,#REF!,#REF!,#REF!,#REF!</definedName>
    <definedName name="Z_213E26B2_3E91_4DDE_8593_C583EB52A019_.wvu.PrintArea">#REF!</definedName>
    <definedName name="Z_23968E92_93CA_11D4_9DE0_000629455B3F_.wvu.Cols">#REF!</definedName>
    <definedName name="Z_25996983_6802_11D2_AD7B_08001703272A_.wvu.Cols" hidden="1">#REF!,#REF!,#REF!,#REF!,#REF!,#REF!,#REF!,#REF!</definedName>
    <definedName name="Z_25996983_6802_11D2_AD7B_08001703272A_.wvu.Rows" hidden="1">#REF!,#REF!,#REF!,#REF!,#REF!,#REF!,#REF!,#REF!,#REF!,#REF!,#REF!,#REF!,#REF!,#REF!,#REF!,#REF!,#REF!,#REF!,#REF!,#REF!,#REF!,#REF!,#REF!,#REF!,#REF!,#REF!,#REF!,#REF!,#REF!</definedName>
    <definedName name="Z_29A22E60_1FB2_11D2_AD7B_08001703272A_.wvu.Cols" hidden="1">#REF!,#REF!,#REF!,#REF!,#REF!,#REF!,#REF!,#REF!,#REF!</definedName>
    <definedName name="Z_29A22E60_1FB2_11D2_AD7B_08001703272A_.wvu.Rows" hidden="1">#REF!,#REF!,#REF!,#REF!,#REF!,#REF!,#REF!,#REF!,#REF!,#REF!,#REF!,#REF!,#REF!,#REF!,#REF!,#REF!,#REF!,#REF!,#REF!,#REF!,#REF!,#REF!,#REF!,#REF!,#REF!,#REF!,#REF!,#REF!,#REF!</definedName>
    <definedName name="Z_2B2A4BC5_90C6_11D4_B4DB_000629AF3DEA_.wvu.Cols">#REF!</definedName>
    <definedName name="z_3">#REF!</definedName>
    <definedName name="Z_33376133_CFCA_11D4_9FDE_000103021132_.wvu.Cols" hidden="1">#REF!,#REF!</definedName>
    <definedName name="Z_33376133_CFCA_11D4_9FDE_000103021132_.wvu.Rows" hidden="1">#REF!</definedName>
    <definedName name="Z_37B34331_6D13_11D3_A342_0050040526C4_.wvu.Cols" hidden="1">#REF!</definedName>
    <definedName name="Z_37B34331_6D13_11D3_A342_0050040526C4_.wvu.FilterData" hidden="1">#REF!</definedName>
    <definedName name="Z_37B34331_6D13_11D3_A342_0050040526C4_.wvu.PrintTitles" hidden="1">#REF!,#REF!</definedName>
    <definedName name="Z_3DE5A5C8_E1AF_4DA6_93EE_7887DDCD241F_.wvu.PrintArea">#REF!</definedName>
    <definedName name="Z_3DE5A5C8_E1AF_4DA6_93EE_7887DDCD241F_.wvu.PrintTitles">#REF!</definedName>
    <definedName name="Z_3E078380_77ED_11D2_AD7B_08001703272A_.wvu.Cols" hidden="1">#REF!,#REF!,#REF!,#REF!,#REF!,#REF!,#REF!,#REF!,#REF!,#REF!</definedName>
    <definedName name="Z_3E078380_77ED_11D2_AD7B_08001703272A_.wvu.Rows" hidden="1">#REF!,#REF!,#REF!,#REF!,#REF!,#REF!,#REF!,#REF!,#REF!,#REF!,#REF!,#REF!,#REF!,#REF!,#REF!,#REF!,#REF!,#REF!,#REF!,#REF!,#REF!,#REF!,#REF!,#REF!,#REF!,#REF!,#REF!,#REF!,#REF!</definedName>
    <definedName name="Z_44EA93A3_9181_11D4_B4DD_000629AF3DEA_.wvu.Cols">#REF!</definedName>
    <definedName name="Z_47939A2C_A55D_46B4_84FB_3CD5372CD5C0_.wvu.Cols" hidden="1">#REF!,#REF!,#REF!</definedName>
    <definedName name="Z_47939A2C_A55D_46B4_84FB_3CD5372CD5C0_.wvu.Rows" hidden="1">#REF!,#REF!,#REF!,#REF!,#REF!,#REF!,#REF!,#REF!,#REF!,#REF!,#REF!,#REF!,#REF!,#REF!,#REF!,#REF!,#REF!,#REF!,#REF!,#REF!,#REF!,#REF!,#REF!,#REF!,#REF!</definedName>
    <definedName name="Z_535E88E4_32FD_4333_8C66_7B3ECF07C8A8_.wvu.PrintArea" hidden="1">#REF!</definedName>
    <definedName name="Z_53B97FD7_206F_4E0F_BD6E_C5CE50A4020E_.wvu.Cols">#REF!</definedName>
    <definedName name="Z_53B97FD7_206F_4E0F_BD6E_C5CE50A4020E_.wvu.Rows">#REF!</definedName>
    <definedName name="Z_57A5B6D1_774C_11D3_A34A_0050040526C4_.wvu.Cols" hidden="1">#REF!</definedName>
    <definedName name="Z_57A5B6D1_774C_11D3_A34A_0050040526C4_.wvu.FilterData" hidden="1">#REF!</definedName>
    <definedName name="Z_57A5B6D1_774C_11D3_A34A_0050040526C4_.wvu.PrintTitles" hidden="1">#REF!,#REF!</definedName>
    <definedName name="Z_65726B72_CEFC_11D4_AA53_00010301C464_.wvu.Cols" hidden="1">#REF!,#REF!</definedName>
    <definedName name="Z_65726B72_CEFC_11D4_AA53_00010301C464_.wvu.Rows" hidden="1">#REF!</definedName>
    <definedName name="Z_6B0FE324_F74E_11D4_8755_0050DA581453_.wvu.Rows">#REF!</definedName>
    <definedName name="Z_6E95FD23_1423_11D2_AD7B_08001703272A_.wvu.Cols" hidden="1">#REF!,#REF!,#REF!,#REF!,#REF!,#REF!,#REF!,#REF!,#REF!,#REF!</definedName>
    <definedName name="Z_6E95FD23_1423_11D2_AD7B_08001703272A_.wvu.Rows" hidden="1">#REF!,#REF!,#REF!,#REF!,#REF!,#REF!,#REF!,#REF!,#REF!,#REF!,#REF!,#REF!,#REF!,#REF!,#REF!,#REF!,#REF!,#REF!,#REF!,#REF!,#REF!,#REF!,#REF!,#REF!,#REF!,#REF!,#REF!,#REF!,#REF!</definedName>
    <definedName name="Z_74348A01_6D24_11D3_A342_0050040526C4_.wvu.FilterData" hidden="1">#REF!</definedName>
    <definedName name="Z_74348A01_6D24_11D3_A342_0050040526C4_.wvu.PrintTitles" hidden="1">#REF!,#REF!</definedName>
    <definedName name="Z_74E6F881_9937_11D1_87C8_444553540000_.wvu.Rows">#REF!</definedName>
    <definedName name="Z_7A37C2E4_0AA0_489E_98B6_D2B554079708_.wvu.Cols">#REF!</definedName>
    <definedName name="Z_7A37C2E4_0AA0_489E_98B6_D2B554079708_.wvu.PrintArea">#REF!</definedName>
    <definedName name="Z_7A37C2E4_0AA0_489E_98B6_D2B554079708_.wvu.PrintTitles">#REF!</definedName>
    <definedName name="Z_7A37C2E4_0AA0_489E_98B6_D2B554079708_.wvu.Rows">#REF!</definedName>
    <definedName name="Z_7D88F320_5DFA_11D2_AD7B_08001703272A_.wvu.Cols" hidden="1">#REF!,#REF!,#REF!,#REF!,#REF!,#REF!,#REF!,#REF!,#REF!,#REF!</definedName>
    <definedName name="Z_7D88F320_5DFA_11D2_AD7B_08001703272A_.wvu.Rows" hidden="1">#REF!,#REF!,#REF!,#REF!,#REF!,#REF!,#REF!,#REF!,#REF!,#REF!,#REF!,#REF!,#REF!,#REF!,#REF!,#REF!,#REF!,#REF!,#REF!,#REF!,#REF!,#REF!,#REF!,#REF!,#REF!,#REF!,#REF!,#REF!,#REF!</definedName>
    <definedName name="Z_80E05628_A34C_4666_9DEC_E528308A36DF_.wvu.Rows">#REF!</definedName>
    <definedName name="Z_83CC5E40_5920_11D2_B385_0060972C0952_.wvu.Cols" hidden="1">#REF!,#REF!,#REF!,#REF!,#REF!,#REF!</definedName>
    <definedName name="Z_83CC5E40_5920_11D2_B385_0060972C0952_.wvu.Rows" hidden="1">#REF!,#REF!,#REF!,#REF!,#REF!,#REF!,#REF!,#REF!,#REF!,#REF!,#REF!,#REF!,#REF!,#REF!,#REF!,#REF!,#REF!,#REF!,#REF!,#REF!,#REF!,#REF!,#REF!,#REF!,#REF!,#REF!,#REF!,#REF!,#REF!</definedName>
    <definedName name="Z_870DA93B_C7EC_11D1_935A_00A0C95F1362_.wvu.PrintArea">#REF!</definedName>
    <definedName name="Z_87C0A393_8FDF_11D0_B43D_0000F62B346E_.wvu.Cols" hidden="1">#REF!,#REF!,#REF!,#REF!,#REF!</definedName>
    <definedName name="Z_89F84399_5587_4CB2_B788_FDF4E5D8396E_.wvu.PrintArea" hidden="1">#REF!</definedName>
    <definedName name="Z_8C4781CD_B133_11D1_87D1_444553540000_.wvu.Rows">#REF!</definedName>
    <definedName name="Z_8DC60084_7D0D_4E68_9EB7_04861F4A9AF8_.wvu.Cols">#REF!</definedName>
    <definedName name="Z_8DC60084_7D0D_4E68_9EB7_04861F4A9AF8_.wvu.PrintArea">#REF!</definedName>
    <definedName name="Z_8DC60084_7D0D_4E68_9EB7_04861F4A9AF8_.wvu.PrintTitles">#REF!</definedName>
    <definedName name="Z_8DC60084_7D0D_4E68_9EB7_04861F4A9AF8_.wvu.Rows">#REF!</definedName>
    <definedName name="Z_8ED412BE_494E_47E0_A7A3_62D56F893861_.wvu.Cols">#REF!</definedName>
    <definedName name="Z_8ED412BE_494E_47E0_A7A3_62D56F893861_.wvu.PrintArea">#REF!</definedName>
    <definedName name="Z_919A0F12_8EB4_11D0_B43A_0000F62B346E_.wvu.Cols" hidden="1">#REF!,#REF!,#REF!,#REF!,#REF!</definedName>
    <definedName name="Z_925BED80_64FC_11D2_B385_0060972C0952_.wvu.Cols" hidden="1">#REF!,#REF!,#REF!,#REF!,#REF!,#REF!,#REF!,#REF!,#REF!,#REF!</definedName>
    <definedName name="Z_925BED80_64FC_11D2_B385_0060972C0952_.wvu.Rows" hidden="1">#REF!,#REF!,#REF!,#REF!,#REF!,#REF!,#REF!,#REF!,#REF!,#REF!,#REF!,#REF!,#REF!,#REF!,#REF!,#REF!,#REF!,#REF!,#REF!,#REF!,#REF!,#REF!,#REF!,#REF!,#REF!,#REF!,#REF!,#REF!,#REF!</definedName>
    <definedName name="Z_95BFBAA0_7231_11D2_AD7B_08001703272A_.wvu.Cols" hidden="1">#REF!,#REF!,#REF!,#REF!,#REF!,#REF!,#REF!,#REF!,#REF!,#REF!</definedName>
    <definedName name="Z_95BFBAA0_7231_11D2_AD7B_08001703272A_.wvu.Rows" hidden="1">#REF!,#REF!,#REF!,#REF!,#REF!,#REF!,#REF!,#REF!,#REF!,#REF!,#REF!,#REF!,#REF!,#REF!,#REF!,#REF!,#REF!,#REF!,#REF!,#REF!,#REF!,#REF!,#REF!,#REF!,#REF!,#REF!,#REF!,#REF!,#REF!</definedName>
    <definedName name="Z_9858B950_CFCD_11D4_A6D2_00508BC7FCD7_.wvu.Cols" hidden="1">#REF!,#REF!,#REF!,#REF!</definedName>
    <definedName name="Z_9858B950_CFCD_11D4_A6D2_00508BC7FCD7_.wvu.PrintArea" hidden="1">#REF!</definedName>
    <definedName name="Z_9858B950_CFCD_11D4_A6D2_00508BC7FCD7_.wvu.Rows" hidden="1">#REF!,#REF!,#REF!</definedName>
    <definedName name="Z_9B47E6EA_A5DE_11D0_B453_0000F62B346E_.wvu.Cols" hidden="1">#REF!,#REF!,#REF!,#REF!,#REF!</definedName>
    <definedName name="Z_A34D0867_AA68_11D6_98B3_0060B0F8D414_.wvu.PrintTitles">#REF!</definedName>
    <definedName name="Z_A8AE14F4_1E9F_4F94_9C1B_1FA01532CCE5_.wvu.PrintArea">#REF!</definedName>
    <definedName name="Z_A8AE14F4_1E9F_4F94_9C1B_1FA01532CCE5_.wvu.PrintTitles">#REF!</definedName>
    <definedName name="Z_AD0F132B_0410_4BA7_90D7_890FD3888945_.wvu.FilterData" hidden="1">#REF!</definedName>
    <definedName name="Z_B0841432_2BC0_4A1E_9372_2534287640B8_.wvu.Cols">#REF!</definedName>
    <definedName name="Z_B0E457B1_5AE1_41CF_B775_5D8355A4C6D6_.wvu.Cols">#REF!</definedName>
    <definedName name="Z_B0E457B1_5AE1_41CF_B775_5D8355A4C6D6_.wvu.PrintArea">#REF!</definedName>
    <definedName name="Z_B0E457B1_5AE1_41CF_B775_5D8355A4C6D6_.wvu.PrintTitles">#REF!</definedName>
    <definedName name="Z_B0E457B1_5AE1_41CF_B775_5D8355A4C6D6_.wvu.Rows">#REF!</definedName>
    <definedName name="Z_B8D30F00_07A3_48E4_982B_7D435ADE48EE_.wvu.Cols">#REF!</definedName>
    <definedName name="Z_B8D30F00_07A3_48E4_982B_7D435ADE48EE_.wvu.PrintArea">#REF!</definedName>
    <definedName name="Z_B8D30F00_07A3_48E4_982B_7D435ADE48EE_.wvu.Rows">#REF!</definedName>
    <definedName name="Z_BA9C77CC_B925_11D1_87D2_444553540000_.wvu.Rows">#REF!</definedName>
    <definedName name="Z_BE5CA973_A6A8_11D0_B454_0000F62B346E_.wvu.Cols" hidden="1">#REF!,#REF!,#REF!,#REF!,#REF!</definedName>
    <definedName name="Z_BE5CA977_A6A8_11D0_B454_0000F62B346E_.wvu.Cols" hidden="1">#REF!,#REF!,#REF!,#REF!,#REF!</definedName>
    <definedName name="Z_C00E0055_D79E_11D4_84AD_00D0B7B3CB09_.wvu.Cols" hidden="1">#REF!,#REF!</definedName>
    <definedName name="Z_C00E0055_D79E_11D4_84AD_00D0B7B3CB09_.wvu.Rows" hidden="1">#REF!</definedName>
    <definedName name="Z_C1610CA5_A685_471B_92D9_B0F3E985986C_.wvu.Cols">#REF!</definedName>
    <definedName name="Z_C1610CA5_A685_471B_92D9_B0F3E985986C_.wvu.PrintArea">#REF!</definedName>
    <definedName name="Z_C1610CA5_A685_471B_92D9_B0F3E985986C_.wvu.PrintTitles">#REF!</definedName>
    <definedName name="Z_C1610CA5_A685_471B_92D9_B0F3E985986C_.wvu.Rows">#REF!</definedName>
    <definedName name="Z_CD3E4CF3_A54F_11D0_B452_0000F62B346E_.wvu.Cols" hidden="1">#REF!,#REF!,#REF!,#REF!,#REF!</definedName>
    <definedName name="Z_D14E4514_50D1_400B_AD84_5C99D0990B8C_.wvu.Cols">#REF!</definedName>
    <definedName name="Z_D14E4514_50D1_400B_AD84_5C99D0990B8C_.wvu.PrintArea">#REF!</definedName>
    <definedName name="Z_D14E4514_50D1_400B_AD84_5C99D0990B8C_.wvu.PrintTitles">#REF!</definedName>
    <definedName name="Z_D14E4514_50D1_400B_AD84_5C99D0990B8C_.wvu.Rows">#REF!</definedName>
    <definedName name="Z_D3F45D3B_5608_11D2_AD7B_08001703272A_.wvu.Cols" hidden="1">#REF!,#REF!,#REF!,#REF!,#REF!,#REF!,#REF!</definedName>
    <definedName name="Z_D3F45D3B_5608_11D2_AD7B_08001703272A_.wvu.Rows" hidden="1">#REF!,#REF!,#REF!,#REF!,#REF!,#REF!,#REF!,#REF!,#REF!,#REF!,#REF!,#REF!,#REF!,#REF!,#REF!,#REF!,#REF!,#REF!,#REF!,#REF!,#REF!,#REF!,#REF!,#REF!,#REF!,#REF!,#REF!,#REF!,#REF!</definedName>
    <definedName name="Z_D3F45D42_5608_11D2_AD7B_08001703272A_.wvu.Cols" hidden="1">#REF!,#REF!,#REF!,#REF!,#REF!,#REF!</definedName>
    <definedName name="Z_D3F45D42_5608_11D2_AD7B_08001703272A_.wvu.Rows" hidden="1">#REF!,#REF!,#REF!,#REF!,#REF!,#REF!,#REF!,#REF!,#REF!,#REF!,#REF!,#REF!,#REF!,#REF!,#REF!,#REF!,#REF!,#REF!,#REF!,#REF!,#REF!,#REF!,#REF!,#REF!,#REF!,#REF!,#REF!,#REF!,#REF!</definedName>
    <definedName name="Z_D53CE597_A65F_4ECD_83BA_62DCF576C2C6_.wvu.Rows">#REF!</definedName>
    <definedName name="Z_D56E2943_78A1_11D2_AD7B_08001703272A_.wvu.Cols" hidden="1">#REF!,#REF!,#REF!,#REF!,#REF!,#REF!,#REF!,#REF!,#REF!,#REF!</definedName>
    <definedName name="Z_D56E2943_78A1_11D2_AD7B_08001703272A_.wvu.Rows" hidden="1">#REF!,#REF!,#REF!,#REF!,#REF!,#REF!,#REF!,#REF!,#REF!,#REF!,#REF!,#REF!,#REF!,#REF!,#REF!,#REF!,#REF!,#REF!,#REF!,#REF!,#REF!,#REF!,#REF!,#REF!,#REF!,#REF!,#REF!,#REF!,#REF!</definedName>
    <definedName name="Z_D5B65D60_5B77_11D2_B385_0060972C0952_.wvu.Cols" hidden="1">#REF!,#REF!,#REF!,#REF!,#REF!,#REF!,#REF!,#REF!,#REF!,#REF!,#REF!,#REF!</definedName>
    <definedName name="Z_D5B65D60_5B77_11D2_B385_0060972C0952_.wvu.Rows" hidden="1">#REF!,#REF!,#REF!,#REF!,#REF!,#REF!,#REF!,#REF!,#REF!,#REF!,#REF!,#REF!,#REF!,#REF!,#REF!,#REF!,#REF!,#REF!,#REF!,#REF!,#REF!,#REF!,#REF!,#REF!,#REF!,#REF!,#REF!,#REF!,#REF!</definedName>
    <definedName name="Z_D5DCA881_BA8A_11D4_95D5_00508BC7A72F_.wvu.Rows" hidden="1">#REF!,#REF!,#REF!</definedName>
    <definedName name="Z_D61995E3_6DA8_11D2_AD7B_08001703272A_.wvu.Cols" hidden="1">#REF!,#REF!,#REF!,#REF!,#REF!,#REF!,#REF!,#REF!,#REF!,#REF!</definedName>
    <definedName name="Z_D61995E3_6DA8_11D2_AD7B_08001703272A_.wvu.Rows" hidden="1">#REF!,#REF!,#REF!,#REF!,#REF!,#REF!,#REF!,#REF!,#REF!,#REF!,#REF!,#REF!,#REF!,#REF!,#REF!,#REF!,#REF!,#REF!,#REF!,#REF!,#REF!,#REF!,#REF!,#REF!,#REF!,#REF!,#REF!,#REF!,#REF!</definedName>
    <definedName name="Z_E3932E20_584F_11D2_B385_0060972C0952_.wvu.Cols" hidden="1">#REF!,#REF!,#REF!,#REF!,#REF!,#REF!</definedName>
    <definedName name="Z_E3932E20_584F_11D2_B385_0060972C0952_.wvu.Rows" hidden="1">#REF!,#REF!,#REF!,#REF!,#REF!,#REF!,#REF!,#REF!,#REF!,#REF!,#REF!,#REF!,#REF!,#REF!,#REF!,#REF!,#REF!,#REF!,#REF!,#REF!,#REF!,#REF!,#REF!,#REF!,#REF!,#REF!,#REF!,#REF!,#REF!</definedName>
    <definedName name="Z_E4EFD430_64D5_11D2_AD7B_08001703272A_.wvu.Cols" hidden="1">#REF!,#REF!,#REF!,#REF!,#REF!,#REF!,#REF!,#REF!,#REF!,#REF!</definedName>
    <definedName name="Z_E4EFD430_64D5_11D2_AD7B_08001703272A_.wvu.Rows" hidden="1">#REF!,#REF!,#REF!,#REF!,#REF!,#REF!,#REF!,#REF!,#REF!,#REF!,#REF!,#REF!,#REF!,#REF!,#REF!,#REF!,#REF!,#REF!,#REF!,#REF!,#REF!,#REF!,#REF!,#REF!,#REF!,#REF!,#REF!,#REF!,#REF!</definedName>
    <definedName name="Z_E5ADD1E0_5B9E_11D2_AD7B_08001703272A_.wvu.Cols" hidden="1">#REF!,#REF!,#REF!,#REF!,#REF!,#REF!,#REF!,#REF!,#REF!,#REF!,#REF!</definedName>
    <definedName name="Z_E5ADD1E0_5B9E_11D2_AD7B_08001703272A_.wvu.Rows" hidden="1">#REF!,#REF!,#REF!,#REF!,#REF!,#REF!,#REF!,#REF!,#REF!,#REF!,#REF!,#REF!,#REF!,#REF!,#REF!,#REF!,#REF!,#REF!,#REF!,#REF!,#REF!,#REF!,#REF!,#REF!,#REF!,#REF!,#REF!,#REF!,#REF!</definedName>
    <definedName name="Z_F341BC20_5ACE_11D2_AD7B_08001703272A_.wvu.Cols" hidden="1">#REF!,#REF!,#REF!,#REF!,#REF!,#REF!</definedName>
    <definedName name="Z_F341BC20_5ACE_11D2_AD7B_08001703272A_.wvu.Rows" hidden="1">#REF!,#REF!,#REF!,#REF!,#REF!,#REF!,#REF!,#REF!,#REF!,#REF!,#REF!,#REF!,#REF!,#REF!,#REF!,#REF!,#REF!,#REF!,#REF!,#REF!,#REF!,#REF!,#REF!,#REF!,#REF!,#REF!,#REF!,#REF!,#REF!</definedName>
    <definedName name="Z1ZZZZ" hidden="1">{"PRVSN",#N/A,FALSE,"Q196";"PRVSN",#N/A,FALSE,"Q296";"PRVSN",#N/A,FALSE,"Q396";"PRVSN",#N/A,FALSE,"Q496";"VARIANCES",#N/A,FALSE,"Q196";"VARIANCES",#N/A,FALSE,"Q296"}</definedName>
    <definedName name="Za">{"'Sheet3'!$CL$329:$CU$335"}</definedName>
    <definedName name="ZAR">#REF!</definedName>
    <definedName name="zaz">#REF!</definedName>
    <definedName name="zdfb">#REF!</definedName>
    <definedName name="zdfb_1">#REF!</definedName>
    <definedName name="zdrjxm">#REF!</definedName>
    <definedName name="zdrjxm_1">#REF!</definedName>
    <definedName name="zero">#REF!</definedName>
    <definedName name="zero1">#REF!</definedName>
    <definedName name="zero2">#REF!</definedName>
    <definedName name="zero3">#REF!</definedName>
    <definedName name="zero4">#REF!</definedName>
    <definedName name="zero5">#REF!</definedName>
    <definedName name="zezere">{"'1-TheatreBkgs'!$A$1:$L$102"}</definedName>
    <definedName name="zfgha">#REF!</definedName>
    <definedName name="zfgzsdfgzsdf">#REF!</definedName>
    <definedName name="ZFSDAHDDGHFSGF" hidden="1">{#N/A,#N/A,FALSE,"1";#N/A,#N/A,FALSE,"2";#N/A,#N/A,FALSE,"16 - 17";#N/A,#N/A,FALSE,"18 - 19";#N/A,#N/A,FALSE,"26";#N/A,#N/A,FALSE,"27";#N/A,#N/A,FALSE,"28"}</definedName>
    <definedName name="zfzsf">#REF!</definedName>
    <definedName name="Zip">#REF!</definedName>
    <definedName name="zo" hidden="1">{#N/A,#N/A,FALSE,"Australia";#N/A,#N/A,FALSE,"Austria";#N/A,#N/A,FALSE,"Belgium";#N/A,#N/A,FALSE,"Canada";#N/A,#N/A,FALSE,"France";#N/A,#N/A,FALSE,"Germany";#N/A,#N/A,FALSE,"Hong Kong";#N/A,#N/A,FALSE,"Italy";#N/A,#N/A,FALSE,"Japan";#N/A,#N/A,FALSE,"Korea";#N/A,#N/A,FALSE,"Mexico";#N/A,#N/A,FALSE,"Poland";#N/A,#N/A,FALSE,"Spain";#N/A,#N/A,FALSE,"Switzerland";#N/A,#N/A,FALSE,"UK"}</definedName>
    <definedName name="zon" hidden="1">{#N/A,#N/A,FALSE,"Australia";#N/A,#N/A,FALSE,"Austria";#N/A,#N/A,FALSE,"Belgium";#N/A,#N/A,FALSE,"Canada";#N/A,#N/A,FALSE,"France";#N/A,#N/A,FALSE,"Germany";#N/A,#N/A,FALSE,"Hong Kong";#N/A,#N/A,FALSE,"Italy";#N/A,#N/A,FALSE,"Japan";#N/A,#N/A,FALSE,"Korea";#N/A,#N/A,FALSE,"Mexico";#N/A,#N/A,FALSE,"Poland";#N/A,#N/A,FALSE,"Spain";#N/A,#N/A,FALSE,"Switzerland";#N/A,#N/A,FALSE,"UK"}</definedName>
    <definedName name="Zones5">#REF!</definedName>
    <definedName name="Zones7">#REF!</definedName>
    <definedName name="zop" hidden="1">{#N/A,#N/A,FALSE,"Title";#N/A,#N/A,FALSE,"Index";#N/A,#N/A,FALSE,"1";#N/A,#N/A,FALSE,"2";#N/A,#N/A,FALSE,"3";#N/A,#N/A,FALSE,"4";#N/A,#N/A,FALSE,"5";#N/A,#N/A,FALSE,"6";#N/A,#N/A,FALSE,"7";#N/A,#N/A,FALSE,"8"}</definedName>
    <definedName name="zre" hidden="1">{"PRVSN",#N/A,FALSE,"Q196";"PRVSN",#N/A,FALSE,"Q296";"PRVSN",#N/A,FALSE,"Q396";"PRVSN",#N/A,FALSE,"Q496";"VARIANCES",#N/A,FALSE,"Q196";"VARIANCES",#N/A,FALSE,"Q296"}</definedName>
    <definedName name="zs">#REF!</definedName>
    <definedName name="zsdas">#REF!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X" hidden="1">{#N/A,#N/A,FALSE,"초도품";#N/A,#N/A,FALSE,"초도품 (2)";#N/A,#N/A,FALSE,"초도품 (3)";#N/A,#N/A,FALSE,"초도품 (4)";#N/A,#N/A,FALSE,"초도품 (5)";#N/A,#N/A,FALSE,"초도품 (6)"}</definedName>
    <definedName name="zxcas" hidden="1">{#N/A,#N/A,FALSE,"KMC최종회의(7월) 자료"}</definedName>
    <definedName name="zxcvb" hidden="1">#REF!</definedName>
    <definedName name="zxczz">#REF!</definedName>
    <definedName name="zxgjfky">#REF!</definedName>
    <definedName name="zxgjfky_1">#REF!</definedName>
    <definedName name="zxnxg">#REF!</definedName>
    <definedName name="zxnxg_1">#REF!</definedName>
    <definedName name="zz">#REF!</definedName>
    <definedName name="zzee" hidden="1">{#N/A,#N/A,FALSE,"Pharm";#N/A,#N/A,FALSE,"WWCM"}</definedName>
    <definedName name="zzop" hidden="1">{#N/A,#N/A,FALSE,"Title";#N/A,#N/A,FALSE,"Index";#N/A,#N/A,FALSE,"1";#N/A,#N/A,FALSE,"2";#N/A,#N/A,FALSE,"3";#N/A,#N/A,FALSE,"4";#N/A,#N/A,FALSE,"5";#N/A,#N/A,FALSE,"5A";#N/A,#N/A,FALSE,"6";#N/A,#N/A,FALSE,"7";#N/A,#N/A,FALSE,"8"}</definedName>
    <definedName name="zzz" hidden="1">{"Page1",#N/A,FALSE,"CF WKSHT";"Page2",#N/A,FALSE,"CF WKSHT"}</definedName>
    <definedName name="zzz.com">#REF!</definedName>
    <definedName name="ZZZ_3">#REF!</definedName>
    <definedName name="zzzz" hidden="1">{"Page1",#N/A,FALSE,"CF WKSHT";"Page2",#N/A,FALSE,"CF WKSHT"}</definedName>
    <definedName name="ZZZZxxxxxZZZZZ">#REF!</definedName>
    <definedName name="ZZZZZ" hidden="1">{"PRVSN",#N/A,FALSE,"Q196";"PRVSN",#N/A,FALSE,"Q296";"PRVSN",#N/A,FALSE,"Q396";"PRVSN",#N/A,FALSE,"Q496";"VARIANCES",#N/A,FALSE,"Q196";"VARIANCES",#N/A,FALSE,"Q296"}</definedName>
    <definedName name="Ε_샥dⅨ">#REF!</definedName>
    <definedName name="ппп" hidden="1">#N/A</definedName>
    <definedName name="あああ">{"'TYPE (2)'!$A$1:$Q$76"}</definedName>
    <definedName name="ｲﾁﾈﾝ">#REF!</definedName>
    <definedName name="ｵﾘｯｸｽ">#REF!</definedName>
    <definedName name="ｵﾘｯｸｽ車">#REF!</definedName>
    <definedName name="ｾﾝﾄﾗﾙ">#REF!</definedName>
    <definedName name="その他の投資" hidden="1">{"'買掛金'!$J$6"}</definedName>
    <definedName name="その他税金">#REF!</definedName>
    <definedName name="っっｂ" hidden="1">{"'買掛金'!$J$6"}</definedName>
    <definedName name="ﾃｸﾉﾚﾝﾄ">#REF!</definedName>
    <definedName name="テスト" hidden="1">{"'買掛金'!$J$6"}</definedName>
    <definedName name="ﾄﾖﾀ">#REF!</definedName>
    <definedName name="ﾅｼｮﾅﾙ1">#REF!</definedName>
    <definedName name="ﾅｼｮﾅﾙ2">#REF!</definedName>
    <definedName name="ﾋﾞｰｴｽﾃｨ">#REF!</definedName>
    <definedName name="ﾌｧｯｸｽ">#REF!</definedName>
    <definedName name="リース料">#REF!</definedName>
    <definedName name="ﾘｺｰﾘｰｽ">#REF!</definedName>
    <definedName name="אאא">#REF!</definedName>
    <definedName name="אאא1" hidden="1">{#N/A,#N/A,FALSE,"מאזן בוחן";"כל_מאזן_בוחן",#N/A,FALSE,"מאזן בוחן"}</definedName>
    <definedName name="באורים">#REF!</definedName>
    <definedName name="בככ">#REF!</definedName>
    <definedName name="בככ1" hidden="1">{"מזומנים",#N/A,FALSE,"מאזן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גילגול">#REF!</definedName>
    <definedName name="דוח_תזרים_הגשה">#REF!</definedName>
    <definedName name="דוח_תזרים_צרפת">#REF!</definedName>
    <definedName name="דוח_תזרים_קיימן">#REF!</definedName>
    <definedName name="חברה">#REF!</definedName>
    <definedName name="חח">#REF!</definedName>
    <definedName name="לל">#REF!</definedName>
    <definedName name="מ">#REF!</definedName>
    <definedName name="מאזן_">#REF!</definedName>
    <definedName name="מאזן_אקטיב_ארהב">#REF!</definedName>
    <definedName name="מאזן_אקטיב_הגשה">#REF!</definedName>
    <definedName name="מאזן_אקטיב_ישראל">#REF!</definedName>
    <definedName name="מאזן_אקטיב_צרפת">#REF!</definedName>
    <definedName name="מאזן_אקטיב_קיימן">#REF!</definedName>
    <definedName name="מאזן_בוחן_כללי_1" hidden="1">{#N/A,#N/A,FALSE,"מאזן בוחן";"כל_מאזן_בוחן",#N/A,FALSE,"מאזן בוחן"}</definedName>
    <definedName name="מאזן_בוחן_כללי1" hidden="1">{#N/A,#N/A,FALSE,"מאזן בוחן";"כל_מאזן_בוחן",#N/A,FALSE,"מאזן בוחן"}</definedName>
    <definedName name="מאזן_פאסיב_ארהב">#REF!</definedName>
    <definedName name="מאזן_פאסיב_הגשה">#REF!</definedName>
    <definedName name="מאזן_פאסיב_ישראל">#REF!</definedName>
    <definedName name="מאזן_פאסיב_צרפת">#REF!</definedName>
    <definedName name="מאזן_פאסיב_קיימן">#REF!</definedName>
    <definedName name="מדד_חודש_97__9">"a"</definedName>
    <definedName name="מזומן">#REF!</definedName>
    <definedName name="נ">#REF!</definedName>
    <definedName name="סעיפי_מאזן_בוחן_1" hidden="1">{"מזומנים",#N/A,FALSE,"מאזן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עמוד_אינדקס">#REF!</definedName>
    <definedName name="עמוד_פתיחה">#REF!</definedName>
    <definedName name="רווח_והפסד_ארהב">#REF!</definedName>
    <definedName name="רווח_והפסד_הגשה">#REF!</definedName>
    <definedName name="רווח_והפסד_ישראל">#REF!</definedName>
    <definedName name="רווח_והפסד_צרפת">#REF!</definedName>
    <definedName name="רווח_והפסד_קיימן">#REF!</definedName>
    <definedName name="תרמאזן">#REF!</definedName>
    <definedName name="ㄱ">#REF!</definedName>
    <definedName name="ㄱ_3">#REF!</definedName>
    <definedName name="ㄱ1">#REF!</definedName>
    <definedName name="ㄱㄱ" hidden="1">{#N/A,#N/A,FALSE,"UNIT";#N/A,#N/A,FALSE,"UNIT";#N/A,#N/A,FALSE,"계정"}</definedName>
    <definedName name="ㄱㄱㄱ" hidden="1">{#N/A,#N/A,FALSE,"UNIT";#N/A,#N/A,FALSE,"UNIT";#N/A,#N/A,FALSE,"계정"}</definedName>
    <definedName name="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ㄱㄱ" hidden="1">{#N/A,#N/A,FALSE,"UNIT";#N/A,#N/A,FALSE,"UNIT";#N/A,#N/A,FALSE,"계정"}</definedName>
    <definedName name="ㄱㄱㄱㄱㄱㄱ" hidden="1">#REF!</definedName>
    <definedName name="ㄱㄱㄱㄱ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ㄷㅈㄷㄱ" hidden="1">{#N/A,#N/A,FALSE,"손익표지";#N/A,#N/A,FALSE,"손익계산";#N/A,#N/A,FALSE,"일반관리비";#N/A,#N/A,FALSE,"영업외수익";#N/A,#N/A,FALSE,"영업외비용";#N/A,#N/A,FALSE,"매출액";#N/A,#N/A,FALSE,"요약손익";#N/A,#N/A,FALSE,"요약대차";#N/A,#N/A,FALSE,"매출채권현황";#N/A,#N/A,FALSE,"매출채권명세"}</definedName>
    <definedName name="ㄱㄷㅈㅅㅈㄷ" hidden="1">{#N/A,#N/A,FALSE,"손익표지";#N/A,#N/A,FALSE,"손익계산";#N/A,#N/A,FALSE,"일반관리비";#N/A,#N/A,FALSE,"영업외수익";#N/A,#N/A,FALSE,"영업외비용";#N/A,#N/A,FALSE,"매출액";#N/A,#N/A,FALSE,"요약손익";#N/A,#N/A,FALSE,"요약대차";#N/A,#N/A,FALSE,"매출채권현황";#N/A,#N/A,FALSE,"매출채권명세"}</definedName>
    <definedName name="ㄱㄹㄹㄹㄹㄹㄹ" hidden="1">{#N/A,#N/A,TRUE,"Y생산";#N/A,#N/A,TRUE,"Y판매";#N/A,#N/A,TRUE,"Y총물량";#N/A,#N/A,TRUE,"Y능력";#N/A,#N/A,TRUE,"YKD"}</definedName>
    <definedName name="ㄱㅇ" hidden="1">{#N/A,#N/A,FALSE,"단축1";#N/A,#N/A,FALSE,"단축2";#N/A,#N/A,FALSE,"단축3";#N/A,#N/A,FALSE,"장축";#N/A,#N/A,FALSE,"4WD"}</definedName>
    <definedName name="ㄱㅇㄴ" hidden="1">{#N/A,#N/A,FALSE,"손익표지";#N/A,#N/A,FALSE,"손익계산";#N/A,#N/A,FALSE,"일반관리비";#N/A,#N/A,FALSE,"영업외수익";#N/A,#N/A,FALSE,"영업외비용";#N/A,#N/A,FALSE,"매출액";#N/A,#N/A,FALSE,"요약손익";#N/A,#N/A,FALSE,"요약대차";#N/A,#N/A,FALSE,"매출채권현황";#N/A,#N/A,FALSE,"매출채권명세"}</definedName>
    <definedName name="ㄱㅇㅎ">#REF!</definedName>
    <definedName name="ㄱㅎ" hidden="1">{#N/A,#N/A,FALSE,"손익표지";#N/A,#N/A,FALSE,"손익계산";#N/A,#N/A,FALSE,"일반관리비";#N/A,#N/A,FALSE,"영업외수익";#N/A,#N/A,FALSE,"영업외비용";#N/A,#N/A,FALSE,"매출액";#N/A,#N/A,FALSE,"요약손익";#N/A,#N/A,FALSE,"요약대차";#N/A,#N/A,FALSE,"매출채권현황";#N/A,#N/A,FALSE,"매출채권명세"}</definedName>
    <definedName name="가">#REF!</definedName>
    <definedName name="가1" hidden="1">{#N/A,#N/A,TRUE,"Y생산";#N/A,#N/A,TRUE,"Y판매";#N/A,#N/A,TRUE,"Y총물량";#N/A,#N/A,TRUE,"Y능력";#N/A,#N/A,TRUE,"YKD"}</definedName>
    <definedName name="가가" hidden="1">{#N/A,#N/A,FALSE,"Sheet5"}</definedName>
    <definedName name="가각" hidden="1">{#N/A,#N/A,FALSE,"Sheet5"}</definedName>
    <definedName name="가결산" hidden="1">{#N/A,#N/A,TRUE,"Summary";#N/A,#N/A,TRUE,"IS";#N/A,#N/A,TRUE,"Adj";#N/A,#N/A,TRUE,"BS";#N/A,#N/A,TRUE,"CF";#N/A,#N/A,TRUE,"Debt";#N/A,#N/A,TRUE,"IRR"}</definedName>
    <definedName name="가나" hidden="1">#REF!</definedName>
    <definedName name="가나다">#REF!</definedName>
    <definedName name="가나다오" hidden="1">{#N/A,#N/A,FALSE,"정공"}</definedName>
    <definedName name="가람" hidden="1">#REF!</definedName>
    <definedName name="가미"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가미_3">#REF!</definedName>
    <definedName name="가아ㅓ라어" hidden="1">{#N/A,#N/A,FALSE,"초도품";#N/A,#N/A,FALSE,"초도품 (2)";#N/A,#N/A,FALSE,"초도품 (3)";#N/A,#N/A,FALSE,"초도품 (4)";#N/A,#N/A,FALSE,"초도품 (5)";#N/A,#N/A,FALSE,"초도품 (6)"}</definedName>
    <definedName name="가지급금" hidden="1">{#N/A,#N/A,FALSE,"Aging Summary";#N/A,#N/A,FALSE,"Ratio Analysis";#N/A,#N/A,FALSE,"Test 120 Day Accts";#N/A,#N/A,FALSE,"Tickmarks"}</definedName>
    <definedName name="각"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각_3">#REF!</definedName>
    <definedName name="간" hidden="1">{#N/A,#N/A,FALSE,"UNIT";#N/A,#N/A,FALSE,"UNIT";#N/A,#N/A,FALSE,"계정"}</definedName>
    <definedName name="감"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감_3">#REF!</definedName>
    <definedName name="감가" hidden="1">{"'통신지'!$A$1:$J$41"}</definedName>
    <definedName name="감가overall" hidden="1">{#N/A,#N/A,FALSE,"Aging Summary";#N/A,#N/A,FALSE,"Ratio Analysis";#N/A,#N/A,FALSE,"Test 120 Day Accts";#N/A,#N/A,FALSE,"Tickmarks"}</definedName>
    <definedName name="감가overall_3">#REF!</definedName>
    <definedName name="감가상" hidden="1">{"'통신지'!$A$1:$J$41"}</definedName>
    <definedName name="감가상각">#REF!</definedName>
    <definedName name="감가상각비">#REF!</definedName>
    <definedName name="감가상각비2" hidden="1">{#N/A,#N/A,FALSE,"Aging Summary";#N/A,#N/A,FALSE,"Ratio Analysis";#N/A,#N/A,FALSE,"Test 120 Day Accts";#N/A,#N/A,FALSE,"Tickmarks"}</definedName>
    <definedName name="감가상각비2_3">#REF!</definedName>
    <definedName name="감가상각재계산" hidden="1">{"'통신지'!$A$1:$J$41"}</definedName>
    <definedName name="감가상각재계산수정전" hidden="1">{"'통신지'!$A$1:$J$41"}</definedName>
    <definedName name="감가상갃ㄴ" hidden="1">{"'통신지'!$A$1:$J$41"}</definedName>
    <definedName name="감리조서2">BLCH</definedName>
    <definedName name="감사" hidden="1">{#N/A,#N/A,FALSE,"손익표지";#N/A,#N/A,FALSE,"손익계산";#N/A,#N/A,FALSE,"일반관리비";#N/A,#N/A,FALSE,"영업외수익";#N/A,#N/A,FALSE,"영업외비용";#N/A,#N/A,FALSE,"매출액";#N/A,#N/A,FALSE,"요약손익";#N/A,#N/A,FALSE,"요약대차";#N/A,#N/A,FALSE,"매출채권현황";#N/A,#N/A,FALSE,"매출채권명세"}</definedName>
    <definedName name="갔" hidden="1">{#N/A,#N/A,FALSE,"Sheet5"}</definedName>
    <definedName name="강" hidden="1">{#N/A,#N/A,FALSE,"Sheet5"}</definedName>
    <definedName name="강용" hidden="1">{"'Sheet1'!$A$1:$H$36"}</definedName>
    <definedName name="강원트래픽">#REF!</definedName>
    <definedName name="갤로" hidden="1">{#N/A,#N/A,FALSE,"정공"}</definedName>
    <definedName name="거래처명1">#REF!</definedName>
    <definedName name="거리도모" hidden="1">{#N/A,#N/A,FALSE,"BS";#N/A,#N/A,FALSE,"PL";#N/A,#N/A,FALSE,"처분";#N/A,#N/A,FALSE,"현금";#N/A,#N/A,FALSE,"매출";#N/A,#N/A,FALSE,"원가";#N/A,#N/A,FALSE,"경영"}</definedName>
    <definedName name="건">{"'손익현황'!$A$1:$J$29"}</definedName>
    <definedName name="건가_개발비">#REF!</definedName>
    <definedName name="건물">{"'손익현황'!$A$1:$J$29"}</definedName>
    <definedName name="건물2">#REF!</definedName>
    <definedName name="건물임.">{"'손익현황'!$A$1:$J$29"}</definedName>
    <definedName name="건설">{"'표지'!$B$5"}</definedName>
    <definedName name="건임">{"'손익현황'!$A$1:$J$29"}</definedName>
    <definedName name="검사공정">#REF!</definedName>
    <definedName name="결산">37802</definedName>
    <definedName name="결산일">"2003년12월31일"</definedName>
    <definedName name="결손금">#REF!</definedName>
    <definedName name="결영" hidden="1">{#N/A,#N/A,FALSE,"P.C.B"}</definedName>
    <definedName name="경남은행">#REF!</definedName>
    <definedName name="경리" hidden="1">{#N/A,#N/A,FALSE,"P.C.B"}</definedName>
    <definedName name="경리손익" hidden="1">{#N/A,#N/A,FALSE,"정공"}</definedName>
    <definedName name="경비실적" hidden="1">{#N/A,#N/A,FALSE,"정공"}</definedName>
    <definedName name="경비예산">#REF!,#REF!</definedName>
    <definedName name="경영" hidden="1">{"'Sheet1'!$A$1:$H$36"}</definedName>
    <definedName name="경영지원부문">#REF!</definedName>
    <definedName name="경영지표2" hidden="1">#REF!</definedName>
    <definedName name="경주" hidden="1">{#N/A,#N/A,FALSE,"손익표지";#N/A,#N/A,FALSE,"손익계산";#N/A,#N/A,FALSE,"일반관리비";#N/A,#N/A,FALSE,"영업외수익";#N/A,#N/A,FALSE,"영업외비용";#N/A,#N/A,FALSE,"매출액";#N/A,#N/A,FALSE,"요약손익";#N/A,#N/A,FALSE,"요약대차";#N/A,#N/A,FALSE,"매출채권현황";#N/A,#N/A,FALSE,"매출채권명세"}</definedName>
    <definedName name="계">#REF!</definedName>
    <definedName name="계량기재료비분석" hidden="1">{#N/A,#N/A,FALSE,"UNIT";#N/A,#N/A,FALSE,"UNIT";#N/A,#N/A,FALSE,"계정"}</definedName>
    <definedName name="계산근거용" hidden="1">{#N/A,#N/A,FALSE,"KMC최종회의(7월) 자료"}</definedName>
    <definedName name="계정">#REF!</definedName>
    <definedName name="계정1">#REF!</definedName>
    <definedName name="계정11">#REF!</definedName>
    <definedName name="계정2">#REF!</definedName>
    <definedName name="계정3">#REF!</definedName>
    <definedName name="계정4">#REF!</definedName>
    <definedName name="계정과목">#REF!</definedName>
    <definedName name="계정명세서" hidden="1">{#N/A,#N/A,FALSE,"Sheet5"}</definedName>
    <definedName name="계정코드">#REF!</definedName>
    <definedName name="계획" hidden="1">{#N/A,#N/A,FALSE,"UNIT";#N/A,#N/A,FALSE,"UNIT";#N/A,#N/A,FALSE,"계정"}</definedName>
    <definedName name="계획1" hidden="1">{#N/A,#N/A,FALSE,"UNIT";#N/A,#N/A,FALSE,"UNIT";#N/A,#N/A,FALSE,"계정"}</definedName>
    <definedName name="계획2" hidden="1">{#N/A,#N/A,FALSE,"정공"}</definedName>
    <definedName name="고객베네핏">#REF!</definedName>
    <definedName name="고정광고비">#REF!</definedName>
    <definedName name="고정이하">#REF!</definedName>
    <definedName name="고처분">#REF!</definedName>
    <definedName name="골라인쇄">#REF!</definedName>
    <definedName name="공">{"'손익현황'!$A$1:$J$29"}</definedName>
    <definedName name="공구">{"'손익현황'!$A$1:$J$29"}</definedName>
    <definedName name="공구기구">{"'손익현황'!$A$1:$J$29"}</definedName>
    <definedName name="공비">#REF!</definedName>
    <definedName name="공사일정복" hidden="1">{#N/A,#N/A,FALSE,"표지";#N/A,#N/A,FALSE,"주요지표";#N/A,#N/A,FALSE,"고장현황(시간)";#N/A,#N/A,FALSE,"고장현황(1제강)"}</definedName>
    <definedName name="공수투입" hidden="1">{#N/A,#N/A,FALSE,"정공"}</definedName>
    <definedName name="공장">#REF!</definedName>
    <definedName name="공장별">#REF!,#REF!,#REF!,#REF!</definedName>
    <definedName name="공정별">{"'Sheet1'!$A$1:$H$36"}</definedName>
    <definedName name="공통광고비">#REF!</definedName>
    <definedName name="공헌이익기준손익계산서" hidden="1">{#N/A,#N/A,FALSE,"손익표지";#N/A,#N/A,FALSE,"손익계산";#N/A,#N/A,FALSE,"일반관리비";#N/A,#N/A,FALSE,"영업외수익";#N/A,#N/A,FALSE,"영업외비용";#N/A,#N/A,FALSE,"매출액";#N/A,#N/A,FALSE,"요약손익";#N/A,#N/A,FALSE,"요약대차";#N/A,#N/A,FALSE,"매출채권현황";#N/A,#N/A,FALSE,"매출채권명세"}</definedName>
    <definedName name="과금서버">#REF!</definedName>
    <definedName name="과금소프트">#REF!</definedName>
    <definedName name="과세제외" hidden="1">{#N/A,#N/A,FALSE,"세무양식01";#N/A,#N/A,FALSE,"세무양식02";#N/A,#N/A,FALSE,"세무양식03"}</definedName>
    <definedName name="과정">#REF!</definedName>
    <definedName name="곽">#REF!</definedName>
    <definedName name="곽윤식" hidden="1">{#N/A,#N/A,FALSE,"Sheet5"}</definedName>
    <definedName name="관리지표" hidden="1">{#N/A,#N/A,FALSE,"P.C.B"}</definedName>
    <definedName name="관세">#REF!</definedName>
    <definedName name="관할세무서지">#REF!</definedName>
    <definedName name="광">#REF!</definedName>
    <definedName name="광고선전비">#REF!</definedName>
    <definedName name="광고수수료">#REF!</definedName>
    <definedName name="광고원가명세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광주공장" hidden="1">#REF!</definedName>
    <definedName name="괜찮아" hidden="1">{#N/A,#N/A,FALSE,"손익표지";#N/A,#N/A,FALSE,"손익계산";#N/A,#N/A,FALSE,"일반관리비";#N/A,#N/A,FALSE,"영업외수익";#N/A,#N/A,FALSE,"영업외비용";#N/A,#N/A,FALSE,"매출액";#N/A,#N/A,FALSE,"요약손익";#N/A,#N/A,FALSE,"요약대차";#N/A,#N/A,FALSE,"매출채권현황";#N/A,#N/A,FALSE,"매출채권명세"}</definedName>
    <definedName name="교육" hidden="1">{#N/A,#N/A,FALSE,"손익표지";#N/A,#N/A,FALSE,"손익계산";#N/A,#N/A,FALSE,"일반관리비";#N/A,#N/A,FALSE,"영업외수익";#N/A,#N/A,FALSE,"영업외비용";#N/A,#N/A,FALSE,"매출액";#N/A,#N/A,FALSE,"요약손익";#N/A,#N/A,FALSE,"요약대차";#N/A,#N/A,FALSE,"매출채권현황";#N/A,#N/A,FALSE,"매출채권명세"}</definedName>
    <definedName name="교육세" hidden="1">{#N/A,#N/A,FALSE,"세무양식01";#N/A,#N/A,FALSE,"세무양식02";#N/A,#N/A,FALSE,"세무양식03"}</definedName>
    <definedName name="교육훈련">#REF!</definedName>
    <definedName name="구">{"'손익현황'!$A$1:$J$29"}</definedName>
    <definedName name="구기지국명별">#REF!</definedName>
    <definedName name="구매">#REF!</definedName>
    <definedName name="구매부문" hidden="1">{#N/A,#N/A,FALSE,"손익표지";#N/A,#N/A,FALSE,"손익계산";#N/A,#N/A,FALSE,"일반관리비";#N/A,#N/A,FALSE,"영업외수익";#N/A,#N/A,FALSE,"영업외비용";#N/A,#N/A,FALSE,"매출액";#N/A,#N/A,FALSE,"요약손익";#N/A,#N/A,FALSE,"요약대차";#N/A,#N/A,FALSE,"매출채권현황";#N/A,#N/A,FALSE,"매출채권명세"}</definedName>
    <definedName name="구매부품TOT" hidden="1">{#N/A,#N/A,FALSE,"Aging Summary";#N/A,#N/A,FALSE,"Ratio Analysis";#N/A,#N/A,FALSE,"Test 120 Day Accts";#N/A,#N/A,FALSE,"Tickmarks"}</definedName>
    <definedName name="구매부품TOT_3">#REF!</definedName>
    <definedName name="구미" hidden="1">{#N/A,#N/A,FALSE,"손익표지";#N/A,#N/A,FALSE,"손익계산";#N/A,#N/A,FALSE,"일반관리비";#N/A,#N/A,FALSE,"영업외수익";#N/A,#N/A,FALSE,"영업외비용";#N/A,#N/A,FALSE,"매출액";#N/A,#N/A,FALSE,"요약손익";#N/A,#N/A,FALSE,"요약대차";#N/A,#N/A,FALSE,"매출채권현황";#N/A,#N/A,FALSE,"매출채권명세"}</definedName>
    <definedName name="구분">#REF!</definedName>
    <definedName name="구축물">{"'손익현황'!$A$1:$J$29"}</definedName>
    <definedName name="구축물임">{"'손익현황'!$A$1:$J$29"}</definedName>
    <definedName name="구축본부" hidden="1">{#N/A,#N/A,FALSE,"3가";#N/A,#N/A,FALSE,"3나";#N/A,#N/A,FALSE,"3다"}</definedName>
    <definedName name="구축본부_3">#REF!</definedName>
    <definedName name="국_내_매_출">#REF!</definedName>
    <definedName name="국내SAP2">{"'표지'!$B$5"}</definedName>
    <definedName name="국문2" hidden="1">{#N/A,#N/A,FALSE,"BS";#N/A,#N/A,FALSE,"PL";#N/A,#N/A,FALSE,"처분";#N/A,#N/A,FALSE,"현금";#N/A,#N/A,FALSE,"매출";#N/A,#N/A,FALSE,"원가";#N/A,#N/A,FALSE,"경영"}</definedName>
    <definedName name="국문3" hidden="1">{#N/A,#N/A,FALSE,"BS";#N/A,#N/A,FALSE,"PL";#N/A,#N/A,FALSE,"A";#N/A,#N/A,FALSE,"B";#N/A,#N/A,FALSE,"B1";#N/A,#N/A,FALSE,"C";#N/A,#N/A,FALSE,"C1";#N/A,#N/A,FALSE,"C2";#N/A,#N/A,FALSE,"D";#N/A,#N/A,FALSE,"E";#N/A,#N/A,FALSE,"F";#N/A,#N/A,FALSE,"AA";#N/A,#N/A,FALSE,"BB";#N/A,#N/A,FALSE,"CC";#N/A,#N/A,FALSE,"DD";#N/A,#N/A,FALSE,"EE";#N/A,#N/A,FALSE,"FF";#N/A,#N/A,FALSE,"PL10";#N/A,#N/A,FALSE,"PL20";#N/A,#N/A,FALSE,"PL30"}</definedName>
    <definedName name="국민연금전환금">#REF!</definedName>
    <definedName name="국산화">#REF!,#REF!</definedName>
    <definedName name="국소수_서울">#REF!</definedName>
    <definedName name="국순당">#REF!</definedName>
    <definedName name="국제" hidden="1">{#N/A,#N/A,FALSE,"손익표지";#N/A,#N/A,FALSE,"손익계산";#N/A,#N/A,FALSE,"일반관리비";#N/A,#N/A,FALSE,"영업외수익";#N/A,#N/A,FALSE,"영업외비용";#N/A,#N/A,FALSE,"매출액";#N/A,#N/A,FALSE,"요약손익";#N/A,#N/A,FALSE,"요약대차";#N/A,#N/A,FALSE,"매출채권현황";#N/A,#N/A,FALSE,"매출채권명세"}</definedName>
    <definedName name="국제거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국제거래_3">#REF!</definedName>
    <definedName name="국제선" hidden="1">{#N/A,#N/A,FALSE,"손익표지";#N/A,#N/A,FALSE,"손익계산";#N/A,#N/A,FALSE,"일반관리비";#N/A,#N/A,FALSE,"영업외수익";#N/A,#N/A,FALSE,"영업외비용";#N/A,#N/A,FALSE,"매출액";#N/A,#N/A,FALSE,"요약손익";#N/A,#N/A,FALSE,"요약대차";#N/A,#N/A,FALSE,"매출채권현황";#N/A,#N/A,FALSE,"매출채권명세"}</definedName>
    <definedName name="군">#REF!</definedName>
    <definedName name="군매출">#REF!</definedName>
    <definedName name="군이자">#REF!</definedName>
    <definedName name="군인원">#REF!</definedName>
    <definedName name="군포감가">#REF!</definedName>
    <definedName name="군포매출">#REF!</definedName>
    <definedName name="군포배부">#REF!</definedName>
    <definedName name="군포부품이자">#REF!</definedName>
    <definedName name="군포인원">#REF!</definedName>
    <definedName name="규" hidden="1">{#N/A,#N/A,FALSE,"손익표지";#N/A,#N/A,FALSE,"손익계산";#N/A,#N/A,FALSE,"일반관리비";#N/A,#N/A,FALSE,"영업외수익";#N/A,#N/A,FALSE,"영업외비용";#N/A,#N/A,FALSE,"매출액";#N/A,#N/A,FALSE,"요약손익";#N/A,#N/A,FALSE,"요약대차";#N/A,#N/A,FALSE,"매출채권현황";#N/A,#N/A,FALSE,"매출채권명세"}</definedName>
    <definedName name="규남이"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규남이_3">#REF!</definedName>
    <definedName name="그래도모도소" hidden="1">{#N/A,#N/A,FALSE,"BS";#N/A,#N/A,FALSE,"PL";#N/A,#N/A,FALSE,"처분";#N/A,#N/A,FALSE,"현금";#N/A,#N/A,FALSE,"매출";#N/A,#N/A,FALSE,"원가";#N/A,#N/A,FALSE,"경영"}</definedName>
    <definedName name="그래도뭐" hidden="1">{#N/A,#N/A,FALSE,"BS";#N/A,#N/A,FALSE,"PL";#N/A,#N/A,FALSE,"처분";#N/A,#N/A,FALSE,"현금";#N/A,#N/A,FALSE,"매출";#N/A,#N/A,FALSE,"원가";#N/A,#N/A,FALSE,"경영"}</definedName>
    <definedName name="그래도요" hidden="1">{#N/A,#N/A,FALSE,"BS";#N/A,#N/A,FALSE,"PL";#N/A,#N/A,FALSE,"처분";#N/A,#N/A,FALSE,"현금";#N/A,#N/A,FALSE,"매출";#N/A,#N/A,FALSE,"원가";#N/A,#N/A,FALSE,"경영"}</definedName>
    <definedName name="그래드">#REF!</definedName>
    <definedName name="그리도무지" hidden="1">{#N/A,#N/A,FALSE,"BS";#N/A,#N/A,FALSE,"PL";#N/A,#N/A,FALSE,"처분";#N/A,#N/A,FALSE,"현금";#N/A,#N/A,FALSE,"매출";#N/A,#N/A,FALSE,"원가";#N/A,#N/A,FALSE,"경영"}</definedName>
    <definedName name="그리움" hidden="1">{#N/A,#N/A,FALSE,"Sheet5"}</definedName>
    <definedName name="금월" hidden="1">{#N/A,#N/A,TRUE,"Y생산";#N/A,#N/A,TRUE,"Y판매";#N/A,#N/A,TRUE,"Y총물량";#N/A,#N/A,TRUE,"Y능력";#N/A,#N/A,TRUE,"YKD"}</definedName>
    <definedName name="금융미수잔존외화">#REF!</definedName>
    <definedName name="금융미수잔존원화">#REF!</definedName>
    <definedName name="금융선수잔존외화">#REF!</definedName>
    <definedName name="금융선수잔존원화">#REF!</definedName>
    <definedName name="급여">#REF!</definedName>
    <definedName name="급여1" hidden="1">#REF!</definedName>
    <definedName name="기_01">#REF!,#REF!</definedName>
    <definedName name="기_02">#REF!,#REF!</definedName>
    <definedName name="기_03">#REF!,#REF!</definedName>
    <definedName name="기_04">#REF!,#REF!</definedName>
    <definedName name="기_05">#REF!,#REF!</definedName>
    <definedName name="기_06">#REF!,#REF!</definedName>
    <definedName name="기_07">#REF!,#REF!</definedName>
    <definedName name="기_08">#REF!,#REF!</definedName>
    <definedName name="기_09">#REF!,#REF!</definedName>
    <definedName name="기_10">#REF!,#REF!</definedName>
    <definedName name="기_11">#REF!,#REF!</definedName>
    <definedName name="기_12">#REF!,#REF!</definedName>
    <definedName name="기_13">#REF!,#REF!</definedName>
    <definedName name="기_14">#REF!,#REF!</definedName>
    <definedName name="기_60">#REF!,#REF!</definedName>
    <definedName name="기_총">#REF!,#REF!</definedName>
    <definedName name="기간보정분_외화">#REF!</definedName>
    <definedName name="기간보정분_원화">#REF!</definedName>
    <definedName name="기계" hidden="1">#REF!</definedName>
    <definedName name="기계장치">{"'손익현황'!$A$1:$J$29"}</definedName>
    <definedName name="기계장치2" hidden="1">{#N/A,#N/A,FALSE,"UNIT";#N/A,#N/A,FALSE,"UNIT";#N/A,#N/A,FALSE,"계정"}</definedName>
    <definedName name="기계평수">#REF!</definedName>
    <definedName name="기계필요평수">#REF!</definedName>
    <definedName name="기구">#REF!</definedName>
    <definedName name="기기" hidden="1">{#N/A,#N/A,FALSE,"UNIT";#N/A,#N/A,FALSE,"UNIT";#N/A,#N/A,FALSE,"계정"}</definedName>
    <definedName name="기기투자리스트" hidden="1">{#N/A,#N/A,FALSE,"UNIT";#N/A,#N/A,FALSE,"UNIT";#N/A,#N/A,FALSE,"계정"}</definedName>
    <definedName name="기말">#REF!</definedName>
    <definedName name="기말중점검토">#REF!</definedName>
    <definedName name="기번">#REF!</definedName>
    <definedName name="기부금">#REF!</definedName>
    <definedName name="기부금기본화면">#REF!</definedName>
    <definedName name="기성" hidden="1">{#N/A,#N/A,FALSE,"손익표지";#N/A,#N/A,FALSE,"손익계산";#N/A,#N/A,FALSE,"일반관리비";#N/A,#N/A,FALSE,"영업외수익";#N/A,#N/A,FALSE,"영업외비용";#N/A,#N/A,FALSE,"매출액";#N/A,#N/A,FALSE,"요약손익";#N/A,#N/A,FALSE,"요약대차";#N/A,#N/A,FALSE,"매출채권현황";#N/A,#N/A,FALSE,"매출채권명세"}</definedName>
    <definedName name="기성분" hidden="1">{#N/A,#N/A,FALSE,"손익표지";#N/A,#N/A,FALSE,"손익계산";#N/A,#N/A,FALSE,"일반관리비";#N/A,#N/A,FALSE,"영업외수익";#N/A,#N/A,FALSE,"영업외비용";#N/A,#N/A,FALSE,"매출액";#N/A,#N/A,FALSE,"요약손익";#N/A,#N/A,FALSE,"요약대차";#N/A,#N/A,FALSE,"매출채권현황";#N/A,#N/A,FALSE,"매출채권명세"}</definedName>
    <definedName name="기성분1" hidden="1">{#N/A,#N/A,FALSE,"손익표지";#N/A,#N/A,FALSE,"손익계산";#N/A,#N/A,FALSE,"일반관리비";#N/A,#N/A,FALSE,"영업외수익";#N/A,#N/A,FALSE,"영업외비용";#N/A,#N/A,FALSE,"매출액";#N/A,#N/A,FALSE,"요약손익";#N/A,#N/A,FALSE,"요약대차";#N/A,#N/A,FALSE,"매출채권현황";#N/A,#N/A,FALSE,"매출채권명세"}</definedName>
    <definedName name="기아모텍" hidden="1">{#N/A,#N/A,FALSE,"정공"}</definedName>
    <definedName name="기아전자" hidden="1">{#N/A,#N/A,FALSE,"정공"}</definedName>
    <definedName name="기업자유_5103">#REF!</definedName>
    <definedName name="기업투자">#REF!</definedName>
    <definedName name="기존" hidden="1">{#N/A,#N/A,FALSE,"UNIT";#N/A,#N/A,FALSE,"UNIT";#N/A,#N/A,FALSE,"계정"}</definedName>
    <definedName name="기준">#REF!</definedName>
    <definedName name="기준시점">#REF!</definedName>
    <definedName name="기준일">#REF!</definedName>
    <definedName name="기준차이조정" hidden="1">{"'손익현황'!$A$1:$J$29"}</definedName>
    <definedName name="기초">#REF!</definedName>
    <definedName name="기타수수료" hidden="1">{#N/A,#N/A,FALSE,"세무양식01";#N/A,#N/A,FALSE,"세무양식02";#N/A,#N/A,FALSE,"세무양식03"}</definedName>
    <definedName name="기획">#REF!</definedName>
    <definedName name="김" hidden="1">{#N/A,#N/A,FALSE,"Aging Summary";#N/A,#N/A,FALSE,"Ratio Analysis";#N/A,#N/A,FALSE,"Test 120 Day Accts";#N/A,#N/A,FALSE,"Tickmarks"}</definedName>
    <definedName name="김_3">#REF!</definedName>
    <definedName name="김권두" hidden="1">{#N/A,#N/A,FALSE,"Sheet5"}</definedName>
    <definedName name="김권수" hidden="1">{#N/A,#N/A,FALSE,"Sheet5"}</definedName>
    <definedName name="김대업" hidden="1">{#N/A,#N/A,FALSE,"기술료 비교"}</definedName>
    <definedName name="김도형" hidden="1">{#N/A,#N/A,FALSE,"Sheet5"}</definedName>
    <definedName name="김민석">#REF!</definedName>
    <definedName name="김선" hidden="1">{#N/A,#N/A,FALSE,"손익표지";#N/A,#N/A,FALSE,"손익계산";#N/A,#N/A,FALSE,"일반관리비";#N/A,#N/A,FALSE,"영업외수익";#N/A,#N/A,FALSE,"영업외비용";#N/A,#N/A,FALSE,"매출액";#N/A,#N/A,FALSE,"요약손익";#N/A,#N/A,FALSE,"요약대차";#N/A,#N/A,FALSE,"매출채권현황";#N/A,#N/A,FALSE,"매출채권명세"}</definedName>
    <definedName name="김영철" hidden="1">{#N/A,#N/A,FALSE,"손익표지";#N/A,#N/A,FALSE,"손익계산";#N/A,#N/A,FALSE,"일반관리비";#N/A,#N/A,FALSE,"영업외수익";#N/A,#N/A,FALSE,"영업외비용";#N/A,#N/A,FALSE,"매출액";#N/A,#N/A,FALSE,"요약손익";#N/A,#N/A,FALSE,"요약대차";#N/A,#N/A,FALSE,"매출채권현황";#N/A,#N/A,FALSE,"매출채권명세"}</definedName>
    <definedName name="김종묵" hidden="1">{#N/A,#N/A,FALSE,"기술료 비교"}</definedName>
    <definedName name="김종신">{"'Sheet1'!$A$1:$H$36"}</definedName>
    <definedName name="김지은" hidden="1">{#N/A,#N/A,FALSE,"세무양식01";#N/A,#N/A,FALSE,"세무양식02";#N/A,#N/A,FALSE,"세무양식03"}</definedName>
    <definedName name="김춘진" hidden="1">{#N/A,#N/A,FALSE,"Sheet5"}</definedName>
    <definedName name="김현영" hidden="1">{#N/A,#N/A,FALSE,"Sheet5"}</definedName>
    <definedName name="김희란">{"'Sheet1'!$A$1:$H$36"}</definedName>
    <definedName name="ㄲ">#REF!</definedName>
    <definedName name="ㄳㄱ" hidden="1">{#N/A,#N/A,FALSE,"Aging Summary";#N/A,#N/A,FALSE,"Ratio Analysis";#N/A,#N/A,FALSE,"Test 120 Day Accts";#N/A,#N/A,FALSE,"Tickmarks"}</definedName>
    <definedName name="ㄳㄱ_3">#REF!</definedName>
    <definedName name="ㄴ">#REF!</definedName>
    <definedName name="ㄴ_3">#REF!</definedName>
    <definedName name="ㄴㄴ">{"'표지'!$B$5"}</definedName>
    <definedName name="ㄴㄴㄴ" hidden="1">{#N/A,#N/A,FALSE,"BS";#N/A,#N/A,FALSE,"PL";#N/A,#N/A,FALSE,"처분";#N/A,#N/A,FALSE,"현금";#N/A,#N/A,FALSE,"매출";#N/A,#N/A,FALSE,"원가";#N/A,#N/A,FALSE,"경영"}</definedName>
    <definedName name="ㄴㄴㄴㄴ" hidden="1">{#N/A,#N/A,FALSE,"UNIT";#N/A,#N/A,FALSE,"UNIT";#N/A,#N/A,FALSE,"계정"}</definedName>
    <definedName name="ㄴㄴㄴㄴㄴㄴㄴㄴ" hidden="1">{"'손익현황'!$A$1:$J$29"}</definedName>
    <definedName name="ㄴㄹㅇ" hidden="1">{#N/A,#N/A,FALSE,"Aging Summary";#N/A,#N/A,FALSE,"Ratio Analysis";#N/A,#N/A,FALSE,"Test 120 Day Accts";#N/A,#N/A,FALSE,"Tickmarks"}</definedName>
    <definedName name="ㄴㄹㅇ_3">#REF!</definedName>
    <definedName name="ㄴㄹㅇㅎㅇㄴ" hidden="1">{#N/A,#N/A,FALSE,"손익표지";#N/A,#N/A,FALSE,"손익계산";#N/A,#N/A,FALSE,"일반관리비";#N/A,#N/A,FALSE,"영업외수익";#N/A,#N/A,FALSE,"영업외비용";#N/A,#N/A,FALSE,"매출액";#N/A,#N/A,FALSE,"요약손익";#N/A,#N/A,FALSE,"요약대차";#N/A,#N/A,FALSE,"매출채권현황";#N/A,#N/A,FALSE,"매출채권명세"}</definedName>
    <definedName name="ㄴㄻㄴㄹ" hidden="1">#REF!</definedName>
    <definedName name="ㄴㄻㅇ">{"'표지'!$B$5"}</definedName>
    <definedName name="ㄴㅁㅇ" hidden="1">{#N/A,#N/A,FALSE,"BS";#N/A,#N/A,FALSE,"PL";#N/A,#N/A,FALSE,"A";#N/A,#N/A,FALSE,"B";#N/A,#N/A,FALSE,"B1";#N/A,#N/A,FALSE,"C";#N/A,#N/A,FALSE,"C1";#N/A,#N/A,FALSE,"C2";#N/A,#N/A,FALSE,"D";#N/A,#N/A,FALSE,"E";#N/A,#N/A,FALSE,"F";#N/A,#N/A,FALSE,"AA";#N/A,#N/A,FALSE,"BB";#N/A,#N/A,FALSE,"CC";#N/A,#N/A,FALSE,"DD";#N/A,#N/A,FALSE,"EE";#N/A,#N/A,FALSE,"FF";#N/A,#N/A,FALSE,"PL10";#N/A,#N/A,FALSE,"PL20";#N/A,#N/A,FALSE,"PL30"}</definedName>
    <definedName name="ㄴㅇ"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_3">#REF!</definedName>
    <definedName name="ㄴㅇㄹ" hidden="1">{#N/A,#N/A,FALSE,"3가";#N/A,#N/A,FALSE,"3나";#N/A,#N/A,FALSE,"3다"}</definedName>
    <definedName name="ㄴㅇㄹ_3">#REF!</definedName>
    <definedName name="ㄴㅇㄹㄴㅇㄹ" hidden="1">{#N/A,#N/A,FALSE,"손익표지";#N/A,#N/A,FALSE,"손익계산";#N/A,#N/A,FALSE,"일반관리비";#N/A,#N/A,FALSE,"영업외수익";#N/A,#N/A,FALSE,"영업외비용";#N/A,#N/A,FALSE,"매출액";#N/A,#N/A,FALSE,"요약손익";#N/A,#N/A,FALSE,"요약대차";#N/A,#N/A,FALSE,"매출채권현황";#N/A,#N/A,FALSE,"매출채권명세"}</definedName>
    <definedName name="ㄴㅇㄹㄻ">{"'표지'!$B$5"}</definedName>
    <definedName name="ㄴㅇㄻㄴㅇㄻ" hidden="1">{#N/A,#N/A,FALSE,"손익표지";#N/A,#N/A,FALSE,"손익계산";#N/A,#N/A,FALSE,"일반관리비";#N/A,#N/A,FALSE,"영업외수익";#N/A,#N/A,FALSE,"영업외비용";#N/A,#N/A,FALSE,"매출액";#N/A,#N/A,FALSE,"요약손익";#N/A,#N/A,FALSE,"요약대차";#N/A,#N/A,FALSE,"매출채권현황";#N/A,#N/A,FALSE,"매출채권명세"}</definedName>
    <definedName name="ㄴㅇㅀㅁㅇㅎㄴㅇㅁㅀㅇㅀㄴㅇㅀ" hidden="1">{#N/A,#N/A,FALSE,"정공"}</definedName>
    <definedName name="ㄴㅇㅇㄴㄹ" hidden="1">{#N/A,#N/A,FALSE,"BS";#N/A,#N/A,FALSE,"PL";#N/A,#N/A,FALSE,"처분";#N/A,#N/A,FALSE,"현금";#N/A,#N/A,FALSE,"매출";#N/A,#N/A,FALSE,"원가";#N/A,#N/A,FALSE,"경영"}</definedName>
    <definedName name="나" hidden="1">{#N/A,#N/A,FALSE,"Aging Summary";#N/A,#N/A,FALSE,"Ratio Analysis";#N/A,#N/A,FALSE,"Test 120 Day Accts";#N/A,#N/A,FALSE,"Tickmarks"}</definedName>
    <definedName name="나_3">#REF!</definedName>
    <definedName name="나나" hidden="1">{#N/A,#N/A,FALSE,"Sheet5"}</definedName>
    <definedName name="나라사랑" hidden="1">{#N/A,#N/A,FALSE,"정공"}</definedName>
    <definedName name="나리" hidden="1">{#N/A,#N/A,FALSE,"P.C.B"}</definedName>
    <definedName name="나무라오" hidden="1">{#N/A,#N/A,FALSE,"정공"}</definedName>
    <definedName name="난" hidden="1">{#N/A,#N/A,FALSE,"BS";#N/A,#N/A,FALSE,"PL";#N/A,#N/A,FALSE,"처분";#N/A,#N/A,FALSE,"현금";#N/A,#N/A,FALSE,"매출";#N/A,#N/A,FALSE,"원가";#N/A,#N/A,FALSE,"경영"}</definedName>
    <definedName name="남" hidden="1">{#N/A,#N/A,FALSE,"Sheet5"}</definedName>
    <definedName name="남미영"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남의나라" hidden="1">{#N/A,#N/A,FALSE,"정공"}</definedName>
    <definedName name="납회">#REF!</definedName>
    <definedName name="내선번호">#REF!</definedName>
    <definedName name="냉공수지" hidden="1">#REF!</definedName>
    <definedName name="너" hidden="1">{#N/A,#N/A,FALSE,"손익표지";#N/A,#N/A,FALSE,"손익계산";#N/A,#N/A,FALSE,"일반관리비";#N/A,#N/A,FALSE,"영업외수익";#N/A,#N/A,FALSE,"영업외비용";#N/A,#N/A,FALSE,"매출액";#N/A,#N/A,FALSE,"요약손익";#N/A,#N/A,FALSE,"요약대차";#N/A,#N/A,FALSE,"매출채권현황";#N/A,#N/A,FALSE,"매출채권명세"}</definedName>
    <definedName name="네" hidden="1">{#N/A,#N/A,FALSE,"Sheet5"}</definedName>
    <definedName name="노재현" hidden="1">{#N/A,#N/A,FALSE,"Sheet5"}</definedName>
    <definedName name="누" hidden="1">{#N/A,#N/A,FALSE,"Sheet5"}</definedName>
    <definedName name="누계매출" hidden="1">{#N/A,#N/A,FALSE,"표지&amp;목차";#N/A,#N/A,FALSE,"경영현황";#N/A,#N/A,FALSE,"매출현황";#N/A,#N/A,FALSE,"매출차이분석(양식)";#N/A,#N/A,FALSE,"손익현황";#N/A,#N/A,FALSE,"손익차이분석";#N/A,#N/A,FALSE,"제품별손익";#N/A,#N/A,FALSE,"재공재고";#N/A,#N/A,FALSE,"원가추이"}</definedName>
    <definedName name="뉴">{"'Sheet1'!$A$1:$H$36"}</definedName>
    <definedName name="뉴셀" hidden="1">{#N/A,#N/A,FALSE,"손익표지";#N/A,#N/A,FALSE,"손익계산";#N/A,#N/A,FALSE,"일반관리비";#N/A,#N/A,FALSE,"영업외수익";#N/A,#N/A,FALSE,"영업외비용";#N/A,#N/A,FALSE,"매출액";#N/A,#N/A,FALSE,"요약손익";#N/A,#N/A,FALSE,"요약대차";#N/A,#N/A,FALSE,"매출채권현황";#N/A,#N/A,FALSE,"매출채권명세"}</definedName>
    <definedName name="는" hidden="1">{#N/A,#N/A,FALSE,"손익표지";#N/A,#N/A,FALSE,"손익계산";#N/A,#N/A,FALSE,"일반관리비";#N/A,#N/A,FALSE,"영업외수익";#N/A,#N/A,FALSE,"영업외비용";#N/A,#N/A,FALSE,"매출액";#N/A,#N/A,FALSE,"요약손익";#N/A,#N/A,FALSE,"요약대차";#N/A,#N/A,FALSE,"매출채권현황";#N/A,#N/A,FALSE,"매출채권명세"}</definedName>
    <definedName name="니">{"'표지'!$B$5"}</definedName>
    <definedName name="니아ㅓㄹ" hidden="1">{#N/A,#N/A,FALSE,"손익표지";#N/A,#N/A,FALSE,"손익계산";#N/A,#N/A,FALSE,"일반관리비";#N/A,#N/A,FALSE,"영업외수익";#N/A,#N/A,FALSE,"영업외비용";#N/A,#N/A,FALSE,"매출액";#N/A,#N/A,FALSE,"요약손익";#N/A,#N/A,FALSE,"요약대차";#N/A,#N/A,FALSE,"매출채권현황";#N/A,#N/A,FALSE,"매출채권명세"}</definedName>
    <definedName name="닣" hidden="1">#REF!</definedName>
    <definedName name="ㄷ">#REF!</definedName>
    <definedName name="ㄷ_3">#REF!</definedName>
    <definedName name="ㄷ98">#REF!</definedName>
    <definedName name="ㄷㄷ">#REF!</definedName>
    <definedName name="ㄷㄷ_3">#REF!</definedName>
    <definedName name="ㄷㄷㄷ">{"'표지'!$B$5"}</definedName>
    <definedName name="ㄷㄷㄷㄷ">{"'Sheet1'!$A$1:$H$36"}</definedName>
    <definedName name="ㄷㄷㄷㄷㄷ">{"'Sheet1'!$A$1:$H$36"}</definedName>
    <definedName name="ㄷㅈ" hidden="1">#REF!</definedName>
    <definedName name="ㄷㅈㄱㅈ" hidden="1">{#N/A,#N/A,FALSE,"손익표지";#N/A,#N/A,FALSE,"손익계산";#N/A,#N/A,FALSE,"일반관리비";#N/A,#N/A,FALSE,"영업외수익";#N/A,#N/A,FALSE,"영업외비용";#N/A,#N/A,FALSE,"매출액";#N/A,#N/A,FALSE,"요약손익";#N/A,#N/A,FALSE,"요약대차";#N/A,#N/A,FALSE,"매출채권현황";#N/A,#N/A,FALSE,"매출채권명세"}</definedName>
    <definedName name="ㄷㅈㄱㅈㄱ" hidden="1">{#N/A,#N/A,FALSE,"손익표지";#N/A,#N/A,FALSE,"손익계산";#N/A,#N/A,FALSE,"일반관리비";#N/A,#N/A,FALSE,"영업외수익";#N/A,#N/A,FALSE,"영업외비용";#N/A,#N/A,FALSE,"매출액";#N/A,#N/A,FALSE,"요약손익";#N/A,#N/A,FALSE,"요약대차";#N/A,#N/A,FALSE,"매출채권현황";#N/A,#N/A,FALSE,"매출채권명세"}</definedName>
    <definedName name="ㄷㅎㄹㄴㄹㅇㅎㅇㅁㄴㅁㅎ" hidden="1">{#N/A,#N/A,FALSE,"Aging Summary";#N/A,#N/A,FALSE,"Ratio Analysis";#N/A,#N/A,FALSE,"Test 120 Day Accts";#N/A,#N/A,FALSE,"Tickmarks"}</definedName>
    <definedName name="ㄷㅎㄹㄴㄹㅇㅎㅇㅁㄴㅁㅎ_3">#REF!</definedName>
    <definedName name="다">#REF!</definedName>
    <definedName name="다가아노는" hidden="1">{#N/A,#N/A,FALSE,"BS";#N/A,#N/A,FALSE,"PL";#N/A,#N/A,FALSE,"처분";#N/A,#N/A,FALSE,"현금";#N/A,#N/A,FALSE,"매출";#N/A,#N/A,FALSE,"원가";#N/A,#N/A,FALSE,"경영"}</definedName>
    <definedName name="다나가라" hidden="1">{#N/A,#N/A,FALSE,"정공"}</definedName>
    <definedName name="다다" hidden="1">{#N/A,#N/A,FALSE,"정공"}</definedName>
    <definedName name="다다익선" hidden="1">{#N/A,#N/A,FALSE,"정공"}</definedName>
    <definedName name="다달이" hidden="1">{#N/A,#N/A,FALSE,"정공"}</definedName>
    <definedName name="다라니경" hidden="1">{#N/A,#N/A,FALSE,"정공"}</definedName>
    <definedName name="다라니경을피우자" hidden="1">{#N/A,#N/A,FALSE,"정공"}</definedName>
    <definedName name="다른" hidden="1">{#N/A,#N/A,FALSE,"BS";#N/A,#N/A,FALSE,"PL";#N/A,#N/A,FALSE,"처분";#N/A,#N/A,FALSE,"현금";#N/A,#N/A,FALSE,"매출";#N/A,#N/A,FALSE,"원가";#N/A,#N/A,FALSE,"경영"}</definedName>
    <definedName name="다시FM">{"'표지'!$B$5"}</definedName>
    <definedName name="단가">#REF!</definedName>
    <definedName name="단기대여금">#REF!</definedName>
    <definedName name="단기차입금">#REF!</definedName>
    <definedName name="단기차입금1" hidden="1">#N/A</definedName>
    <definedName name="단말기" hidden="1">{#N/A,#N/A,FALSE,"정공"}</definedName>
    <definedName name="단말기번호" hidden="1">{#N/A,#N/A,FALSE,"정공"}</definedName>
    <definedName name="단알기" hidden="1">{#N/A,#N/A,FALSE,"정공"}</definedName>
    <definedName name="단위_백만원">#REF!</definedName>
    <definedName name="단충">#REF!</definedName>
    <definedName name="달" hidden="1">{#N/A,#N/A,FALSE,"손익표지";#N/A,#N/A,FALSE,"손익계산";#N/A,#N/A,FALSE,"일반관리비";#N/A,#N/A,FALSE,"영업외수익";#N/A,#N/A,FALSE,"영업외비용";#N/A,#N/A,FALSE,"매출액";#N/A,#N/A,FALSE,"요약손익";#N/A,#N/A,FALSE,"요약대차";#N/A,#N/A,FALSE,"매출채권현황";#N/A,#N/A,FALSE,"매출채권명세"}</definedName>
    <definedName name="달러">#REF!</definedName>
    <definedName name="달러비용">#REF!</definedName>
    <definedName name="달러환율">#REF!</definedName>
    <definedName name="담당자">#REF!</definedName>
    <definedName name="당" hidden="1">{#N/A,#N/A,FALSE,"BS";#N/A,#N/A,FALSE,"PL";#N/A,#N/A,FALSE,"처분";#N/A,#N/A,FALSE,"현금";#N/A,#N/A,FALSE,"매출";#N/A,#N/A,FALSE,"원가";#N/A,#N/A,FALSE,"경영"}</definedName>
    <definedName name="당기보정">#REF!</definedName>
    <definedName name="당기보정외화">#REF!</definedName>
    <definedName name="당사매출">#REF!</definedName>
    <definedName name="당좌예금_5102">#REF!</definedName>
    <definedName name="당초기준손이" hidden="1">{#N/A,#N/A,FALSE,"정공"}</definedName>
    <definedName name="당초손익표" hidden="1">{#N/A,#N/A,FALSE,"정공"}</definedName>
    <definedName name="대" hidden="1">#REF!</definedName>
    <definedName name="대구서울" hidden="1">#REF!</definedName>
    <definedName name="대련" hidden="1">{#N/A,#N/A,FALSE,"UNIT";#N/A,#N/A,FALSE,"UNIT";#N/A,#N/A,FALSE,"계정"}</definedName>
    <definedName name="대리님" hidden="1">{#N/A,#N/A,FALSE,"정공"}</definedName>
    <definedName name="대상시트" hidden="1">{#N/A,#N/A,FALSE,"정공"}</definedName>
    <definedName name="대손">#REF!</definedName>
    <definedName name="대손추정률">0.01</definedName>
    <definedName name="대일" hidden="1">{#N/A,#N/A,FALSE,"손익표지";#N/A,#N/A,FALSE,"손익계산";#N/A,#N/A,FALSE,"일반관리비";#N/A,#N/A,FALSE,"영업외수익";#N/A,#N/A,FALSE,"영업외비용";#N/A,#N/A,FALSE,"매출액";#N/A,#N/A,FALSE,"요약손익";#N/A,#N/A,FALSE,"요약대차";#N/A,#N/A,FALSE,"매출채권현황";#N/A,#N/A,FALSE,"매출채권명세"}</definedName>
    <definedName name="대일1" hidden="1">{#N/A,#N/A,FALSE,"손익표지";#N/A,#N/A,FALSE,"손익계산";#N/A,#N/A,FALSE,"일반관리비";#N/A,#N/A,FALSE,"영업외수익";#N/A,#N/A,FALSE,"영업외비용";#N/A,#N/A,FALSE,"매출액";#N/A,#N/A,FALSE,"요약손익";#N/A,#N/A,FALSE,"요약대차";#N/A,#N/A,FALSE,"매출채권현황";#N/A,#N/A,FALSE,"매출채권명세"}</definedName>
    <definedName name="대차_신탁">#REF!</definedName>
    <definedName name="대차_은행">#REF!</definedName>
    <definedName name="대차_은행1">#REF!</definedName>
    <definedName name="대차대조부채자본">#REF!</definedName>
    <definedName name="대차대조자산">#REF!</definedName>
    <definedName name="대차대조표" hidden="1">{#N/A,#N/A,FALSE,"손익표지";#N/A,#N/A,FALSE,"손익계산";#N/A,#N/A,FALSE,"일반관리비";#N/A,#N/A,FALSE,"영업외수익";#N/A,#N/A,FALSE,"영업외비용";#N/A,#N/A,FALSE,"매출액";#N/A,#N/A,FALSE,"요약손익";#N/A,#N/A,FALSE,"요약대차";#N/A,#N/A,FALSE,"매출채권현황";#N/A,#N/A,FALSE,"매출채권명세"}</definedName>
    <definedName name="대차대조표.." hidden="1">#REF!</definedName>
    <definedName name="대차대조표2">#REF!</definedName>
    <definedName name="대체거래">#REF!</definedName>
    <definedName name="대표자성명">#REF!</definedName>
    <definedName name="대표자주민등록번호">#REF!</definedName>
    <definedName name="대현" hidden="1">{#N/A,#N/A,FALSE,"손익표지";#N/A,#N/A,FALSE,"손익계산";#N/A,#N/A,FALSE,"일반관리비";#N/A,#N/A,FALSE,"영업외수익";#N/A,#N/A,FALSE,"영업외비용";#N/A,#N/A,FALSE,"매출액";#N/A,#N/A,FALSE,"요약손익";#N/A,#N/A,FALSE,"요약대차";#N/A,#N/A,FALSE,"매출채권현황";#N/A,#N/A,FALSE,"매출채권명세"}</definedName>
    <definedName name="던" hidden="1">{#N/A,#N/A,FALSE,"Sheet5"}</definedName>
    <definedName name="도" hidden="1">{#N/A,#N/A,FALSE,"BS";#N/A,#N/A,FALSE,"PL";#N/A,#N/A,FALSE,"처분";#N/A,#N/A,FALSE,"현금";#N/A,#N/A,FALSE,"매출";#N/A,#N/A,FALSE,"원가";#N/A,#N/A,FALSE,"경영"}</definedName>
    <definedName name="도모" hidden="1">{#N/A,#N/A,FALSE,"BS";#N/A,#N/A,FALSE,"PL";#N/A,#N/A,FALSE,"처분";#N/A,#N/A,FALSE,"현금";#N/A,#N/A,FALSE,"매출";#N/A,#N/A,FALSE,"원가";#N/A,#N/A,FALSE,"경영"}</definedName>
    <definedName name="도별" hidden="1">#REF!</definedName>
    <definedName name="도서비">#REF!</definedName>
    <definedName name="도조" hidden="1">{#N/A,#N/A,FALSE,"BS";#N/A,#N/A,FALSE,"PL";#N/A,#N/A,FALSE,"처분";#N/A,#N/A,FALSE,"현금";#N/A,#N/A,FALSE,"매출";#N/A,#N/A,FALSE,"원가";#N/A,#N/A,FALSE,"경영"}</definedName>
    <definedName name="돌" hidden="1">{#N/A,#N/A,FALSE,"Sheet5"}</definedName>
    <definedName name="돌아버려" hidden="1">{"'Sheet1'!$A$1:$H$36"}</definedName>
    <definedName name="동" hidden="1">{#N/A,#N/A,FALSE,"손익표지";#N/A,#N/A,FALSE,"손익계산";#N/A,#N/A,FALSE,"일반관리비";#N/A,#N/A,FALSE,"영업외수익";#N/A,#N/A,FALSE,"영업외비용";#N/A,#N/A,FALSE,"매출액";#N/A,#N/A,FALSE,"요약손익";#N/A,#N/A,FALSE,"요약대차";#N/A,#N/A,FALSE,"매출채권현황";#N/A,#N/A,FALSE,"매출채권명세"}</definedName>
    <definedName name="동방" hidden="1">{#N/A,#N/A,FALSE,"BS";#N/A,#N/A,FALSE,"PL";#N/A,#N/A,FALSE,"처분";#N/A,#N/A,FALSE,"현금";#N/A,#N/A,FALSE,"매출";#N/A,#N/A,FALSE,"원가";#N/A,#N/A,FALSE,"경영"}</definedName>
    <definedName name="동방1" hidden="1">{#N/A,#N/A,FALSE,"BS";#N/A,#N/A,FALSE,"PL";#N/A,#N/A,FALSE,"A";#N/A,#N/A,FALSE,"B";#N/A,#N/A,FALSE,"B1";#N/A,#N/A,FALSE,"C";#N/A,#N/A,FALSE,"C1";#N/A,#N/A,FALSE,"C2";#N/A,#N/A,FALSE,"D";#N/A,#N/A,FALSE,"E";#N/A,#N/A,FALSE,"F";#N/A,#N/A,FALSE,"AA";#N/A,#N/A,FALSE,"BB";#N/A,#N/A,FALSE,"CC";#N/A,#N/A,FALSE,"DD";#N/A,#N/A,FALSE,"EE";#N/A,#N/A,FALSE,"FF";#N/A,#N/A,FALSE,"PL10";#N/A,#N/A,FALSE,"PL20";#N/A,#N/A,FALSE,"PL30"}</definedName>
    <definedName name="됴" hidden="1">{#N/A,#N/A,FALSE,"BS";#N/A,#N/A,FALSE,"PL";#N/A,#N/A,FALSE,"처분";#N/A,#N/A,FALSE,"현금";#N/A,#N/A,FALSE,"매출";#N/A,#N/A,FALSE,"원가";#N/A,#N/A,FALSE,"경영"}</definedName>
    <definedName name="두" hidden="1">{#N/A,#N/A,FALSE,"BS";#N/A,#N/A,FALSE,"PL";#N/A,#N/A,FALSE,"처분";#N/A,#N/A,FALSE,"현금";#N/A,#N/A,FALSE,"매출";#N/A,#N/A,FALSE,"원가";#N/A,#N/A,FALSE,"경영"}</definedName>
    <definedName name="두려" hidden="1">{#N/A,#N/A,FALSE,"BS";#N/A,#N/A,FALSE,"PL";#N/A,#N/A,FALSE,"처분";#N/A,#N/A,FALSE,"현금";#N/A,#N/A,FALSE,"매출";#N/A,#N/A,FALSE,"원가";#N/A,#N/A,FALSE,"경영"}</definedName>
    <definedName name="두번째" hidden="1">{#N/A,#N/A,FALSE,"정공"}</definedName>
    <definedName name="두산">{"'손익현황'!$A$1:$J$29"}</definedName>
    <definedName name="두원">{"'손익현황'!$A$1:$J$29"}</definedName>
    <definedName name="디비서버">#REF!</definedName>
    <definedName name="디비소프트">#REF!</definedName>
    <definedName name="디자인부">#REF!</definedName>
    <definedName name="또왜이래" hidden="1">{"'Sheet1'!$A$1:$H$36"}</definedName>
    <definedName name="똥">#REF!</definedName>
    <definedName name="ㄹ">#REF!</definedName>
    <definedName name="ㄹ_3">#REF!</definedName>
    <definedName name="ㄹㄴㅇㄹ"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ㄹㄴ오히ㅑ" hidden="1">{#N/A,#N/A,FALSE,"Sheet5"}</definedName>
    <definedName name="ㄹㄶㅀ" hidden="1">{#N/A,#N/A,FALSE,"회선임차현황"}</definedName>
    <definedName name="ㄹㄷㅈ" hidden="1">#REF!</definedName>
    <definedName name="ㄹㄷㅈㄹㄹㄹ" hidden="1">#N/A</definedName>
    <definedName name="ㄹㄹ">#REF!</definedName>
    <definedName name="ㄹㄹ_3">#REF!</definedName>
    <definedName name="ㄹㄹㄹ" hidden="1">{#N/A,#N/A,FALSE,"Aging Summary";#N/A,#N/A,FALSE,"Ratio Analysis";#N/A,#N/A,FALSE,"Test 120 Day Accts";#N/A,#N/A,FALSE,"Tickmarks"}</definedName>
    <definedName name="ㄹㄹㄹㄷㄷ" hidden="1">{#N/A,#N/A,FALSE,"손익표지";#N/A,#N/A,FALSE,"손익계산";#N/A,#N/A,FALSE,"일반관리비";#N/A,#N/A,FALSE,"영업외수익";#N/A,#N/A,FALSE,"영업외비용";#N/A,#N/A,FALSE,"매출액";#N/A,#N/A,FALSE,"요약손익";#N/A,#N/A,FALSE,"요약대차";#N/A,#N/A,FALSE,"매출채권현황";#N/A,#N/A,FALSE,"매출채권명세"}</definedName>
    <definedName name="ㄹㄹㄹㄹ">{"'Sheet1'!$A$1:$H$36"}</definedName>
    <definedName name="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ㅇㅇ">{"'Sheet1'!$A$1:$H$36"}</definedName>
    <definedName name="ㄹㄻㅇㄴ" hidden="1">{#N/A,#N/A,FALSE,"손익표지";#N/A,#N/A,FALSE,"손익계산";#N/A,#N/A,FALSE,"일반관리비";#N/A,#N/A,FALSE,"영업외수익";#N/A,#N/A,FALSE,"영업외비용";#N/A,#N/A,FALSE,"매출액";#N/A,#N/A,FALSE,"요약손익";#N/A,#N/A,FALSE,"요약대차";#N/A,#N/A,FALSE,"매출채권현황";#N/A,#N/A,FALSE,"매출채권명세"}</definedName>
    <definedName name="ㄹ아ㅣㅇㅎ리" hidden="1">{#N/A,#N/A,FALSE,"UNIT";#N/A,#N/A,FALSE,"UNIT";#N/A,#N/A,FALSE,"계정"}</definedName>
    <definedName name="ㄹ홓로" hidden="1">{#N/A,#N/A,FALSE,"손익표지";#N/A,#N/A,FALSE,"손익계산";#N/A,#N/A,FALSE,"일반관리비";#N/A,#N/A,FALSE,"영업외수익";#N/A,#N/A,FALSE,"영업외비용";#N/A,#N/A,FALSE,"매출액";#N/A,#N/A,FALSE,"요약손익";#N/A,#N/A,FALSE,"요약대차";#N/A,#N/A,FALSE,"매출채권현황";#N/A,#N/A,FALSE,"매출채권명세"}</definedName>
    <definedName name="라">#REF!</definedName>
    <definedName name="라마바">#REF!</definedName>
    <definedName name="라우터">#REF!</definedName>
    <definedName name="란다리아" hidden="1">{#N/A,#N/A,FALSE,"정공"}</definedName>
    <definedName name="러ㅏㅇ"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력">#REF!</definedName>
    <definedName name="로커커버" hidden="1">{#N/A,#N/A,FALSE,"단축1";#N/A,#N/A,FALSE,"단축2";#N/A,#N/A,FALSE,"단축3";#N/A,#N/A,FALSE,"장축";#N/A,#N/A,FALSE,"4WD"}</definedName>
    <definedName name="리" hidden="1">{#N/A,#N/A,FALSE,"Sheet5"}</definedName>
    <definedName name="리므" hidden="1">{#N/A,#N/A,FALSE,"손익표지";#N/A,#N/A,FALSE,"손익계산";#N/A,#N/A,FALSE,"일반관리비";#N/A,#N/A,FALSE,"영업외수익";#N/A,#N/A,FALSE,"영업외비용";#N/A,#N/A,FALSE,"매출액";#N/A,#N/A,FALSE,"요약손익";#N/A,#N/A,FALSE,"요약대차";#N/A,#N/A,FALSE,"매출채권현황";#N/A,#N/A,FALSE,"매출채권명세"}</definedName>
    <definedName name="리셋">#REF!</definedName>
    <definedName name="리스트">#REF!</definedName>
    <definedName name="ㄺㄹ" hidden="1">{#N/A,#N/A,FALSE,"UNIT";#N/A,#N/A,FALSE,"UNIT";#N/A,#N/A,FALSE,"계정"}</definedName>
    <definedName name="ㄻㄴㄻㅇㄹㅇㅁㄹ" hidden="1">{#N/A,#N/A,FALSE,"Aging Summary";#N/A,#N/A,FALSE,"Ratio Analysis";#N/A,#N/A,FALSE,"Test 120 Day Accts";#N/A,#N/A,FALSE,"Tickmarks"}</definedName>
    <definedName name="ㄻㄴㄻㅇㄹㅇㅁㄹ_3">#REF!</definedName>
    <definedName name="ㄻㄴㅇㄻㅇㄻㄴㅊㅇ" hidden="1">{#N/A,#N/A,FALSE,"손익표지";#N/A,#N/A,FALSE,"손익계산";#N/A,#N/A,FALSE,"일반관리비";#N/A,#N/A,FALSE,"영업외수익";#N/A,#N/A,FALSE,"영업외비용";#N/A,#N/A,FALSE,"매출액";#N/A,#N/A,FALSE,"요약손익";#N/A,#N/A,FALSE,"요약대차";#N/A,#N/A,FALSE,"매출채권현황";#N/A,#N/A,FALSE,"매출채권명세"}</definedName>
    <definedName name="ㅀ미리밀ㅎ밈림" hidden="1">{#N/A,#N/A,FALSE,"을지 (4)";#N/A,#N/A,FALSE,"을지 (5)";#N/A,#N/A,FALSE,"을지 (6)"}</definedName>
    <definedName name="ㅀㅇㄹㄶㅀㄹ" hidden="1">{#N/A,#N/A,FALSE,"UNIT";#N/A,#N/A,FALSE,"UNIT";#N/A,#N/A,FALSE,"계정"}</definedName>
    <definedName name="ㅀㅎ">{"'Sheet1'!$L$16"}</definedName>
    <definedName name="ㅁ">#REF!</definedName>
    <definedName name="ㅁ_3">#REF!</definedName>
    <definedName name="ㅁ1">#REF!</definedName>
    <definedName name="ㅁ5">#REF!</definedName>
    <definedName name="ㅁ555">#REF!</definedName>
    <definedName name="ㅁㄴ" hidden="1">{#N/A,#N/A,TRUE,"매출진척-1";#N/A,#N/A,TRUE,"매출진척-2";#N/A,#N/A,TRUE,"제품실적";#N/A,#N/A,TRUE,"RAC";#N/A,#N/A,TRUE,"PAC ";#N/A,#N/A,TRUE,"재고현황";#N/A,#N/A,TRUE,"공지사항"}</definedName>
    <definedName name="ㅁㄴ_3">#REF!</definedName>
    <definedName name="ㅁㄴㄴㅌ" hidden="1">{#N/A,#N/A,FALSE,"KMC최종회의(7월) 자료"}</definedName>
    <definedName name="ㅁㄴㄹㅈㄷ" hidden="1">{#N/A,#N/A,FALSE,"손익표지";#N/A,#N/A,FALSE,"손익계산";#N/A,#N/A,FALSE,"일반관리비";#N/A,#N/A,FALSE,"영업외수익";#N/A,#N/A,FALSE,"영업외비용";#N/A,#N/A,FALSE,"매출액";#N/A,#N/A,FALSE,"요약손익";#N/A,#N/A,FALSE,"요약대차";#N/A,#N/A,FALSE,"매출채권현황";#N/A,#N/A,FALSE,"매출채권명세"}</definedName>
    <definedName name="ㅁㄴㅁ">#REF!</definedName>
    <definedName name="ㅁㄴㅁㄴㅁㄴㅁㄴㅁㄴㅁ">#REF!</definedName>
    <definedName name="ㅁㄴㅇ">#REF!</definedName>
    <definedName name="ㅁㄴㅇㄹ">#REF!</definedName>
    <definedName name="ㅁㄴㅇㄻㄴ" hidden="1">{#N/A,#N/A,FALSE,"손익표지";#N/A,#N/A,FALSE,"손익계산";#N/A,#N/A,FALSE,"일반관리비";#N/A,#N/A,FALSE,"영업외수익";#N/A,#N/A,FALSE,"영업외비용";#N/A,#N/A,FALSE,"매출액";#N/A,#N/A,FALSE,"요약손익";#N/A,#N/A,FALSE,"요약대차";#N/A,#N/A,FALSE,"매출채권현황";#N/A,#N/A,FALSE,"매출채권명세"}</definedName>
    <definedName name="ㅁㄴㅇㄻㄴㅇㄻㄴㅇㄹ" hidden="1">{#N/A,#N/A,FALSE,"손익표지";#N/A,#N/A,FALSE,"손익계산";#N/A,#N/A,FALSE,"일반관리비";#N/A,#N/A,FALSE,"영업외수익";#N/A,#N/A,FALSE,"영업외비용";#N/A,#N/A,FALSE,"매출액";#N/A,#N/A,FALSE,"요약손익";#N/A,#N/A,FALSE,"요약대차";#N/A,#N/A,FALSE,"매출채권현황";#N/A,#N/A,FALSE,"매출채권명세"}</definedName>
    <definedName name="ㅁㄴㅇㄻㅇㄴㄻㄴㅇ" hidden="1">{#N/A,#N/A,FALSE,"손익표지";#N/A,#N/A,FALSE,"손익계산";#N/A,#N/A,FALSE,"일반관리비";#N/A,#N/A,FALSE,"영업외수익";#N/A,#N/A,FALSE,"영업외비용";#N/A,#N/A,FALSE,"매출액";#N/A,#N/A,FALSE,"요약손익";#N/A,#N/A,FALSE,"요약대차";#N/A,#N/A,FALSE,"매출채권현황";#N/A,#N/A,FALSE,"매출채권명세"}</definedName>
    <definedName name="ㅁㄴㅇㅀㅁㅎ" hidden="1">#REF!</definedName>
    <definedName name="ㅁ나ㅣ어리마ㅗㅇ호미오히ㅏ몬이호" hidden="1">{#N/A,#N/A,FALSE,"Aging Summary";#N/A,#N/A,FALSE,"Ratio Analysis";#N/A,#N/A,FALSE,"Test 120 Day Accts";#N/A,#N/A,FALSE,"Tickmarks"}</definedName>
    <definedName name="ㅁㄹㅇㄴㅁㄹ" hidden="1">{#N/A,#N/A,FALSE,"손익표지";#N/A,#N/A,FALSE,"손익계산";#N/A,#N/A,FALSE,"일반관리비";#N/A,#N/A,FALSE,"영업외수익";#N/A,#N/A,FALSE,"영업외비용";#N/A,#N/A,FALSE,"매출액";#N/A,#N/A,FALSE,"요약손익";#N/A,#N/A,FALSE,"요약대차";#N/A,#N/A,FALSE,"매출채권현황";#N/A,#N/A,FALSE,"매출채권명세"}</definedName>
    <definedName name="ㅁㄹㅇㄴㅁㅇㄴㄻㅇㄴㄻㄴㅇㄻㄴㅇㄻㅇㄹ" hidden="1">{#N/A,#N/A,FALSE,"손익표지";#N/A,#N/A,FALSE,"손익계산";#N/A,#N/A,FALSE,"일반관리비";#N/A,#N/A,FALSE,"영업외수익";#N/A,#N/A,FALSE,"영업외비용";#N/A,#N/A,FALSE,"매출액";#N/A,#N/A,FALSE,"요약손익";#N/A,#N/A,FALSE,"요약대차";#N/A,#N/A,FALSE,"매출채권현황";#N/A,#N/A,FALSE,"매출채권명세"}</definedName>
    <definedName name="ㅁㅁ" hidden="1">#REF!</definedName>
    <definedName name="ㅁㅁ_3">#REF!</definedName>
    <definedName name="ㅁㅁㅁ">#REF!</definedName>
    <definedName name="ㅁㅁㅁㅁ" hidden="1">{#N/A,#N/A,FALSE,"UNIT";#N/A,#N/A,FALSE,"UNIT";#N/A,#N/A,FALSE,"계정"}</definedName>
    <definedName name="ㅁㅁㅁㅁㅁ" hidden="1">{#N/A,#N/A,FALSE,"Aging Summary";#N/A,#N/A,FALSE,"Ratio Analysis";#N/A,#N/A,FALSE,"Test 120 Day Accts";#N/A,#N/A,FALSE,"Tickmarks"}</definedName>
    <definedName name="ㅁㅁㅁㅁㅁ_3">#REF!</definedName>
    <definedName name="ㅁㅁㅁㅁㅁㅁㅁㅁㅁㅁㅁㅁㅁㅁㅁㅁㅁㅁㅁㅁㅁㅁ">{"'표지'!$B$5"}</definedName>
    <definedName name="ㅁㅁㅇ" hidden="1">{#N/A,#N/A,FALSE,"KMC최종회의(7월) 자료"}</definedName>
    <definedName name="ㅁㅇㄴㄻㄴㅇㄹ" hidden="1">{#N/A,#N/A,FALSE,"손익표지";#N/A,#N/A,FALSE,"손익계산";#N/A,#N/A,FALSE,"일반관리비";#N/A,#N/A,FALSE,"영업외수익";#N/A,#N/A,FALSE,"영업외비용";#N/A,#N/A,FALSE,"매출액";#N/A,#N/A,FALSE,"요약손익";#N/A,#N/A,FALSE,"요약대차";#N/A,#N/A,FALSE,"매출채권현황";#N/A,#N/A,FALSE,"매출채권명세"}</definedName>
    <definedName name="ㅁㅇㄴㄻㅋ" hidden="1">{#N/A,#N/A,FALSE,"손익표지";#N/A,#N/A,FALSE,"손익계산";#N/A,#N/A,FALSE,"일반관리비";#N/A,#N/A,FALSE,"영업외수익";#N/A,#N/A,FALSE,"영업외비용";#N/A,#N/A,FALSE,"매출액";#N/A,#N/A,FALSE,"요약손익";#N/A,#N/A,FALSE,"요약대차";#N/A,#N/A,FALSE,"매출채권현황";#N/A,#N/A,FALSE,"매출채권명세"}</definedName>
    <definedName name="ㅁㅇㄴㅁㄴㅇ" hidden="1">{#N/A,#N/A,FALSE,"BS";#N/A,#N/A,FALSE,"PL";#N/A,#N/A,FALSE,"처분";#N/A,#N/A,FALSE,"현금";#N/A,#N/A,FALSE,"매출";#N/A,#N/A,FALSE,"원가";#N/A,#N/A,FALSE,"경영"}</definedName>
    <definedName name="ㅁㅇㄹ" hidden="1">{#N/A,#N/A,FALSE,"Aging Summary";#N/A,#N/A,FALSE,"Ratio Analysis";#N/A,#N/A,FALSE,"Test 120 Day Accts";#N/A,#N/A,FALSE,"Tickmarks"}</definedName>
    <definedName name="ㅁㅇㄹ_3">#REF!</definedName>
    <definedName name="ㅁㅇㄻㄴㅇㅁㄹㄹㅋㅌ" hidden="1">{#N/A,#N/A,FALSE,"손익표지";#N/A,#N/A,FALSE,"손익계산";#N/A,#N/A,FALSE,"일반관리비";#N/A,#N/A,FALSE,"영업외수익";#N/A,#N/A,FALSE,"영업외비용";#N/A,#N/A,FALSE,"매출액";#N/A,#N/A,FALSE,"요약손익";#N/A,#N/A,FALSE,"요약대차";#N/A,#N/A,FALSE,"매출채권현황";#N/A,#N/A,FALSE,"매출채권명세"}</definedName>
    <definedName name="ㅁㅇㄻㅇㄴㄻㄴㅇㄹ" hidden="1">{#N/A,#N/A,FALSE,"손익표지";#N/A,#N/A,FALSE,"손익계산";#N/A,#N/A,FALSE,"일반관리비";#N/A,#N/A,FALSE,"영업외수익";#N/A,#N/A,FALSE,"영업외비용";#N/A,#N/A,FALSE,"매출액";#N/A,#N/A,FALSE,"요약손익";#N/A,#N/A,FALSE,"요약대차";#N/A,#N/A,FALSE,"매출채권현황";#N/A,#N/A,FALSE,"매출채권명세"}</definedName>
    <definedName name="ㅁㅇㄻㅇㅊㅋㅌㅊㅍ" hidden="1">{#N/A,#N/A,FALSE,"손익표지";#N/A,#N/A,FALSE,"손익계산";#N/A,#N/A,FALSE,"일반관리비";#N/A,#N/A,FALSE,"영업외수익";#N/A,#N/A,FALSE,"영업외비용";#N/A,#N/A,FALSE,"매출액";#N/A,#N/A,FALSE,"요약손익";#N/A,#N/A,FALSE,"요약대차";#N/A,#N/A,FALSE,"매출채권현황";#N/A,#N/A,FALSE,"매출채권명세"}</definedName>
    <definedName name="ㅁㅇㅁㄻㄹㅇㅊ" hidden="1">{#N/A,#N/A,FALSE,"손익표지";#N/A,#N/A,FALSE,"손익계산";#N/A,#N/A,FALSE,"일반관리비";#N/A,#N/A,FALSE,"영업외수익";#N/A,#N/A,FALSE,"영업외비용";#N/A,#N/A,FALSE,"매출액";#N/A,#N/A,FALSE,"요약손익";#N/A,#N/A,FALSE,"요약대차";#N/A,#N/A,FALSE,"매출채권현황";#N/A,#N/A,FALSE,"매출채권명세"}</definedName>
    <definedName name="마" hidden="1">{#N/A,#N/A,FALSE,"Sheet5"}</definedName>
    <definedName name="마감" hidden="1">{#N/A,#N/A,FALSE,"기술료 비교"}</definedName>
    <definedName name="마마보이" hidden="1">{#N/A,#N/A,FALSE,"정공"}</definedName>
    <definedName name="마모루" hidden="1">{"'손익현황'!$A$1:$J$29"}</definedName>
    <definedName name="마미ㅣㅏㅓ"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마미ㅣㅏㅓ_3">#REF!</definedName>
    <definedName name="마케팅" hidden="1">{"'5국공정'!$A$1:$E$128"}</definedName>
    <definedName name="마케팅2" hidden="1">{"'5국공정'!$A$1:$E$128"}</definedName>
    <definedName name="마케팅부">#REF!</definedName>
    <definedName name="만기보장수익율">#REF!</definedName>
    <definedName name="매입" hidden="1">#REF!</definedName>
    <definedName name="매출">#REF!</definedName>
    <definedName name="매출bogo" hidden="1">{#N/A,#N/A,FALSE,"손익표지";#N/A,#N/A,FALSE,"손익계산";#N/A,#N/A,FALSE,"일반관리비";#N/A,#N/A,FALSE,"영업외수익";#N/A,#N/A,FALSE,"영업외비용";#N/A,#N/A,FALSE,"매출액";#N/A,#N/A,FALSE,"요약손익";#N/A,#N/A,FALSE,"요약대차";#N/A,#N/A,FALSE,"매출채권현황";#N/A,#N/A,FALSE,"매출채권명세"}</definedName>
    <definedName name="매출계획" hidden="1">{#N/A,#N/A,FALSE,"UNIT";#N/A,#N/A,FALSE,"UNIT";#N/A,#N/A,FALSE,"계정"}</definedName>
    <definedName name="매출금">#REF!</definedName>
    <definedName name="매출기준" hidden="1">{#N/A,#N/A,FALSE,"정공"}</definedName>
    <definedName name="매출보고" hidden="1">{#N/A,#N/A,FALSE,"손익표지";#N/A,#N/A,FALSE,"손익계산";#N/A,#N/A,FALSE,"일반관리비";#N/A,#N/A,FALSE,"영업외수익";#N/A,#N/A,FALSE,"영업외비용";#N/A,#N/A,FALSE,"매출액";#N/A,#N/A,FALSE,"요약손익";#N/A,#N/A,FALSE,"요약대차";#N/A,#N/A,FALSE,"매출채권현황";#N/A,#N/A,FALSE,"매출채권명세"}</definedName>
    <definedName name="매출분석">#REF!,#REF!</definedName>
    <definedName name="매출손익" hidden="1">{#N/A,#N/A,FALSE,"정공"}</definedName>
    <definedName name="매출원가" hidden="1">{#N/A,#N/A,FALSE,"Aging Summary";#N/A,#N/A,FALSE,"Ratio Analysis";#N/A,#N/A,FALSE,"Test 120 Day Accts";#N/A,#N/A,FALSE,"Tickmarks"}</definedName>
    <definedName name="매출원가_3">#REF!</definedName>
    <definedName name="매출원가1" hidden="1">{#N/A,#N/A,FALSE,"Aging Summary";#N/A,#N/A,FALSE,"Ratio Analysis";#N/A,#N/A,FALSE,"Test 120 Day Accts";#N/A,#N/A,FALSE,"Tickmarks"}</definedName>
    <definedName name="매출유형" hidden="1">#REF!</definedName>
    <definedName name="매출유형21" hidden="1">#REF!</definedName>
    <definedName name="매출전환손익" hidden="1">{#N/A,#N/A,FALSE,"정공"}</definedName>
    <definedName name="매출추1" hidden="1">{#N/A,#N/A,FALSE,"정공"}</definedName>
    <definedName name="매출추정" hidden="1">{#N/A,#N/A,FALSE,"정공"}</definedName>
    <definedName name="머" hidden="1">{#N/A,#N/A,FALSE,"손익표지";#N/A,#N/A,FALSE,"손익계산";#N/A,#N/A,FALSE,"일반관리비";#N/A,#N/A,FALSE,"영업외수익";#N/A,#N/A,FALSE,"영업외비용";#N/A,#N/A,FALSE,"매출액";#N/A,#N/A,FALSE,"요약손익";#N/A,#N/A,FALSE,"요약대차";#N/A,#N/A,FALSE,"매출채권현황";#N/A,#N/A,FALSE,"매출채권명세"}</definedName>
    <definedName name="멀" hidden="1">{#N/A,#N/A,FALSE,"손익표지";#N/A,#N/A,FALSE,"손익계산";#N/A,#N/A,FALSE,"일반관리비";#N/A,#N/A,FALSE,"영업외수익";#N/A,#N/A,FALSE,"영업외비용";#N/A,#N/A,FALSE,"매출액";#N/A,#N/A,FALSE,"요약손익";#N/A,#N/A,FALSE,"요약대차";#N/A,#N/A,FALSE,"매출채권현황";#N/A,#N/A,FALSE,"매출채권명세"}</definedName>
    <definedName name="메뉴">#REF!</definedName>
    <definedName name="메뉴2">#REF!</definedName>
    <definedName name="메모">{"'Sheet1'!$A$1:$H$36"}</definedName>
    <definedName name="메모리연">{"'Sheet1'!$A$1:$H$36"}</definedName>
    <definedName name="명세" hidden="1">{#N/A,#N/A,FALSE,"Aging Summary";#N/A,#N/A,FALSE,"Ratio Analysis";#N/A,#N/A,FALSE,"Test 120 Day Accts";#N/A,#N/A,FALSE,"Tickmarks"}</definedName>
    <definedName name="명세_3">#REF!</definedName>
    <definedName name="명세서">#REF!</definedName>
    <definedName name="모" hidden="1">{#N/A,#N/A,FALSE,"UNIT";#N/A,#N/A,FALSE,"UNIT";#N/A,#N/A,FALSE,"계정"}</definedName>
    <definedName name="모나리자아" hidden="1">{#N/A,#N/A,FALSE,"정공"}</definedName>
    <definedName name="모야" hidden="1">{#N/A,#N/A,FALSE,"BS";#N/A,#N/A,FALSE,"PL";#N/A,#N/A,FALSE,"처분";#N/A,#N/A,FALSE,"현금";#N/A,#N/A,FALSE,"매출";#N/A,#N/A,FALSE,"원가";#N/A,#N/A,FALSE,"경영"}</definedName>
    <definedName name="모야2" hidden="1">{#N/A,#N/A,FALSE,"BS";#N/A,#N/A,FALSE,"PL";#N/A,#N/A,FALSE,"처분";#N/A,#N/A,FALSE,"현금";#N/A,#N/A,FALSE,"매출";#N/A,#N/A,FALSE,"원가";#N/A,#N/A,FALSE,"경영"}</definedName>
    <definedName name="목ㄱ돋">BLCH</definedName>
    <definedName name="목동현대">BLCH</definedName>
    <definedName name="목차도" hidden="1">{#N/A,#N/A,FALSE,"정공"}</definedName>
    <definedName name="몰라" hidden="1">#REF!</definedName>
    <definedName name="묑"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묑_3">#REF!</definedName>
    <definedName name="무야" hidden="1">{#N/A,#N/A,FALSE,"BS";#N/A,#N/A,FALSE,"PL";#N/A,#N/A,FALSE,"A";#N/A,#N/A,FALSE,"B";#N/A,#N/A,FALSE,"B1";#N/A,#N/A,FALSE,"C";#N/A,#N/A,FALSE,"C1";#N/A,#N/A,FALSE,"C2";#N/A,#N/A,FALSE,"D";#N/A,#N/A,FALSE,"E";#N/A,#N/A,FALSE,"F";#N/A,#N/A,FALSE,"AA";#N/A,#N/A,FALSE,"BB";#N/A,#N/A,FALSE,"CC";#N/A,#N/A,FALSE,"DD";#N/A,#N/A,FALSE,"EE";#N/A,#N/A,FALSE,"FF";#N/A,#N/A,FALSE,"PL10";#N/A,#N/A,FALSE,"PL20";#N/A,#N/A,FALSE,"PL30"}</definedName>
    <definedName name="무형자산">#REF!</definedName>
    <definedName name="무형자산상각">#REF!</definedName>
    <definedName name="문성수" hidden="1">{#N/A,#N/A,FALSE,"손익표지";#N/A,#N/A,FALSE,"손익계산";#N/A,#N/A,FALSE,"일반관리비";#N/A,#N/A,FALSE,"영업외수익";#N/A,#N/A,FALSE,"영업외비용";#N/A,#N/A,FALSE,"매출액";#N/A,#N/A,FALSE,"요약손익";#N/A,#N/A,FALSE,"요약대차";#N/A,#N/A,FALSE,"매출채권현황";#N/A,#N/A,FALSE,"매출채권명세"}</definedName>
    <definedName name="문의처">#REF!</definedName>
    <definedName name="뭐야" hidden="1">{#N/A,#N/A,FALSE,"손익표지";#N/A,#N/A,FALSE,"손익계산";#N/A,#N/A,FALSE,"일반관리비";#N/A,#N/A,FALSE,"영업외수익";#N/A,#N/A,FALSE,"영업외비용";#N/A,#N/A,FALSE,"매출액";#N/A,#N/A,FALSE,"요약손익";#N/A,#N/A,FALSE,"요약대차";#N/A,#N/A,FALSE,"매출채권현황";#N/A,#N/A,FALSE,"매출채권명세"}</definedName>
    <definedName name="뭐야_3">#REF!</definedName>
    <definedName name="뭔지모르ㅔ" hidden="1">{#N/A,#N/A,FALSE,"손익표지";#N/A,#N/A,FALSE,"손익계산";#N/A,#N/A,FALSE,"일반관리비";#N/A,#N/A,FALSE,"영업외수익";#N/A,#N/A,FALSE,"영업외비용";#N/A,#N/A,FALSE,"매출액";#N/A,#N/A,FALSE,"요약손익";#N/A,#N/A,FALSE,"요약대차";#N/A,#N/A,FALSE,"매출채권현황";#N/A,#N/A,FALSE,"매출채권명세"}</definedName>
    <definedName name="뮤" hidden="1">{#N/A,#N/A,FALSE,"기술료 비교"}</definedName>
    <definedName name="미경">{"'Sheet1'!$A$1:$H$36"}</definedName>
    <definedName name="미미미아" hidden="1">{#N/A,#N/A,FALSE,"정공"}</definedName>
    <definedName name="미석" hidden="1">{#N/A,#N/A,FALSE,"정공"}</definedName>
    <definedName name="미수">#REF!</definedName>
    <definedName name="미수1">#REF!</definedName>
    <definedName name="미수금" hidden="1">{#N/A,#N/A,FALSE,"Aging Summary";#N/A,#N/A,FALSE,"Ratio Analysis";#N/A,#N/A,FALSE,"Test 120 Day Accts";#N/A,#N/A,FALSE,"Tickmarks"}</definedName>
    <definedName name="미수금_3">#REF!</definedName>
    <definedName name="미수금융외화">#REF!</definedName>
    <definedName name="미수금융원화">#REF!</definedName>
    <definedName name="미수수익">{"Book1","채권채무조회.xls"}</definedName>
    <definedName name="미수수익7">#REF!</definedName>
    <definedName name="미수외화금융">#REF!</definedName>
    <definedName name="미수운용외화">#REF!</definedName>
    <definedName name="미수운용원화">#REF!</definedName>
    <definedName name="미수잔존금융외화">#REF!</definedName>
    <definedName name="미수잔존금융원화">#REF!</definedName>
    <definedName name="미수잔존운용외화">#REF!</definedName>
    <definedName name="미수잔존운용원화">#REF!</definedName>
    <definedName name="미지">#REF!</definedName>
    <definedName name="미지급" hidden="1">{#N/A,#N/A,FALSE,"BS";#N/A,#N/A,FALSE,"IS";#N/A,#N/A,FALSE,"결손금처리";#N/A,#N/A,FALSE,"cashflow"}</definedName>
    <definedName name="미지급1" hidden="1">#REF!</definedName>
    <definedName name="미지급RV외화">#REF!</definedName>
    <definedName name="미지급RV원화">#REF!</definedName>
    <definedName name="미지급명세" hidden="1">{"'보고양식'!$A$58:$K$111"}</definedName>
    <definedName name="미지급법인세">#REF!</definedName>
    <definedName name="미지급비용">#REF!</definedName>
    <definedName name="미치겠네" hidden="1">{"'Sheet1'!$A$1:$H$36"}</definedName>
    <definedName name="민" hidden="1">{#N/A,#N/A,FALSE,"손익표지";#N/A,#N/A,FALSE,"손익계산";#N/A,#N/A,FALSE,"일반관리비";#N/A,#N/A,FALSE,"영업외수익";#N/A,#N/A,FALSE,"영업외비용";#N/A,#N/A,FALSE,"매출액";#N/A,#N/A,FALSE,"요약손익";#N/A,#N/A,FALSE,"요약대차";#N/A,#N/A,FALSE,"매출채권현황";#N/A,#N/A,FALSE,"매출채권명세"}</definedName>
    <definedName name="민자" hidden="1">{#N/A,#N/A,FALSE,"손익표지";#N/A,#N/A,FALSE,"손익계산";#N/A,#N/A,FALSE,"일반관리비";#N/A,#N/A,FALSE,"영업외수익";#N/A,#N/A,FALSE,"영업외비용";#N/A,#N/A,FALSE,"매출액";#N/A,#N/A,FALSE,"요약손익";#N/A,#N/A,FALSE,"요약대차";#N/A,#N/A,FALSE,"매출채권현황";#N/A,#N/A,FALSE,"매출채권명세"}</definedName>
    <definedName name="민자사업" hidden="1">{#N/A,#N/A,FALSE,"손익표지";#N/A,#N/A,FALSE,"손익계산";#N/A,#N/A,FALSE,"일반관리비";#N/A,#N/A,FALSE,"영업외수익";#N/A,#N/A,FALSE,"영업외비용";#N/A,#N/A,FALSE,"매출액";#N/A,#N/A,FALSE,"요약손익";#N/A,#N/A,FALSE,"요약대차";#N/A,#N/A,FALSE,"매출채권현황";#N/A,#N/A,FALSE,"매출채권명세"}</definedName>
    <definedName name="민총2" hidden="1">{#N/A,#N/A,FALSE,"을지 (4)";#N/A,#N/A,FALSE,"을지 (5)";#N/A,#N/A,FALSE,"을지 (6)"}</definedName>
    <definedName name="ㅂ">#REF!</definedName>
    <definedName name="ㅂ_3">#REF!</definedName>
    <definedName name="ㅂ3ㄱ" hidden="1">{#N/A,#N/A,FALSE,"BS";#N/A,#N/A,FALSE,"PL";#N/A,#N/A,FALSE,"처분";#N/A,#N/A,FALSE,"현금";#N/A,#N/A,FALSE,"매출";#N/A,#N/A,FALSE,"원가";#N/A,#N/A,FALSE,"경영"}</definedName>
    <definedName name="ㅂㄱㄷㅅㅂㄷ" hidden="1">{#N/A,#N/A,FALSE,"손익표지";#N/A,#N/A,FALSE,"손익계산";#N/A,#N/A,FALSE,"일반관리비";#N/A,#N/A,FALSE,"영업외수익";#N/A,#N/A,FALSE,"영업외비용";#N/A,#N/A,FALSE,"매출액";#N/A,#N/A,FALSE,"요약손익";#N/A,#N/A,FALSE,"요약대차";#N/A,#N/A,FALSE,"매출채권현황";#N/A,#N/A,FALSE,"매출채권명세"}</definedName>
    <definedName name="ㅂㄱㄷㅈㄱㅂㅈㄷㄱㅂㅈㄷㄱ" hidden="1">{#N/A,#N/A,FALSE,"손익표지";#N/A,#N/A,FALSE,"손익계산";#N/A,#N/A,FALSE,"일반관리비";#N/A,#N/A,FALSE,"영업외수익";#N/A,#N/A,FALSE,"영업외비용";#N/A,#N/A,FALSE,"매출액";#N/A,#N/A,FALSE,"요약손익";#N/A,#N/A,FALSE,"요약대차";#N/A,#N/A,FALSE,"매출채권현황";#N/A,#N/A,FALSE,"매출채권명세"}</definedName>
    <definedName name="ㅂㄴㅌ" hidden="1">{#N/A,#N/A,FALSE,"KMC최종회의(7월) 자료"}</definedName>
    <definedName name="ㅂㄷㄱ" hidden="1">{#N/A,#N/A,FALSE,"Aging Summary";#N/A,#N/A,FALSE,"Ratio Analysis";#N/A,#N/A,FALSE,"Test 120 Day Accts";#N/A,#N/A,FALSE,"Tickmarks"}</definedName>
    <definedName name="ㅂㄷㄱ_3">#REF!</definedName>
    <definedName name="ㅂㄷㄷㄱ" hidden="1">{#N/A,#N/A,FALSE,"Aging Summary";#N/A,#N/A,FALSE,"Ratio Analysis";#N/A,#N/A,FALSE,"Test 120 Day Accts";#N/A,#N/A,FALSE,"Tickmarks"}</definedName>
    <definedName name="ㅂㄷㄷㄱ_3">#REF!</definedName>
    <definedName name="ㅂㄷㅈ" hidden="1">{#N/A,#N/A,FALSE,"손익표지";#N/A,#N/A,FALSE,"손익계산";#N/A,#N/A,FALSE,"일반관리비";#N/A,#N/A,FALSE,"영업외수익";#N/A,#N/A,FALSE,"영업외비용";#N/A,#N/A,FALSE,"매출액";#N/A,#N/A,FALSE,"요약손익";#N/A,#N/A,FALSE,"요약대차";#N/A,#N/A,FALSE,"매출채권현황";#N/A,#N/A,FALSE,"매출채권명세"}</definedName>
    <definedName name="ㅂㅁ">{"'손익현황'!$A$1:$J$29"}</definedName>
    <definedName name="ㅂㅂ" hidden="1">{#N/A,#N/A,FALSE,"Aging Summary";#N/A,#N/A,FALSE,"Ratio Analysis";#N/A,#N/A,FALSE,"Test 120 Day Accts";#N/A,#N/A,FALSE,"Tickmarks"}</definedName>
    <definedName name="ㅂㅂ_3">#REF!</definedName>
    <definedName name="ㅂㅂㅂ" hidden="1">{#N/A,#N/A,FALSE,"Aging Summary";#N/A,#N/A,FALSE,"Ratio Analysis";#N/A,#N/A,FALSE,"Test 120 Day Accts";#N/A,#N/A,FALSE,"Tickmarks"}</definedName>
    <definedName name="ㅂㅂㅂ_3">#REF!</definedName>
    <definedName name="ㅂㅂㅂㅂㅂㅂ" hidden="1">#REF!</definedName>
    <definedName name="ㅂㅈㄱㄷ" hidden="1">{#N/A,#N/A,FALSE,"KMC최종회의(7월) 자료"}</definedName>
    <definedName name="ㅂㅈㄱㄷㅈ" hidden="1">{#N/A,#N/A,FALSE,"Aging Summary";#N/A,#N/A,FALSE,"Ratio Analysis";#N/A,#N/A,FALSE,"Test 120 Day Accts";#N/A,#N/A,FALSE,"Tickmarks"}</definedName>
    <definedName name="ㅂㅈㄱㄷㅈ_3">#REF!</definedName>
    <definedName name="ㅂㅈㄷ" hidden="1">{#N/A,#N/A,FALSE,"Aging Summary";#N/A,#N/A,FALSE,"Ratio Analysis";#N/A,#N/A,FALSE,"Test 120 Day Accts";#N/A,#N/A,FALSE,"Tickmarks"}</definedName>
    <definedName name="ㅂㅈㄷ_3">#REF!</definedName>
    <definedName name="ㅂㅈㄷㄷㄱㄱ" hidden="1">{#N/A,#N/A,FALSE,"UNIT";#N/A,#N/A,FALSE,"UNIT";#N/A,#N/A,FALSE,"계정"}</definedName>
    <definedName name="바">{"'Sheet1'!$A$1:$H$36"}</definedName>
    <definedName name="바랑라" hidden="1">{#N/A,#N/A,FALSE,"정공"}</definedName>
    <definedName name="바보" hidden="1">{#N/A,#N/A,FALSE,"Aging Summary";#N/A,#N/A,FALSE,"Ratio Analysis";#N/A,#N/A,FALSE,"Test 120 Day Accts";#N/A,#N/A,FALSE,"Tickmarks"}</definedName>
    <definedName name="바보_3">#REF!</definedName>
    <definedName name="바보상자" hidden="1">{#N/A,#N/A,FALSE,"정공"}</definedName>
    <definedName name="바부" hidden="1">{#N/A,#N/A,FALSE,"손익표지";#N/A,#N/A,FALSE,"손익계산";#N/A,#N/A,FALSE,"일반관리비";#N/A,#N/A,FALSE,"영업외수익";#N/A,#N/A,FALSE,"영업외비용";#N/A,#N/A,FALSE,"매출액";#N/A,#N/A,FALSE,"요약손익";#N/A,#N/A,FALSE,"요약대차";#N/A,#N/A,FALSE,"매출채권현황";#N/A,#N/A,FALSE,"매출채권명세"}</definedName>
    <definedName name="박" hidden="1">{#N/A,#N/A,FALSE,"UNIT";#N/A,#N/A,FALSE,"UNIT";#N/A,#N/A,FALSE,"계정"}</definedName>
    <definedName name="박문희">{"'표지'!$B$5"}</definedName>
    <definedName name="받을어음">#REF!</definedName>
    <definedName name="밤">#REF!</definedName>
    <definedName name="배부내역서2월" hidden="1">{#N/A,#N/A,FALSE,"목차";#N/A,#N/A,FALSE,"목차(2)";#N/A,#N/A,FALSE,"손익요약(당월)";#N/A,#N/A,FALSE,"손익요약(누계)";#N/A,#N/A,FALSE,"전기동기대비손익요약";#N/A,#N/A,FALSE,"손익분기점(월계)";#N/A,#N/A,FALSE,"손익분기점분석";#N/A,#N/A,FALSE,"요약대차대조표";#N/A,#N/A,FALSE,"현금흐름표";#N/A,#N/A,FALSE,"계획대비손익계산서비교";#N/A,#N/A,FALSE,"계획대비제조원가비교";#N/A,#N/A,FALSE,"전기동기대비손익계산서비교";#N/A,#N/A,FALSE,"전기동기대비제조원가비교";#N/A,#N/A,FALSE,"인건비비교";#N/A,#N/A,FALSE,"대차대조표";#N/A,#N/A,FALSE,"손익배부전(월계)";#N/A,#N/A,FALSE,"손익배부전(누계) ";#N/A,#N/A,FALSE,"손익배부후(월계)";#N/A,#N/A,FALSE,"손익배부후(누계)";#N/A,#N/A,FALSE,"제조원가월계(배부전)";#N/A,#N/A,FALSE,"제조원가누계(배부전)";#N/A,#N/A,FALSE,"제조원가당월(배부후)";#N/A,#N/A,FALSE,"제조원가누계(배부후)"}</definedName>
    <definedName name="배부액">#REF!</definedName>
    <definedName name="백재욱">{"'Sheet1'!$A$1:$H$36"}</definedName>
    <definedName name="버" hidden="1">{#N/A,#N/A,FALSE,"손익표지";#N/A,#N/A,FALSE,"손익계산";#N/A,#N/A,FALSE,"일반관리비";#N/A,#N/A,FALSE,"영업외수익";#N/A,#N/A,FALSE,"영업외비용";#N/A,#N/A,FALSE,"매출액";#N/A,#N/A,FALSE,"요약손익";#N/A,#N/A,FALSE,"요약대차";#N/A,#N/A,FALSE,"매출채권현황";#N/A,#N/A,FALSE,"매출채권명세"}</definedName>
    <definedName name="범위">#REF!</definedName>
    <definedName name="범위액"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범위액_3">#REF!</definedName>
    <definedName name="범위액2"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범위액2_3">#REF!</definedName>
    <definedName name="법인등록번호">#REF!</definedName>
    <definedName name="법인명_상호명">#REF!</definedName>
    <definedName name="법인세비용_수정" hidden="1">{#N/A,#N/A,FALSE,"BS";#N/A,#N/A,FALSE,"PL";#N/A,#N/A,FALSE,"처분";#N/A,#N/A,FALSE,"현금";#N/A,#N/A,FALSE,"매출";#N/A,#N/A,FALSE,"원가";#N/A,#N/A,FALSE,"경영"}</definedName>
    <definedName name="법인세주석사항정리" hidden="1">{#N/A,#N/A,FALSE,"UNIT";#N/A,#N/A,FALSE,"UNIT";#N/A,#N/A,FALSE,"계정"}</definedName>
    <definedName name="변경내역" hidden="1">{#N/A,#N/A,FALSE,"3가";#N/A,#N/A,FALSE,"3나";#N/A,#N/A,FALSE,"3다"}</definedName>
    <definedName name="변경내역_3">#REF!</definedName>
    <definedName name="변파유닛" hidden="1">{#N/A,#N/A,FALSE,"3가";#N/A,#N/A,FALSE,"3나";#N/A,#N/A,FALSE,"3다"}</definedName>
    <definedName name="변파유닛_3">#REF!</definedName>
    <definedName name="별지66">#REF!</definedName>
    <definedName name="별지8"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별지8_3">#REF!</definedName>
    <definedName name="보" hidden="1">{#N/A,#N/A,FALSE,"3가";#N/A,#N/A,FALSE,"3나";#N/A,#N/A,FALSE,"3다"}</definedName>
    <definedName name="보_3">#REF!</definedName>
    <definedName name="보고" hidden="1">{#N/A,#N/A,FALSE,"UNIT";#N/A,#N/A,FALSE,"UNIT";#N/A,#N/A,FALSE,"계정"}</definedName>
    <definedName name="보고1">#REF!</definedName>
    <definedName name="보고기준" hidden="1">{#N/A,#N/A,FALSE,"UNIT";#N/A,#N/A,FALSE,"UNIT";#N/A,#N/A,FALSE,"계정"}</definedName>
    <definedName name="보람">#REF!</definedName>
    <definedName name="보봅" hidden="1">{#N/A,#N/A,FALSE,"Aging Summary";#N/A,#N/A,FALSE,"Ratio Analysis";#N/A,#N/A,FALSE,"Test 120 Day Accts";#N/A,#N/A,FALSE,"Tickmarks"}</definedName>
    <definedName name="보봅_3">#REF!</definedName>
    <definedName name="보봉" hidden="1">{#N/A,#N/A,FALSE,"손익표지";#N/A,#N/A,FALSE,"손익계산";#N/A,#N/A,FALSE,"일반관리비";#N/A,#N/A,FALSE,"영업외수익";#N/A,#N/A,FALSE,"영업외비용";#N/A,#N/A,FALSE,"매출액";#N/A,#N/A,FALSE,"요약손익";#N/A,#N/A,FALSE,"요약대차";#N/A,#N/A,FALSE,"매출채권현황";#N/A,#N/A,FALSE,"매출채권명세"}</definedName>
    <definedName name="보장수익율">#REF!</definedName>
    <definedName name="보증기관">#REF!</definedName>
    <definedName name="보통주자본금">#REF!</definedName>
    <definedName name="보험료" hidden="1">{#N/A,#N/A,FALSE,"Aging Summary";#N/A,#N/A,FALSE,"Ratio Analysis";#N/A,#N/A,FALSE,"Test 120 Day Accts";#N/A,#N/A,FALSE,"Tickmarks"}</definedName>
    <definedName name="보험료_3">#REF!</definedName>
    <definedName name="복리후생">#REF!</definedName>
    <definedName name="본란계정">#REF!</definedName>
    <definedName name="본사">{"'Sheet1'!$A$1:$H$36"}</definedName>
    <definedName name="볼트수정" hidden="1">{#N/A,#N/A,FALSE,"단축1";#N/A,#N/A,FALSE,"단축2";#N/A,#N/A,FALSE,"단축3";#N/A,#N/A,FALSE,"장축";#N/A,#N/A,FALSE,"4WD"}</definedName>
    <definedName name="부과">#REF!</definedName>
    <definedName name="부도어음">#REF!</definedName>
    <definedName name="부문별손익" hidden="1">{#N/A,#N/A,FALSE,"손익표지";#N/A,#N/A,FALSE,"손익계산";#N/A,#N/A,FALSE,"일반관리비";#N/A,#N/A,FALSE,"영업외수익";#N/A,#N/A,FALSE,"영업외비용";#N/A,#N/A,FALSE,"매출액";#N/A,#N/A,FALSE,"요약손익";#N/A,#N/A,FALSE,"요약대차";#N/A,#N/A,FALSE,"매출채권현황";#N/A,#N/A,FALSE,"매출채권명세"}</definedName>
    <definedName name="부서별공수">#REF!</definedName>
    <definedName name="부서코드">#REF!</definedName>
    <definedName name="부속" hidden="1">#REF!</definedName>
    <definedName name="분개및수수료계상">#REF!</definedName>
    <definedName name="분류표2">#REF!</definedName>
    <definedName name="분석">#REF!</definedName>
    <definedName name="분석4" hidden="1">{#N/A,#N/A,FALSE,"손익표지";#N/A,#N/A,FALSE,"손익계산";#N/A,#N/A,FALSE,"일반관리비";#N/A,#N/A,FALSE,"영업외수익";#N/A,#N/A,FALSE,"영업외비용";#N/A,#N/A,FALSE,"매출액";#N/A,#N/A,FALSE,"요약손익";#N/A,#N/A,FALSE,"요약대차";#N/A,#N/A,FALSE,"매출채권현황";#N/A,#N/A,FALSE,"매출채권명세"}</definedName>
    <definedName name="비" hidden="1">{#N/A,#N/A,FALSE,"Sheet5"}</definedName>
    <definedName name="비고">#REF!</definedName>
    <definedName name="비교1">#REF!</definedName>
    <definedName name="비교관리">#REF!</definedName>
    <definedName name="비교손익당초" hidden="1">{#N/A,#N/A,FALSE,"정공"}</definedName>
    <definedName name="비비비" hidden="1">#REF!</definedName>
    <definedName name="비용">#REF!</definedName>
    <definedName name="비용거래">#REF!</definedName>
    <definedName name="비용배분">#REF!</definedName>
    <definedName name="비율0" hidden="1">#REF!</definedName>
    <definedName name="비율2" hidden="1">#REF!</definedName>
    <definedName name="ㅃ">#REF!</definedName>
    <definedName name="ㅅ">#REF!</definedName>
    <definedName name="ㅅ교ㄳ" hidden="1">{#N/A,#N/A,FALSE,"손익표지";#N/A,#N/A,FALSE,"손익계산";#N/A,#N/A,FALSE,"일반관리비";#N/A,#N/A,FALSE,"영업외수익";#N/A,#N/A,FALSE,"영업외비용";#N/A,#N/A,FALSE,"매출액";#N/A,#N/A,FALSE,"요약손익";#N/A,#N/A,FALSE,"요약대차";#N/A,#N/A,FALSE,"매출채권현황";#N/A,#N/A,FALSE,"매출채권명세"}</definedName>
    <definedName name="ㅅㅅㅅ">{"'손익현황'!$A$1:$J$29"}</definedName>
    <definedName name="ㅅㅅㅅㅅ" hidden="1">{#N/A,#N/A,FALSE,"UNIT";#N/A,#N/A,FALSE,"UNIT";#N/A,#N/A,FALSE,"계정"}</definedName>
    <definedName name="ㅅㅅㅅㅅㅅㅅㅅ" hidden="1">{#N/A,#N/A,FALSE,"UNIT";#N/A,#N/A,FALSE,"UNIT";#N/A,#N/A,FALSE,"계정"}</definedName>
    <definedName name="사" hidden="1">{#N/A,#N/A,FALSE,"BS";#N/A,#N/A,FALSE,"PL";#N/A,#N/A,FALSE,"처분";#N/A,#N/A,FALSE,"현금";#N/A,#N/A,FALSE,"매출";#N/A,#N/A,FALSE,"원가";#N/A,#N/A,FALSE,"경영"}</definedName>
    <definedName name="사1" hidden="1">#REF!</definedName>
    <definedName name="사10" hidden="1">#REF!</definedName>
    <definedName name="사2" hidden="1">#REF!</definedName>
    <definedName name="사3" hidden="1">#REF!</definedName>
    <definedName name="사4" hidden="1">#REF!</definedName>
    <definedName name="사5" hidden="1">#REF!</definedName>
    <definedName name="사6" hidden="1">#REF!</definedName>
    <definedName name="사7" hidden="1">#REF!</definedName>
    <definedName name="사8" hidden="1">#REF!</definedName>
    <definedName name="사9" hidden="1">#REF!</definedName>
    <definedName name="사다함이" hidden="1">{#N/A,#N/A,FALSE,"정공"}</definedName>
    <definedName name="사람" hidden="1">{#N/A,#N/A,FALSE,"BS";#N/A,#N/A,FALSE,"PL";#N/A,#N/A,FALSE,"처분";#N/A,#N/A,FALSE,"현금";#N/A,#N/A,FALSE,"매출";#N/A,#N/A,FALSE,"원가";#N/A,#N/A,FALSE,"경영"}</definedName>
    <definedName name="사람이야" hidden="1">{#N/A,#N/A,FALSE,"정공"}</definedName>
    <definedName name="사랑" hidden="1">{"'Sheet1'!$A$1:$H$36"}</definedName>
    <definedName name="사랑하오" hidden="1">{#N/A,#N/A,FALSE,"정공"}</definedName>
    <definedName name="사본" hidden="1">{#N/A,#N/A,FALSE,"정공"}</definedName>
    <definedName name="사소" hidden="1">{#N/A,#N/A,FALSE,"BS";#N/A,#N/A,FALSE,"PL";#N/A,#N/A,FALSE,"처분";#N/A,#N/A,FALSE,"현금";#N/A,#N/A,FALSE,"매출";#N/A,#N/A,FALSE,"원가";#N/A,#N/A,FALSE,"경영"}</definedName>
    <definedName name="사업" hidden="1">{#N/A,#N/A,FALSE,"UNIT";#N/A,#N/A,FALSE,"UNIT";#N/A,#N/A,FALSE,"계정"}</definedName>
    <definedName name="사업계획" hidden="1">{#N/A,#N/A,FALSE,"기술료 비교"}</definedName>
    <definedName name="사업년도_월수">#REF!</definedName>
    <definedName name="사업년도1">#REF!</definedName>
    <definedName name="사업년도2">#REF!</definedName>
    <definedName name="사업비교표" hidden="1">{#N/A,#N/A,FALSE,"정공"}</definedName>
    <definedName name="사업자등록번호">#REF!</definedName>
    <definedName name="사업장소재지">#REF!</definedName>
    <definedName name="사업추진" hidden="1">{#N/A,#N/A,FALSE,"정공"}</definedName>
    <definedName name="사업활성" hidden="1">{#N/A,#N/A,FALSE,"UNIT";#N/A,#N/A,FALSE,"UNIT";#N/A,#N/A,FALSE,"계정"}</definedName>
    <definedName name="사용료"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사용료_3">#REF!</definedName>
    <definedName name="사진" hidden="1">{#N/A,#N/A,FALSE,"BS";#N/A,#N/A,FALSE,"PL";#N/A,#N/A,FALSE,"처분";#N/A,#N/A,FALSE,"현금";#N/A,#N/A,FALSE,"매출";#N/A,#N/A,FALSE,"원가";#N/A,#N/A,FALSE,"경영"}</definedName>
    <definedName name="사질" hidden="1">{#N/A,#N/A,FALSE,"BS";#N/A,#N/A,FALSE,"PL";#N/A,#N/A,FALSE,"처분";#N/A,#N/A,FALSE,"현금";#N/A,#N/A,FALSE,"매출";#N/A,#N/A,FALSE,"원가";#N/A,#N/A,FALSE,"경영"}</definedName>
    <definedName name="사채">#REF!</definedName>
    <definedName name="삼성" hidden="1">{#N/A,#N/A,FALSE,"정공"}</definedName>
    <definedName name="삼성2" hidden="1">{#N/A,#N/A,FALSE,"정공"}</definedName>
    <definedName name="상각비">#REF!</definedName>
    <definedName name="상각액">#REF!</definedName>
    <definedName name="상각액외화">#REF!</definedName>
    <definedName name="상각율">#REF!</definedName>
    <definedName name="상국">{"'Sheet1'!$A$1:$H$36"}</definedName>
    <definedName name="상로허호" hidden="1">{#N/A,#N/A,FALSE,"정공"}</definedName>
    <definedName name="상반기" hidden="1">{#N/A,#N/A,FALSE,"회선임차현황"}</definedName>
    <definedName name="상품" hidden="1">{#N/A,#N/A,FALSE,"Sheet5"}</definedName>
    <definedName name="상품수불" hidden="1">{#N/A,#N/A,FALSE,"Sheet5"}</definedName>
    <definedName name="상품시화">#REF!</definedName>
    <definedName name="상품원가" hidden="1">{#N/A,#N/A,FALSE,"Sheet5"}</definedName>
    <definedName name="새" hidden="1">{#N/A,#N/A,FALSE,"Aging Summary";#N/A,#N/A,FALSE,"Ratio Analysis";#N/A,#N/A,FALSE,"Test 120 Day Accts";#N/A,#N/A,FALSE,"Tickmarks"}</definedName>
    <definedName name="새_3">#REF!</definedName>
    <definedName name="새로운">#REF!</definedName>
    <definedName name="새로운이름" hidden="1">{#N/A,#N/A,FALSE,"UNIT";#N/A,#N/A,FALSE,"UNIT";#N/A,#N/A,FALSE,"계정"}</definedName>
    <definedName name="새이름" hidden="1">#REF!</definedName>
    <definedName name="새파일편집" hidden="1">{#N/A,#N/A,FALSE,"정공"}</definedName>
    <definedName name="생산" hidden="1">{#N/A,#N/A,FALSE,"손익표지";#N/A,#N/A,FALSE,"손익계산";#N/A,#N/A,FALSE,"일반관리비";#N/A,#N/A,FALSE,"영업외수익";#N/A,#N/A,FALSE,"영업외비용";#N/A,#N/A,FALSE,"매출액";#N/A,#N/A,FALSE,"요약손익";#N/A,#N/A,FALSE,"요약대차";#N/A,#N/A,FALSE,"매출채권현황";#N/A,#N/A,FALSE,"매출채권명세"}</definedName>
    <definedName name="생산능력" hidden="1">{#N/A,#N/A,FALSE,"정공"}</definedName>
    <definedName name="생산부문2" hidden="1">{#N/A,#N/A,FALSE,"손익표지";#N/A,#N/A,FALSE,"손익계산";#N/A,#N/A,FALSE,"일반관리비";#N/A,#N/A,FALSE,"영업외수익";#N/A,#N/A,FALSE,"영업외비용";#N/A,#N/A,FALSE,"매출액";#N/A,#N/A,FALSE,"요약손익";#N/A,#N/A,FALSE,"요약대차";#N/A,#N/A,FALSE,"매출채권현황";#N/A,#N/A,FALSE,"매출채권명세"}</definedName>
    <definedName name="생산부문3" hidden="1">{#N/A,#N/A,FALSE,"손익표지";#N/A,#N/A,FALSE,"손익계산";#N/A,#N/A,FALSE,"일반관리비";#N/A,#N/A,FALSE,"영업외수익";#N/A,#N/A,FALSE,"영업외비용";#N/A,#N/A,FALSE,"매출액";#N/A,#N/A,FALSE,"요약손익";#N/A,#N/A,FALSE,"요약대차";#N/A,#N/A,FALSE,"매출채권현황";#N/A,#N/A,FALSE,"매출채권명세"}</definedName>
    <definedName name="생산성1">#REF!</definedName>
    <definedName name="생산성2">#REF!,#REF!</definedName>
    <definedName name="생산손익" hidden="1">{#N/A,#N/A,FALSE,"정공"}</definedName>
    <definedName name="생산실적">#REF!</definedName>
    <definedName name="생산품목" hidden="1">{#N/A,#N/A,FALSE,"정공"}</definedName>
    <definedName name="서버대수">#REF!</definedName>
    <definedName name="선">#REF!</definedName>
    <definedName name="선급"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선급_3">#REF!</definedName>
    <definedName name="선급금">#REF!</definedName>
    <definedName name="선급법인세9">#REF!</definedName>
    <definedName name="선급비용"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선급비용_3">#REF!</definedName>
    <definedName name="선급이자" hidden="1">{"'Sheet1'!$A$1:$H$36"}</definedName>
    <definedName name="선물환">#REF!</definedName>
    <definedName name="선번data">#REF!</definedName>
    <definedName name="선수금">#REF!</definedName>
    <definedName name="선수금융외화">#REF!</definedName>
    <definedName name="선수금융외화1">#REF!</definedName>
    <definedName name="선수금융원화">#REF!</definedName>
    <definedName name="선수운용외화">#REF!</definedName>
    <definedName name="선수운용외화1">#REF!</definedName>
    <definedName name="선수운용원화">#REF!</definedName>
    <definedName name="설계2팀" hidden="1">{#N/A,#N/A,FALSE,"UNIT";#N/A,#N/A,FALSE,"UNIT";#N/A,#N/A,FALSE,"계정"}</definedName>
    <definedName name="설문지" hidden="1">#REF!</definedName>
    <definedName name="설비투자" hidden="1">{#N/A,#N/A,FALSE,"정공"}</definedName>
    <definedName name="성" hidden="1">{#N/A,#N/A,FALSE,"UNIT";#N/A,#N/A,FALSE,"UNIT";#N/A,#N/A,FALSE,"계정"}</definedName>
    <definedName name="세율">#REF!</definedName>
    <definedName name="소" hidden="1">{#N/A,#N/A,FALSE,"손익표지";#N/A,#N/A,FALSE,"손익계산";#N/A,#N/A,FALSE,"일반관리비";#N/A,#N/A,FALSE,"영업외수익";#N/A,#N/A,FALSE,"영업외비용";#N/A,#N/A,FALSE,"매출액";#N/A,#N/A,FALSE,"요약손익";#N/A,#N/A,FALSE,"요약대차";#N/A,#N/A,FALSE,"매출채권현황";#N/A,#N/A,FALSE,"매출채권명세"}</definedName>
    <definedName name="소득구분3"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소득구분3_3">#REF!</definedName>
    <definedName name="소득구분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소득구분조서_3">#REF!</definedName>
    <definedName name="소득금액" hidden="1">{#N/A,#N/A,FALSE,"UNIT";#N/A,#N/A,FALSE,"UNIT";#N/A,#N/A,FALSE,"계정"}</definedName>
    <definedName name="소득금액2000" hidden="1">{#N/A,#N/A,FALSE,"UNIT";#N/A,#N/A,FALSE,"UNIT";#N/A,#N/A,FALSE,"계정"}</definedName>
    <definedName name="소모품비">#REF!</definedName>
    <definedName name="소요기간" hidden="1">{#N/A,#N/A,FALSE,"정공"}</definedName>
    <definedName name="속찌">#REF!</definedName>
    <definedName name="손"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손_3">#REF!</definedName>
    <definedName name="손액계산서" hidden="1">{#N/A,#N/A,FALSE,"1.최종대차대조표";#N/A,#N/A,FALSE,"2.최종손익계산서";#N/A,#N/A,FALSE,"이익잉여금처분";#N/A,#N/A,FALSE,"5.현금";#N/A,#N/A,FALSE,"6.당좌예금";#N/A,#N/A,FALSE,"7.제예금";#N/A,#N/A,FALSE,"8.유가증권명세";#N/A,#N/A,FALSE,"9.외상매출금";#N/A,#N/A,FALSE,"11.미수금";#N/A,#N/A,FALSE,"12.미수수익";#N/A,#N/A,FALSE,"13.재고자산";#N/A,#N/A,FALSE,"12.1제품수불명세서";#N/A,#N/A,FALSE,"12.2 부산물수불명세서";#N/A,#N/A,FALSE,"12.3 원재료수불명세서";#N/A,#N/A,FALSE,"12.4 저장품";#N/A,#N/A,FALSE,"12.5 상품수불";#N/A,#N/A,FALSE,"12.6 미착품명세서";#N/A,#N/A,FALSE,"14.선급금";#N/A,#N/A,FALSE,"15.선급비용";#N/A,#N/A,FALSE,"16.주임종";#N/A,#N/A,FALSE,"17.장기성예금";#N/A,#N/A,FALSE,"18.투자유가증권";#N/A,#N/A,FALSE,"19.출자금";#N/A,#N/A,FALSE,"20.특정현금과예금";#N/A,#N/A,FALSE,"21.단퇴예치금";#N/A,#N/A,FALSE,"22.가입권";#N/A,#N/A,FALSE,"23.임차보증금";#N/A,#N/A,FALSE,"24.부도어음";#N/A,#N/A,FALSE,"25.유형자산";#N/A,#N/A,FALSE,"24.8건설가계정";#N/A,#N/A,FALSE,"26.이연자산";#N/A,#N/A,FALSE,"27.외상매입금";#N/A,#N/A,FALSE,"28.지급어음 (2)";#N/A,#N/A,FALSE,"29.당좌차월";#N/A,#N/A,FALSE,"30.단기차입금";#N/A,#N/A,FALSE,"31.외화단기차입금";#N/A,#N/A,FALSE,"32.미지급금";#N/A,#N/A,FALSE,"33.선수금명세서";#N/A,#N/A,FALSE,"34.예수금";#N/A,#N/A,FALSE,"35.미지급비용";#N/A,#N/A,FALSE,"36.미지급법인세";#N/A,#N/A,FALSE,"37.예수보증금";#N/A,#N/A,FALSE,"38.유동성장기부채 ";#N/A,#N/A,FALSE,"39.장기차입금 ";#N/A,#N/A,FALSE,"40. 사채";#N/A,#N/A,FALSE,"41.사채할인발행";#N/A,#N/A,FALSE,"41.충당금";#N/A,#N/A,FALSE,"41.1대손충당금";#N/A,#N/A,FALSE,"42.법인세등명세";#N/A,#N/A,FALSE,"43.자본금";#N/A,#N/A,FALSE,"44.수입금액";#N/A,#N/A,FALSE,"45.매출액명세서";#N/A,#N/A,FALSE,"46.매출원가";#N/A,#N/A,FALSE,"48.원가계산서명세서";#N/A,#N/A,FALSE,"49.제조원가명세서";#N/A,#N/A,FALSE,"50.감사보고서";#N/A,#N/A,FALSE,"10.받을어음"}</definedName>
    <definedName name="손익">#REF!</definedName>
    <definedName name="손익_신탁">#REF!</definedName>
    <definedName name="손익_은행">#REF!</definedName>
    <definedName name="손익222" hidden="1">{#N/A,#N/A,FALSE,"손익표지";#N/A,#N/A,FALSE,"손익계산";#N/A,#N/A,FALSE,"일반관리비";#N/A,#N/A,FALSE,"영업외수익";#N/A,#N/A,FALSE,"영업외비용";#N/A,#N/A,FALSE,"매출액";#N/A,#N/A,FALSE,"요약손익";#N/A,#N/A,FALSE,"요약대차";#N/A,#N/A,FALSE,"매출채권현황";#N/A,#N/A,FALSE,"매출채권명세"}</definedName>
    <definedName name="손익3" hidden="1">{#N/A,#N/A,FALSE,"UNIT";#N/A,#N/A,FALSE,"UNIT";#N/A,#N/A,FALSE,"계정"}</definedName>
    <definedName name="손익4" hidden="1">{#N/A,#N/A,FALSE,"손익표지";#N/A,#N/A,FALSE,"손익계산";#N/A,#N/A,FALSE,"일반관리비";#N/A,#N/A,FALSE,"영업외수익";#N/A,#N/A,FALSE,"영업외비용";#N/A,#N/A,FALSE,"매출액";#N/A,#N/A,FALSE,"요약손익";#N/A,#N/A,FALSE,"요약대차";#N/A,#N/A,FALSE,"매출채권현황";#N/A,#N/A,FALSE,"매출채권명세"}</definedName>
    <definedName name="손익계산" hidden="1">{#N/A,#N/A,TRUE,"대 차 대 조 표"}</definedName>
    <definedName name="손익계산서">#REF!</definedName>
    <definedName name="손익보" hidden="1">{#N/A,#N/A,FALSE,"손익표지";#N/A,#N/A,FALSE,"손익계산";#N/A,#N/A,FALSE,"일반관리비";#N/A,#N/A,FALSE,"영업외수익";#N/A,#N/A,FALSE,"영업외비용";#N/A,#N/A,FALSE,"매출액";#N/A,#N/A,FALSE,"요약손익";#N/A,#N/A,FALSE,"요약대차";#N/A,#N/A,FALSE,"매출채권현황";#N/A,#N/A,FALSE,"매출채권명세"}</definedName>
    <definedName name="손익보00" hidden="1">{#N/A,#N/A,FALSE,"손익표지";#N/A,#N/A,FALSE,"손익계산";#N/A,#N/A,FALSE,"일반관리비";#N/A,#N/A,FALSE,"영업외수익";#N/A,#N/A,FALSE,"영업외비용";#N/A,#N/A,FALSE,"매출액";#N/A,#N/A,FALSE,"요약손익";#N/A,#N/A,FALSE,"요약대차";#N/A,#N/A,FALSE,"매출채권현황";#N/A,#N/A,FALSE,"매출채권명세"}</definedName>
    <definedName name="손익보고" hidden="1">{#N/A,#N/A,FALSE,"손익표지";#N/A,#N/A,FALSE,"손익계산";#N/A,#N/A,FALSE,"일반관리비";#N/A,#N/A,FALSE,"영업외수익";#N/A,#N/A,FALSE,"영업외비용";#N/A,#N/A,FALSE,"매출액";#N/A,#N/A,FALSE,"요약손익";#N/A,#N/A,FALSE,"요약대차";#N/A,#N/A,FALSE,"매출채권현황";#N/A,#N/A,FALSE,"매출채권명세"}</definedName>
    <definedName name="손익보고00" hidden="1">{#N/A,#N/A,FALSE,"손익표지";#N/A,#N/A,FALSE,"손익계산";#N/A,#N/A,FALSE,"일반관리비";#N/A,#N/A,FALSE,"영업외수익";#N/A,#N/A,FALSE,"영업외비용";#N/A,#N/A,FALSE,"매출액";#N/A,#N/A,FALSE,"요약손익";#N/A,#N/A,FALSE,"요약대차";#N/A,#N/A,FALSE,"매출채권현황";#N/A,#N/A,FALSE,"매출채권명세"}</definedName>
    <definedName name="손익보고111" hidden="1">{#N/A,#N/A,FALSE,"손익표지";#N/A,#N/A,FALSE,"손익계산";#N/A,#N/A,FALSE,"일반관리비";#N/A,#N/A,FALSE,"영업외수익";#N/A,#N/A,FALSE,"영업외비용";#N/A,#N/A,FALSE,"매출액";#N/A,#N/A,FALSE,"요약손익";#N/A,#N/A,FALSE,"요약대차";#N/A,#N/A,FALSE,"매출채권현황";#N/A,#N/A,FALSE,"매출채권명세"}</definedName>
    <definedName name="손익보고5" hidden="1">{#N/A,#N/A,FALSE,"손익표지";#N/A,#N/A,FALSE,"손익계산";#N/A,#N/A,FALSE,"일반관리비";#N/A,#N/A,FALSE,"영업외수익";#N/A,#N/A,FALSE,"영업외비용";#N/A,#N/A,FALSE,"매출액";#N/A,#N/A,FALSE,"요약손익";#N/A,#N/A,FALSE,"요약대차";#N/A,#N/A,FALSE,"매출채권현황";#N/A,#N/A,FALSE,"매출채권명세"}</definedName>
    <definedName name="손익보고고" hidden="1">{#N/A,#N/A,FALSE,"손익표지";#N/A,#N/A,FALSE,"손익계산";#N/A,#N/A,FALSE,"일반관리비";#N/A,#N/A,FALSE,"영업외수익";#N/A,#N/A,FALSE,"영업외비용";#N/A,#N/A,FALSE,"매출액";#N/A,#N/A,FALSE,"요약손익";#N/A,#N/A,FALSE,"요약대차";#N/A,#N/A,FALSE,"매출채권현황";#N/A,#N/A,FALSE,"매출채권명세"}</definedName>
    <definedName name="손익보곡" hidden="1">{#N/A,#N/A,FALSE,"손익표지";#N/A,#N/A,FALSE,"손익계산";#N/A,#N/A,FALSE,"일반관리비";#N/A,#N/A,FALSE,"영업외수익";#N/A,#N/A,FALSE,"영업외비용";#N/A,#N/A,FALSE,"매출액";#N/A,#N/A,FALSE,"요약손익";#N/A,#N/A,FALSE,"요약대차";#N/A,#N/A,FALSE,"매출채권현황";#N/A,#N/A,FALSE,"매출채권명세"}</definedName>
    <definedName name="손익보골" hidden="1">{#N/A,#N/A,FALSE,"손익표지";#N/A,#N/A,FALSE,"손익계산";#N/A,#N/A,FALSE,"일반관리비";#N/A,#N/A,FALSE,"영업외수익";#N/A,#N/A,FALSE,"영업외비용";#N/A,#N/A,FALSE,"매출액";#N/A,#N/A,FALSE,"요약손익";#N/A,#N/A,FALSE,"요약대차";#N/A,#N/A,FALSE,"매출채권현황";#N/A,#N/A,FALSE,"매출채권명세"}</definedName>
    <definedName name="손익보곰" hidden="1">{#N/A,#N/A,FALSE,"손익표지";#N/A,#N/A,FALSE,"손익계산";#N/A,#N/A,FALSE,"일반관리비";#N/A,#N/A,FALSE,"영업외수익";#N/A,#N/A,FALSE,"영업외비용";#N/A,#N/A,FALSE,"매출액";#N/A,#N/A,FALSE,"요약손익";#N/A,#N/A,FALSE,"요약대차";#N/A,#N/A,FALSE,"매출채권현황";#N/A,#N/A,FALSE,"매출채권명세"}</definedName>
    <definedName name="손익보곱" hidden="1">{#N/A,#N/A,FALSE,"손익표지";#N/A,#N/A,FALSE,"손익계산";#N/A,#N/A,FALSE,"일반관리비";#N/A,#N/A,FALSE,"영업외수익";#N/A,#N/A,FALSE,"영업외비용";#N/A,#N/A,FALSE,"매출액";#N/A,#N/A,FALSE,"요약손익";#N/A,#N/A,FALSE,"요약대차";#N/A,#N/A,FALSE,"매출채권현황";#N/A,#N/A,FALSE,"매출채권명세"}</definedName>
    <definedName name="손익보공" hidden="1">{#N/A,#N/A,FALSE,"손익표지";#N/A,#N/A,FALSE,"손익계산";#N/A,#N/A,FALSE,"일반관리비";#N/A,#N/A,FALSE,"영업외수익";#N/A,#N/A,FALSE,"영업외비용";#N/A,#N/A,FALSE,"매출액";#N/A,#N/A,FALSE,"요약손익";#N/A,#N/A,FALSE,"요약대차";#N/A,#N/A,FALSE,"매출채권현황";#N/A,#N/A,FALSE,"매출채권명세"}</definedName>
    <definedName name="손익보곻" hidden="1">{#N/A,#N/A,FALSE,"손익표지";#N/A,#N/A,FALSE,"손익계산";#N/A,#N/A,FALSE,"일반관리비";#N/A,#N/A,FALSE,"영업외수익";#N/A,#N/A,FALSE,"영업외비용";#N/A,#N/A,FALSE,"매출액";#N/A,#N/A,FALSE,"요약손익";#N/A,#N/A,FALSE,"요약대차";#N/A,#N/A,FALSE,"매출채권현황";#N/A,#N/A,FALSE,"매출채권명세"}</definedName>
    <definedName name="손익보소" hidden="1">{#N/A,#N/A,FALSE,"손익표지";#N/A,#N/A,FALSE,"손익계산";#N/A,#N/A,FALSE,"일반관리비";#N/A,#N/A,FALSE,"영업외수익";#N/A,#N/A,FALSE,"영업외비용";#N/A,#N/A,FALSE,"매출액";#N/A,#N/A,FALSE,"요약손익";#N/A,#N/A,FALSE,"요약대차";#N/A,#N/A,FALSE,"매출채권현황";#N/A,#N/A,FALSE,"매출채권명세"}</definedName>
    <definedName name="손익보코" hidden="1">{#N/A,#N/A,FALSE,"손익표지";#N/A,#N/A,FALSE,"손익계산";#N/A,#N/A,FALSE,"일반관리비";#N/A,#N/A,FALSE,"영업외수익";#N/A,#N/A,FALSE,"영업외비용";#N/A,#N/A,FALSE,"매출액";#N/A,#N/A,FALSE,"요약손익";#N/A,#N/A,FALSE,"요약대차";#N/A,#N/A,FALSE,"매출채권현황";#N/A,#N/A,FALSE,"매출채권명세"}</definedName>
    <definedName name="손익예상" hidden="1">{#N/A,#N/A,FALSE,"UNIT";#N/A,#N/A,FALSE,"UNIT";#N/A,#N/A,FALSE,"계정"}</definedName>
    <definedName name="손익인쇄">#REF!</definedName>
    <definedName name="송" hidden="1">{#N/A,#N/A,TRUE,"Y생산";#N/A,#N/A,TRUE,"Y판매";#N/A,#N/A,TRUE,"Y총물량";#N/A,#N/A,TRUE,"Y능력";#N/A,#N/A,TRUE,"YKD"}</definedName>
    <definedName name="송익" hidden="1">{#N/A,#N/A,FALSE,"정공"}</definedName>
    <definedName name="송창기" hidden="1">{#N/A,#N/A,TRUE,"Y생산";#N/A,#N/A,TRUE,"Y판매";#N/A,#N/A,TRUE,"Y총물량";#N/A,#N/A,TRUE,"Y능력";#N/A,#N/A,TRUE,"YKD"}</definedName>
    <definedName name="쇼바2" hidden="1">{#N/A,#N/A,FALSE,"단축1";#N/A,#N/A,FALSE,"단축2";#N/A,#N/A,FALSE,"단축3";#N/A,#N/A,FALSE,"장축";#N/A,#N/A,FALSE,"4WD"}</definedName>
    <definedName name="수_______출">#REF!</definedName>
    <definedName name="수당">#REF!</definedName>
    <definedName name="수량추정" hidden="1">{#N/A,#N/A,FALSE,"정공"}</definedName>
    <definedName name="수불" hidden="1">{#N/A,#N/A,FALSE,"Sheet5"}</definedName>
    <definedName name="수선유지">#REF!</definedName>
    <definedName name="수수료계상">#REF!</definedName>
    <definedName name="수요분석최종" hidden="1">{#N/A,#N/A,FALSE,"손익표지";#N/A,#N/A,FALSE,"손익계산";#N/A,#N/A,FALSE,"일반관리비";#N/A,#N/A,FALSE,"영업외수익";#N/A,#N/A,FALSE,"영업외비용";#N/A,#N/A,FALSE,"매출액";#N/A,#N/A,FALSE,"요약손익";#N/A,#N/A,FALSE,"요약대차";#N/A,#N/A,FALSE,"매출채권현황";#N/A,#N/A,FALSE,"매출채권명세"}</definedName>
    <definedName name="수요분석최종본" hidden="1">{#N/A,#N/A,FALSE,"손익표지";#N/A,#N/A,FALSE,"손익계산";#N/A,#N/A,FALSE,"일반관리비";#N/A,#N/A,FALSE,"영업외수익";#N/A,#N/A,FALSE,"영업외비용";#N/A,#N/A,FALSE,"매출액";#N/A,#N/A,FALSE,"요약손익";#N/A,#N/A,FALSE,"요약대차";#N/A,#N/A,FALSE,"매출채권현황";#N/A,#N/A,FALSE,"매출채권명세"}</definedName>
    <definedName name="수입금융" hidden="1">{#N/A,#N/A,FALSE,"UNIT";#N/A,#N/A,FALSE,"UNIT";#N/A,#N/A,FALSE,"계정"}</definedName>
    <definedName name="수입보증금">#REF!</definedName>
    <definedName name="수정">#REF!</definedName>
    <definedName name="수정1" hidden="1">#REF!</definedName>
    <definedName name="수정4월25일" hidden="1">{"'Sheet1'!$A$1:$H$36"}</definedName>
    <definedName name="수정CF" hidden="1">{#N/A,#N/A,TRUE,"Summary";#N/A,#N/A,TRUE,"IS";#N/A,#N/A,TRUE,"Adj";#N/A,#N/A,TRUE,"BS";#N/A,#N/A,TRUE,"CF";#N/A,#N/A,TRUE,"Debt";#N/A,#N/A,TRUE,"IRR"}</definedName>
    <definedName name="수정사항" hidden="1">#REF!</definedName>
    <definedName name="수정손익" hidden="1">{#N/A,#N/A,FALSE,"정공"}</definedName>
    <definedName name="수정현금흐름표" hidden="1">{#N/A,#N/A,TRUE,"Summary";#N/A,#N/A,TRUE,"IS";#N/A,#N/A,TRUE,"Adj";#N/A,#N/A,TRUE,"BS";#N/A,#N/A,TRUE,"CF";#N/A,#N/A,TRUE,"Debt";#N/A,#N/A,TRUE,"IRR"}</definedName>
    <definedName name="수정현금흐름표_pjh" hidden="1">{#N/A,#N/A,TRUE,"Summary";#N/A,#N/A,TRUE,"IS";#N/A,#N/A,TRUE,"Adj";#N/A,#N/A,TRUE,"BS";#N/A,#N/A,TRUE,"CF";#N/A,#N/A,TRUE,"Debt";#N/A,#N/A,TRUE,"IRR"}</definedName>
    <definedName name="수정현금흐름표2" hidden="1">{#N/A,#N/A,TRUE,"Summary";#N/A,#N/A,TRUE,"IS";#N/A,#N/A,TRUE,"Adj";#N/A,#N/A,TRUE,"BS";#N/A,#N/A,TRUE,"CF";#N/A,#N/A,TRUE,"Debt";#N/A,#N/A,TRUE,"IRR"}</definedName>
    <definedName name="수정후">#REF!</definedName>
    <definedName name="수정후외화">#REF!</definedName>
    <definedName name="수주">#REF!</definedName>
    <definedName name="수주2">{"'표지'!$B$5"}</definedName>
    <definedName name="수주2222">{"'표지'!$B$5"}</definedName>
    <definedName name="수주계획" hidden="1">{#N/A,#N/A,FALSE,"손익표지";#N/A,#N/A,FALSE,"손익계산";#N/A,#N/A,FALSE,"일반관리비";#N/A,#N/A,FALSE,"영업외수익";#N/A,#N/A,FALSE,"영업외비용";#N/A,#N/A,FALSE,"매출액";#N/A,#N/A,FALSE,"요약손익";#N/A,#N/A,FALSE,"요약대차";#N/A,#N/A,FALSE,"매출채권현황";#N/A,#N/A,FALSE,"매출채권명세"}</definedName>
    <definedName name="수주매출">{"'표지'!$B$5"}</definedName>
    <definedName name="수주추정2">{"'표지'!$B$5"}</definedName>
    <definedName name="슈">#REF!</definedName>
    <definedName name="스" hidden="1">{#N/A,#N/A,FALSE,"손익표지";#N/A,#N/A,FALSE,"손익계산";#N/A,#N/A,FALSE,"일반관리비";#N/A,#N/A,FALSE,"영업외수익";#N/A,#N/A,FALSE,"영업외비용";#N/A,#N/A,FALSE,"매출액";#N/A,#N/A,FALSE,"요약손익";#N/A,#N/A,FALSE,"요약대차";#N/A,#N/A,FALSE,"매출채권현황";#N/A,#N/A,FALSE,"매출채권명세"}</definedName>
    <definedName name="스왑">#REF!</definedName>
    <definedName name="스왑09">#REF!</definedName>
    <definedName name="스왑2">#REF!</definedName>
    <definedName name="스파">#REF!</definedName>
    <definedName name="스파2">#REF!</definedName>
    <definedName name="시">#REF!</definedName>
    <definedName name="시간외10">#REF!</definedName>
    <definedName name="시간외11">#REF!</definedName>
    <definedName name="시간외12">#REF!</definedName>
    <definedName name="시매출">#REF!</definedName>
    <definedName name="시산">#REF!</definedName>
    <definedName name="시산표">#REF!</definedName>
    <definedName name="시산표2" hidden="1">{#N/A,#N/A,FALSE,"BS";#N/A,#N/A,FALSE,"PL";#N/A,#N/A,FALSE,"처분";#N/A,#N/A,FALSE,"현금";#N/A,#N/A,FALSE,"매출";#N/A,#N/A,FALSE,"원가";#N/A,#N/A,FALSE,"경영"}</definedName>
    <definedName name="시산표작성" hidden="1">{#N/A,#N/A,FALSE,"BS";#N/A,#N/A,FALSE,"PL";#N/A,#N/A,FALSE,"A";#N/A,#N/A,FALSE,"B";#N/A,#N/A,FALSE,"B1";#N/A,#N/A,FALSE,"C";#N/A,#N/A,FALSE,"C1";#N/A,#N/A,FALSE,"C2";#N/A,#N/A,FALSE,"D";#N/A,#N/A,FALSE,"E";#N/A,#N/A,FALSE,"F";#N/A,#N/A,FALSE,"AA";#N/A,#N/A,FALSE,"BB";#N/A,#N/A,FALSE,"CC";#N/A,#N/A,FALSE,"DD";#N/A,#N/A,FALSE,"EE";#N/A,#N/A,FALSE,"FF";#N/A,#N/A,FALSE,"PL10";#N/A,#N/A,FALSE,"PL20";#N/A,#N/A,FALSE,"PL30"}</definedName>
    <definedName name="시설투자" hidden="1">{#N/A,#N/A,FALSE,"UNIT";#N/A,#N/A,FALSE,"UNIT";#N/A,#N/A,FALSE,"계정"}</definedName>
    <definedName name="시설투자계획_월별" hidden="1">{#N/A,#N/A,FALSE,"UNIT";#N/A,#N/A,FALSE,"UNIT";#N/A,#N/A,FALSE,"계정"}</definedName>
    <definedName name="시설투자총괄" hidden="1">{#N/A,#N/A,FALSE,"UNIT";#N/A,#N/A,FALSE,"UNIT";#N/A,#N/A,FALSE,"계정"}</definedName>
    <definedName name="시스템" hidden="1">{#N/A,#N/A,FALSE,"UNIT";#N/A,#N/A,FALSE,"UNIT";#N/A,#N/A,FALSE,"계정"}</definedName>
    <definedName name="시이자">#REF!</definedName>
    <definedName name="시인원">#REF!</definedName>
    <definedName name="시트자료1" hidden="1">#REF!</definedName>
    <definedName name="시트자료2" hidden="1">#REF!</definedName>
    <definedName name="시트자료3" hidden="1">#REF!</definedName>
    <definedName name="시트자료4" hidden="1">#REF!</definedName>
    <definedName name="시파">#REF!</definedName>
    <definedName name="시화감가">#REF!</definedName>
    <definedName name="시화매출">#REF!</definedName>
    <definedName name="시화배부">#REF!</definedName>
    <definedName name="시화인원">#REF!</definedName>
    <definedName name="시화재료">#REF!</definedName>
    <definedName name="시화제품제고">#REF!</definedName>
    <definedName name="신규" hidden="1">{#N/A,#N/A,FALSE,"UNIT";#N/A,#N/A,FALSE,"UNIT";#N/A,#N/A,FALSE,"계정"}</definedName>
    <definedName name="신기지국명별">#REF!</definedName>
    <definedName name="신부1">#REF!</definedName>
    <definedName name="신부2">#REF!</definedName>
    <definedName name="신비1">#REF!</definedName>
    <definedName name="신비2">#REF!</definedName>
    <definedName name="신설통계" hidden="1">{#N/A,#N/A,FALSE,"3가";#N/A,#N/A,FALSE,"3나";#N/A,#N/A,FALSE,"3다"}</definedName>
    <definedName name="신설통계_3">#REF!</definedName>
    <definedName name="신수1">#REF!</definedName>
    <definedName name="신수2">#REF!</definedName>
    <definedName name="신신자">#REF!</definedName>
    <definedName name="신자">#REF!</definedName>
    <definedName name="신자1">#REF!</definedName>
    <definedName name="신자2">#REF!</definedName>
    <definedName name="실적" hidden="1">{#N/A,#N/A,FALSE,"손익표지";#N/A,#N/A,FALSE,"손익계산";#N/A,#N/A,FALSE,"일반관리비";#N/A,#N/A,FALSE,"영업외수익";#N/A,#N/A,FALSE,"영업외비용";#N/A,#N/A,FALSE,"매출액";#N/A,#N/A,FALSE,"요약손익";#N/A,#N/A,FALSE,"요약대차";#N/A,#N/A,FALSE,"매출채권현황";#N/A,#N/A,FALSE,"매출채권명세"}</definedName>
    <definedName name="실적4월" hidden="1">{#N/A,#N/A,FALSE,"UNIT";#N/A,#N/A,FALSE,"UNIT";#N/A,#N/A,FALSE,"계정"}</definedName>
    <definedName name="실적6월" hidden="1">{#N/A,#N/A,FALSE,"UNIT";#N/A,#N/A,FALSE,"UNIT";#N/A,#N/A,FALSE,"계정"}</definedName>
    <definedName name="십이월">#REF!</definedName>
    <definedName name="ㅇ">#REF!</definedName>
    <definedName name="ㅇ_3">#REF!</definedName>
    <definedName name="ㅇ0"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ㅇADKFJDA" hidden="1">{#N/A,#N/A,FALSE,"을지 (4)";#N/A,#N/A,FALSE,"을지 (5)";#N/A,#N/A,FALSE,"을지 (6)"}</definedName>
    <definedName name="ㅇㄴㄹㄴㄹ" hidden="1">{#N/A,#N/A,FALSE,"손익표지";#N/A,#N/A,FALSE,"손익계산";#N/A,#N/A,FALSE,"일반관리비";#N/A,#N/A,FALSE,"영업외수익";#N/A,#N/A,FALSE,"영업외비용";#N/A,#N/A,FALSE,"매출액";#N/A,#N/A,FALSE,"요약손익";#N/A,#N/A,FALSE,"요약대차";#N/A,#N/A,FALSE,"매출채권현황";#N/A,#N/A,FALSE,"매출채권명세"}</definedName>
    <definedName name="ㅇㄴㄹㅇ" hidden="1">{#N/A,#N/A,FALSE,"손익표지";#N/A,#N/A,FALSE,"손익계산";#N/A,#N/A,FALSE,"일반관리비";#N/A,#N/A,FALSE,"영업외수익";#N/A,#N/A,FALSE,"영업외비용";#N/A,#N/A,FALSE,"매출액";#N/A,#N/A,FALSE,"요약손익";#N/A,#N/A,FALSE,"요약대차";#N/A,#N/A,FALSE,"매출채권현황";#N/A,#N/A,FALSE,"매출채권명세"}</definedName>
    <definedName name="ㅇㄴㅇㅇ" hidden="1">{#N/A,#N/A,FALSE,"UNIT";#N/A,#N/A,FALSE,"UNIT";#N/A,#N/A,FALSE,"계정"}</definedName>
    <definedName name="ㅇㄷㄴ" hidden="1">{#N/A,#N/A,FALSE,"Aging Summary";#N/A,#N/A,FALSE,"Ratio Analysis";#N/A,#N/A,FALSE,"Test 120 Day Accts";#N/A,#N/A,FALSE,"Tickmarks"}</definedName>
    <definedName name="ㅇㄷㄴ_3">#REF!</definedName>
    <definedName name="ㅇㄷㅁ" hidden="1">{#N/A,#N/A,FALSE,"UNIT";#N/A,#N/A,FALSE,"UNIT";#N/A,#N/A,FALSE,"계정"}</definedName>
    <definedName name="ㅇㄹㄴ" hidden="1">{#N/A,#N/A,FALSE,"BS";#N/A,#N/A,FALSE,"PL";#N/A,#N/A,FALSE,"처분";#N/A,#N/A,FALSE,"현금";#N/A,#N/A,FALSE,"매출";#N/A,#N/A,FALSE,"원가";#N/A,#N/A,FALSE,"경영"}</definedName>
    <definedName name="ㅇㄹㅀㅎ" hidden="1">{#N/A,#N/A,FALSE,"Aging Summary";#N/A,#N/A,FALSE,"Ratio Analysis";#N/A,#N/A,FALSE,"Test 120 Day Accts";#N/A,#N/A,FALSE,"Tickmarks"}</definedName>
    <definedName name="ㅇㄹㅀㅎ_3">#REF!</definedName>
    <definedName name="ㅇㄹㅇ" hidden="1">{#N/A,#N/A,FALSE,"3가";#N/A,#N/A,FALSE,"3나";#N/A,#N/A,FALSE,"3다"}</definedName>
    <definedName name="ㅇㄹㅇ_3">#REF!</definedName>
    <definedName name="ㅇㄹㅇㄴ" hidden="1">{#N/A,#N/A,FALSE,"3가";#N/A,#N/A,FALSE,"3나";#N/A,#N/A,FALSE,"3다"}</definedName>
    <definedName name="ㅇㄹㅇㄴ_3">#REF!</definedName>
    <definedName name="ㅇㄹㅇㄹ" hidden="1">#REF!</definedName>
    <definedName name="ㅇㄹㅇㄹㅇ" hidden="1">{#N/A,#N/A,FALSE,"정공"}</definedName>
    <definedName name="ㅇㄹㅇㄹㅇㄹㅇ" hidden="1">{#N/A,#N/A,FALSE,"UNIT";#N/A,#N/A,FALSE,"UNIT";#N/A,#N/A,FALSE,"계정"}</definedName>
    <definedName name="ㅇㄹ홍ㄹ호" hidden="1">{#N/A,#N/A,FALSE,"손익표지";#N/A,#N/A,FALSE,"손익계산";#N/A,#N/A,FALSE,"일반관리비";#N/A,#N/A,FALSE,"영업외수익";#N/A,#N/A,FALSE,"영업외비용";#N/A,#N/A,FALSE,"매출액";#N/A,#N/A,FALSE,"요약손익";#N/A,#N/A,FALSE,"요약대차";#N/A,#N/A,FALSE,"매출채권현황";#N/A,#N/A,FALSE,"매출채권명세"}</definedName>
    <definedName name="ㅇㄹ홍ㅎ" hidden="1">{#N/A,#N/A,FALSE,"손익표지";#N/A,#N/A,FALSE,"손익계산";#N/A,#N/A,FALSE,"일반관리비";#N/A,#N/A,FALSE,"영업외수익";#N/A,#N/A,FALSE,"영업외비용";#N/A,#N/A,FALSE,"매출액";#N/A,#N/A,FALSE,"요약손익";#N/A,#N/A,FALSE,"요약대차";#N/A,#N/A,FALSE,"매출채권현황";#N/A,#N/A,FALSE,"매출채권명세"}</definedName>
    <definedName name="ㅇ롬ㄴ" hidden="1">{#N/A,#N/A,FALSE,"Sheet5"}</definedName>
    <definedName name="ㅇㄻㅇㄹ" hidden="1">{#N/A,#N/A,FALSE,"Aging Summary";#N/A,#N/A,FALSE,"Ratio Analysis";#N/A,#N/A,FALSE,"Test 120 Day Accts";#N/A,#N/A,FALSE,"Tickmarks"}</definedName>
    <definedName name="ㅇㄻㅇㄹ_3">#REF!</definedName>
    <definedName name="ㅇㅀㅇㅀ" hidden="1">{#N/A,#N/A,FALSE,"손익표지";#N/A,#N/A,FALSE,"손익계산";#N/A,#N/A,FALSE,"일반관리비";#N/A,#N/A,FALSE,"영업외수익";#N/A,#N/A,FALSE,"영업외비용";#N/A,#N/A,FALSE,"매출액";#N/A,#N/A,FALSE,"요약손익";#N/A,#N/A,FALSE,"요약대차";#N/A,#N/A,FALSE,"매출채권현황";#N/A,#N/A,FALSE,"매출채권명세"}</definedName>
    <definedName name="ㅇㅀㅇㅁㄹ" hidden="1">{#N/A,#N/A,FALSE,"3가";#N/A,#N/A,FALSE,"3나";#N/A,#N/A,FALSE,"3다"}</definedName>
    <definedName name="ㅇㅀㅇㅁㄹ_3">#REF!</definedName>
    <definedName name="ㅇㅁㄴㄻㄴㅇ" hidden="1">{#N/A,#N/A,FALSE,"손익표지";#N/A,#N/A,FALSE,"손익계산";#N/A,#N/A,FALSE,"일반관리비";#N/A,#N/A,FALSE,"영업외수익";#N/A,#N/A,FALSE,"영업외비용";#N/A,#N/A,FALSE,"매출액";#N/A,#N/A,FALSE,"요약손익";#N/A,#N/A,FALSE,"요약대차";#N/A,#N/A,FALSE,"매출채권현황";#N/A,#N/A,FALSE,"매출채권명세"}</definedName>
    <definedName name="ㅇㅁㄻ" hidden="1">{#N/A,#N/A,FALSE,"Aging Summary";#N/A,#N/A,FALSE,"Ratio Analysis";#N/A,#N/A,FALSE,"Test 120 Day Accts";#N/A,#N/A,FALSE,"Tickmarks"}</definedName>
    <definedName name="ㅇㅁㄻ_3">#REF!</definedName>
    <definedName name="ㅇㅁㄻㄴㄹ" hidden="1">{#N/A,#N/A,FALSE,"손익표지";#N/A,#N/A,FALSE,"손익계산";#N/A,#N/A,FALSE,"일반관리비";#N/A,#N/A,FALSE,"영업외수익";#N/A,#N/A,FALSE,"영업외비용";#N/A,#N/A,FALSE,"매출액";#N/A,#N/A,FALSE,"요약손익";#N/A,#N/A,FALSE,"요약대차";#N/A,#N/A,FALSE,"매출채권현황";#N/A,#N/A,FALSE,"매출채권명세"}</definedName>
    <definedName name="ㅇㅁㄻㅇㄴㄹㅇㅁ" hidden="1">{#N/A,#N/A,FALSE,"Aging Summary";#N/A,#N/A,FALSE,"Ratio Analysis";#N/A,#N/A,FALSE,"Test 120 Day Accts";#N/A,#N/A,FALSE,"Tickmarks"}</definedName>
    <definedName name="ㅇㅁㄻㅇㄴㄹㅇㅁ_3">#REF!</definedName>
    <definedName name="ㅇㅁㄻㅇㄹ" hidden="1">{#N/A,#N/A,FALSE,"Aging Summary";#N/A,#N/A,FALSE,"Ratio Analysis";#N/A,#N/A,FALSE,"Test 120 Day Accts";#N/A,#N/A,FALSE,"Tickmarks"}</definedName>
    <definedName name="ㅇㅁㄻㅇㄹ_3">#REF!</definedName>
    <definedName name="ㅇㅇ">#REF!</definedName>
    <definedName name="ㅇㅇ_3">#REF!</definedName>
    <definedName name="ㅇㅇㅀ" hidden="1">{#N/A,#N/A,FALSE,"BS";#N/A,#N/A,FALSE,"PL";#N/A,#N/A,FALSE,"A";#N/A,#N/A,FALSE,"B";#N/A,#N/A,FALSE,"B1";#N/A,#N/A,FALSE,"C";#N/A,#N/A,FALSE,"C1";#N/A,#N/A,FALSE,"C2";#N/A,#N/A,FALSE,"D";#N/A,#N/A,FALSE,"E";#N/A,#N/A,FALSE,"F";#N/A,#N/A,FALSE,"AA";#N/A,#N/A,FALSE,"BB";#N/A,#N/A,FALSE,"CC";#N/A,#N/A,FALSE,"DD";#N/A,#N/A,FALSE,"EE";#N/A,#N/A,FALSE,"FF";#N/A,#N/A,FALSE,"PL10";#N/A,#N/A,FALSE,"PL20";#N/A,#N/A,FALSE,"PL30"}</definedName>
    <definedName name="ㅇㅇㅇ">#REF!</definedName>
    <definedName name="ㅇㅇㅇㅇ" hidden="1">{#N/A,#N/A,FALSE,"UNIT";#N/A,#N/A,FALSE,"UNIT";#N/A,#N/A,FALSE,"계정"}</definedName>
    <definedName name="ㅇㅇㅇㅇㅇ">{"'Sheet1'!$A$1:$H$36"}</definedName>
    <definedName name="ㅇㅇㅇㅇㅇㅇ" hidden="1">{#N/A,#N/A,FALSE,"UNIT";#N/A,#N/A,FALSE,"UNIT";#N/A,#N/A,FALSE,"계정"}</definedName>
    <definedName name="ㅇㅇㅇㅇㅇㅇㅇㅇㅇㅇㅇㅇㅇㅇ" hidden="1">{#N/A,#N/A,FALSE,"UNIT";#N/A,#N/A,FALSE,"UNIT";#N/A,#N/A,FALSE,"계정"}</definedName>
    <definedName name="ㅇㅈ"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ㅇㅈ_3">#REF!</definedName>
    <definedName name="ㅇㅈㄴㄹㄴㅇ" hidden="1">{#N/A,#N/A,FALSE,"손익표지";#N/A,#N/A,FALSE,"손익계산";#N/A,#N/A,FALSE,"일반관리비";#N/A,#N/A,FALSE,"영업외수익";#N/A,#N/A,FALSE,"영업외비용";#N/A,#N/A,FALSE,"매출액";#N/A,#N/A,FALSE,"요약손익";#N/A,#N/A,FALSE,"요약대차";#N/A,#N/A,FALSE,"매출채권현황";#N/A,#N/A,FALSE,"매출채권명세"}</definedName>
    <definedName name="ㅇㅎ">#REF!</definedName>
    <definedName name="ㅇ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ㅇ誴_3">#REF!</definedName>
    <definedName name="아" hidden="1">{#N/A,#N/A,FALSE,"BS";#N/A,#N/A,FALSE,"PL";#N/A,#N/A,FALSE,"처분";#N/A,#N/A,FALSE,"현금";#N/A,#N/A,FALSE,"매출";#N/A,#N/A,FALSE,"원가";#N/A,#N/A,FALSE,"경영"}</definedName>
    <definedName name="아나나" hidden="1">{#N/A,#N/A,FALSE,"정공"}</definedName>
    <definedName name="아나마오" hidden="1">{#N/A,#N/A,FALSE,"정공"}</definedName>
    <definedName name="아니" hidden="1">{#N/A,#N/A,FALSE,"BS";#N/A,#N/A,FALSE,"PL";#N/A,#N/A,FALSE,"처분";#N/A,#N/A,FALSE,"현금";#N/A,#N/A,FALSE,"매출";#N/A,#N/A,FALSE,"원가";#N/A,#N/A,FALSE,"경영"}</definedName>
    <definedName name="아니면말고" hidden="1">{#N/A,#N/A,FALSE,"정공"}</definedName>
    <definedName name="아니오아" hidden="1">{#N/A,#N/A,FALSE,"KMC최종회의(7월) 자료"}</definedName>
    <definedName name="아닙니다" hidden="1">{#N/A,#N/A,FALSE,"정공"}</definedName>
    <definedName name="아름다은" hidden="1">{#N/A,#N/A,FALSE,"BS";#N/A,#N/A,FALSE,"PL";#N/A,#N/A,FALSE,"처분";#N/A,#N/A,FALSE,"현금";#N/A,#N/A,FALSE,"매출";#N/A,#N/A,FALSE,"원가";#N/A,#N/A,FALSE,"경영"}</definedName>
    <definedName name="아메리카"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싸아" hidden="1">{#N/A,#N/A,FALSE,"손익표지";#N/A,#N/A,FALSE,"손익계산";#N/A,#N/A,FALSE,"일반관리비";#N/A,#N/A,FALSE,"영업외수익";#N/A,#N/A,FALSE,"영업외비용";#N/A,#N/A,FALSE,"매출액";#N/A,#N/A,FALSE,"요약손익";#N/A,#N/A,FALSE,"요약대차";#N/A,#N/A,FALSE,"매출채권현황";#N/A,#N/A,FALSE,"매출채권명세"}</definedName>
    <definedName name="아아">#REF!</definedName>
    <definedName name="아조하아" hidden="1">{#N/A,#N/A,FALSE,"UNIT";#N/A,#N/A,FALSE,"UNIT";#N/A,#N/A,FALSE,"계정"}</definedName>
    <definedName name="아ㅏ아아아아아" hidden="1">{#N/A,#N/A,FALSE,"UNIT";#N/A,#N/A,FALSE,"UNIT";#N/A,#N/A,FALSE,"계정"}</definedName>
    <definedName name="아ㅓㅏㅣㅓ" hidden="1">{#N/A,#N/A,FALSE,"Sheet5"}</definedName>
    <definedName name="안" hidden="1">{#N/A,#N/A,FALSE,"3가";#N/A,#N/A,FALSE,"3나";#N/A,#N/A,FALSE,"3다"}</definedName>
    <definedName name="안_3">#REF!</definedName>
    <definedName name="안건">#REF!</definedName>
    <definedName name="알파">#REF!</definedName>
    <definedName name="앗서" hidden="1">{#N/A,#N/A,FALSE,"정공"}</definedName>
    <definedName name="앙">BLCH</definedName>
    <definedName name="앙1" hidden="1">{#N/A,#N/A,FALSE,"BS";#N/A,#N/A,FALSE,"PL";#N/A,#N/A,FALSE,"처분";#N/A,#N/A,FALSE,"현금";#N/A,#N/A,FALSE,"매출";#N/A,#N/A,FALSE,"원가";#N/A,#N/A,FALSE,"경영"}</definedName>
    <definedName name="앙앙" hidden="1">{#N/A,#N/A,FALSE,"BS";#N/A,#N/A,FALSE,"PL";#N/A,#N/A,FALSE,"처분";#N/A,#N/A,FALSE,"현금";#N/A,#N/A,FALSE,"매출";#N/A,#N/A,FALSE,"원가";#N/A,#N/A,FALSE,"경영"}</definedName>
    <definedName name="앟ㅀㅎ" hidden="1">{#N/A,#N/A,FALSE,"손익표지";#N/A,#N/A,FALSE,"손익계산";#N/A,#N/A,FALSE,"일반관리비";#N/A,#N/A,FALSE,"영업외수익";#N/A,#N/A,FALSE,"영업외비용";#N/A,#N/A,FALSE,"매출액";#N/A,#N/A,FALSE,"요약손익";#N/A,#N/A,FALSE,"요약대차";#N/A,#N/A,FALSE,"매출채권현황";#N/A,#N/A,FALSE,"매출채권명세"}</definedName>
    <definedName name="애드서버">#REF!</definedName>
    <definedName name="애드소프트">#REF!</definedName>
    <definedName name="야" hidden="1">{#N/A,#N/A,FALSE,"UNIT";#N/A,#N/A,FALSE,"UNIT";#N/A,#N/A,FALSE,"계정"}</definedName>
    <definedName name="약식손익" hidden="1">{#N/A,#N/A,FALSE,"정공"}</definedName>
    <definedName name="약식손익계산서">#REF!</definedName>
    <definedName name="약정잉자" hidden="1">{#N/A,#N/A,FALSE,"정공"}</definedName>
    <definedName name="양"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양_3">#REF!</definedName>
    <definedName name="양식" hidden="1">{#N/A,#N/A,FALSE,"손익표지";#N/A,#N/A,FALSE,"손익계산";#N/A,#N/A,FALSE,"일반관리비";#N/A,#N/A,FALSE,"영업외수익";#N/A,#N/A,FALSE,"영업외비용";#N/A,#N/A,FALSE,"매출액";#N/A,#N/A,FALSE,"요약손익";#N/A,#N/A,FALSE,"요약대차";#N/A,#N/A,FALSE,"매출채권현황";#N/A,#N/A,FALSE,"매출채권명세"}</definedName>
    <definedName name="양재승2222222" hidden="1">#REF!</definedName>
    <definedName name="어" hidden="1">{#N/A,#N/A,FALSE,"Sheet5"}</definedName>
    <definedName name="어떡해" hidden="1">{"'Sheet1'!$A$1:$H$36"}</definedName>
    <definedName name="어음차입금" hidden="1">#N/A</definedName>
    <definedName name="업_태">#REF!</definedName>
    <definedName name="업무보고용" hidden="1">{#N/A,#N/A,FALSE,"정공"}</definedName>
    <definedName name="없애버림" hidden="1">{#N/A,#N/A,FALSE,"손익표지";#N/A,#N/A,FALSE,"손익계산";#N/A,#N/A,FALSE,"일반관리비";#N/A,#N/A,FALSE,"영업외수익";#N/A,#N/A,FALSE,"영업외비용";#N/A,#N/A,FALSE,"매출액";#N/A,#N/A,FALSE,"요약손익";#N/A,#N/A,FALSE,"요약대차";#N/A,#N/A,FALSE,"매출채권현황";#N/A,#N/A,FALSE,"매출채권명세"}</definedName>
    <definedName name="없에버림" hidden="1">{#N/A,#N/A,FALSE,"손익표지";#N/A,#N/A,FALSE,"손익계산";#N/A,#N/A,FALSE,"일반관리비";#N/A,#N/A,FALSE,"영업외수익";#N/A,#N/A,FALSE,"영업외비용";#N/A,#N/A,FALSE,"매출액";#N/A,#N/A,FALSE,"요약손익";#N/A,#N/A,FALSE,"요약대차";#N/A,#N/A,FALSE,"매출채권현황";#N/A,#N/A,FALSE,"매출채권명세"}</definedName>
    <definedName name="엉" hidden="1">{#N/A,#N/A,FALSE,"손익표지";#N/A,#N/A,FALSE,"손익계산";#N/A,#N/A,FALSE,"일반관리비";#N/A,#N/A,FALSE,"영업외수익";#N/A,#N/A,FALSE,"영업외비용";#N/A,#N/A,FALSE,"매출액";#N/A,#N/A,FALSE,"요약손익";#N/A,#N/A,FALSE,"요약대차";#N/A,#N/A,FALSE,"매출채권현황";#N/A,#N/A,FALSE,"매출채권명세"}</definedName>
    <definedName name="엔">#REF!</definedName>
    <definedName name="엔비용">#REF!</definedName>
    <definedName name="엔환율">#REF!</definedName>
    <definedName name="여비교통">#REF!</definedName>
    <definedName name="여수" hidden="1">{#N/A,#N/A,FALSE,"손익표지";#N/A,#N/A,FALSE,"손익계산";#N/A,#N/A,FALSE,"일반관리비";#N/A,#N/A,FALSE,"영업외수익";#N/A,#N/A,FALSE,"영업외비용";#N/A,#N/A,FALSE,"매출액";#N/A,#N/A,FALSE,"요약손익";#N/A,#N/A,FALSE,"요약대차";#N/A,#N/A,FALSE,"매출채권현황";#N/A,#N/A,FALSE,"매출채권명세"}</definedName>
    <definedName name="여의도" hidden="1">{#N/A,#N/A,FALSE,"손익표지";#N/A,#N/A,FALSE,"손익계산";#N/A,#N/A,FALSE,"일반관리비";#N/A,#N/A,FALSE,"영업외수익";#N/A,#N/A,FALSE,"영업외비용";#N/A,#N/A,FALSE,"매출액";#N/A,#N/A,FALSE,"요약손익";#N/A,#N/A,FALSE,"요약대차";#N/A,#N/A,FALSE,"매출채권현황";#N/A,#N/A,FALSE,"매출채권명세"}</definedName>
    <definedName name="여의주" hidden="1">{#N/A,#N/A,FALSE,"손익표지";#N/A,#N/A,FALSE,"손익계산";#N/A,#N/A,FALSE,"일반관리비";#N/A,#N/A,FALSE,"영업외수익";#N/A,#N/A,FALSE,"영업외비용";#N/A,#N/A,FALSE,"매출액";#N/A,#N/A,FALSE,"요약손익";#N/A,#N/A,FALSE,"요약대차";#N/A,#N/A,FALSE,"매출채권현황";#N/A,#N/A,FALSE,"매출채권명세"}</definedName>
    <definedName name="연간예상" hidden="1">{#N/A,#N/A,FALSE,"UNIT";#N/A,#N/A,FALSE,"UNIT";#N/A,#N/A,FALSE,"계정"}</definedName>
    <definedName name="연결정산표2" hidden="1">{#N/A,#N/A,FALSE,"Aging Summary";#N/A,#N/A,FALSE,"Ratio Analysis";#N/A,#N/A,FALSE,"Test 120 Day Accts";#N/A,#N/A,FALSE,"Tickmarks"}</definedName>
    <definedName name="연계서버">#REF!</definedName>
    <definedName name="연계소프트">#REF!</definedName>
    <definedName name="연구" hidden="1">{#N/A,#N/A,FALSE,"3가";#N/A,#N/A,FALSE,"3나";#N/A,#N/A,FALSE,"3다"}</definedName>
    <definedName name="연구_3">#REF!</definedName>
    <definedName name="연구개발비">#REF!</definedName>
    <definedName name="연구소계" hidden="1">{"'5국공정'!$A$1:$E$128"}</definedName>
    <definedName name="연령분석" hidden="1">#REF!</definedName>
    <definedName name="연령분석표" hidden="1">#REF!</definedName>
    <definedName name="연리">#REF!</definedName>
    <definedName name="연말" hidden="1">#REF!</definedName>
    <definedName name="연말손익" hidden="1">{#N/A,#N/A,FALSE,"UNIT";#N/A,#N/A,FALSE,"UNIT";#N/A,#N/A,FALSE,"계정"}</definedName>
    <definedName name="연말예상" hidden="1">#REF!</definedName>
    <definedName name="연숩" hidden="1">{#N/A,#N/A,FALSE,"손익표지";#N/A,#N/A,FALSE,"손익계산";#N/A,#N/A,FALSE,"일반관리비";#N/A,#N/A,FALSE,"영업외수익";#N/A,#N/A,FALSE,"영업외비용";#N/A,#N/A,FALSE,"매출액";#N/A,#N/A,FALSE,"요약손익";#N/A,#N/A,FALSE,"요약대차";#N/A,#N/A,FALSE,"매출채권현황";#N/A,#N/A,FALSE,"매출채권명세"}</definedName>
    <definedName name="연습">#REF!</definedName>
    <definedName name="연습1" hidden="1">{#N/A,#N/A,FALSE,"손익표지";#N/A,#N/A,FALSE,"손익계산";#N/A,#N/A,FALSE,"일반관리비";#N/A,#N/A,FALSE,"영업외수익";#N/A,#N/A,FALSE,"영업외비용";#N/A,#N/A,FALSE,"매출액";#N/A,#N/A,FALSE,"요약손익";#N/A,#N/A,FALSE,"요약대차";#N/A,#N/A,FALSE,"매출채권현황";#N/A,#N/A,FALSE,"매출채권명세"}</definedName>
    <definedName name="연습3" hidden="1">{#N/A,#N/A,FALSE,"손익표지";#N/A,#N/A,FALSE,"손익계산";#N/A,#N/A,FALSE,"일반관리비";#N/A,#N/A,FALSE,"영업외수익";#N/A,#N/A,FALSE,"영업외비용";#N/A,#N/A,FALSE,"매출액";#N/A,#N/A,FALSE,"요약손익";#N/A,#N/A,FALSE,"요약대차";#N/A,#N/A,FALSE,"매출채권현황";#N/A,#N/A,FALSE,"매출채권명세"}</definedName>
    <definedName name="연주얀" hidden="1">{#N/A,#N/A,FALSE,"정공"}</definedName>
    <definedName name="연차">#REF!</definedName>
    <definedName name="연체이자탕감" hidden="1">{#N/A,#N/A,FALSE,"KMC최종회의(7월) 자료"}</definedName>
    <definedName name="열병" hidden="1">{#N/A,#N/A,FALSE,"손익표지";#N/A,#N/A,FALSE,"손익계산";#N/A,#N/A,FALSE,"일반관리비";#N/A,#N/A,FALSE,"영업외수익";#N/A,#N/A,FALSE,"영업외비용";#N/A,#N/A,FALSE,"매출액";#N/A,#N/A,FALSE,"요약손익";#N/A,#N/A,FALSE,"요약대차";#N/A,#N/A,FALSE,"매출채권현황";#N/A,#N/A,FALSE,"매출채권명세"}</definedName>
    <definedName name="열쇠" hidden="1">#REF!</definedName>
    <definedName name="영">#REF!</definedName>
    <definedName name="영업">#REF!</definedName>
    <definedName name="영업권" hidden="1">{#N/A,#N/A,FALSE,"BS";#N/A,#N/A,FALSE,"PL";#N/A,#N/A,FALSE,"처분";#N/A,#N/A,FALSE,"현금";#N/A,#N/A,FALSE,"매출";#N/A,#N/A,FALSE,"원가";#N/A,#N/A,FALSE,"경영"}</definedName>
    <definedName name="영업권_3">#REF!</definedName>
    <definedName name="영업권1" hidden="1">{#N/A,#N/A,FALSE,"BS";#N/A,#N/A,FALSE,"PL";#N/A,#N/A,FALSE,"처분";#N/A,#N/A,FALSE,"현금";#N/A,#N/A,FALSE,"매출";#N/A,#N/A,FALSE,"원가";#N/A,#N/A,FALSE,"경영"}</definedName>
    <definedName name="영업비중">#REF!</definedName>
    <definedName name="영업수수료">#REF!</definedName>
    <definedName name="영업외" hidden="1">#REF!</definedName>
    <definedName name="영업외비용">#REF!</definedName>
    <definedName name="영업외비용_3">#REF!</definedName>
    <definedName name="영업외수" hidden="1">#REF!</definedName>
    <definedName name="영역">#REF!</definedName>
    <definedName name="영역1">#REF!</definedName>
    <definedName name="영외수">#REF!</definedName>
    <definedName name="예1" hidden="1">{#N/A,#N/A,FALSE,"정공"}</definedName>
    <definedName name="예2" hidden="1">{#N/A,#N/A,FALSE,"정공"}</definedName>
    <definedName name="예3" hidden="1">{#N/A,#N/A,FALSE,"정공"}</definedName>
    <definedName name="예금명세">#REF!</definedName>
    <definedName name="예비분석">#REF!</definedName>
    <definedName name="예산">#REF!</definedName>
    <definedName name="예수금">#REF!</definedName>
    <definedName name="오" hidden="1">{#N/A,#N/A,FALSE,"UNIT";#N/A,#N/A,FALSE,"UNIT";#N/A,#N/A,FALSE,"계정"}</definedName>
    <definedName name="오." hidden="1">{#N/A,#N/A,FALSE,"UNIT";#N/A,#N/A,FALSE,"UNIT";#N/A,#N/A,FALSE,"계정"}</definedName>
    <definedName name="오.." hidden="1">{#N/A,#N/A,FALSE,"UNIT";#N/A,#N/A,FALSE,"UNIT";#N/A,#N/A,FALSE,"계정"}</definedName>
    <definedName name="오성협" hidden="1">{#N/A,#N/A,TRUE,"Y생산";#N/A,#N/A,TRUE,"Y판매";#N/A,#N/A,TRUE,"Y총물량";#N/A,#N/A,TRUE,"Y능력";#N/A,#N/A,TRUE,"YKD"}</definedName>
    <definedName name="오옹" hidden="1">{#N/A,#N/A,FALSE,"손익표지";#N/A,#N/A,FALSE,"손익계산";#N/A,#N/A,FALSE,"일반관리비";#N/A,#N/A,FALSE,"영업외수익";#N/A,#N/A,FALSE,"영업외비용";#N/A,#N/A,FALSE,"매출액";#N/A,#N/A,FALSE,"요약손익";#N/A,#N/A,FALSE,"요약대차";#N/A,#N/A,FALSE,"매출채권현황";#N/A,#N/A,FALSE,"매출채권명세"}</definedName>
    <definedName name="오토케어">#REF!</definedName>
    <definedName name="옳ㅇ로" hidden="1">{#N/A,#N/A,FALSE,"손익표지";#N/A,#N/A,FALSE,"손익계산";#N/A,#N/A,FALSE,"일반관리비";#N/A,#N/A,FALSE,"영업외수익";#N/A,#N/A,FALSE,"영업외비용";#N/A,#N/A,FALSE,"매출액";#N/A,#N/A,FALSE,"요약손익";#N/A,#N/A,FALSE,"요약대차";#N/A,#N/A,FALSE,"매출채권현황";#N/A,#N/A,FALSE,"매출채권명세"}</definedName>
    <definedName name="와와" hidden="1">{#N/A,#N/A,FALSE,"손익표지";#N/A,#N/A,FALSE,"손익계산";#N/A,#N/A,FALSE,"일반관리비";#N/A,#N/A,FALSE,"영업외수익";#N/A,#N/A,FALSE,"영업외비용";#N/A,#N/A,FALSE,"매출액";#N/A,#N/A,FALSE,"요약손익";#N/A,#N/A,FALSE,"요약대차";#N/A,#N/A,FALSE,"매출채권현황";#N/A,#N/A,FALSE,"매출채권명세"}</definedName>
    <definedName name="왔" hidden="1">{#N/A,#N/A,FALSE,"Sheet5"}</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왜이러냐" hidden="1">{"'Sheet1'!$A$1:$H$36"}</definedName>
    <definedName name="왜이러지" hidden="1">{#N/A,#N/A,FALSE,"BS";#N/A,#N/A,FALSE,"PL";#N/A,#N/A,FALSE,"처분";#N/A,#N/A,FALSE,"현금";#N/A,#N/A,FALSE,"매출";#N/A,#N/A,FALSE,"원가";#N/A,#N/A,FALSE,"경영"}</definedName>
    <definedName name="외국인급여">#REF!</definedName>
    <definedName name="외상매입">#REF!</definedName>
    <definedName name="외상매출금">#REF!</definedName>
    <definedName name="외화"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외화_3">#REF!</definedName>
    <definedName name="외화단기차입금" hidden="1">#REF!</definedName>
    <definedName name="외화매입">#REF!</definedName>
    <definedName name="외화부채평가2" hidden="1">{#N/A,#N/A,FALSE,"UNIT";#N/A,#N/A,FALSE,"UNIT";#N/A,#N/A,FALSE,"계정"}</definedName>
    <definedName name="외화평가">#REF!</definedName>
    <definedName name="외화평가명세">#REF!</definedName>
    <definedName name="외화환산" hidden="1">{#N/A,#N/A,FALSE,"Aging Summary";#N/A,#N/A,FALSE,"Ratio Analysis";#N/A,#N/A,FALSE,"Test 120 Day Accts";#N/A,#N/A,FALSE,"Tickmarks"}</definedName>
    <definedName name="외화환산_3">#REF!</definedName>
    <definedName name="외화환차" hidden="1">{#N/A,#N/A,FALSE,"정공"}</definedName>
    <definedName name="외화환차1" hidden="1">{#N/A,#N/A,FALSE,"정공"}</definedName>
    <definedName name="외환산"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외환산_3">#REF!</definedName>
    <definedName name="외환산조서"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외환산조서_3">#REF!</definedName>
    <definedName name="외환차손ADJ"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외환차손ADJ_3">#REF!</definedName>
    <definedName name="요" hidden="1">{#N/A,#N/A,FALSE,"BS";#N/A,#N/A,FALSE,"PL";#N/A,#N/A,FALSE,"처분";#N/A,#N/A,FALSE,"현금";#N/A,#N/A,FALSE,"매출";#N/A,#N/A,FALSE,"원가";#N/A,#N/A,FALSE,"경영"}</definedName>
    <definedName name="요금DATA">#REF!</definedName>
    <definedName name="요약" hidden="1">{#N/A,#N/A,FALSE,"BS";#N/A,#N/A,FALSE,"PL";#N/A,#N/A,FALSE,"처분";#N/A,#N/A,FALSE,"현금";#N/A,#N/A,FALSE,"매출";#N/A,#N/A,FALSE,"원가";#N/A,#N/A,FALSE,"경영"}</definedName>
    <definedName name="요약1차">#REF!,#REF!</definedName>
    <definedName name="요약2차">#REF!,#REF!</definedName>
    <definedName name="요약3" hidden="1">{#N/A,#N/A,FALSE,"정공"}</definedName>
    <definedName name="요약5" hidden="1">{#N/A,#N/A,FALSE,"정공"}</definedName>
    <definedName name="요약총괄" hidden="1">{#N/A,#N/A,FALSE,"정공"}</definedName>
    <definedName name="용" hidden="1">{#N/A,#N/A,FALSE,"P.C.B"}</definedName>
    <definedName name="우" hidden="1">{#N/A,#N/A,FALSE,"Sheet5"}</definedName>
    <definedName name="우가현황">#REF!</definedName>
    <definedName name="우리" hidden="1">{#N/A,#N/A,FALSE,"P.C.B"}</definedName>
    <definedName name="우선">{"'손익현황'!$A$1:$J$29"}</definedName>
    <definedName name="우승" hidden="1">{#N/A,#N/A,FALSE,"손익표지";#N/A,#N/A,FALSE,"손익계산";#N/A,#N/A,FALSE,"일반관리비";#N/A,#N/A,FALSE,"영업외수익";#N/A,#N/A,FALSE,"영업외비용";#N/A,#N/A,FALSE,"매출액";#N/A,#N/A,FALSE,"요약손익";#N/A,#N/A,FALSE,"요약대차";#N/A,#N/A,FALSE,"매출채권현황";#N/A,#N/A,FALSE,"매출채권명세"}</definedName>
    <definedName name="우와" hidden="1">{#N/A,#N/A,FALSE,"손익표지";#N/A,#N/A,FALSE,"손익계산";#N/A,#N/A,FALSE,"일반관리비";#N/A,#N/A,FALSE,"영업외수익";#N/A,#N/A,FALSE,"영업외비용";#N/A,#N/A,FALSE,"매출액";#N/A,#N/A,FALSE,"요약손익";#N/A,#N/A,FALSE,"요약대차";#N/A,#N/A,FALSE,"매출채권현황";#N/A,#N/A,FALSE,"매출채권명세"}</definedName>
    <definedName name="우우웅" hidden="1">{#N/A,#N/A,FALSE,"손익표지";#N/A,#N/A,FALSE,"손익계산";#N/A,#N/A,FALSE,"일반관리비";#N/A,#N/A,FALSE,"영업외수익";#N/A,#N/A,FALSE,"영업외비용";#N/A,#N/A,FALSE,"매출액";#N/A,#N/A,FALSE,"요약손익";#N/A,#N/A,FALSE,"요약대차";#N/A,#N/A,FALSE,"매출채권현황";#N/A,#N/A,FALSE,"매출채권명세"}</definedName>
    <definedName name="운송">#REF!</definedName>
    <definedName name="운송ㅁ">#REF!</definedName>
    <definedName name="운송명세">#REF!</definedName>
    <definedName name="운용리스잔존원화">#REF!</definedName>
    <definedName name="운용미수잔존외화">#REF!</definedName>
    <definedName name="운용미수잔존원화">#REF!</definedName>
    <definedName name="운용선수잔존외화">#REF!</definedName>
    <definedName name="운용선수잔존원화">#REF!</definedName>
    <definedName name="운용잔존외화">#REF!</definedName>
    <definedName name="운용잔존원화">#REF!</definedName>
    <definedName name="울산" hidden="1">{#N/A,#N/A,FALSE,"손익표지";#N/A,#N/A,FALSE,"손익계산";#N/A,#N/A,FALSE,"일반관리비";#N/A,#N/A,FALSE,"영업외수익";#N/A,#N/A,FALSE,"영업외비용";#N/A,#N/A,FALSE,"매출액";#N/A,#N/A,FALSE,"요약손익";#N/A,#N/A,FALSE,"요약대차";#N/A,#N/A,FALSE,"매출채권현황";#N/A,#N/A,FALSE,"매출채권명세"}</definedName>
    <definedName name="원" hidden="1">{#N/A,#N/A,FALSE,"P.C.B"}</definedName>
    <definedName name="원가관리라" hidden="1">{#N/A,#N/A,FALSE,"정공"}</definedName>
    <definedName name="원가요소1027" hidden="1">{#N/A,#N/A,FALSE,"표지";#N/A,#N/A,FALSE,"주요지표";#N/A,#N/A,FALSE,"고장현황(시간)";#N/A,#N/A,FALSE,"고장현황(1제강)"}</definedName>
    <definedName name="원가적용" hidden="1">{#N/A,#N/A,FALSE,"정공"}</definedName>
    <definedName name="원금">#REF!</definedName>
    <definedName name="원래" hidden="1">{#N/A,#N/A,FALSE,"손익표지";#N/A,#N/A,FALSE,"손익계산";#N/A,#N/A,FALSE,"일반관리비";#N/A,#N/A,FALSE,"영업외수익";#N/A,#N/A,FALSE,"영업외비용";#N/A,#N/A,FALSE,"매출액";#N/A,#N/A,FALSE,"요약손익";#N/A,#N/A,FALSE,"요약대차";#N/A,#N/A,FALSE,"매출채권현황";#N/A,#N/A,FALSE,"매출채권명세"}</definedName>
    <definedName name="원본2" hidden="1">#REF!</definedName>
    <definedName name="원시">#REF!</definedName>
    <definedName name="원재료생산현황" hidden="1">{#N/A,#N/A,FALSE,"손익표지";#N/A,#N/A,FALSE,"손익계산";#N/A,#N/A,FALSE,"일반관리비";#N/A,#N/A,FALSE,"영업외수익";#N/A,#N/A,FALSE,"영업외비용";#N/A,#N/A,FALSE,"매출액";#N/A,#N/A,FALSE,"요약손익";#N/A,#N/A,FALSE,"요약대차";#N/A,#N/A,FALSE,"매출채권현황";#N/A,#N/A,FALSE,"매출채권명세"}</definedName>
    <definedName name="원천납부8"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원천납부8_3">#REF!</definedName>
    <definedName name="월">#REF!</definedName>
    <definedName name="월_01">#REF!,#REF!</definedName>
    <definedName name="월_02">#REF!,#REF!</definedName>
    <definedName name="월_03">#REF!,#REF!</definedName>
    <definedName name="월_04">#REF!,#REF!</definedName>
    <definedName name="월_05">#REF!,#REF!</definedName>
    <definedName name="월_06">#REF!,#REF!</definedName>
    <definedName name="월_07">#REF!,#REF!</definedName>
    <definedName name="월_08">#REF!,#REF!</definedName>
    <definedName name="월_09">#REF!,#REF!</definedName>
    <definedName name="월_10">#REF!,#REF!</definedName>
    <definedName name="월_11">#REF!,#REF!</definedName>
    <definedName name="월_12">#REF!,#REF!</definedName>
    <definedName name="월_13">#REF!,#REF!</definedName>
    <definedName name="월_14">#REF!,#REF!</definedName>
    <definedName name="월_60">#REF!,#REF!</definedName>
    <definedName name="월_판매">#REF!</definedName>
    <definedName name="월별내역">{"'Sheet1'!$A$1:$H$36"}</definedName>
    <definedName name="월별비용">#REF!</definedName>
    <definedName name="월별손익" hidden="1">{#N/A,#N/A,FALSE,"손익표지";#N/A,#N/A,FALSE,"손익계산";#N/A,#N/A,FALSE,"일반관리비";#N/A,#N/A,FALSE,"영업외수익";#N/A,#N/A,FALSE,"영업외비용";#N/A,#N/A,FALSE,"매출액";#N/A,#N/A,FALSE,"요약손익";#N/A,#N/A,FALSE,"요약대차";#N/A,#N/A,FALSE,"매출채권현황";#N/A,#N/A,FALSE,"매출채권명세"}</definedName>
    <definedName name="월별원가절감상세" hidden="1">{#N/A,#N/A,FALSE,"정공"}</definedName>
    <definedName name="월수">#REF!</definedName>
    <definedName name="위치서버">#REF!</definedName>
    <definedName name="위치소프트">#REF!</definedName>
    <definedName name="윌" hidden="1">{#N/A,#N/A,FALSE,"손익표지";#N/A,#N/A,FALSE,"손익계산";#N/A,#N/A,FALSE,"일반관리비";#N/A,#N/A,FALSE,"영업외수익";#N/A,#N/A,FALSE,"영업외비용";#N/A,#N/A,FALSE,"매출액";#N/A,#N/A,FALSE,"요약손익";#N/A,#N/A,FALSE,"요약대차";#N/A,#N/A,FALSE,"매출채권현황";#N/A,#N/A,FALSE,"매출채권명세"}</definedName>
    <definedName name="유가">#REF!</definedName>
    <definedName name="유가증권">#REF!</definedName>
    <definedName name="유가증권평가test" hidden="1">{#N/A,#N/A,FALSE,"Aging Summary";#N/A,#N/A,FALSE,"Ratio Analysis";#N/A,#N/A,FALSE,"Test 120 Day Accts";#N/A,#N/A,FALSE,"Tickmarks"}</definedName>
    <definedName name="유가증권평가test_3">#REF!</definedName>
    <definedName name="유가평가">#REF!</definedName>
    <definedName name="유니트" hidden="1">{#N/A,#N/A,FALSE,"3가";#N/A,#N/A,FALSE,"3나";#N/A,#N/A,FALSE,"3다"}</definedName>
    <definedName name="유니트_3">#REF!</definedName>
    <definedName name="유동성사채">#REF!</definedName>
    <definedName name="유동성장기부채">#REF!</definedName>
    <definedName name="유산" hidden="1">#REF!</definedName>
    <definedName name="유슨준" hidden="1">{#N/A,#N/A,FALSE,"손익표지";#N/A,#N/A,FALSE,"손익계산";#N/A,#N/A,FALSE,"일반관리비";#N/A,#N/A,FALSE,"영업외수익";#N/A,#N/A,FALSE,"영업외비용";#N/A,#N/A,FALSE,"매출액";#N/A,#N/A,FALSE,"요약손익";#N/A,#N/A,FALSE,"요약대차";#N/A,#N/A,FALSE,"매출채권현황";#N/A,#N/A,FALSE,"매출채권명세"}</definedName>
    <definedName name="유승" hidden="1">{#N/A,#N/A,FALSE,"손익표지";#N/A,#N/A,FALSE,"손익계산";#N/A,#N/A,FALSE,"일반관리비";#N/A,#N/A,FALSE,"영업외수익";#N/A,#N/A,FALSE,"영업외비용";#N/A,#N/A,FALSE,"매출액";#N/A,#N/A,FALSE,"요약손익";#N/A,#N/A,FALSE,"요약대차";#N/A,#N/A,FALSE,"매출채권현황";#N/A,#N/A,FALSE,"매출채권명세"}</definedName>
    <definedName name="유승주" hidden="1">{#N/A,#N/A,FALSE,"손익표지";#N/A,#N/A,FALSE,"손익계산";#N/A,#N/A,FALSE,"일반관리비";#N/A,#N/A,FALSE,"영업외수익";#N/A,#N/A,FALSE,"영업외비용";#N/A,#N/A,FALSE,"매출액";#N/A,#N/A,FALSE,"요약손익";#N/A,#N/A,FALSE,"요약대차";#N/A,#N/A,FALSE,"매출채권현황";#N/A,#N/A,FALSE,"매출채권명세"}</definedName>
    <definedName name="유첨">{"'Sheet1'!$A$1:$H$36"}</definedName>
    <definedName name="유형" hidden="1">{#N/A,#N/A,FALSE,"Sheet5"}</definedName>
    <definedName name="유형자산" hidden="1">{#N/A,#N/A,FALSE,"Aging Summary";#N/A,#N/A,FALSE,"Ratio Analysis";#N/A,#N/A,FALSE,"Test 120 Day Accts";#N/A,#N/A,FALSE,"Tickmarks"}</definedName>
    <definedName name="유형자산_3">#REF!</definedName>
    <definedName name="유형자산1_3">#REF!</definedName>
    <definedName name="유형자산tot" hidden="1">{#N/A,#N/A,FALSE,"Aging Summary";#N/A,#N/A,FALSE,"Ratio Analysis";#N/A,#N/A,FALSE,"Test 120 Day Accts";#N/A,#N/A,FALSE,"Tickmarks"}</definedName>
    <definedName name="유형자산tot_3">#REF!</definedName>
    <definedName name="유형자산잔액" hidden="1">{#N/A,#N/A,FALSE,"BS";#N/A,#N/A,FALSE,"PL";#N/A,#N/A,FALSE,"처분";#N/A,#N/A,FALSE,"현금";#N/A,#N/A,FALSE,"매출";#N/A,#N/A,FALSE,"원가";#N/A,#N/A,FALSE,"경영"}</definedName>
    <definedName name="율리1총괄표_3">#REF!</definedName>
    <definedName name="이" hidden="1">#REF!</definedName>
    <definedName name="이근우">#REF!</definedName>
    <definedName name="이대호" hidden="1">{#N/A,#N/A,FALSE,"Sheet5"}</definedName>
    <definedName name="이동" hidden="1">{#N/A,#N/A,FALSE,"을지 (4)";#N/A,#N/A,FALSE,"을지 (5)";#N/A,#N/A,FALSE,"을지 (6)"}</definedName>
    <definedName name="이런" hidden="1">{"'보고양식'!$A$58:$K$111"}</definedName>
    <definedName name="이렇게" hidden="1">{#N/A,#N/A,FALSE,"손익표지";#N/A,#N/A,FALSE,"손익계산";#N/A,#N/A,FALSE,"일반관리비";#N/A,#N/A,FALSE,"영업외수익";#N/A,#N/A,FALSE,"영업외비용";#N/A,#N/A,FALSE,"매출액";#N/A,#N/A,FALSE,"요약손익";#N/A,#N/A,FALSE,"요약대차";#N/A,#N/A,FALSE,"매출채권현황";#N/A,#N/A,FALSE,"매출채권명세"}</definedName>
    <definedName name="이름">{"'Sheet1'!$A$1:$H$36"}</definedName>
    <definedName name="이름충돌" hidden="1">{#N/A,#N/A,FALSE,"UNIT";#N/A,#N/A,FALSE,"UNIT";#N/A,#N/A,FALSE,"계정"}</definedName>
    <definedName name="이매출">#REF!</definedName>
    <definedName name="이쁘니">#REF!</definedName>
    <definedName name="이설공사_광양07호_시설진행중">BLCH</definedName>
    <definedName name="이성일" hidden="1">{"'5국공정'!$A$1:$E$128"}</definedName>
    <definedName name="이연법인세001231">#REF!</definedName>
    <definedName name="이연자산">#REF!</definedName>
    <definedName name="이영봉" hidden="1">{#N/A,#N/A,FALSE,"BS";#N/A,#N/A,FALSE,"PL";#N/A,#N/A,FALSE,"처분";#N/A,#N/A,FALSE,"현금";#N/A,#N/A,FALSE,"매출";#N/A,#N/A,FALSE,"원가";#N/A,#N/A,FALSE,"경영"}</definedName>
    <definedName name="이우" hidden="1">{"'통신지'!$A$1:$J$41"}</definedName>
    <definedName name="이이잉" hidden="1">#REF!</definedName>
    <definedName name="이이자">#REF!</definedName>
    <definedName name="이익"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이익_3">#REF!</definedName>
    <definedName name="이익잉여금처분계산서변경" hidden="1">{#N/A,#N/A,FALSE,"BS";#N/A,#N/A,FALSE,"PL";#N/A,#N/A,FALSE,"처분";#N/A,#N/A,FALSE,"현금";#N/A,#N/A,FALSE,"매출";#N/A,#N/A,FALSE,"원가";#N/A,#N/A,FALSE,"경영"}</definedName>
    <definedName name="이익잉영금">#REF!</definedName>
    <definedName name="이인원">#REF!</definedName>
    <definedName name="이잉" hidden="1">{#N/A,#N/A,FALSE,"손익표지";#N/A,#N/A,FALSE,"손익계산";#N/A,#N/A,FALSE,"일반관리비";#N/A,#N/A,FALSE,"영업외수익";#N/A,#N/A,FALSE,"영업외비용";#N/A,#N/A,FALSE,"매출액";#N/A,#N/A,FALSE,"요약손익";#N/A,#N/A,FALSE,"요약대차";#N/A,#N/A,FALSE,"매출채권현황";#N/A,#N/A,FALSE,"매출채권명세"}</definedName>
    <definedName name="이자계산내역" hidden="1">{#N/A,#N/A,FALSE,"KMC최종회의(7월) 자료"}</definedName>
    <definedName name="이종환" hidden="1">{#N/A,#N/A,FALSE,"Sheet5"}</definedName>
    <definedName name="이천" hidden="1">{#N/A,#N/A,FALSE,"손익표지";#N/A,#N/A,FALSE,"손익계산";#N/A,#N/A,FALSE,"일반관리비";#N/A,#N/A,FALSE,"영업외수익";#N/A,#N/A,FALSE,"영업외비용";#N/A,#N/A,FALSE,"매출액";#N/A,#N/A,FALSE,"요약손익";#N/A,#N/A,FALSE,"요약대차";#N/A,#N/A,FALSE,"매출채권현황";#N/A,#N/A,FALSE,"매출채권명세"}</definedName>
    <definedName name="이천생산">{"'Sheet1'!$A$1:$H$36"}</definedName>
    <definedName name="이천자동화팀">{"'Sheet1'!$A$1:$H$36"}</definedName>
    <definedName name="이혜영ㅇ">#REF!</definedName>
    <definedName name="이화감가">#REF!</definedName>
    <definedName name="이화매출">#REF!</definedName>
    <definedName name="이화인원">#REF!</definedName>
    <definedName name="이ㅏㄴㅇ">#REF!</definedName>
    <definedName name="인">#REF!</definedName>
    <definedName name="인니" hidden="1">{#N/A,#N/A,FALSE,"UNIT";#N/A,#N/A,FALSE,"UNIT";#N/A,#N/A,FALSE,"계정"}</definedName>
    <definedName name="인도네시아" hidden="1">{#N/A,#N/A,FALSE,"UNIT";#N/A,#N/A,FALSE,"UNIT";#N/A,#N/A,FALSE,"계정"}</definedName>
    <definedName name="인사" hidden="1">{#N/A,#N/A,FALSE,"P.C.B"}</definedName>
    <definedName name="인사1">#REF!</definedName>
    <definedName name="인쇄01">#REF!</definedName>
    <definedName name="인쇄매체집행율">#REF!</definedName>
    <definedName name="인수자">#REF!</definedName>
    <definedName name="인원">#REF!,#REF!,#REF!</definedName>
    <definedName name="인원1" hidden="1">{#N/A,#N/A,FALSE,"손익표지";#N/A,#N/A,FALSE,"손익계산";#N/A,#N/A,FALSE,"일반관리비";#N/A,#N/A,FALSE,"영업외수익";#N/A,#N/A,FALSE,"영업외비용";#N/A,#N/A,FALSE,"매출액";#N/A,#N/A,FALSE,"요약손익";#N/A,#N/A,FALSE,"요약대차";#N/A,#N/A,FALSE,"매출채권현황";#N/A,#N/A,FALSE,"매출채권명세"}</definedName>
    <definedName name="인원계획" hidden="1">{#N/A,#N/A,FALSE,"손익표지";#N/A,#N/A,FALSE,"손익계산";#N/A,#N/A,FALSE,"일반관리비";#N/A,#N/A,FALSE,"영업외수익";#N/A,#N/A,FALSE,"영업외비용";#N/A,#N/A,FALSE,"매출액";#N/A,#N/A,FALSE,"요약손익";#N/A,#N/A,FALSE,"요약대차";#N/A,#N/A,FALSE,"매출채권현황";#N/A,#N/A,FALSE,"매출채권명세"}</definedName>
    <definedName name="인원현황2" hidden="1">{#N/A,#N/A,FALSE,"손익표지";#N/A,#N/A,FALSE,"손익계산";#N/A,#N/A,FALSE,"일반관리비";#N/A,#N/A,FALSE,"영업외수익";#N/A,#N/A,FALSE,"영업외비용";#N/A,#N/A,FALSE,"매출액";#N/A,#N/A,FALSE,"요약손익";#N/A,#N/A,FALSE,"요약대차";#N/A,#N/A,FALSE,"매출채권현황";#N/A,#N/A,FALSE,"매출채권명세"}</definedName>
    <definedName name="인원현황3" hidden="1">{#N/A,#N/A,FALSE,"손익표지";#N/A,#N/A,FALSE,"손익계산";#N/A,#N/A,FALSE,"일반관리비";#N/A,#N/A,FALSE,"영업외수익";#N/A,#N/A,FALSE,"영업외비용";#N/A,#N/A,FALSE,"매출액";#N/A,#N/A,FALSE,"요약손익";#N/A,#N/A,FALSE,"요약대차";#N/A,#N/A,FALSE,"매출채권현황";#N/A,#N/A,FALSE,"매출채권명세"}</definedName>
    <definedName name="인정"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인정_3">#REF!</definedName>
    <definedName name="인플레">#REF!</definedName>
    <definedName name="일">#REF!</definedName>
    <definedName name="일년">365</definedName>
    <definedName name="일반관리비교">#REF!</definedName>
    <definedName name="일반사채이자율">#REF!</definedName>
    <definedName name="일반현황__2_">#REF!</definedName>
    <definedName name="일산" hidden="1">{#N/A,#N/A,FALSE,"손익표지";#N/A,#N/A,FALSE,"손익계산";#N/A,#N/A,FALSE,"일반관리비";#N/A,#N/A,FALSE,"영업외수익";#N/A,#N/A,FALSE,"영업외비용";#N/A,#N/A,FALSE,"매출액";#N/A,#N/A,FALSE,"요약손익";#N/A,#N/A,FALSE,"요약대차";#N/A,#N/A,FALSE,"매출채권현황";#N/A,#N/A,FALSE,"매출채권명세"}</definedName>
    <definedName name="일수">#REF!</definedName>
    <definedName name="일위" hidden="1">#REF!</definedName>
    <definedName name="일자">#REF!</definedName>
    <definedName name="일자별" hidden="1">{#N/A,#N/A,FALSE,"손익표지";#N/A,#N/A,FALSE,"손익계산";#N/A,#N/A,FALSE,"일반관리비";#N/A,#N/A,FALSE,"영업외수익";#N/A,#N/A,FALSE,"영업외비용";#N/A,#N/A,FALSE,"매출액";#N/A,#N/A,FALSE,"요약손익";#N/A,#N/A,FALSE,"요약대차";#N/A,#N/A,FALSE,"매출채권현황";#N/A,#N/A,FALSE,"매출채권명세"}</definedName>
    <definedName name="일정97" hidden="1">#REF!</definedName>
    <definedName name="임금인상">#REF!</definedName>
    <definedName name="임대보증금">#REF!</definedName>
    <definedName name="임동원" hidden="1">{#N/A,#N/A,FALSE,"정공"}</definedName>
    <definedName name="임시">BLCH</definedName>
    <definedName name="임원">#REF!</definedName>
    <definedName name="임원순증">#REF!</definedName>
    <definedName name="임원평수">#REF!</definedName>
    <definedName name="임정은" hidden="1">{#N/A,#N/A,FALSE,"Sheet5"}</definedName>
    <definedName name="임차단가">#REF!</definedName>
    <definedName name="임차보증">#REF!</definedName>
    <definedName name="임차보증금">#REF!</definedName>
    <definedName name="입고불량">#REF!</definedName>
    <definedName name="입고양품">#REF!</definedName>
    <definedName name="잉ㅅ간" hidden="1">{#N/A,#N/A,FALSE,"손익표지";#N/A,#N/A,FALSE,"손익계산";#N/A,#N/A,FALSE,"일반관리비";#N/A,#N/A,FALSE,"영업외수익";#N/A,#N/A,FALSE,"영업외비용";#N/A,#N/A,FALSE,"매출액";#N/A,#N/A,FALSE,"요약손익";#N/A,#N/A,FALSE,"요약대차";#N/A,#N/A,FALSE,"매출채권현황";#N/A,#N/A,FALSE,"매출채권명세"}</definedName>
    <definedName name="ㅈ">#REF!</definedName>
    <definedName name="ㅈ_3">#REF!</definedName>
    <definedName name="ㅈㄴㄴㄴ" hidden="1">{#N/A,#N/A,FALSE,"P.C.B"}</definedName>
    <definedName name="ㅈㄶㄹㄴ">#REF!</definedName>
    <definedName name="ㅈㄷㄱ" hidden="1">{#N/A,#N/A,FALSE,"BS";#N/A,#N/A,FALSE,"PL";#N/A,#N/A,FALSE,"처분";#N/A,#N/A,FALSE,"현금";#N/A,#N/A,FALSE,"매출";#N/A,#N/A,FALSE,"원가";#N/A,#N/A,FALSE,"경영"}</definedName>
    <definedName name="ㅈㄷㄱㄱ" hidden="1">{#N/A,#N/A,FALSE,"Aging Summary";#N/A,#N/A,FALSE,"Ratio Analysis";#N/A,#N/A,FALSE,"Test 120 Day Accts";#N/A,#N/A,FALSE,"Tickmarks"}</definedName>
    <definedName name="ㅈㄷㄱㄱ_3">#REF!</definedName>
    <definedName name="ㅈㄷㄱㅂㄷㄱㅂㅈㄷㄱㅂㄷㅈㄱ" hidden="1">{#N/A,#N/A,FALSE,"손익표지";#N/A,#N/A,FALSE,"손익계산";#N/A,#N/A,FALSE,"일반관리비";#N/A,#N/A,FALSE,"영업외수익";#N/A,#N/A,FALSE,"영업외비용";#N/A,#N/A,FALSE,"매출액";#N/A,#N/A,FALSE,"요약손익";#N/A,#N/A,FALSE,"요약대차";#N/A,#N/A,FALSE,"매출채권현황";#N/A,#N/A,FALSE,"매출채권명세"}</definedName>
    <definedName name="ㅈㄷㄱㅈㄷㄱ" hidden="1">{#N/A,#N/A,FALSE,"손익표지";#N/A,#N/A,FALSE,"손익계산";#N/A,#N/A,FALSE,"일반관리비";#N/A,#N/A,FALSE,"영업외수익";#N/A,#N/A,FALSE,"영업외비용";#N/A,#N/A,FALSE,"매출액";#N/A,#N/A,FALSE,"요약손익";#N/A,#N/A,FALSE,"요약대차";#N/A,#N/A,FALSE,"매출채권현황";#N/A,#N/A,FALSE,"매출채권명세"}</definedName>
    <definedName name="ㅈㅂㄷ" hidden="1">{#N/A,#N/A,FALSE,"손익표지";#N/A,#N/A,FALSE,"손익계산";#N/A,#N/A,FALSE,"일반관리비";#N/A,#N/A,FALSE,"영업외수익";#N/A,#N/A,FALSE,"영업외비용";#N/A,#N/A,FALSE,"매출액";#N/A,#N/A,FALSE,"요약손익";#N/A,#N/A,FALSE,"요약대차";#N/A,#N/A,FALSE,"매출채권현황";#N/A,#N/A,FALSE,"매출채권명세"}</definedName>
    <definedName name="ㅈㅈ" hidden="1">#REF!</definedName>
    <definedName name="ㅈㅈㄷㄷ" hidden="1">{#N/A,#N/A,FALSE,"손익표지";#N/A,#N/A,FALSE,"손익계산";#N/A,#N/A,FALSE,"일반관리비";#N/A,#N/A,FALSE,"영업외수익";#N/A,#N/A,FALSE,"영업외비용";#N/A,#N/A,FALSE,"매출액";#N/A,#N/A,FALSE,"요약손익";#N/A,#N/A,FALSE,"요약대차";#N/A,#N/A,FALSE,"매출채권현황";#N/A,#N/A,FALSE,"매출채권명세"}</definedName>
    <definedName name="ㅈㅈㅈ" hidden="1">{#N/A,#N/A,FALSE,"일반적사항";#N/A,#N/A,FALSE,"주요재무자료";#N/A,#N/A,FALSE,"표지";#N/A,#N/A,FALSE,"총괄표";#N/A,#N/A,FALSE,"1호 과표세액";#N/A,#N/A,FALSE,"2호 서식";#N/A,#N/A,FALSE,"3(3)호(갑) 원천납부";#N/A,#N/A,FALSE,"6호 소득금액";#N/A,#N/A,FALSE,"6호 첨부(익)";#N/A,#N/A,FALSE,"6호 첨부(손)";#N/A,#N/A,FALSE,"6-1호 수입금액";#N/A,#N/A,FALSE,"6-3호 퇴충";#N/A,#N/A,FALSE,"6-4호 접대(갑)";#N/A,#N/A,FALSE,"6-4호 접대(을)";#N/A,#N/A,FALSE,"6-5 갑 외화";#N/A,#N/A,FALSE,"6-5을 외화";#N/A,#N/A,FALSE,"감가총괄";#N/A,#N/A,FALSE,"전기부인액추인";#N/A,#N/A,FALSE,"6-6호(부표) 자본적지출";#N/A,#N/A,FALSE,"6-11호 세금과공과";#N/A,#N/A,FALSE,"6-12호 선급비용";#N/A,#N/A,FALSE,"9호 자본금(갑)";#N/A,#N/A,FALSE,"9호 자본금(을)";#N/A,#N/A,FALSE,"10(3)호 주요계정";#N/A,#N/A,FALSE,"10(4)호 조정수입";#N/A,#N/A,FALSE,"12호 중소검토";#N/A,#N/A,FALSE,"14(1) 주주이동(갑)";#N/A,#N/A,FALSE,"59호 해외특수";#N/A,#N/A,FALSE,"해외명세";#N/A,#N/A,FALSE,"요약 BS";#N/A,#N/A,FALSE,"요약RE";#N/A,#N/A,FALSE,"요약 PL"}</definedName>
    <definedName name="ㅈㅈㅈ_3">#REF!</definedName>
    <definedName name="ㅈㅈㅈㅈ" hidden="1">{"'Sheet1'!$A$1:$H$36"}</definedName>
    <definedName name="ㅈㅈㅈㅈㅈ" hidden="1">{#N/A,#N/A,FALSE,"손익표지";#N/A,#N/A,FALSE,"손익계산";#N/A,#N/A,FALSE,"일반관리비";#N/A,#N/A,FALSE,"영업외수익";#N/A,#N/A,FALSE,"영업외비용";#N/A,#N/A,FALSE,"매출액";#N/A,#N/A,FALSE,"요약손익";#N/A,#N/A,FALSE,"요약대차";#N/A,#N/A,FALSE,"매출채권현황";#N/A,#N/A,FALSE,"매출채권명세"}</definedName>
    <definedName name="자" hidden="1">{#N/A,#N/A,FALSE,"3가";#N/A,#N/A,FALSE,"3나";#N/A,#N/A,FALSE,"3다"}</definedName>
    <definedName name="자." hidden="1">{#N/A,#N/A,FALSE,"UNIT";#N/A,#N/A,FALSE,"UNIT";#N/A,#N/A,FALSE,"계정"}</definedName>
    <definedName name="자.." hidden="1">{#N/A,#N/A,FALSE,"UNIT";#N/A,#N/A,FALSE,"UNIT";#N/A,#N/A,FALSE,"계정"}</definedName>
    <definedName name="자_3">#REF!</definedName>
    <definedName name="자금" hidden="1">{#N/A,#N/A,FALSE,"Aging Summary";#N/A,#N/A,FALSE,"Ratio Analysis";#N/A,#N/A,FALSE,"Test 120 Day Accts";#N/A,#N/A,FALSE,"Tickmarks"}</definedName>
    <definedName name="자금계획서">#REF!</definedName>
    <definedName name="자금운요" hidden="1">{#N/A,#N/A,FALSE,"Aging Summary";#N/A,#N/A,FALSE,"Ratio Analysis";#N/A,#N/A,FALSE,"Test 120 Day Accts";#N/A,#N/A,FALSE,"Tickmarks"}</definedName>
    <definedName name="자금운용">#REF!</definedName>
    <definedName name="자금운용2" hidden="1">{#N/A,#N/A,FALSE,"Aging Summary";#N/A,#N/A,FALSE,"Ratio Analysis";#N/A,#N/A,FALSE,"Test 120 Day Accts";#N/A,#N/A,FALSE,"Tickmarks"}</definedName>
    <definedName name="자금원천">#REF!</definedName>
    <definedName name="자금집행실적" hidden="1">{"'Sheet1'!$A$1:$H$36"}</definedName>
    <definedName name="자동화" hidden="1">{#N/A,#N/A,FALSE,"UNIT";#N/A,#N/A,FALSE,"UNIT";#N/A,#N/A,FALSE,"계정"}</definedName>
    <definedName name="자동화팀">{"'Sheet1'!$A$1:$H$36"}</definedName>
    <definedName name="자리">{"'Sheet1'!$A$1:$H$36"}</definedName>
    <definedName name="자매출">#REF!</definedName>
    <definedName name="자본" hidden="1">{#N/A,#N/A,FALSE,"Aging Summary";#N/A,#N/A,FALSE,"Ratio Analysis";#N/A,#N/A,FALSE,"Test 120 Day Accts";#N/A,#N/A,FALSE,"Tickmarks"}</definedName>
    <definedName name="자본_3">#REF!</definedName>
    <definedName name="자본금" hidden="1">{#N/A,#N/A,FALSE,"Aging Summary";#N/A,#N/A,FALSE,"Ratio Analysis";#N/A,#N/A,FALSE,"Test 120 Day Accts";#N/A,#N/A,FALSE,"Tickmarks"}</definedName>
    <definedName name="자본금_3">#REF!</definedName>
    <definedName name="자본금과잉여금">#REF!</definedName>
    <definedName name="자본방" hidden="1">{#N/A,#N/A,FALSE,"Aging Summary";#N/A,#N/A,FALSE,"Ratio Analysis";#N/A,#N/A,FALSE,"Test 120 Day Accts";#N/A,#N/A,FALSE,"Tickmarks"}</definedName>
    <definedName name="자본방_3">#REF!</definedName>
    <definedName name="자본변동표" hidden="1">{#N/A,#N/A,FALSE,"Sheet5"}</definedName>
    <definedName name="자본변동표3" hidden="1">{#N/A,#N/A,FALSE,"Aging Summary";#N/A,#N/A,FALSE,"Ratio Analysis";#N/A,#N/A,FALSE,"Test 120 Day Accts";#N/A,#N/A,FALSE,"Tickmarks"}</definedName>
    <definedName name="자산건전성">#REF!</definedName>
    <definedName name="자산현금유입">#REF!,#REF!,#REF!,#REF!</definedName>
    <definedName name="자산현금유출">#REF!,#REF!,#REF!,#REF!</definedName>
    <definedName name="자이자">#REF!</definedName>
    <definedName name="자인원">#REF!</definedName>
    <definedName name="자재입력">#REF!</definedName>
    <definedName name="자재재고">#REF!</definedName>
    <definedName name="자재현황비교">#REF!</definedName>
    <definedName name="작성조서">#REF!</definedName>
    <definedName name="작업"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작업_3">#REF!</definedName>
    <definedName name="작업중">#REF!</definedName>
    <definedName name="잔다르크" hidden="1">{#N/A,#N/A,FALSE,"정공"}</definedName>
    <definedName name="잔양" hidden="1">{#N/A,#N/A,FALSE,"P.C.B"}</definedName>
    <definedName name="잔존17기">#REF!</definedName>
    <definedName name="잔존금기">#REF!</definedName>
    <definedName name="잔존만기">#REF!</definedName>
    <definedName name="잔존전기">#REF!</definedName>
    <definedName name="잡비">#REF!</definedName>
    <definedName name="잡이익분석"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잡이익분석_3">#REF!</definedName>
    <definedName name="장VP" hidden="1">{#N/A,#N/A,FALSE,"UNIT";#N/A,#N/A,FALSE,"UNIT";#N/A,#N/A,FALSE,"계정"}</definedName>
    <definedName name="장기미수금" hidden="1">{#N/A,#N/A,FALSE,"UNIT";#N/A,#N/A,FALSE,"UNIT";#N/A,#N/A,FALSE,"계정"}</definedName>
    <definedName name="장기미지급" hidden="1">#REF!</definedName>
    <definedName name="장기차입">#REF!</definedName>
    <definedName name="장부가액">#REF!</definedName>
    <definedName name="장부가액합계">#REF!</definedName>
    <definedName name="장원">#REF!</definedName>
    <definedName name="재">#REF!</definedName>
    <definedName name="재경" hidden="1">{#N/A,#N/A,FALSE,"UNIT";#N/A,#N/A,FALSE,"UNIT";#N/A,#N/A,FALSE,"계정"}</definedName>
    <definedName name="재고" hidden="1">{#N/A,#N/A,FALSE,"Aging Summary";#N/A,#N/A,FALSE,"Ratio Analysis";#N/A,#N/A,FALSE,"Test 120 Day Accts";#N/A,#N/A,FALSE,"Tickmarks"}</definedName>
    <definedName name="재고자산"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재고자산_3">#REF!</definedName>
    <definedName name="재공입력">#REF!</definedName>
    <definedName name="재공재고">#REF!</definedName>
    <definedName name="재공포함" hidden="1">{#N/A,#N/A,FALSE,"Sheet5"}</definedName>
    <definedName name="재공품공수2" hidden="1">{#N/A,#N/A,FALSE,"Sheet5"}</definedName>
    <definedName name="재공합계표">#REF!</definedName>
    <definedName name="재공현황비교">#REF!</definedName>
    <definedName name="재료" hidden="1">{#N/A,#N/A,FALSE,"UNIT";#N/A,#N/A,FALSE,"UNIT";#N/A,#N/A,FALSE,"계정"}</definedName>
    <definedName name="재리스미수운용외화">#REF!</definedName>
    <definedName name="재리스미수운용원화">#REF!</definedName>
    <definedName name="재리스선수외화">#REF!</definedName>
    <definedName name="재리스선수외화1">#REF!</definedName>
    <definedName name="재리스선수운용외화">#REF!</definedName>
    <definedName name="재리스선수운용외화1">#REF!</definedName>
    <definedName name="재리스선수운용원화">#REF!</definedName>
    <definedName name="재리스원금차감외화">#REF!</definedName>
    <definedName name="재리스원금차감원화">#REF!</definedName>
    <definedName name="저1" hidden="1">{#N/A,#N/A,FALSE,"정공"}</definedName>
    <definedName name="저2" hidden="1">{#N/A,#N/A,FALSE,"정공"}</definedName>
    <definedName name="저장" hidden="1">{#N/A,#N/A,FALSE,"Sheet5"}</definedName>
    <definedName name="저장1" hidden="1">{#N/A,#N/A,FALSE,"Sheet5"}</definedName>
    <definedName name="저장2" hidden="1">{#N/A,#N/A,FALSE,"Sheet5"}</definedName>
    <definedName name="저장33" hidden="1">{#N/A,#N/A,FALSE,"Sheet5"}</definedName>
    <definedName name="저장품">#REF!</definedName>
    <definedName name="저장품수불" hidden="1">{#N/A,#N/A,FALSE,"Sheet5"}</definedName>
    <definedName name="저저" hidden="1">{#N/A,#N/A,FALSE,"UNIT";#N/A,#N/A,FALSE,"UNIT";#N/A,#N/A,FALSE,"계정"}</definedName>
    <definedName name="전2" hidden="1">{#N/A,#N/A,FALSE,"정공"}</definedName>
    <definedName name="전략" hidden="1">{#N/A,#N/A,FALSE,"정공"}</definedName>
    <definedName name="전략2" hidden="1">{#N/A,#N/A,FALSE,"정공"}</definedName>
    <definedName name="전략투" hidden="1">{#N/A,#N/A,FALSE,"정공"}</definedName>
    <definedName name="전산장비" hidden="1">{"'Sheet1'!$A$1:$H$36"}</definedName>
    <definedName name="전신전화">#REF!</definedName>
    <definedName name="전입액">#REF!</definedName>
    <definedName name="전자" hidden="1">{#N/A,#N/A,FALSE,"손익표지";#N/A,#N/A,FALSE,"손익계산";#N/A,#N/A,FALSE,"일반관리비";#N/A,#N/A,FALSE,"영업외수익";#N/A,#N/A,FALSE,"영업외비용";#N/A,#N/A,FALSE,"매출액";#N/A,#N/A,FALSE,"요약손익";#N/A,#N/A,FALSE,"요약대차";#N/A,#N/A,FALSE,"매출채권현황";#N/A,#N/A,FALSE,"매출채권명세"}</definedName>
    <definedName name="전장">#REF!</definedName>
    <definedName name="전체시장">#REF!</definedName>
    <definedName name="전화번호">{"'Sheet1'!$A$1:$H$36"}</definedName>
    <definedName name="절감2" hidden="1">{#N/A,#N/A,FALSE,"손익표지";#N/A,#N/A,FALSE,"손익계산";#N/A,#N/A,FALSE,"일반관리비";#N/A,#N/A,FALSE,"영업외수익";#N/A,#N/A,FALSE,"영업외비용";#N/A,#N/A,FALSE,"매출액";#N/A,#N/A,FALSE,"요약손익";#N/A,#N/A,FALSE,"요약대차";#N/A,#N/A,FALSE,"매출채권현황";#N/A,#N/A,FALSE,"매출채권명세"}</definedName>
    <definedName name="절감내역상세" hidden="1">{#N/A,#N/A,FALSE,"정공"}</definedName>
    <definedName name="절감반기계획對실적" hidden="1">{#N/A,#N/A,FALSE,"정공"}</definedName>
    <definedName name="접대비"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접대비_3">#REF!</definedName>
    <definedName name="정" hidden="1">{#N/A,#N/A,FALSE,"UNIT";#N/A,#N/A,FALSE,"UNIT";#N/A,#N/A,FALSE,"계정"}</definedName>
    <definedName name="정말" hidden="1">{#N/A,#N/A,FALSE,"손익표지";#N/A,#N/A,FALSE,"손익계산";#N/A,#N/A,FALSE,"일반관리비";#N/A,#N/A,FALSE,"영업외수익";#N/A,#N/A,FALSE,"영업외비용";#N/A,#N/A,FALSE,"매출액";#N/A,#N/A,FALSE,"요약손익";#N/A,#N/A,FALSE,"요약대차";#N/A,#N/A,FALSE,"매출채권현황";#N/A,#N/A,FALSE,"매출채권명세"}</definedName>
    <definedName name="정문" hidden="1">{#N/A,#N/A,FALSE,"UNIT";#N/A,#N/A,FALSE,"UNIT";#N/A,#N/A,FALSE,"계정"}</definedName>
    <definedName name="정문식" hidden="1">{#N/A,#N/A,FALSE,"UNIT";#N/A,#N/A,FALSE,"UNIT";#N/A,#N/A,FALSE,"계정"}</definedName>
    <definedName name="정봉용" hidden="1">{#N/A,#N/A,FALSE,"손익표지";#N/A,#N/A,FALSE,"손익계산";#N/A,#N/A,FALSE,"일반관리비";#N/A,#N/A,FALSE,"영업외수익";#N/A,#N/A,FALSE,"영업외비용";#N/A,#N/A,FALSE,"매출액";#N/A,#N/A,FALSE,"요약손익";#N/A,#N/A,FALSE,"요약대차";#N/A,#N/A,FALSE,"매출채권현황";#N/A,#N/A,FALSE,"매출채권명세"}</definedName>
    <definedName name="정산표">#REF!</definedName>
    <definedName name="정상가격"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정상가격_3">#REF!</definedName>
    <definedName name="정상가격2"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정상가격2_3">#REF!</definedName>
    <definedName name="정어어ㅇㅓㅇ" hidden="1">{#N/A,#N/A,FALSE,"손익표지";#N/A,#N/A,FALSE,"손익계산";#N/A,#N/A,FALSE,"일반관리비";#N/A,#N/A,FALSE,"영업외수익";#N/A,#N/A,FALSE,"영업외비용";#N/A,#N/A,FALSE,"매출액";#N/A,#N/A,FALSE,"요약손익";#N/A,#N/A,FALSE,"요약대차";#N/A,#N/A,FALSE,"매출채권현황";#N/A,#N/A,FALSE,"매출채권명세"}</definedName>
    <definedName name="정인" hidden="1">{#N/A,#N/A,FALSE,"손익표지";#N/A,#N/A,FALSE,"손익계산";#N/A,#N/A,FALSE,"일반관리비";#N/A,#N/A,FALSE,"영업외수익";#N/A,#N/A,FALSE,"영업외비용";#N/A,#N/A,FALSE,"매출액";#N/A,#N/A,FALSE,"요약손익";#N/A,#N/A,FALSE,"요약대차";#N/A,#N/A,FALSE,"매출채권현황";#N/A,#N/A,FALSE,"매출채권명세"}</definedName>
    <definedName name="정인보" hidden="1">{#N/A,#N/A,FALSE,"손익표지";#N/A,#N/A,FALSE,"손익계산";#N/A,#N/A,FALSE,"일반관리비";#N/A,#N/A,FALSE,"영업외수익";#N/A,#N/A,FALSE,"영업외비용";#N/A,#N/A,FALSE,"매출액";#N/A,#N/A,FALSE,"요약손익";#N/A,#N/A,FALSE,"요약대차";#N/A,#N/A,FALSE,"매출채권현황";#N/A,#N/A,FALSE,"매출채권명세"}</definedName>
    <definedName name="정일우">#REF!</definedName>
    <definedName name="정임" hidden="1">#REF!</definedName>
    <definedName name="정종구" hidden="1">{#N/A,#N/A,FALSE,"손익표지";#N/A,#N/A,FALSE,"손익계산";#N/A,#N/A,FALSE,"일반관리비";#N/A,#N/A,FALSE,"영업외수익";#N/A,#N/A,FALSE,"영업외비용";#N/A,#N/A,FALSE,"매출액";#N/A,#N/A,FALSE,"요약손익";#N/A,#N/A,FALSE,"요약대차";#N/A,#N/A,FALSE,"매출채권현황";#N/A,#N/A,FALSE,"매출채권명세"}</definedName>
    <definedName name="젖아" hidden="1">{#N/A,#N/A,FALSE,"Sheet5"}</definedName>
    <definedName name="제" hidden="1">{#N/A,#N/A,FALSE,"Sheet5"}</definedName>
    <definedName name="제1안" hidden="1">{#N/A,#N/A,TRUE,"매출진척-1";#N/A,#N/A,TRUE,"매출진척-2";#N/A,#N/A,TRUE,"제품실적";#N/A,#N/A,TRUE,"RAC";#N/A,#N/A,TRUE,"PAC ";#N/A,#N/A,TRUE,"재고현황";#N/A,#N/A,TRUE,"공지사항"}</definedName>
    <definedName name="제1안_3">#REF!</definedName>
    <definedName name="제원">#REF!</definedName>
    <definedName name="제일장" hidden="1">#REF!</definedName>
    <definedName name="제작2"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제작3"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제조" hidden="1">#REF!</definedName>
    <definedName name="제조원가">#REF!</definedName>
    <definedName name="제주추가종합수정안" hidden="1">{#N/A,#N/A,FALSE,"3가";#N/A,#N/A,FALSE,"3나";#N/A,#N/A,FALSE,"3다"}</definedName>
    <definedName name="제주추가종합수정안_3">#REF!</definedName>
    <definedName name="제출" hidden="1">{#N/A,#N/A,FALSE,"손익표지";#N/A,#N/A,FALSE,"손익계산";#N/A,#N/A,FALSE,"일반관리비";#N/A,#N/A,FALSE,"영업외수익";#N/A,#N/A,FALSE,"영업외비용";#N/A,#N/A,FALSE,"매출액";#N/A,#N/A,FALSE,"요약손익";#N/A,#N/A,FALSE,"요약대차";#N/A,#N/A,FALSE,"매출채권현황";#N/A,#N/A,FALSE,"매출채권명세"}</definedName>
    <definedName name="제품별사업전략" hidden="1">{#N/A,#N/A,FALSE,"UNIT";#N/A,#N/A,FALSE,"UNIT";#N/A,#N/A,FALSE,"계정"}</definedName>
    <definedName name="제품시화">#REF!</definedName>
    <definedName name="조" hidden="1">{#N/A,#N/A,FALSE,"BS";#N/A,#N/A,FALSE,"PL";#N/A,#N/A,FALSE,"처분";#N/A,#N/A,FALSE,"현금";#N/A,#N/A,FALSE,"매출";#N/A,#N/A,FALSE,"원가";#N/A,#N/A,FALSE,"경영"}</definedName>
    <definedName name="조달" hidden="1">{#N/A,#N/A,FALSE,"P.C.B"}</definedName>
    <definedName name="조정" hidden="1">#REF!</definedName>
    <definedName name="조정금액">#REF!</definedName>
    <definedName name="조정후손익" hidden="1">{#N/A,#N/A,FALSE,"정공"}</definedName>
    <definedName name="조직3" hidden="1">{#N/A,#N/A,FALSE,"정공"}</definedName>
    <definedName name="조회" hidden="1">{#N/A,#N/A,FALSE,"손익표지";#N/A,#N/A,FALSE,"손익계산";#N/A,#N/A,FALSE,"일반관리비";#N/A,#N/A,FALSE,"영업외수익";#N/A,#N/A,FALSE,"영업외비용";#N/A,#N/A,FALSE,"매출액";#N/A,#N/A,FALSE,"요약손익";#N/A,#N/A,FALSE,"요약대차";#N/A,#N/A,FALSE,"매출채권현황";#N/A,#N/A,FALSE,"매출채권명세"}</definedName>
    <definedName name="조회금액">#REF!</definedName>
    <definedName name="조회액">#REF!</definedName>
    <definedName name="조회인">#REF!</definedName>
    <definedName name="조회일">#REF!</definedName>
    <definedName name="조회일자">#REF!</definedName>
    <definedName name="조회주화면">#REF!</definedName>
    <definedName name="종_목">#REF!</definedName>
    <definedName name="종업원대여금">#REF!</definedName>
    <definedName name="종합2" hidden="1">{#N/A,#N/A,FALSE,"정공"}</definedName>
    <definedName name="종합미래2" hidden="1">{#N/A,#N/A,FALSE,"정공"}</definedName>
    <definedName name="종합어음" hidden="1">{#N/A,#N/A,FALSE,"손익표지";#N/A,#N/A,FALSE,"손익계산";#N/A,#N/A,FALSE,"일반관리비";#N/A,#N/A,FALSE,"영업외수익";#N/A,#N/A,FALSE,"영업외비용";#N/A,#N/A,FALSE,"매출액";#N/A,#N/A,FALSE,"요약손익";#N/A,#N/A,FALSE,"요약대차";#N/A,#N/A,FALSE,"매출채권현황";#N/A,#N/A,FALSE,"매출채권명세"}</definedName>
    <definedName name="주" hidden="1">{#N/A,#N/A,FALSE,"UNIT";#N/A,#N/A,FALSE,"UNIT";#N/A,#N/A,FALSE,"계정"}</definedName>
    <definedName name="주민번호">#REF!</definedName>
    <definedName name="주부신수익권증서_400">#REF!</definedName>
    <definedName name="주소범위">#REF!</definedName>
    <definedName name="주소범위2">#REF!</definedName>
    <definedName name="주식발행초과금">#REF!</definedName>
    <definedName name="주식배당등">#REF!</definedName>
    <definedName name="주요업무" hidden="1">{#N/A,#N/A,FALSE,"P.C.B"}</definedName>
    <definedName name="주요업무2" hidden="1">{#N/A,#N/A,TRUE,"Y생산";#N/A,#N/A,TRUE,"Y판매";#N/A,#N/A,TRUE,"Y총물량";#N/A,#N/A,TRUE,"Y능력";#N/A,#N/A,TRUE,"YKD"}</definedName>
    <definedName name="주요업무3" hidden="1">{#N/A,#N/A,TRUE,"Y생산";#N/A,#N/A,TRUE,"Y판매";#N/A,#N/A,TRUE,"Y총물량";#N/A,#N/A,TRUE,"Y능력";#N/A,#N/A,TRUE,"YKD"}</definedName>
    <definedName name="주원수정사항" hidden="1">#REF!</definedName>
    <definedName name="주재원" hidden="1">#REF!</definedName>
    <definedName name="주종단체">#REF!</definedName>
    <definedName name="주주" hidden="1">{#N/A,#N/A,FALSE,"Aging Summary";#N/A,#N/A,FALSE,"Ratio Analysis";#N/A,#N/A,FALSE,"Test 120 Day Accts";#N/A,#N/A,FALSE,"Tickmarks"}</definedName>
    <definedName name="주주_3">#REF!</definedName>
    <definedName name="주차계획" hidden="1">{#N/A,#N/A,FALSE,"UNIT";#N/A,#N/A,FALSE,"UNIT";#N/A,#N/A,FALSE,"계정"}</definedName>
    <definedName name="준" hidden="1">{#N/A,#N/A,FALSE,"Aging Summary";#N/A,#N/A,FALSE,"Ratio Analysis";#N/A,#N/A,FALSE,"Test 120 Day Accts";#N/A,#N/A,FALSE,"Tickmarks"}</definedName>
    <definedName name="준_3">#REF!</definedName>
    <definedName name="준공">BLCH</definedName>
    <definedName name="준공2">BLCH</definedName>
    <definedName name="준공계2">BLCH</definedName>
    <definedName name="중간예납"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중간예납_3">#REF!</definedName>
    <definedName name="중간예납신고납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중간예납신고납계산서_3">#REF!</definedName>
    <definedName name="중간예납신고납부계산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중간예납신고납부계산서_3">#REF!</definedName>
    <definedName name="중간요약">#REF!</definedName>
    <definedName name="중계기현황">#REF!</definedName>
    <definedName name="중기" hidden="1">{#N/A,#N/A,FALSE,"정공"}</definedName>
    <definedName name="중기예산" hidden="1">{#N/A,#N/A,FALSE,"3가";#N/A,#N/A,FALSE,"3나";#N/A,#N/A,FALSE,"3다"}</definedName>
    <definedName name="중기예산_3">#REF!</definedName>
    <definedName name="중소기업진흥공단" hidden="1">{#N/A,#N/A,FALSE,"UNIT";#N/A,#N/A,FALSE,"UNIT";#N/A,#N/A,FALSE,"계정"}</definedName>
    <definedName name="중소기업해당여부">#REF!</definedName>
    <definedName name="중앙" hidden="1">{#N/A,#N/A,FALSE,"단축1";#N/A,#N/A,FALSE,"단축2";#N/A,#N/A,FALSE,"단축3";#N/A,#N/A,FALSE,"장축";#N/A,#N/A,FALSE,"4WD"}</definedName>
    <definedName name="중요성" hidden="1">{#N/A,#N/A,FALSE,"UNIT";#N/A,#N/A,FALSE,"UNIT";#N/A,#N/A,FALSE,"계정"}</definedName>
    <definedName name="중점검토">#REF!</definedName>
    <definedName name="지급수수">#REF!</definedName>
    <definedName name="지급어음">#REF!</definedName>
    <definedName name="지급어음명세서3" hidden="1">{#N/A,#N/A,FALSE,"정공"}</definedName>
    <definedName name="지급임차료">#REF!</definedName>
    <definedName name="지분">{"'Sheet1'!$L$16"}</definedName>
    <definedName name="지자">#REF!</definedName>
    <definedName name="직원">#REF!</definedName>
    <definedName name="직원순증">#REF!</definedName>
    <definedName name="직원평수">#REF!</definedName>
    <definedName name="직접재료" hidden="1">{#N/A,#N/A,FALSE,"Sheet5"}</definedName>
    <definedName name="진" hidden="1">{#N/A,#N/A,FALSE,"3가";#N/A,#N/A,FALSE,"3나";#N/A,#N/A,FALSE,"3다"}</definedName>
    <definedName name="진_3">#REF!</definedName>
    <definedName name="진빠" hidden="1">{#N/A,#N/A,FALSE,"손익표지";#N/A,#N/A,FALSE,"손익계산";#N/A,#N/A,FALSE,"일반관리비";#N/A,#N/A,FALSE,"영업외수익";#N/A,#N/A,FALSE,"영업외비용";#N/A,#N/A,FALSE,"매출액";#N/A,#N/A,FALSE,"요약손익";#N/A,#N/A,FALSE,"요약대차";#N/A,#N/A,FALSE,"매출채권현황";#N/A,#N/A,FALSE,"매출채권명세"}</definedName>
    <definedName name="진짜살림">#REF!</definedName>
    <definedName name="진짜연습" hidden="1">{#N/A,#N/A,FALSE,"손익표지";#N/A,#N/A,FALSE,"손익계산";#N/A,#N/A,FALSE,"일반관리비";#N/A,#N/A,FALSE,"영업외수익";#N/A,#N/A,FALSE,"영업외비용";#N/A,#N/A,FALSE,"매출액";#N/A,#N/A,FALSE,"요약손익";#N/A,#N/A,FALSE,"요약대차";#N/A,#N/A,FALSE,"매출채권현황";#N/A,#N/A,FALSE,"매출채권명세"}</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짜현금작성조서" hidden="1">{#N/A,#N/A,FALSE,"BS";#N/A,#N/A,FALSE,"PL";#N/A,#N/A,FALSE,"처분";#N/A,#N/A,FALSE,"현금";#N/A,#N/A,FALSE,"매출";#N/A,#N/A,FALSE,"원가";#N/A,#N/A,FALSE,"경영"}</definedName>
    <definedName name="집">#REF!</definedName>
    <definedName name="집행실적200211" hidden="1">{"'Sheet1'!$A$1:$H$36"}</definedName>
    <definedName name="ㅊ">#REF!</definedName>
    <definedName name="ㅊㅊ">#REF!</definedName>
    <definedName name="ㅊㅊㅊ">{"'표지'!$B$5"}</definedName>
    <definedName name="ㅊㅌㅍㅇㄴ" hidden="1">{#N/A,#N/A,FALSE,"손익표지";#N/A,#N/A,FALSE,"손익계산";#N/A,#N/A,FALSE,"일반관리비";#N/A,#N/A,FALSE,"영업외수익";#N/A,#N/A,FALSE,"영업외비용";#N/A,#N/A,FALSE,"매출액";#N/A,#N/A,FALSE,"요약손익";#N/A,#N/A,FALSE,"요약대차";#N/A,#N/A,FALSE,"매출채권현황";#N/A,#N/A,FALSE,"매출채권명세"}</definedName>
    <definedName name="차" hidden="1">{#N/A,#N/A,FALSE,"Sheet5"}</definedName>
    <definedName name="차." hidden="1">{#N/A,#N/A,FALSE,"UNIT";#N/A,#N/A,FALSE,"UNIT";#N/A,#N/A,FALSE,"계정"}</definedName>
    <definedName name="차.ㅇ" hidden="1">{#N/A,#N/A,FALSE,"UNIT";#N/A,#N/A,FALSE,"UNIT";#N/A,#N/A,FALSE,"계정"}</definedName>
    <definedName name="차라리" hidden="1">{#N/A,#N/A,FALSE,"KMC최종회의(7월) 자료"}</definedName>
    <definedName name="차량" hidden="1">{#N/A,#N/A,FALSE,"UNIT";#N/A,#N/A,FALSE,"UNIT";#N/A,#N/A,FALSE,"계정"}</definedName>
    <definedName name="차량SVC" hidden="1">{#N/A,#N/A,FALSE,"UNIT";#N/A,#N/A,FALSE,"UNIT";#N/A,#N/A,FALSE,"계정"}</definedName>
    <definedName name="차량별손익보고2" hidden="1">{#N/A,#N/A,FALSE,"Sheet5"}</definedName>
    <definedName name="차량운반구">{"'손익현황'!$A$1:$J$29"}</definedName>
    <definedName name="차이">#REF!</definedName>
    <definedName name="차이외화">#REF!</definedName>
    <definedName name="차입월data" hidden="1">{#N/A,#N/A,FALSE,"손익표지";#N/A,#N/A,FALSE,"손익계산";#N/A,#N/A,FALSE,"일반관리비";#N/A,#N/A,FALSE,"영업외수익";#N/A,#N/A,FALSE,"영업외비용";#N/A,#N/A,FALSE,"매출액";#N/A,#N/A,FALSE,"요약손익";#N/A,#N/A,FALSE,"요약대차";#N/A,#N/A,FALSE,"매출채권현황";#N/A,#N/A,FALSE,"매출채권명세"}</definedName>
    <definedName name="차트" hidden="1">{#N/A,#N/A,FALSE,"정공"}</definedName>
    <definedName name="참고" hidden="1">{#N/A,#N/A,FALSE,"BS";#N/A,#N/A,FALSE,"PL";#N/A,#N/A,FALSE,"처분";#N/A,#N/A,FALSE,"현금";#N/A,#N/A,FALSE,"매출";#N/A,#N/A,FALSE,"원가";#N/A,#N/A,FALSE,"경영"}</definedName>
    <definedName name="책연1">#REF!</definedName>
    <definedName name="책연2">#REF!</definedName>
    <definedName name="청" hidden="1">#REF!</definedName>
    <definedName name="초고압" hidden="1">{#N/A,#N/A,FALSE,"UNIT";#N/A,#N/A,FALSE,"UNIT";#N/A,#N/A,FALSE,"계정"}</definedName>
    <definedName name="초이">#REF!</definedName>
    <definedName name="총">#REF!</definedName>
    <definedName name="총RV외화">#REF!</definedName>
    <definedName name="총RV원화">#REF!</definedName>
    <definedName name="총괄" hidden="1">{#N/A,#N/A,TRUE,"1호 과표세액";#N/A,#N/A,TRUE,"6호 첨부(익)";#N/A,#N/A,TRUE,"6-3호 퇴충";#N/A,#N/A,TRUE,"PL";#N/A,#N/A,TRUE,"BS";#N/A,#N/A,TRUE,"RE";#N/A,#N/A,TRUE,"표지"}</definedName>
    <definedName name="총괄_3">#REF!</definedName>
    <definedName name="총괄_신세대" hidden="1">{#N/A,#N/A,FALSE,"정공"}</definedName>
    <definedName name="총괄1" hidden="1">{#N/A,#N/A,FALSE,"UNIT";#N/A,#N/A,FALSE,"UNIT";#N/A,#N/A,FALSE,"계정"}</definedName>
    <definedName name="총괄11" hidden="1">{#N/A,#N/A,FALSE,"3가";#N/A,#N/A,FALSE,"3나";#N/A,#N/A,FALSE,"3다"}</definedName>
    <definedName name="총괄11_3">#REF!</definedName>
    <definedName name="총괄예산규모">#REF!</definedName>
    <definedName name="총괄예산규모2">#REF!</definedName>
    <definedName name="총괄표">#REF!</definedName>
    <definedName name="총광고비">#REF!</definedName>
    <definedName name="총무" hidden="1">{#N/A,#N/A,FALSE,"P.C.B"}</definedName>
    <definedName name="총인원">#REF!</definedName>
    <definedName name="총회">#REF!</definedName>
    <definedName name="최승우">#REF!</definedName>
    <definedName name="최영" hidden="1">{#N/A,#N/A,FALSE,"정공"}</definedName>
    <definedName name="최재호" hidden="1">#REF!</definedName>
    <definedName name="최종" hidden="1">{#N/A,#N/A,FALSE,"손익표지";#N/A,#N/A,FALSE,"손익계산";#N/A,#N/A,FALSE,"일반관리비";#N/A,#N/A,FALSE,"영업외수익";#N/A,#N/A,FALSE,"영업외비용";#N/A,#N/A,FALSE,"매출액";#N/A,#N/A,FALSE,"요약손익";#N/A,#N/A,FALSE,"요약대차";#N/A,#N/A,FALSE,"매출채권현황";#N/A,#N/A,FALSE,"매출채권명세"}</definedName>
    <definedName name="최종2" hidden="1">{#N/A,#N/A,FALSE,"손익표지";#N/A,#N/A,FALSE,"손익계산";#N/A,#N/A,FALSE,"일반관리비";#N/A,#N/A,FALSE,"영업외수익";#N/A,#N/A,FALSE,"영업외비용";#N/A,#N/A,FALSE,"매출액";#N/A,#N/A,FALSE,"요약손익";#N/A,#N/A,FALSE,"요약대차";#N/A,#N/A,FALSE,"매출채권현황";#N/A,#N/A,FALSE,"매출채권명세"}</definedName>
    <definedName name="최종분임"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hidden="1">{#N/A,#N/A,FALSE,"손익표지";#N/A,#N/A,FALSE,"손익계산";#N/A,#N/A,FALSE,"일반관리비";#N/A,#N/A,FALSE,"영업외수익";#N/A,#N/A,FALSE,"영업외비용";#N/A,#N/A,FALSE,"매출액";#N/A,#N/A,FALSE,"요약손익";#N/A,#N/A,FALSE,"요약대차";#N/A,#N/A,FALSE,"매출채권현황";#N/A,#N/A,FALSE,"매출채권명세"}</definedName>
    <definedName name="추계합계">#REF!</definedName>
    <definedName name="추진" hidden="1">{#N/A,#N/A,FALSE,"정공"}</definedName>
    <definedName name="추진전략" hidden="1">{#N/A,#N/A,FALSE,"정공"}</definedName>
    <definedName name="출고불량">#REF!</definedName>
    <definedName name="출고양품">#REF!</definedName>
    <definedName name="출자금" hidden="1">{#N/A,#N/A,FALSE,"BS";#N/A,#N/A,FALSE,"PL";#N/A,#N/A,FALSE,"처분";#N/A,#N/A,FALSE,"현금";#N/A,#N/A,FALSE,"매출";#N/A,#N/A,FALSE,"원가";#N/A,#N/A,FALSE,"경영"}</definedName>
    <definedName name="출처">#REF!</definedName>
    <definedName name="충남신설">#REF!</definedName>
    <definedName name="충남트래픽">#REF!</definedName>
    <definedName name="충당금">#REF!</definedName>
    <definedName name="충북">#REF!</definedName>
    <definedName name="충북신설">#REF!</definedName>
    <definedName name="충북트래픽">#REF!</definedName>
    <definedName name="취득가액">#REF!</definedName>
    <definedName name="취소">#REF!</definedName>
    <definedName name="취소국소">BLCH</definedName>
    <definedName name="칠">#REF!</definedName>
    <definedName name="ㅋ">#REF!</definedName>
    <definedName name="ㅋ_3">#REF!</definedName>
    <definedName name="ㅋㅊㅌㅍㅋㅁㅇㄿ" hidden="1">{#N/A,#N/A,FALSE,"손익표지";#N/A,#N/A,FALSE,"손익계산";#N/A,#N/A,FALSE,"일반관리비";#N/A,#N/A,FALSE,"영업외수익";#N/A,#N/A,FALSE,"영업외비용";#N/A,#N/A,FALSE,"매출액";#N/A,#N/A,FALSE,"요약손익";#N/A,#N/A,FALSE,"요약대차";#N/A,#N/A,FALSE,"매출채권현황";#N/A,#N/A,FALSE,"매출채권명세"}</definedName>
    <definedName name="ㅋㅋ" hidden="1">{#N/A,#N/A,FALSE,"손익표지";#N/A,#N/A,FALSE,"손익계산";#N/A,#N/A,FALSE,"일반관리비";#N/A,#N/A,FALSE,"영업외수익";#N/A,#N/A,FALSE,"영업외비용";#N/A,#N/A,FALSE,"매출액";#N/A,#N/A,FALSE,"요약손익";#N/A,#N/A,FALSE,"요약대차";#N/A,#N/A,FALSE,"매출채권현황";#N/A,#N/A,FALSE,"매출채권명세"}</definedName>
    <definedName name="ㅋㅋㅋ"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ㅋㅋㅋ_3">#REF!</definedName>
    <definedName name="ㅋㅋㅋㅋ" hidden="1">#REF!</definedName>
    <definedName name="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ㅋㅋㅋㅋㅋ" hidden="1">{#N/A,#N/A,FALSE,"손익표지";#N/A,#N/A,FALSE,"손익계산";#N/A,#N/A,FALSE,"일반관리비";#N/A,#N/A,FALSE,"영업외수익";#N/A,#N/A,FALSE,"영업외비용";#N/A,#N/A,FALSE,"매출액";#N/A,#N/A,FALSE,"요약손익";#N/A,#N/A,FALSE,"요약대차";#N/A,#N/A,FALSE,"매출채권현황";#N/A,#N/A,FALSE,"매출채권명세"}</definedName>
    <definedName name="ㅋㅌ" hidden="1">{#N/A,#N/A,FALSE,"손익표지";#N/A,#N/A,FALSE,"손익계산";#N/A,#N/A,FALSE,"일반관리비";#N/A,#N/A,FALSE,"영업외수익";#N/A,#N/A,FALSE,"영업외비용";#N/A,#N/A,FALSE,"매출액";#N/A,#N/A,FALSE,"요약손익";#N/A,#N/A,FALSE,"요약대차";#N/A,#N/A,FALSE,"매출채권현황";#N/A,#N/A,FALSE,"매출채권명세"}</definedName>
    <definedName name="ㅋㅌㅊㅊㅁㅇ" hidden="1">{#N/A,#N/A,FALSE,"손익표지";#N/A,#N/A,FALSE,"손익계산";#N/A,#N/A,FALSE,"일반관리비";#N/A,#N/A,FALSE,"영업외수익";#N/A,#N/A,FALSE,"영업외비용";#N/A,#N/A,FALSE,"매출액";#N/A,#N/A,FALSE,"요약손익";#N/A,#N/A,FALSE,"요약대차";#N/A,#N/A,FALSE,"매출채권현황";#N/A,#N/A,FALSE,"매출채권명세"}</definedName>
    <definedName name="카" hidden="1">{#N/A,#N/A,FALSE,"Sheet5"}</definedName>
    <definedName name="캐쉬">{"'Sheet1'!$A$1:$H$36"}</definedName>
    <definedName name="캠코환매채권" hidden="1">{#N/A,#N/A,FALSE,"Aging Summary";#N/A,#N/A,FALSE,"Ratio Analysis";#N/A,#N/A,FALSE,"Test 120 Day Accts";#N/A,#N/A,FALSE,"Tickmarks"}</definedName>
    <definedName name="코">#REF!</definedName>
    <definedName name="코드">#REF!</definedName>
    <definedName name="코드번호셀연결">#REF!</definedName>
    <definedName name="코설">#REF!</definedName>
    <definedName name="콘도비용"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콘도비용_3">#REF!</definedName>
    <definedName name="크리너">#REF!</definedName>
    <definedName name="키프코" hidden="1">{#N/A,#N/A,FALSE,"을지 (4)";#N/A,#N/A,FALSE,"을지 (5)";#N/A,#N/A,FALSE,"을지 (6)"}</definedName>
    <definedName name="ㅌ">#REF!</definedName>
    <definedName name="ㅌ1">#REF!</definedName>
    <definedName name="ㅌㄴㅁ" hidden="1">{#N/A,#N/A,FALSE,"KMC최종회의(7월) 자료"}</definedName>
    <definedName name="ㅌㄴㅁㅁ" hidden="1">{#N/A,#N/A,FALSE,"KMC최종회의(7월) 자료"}</definedName>
    <definedName name="ㅌㄴㅁㅈ" hidden="1">{#N/A,#N/A,FALSE,"KMC최종회의(7월) 자료"}</definedName>
    <definedName name="ㅌㄵ" hidden="1">{#N/A,#N/A,FALSE,"KMC최종회의(7월) 자료"}</definedName>
    <definedName name="ㅌㄹㅇㄴㄻㅇㄹ" hidden="1">{#N/A,#N/A,FALSE,"Aging Summary";#N/A,#N/A,FALSE,"Ratio Analysis";#N/A,#N/A,FALSE,"Test 120 Day Accts";#N/A,#N/A,FALSE,"Tickmarks"}</definedName>
    <definedName name="ㅌㄹㅇㄴㄻㅇㄹ_3">#REF!</definedName>
    <definedName name="ㅌㅊㅇㄻㄷㅈㄹㄷㅈ" hidden="1">{#N/A,#N/A,FALSE,"손익표지";#N/A,#N/A,FALSE,"손익계산";#N/A,#N/A,FALSE,"일반관리비";#N/A,#N/A,FALSE,"영업외수익";#N/A,#N/A,FALSE,"영업외비용";#N/A,#N/A,FALSE,"매출액";#N/A,#N/A,FALSE,"요약손익";#N/A,#N/A,FALSE,"요약대차";#N/A,#N/A,FALSE,"매출채권현황";#N/A,#N/A,FALSE,"매출채권명세"}</definedName>
    <definedName name="ㅌㅋㅊㅍㄹ픃룡ㅅㅎㄴㄹㄴ" hidden="1">{#N/A,#N/A,FALSE,"손익표지";#N/A,#N/A,FALSE,"손익계산";#N/A,#N/A,FALSE,"일반관리비";#N/A,#N/A,FALSE,"영업외수익";#N/A,#N/A,FALSE,"영업외비용";#N/A,#N/A,FALSE,"매출액";#N/A,#N/A,FALSE,"요약손익";#N/A,#N/A,FALSE,"요약대차";#N/A,#N/A,FALSE,"매출채권현황";#N/A,#N/A,FALSE,"매출채권명세"}</definedName>
    <definedName name="ㅌㅌ">#REF!</definedName>
    <definedName name="ㅌㅌㅌ" hidden="1">{#N/A,#N/A,FALSE,"BS";#N/A,#N/A,FALSE,"PL";#N/A,#N/A,FALSE,"처분";#N/A,#N/A,FALSE,"현금";#N/A,#N/A,FALSE,"매출";#N/A,#N/A,FALSE,"원가";#N/A,#N/A,FALSE,"경영"}</definedName>
    <definedName name="ㅌㅌㅌㅌ" hidden="1">{#N/A,#N/A,FALSE,"손익표지";#N/A,#N/A,FALSE,"손익계산";#N/A,#N/A,FALSE,"일반관리비";#N/A,#N/A,FALSE,"영업외수익";#N/A,#N/A,FALSE,"영업외비용";#N/A,#N/A,FALSE,"매출액";#N/A,#N/A,FALSE,"요약손익";#N/A,#N/A,FALSE,"요약대차";#N/A,#N/A,FALSE,"매출채권현황";#N/A,#N/A,FALSE,"매출채권명세"}</definedName>
    <definedName name="타" hidden="1">{#N/A,#N/A,FALSE,"Sheet5"}</definedName>
    <definedName name="타계정">#REF!</definedName>
    <definedName name="타이틀">#REF!</definedName>
    <definedName name="타타타" hidden="1">{"'Sheet1'!$A$1:$H$36"}</definedName>
    <definedName name="템플리트모듈1">BLCH</definedName>
    <definedName name="템플리트모듈2">BLCH</definedName>
    <definedName name="템플리트모듈3">BLCH</definedName>
    <definedName name="템플리트모듈4">BLCH</definedName>
    <definedName name="템플리트모듈5">BLCH</definedName>
    <definedName name="템플리트모듈6">BLCH</definedName>
    <definedName name="토목" hidden="1">{#N/A,#N/A,FALSE,"손익표지";#N/A,#N/A,FALSE,"손익계산";#N/A,#N/A,FALSE,"일반관리비";#N/A,#N/A,FALSE,"영업외수익";#N/A,#N/A,FALSE,"영업외비용";#N/A,#N/A,FALSE,"매출액";#N/A,#N/A,FALSE,"요약손익";#N/A,#N/A,FALSE,"요약대차";#N/A,#N/A,FALSE,"매출채권현황";#N/A,#N/A,FALSE,"매출채권명세"}</definedName>
    <definedName name="통계서버">#REF!</definedName>
    <definedName name="통계소프트">#REF!</definedName>
    <definedName name="통신비">#REF!</definedName>
    <definedName name="통신회선편집용" hidden="1">{#N/A,#N/A,FALSE,"회선임차현황"}</definedName>
    <definedName name="통제권">#REF!</definedName>
    <definedName name="통제범위">#REF!</definedName>
    <definedName name="통합손익" hidden="1">{#N/A,#N/A,FALSE,"손익표지";#N/A,#N/A,FALSE,"손익계산";#N/A,#N/A,FALSE,"일반관리비";#N/A,#N/A,FALSE,"영업외수익";#N/A,#N/A,FALSE,"영업외비용";#N/A,#N/A,FALSE,"매출액";#N/A,#N/A,FALSE,"요약손익";#N/A,#N/A,FALSE,"요약대차";#N/A,#N/A,FALSE,"매출채권현황";#N/A,#N/A,FALSE,"매출채권명세"}</definedName>
    <definedName name="퇴"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_3">#REF!</definedName>
    <definedName name="퇴직급" hidden="1">{#N/A,#N/A,FALSE,"UNIT";#N/A,#N/A,FALSE,"UNIT";#N/A,#N/A,FALSE,"계정"}</definedName>
    <definedName name="퇴직급여충당금" hidden="1">{#N/A,#N/A,FALSE,"손익표지";#N/A,#N/A,FALSE,"손익계산";#N/A,#N/A,FALSE,"일반관리비";#N/A,#N/A,FALSE,"영업외수익";#N/A,#N/A,FALSE,"영업외비용";#N/A,#N/A,FALSE,"매출액";#N/A,#N/A,FALSE,"요약손익";#N/A,#N/A,FALSE,"요약대차";#N/A,#N/A,FALSE,"매출채권현황";#N/A,#N/A,FALSE,"매출채권명세"}</definedName>
    <definedName name="퇴직보험">#REF!</definedName>
    <definedName name="퇴직보험료"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퇴직보험료_3">#REF!</definedName>
    <definedName name="퇴직충" hidden="1">{#N/A,#N/A,FALSE,"UNIT";#N/A,#N/A,FALSE,"UNIT";#N/A,#N/A,FALSE,"계정"}</definedName>
    <definedName name="퇴충">#REF!</definedName>
    <definedName name="퇴충2" hidden="1">#N/A</definedName>
    <definedName name="퇴충명세"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퇴충명세_3">#REF!</definedName>
    <definedName name="투자">#REF!,#REF!,#REF!</definedName>
    <definedName name="투자TOT" hidden="1">{#N/A,#N/A,FALSE,"Aging Summary";#N/A,#N/A,FALSE,"Ratio Analysis";#N/A,#N/A,FALSE,"Test 120 Day Accts";#N/A,#N/A,FALSE,"Tickmarks"}</definedName>
    <definedName name="투자계획" hidden="1">{#N/A,#N/A,FALSE,"UNIT";#N/A,#N/A,FALSE,"UNIT";#N/A,#N/A,FALSE,"계정"}</definedName>
    <definedName name="투자계획1" hidden="1">{#N/A,#N/A,FALSE,"UNIT";#N/A,#N/A,FALSE,"UNIT";#N/A,#N/A,FALSE,"계정"}</definedName>
    <definedName name="투자계획2" hidden="1">{#N/A,#N/A,FALSE,"UNIT";#N/A,#N/A,FALSE,"UNIT";#N/A,#N/A,FALSE,"계정"}</definedName>
    <definedName name="투자예산">#REF!</definedName>
    <definedName name="투자유" hidden="1">{#N/A,#N/A,FALSE,"BS";#N/A,#N/A,FALSE,"PL";#N/A,#N/A,FALSE,"처분";#N/A,#N/A,FALSE,"현금";#N/A,#N/A,FALSE,"매출";#N/A,#N/A,FALSE,"원가";#N/A,#N/A,FALSE,"경영"}</definedName>
    <definedName name="투자자산">#REF!</definedName>
    <definedName name="투자주식명세" hidden="1">#REF!</definedName>
    <definedName name="투자현황" hidden="1">{#N/A,#N/A,FALSE,"UNIT";#N/A,#N/A,FALSE,"UNIT";#N/A,#N/A,FALSE,"계정"}</definedName>
    <definedName name="트">#REF!</definedName>
    <definedName name="트라제">#REF!</definedName>
    <definedName name="특정현금">#REF!</definedName>
    <definedName name="특정현금과예금" hidden="1">#N/A</definedName>
    <definedName name="팀별계획" hidden="1">{#N/A,#N/A,FALSE,"UNIT";#N/A,#N/A,FALSE,"UNIT";#N/A,#N/A,FALSE,"계정"}</definedName>
    <definedName name="ㅍ" hidden="1">{#N/A,#N/A,FALSE,"Aging Summary";#N/A,#N/A,FALSE,"Ratio Analysis";#N/A,#N/A,FALSE,"Test 120 Day Accts";#N/A,#N/A,FALSE,"Tickmarks"}</definedName>
    <definedName name="ㅍ_3">#REF!</definedName>
    <definedName name="ㅍㄹㄷㅁㅁ" hidden="1">#REF!</definedName>
    <definedName name="ㅍㅊㅌㅋㅍㅁㅇ" hidden="1">{#N/A,#N/A,FALSE,"손익표지";#N/A,#N/A,FALSE,"손익계산";#N/A,#N/A,FALSE,"일반관리비";#N/A,#N/A,FALSE,"영업외수익";#N/A,#N/A,FALSE,"영업외비용";#N/A,#N/A,FALSE,"매출액";#N/A,#N/A,FALSE,"요약손익";#N/A,#N/A,FALSE,"요약대차";#N/A,#N/A,FALSE,"매출채권현황";#N/A,#N/A,FALSE,"매출채권명세"}</definedName>
    <definedName name="ㅍㅋㅊㅌㅍㅋㅊㅍ" hidden="1">{#N/A,#N/A,FALSE,"손익표지";#N/A,#N/A,FALSE,"손익계산";#N/A,#N/A,FALSE,"일반관리비";#N/A,#N/A,FALSE,"영업외수익";#N/A,#N/A,FALSE,"영업외비용";#N/A,#N/A,FALSE,"매출액";#N/A,#N/A,FALSE,"요약손익";#N/A,#N/A,FALSE,"요약대차";#N/A,#N/A,FALSE,"매출채권현황";#N/A,#N/A,FALSE,"매출채권명세"}</definedName>
    <definedName name="ㅍㅍㅇㅌㅍ" hidden="1">{#N/A,#N/A,FALSE,"손익표지";#N/A,#N/A,FALSE,"손익계산";#N/A,#N/A,FALSE,"일반관리비";#N/A,#N/A,FALSE,"영업외수익";#N/A,#N/A,FALSE,"영업외비용";#N/A,#N/A,FALSE,"매출액";#N/A,#N/A,FALSE,"요약손익";#N/A,#N/A,FALSE,"요약대차";#N/A,#N/A,FALSE,"매출채권현황";#N/A,#N/A,FALSE,"매출채권명세"}</definedName>
    <definedName name="ㅍㅍㅍㅍ" hidden="1">{#N/A,#N/A,FALSE,"UNIT";#N/A,#N/A,FALSE,"UNIT";#N/A,#N/A,FALSE,"계정"}</definedName>
    <definedName name="ㅍㅍㅍㅍㅍㅍ" hidden="1">#REF!</definedName>
    <definedName name="파" hidden="1">{#N/A,#N/A,FALSE,"Sheet5"}</definedName>
    <definedName name="판가1">#REF!</definedName>
    <definedName name="판가2">#REF!</definedName>
    <definedName name="판가3">#REF!</definedName>
    <definedName name="판가4">#REF!</definedName>
    <definedName name="판가재료비2" hidden="1">#N/A</definedName>
    <definedName name="판관경비" hidden="1">{#N/A,#N/A,FALSE,"Aging Summary";#N/A,#N/A,FALSE,"Ratio Analysis";#N/A,#N/A,FALSE,"Test 120 Day Accts";#N/A,#N/A,FALSE,"Tickmarks"}</definedName>
    <definedName name="판관경비2" hidden="1">{#N/A,#N/A,FALSE,"Aging Summary";#N/A,#N/A,FALSE,"Ratio Analysis";#N/A,#N/A,FALSE,"Test 120 Day Accts";#N/A,#N/A,FALSE,"Tickmarks"}</definedName>
    <definedName name="판관비tot" hidden="1">{#N/A,#N/A,FALSE,"Aging Summary";#N/A,#N/A,FALSE,"Ratio Analysis";#N/A,#N/A,FALSE,"Test 120 Day Accts";#N/A,#N/A,FALSE,"Tickmarks"}</definedName>
    <definedName name="판관비tot_3">#REF!</definedName>
    <definedName name="판도라상자" hidden="1">{#N/A,#N/A,FALSE,"정공"}</definedName>
    <definedName name="판촉지원적립금" hidden="1">{#N/A,#N/A,TRUE,"매출진척-1";#N/A,#N/A,TRUE,"매출진척-2";#N/A,#N/A,TRUE,"제품실적";#N/A,#N/A,TRUE,"RAC";#N/A,#N/A,TRUE,"PAC ";#N/A,#N/A,TRUE,"재고현황";#N/A,#N/A,TRUE,"공지사항"}</definedName>
    <definedName name="판촉지원적립금_3">#REF!</definedName>
    <definedName name="팔레" hidden="1">{#N/A,#N/A,FALSE,"손익표지";#N/A,#N/A,FALSE,"손익계산";#N/A,#N/A,FALSE,"일반관리비";#N/A,#N/A,FALSE,"영업외수익";#N/A,#N/A,FALSE,"영업외비용";#N/A,#N/A,FALSE,"매출액";#N/A,#N/A,FALSE,"요약손익";#N/A,#N/A,FALSE,"요약대차";#N/A,#N/A,FALSE,"매출채권현황";#N/A,#N/A,FALSE,"매출채권명세"}</definedName>
    <definedName name="평가손익">#REF!,#REF!</definedName>
    <definedName name="평균급여">#REF!</definedName>
    <definedName name="평균이자" hidden="1">#REF!</definedName>
    <definedName name="평균이자율" hidden="1">#REF!</definedName>
    <definedName name="폐기" hidden="1">#REF!</definedName>
    <definedName name="포" hidden="1">{#N/A,#N/A,FALSE,"UNIT";#N/A,#N/A,FALSE,"UNIT";#N/A,#N/A,FALSE,"계정"}</definedName>
    <definedName name="폴">#REF!</definedName>
    <definedName name="표">#REF!</definedName>
    <definedName name="표1" hidden="1">{#N/A,#N/A,FALSE,"P.C.B"}</definedName>
    <definedName name="표지">#REF!</definedName>
    <definedName name="표지2" hidden="1">0</definedName>
    <definedName name="표표표" hidden="1">{#N/A,#N/A,FALSE,"P.C.B"}</definedName>
    <definedName name="품" hidden="1">{#N/A,#N/A,TRUE,"Y생산";#N/A,#N/A,TRUE,"Y판매";#N/A,#N/A,TRUE,"Y총물량";#N/A,#N/A,TRUE,"Y능력";#N/A,#N/A,TRUE,"YKD"}</definedName>
    <definedName name="품보부" hidden="1">{#N/A,#N/A,FALSE,"KMC최종회의(7월) 자료"}</definedName>
    <definedName name="품의서">#REF!</definedName>
    <definedName name="품질현황">#REF!,#REF!</definedName>
    <definedName name="피비씨">#REF!</definedName>
    <definedName name="피비씨리스트">#REF!</definedName>
    <definedName name="필요평수">#REF!</definedName>
    <definedName name="ㅎ">#REF!</definedName>
    <definedName name="ㅎ_3">#REF!</definedName>
    <definedName name="ㅎㄹㄹㄹ." hidden="1">{#N/A,#N/A,FALSE,"일반적사항";#N/A,#N/A,FALSE,"주요재무자료";#N/A,#N/A,FALSE,"표지";#N/A,#N/A,FALSE,"총괄표";#N/A,#N/A,FALSE,"1호 과표세액";#N/A,#N/A,FALSE,"2호 서식";#N/A,#N/A,FALSE,"3(3)호(갑) 원천납부";#N/A,#N/A,FALSE,"6호 소득금액";#N/A,#N/A,FALSE,"6호 첨부(익)";#N/A,#N/A,FALSE,"6호 첨부(익)";#N/A,#N/A,FALSE,"6호 첨부(손)";#N/A,#N/A,FALSE,"6-1호 수입금액";#N/A,#N/A,FALSE,"6-3호 퇴충";#N/A,#N/A,FALSE,"6-4호 접대(갑)";#N/A,#N/A,FALSE,"6-4호 접대(을)";#N/A,#N/A,FALSE,"감가총괄";#N/A,#N/A,FALSE,"6-6(3)호 감가(정액)";#N/A,#N/A,FALSE,"전기부인액추인";#N/A,#N/A,FALSE,"6-6호(부표) 자본적지출";#N/A,#N/A,FALSE,"6-10호 재고자산";#N/A,#N/A,FALSE,"6-11호 세금과공과";#N/A,#N/A,FALSE,"6-12호 선급비용";#N/A,#N/A,FALSE,"9호 자본금(갑)";#N/A,#N/A,FALSE,"9호 자본금(을)";#N/A,#N/A,FALSE,"10(4)호 조정수입";#N/A,#N/A,FALSE,"59호 해외특수"}</definedName>
    <definedName name="ㅎㄽ" hidden="1">{#N/A,#N/A,FALSE,"UNIT";#N/A,#N/A,FALSE,"UNIT";#N/A,#N/A,FALSE,"계정"}</definedName>
    <definedName name="ㅎㅇㄴㄻㅇㄴㄹ" hidden="1">{"'수정손익계산서'!$AT$97:$AY$174"}</definedName>
    <definedName name="ㅎㅎ">#REF!</definedName>
    <definedName name="ㅎㅎ2" hidden="1">{#N/A,#N/A,TRUE,"Summary";#N/A,#N/A,TRUE,"IS";#N/A,#N/A,TRUE,"Adj";#N/A,#N/A,TRUE,"BS";#N/A,#N/A,TRUE,"CF";#N/A,#N/A,TRUE,"Debt";#N/A,#N/A,TRUE,"IRR"}</definedName>
    <definedName name="ㅎㅎㅎ" hidden="1">{#N/A,#N/A,FALSE,"3가";#N/A,#N/A,FALSE,"3나";#N/A,#N/A,FALSE,"3다"}</definedName>
    <definedName name="ㅎㅎㅎ_3">#REF!</definedName>
    <definedName name="ㅎㅎㅎㅇㄹ" hidden="1">{#N/A,#N/A,FALSE,"KMC최종회의(7월) 자료"}</definedName>
    <definedName name="ㅎㅎㅎㅎ">#REF!</definedName>
    <definedName name="하" hidden="1">{"'Sheet1'!$A$1:$H$36"}</definedName>
    <definedName name="하반기차입금계획" hidden="1">{#N/A,#N/A,FALSE,"손익표지";#N/A,#N/A,FALSE,"손익계산";#N/A,#N/A,FALSE,"일반관리비";#N/A,#N/A,FALSE,"영업외수익";#N/A,#N/A,FALSE,"영업외비용";#N/A,#N/A,FALSE,"매출액";#N/A,#N/A,FALSE,"요약손익";#N/A,#N/A,FALSE,"요약대차";#N/A,#N/A,FALSE,"매출채권현황";#N/A,#N/A,FALSE,"매출채권명세"}</definedName>
    <definedName name="하하">#REF!</definedName>
    <definedName name="하하하" hidden="1">{#N/A,#N/A,FALSE,"BS";#N/A,#N/A,FALSE,"PL";#N/A,#N/A,FALSE,"A";#N/A,#N/A,FALSE,"B";#N/A,#N/A,FALSE,"B1";#N/A,#N/A,FALSE,"C";#N/A,#N/A,FALSE,"C1";#N/A,#N/A,FALSE,"C2";#N/A,#N/A,FALSE,"D";#N/A,#N/A,FALSE,"E";#N/A,#N/A,FALSE,"F";#N/A,#N/A,FALSE,"AA";#N/A,#N/A,FALSE,"BB";#N/A,#N/A,FALSE,"CC";#N/A,#N/A,FALSE,"DD";#N/A,#N/A,FALSE,"EE";#N/A,#N/A,FALSE,"FF";#N/A,#N/A,FALSE,"PL10";#N/A,#N/A,FALSE,"PL20";#N/A,#N/A,FALSE,"PL30"}</definedName>
    <definedName name="하하호">#REF!</definedName>
    <definedName name="한" hidden="1">{#N/A,#N/A,FALSE,"3가";#N/A,#N/A,FALSE,"3나";#N/A,#N/A,FALSE,"3다"}</definedName>
    <definedName name="한_3">#REF!</definedName>
    <definedName name="한국8" hidden="1">#REF!</definedName>
    <definedName name="한국9" hidden="1">#REF!</definedName>
    <definedName name="한미" hidden="1">#REF!</definedName>
    <definedName name="한빛수정" hidden="1">{#N/A,#N/A,FALSE,"KMC최종회의(7월) 자료"}</definedName>
    <definedName name="한은보고">#REF!</definedName>
    <definedName name="한총2" hidden="1">{#N/A,#N/A,FALSE,"을지 (4)";#N/A,#N/A,FALSE,"을지 (5)";#N/A,#N/A,FALSE,"을지 (6)"}</definedName>
    <definedName name="할인9월" hidden="1">{#N/A,#N/A,FALSE,"BS";#N/A,#N/A,FALSE,"PL";#N/A,#N/A,FALSE,"처분";#N/A,#N/A,FALSE,"현금";#N/A,#N/A,FALSE,"매출";#N/A,#N/A,FALSE,"원가";#N/A,#N/A,FALSE,"경영"}</definedName>
    <definedName name="할인어음" hidden="1">{#N/A,#N/A,FALSE,"BS";#N/A,#N/A,FALSE,"PL";#N/A,#N/A,FALSE,"처분";#N/A,#N/A,FALSE,"현금";#N/A,#N/A,FALSE,"매출";#N/A,#N/A,FALSE,"원가";#N/A,#N/A,FALSE,"경영"}</definedName>
    <definedName name="합계">#REF!</definedName>
    <definedName name="합계잔액시산표_시산표_List">#REF!</definedName>
    <definedName name="합영손익계산서">#REF!</definedName>
    <definedName name="항공수요" hidden="1">{#N/A,#N/A,FALSE,"손익표지";#N/A,#N/A,FALSE,"손익계산";#N/A,#N/A,FALSE,"일반관리비";#N/A,#N/A,FALSE,"영업외수익";#N/A,#N/A,FALSE,"영업외비용";#N/A,#N/A,FALSE,"매출액";#N/A,#N/A,FALSE,"요약손익";#N/A,#N/A,FALSE,"요약대차";#N/A,#N/A,FALSE,"매출채권현황";#N/A,#N/A,FALSE,"매출채권명세"}</definedName>
    <definedName name="해외영업1팀">#REF!</definedName>
    <definedName name="해외특수" hidden="1">{#N/A,#N/A,FALSE,"일반적사항";#N/A,#N/A,FALSE,"주요재무자료";#N/A,#N/A,FALSE,"표지";#N/A,#N/A,FALSE,"총괄표";#N/A,#N/A,FALSE,"1호 과표세액";#N/A,#N/A,FALSE,"2호 서식";#N/A,#N/A,FALSE,"2호부표 최저한세";#N/A,#N/A,FALSE,"3(1)호 공제감면";#N/A,#N/A,FALSE,"3(1) 부1 공제감면";#N/A,#N/A,FALSE,"임시특별감면";#N/A,#N/A,FALSE,"3(1)부7 기업합리";#N/A,#N/A,FALSE,"3(3)호(갑) 원천납부";#N/A,#N/A,FALSE,"5호 농어촌";#N/A,#N/A,FALSE,"6호 소득금액";#N/A,#N/A,FALSE,"6호 첨부(익)";#N/A,#N/A,FALSE,"6호 첨부(손)";#N/A,#N/A,FALSE,"재고자산추인";#N/A,#N/A,FALSE,"6-1호 수입금액";#N/A,#N/A,FALSE,"6-2(2)호 중소투자";#N/A,#N/A,FALSE,"6-2(4)호 해외시장";#N/A,#N/A,FALSE,"6-2(12)호 수출손실";#N/A,#N/A,FALSE,"6-3호 퇴충";#N/A,#N/A,FALSE,"6-3(3)호 단퇴";#N/A,#N/A,FALSE,"6-3(4)호 대손";#N/A,#N/A,FALSE,"6-4호 접대(갑)";#N/A,#N/A,FALSE,"6-4호 접대(을)";#N/A,#N/A,FALSE,"6-5호 외화(갑)";#N/A,#N/A,FALSE,"6-5호 외화(을)";#N/A,#N/A,FALSE,"6-6호(부표) 자본적지출";#N/A,#N/A,FALSE,"감가총괄";#N/A,#N/A,FALSE,"6-10호 재고자산";#N/A,#N/A,FALSE,"6-11호 세금과공과";#N/A,#N/A,FALSE,"6-12호 선급비용";#N/A,#N/A,FALSE,"6-13호 기부금";#N/A,#N/A,FALSE,"6-14호 부동산보유";#N/A,#N/A,FALSE,"8호 기부금조정";#N/A,#N/A,FALSE,"9호 자본금(갑)";#N/A,#N/A,FALSE,"9호 자본금(을)";#N/A,#N/A,FALSE,"10(3)호 주요계정";#N/A,#N/A,FALSE,"10(3)호 부표";#N/A,#N/A,FALSE,"10(4)호 조정수입";#N/A,#N/A,FALSE,"10(4)호 소득구분";#N/A,#N/A,FALSE,"12호 중소검토";#N/A,#N/A,FALSE,"14(1)호 갑 주식";#N/A,#N/A,FALSE,"59호 해외특수";#N/A,#N/A,FALSE,"요약 BS";#N/A,#N/A,FALSE,"요약 PL";#N/A,#N/A,FALSE,"요약원가";#N/A,#N/A,FALSE,"요약RE"}</definedName>
    <definedName name="해외특수_3">#REF!</definedName>
    <definedName name="해원3" hidden="1">{#N/A,#N/A,FALSE,"Sheet5"}</definedName>
    <definedName name="허순이1">#REF!</definedName>
    <definedName name="허순이2">#REF!</definedName>
    <definedName name="헤드" hidden="1">{#N/A,#N/A,FALSE,"손익표지";#N/A,#N/A,FALSE,"손익계산";#N/A,#N/A,FALSE,"일반관리비";#N/A,#N/A,FALSE,"영업외수익";#N/A,#N/A,FALSE,"영업외비용";#N/A,#N/A,FALSE,"매출액";#N/A,#N/A,FALSE,"요약손익";#N/A,#N/A,FALSE,"요약대차";#N/A,#N/A,FALSE,"매출채권현황";#N/A,#N/A,FALSE,"매출채권명세"}</definedName>
    <definedName name="현금" hidden="1">{#N/A,#N/A,TRUE,"Summary";#N/A,#N/A,TRUE,"IS";#N/A,#N/A,TRUE,"Adj";#N/A,#N/A,TRUE,"BS";#N/A,#N/A,TRUE,"CF";#N/A,#N/A,TRUE,"Debt";#N/A,#N/A,TRUE,"IRR"}</definedName>
    <definedName name="현금_당기말">#REF!</definedName>
    <definedName name="현금_전기말">#REF!</definedName>
    <definedName name="현금23" hidden="1">{#N/A,#N/A,FALSE,"BS";#N/A,#N/A,FALSE,"PL";#N/A,#N/A,FALSE,"처분";#N/A,#N/A,FALSE,"현금";#N/A,#N/A,FALSE,"매출";#N/A,#N/A,FALSE,"원가";#N/A,#N/A,FALSE,"경영"}</definedName>
    <definedName name="현금거래_5300">#REF!</definedName>
    <definedName name="현금과예금">#REF!</definedName>
    <definedName name="현금등가물" hidden="1">{#N/A,#N/A,FALSE,"Aging Summary";#N/A,#N/A,FALSE,"Ratio Analysis";#N/A,#N/A,FALSE,"Test 120 Day Accts";#N/A,#N/A,FALSE,"Tickmarks"}</definedName>
    <definedName name="현금등가물및단기" hidden="1">{#N/A,#N/A,FALSE,"Aging Summary";#N/A,#N/A,FALSE,"Ratio Analysis";#N/A,#N/A,FALSE,"Test 120 Day Accts";#N/A,#N/A,FALSE,"Tickmarks"}</definedName>
    <definedName name="현금출납장">#REF!</definedName>
    <definedName name="현금흐름" hidden="1">{#N/A,#N/A,TRUE,"Summary";#N/A,#N/A,TRUE,"IS";#N/A,#N/A,TRUE,"Adj";#N/A,#N/A,TRUE,"BS";#N/A,#N/A,TRUE,"CF";#N/A,#N/A,TRUE,"Debt";#N/A,#N/A,TRUE,"IRR"}</definedName>
    <definedName name="현금흐름1" hidden="1">#REF!</definedName>
    <definedName name="현금흐름표" hidden="1">{#N/A,#N/A,FALSE,"BS";#N/A,#N/A,FALSE,"PL";#N/A,#N/A,FALSE,"A";#N/A,#N/A,FALSE,"B";#N/A,#N/A,FALSE,"B1";#N/A,#N/A,FALSE,"C";#N/A,#N/A,FALSE,"C1";#N/A,#N/A,FALSE,"C2";#N/A,#N/A,FALSE,"D";#N/A,#N/A,FALSE,"E";#N/A,#N/A,FALSE,"F";#N/A,#N/A,FALSE,"AA";#N/A,#N/A,FALSE,"BB";#N/A,#N/A,FALSE,"CC";#N/A,#N/A,FALSE,"DD";#N/A,#N/A,FALSE,"EE";#N/A,#N/A,FALSE,"FF";#N/A,#N/A,FALSE,"PL10";#N/A,#N/A,FALSE,"PL20";#N/A,#N/A,FALSE,"PL30"}</definedName>
    <definedName name="현대">#REF!</definedName>
    <definedName name="현대내자터미널">#REF!</definedName>
    <definedName name="현작성조서">#REF!</definedName>
    <definedName name="현재" hidden="1">{"'Sheet1'!$A$1:$H$36"}</definedName>
    <definedName name="호">#REF!</definedName>
    <definedName name="호부진사유" hidden="1">#REF!</definedName>
    <definedName name="호ㅓㅎ" hidden="1">{#N/A,#N/A,FALSE,"손익표지";#N/A,#N/A,FALSE,"손익계산";#N/A,#N/A,FALSE,"일반관리비";#N/A,#N/A,FALSE,"영업외수익";#N/A,#N/A,FALSE,"영업외비용";#N/A,#N/A,FALSE,"매출액";#N/A,#N/A,FALSE,"요약손익";#N/A,#N/A,FALSE,"요약대차";#N/A,#N/A,FALSE,"매출채권현황";#N/A,#N/A,FALSE,"매출채권명세"}</definedName>
    <definedName name="호ㅓ호ㅓ" hidden="1">{#N/A,#N/A,FALSE,"손익표지";#N/A,#N/A,FALSE,"손익계산";#N/A,#N/A,FALSE,"일반관리비";#N/A,#N/A,FALSE,"영업외수익";#N/A,#N/A,FALSE,"영업외비용";#N/A,#N/A,FALSE,"매출액";#N/A,#N/A,FALSE,"요약손익";#N/A,#N/A,FALSE,"요약대차";#N/A,#N/A,FALSE,"매출채권현황";#N/A,#N/A,FALSE,"매출채권명세"}</definedName>
    <definedName name="호ㅓㅏ호" hidden="1">{#N/A,#N/A,FALSE,"손익표지";#N/A,#N/A,FALSE,"손익계산";#N/A,#N/A,FALSE,"일반관리비";#N/A,#N/A,FALSE,"영업외수익";#N/A,#N/A,FALSE,"영업외비용";#N/A,#N/A,FALSE,"매출액";#N/A,#N/A,FALSE,"요약손익";#N/A,#N/A,FALSE,"요약대차";#N/A,#N/A,FALSE,"매출채권현황";#N/A,#N/A,FALSE,"매출채권명세"}</definedName>
    <definedName name="호ㅓㅗ허ㅗ허">{"'Sheet1'!$A$1:$H$36"}</definedName>
    <definedName name="홇" hidden="1">{#N/A,#N/A,TRUE,"Summary";#N/A,#N/A,TRUE,"IS";#N/A,#N/A,TRUE,"Adj";#N/A,#N/A,TRUE,"BS";#N/A,#N/A,TRUE,"CF";#N/A,#N/A,TRUE,"Debt";#N/A,#N/A,TRUE,"IRR"}</definedName>
    <definedName name="홈키드럭">#REF!</definedName>
    <definedName name="홍성태" hidden="1">{#N/A,#N/A,FALSE,"손익표지";#N/A,#N/A,FALSE,"손익계산";#N/A,#N/A,FALSE,"일반관리비";#N/A,#N/A,FALSE,"영업외수익";#N/A,#N/A,FALSE,"영업외비용";#N/A,#N/A,FALSE,"매출액";#N/A,#N/A,FALSE,"요약손익";#N/A,#N/A,FALSE,"요약대차";#N/A,#N/A,FALSE,"매출채권현황";#N/A,#N/A,FALSE,"매출채권명세"}</definedName>
    <definedName name="화">#REF!</definedName>
    <definedName name="확" hidden="1">{#N/A,#N/A,FALSE,"BS";#N/A,#N/A,FALSE,"PL";#N/A,#N/A,FALSE,"처분";#N/A,#N/A,FALSE,"현금";#N/A,#N/A,FALSE,"매출";#N/A,#N/A,FALSE,"원가";#N/A,#N/A,FALSE,"경영"}</definedName>
    <definedName name="확대3" hidden="1">{#N/A,#N/A,FALSE,"UNIT";#N/A,#N/A,FALSE,"UNIT";#N/A,#N/A,FALSE,"계정"}</definedName>
    <definedName name="확인용" hidden="1">#REF!</definedName>
    <definedName name="환경" hidden="1">{#N/A,#N/A,FALSE,"UNIT";#N/A,#N/A,FALSE,"UNIT";#N/A,#N/A,FALSE,"계정"}</definedName>
    <definedName name="환율">#REF!</definedName>
    <definedName name="환율1">#REF!</definedName>
    <definedName name="환율11">#REF!</definedName>
    <definedName name="환율12">#REF!</definedName>
    <definedName name="환율15기">#REF!</definedName>
    <definedName name="환율2">#REF!</definedName>
    <definedName name="환율2000">#REF!</definedName>
    <definedName name="환율3">#REF!</definedName>
    <definedName name="환율970">#REF!</definedName>
    <definedName name="환율9703">#REF!</definedName>
    <definedName name="환율9704">#REF!</definedName>
    <definedName name="환율9706">#REF!</definedName>
    <definedName name="환율9708">#REF!</definedName>
    <definedName name="환율금">#REF!</definedName>
    <definedName name="환율상">#REF!</definedName>
    <definedName name="환율유가" hidden="1">{#N/A,#N/A,FALSE,"손익표지";#N/A,#N/A,FALSE,"손익계산";#N/A,#N/A,FALSE,"일반관리비";#N/A,#N/A,FALSE,"영업외수익";#N/A,#N/A,FALSE,"영업외비용";#N/A,#N/A,FALSE,"매출액";#N/A,#N/A,FALSE,"요약손익";#N/A,#N/A,FALSE,"요약대차";#N/A,#N/A,FALSE,"매출채권현황";#N/A,#N/A,FALSE,"매출채권명세"}</definedName>
    <definedName name="환율하">#REF!</definedName>
    <definedName name="환차손" hidden="1">{#N/A,#N/A,FALSE,"Aging Summary";#N/A,#N/A,FALSE,"Ratio Analysis";#N/A,#N/A,FALSE,"Test 120 Day Accts";#N/A,#N/A,FALSE,"Tickmarks"}</definedName>
    <definedName name="환차손_3">#REF!</definedName>
    <definedName name="환차손익수정" hidden="1">{#N/A,#N/A,FALSE,"Aging Summary";#N/A,#N/A,FALSE,"Ratio Analysis";#N/A,#N/A,FALSE,"Test 120 Day Accts";#N/A,#N/A,FALSE,"Tickmarks"}</definedName>
    <definedName name="환차손익수정_3">#REF!</definedName>
    <definedName name="황지현">#REF!</definedName>
    <definedName name="회사">#REF!</definedName>
    <definedName name="회사명">#REF!</definedName>
    <definedName name="회사이름">#REF!</definedName>
    <definedName name="회원권">#REF!</definedName>
    <definedName name="회차">#REF!</definedName>
    <definedName name="회현" hidden="1">{#N/A,#N/A,FALSE,"손익표지";#N/A,#N/A,FALSE,"손익계산";#N/A,#N/A,FALSE,"일반관리비";#N/A,#N/A,FALSE,"영업외수익";#N/A,#N/A,FALSE,"영업외비용";#N/A,#N/A,FALSE,"매출액";#N/A,#N/A,FALSE,"요약손익";#N/A,#N/A,FALSE,"요약대차";#N/A,#N/A,FALSE,"매출채권현황";#N/A,#N/A,FALSE,"매출채권명세"}</definedName>
    <definedName name="획">#REF!</definedName>
    <definedName name="후_01">#REF!,#REF!</definedName>
    <definedName name="후_02">#REF!,#REF!</definedName>
    <definedName name="후_03">#REF!,#REF!</definedName>
    <definedName name="후_04">#REF!,#REF!</definedName>
    <definedName name="후_05">#REF!,#REF!</definedName>
    <definedName name="후_06">#REF!,#REF!</definedName>
    <definedName name="후_07">#REF!,#REF!</definedName>
    <definedName name="후_08">#REF!,#REF!</definedName>
    <definedName name="후_09">#REF!,#REF!</definedName>
    <definedName name="후_10">#REF!,#REF!</definedName>
    <definedName name="후_11">#REF!,#REF!</definedName>
    <definedName name="후_12">#REF!,#REF!</definedName>
    <definedName name="후_13">#REF!,#REF!</definedName>
    <definedName name="후_14">#REF!,#REF!</definedName>
    <definedName name="후성전자" hidden="1">{#N/A,#N/A,TRUE,"대 차 대 조 표"}</definedName>
    <definedName name="훈" hidden="1">255</definedName>
    <definedName name="휴" hidden="1">{#N/A,#N/A,FALSE,"손익표지";#N/A,#N/A,FALSE,"손익계산";#N/A,#N/A,FALSE,"일반관리비";#N/A,#N/A,FALSE,"영업외수익";#N/A,#N/A,FALSE,"영업외비용";#N/A,#N/A,FALSE,"매출액";#N/A,#N/A,FALSE,"요약손익";#N/A,#N/A,FALSE,"요약대차";#N/A,#N/A,FALSE,"매출채권현황";#N/A,#N/A,FALSE,"매출채권명세"}</definedName>
    <definedName name="휴지내역" hidden="1">#REF!</definedName>
    <definedName name="흐름">#REF!</definedName>
    <definedName name="히히">#REF!</definedName>
    <definedName name="ㅏ">#REF!</definedName>
    <definedName name="ㅏ나앙">#REF!</definedName>
    <definedName name="ㅏ앙">#REF!</definedName>
    <definedName name="ㅏㅏ" hidden="1">{#N/A,#N/A,FALSE,"Aging Summary";#N/A,#N/A,FALSE,"Ratio Analysis";#N/A,#N/A,FALSE,"Test 120 Day Accts";#N/A,#N/A,FALSE,"Tickmarks"}</definedName>
    <definedName name="ㅏㅏㅏ">#REF!</definedName>
    <definedName name="ㅏㅐㅏㅔㅐㅣ" hidden="1">{#N/A,#N/A,FALSE,"UNIT";#N/A,#N/A,FALSE,"UNIT";#N/A,#N/A,FALSE,"계정"}</definedName>
    <definedName name="ㅏㅣㅏㅣ" hidden="1">{#N/A,#N/A,FALSE,"Sheet5"}</definedName>
    <definedName name="ㅏㅣㅓㅣㅓ" hidden="1">{#N/A,#N/A,FALSE,"Sheet5"}</definedName>
    <definedName name="ㅐㅐ" hidden="1">{#N/A,#N/A,FALSE,"을지 (4)";#N/A,#N/A,FALSE,"을지 (5)";#N/A,#N/A,FALSE,"을지 (6)"}</definedName>
    <definedName name="ㅐㅐㅐㅐ" hidden="1">{#N/A,#N/A,FALSE,"P.C.B"}</definedName>
    <definedName name="ㅑ" hidden="1">{#N/A,#N/A,FALSE,"Aging Summary";#N/A,#N/A,FALSE,"Ratio Analysis";#N/A,#N/A,FALSE,"Test 120 Day Accts";#N/A,#N/A,FALSE,"Tickmarks"}</definedName>
    <definedName name="ㅑ_3">#REF!</definedName>
    <definedName name="ㅑㅑㅑ" hidden="1">{#N/A,#N/A,FALSE,"초도품";#N/A,#N/A,FALSE,"초도품 (2)";#N/A,#N/A,FALSE,"초도품 (3)";#N/A,#N/A,FALSE,"초도품 (4)";#N/A,#N/A,FALSE,"초도품 (5)";#N/A,#N/A,FALSE,"초도품 (6)"}</definedName>
    <definedName name="ㅓ">#REF!</definedName>
    <definedName name="ㅓㅏ리앙" hidden="1">{#N/A,#N/A,FALSE,"UNIT";#N/A,#N/A,FALSE,"UNIT";#N/A,#N/A,FALSE,"계정"}</definedName>
    <definedName name="ㅓㅏㅇ" hidden="1">{#N/A,#N/A,FALSE,"KMC최종회의(7월) 자료"}</definedName>
    <definedName name="ㅓㅏ이ㅓㅣㅏ" hidden="1">{#N/A,#N/A,FALSE,"Sheet5"}</definedName>
    <definedName name="ㅓㅏㅗㅓㅗ" hidden="1">{#N/A,#N/A,FALSE,"Sheet5"}</definedName>
    <definedName name="ㅓㅏㅣㅑ" hidden="1">{#N/A,#N/A,FALSE,"Aging Summary";#N/A,#N/A,FALSE,"Ratio Analysis";#N/A,#N/A,FALSE,"Test 120 Day Accts";#N/A,#N/A,FALSE,"Tickmarks"}</definedName>
    <definedName name="ㅓㅏㅣㅑ_3">#REF!</definedName>
    <definedName name="ㅓㅏㅣㅓㅣㅏ" hidden="1">{#N/A,#N/A,FALSE,"Sheet5"}</definedName>
    <definedName name="ㅓㅏㅣㅓㅣㅏㅓ" hidden="1">{#N/A,#N/A,FALSE,"Sheet5"}</definedName>
    <definedName name="ㅔ" hidden="1">{#N/A,#N/A,FALSE,"UNIT";#N/A,#N/A,FALSE,"UNIT";#N/A,#N/A,FALSE,"계정"}</definedName>
    <definedName name="ㅔㅔ" hidden="1">{#N/A,#N/A,FALSE,"초도품";#N/A,#N/A,FALSE,"초도품 (2)";#N/A,#N/A,FALSE,"초도품 (3)";#N/A,#N/A,FALSE,"초도품 (4)";#N/A,#N/A,FALSE,"초도품 (5)";#N/A,#N/A,FALSE,"초도품 (6)"}</definedName>
    <definedName name="ㅔㅔㅔ" hidden="1">{#N/A,#N/A,FALSE,"손익표지";#N/A,#N/A,FALSE,"손익계산";#N/A,#N/A,FALSE,"일반관리비";#N/A,#N/A,FALSE,"영업외수익";#N/A,#N/A,FALSE,"영업외비용";#N/A,#N/A,FALSE,"매출액";#N/A,#N/A,FALSE,"요약손익";#N/A,#N/A,FALSE,"요약대차";#N/A,#N/A,FALSE,"매출채권현황";#N/A,#N/A,FALSE,"매출채권명세"}</definedName>
    <definedName name="ㅕ">#REF!</definedName>
    <definedName name="ㅕㅕㅕ" hidden="1">{#N/A,#N/A,FALSE,"을지 (4)";#N/A,#N/A,FALSE,"을지 (5)";#N/A,#N/A,FALSE,"을지 (6)"}</definedName>
    <definedName name="ㅗ">#REF!</definedName>
    <definedName name="ㅗ60">#REF!</definedName>
    <definedName name="ㅗㄴ">#REF!</definedName>
    <definedName name="ㅗㄹ호"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ㅗ허호ㅓ" hidden="1">{#N/A,#N/A,FALSE,"손익표지";#N/A,#N/A,FALSE,"손익계산";#N/A,#N/A,FALSE,"일반관리비";#N/A,#N/A,FALSE,"영업외수익";#N/A,#N/A,FALSE,"영업외비용";#N/A,#N/A,FALSE,"매출액";#N/A,#N/A,FALSE,"요약손익";#N/A,#N/A,FALSE,"요약대차";#N/A,#N/A,FALSE,"매출채권현황";#N/A,#N/A,FALSE,"매출채권명세"}</definedName>
    <definedName name="ㅗㅗ" hidden="1">{#N/A,#N/A,FALSE,"초도품";#N/A,#N/A,FALSE,"초도품 (2)";#N/A,#N/A,FALSE,"초도품 (3)";#N/A,#N/A,FALSE,"초도품 (4)";#N/A,#N/A,FALSE,"초도품 (5)";#N/A,#N/A,FALSE,"초도품 (6)"}</definedName>
    <definedName name="ㅛ">#REF!</definedName>
    <definedName name="ㅛㅛㅛ" hidden="1">{#N/A,#N/A,FALSE,"초도품";#N/A,#N/A,FALSE,"초도품 (2)";#N/A,#N/A,FALSE,"초도품 (3)";#N/A,#N/A,FALSE,"초도품 (4)";#N/A,#N/A,FALSE,"초도품 (5)";#N/A,#N/A,FALSE,"초도품 (6)"}</definedName>
    <definedName name="ㅜ">#REF!</definedName>
    <definedName name="ㅠ" hidden="1">{#N/A,#N/A,FALSE,"Aging Summary";#N/A,#N/A,FALSE,"Ratio Analysis";#N/A,#N/A,FALSE,"Test 120 Day Accts";#N/A,#N/A,FALSE,"Tickmarks"}</definedName>
    <definedName name="ㅠ_3">#REF!</definedName>
    <definedName name="ㅡ" hidden="1">{#N/A,#N/A,FALSE,"Aging Summary";#N/A,#N/A,FALSE,"Ratio Analysis";#N/A,#N/A,FALSE,"Test 120 Day Accts";#N/A,#N/A,FALSE,"Tickmarks"}</definedName>
    <definedName name="ㅡ_3">#REF!</definedName>
    <definedName name="ㅡㅡㅡㅡㅡㅡㅡㅡ" hidden="1">{#N/A,#N/A,FALSE,"손익표지";#N/A,#N/A,FALSE,"손익계산";#N/A,#N/A,FALSE,"일반관리비";#N/A,#N/A,FALSE,"영업외수익";#N/A,#N/A,FALSE,"영업외비용";#N/A,#N/A,FALSE,"매출액";#N/A,#N/A,FALSE,"요약손익";#N/A,#N/A,FALSE,"요약대차";#N/A,#N/A,FALSE,"매출채권현황";#N/A,#N/A,FALSE,"매출채권명세"}</definedName>
    <definedName name="ㅣ" hidden="1">{#N/A,#N/A,FALSE,"Aging Summary";#N/A,#N/A,FALSE,"Ratio Analysis";#N/A,#N/A,FALSE,"Test 120 Day Accts";#N/A,#N/A,FALSE,"Tickmarks"}</definedName>
    <definedName name="ㅣ_3">#REF!</definedName>
    <definedName name="ㅣㅊㅇ" hidden="1">{#N/A,#N/A,FALSE,"표지&amp;목차";#N/A,#N/A,FALSE,"경영현황";#N/A,#N/A,FALSE,"매출현황";#N/A,#N/A,FALSE,"매출차이분석(양식)";#N/A,#N/A,FALSE,"손익현황";#N/A,#N/A,FALSE,"손익차이분석";#N/A,#N/A,FALSE,"제품별손익";#N/A,#N/A,FALSE,"재공재고";#N/A,#N/A,FALSE,"원가추이"}</definedName>
    <definedName name="ㅣㅏㅓㅏㅓ" hidden="1">{#N/A,#N/A,FALSE,"Sheet5"}</definedName>
    <definedName name="ㅣㅏㅣㅏㅣ" hidden="1">{#N/A,#N/A,FALSE,"Sheet5"}</definedName>
    <definedName name="ㅣㅣ" hidden="1">{#N/A,#N/A,FALSE,"을지 (4)";#N/A,#N/A,FALSE,"을지 (5)";#N/A,#N/A,FALSE,"을지 (6)"}</definedName>
    <definedName name="ㅣㅣㅣㅣ">#REF!</definedName>
    <definedName name="一般管理" hidden="1">{"'買掛金'!$J$6"}</definedName>
    <definedName name="三菱">#REF!</definedName>
    <definedName name="丸紅">#REF!</definedName>
    <definedName name="九州ｾﾙﾗ">#REF!</definedName>
    <definedName name="企業年金">#REF!</definedName>
    <definedName name="住銀ﾘｰｽ">#REF!</definedName>
    <definedName name="受取利息">#REF!</definedName>
    <definedName name="団体定期">#REF!</definedName>
    <definedName name="団体定期1">#REF!</definedName>
    <definedName name="団体定期2">#REF!</definedName>
    <definedName name="固定資産売却損">#REF!</definedName>
    <definedName name="国際警備">#REF!</definedName>
    <definedName name="土地">162</definedName>
    <definedName name="大和商工ﾘｰｽ">#REF!</definedName>
    <definedName name="専用回線">#REF!</definedName>
    <definedName name="川鉄">#REF!</definedName>
    <definedName name="差入保証金" hidden="1">{"'買掛金'!$J$6"}</definedName>
    <definedName name="携帯">#REF!</definedName>
    <definedName name="支払" hidden="1">{"'買掛金'!$J$6"}</definedName>
    <definedName name="支払手形" hidden="1">{"'買掛金'!$J$6"}</definedName>
    <definedName name="日本IBM">#REF!</definedName>
    <definedName name="日本ﾃﾚｺﾑ">#REF!</definedName>
    <definedName name="日本ﾘｰｽ">#REF!</definedName>
    <definedName name="日本信販">#REF!</definedName>
    <definedName name="日産">#REF!</definedName>
    <definedName name="日立">#REF!</definedName>
    <definedName name="昭和ﾘｰｽ">#REF!</definedName>
    <definedName name="未命名">#REF!</definedName>
    <definedName name="未払" hidden="1">{"'買掛金'!$J$6"}</definedName>
    <definedName name="未払金" hidden="1">{"'買掛金'!$J$6"}</definedName>
    <definedName name="本数">#REF!</definedName>
    <definedName name="李华">5</definedName>
    <definedName name="東京ﾘｰｽ">#REF!</definedName>
    <definedName name="水道">#REF!</definedName>
    <definedName name="現代綜合商事經由分">#REF!</definedName>
    <definedName name="短期借入金" hidden="1">{"'買掛金'!$J$6"}</definedName>
    <definedName name="立替">#REF!</definedName>
    <definedName name="納税充当">#REF!</definedName>
    <definedName name="絶費" hidden="1">{"'買掛金'!$J$6"}</definedName>
    <definedName name="繰延資産">#REF!</definedName>
    <definedName name="自動車">#REF!</definedName>
    <definedName name="興銀ﾘｰｽ">#REF!</definedName>
    <definedName name="芙蓉">#REF!</definedName>
    <definedName name="處份損益">#REF!</definedName>
    <definedName name="裏書譲渡手形" hidden="1">{"'買掛金'!$J$6"}</definedName>
    <definedName name="販売促進費他">#REF!</definedName>
    <definedName name="買掛金" hidden="1">{"'買掛金'!$J$6"}</definedName>
    <definedName name="退職給与">#REF!</definedName>
    <definedName name="長島" hidden="1">{"'買掛金'!$J$6"}</definedName>
    <definedName name="關係會社外上買入金明細書">#REF!</definedName>
    <definedName name="雑収入・雑損失">#REF!</definedName>
    <definedName name="雑費" hidden="1">{"'買掛金'!$J$6"}</definedName>
    <definedName name="電気工場">#REF!</definedName>
    <definedName name="預り保証金" hidden="1">{"'買掛金'!$J$6"}</definedName>
    <definedName name="高速通信">#REF!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6" i="5" l="1"/>
  <c r="J76" i="5"/>
  <c r="F76" i="5"/>
  <c r="B76" i="5"/>
  <c r="AZ63" i="5"/>
  <c r="AI61" i="5"/>
  <c r="BC60" i="5"/>
  <c r="BA60" i="5"/>
  <c r="AZ60" i="5"/>
  <c r="AM60" i="5"/>
  <c r="AS59" i="5"/>
  <c r="AS60" i="5" s="1"/>
  <c r="AR59" i="5"/>
  <c r="AR60" i="5" s="1"/>
  <c r="AQ59" i="5"/>
  <c r="AQ60" i="5" s="1"/>
  <c r="AP59" i="5"/>
  <c r="AO59" i="5"/>
  <c r="AO60" i="5" s="1"/>
  <c r="AN59" i="5"/>
  <c r="AN60" i="5" s="1"/>
  <c r="AM59" i="5"/>
  <c r="AL59" i="5"/>
  <c r="AL60" i="5" s="1"/>
  <c r="BC56" i="5"/>
  <c r="BB56" i="5"/>
  <c r="BA56" i="5"/>
  <c r="AZ56" i="5"/>
  <c r="BE52" i="5"/>
  <c r="BD52" i="5"/>
  <c r="BC52" i="5"/>
  <c r="BB52" i="5"/>
  <c r="BA52" i="5"/>
  <c r="AZ52" i="5"/>
  <c r="AY52" i="5"/>
  <c r="AX52" i="5"/>
  <c r="AW52" i="5"/>
  <c r="AV52" i="5"/>
  <c r="AU52" i="5"/>
  <c r="AS52" i="5"/>
  <c r="AR52" i="5"/>
  <c r="AQ52" i="5"/>
  <c r="AP52" i="5"/>
  <c r="AO52" i="5"/>
  <c r="AN52" i="5"/>
  <c r="AM52" i="5"/>
  <c r="AL52" i="5"/>
  <c r="AK52" i="5"/>
  <c r="AJ52" i="5"/>
  <c r="AI52" i="5"/>
  <c r="AH52" i="5"/>
  <c r="AG52" i="5"/>
  <c r="AF52" i="5"/>
  <c r="AE52" i="5"/>
  <c r="AD52" i="5"/>
  <c r="AC52" i="5"/>
  <c r="AB52" i="5"/>
  <c r="AA52" i="5"/>
  <c r="Z52" i="5"/>
  <c r="Y52" i="5"/>
  <c r="X52" i="5"/>
  <c r="W52" i="5"/>
  <c r="V52" i="5"/>
  <c r="U52" i="5"/>
  <c r="T52" i="5"/>
  <c r="S52" i="5"/>
  <c r="R52" i="5"/>
  <c r="Q52" i="5"/>
  <c r="P52" i="5"/>
  <c r="O52" i="5"/>
  <c r="N52" i="5"/>
  <c r="M52" i="5"/>
  <c r="L52" i="5"/>
  <c r="K52" i="5"/>
  <c r="J52" i="5"/>
  <c r="I52" i="5"/>
  <c r="H52" i="5"/>
  <c r="G52" i="5"/>
  <c r="F52" i="5"/>
  <c r="E52" i="5"/>
  <c r="D52" i="5"/>
  <c r="C52" i="5"/>
  <c r="B52" i="5"/>
  <c r="AX50" i="5"/>
  <c r="BA49" i="5"/>
  <c r="AZ49" i="5"/>
  <c r="AY49" i="5"/>
  <c r="AX49" i="5"/>
  <c r="AL49" i="5"/>
  <c r="AI49" i="5"/>
  <c r="BC49" i="5" s="1"/>
  <c r="AG49" i="5"/>
  <c r="AE49" i="5"/>
  <c r="BB49" i="5" s="1"/>
  <c r="AU44" i="5"/>
  <c r="BE43" i="5"/>
  <c r="BD43" i="5"/>
  <c r="BC43" i="5"/>
  <c r="BB43" i="5"/>
  <c r="BA43" i="5"/>
  <c r="AZ43" i="5"/>
  <c r="AY43" i="5"/>
  <c r="AX43" i="5"/>
  <c r="AW43" i="5"/>
  <c r="AV43" i="5"/>
  <c r="AU43" i="5"/>
  <c r="BI42" i="5"/>
  <c r="BE41" i="5"/>
  <c r="BD41" i="5"/>
  <c r="AK41" i="5"/>
  <c r="AJ41" i="5"/>
  <c r="AI41" i="5"/>
  <c r="AH41" i="5"/>
  <c r="BC41" i="5" s="1"/>
  <c r="AG41" i="5"/>
  <c r="AF41" i="5"/>
  <c r="AE41" i="5"/>
  <c r="AD41" i="5"/>
  <c r="BB41" i="5" s="1"/>
  <c r="AC41" i="5"/>
  <c r="AB41" i="5"/>
  <c r="AA41" i="5"/>
  <c r="Z41" i="5"/>
  <c r="BA41" i="5" s="1"/>
  <c r="Y41" i="5"/>
  <c r="X41" i="5"/>
  <c r="W41" i="5"/>
  <c r="V41" i="5"/>
  <c r="AZ41" i="5" s="1"/>
  <c r="U41" i="5"/>
  <c r="T41" i="5"/>
  <c r="S41" i="5"/>
  <c r="R41" i="5"/>
  <c r="AY41" i="5" s="1"/>
  <c r="P41" i="5"/>
  <c r="Q41" i="5" s="1"/>
  <c r="O41" i="5"/>
  <c r="AX41" i="5" s="1"/>
  <c r="K41" i="5"/>
  <c r="H41" i="5"/>
  <c r="I41" i="5" s="1"/>
  <c r="G41" i="5"/>
  <c r="C41" i="5"/>
  <c r="D41" i="5" s="1"/>
  <c r="E41" i="5" s="1"/>
  <c r="BW39" i="5"/>
  <c r="BV39" i="5"/>
  <c r="BU39" i="5"/>
  <c r="BT39" i="5"/>
  <c r="BS39" i="5"/>
  <c r="BQ39" i="5"/>
  <c r="BP39" i="5"/>
  <c r="BO39" i="5"/>
  <c r="BN39" i="5"/>
  <c r="BM39" i="5"/>
  <c r="BL39" i="5"/>
  <c r="BK39" i="5"/>
  <c r="BH39" i="5"/>
  <c r="BG39" i="5"/>
  <c r="AS39" i="5"/>
  <c r="AR39" i="5"/>
  <c r="AQ39" i="5"/>
  <c r="AP39" i="5"/>
  <c r="AO39" i="5"/>
  <c r="AN39" i="5"/>
  <c r="AM39" i="5"/>
  <c r="AL39" i="5"/>
  <c r="BD39" i="5" s="1"/>
  <c r="N39" i="5"/>
  <c r="J39" i="5"/>
  <c r="F39" i="5"/>
  <c r="B39" i="5"/>
  <c r="BR38" i="5"/>
  <c r="BR39" i="5" s="1"/>
  <c r="BJ38" i="5"/>
  <c r="BJ39" i="5" s="1"/>
  <c r="BI38" i="5"/>
  <c r="BI39" i="5" s="1"/>
  <c r="BE38" i="5"/>
  <c r="BD38" i="5"/>
  <c r="AZ38" i="5"/>
  <c r="AW38" i="5"/>
  <c r="AK38" i="5"/>
  <c r="AJ38" i="5"/>
  <c r="AI38" i="5"/>
  <c r="AH38" i="5"/>
  <c r="BC38" i="5" s="1"/>
  <c r="AG38" i="5"/>
  <c r="AF38" i="5"/>
  <c r="AE38" i="5"/>
  <c r="AD38" i="5"/>
  <c r="BB38" i="5" s="1"/>
  <c r="AC38" i="5"/>
  <c r="AB38" i="5"/>
  <c r="BA38" i="5" s="1"/>
  <c r="AA38" i="5"/>
  <c r="Z38" i="5"/>
  <c r="Y38" i="5"/>
  <c r="X38" i="5"/>
  <c r="W38" i="5"/>
  <c r="V38" i="5"/>
  <c r="U38" i="5"/>
  <c r="T38" i="5"/>
  <c r="S38" i="5"/>
  <c r="R38" i="5"/>
  <c r="AY38" i="5" s="1"/>
  <c r="P38" i="5"/>
  <c r="L38" i="5"/>
  <c r="M38" i="5" s="1"/>
  <c r="K38" i="5"/>
  <c r="G38" i="5"/>
  <c r="C38" i="5"/>
  <c r="BZ37" i="5"/>
  <c r="BZ39" i="5" s="1"/>
  <c r="BE37" i="5"/>
  <c r="BD37" i="5"/>
  <c r="AW37" i="5"/>
  <c r="AK37" i="5"/>
  <c r="AK59" i="5" s="1"/>
  <c r="AJ37" i="5"/>
  <c r="AJ59" i="5" s="1"/>
  <c r="AI37" i="5"/>
  <c r="AI59" i="5" s="1"/>
  <c r="AH37" i="5"/>
  <c r="AH59" i="5" s="1"/>
  <c r="AG37" i="5"/>
  <c r="AG59" i="5" s="1"/>
  <c r="AF37" i="5"/>
  <c r="AF59" i="5" s="1"/>
  <c r="AF61" i="5" s="1"/>
  <c r="AE37" i="5"/>
  <c r="AE59" i="5" s="1"/>
  <c r="AE60" i="5" s="1"/>
  <c r="AD37" i="5"/>
  <c r="BB37" i="5" s="1"/>
  <c r="AC37" i="5"/>
  <c r="AC59" i="5" s="1"/>
  <c r="AC63" i="5" s="1"/>
  <c r="AB37" i="5"/>
  <c r="AB59" i="5" s="1"/>
  <c r="AA37" i="5"/>
  <c r="AA59" i="5" s="1"/>
  <c r="Z37" i="5"/>
  <c r="Z59" i="5" s="1"/>
  <c r="BA59" i="5" s="1"/>
  <c r="BA62" i="5" s="1"/>
  <c r="Y37" i="5"/>
  <c r="Y59" i="5" s="1"/>
  <c r="X37" i="5"/>
  <c r="X59" i="5" s="1"/>
  <c r="W37" i="5"/>
  <c r="W59" i="5" s="1"/>
  <c r="V37" i="5"/>
  <c r="V59" i="5" s="1"/>
  <c r="U37" i="5"/>
  <c r="T37" i="5"/>
  <c r="S37" i="5"/>
  <c r="R37" i="5"/>
  <c r="AY37" i="5" s="1"/>
  <c r="Q37" i="5"/>
  <c r="P37" i="5"/>
  <c r="AX37" i="5" s="1"/>
  <c r="H37" i="5"/>
  <c r="I37" i="5" s="1"/>
  <c r="G37" i="5"/>
  <c r="AV37" i="5" s="1"/>
  <c r="D37" i="5"/>
  <c r="C37" i="5"/>
  <c r="BY36" i="5"/>
  <c r="BY39" i="5" s="1"/>
  <c r="BX36" i="5"/>
  <c r="BX39" i="5" s="1"/>
  <c r="BE36" i="5"/>
  <c r="BD36" i="5"/>
  <c r="AZ36" i="5"/>
  <c r="AK36" i="5"/>
  <c r="AJ36" i="5"/>
  <c r="AI36" i="5"/>
  <c r="AH36" i="5"/>
  <c r="BC36" i="5" s="1"/>
  <c r="AG36" i="5"/>
  <c r="AF36" i="5"/>
  <c r="AE36" i="5"/>
  <c r="AD36" i="5"/>
  <c r="BB36" i="5" s="1"/>
  <c r="AC36" i="5"/>
  <c r="AB36" i="5"/>
  <c r="AA36" i="5"/>
  <c r="Z36" i="5"/>
  <c r="Y36" i="5"/>
  <c r="X36" i="5"/>
  <c r="W36" i="5"/>
  <c r="V36" i="5"/>
  <c r="U36" i="5"/>
  <c r="T36" i="5"/>
  <c r="S36" i="5"/>
  <c r="R36" i="5"/>
  <c r="AY36" i="5" s="1"/>
  <c r="P36" i="5"/>
  <c r="O36" i="5"/>
  <c r="L36" i="5"/>
  <c r="M36" i="5" s="1"/>
  <c r="AW36" i="5" s="1"/>
  <c r="K36" i="5"/>
  <c r="H36" i="5"/>
  <c r="I36" i="5" s="1"/>
  <c r="G36" i="5"/>
  <c r="D36" i="5"/>
  <c r="E36" i="5" s="1"/>
  <c r="C36" i="5"/>
  <c r="AU36" i="5" s="1"/>
  <c r="BE35" i="5"/>
  <c r="BD35" i="5"/>
  <c r="AU35" i="5"/>
  <c r="AK35" i="5"/>
  <c r="AJ35" i="5"/>
  <c r="AI35" i="5"/>
  <c r="AH35" i="5"/>
  <c r="BC35" i="5" s="1"/>
  <c r="AG35" i="5"/>
  <c r="AF35" i="5"/>
  <c r="AE35" i="5"/>
  <c r="AD35" i="5"/>
  <c r="BB35" i="5" s="1"/>
  <c r="AC35" i="5"/>
  <c r="AB35" i="5"/>
  <c r="AA35" i="5"/>
  <c r="Z35" i="5"/>
  <c r="BA35" i="5" s="1"/>
  <c r="Y35" i="5"/>
  <c r="X35" i="5"/>
  <c r="W35" i="5"/>
  <c r="V35" i="5"/>
  <c r="AZ35" i="5" s="1"/>
  <c r="U35" i="5"/>
  <c r="T35" i="5"/>
  <c r="S35" i="5"/>
  <c r="R35" i="5"/>
  <c r="AY35" i="5" s="1"/>
  <c r="O35" i="5"/>
  <c r="P35" i="5" s="1"/>
  <c r="K35" i="5"/>
  <c r="K39" i="5" s="1"/>
  <c r="I35" i="5"/>
  <c r="H35" i="5"/>
  <c r="AV35" i="5" s="1"/>
  <c r="BE34" i="5"/>
  <c r="BD34" i="5"/>
  <c r="AW34" i="5"/>
  <c r="AK34" i="5"/>
  <c r="AJ34" i="5"/>
  <c r="AI34" i="5"/>
  <c r="AH34" i="5"/>
  <c r="BC34" i="5" s="1"/>
  <c r="AG34" i="5"/>
  <c r="AF34" i="5"/>
  <c r="AE34" i="5"/>
  <c r="AD34" i="5"/>
  <c r="BB34" i="5" s="1"/>
  <c r="AC34" i="5"/>
  <c r="AB34" i="5"/>
  <c r="AA34" i="5"/>
  <c r="Z34" i="5"/>
  <c r="Y34" i="5"/>
  <c r="X34" i="5"/>
  <c r="W34" i="5"/>
  <c r="V34" i="5"/>
  <c r="AZ34" i="5" s="1"/>
  <c r="U34" i="5"/>
  <c r="T34" i="5"/>
  <c r="S34" i="5"/>
  <c r="R34" i="5"/>
  <c r="AY34" i="5" s="1"/>
  <c r="O34" i="5"/>
  <c r="G34" i="5"/>
  <c r="H34" i="5" s="1"/>
  <c r="C34" i="5"/>
  <c r="D34" i="5" s="1"/>
  <c r="BE33" i="5"/>
  <c r="BD33" i="5"/>
  <c r="BA33" i="5"/>
  <c r="AZ33" i="5"/>
  <c r="AY33" i="5"/>
  <c r="AW33" i="5"/>
  <c r="AV33" i="5"/>
  <c r="AU33" i="5"/>
  <c r="AK33" i="5"/>
  <c r="AJ33" i="5"/>
  <c r="AI33" i="5"/>
  <c r="AH33" i="5"/>
  <c r="BC33" i="5" s="1"/>
  <c r="AG33" i="5"/>
  <c r="AF33" i="5"/>
  <c r="AE33" i="5"/>
  <c r="AD33" i="5"/>
  <c r="BB33" i="5" s="1"/>
  <c r="AC33" i="5"/>
  <c r="AB33" i="5"/>
  <c r="AA33" i="5"/>
  <c r="Z33" i="5"/>
  <c r="Y33" i="5"/>
  <c r="X33" i="5"/>
  <c r="W33" i="5"/>
  <c r="V33" i="5"/>
  <c r="U33" i="5"/>
  <c r="T33" i="5"/>
  <c r="S33" i="5"/>
  <c r="R33" i="5"/>
  <c r="O33" i="5"/>
  <c r="BE32" i="5"/>
  <c r="BD32" i="5"/>
  <c r="AZ32" i="5"/>
  <c r="AX32" i="5"/>
  <c r="AW32" i="5"/>
  <c r="AV32" i="5"/>
  <c r="AU32" i="5"/>
  <c r="AK32" i="5"/>
  <c r="AK39" i="5" s="1"/>
  <c r="AJ32" i="5"/>
  <c r="AJ39" i="5" s="1"/>
  <c r="AI32" i="5"/>
  <c r="AH32" i="5"/>
  <c r="AH39" i="5" s="1"/>
  <c r="AG32" i="5"/>
  <c r="AG39" i="5" s="1"/>
  <c r="AF32" i="5"/>
  <c r="AF39" i="5" s="1"/>
  <c r="AE32" i="5"/>
  <c r="AE39" i="5" s="1"/>
  <c r="AD32" i="5"/>
  <c r="BB32" i="5" s="1"/>
  <c r="AC32" i="5"/>
  <c r="AC39" i="5" s="1"/>
  <c r="AB32" i="5"/>
  <c r="AB39" i="5" s="1"/>
  <c r="AA32" i="5"/>
  <c r="AA39" i="5" s="1"/>
  <c r="Z32" i="5"/>
  <c r="BA32" i="5" s="1"/>
  <c r="Y32" i="5"/>
  <c r="Y39" i="5" s="1"/>
  <c r="X32" i="5"/>
  <c r="X39" i="5" s="1"/>
  <c r="W32" i="5"/>
  <c r="V32" i="5"/>
  <c r="V39" i="5" s="1"/>
  <c r="U32" i="5"/>
  <c r="U39" i="5" s="1"/>
  <c r="T32" i="5"/>
  <c r="T39" i="5" s="1"/>
  <c r="S32" i="5"/>
  <c r="S39" i="5" s="1"/>
  <c r="R32" i="5"/>
  <c r="BZ29" i="5"/>
  <c r="BY29" i="5"/>
  <c r="BX29" i="5"/>
  <c r="BW29" i="5"/>
  <c r="BS29" i="5"/>
  <c r="BR29" i="5"/>
  <c r="BM29" i="5"/>
  <c r="BL29" i="5"/>
  <c r="BK29" i="5"/>
  <c r="BI29" i="5"/>
  <c r="BH29" i="5"/>
  <c r="O29" i="5"/>
  <c r="N29" i="5"/>
  <c r="J29" i="5"/>
  <c r="F29" i="5"/>
  <c r="C29" i="5"/>
  <c r="B29" i="5"/>
  <c r="BV28" i="5"/>
  <c r="BV29" i="5" s="1"/>
  <c r="BU28" i="5"/>
  <c r="BU29" i="5" s="1"/>
  <c r="BT28" i="5"/>
  <c r="BT29" i="5" s="1"/>
  <c r="BG28" i="5"/>
  <c r="BG29" i="5" s="1"/>
  <c r="BE28" i="5"/>
  <c r="BD28" i="5"/>
  <c r="AZ28" i="5"/>
  <c r="AX28" i="5"/>
  <c r="AW28" i="5"/>
  <c r="AV28" i="5"/>
  <c r="AU28" i="5"/>
  <c r="AK28" i="5"/>
  <c r="AJ28" i="5"/>
  <c r="AI28" i="5"/>
  <c r="AH28" i="5"/>
  <c r="BC28" i="5" s="1"/>
  <c r="AG28" i="5"/>
  <c r="AF28" i="5"/>
  <c r="AE28" i="5"/>
  <c r="AD28" i="5"/>
  <c r="BB28" i="5" s="1"/>
  <c r="AC28" i="5"/>
  <c r="AB28" i="5"/>
  <c r="AA28" i="5"/>
  <c r="Z28" i="5"/>
  <c r="BA28" i="5" s="1"/>
  <c r="Y28" i="5"/>
  <c r="X28" i="5"/>
  <c r="W28" i="5"/>
  <c r="V28" i="5"/>
  <c r="U28" i="5"/>
  <c r="T28" i="5"/>
  <c r="S28" i="5"/>
  <c r="R28" i="5"/>
  <c r="AY28" i="5" s="1"/>
  <c r="BE27" i="5"/>
  <c r="BD27" i="5"/>
  <c r="AW27" i="5"/>
  <c r="AV27" i="5"/>
  <c r="AU27" i="5"/>
  <c r="AK27" i="5"/>
  <c r="AJ27" i="5"/>
  <c r="AI27" i="5"/>
  <c r="AH27" i="5"/>
  <c r="AG27" i="5"/>
  <c r="AF27" i="5"/>
  <c r="AE27" i="5"/>
  <c r="AD27" i="5"/>
  <c r="BB27" i="5" s="1"/>
  <c r="AC27" i="5"/>
  <c r="AB27" i="5"/>
  <c r="AA27" i="5"/>
  <c r="Z27" i="5"/>
  <c r="BA27" i="5" s="1"/>
  <c r="Y27" i="5"/>
  <c r="X27" i="5"/>
  <c r="W27" i="5"/>
  <c r="V27" i="5"/>
  <c r="U27" i="5"/>
  <c r="T27" i="5"/>
  <c r="S27" i="5"/>
  <c r="R27" i="5"/>
  <c r="AY27" i="5" s="1"/>
  <c r="P27" i="5"/>
  <c r="M27" i="5"/>
  <c r="BJ26" i="5"/>
  <c r="U26" i="5" s="1"/>
  <c r="BE26" i="5"/>
  <c r="BD26" i="5"/>
  <c r="AV26" i="5"/>
  <c r="AU26" i="5"/>
  <c r="AK26" i="5"/>
  <c r="AJ26" i="5"/>
  <c r="AI26" i="5"/>
  <c r="AH26" i="5"/>
  <c r="BC26" i="5" s="1"/>
  <c r="AG26" i="5"/>
  <c r="AF26" i="5"/>
  <c r="AE26" i="5"/>
  <c r="AD26" i="5"/>
  <c r="BB26" i="5" s="1"/>
  <c r="AC26" i="5"/>
  <c r="AB26" i="5"/>
  <c r="AA26" i="5"/>
  <c r="Z26" i="5"/>
  <c r="BA26" i="5" s="1"/>
  <c r="Y26" i="5"/>
  <c r="X26" i="5"/>
  <c r="W26" i="5"/>
  <c r="V26" i="5"/>
  <c r="AZ26" i="5" s="1"/>
  <c r="T26" i="5"/>
  <c r="S26" i="5"/>
  <c r="R26" i="5"/>
  <c r="O26" i="5"/>
  <c r="K26" i="5"/>
  <c r="BN25" i="5"/>
  <c r="BJ25" i="5"/>
  <c r="BJ29" i="5" s="1"/>
  <c r="BE25" i="5"/>
  <c r="BD25" i="5"/>
  <c r="AU25" i="5"/>
  <c r="AK25" i="5"/>
  <c r="AJ25" i="5"/>
  <c r="AI25" i="5"/>
  <c r="AH25" i="5"/>
  <c r="BC25" i="5" s="1"/>
  <c r="AG25" i="5"/>
  <c r="AF25" i="5"/>
  <c r="AE25" i="5"/>
  <c r="AD25" i="5"/>
  <c r="BB25" i="5" s="1"/>
  <c r="AC25" i="5"/>
  <c r="AB25" i="5"/>
  <c r="AA25" i="5"/>
  <c r="AA29" i="5" s="1"/>
  <c r="Z25" i="5"/>
  <c r="Y25" i="5"/>
  <c r="X25" i="5"/>
  <c r="W25" i="5"/>
  <c r="V25" i="5"/>
  <c r="AZ25" i="5" s="1"/>
  <c r="U25" i="5"/>
  <c r="T25" i="5"/>
  <c r="S25" i="5"/>
  <c r="R25" i="5"/>
  <c r="AY25" i="5" s="1"/>
  <c r="O25" i="5"/>
  <c r="K25" i="5"/>
  <c r="H25" i="5"/>
  <c r="I25" i="5" s="1"/>
  <c r="AV25" i="5" s="1"/>
  <c r="AK24" i="5"/>
  <c r="AL24" i="5" s="1"/>
  <c r="AJ24" i="5"/>
  <c r="AI24" i="5"/>
  <c r="AH24" i="5"/>
  <c r="BC24" i="5" s="1"/>
  <c r="AG24" i="5"/>
  <c r="AF24" i="5"/>
  <c r="AE24" i="5"/>
  <c r="AD24" i="5"/>
  <c r="AC24" i="5"/>
  <c r="AB24" i="5"/>
  <c r="AA24" i="5"/>
  <c r="Z24" i="5"/>
  <c r="BA24" i="5" s="1"/>
  <c r="BQ23" i="5"/>
  <c r="AC23" i="5" s="1"/>
  <c r="BP23" i="5"/>
  <c r="BP29" i="5" s="1"/>
  <c r="BO23" i="5"/>
  <c r="BO29" i="5" s="1"/>
  <c r="BN23" i="5"/>
  <c r="BN29" i="5" s="1"/>
  <c r="AQ23" i="5"/>
  <c r="AM23" i="5"/>
  <c r="AK23" i="5"/>
  <c r="AJ23" i="5"/>
  <c r="AI23" i="5"/>
  <c r="AH23" i="5"/>
  <c r="AG23" i="5"/>
  <c r="AF23" i="5"/>
  <c r="AE23" i="5"/>
  <c r="AD23" i="5"/>
  <c r="AB23" i="5"/>
  <c r="AB29" i="5" s="1"/>
  <c r="AA23" i="5"/>
  <c r="Z23" i="5"/>
  <c r="Y23" i="5"/>
  <c r="X23" i="5"/>
  <c r="W23" i="5"/>
  <c r="V23" i="5"/>
  <c r="U23" i="5"/>
  <c r="T23" i="5"/>
  <c r="S23" i="5"/>
  <c r="R23" i="5"/>
  <c r="O23" i="5"/>
  <c r="L23" i="5"/>
  <c r="K23" i="5"/>
  <c r="G23" i="5"/>
  <c r="D23" i="5"/>
  <c r="C23" i="5"/>
  <c r="BW20" i="5"/>
  <c r="BQ20" i="5"/>
  <c r="BP20" i="5"/>
  <c r="BO20" i="5"/>
  <c r="BN20" i="5"/>
  <c r="BM20" i="5"/>
  <c r="BL20" i="5"/>
  <c r="BK20" i="5"/>
  <c r="BJ20" i="5"/>
  <c r="BI20" i="5"/>
  <c r="BH20" i="5"/>
  <c r="BG20" i="5"/>
  <c r="F20" i="5"/>
  <c r="AK19" i="5"/>
  <c r="AJ19" i="5"/>
  <c r="AI19" i="5"/>
  <c r="AH19" i="5"/>
  <c r="BC19" i="5" s="1"/>
  <c r="AG19" i="5"/>
  <c r="AF19" i="5"/>
  <c r="AE19" i="5"/>
  <c r="AD19" i="5"/>
  <c r="BB19" i="5" s="1"/>
  <c r="AC19" i="5"/>
  <c r="AB19" i="5"/>
  <c r="AA19" i="5"/>
  <c r="Z19" i="5"/>
  <c r="BA19" i="5" s="1"/>
  <c r="Y19" i="5"/>
  <c r="X19" i="5"/>
  <c r="W19" i="5"/>
  <c r="V19" i="5"/>
  <c r="AZ19" i="5" s="1"/>
  <c r="U19" i="5"/>
  <c r="T19" i="5"/>
  <c r="S19" i="5"/>
  <c r="R19" i="5"/>
  <c r="AY19" i="5" s="1"/>
  <c r="P19" i="5"/>
  <c r="Q19" i="5" s="1"/>
  <c r="AX19" i="5" s="1"/>
  <c r="O19" i="5"/>
  <c r="L19" i="5"/>
  <c r="M19" i="5" s="1"/>
  <c r="K19" i="5"/>
  <c r="G19" i="5"/>
  <c r="C19" i="5"/>
  <c r="BA18" i="5"/>
  <c r="AK18" i="5"/>
  <c r="AJ18" i="5"/>
  <c r="AI18" i="5"/>
  <c r="AH18" i="5"/>
  <c r="BC18" i="5" s="1"/>
  <c r="AG18" i="5"/>
  <c r="AF18" i="5"/>
  <c r="AE18" i="5"/>
  <c r="AD18" i="5"/>
  <c r="BB18" i="5" s="1"/>
  <c r="AC18" i="5"/>
  <c r="AB18" i="5"/>
  <c r="AA18" i="5"/>
  <c r="Z18" i="5"/>
  <c r="Y18" i="5"/>
  <c r="X18" i="5"/>
  <c r="W18" i="5"/>
  <c r="V18" i="5"/>
  <c r="AZ18" i="5" s="1"/>
  <c r="U18" i="5"/>
  <c r="T18" i="5"/>
  <c r="S18" i="5"/>
  <c r="R18" i="5"/>
  <c r="AY18" i="5" s="1"/>
  <c r="P18" i="5"/>
  <c r="Q18" i="5" s="1"/>
  <c r="O18" i="5"/>
  <c r="K18" i="5"/>
  <c r="G18" i="5"/>
  <c r="D18" i="5"/>
  <c r="E18" i="5" s="1"/>
  <c r="C18" i="5"/>
  <c r="AK17" i="5"/>
  <c r="AJ17" i="5"/>
  <c r="AI17" i="5"/>
  <c r="AH17" i="5"/>
  <c r="BC17" i="5" s="1"/>
  <c r="AG17" i="5"/>
  <c r="AF17" i="5"/>
  <c r="AE17" i="5"/>
  <c r="AD17" i="5"/>
  <c r="BB17" i="5" s="1"/>
  <c r="AC17" i="5"/>
  <c r="AB17" i="5"/>
  <c r="AA17" i="5"/>
  <c r="Z17" i="5"/>
  <c r="BA17" i="5" s="1"/>
  <c r="Y17" i="5"/>
  <c r="X17" i="5"/>
  <c r="W17" i="5"/>
  <c r="V17" i="5"/>
  <c r="AZ17" i="5" s="1"/>
  <c r="U17" i="5"/>
  <c r="T17" i="5"/>
  <c r="S17" i="5"/>
  <c r="R17" i="5"/>
  <c r="AY17" i="5" s="1"/>
  <c r="N17" i="5"/>
  <c r="L17" i="5"/>
  <c r="M17" i="5" s="1"/>
  <c r="K17" i="5"/>
  <c r="J17" i="5"/>
  <c r="AW17" i="5" s="1"/>
  <c r="G17" i="5"/>
  <c r="H17" i="5" s="1"/>
  <c r="I17" i="5" s="1"/>
  <c r="F17" i="5"/>
  <c r="B17" i="5"/>
  <c r="B20" i="5" s="1"/>
  <c r="AY16" i="5"/>
  <c r="AK16" i="5"/>
  <c r="AJ16" i="5"/>
  <c r="AI16" i="5"/>
  <c r="AH16" i="5"/>
  <c r="BC16" i="5" s="1"/>
  <c r="AG16" i="5"/>
  <c r="AF16" i="5"/>
  <c r="AE16" i="5"/>
  <c r="AD16" i="5"/>
  <c r="BB16" i="5" s="1"/>
  <c r="AC16" i="5"/>
  <c r="AB16" i="5"/>
  <c r="AA16" i="5"/>
  <c r="Z16" i="5"/>
  <c r="BA16" i="5" s="1"/>
  <c r="Y16" i="5"/>
  <c r="X16" i="5"/>
  <c r="W16" i="5"/>
  <c r="V16" i="5"/>
  <c r="AZ16" i="5" s="1"/>
  <c r="U16" i="5"/>
  <c r="T16" i="5"/>
  <c r="S16" i="5"/>
  <c r="R16" i="5"/>
  <c r="P16" i="5"/>
  <c r="Q16" i="5" s="1"/>
  <c r="O16" i="5"/>
  <c r="AX16" i="5" s="1"/>
  <c r="K16" i="5"/>
  <c r="L16" i="5" s="1"/>
  <c r="M16" i="5" s="1"/>
  <c r="G16" i="5"/>
  <c r="D16" i="5"/>
  <c r="E16" i="5" s="1"/>
  <c r="C16" i="5"/>
  <c r="AU16" i="5" s="1"/>
  <c r="BB15" i="5"/>
  <c r="AK15" i="5"/>
  <c r="AJ15" i="5"/>
  <c r="AI15" i="5"/>
  <c r="AH15" i="5"/>
  <c r="BC15" i="5" s="1"/>
  <c r="AG15" i="5"/>
  <c r="AF15" i="5"/>
  <c r="AE15" i="5"/>
  <c r="AD15" i="5"/>
  <c r="AC15" i="5"/>
  <c r="AB15" i="5"/>
  <c r="AA15" i="5"/>
  <c r="Z15" i="5"/>
  <c r="Y15" i="5"/>
  <c r="X15" i="5"/>
  <c r="W15" i="5"/>
  <c r="V15" i="5"/>
  <c r="AZ15" i="5" s="1"/>
  <c r="U15" i="5"/>
  <c r="T15" i="5"/>
  <c r="S15" i="5"/>
  <c r="R15" i="5"/>
  <c r="AY15" i="5" s="1"/>
  <c r="O15" i="5"/>
  <c r="P15" i="5" s="1"/>
  <c r="Q15" i="5" s="1"/>
  <c r="K15" i="5"/>
  <c r="G15" i="5"/>
  <c r="D15" i="5"/>
  <c r="E15" i="5" s="1"/>
  <c r="C15" i="5"/>
  <c r="AU15" i="5" s="1"/>
  <c r="AK14" i="5"/>
  <c r="AJ14" i="5"/>
  <c r="AI14" i="5"/>
  <c r="AH14" i="5"/>
  <c r="BC14" i="5" s="1"/>
  <c r="AG14" i="5"/>
  <c r="AF14" i="5"/>
  <c r="AE14" i="5"/>
  <c r="AD14" i="5"/>
  <c r="AC14" i="5"/>
  <c r="AB14" i="5"/>
  <c r="AA14" i="5"/>
  <c r="Z14" i="5"/>
  <c r="BA14" i="5" s="1"/>
  <c r="Y14" i="5"/>
  <c r="X14" i="5"/>
  <c r="W14" i="5"/>
  <c r="V14" i="5"/>
  <c r="AZ14" i="5" s="1"/>
  <c r="U14" i="5"/>
  <c r="T14" i="5"/>
  <c r="S14" i="5"/>
  <c r="R14" i="5"/>
  <c r="O14" i="5"/>
  <c r="M14" i="5"/>
  <c r="L14" i="5"/>
  <c r="K14" i="5"/>
  <c r="AW14" i="5" s="1"/>
  <c r="G14" i="5"/>
  <c r="C14" i="5"/>
  <c r="D14" i="5" s="1"/>
  <c r="E14" i="5" s="1"/>
  <c r="AK13" i="5"/>
  <c r="AJ13" i="5"/>
  <c r="AI13" i="5"/>
  <c r="AH13" i="5"/>
  <c r="AG13" i="5"/>
  <c r="AF13" i="5"/>
  <c r="AE13" i="5"/>
  <c r="AD13" i="5"/>
  <c r="BB13" i="5" s="1"/>
  <c r="AC13" i="5"/>
  <c r="AB13" i="5"/>
  <c r="AA13" i="5"/>
  <c r="Z13" i="5"/>
  <c r="BA13" i="5" s="1"/>
  <c r="Y13" i="5"/>
  <c r="X13" i="5"/>
  <c r="W13" i="5"/>
  <c r="V13" i="5"/>
  <c r="U13" i="5"/>
  <c r="T13" i="5"/>
  <c r="S13" i="5"/>
  <c r="R13" i="5"/>
  <c r="AY13" i="5" s="1"/>
  <c r="Q13" i="5"/>
  <c r="P13" i="5"/>
  <c r="O13" i="5"/>
  <c r="AX13" i="5" s="1"/>
  <c r="L13" i="5"/>
  <c r="M13" i="5" s="1"/>
  <c r="K13" i="5"/>
  <c r="AW13" i="5" s="1"/>
  <c r="G13" i="5"/>
  <c r="H13" i="5" s="1"/>
  <c r="C13" i="5"/>
  <c r="AY12" i="5"/>
  <c r="AK12" i="5"/>
  <c r="AJ12" i="5"/>
  <c r="AI12" i="5"/>
  <c r="AH12" i="5"/>
  <c r="BC12" i="5" s="1"/>
  <c r="AG12" i="5"/>
  <c r="AF12" i="5"/>
  <c r="AE12" i="5"/>
  <c r="AD12" i="5"/>
  <c r="BB12" i="5" s="1"/>
  <c r="AC12" i="5"/>
  <c r="AB12" i="5"/>
  <c r="AA12" i="5"/>
  <c r="Z12" i="5"/>
  <c r="BA12" i="5" s="1"/>
  <c r="Y12" i="5"/>
  <c r="X12" i="5"/>
  <c r="W12" i="5"/>
  <c r="V12" i="5"/>
  <c r="AZ12" i="5" s="1"/>
  <c r="U12" i="5"/>
  <c r="T12" i="5"/>
  <c r="S12" i="5"/>
  <c r="R12" i="5"/>
  <c r="P12" i="5"/>
  <c r="Q12" i="5" s="1"/>
  <c r="O12" i="5"/>
  <c r="K12" i="5"/>
  <c r="L12" i="5" s="1"/>
  <c r="M12" i="5" s="1"/>
  <c r="G12" i="5"/>
  <c r="E12" i="5"/>
  <c r="D12" i="5"/>
  <c r="C12" i="5"/>
  <c r="AU12" i="5" s="1"/>
  <c r="BZ10" i="5"/>
  <c r="BZ20" i="5" s="1"/>
  <c r="BY10" i="5"/>
  <c r="BY20" i="5" s="1"/>
  <c r="BX10" i="5"/>
  <c r="BX20" i="5" s="1"/>
  <c r="BV10" i="5"/>
  <c r="AG10" i="5" s="1"/>
  <c r="BU10" i="5"/>
  <c r="BU20" i="5" s="1"/>
  <c r="BT10" i="5"/>
  <c r="BT20" i="5" s="1"/>
  <c r="BS10" i="5"/>
  <c r="BS20" i="5" s="1"/>
  <c r="BR10" i="5"/>
  <c r="BR20" i="5" s="1"/>
  <c r="BE10" i="5"/>
  <c r="BD10" i="5"/>
  <c r="AX10" i="5"/>
  <c r="AI10" i="5"/>
  <c r="AH10" i="5"/>
  <c r="AF10" i="5"/>
  <c r="AE10" i="5"/>
  <c r="AD10" i="5"/>
  <c r="BB10" i="5" s="1"/>
  <c r="AC10" i="5"/>
  <c r="AB10" i="5"/>
  <c r="AA10" i="5"/>
  <c r="Z10" i="5"/>
  <c r="Y10" i="5"/>
  <c r="X10" i="5"/>
  <c r="W10" i="5"/>
  <c r="V10" i="5"/>
  <c r="AZ10" i="5" s="1"/>
  <c r="U10" i="5"/>
  <c r="T10" i="5"/>
  <c r="S10" i="5"/>
  <c r="R10" i="5"/>
  <c r="AY10" i="5" s="1"/>
  <c r="Q10" i="5"/>
  <c r="O10" i="5"/>
  <c r="P10" i="5" s="1"/>
  <c r="L10" i="5"/>
  <c r="M10" i="5" s="1"/>
  <c r="K10" i="5"/>
  <c r="AW10" i="5" s="1"/>
  <c r="I10" i="5"/>
  <c r="H10" i="5"/>
  <c r="G10" i="5"/>
  <c r="AV10" i="5" s="1"/>
  <c r="D10" i="5"/>
  <c r="E10" i="5" s="1"/>
  <c r="C10" i="5"/>
  <c r="AU10" i="5" s="1"/>
  <c r="AK9" i="5"/>
  <c r="AJ9" i="5"/>
  <c r="AI9" i="5"/>
  <c r="AH9" i="5"/>
  <c r="BC9" i="5" s="1"/>
  <c r="AG9" i="5"/>
  <c r="AF9" i="5"/>
  <c r="AE9" i="5"/>
  <c r="AD9" i="5"/>
  <c r="BB9" i="5" s="1"/>
  <c r="AC9" i="5"/>
  <c r="AB9" i="5"/>
  <c r="AA9" i="5"/>
  <c r="Z9" i="5"/>
  <c r="BA9" i="5" s="1"/>
  <c r="Y9" i="5"/>
  <c r="X9" i="5"/>
  <c r="W9" i="5"/>
  <c r="V9" i="5"/>
  <c r="AZ9" i="5" s="1"/>
  <c r="U9" i="5"/>
  <c r="T9" i="5"/>
  <c r="S9" i="5"/>
  <c r="R9" i="5"/>
  <c r="AY9" i="5" s="1"/>
  <c r="P9" i="5"/>
  <c r="Q9" i="5" s="1"/>
  <c r="O9" i="5"/>
  <c r="AX9" i="5" s="1"/>
  <c r="M9" i="5"/>
  <c r="L9" i="5"/>
  <c r="K9" i="5"/>
  <c r="AW9" i="5" s="1"/>
  <c r="H9" i="5"/>
  <c r="I9" i="5" s="1"/>
  <c r="G9" i="5"/>
  <c r="E9" i="5"/>
  <c r="D9" i="5"/>
  <c r="C9" i="5"/>
  <c r="AU9" i="5" s="1"/>
  <c r="AK8" i="5"/>
  <c r="AJ8" i="5"/>
  <c r="AJ76" i="5" s="1"/>
  <c r="AI8" i="5"/>
  <c r="AI76" i="5" s="1"/>
  <c r="AH8" i="5"/>
  <c r="AH76" i="5" s="1"/>
  <c r="AG8" i="5"/>
  <c r="AG76" i="5" s="1"/>
  <c r="AF8" i="5"/>
  <c r="AF76" i="5" s="1"/>
  <c r="AE8" i="5"/>
  <c r="AE76" i="5" s="1"/>
  <c r="AD8" i="5"/>
  <c r="AD76" i="5" s="1"/>
  <c r="AC8" i="5"/>
  <c r="AC76" i="5" s="1"/>
  <c r="AB8" i="5"/>
  <c r="AB76" i="5" s="1"/>
  <c r="AA8" i="5"/>
  <c r="AA76" i="5" s="1"/>
  <c r="Z8" i="5"/>
  <c r="BA8" i="5" s="1"/>
  <c r="Y8" i="5"/>
  <c r="Y76" i="5" s="1"/>
  <c r="X8" i="5"/>
  <c r="X76" i="5" s="1"/>
  <c r="W8" i="5"/>
  <c r="W76" i="5" s="1"/>
  <c r="V8" i="5"/>
  <c r="V76" i="5" s="1"/>
  <c r="U8" i="5"/>
  <c r="U76" i="5" s="1"/>
  <c r="T8" i="5"/>
  <c r="T76" i="5" s="1"/>
  <c r="S8" i="5"/>
  <c r="S76" i="5" s="1"/>
  <c r="R8" i="5"/>
  <c r="R76" i="5" s="1"/>
  <c r="Q8" i="5"/>
  <c r="Q76" i="5" s="1"/>
  <c r="P8" i="5"/>
  <c r="P76" i="5" s="1"/>
  <c r="O8" i="5"/>
  <c r="O76" i="5" s="1"/>
  <c r="L8" i="5"/>
  <c r="L76" i="5" s="1"/>
  <c r="K8" i="5"/>
  <c r="K76" i="5" s="1"/>
  <c r="G8" i="5"/>
  <c r="G76" i="5" s="1"/>
  <c r="D8" i="5"/>
  <c r="D76" i="5" s="1"/>
  <c r="C8" i="5"/>
  <c r="C76" i="5" s="1"/>
  <c r="BE7" i="5"/>
  <c r="BD7" i="5"/>
  <c r="AW7" i="5"/>
  <c r="AV7" i="5"/>
  <c r="AK7" i="5"/>
  <c r="AJ7" i="5"/>
  <c r="AI7" i="5"/>
  <c r="AH7" i="5"/>
  <c r="BC7" i="5" s="1"/>
  <c r="AG7" i="5"/>
  <c r="AF7" i="5"/>
  <c r="AE7" i="5"/>
  <c r="AD7" i="5"/>
  <c r="BB7" i="5" s="1"/>
  <c r="AC7" i="5"/>
  <c r="AB7" i="5"/>
  <c r="AA7" i="5"/>
  <c r="Z7" i="5"/>
  <c r="BA7" i="5" s="1"/>
  <c r="Y7" i="5"/>
  <c r="X7" i="5"/>
  <c r="W7" i="5"/>
  <c r="V7" i="5"/>
  <c r="AZ7" i="5" s="1"/>
  <c r="U7" i="5"/>
  <c r="T7" i="5"/>
  <c r="S7" i="5"/>
  <c r="R7" i="5"/>
  <c r="AY7" i="5" s="1"/>
  <c r="O7" i="5"/>
  <c r="C7" i="5"/>
  <c r="BV6" i="5"/>
  <c r="AK6" i="5"/>
  <c r="AJ6" i="5"/>
  <c r="AI6" i="5"/>
  <c r="AH6" i="5"/>
  <c r="AH20" i="5" s="1"/>
  <c r="AG6" i="5"/>
  <c r="AF6" i="5"/>
  <c r="AF20" i="5" s="1"/>
  <c r="AF48" i="5" s="1"/>
  <c r="AF50" i="5" s="1"/>
  <c r="AE6" i="5"/>
  <c r="AE20" i="5" s="1"/>
  <c r="AD6" i="5"/>
  <c r="BB6" i="5" s="1"/>
  <c r="AC6" i="5"/>
  <c r="AB6" i="5"/>
  <c r="AB20" i="5" s="1"/>
  <c r="AA6" i="5"/>
  <c r="AA20" i="5" s="1"/>
  <c r="Z6" i="5"/>
  <c r="Z20" i="5" s="1"/>
  <c r="Y6" i="5"/>
  <c r="Y20" i="5" s="1"/>
  <c r="X6" i="5"/>
  <c r="X20" i="5" s="1"/>
  <c r="W6" i="5"/>
  <c r="V6" i="5"/>
  <c r="AZ6" i="5" s="1"/>
  <c r="U6" i="5"/>
  <c r="U20" i="5" s="1"/>
  <c r="T6" i="5"/>
  <c r="T20" i="5" s="1"/>
  <c r="S6" i="5"/>
  <c r="S20" i="5" s="1"/>
  <c r="R6" i="5"/>
  <c r="AY6" i="5" s="1"/>
  <c r="P6" i="5"/>
  <c r="O6" i="5"/>
  <c r="L6" i="5"/>
  <c r="M6" i="5" s="1"/>
  <c r="K6" i="5"/>
  <c r="AW6" i="5" s="1"/>
  <c r="G6" i="5"/>
  <c r="C6" i="5"/>
  <c r="BY4" i="5"/>
  <c r="BM4" i="5"/>
  <c r="BE4" i="5"/>
  <c r="BD4" i="5"/>
  <c r="BC4" i="5"/>
  <c r="BB4" i="5"/>
  <c r="BA4" i="5"/>
  <c r="AZ4" i="5"/>
  <c r="AY4" i="5"/>
  <c r="AX4" i="5"/>
  <c r="AW4" i="5"/>
  <c r="AV4" i="5"/>
  <c r="AU4" i="5"/>
  <c r="AS4" i="5"/>
  <c r="AR4" i="5"/>
  <c r="AQ4" i="5"/>
  <c r="AP4" i="5"/>
  <c r="AO4" i="5"/>
  <c r="AN4" i="5"/>
  <c r="AM4" i="5"/>
  <c r="AL4" i="5"/>
  <c r="AK4" i="5"/>
  <c r="BZ4" i="5" s="1"/>
  <c r="AJ4" i="5"/>
  <c r="AI4" i="5"/>
  <c r="BX4" i="5" s="1"/>
  <c r="AH4" i="5"/>
  <c r="BW4" i="5" s="1"/>
  <c r="AG4" i="5"/>
  <c r="BV4" i="5" s="1"/>
  <c r="AF4" i="5"/>
  <c r="BU4" i="5" s="1"/>
  <c r="AE4" i="5"/>
  <c r="BT4" i="5" s="1"/>
  <c r="AD4" i="5"/>
  <c r="BS4" i="5" s="1"/>
  <c r="AC4" i="5"/>
  <c r="BR4" i="5" s="1"/>
  <c r="AB4" i="5"/>
  <c r="BQ4" i="5" s="1"/>
  <c r="AA4" i="5"/>
  <c r="BP4" i="5" s="1"/>
  <c r="Z4" i="5"/>
  <c r="BO4" i="5" s="1"/>
  <c r="Y4" i="5"/>
  <c r="BN4" i="5" s="1"/>
  <c r="X4" i="5"/>
  <c r="W4" i="5"/>
  <c r="BL4" i="5" s="1"/>
  <c r="V4" i="5"/>
  <c r="BK4" i="5" s="1"/>
  <c r="U4" i="5"/>
  <c r="BJ4" i="5" s="1"/>
  <c r="T4" i="5"/>
  <c r="BI4" i="5" s="1"/>
  <c r="S4" i="5"/>
  <c r="BH4" i="5" s="1"/>
  <c r="R4" i="5"/>
  <c r="BG4" i="5" s="1"/>
  <c r="Q4" i="5"/>
  <c r="P4" i="5"/>
  <c r="O4" i="5"/>
  <c r="N4" i="5"/>
  <c r="M4" i="5"/>
  <c r="L4" i="5"/>
  <c r="K4" i="5"/>
  <c r="J4" i="5"/>
  <c r="I4" i="5"/>
  <c r="H4" i="5"/>
  <c r="G4" i="5"/>
  <c r="F4" i="5"/>
  <c r="E4" i="5"/>
  <c r="D4" i="5"/>
  <c r="C4" i="5"/>
  <c r="B4" i="5"/>
  <c r="A4" i="5"/>
  <c r="BK3" i="5"/>
  <c r="AD3" i="5"/>
  <c r="BS3" i="5" s="1"/>
  <c r="Z3" i="5"/>
  <c r="BO3" i="5" s="1"/>
  <c r="V3" i="5"/>
  <c r="R3" i="5"/>
  <c r="BG3" i="5" s="1"/>
  <c r="N3" i="5"/>
  <c r="J3" i="5"/>
  <c r="F3" i="5"/>
  <c r="B3" i="5"/>
  <c r="BB2" i="5"/>
  <c r="BA2" i="5"/>
  <c r="AZ2" i="5"/>
  <c r="AY2" i="5"/>
  <c r="AX2" i="5"/>
  <c r="AW2" i="5"/>
  <c r="AV2" i="5"/>
  <c r="AU2" i="5"/>
  <c r="AS2" i="5"/>
  <c r="AR2" i="5"/>
  <c r="AQ2" i="5"/>
  <c r="AP2" i="5"/>
  <c r="AO2" i="5"/>
  <c r="AN2" i="5"/>
  <c r="AM2" i="5"/>
  <c r="AL2" i="5"/>
  <c r="AK2" i="5"/>
  <c r="AJ2" i="5"/>
  <c r="AI2" i="5"/>
  <c r="AH2" i="5"/>
  <c r="AG2" i="5"/>
  <c r="AF2" i="5"/>
  <c r="AE2" i="5"/>
  <c r="AD2" i="5"/>
  <c r="AC2" i="5"/>
  <c r="AB2" i="5"/>
  <c r="AA2" i="5"/>
  <c r="Z2" i="5"/>
  <c r="Y2" i="5"/>
  <c r="X2" i="5"/>
  <c r="W2" i="5"/>
  <c r="V2" i="5"/>
  <c r="U2" i="5"/>
  <c r="T2" i="5"/>
  <c r="S2" i="5"/>
  <c r="R2" i="5"/>
  <c r="Q2" i="5"/>
  <c r="P2" i="5"/>
  <c r="O2" i="5"/>
  <c r="N2" i="5"/>
  <c r="A1" i="5"/>
  <c r="D86" i="4"/>
  <c r="C86" i="4"/>
  <c r="B86" i="4"/>
  <c r="D85" i="4"/>
  <c r="C85" i="4"/>
  <c r="B85" i="4"/>
  <c r="E84" i="4"/>
  <c r="D84" i="4"/>
  <c r="C84" i="4"/>
  <c r="B84" i="4"/>
  <c r="AW82" i="4"/>
  <c r="AV82" i="4"/>
  <c r="AU82" i="4"/>
  <c r="BE81" i="4"/>
  <c r="BD81" i="4"/>
  <c r="BC81" i="4"/>
  <c r="BB81" i="4"/>
  <c r="BA81" i="4"/>
  <c r="AZ81" i="4"/>
  <c r="AY81" i="4"/>
  <c r="AS81" i="4"/>
  <c r="AR81" i="4"/>
  <c r="AQ81" i="4"/>
  <c r="AP81" i="4"/>
  <c r="AO81" i="4"/>
  <c r="AN81" i="4"/>
  <c r="AM81" i="4"/>
  <c r="AL81" i="4"/>
  <c r="AK81" i="4"/>
  <c r="AJ81" i="4"/>
  <c r="AI81" i="4"/>
  <c r="AH81" i="4"/>
  <c r="AG81" i="4"/>
  <c r="AF81" i="4"/>
  <c r="AE81" i="4"/>
  <c r="AD81" i="4"/>
  <c r="AC81" i="4"/>
  <c r="AB81" i="4"/>
  <c r="AA81" i="4"/>
  <c r="Z81" i="4"/>
  <c r="Y81" i="4"/>
  <c r="X81" i="4"/>
  <c r="W81" i="4"/>
  <c r="V81" i="4"/>
  <c r="U81" i="4"/>
  <c r="Q81" i="4"/>
  <c r="P81" i="4"/>
  <c r="O81" i="4"/>
  <c r="N81" i="4"/>
  <c r="M81" i="4"/>
  <c r="L81" i="4"/>
  <c r="K81" i="4"/>
  <c r="J81" i="4"/>
  <c r="Q80" i="4"/>
  <c r="P80" i="4"/>
  <c r="O80" i="4"/>
  <c r="N80" i="4"/>
  <c r="M80" i="4"/>
  <c r="L80" i="4"/>
  <c r="K80" i="4"/>
  <c r="J80" i="4"/>
  <c r="I80" i="4"/>
  <c r="H80" i="4"/>
  <c r="G80" i="4"/>
  <c r="F80" i="4"/>
  <c r="E80" i="4"/>
  <c r="D80" i="4"/>
  <c r="C80" i="4"/>
  <c r="B80" i="4"/>
  <c r="AH79" i="4"/>
  <c r="AF79" i="4"/>
  <c r="AE79" i="4"/>
  <c r="AB79" i="4"/>
  <c r="AA79" i="4"/>
  <c r="Z79" i="4"/>
  <c r="Y79" i="4"/>
  <c r="U79" i="4"/>
  <c r="T79" i="4"/>
  <c r="S79" i="4"/>
  <c r="A76" i="4"/>
  <c r="A75" i="4"/>
  <c r="A71" i="4"/>
  <c r="A70" i="4"/>
  <c r="BE58" i="4"/>
  <c r="BD58" i="4"/>
  <c r="BC58" i="4"/>
  <c r="BB58" i="4"/>
  <c r="BA58" i="4"/>
  <c r="AZ58" i="4"/>
  <c r="AY58" i="4"/>
  <c r="AX58" i="4"/>
  <c r="AW58" i="4"/>
  <c r="AV58" i="4"/>
  <c r="AU58" i="4"/>
  <c r="AD57" i="4"/>
  <c r="Z57" i="4"/>
  <c r="V57" i="4"/>
  <c r="R57" i="4"/>
  <c r="N57" i="4"/>
  <c r="J57" i="4"/>
  <c r="F57" i="4"/>
  <c r="B57" i="4"/>
  <c r="AV51" i="4"/>
  <c r="AU51" i="4"/>
  <c r="AE48" i="4"/>
  <c r="S48" i="4"/>
  <c r="AK47" i="4"/>
  <c r="AH47" i="4"/>
  <c r="AG47" i="4"/>
  <c r="AG48" i="4" s="1"/>
  <c r="AF47" i="4"/>
  <c r="AF48" i="4" s="1"/>
  <c r="AE47" i="4"/>
  <c r="AD47" i="4"/>
  <c r="AC47" i="4"/>
  <c r="AC48" i="4" s="1"/>
  <c r="AB47" i="4"/>
  <c r="AB48" i="4" s="1"/>
  <c r="AA47" i="4"/>
  <c r="AA48" i="4" s="1"/>
  <c r="Y47" i="4"/>
  <c r="X47" i="4"/>
  <c r="W47" i="4"/>
  <c r="V47" i="4"/>
  <c r="U47" i="4"/>
  <c r="U48" i="4" s="1"/>
  <c r="T47" i="4"/>
  <c r="T48" i="4" s="1"/>
  <c r="S47" i="4"/>
  <c r="R47" i="4"/>
  <c r="R48" i="4" s="1"/>
  <c r="Q47" i="4"/>
  <c r="Q48" i="4" s="1"/>
  <c r="P47" i="4"/>
  <c r="P48" i="4" s="1"/>
  <c r="O47" i="4"/>
  <c r="O48" i="4" s="1"/>
  <c r="N47" i="4"/>
  <c r="M47" i="4"/>
  <c r="L47" i="4"/>
  <c r="K47" i="4"/>
  <c r="J47" i="4"/>
  <c r="I47" i="4"/>
  <c r="I48" i="4" s="1"/>
  <c r="H47" i="4"/>
  <c r="G47" i="4"/>
  <c r="F47" i="4"/>
  <c r="E47" i="4"/>
  <c r="AZ44" i="4"/>
  <c r="AY44" i="4"/>
  <c r="AG44" i="4"/>
  <c r="AB44" i="4"/>
  <c r="AA44" i="4"/>
  <c r="Z44" i="4"/>
  <c r="Y44" i="4"/>
  <c r="X44" i="4"/>
  <c r="W44" i="4"/>
  <c r="V44" i="4"/>
  <c r="T44" i="4"/>
  <c r="S44" i="4"/>
  <c r="R44" i="4"/>
  <c r="R45" i="4" s="1"/>
  <c r="Q44" i="4"/>
  <c r="AX44" i="4" s="1"/>
  <c r="P44" i="4"/>
  <c r="O44" i="4"/>
  <c r="N44" i="4"/>
  <c r="N45" i="4" s="1"/>
  <c r="M44" i="4"/>
  <c r="AW44" i="4" s="1"/>
  <c r="L44" i="4"/>
  <c r="K44" i="4"/>
  <c r="J44" i="4"/>
  <c r="I44" i="4"/>
  <c r="H44" i="4"/>
  <c r="G44" i="4"/>
  <c r="BC43" i="4"/>
  <c r="BB43" i="4"/>
  <c r="BA43" i="4"/>
  <c r="AZ43" i="4"/>
  <c r="AY43" i="4"/>
  <c r="AX43" i="4"/>
  <c r="AW43" i="4"/>
  <c r="AV43" i="4"/>
  <c r="AU43" i="4"/>
  <c r="BC42" i="4"/>
  <c r="BB42" i="4"/>
  <c r="BA42" i="4"/>
  <c r="AZ42" i="4"/>
  <c r="AY42" i="4"/>
  <c r="AX42" i="4"/>
  <c r="AW42" i="4"/>
  <c r="AV42" i="4"/>
  <c r="AU42" i="4"/>
  <c r="AL42" i="4"/>
  <c r="AM42" i="4" s="1"/>
  <c r="AN42" i="4" s="1"/>
  <c r="AO42" i="4" s="1"/>
  <c r="AZ41" i="4"/>
  <c r="AY41" i="4"/>
  <c r="AX41" i="4"/>
  <c r="AW41" i="4"/>
  <c r="AV41" i="4"/>
  <c r="AK41" i="4"/>
  <c r="AK44" i="4" s="1"/>
  <c r="AJ41" i="4"/>
  <c r="AJ44" i="4" s="1"/>
  <c r="AI41" i="4"/>
  <c r="AI44" i="4" s="1"/>
  <c r="AH41" i="4"/>
  <c r="AH44" i="4" s="1"/>
  <c r="AG41" i="4"/>
  <c r="BB41" i="4" s="1"/>
  <c r="AF41" i="4"/>
  <c r="AF44" i="4" s="1"/>
  <c r="AE41" i="4"/>
  <c r="AE44" i="4" s="1"/>
  <c r="AE45" i="4" s="1"/>
  <c r="AD41" i="4"/>
  <c r="AD44" i="4" s="1"/>
  <c r="AD45" i="4" s="1"/>
  <c r="AC41" i="4"/>
  <c r="BA41" i="4" s="1"/>
  <c r="G41" i="4"/>
  <c r="F41" i="4"/>
  <c r="E41" i="4"/>
  <c r="AU41" i="4" s="1"/>
  <c r="BC40" i="4"/>
  <c r="BB40" i="4"/>
  <c r="BA40" i="4"/>
  <c r="AZ40" i="4"/>
  <c r="AY40" i="4"/>
  <c r="AX40" i="4"/>
  <c r="AW40" i="4"/>
  <c r="AV40" i="4"/>
  <c r="AU40" i="4"/>
  <c r="AM40" i="4"/>
  <c r="AN40" i="4" s="1"/>
  <c r="AL40" i="4"/>
  <c r="BE39" i="4"/>
  <c r="BD39" i="4"/>
  <c r="BC39" i="4"/>
  <c r="BB39" i="4"/>
  <c r="BA39" i="4"/>
  <c r="AZ39" i="4"/>
  <c r="AY39" i="4"/>
  <c r="AX39" i="4"/>
  <c r="AW39" i="4"/>
  <c r="AV39" i="4"/>
  <c r="AU39" i="4"/>
  <c r="G39" i="4"/>
  <c r="F39" i="4"/>
  <c r="F44" i="4" s="1"/>
  <c r="E39" i="4"/>
  <c r="E44" i="4" s="1"/>
  <c r="BC35" i="4"/>
  <c r="BB35" i="4"/>
  <c r="BA35" i="4"/>
  <c r="AZ35" i="4"/>
  <c r="AY35" i="4"/>
  <c r="AX35" i="4"/>
  <c r="AW35" i="4"/>
  <c r="AV35" i="4"/>
  <c r="H35" i="4"/>
  <c r="G35" i="4"/>
  <c r="F35" i="4"/>
  <c r="E35" i="4"/>
  <c r="BC34" i="4"/>
  <c r="BB34" i="4"/>
  <c r="BA34" i="4"/>
  <c r="AZ34" i="4"/>
  <c r="AY34" i="4"/>
  <c r="AX34" i="4"/>
  <c r="AW34" i="4"/>
  <c r="AV34" i="4"/>
  <c r="AU34" i="4"/>
  <c r="AM34" i="4"/>
  <c r="AN34" i="4" s="1"/>
  <c r="AO34" i="4" s="1"/>
  <c r="AL34" i="4"/>
  <c r="BC33" i="4"/>
  <c r="BB33" i="4"/>
  <c r="BA33" i="4"/>
  <c r="AZ33" i="4"/>
  <c r="AY33" i="4"/>
  <c r="AX33" i="4"/>
  <c r="AW33" i="4"/>
  <c r="AV33" i="4"/>
  <c r="AU33" i="4"/>
  <c r="AN33" i="4"/>
  <c r="AO33" i="4" s="1"/>
  <c r="AM33" i="4"/>
  <c r="AL33" i="4"/>
  <c r="BC32" i="4"/>
  <c r="BB32" i="4"/>
  <c r="BA32" i="4"/>
  <c r="AZ32" i="4"/>
  <c r="AY32" i="4"/>
  <c r="AX32" i="4"/>
  <c r="AW32" i="4"/>
  <c r="AV32" i="4"/>
  <c r="AU32" i="4"/>
  <c r="BC29" i="4"/>
  <c r="BB29" i="4"/>
  <c r="AW29" i="4"/>
  <c r="AK29" i="4"/>
  <c r="AK36" i="4" s="1"/>
  <c r="BC36" i="4" s="1"/>
  <c r="AH29" i="4"/>
  <c r="AH36" i="4" s="1"/>
  <c r="AG29" i="4"/>
  <c r="AG36" i="4" s="1"/>
  <c r="BB36" i="4" s="1"/>
  <c r="AF29" i="4"/>
  <c r="AF36" i="4" s="1"/>
  <c r="AE29" i="4"/>
  <c r="AE36" i="4" s="1"/>
  <c r="AD29" i="4"/>
  <c r="AD36" i="4" s="1"/>
  <c r="AC29" i="4"/>
  <c r="AC36" i="4" s="1"/>
  <c r="BA36" i="4" s="1"/>
  <c r="AB29" i="4"/>
  <c r="AB36" i="4" s="1"/>
  <c r="AB45" i="4" s="1"/>
  <c r="AA29" i="4"/>
  <c r="AA36" i="4" s="1"/>
  <c r="Y29" i="4"/>
  <c r="AZ29" i="4" s="1"/>
  <c r="X29" i="4"/>
  <c r="X36" i="4" s="1"/>
  <c r="X45" i="4" s="1"/>
  <c r="W29" i="4"/>
  <c r="W36" i="4" s="1"/>
  <c r="W45" i="4" s="1"/>
  <c r="V29" i="4"/>
  <c r="V36" i="4" s="1"/>
  <c r="U29" i="4"/>
  <c r="U36" i="4" s="1"/>
  <c r="T29" i="4"/>
  <c r="T36" i="4" s="1"/>
  <c r="S29" i="4"/>
  <c r="S36" i="4" s="1"/>
  <c r="R29" i="4"/>
  <c r="R36" i="4" s="1"/>
  <c r="Q29" i="4"/>
  <c r="Q36" i="4" s="1"/>
  <c r="P29" i="4"/>
  <c r="P36" i="4" s="1"/>
  <c r="P45" i="4" s="1"/>
  <c r="O29" i="4"/>
  <c r="O36" i="4" s="1"/>
  <c r="N29" i="4"/>
  <c r="N36" i="4" s="1"/>
  <c r="M29" i="4"/>
  <c r="M36" i="4" s="1"/>
  <c r="AW36" i="4" s="1"/>
  <c r="L29" i="4"/>
  <c r="L36" i="4" s="1"/>
  <c r="L45" i="4" s="1"/>
  <c r="K29" i="4"/>
  <c r="K36" i="4" s="1"/>
  <c r="K45" i="4" s="1"/>
  <c r="J29" i="4"/>
  <c r="J36" i="4" s="1"/>
  <c r="I29" i="4"/>
  <c r="AV29" i="4" s="1"/>
  <c r="H29" i="4"/>
  <c r="H36" i="4" s="1"/>
  <c r="G29" i="4"/>
  <c r="G36" i="4" s="1"/>
  <c r="F29" i="4"/>
  <c r="F36" i="4" s="1"/>
  <c r="E29" i="4"/>
  <c r="AU29" i="4" s="1"/>
  <c r="BC28" i="4"/>
  <c r="BB28" i="4"/>
  <c r="BA28" i="4"/>
  <c r="AZ28" i="4"/>
  <c r="AY28" i="4"/>
  <c r="AX28" i="4"/>
  <c r="AW28" i="4"/>
  <c r="AV28" i="4"/>
  <c r="AU28" i="4"/>
  <c r="AN28" i="4"/>
  <c r="AO28" i="4" s="1"/>
  <c r="AM28" i="4"/>
  <c r="AL28" i="4"/>
  <c r="AI28" i="4"/>
  <c r="AI29" i="4" s="1"/>
  <c r="AI36" i="4" s="1"/>
  <c r="AI45" i="4" s="1"/>
  <c r="Z28" i="4"/>
  <c r="Z47" i="4" s="1"/>
  <c r="BC27" i="4"/>
  <c r="BB27" i="4"/>
  <c r="BA27" i="4"/>
  <c r="AZ27" i="4"/>
  <c r="AY27" i="4"/>
  <c r="AX27" i="4"/>
  <c r="AW27" i="4"/>
  <c r="AV27" i="4"/>
  <c r="AU27" i="4"/>
  <c r="BC26" i="4"/>
  <c r="BB26" i="4"/>
  <c r="BA26" i="4"/>
  <c r="AZ26" i="4"/>
  <c r="AY26" i="4"/>
  <c r="AX26" i="4"/>
  <c r="AW26" i="4"/>
  <c r="AV26" i="4"/>
  <c r="AU26" i="4"/>
  <c r="AM26" i="4"/>
  <c r="AN26" i="4" s="1"/>
  <c r="AO26" i="4" s="1"/>
  <c r="AL26" i="4"/>
  <c r="BC25" i="4"/>
  <c r="BB25" i="4"/>
  <c r="BA25" i="4"/>
  <c r="AZ25" i="4"/>
  <c r="AY25" i="4"/>
  <c r="AX25" i="4"/>
  <c r="AW25" i="4"/>
  <c r="AV25" i="4"/>
  <c r="AU25" i="4"/>
  <c r="BC24" i="4"/>
  <c r="BB24" i="4"/>
  <c r="BA24" i="4"/>
  <c r="AZ24" i="4"/>
  <c r="AY24" i="4"/>
  <c r="AX24" i="4"/>
  <c r="AW24" i="4"/>
  <c r="AV24" i="4"/>
  <c r="AU24" i="4"/>
  <c r="BE23" i="4"/>
  <c r="BD23" i="4"/>
  <c r="BC23" i="4"/>
  <c r="BB23" i="4"/>
  <c r="BA23" i="4"/>
  <c r="AZ23" i="4"/>
  <c r="AY23" i="4"/>
  <c r="AX23" i="4"/>
  <c r="AW23" i="4"/>
  <c r="AV23" i="4"/>
  <c r="AU23" i="4"/>
  <c r="BC22" i="4"/>
  <c r="BB22" i="4"/>
  <c r="BA22" i="4"/>
  <c r="AZ22" i="4"/>
  <c r="AY22" i="4"/>
  <c r="AX22" i="4"/>
  <c r="AW22" i="4"/>
  <c r="AV22" i="4"/>
  <c r="AU22" i="4"/>
  <c r="AJ19" i="4"/>
  <c r="AD19" i="4"/>
  <c r="AD54" i="4" s="1"/>
  <c r="AC19" i="4"/>
  <c r="X19" i="4"/>
  <c r="R19" i="4"/>
  <c r="R54" i="4" s="1"/>
  <c r="Q19" i="4"/>
  <c r="L19" i="4"/>
  <c r="F19" i="4"/>
  <c r="E19" i="4"/>
  <c r="BC18" i="4"/>
  <c r="BB18" i="4"/>
  <c r="BA18" i="4"/>
  <c r="AZ18" i="4"/>
  <c r="AY18" i="4"/>
  <c r="AX18" i="4"/>
  <c r="AW18" i="4"/>
  <c r="AV18" i="4"/>
  <c r="AU18" i="4"/>
  <c r="BC17" i="4"/>
  <c r="BB17" i="4"/>
  <c r="BA17" i="4"/>
  <c r="AZ17" i="4"/>
  <c r="AY17" i="4"/>
  <c r="AX17" i="4"/>
  <c r="AW17" i="4"/>
  <c r="AV17" i="4"/>
  <c r="AU17" i="4"/>
  <c r="AL17" i="4"/>
  <c r="AM17" i="4" s="1"/>
  <c r="AN17" i="4" s="1"/>
  <c r="AO17" i="4" s="1"/>
  <c r="BC16" i="4"/>
  <c r="BB16" i="4"/>
  <c r="BA16" i="4"/>
  <c r="AZ16" i="4"/>
  <c r="AY16" i="4"/>
  <c r="AX16" i="4"/>
  <c r="AW16" i="4"/>
  <c r="AV16" i="4"/>
  <c r="AU16" i="4"/>
  <c r="BC15" i="4"/>
  <c r="BB15" i="4"/>
  <c r="BA15" i="4"/>
  <c r="AZ15" i="4"/>
  <c r="AY15" i="4"/>
  <c r="AX15" i="4"/>
  <c r="AW15" i="4"/>
  <c r="AV15" i="4"/>
  <c r="AU15" i="4"/>
  <c r="AL15" i="4"/>
  <c r="AM15" i="4" s="1"/>
  <c r="AN15" i="4" s="1"/>
  <c r="AO15" i="4" s="1"/>
  <c r="BC14" i="4"/>
  <c r="BB14" i="4"/>
  <c r="BA14" i="4"/>
  <c r="AZ14" i="4"/>
  <c r="AY14" i="4"/>
  <c r="AX14" i="4"/>
  <c r="AW14" i="4"/>
  <c r="AV14" i="4"/>
  <c r="AU14" i="4"/>
  <c r="BC13" i="4"/>
  <c r="BB13" i="4"/>
  <c r="BA13" i="4"/>
  <c r="AZ13" i="4"/>
  <c r="AY13" i="4"/>
  <c r="AX13" i="4"/>
  <c r="AW13" i="4"/>
  <c r="AV13" i="4"/>
  <c r="AU13" i="4"/>
  <c r="BA11" i="4"/>
  <c r="AZ11" i="4"/>
  <c r="AU11" i="4"/>
  <c r="AK11" i="4"/>
  <c r="BC11" i="4" s="1"/>
  <c r="AJ11" i="4"/>
  <c r="AI11" i="4"/>
  <c r="AI19" i="4" s="1"/>
  <c r="AH11" i="4"/>
  <c r="AH19" i="4" s="1"/>
  <c r="AG11" i="4"/>
  <c r="AG19" i="4" s="1"/>
  <c r="AF11" i="4"/>
  <c r="AF19" i="4" s="1"/>
  <c r="AE11" i="4"/>
  <c r="AE19" i="4" s="1"/>
  <c r="AD11" i="4"/>
  <c r="AC11" i="4"/>
  <c r="AB11" i="4"/>
  <c r="AB19" i="4" s="1"/>
  <c r="AA11" i="4"/>
  <c r="AA19" i="4" s="1"/>
  <c r="Z11" i="4"/>
  <c r="Z19" i="4" s="1"/>
  <c r="Y11" i="4"/>
  <c r="Y19" i="4" s="1"/>
  <c r="X11" i="4"/>
  <c r="W11" i="4"/>
  <c r="W19" i="4" s="1"/>
  <c r="V11" i="4"/>
  <c r="V19" i="4" s="1"/>
  <c r="U11" i="4"/>
  <c r="U19" i="4" s="1"/>
  <c r="T11" i="4"/>
  <c r="T19" i="4" s="1"/>
  <c r="S11" i="4"/>
  <c r="S19" i="4" s="1"/>
  <c r="R11" i="4"/>
  <c r="Q11" i="4"/>
  <c r="AX11" i="4" s="1"/>
  <c r="P11" i="4"/>
  <c r="P19" i="4" s="1"/>
  <c r="O11" i="4"/>
  <c r="O19" i="4" s="1"/>
  <c r="N11" i="4"/>
  <c r="N19" i="4" s="1"/>
  <c r="M11" i="4"/>
  <c r="AW11" i="4" s="1"/>
  <c r="L11" i="4"/>
  <c r="K11" i="4"/>
  <c r="K19" i="4" s="1"/>
  <c r="J11" i="4"/>
  <c r="J19" i="4" s="1"/>
  <c r="I11" i="4"/>
  <c r="I19" i="4" s="1"/>
  <c r="H11" i="4"/>
  <c r="H19" i="4" s="1"/>
  <c r="G11" i="4"/>
  <c r="G19" i="4" s="1"/>
  <c r="F11" i="4"/>
  <c r="E11" i="4"/>
  <c r="BC10" i="4"/>
  <c r="BB10" i="4"/>
  <c r="BA10" i="4"/>
  <c r="AZ10" i="4"/>
  <c r="AY10" i="4"/>
  <c r="AX10" i="4"/>
  <c r="AW10" i="4"/>
  <c r="AV10" i="4"/>
  <c r="AU10" i="4"/>
  <c r="BC9" i="4"/>
  <c r="BB9" i="4"/>
  <c r="BA9" i="4"/>
  <c r="AZ9" i="4"/>
  <c r="AY9" i="4"/>
  <c r="AX9" i="4"/>
  <c r="AW9" i="4"/>
  <c r="AV9" i="4"/>
  <c r="AU9" i="4"/>
  <c r="BC8" i="4"/>
  <c r="BB8" i="4"/>
  <c r="BA8" i="4"/>
  <c r="AZ8" i="4"/>
  <c r="AY8" i="4"/>
  <c r="AX8" i="4"/>
  <c r="AW8" i="4"/>
  <c r="AV8" i="4"/>
  <c r="AU8" i="4"/>
  <c r="BC7" i="4"/>
  <c r="BB7" i="4"/>
  <c r="BA7" i="4"/>
  <c r="AZ7" i="4"/>
  <c r="AY7" i="4"/>
  <c r="AX7" i="4"/>
  <c r="AW7" i="4"/>
  <c r="AV7" i="4"/>
  <c r="AU7" i="4"/>
  <c r="AL7" i="4"/>
  <c r="AM7" i="4" s="1"/>
  <c r="AN7" i="4" s="1"/>
  <c r="AO7" i="4" s="1"/>
  <c r="BC6" i="4"/>
  <c r="BC47" i="4" s="1"/>
  <c r="BB6" i="4"/>
  <c r="BB47" i="4" s="1"/>
  <c r="BA6" i="4"/>
  <c r="BA47" i="4" s="1"/>
  <c r="BA48" i="4" s="1"/>
  <c r="AZ6" i="4"/>
  <c r="AZ47" i="4" s="1"/>
  <c r="AZ48" i="4" s="1"/>
  <c r="AY6" i="4"/>
  <c r="AY47" i="4" s="1"/>
  <c r="AX6" i="4"/>
  <c r="AX47" i="4" s="1"/>
  <c r="AX48" i="4" s="1"/>
  <c r="AW6" i="4"/>
  <c r="AW47" i="4" s="1"/>
  <c r="AV6" i="4"/>
  <c r="AU6" i="4"/>
  <c r="AU47" i="4" s="1"/>
  <c r="AU48" i="4" s="1"/>
  <c r="BE4" i="4"/>
  <c r="BD4" i="4"/>
  <c r="BC4" i="4"/>
  <c r="BB4" i="4"/>
  <c r="BA4" i="4"/>
  <c r="AZ4" i="4"/>
  <c r="AY4" i="4"/>
  <c r="AX4" i="4"/>
  <c r="AW4" i="4"/>
  <c r="AV4" i="4"/>
  <c r="AU4" i="4"/>
  <c r="AS4" i="4"/>
  <c r="AS58" i="4" s="1"/>
  <c r="AR4" i="4"/>
  <c r="AR58" i="4" s="1"/>
  <c r="AQ4" i="4"/>
  <c r="AQ58" i="4" s="1"/>
  <c r="AP4" i="4"/>
  <c r="AP58" i="4" s="1"/>
  <c r="AO4" i="4"/>
  <c r="AO58" i="4" s="1"/>
  <c r="AN4" i="4"/>
  <c r="AN58" i="4" s="1"/>
  <c r="AM4" i="4"/>
  <c r="AM58" i="4" s="1"/>
  <c r="AL4" i="4"/>
  <c r="AL58" i="4" s="1"/>
  <c r="AK4" i="4"/>
  <c r="AK58" i="4" s="1"/>
  <c r="AJ4" i="4"/>
  <c r="AJ58" i="4" s="1"/>
  <c r="AI4" i="4"/>
  <c r="AI58" i="4" s="1"/>
  <c r="AH4" i="4"/>
  <c r="AH58" i="4" s="1"/>
  <c r="AG4" i="4"/>
  <c r="AG58" i="4" s="1"/>
  <c r="AF4" i="4"/>
  <c r="AF58" i="4" s="1"/>
  <c r="AE4" i="4"/>
  <c r="AE58" i="4" s="1"/>
  <c r="AD4" i="4"/>
  <c r="AD58" i="4" s="1"/>
  <c r="AC4" i="4"/>
  <c r="AC58" i="4" s="1"/>
  <c r="AB4" i="4"/>
  <c r="AB58" i="4" s="1"/>
  <c r="AA4" i="4"/>
  <c r="AA58" i="4" s="1"/>
  <c r="Z4" i="4"/>
  <c r="Z58" i="4" s="1"/>
  <c r="Y4" i="4"/>
  <c r="Y58" i="4" s="1"/>
  <c r="X4" i="4"/>
  <c r="X58" i="4" s="1"/>
  <c r="W4" i="4"/>
  <c r="W58" i="4" s="1"/>
  <c r="V4" i="4"/>
  <c r="V58" i="4" s="1"/>
  <c r="U4" i="4"/>
  <c r="U58" i="4" s="1"/>
  <c r="T4" i="4"/>
  <c r="T58" i="4" s="1"/>
  <c r="S4" i="4"/>
  <c r="S58" i="4" s="1"/>
  <c r="R4" i="4"/>
  <c r="R58" i="4" s="1"/>
  <c r="Q4" i="4"/>
  <c r="Q58" i="4" s="1"/>
  <c r="P4" i="4"/>
  <c r="P58" i="4" s="1"/>
  <c r="O4" i="4"/>
  <c r="O58" i="4" s="1"/>
  <c r="N4" i="4"/>
  <c r="N58" i="4" s="1"/>
  <c r="M4" i="4"/>
  <c r="M58" i="4" s="1"/>
  <c r="L4" i="4"/>
  <c r="L58" i="4" s="1"/>
  <c r="K4" i="4"/>
  <c r="K58" i="4" s="1"/>
  <c r="J4" i="4"/>
  <c r="J58" i="4" s="1"/>
  <c r="I4" i="4"/>
  <c r="I58" i="4" s="1"/>
  <c r="H4" i="4"/>
  <c r="H58" i="4" s="1"/>
  <c r="G4" i="4"/>
  <c r="G58" i="4" s="1"/>
  <c r="F4" i="4"/>
  <c r="F58" i="4" s="1"/>
  <c r="E4" i="4"/>
  <c r="E58" i="4" s="1"/>
  <c r="D4" i="4"/>
  <c r="D58" i="4" s="1"/>
  <c r="C4" i="4"/>
  <c r="C58" i="4" s="1"/>
  <c r="B4" i="4"/>
  <c r="B58" i="4" s="1"/>
  <c r="A4" i="4"/>
  <c r="AD3" i="4"/>
  <c r="Z3" i="4"/>
  <c r="V3" i="4"/>
  <c r="R3" i="4"/>
  <c r="N3" i="4"/>
  <c r="J3" i="4"/>
  <c r="F3" i="4"/>
  <c r="B3" i="4"/>
  <c r="BB2" i="4"/>
  <c r="BA2" i="4"/>
  <c r="AZ2" i="4"/>
  <c r="AY2" i="4"/>
  <c r="AX2" i="4"/>
  <c r="AW2" i="4"/>
  <c r="AV2" i="4"/>
  <c r="AU2" i="4"/>
  <c r="A1" i="4"/>
  <c r="BA115" i="3"/>
  <c r="AG115" i="3"/>
  <c r="AC115" i="3"/>
  <c r="BA114" i="3"/>
  <c r="AZ114" i="3"/>
  <c r="AZ115" i="3" s="1"/>
  <c r="AY114" i="3"/>
  <c r="AY115" i="3" s="1"/>
  <c r="AX114" i="3"/>
  <c r="AX115" i="3" s="1"/>
  <c r="AW114" i="3"/>
  <c r="AW115" i="3" s="1"/>
  <c r="AV114" i="3"/>
  <c r="AG114" i="3"/>
  <c r="BB114" i="3" s="1"/>
  <c r="BB115" i="3" s="1"/>
  <c r="AZ113" i="3"/>
  <c r="AC113" i="3"/>
  <c r="BB112" i="3"/>
  <c r="BB113" i="3" s="1"/>
  <c r="BA112" i="3"/>
  <c r="BA113" i="3" s="1"/>
  <c r="AY112" i="3"/>
  <c r="AY113" i="3" s="1"/>
  <c r="AX112" i="3"/>
  <c r="AV112" i="3"/>
  <c r="AC112" i="3"/>
  <c r="AG113" i="3" s="1"/>
  <c r="Y112" i="3"/>
  <c r="AZ112" i="3" s="1"/>
  <c r="U112" i="3"/>
  <c r="Q112" i="3"/>
  <c r="M112" i="3"/>
  <c r="AW112" i="3" s="1"/>
  <c r="I112" i="3"/>
  <c r="AW111" i="3"/>
  <c r="AG111" i="3"/>
  <c r="AC111" i="3"/>
  <c r="Y111" i="3"/>
  <c r="U111" i="3"/>
  <c r="Q111" i="3"/>
  <c r="P111" i="3"/>
  <c r="O111" i="3"/>
  <c r="N111" i="3"/>
  <c r="M111" i="3"/>
  <c r="L111" i="3"/>
  <c r="K111" i="3"/>
  <c r="I111" i="3"/>
  <c r="E111" i="3"/>
  <c r="BB110" i="3"/>
  <c r="BA110" i="3"/>
  <c r="BB111" i="3" s="1"/>
  <c r="AZ110" i="3"/>
  <c r="AZ111" i="3" s="1"/>
  <c r="AY110" i="3"/>
  <c r="AY111" i="3" s="1"/>
  <c r="AX110" i="3"/>
  <c r="AX111" i="3" s="1"/>
  <c r="AW110" i="3"/>
  <c r="AV110" i="3"/>
  <c r="AV111" i="3" s="1"/>
  <c r="AU110" i="3"/>
  <c r="AU111" i="3" s="1"/>
  <c r="C105" i="3"/>
  <c r="AJ104" i="3"/>
  <c r="AI104" i="3"/>
  <c r="AH104" i="3"/>
  <c r="AF104" i="3"/>
  <c r="AE104" i="3"/>
  <c r="AB104" i="3"/>
  <c r="AA104" i="3"/>
  <c r="X104" i="3"/>
  <c r="W104" i="3"/>
  <c r="V104" i="3"/>
  <c r="T104" i="3"/>
  <c r="S104" i="3"/>
  <c r="R104" i="3"/>
  <c r="Q104" i="3"/>
  <c r="P104" i="3"/>
  <c r="O104" i="3"/>
  <c r="N104" i="3"/>
  <c r="M104" i="3"/>
  <c r="L104" i="3"/>
  <c r="K104" i="3"/>
  <c r="J104" i="3"/>
  <c r="I104" i="3"/>
  <c r="H104" i="3"/>
  <c r="G104" i="3"/>
  <c r="F104" i="3"/>
  <c r="E104" i="3"/>
  <c r="D104" i="3"/>
  <c r="C104" i="3"/>
  <c r="AX103" i="3"/>
  <c r="AJ103" i="3"/>
  <c r="AI103" i="3"/>
  <c r="AH103" i="3"/>
  <c r="AG103" i="3"/>
  <c r="AF103" i="3"/>
  <c r="AE103" i="3"/>
  <c r="AD103" i="3"/>
  <c r="AB103" i="3"/>
  <c r="AA103" i="3"/>
  <c r="Z103" i="3"/>
  <c r="X103" i="3"/>
  <c r="W103" i="3"/>
  <c r="V103" i="3"/>
  <c r="U103" i="3"/>
  <c r="T103" i="3"/>
  <c r="S103" i="3"/>
  <c r="R103" i="3"/>
  <c r="Q103" i="3"/>
  <c r="P103" i="3"/>
  <c r="O103" i="3"/>
  <c r="N103" i="3"/>
  <c r="M103" i="3"/>
  <c r="L103" i="3"/>
  <c r="K103" i="3"/>
  <c r="J103" i="3"/>
  <c r="I103" i="3"/>
  <c r="H103" i="3"/>
  <c r="G103" i="3"/>
  <c r="F103" i="3"/>
  <c r="AY102" i="3"/>
  <c r="AX102" i="3"/>
  <c r="AW102" i="3"/>
  <c r="AV102" i="3"/>
  <c r="AV103" i="3" s="1"/>
  <c r="AU102" i="3"/>
  <c r="AG102" i="3"/>
  <c r="AG104" i="3" s="1"/>
  <c r="AC102" i="3"/>
  <c r="Y102" i="3"/>
  <c r="Z104" i="3" s="1"/>
  <c r="U102" i="3"/>
  <c r="U104" i="3" s="1"/>
  <c r="C101" i="3"/>
  <c r="AJ100" i="3"/>
  <c r="AI100" i="3"/>
  <c r="AF100" i="3"/>
  <c r="AE100" i="3"/>
  <c r="AC100" i="3"/>
  <c r="AB100" i="3"/>
  <c r="AA100" i="3"/>
  <c r="X100" i="3"/>
  <c r="W100" i="3"/>
  <c r="T100" i="3"/>
  <c r="S100" i="3"/>
  <c r="R100" i="3"/>
  <c r="Q100" i="3"/>
  <c r="P100" i="3"/>
  <c r="O100" i="3"/>
  <c r="N100" i="3"/>
  <c r="M100" i="3"/>
  <c r="L100" i="3"/>
  <c r="K100" i="3"/>
  <c r="J100" i="3"/>
  <c r="I100" i="3"/>
  <c r="H100" i="3"/>
  <c r="G100" i="3"/>
  <c r="F100" i="3"/>
  <c r="E100" i="3"/>
  <c r="D100" i="3"/>
  <c r="C100" i="3"/>
  <c r="AJ99" i="3"/>
  <c r="AI99" i="3"/>
  <c r="AH99" i="3"/>
  <c r="AF99" i="3"/>
  <c r="AE99" i="3"/>
  <c r="AD99" i="3"/>
  <c r="AB99" i="3"/>
  <c r="AA99" i="3"/>
  <c r="Z99" i="3"/>
  <c r="X99" i="3"/>
  <c r="W99" i="3"/>
  <c r="V99" i="3"/>
  <c r="T99" i="3"/>
  <c r="S99" i="3"/>
  <c r="R99" i="3"/>
  <c r="Q99" i="3"/>
  <c r="P99" i="3"/>
  <c r="O99" i="3"/>
  <c r="N99" i="3"/>
  <c r="M99" i="3"/>
  <c r="L99" i="3"/>
  <c r="K99" i="3"/>
  <c r="J99" i="3"/>
  <c r="I99" i="3"/>
  <c r="H99" i="3"/>
  <c r="G99" i="3"/>
  <c r="F99" i="3"/>
  <c r="AZ98" i="3"/>
  <c r="AX98" i="3"/>
  <c r="AW98" i="3"/>
  <c r="AV98" i="3"/>
  <c r="AU98" i="3"/>
  <c r="AG98" i="3"/>
  <c r="AC98" i="3"/>
  <c r="Y98" i="3"/>
  <c r="Z100" i="3" s="1"/>
  <c r="U98" i="3"/>
  <c r="U99" i="3" s="1"/>
  <c r="C93" i="3"/>
  <c r="AJ92" i="3"/>
  <c r="AI92" i="3"/>
  <c r="AF92" i="3"/>
  <c r="AE92" i="3"/>
  <c r="AC92" i="3"/>
  <c r="AB92" i="3"/>
  <c r="AA92" i="3"/>
  <c r="Z92" i="3"/>
  <c r="X92" i="3"/>
  <c r="W92" i="3"/>
  <c r="T92" i="3"/>
  <c r="S92" i="3"/>
  <c r="R92" i="3"/>
  <c r="Q92" i="3"/>
  <c r="P92" i="3"/>
  <c r="O92" i="3"/>
  <c r="N92" i="3"/>
  <c r="M92" i="3"/>
  <c r="L92" i="3"/>
  <c r="K92" i="3"/>
  <c r="J92" i="3"/>
  <c r="I92" i="3"/>
  <c r="H92" i="3"/>
  <c r="G92" i="3"/>
  <c r="F92" i="3"/>
  <c r="E92" i="3"/>
  <c r="D92" i="3"/>
  <c r="C92" i="3"/>
  <c r="AV91" i="3"/>
  <c r="AJ91" i="3"/>
  <c r="AI91" i="3"/>
  <c r="AH91" i="3"/>
  <c r="AF91" i="3"/>
  <c r="AE91" i="3"/>
  <c r="AD91" i="3"/>
  <c r="AB91" i="3"/>
  <c r="AA91" i="3"/>
  <c r="Z91" i="3"/>
  <c r="Y91" i="3"/>
  <c r="X91" i="3"/>
  <c r="W91" i="3"/>
  <c r="V91" i="3"/>
  <c r="T91" i="3"/>
  <c r="S91" i="3"/>
  <c r="R91" i="3"/>
  <c r="Q91" i="3"/>
  <c r="P91" i="3"/>
  <c r="O91" i="3"/>
  <c r="N91" i="3"/>
  <c r="M91" i="3"/>
  <c r="L91" i="3"/>
  <c r="K91" i="3"/>
  <c r="J91" i="3"/>
  <c r="I91" i="3"/>
  <c r="H91" i="3"/>
  <c r="G91" i="3"/>
  <c r="F91" i="3"/>
  <c r="AZ90" i="3"/>
  <c r="AX90" i="3"/>
  <c r="AW90" i="3"/>
  <c r="AW91" i="3" s="1"/>
  <c r="AV90" i="3"/>
  <c r="AU90" i="3"/>
  <c r="AG90" i="3"/>
  <c r="AH92" i="3" s="1"/>
  <c r="AC90" i="3"/>
  <c r="AC91" i="3" s="1"/>
  <c r="Y90" i="3"/>
  <c r="Y92" i="3" s="1"/>
  <c r="U90" i="3"/>
  <c r="BE89" i="3"/>
  <c r="BD89" i="3"/>
  <c r="BC89" i="3"/>
  <c r="BB89" i="3"/>
  <c r="BA89" i="3"/>
  <c r="AZ89" i="3"/>
  <c r="AY89" i="3"/>
  <c r="AX89" i="3"/>
  <c r="AW89" i="3"/>
  <c r="AV89" i="3"/>
  <c r="AU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J89" i="3"/>
  <c r="I89" i="3"/>
  <c r="H89" i="3"/>
  <c r="G89" i="3"/>
  <c r="F89" i="3"/>
  <c r="E89" i="3"/>
  <c r="D89" i="3"/>
  <c r="C89" i="3"/>
  <c r="B89" i="3"/>
  <c r="AD88" i="3"/>
  <c r="Z88" i="3"/>
  <c r="V88" i="3"/>
  <c r="R88" i="3"/>
  <c r="N88" i="3"/>
  <c r="J88" i="3"/>
  <c r="F88" i="3"/>
  <c r="B88" i="3"/>
  <c r="BA84" i="3"/>
  <c r="AI84" i="3"/>
  <c r="AK84" i="3" s="1"/>
  <c r="AG84" i="3"/>
  <c r="AC84" i="3"/>
  <c r="Y84" i="3"/>
  <c r="BB81" i="3"/>
  <c r="BA81" i="3"/>
  <c r="AZ81" i="3"/>
  <c r="AY81" i="3"/>
  <c r="AX81" i="3"/>
  <c r="S79" i="3"/>
  <c r="BB78" i="3"/>
  <c r="AK78" i="3"/>
  <c r="AK79" i="3" s="1"/>
  <c r="AJ78" i="3"/>
  <c r="AJ79" i="3" s="1"/>
  <c r="AF78" i="3"/>
  <c r="AE78" i="3"/>
  <c r="V78" i="3"/>
  <c r="V79" i="3" s="1"/>
  <c r="U78" i="3"/>
  <c r="U79" i="3" s="1"/>
  <c r="T78" i="3"/>
  <c r="S78" i="3"/>
  <c r="R78" i="3"/>
  <c r="R79" i="3" s="1"/>
  <c r="Q78" i="3"/>
  <c r="Q79" i="3" s="1"/>
  <c r="P78" i="3"/>
  <c r="P79" i="3" s="1"/>
  <c r="O78" i="3"/>
  <c r="O79" i="3" s="1"/>
  <c r="N78" i="3"/>
  <c r="N79" i="3" s="1"/>
  <c r="M78" i="3"/>
  <c r="M79" i="3" s="1"/>
  <c r="L78" i="3"/>
  <c r="L79" i="3" s="1"/>
  <c r="K78" i="3"/>
  <c r="K79" i="3" s="1"/>
  <c r="J78" i="3"/>
  <c r="J79" i="3" s="1"/>
  <c r="I78" i="3"/>
  <c r="H78" i="3"/>
  <c r="G78" i="3"/>
  <c r="F78" i="3"/>
  <c r="AU77" i="3"/>
  <c r="AJ77" i="3"/>
  <c r="AI77" i="3"/>
  <c r="AF77" i="3"/>
  <c r="W77" i="3"/>
  <c r="U77" i="3"/>
  <c r="T77" i="3"/>
  <c r="S77" i="3"/>
  <c r="R77" i="3"/>
  <c r="Q77" i="3"/>
  <c r="P77" i="3"/>
  <c r="O77" i="3"/>
  <c r="N77" i="3"/>
  <c r="M77" i="3"/>
  <c r="L77" i="3"/>
  <c r="K77" i="3"/>
  <c r="J77" i="3"/>
  <c r="I77" i="3"/>
  <c r="E77" i="3"/>
  <c r="AY76" i="3"/>
  <c r="AY78" i="3" s="1"/>
  <c r="AX76" i="3"/>
  <c r="AX78" i="3" s="1"/>
  <c r="AW76" i="3"/>
  <c r="AW78" i="3" s="1"/>
  <c r="AW79" i="3" s="1"/>
  <c r="AV76" i="3"/>
  <c r="AV78" i="3" s="1"/>
  <c r="AU76" i="3"/>
  <c r="AH76" i="3"/>
  <c r="AI78" i="3" s="1"/>
  <c r="AI79" i="3" s="1"/>
  <c r="AG76" i="3"/>
  <c r="BB76" i="3" s="1"/>
  <c r="BB77" i="3" s="1"/>
  <c r="AC76" i="3"/>
  <c r="BA76" i="3" s="1"/>
  <c r="X76" i="3"/>
  <c r="Y76" i="3" s="1"/>
  <c r="W76" i="3"/>
  <c r="W78" i="3" s="1"/>
  <c r="W79" i="3" s="1"/>
  <c r="V76" i="3"/>
  <c r="V77" i="3" s="1"/>
  <c r="AU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J74" i="3"/>
  <c r="E72" i="3"/>
  <c r="AU71" i="3"/>
  <c r="AU72" i="3" s="1"/>
  <c r="F71" i="3"/>
  <c r="G71" i="3" s="1"/>
  <c r="H71" i="3" s="1"/>
  <c r="I71" i="3" s="1"/>
  <c r="BB69" i="3"/>
  <c r="BA69" i="3"/>
  <c r="AZ69" i="3"/>
  <c r="AY69" i="3"/>
  <c r="AX69" i="3"/>
  <c r="AW69" i="3"/>
  <c r="AV69" i="3"/>
  <c r="AU69" i="3"/>
  <c r="BB68" i="3"/>
  <c r="BA68" i="3"/>
  <c r="AZ68" i="3"/>
  <c r="AY68" i="3"/>
  <c r="AX68" i="3"/>
  <c r="AW68" i="3"/>
  <c r="AV68" i="3"/>
  <c r="AU68" i="3"/>
  <c r="BB67" i="3"/>
  <c r="BA67" i="3"/>
  <c r="AU67" i="3"/>
  <c r="Z67" i="3"/>
  <c r="Y67" i="3"/>
  <c r="U67" i="3"/>
  <c r="M67" i="3"/>
  <c r="I67" i="3"/>
  <c r="E67" i="3"/>
  <c r="BB66" i="3"/>
  <c r="BA66" i="3"/>
  <c r="AZ66" i="3"/>
  <c r="AZ67" i="3" s="1"/>
  <c r="AY66" i="3"/>
  <c r="AY67" i="3" s="1"/>
  <c r="AX66" i="3"/>
  <c r="AW66" i="3"/>
  <c r="AX67" i="3" s="1"/>
  <c r="AV66" i="3"/>
  <c r="AV67" i="3" s="1"/>
  <c r="AU66" i="3"/>
  <c r="BE65" i="3"/>
  <c r="BD65" i="3"/>
  <c r="BC65" i="3"/>
  <c r="BB65" i="3"/>
  <c r="BA65" i="3"/>
  <c r="AZ65" i="3"/>
  <c r="AY65" i="3"/>
  <c r="AX65" i="3"/>
  <c r="AW65" i="3"/>
  <c r="AV65" i="3"/>
  <c r="AU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J65" i="3"/>
  <c r="I65" i="3"/>
  <c r="H65" i="3"/>
  <c r="G65" i="3"/>
  <c r="F65" i="3"/>
  <c r="E65" i="3"/>
  <c r="D65" i="3"/>
  <c r="C65" i="3"/>
  <c r="B65" i="3"/>
  <c r="AD64" i="3"/>
  <c r="Z64" i="3"/>
  <c r="V64" i="3"/>
  <c r="R64" i="3"/>
  <c r="N64" i="3"/>
  <c r="J64" i="3"/>
  <c r="F64" i="3"/>
  <c r="B64" i="3"/>
  <c r="AK59" i="3"/>
  <c r="AJ59" i="3"/>
  <c r="AI59" i="3"/>
  <c r="AH59" i="3"/>
  <c r="AG59" i="3"/>
  <c r="AF59" i="3"/>
  <c r="AE59" i="3"/>
  <c r="AD59" i="3"/>
  <c r="BB59" i="3" s="1"/>
  <c r="AC59" i="3"/>
  <c r="AK53" i="3"/>
  <c r="AJ53" i="3"/>
  <c r="AI53" i="3"/>
  <c r="AH53" i="3"/>
  <c r="AG53" i="3"/>
  <c r="AF53" i="3"/>
  <c r="AE53" i="3"/>
  <c r="AD53" i="3"/>
  <c r="AC53" i="3"/>
  <c r="AB53" i="3"/>
  <c r="AK52" i="3"/>
  <c r="AJ52" i="3"/>
  <c r="AI52" i="3"/>
  <c r="AH52" i="3"/>
  <c r="AG52" i="3"/>
  <c r="AF52" i="3"/>
  <c r="AC52" i="3"/>
  <c r="Q52" i="3"/>
  <c r="BB51" i="3"/>
  <c r="BB53" i="3" s="1"/>
  <c r="BA51" i="3"/>
  <c r="BA53" i="3" s="1"/>
  <c r="AW51" i="3"/>
  <c r="AA51" i="3"/>
  <c r="AB59" i="3" s="1"/>
  <c r="Z51" i="3"/>
  <c r="Z59" i="3" s="1"/>
  <c r="Y51" i="3"/>
  <c r="Y59" i="3" s="1"/>
  <c r="X51" i="3"/>
  <c r="AB52" i="3" s="1"/>
  <c r="W51" i="3"/>
  <c r="W59" i="3" s="1"/>
  <c r="V51" i="3"/>
  <c r="V59" i="3" s="1"/>
  <c r="U51" i="3"/>
  <c r="U59" i="3" s="1"/>
  <c r="T51" i="3"/>
  <c r="T59" i="3" s="1"/>
  <c r="S51" i="3"/>
  <c r="S59" i="3" s="1"/>
  <c r="R51" i="3"/>
  <c r="Q51" i="3"/>
  <c r="AX51" i="3" s="1"/>
  <c r="P51" i="3"/>
  <c r="P59" i="3" s="1"/>
  <c r="O51" i="3"/>
  <c r="O59" i="3" s="1"/>
  <c r="N51" i="3"/>
  <c r="N59" i="3" s="1"/>
  <c r="M51" i="3"/>
  <c r="M59" i="3" s="1"/>
  <c r="L51" i="3"/>
  <c r="L59" i="3" s="1"/>
  <c r="K51" i="3"/>
  <c r="K59" i="3" s="1"/>
  <c r="J51" i="3"/>
  <c r="J59" i="3" s="1"/>
  <c r="I51" i="3"/>
  <c r="AV51" i="3" s="1"/>
  <c r="AV53" i="3" s="1"/>
  <c r="H51" i="3"/>
  <c r="H59" i="3" s="1"/>
  <c r="G51" i="3"/>
  <c r="BA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BB49" i="3"/>
  <c r="BB50" i="3" s="1"/>
  <c r="BA49" i="3"/>
  <c r="AZ49" i="3"/>
  <c r="AZ50" i="3" s="1"/>
  <c r="AY49" i="3"/>
  <c r="AX49" i="3"/>
  <c r="AX50" i="3" s="1"/>
  <c r="AW49" i="3"/>
  <c r="AW50" i="3" s="1"/>
  <c r="AV49" i="3"/>
  <c r="BC46" i="3"/>
  <c r="BB46" i="3"/>
  <c r="BA46" i="3"/>
  <c r="AZ46" i="3"/>
  <c r="AY46" i="3"/>
  <c r="BE42" i="3"/>
  <c r="BD42" i="3"/>
  <c r="BC42" i="3"/>
  <c r="BB42" i="3"/>
  <c r="BA42" i="3"/>
  <c r="AZ42" i="3"/>
  <c r="AY42" i="3"/>
  <c r="AX42" i="3"/>
  <c r="AW42" i="3"/>
  <c r="AV42" i="3"/>
  <c r="AU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J42" i="3"/>
  <c r="I42" i="3"/>
  <c r="H42" i="3"/>
  <c r="G42" i="3"/>
  <c r="F42" i="3"/>
  <c r="E42" i="3"/>
  <c r="D42" i="3"/>
  <c r="C42" i="3"/>
  <c r="B42" i="3"/>
  <c r="AH40" i="3"/>
  <c r="V40" i="3"/>
  <c r="J40" i="3"/>
  <c r="AX39" i="3"/>
  <c r="AK39" i="3"/>
  <c r="AJ39" i="3"/>
  <c r="AI39" i="3"/>
  <c r="AI40" i="3" s="1"/>
  <c r="AH39" i="3"/>
  <c r="AG39" i="3"/>
  <c r="AG40" i="3" s="1"/>
  <c r="AF39" i="3"/>
  <c r="AF40" i="3" s="1"/>
  <c r="AE39" i="3"/>
  <c r="AE40" i="3" s="1"/>
  <c r="AD39" i="3"/>
  <c r="AD40" i="3" s="1"/>
  <c r="AC39" i="3"/>
  <c r="AC40" i="3" s="1"/>
  <c r="AB39" i="3"/>
  <c r="AB40" i="3" s="1"/>
  <c r="AA39" i="3"/>
  <c r="AA40" i="3" s="1"/>
  <c r="Z39" i="3"/>
  <c r="Z40" i="3" s="1"/>
  <c r="BA40" i="3" s="1"/>
  <c r="Y39" i="3"/>
  <c r="X39" i="3"/>
  <c r="W39" i="3"/>
  <c r="W40" i="3" s="1"/>
  <c r="V39" i="3"/>
  <c r="U39" i="3"/>
  <c r="U40" i="3" s="1"/>
  <c r="T39" i="3"/>
  <c r="T40" i="3" s="1"/>
  <c r="S39" i="3"/>
  <c r="S40" i="3" s="1"/>
  <c r="R39" i="3"/>
  <c r="R40" i="3" s="1"/>
  <c r="Q39" i="3"/>
  <c r="Q40" i="3" s="1"/>
  <c r="P39" i="3"/>
  <c r="P40" i="3" s="1"/>
  <c r="O39" i="3"/>
  <c r="O40" i="3" s="1"/>
  <c r="N39" i="3"/>
  <c r="N40" i="3" s="1"/>
  <c r="AX40" i="3" s="1"/>
  <c r="M39" i="3"/>
  <c r="L39" i="3"/>
  <c r="K39" i="3"/>
  <c r="K40" i="3" s="1"/>
  <c r="J39" i="3"/>
  <c r="I39" i="3"/>
  <c r="I40" i="3" s="1"/>
  <c r="H39" i="3"/>
  <c r="H40" i="3" s="1"/>
  <c r="G39" i="3"/>
  <c r="G40" i="3" s="1"/>
  <c r="F39" i="3"/>
  <c r="AV39" i="3" s="1"/>
  <c r="E39" i="3"/>
  <c r="AL38" i="3"/>
  <c r="AJ38" i="3"/>
  <c r="AI38" i="3"/>
  <c r="AH38" i="3"/>
  <c r="AG38" i="3"/>
  <c r="AF38" i="3"/>
  <c r="AE38" i="3"/>
  <c r="AD38" i="3"/>
  <c r="BB38" i="3" s="1"/>
  <c r="AC38" i="3"/>
  <c r="AB38" i="3"/>
  <c r="AA38" i="3"/>
  <c r="BA38" i="3" s="1"/>
  <c r="Z38" i="3"/>
  <c r="X38" i="3"/>
  <c r="W38" i="3"/>
  <c r="V38" i="3"/>
  <c r="U38" i="3"/>
  <c r="T38" i="3"/>
  <c r="S38" i="3"/>
  <c r="R38" i="3"/>
  <c r="AY38" i="3" s="1"/>
  <c r="Q38" i="3"/>
  <c r="P38" i="3"/>
  <c r="O38" i="3"/>
  <c r="N38" i="3"/>
  <c r="L38" i="3"/>
  <c r="K38" i="3"/>
  <c r="J38" i="3"/>
  <c r="I38" i="3"/>
  <c r="H38" i="3"/>
  <c r="G38" i="3"/>
  <c r="F38" i="3"/>
  <c r="AV38" i="3" s="1"/>
  <c r="AU34" i="3"/>
  <c r="S33" i="3"/>
  <c r="S85" i="4" s="1"/>
  <c r="F33" i="3"/>
  <c r="E33" i="3"/>
  <c r="AU32" i="3"/>
  <c r="AK32" i="3"/>
  <c r="AJ32" i="3"/>
  <c r="AI32" i="3"/>
  <c r="AI86" i="4" s="1"/>
  <c r="AH32" i="3"/>
  <c r="AG32" i="3"/>
  <c r="AF32" i="3"/>
  <c r="AE32" i="3"/>
  <c r="AD32" i="3"/>
  <c r="AC32" i="3"/>
  <c r="AB32" i="3"/>
  <c r="AA32" i="3"/>
  <c r="AB31" i="3" s="1"/>
  <c r="AB33" i="3" s="1"/>
  <c r="AB85" i="4" s="1"/>
  <c r="Z32" i="3"/>
  <c r="Y32" i="3"/>
  <c r="Y33" i="3" s="1"/>
  <c r="Y85" i="4" s="1"/>
  <c r="X32" i="3"/>
  <c r="W32" i="3"/>
  <c r="W86" i="4" s="1"/>
  <c r="V32" i="3"/>
  <c r="U32" i="3"/>
  <c r="T32" i="3"/>
  <c r="S32" i="3"/>
  <c r="R32" i="3"/>
  <c r="Q32" i="3"/>
  <c r="P32" i="3"/>
  <c r="O32" i="3"/>
  <c r="P31" i="3" s="1"/>
  <c r="N32" i="3"/>
  <c r="AX32" i="3" s="1"/>
  <c r="M32" i="3"/>
  <c r="L32" i="3"/>
  <c r="K32" i="3"/>
  <c r="K86" i="4" s="1"/>
  <c r="J32" i="3"/>
  <c r="I32" i="3"/>
  <c r="H32" i="3"/>
  <c r="G32" i="3"/>
  <c r="F32" i="3"/>
  <c r="F86" i="4" s="1"/>
  <c r="E32" i="3"/>
  <c r="E86" i="4" s="1"/>
  <c r="AU31" i="3"/>
  <c r="AL31" i="3"/>
  <c r="AK31" i="3"/>
  <c r="AJ31" i="3"/>
  <c r="AI31" i="3"/>
  <c r="AE31" i="3"/>
  <c r="AD31" i="3"/>
  <c r="AC31" i="3"/>
  <c r="AA31" i="3"/>
  <c r="Z31" i="3"/>
  <c r="BA31" i="3" s="1"/>
  <c r="Y31" i="3"/>
  <c r="X31" i="3"/>
  <c r="W31" i="3"/>
  <c r="S31" i="3"/>
  <c r="R31" i="3"/>
  <c r="Q31" i="3"/>
  <c r="O31" i="3"/>
  <c r="N31" i="3"/>
  <c r="M31" i="3"/>
  <c r="L31" i="3"/>
  <c r="K31" i="3"/>
  <c r="G31" i="3"/>
  <c r="F31" i="3"/>
  <c r="AL30" i="3"/>
  <c r="Z30" i="3"/>
  <c r="N30" i="3"/>
  <c r="C30" i="3"/>
  <c r="C37" i="3" s="1"/>
  <c r="B30" i="3"/>
  <c r="BE29" i="3"/>
  <c r="BD29" i="3"/>
  <c r="BC29" i="3"/>
  <c r="BB29" i="3"/>
  <c r="BA29" i="3"/>
  <c r="AZ29" i="3"/>
  <c r="AY29" i="3"/>
  <c r="AX29" i="3"/>
  <c r="AW29" i="3"/>
  <c r="AV29" i="3"/>
  <c r="AU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B29" i="3"/>
  <c r="AD28" i="3"/>
  <c r="Z28" i="3"/>
  <c r="V28" i="3"/>
  <c r="R28" i="3"/>
  <c r="N28" i="3"/>
  <c r="J28" i="3"/>
  <c r="F28" i="3"/>
  <c r="B28" i="3"/>
  <c r="AA26" i="3"/>
  <c r="O26" i="3"/>
  <c r="C26" i="3"/>
  <c r="AU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F25" i="3"/>
  <c r="BE24" i="3"/>
  <c r="BD24" i="3"/>
  <c r="BC24" i="3"/>
  <c r="BB24" i="3"/>
  <c r="BA24" i="3"/>
  <c r="AZ24" i="3"/>
  <c r="AY24" i="3"/>
  <c r="AX24" i="3"/>
  <c r="AW24" i="3"/>
  <c r="AV24" i="3"/>
  <c r="AU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BC23" i="3"/>
  <c r="BC25" i="3" s="1"/>
  <c r="BB23" i="3"/>
  <c r="BB25" i="3" s="1"/>
  <c r="BA23" i="3"/>
  <c r="BA25" i="3" s="1"/>
  <c r="AZ23" i="3"/>
  <c r="AZ25" i="3" s="1"/>
  <c r="AY23" i="3"/>
  <c r="AX23" i="3"/>
  <c r="AW23" i="3"/>
  <c r="AV23" i="3"/>
  <c r="AS23" i="3"/>
  <c r="AP23" i="3"/>
  <c r="AO23" i="3"/>
  <c r="AN23" i="3"/>
  <c r="AR23" i="3" s="1"/>
  <c r="AM23" i="3"/>
  <c r="AQ23" i="3" s="1"/>
  <c r="AL23" i="3"/>
  <c r="AL26" i="3" s="1"/>
  <c r="C23" i="3"/>
  <c r="AU23" i="3" s="1"/>
  <c r="AF21" i="3"/>
  <c r="T21" i="3"/>
  <c r="H21" i="3"/>
  <c r="AZ20" i="3"/>
  <c r="AM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J20" i="3"/>
  <c r="I20" i="3"/>
  <c r="H20" i="3"/>
  <c r="F20" i="3"/>
  <c r="BE19" i="3"/>
  <c r="BD19" i="3"/>
  <c r="BC19" i="3"/>
  <c r="BB19" i="3"/>
  <c r="BA19" i="3"/>
  <c r="AZ19" i="3"/>
  <c r="AY19" i="3"/>
  <c r="AX19" i="3"/>
  <c r="AW19" i="3"/>
  <c r="AV19" i="3"/>
  <c r="AU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BC18" i="3"/>
  <c r="BB18" i="3"/>
  <c r="BA18" i="3"/>
  <c r="AZ18" i="3"/>
  <c r="AY18" i="3"/>
  <c r="AY20" i="3" s="1"/>
  <c r="AX18" i="3"/>
  <c r="AX20" i="3" s="1"/>
  <c r="AW18" i="3"/>
  <c r="AV18" i="3"/>
  <c r="AL18" i="3"/>
  <c r="C18" i="3"/>
  <c r="AU18" i="3" s="1"/>
  <c r="AF16" i="3"/>
  <c r="T16" i="3"/>
  <c r="H16" i="3"/>
  <c r="AZ15" i="3"/>
  <c r="AP15" i="3"/>
  <c r="AQ15" i="3" s="1"/>
  <c r="AR15" i="3" s="1"/>
  <c r="AS15" i="3" s="1"/>
  <c r="AS13" i="3" s="1"/>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F15" i="3"/>
  <c r="BE14" i="3"/>
  <c r="BD14" i="3"/>
  <c r="BC14" i="3"/>
  <c r="BB14" i="3"/>
  <c r="BA14" i="3"/>
  <c r="AZ14" i="3"/>
  <c r="AY14" i="3"/>
  <c r="AX14" i="3"/>
  <c r="AW14" i="3"/>
  <c r="AV14" i="3"/>
  <c r="AU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BC13" i="3"/>
  <c r="BB13" i="3"/>
  <c r="BB16" i="3" s="1"/>
  <c r="BA13" i="3"/>
  <c r="AZ13" i="3"/>
  <c r="AY13" i="3"/>
  <c r="AY15" i="3" s="1"/>
  <c r="AX13" i="3"/>
  <c r="AX15" i="3" s="1"/>
  <c r="AW13" i="3"/>
  <c r="AW15" i="3" s="1"/>
  <c r="AV13" i="3"/>
  <c r="AO13" i="3"/>
  <c r="AN13" i="3"/>
  <c r="AR13" i="3" s="1"/>
  <c r="AM13" i="3"/>
  <c r="AQ13" i="3" s="1"/>
  <c r="AL13" i="3"/>
  <c r="BD13" i="3" s="1"/>
  <c r="C13" i="3"/>
  <c r="G15" i="3" s="1"/>
  <c r="BE10" i="3"/>
  <c r="BD10" i="3"/>
  <c r="BC10" i="3"/>
  <c r="BB10" i="3"/>
  <c r="BA10" i="3"/>
  <c r="AZ10" i="3"/>
  <c r="AY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AF7" i="3"/>
  <c r="T7" i="3"/>
  <c r="H7" i="3"/>
  <c r="C7" i="3"/>
  <c r="BB5" i="3"/>
  <c r="AL5" i="3"/>
  <c r="AL7" i="3" s="1"/>
  <c r="AL35" i="3" s="1"/>
  <c r="AK5" i="3"/>
  <c r="AK30" i="3" s="1"/>
  <c r="AJ5" i="3"/>
  <c r="AJ21" i="3" s="1"/>
  <c r="AI5" i="3"/>
  <c r="AI21" i="3" s="1"/>
  <c r="AH5" i="3"/>
  <c r="AH21" i="3" s="1"/>
  <c r="AG5" i="3"/>
  <c r="AG58" i="3" s="1"/>
  <c r="AG60" i="3" s="1"/>
  <c r="AF5" i="3"/>
  <c r="AE5" i="3"/>
  <c r="AD5" i="3"/>
  <c r="AC5" i="3"/>
  <c r="AB5" i="3"/>
  <c r="AB21" i="3" s="1"/>
  <c r="AA5" i="3"/>
  <c r="AA21" i="3" s="1"/>
  <c r="Z5" i="3"/>
  <c r="Z21" i="3" s="1"/>
  <c r="Y5" i="3"/>
  <c r="Y21" i="3" s="1"/>
  <c r="X5" i="3"/>
  <c r="X21" i="3" s="1"/>
  <c r="W5" i="3"/>
  <c r="W21" i="3" s="1"/>
  <c r="V5" i="3"/>
  <c r="V21" i="3" s="1"/>
  <c r="U5" i="3"/>
  <c r="U58" i="3" s="1"/>
  <c r="U60" i="3" s="1"/>
  <c r="T5" i="3"/>
  <c r="S5" i="3"/>
  <c r="R5" i="3"/>
  <c r="Q5" i="3"/>
  <c r="P5" i="3"/>
  <c r="P21" i="3" s="1"/>
  <c r="O5" i="3"/>
  <c r="O21" i="3" s="1"/>
  <c r="N5" i="3"/>
  <c r="M5" i="3"/>
  <c r="M58" i="3" s="1"/>
  <c r="L5" i="3"/>
  <c r="L21" i="3" s="1"/>
  <c r="K5" i="3"/>
  <c r="K21" i="3" s="1"/>
  <c r="J5" i="3"/>
  <c r="J21" i="3" s="1"/>
  <c r="I5" i="3"/>
  <c r="I21" i="3" s="1"/>
  <c r="H5" i="3"/>
  <c r="G5" i="3"/>
  <c r="F5" i="3"/>
  <c r="E5" i="3"/>
  <c r="D5" i="3"/>
  <c r="D21" i="3" s="1"/>
  <c r="B5" i="3"/>
  <c r="B21" i="3" s="1"/>
  <c r="BE4" i="3"/>
  <c r="BD4" i="3"/>
  <c r="BC4" i="3"/>
  <c r="BB4" i="3"/>
  <c r="BA4" i="3"/>
  <c r="AZ4" i="3"/>
  <c r="AY4" i="3"/>
  <c r="AX4" i="3"/>
  <c r="AW4" i="3"/>
  <c r="AV4" i="3"/>
  <c r="AU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B4" i="3"/>
  <c r="A4" i="3"/>
  <c r="AD3" i="3"/>
  <c r="Z3" i="3"/>
  <c r="V3" i="3"/>
  <c r="R3" i="3"/>
  <c r="N3" i="3"/>
  <c r="J3" i="3"/>
  <c r="F3" i="3"/>
  <c r="B3" i="3"/>
  <c r="BB2" i="3"/>
  <c r="BA2" i="3"/>
  <c r="AZ2" i="3"/>
  <c r="AY2" i="3"/>
  <c r="AX2" i="3"/>
  <c r="AS2" i="3"/>
  <c r="AR2" i="3"/>
  <c r="AQ2" i="3"/>
  <c r="AP2" i="3"/>
  <c r="AO2" i="3"/>
  <c r="AN2" i="3"/>
  <c r="AM2" i="3"/>
  <c r="AL2" i="3"/>
  <c r="AK2" i="3"/>
  <c r="AJ2" i="3"/>
  <c r="AI2" i="3"/>
  <c r="AH2" i="3"/>
  <c r="AG2" i="3"/>
  <c r="AF2" i="3"/>
  <c r="AE2" i="3"/>
  <c r="AD2" i="3"/>
  <c r="AC2" i="3"/>
  <c r="AB2" i="3"/>
  <c r="AA2" i="3"/>
  <c r="Z2" i="3"/>
  <c r="Y2" i="3"/>
  <c r="X2" i="3"/>
  <c r="W2" i="3"/>
  <c r="V2" i="3"/>
  <c r="U2" i="3"/>
  <c r="T2" i="3"/>
  <c r="S2" i="3"/>
  <c r="R2" i="3"/>
  <c r="A1" i="3"/>
  <c r="X176" i="2"/>
  <c r="AK173" i="2"/>
  <c r="AJ173" i="2"/>
  <c r="AH173" i="2"/>
  <c r="AG173" i="2"/>
  <c r="AF173" i="2"/>
  <c r="AE173" i="2"/>
  <c r="AD173" i="2"/>
  <c r="AB173" i="2"/>
  <c r="Y173" i="2"/>
  <c r="S173" i="2"/>
  <c r="G173" i="2"/>
  <c r="BC172" i="2"/>
  <c r="BB172" i="2"/>
  <c r="AY172" i="2"/>
  <c r="AS172" i="2"/>
  <c r="AR172" i="2"/>
  <c r="AQ172" i="2"/>
  <c r="AP172" i="2"/>
  <c r="BE172" i="2" s="1"/>
  <c r="AO172" i="2"/>
  <c r="AN172" i="2"/>
  <c r="AM172" i="2"/>
  <c r="AL172" i="2"/>
  <c r="BD172" i="2" s="1"/>
  <c r="AI172" i="2"/>
  <c r="AA172" i="2"/>
  <c r="AA173" i="2" s="1"/>
  <c r="Z172" i="2"/>
  <c r="Z173" i="2" s="1"/>
  <c r="X172" i="2"/>
  <c r="X173" i="2" s="1"/>
  <c r="W172" i="2"/>
  <c r="W173" i="2" s="1"/>
  <c r="V172" i="2"/>
  <c r="V173" i="2" s="1"/>
  <c r="U172" i="2"/>
  <c r="U173" i="2" s="1"/>
  <c r="T172" i="2"/>
  <c r="T173" i="2" s="1"/>
  <c r="S172" i="2"/>
  <c r="R172" i="2"/>
  <c r="R173" i="2" s="1"/>
  <c r="Q172" i="2"/>
  <c r="Q173" i="2" s="1"/>
  <c r="P172" i="2"/>
  <c r="P173" i="2" s="1"/>
  <c r="O172" i="2"/>
  <c r="O173" i="2" s="1"/>
  <c r="N172" i="2"/>
  <c r="AX172" i="2" s="1"/>
  <c r="M172" i="2"/>
  <c r="M173" i="2" s="1"/>
  <c r="L172" i="2"/>
  <c r="L173" i="2" s="1"/>
  <c r="K172" i="2"/>
  <c r="K173" i="2" s="1"/>
  <c r="J172" i="2"/>
  <c r="AW172" i="2" s="1"/>
  <c r="I172" i="2"/>
  <c r="I173" i="2" s="1"/>
  <c r="H172" i="2"/>
  <c r="H173" i="2" s="1"/>
  <c r="G172" i="2"/>
  <c r="F172" i="2"/>
  <c r="F173" i="2" s="1"/>
  <c r="E172" i="2"/>
  <c r="E173" i="2" s="1"/>
  <c r="D172" i="2"/>
  <c r="D173" i="2" s="1"/>
  <c r="C172" i="2"/>
  <c r="C173" i="2" s="1"/>
  <c r="B172" i="2"/>
  <c r="AU172" i="2" s="1"/>
  <c r="BE171" i="2"/>
  <c r="BD171" i="2"/>
  <c r="BC171" i="2"/>
  <c r="BB171" i="2"/>
  <c r="BA171" i="2"/>
  <c r="AZ171" i="2"/>
  <c r="AY171" i="2"/>
  <c r="AX171" i="2"/>
  <c r="AW171" i="2"/>
  <c r="AV171" i="2"/>
  <c r="AU171" i="2"/>
  <c r="BB170" i="2"/>
  <c r="BA170" i="2"/>
  <c r="AZ170" i="2"/>
  <c r="AY170" i="2"/>
  <c r="AX170" i="2"/>
  <c r="AW170" i="2"/>
  <c r="AV170" i="2"/>
  <c r="AU170" i="2"/>
  <c r="AL170" i="2"/>
  <c r="AM170" i="2" s="1"/>
  <c r="AI170" i="2"/>
  <c r="BC169" i="2"/>
  <c r="BB169" i="2"/>
  <c r="BA169" i="2"/>
  <c r="AZ169" i="2"/>
  <c r="AY169" i="2"/>
  <c r="AX169" i="2"/>
  <c r="AW169" i="2"/>
  <c r="AV169" i="2"/>
  <c r="AU169" i="2"/>
  <c r="AM169" i="2"/>
  <c r="AN169" i="2" s="1"/>
  <c r="AL169" i="2"/>
  <c r="AL173" i="2" s="1"/>
  <c r="AI169" i="2"/>
  <c r="BE168" i="2"/>
  <c r="BD168" i="2"/>
  <c r="BC168" i="2"/>
  <c r="AZ168" i="2"/>
  <c r="AY168" i="2"/>
  <c r="AX168" i="2"/>
  <c r="AW168" i="2"/>
  <c r="AV168" i="2"/>
  <c r="AU168" i="2"/>
  <c r="AE168" i="2"/>
  <c r="BB168" i="2" s="1"/>
  <c r="AC168" i="2"/>
  <c r="AC173" i="2" s="1"/>
  <c r="AA165" i="2"/>
  <c r="AA176" i="2" s="1"/>
  <c r="O165" i="2"/>
  <c r="C165" i="2"/>
  <c r="AU164" i="2"/>
  <c r="AK164" i="2"/>
  <c r="AK165" i="2" s="1"/>
  <c r="AK176" i="2" s="1"/>
  <c r="AJ164" i="2"/>
  <c r="AJ165" i="2" s="1"/>
  <c r="AJ176" i="2" s="1"/>
  <c r="AI164" i="2"/>
  <c r="AI165" i="2" s="1"/>
  <c r="AH164" i="2"/>
  <c r="AG164" i="2"/>
  <c r="AG165" i="2" s="1"/>
  <c r="AG176" i="2" s="1"/>
  <c r="AF164" i="2"/>
  <c r="AF165" i="2" s="1"/>
  <c r="AF176" i="2" s="1"/>
  <c r="AE164" i="2"/>
  <c r="AE165" i="2" s="1"/>
  <c r="AE176" i="2" s="1"/>
  <c r="AD164" i="2"/>
  <c r="BB164" i="2" s="1"/>
  <c r="AC164" i="2"/>
  <c r="AC165" i="2" s="1"/>
  <c r="AC176" i="2" s="1"/>
  <c r="AB164" i="2"/>
  <c r="AB165" i="2" s="1"/>
  <c r="AB176" i="2" s="1"/>
  <c r="AA164" i="2"/>
  <c r="Y164" i="2"/>
  <c r="Y165" i="2" s="1"/>
  <c r="Y176" i="2" s="1"/>
  <c r="X164" i="2"/>
  <c r="X165" i="2" s="1"/>
  <c r="W164" i="2"/>
  <c r="W165" i="2" s="1"/>
  <c r="W176" i="2" s="1"/>
  <c r="V164" i="2"/>
  <c r="U164" i="2"/>
  <c r="U165" i="2" s="1"/>
  <c r="U176" i="2" s="1"/>
  <c r="T164" i="2"/>
  <c r="T165" i="2" s="1"/>
  <c r="T176" i="2" s="1"/>
  <c r="S164" i="2"/>
  <c r="S165" i="2" s="1"/>
  <c r="S176" i="2" s="1"/>
  <c r="R164" i="2"/>
  <c r="AY164" i="2" s="1"/>
  <c r="Q164" i="2"/>
  <c r="Q165" i="2" s="1"/>
  <c r="P164" i="2"/>
  <c r="P165" i="2" s="1"/>
  <c r="O164" i="2"/>
  <c r="N164" i="2"/>
  <c r="N165" i="2" s="1"/>
  <c r="M164" i="2"/>
  <c r="M165" i="2" s="1"/>
  <c r="M176" i="2" s="1"/>
  <c r="L164" i="2"/>
  <c r="L165" i="2" s="1"/>
  <c r="K164" i="2"/>
  <c r="K165" i="2" s="1"/>
  <c r="J164" i="2"/>
  <c r="I164" i="2"/>
  <c r="I165" i="2" s="1"/>
  <c r="H164" i="2"/>
  <c r="H165" i="2" s="1"/>
  <c r="G164" i="2"/>
  <c r="G165" i="2" s="1"/>
  <c r="F164" i="2"/>
  <c r="F165" i="2" s="1"/>
  <c r="AV165" i="2" s="1"/>
  <c r="E164" i="2"/>
  <c r="E165" i="2" s="1"/>
  <c r="D164" i="2"/>
  <c r="D165" i="2" s="1"/>
  <c r="C164" i="2"/>
  <c r="B164" i="2"/>
  <c r="B165" i="2" s="1"/>
  <c r="BC163" i="2"/>
  <c r="BB163" i="2"/>
  <c r="BA163" i="2"/>
  <c r="AY163" i="2"/>
  <c r="AX163" i="2"/>
  <c r="AW163" i="2"/>
  <c r="AV163" i="2"/>
  <c r="AU163" i="2"/>
  <c r="AL163" i="2"/>
  <c r="AM163" i="2" s="1"/>
  <c r="AN163" i="2" s="1"/>
  <c r="AO163" i="2" s="1"/>
  <c r="AP163" i="2" s="1"/>
  <c r="V163" i="2"/>
  <c r="AZ163" i="2" s="1"/>
  <c r="BC162" i="2"/>
  <c r="BB162" i="2"/>
  <c r="AZ162" i="2"/>
  <c r="AY162" i="2"/>
  <c r="AX162" i="2"/>
  <c r="AW162" i="2"/>
  <c r="AV162" i="2"/>
  <c r="AU162" i="2"/>
  <c r="AM162" i="2"/>
  <c r="AN162" i="2" s="1"/>
  <c r="AO162" i="2" s="1"/>
  <c r="AP162" i="2" s="1"/>
  <c r="AL162" i="2"/>
  <c r="Z162" i="2"/>
  <c r="BA162" i="2" s="1"/>
  <c r="BC161" i="2"/>
  <c r="BB161" i="2"/>
  <c r="AZ161" i="2"/>
  <c r="AY161" i="2"/>
  <c r="AX161" i="2"/>
  <c r="AW161" i="2"/>
  <c r="AV161" i="2"/>
  <c r="AU161" i="2"/>
  <c r="AM161" i="2"/>
  <c r="AL161" i="2"/>
  <c r="AL164" i="2" s="1"/>
  <c r="Z161" i="2"/>
  <c r="BA161" i="2" s="1"/>
  <c r="BB160" i="2"/>
  <c r="AZ160" i="2"/>
  <c r="AY160" i="2"/>
  <c r="AX160" i="2"/>
  <c r="AW160" i="2"/>
  <c r="AV160" i="2"/>
  <c r="AU160" i="2"/>
  <c r="AL160" i="2"/>
  <c r="AM160" i="2" s="1"/>
  <c r="AN160" i="2" s="1"/>
  <c r="AO160" i="2" s="1"/>
  <c r="AP160" i="2" s="1"/>
  <c r="AI160" i="2"/>
  <c r="BC160" i="2" s="1"/>
  <c r="Z160" i="2"/>
  <c r="BA160" i="2" s="1"/>
  <c r="Z156" i="2"/>
  <c r="T156" i="2"/>
  <c r="AK155" i="2"/>
  <c r="AK156" i="2" s="1"/>
  <c r="AJ155" i="2"/>
  <c r="AJ156" i="2" s="1"/>
  <c r="AH155" i="2"/>
  <c r="AG155" i="2"/>
  <c r="AG156" i="2" s="1"/>
  <c r="AF155" i="2"/>
  <c r="AF156" i="2" s="1"/>
  <c r="AE155" i="2"/>
  <c r="AE156" i="2" s="1"/>
  <c r="AD155" i="2"/>
  <c r="AC155" i="2"/>
  <c r="AC156" i="2" s="1"/>
  <c r="AB155" i="2"/>
  <c r="AB156" i="2" s="1"/>
  <c r="AA155" i="2"/>
  <c r="AA156" i="2" s="1"/>
  <c r="Z155" i="2"/>
  <c r="Y155" i="2"/>
  <c r="Y156" i="2" s="1"/>
  <c r="X155" i="2"/>
  <c r="X156" i="2" s="1"/>
  <c r="W155" i="2"/>
  <c r="W156" i="2" s="1"/>
  <c r="V155" i="2"/>
  <c r="V156" i="2" s="1"/>
  <c r="U155" i="2"/>
  <c r="U156" i="2" s="1"/>
  <c r="E155" i="2"/>
  <c r="E156" i="2" s="1"/>
  <c r="D155" i="2"/>
  <c r="D156" i="2" s="1"/>
  <c r="C155" i="2"/>
  <c r="C156" i="2" s="1"/>
  <c r="B155" i="2"/>
  <c r="AU155" i="2" s="1"/>
  <c r="BC154" i="2"/>
  <c r="BB154" i="2"/>
  <c r="BA154" i="2"/>
  <c r="AZ154" i="2"/>
  <c r="AU154" i="2"/>
  <c r="AM154" i="2"/>
  <c r="AN154" i="2" s="1"/>
  <c r="AO154" i="2" s="1"/>
  <c r="AP154" i="2" s="1"/>
  <c r="AL154" i="2"/>
  <c r="BD154" i="2" s="1"/>
  <c r="AI154" i="2"/>
  <c r="G154" i="2"/>
  <c r="H154" i="2" s="1"/>
  <c r="I154" i="2" s="1"/>
  <c r="J154" i="2" s="1"/>
  <c r="F154" i="2"/>
  <c r="BB153" i="2"/>
  <c r="BA153" i="2"/>
  <c r="AZ153" i="2"/>
  <c r="AU153" i="2"/>
  <c r="AM153" i="2"/>
  <c r="AL153" i="2"/>
  <c r="AI153" i="2"/>
  <c r="BC153" i="2" s="1"/>
  <c r="H153" i="2"/>
  <c r="I153" i="2" s="1"/>
  <c r="J153" i="2" s="1"/>
  <c r="G153" i="2"/>
  <c r="F153" i="2"/>
  <c r="AV153" i="2" s="1"/>
  <c r="BB152" i="2"/>
  <c r="BA152" i="2"/>
  <c r="AZ152" i="2"/>
  <c r="AU152" i="2"/>
  <c r="AL152" i="2"/>
  <c r="AL155" i="2" s="1"/>
  <c r="AI152" i="2"/>
  <c r="F152" i="2"/>
  <c r="BC151" i="2"/>
  <c r="BB151" i="2"/>
  <c r="BA151" i="2"/>
  <c r="AZ151" i="2"/>
  <c r="AY151" i="2"/>
  <c r="AX151" i="2"/>
  <c r="AU151" i="2"/>
  <c r="AL151" i="2"/>
  <c r="AK147" i="2"/>
  <c r="AJ147" i="2"/>
  <c r="AJ175" i="2" s="1"/>
  <c r="AE147" i="2"/>
  <c r="AE175" i="2" s="1"/>
  <c r="AD147" i="2"/>
  <c r="AD175" i="2" s="1"/>
  <c r="AB147" i="2"/>
  <c r="AB175" i="2" s="1"/>
  <c r="AA147" i="2"/>
  <c r="AA175" i="2" s="1"/>
  <c r="Y147" i="2"/>
  <c r="X147" i="2"/>
  <c r="X175" i="2" s="1"/>
  <c r="S147" i="2"/>
  <c r="S175" i="2" s="1"/>
  <c r="R147" i="2"/>
  <c r="R175" i="2" s="1"/>
  <c r="P147" i="2"/>
  <c r="P175" i="2" s="1"/>
  <c r="O147" i="2"/>
  <c r="O175" i="2" s="1"/>
  <c r="M147" i="2"/>
  <c r="L147" i="2"/>
  <c r="L175" i="2" s="1"/>
  <c r="G147" i="2"/>
  <c r="G175" i="2" s="1"/>
  <c r="F147" i="2"/>
  <c r="F175" i="2" s="1"/>
  <c r="D147" i="2"/>
  <c r="D175" i="2" s="1"/>
  <c r="C147" i="2"/>
  <c r="C175" i="2" s="1"/>
  <c r="AK146" i="2"/>
  <c r="AJ146" i="2"/>
  <c r="AI146" i="2"/>
  <c r="AI147" i="2" s="1"/>
  <c r="AI148" i="2" s="1"/>
  <c r="AH146" i="2"/>
  <c r="BC146" i="2" s="1"/>
  <c r="AG146" i="2"/>
  <c r="AG147" i="2" s="1"/>
  <c r="AF146" i="2"/>
  <c r="AF147" i="2" s="1"/>
  <c r="AE146" i="2"/>
  <c r="AD146" i="2"/>
  <c r="BB146" i="2" s="1"/>
  <c r="AC146" i="2"/>
  <c r="AC147" i="2" s="1"/>
  <c r="AB146" i="2"/>
  <c r="AA146" i="2"/>
  <c r="Z146" i="2"/>
  <c r="BA146" i="2" s="1"/>
  <c r="Y146" i="2"/>
  <c r="X146" i="2"/>
  <c r="W146" i="2"/>
  <c r="W147" i="2" s="1"/>
  <c r="V146" i="2"/>
  <c r="V147" i="2" s="1"/>
  <c r="U146" i="2"/>
  <c r="U147" i="2" s="1"/>
  <c r="T146" i="2"/>
  <c r="S146" i="2"/>
  <c r="R146" i="2"/>
  <c r="Q146" i="2"/>
  <c r="Q147" i="2" s="1"/>
  <c r="P146" i="2"/>
  <c r="O146" i="2"/>
  <c r="N146" i="2"/>
  <c r="AX146" i="2" s="1"/>
  <c r="M146" i="2"/>
  <c r="L146" i="2"/>
  <c r="K146" i="2"/>
  <c r="K147" i="2" s="1"/>
  <c r="J146" i="2"/>
  <c r="J147" i="2" s="1"/>
  <c r="I146" i="2"/>
  <c r="I147" i="2" s="1"/>
  <c r="H146" i="2"/>
  <c r="G146" i="2"/>
  <c r="F146" i="2"/>
  <c r="E146" i="2"/>
  <c r="E147" i="2" s="1"/>
  <c r="D146" i="2"/>
  <c r="C146" i="2"/>
  <c r="B146" i="2"/>
  <c r="AU146" i="2" s="1"/>
  <c r="BC145" i="2"/>
  <c r="BB145" i="2"/>
  <c r="BA145" i="2"/>
  <c r="AZ145" i="2"/>
  <c r="AY145" i="2"/>
  <c r="AX145" i="2"/>
  <c r="AW145" i="2"/>
  <c r="AV145" i="2"/>
  <c r="AU145" i="2"/>
  <c r="BC144" i="2"/>
  <c r="BB144" i="2"/>
  <c r="BA144" i="2"/>
  <c r="AZ144" i="2"/>
  <c r="AY144" i="2"/>
  <c r="AX144" i="2"/>
  <c r="AW144" i="2"/>
  <c r="AV144" i="2"/>
  <c r="AU144" i="2"/>
  <c r="BC143" i="2"/>
  <c r="BB143" i="2"/>
  <c r="BA143" i="2"/>
  <c r="AZ143" i="2"/>
  <c r="AY143" i="2"/>
  <c r="AX143" i="2"/>
  <c r="AW143" i="2"/>
  <c r="AV143" i="2"/>
  <c r="AU143" i="2"/>
  <c r="BC142" i="2"/>
  <c r="BB142" i="2"/>
  <c r="BA142" i="2"/>
  <c r="AZ142" i="2"/>
  <c r="AY142" i="2"/>
  <c r="AX142" i="2"/>
  <c r="AW142" i="2"/>
  <c r="AV142" i="2"/>
  <c r="AU142" i="2"/>
  <c r="BE140" i="2"/>
  <c r="BD140" i="2"/>
  <c r="BC140" i="2"/>
  <c r="BB140" i="2"/>
  <c r="BA140" i="2"/>
  <c r="AZ140" i="2"/>
  <c r="AY140" i="2"/>
  <c r="AX140" i="2"/>
  <c r="AW140" i="2"/>
  <c r="AV140" i="2"/>
  <c r="AU140" i="2"/>
  <c r="AS140" i="2"/>
  <c r="AR140" i="2"/>
  <c r="AQ140" i="2"/>
  <c r="AP140" i="2"/>
  <c r="AO140" i="2"/>
  <c r="AN140" i="2"/>
  <c r="AM140" i="2"/>
  <c r="AL140" i="2"/>
  <c r="AK140" i="2"/>
  <c r="AJ140" i="2"/>
  <c r="AI140" i="2"/>
  <c r="AH140" i="2"/>
  <c r="AG140" i="2"/>
  <c r="AF140" i="2"/>
  <c r="AE140" i="2"/>
  <c r="AD140" i="2"/>
  <c r="AC140" i="2"/>
  <c r="AB140" i="2"/>
  <c r="AA140" i="2"/>
  <c r="Z140" i="2"/>
  <c r="Y140" i="2"/>
  <c r="X140" i="2"/>
  <c r="W140" i="2"/>
  <c r="V140" i="2"/>
  <c r="U140" i="2"/>
  <c r="T140" i="2"/>
  <c r="S140" i="2"/>
  <c r="R140" i="2"/>
  <c r="Q140" i="2"/>
  <c r="P140" i="2"/>
  <c r="O140" i="2"/>
  <c r="N140" i="2"/>
  <c r="M140" i="2"/>
  <c r="L140" i="2"/>
  <c r="K140" i="2"/>
  <c r="J140" i="2"/>
  <c r="I140" i="2"/>
  <c r="H140" i="2"/>
  <c r="G140" i="2"/>
  <c r="F140" i="2"/>
  <c r="E140" i="2"/>
  <c r="D140" i="2"/>
  <c r="C140" i="2"/>
  <c r="B140" i="2"/>
  <c r="AK136" i="2"/>
  <c r="W131" i="2"/>
  <c r="W133" i="2" s="1"/>
  <c r="BE130" i="2"/>
  <c r="BD130" i="2"/>
  <c r="BC130" i="2"/>
  <c r="BB130" i="2"/>
  <c r="BA130" i="2"/>
  <c r="AZ130" i="2"/>
  <c r="AY130" i="2"/>
  <c r="AX130" i="2"/>
  <c r="AW130" i="2"/>
  <c r="AV130" i="2"/>
  <c r="AU130" i="2"/>
  <c r="BC128" i="2"/>
  <c r="BB128" i="2"/>
  <c r="BA128" i="2"/>
  <c r="AZ128" i="2"/>
  <c r="AY128" i="2"/>
  <c r="AX128" i="2"/>
  <c r="AW128" i="2"/>
  <c r="AV128" i="2"/>
  <c r="AU128" i="2"/>
  <c r="S126" i="2"/>
  <c r="S129" i="2" s="1"/>
  <c r="S131" i="2" s="1"/>
  <c r="S133" i="2" s="1"/>
  <c r="BC125" i="2"/>
  <c r="BB125" i="2"/>
  <c r="BA125" i="2"/>
  <c r="AZ125" i="2"/>
  <c r="AY125" i="2"/>
  <c r="AX125" i="2"/>
  <c r="AW125" i="2"/>
  <c r="AV125" i="2"/>
  <c r="AU125" i="2"/>
  <c r="BC124" i="2"/>
  <c r="BB124" i="2"/>
  <c r="BA124" i="2"/>
  <c r="AZ124" i="2"/>
  <c r="AY124" i="2"/>
  <c r="BC123" i="2"/>
  <c r="BB123" i="2"/>
  <c r="AY123" i="2"/>
  <c r="AX123" i="2"/>
  <c r="AW123" i="2"/>
  <c r="AV123" i="2"/>
  <c r="AU123" i="2"/>
  <c r="Z123" i="2"/>
  <c r="BA123" i="2" s="1"/>
  <c r="Y123" i="2"/>
  <c r="AZ123" i="2" s="1"/>
  <c r="I121" i="2"/>
  <c r="I126" i="2" s="1"/>
  <c r="I129" i="2" s="1"/>
  <c r="I131" i="2" s="1"/>
  <c r="I133" i="2" s="1"/>
  <c r="AK120" i="2"/>
  <c r="AI120" i="2"/>
  <c r="AH120" i="2"/>
  <c r="AG120" i="2"/>
  <c r="AF120" i="2"/>
  <c r="AE120" i="2"/>
  <c r="AD120" i="2"/>
  <c r="BB120" i="2" s="1"/>
  <c r="AC120" i="2"/>
  <c r="AB120" i="2"/>
  <c r="BA120" i="2" s="1"/>
  <c r="AA120" i="2"/>
  <c r="Z120" i="2"/>
  <c r="Y120" i="2"/>
  <c r="X120" i="2"/>
  <c r="W120" i="2"/>
  <c r="V120" i="2"/>
  <c r="AZ120" i="2" s="1"/>
  <c r="U120" i="2"/>
  <c r="T120" i="2"/>
  <c r="S120" i="2"/>
  <c r="R120" i="2"/>
  <c r="AY120" i="2" s="1"/>
  <c r="Q120" i="2"/>
  <c r="P120" i="2"/>
  <c r="O120" i="2"/>
  <c r="N120" i="2"/>
  <c r="M120" i="2"/>
  <c r="L120" i="2"/>
  <c r="K120" i="2"/>
  <c r="J120" i="2"/>
  <c r="AW120" i="2" s="1"/>
  <c r="I120" i="2"/>
  <c r="H120" i="2"/>
  <c r="G120" i="2"/>
  <c r="F120" i="2"/>
  <c r="AV120" i="2" s="1"/>
  <c r="E120" i="2"/>
  <c r="D120" i="2"/>
  <c r="C120" i="2"/>
  <c r="B120" i="2"/>
  <c r="BB119" i="2"/>
  <c r="BA119" i="2"/>
  <c r="AZ119" i="2"/>
  <c r="AY119" i="2"/>
  <c r="AX119" i="2"/>
  <c r="AW119" i="2"/>
  <c r="AV119" i="2"/>
  <c r="AU119" i="2"/>
  <c r="AS119" i="2"/>
  <c r="AR119" i="2"/>
  <c r="AQ119" i="2"/>
  <c r="AP119" i="2"/>
  <c r="BE119" i="2" s="1"/>
  <c r="AO119" i="2"/>
  <c r="AN119" i="2"/>
  <c r="AM119" i="2"/>
  <c r="AL119" i="2"/>
  <c r="BD119" i="2" s="1"/>
  <c r="AJ119" i="2"/>
  <c r="AJ120" i="2" s="1"/>
  <c r="BC118" i="2"/>
  <c r="BB118" i="2"/>
  <c r="BA118" i="2"/>
  <c r="AZ118" i="2"/>
  <c r="AY118" i="2"/>
  <c r="AX118" i="2"/>
  <c r="AW118" i="2"/>
  <c r="AV118" i="2"/>
  <c r="AU118" i="2"/>
  <c r="BC117" i="2"/>
  <c r="BB117" i="2"/>
  <c r="BA117" i="2"/>
  <c r="AZ117" i="2"/>
  <c r="AY117" i="2"/>
  <c r="AX117" i="2"/>
  <c r="AW117" i="2"/>
  <c r="AV117" i="2"/>
  <c r="AU117" i="2"/>
  <c r="BC116" i="2"/>
  <c r="BB116" i="2"/>
  <c r="BA116" i="2"/>
  <c r="AZ116" i="2"/>
  <c r="AY116" i="2"/>
  <c r="AX116" i="2"/>
  <c r="AW116" i="2"/>
  <c r="AV116" i="2"/>
  <c r="AU116" i="2"/>
  <c r="AB113" i="2"/>
  <c r="AB121" i="2" s="1"/>
  <c r="AB126" i="2" s="1"/>
  <c r="AB129" i="2" s="1"/>
  <c r="AB131" i="2" s="1"/>
  <c r="AB133" i="2" s="1"/>
  <c r="P113" i="2"/>
  <c r="P121" i="2" s="1"/>
  <c r="P126" i="2" s="1"/>
  <c r="P129" i="2" s="1"/>
  <c r="P131" i="2" s="1"/>
  <c r="P133" i="2" s="1"/>
  <c r="D113" i="2"/>
  <c r="D121" i="2" s="1"/>
  <c r="D126" i="2" s="1"/>
  <c r="D129" i="2" s="1"/>
  <c r="D131" i="2" s="1"/>
  <c r="D133" i="2" s="1"/>
  <c r="BC112" i="2"/>
  <c r="BB112" i="2"/>
  <c r="BA112" i="2"/>
  <c r="AZ112" i="2"/>
  <c r="AY112" i="2"/>
  <c r="AX112" i="2"/>
  <c r="AW112" i="2"/>
  <c r="AV112" i="2"/>
  <c r="AU112" i="2"/>
  <c r="BC110" i="2"/>
  <c r="AL110" i="2"/>
  <c r="AK110" i="2"/>
  <c r="AK113" i="2" s="1"/>
  <c r="AK121" i="2" s="1"/>
  <c r="AK126" i="2" s="1"/>
  <c r="AK129" i="2" s="1"/>
  <c r="AK131" i="2" s="1"/>
  <c r="AK133" i="2" s="1"/>
  <c r="AJ110" i="2"/>
  <c r="AJ113" i="2" s="1"/>
  <c r="AI110" i="2"/>
  <c r="AI113" i="2" s="1"/>
  <c r="AI121" i="2" s="1"/>
  <c r="AI126" i="2" s="1"/>
  <c r="AI129" i="2" s="1"/>
  <c r="AI131" i="2" s="1"/>
  <c r="AI133" i="2" s="1"/>
  <c r="AH110" i="2"/>
  <c r="AH113" i="2" s="1"/>
  <c r="AG110" i="2"/>
  <c r="AG113" i="2" s="1"/>
  <c r="AG121" i="2" s="1"/>
  <c r="AG126" i="2" s="1"/>
  <c r="AG129" i="2" s="1"/>
  <c r="AG131" i="2" s="1"/>
  <c r="AG133" i="2" s="1"/>
  <c r="AF110" i="2"/>
  <c r="AF113" i="2" s="1"/>
  <c r="AF121" i="2" s="1"/>
  <c r="AF126" i="2" s="1"/>
  <c r="AF129" i="2" s="1"/>
  <c r="AF131" i="2" s="1"/>
  <c r="AF133" i="2" s="1"/>
  <c r="AE110" i="2"/>
  <c r="AE113" i="2" s="1"/>
  <c r="AE121" i="2" s="1"/>
  <c r="AE126" i="2" s="1"/>
  <c r="AE129" i="2" s="1"/>
  <c r="AE131" i="2" s="1"/>
  <c r="AE133" i="2" s="1"/>
  <c r="AD110" i="2"/>
  <c r="AD148" i="2" s="1"/>
  <c r="AC110" i="2"/>
  <c r="AC113" i="2" s="1"/>
  <c r="AC121" i="2" s="1"/>
  <c r="AC126" i="2" s="1"/>
  <c r="AC129" i="2" s="1"/>
  <c r="AC131" i="2" s="1"/>
  <c r="AC133" i="2" s="1"/>
  <c r="AB110" i="2"/>
  <c r="AA110" i="2"/>
  <c r="AA113" i="2" s="1"/>
  <c r="AA121" i="2" s="1"/>
  <c r="AA126" i="2" s="1"/>
  <c r="AA129" i="2" s="1"/>
  <c r="AA131" i="2" s="1"/>
  <c r="AA133" i="2" s="1"/>
  <c r="Z110" i="2"/>
  <c r="Z113" i="2" s="1"/>
  <c r="Z121" i="2" s="1"/>
  <c r="Y110" i="2"/>
  <c r="Y113" i="2" s="1"/>
  <c r="Y121" i="2" s="1"/>
  <c r="X110" i="2"/>
  <c r="X113" i="2" s="1"/>
  <c r="X121" i="2" s="1"/>
  <c r="X126" i="2" s="1"/>
  <c r="X129" i="2" s="1"/>
  <c r="X131" i="2" s="1"/>
  <c r="X133" i="2" s="1"/>
  <c r="W110" i="2"/>
  <c r="W113" i="2" s="1"/>
  <c r="W121" i="2" s="1"/>
  <c r="W126" i="2" s="1"/>
  <c r="W129" i="2" s="1"/>
  <c r="V110" i="2"/>
  <c r="AZ110" i="2" s="1"/>
  <c r="U110" i="2"/>
  <c r="U113" i="2" s="1"/>
  <c r="U121" i="2" s="1"/>
  <c r="U126" i="2" s="1"/>
  <c r="U129" i="2" s="1"/>
  <c r="U131" i="2" s="1"/>
  <c r="U133" i="2" s="1"/>
  <c r="T110" i="2"/>
  <c r="T113" i="2" s="1"/>
  <c r="T121" i="2" s="1"/>
  <c r="T126" i="2" s="1"/>
  <c r="T129" i="2" s="1"/>
  <c r="T131" i="2" s="1"/>
  <c r="T133" i="2" s="1"/>
  <c r="S110" i="2"/>
  <c r="S113" i="2" s="1"/>
  <c r="S121" i="2" s="1"/>
  <c r="R110" i="2"/>
  <c r="R148" i="2" s="1"/>
  <c r="Q110" i="2"/>
  <c r="Q113" i="2" s="1"/>
  <c r="Q121" i="2" s="1"/>
  <c r="Q126" i="2" s="1"/>
  <c r="Q129" i="2" s="1"/>
  <c r="Q131" i="2" s="1"/>
  <c r="Q133" i="2" s="1"/>
  <c r="P110" i="2"/>
  <c r="O110" i="2"/>
  <c r="O113" i="2" s="1"/>
  <c r="O121" i="2" s="1"/>
  <c r="O126" i="2" s="1"/>
  <c r="O129" i="2" s="1"/>
  <c r="O131" i="2" s="1"/>
  <c r="O133" i="2" s="1"/>
  <c r="N110" i="2"/>
  <c r="N113" i="2" s="1"/>
  <c r="M110" i="2"/>
  <c r="M113" i="2" s="1"/>
  <c r="M121" i="2" s="1"/>
  <c r="M126" i="2" s="1"/>
  <c r="M129" i="2" s="1"/>
  <c r="M131" i="2" s="1"/>
  <c r="M133" i="2" s="1"/>
  <c r="L110" i="2"/>
  <c r="L113" i="2" s="1"/>
  <c r="L121" i="2" s="1"/>
  <c r="L126" i="2" s="1"/>
  <c r="L129" i="2" s="1"/>
  <c r="L131" i="2" s="1"/>
  <c r="L133" i="2" s="1"/>
  <c r="K110" i="2"/>
  <c r="K113" i="2" s="1"/>
  <c r="K121" i="2" s="1"/>
  <c r="K126" i="2" s="1"/>
  <c r="K129" i="2" s="1"/>
  <c r="K131" i="2" s="1"/>
  <c r="K133" i="2" s="1"/>
  <c r="J110" i="2"/>
  <c r="J113" i="2" s="1"/>
  <c r="I110" i="2"/>
  <c r="I113" i="2" s="1"/>
  <c r="H110" i="2"/>
  <c r="H113" i="2" s="1"/>
  <c r="H121" i="2" s="1"/>
  <c r="H126" i="2" s="1"/>
  <c r="H129" i="2" s="1"/>
  <c r="H131" i="2" s="1"/>
  <c r="H133" i="2" s="1"/>
  <c r="G110" i="2"/>
  <c r="G113" i="2" s="1"/>
  <c r="G121" i="2" s="1"/>
  <c r="G126" i="2" s="1"/>
  <c r="G129" i="2" s="1"/>
  <c r="G131" i="2" s="1"/>
  <c r="G133" i="2" s="1"/>
  <c r="F110" i="2"/>
  <c r="F148" i="2" s="1"/>
  <c r="E110" i="2"/>
  <c r="E113" i="2" s="1"/>
  <c r="E121" i="2" s="1"/>
  <c r="E126" i="2" s="1"/>
  <c r="E129" i="2" s="1"/>
  <c r="E131" i="2" s="1"/>
  <c r="E133" i="2" s="1"/>
  <c r="D110" i="2"/>
  <c r="C110" i="2"/>
  <c r="C113" i="2" s="1"/>
  <c r="C121" i="2" s="1"/>
  <c r="C126" i="2" s="1"/>
  <c r="C129" i="2" s="1"/>
  <c r="C131" i="2" s="1"/>
  <c r="C133" i="2" s="1"/>
  <c r="B110" i="2"/>
  <c r="B113" i="2" s="1"/>
  <c r="AX109" i="2"/>
  <c r="AS109" i="2"/>
  <c r="AQ109" i="2"/>
  <c r="AP109" i="2"/>
  <c r="AO109" i="2"/>
  <c r="AN109" i="2"/>
  <c r="AM109" i="2"/>
  <c r="AL109" i="2"/>
  <c r="BD109" i="2" s="1"/>
  <c r="AK109" i="2"/>
  <c r="AJ109" i="2"/>
  <c r="AI109" i="2"/>
  <c r="AH109" i="2"/>
  <c r="BC109" i="2" s="1"/>
  <c r="AG109" i="2"/>
  <c r="AF109" i="2"/>
  <c r="AE109" i="2"/>
  <c r="AD109" i="2"/>
  <c r="BB109" i="2" s="1"/>
  <c r="AC109" i="2"/>
  <c r="AB109" i="2"/>
  <c r="AA109" i="2"/>
  <c r="Z109" i="2"/>
  <c r="BA109" i="2" s="1"/>
  <c r="Y109" i="2"/>
  <c r="X109" i="2"/>
  <c r="W109" i="2"/>
  <c r="V109" i="2"/>
  <c r="AZ109" i="2" s="1"/>
  <c r="U109" i="2"/>
  <c r="T109" i="2"/>
  <c r="S109" i="2"/>
  <c r="R109" i="2"/>
  <c r="AY109" i="2" s="1"/>
  <c r="Q109" i="2"/>
  <c r="P109" i="2"/>
  <c r="O109" i="2"/>
  <c r="N109" i="2"/>
  <c r="M109" i="2"/>
  <c r="L109" i="2"/>
  <c r="K109" i="2"/>
  <c r="J109" i="2"/>
  <c r="AW109" i="2" s="1"/>
  <c r="I109" i="2"/>
  <c r="H109" i="2"/>
  <c r="G109" i="2"/>
  <c r="F109" i="2"/>
  <c r="AV109" i="2" s="1"/>
  <c r="E109" i="2"/>
  <c r="D109" i="2"/>
  <c r="C109" i="2"/>
  <c r="B109" i="2"/>
  <c r="AU109" i="2" s="1"/>
  <c r="AL108" i="2"/>
  <c r="AK108" i="2"/>
  <c r="AJ108" i="2"/>
  <c r="AI108" i="2"/>
  <c r="AH108" i="2"/>
  <c r="BC108" i="2" s="1"/>
  <c r="AG108" i="2"/>
  <c r="AF108" i="2"/>
  <c r="AE108" i="2"/>
  <c r="AD108" i="2"/>
  <c r="AC108" i="2"/>
  <c r="AB108" i="2"/>
  <c r="AA108" i="2"/>
  <c r="Z108" i="2"/>
  <c r="BA108" i="2" s="1"/>
  <c r="Y108" i="2"/>
  <c r="X108" i="2"/>
  <c r="W108" i="2"/>
  <c r="V108" i="2"/>
  <c r="AZ108" i="2" s="1"/>
  <c r="U108" i="2"/>
  <c r="T108" i="2"/>
  <c r="S108" i="2"/>
  <c r="R108" i="2"/>
  <c r="Q108" i="2"/>
  <c r="P108" i="2"/>
  <c r="O108" i="2"/>
  <c r="N108" i="2"/>
  <c r="AX108" i="2" s="1"/>
  <c r="M108" i="2"/>
  <c r="L108" i="2"/>
  <c r="K108" i="2"/>
  <c r="J108" i="2"/>
  <c r="AW108" i="2" s="1"/>
  <c r="I108" i="2"/>
  <c r="H108" i="2"/>
  <c r="G108" i="2"/>
  <c r="F108" i="2"/>
  <c r="E108" i="2"/>
  <c r="D108" i="2"/>
  <c r="C108" i="2"/>
  <c r="B108" i="2"/>
  <c r="AU108" i="2" s="1"/>
  <c r="AZ107" i="2"/>
  <c r="AR107" i="2"/>
  <c r="AQ107" i="2"/>
  <c r="AO107" i="2"/>
  <c r="AN107" i="2"/>
  <c r="AM107" i="2"/>
  <c r="AL107" i="2"/>
  <c r="BD107" i="2" s="1"/>
  <c r="AK107" i="2"/>
  <c r="AJ107" i="2"/>
  <c r="AI107" i="2"/>
  <c r="AH107" i="2"/>
  <c r="BC107" i="2" s="1"/>
  <c r="AG107" i="2"/>
  <c r="AF107" i="2"/>
  <c r="AE107" i="2"/>
  <c r="AD107" i="2"/>
  <c r="BB107" i="2" s="1"/>
  <c r="AC107" i="2"/>
  <c r="AB107" i="2"/>
  <c r="AA107" i="2"/>
  <c r="Z107" i="2"/>
  <c r="BA107" i="2" s="1"/>
  <c r="Y107" i="2"/>
  <c r="X107" i="2"/>
  <c r="W107" i="2"/>
  <c r="V107" i="2"/>
  <c r="U107" i="2"/>
  <c r="T107" i="2"/>
  <c r="S107" i="2"/>
  <c r="R107" i="2"/>
  <c r="AY107" i="2" s="1"/>
  <c r="Q107" i="2"/>
  <c r="P107" i="2"/>
  <c r="O107" i="2"/>
  <c r="N107" i="2"/>
  <c r="AX107" i="2" s="1"/>
  <c r="M107" i="2"/>
  <c r="L107" i="2"/>
  <c r="K107" i="2"/>
  <c r="J107" i="2"/>
  <c r="AW107" i="2" s="1"/>
  <c r="I107" i="2"/>
  <c r="H107" i="2"/>
  <c r="G107" i="2"/>
  <c r="F107" i="2"/>
  <c r="AV107" i="2" s="1"/>
  <c r="E107" i="2"/>
  <c r="D107" i="2"/>
  <c r="C107" i="2"/>
  <c r="B107" i="2"/>
  <c r="AU107" i="2" s="1"/>
  <c r="AD105" i="2"/>
  <c r="Z105" i="2"/>
  <c r="V105" i="2"/>
  <c r="R105" i="2"/>
  <c r="N105" i="2"/>
  <c r="J105" i="2"/>
  <c r="F105" i="2"/>
  <c r="B105" i="2"/>
  <c r="AI103" i="2"/>
  <c r="B103" i="2"/>
  <c r="AI102" i="2"/>
  <c r="B102" i="2"/>
  <c r="BE101" i="2"/>
  <c r="BD101" i="2"/>
  <c r="BC101" i="2"/>
  <c r="BB101" i="2"/>
  <c r="BA101" i="2"/>
  <c r="AZ101" i="2"/>
  <c r="AY101" i="2"/>
  <c r="AX101" i="2"/>
  <c r="AW101" i="2"/>
  <c r="AV101" i="2"/>
  <c r="AU101" i="2"/>
  <c r="AS101" i="2"/>
  <c r="AR101" i="2"/>
  <c r="AQ101" i="2"/>
  <c r="AP101" i="2"/>
  <c r="AO101" i="2"/>
  <c r="AN101" i="2"/>
  <c r="AM101" i="2"/>
  <c r="AL101" i="2"/>
  <c r="AK101" i="2"/>
  <c r="AJ101" i="2"/>
  <c r="AI101" i="2"/>
  <c r="AH101" i="2"/>
  <c r="AG101" i="2"/>
  <c r="AF101" i="2"/>
  <c r="AE101" i="2"/>
  <c r="AD101" i="2"/>
  <c r="AC101" i="2"/>
  <c r="AB101" i="2"/>
  <c r="AA101" i="2"/>
  <c r="Z101" i="2"/>
  <c r="Y101" i="2"/>
  <c r="X101" i="2"/>
  <c r="W101" i="2"/>
  <c r="V101" i="2"/>
  <c r="U101" i="2"/>
  <c r="T101" i="2"/>
  <c r="S101" i="2"/>
  <c r="R101" i="2"/>
  <c r="Q101" i="2"/>
  <c r="P101" i="2"/>
  <c r="O101" i="2"/>
  <c r="N101" i="2"/>
  <c r="M101" i="2"/>
  <c r="L101" i="2"/>
  <c r="K101" i="2"/>
  <c r="J101" i="2"/>
  <c r="I101" i="2"/>
  <c r="H101" i="2"/>
  <c r="G101" i="2"/>
  <c r="F101" i="2"/>
  <c r="E101" i="2"/>
  <c r="D101" i="2"/>
  <c r="C101" i="2"/>
  <c r="B101" i="2"/>
  <c r="BD95" i="2"/>
  <c r="AX95" i="2"/>
  <c r="AS95" i="2"/>
  <c r="AR95" i="2"/>
  <c r="AQ95" i="2"/>
  <c r="BE95" i="2" s="1"/>
  <c r="AP95" i="2"/>
  <c r="AO95" i="2"/>
  <c r="AN95" i="2"/>
  <c r="AM95" i="2"/>
  <c r="AL95" i="2"/>
  <c r="AK95" i="2"/>
  <c r="AK91" i="2" s="1"/>
  <c r="AJ95" i="2"/>
  <c r="AI95" i="2"/>
  <c r="AH95" i="2"/>
  <c r="BC95" i="2" s="1"/>
  <c r="AG95" i="2"/>
  <c r="AF95" i="2"/>
  <c r="AE95" i="2"/>
  <c r="BB95" i="2" s="1"/>
  <c r="AD95" i="2"/>
  <c r="AC95" i="2"/>
  <c r="AB95" i="2"/>
  <c r="AA95" i="2"/>
  <c r="Z95" i="2"/>
  <c r="BA95" i="2" s="1"/>
  <c r="Y95" i="2"/>
  <c r="X95" i="2"/>
  <c r="W95" i="2"/>
  <c r="V95" i="2"/>
  <c r="AZ95" i="2" s="1"/>
  <c r="U95" i="2"/>
  <c r="T95" i="2"/>
  <c r="S95" i="2"/>
  <c r="AY95" i="2" s="1"/>
  <c r="R95" i="2"/>
  <c r="Q95" i="2"/>
  <c r="P95" i="2"/>
  <c r="O95" i="2"/>
  <c r="N95" i="2"/>
  <c r="M95" i="2"/>
  <c r="L95" i="2"/>
  <c r="K95" i="2"/>
  <c r="J95" i="2"/>
  <c r="AW95" i="2" s="1"/>
  <c r="I95" i="2"/>
  <c r="H95" i="2"/>
  <c r="G95" i="2"/>
  <c r="F95" i="2"/>
  <c r="E95" i="2"/>
  <c r="D95" i="2"/>
  <c r="C95" i="2"/>
  <c r="B95" i="2"/>
  <c r="AU95" i="2" s="1"/>
  <c r="BC94" i="2"/>
  <c r="AY94" i="2"/>
  <c r="AS94" i="2"/>
  <c r="AR94" i="2"/>
  <c r="BE94" i="2" s="1"/>
  <c r="AQ94" i="2"/>
  <c r="AP94" i="2"/>
  <c r="AO94" i="2"/>
  <c r="AN94" i="2"/>
  <c r="AM94" i="2"/>
  <c r="AL94" i="2"/>
  <c r="AK94" i="2"/>
  <c r="AJ94" i="2"/>
  <c r="AI94" i="2"/>
  <c r="AH94" i="2"/>
  <c r="AG94" i="2"/>
  <c r="AF94" i="2"/>
  <c r="AF91" i="2" s="1"/>
  <c r="AE94" i="2"/>
  <c r="AD94" i="2"/>
  <c r="BB94" i="2" s="1"/>
  <c r="AC94" i="2"/>
  <c r="AB94" i="2"/>
  <c r="AA94" i="2"/>
  <c r="Z94" i="2"/>
  <c r="Y94" i="2"/>
  <c r="X94" i="2"/>
  <c r="W94" i="2"/>
  <c r="AZ94" i="2" s="1"/>
  <c r="V94" i="2"/>
  <c r="U94" i="2"/>
  <c r="T94" i="2"/>
  <c r="T91" i="2" s="1"/>
  <c r="S94" i="2"/>
  <c r="R94" i="2"/>
  <c r="Q94" i="2"/>
  <c r="P94" i="2"/>
  <c r="O94" i="2"/>
  <c r="N94" i="2"/>
  <c r="M94" i="2"/>
  <c r="L94" i="2"/>
  <c r="K94" i="2"/>
  <c r="J94" i="2"/>
  <c r="AW94" i="2" s="1"/>
  <c r="I94" i="2"/>
  <c r="H94" i="2"/>
  <c r="H91" i="2" s="1"/>
  <c r="G94" i="2"/>
  <c r="F94" i="2"/>
  <c r="AV94" i="2" s="1"/>
  <c r="E94" i="2"/>
  <c r="D94" i="2"/>
  <c r="C94" i="2"/>
  <c r="B94" i="2"/>
  <c r="AZ93" i="2"/>
  <c r="AM93" i="2"/>
  <c r="AM91" i="2" s="1"/>
  <c r="AL93" i="2"/>
  <c r="AK93" i="2"/>
  <c r="AJ93" i="2"/>
  <c r="AI93" i="2"/>
  <c r="AH93" i="2"/>
  <c r="BC93" i="2" s="1"/>
  <c r="AG93" i="2"/>
  <c r="AG91" i="2" s="1"/>
  <c r="AF93" i="2"/>
  <c r="AE93" i="2"/>
  <c r="AD93" i="2"/>
  <c r="BB93" i="2" s="1"/>
  <c r="AC93" i="2"/>
  <c r="AB93" i="2"/>
  <c r="AA93" i="2"/>
  <c r="BA93" i="2" s="1"/>
  <c r="Z93" i="2"/>
  <c r="Y93" i="2"/>
  <c r="X93" i="2"/>
  <c r="W93" i="2"/>
  <c r="V93" i="2"/>
  <c r="U93" i="2"/>
  <c r="U91" i="2" s="1"/>
  <c r="T93" i="2"/>
  <c r="S93" i="2"/>
  <c r="R93" i="2"/>
  <c r="AY93" i="2" s="1"/>
  <c r="Q93" i="2"/>
  <c r="P93" i="2"/>
  <c r="O93" i="2"/>
  <c r="AX93" i="2" s="1"/>
  <c r="N93" i="2"/>
  <c r="M93" i="2"/>
  <c r="L93" i="2"/>
  <c r="AW93" i="2" s="1"/>
  <c r="K93" i="2"/>
  <c r="J93" i="2"/>
  <c r="I93" i="2"/>
  <c r="I91" i="2" s="1"/>
  <c r="H93" i="2"/>
  <c r="G93" i="2"/>
  <c r="F93" i="2"/>
  <c r="AV93" i="2" s="1"/>
  <c r="E93" i="2"/>
  <c r="D93" i="2"/>
  <c r="C93" i="2"/>
  <c r="C91" i="2" s="1"/>
  <c r="B93" i="2"/>
  <c r="AU93" i="2" s="1"/>
  <c r="BA92" i="2"/>
  <c r="AV92" i="2"/>
  <c r="AN92" i="2"/>
  <c r="AM92" i="2"/>
  <c r="AL92" i="2"/>
  <c r="AK92" i="2"/>
  <c r="AJ92" i="2"/>
  <c r="AI92" i="2"/>
  <c r="AH92" i="2"/>
  <c r="AH91" i="2" s="1"/>
  <c r="AG92" i="2"/>
  <c r="AF92" i="2"/>
  <c r="AE92" i="2"/>
  <c r="AE91" i="2" s="1"/>
  <c r="BB91" i="2" s="1"/>
  <c r="AD92" i="2"/>
  <c r="BB92" i="2" s="1"/>
  <c r="AC92" i="2"/>
  <c r="AB92" i="2"/>
  <c r="AB91" i="2" s="1"/>
  <c r="AA92" i="2"/>
  <c r="Z92" i="2"/>
  <c r="Y92" i="2"/>
  <c r="X92" i="2"/>
  <c r="W92" i="2"/>
  <c r="V92" i="2"/>
  <c r="AZ92" i="2" s="1"/>
  <c r="U92" i="2"/>
  <c r="T92" i="2"/>
  <c r="S92" i="2"/>
  <c r="S91" i="2" s="1"/>
  <c r="R92" i="2"/>
  <c r="AY92" i="2" s="1"/>
  <c r="Q92" i="2"/>
  <c r="P92" i="2"/>
  <c r="P91" i="2" s="1"/>
  <c r="O92" i="2"/>
  <c r="N92" i="2"/>
  <c r="M92" i="2"/>
  <c r="L92" i="2"/>
  <c r="K92" i="2"/>
  <c r="J92" i="2"/>
  <c r="J91" i="2" s="1"/>
  <c r="AW91" i="2" s="1"/>
  <c r="I92" i="2"/>
  <c r="H92" i="2"/>
  <c r="G92" i="2"/>
  <c r="F92" i="2"/>
  <c r="E92" i="2"/>
  <c r="D92" i="2"/>
  <c r="C92" i="2"/>
  <c r="B92" i="2"/>
  <c r="AJ91" i="2"/>
  <c r="AI91" i="2"/>
  <c r="AD91" i="2"/>
  <c r="AC91" i="2"/>
  <c r="Y91" i="2"/>
  <c r="X91" i="2"/>
  <c r="W91" i="2"/>
  <c r="R91" i="2"/>
  <c r="Q91" i="2"/>
  <c r="M91" i="2"/>
  <c r="L91" i="2"/>
  <c r="K91" i="2"/>
  <c r="F91" i="2"/>
  <c r="E91" i="2"/>
  <c r="BC90" i="2"/>
  <c r="AX90" i="2"/>
  <c r="AL90" i="2"/>
  <c r="AK90" i="2"/>
  <c r="AJ90" i="2"/>
  <c r="AJ88" i="2" s="1"/>
  <c r="AI90" i="2"/>
  <c r="AH90" i="2"/>
  <c r="AG90" i="2"/>
  <c r="AF90" i="2"/>
  <c r="AE90" i="2"/>
  <c r="AD90" i="2"/>
  <c r="AC90" i="2"/>
  <c r="AB90" i="2"/>
  <c r="AA90" i="2"/>
  <c r="Y90" i="2"/>
  <c r="X90" i="2"/>
  <c r="X88" i="2" s="1"/>
  <c r="W90" i="2"/>
  <c r="V90" i="2"/>
  <c r="AZ90" i="2" s="1"/>
  <c r="U90" i="2"/>
  <c r="T90" i="2"/>
  <c r="S90" i="2"/>
  <c r="R90" i="2"/>
  <c r="Q90" i="2"/>
  <c r="P90" i="2"/>
  <c r="O90" i="2"/>
  <c r="N90" i="2"/>
  <c r="M90" i="2"/>
  <c r="L90" i="2"/>
  <c r="AW90" i="2" s="1"/>
  <c r="K90" i="2"/>
  <c r="J90" i="2"/>
  <c r="I90" i="2"/>
  <c r="H90" i="2"/>
  <c r="G90" i="2"/>
  <c r="F90" i="2"/>
  <c r="E90" i="2"/>
  <c r="D90" i="2"/>
  <c r="C90" i="2"/>
  <c r="B90" i="2"/>
  <c r="AU90" i="2" s="1"/>
  <c r="BD89" i="2"/>
  <c r="AX89" i="2"/>
  <c r="AP89" i="2"/>
  <c r="AO89" i="2"/>
  <c r="AN89" i="2"/>
  <c r="AM89" i="2"/>
  <c r="AL89" i="2"/>
  <c r="AK89" i="2"/>
  <c r="AK88" i="2" s="1"/>
  <c r="AJ89" i="2"/>
  <c r="AI89" i="2"/>
  <c r="AH89" i="2"/>
  <c r="BC89" i="2" s="1"/>
  <c r="AG89" i="2"/>
  <c r="AF89" i="2"/>
  <c r="AE89" i="2"/>
  <c r="AE88" i="2" s="1"/>
  <c r="AD89" i="2"/>
  <c r="AC89" i="2"/>
  <c r="AB89" i="2"/>
  <c r="AA89" i="2"/>
  <c r="Z89" i="2"/>
  <c r="BA89" i="2" s="1"/>
  <c r="Y89" i="2"/>
  <c r="Y88" i="2" s="1"/>
  <c r="X89" i="2"/>
  <c r="W89" i="2"/>
  <c r="V89" i="2"/>
  <c r="AZ89" i="2" s="1"/>
  <c r="U89" i="2"/>
  <c r="T89" i="2"/>
  <c r="S89" i="2"/>
  <c r="S88" i="2" s="1"/>
  <c r="R89" i="2"/>
  <c r="AY89" i="2" s="1"/>
  <c r="Q89" i="2"/>
  <c r="P89" i="2"/>
  <c r="O89" i="2"/>
  <c r="N89" i="2"/>
  <c r="M89" i="2"/>
  <c r="M88" i="2" s="1"/>
  <c r="L89" i="2"/>
  <c r="K89" i="2"/>
  <c r="J89" i="2"/>
  <c r="AW89" i="2" s="1"/>
  <c r="I89" i="2"/>
  <c r="H89" i="2"/>
  <c r="G89" i="2"/>
  <c r="G88" i="2" s="1"/>
  <c r="F89" i="2"/>
  <c r="AV89" i="2" s="1"/>
  <c r="E89" i="2"/>
  <c r="D89" i="2"/>
  <c r="C89" i="2"/>
  <c r="B89" i="2"/>
  <c r="AU89" i="2" s="1"/>
  <c r="AL88" i="2"/>
  <c r="AI88" i="2"/>
  <c r="AH88" i="2"/>
  <c r="BC88" i="2" s="1"/>
  <c r="AG88" i="2"/>
  <c r="AF88" i="2"/>
  <c r="AC88" i="2"/>
  <c r="AB88" i="2"/>
  <c r="AA88" i="2"/>
  <c r="W88" i="2"/>
  <c r="V88" i="2"/>
  <c r="U88" i="2"/>
  <c r="T88" i="2"/>
  <c r="Q88" i="2"/>
  <c r="P88" i="2"/>
  <c r="O88" i="2"/>
  <c r="N88" i="2"/>
  <c r="AX88" i="2" s="1"/>
  <c r="K88" i="2"/>
  <c r="J88" i="2"/>
  <c r="I88" i="2"/>
  <c r="H88" i="2"/>
  <c r="E88" i="2"/>
  <c r="D88" i="2"/>
  <c r="C88" i="2"/>
  <c r="B88" i="2"/>
  <c r="AU88" i="2" s="1"/>
  <c r="AZ87" i="2"/>
  <c r="AL87" i="2"/>
  <c r="AK87" i="2"/>
  <c r="AJ87" i="2"/>
  <c r="AH87" i="2"/>
  <c r="AG87" i="2"/>
  <c r="AG85" i="2" s="1"/>
  <c r="AG77" i="5" s="1"/>
  <c r="AF87" i="2"/>
  <c r="AE87" i="2"/>
  <c r="AD87" i="2"/>
  <c r="BB87" i="2" s="1"/>
  <c r="AC87" i="2"/>
  <c r="AB87" i="2"/>
  <c r="AA87" i="2"/>
  <c r="AA85" i="2" s="1"/>
  <c r="AA77" i="5" s="1"/>
  <c r="Z87" i="2"/>
  <c r="BA87" i="2" s="1"/>
  <c r="Y87" i="2"/>
  <c r="X87" i="2"/>
  <c r="W87" i="2"/>
  <c r="V87" i="2"/>
  <c r="U87" i="2"/>
  <c r="U85" i="2" s="1"/>
  <c r="U77" i="5" s="1"/>
  <c r="T87" i="2"/>
  <c r="E87" i="2"/>
  <c r="D87" i="2"/>
  <c r="C87" i="2"/>
  <c r="C85" i="2" s="1"/>
  <c r="C77" i="5" s="1"/>
  <c r="B87" i="2"/>
  <c r="AU87" i="2" s="1"/>
  <c r="AU86" i="2"/>
  <c r="AL86" i="2"/>
  <c r="AK86" i="2"/>
  <c r="AJ86" i="2"/>
  <c r="AI86" i="2"/>
  <c r="AH86" i="2"/>
  <c r="AG86" i="2"/>
  <c r="AF86" i="2"/>
  <c r="AE86" i="2"/>
  <c r="BB86" i="2" s="1"/>
  <c r="AD86" i="2"/>
  <c r="AC86" i="2"/>
  <c r="AB86" i="2"/>
  <c r="AB85" i="2" s="1"/>
  <c r="AB77" i="5" s="1"/>
  <c r="AA86" i="2"/>
  <c r="Z86" i="2"/>
  <c r="Y86" i="2"/>
  <c r="X86" i="2"/>
  <c r="W86" i="2"/>
  <c r="V86" i="2"/>
  <c r="U86" i="2"/>
  <c r="T86" i="2"/>
  <c r="S86" i="2"/>
  <c r="R86" i="2"/>
  <c r="AY86" i="2" s="1"/>
  <c r="Q86" i="2"/>
  <c r="P86" i="2"/>
  <c r="O86" i="2"/>
  <c r="N86" i="2"/>
  <c r="AX86" i="2" s="1"/>
  <c r="M86" i="2"/>
  <c r="L86" i="2"/>
  <c r="K86" i="2"/>
  <c r="J86" i="2"/>
  <c r="I86" i="2"/>
  <c r="H86" i="2"/>
  <c r="G86" i="2"/>
  <c r="F86" i="2"/>
  <c r="AV86" i="2" s="1"/>
  <c r="E86" i="2"/>
  <c r="D86" i="2"/>
  <c r="D85" i="2" s="1"/>
  <c r="D77" i="5" s="1"/>
  <c r="C86" i="2"/>
  <c r="B86" i="2"/>
  <c r="BB85" i="2"/>
  <c r="AL85" i="2"/>
  <c r="AL77" i="5" s="1"/>
  <c r="AK85" i="2"/>
  <c r="AK77" i="5" s="1"/>
  <c r="AJ85" i="2"/>
  <c r="AJ77" i="5" s="1"/>
  <c r="AF85" i="2"/>
  <c r="AF77" i="5" s="1"/>
  <c r="AE85" i="2"/>
  <c r="AE77" i="5" s="1"/>
  <c r="AD85" i="2"/>
  <c r="AD77" i="5" s="1"/>
  <c r="AC85" i="2"/>
  <c r="AC77" i="5" s="1"/>
  <c r="Z85" i="2"/>
  <c r="Z77" i="5" s="1"/>
  <c r="Y85" i="2"/>
  <c r="Y77" i="5" s="1"/>
  <c r="X85" i="2"/>
  <c r="X77" i="5" s="1"/>
  <c r="W85" i="2"/>
  <c r="W77" i="5" s="1"/>
  <c r="T85" i="2"/>
  <c r="T77" i="5" s="1"/>
  <c r="E85" i="2"/>
  <c r="E77" i="5" s="1"/>
  <c r="B85" i="2"/>
  <c r="B77" i="5" s="1"/>
  <c r="AK84" i="2"/>
  <c r="AJ84" i="2"/>
  <c r="AI84" i="2"/>
  <c r="AH84" i="2"/>
  <c r="AG84" i="2"/>
  <c r="AF84" i="2"/>
  <c r="AE84" i="2"/>
  <c r="AD84" i="2"/>
  <c r="BB84" i="2" s="1"/>
  <c r="AC84" i="2"/>
  <c r="AB84" i="2"/>
  <c r="AA84" i="2"/>
  <c r="AA82" i="2" s="1"/>
  <c r="Z84" i="2"/>
  <c r="BA84" i="2" s="1"/>
  <c r="Y84" i="2"/>
  <c r="X84" i="2"/>
  <c r="W84" i="2"/>
  <c r="V84" i="2"/>
  <c r="U84" i="2"/>
  <c r="T84" i="2"/>
  <c r="S84" i="2"/>
  <c r="R84" i="2"/>
  <c r="R82" i="2" s="1"/>
  <c r="Q84" i="2"/>
  <c r="P84" i="2"/>
  <c r="O84" i="2"/>
  <c r="AX84" i="2" s="1"/>
  <c r="N84" i="2"/>
  <c r="M84" i="2"/>
  <c r="L84" i="2"/>
  <c r="L82" i="2" s="1"/>
  <c r="K84" i="2"/>
  <c r="J84" i="2"/>
  <c r="I84" i="2"/>
  <c r="H84" i="2"/>
  <c r="G84" i="2"/>
  <c r="F84" i="2"/>
  <c r="AV84" i="2" s="1"/>
  <c r="E84" i="2"/>
  <c r="D84" i="2"/>
  <c r="C84" i="2"/>
  <c r="C82" i="2" s="1"/>
  <c r="B84" i="2"/>
  <c r="AU84" i="2" s="1"/>
  <c r="AX83" i="2"/>
  <c r="AU83" i="2"/>
  <c r="AK83" i="2"/>
  <c r="AK82" i="2" s="1"/>
  <c r="AJ83" i="2"/>
  <c r="AI83" i="2"/>
  <c r="AH83" i="2"/>
  <c r="BC83" i="2" s="1"/>
  <c r="AG83" i="2"/>
  <c r="AF83" i="2"/>
  <c r="AE83" i="2"/>
  <c r="AE82" i="2" s="1"/>
  <c r="AD83" i="2"/>
  <c r="AC83" i="2"/>
  <c r="AB83" i="2"/>
  <c r="AB82" i="2" s="1"/>
  <c r="AA83" i="2"/>
  <c r="Z83" i="2"/>
  <c r="BA83" i="2" s="1"/>
  <c r="Y83" i="2"/>
  <c r="Y82" i="2" s="1"/>
  <c r="X83" i="2"/>
  <c r="W83" i="2"/>
  <c r="V83" i="2"/>
  <c r="AZ83" i="2" s="1"/>
  <c r="U83" i="2"/>
  <c r="T83" i="2"/>
  <c r="S83" i="2"/>
  <c r="R83" i="2"/>
  <c r="Q83" i="2"/>
  <c r="P83" i="2"/>
  <c r="P82" i="2" s="1"/>
  <c r="O83" i="2"/>
  <c r="N83" i="2"/>
  <c r="M83" i="2"/>
  <c r="M82" i="2" s="1"/>
  <c r="L83" i="2"/>
  <c r="K83" i="2"/>
  <c r="J83" i="2"/>
  <c r="J82" i="2" s="1"/>
  <c r="AW82" i="2" s="1"/>
  <c r="I83" i="2"/>
  <c r="H83" i="2"/>
  <c r="G83" i="2"/>
  <c r="G82" i="2" s="1"/>
  <c r="F83" i="2"/>
  <c r="E83" i="2"/>
  <c r="D83" i="2"/>
  <c r="D82" i="2" s="1"/>
  <c r="C83" i="2"/>
  <c r="B83" i="2"/>
  <c r="AI82" i="2"/>
  <c r="AG82" i="2"/>
  <c r="AF82" i="2"/>
  <c r="AC82" i="2"/>
  <c r="Z82" i="2"/>
  <c r="BA82" i="2" s="1"/>
  <c r="W82" i="2"/>
  <c r="U82" i="2"/>
  <c r="T82" i="2"/>
  <c r="Q82" i="2"/>
  <c r="N82" i="2"/>
  <c r="K82" i="2"/>
  <c r="I82" i="2"/>
  <c r="H82" i="2"/>
  <c r="E82" i="2"/>
  <c r="B82" i="2"/>
  <c r="BE81" i="2"/>
  <c r="BE106" i="2" s="1"/>
  <c r="BD81" i="2"/>
  <c r="BD106" i="2" s="1"/>
  <c r="BC81" i="2"/>
  <c r="BC106" i="2" s="1"/>
  <c r="BB81" i="2"/>
  <c r="BB106" i="2" s="1"/>
  <c r="BA81" i="2"/>
  <c r="BA106" i="2" s="1"/>
  <c r="AZ81" i="2"/>
  <c r="AZ106" i="2" s="1"/>
  <c r="AY81" i="2"/>
  <c r="AY106" i="2" s="1"/>
  <c r="AX81" i="2"/>
  <c r="AX106" i="2" s="1"/>
  <c r="AW81" i="2"/>
  <c r="AW106" i="2" s="1"/>
  <c r="AV81" i="2"/>
  <c r="AV106" i="2" s="1"/>
  <c r="AU81" i="2"/>
  <c r="AU106" i="2" s="1"/>
  <c r="AD80" i="2"/>
  <c r="Z80" i="2"/>
  <c r="V80" i="2"/>
  <c r="R80" i="2"/>
  <c r="N80" i="2"/>
  <c r="J80" i="2"/>
  <c r="F80" i="2"/>
  <c r="B80" i="2"/>
  <c r="AS73" i="2"/>
  <c r="AR73" i="2"/>
  <c r="AQ73" i="2"/>
  <c r="AP73" i="2"/>
  <c r="AS69" i="2"/>
  <c r="AR69" i="2"/>
  <c r="AS68" i="2"/>
  <c r="AR68" i="2"/>
  <c r="AQ68" i="2"/>
  <c r="AP68" i="2"/>
  <c r="AO68" i="2"/>
  <c r="AN68" i="2"/>
  <c r="AM68" i="2"/>
  <c r="AL68" i="2"/>
  <c r="AK68" i="2"/>
  <c r="AJ68" i="2"/>
  <c r="AI68" i="2"/>
  <c r="AH68" i="2"/>
  <c r="AG68" i="2"/>
  <c r="AF68" i="2"/>
  <c r="AE68" i="2"/>
  <c r="AD68" i="2"/>
  <c r="AC68" i="2"/>
  <c r="AB68" i="2"/>
  <c r="AA68" i="2"/>
  <c r="Z68" i="2"/>
  <c r="Y68" i="2"/>
  <c r="X68" i="2"/>
  <c r="W68" i="2"/>
  <c r="V68" i="2"/>
  <c r="U68" i="2"/>
  <c r="T68" i="2"/>
  <c r="S68" i="2"/>
  <c r="R68" i="2"/>
  <c r="Q68" i="2"/>
  <c r="P68" i="2"/>
  <c r="O68" i="2"/>
  <c r="N68" i="2"/>
  <c r="M68" i="2"/>
  <c r="L68" i="2"/>
  <c r="K68" i="2"/>
  <c r="J68" i="2"/>
  <c r="I68" i="2"/>
  <c r="H68" i="2"/>
  <c r="G68" i="2"/>
  <c r="F68" i="2"/>
  <c r="E68" i="2"/>
  <c r="D68" i="2"/>
  <c r="C68" i="2"/>
  <c r="B68" i="2"/>
  <c r="AA60" i="2"/>
  <c r="BE56" i="2"/>
  <c r="BE68" i="2" s="1"/>
  <c r="BD56" i="2"/>
  <c r="BD68" i="2" s="1"/>
  <c r="BC56" i="2"/>
  <c r="BC68" i="2" s="1"/>
  <c r="BB56" i="2"/>
  <c r="BB68" i="2" s="1"/>
  <c r="BA56" i="2"/>
  <c r="BA68" i="2" s="1"/>
  <c r="AZ56" i="2"/>
  <c r="AZ68" i="2" s="1"/>
  <c r="AY56" i="2"/>
  <c r="AY68" i="2" s="1"/>
  <c r="AX56" i="2"/>
  <c r="AX68" i="2" s="1"/>
  <c r="AW56" i="2"/>
  <c r="AW68" i="2" s="1"/>
  <c r="AV56" i="2"/>
  <c r="AV68" i="2" s="1"/>
  <c r="AU56" i="2"/>
  <c r="AU68" i="2" s="1"/>
  <c r="AS56" i="2"/>
  <c r="AR56" i="2"/>
  <c r="AQ56" i="2"/>
  <c r="AP56" i="2"/>
  <c r="AO56" i="2"/>
  <c r="AN56" i="2"/>
  <c r="AM56" i="2"/>
  <c r="AL56" i="2"/>
  <c r="AK56" i="2"/>
  <c r="AJ56" i="2"/>
  <c r="AI56" i="2"/>
  <c r="AH56" i="2"/>
  <c r="AG56" i="2"/>
  <c r="AF56" i="2"/>
  <c r="AE56" i="2"/>
  <c r="AD56" i="2"/>
  <c r="AC56" i="2"/>
  <c r="AB56" i="2"/>
  <c r="AA56" i="2"/>
  <c r="Z56" i="2"/>
  <c r="Y56" i="2"/>
  <c r="X56" i="2"/>
  <c r="W56" i="2"/>
  <c r="V56" i="2"/>
  <c r="U56" i="2"/>
  <c r="T56" i="2"/>
  <c r="S56" i="2"/>
  <c r="R56" i="2"/>
  <c r="Q56" i="2"/>
  <c r="P56" i="2"/>
  <c r="O56" i="2"/>
  <c r="N56" i="2"/>
  <c r="M56" i="2"/>
  <c r="L56" i="2"/>
  <c r="K56" i="2"/>
  <c r="J56" i="2"/>
  <c r="I56" i="2"/>
  <c r="H56" i="2"/>
  <c r="G56" i="2"/>
  <c r="F56" i="2"/>
  <c r="E56" i="2"/>
  <c r="D56" i="2"/>
  <c r="C56" i="2"/>
  <c r="B56" i="2"/>
  <c r="AD55" i="2"/>
  <c r="Z55" i="2"/>
  <c r="V55" i="2"/>
  <c r="R55" i="2"/>
  <c r="N55" i="2"/>
  <c r="J55" i="2"/>
  <c r="F55" i="2"/>
  <c r="B55" i="2"/>
  <c r="BC53" i="2"/>
  <c r="AZ53" i="2"/>
  <c r="AZ103" i="2" s="1"/>
  <c r="AY53" i="2"/>
  <c r="AY103" i="2" s="1"/>
  <c r="AX53" i="2"/>
  <c r="AX103" i="2" s="1"/>
  <c r="AW53" i="2"/>
  <c r="AW103" i="2" s="1"/>
  <c r="AV53" i="2"/>
  <c r="AV103" i="2" s="1"/>
  <c r="AU53" i="2"/>
  <c r="AK53" i="2"/>
  <c r="AK103" i="2" s="1"/>
  <c r="AJ53" i="2"/>
  <c r="AH53" i="2"/>
  <c r="AG53" i="2"/>
  <c r="AF53" i="2"/>
  <c r="AE53" i="2"/>
  <c r="AE103" i="2" s="1"/>
  <c r="AD53" i="2"/>
  <c r="AC53" i="2"/>
  <c r="AB53" i="2"/>
  <c r="AA53" i="2"/>
  <c r="Z53" i="2"/>
  <c r="Z103" i="2" s="1"/>
  <c r="Y53" i="2"/>
  <c r="Y103" i="2" s="1"/>
  <c r="X53" i="2"/>
  <c r="X103" i="2" s="1"/>
  <c r="W53" i="2"/>
  <c r="W103" i="2" s="1"/>
  <c r="V53" i="2"/>
  <c r="V103" i="2" s="1"/>
  <c r="U53" i="2"/>
  <c r="T53" i="2"/>
  <c r="S53" i="2"/>
  <c r="S103" i="2" s="1"/>
  <c r="R53" i="2"/>
  <c r="R103" i="2" s="1"/>
  <c r="Q53" i="2"/>
  <c r="Q103" i="2" s="1"/>
  <c r="P53" i="2"/>
  <c r="O53" i="2"/>
  <c r="N53" i="2"/>
  <c r="N103" i="2" s="1"/>
  <c r="M53" i="2"/>
  <c r="M103" i="2" s="1"/>
  <c r="L53" i="2"/>
  <c r="L103" i="2" s="1"/>
  <c r="K53" i="2"/>
  <c r="K103" i="2" s="1"/>
  <c r="J53" i="2"/>
  <c r="J103" i="2" s="1"/>
  <c r="I53" i="2"/>
  <c r="H53" i="2"/>
  <c r="G53" i="2"/>
  <c r="G103" i="2" s="1"/>
  <c r="F53" i="2"/>
  <c r="F103" i="2" s="1"/>
  <c r="E53" i="2"/>
  <c r="E103" i="2" s="1"/>
  <c r="D53" i="2"/>
  <c r="D103" i="2" s="1"/>
  <c r="C53" i="2"/>
  <c r="C103" i="2" s="1"/>
  <c r="AZ52" i="2"/>
  <c r="AZ102" i="2" s="1"/>
  <c r="AY52" i="2"/>
  <c r="AY102" i="2" s="1"/>
  <c r="AX52" i="2"/>
  <c r="AX102" i="2" s="1"/>
  <c r="AW52" i="2"/>
  <c r="AW102" i="2" s="1"/>
  <c r="AV52" i="2"/>
  <c r="AV102" i="2" s="1"/>
  <c r="AK52" i="2"/>
  <c r="AK102" i="2" s="1"/>
  <c r="AJ52" i="2"/>
  <c r="AJ102" i="2" s="1"/>
  <c r="AH52" i="2"/>
  <c r="AH102" i="2" s="1"/>
  <c r="AG52" i="2"/>
  <c r="AF52" i="2"/>
  <c r="AF102" i="2" s="1"/>
  <c r="AE52" i="2"/>
  <c r="AE102" i="2" s="1"/>
  <c r="AD52" i="2"/>
  <c r="AD102" i="2" s="1"/>
  <c r="AC52" i="2"/>
  <c r="AC102" i="2" s="1"/>
  <c r="AB52" i="2"/>
  <c r="AB102" i="2" s="1"/>
  <c r="AA52" i="2"/>
  <c r="AA102" i="2" s="1"/>
  <c r="Z52" i="2"/>
  <c r="Z102" i="2" s="1"/>
  <c r="Y52" i="2"/>
  <c r="Y102" i="2" s="1"/>
  <c r="X52" i="2"/>
  <c r="X102" i="2" s="1"/>
  <c r="W52" i="2"/>
  <c r="W102" i="2" s="1"/>
  <c r="V52" i="2"/>
  <c r="V102" i="2" s="1"/>
  <c r="U52" i="2"/>
  <c r="U102" i="2" s="1"/>
  <c r="T52" i="2"/>
  <c r="T102" i="2" s="1"/>
  <c r="S52" i="2"/>
  <c r="S102" i="2" s="1"/>
  <c r="R52" i="2"/>
  <c r="R102" i="2" s="1"/>
  <c r="Q52" i="2"/>
  <c r="Q102" i="2" s="1"/>
  <c r="P52" i="2"/>
  <c r="P102" i="2" s="1"/>
  <c r="O52" i="2"/>
  <c r="O102" i="2" s="1"/>
  <c r="N52" i="2"/>
  <c r="N102" i="2" s="1"/>
  <c r="M52" i="2"/>
  <c r="M102" i="2" s="1"/>
  <c r="L52" i="2"/>
  <c r="L102" i="2" s="1"/>
  <c r="K52" i="2"/>
  <c r="K102" i="2" s="1"/>
  <c r="J52" i="2"/>
  <c r="J102" i="2" s="1"/>
  <c r="I52" i="2"/>
  <c r="I102" i="2" s="1"/>
  <c r="H52" i="2"/>
  <c r="H102" i="2" s="1"/>
  <c r="G52" i="2"/>
  <c r="G102" i="2" s="1"/>
  <c r="F52" i="2"/>
  <c r="F102" i="2" s="1"/>
  <c r="E52" i="2"/>
  <c r="E102" i="2" s="1"/>
  <c r="D52" i="2"/>
  <c r="D102" i="2" s="1"/>
  <c r="C52" i="2"/>
  <c r="C102" i="2" s="1"/>
  <c r="BE50" i="2"/>
  <c r="BD50" i="2"/>
  <c r="BC50" i="2"/>
  <c r="BB50" i="2"/>
  <c r="BA50" i="2"/>
  <c r="AZ50" i="2"/>
  <c r="AY50" i="2"/>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BE47" i="2"/>
  <c r="BD47" i="2"/>
  <c r="BC47" i="2"/>
  <c r="BB47" i="2"/>
  <c r="BA47" i="2"/>
  <c r="AZ47" i="2"/>
  <c r="AY47" i="2"/>
  <c r="AX47" i="2"/>
  <c r="AW47" i="2"/>
  <c r="AV47" i="2"/>
  <c r="AU47" i="2"/>
  <c r="AS47" i="2"/>
  <c r="AR47" i="2"/>
  <c r="AQ47" i="2"/>
  <c r="AP47" i="2"/>
  <c r="AO47" i="2"/>
  <c r="AN47" i="2"/>
  <c r="AM47" i="2"/>
  <c r="AL47" i="2"/>
  <c r="AK47" i="2"/>
  <c r="AJ47" i="2"/>
  <c r="AI47"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D47" i="2"/>
  <c r="C47" i="2"/>
  <c r="B47" i="2"/>
  <c r="BF43" i="2"/>
  <c r="BE43" i="2"/>
  <c r="BD43" i="2"/>
  <c r="BC43" i="2"/>
  <c r="BB43" i="2"/>
  <c r="BA43" i="2"/>
  <c r="AZ43" i="2"/>
  <c r="AY43" i="2"/>
  <c r="AS43" i="2"/>
  <c r="AR43" i="2"/>
  <c r="AQ43" i="2"/>
  <c r="AP43" i="2"/>
  <c r="AO43" i="2"/>
  <c r="AN43" i="2"/>
  <c r="AM43" i="2"/>
  <c r="AL43" i="2"/>
  <c r="AK43" i="2"/>
  <c r="AJ43" i="2"/>
  <c r="AI43" i="2"/>
  <c r="AH43" i="2"/>
  <c r="AG43" i="2"/>
  <c r="AF43" i="2"/>
  <c r="AE43" i="2"/>
  <c r="AD43" i="2"/>
  <c r="AC43" i="2"/>
  <c r="AB43" i="2"/>
  <c r="AA43" i="2"/>
  <c r="Z43" i="2"/>
  <c r="Y43" i="2"/>
  <c r="X43" i="2"/>
  <c r="W43" i="2"/>
  <c r="V43" i="2"/>
  <c r="U43" i="2"/>
  <c r="T43" i="2"/>
  <c r="S43" i="2"/>
  <c r="R43" i="2"/>
  <c r="Q43" i="2"/>
  <c r="P43" i="2"/>
  <c r="O43" i="2"/>
  <c r="N43" i="2"/>
  <c r="BE40" i="2"/>
  <c r="BD40" i="2"/>
  <c r="BC40" i="2"/>
  <c r="BB40" i="2"/>
  <c r="BA40" i="2"/>
  <c r="AZ40" i="2"/>
  <c r="AY40" i="2"/>
  <c r="AX40" i="2"/>
  <c r="AW40" i="2"/>
  <c r="AV40" i="2"/>
  <c r="AU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D40" i="2"/>
  <c r="C40" i="2"/>
  <c r="B40" i="2"/>
  <c r="AL37" i="2"/>
  <c r="AL128" i="2" s="1"/>
  <c r="AK37" i="2"/>
  <c r="AJ37" i="2"/>
  <c r="AI37" i="2"/>
  <c r="AH37" i="2"/>
  <c r="BC37" i="2" s="1"/>
  <c r="AG37" i="2"/>
  <c r="AF37" i="2"/>
  <c r="AE37" i="2"/>
  <c r="AD37" i="2"/>
  <c r="BB37" i="2" s="1"/>
  <c r="AC37" i="2"/>
  <c r="AB37" i="2"/>
  <c r="AA37" i="2"/>
  <c r="Z37" i="2"/>
  <c r="BA37" i="2" s="1"/>
  <c r="Y37" i="2"/>
  <c r="X37" i="2"/>
  <c r="W37" i="2"/>
  <c r="V37" i="2"/>
  <c r="U37" i="2"/>
  <c r="T37" i="2"/>
  <c r="S37" i="2"/>
  <c r="R37" i="2"/>
  <c r="Q37" i="2"/>
  <c r="P37" i="2"/>
  <c r="O37" i="2"/>
  <c r="N37" i="2"/>
  <c r="AX37" i="2" s="1"/>
  <c r="M37" i="2"/>
  <c r="L37" i="2"/>
  <c r="K37" i="2"/>
  <c r="J37" i="2"/>
  <c r="I37" i="2"/>
  <c r="H37" i="2"/>
  <c r="G37" i="2"/>
  <c r="F37" i="2"/>
  <c r="E37" i="2"/>
  <c r="D37" i="2"/>
  <c r="C37" i="2"/>
  <c r="B37" i="2"/>
  <c r="AU37" i="2" s="1"/>
  <c r="AU35" i="2"/>
  <c r="AK35" i="2"/>
  <c r="AL35" i="2" s="1"/>
  <c r="AJ35" i="2"/>
  <c r="AI35" i="2"/>
  <c r="AH35" i="2"/>
  <c r="BC35" i="2" s="1"/>
  <c r="AG35" i="2"/>
  <c r="AF35" i="2"/>
  <c r="AE35" i="2"/>
  <c r="AD35" i="2"/>
  <c r="BB35" i="2" s="1"/>
  <c r="AC35" i="2"/>
  <c r="AB35" i="2"/>
  <c r="BA35" i="2" s="1"/>
  <c r="AA35" i="2"/>
  <c r="Z35" i="2"/>
  <c r="Y35" i="2"/>
  <c r="X35" i="2"/>
  <c r="W35" i="2"/>
  <c r="V35" i="2"/>
  <c r="AZ35" i="2" s="1"/>
  <c r="U35" i="2"/>
  <c r="T35" i="2"/>
  <c r="S35" i="2"/>
  <c r="R35" i="2"/>
  <c r="AY35" i="2" s="1"/>
  <c r="Q35" i="2"/>
  <c r="P35" i="2"/>
  <c r="O35" i="2"/>
  <c r="N35" i="2"/>
  <c r="AX35" i="2" s="1"/>
  <c r="M35" i="2"/>
  <c r="L35" i="2"/>
  <c r="K35" i="2"/>
  <c r="J35" i="2"/>
  <c r="AW35" i="2" s="1"/>
  <c r="I35" i="2"/>
  <c r="H35" i="2"/>
  <c r="G35" i="2"/>
  <c r="F35" i="2"/>
  <c r="AV35" i="2" s="1"/>
  <c r="E35" i="2"/>
  <c r="D35" i="2"/>
  <c r="C35" i="2"/>
  <c r="B35" i="2"/>
  <c r="BB34" i="2"/>
  <c r="AK34" i="2"/>
  <c r="AJ34" i="2"/>
  <c r="AI34" i="2"/>
  <c r="AH34" i="2"/>
  <c r="AG34" i="2"/>
  <c r="AF34" i="2"/>
  <c r="AE34" i="2"/>
  <c r="AD34" i="2"/>
  <c r="AC34" i="2"/>
  <c r="AB34" i="2"/>
  <c r="AA34" i="2"/>
  <c r="Z34" i="2"/>
  <c r="BA34" i="2" s="1"/>
  <c r="Y34" i="2"/>
  <c r="X34" i="2"/>
  <c r="W34" i="2"/>
  <c r="V34" i="2"/>
  <c r="U34" i="2"/>
  <c r="T34" i="2"/>
  <c r="S34" i="2"/>
  <c r="R34" i="2"/>
  <c r="AY34" i="2" s="1"/>
  <c r="Q34" i="2"/>
  <c r="P34" i="2"/>
  <c r="O34" i="2"/>
  <c r="N34" i="2"/>
  <c r="M34" i="2"/>
  <c r="L34" i="2"/>
  <c r="K34" i="2"/>
  <c r="J34" i="2"/>
  <c r="I34" i="2"/>
  <c r="H34" i="2"/>
  <c r="G34" i="2"/>
  <c r="F34" i="2"/>
  <c r="E34" i="2"/>
  <c r="D34" i="2"/>
  <c r="C34" i="2"/>
  <c r="B34" i="2"/>
  <c r="AL33" i="2"/>
  <c r="AL123" i="2" s="1"/>
  <c r="AK33" i="2"/>
  <c r="AJ33" i="2"/>
  <c r="AI33" i="2"/>
  <c r="AH33" i="2"/>
  <c r="BC33" i="2" s="1"/>
  <c r="AG33" i="2"/>
  <c r="AF33" i="2"/>
  <c r="AE33" i="2"/>
  <c r="AD33" i="2"/>
  <c r="BB33" i="2" s="1"/>
  <c r="AC33" i="2"/>
  <c r="AB33" i="2"/>
  <c r="AA33" i="2"/>
  <c r="Z33" i="2"/>
  <c r="BA33" i="2" s="1"/>
  <c r="Y33" i="2"/>
  <c r="X33" i="2"/>
  <c r="W33" i="2"/>
  <c r="V33" i="2"/>
  <c r="AZ33" i="2" s="1"/>
  <c r="U33" i="2"/>
  <c r="T33" i="2"/>
  <c r="AY33" i="2" s="1"/>
  <c r="S33" i="2"/>
  <c r="R33" i="2"/>
  <c r="Q33" i="2"/>
  <c r="P33" i="2"/>
  <c r="O33" i="2"/>
  <c r="N33" i="2"/>
  <c r="AX33" i="2" s="1"/>
  <c r="M33" i="2"/>
  <c r="L33" i="2"/>
  <c r="K33" i="2"/>
  <c r="J33" i="2"/>
  <c r="AW33" i="2" s="1"/>
  <c r="I33" i="2"/>
  <c r="H33" i="2"/>
  <c r="G33" i="2"/>
  <c r="F33" i="2"/>
  <c r="AV33" i="2" s="1"/>
  <c r="E33" i="2"/>
  <c r="D33" i="2"/>
  <c r="C33" i="2"/>
  <c r="B33" i="2"/>
  <c r="AU33" i="2" s="1"/>
  <c r="BE29" i="2"/>
  <c r="BD29" i="2"/>
  <c r="BC29" i="2"/>
  <c r="BB29" i="2"/>
  <c r="BA29" i="2"/>
  <c r="AZ29" i="2"/>
  <c r="AY29" i="2"/>
  <c r="AS29" i="2"/>
  <c r="AR29" i="2"/>
  <c r="AQ29" i="2"/>
  <c r="AP29" i="2"/>
  <c r="AO29" i="2"/>
  <c r="AN29" i="2"/>
  <c r="AM29" i="2"/>
  <c r="AL29" i="2"/>
  <c r="AK29" i="2"/>
  <c r="AJ29" i="2"/>
  <c r="AI29" i="2"/>
  <c r="AH29" i="2"/>
  <c r="AG29" i="2"/>
  <c r="AF29" i="2"/>
  <c r="AE29" i="2"/>
  <c r="AD29" i="2"/>
  <c r="AC29" i="2"/>
  <c r="AB29" i="2"/>
  <c r="AA29" i="2"/>
  <c r="Z29" i="2"/>
  <c r="Y29" i="2"/>
  <c r="X29" i="2"/>
  <c r="W29" i="2"/>
  <c r="V29" i="2"/>
  <c r="U29" i="2"/>
  <c r="T29" i="2"/>
  <c r="S29" i="2"/>
  <c r="R29" i="2"/>
  <c r="Q29" i="2"/>
  <c r="P29" i="2"/>
  <c r="O29" i="2"/>
  <c r="N29" i="2"/>
  <c r="BE26" i="2"/>
  <c r="BD26" i="2"/>
  <c r="BC26" i="2"/>
  <c r="BB26" i="2"/>
  <c r="BA26" i="2"/>
  <c r="AZ26" i="2"/>
  <c r="AY26" i="2"/>
  <c r="AX26" i="2"/>
  <c r="AW26" i="2"/>
  <c r="AV26" i="2"/>
  <c r="AU26" i="2"/>
  <c r="AS26" i="2"/>
  <c r="AR26" i="2"/>
  <c r="AQ26" i="2"/>
  <c r="AQ76" i="2" s="1"/>
  <c r="AP26" i="2"/>
  <c r="AO26" i="2"/>
  <c r="AN26" i="2"/>
  <c r="AM26" i="2"/>
  <c r="AL26" i="2"/>
  <c r="AK26" i="2"/>
  <c r="AJ26" i="2"/>
  <c r="AI26" i="2"/>
  <c r="AH26" i="2"/>
  <c r="AG26" i="2"/>
  <c r="AF26" i="2"/>
  <c r="AE26" i="2"/>
  <c r="AE76" i="2" s="1"/>
  <c r="AD26" i="2"/>
  <c r="AC26" i="2"/>
  <c r="AB26" i="2"/>
  <c r="AA26" i="2"/>
  <c r="Z26" i="2"/>
  <c r="Y26" i="2"/>
  <c r="X26" i="2"/>
  <c r="W26" i="2"/>
  <c r="V26" i="2"/>
  <c r="U26" i="2"/>
  <c r="T26" i="2"/>
  <c r="S26" i="2"/>
  <c r="S76" i="2" s="1"/>
  <c r="R26" i="2"/>
  <c r="Q26" i="2"/>
  <c r="P26" i="2"/>
  <c r="O26" i="2"/>
  <c r="N26" i="2"/>
  <c r="M26" i="2"/>
  <c r="L26" i="2"/>
  <c r="K26" i="2"/>
  <c r="J26" i="2"/>
  <c r="I26" i="2"/>
  <c r="H26" i="2"/>
  <c r="G26" i="2"/>
  <c r="F26" i="2"/>
  <c r="E26" i="2"/>
  <c r="D26" i="2"/>
  <c r="C26" i="2"/>
  <c r="B26" i="2"/>
  <c r="AG24" i="2"/>
  <c r="AA24" i="2"/>
  <c r="U24" i="2"/>
  <c r="C24" i="2"/>
  <c r="AK23" i="2"/>
  <c r="AJ23" i="2"/>
  <c r="AI23" i="2"/>
  <c r="AH23" i="2"/>
  <c r="BC23" i="2" s="1"/>
  <c r="AG23" i="2"/>
  <c r="AF23" i="2"/>
  <c r="AE23" i="2"/>
  <c r="AD23" i="2"/>
  <c r="BB23" i="2" s="1"/>
  <c r="AC23" i="2"/>
  <c r="AB23" i="2"/>
  <c r="BA23" i="2" s="1"/>
  <c r="AA23" i="2"/>
  <c r="Z23" i="2"/>
  <c r="Y23" i="2"/>
  <c r="X23" i="2"/>
  <c r="W23" i="2"/>
  <c r="V23" i="2"/>
  <c r="U23" i="2"/>
  <c r="T23" i="2"/>
  <c r="J23" i="2"/>
  <c r="I23" i="2"/>
  <c r="H23" i="2"/>
  <c r="G23" i="2"/>
  <c r="F23" i="2"/>
  <c r="E23" i="2"/>
  <c r="D23" i="2"/>
  <c r="C23" i="2"/>
  <c r="B23" i="2"/>
  <c r="BB22" i="2"/>
  <c r="AV22" i="2"/>
  <c r="AK22" i="2"/>
  <c r="AJ22" i="2"/>
  <c r="AI22" i="2"/>
  <c r="BC22" i="2" s="1"/>
  <c r="AH22" i="2"/>
  <c r="AG22" i="2"/>
  <c r="AK61" i="2" s="1"/>
  <c r="AF22" i="2"/>
  <c r="AE22" i="2"/>
  <c r="AD22" i="2"/>
  <c r="AC22" i="2"/>
  <c r="AB22" i="2"/>
  <c r="AA22" i="2"/>
  <c r="Z22" i="2"/>
  <c r="Y22" i="2"/>
  <c r="X22" i="2"/>
  <c r="W22" i="2"/>
  <c r="V22" i="2"/>
  <c r="AZ22" i="2" s="1"/>
  <c r="U22" i="2"/>
  <c r="Y61" i="2" s="1"/>
  <c r="T22" i="2"/>
  <c r="J22" i="2"/>
  <c r="I22" i="2"/>
  <c r="H22" i="2"/>
  <c r="G22" i="2"/>
  <c r="F22" i="2"/>
  <c r="E22" i="2"/>
  <c r="D22" i="2"/>
  <c r="C22" i="2"/>
  <c r="B22" i="2"/>
  <c r="BC21" i="2"/>
  <c r="AK21" i="2"/>
  <c r="AK24" i="2" s="1"/>
  <c r="AJ21" i="2"/>
  <c r="AJ24" i="2" s="1"/>
  <c r="AI21" i="2"/>
  <c r="AI24" i="2" s="1"/>
  <c r="AH21" i="2"/>
  <c r="AH24" i="2" s="1"/>
  <c r="AG21" i="2"/>
  <c r="AF21" i="2"/>
  <c r="AE21" i="2"/>
  <c r="AD21" i="2"/>
  <c r="AC21" i="2"/>
  <c r="AC24" i="2" s="1"/>
  <c r="AB21" i="2"/>
  <c r="AB24" i="2" s="1"/>
  <c r="AA21" i="2"/>
  <c r="Z21" i="2"/>
  <c r="Z24" i="2" s="1"/>
  <c r="Y21" i="2"/>
  <c r="Y24" i="2" s="1"/>
  <c r="X21" i="2"/>
  <c r="X24" i="2" s="1"/>
  <c r="W21" i="2"/>
  <c r="W24" i="2" s="1"/>
  <c r="V21" i="2"/>
  <c r="V24" i="2" s="1"/>
  <c r="U21" i="2"/>
  <c r="T21" i="2"/>
  <c r="F21" i="2"/>
  <c r="E21" i="2"/>
  <c r="E24" i="2" s="1"/>
  <c r="D21" i="2"/>
  <c r="D24" i="2" s="1"/>
  <c r="C21" i="2"/>
  <c r="B21" i="2"/>
  <c r="B24" i="2" s="1"/>
  <c r="BE18" i="2"/>
  <c r="BD18" i="2"/>
  <c r="BD70" i="2" s="1"/>
  <c r="BC18" i="2"/>
  <c r="BB18" i="2"/>
  <c r="BA18" i="2"/>
  <c r="AZ18" i="2"/>
  <c r="AY18" i="2"/>
  <c r="AX18" i="2"/>
  <c r="AX70" i="2" s="1"/>
  <c r="AW18" i="2"/>
  <c r="AV18" i="2"/>
  <c r="AU18" i="2"/>
  <c r="AS18" i="2"/>
  <c r="AR18" i="2"/>
  <c r="AQ18" i="2"/>
  <c r="AP18" i="2"/>
  <c r="AO18" i="2"/>
  <c r="AN18" i="2"/>
  <c r="AM18" i="2"/>
  <c r="AL18" i="2"/>
  <c r="AK18" i="2"/>
  <c r="AK70" i="2" s="1"/>
  <c r="AJ18" i="2"/>
  <c r="AI18" i="2"/>
  <c r="AH18" i="2"/>
  <c r="AG18" i="2"/>
  <c r="AF18" i="2"/>
  <c r="AE18" i="2"/>
  <c r="AE70" i="2" s="1"/>
  <c r="AD18" i="2"/>
  <c r="AC18" i="2"/>
  <c r="AB18" i="2"/>
  <c r="AA18" i="2"/>
  <c r="Z18" i="2"/>
  <c r="Y18" i="2"/>
  <c r="Y70" i="2" s="1"/>
  <c r="X18" i="2"/>
  <c r="W18" i="2"/>
  <c r="V18" i="2"/>
  <c r="U18" i="2"/>
  <c r="T18" i="2"/>
  <c r="S18" i="2"/>
  <c r="R18" i="2"/>
  <c r="Q18" i="2"/>
  <c r="P18" i="2"/>
  <c r="O18" i="2"/>
  <c r="N18" i="2"/>
  <c r="M18" i="2"/>
  <c r="M70" i="2" s="1"/>
  <c r="L18" i="2"/>
  <c r="K18" i="2"/>
  <c r="J18" i="2"/>
  <c r="I18" i="2"/>
  <c r="H18" i="2"/>
  <c r="G18" i="2"/>
  <c r="F18" i="2"/>
  <c r="E18" i="2"/>
  <c r="D18" i="2"/>
  <c r="C18" i="2"/>
  <c r="B18" i="2"/>
  <c r="AF17" i="2"/>
  <c r="T17" i="2"/>
  <c r="H17" i="2"/>
  <c r="BC16" i="2"/>
  <c r="AZ16" i="2"/>
  <c r="AK16" i="2"/>
  <c r="AJ16" i="2"/>
  <c r="AI16" i="2"/>
  <c r="AH16" i="2"/>
  <c r="AG16" i="2"/>
  <c r="AF16" i="2"/>
  <c r="AE16" i="2"/>
  <c r="AD16" i="2"/>
  <c r="BB16" i="2" s="1"/>
  <c r="BC58" i="2" s="1"/>
  <c r="AC16" i="2"/>
  <c r="AB16" i="2"/>
  <c r="AA16" i="2"/>
  <c r="AE58" i="2" s="1"/>
  <c r="Z16" i="2"/>
  <c r="Y16" i="2"/>
  <c r="X16" i="2"/>
  <c r="W16" i="2"/>
  <c r="V16" i="2"/>
  <c r="U16" i="2"/>
  <c r="T16" i="2"/>
  <c r="S16" i="2"/>
  <c r="R16" i="2"/>
  <c r="Q16" i="2"/>
  <c r="P16" i="2"/>
  <c r="O16" i="2"/>
  <c r="S58" i="2" s="1"/>
  <c r="N16" i="2"/>
  <c r="AX16" i="2" s="1"/>
  <c r="M16" i="2"/>
  <c r="L16" i="2"/>
  <c r="K16" i="2"/>
  <c r="J16" i="2"/>
  <c r="I16" i="2"/>
  <c r="H16" i="2"/>
  <c r="G16" i="2"/>
  <c r="F16" i="2"/>
  <c r="E16" i="2"/>
  <c r="D16" i="2"/>
  <c r="C16" i="2"/>
  <c r="G58" i="2" s="1"/>
  <c r="B16" i="2"/>
  <c r="BD14" i="2"/>
  <c r="BC14" i="2"/>
  <c r="BB14" i="2"/>
  <c r="BA14" i="2"/>
  <c r="AZ14" i="2"/>
  <c r="AY14" i="2"/>
  <c r="AS14" i="2"/>
  <c r="AR14" i="2"/>
  <c r="AQ14" i="2"/>
  <c r="AP14" i="2"/>
  <c r="AO14" i="2"/>
  <c r="AN14" i="2"/>
  <c r="AM14" i="2"/>
  <c r="AL14" i="2"/>
  <c r="AK14" i="2"/>
  <c r="AJ14" i="2"/>
  <c r="AI14" i="2"/>
  <c r="AF14" i="2"/>
  <c r="AE14" i="2"/>
  <c r="AD14" i="2"/>
  <c r="AB14" i="2"/>
  <c r="AA14" i="2"/>
  <c r="Z14" i="2"/>
  <c r="Y14" i="2"/>
  <c r="X14" i="2"/>
  <c r="W14" i="2"/>
  <c r="V14" i="2"/>
  <c r="U14" i="2"/>
  <c r="T14" i="2"/>
  <c r="S14" i="2"/>
  <c r="R14" i="2"/>
  <c r="Q14" i="2"/>
  <c r="P14" i="2"/>
  <c r="O14" i="2"/>
  <c r="N14" i="2"/>
  <c r="BD13" i="2"/>
  <c r="BC13" i="2"/>
  <c r="BB13" i="2"/>
  <c r="BA13" i="2"/>
  <c r="AZ13" i="2"/>
  <c r="AY13" i="2"/>
  <c r="AS13" i="2"/>
  <c r="AR13" i="2"/>
  <c r="AQ13" i="2"/>
  <c r="AP13" i="2"/>
  <c r="AO13" i="2"/>
  <c r="AN13" i="2"/>
  <c r="AM13" i="2"/>
  <c r="AL13" i="2"/>
  <c r="AK13" i="2"/>
  <c r="AJ13" i="2"/>
  <c r="AI13" i="2"/>
  <c r="AH13" i="2"/>
  <c r="AG13" i="2"/>
  <c r="AF13" i="2"/>
  <c r="AE13" i="2"/>
  <c r="AD13" i="2"/>
  <c r="AC13" i="2"/>
  <c r="AB13" i="2"/>
  <c r="AA13" i="2"/>
  <c r="Z13" i="2"/>
  <c r="Y13" i="2"/>
  <c r="X13" i="2"/>
  <c r="W13" i="2"/>
  <c r="V13" i="2"/>
  <c r="U13" i="2"/>
  <c r="T13" i="2"/>
  <c r="S13" i="2"/>
  <c r="R13" i="2"/>
  <c r="Q13" i="2"/>
  <c r="P13" i="2"/>
  <c r="O13" i="2"/>
  <c r="N13" i="2"/>
  <c r="BD12" i="2"/>
  <c r="BC12" i="2"/>
  <c r="BB12" i="2"/>
  <c r="BA12" i="2"/>
  <c r="AZ12" i="2"/>
  <c r="AY12" i="2"/>
  <c r="AS12" i="2"/>
  <c r="AR12" i="2"/>
  <c r="AQ12" i="2"/>
  <c r="AP12" i="2"/>
  <c r="AO12" i="2"/>
  <c r="AN12" i="2"/>
  <c r="AM12" i="2"/>
  <c r="AL12" i="2"/>
  <c r="AK12" i="2"/>
  <c r="AJ12" i="2"/>
  <c r="AI12" i="2"/>
  <c r="AF12" i="2"/>
  <c r="AE12" i="2"/>
  <c r="AD12" i="2"/>
  <c r="AB12" i="2"/>
  <c r="AA12" i="2"/>
  <c r="Z12" i="2"/>
  <c r="Y12" i="2"/>
  <c r="X12" i="2"/>
  <c r="W12" i="2"/>
  <c r="V12" i="2"/>
  <c r="U12" i="2"/>
  <c r="T12" i="2"/>
  <c r="S12" i="2"/>
  <c r="R12" i="2"/>
  <c r="Q12" i="2"/>
  <c r="P12" i="2"/>
  <c r="O12" i="2"/>
  <c r="N12" i="2"/>
  <c r="BE10" i="2"/>
  <c r="BE6" i="3" s="1"/>
  <c r="BD10" i="2"/>
  <c r="BD6" i="3" s="1"/>
  <c r="BC10" i="2"/>
  <c r="BC6" i="3" s="1"/>
  <c r="BB10" i="2"/>
  <c r="BB6" i="3" s="1"/>
  <c r="BA10" i="2"/>
  <c r="BA6" i="3" s="1"/>
  <c r="AZ10" i="2"/>
  <c r="AZ6" i="3" s="1"/>
  <c r="AY10" i="2"/>
  <c r="AY6" i="3" s="1"/>
  <c r="AX10" i="2"/>
  <c r="AX6" i="3" s="1"/>
  <c r="AW10" i="2"/>
  <c r="AV10" i="2"/>
  <c r="AU10" i="2"/>
  <c r="AS10" i="2"/>
  <c r="AS6" i="3" s="1"/>
  <c r="AR10" i="2"/>
  <c r="AR6" i="3" s="1"/>
  <c r="AQ10" i="2"/>
  <c r="AQ6" i="3" s="1"/>
  <c r="AP10" i="2"/>
  <c r="AP6" i="3" s="1"/>
  <c r="AO10" i="2"/>
  <c r="AO6" i="3" s="1"/>
  <c r="AN10" i="2"/>
  <c r="AN6" i="3" s="1"/>
  <c r="AM10" i="2"/>
  <c r="AM6" i="3" s="1"/>
  <c r="AL10" i="2"/>
  <c r="AL6" i="3" s="1"/>
  <c r="AK10" i="2"/>
  <c r="AK6" i="3" s="1"/>
  <c r="AJ10" i="2"/>
  <c r="AJ6" i="3" s="1"/>
  <c r="AI10" i="2"/>
  <c r="AI6" i="3" s="1"/>
  <c r="AH10" i="2"/>
  <c r="AH6" i="3" s="1"/>
  <c r="AG10" i="2"/>
  <c r="AG6" i="3" s="1"/>
  <c r="AF10" i="2"/>
  <c r="AE10" i="2"/>
  <c r="AD10" i="2"/>
  <c r="AD6" i="3" s="1"/>
  <c r="AC10" i="2"/>
  <c r="AC6" i="3" s="1"/>
  <c r="AB10" i="2"/>
  <c r="AB6" i="3" s="1"/>
  <c r="AA10" i="2"/>
  <c r="AA6" i="3" s="1"/>
  <c r="Z10" i="2"/>
  <c r="Z6" i="3" s="1"/>
  <c r="Y10" i="2"/>
  <c r="Y6" i="3" s="1"/>
  <c r="X10" i="2"/>
  <c r="X6" i="3" s="1"/>
  <c r="W10" i="2"/>
  <c r="W6" i="3" s="1"/>
  <c r="V10" i="2"/>
  <c r="V6" i="3" s="1"/>
  <c r="U10" i="2"/>
  <c r="U6" i="3" s="1"/>
  <c r="T10" i="2"/>
  <c r="T6" i="3" s="1"/>
  <c r="S10" i="2"/>
  <c r="S6" i="3" s="1"/>
  <c r="R10" i="2"/>
  <c r="R6" i="3" s="1"/>
  <c r="Q10" i="2"/>
  <c r="Q6" i="3" s="1"/>
  <c r="P10" i="2"/>
  <c r="P6" i="3" s="1"/>
  <c r="O10" i="2"/>
  <c r="O6" i="3" s="1"/>
  <c r="N10" i="2"/>
  <c r="N6" i="3" s="1"/>
  <c r="M10" i="2"/>
  <c r="M6" i="3" s="1"/>
  <c r="L10" i="2"/>
  <c r="L6" i="3" s="1"/>
  <c r="K10" i="2"/>
  <c r="K6" i="3" s="1"/>
  <c r="J10" i="2"/>
  <c r="J6" i="3" s="1"/>
  <c r="I10" i="2"/>
  <c r="I6" i="3" s="1"/>
  <c r="H10" i="2"/>
  <c r="H6" i="3" s="1"/>
  <c r="G10" i="2"/>
  <c r="G6" i="3" s="1"/>
  <c r="F10" i="2"/>
  <c r="F6" i="3" s="1"/>
  <c r="E10" i="2"/>
  <c r="E6" i="3" s="1"/>
  <c r="D10" i="2"/>
  <c r="D6" i="3" s="1"/>
  <c r="C10" i="2"/>
  <c r="C6" i="3" s="1"/>
  <c r="B10" i="2"/>
  <c r="B6" i="3" s="1"/>
  <c r="BB9" i="2"/>
  <c r="AL9" i="2"/>
  <c r="AK9" i="2"/>
  <c r="AK17" i="2" s="1"/>
  <c r="AJ9" i="2"/>
  <c r="AJ17" i="2" s="1"/>
  <c r="AI9" i="2"/>
  <c r="AI17" i="2" s="1"/>
  <c r="AH9" i="2"/>
  <c r="AH17" i="2" s="1"/>
  <c r="AG9" i="2"/>
  <c r="AG17" i="2" s="1"/>
  <c r="AF9" i="2"/>
  <c r="AE9" i="2"/>
  <c r="AD9" i="2"/>
  <c r="AC9" i="2"/>
  <c r="AB9" i="2"/>
  <c r="AB17" i="2" s="1"/>
  <c r="AA9" i="2"/>
  <c r="AA17" i="2" s="1"/>
  <c r="Z9" i="2"/>
  <c r="Z17" i="2" s="1"/>
  <c r="Y9" i="2"/>
  <c r="Y17" i="2" s="1"/>
  <c r="X9" i="2"/>
  <c r="X17" i="2" s="1"/>
  <c r="W9" i="2"/>
  <c r="W17" i="2" s="1"/>
  <c r="V9" i="2"/>
  <c r="V17" i="2" s="1"/>
  <c r="U9" i="2"/>
  <c r="U17" i="2" s="1"/>
  <c r="T9" i="2"/>
  <c r="S9" i="2"/>
  <c r="R9" i="2"/>
  <c r="Q9" i="2"/>
  <c r="Q17" i="2" s="1"/>
  <c r="P9" i="2"/>
  <c r="P17" i="2" s="1"/>
  <c r="O9" i="2"/>
  <c r="O17" i="2" s="1"/>
  <c r="N9" i="2"/>
  <c r="AX9" i="2" s="1"/>
  <c r="M9" i="2"/>
  <c r="M17" i="2" s="1"/>
  <c r="L9" i="2"/>
  <c r="L17" i="2" s="1"/>
  <c r="K9" i="2"/>
  <c r="K17" i="2" s="1"/>
  <c r="J9" i="2"/>
  <c r="J17" i="2" s="1"/>
  <c r="I9" i="2"/>
  <c r="I17" i="2" s="1"/>
  <c r="H9" i="2"/>
  <c r="G9" i="2"/>
  <c r="F9" i="2"/>
  <c r="E9" i="2"/>
  <c r="I57" i="2" s="1"/>
  <c r="D9" i="2"/>
  <c r="D17" i="2" s="1"/>
  <c r="C9" i="2"/>
  <c r="C17" i="2" s="1"/>
  <c r="B9" i="2"/>
  <c r="B17" i="2" s="1"/>
  <c r="BB8" i="2"/>
  <c r="AY8" i="2"/>
  <c r="AS8" i="2"/>
  <c r="AQ8" i="2"/>
  <c r="AP8" i="2"/>
  <c r="AO8" i="2"/>
  <c r="AN8" i="2"/>
  <c r="AM8" i="2"/>
  <c r="AL8" i="2"/>
  <c r="BD8" i="2" s="1"/>
  <c r="AK8" i="2"/>
  <c r="AJ8" i="2"/>
  <c r="BC8" i="2" s="1"/>
  <c r="AI8" i="2"/>
  <c r="AH8" i="2"/>
  <c r="AG8" i="2"/>
  <c r="AF8" i="2"/>
  <c r="AE8" i="2"/>
  <c r="AD8" i="2"/>
  <c r="AC8" i="2"/>
  <c r="AB8" i="2"/>
  <c r="BA8" i="2" s="1"/>
  <c r="AA8" i="2"/>
  <c r="Z8" i="2"/>
  <c r="Y8" i="2"/>
  <c r="X8" i="2"/>
  <c r="AZ8" i="2" s="1"/>
  <c r="W8" i="2"/>
  <c r="V8" i="2"/>
  <c r="U8" i="2"/>
  <c r="T8" i="2"/>
  <c r="S8" i="2"/>
  <c r="R8" i="2"/>
  <c r="Q8" i="2"/>
  <c r="P8" i="2"/>
  <c r="O8" i="2"/>
  <c r="N8" i="2"/>
  <c r="AX8" i="2" s="1"/>
  <c r="M8" i="2"/>
  <c r="L8" i="2"/>
  <c r="AW8" i="2" s="1"/>
  <c r="K8" i="2"/>
  <c r="J8" i="2"/>
  <c r="I8" i="2"/>
  <c r="H8" i="2"/>
  <c r="G8" i="2"/>
  <c r="F8" i="2"/>
  <c r="AV8" i="2" s="1"/>
  <c r="E8" i="2"/>
  <c r="D8" i="2"/>
  <c r="C8" i="2"/>
  <c r="B8" i="2"/>
  <c r="AU8" i="2" s="1"/>
  <c r="AX7" i="2"/>
  <c r="AU7" i="2"/>
  <c r="AL7" i="2"/>
  <c r="AK7" i="2"/>
  <c r="AJ7" i="2"/>
  <c r="AI7" i="2"/>
  <c r="AH7" i="2"/>
  <c r="BC7" i="2" s="1"/>
  <c r="AG7" i="2"/>
  <c r="AF7" i="2"/>
  <c r="AE7" i="2"/>
  <c r="AD7" i="2"/>
  <c r="BB7" i="2" s="1"/>
  <c r="AC7" i="2"/>
  <c r="AB7" i="2"/>
  <c r="AA7" i="2"/>
  <c r="Z7" i="2"/>
  <c r="BA7" i="2" s="1"/>
  <c r="Y7" i="2"/>
  <c r="X7" i="2"/>
  <c r="W7" i="2"/>
  <c r="V7" i="2"/>
  <c r="AZ7" i="2" s="1"/>
  <c r="U7" i="2"/>
  <c r="T7" i="2"/>
  <c r="S7" i="2"/>
  <c r="AY7" i="2" s="1"/>
  <c r="R7" i="2"/>
  <c r="Q7" i="2"/>
  <c r="P7" i="2"/>
  <c r="O7" i="2"/>
  <c r="N7" i="2"/>
  <c r="M7" i="2"/>
  <c r="L7" i="2"/>
  <c r="K7" i="2"/>
  <c r="J7" i="2"/>
  <c r="AW7" i="2" s="1"/>
  <c r="I7" i="2"/>
  <c r="H7" i="2"/>
  <c r="G7" i="2"/>
  <c r="AV7" i="2" s="1"/>
  <c r="F7" i="2"/>
  <c r="E7" i="2"/>
  <c r="D7" i="2"/>
  <c r="C7" i="2"/>
  <c r="B7" i="2"/>
  <c r="BC6" i="2"/>
  <c r="AY6" i="2"/>
  <c r="AS6" i="2"/>
  <c r="AR6" i="2"/>
  <c r="AQ6" i="2"/>
  <c r="AO6" i="2"/>
  <c r="AN6" i="2"/>
  <c r="AM6" i="2"/>
  <c r="AL6" i="2"/>
  <c r="BD6" i="2" s="1"/>
  <c r="AK6" i="2"/>
  <c r="AJ6" i="2"/>
  <c r="AI6" i="2"/>
  <c r="AH6" i="2"/>
  <c r="AG6" i="2"/>
  <c r="AF6" i="2"/>
  <c r="AE6" i="2"/>
  <c r="AD6" i="2"/>
  <c r="BB6" i="2" s="1"/>
  <c r="AC6" i="2"/>
  <c r="AB6" i="2"/>
  <c r="AA6" i="2"/>
  <c r="Z6" i="2"/>
  <c r="BA6" i="2" s="1"/>
  <c r="Y6" i="2"/>
  <c r="X6" i="2"/>
  <c r="W6" i="2"/>
  <c r="V6" i="2"/>
  <c r="AZ6" i="2" s="1"/>
  <c r="U6" i="2"/>
  <c r="T6" i="2"/>
  <c r="S6" i="2"/>
  <c r="R6" i="2"/>
  <c r="Q6" i="2"/>
  <c r="P6" i="2"/>
  <c r="O6" i="2"/>
  <c r="N6" i="2"/>
  <c r="AX6" i="2" s="1"/>
  <c r="M6" i="2"/>
  <c r="L6" i="2"/>
  <c r="K6" i="2"/>
  <c r="J6" i="2"/>
  <c r="AW6" i="2" s="1"/>
  <c r="I6" i="2"/>
  <c r="H6" i="2"/>
  <c r="G6" i="2"/>
  <c r="F6" i="2"/>
  <c r="AV6" i="2" s="1"/>
  <c r="E6" i="2"/>
  <c r="D6" i="2"/>
  <c r="C6" i="2"/>
  <c r="B6" i="2"/>
  <c r="AU6" i="2" s="1"/>
  <c r="AH3" i="2"/>
  <c r="BC2" i="2"/>
  <c r="C12" i="1"/>
  <c r="I97" i="2" l="1"/>
  <c r="M59" i="2"/>
  <c r="I69" i="2"/>
  <c r="U97" i="2"/>
  <c r="Y59" i="2"/>
  <c r="U69" i="2"/>
  <c r="U25" i="2"/>
  <c r="AG97" i="2"/>
  <c r="AK59" i="2"/>
  <c r="AG69" i="2"/>
  <c r="AG25" i="2"/>
  <c r="Y74" i="2"/>
  <c r="AC63" i="2"/>
  <c r="AK74" i="2"/>
  <c r="BB62" i="2"/>
  <c r="J97" i="2"/>
  <c r="J69" i="2"/>
  <c r="AW17" i="2"/>
  <c r="V97" i="2"/>
  <c r="Z59" i="2"/>
  <c r="V69" i="2"/>
  <c r="V25" i="2"/>
  <c r="AZ17" i="2"/>
  <c r="AH97" i="2"/>
  <c r="AH69" i="2"/>
  <c r="AL69" i="2" s="1"/>
  <c r="BC17" i="2"/>
  <c r="AH25" i="2"/>
  <c r="Z74" i="2"/>
  <c r="AD63" i="2"/>
  <c r="BA24" i="2"/>
  <c r="K97" i="2"/>
  <c r="O59" i="2"/>
  <c r="K69" i="2"/>
  <c r="W97" i="2"/>
  <c r="W69" i="2"/>
  <c r="AA59" i="2"/>
  <c r="W25" i="2"/>
  <c r="AI97" i="2"/>
  <c r="AI69" i="2"/>
  <c r="AM69" i="2" s="1"/>
  <c r="AI25" i="2"/>
  <c r="B74" i="2"/>
  <c r="AU24" i="2"/>
  <c r="BB73" i="2"/>
  <c r="BC62" i="2"/>
  <c r="P59" i="2"/>
  <c r="L97" i="2"/>
  <c r="L69" i="2"/>
  <c r="AB59" i="2"/>
  <c r="X69" i="2"/>
  <c r="X97" i="2"/>
  <c r="X25" i="2"/>
  <c r="AJ97" i="2"/>
  <c r="AJ69" i="2"/>
  <c r="AJ25" i="2"/>
  <c r="AB74" i="2"/>
  <c r="M69" i="2"/>
  <c r="M97" i="2"/>
  <c r="Q59" i="2"/>
  <c r="Y69" i="2"/>
  <c r="Y97" i="2"/>
  <c r="Y25" i="2"/>
  <c r="AK69" i="2"/>
  <c r="AK97" i="2"/>
  <c r="AK25" i="2"/>
  <c r="D74" i="2"/>
  <c r="AC74" i="2"/>
  <c r="AG63" i="2"/>
  <c r="B69" i="2"/>
  <c r="B97" i="2"/>
  <c r="B25" i="2"/>
  <c r="AY57" i="2"/>
  <c r="Z69" i="2"/>
  <c r="Z97" i="2"/>
  <c r="Z25" i="2"/>
  <c r="E74" i="2"/>
  <c r="C97" i="2"/>
  <c r="C69" i="2"/>
  <c r="C25" i="2"/>
  <c r="O97" i="2"/>
  <c r="O69" i="2"/>
  <c r="AA97" i="2"/>
  <c r="AA69" i="2"/>
  <c r="AA25" i="2"/>
  <c r="AJ74" i="2"/>
  <c r="D97" i="2"/>
  <c r="D69" i="2"/>
  <c r="H59" i="2"/>
  <c r="D25" i="2"/>
  <c r="P97" i="2"/>
  <c r="P69" i="2"/>
  <c r="T59" i="2"/>
  <c r="AB97" i="2"/>
  <c r="AB69" i="2"/>
  <c r="AF59" i="2"/>
  <c r="AB25" i="2"/>
  <c r="Q97" i="2"/>
  <c r="Q69" i="2"/>
  <c r="U59" i="2"/>
  <c r="X74" i="2"/>
  <c r="AB63" i="2"/>
  <c r="V74" i="2"/>
  <c r="Z63" i="2"/>
  <c r="AZ24" i="2"/>
  <c r="AH74" i="2"/>
  <c r="BC24" i="2"/>
  <c r="W74" i="2"/>
  <c r="AA63" i="2"/>
  <c r="AI74" i="2"/>
  <c r="T97" i="2"/>
  <c r="T69" i="2"/>
  <c r="X59" i="2"/>
  <c r="D73" i="2"/>
  <c r="H62" i="2"/>
  <c r="BC34" i="2"/>
  <c r="AL34" i="2"/>
  <c r="F67" i="5"/>
  <c r="F74" i="5" s="1"/>
  <c r="F59" i="4"/>
  <c r="J57" i="2"/>
  <c r="R67" i="5"/>
  <c r="R59" i="4"/>
  <c r="V57" i="2"/>
  <c r="AD67" i="5"/>
  <c r="AD59" i="4"/>
  <c r="AH57" i="2"/>
  <c r="BC9" i="2"/>
  <c r="D68" i="5"/>
  <c r="D60" i="4"/>
  <c r="H58" i="2"/>
  <c r="P68" i="5"/>
  <c r="P60" i="4"/>
  <c r="P67" i="4" s="1"/>
  <c r="T58" i="2"/>
  <c r="AB68" i="5"/>
  <c r="AB60" i="4"/>
  <c r="AB67" i="4" s="1"/>
  <c r="AF58" i="2"/>
  <c r="BA16" i="2"/>
  <c r="BB58" i="2" s="1"/>
  <c r="N70" i="2"/>
  <c r="Z70" i="2"/>
  <c r="AL70" i="2"/>
  <c r="AY70" i="2"/>
  <c r="AE69" i="5"/>
  <c r="AE71" i="2"/>
  <c r="AI60" i="2"/>
  <c r="X61" i="4"/>
  <c r="X72" i="2"/>
  <c r="AB61" i="2"/>
  <c r="AJ61" i="4"/>
  <c r="AJ72" i="2"/>
  <c r="AN72" i="2" s="1"/>
  <c r="AR72" i="2" s="1"/>
  <c r="E73" i="2"/>
  <c r="I62" i="2"/>
  <c r="AC73" i="2"/>
  <c r="AG62" i="2"/>
  <c r="H76" i="2"/>
  <c r="T76" i="2"/>
  <c r="AF76" i="2"/>
  <c r="AL125" i="2"/>
  <c r="AM35" i="2"/>
  <c r="H97" i="2"/>
  <c r="H69" i="2"/>
  <c r="L59" i="2"/>
  <c r="F69" i="5"/>
  <c r="F71" i="2"/>
  <c r="G67" i="5"/>
  <c r="G59" i="4"/>
  <c r="K57" i="2"/>
  <c r="S67" i="5"/>
  <c r="S59" i="4"/>
  <c r="W57" i="2"/>
  <c r="AE67" i="5"/>
  <c r="AE59" i="4"/>
  <c r="AI57" i="2"/>
  <c r="E68" i="5"/>
  <c r="E60" i="4"/>
  <c r="E67" i="4" s="1"/>
  <c r="I58" i="2"/>
  <c r="Q68" i="5"/>
  <c r="Q60" i="4"/>
  <c r="Q67" i="4" s="1"/>
  <c r="U58" i="2"/>
  <c r="AC68" i="5"/>
  <c r="AC60" i="4"/>
  <c r="AC67" i="4" s="1"/>
  <c r="AG58" i="2"/>
  <c r="O70" i="2"/>
  <c r="AA70" i="2"/>
  <c r="AM70" i="2"/>
  <c r="AZ70" i="2"/>
  <c r="T69" i="5"/>
  <c r="T71" i="2"/>
  <c r="X60" i="2"/>
  <c r="AF69" i="5"/>
  <c r="AF71" i="2"/>
  <c r="AJ60" i="2"/>
  <c r="Y61" i="4"/>
  <c r="Y72" i="2"/>
  <c r="AC61" i="2"/>
  <c r="AK61" i="4"/>
  <c r="AK72" i="2"/>
  <c r="AO72" i="2" s="1"/>
  <c r="AS72" i="2" s="1"/>
  <c r="F73" i="2"/>
  <c r="J62" i="2"/>
  <c r="AD73" i="2"/>
  <c r="AH62" i="2"/>
  <c r="I76" i="2"/>
  <c r="U76" i="2"/>
  <c r="AG76" i="2"/>
  <c r="AY37" i="2"/>
  <c r="AC61" i="5"/>
  <c r="AC103" i="2"/>
  <c r="AY76" i="2"/>
  <c r="BC57" i="2"/>
  <c r="AD69" i="5"/>
  <c r="AH60" i="2"/>
  <c r="AD71" i="2"/>
  <c r="H67" i="5"/>
  <c r="H59" i="4"/>
  <c r="L57" i="2"/>
  <c r="T67" i="5"/>
  <c r="T80" i="5" s="1"/>
  <c r="T59" i="4"/>
  <c r="X57" i="2"/>
  <c r="AF67" i="5"/>
  <c r="AF59" i="4"/>
  <c r="AJ57" i="2"/>
  <c r="F68" i="5"/>
  <c r="F60" i="4"/>
  <c r="F67" i="4" s="1"/>
  <c r="J58" i="2"/>
  <c r="R68" i="5"/>
  <c r="R60" i="4"/>
  <c r="R67" i="4" s="1"/>
  <c r="V58" i="2"/>
  <c r="AD68" i="5"/>
  <c r="AD60" i="4"/>
  <c r="AD67" i="4" s="1"/>
  <c r="AH58" i="2"/>
  <c r="P70" i="2"/>
  <c r="AB70" i="2"/>
  <c r="AN70" i="2"/>
  <c r="BA70" i="2"/>
  <c r="U69" i="5"/>
  <c r="U71" i="2"/>
  <c r="Y60" i="2"/>
  <c r="AG69" i="5"/>
  <c r="AG71" i="2"/>
  <c r="AK60" i="2"/>
  <c r="B61" i="4"/>
  <c r="B72" i="2"/>
  <c r="F61" i="2"/>
  <c r="Z61" i="4"/>
  <c r="Z72" i="2"/>
  <c r="AD61" i="2"/>
  <c r="G73" i="2"/>
  <c r="AE73" i="2"/>
  <c r="J76" i="2"/>
  <c r="V76" i="2"/>
  <c r="AG102" i="2"/>
  <c r="BB52" i="2"/>
  <c r="AG74" i="2"/>
  <c r="AK63" i="2"/>
  <c r="I67" i="5"/>
  <c r="I59" i="4"/>
  <c r="M57" i="2"/>
  <c r="U67" i="5"/>
  <c r="U59" i="4"/>
  <c r="Y57" i="2"/>
  <c r="AG67" i="5"/>
  <c r="AG59" i="4"/>
  <c r="AK57" i="2"/>
  <c r="G68" i="5"/>
  <c r="G60" i="4"/>
  <c r="G67" i="4" s="1"/>
  <c r="K58" i="2"/>
  <c r="S68" i="5"/>
  <c r="S60" i="4"/>
  <c r="S67" i="4" s="1"/>
  <c r="W58" i="2"/>
  <c r="AE68" i="5"/>
  <c r="AE60" i="4"/>
  <c r="AE67" i="4" s="1"/>
  <c r="AI58" i="2"/>
  <c r="Q70" i="2"/>
  <c r="AC70" i="2"/>
  <c r="AO70" i="2"/>
  <c r="BB70" i="2"/>
  <c r="V69" i="5"/>
  <c r="V71" i="2"/>
  <c r="Z60" i="2"/>
  <c r="AH69" i="5"/>
  <c r="AH71" i="2"/>
  <c r="AL71" i="2" s="1"/>
  <c r="AP71" i="2" s="1"/>
  <c r="AU21" i="2"/>
  <c r="C61" i="4"/>
  <c r="C72" i="2"/>
  <c r="G61" i="2"/>
  <c r="AA61" i="4"/>
  <c r="AA72" i="2"/>
  <c r="AE61" i="2"/>
  <c r="H73" i="2"/>
  <c r="T73" i="2"/>
  <c r="X62" i="2"/>
  <c r="AF73" i="2"/>
  <c r="AJ62" i="2"/>
  <c r="K76" i="2"/>
  <c r="W76" i="2"/>
  <c r="AI76" i="2"/>
  <c r="AC67" i="5"/>
  <c r="AC59" i="4"/>
  <c r="AA68" i="5"/>
  <c r="AA60" i="4"/>
  <c r="AA67" i="4" s="1"/>
  <c r="J67" i="5"/>
  <c r="J74" i="5" s="1"/>
  <c r="J59" i="4"/>
  <c r="N57" i="2"/>
  <c r="V67" i="5"/>
  <c r="V59" i="4"/>
  <c r="Z57" i="2"/>
  <c r="AH67" i="5"/>
  <c r="AH59" i="4"/>
  <c r="AL57" i="2"/>
  <c r="AU9" i="2"/>
  <c r="H68" i="5"/>
  <c r="H60" i="4"/>
  <c r="H67" i="4" s="1"/>
  <c r="L58" i="2"/>
  <c r="T68" i="5"/>
  <c r="T60" i="4"/>
  <c r="T67" i="4" s="1"/>
  <c r="X58" i="2"/>
  <c r="AF68" i="5"/>
  <c r="AF60" i="4"/>
  <c r="AF67" i="4" s="1"/>
  <c r="AJ58" i="2"/>
  <c r="R70" i="2"/>
  <c r="AD70" i="2"/>
  <c r="AP70" i="2"/>
  <c r="BC70" i="2"/>
  <c r="W69" i="5"/>
  <c r="W71" i="2"/>
  <c r="AI69" i="5"/>
  <c r="AI71" i="2"/>
  <c r="AM71" i="2" s="1"/>
  <c r="AQ71" i="2" s="1"/>
  <c r="D61" i="4"/>
  <c r="D72" i="2"/>
  <c r="H61" i="2"/>
  <c r="AB61" i="4"/>
  <c r="AB72" i="2"/>
  <c r="AF61" i="2"/>
  <c r="BA22" i="2"/>
  <c r="I73" i="2"/>
  <c r="U73" i="2"/>
  <c r="Y62" i="2"/>
  <c r="AG73" i="2"/>
  <c r="AK62" i="2"/>
  <c r="L76" i="2"/>
  <c r="X76" i="2"/>
  <c r="BC103" i="2"/>
  <c r="BC137" i="2"/>
  <c r="AF97" i="2"/>
  <c r="AF69" i="2"/>
  <c r="AJ59" i="2"/>
  <c r="AR109" i="2"/>
  <c r="BC2" i="5"/>
  <c r="BC2" i="4"/>
  <c r="BC2" i="3"/>
  <c r="K67" i="5"/>
  <c r="K59" i="4"/>
  <c r="O57" i="2"/>
  <c r="W67" i="5"/>
  <c r="W59" i="4"/>
  <c r="AA57" i="2"/>
  <c r="AI67" i="5"/>
  <c r="AI59" i="4"/>
  <c r="AV9" i="2"/>
  <c r="AV72" i="2" s="1"/>
  <c r="I68" i="5"/>
  <c r="I60" i="4"/>
  <c r="I67" i="4" s="1"/>
  <c r="M58" i="2"/>
  <c r="U68" i="5"/>
  <c r="U60" i="4"/>
  <c r="U67" i="4" s="1"/>
  <c r="Y58" i="2"/>
  <c r="AG68" i="5"/>
  <c r="AG60" i="4"/>
  <c r="AG67" i="4" s="1"/>
  <c r="AK58" i="2"/>
  <c r="N17" i="2"/>
  <c r="N59" i="2" s="1"/>
  <c r="S70" i="2"/>
  <c r="AQ70" i="2"/>
  <c r="X69" i="5"/>
  <c r="AB60" i="2"/>
  <c r="AJ69" i="5"/>
  <c r="AJ71" i="2"/>
  <c r="AN71" i="2" s="1"/>
  <c r="AR71" i="2" s="1"/>
  <c r="E61" i="4"/>
  <c r="E72" i="2"/>
  <c r="I61" i="2"/>
  <c r="AC61" i="4"/>
  <c r="AG61" i="2"/>
  <c r="AC72" i="2"/>
  <c r="BB72" i="2"/>
  <c r="BC61" i="2"/>
  <c r="Z62" i="2"/>
  <c r="V73" i="2"/>
  <c r="AH73" i="2"/>
  <c r="AL62" i="2"/>
  <c r="AU23" i="2"/>
  <c r="C74" i="2"/>
  <c r="AA74" i="2"/>
  <c r="M76" i="2"/>
  <c r="Y76" i="2"/>
  <c r="AK76" i="2"/>
  <c r="AX76" i="2"/>
  <c r="X71" i="2"/>
  <c r="AY83" i="2"/>
  <c r="S82" i="2"/>
  <c r="AY82" i="2" s="1"/>
  <c r="C68" i="5"/>
  <c r="C60" i="4"/>
  <c r="U74" i="2"/>
  <c r="Y63" i="2"/>
  <c r="BD2" i="2"/>
  <c r="L67" i="5"/>
  <c r="L59" i="4"/>
  <c r="P57" i="2"/>
  <c r="X67" i="5"/>
  <c r="X59" i="4"/>
  <c r="AB57" i="2"/>
  <c r="AJ67" i="5"/>
  <c r="AJ59" i="4"/>
  <c r="AW9" i="2"/>
  <c r="AX57" i="2" s="1"/>
  <c r="J68" i="5"/>
  <c r="J60" i="4"/>
  <c r="J67" i="4" s="1"/>
  <c r="N58" i="2"/>
  <c r="V68" i="5"/>
  <c r="V60" i="4"/>
  <c r="V67" i="4" s="1"/>
  <c r="Z58" i="2"/>
  <c r="AH68" i="5"/>
  <c r="AH60" i="4"/>
  <c r="AH67" i="4" s="1"/>
  <c r="AL67" i="4" s="1"/>
  <c r="AP67" i="4" s="1"/>
  <c r="AU16" i="2"/>
  <c r="H70" i="2"/>
  <c r="T70" i="2"/>
  <c r="AF70" i="2"/>
  <c r="AR70" i="2"/>
  <c r="BE70" i="2"/>
  <c r="Y69" i="5"/>
  <c r="Y71" i="2"/>
  <c r="AC60" i="2"/>
  <c r="AK69" i="5"/>
  <c r="AK71" i="2"/>
  <c r="AO71" i="2" s="1"/>
  <c r="AS71" i="2" s="1"/>
  <c r="F61" i="4"/>
  <c r="F72" i="2"/>
  <c r="J61" i="2"/>
  <c r="AD61" i="4"/>
  <c r="AD72" i="2"/>
  <c r="AH61" i="2"/>
  <c r="W73" i="2"/>
  <c r="AA62" i="2"/>
  <c r="AI73" i="2"/>
  <c r="AV23" i="2"/>
  <c r="N76" i="2"/>
  <c r="Z76" i="2"/>
  <c r="BC71" i="2"/>
  <c r="AR8" i="2"/>
  <c r="BE8" i="2" s="1"/>
  <c r="M67" i="5"/>
  <c r="M59" i="4"/>
  <c r="Q57" i="2"/>
  <c r="Y67" i="5"/>
  <c r="Y59" i="4"/>
  <c r="AC57" i="2"/>
  <c r="AK67" i="5"/>
  <c r="AK59" i="4"/>
  <c r="K68" i="5"/>
  <c r="K60" i="4"/>
  <c r="K67" i="4" s="1"/>
  <c r="O58" i="2"/>
  <c r="W68" i="5"/>
  <c r="W60" i="4"/>
  <c r="W67" i="4" s="1"/>
  <c r="AA58" i="2"/>
  <c r="AI68" i="5"/>
  <c r="AI60" i="4"/>
  <c r="AI67" i="4" s="1"/>
  <c r="AM67" i="4" s="1"/>
  <c r="AQ67" i="4" s="1"/>
  <c r="AV16" i="2"/>
  <c r="I70" i="2"/>
  <c r="U70" i="2"/>
  <c r="AG70" i="2"/>
  <c r="AS70" i="2"/>
  <c r="B69" i="5"/>
  <c r="B71" i="2"/>
  <c r="F60" i="2"/>
  <c r="Z69" i="5"/>
  <c r="Z71" i="2"/>
  <c r="AD60" i="2"/>
  <c r="G61" i="4"/>
  <c r="G72" i="2"/>
  <c r="AE61" i="4"/>
  <c r="AE72" i="2"/>
  <c r="AI61" i="2"/>
  <c r="X73" i="2"/>
  <c r="AB62" i="2"/>
  <c r="AJ73" i="2"/>
  <c r="O76" i="2"/>
  <c r="AA76" i="2"/>
  <c r="AM76" i="2"/>
  <c r="J73" i="2"/>
  <c r="BA58" i="2"/>
  <c r="AI61" i="4"/>
  <c r="AI72" i="2"/>
  <c r="AM72" i="2" s="1"/>
  <c r="AQ72" i="2" s="1"/>
  <c r="AG57" i="2"/>
  <c r="AH3" i="5"/>
  <c r="BW3" i="5" s="1"/>
  <c r="AH57" i="4"/>
  <c r="AH3" i="4"/>
  <c r="AH64" i="3"/>
  <c r="AH88" i="3"/>
  <c r="AH3" i="3"/>
  <c r="AH28" i="3"/>
  <c r="AH105" i="2"/>
  <c r="AH80" i="2"/>
  <c r="AH55" i="2"/>
  <c r="B67" i="5"/>
  <c r="B74" i="5" s="1"/>
  <c r="B59" i="4"/>
  <c r="F57" i="2"/>
  <c r="N67" i="5"/>
  <c r="N59" i="4"/>
  <c r="R57" i="2"/>
  <c r="Z67" i="5"/>
  <c r="Z59" i="4"/>
  <c r="AD57" i="2"/>
  <c r="AL67" i="5"/>
  <c r="AL59" i="4"/>
  <c r="AL147" i="2"/>
  <c r="AY9" i="2"/>
  <c r="L68" i="5"/>
  <c r="L60" i="4"/>
  <c r="L67" i="4" s="1"/>
  <c r="P58" i="2"/>
  <c r="X68" i="5"/>
  <c r="X60" i="4"/>
  <c r="X67" i="4" s="1"/>
  <c r="AB58" i="2"/>
  <c r="AJ68" i="5"/>
  <c r="AJ60" i="4"/>
  <c r="AJ67" i="4" s="1"/>
  <c r="AN67" i="4" s="1"/>
  <c r="AR67" i="4" s="1"/>
  <c r="AW16" i="2"/>
  <c r="AX58" i="2" s="1"/>
  <c r="E17" i="2"/>
  <c r="AU17" i="2" s="1"/>
  <c r="AC17" i="2"/>
  <c r="AC59" i="2" s="1"/>
  <c r="J70" i="2"/>
  <c r="V70" i="2"/>
  <c r="AH70" i="2"/>
  <c r="C69" i="5"/>
  <c r="C71" i="2"/>
  <c r="AA69" i="5"/>
  <c r="AE60" i="2"/>
  <c r="AA71" i="2"/>
  <c r="AZ21" i="2"/>
  <c r="H61" i="4"/>
  <c r="H72" i="2"/>
  <c r="T61" i="4"/>
  <c r="X61" i="2"/>
  <c r="T72" i="2"/>
  <c r="AF61" i="4"/>
  <c r="AJ61" i="2"/>
  <c r="AF72" i="2"/>
  <c r="AC62" i="2"/>
  <c r="Y73" i="2"/>
  <c r="AK73" i="2"/>
  <c r="F24" i="2"/>
  <c r="F63" i="2" s="1"/>
  <c r="AD24" i="2"/>
  <c r="P76" i="2"/>
  <c r="AB76" i="2"/>
  <c r="AZ34" i="2"/>
  <c r="AI62" i="2"/>
  <c r="Q67" i="5"/>
  <c r="Q59" i="4"/>
  <c r="O68" i="5"/>
  <c r="O60" i="4"/>
  <c r="O67" i="4" s="1"/>
  <c r="W61" i="4"/>
  <c r="W72" i="2"/>
  <c r="AA61" i="2"/>
  <c r="AL3" i="2"/>
  <c r="C67" i="5"/>
  <c r="C59" i="4"/>
  <c r="G57" i="2"/>
  <c r="O67" i="5"/>
  <c r="O59" i="4"/>
  <c r="S57" i="2"/>
  <c r="AA67" i="5"/>
  <c r="AA80" i="5" s="1"/>
  <c r="AA79" i="5" s="1"/>
  <c r="AA59" i="4"/>
  <c r="AE57" i="2"/>
  <c r="AZ9" i="2"/>
  <c r="BA57" i="2" s="1"/>
  <c r="M68" i="5"/>
  <c r="M60" i="4"/>
  <c r="M67" i="4" s="1"/>
  <c r="Q58" i="2"/>
  <c r="Y68" i="5"/>
  <c r="Y60" i="4"/>
  <c r="Y67" i="4" s="1"/>
  <c r="AC58" i="2"/>
  <c r="AK68" i="5"/>
  <c r="AK60" i="4"/>
  <c r="AK67" i="4" s="1"/>
  <c r="AO67" i="4" s="1"/>
  <c r="AS67" i="4" s="1"/>
  <c r="F17" i="2"/>
  <c r="F59" i="2" s="1"/>
  <c r="R17" i="2"/>
  <c r="AD17" i="2"/>
  <c r="K70" i="2"/>
  <c r="W70" i="2"/>
  <c r="AI70" i="2"/>
  <c r="D69" i="5"/>
  <c r="D71" i="2"/>
  <c r="AB69" i="5"/>
  <c r="AB71" i="2"/>
  <c r="AF60" i="2"/>
  <c r="BA21" i="2"/>
  <c r="I61" i="4"/>
  <c r="I72" i="2"/>
  <c r="U61" i="4"/>
  <c r="U72" i="2"/>
  <c r="AG61" i="4"/>
  <c r="AG72" i="2"/>
  <c r="B73" i="2"/>
  <c r="F62" i="2"/>
  <c r="Z73" i="2"/>
  <c r="AD62" i="2"/>
  <c r="AL23" i="2"/>
  <c r="AE24" i="2"/>
  <c r="Q76" i="2"/>
  <c r="E67" i="5"/>
  <c r="E59" i="4"/>
  <c r="AB73" i="2"/>
  <c r="AF62" i="2"/>
  <c r="D67" i="5"/>
  <c r="D59" i="4"/>
  <c r="H57" i="2"/>
  <c r="P67" i="5"/>
  <c r="P59" i="4"/>
  <c r="T57" i="2"/>
  <c r="AB67" i="5"/>
  <c r="AB59" i="4"/>
  <c r="AF57" i="2"/>
  <c r="BA9" i="2"/>
  <c r="B68" i="5"/>
  <c r="B60" i="4"/>
  <c r="F58" i="2"/>
  <c r="N68" i="5"/>
  <c r="N60" i="4"/>
  <c r="N67" i="4" s="1"/>
  <c r="R58" i="2"/>
  <c r="Z68" i="5"/>
  <c r="Z60" i="4"/>
  <c r="Z67" i="4" s="1"/>
  <c r="AD58" i="2"/>
  <c r="AY16" i="2"/>
  <c r="AZ58" i="2" s="1"/>
  <c r="G17" i="2"/>
  <c r="G59" i="2" s="1"/>
  <c r="S17" i="2"/>
  <c r="AE17" i="2"/>
  <c r="L70" i="2"/>
  <c r="X70" i="2"/>
  <c r="AJ70" i="2"/>
  <c r="E69" i="5"/>
  <c r="E71" i="2"/>
  <c r="AC69" i="5"/>
  <c r="AC71" i="2"/>
  <c r="AG60" i="2"/>
  <c r="BB21" i="2"/>
  <c r="J61" i="4"/>
  <c r="J72" i="2"/>
  <c r="V61" i="4"/>
  <c r="V72" i="2"/>
  <c r="Z61" i="2"/>
  <c r="AH61" i="4"/>
  <c r="AH72" i="2"/>
  <c r="AL72" i="2" s="1"/>
  <c r="AP72" i="2" s="1"/>
  <c r="AU22" i="2"/>
  <c r="C73" i="2"/>
  <c r="G62" i="2"/>
  <c r="AA73" i="2"/>
  <c r="AE62" i="2"/>
  <c r="AZ23" i="2"/>
  <c r="T24" i="2"/>
  <c r="T25" i="2" s="1"/>
  <c r="AF24" i="2"/>
  <c r="AF25" i="2" s="1"/>
  <c r="R76" i="2"/>
  <c r="AD76" i="2"/>
  <c r="U57" i="2"/>
  <c r="AL76" i="2"/>
  <c r="AD61" i="5"/>
  <c r="AD103" i="2"/>
  <c r="E80" i="5"/>
  <c r="AW86" i="2"/>
  <c r="AZ86" i="2"/>
  <c r="V85" i="2"/>
  <c r="BC86" i="2"/>
  <c r="AH85" i="2"/>
  <c r="U80" i="5"/>
  <c r="U79" i="5" s="1"/>
  <c r="AG80" i="5"/>
  <c r="AU92" i="2"/>
  <c r="D91" i="2"/>
  <c r="AZ76" i="2"/>
  <c r="AU82" i="2"/>
  <c r="AY91" i="2"/>
  <c r="AN76" i="2"/>
  <c r="BA76" i="2"/>
  <c r="AV37" i="2"/>
  <c r="H50" i="4"/>
  <c r="H103" i="2"/>
  <c r="T50" i="4"/>
  <c r="T51" i="4" s="1"/>
  <c r="T103" i="2"/>
  <c r="AF50" i="4"/>
  <c r="AF51" i="4" s="1"/>
  <c r="AF103" i="2"/>
  <c r="AA157" i="2"/>
  <c r="AC76" i="2"/>
  <c r="AO76" i="2"/>
  <c r="BB76" i="2"/>
  <c r="AW37" i="2"/>
  <c r="AL52" i="2"/>
  <c r="I50" i="4"/>
  <c r="I103" i="2"/>
  <c r="U50" i="4"/>
  <c r="U103" i="2"/>
  <c r="AG61" i="5"/>
  <c r="AG50" i="4"/>
  <c r="AG103" i="2"/>
  <c r="AP76" i="2"/>
  <c r="BC76" i="2"/>
  <c r="BA52" i="2"/>
  <c r="AH61" i="5"/>
  <c r="AH103" i="2"/>
  <c r="BD76" i="2"/>
  <c r="AJ61" i="5"/>
  <c r="AJ103" i="2"/>
  <c r="AR76" i="2"/>
  <c r="BE76" i="2"/>
  <c r="AM33" i="2"/>
  <c r="AM37" i="2"/>
  <c r="AZ37" i="2"/>
  <c r="BC52" i="2"/>
  <c r="AX82" i="2"/>
  <c r="D80" i="5"/>
  <c r="AB80" i="5"/>
  <c r="BC91" i="2"/>
  <c r="AS76" i="2"/>
  <c r="AL53" i="2"/>
  <c r="AC80" i="5"/>
  <c r="C80" i="5"/>
  <c r="BB90" i="2"/>
  <c r="AD88" i="2"/>
  <c r="BB88" i="2" s="1"/>
  <c r="AU94" i="2"/>
  <c r="B91" i="2"/>
  <c r="AU91" i="2" s="1"/>
  <c r="AX94" i="2"/>
  <c r="N91" i="2"/>
  <c r="Z91" i="2"/>
  <c r="BA94" i="2"/>
  <c r="BD94" i="2"/>
  <c r="AL91" i="2"/>
  <c r="K154" i="2"/>
  <c r="AH76" i="2"/>
  <c r="X82" i="2"/>
  <c r="AZ84" i="2"/>
  <c r="AJ82" i="2"/>
  <c r="BC84" i="2"/>
  <c r="F88" i="2"/>
  <c r="AV88" i="2" s="1"/>
  <c r="AV90" i="2"/>
  <c r="R88" i="2"/>
  <c r="AY88" i="2" s="1"/>
  <c r="AY90" i="2"/>
  <c r="O50" i="4"/>
  <c r="O103" i="2"/>
  <c r="AA50" i="4"/>
  <c r="AA103" i="2"/>
  <c r="BA53" i="2"/>
  <c r="AZ88" i="2"/>
  <c r="AJ76" i="2"/>
  <c r="P50" i="4"/>
  <c r="P103" i="2"/>
  <c r="AB50" i="4"/>
  <c r="AB103" i="2"/>
  <c r="BB53" i="2"/>
  <c r="AV83" i="2"/>
  <c r="BB83" i="2"/>
  <c r="AW84" i="2"/>
  <c r="AX92" i="2"/>
  <c r="G91" i="2"/>
  <c r="AV91" i="2" s="1"/>
  <c r="AV95" i="2"/>
  <c r="O82" i="2"/>
  <c r="AD80" i="5"/>
  <c r="AY84" i="2"/>
  <c r="AE80" i="5"/>
  <c r="BC92" i="2"/>
  <c r="BE109" i="2"/>
  <c r="AW113" i="2"/>
  <c r="J121" i="2"/>
  <c r="BC113" i="2"/>
  <c r="AH121" i="2"/>
  <c r="H147" i="2"/>
  <c r="AV146" i="2"/>
  <c r="T147" i="2"/>
  <c r="AY146" i="2"/>
  <c r="AF175" i="2"/>
  <c r="AF148" i="2"/>
  <c r="AV154" i="2"/>
  <c r="AF80" i="5"/>
  <c r="I175" i="2"/>
  <c r="I148" i="2"/>
  <c r="U175" i="2"/>
  <c r="U148" i="2"/>
  <c r="AG175" i="2"/>
  <c r="AG148" i="2"/>
  <c r="M175" i="2"/>
  <c r="M148" i="2"/>
  <c r="AK175" i="2"/>
  <c r="AL145" i="2"/>
  <c r="AL143" i="2"/>
  <c r="AK148" i="2"/>
  <c r="AL144" i="2"/>
  <c r="AL142" i="2"/>
  <c r="AQ160" i="2"/>
  <c r="F82" i="2"/>
  <c r="AV82" i="2" s="1"/>
  <c r="AD82" i="2"/>
  <c r="BB82" i="2" s="1"/>
  <c r="L88" i="2"/>
  <c r="AW88" i="2" s="1"/>
  <c r="BB89" i="2"/>
  <c r="O91" i="2"/>
  <c r="AA91" i="2"/>
  <c r="AJ121" i="2"/>
  <c r="AJ126" i="2" s="1"/>
  <c r="AJ129" i="2" s="1"/>
  <c r="AJ131" i="2" s="1"/>
  <c r="AJ133" i="2" s="1"/>
  <c r="J175" i="2"/>
  <c r="AW147" i="2"/>
  <c r="J148" i="2"/>
  <c r="V175" i="2"/>
  <c r="V148" i="2"/>
  <c r="AZ147" i="2"/>
  <c r="AZ148" i="2" s="1"/>
  <c r="AW83" i="2"/>
  <c r="AU85" i="2"/>
  <c r="Y126" i="2"/>
  <c r="Y129" i="2" s="1"/>
  <c r="Y131" i="2" s="1"/>
  <c r="Y133" i="2" s="1"/>
  <c r="K175" i="2"/>
  <c r="K148" i="2"/>
  <c r="W175" i="2"/>
  <c r="W148" i="2"/>
  <c r="K153" i="2"/>
  <c r="W80" i="5"/>
  <c r="BA86" i="2"/>
  <c r="AU113" i="2"/>
  <c r="B121" i="2"/>
  <c r="AX113" i="2"/>
  <c r="N121" i="2"/>
  <c r="Z126" i="2"/>
  <c r="BA121" i="2"/>
  <c r="F155" i="2"/>
  <c r="G152" i="2"/>
  <c r="X80" i="5"/>
  <c r="AJ80" i="5"/>
  <c r="BC120" i="2"/>
  <c r="AQ154" i="2"/>
  <c r="AR154" i="2" s="1"/>
  <c r="AS154" i="2" s="1"/>
  <c r="V157" i="2"/>
  <c r="AZ156" i="2"/>
  <c r="BC155" i="2"/>
  <c r="V82" i="2"/>
  <c r="AZ82" i="2" s="1"/>
  <c r="AH82" i="2"/>
  <c r="Y80" i="5"/>
  <c r="AK80" i="5"/>
  <c r="AW92" i="2"/>
  <c r="Z80" i="5"/>
  <c r="Z79" i="5" s="1"/>
  <c r="AL80" i="5"/>
  <c r="AL16" i="4"/>
  <c r="Y175" i="2"/>
  <c r="Y148" i="2"/>
  <c r="AV110" i="2"/>
  <c r="F113" i="2"/>
  <c r="AY110" i="2"/>
  <c r="R113" i="2"/>
  <c r="BB110" i="2"/>
  <c r="AD113" i="2"/>
  <c r="BA113" i="2"/>
  <c r="AQ163" i="2"/>
  <c r="AR163" i="2" s="1"/>
  <c r="AS163" i="2" s="1"/>
  <c r="AS107" i="2"/>
  <c r="BA85" i="2"/>
  <c r="V91" i="2"/>
  <c r="AZ91" i="2" s="1"/>
  <c r="AV108" i="2"/>
  <c r="AY108" i="2"/>
  <c r="BB108" i="2"/>
  <c r="AU120" i="2"/>
  <c r="AX120" i="2"/>
  <c r="E175" i="2"/>
  <c r="E148" i="2"/>
  <c r="Q175" i="2"/>
  <c r="Q148" i="2"/>
  <c r="AC175" i="2"/>
  <c r="AC148" i="2"/>
  <c r="B147" i="2"/>
  <c r="N147" i="2"/>
  <c r="Z147" i="2"/>
  <c r="AY147" i="2"/>
  <c r="AY148" i="2" s="1"/>
  <c r="G148" i="2"/>
  <c r="S148" i="2"/>
  <c r="AE148" i="2"/>
  <c r="W157" i="2"/>
  <c r="AJ157" i="2"/>
  <c r="AL165" i="2"/>
  <c r="BD162" i="2"/>
  <c r="BB175" i="2"/>
  <c r="BB93" i="3"/>
  <c r="BB101" i="3"/>
  <c r="BB94" i="3"/>
  <c r="BB105" i="3"/>
  <c r="N37" i="3"/>
  <c r="AI155" i="2"/>
  <c r="X157" i="2"/>
  <c r="AK157" i="2"/>
  <c r="AQ162" i="2"/>
  <c r="AR162" i="2" s="1"/>
  <c r="AS162" i="2" s="1"/>
  <c r="AI175" i="2"/>
  <c r="BC175" i="2"/>
  <c r="E101" i="3"/>
  <c r="E93" i="3"/>
  <c r="E105" i="3"/>
  <c r="E21" i="3"/>
  <c r="E16" i="3"/>
  <c r="E7" i="3"/>
  <c r="E30" i="3"/>
  <c r="E37" i="3" s="1"/>
  <c r="E26" i="3"/>
  <c r="Q101" i="3"/>
  <c r="Q93" i="3"/>
  <c r="Q58" i="3"/>
  <c r="Q105" i="3"/>
  <c r="Q21" i="3"/>
  <c r="Q16" i="3"/>
  <c r="Q7" i="3"/>
  <c r="Q30" i="3"/>
  <c r="Q26" i="3"/>
  <c r="AC58" i="3"/>
  <c r="AC60" i="3" s="1"/>
  <c r="AC105" i="3"/>
  <c r="AC21" i="3"/>
  <c r="AC16" i="3"/>
  <c r="AC7" i="3"/>
  <c r="AC30" i="3"/>
  <c r="AC26" i="3"/>
  <c r="AU20" i="3"/>
  <c r="AU21" i="3"/>
  <c r="AM18" i="3"/>
  <c r="AN20" i="3"/>
  <c r="BE23" i="3"/>
  <c r="AD83" i="3"/>
  <c r="Z37" i="3"/>
  <c r="Z34" i="3"/>
  <c r="BA30" i="3"/>
  <c r="AN153" i="2"/>
  <c r="AO153" i="2" s="1"/>
  <c r="AP153" i="2" s="1"/>
  <c r="Y157" i="2"/>
  <c r="AI176" i="2"/>
  <c r="AL37" i="3"/>
  <c r="AU110" i="2"/>
  <c r="AW146" i="2"/>
  <c r="BB147" i="2"/>
  <c r="BB148" i="2" s="1"/>
  <c r="AM152" i="2"/>
  <c r="BA155" i="2"/>
  <c r="B156" i="2"/>
  <c r="AU156" i="2" s="1"/>
  <c r="AO169" i="2"/>
  <c r="AN170" i="2"/>
  <c r="AV173" i="2"/>
  <c r="AY173" i="2"/>
  <c r="BD15" i="3"/>
  <c r="AV20" i="3"/>
  <c r="E85" i="4"/>
  <c r="AU33" i="3"/>
  <c r="BC164" i="2"/>
  <c r="AH165" i="2"/>
  <c r="BB173" i="2"/>
  <c r="AW20" i="3"/>
  <c r="AW25" i="3"/>
  <c r="AW110" i="2"/>
  <c r="V113" i="2"/>
  <c r="L148" i="2"/>
  <c r="X148" i="2"/>
  <c r="AJ148" i="2"/>
  <c r="AB157" i="2"/>
  <c r="T157" i="2"/>
  <c r="J165" i="2"/>
  <c r="AW165" i="2" s="1"/>
  <c r="AW164" i="2"/>
  <c r="V165" i="2"/>
  <c r="AZ164" i="2"/>
  <c r="AG61" i="3"/>
  <c r="AX110" i="2"/>
  <c r="BC119" i="2"/>
  <c r="AZ146" i="2"/>
  <c r="BC152" i="2"/>
  <c r="AC157" i="2"/>
  <c r="Z157" i="2"/>
  <c r="BA156" i="2"/>
  <c r="G86" i="4"/>
  <c r="G54" i="3"/>
  <c r="H31" i="3"/>
  <c r="AV32" i="3"/>
  <c r="G33" i="3"/>
  <c r="G85" i="4" s="1"/>
  <c r="S86" i="4"/>
  <c r="S54" i="3"/>
  <c r="S55" i="3" s="1"/>
  <c r="T31" i="3"/>
  <c r="AY32" i="3"/>
  <c r="AE86" i="4"/>
  <c r="AE54" i="3"/>
  <c r="AE55" i="3" s="1"/>
  <c r="AF31" i="3"/>
  <c r="BB32" i="3"/>
  <c r="AE33" i="3"/>
  <c r="AE85" i="4" s="1"/>
  <c r="AM151" i="2"/>
  <c r="BB155" i="2"/>
  <c r="AL156" i="2"/>
  <c r="AZ173" i="2"/>
  <c r="AH147" i="2"/>
  <c r="C148" i="2"/>
  <c r="O148" i="2"/>
  <c r="AA148" i="2"/>
  <c r="AE157" i="2"/>
  <c r="AZ59" i="3"/>
  <c r="BA110" i="2"/>
  <c r="AV147" i="2"/>
  <c r="AV148" i="2" s="1"/>
  <c r="D148" i="2"/>
  <c r="P148" i="2"/>
  <c r="AB148" i="2"/>
  <c r="AF157" i="2"/>
  <c r="AU165" i="2"/>
  <c r="AX165" i="2"/>
  <c r="N176" i="2"/>
  <c r="AY175" i="2"/>
  <c r="M60" i="3"/>
  <c r="AK37" i="3"/>
  <c r="BB21" i="3"/>
  <c r="AX31" i="3"/>
  <c r="U157" i="2"/>
  <c r="AG157" i="2"/>
  <c r="AZ175" i="2"/>
  <c r="BA173" i="2"/>
  <c r="AX5" i="3"/>
  <c r="B37" i="3"/>
  <c r="AU30" i="3"/>
  <c r="AV164" i="2"/>
  <c r="AZ172" i="2"/>
  <c r="F105" i="3"/>
  <c r="F93" i="3"/>
  <c r="F101" i="3"/>
  <c r="R105" i="3"/>
  <c r="R93" i="3"/>
  <c r="R58" i="3"/>
  <c r="R101" i="3"/>
  <c r="AD101" i="3"/>
  <c r="AD94" i="3"/>
  <c r="AD105" i="3"/>
  <c r="AD58" i="3"/>
  <c r="BC5" i="3"/>
  <c r="BC7" i="3" s="1"/>
  <c r="I7" i="3"/>
  <c r="U7" i="3"/>
  <c r="AG7" i="3"/>
  <c r="AU13" i="3"/>
  <c r="AV15" i="3" s="1"/>
  <c r="BA15" i="3"/>
  <c r="I16" i="3"/>
  <c r="U16" i="3"/>
  <c r="AG16" i="3"/>
  <c r="BA20" i="3"/>
  <c r="U21" i="3"/>
  <c r="AG21" i="3"/>
  <c r="AV25" i="3"/>
  <c r="D26" i="3"/>
  <c r="P26" i="3"/>
  <c r="AB26" i="3"/>
  <c r="O30" i="3"/>
  <c r="AA30" i="3"/>
  <c r="H86" i="4"/>
  <c r="H54" i="3"/>
  <c r="T86" i="4"/>
  <c r="T54" i="3"/>
  <c r="AF86" i="4"/>
  <c r="AF54" i="3"/>
  <c r="AF33" i="3"/>
  <c r="AF85" i="4" s="1"/>
  <c r="F85" i="4"/>
  <c r="T33" i="3"/>
  <c r="T85" i="4" s="1"/>
  <c r="K54" i="3"/>
  <c r="BB79" i="3"/>
  <c r="BD160" i="2"/>
  <c r="BD163" i="2"/>
  <c r="BA168" i="2"/>
  <c r="BA172" i="2"/>
  <c r="AL175" i="2"/>
  <c r="G105" i="3"/>
  <c r="G101" i="3"/>
  <c r="G93" i="3"/>
  <c r="S105" i="3"/>
  <c r="S101" i="3"/>
  <c r="S93" i="3"/>
  <c r="S58" i="3"/>
  <c r="S60" i="3" s="1"/>
  <c r="AE101" i="3"/>
  <c r="AE94" i="3"/>
  <c r="AE105" i="3"/>
  <c r="AE93" i="3"/>
  <c r="AE58" i="3"/>
  <c r="AE60" i="3" s="1"/>
  <c r="J7" i="3"/>
  <c r="V7" i="3"/>
  <c r="AH7" i="3"/>
  <c r="BB15" i="3"/>
  <c r="J16" i="3"/>
  <c r="V16" i="3"/>
  <c r="AH16" i="3"/>
  <c r="BB20" i="3"/>
  <c r="BB26" i="3"/>
  <c r="D30" i="3"/>
  <c r="D37" i="3" s="1"/>
  <c r="P30" i="3"/>
  <c r="AB30" i="3"/>
  <c r="I86" i="4"/>
  <c r="I54" i="3"/>
  <c r="AV54" i="3" s="1"/>
  <c r="U86" i="4"/>
  <c r="U54" i="3"/>
  <c r="AG86" i="4"/>
  <c r="AG54" i="3"/>
  <c r="AW39" i="3"/>
  <c r="AZ39" i="3"/>
  <c r="BC39" i="3"/>
  <c r="W54" i="3"/>
  <c r="I72" i="3"/>
  <c r="J71" i="3"/>
  <c r="AV71" i="3"/>
  <c r="BD17" i="4"/>
  <c r="AP17" i="4"/>
  <c r="AQ17" i="4" s="1"/>
  <c r="AR17" i="4" s="1"/>
  <c r="AS17" i="4" s="1"/>
  <c r="BE17" i="4" s="1"/>
  <c r="AX164" i="2"/>
  <c r="R165" i="2"/>
  <c r="AY165" i="2" s="1"/>
  <c r="AD165" i="2"/>
  <c r="J173" i="2"/>
  <c r="AW173" i="2" s="1"/>
  <c r="H105" i="3"/>
  <c r="H101" i="3"/>
  <c r="H93" i="3"/>
  <c r="H58" i="3"/>
  <c r="H60" i="3" s="1"/>
  <c r="T105" i="3"/>
  <c r="T101" i="3"/>
  <c r="T93" i="3"/>
  <c r="T58" i="3"/>
  <c r="T60" i="3" s="1"/>
  <c r="AF94" i="3"/>
  <c r="AF58" i="3"/>
  <c r="AF60" i="3" s="1"/>
  <c r="K7" i="3"/>
  <c r="W7" i="3"/>
  <c r="AI7" i="3"/>
  <c r="BC15" i="3"/>
  <c r="K16" i="3"/>
  <c r="W16" i="3"/>
  <c r="AI16" i="3"/>
  <c r="BC20" i="3"/>
  <c r="AX25" i="3"/>
  <c r="F26" i="3"/>
  <c r="R26" i="3"/>
  <c r="AD26" i="3"/>
  <c r="BC26" i="3"/>
  <c r="J86" i="4"/>
  <c r="J54" i="3"/>
  <c r="V86" i="4"/>
  <c r="V54" i="3"/>
  <c r="V55" i="3" s="1"/>
  <c r="AH86" i="4"/>
  <c r="AH54" i="3"/>
  <c r="H33" i="3"/>
  <c r="H85" i="4" s="1"/>
  <c r="V33" i="3"/>
  <c r="AW52" i="3"/>
  <c r="AW53" i="3"/>
  <c r="AI54" i="3"/>
  <c r="AD93" i="3"/>
  <c r="AX105" i="3"/>
  <c r="AD156" i="2"/>
  <c r="Z164" i="2"/>
  <c r="AI173" i="2"/>
  <c r="BC173" i="2" s="1"/>
  <c r="I105" i="3"/>
  <c r="I101" i="3"/>
  <c r="I93" i="3"/>
  <c r="I58" i="3"/>
  <c r="L7" i="3"/>
  <c r="X7" i="3"/>
  <c r="AJ7" i="3"/>
  <c r="L16" i="3"/>
  <c r="X16" i="3"/>
  <c r="AJ16" i="3"/>
  <c r="AY25" i="3"/>
  <c r="G26" i="3"/>
  <c r="S26" i="3"/>
  <c r="AE26" i="3"/>
  <c r="F30" i="3"/>
  <c r="R30" i="3"/>
  <c r="AD30" i="3"/>
  <c r="K89" i="4"/>
  <c r="K88" i="4"/>
  <c r="W89" i="4"/>
  <c r="W88" i="4"/>
  <c r="AI89" i="4"/>
  <c r="AI88" i="4"/>
  <c r="AW32" i="3"/>
  <c r="W33" i="3"/>
  <c r="W85" i="4" s="1"/>
  <c r="AZ38" i="3"/>
  <c r="M38" i="3"/>
  <c r="AW38" i="3" s="1"/>
  <c r="L40" i="3"/>
  <c r="Y38" i="3"/>
  <c r="X40" i="3"/>
  <c r="AK38" i="3"/>
  <c r="BC38" i="3" s="1"/>
  <c r="AJ40" i="3"/>
  <c r="AX52" i="3"/>
  <c r="AX53" i="3"/>
  <c r="AX79" i="3"/>
  <c r="T79" i="3"/>
  <c r="AM164" i="2"/>
  <c r="J105" i="3"/>
  <c r="J101" i="3"/>
  <c r="J93" i="3"/>
  <c r="J58" i="3"/>
  <c r="J60" i="3" s="1"/>
  <c r="V105" i="3"/>
  <c r="V101" i="3"/>
  <c r="V93" i="3"/>
  <c r="V58" i="3"/>
  <c r="V60" i="3" s="1"/>
  <c r="V94" i="3"/>
  <c r="AH105" i="3"/>
  <c r="AH93" i="3"/>
  <c r="AH58" i="3"/>
  <c r="AH60" i="3" s="1"/>
  <c r="AH101" i="3"/>
  <c r="AU5" i="3"/>
  <c r="AU7" i="3" s="1"/>
  <c r="M7" i="3"/>
  <c r="Y7" i="3"/>
  <c r="AK7" i="3"/>
  <c r="M16" i="3"/>
  <c r="Y16" i="3"/>
  <c r="AK16" i="3"/>
  <c r="AX16" i="3"/>
  <c r="G20" i="3"/>
  <c r="M21" i="3"/>
  <c r="AK21" i="3"/>
  <c r="AX21" i="3"/>
  <c r="G25" i="3"/>
  <c r="H26" i="3"/>
  <c r="T26" i="3"/>
  <c r="AF26" i="3"/>
  <c r="G30" i="3"/>
  <c r="S30" i="3"/>
  <c r="AE30" i="3"/>
  <c r="L86" i="4"/>
  <c r="L33" i="3"/>
  <c r="L85" i="4" s="1"/>
  <c r="L54" i="3"/>
  <c r="X86" i="4"/>
  <c r="X33" i="3"/>
  <c r="X85" i="4" s="1"/>
  <c r="X54" i="3"/>
  <c r="AJ86" i="4"/>
  <c r="AJ33" i="3"/>
  <c r="AJ85" i="4" s="1"/>
  <c r="AJ54" i="3"/>
  <c r="AJ55" i="3" s="1"/>
  <c r="M40" i="3"/>
  <c r="AW40" i="3" s="1"/>
  <c r="Y40" i="3"/>
  <c r="R59" i="3"/>
  <c r="AY59" i="3" s="1"/>
  <c r="AY79" i="3"/>
  <c r="AZ155" i="2"/>
  <c r="K105" i="3"/>
  <c r="K101" i="3"/>
  <c r="K93" i="3"/>
  <c r="K58" i="3"/>
  <c r="K60" i="3" s="1"/>
  <c r="W105" i="3"/>
  <c r="W101" i="3"/>
  <c r="W93" i="3"/>
  <c r="W94" i="3"/>
  <c r="W96" i="3" s="1"/>
  <c r="W58" i="3"/>
  <c r="W60" i="3" s="1"/>
  <c r="W61" i="3" s="1"/>
  <c r="AI105" i="3"/>
  <c r="AI93" i="3"/>
  <c r="AI101" i="3"/>
  <c r="AI58" i="3"/>
  <c r="AI60" i="3" s="1"/>
  <c r="AV5" i="3"/>
  <c r="AV16" i="3" s="1"/>
  <c r="B7" i="3"/>
  <c r="N7" i="3"/>
  <c r="Z7" i="3"/>
  <c r="B16" i="3"/>
  <c r="N16" i="3"/>
  <c r="Z16" i="3"/>
  <c r="AL16" i="3"/>
  <c r="N21" i="3"/>
  <c r="AL21" i="3"/>
  <c r="AY21" i="3"/>
  <c r="I26" i="3"/>
  <c r="U26" i="3"/>
  <c r="AG26" i="3"/>
  <c r="H30" i="3"/>
  <c r="T30" i="3"/>
  <c r="AF30" i="3"/>
  <c r="M86" i="4"/>
  <c r="M54" i="3"/>
  <c r="Y86" i="4"/>
  <c r="Y54" i="3"/>
  <c r="AK86" i="4"/>
  <c r="AK54" i="3"/>
  <c r="AK55" i="3" s="1"/>
  <c r="K33" i="3"/>
  <c r="K85" i="4" s="1"/>
  <c r="AC101" i="3"/>
  <c r="J55" i="4"/>
  <c r="J54" i="4"/>
  <c r="V55" i="4"/>
  <c r="AH55" i="4"/>
  <c r="AN161" i="2"/>
  <c r="B173" i="2"/>
  <c r="AU173" i="2" s="1"/>
  <c r="N173" i="2"/>
  <c r="AX173" i="2" s="1"/>
  <c r="L105" i="3"/>
  <c r="L101" i="3"/>
  <c r="L58" i="3"/>
  <c r="L60" i="3" s="1"/>
  <c r="L61" i="3" s="1"/>
  <c r="L93" i="3"/>
  <c r="X105" i="3"/>
  <c r="X101" i="3"/>
  <c r="X94" i="3"/>
  <c r="X93" i="3"/>
  <c r="X58" i="3"/>
  <c r="AJ58" i="3"/>
  <c r="AJ60" i="3" s="1"/>
  <c r="AJ94" i="3"/>
  <c r="AW5" i="3"/>
  <c r="AW7" i="3" s="1"/>
  <c r="O7" i="3"/>
  <c r="AA7" i="3"/>
  <c r="C16" i="3"/>
  <c r="O16" i="3"/>
  <c r="AA16" i="3"/>
  <c r="C21" i="3"/>
  <c r="BD23" i="3"/>
  <c r="J26" i="3"/>
  <c r="V26" i="3"/>
  <c r="AH26" i="3"/>
  <c r="I30" i="3"/>
  <c r="U30" i="3"/>
  <c r="AG30" i="3"/>
  <c r="AG85" i="3" s="1"/>
  <c r="N86" i="4"/>
  <c r="N54" i="3"/>
  <c r="N55" i="3" s="1"/>
  <c r="N33" i="3"/>
  <c r="N34" i="3" s="1"/>
  <c r="Z86" i="4"/>
  <c r="BA32" i="3"/>
  <c r="Z54" i="3"/>
  <c r="Z33" i="3"/>
  <c r="AZ32" i="3"/>
  <c r="M33" i="3"/>
  <c r="M85" i="4" s="1"/>
  <c r="AH156" i="2"/>
  <c r="BC170" i="2"/>
  <c r="AM173" i="2"/>
  <c r="M105" i="3"/>
  <c r="M101" i="3"/>
  <c r="M93" i="3"/>
  <c r="D7" i="3"/>
  <c r="P7" i="3"/>
  <c r="AB7" i="3"/>
  <c r="D16" i="3"/>
  <c r="P16" i="3"/>
  <c r="AB16" i="3"/>
  <c r="K26" i="3"/>
  <c r="W26" i="3"/>
  <c r="AI26" i="3"/>
  <c r="J30" i="3"/>
  <c r="V30" i="3"/>
  <c r="AH30" i="3"/>
  <c r="O86" i="4"/>
  <c r="O54" i="3"/>
  <c r="O55" i="3" s="1"/>
  <c r="AA86" i="4"/>
  <c r="AA54" i="3"/>
  <c r="AA55" i="3" s="1"/>
  <c r="AA33" i="3"/>
  <c r="AA85" i="4" s="1"/>
  <c r="O33" i="3"/>
  <c r="O85" i="4" s="1"/>
  <c r="AH33" i="3"/>
  <c r="AX38" i="3"/>
  <c r="AZ40" i="3"/>
  <c r="Y58" i="3"/>
  <c r="Y60" i="3" s="1"/>
  <c r="Y61" i="3" s="1"/>
  <c r="Z76" i="3"/>
  <c r="Y78" i="3"/>
  <c r="Y79" i="3" s="1"/>
  <c r="AC77" i="3"/>
  <c r="AZ76" i="3"/>
  <c r="Y77" i="3"/>
  <c r="J50" i="4"/>
  <c r="V50" i="4"/>
  <c r="AK50" i="4"/>
  <c r="AV172" i="2"/>
  <c r="N105" i="3"/>
  <c r="N101" i="3"/>
  <c r="N93" i="3"/>
  <c r="N58" i="3"/>
  <c r="N60" i="3" s="1"/>
  <c r="Z105" i="3"/>
  <c r="Z101" i="3"/>
  <c r="Z93" i="3"/>
  <c r="Z94" i="3"/>
  <c r="Z58" i="3"/>
  <c r="AY5" i="3"/>
  <c r="AY26" i="3" s="1"/>
  <c r="AP13" i="3"/>
  <c r="L26" i="3"/>
  <c r="X26" i="3"/>
  <c r="AJ26" i="3"/>
  <c r="K30" i="3"/>
  <c r="W30" i="3"/>
  <c r="AI30" i="3"/>
  <c r="P86" i="4"/>
  <c r="P54" i="3"/>
  <c r="AB86" i="4"/>
  <c r="AB54" i="3"/>
  <c r="AB55" i="3" s="1"/>
  <c r="BC32" i="3"/>
  <c r="P33" i="3"/>
  <c r="P85" i="4" s="1"/>
  <c r="AI33" i="3"/>
  <c r="AI85" i="4" s="1"/>
  <c r="AW59" i="3"/>
  <c r="AK58" i="3"/>
  <c r="AK60" i="3" s="1"/>
  <c r="AK61" i="3" s="1"/>
  <c r="B105" i="3"/>
  <c r="B101" i="3"/>
  <c r="B93" i="3"/>
  <c r="O105" i="3"/>
  <c r="O101" i="3"/>
  <c r="O93" i="3"/>
  <c r="O58" i="3"/>
  <c r="O60" i="3" s="1"/>
  <c r="O61" i="3" s="1"/>
  <c r="AA105" i="3"/>
  <c r="AA93" i="3"/>
  <c r="AA94" i="3"/>
  <c r="AA58" i="3"/>
  <c r="AA60" i="3" s="1"/>
  <c r="AA61" i="3" s="1"/>
  <c r="AZ5" i="3"/>
  <c r="AZ93" i="3" s="1"/>
  <c r="F7" i="3"/>
  <c r="R7" i="3"/>
  <c r="AD7" i="3"/>
  <c r="F16" i="3"/>
  <c r="R16" i="3"/>
  <c r="AD16" i="3"/>
  <c r="F21" i="3"/>
  <c r="R21" i="3"/>
  <c r="AD21" i="3"/>
  <c r="M26" i="3"/>
  <c r="Y26" i="3"/>
  <c r="AK26" i="3"/>
  <c r="L30" i="3"/>
  <c r="X30" i="3"/>
  <c r="AJ30" i="3"/>
  <c r="I31" i="3"/>
  <c r="I33" i="3" s="1"/>
  <c r="I85" i="4" s="1"/>
  <c r="U31" i="3"/>
  <c r="U33" i="3" s="1"/>
  <c r="U85" i="4" s="1"/>
  <c r="AG31" i="3"/>
  <c r="AG33" i="3" s="1"/>
  <c r="AG85" i="4" s="1"/>
  <c r="E89" i="4"/>
  <c r="E88" i="4"/>
  <c r="Q86" i="4"/>
  <c r="Q54" i="3"/>
  <c r="AC86" i="4"/>
  <c r="AC54" i="3"/>
  <c r="AC33" i="3"/>
  <c r="AC85" i="4" s="1"/>
  <c r="Q33" i="3"/>
  <c r="Q85" i="4" s="1"/>
  <c r="AK33" i="3"/>
  <c r="AK85" i="4" s="1"/>
  <c r="AY40" i="3"/>
  <c r="BB40" i="3"/>
  <c r="AY50" i="3"/>
  <c r="Q59" i="3"/>
  <c r="AX59" i="3" s="1"/>
  <c r="BA78" i="3"/>
  <c r="BD28" i="4"/>
  <c r="AP28" i="4"/>
  <c r="AQ28" i="4" s="1"/>
  <c r="AR28" i="4" s="1"/>
  <c r="AS28" i="4" s="1"/>
  <c r="BE28" i="4" s="1"/>
  <c r="D105" i="3"/>
  <c r="D101" i="3"/>
  <c r="D93" i="3"/>
  <c r="P105" i="3"/>
  <c r="P101" i="3"/>
  <c r="P93" i="3"/>
  <c r="P58" i="3"/>
  <c r="P60" i="3" s="1"/>
  <c r="P61" i="3" s="1"/>
  <c r="AB105" i="3"/>
  <c r="AB93" i="3"/>
  <c r="AB94" i="3"/>
  <c r="AB58" i="3"/>
  <c r="AB60" i="3" s="1"/>
  <c r="BA5" i="3"/>
  <c r="BA16" i="3" s="1"/>
  <c r="G7" i="3"/>
  <c r="S7" i="3"/>
  <c r="AE7" i="3"/>
  <c r="G16" i="3"/>
  <c r="S16" i="3"/>
  <c r="AE16" i="3"/>
  <c r="G21" i="3"/>
  <c r="S21" i="3"/>
  <c r="AE21" i="3"/>
  <c r="B26" i="3"/>
  <c r="N26" i="3"/>
  <c r="Z26" i="3"/>
  <c r="M30" i="3"/>
  <c r="Y30" i="3"/>
  <c r="J31" i="3"/>
  <c r="AW31" i="3" s="1"/>
  <c r="V31" i="3"/>
  <c r="AZ31" i="3" s="1"/>
  <c r="AH31" i="3"/>
  <c r="BC31" i="3" s="1"/>
  <c r="F89" i="4"/>
  <c r="F88" i="4"/>
  <c r="R86" i="4"/>
  <c r="R54" i="3"/>
  <c r="AD86" i="4"/>
  <c r="AD54" i="3"/>
  <c r="AD55" i="3" s="1"/>
  <c r="AD33" i="3"/>
  <c r="R33" i="3"/>
  <c r="AY39" i="3"/>
  <c r="R52" i="3"/>
  <c r="AD52" i="3"/>
  <c r="AG77" i="3"/>
  <c r="AC78" i="3"/>
  <c r="BA90" i="3"/>
  <c r="AG99" i="3"/>
  <c r="AH100" i="3"/>
  <c r="AG100" i="3"/>
  <c r="AY105" i="3"/>
  <c r="BB48" i="4"/>
  <c r="K55" i="4"/>
  <c r="K54" i="4"/>
  <c r="W55" i="4"/>
  <c r="W54" i="4"/>
  <c r="AI55" i="4"/>
  <c r="AI54" i="4"/>
  <c r="X55" i="4"/>
  <c r="X54" i="4"/>
  <c r="AO40" i="4"/>
  <c r="K50" i="4"/>
  <c r="K51" i="4" s="1"/>
  <c r="W50" i="4"/>
  <c r="AY51" i="3"/>
  <c r="S52" i="3"/>
  <c r="AE52" i="3"/>
  <c r="BB52" i="3"/>
  <c r="AH77" i="3"/>
  <c r="AD78" i="3"/>
  <c r="AU101" i="3"/>
  <c r="BC48" i="4"/>
  <c r="U45" i="4"/>
  <c r="AY45" i="4" s="1"/>
  <c r="AY36" i="4"/>
  <c r="G45" i="4"/>
  <c r="G55" i="4" s="1"/>
  <c r="S45" i="4"/>
  <c r="L50" i="4"/>
  <c r="L51" i="4" s="1"/>
  <c r="X50" i="4"/>
  <c r="B48" i="5"/>
  <c r="B42" i="5"/>
  <c r="B79" i="4"/>
  <c r="BA39" i="3"/>
  <c r="AZ51" i="3"/>
  <c r="BA52" i="3" s="1"/>
  <c r="T52" i="3"/>
  <c r="U93" i="3"/>
  <c r="BD7" i="4"/>
  <c r="AP7" i="4"/>
  <c r="AQ7" i="4" s="1"/>
  <c r="AR7" i="4" s="1"/>
  <c r="AS7" i="4" s="1"/>
  <c r="BE7" i="4" s="1"/>
  <c r="AZ19" i="4"/>
  <c r="H45" i="4"/>
  <c r="H55" i="4" s="1"/>
  <c r="T45" i="4"/>
  <c r="T55" i="4" s="1"/>
  <c r="M50" i="4"/>
  <c r="Y50" i="4"/>
  <c r="BB39" i="3"/>
  <c r="U52" i="3"/>
  <c r="I59" i="3"/>
  <c r="X77" i="3"/>
  <c r="Y93" i="3"/>
  <c r="AW113" i="3"/>
  <c r="N55" i="4"/>
  <c r="N54" i="4"/>
  <c r="BD15" i="4"/>
  <c r="AP15" i="4"/>
  <c r="AQ15" i="4" s="1"/>
  <c r="AR15" i="4" s="1"/>
  <c r="AS15" i="4" s="1"/>
  <c r="BE15" i="4" s="1"/>
  <c r="V45" i="4"/>
  <c r="V54" i="4" s="1"/>
  <c r="N50" i="4"/>
  <c r="V52" i="3"/>
  <c r="AK77" i="3"/>
  <c r="AC93" i="3"/>
  <c r="U91" i="3"/>
  <c r="AG91" i="3"/>
  <c r="AX101" i="3"/>
  <c r="O55" i="4"/>
  <c r="AF45" i="4"/>
  <c r="AF54" i="4" s="1"/>
  <c r="J45" i="4"/>
  <c r="K52" i="3"/>
  <c r="W52" i="3"/>
  <c r="AZ101" i="3"/>
  <c r="P55" i="4"/>
  <c r="P54" i="4"/>
  <c r="AB55" i="4"/>
  <c r="AB54" i="4"/>
  <c r="BD42" i="4"/>
  <c r="AP42" i="4"/>
  <c r="AQ42" i="4" s="1"/>
  <c r="AR42" i="4" s="1"/>
  <c r="AS42" i="4" s="1"/>
  <c r="BE42" i="4" s="1"/>
  <c r="L52" i="3"/>
  <c r="X52" i="3"/>
  <c r="X59" i="3"/>
  <c r="AV77" i="3"/>
  <c r="AU93" i="3"/>
  <c r="AD92" i="3"/>
  <c r="AC103" i="3"/>
  <c r="BA102" i="3"/>
  <c r="AD104" i="3"/>
  <c r="AC104" i="3"/>
  <c r="AV47" i="4"/>
  <c r="AV48" i="4" s="1"/>
  <c r="BD34" i="4"/>
  <c r="AP34" i="4"/>
  <c r="AQ34" i="4" s="1"/>
  <c r="AR34" i="4" s="1"/>
  <c r="AS34" i="4" s="1"/>
  <c r="BE34" i="4" s="1"/>
  <c r="AH45" i="4"/>
  <c r="AH54" i="4" s="1"/>
  <c r="E50" i="4"/>
  <c r="AD48" i="4"/>
  <c r="F40" i="3"/>
  <c r="AV40" i="3" s="1"/>
  <c r="M52" i="3"/>
  <c r="Y52" i="3"/>
  <c r="AW67" i="3"/>
  <c r="AB77" i="3"/>
  <c r="AW77" i="3"/>
  <c r="X78" i="3"/>
  <c r="X79" i="3" s="1"/>
  <c r="Z50" i="4"/>
  <c r="Z51" i="4" s="1"/>
  <c r="Z48" i="4"/>
  <c r="BD33" i="4"/>
  <c r="AP33" i="4"/>
  <c r="AQ33" i="4" s="1"/>
  <c r="AR33" i="4" s="1"/>
  <c r="AS33" i="4" s="1"/>
  <c r="BE33" i="4" s="1"/>
  <c r="F50" i="4"/>
  <c r="AE50" i="4"/>
  <c r="AE51" i="4" s="1"/>
  <c r="N52" i="3"/>
  <c r="Z52" i="3"/>
  <c r="AX77" i="3"/>
  <c r="AU105" i="3"/>
  <c r="G54" i="4"/>
  <c r="S55" i="4"/>
  <c r="S54" i="4"/>
  <c r="AE55" i="4"/>
  <c r="AE54" i="4"/>
  <c r="F54" i="4"/>
  <c r="AA45" i="4"/>
  <c r="AA55" i="4" s="1"/>
  <c r="G50" i="4"/>
  <c r="S50" i="4"/>
  <c r="S51" i="4" s="1"/>
  <c r="O52" i="3"/>
  <c r="AA52" i="3"/>
  <c r="AA59" i="3"/>
  <c r="BA59" i="3" s="1"/>
  <c r="AY77" i="3"/>
  <c r="AX93" i="3"/>
  <c r="U92" i="3"/>
  <c r="AG92" i="3"/>
  <c r="AX113" i="3"/>
  <c r="AY48" i="4"/>
  <c r="T54" i="4"/>
  <c r="L55" i="4"/>
  <c r="L54" i="4"/>
  <c r="Q45" i="4"/>
  <c r="AX45" i="4" s="1"/>
  <c r="AX36" i="4"/>
  <c r="AU44" i="4"/>
  <c r="E45" i="4"/>
  <c r="AU45" i="4" s="1"/>
  <c r="BC44" i="4"/>
  <c r="AK45" i="4"/>
  <c r="BC45" i="4" s="1"/>
  <c r="O45" i="4"/>
  <c r="O54" i="4" s="1"/>
  <c r="P52" i="3"/>
  <c r="AY90" i="3"/>
  <c r="AX91" i="3"/>
  <c r="V92" i="3"/>
  <c r="AV19" i="4"/>
  <c r="U55" i="4"/>
  <c r="U54" i="4"/>
  <c r="AY19" i="4"/>
  <c r="AY54" i="4" s="1"/>
  <c r="BB19" i="4"/>
  <c r="BD26" i="4"/>
  <c r="AP26" i="4"/>
  <c r="AQ26" i="4" s="1"/>
  <c r="AR26" i="4" s="1"/>
  <c r="AS26" i="4" s="1"/>
  <c r="BE26" i="4" s="1"/>
  <c r="F45" i="4"/>
  <c r="AG45" i="4"/>
  <c r="BB45" i="4" s="1"/>
  <c r="AH50" i="4"/>
  <c r="AH51" i="4" s="1"/>
  <c r="AD100" i="3"/>
  <c r="AV11" i="4"/>
  <c r="M19" i="4"/>
  <c r="AK19" i="4"/>
  <c r="AX19" i="4"/>
  <c r="AX54" i="4" s="1"/>
  <c r="AX29" i="4"/>
  <c r="Y36" i="4"/>
  <c r="AZ36" i="4" s="1"/>
  <c r="Z29" i="4"/>
  <c r="Z36" i="4" s="1"/>
  <c r="Z45" i="4" s="1"/>
  <c r="AY29" i="4"/>
  <c r="AC44" i="4"/>
  <c r="BB44" i="4"/>
  <c r="M45" i="4"/>
  <c r="AW45" i="4" s="1"/>
  <c r="Q50" i="4"/>
  <c r="AC50" i="4"/>
  <c r="AF53" i="5"/>
  <c r="AF82" i="4" s="1"/>
  <c r="AF80" i="4"/>
  <c r="Y99" i="3"/>
  <c r="AV99" i="3"/>
  <c r="U101" i="3"/>
  <c r="J48" i="4"/>
  <c r="V48" i="4"/>
  <c r="AH48" i="4"/>
  <c r="R50" i="4"/>
  <c r="R51" i="4" s="1"/>
  <c r="AD50" i="4"/>
  <c r="AD51" i="4" s="1"/>
  <c r="AC74" i="5"/>
  <c r="AC29" i="5"/>
  <c r="AM24" i="5"/>
  <c r="AW99" i="3"/>
  <c r="U100" i="3"/>
  <c r="Y103" i="3"/>
  <c r="U105" i="3"/>
  <c r="BA111" i="3"/>
  <c r="AY11" i="4"/>
  <c r="BA19" i="4"/>
  <c r="BA29" i="4"/>
  <c r="AI47" i="4"/>
  <c r="K48" i="4"/>
  <c r="W48" i="4"/>
  <c r="S74" i="5"/>
  <c r="S29" i="5"/>
  <c r="AY98" i="3"/>
  <c r="AX99" i="3"/>
  <c r="V100" i="3"/>
  <c r="AW103" i="3"/>
  <c r="E55" i="4"/>
  <c r="Q55" i="4"/>
  <c r="E36" i="4"/>
  <c r="AU36" i="4" s="1"/>
  <c r="L48" i="4"/>
  <c r="X48" i="4"/>
  <c r="F55" i="4"/>
  <c r="R55" i="4"/>
  <c r="AD55" i="4"/>
  <c r="E77" i="4"/>
  <c r="AU35" i="4"/>
  <c r="M48" i="4"/>
  <c r="Y48" i="4"/>
  <c r="AK48" i="4"/>
  <c r="X48" i="5"/>
  <c r="X50" i="5" s="1"/>
  <c r="X79" i="4"/>
  <c r="AZ39" i="5"/>
  <c r="BA98" i="3"/>
  <c r="AC99" i="3"/>
  <c r="AZ99" i="3"/>
  <c r="Y101" i="3"/>
  <c r="AZ102" i="3"/>
  <c r="AY103" i="3"/>
  <c r="BB11" i="4"/>
  <c r="F77" i="4"/>
  <c r="N48" i="4"/>
  <c r="Y100" i="3"/>
  <c r="Y105" i="3"/>
  <c r="G77" i="4"/>
  <c r="AV44" i="4"/>
  <c r="F48" i="5"/>
  <c r="F42" i="5"/>
  <c r="F79" i="4"/>
  <c r="Y104" i="3"/>
  <c r="AJ28" i="4"/>
  <c r="H77" i="4"/>
  <c r="I36" i="4"/>
  <c r="AV36" i="4" s="1"/>
  <c r="BA34" i="5"/>
  <c r="Z39" i="5"/>
  <c r="BA39" i="5" s="1"/>
  <c r="AU19" i="4"/>
  <c r="BC41" i="4"/>
  <c r="E34" i="5"/>
  <c r="D39" i="5"/>
  <c r="Y48" i="5"/>
  <c r="Y50" i="5" s="1"/>
  <c r="AV17" i="5"/>
  <c r="R20" i="5"/>
  <c r="BA25" i="5"/>
  <c r="H39" i="5"/>
  <c r="AV34" i="5"/>
  <c r="Z48" i="5"/>
  <c r="Z50" i="5" s="1"/>
  <c r="AD20" i="5"/>
  <c r="AH74" i="5"/>
  <c r="I34" i="5"/>
  <c r="AX36" i="5"/>
  <c r="Q36" i="5"/>
  <c r="AA48" i="5"/>
  <c r="AA50" i="5" s="1"/>
  <c r="AA42" i="5"/>
  <c r="BA6" i="5"/>
  <c r="BA10" i="5"/>
  <c r="V74" i="5"/>
  <c r="AZ27" i="5"/>
  <c r="BC27" i="5"/>
  <c r="AX38" i="5"/>
  <c r="Q38" i="5"/>
  <c r="AB48" i="5"/>
  <c r="AB50" i="5" s="1"/>
  <c r="AF51" i="5" s="1"/>
  <c r="AB42" i="5"/>
  <c r="BV20" i="5"/>
  <c r="Q14" i="5"/>
  <c r="AX14" i="5" s="1"/>
  <c r="Q25" i="5"/>
  <c r="P25" i="5"/>
  <c r="AX25" i="5" s="1"/>
  <c r="R39" i="5"/>
  <c r="AY39" i="5" s="1"/>
  <c r="AC20" i="5"/>
  <c r="AU7" i="5"/>
  <c r="AV9" i="5"/>
  <c r="AX12" i="5"/>
  <c r="AU13" i="5"/>
  <c r="AZ13" i="5"/>
  <c r="BC13" i="5"/>
  <c r="AY14" i="5"/>
  <c r="BB14" i="5"/>
  <c r="BA15" i="5"/>
  <c r="AU18" i="5"/>
  <c r="AU23" i="5"/>
  <c r="D74" i="5"/>
  <c r="D29" i="5"/>
  <c r="E23" i="5"/>
  <c r="BB24" i="5"/>
  <c r="BU42" i="5"/>
  <c r="AU37" i="5"/>
  <c r="E37" i="5"/>
  <c r="S48" i="5"/>
  <c r="S50" i="5" s="1"/>
  <c r="S42" i="5"/>
  <c r="AE48" i="5"/>
  <c r="AE50" i="5" s="1"/>
  <c r="AE42" i="5"/>
  <c r="I13" i="5"/>
  <c r="AV13" i="5" s="1"/>
  <c r="AW26" i="5"/>
  <c r="M26" i="5"/>
  <c r="L26" i="5"/>
  <c r="AX35" i="5"/>
  <c r="Q35" i="5"/>
  <c r="BE59" i="5"/>
  <c r="AP60" i="5"/>
  <c r="B78" i="5"/>
  <c r="B81" i="5" s="1"/>
  <c r="B79" i="5"/>
  <c r="T48" i="5"/>
  <c r="T50" i="5" s="1"/>
  <c r="AF42" i="5"/>
  <c r="U48" i="5"/>
  <c r="U50" i="5" s="1"/>
  <c r="AG20" i="5"/>
  <c r="AX18" i="5"/>
  <c r="AU19" i="5"/>
  <c r="AY26" i="5"/>
  <c r="W39" i="5"/>
  <c r="AI39" i="5"/>
  <c r="BC39" i="5" s="1"/>
  <c r="AV36" i="5"/>
  <c r="AH42" i="5"/>
  <c r="AH48" i="5"/>
  <c r="AH50" i="5" s="1"/>
  <c r="W78" i="5"/>
  <c r="W81" i="5" s="1"/>
  <c r="BB23" i="5"/>
  <c r="AX27" i="5"/>
  <c r="W20" i="5"/>
  <c r="AI20" i="5"/>
  <c r="AW19" i="5"/>
  <c r="AY23" i="5"/>
  <c r="AE74" i="5"/>
  <c r="AE29" i="5"/>
  <c r="BA36" i="5"/>
  <c r="Q6" i="5"/>
  <c r="K79" i="5"/>
  <c r="X78" i="5"/>
  <c r="X81" i="5" s="1"/>
  <c r="AJ78" i="5"/>
  <c r="AJ81" i="5" s="1"/>
  <c r="AK81" i="5" s="1"/>
  <c r="AL81" i="5" s="1"/>
  <c r="AM81" i="5" s="1"/>
  <c r="AN81" i="5" s="1"/>
  <c r="AO81" i="5" s="1"/>
  <c r="AP81" i="5" s="1"/>
  <c r="AQ81" i="5" s="1"/>
  <c r="AR81" i="5" s="1"/>
  <c r="AS81" i="5" s="1"/>
  <c r="AW8" i="5"/>
  <c r="G20" i="5"/>
  <c r="AF74" i="5"/>
  <c r="C39" i="5"/>
  <c r="O39" i="5"/>
  <c r="BG42" i="5"/>
  <c r="BV42" i="5"/>
  <c r="AX53" i="5"/>
  <c r="AX82" i="4" s="1"/>
  <c r="BC6" i="5"/>
  <c r="L79" i="5"/>
  <c r="Y78" i="5"/>
  <c r="Y81" i="5" s="1"/>
  <c r="AX8" i="5"/>
  <c r="H14" i="5"/>
  <c r="I14" i="5" s="1"/>
  <c r="AU14" i="5"/>
  <c r="G74" i="5"/>
  <c r="U74" i="5"/>
  <c r="AG74" i="5"/>
  <c r="AY32" i="5"/>
  <c r="P34" i="5"/>
  <c r="AX34" i="5" s="1"/>
  <c r="L35" i="5"/>
  <c r="L39" i="5" s="1"/>
  <c r="BZ42" i="5"/>
  <c r="BH42" i="5"/>
  <c r="BW42" i="5"/>
  <c r="D6" i="5"/>
  <c r="M8" i="5"/>
  <c r="M76" i="5" s="1"/>
  <c r="AY8" i="5"/>
  <c r="AU17" i="5"/>
  <c r="H23" i="5"/>
  <c r="R29" i="5"/>
  <c r="AD29" i="5"/>
  <c r="Q34" i="5"/>
  <c r="BK42" i="5"/>
  <c r="O79" i="5"/>
  <c r="AA78" i="5"/>
  <c r="AA81" i="5" s="1"/>
  <c r="AZ8" i="5"/>
  <c r="J20" i="5"/>
  <c r="V20" i="5"/>
  <c r="W74" i="5"/>
  <c r="AI74" i="5"/>
  <c r="P26" i="5"/>
  <c r="Q26" i="5" s="1"/>
  <c r="Q27" i="5"/>
  <c r="G29" i="5"/>
  <c r="BQ29" i="5"/>
  <c r="D38" i="5"/>
  <c r="E38" i="5" s="1"/>
  <c r="AD39" i="5"/>
  <c r="BB39" i="5" s="1"/>
  <c r="BE39" i="5"/>
  <c r="BL42" i="5"/>
  <c r="AV41" i="5"/>
  <c r="Z76" i="5"/>
  <c r="Z78" i="5" s="1"/>
  <c r="Z81" i="5" s="1"/>
  <c r="P79" i="5"/>
  <c r="AB78" i="5"/>
  <c r="AB81" i="5" s="1"/>
  <c r="H15" i="5"/>
  <c r="I15" i="5" s="1"/>
  <c r="K20" i="5"/>
  <c r="K74" i="5"/>
  <c r="X74" i="5"/>
  <c r="AJ74" i="5"/>
  <c r="T29" i="5"/>
  <c r="T42" i="5" s="1"/>
  <c r="AF29" i="5"/>
  <c r="G39" i="5"/>
  <c r="BM42" i="5"/>
  <c r="AZ61" i="5"/>
  <c r="H6" i="5"/>
  <c r="Q79" i="5"/>
  <c r="AC78" i="5"/>
  <c r="AC81" i="5" s="1"/>
  <c r="BB8" i="5"/>
  <c r="H18" i="5"/>
  <c r="I18" i="5" s="1"/>
  <c r="D19" i="5"/>
  <c r="E19" i="5" s="1"/>
  <c r="L74" i="5"/>
  <c r="Y74" i="5"/>
  <c r="AK74" i="5"/>
  <c r="U29" i="5"/>
  <c r="U42" i="5" s="1"/>
  <c r="AG29" i="5"/>
  <c r="BC32" i="5"/>
  <c r="BA63" i="5"/>
  <c r="AD63" i="5"/>
  <c r="AE63" i="5" s="1"/>
  <c r="AF63" i="5" s="1"/>
  <c r="AG63" i="5" s="1"/>
  <c r="BN42" i="5"/>
  <c r="AW41" i="5"/>
  <c r="BD49" i="5"/>
  <c r="BA61" i="5"/>
  <c r="D7" i="5"/>
  <c r="E7" i="5" s="1"/>
  <c r="C78" i="5"/>
  <c r="C81" i="5" s="1"/>
  <c r="C79" i="5"/>
  <c r="R79" i="5"/>
  <c r="AD78" i="5"/>
  <c r="AD81" i="5" s="1"/>
  <c r="BC8" i="5"/>
  <c r="AJ10" i="5"/>
  <c r="AJ20" i="5" s="1"/>
  <c r="M23" i="5"/>
  <c r="Z74" i="5"/>
  <c r="AL23" i="5"/>
  <c r="V29" i="5"/>
  <c r="AH29" i="5"/>
  <c r="H38" i="5"/>
  <c r="I38" i="5" s="1"/>
  <c r="BO42" i="5"/>
  <c r="AD59" i="5"/>
  <c r="BB59" i="5" s="1"/>
  <c r="BC61" i="5"/>
  <c r="D78" i="5"/>
  <c r="D81" i="5" s="1"/>
  <c r="D79" i="5"/>
  <c r="S79" i="5"/>
  <c r="AE78" i="5"/>
  <c r="AE81" i="5" s="1"/>
  <c r="AK10" i="5"/>
  <c r="AK20" i="5" s="1"/>
  <c r="H12" i="5"/>
  <c r="I12" i="5" s="1"/>
  <c r="D13" i="5"/>
  <c r="E13" i="5" s="1"/>
  <c r="P14" i="5"/>
  <c r="L15" i="5"/>
  <c r="M15" i="5" s="1"/>
  <c r="AX15" i="5"/>
  <c r="H16" i="5"/>
  <c r="I16" i="5" s="1"/>
  <c r="C17" i="5"/>
  <c r="D17" i="5" s="1"/>
  <c r="E17" i="5" s="1"/>
  <c r="O17" i="5"/>
  <c r="P17" i="5" s="1"/>
  <c r="N20" i="5"/>
  <c r="O74" i="5"/>
  <c r="AA74" i="5"/>
  <c r="AZ23" i="5"/>
  <c r="K29" i="5"/>
  <c r="W29" i="5"/>
  <c r="AI29" i="5"/>
  <c r="BB60" i="5"/>
  <c r="BB61" i="5" s="1"/>
  <c r="AE61" i="5"/>
  <c r="AZ37" i="5"/>
  <c r="BP42" i="5"/>
  <c r="BD60" i="5"/>
  <c r="AL61" i="5"/>
  <c r="AX6" i="5"/>
  <c r="E8" i="5"/>
  <c r="E76" i="5" s="1"/>
  <c r="T78" i="5"/>
  <c r="AF78" i="5"/>
  <c r="AF81" i="5" s="1"/>
  <c r="L18" i="5"/>
  <c r="H19" i="5"/>
  <c r="I19" i="5" s="1"/>
  <c r="P23" i="5"/>
  <c r="Q23" i="5" s="1"/>
  <c r="AB74" i="5"/>
  <c r="AN23" i="5"/>
  <c r="BA23" i="5"/>
  <c r="L29" i="5"/>
  <c r="X29" i="5"/>
  <c r="X42" i="5" s="1"/>
  <c r="AJ29" i="5"/>
  <c r="BX42" i="5"/>
  <c r="BA37" i="5"/>
  <c r="BQ42" i="5"/>
  <c r="P7" i="5"/>
  <c r="G79" i="5"/>
  <c r="U78" i="5"/>
  <c r="U81" i="5" s="1"/>
  <c r="AG78" i="5"/>
  <c r="AG81" i="5" s="1"/>
  <c r="AW12" i="5"/>
  <c r="AW16" i="5"/>
  <c r="AO23" i="5"/>
  <c r="L25" i="5"/>
  <c r="Y29" i="5"/>
  <c r="Y42" i="5" s="1"/>
  <c r="AK29" i="5"/>
  <c r="P33" i="5"/>
  <c r="P39" i="5" s="1"/>
  <c r="BY42" i="5"/>
  <c r="BJ42" i="5"/>
  <c r="BS42" i="5"/>
  <c r="H8" i="5"/>
  <c r="C74" i="5"/>
  <c r="R74" i="5"/>
  <c r="AD74" i="5"/>
  <c r="BC23" i="5"/>
  <c r="Z29" i="5"/>
  <c r="BA29" i="5" s="1"/>
  <c r="AZ59" i="5"/>
  <c r="AZ62" i="5" s="1"/>
  <c r="BC59" i="5"/>
  <c r="BC37" i="5"/>
  <c r="BR42" i="5"/>
  <c r="BT42" i="5"/>
  <c r="L41" i="5"/>
  <c r="M41" i="5" s="1"/>
  <c r="AU41" i="5"/>
  <c r="F79" i="5"/>
  <c r="AM49" i="5"/>
  <c r="AN49" i="5" s="1"/>
  <c r="AO49" i="5" s="1"/>
  <c r="AP49" i="5" s="1"/>
  <c r="BD59" i="5"/>
  <c r="AK48" i="5" l="1"/>
  <c r="AK50" i="5" s="1"/>
  <c r="AK42" i="5"/>
  <c r="AK79" i="4"/>
  <c r="AF70" i="5"/>
  <c r="AF62" i="4"/>
  <c r="AF75" i="2"/>
  <c r="AF98" i="2"/>
  <c r="AJ64" i="2"/>
  <c r="AF36" i="2"/>
  <c r="Z55" i="4"/>
  <c r="Z54" i="4"/>
  <c r="T70" i="5"/>
  <c r="T62" i="4"/>
  <c r="T75" i="2"/>
  <c r="T98" i="2"/>
  <c r="X64" i="2"/>
  <c r="T36" i="2"/>
  <c r="T31" i="2"/>
  <c r="AJ48" i="5"/>
  <c r="AJ50" i="5" s="1"/>
  <c r="AJ42" i="5"/>
  <c r="AJ79" i="4"/>
  <c r="BC20" i="5"/>
  <c r="N84" i="4"/>
  <c r="Q74" i="5"/>
  <c r="Q29" i="5"/>
  <c r="AU69" i="2"/>
  <c r="AG89" i="4"/>
  <c r="AG88" i="4"/>
  <c r="W71" i="4"/>
  <c r="W76" i="4"/>
  <c r="W73" i="4"/>
  <c r="W66" i="4"/>
  <c r="W70" i="4"/>
  <c r="W72" i="4"/>
  <c r="W75" i="4"/>
  <c r="W77" i="4"/>
  <c r="AE75" i="4"/>
  <c r="AE77" i="4"/>
  <c r="AE71" i="4"/>
  <c r="AE76" i="4"/>
  <c r="AE73" i="4"/>
  <c r="AE66" i="4"/>
  <c r="AE70" i="4"/>
  <c r="AE72" i="4"/>
  <c r="AB70" i="5"/>
  <c r="AB62" i="4"/>
  <c r="AB98" i="2"/>
  <c r="AB75" i="2"/>
  <c r="AF64" i="2"/>
  <c r="AB36" i="2"/>
  <c r="AB31" i="2"/>
  <c r="AA88" i="4"/>
  <c r="AA89" i="4"/>
  <c r="AK41" i="3"/>
  <c r="AK43" i="3" s="1"/>
  <c r="N175" i="2"/>
  <c r="N148" i="2"/>
  <c r="AX147" i="2"/>
  <c r="AX148" i="2" s="1"/>
  <c r="I6" i="5"/>
  <c r="H20" i="5"/>
  <c r="AX26" i="5"/>
  <c r="P20" i="5"/>
  <c r="I39" i="5"/>
  <c r="AV39" i="5" s="1"/>
  <c r="AJ47" i="4"/>
  <c r="AJ29" i="4"/>
  <c r="AJ36" i="4" s="1"/>
  <c r="AJ45" i="4" s="1"/>
  <c r="AN24" i="5"/>
  <c r="AM29" i="5"/>
  <c r="AF55" i="4"/>
  <c r="P55" i="3"/>
  <c r="AZ77" i="3"/>
  <c r="BA77" i="3"/>
  <c r="AZ78" i="3"/>
  <c r="AZ79" i="3" s="1"/>
  <c r="AJ95" i="3"/>
  <c r="AK88" i="4"/>
  <c r="AL88" i="4" s="1"/>
  <c r="AK89" i="4"/>
  <c r="AI61" i="3"/>
  <c r="AW60" i="3"/>
  <c r="V89" i="4"/>
  <c r="V88" i="4"/>
  <c r="U55" i="3"/>
  <c r="AY54" i="3"/>
  <c r="K55" i="3"/>
  <c r="H89" i="4"/>
  <c r="H88" i="4"/>
  <c r="AU26" i="3"/>
  <c r="S89" i="4"/>
  <c r="S88" i="4"/>
  <c r="AH176" i="2"/>
  <c r="BC165" i="2"/>
  <c r="BE25" i="3"/>
  <c r="AC61" i="3"/>
  <c r="B175" i="2"/>
  <c r="AU147" i="2"/>
  <c r="AU148" i="2" s="1"/>
  <c r="B148" i="2"/>
  <c r="B80" i="5"/>
  <c r="BE154" i="2"/>
  <c r="B126" i="2"/>
  <c r="AU121" i="2"/>
  <c r="T175" i="2"/>
  <c r="T148" i="2"/>
  <c r="AD79" i="5"/>
  <c r="P51" i="4"/>
  <c r="AH77" i="5"/>
  <c r="S97" i="2"/>
  <c r="S69" i="2"/>
  <c r="W59" i="2"/>
  <c r="BA175" i="2"/>
  <c r="BB57" i="2"/>
  <c r="E70" i="4"/>
  <c r="E72" i="4"/>
  <c r="E75" i="4"/>
  <c r="E71" i="4"/>
  <c r="E76" i="4"/>
  <c r="E73" i="4"/>
  <c r="E66" i="4"/>
  <c r="Z66" i="4"/>
  <c r="Z70" i="4"/>
  <c r="Z72" i="4"/>
  <c r="Z75" i="4"/>
  <c r="Z77" i="4"/>
  <c r="Z71" i="4"/>
  <c r="Z73" i="4"/>
  <c r="Z76" i="4"/>
  <c r="AJ70" i="5"/>
  <c r="AJ62" i="4"/>
  <c r="AJ98" i="2"/>
  <c r="AJ36" i="2"/>
  <c r="AJ31" i="2"/>
  <c r="AJ75" i="2"/>
  <c r="W70" i="5"/>
  <c r="W62" i="4"/>
  <c r="W75" i="2"/>
  <c r="W98" i="2"/>
  <c r="AA64" i="2"/>
  <c r="W36" i="2"/>
  <c r="W31" i="2"/>
  <c r="I34" i="3"/>
  <c r="I84" i="4" s="1"/>
  <c r="I37" i="3"/>
  <c r="I41" i="3" s="1"/>
  <c r="AV105" i="3"/>
  <c r="AV7" i="3"/>
  <c r="AO170" i="2"/>
  <c r="BD170" i="2" s="1"/>
  <c r="AN93" i="2"/>
  <c r="AE97" i="2"/>
  <c r="AE69" i="2"/>
  <c r="AI59" i="2"/>
  <c r="AE25" i="2"/>
  <c r="U71" i="4"/>
  <c r="U76" i="4"/>
  <c r="U73" i="4"/>
  <c r="U66" i="4"/>
  <c r="U70" i="4"/>
  <c r="U72" i="4"/>
  <c r="U75" i="4"/>
  <c r="U77" i="4"/>
  <c r="AL124" i="2"/>
  <c r="AM34" i="2"/>
  <c r="BC74" i="2"/>
  <c r="AW69" i="2"/>
  <c r="AQ49" i="5"/>
  <c r="AR49" i="5" s="1"/>
  <c r="AS49" i="5" s="1"/>
  <c r="BE49" i="5"/>
  <c r="T81" i="5"/>
  <c r="T79" i="5" s="1"/>
  <c r="BC29" i="5"/>
  <c r="K48" i="5"/>
  <c r="K42" i="5"/>
  <c r="K79" i="4"/>
  <c r="M79" i="5"/>
  <c r="AU38" i="5"/>
  <c r="M18" i="5"/>
  <c r="AW18" i="5" s="1"/>
  <c r="X51" i="5"/>
  <c r="X53" i="5"/>
  <c r="X82" i="4" s="1"/>
  <c r="X80" i="4"/>
  <c r="AG57" i="5"/>
  <c r="Q54" i="4"/>
  <c r="AY93" i="3"/>
  <c r="AY91" i="3"/>
  <c r="E54" i="4"/>
  <c r="Y45" i="4"/>
  <c r="X51" i="4"/>
  <c r="AJ37" i="3"/>
  <c r="AJ41" i="3" s="1"/>
  <c r="AJ85" i="3"/>
  <c r="AJ34" i="3"/>
  <c r="P88" i="4"/>
  <c r="P89" i="4"/>
  <c r="O88" i="4"/>
  <c r="O89" i="4"/>
  <c r="AJ61" i="3"/>
  <c r="AO161" i="2"/>
  <c r="AN164" i="2"/>
  <c r="AZ54" i="3"/>
  <c r="AZ55" i="3" s="1"/>
  <c r="Y55" i="3"/>
  <c r="AJ88" i="4"/>
  <c r="AJ89" i="4"/>
  <c r="AD85" i="3"/>
  <c r="AD34" i="3"/>
  <c r="AH83" i="3"/>
  <c r="AD37" i="3"/>
  <c r="BB30" i="3"/>
  <c r="AZ91" i="3"/>
  <c r="AV72" i="3"/>
  <c r="AV73" i="3"/>
  <c r="AV74" i="3" s="1"/>
  <c r="U89" i="4"/>
  <c r="U88" i="4"/>
  <c r="AA37" i="3"/>
  <c r="AA41" i="3" s="1"/>
  <c r="AA85" i="3"/>
  <c r="AA34" i="3"/>
  <c r="AE83" i="3"/>
  <c r="BA21" i="3"/>
  <c r="AN18" i="3"/>
  <c r="AO20" i="3"/>
  <c r="AI156" i="2"/>
  <c r="AI157" i="2" s="1"/>
  <c r="AI87" i="2"/>
  <c r="AY113" i="2"/>
  <c r="R121" i="2"/>
  <c r="BD153" i="2"/>
  <c r="BA91" i="2"/>
  <c r="BB71" i="2"/>
  <c r="BC60" i="2"/>
  <c r="G97" i="2"/>
  <c r="G69" i="2"/>
  <c r="K59" i="2"/>
  <c r="AK76" i="4"/>
  <c r="AO76" i="4" s="1"/>
  <c r="AS76" i="4" s="1"/>
  <c r="AK73" i="4"/>
  <c r="AO73" i="4" s="1"/>
  <c r="AS73" i="4" s="1"/>
  <c r="AK66" i="4"/>
  <c r="AO66" i="4" s="1"/>
  <c r="AS66" i="4" s="1"/>
  <c r="AK70" i="4"/>
  <c r="AO70" i="4" s="1"/>
  <c r="AS70" i="4" s="1"/>
  <c r="AK72" i="4"/>
  <c r="AO72" i="4" s="1"/>
  <c r="AS72" i="4" s="1"/>
  <c r="AK75" i="4"/>
  <c r="AO75" i="4" s="1"/>
  <c r="AS75" i="4" s="1"/>
  <c r="AK77" i="4"/>
  <c r="AO77" i="4" s="1"/>
  <c r="AS77" i="4" s="1"/>
  <c r="AK71" i="4"/>
  <c r="AO71" i="4" s="1"/>
  <c r="AS71" i="4" s="1"/>
  <c r="AV58" i="2"/>
  <c r="AJ76" i="4"/>
  <c r="AN76" i="4" s="1"/>
  <c r="AR76" i="4" s="1"/>
  <c r="AJ73" i="4"/>
  <c r="AN73" i="4" s="1"/>
  <c r="AR73" i="4" s="1"/>
  <c r="AJ66" i="4"/>
  <c r="AN66" i="4" s="1"/>
  <c r="AR66" i="4" s="1"/>
  <c r="AJ70" i="4"/>
  <c r="AN70" i="4" s="1"/>
  <c r="AR70" i="4" s="1"/>
  <c r="AJ72" i="4"/>
  <c r="AN72" i="4" s="1"/>
  <c r="AR72" i="4" s="1"/>
  <c r="AJ75" i="4"/>
  <c r="AN75" i="4" s="1"/>
  <c r="AR75" i="4" s="1"/>
  <c r="AJ77" i="4"/>
  <c r="AN77" i="4" s="1"/>
  <c r="AR77" i="4" s="1"/>
  <c r="AJ71" i="4"/>
  <c r="AN71" i="4" s="1"/>
  <c r="AR71" i="4" s="1"/>
  <c r="BA72" i="2"/>
  <c r="BB61" i="2"/>
  <c r="H71" i="4"/>
  <c r="H76" i="4"/>
  <c r="H73" i="4"/>
  <c r="H66" i="4"/>
  <c r="H70" i="4"/>
  <c r="H72" i="4"/>
  <c r="H75" i="4"/>
  <c r="B70" i="5"/>
  <c r="B62" i="4"/>
  <c r="B98" i="2"/>
  <c r="B75" i="2"/>
  <c r="B36" i="2"/>
  <c r="B31" i="2"/>
  <c r="AU25" i="2"/>
  <c r="AH70" i="5"/>
  <c r="AH62" i="4"/>
  <c r="AH75" i="2"/>
  <c r="AH98" i="2"/>
  <c r="AH36" i="2"/>
  <c r="AH31" i="2"/>
  <c r="BC25" i="2"/>
  <c r="AC48" i="5"/>
  <c r="AC50" i="5" s="1"/>
  <c r="AC42" i="5"/>
  <c r="AC79" i="4"/>
  <c r="AD121" i="2"/>
  <c r="BB113" i="2"/>
  <c r="AU71" i="2"/>
  <c r="E78" i="5"/>
  <c r="E81" i="5" s="1"/>
  <c r="E79" i="5"/>
  <c r="AZ29" i="5"/>
  <c r="D20" i="5"/>
  <c r="E6" i="5"/>
  <c r="AX23" i="5"/>
  <c r="AV15" i="5"/>
  <c r="AD48" i="5"/>
  <c r="AD50" i="5" s="1"/>
  <c r="AG55" i="5" s="1"/>
  <c r="AD42" i="5"/>
  <c r="BB20" i="5"/>
  <c r="AD79" i="4"/>
  <c r="Y51" i="5"/>
  <c r="Y53" i="5"/>
  <c r="Y82" i="4" s="1"/>
  <c r="Y80" i="4"/>
  <c r="AV38" i="5"/>
  <c r="C20" i="5"/>
  <c r="AI50" i="4"/>
  <c r="AI51" i="4" s="1"/>
  <c r="AI48" i="4"/>
  <c r="BB54" i="4"/>
  <c r="AW48" i="4"/>
  <c r="N51" i="4"/>
  <c r="AW101" i="3"/>
  <c r="AB83" i="3"/>
  <c r="X37" i="3"/>
  <c r="X41" i="3" s="1"/>
  <c r="X85" i="3"/>
  <c r="X34" i="3"/>
  <c r="AI37" i="3"/>
  <c r="AI41" i="3" s="1"/>
  <c r="AI85" i="3"/>
  <c r="AI34" i="3"/>
  <c r="AH37" i="3"/>
  <c r="AH85" i="3"/>
  <c r="BC30" i="3"/>
  <c r="AH34" i="3"/>
  <c r="Z85" i="4"/>
  <c r="BA33" i="3"/>
  <c r="X60" i="3"/>
  <c r="X61" i="3" s="1"/>
  <c r="Y88" i="4"/>
  <c r="Y89" i="4"/>
  <c r="X55" i="3"/>
  <c r="R34" i="3"/>
  <c r="R37" i="3"/>
  <c r="AY30" i="3"/>
  <c r="J89" i="4"/>
  <c r="J88" i="4"/>
  <c r="K71" i="3"/>
  <c r="J72" i="3"/>
  <c r="O37" i="3"/>
  <c r="O41" i="3" s="1"/>
  <c r="O34" i="3"/>
  <c r="R60" i="3"/>
  <c r="BC21" i="3"/>
  <c r="AN151" i="2"/>
  <c r="AM86" i="2"/>
  <c r="AN173" i="2"/>
  <c r="AM5" i="3"/>
  <c r="AM108" i="2"/>
  <c r="AM7" i="2"/>
  <c r="Q34" i="3"/>
  <c r="Q37" i="3"/>
  <c r="Q41" i="3" s="1"/>
  <c r="AX30" i="3"/>
  <c r="AY83" i="3" s="1"/>
  <c r="AR160" i="2"/>
  <c r="AQ89" i="2"/>
  <c r="H175" i="2"/>
  <c r="H148" i="2"/>
  <c r="AX91" i="2"/>
  <c r="V77" i="5"/>
  <c r="AZ85" i="2"/>
  <c r="AB66" i="4"/>
  <c r="AB70" i="4"/>
  <c r="AB72" i="4"/>
  <c r="AB75" i="4"/>
  <c r="AB77" i="4"/>
  <c r="AB71" i="4"/>
  <c r="AB76" i="4"/>
  <c r="AB73" i="4"/>
  <c r="AL3" i="5"/>
  <c r="AL57" i="4"/>
  <c r="AL3" i="4"/>
  <c r="AL64" i="3"/>
  <c r="AL88" i="3"/>
  <c r="AL28" i="3"/>
  <c r="AL105" i="2"/>
  <c r="AL3" i="3"/>
  <c r="AL80" i="2"/>
  <c r="AP3" i="2"/>
  <c r="AL55" i="2"/>
  <c r="AW58" i="2"/>
  <c r="AK78" i="5"/>
  <c r="AK76" i="5" s="1"/>
  <c r="K71" i="4"/>
  <c r="K76" i="4"/>
  <c r="K73" i="4"/>
  <c r="K66" i="4"/>
  <c r="K70" i="4"/>
  <c r="K72" i="4"/>
  <c r="K75" i="4"/>
  <c r="K77" i="4"/>
  <c r="AV57" i="2"/>
  <c r="I71" i="4"/>
  <c r="I76" i="4"/>
  <c r="I73" i="4"/>
  <c r="I66" i="4"/>
  <c r="I70" i="4"/>
  <c r="I72" i="4"/>
  <c r="I75" i="4"/>
  <c r="I77" i="4"/>
  <c r="S75" i="4"/>
  <c r="S77" i="4"/>
  <c r="S71" i="4"/>
  <c r="S76" i="4"/>
  <c r="S73" i="4"/>
  <c r="S66" i="4"/>
  <c r="S70" i="4"/>
  <c r="S72" i="4"/>
  <c r="AZ74" i="2"/>
  <c r="BA63" i="2"/>
  <c r="BC73" i="2"/>
  <c r="Y70" i="5"/>
  <c r="Y62" i="4"/>
  <c r="Y98" i="2"/>
  <c r="Y75" i="2"/>
  <c r="Y36" i="2"/>
  <c r="Y31" i="2"/>
  <c r="BC69" i="2"/>
  <c r="U70" i="5"/>
  <c r="U62" i="4"/>
  <c r="U75" i="2"/>
  <c r="U98" i="2"/>
  <c r="Y64" i="2"/>
  <c r="U36" i="2"/>
  <c r="U31" i="2"/>
  <c r="AS23" i="5"/>
  <c r="AL74" i="5"/>
  <c r="AL29" i="5"/>
  <c r="AP23" i="5"/>
  <c r="BD23" i="5"/>
  <c r="L20" i="5"/>
  <c r="J79" i="5"/>
  <c r="AV19" i="5"/>
  <c r="T53" i="5"/>
  <c r="T82" i="4" s="1"/>
  <c r="T80" i="4"/>
  <c r="M25" i="5"/>
  <c r="M29" i="5" s="1"/>
  <c r="AW29" i="5" s="1"/>
  <c r="AV12" i="5"/>
  <c r="AV6" i="5"/>
  <c r="AZ105" i="3"/>
  <c r="AZ103" i="3"/>
  <c r="AG54" i="4"/>
  <c r="AV93" i="3"/>
  <c r="AY52" i="3"/>
  <c r="AY53" i="3"/>
  <c r="L37" i="3"/>
  <c r="L41" i="3" s="1"/>
  <c r="L34" i="3"/>
  <c r="AA83" i="3"/>
  <c r="W37" i="3"/>
  <c r="W41" i="3" s="1"/>
  <c r="W34" i="3"/>
  <c r="N61" i="3"/>
  <c r="Z78" i="3"/>
  <c r="Z79" i="3" s="1"/>
  <c r="AD77" i="3"/>
  <c r="Z77" i="3"/>
  <c r="AA76" i="3"/>
  <c r="Z83" i="3"/>
  <c r="V37" i="3"/>
  <c r="V34" i="3"/>
  <c r="AZ30" i="3"/>
  <c r="Z55" i="3"/>
  <c r="BD25" i="3"/>
  <c r="AW54" i="3"/>
  <c r="AW55" i="3" s="1"/>
  <c r="M55" i="3"/>
  <c r="AY16" i="3"/>
  <c r="F34" i="3"/>
  <c r="F37" i="3"/>
  <c r="AV30" i="3"/>
  <c r="I60" i="3"/>
  <c r="M61" i="3" s="1"/>
  <c r="AI55" i="3"/>
  <c r="I89" i="4"/>
  <c r="I88" i="4"/>
  <c r="BA26" i="3"/>
  <c r="AX94" i="3"/>
  <c r="AX7" i="3"/>
  <c r="AV31" i="3"/>
  <c r="AX26" i="3"/>
  <c r="AZ113" i="2"/>
  <c r="V121" i="2"/>
  <c r="AP169" i="2"/>
  <c r="AO92" i="2"/>
  <c r="F121" i="2"/>
  <c r="AV113" i="2"/>
  <c r="AK79" i="5"/>
  <c r="AJ79" i="5"/>
  <c r="W79" i="5"/>
  <c r="BC121" i="2"/>
  <c r="AH126" i="2"/>
  <c r="AB79" i="5"/>
  <c r="AU72" i="2"/>
  <c r="AV61" i="2"/>
  <c r="N66" i="4"/>
  <c r="N70" i="4"/>
  <c r="N72" i="4"/>
  <c r="N75" i="4"/>
  <c r="N77" i="4"/>
  <c r="N71" i="4"/>
  <c r="N73" i="4"/>
  <c r="N76" i="4"/>
  <c r="AV73" i="2"/>
  <c r="AC70" i="4"/>
  <c r="AC72" i="4"/>
  <c r="AC75" i="4"/>
  <c r="AC77" i="4"/>
  <c r="AC71" i="4"/>
  <c r="AC76" i="4"/>
  <c r="AC73" i="4"/>
  <c r="AC66" i="4"/>
  <c r="AL22" i="2"/>
  <c r="AD72" i="4"/>
  <c r="AD75" i="4"/>
  <c r="AD77" i="4"/>
  <c r="AD71" i="4"/>
  <c r="AD76" i="4"/>
  <c r="AD73" i="4"/>
  <c r="AD66" i="4"/>
  <c r="AD70" i="4"/>
  <c r="AA70" i="5"/>
  <c r="AA62" i="4"/>
  <c r="AA98" i="2"/>
  <c r="AA75" i="2"/>
  <c r="AA31" i="2"/>
  <c r="AE64" i="2"/>
  <c r="AA36" i="2"/>
  <c r="BC72" i="2"/>
  <c r="AP69" i="2"/>
  <c r="AL16" i="2"/>
  <c r="AW97" i="2"/>
  <c r="AD95" i="3"/>
  <c r="AU8" i="5"/>
  <c r="BC10" i="5"/>
  <c r="AV16" i="5"/>
  <c r="BA20" i="5"/>
  <c r="AK55" i="4"/>
  <c r="BC19" i="4"/>
  <c r="BC54" i="4" s="1"/>
  <c r="AK54" i="4"/>
  <c r="AG55" i="4"/>
  <c r="H54" i="4"/>
  <c r="AA54" i="4"/>
  <c r="I45" i="4"/>
  <c r="AV101" i="3"/>
  <c r="W51" i="4"/>
  <c r="AC83" i="3"/>
  <c r="Y37" i="3"/>
  <c r="Y41" i="3" s="1"/>
  <c r="Y85" i="3"/>
  <c r="Y34" i="3"/>
  <c r="BA54" i="3"/>
  <c r="BA55" i="3" s="1"/>
  <c r="AC55" i="3"/>
  <c r="Y118" i="3"/>
  <c r="Y117" i="3"/>
  <c r="AZ94" i="3"/>
  <c r="Y97" i="3"/>
  <c r="Y94" i="3" s="1"/>
  <c r="Y96" i="3" s="1"/>
  <c r="AZ7" i="3"/>
  <c r="AZ26" i="3"/>
  <c r="K37" i="3"/>
  <c r="K41" i="3" s="1"/>
  <c r="K34" i="3"/>
  <c r="J37" i="3"/>
  <c r="AW30" i="3"/>
  <c r="X96" i="3"/>
  <c r="M88" i="4"/>
  <c r="M89" i="4"/>
  <c r="X88" i="4"/>
  <c r="X89" i="4"/>
  <c r="AM165" i="2"/>
  <c r="AM90" i="2"/>
  <c r="W55" i="3"/>
  <c r="AB37" i="3"/>
  <c r="AB41" i="3" s="1"/>
  <c r="AB85" i="3"/>
  <c r="AB34" i="3"/>
  <c r="AF83" i="3"/>
  <c r="AV33" i="3"/>
  <c r="AU15" i="3"/>
  <c r="AU16" i="3"/>
  <c r="AV26" i="3"/>
  <c r="AQ153" i="2"/>
  <c r="AR153" i="2" s="1"/>
  <c r="AS153" i="2" s="1"/>
  <c r="N41" i="3"/>
  <c r="X79" i="5"/>
  <c r="L153" i="2"/>
  <c r="K22" i="2"/>
  <c r="AL83" i="2"/>
  <c r="AG51" i="4"/>
  <c r="BB50" i="4"/>
  <c r="BB51" i="4" s="1"/>
  <c r="AD97" i="2"/>
  <c r="BB97" i="2" s="1"/>
  <c r="AH59" i="2"/>
  <c r="BB17" i="2"/>
  <c r="AD25" i="2"/>
  <c r="AD69" i="2"/>
  <c r="N74" i="5"/>
  <c r="N79" i="5"/>
  <c r="Y76" i="4"/>
  <c r="Y73" i="4"/>
  <c r="Y66" i="4"/>
  <c r="Y70" i="4"/>
  <c r="Y72" i="4"/>
  <c r="Y75" i="4"/>
  <c r="Y77" i="4"/>
  <c r="Y71" i="4"/>
  <c r="X76" i="4"/>
  <c r="X73" i="4"/>
  <c r="X66" i="4"/>
  <c r="X70" i="4"/>
  <c r="X72" i="4"/>
  <c r="X75" i="4"/>
  <c r="X77" i="4"/>
  <c r="X71" i="4"/>
  <c r="AH71" i="4"/>
  <c r="AL71" i="4" s="1"/>
  <c r="AP71" i="4" s="1"/>
  <c r="AH76" i="4"/>
  <c r="AL76" i="4" s="1"/>
  <c r="AP76" i="4" s="1"/>
  <c r="AH73" i="4"/>
  <c r="AL73" i="4" s="1"/>
  <c r="AP73" i="4" s="1"/>
  <c r="AH66" i="4"/>
  <c r="AL66" i="4" s="1"/>
  <c r="AP66" i="4" s="1"/>
  <c r="AH70" i="4"/>
  <c r="AL70" i="4" s="1"/>
  <c r="AP70" i="4" s="1"/>
  <c r="AH72" i="4"/>
  <c r="AL72" i="4" s="1"/>
  <c r="AP72" i="4" s="1"/>
  <c r="AH75" i="4"/>
  <c r="AL75" i="4" s="1"/>
  <c r="AP75" i="4" s="1"/>
  <c r="AH77" i="4"/>
  <c r="AL77" i="4" s="1"/>
  <c r="AP77" i="4" s="1"/>
  <c r="AM125" i="2"/>
  <c r="AN35" i="2"/>
  <c r="AE59" i="2"/>
  <c r="X70" i="5"/>
  <c r="X62" i="4"/>
  <c r="X98" i="2"/>
  <c r="AB64" i="2"/>
  <c r="X36" i="2"/>
  <c r="X31" i="2"/>
  <c r="X75" i="2"/>
  <c r="AU74" i="2"/>
  <c r="N48" i="5"/>
  <c r="N42" i="5"/>
  <c r="N79" i="4"/>
  <c r="M74" i="5"/>
  <c r="T74" i="5"/>
  <c r="E74" i="5"/>
  <c r="E29" i="5"/>
  <c r="AU29" i="5" s="1"/>
  <c r="Z42" i="5"/>
  <c r="E39" i="5"/>
  <c r="AU39" i="5" s="1"/>
  <c r="AU34" i="5"/>
  <c r="BA50" i="4"/>
  <c r="BA51" i="4" s="1"/>
  <c r="AC51" i="4"/>
  <c r="M55" i="4"/>
  <c r="M54" i="4"/>
  <c r="AW19" i="4"/>
  <c r="AW54" i="4" s="1"/>
  <c r="R85" i="4"/>
  <c r="AY33" i="3"/>
  <c r="M37" i="3"/>
  <c r="M41" i="3" s="1"/>
  <c r="M34" i="3"/>
  <c r="AC89" i="4"/>
  <c r="AC88" i="4"/>
  <c r="Z88" i="4"/>
  <c r="Z89" i="4"/>
  <c r="AF34" i="3"/>
  <c r="AJ83" i="3"/>
  <c r="AF37" i="3"/>
  <c r="AF41" i="3" s="1"/>
  <c r="AF85" i="3"/>
  <c r="L55" i="3"/>
  <c r="P37" i="3"/>
  <c r="P41" i="3" s="1"/>
  <c r="P43" i="3" s="1"/>
  <c r="P34" i="3"/>
  <c r="AE61" i="3"/>
  <c r="G89" i="4"/>
  <c r="G88" i="4"/>
  <c r="Y79" i="5"/>
  <c r="G155" i="2"/>
  <c r="H152" i="2"/>
  <c r="G21" i="2"/>
  <c r="AW148" i="2"/>
  <c r="J126" i="2"/>
  <c r="AW121" i="2"/>
  <c r="BA103" i="2"/>
  <c r="BA137" i="2"/>
  <c r="P66" i="4"/>
  <c r="P70" i="4"/>
  <c r="P72" i="4"/>
  <c r="P75" i="4"/>
  <c r="P77" i="4"/>
  <c r="P71" i="4"/>
  <c r="P76" i="4"/>
  <c r="P73" i="4"/>
  <c r="R97" i="2"/>
  <c r="AY97" i="2" s="1"/>
  <c r="R69" i="2"/>
  <c r="V59" i="2"/>
  <c r="AY17" i="2"/>
  <c r="AD74" i="2"/>
  <c r="AH63" i="2"/>
  <c r="BB24" i="2"/>
  <c r="G75" i="4"/>
  <c r="G71" i="4"/>
  <c r="G76" i="4"/>
  <c r="G73" i="4"/>
  <c r="G66" i="4"/>
  <c r="G70" i="4"/>
  <c r="G72" i="4"/>
  <c r="AL21" i="2"/>
  <c r="BC97" i="2"/>
  <c r="BA73" i="2"/>
  <c r="AB88" i="4"/>
  <c r="AB89" i="4"/>
  <c r="H76" i="5"/>
  <c r="I8" i="5"/>
  <c r="I76" i="5" s="1"/>
  <c r="Q7" i="5"/>
  <c r="AX7" i="5" s="1"/>
  <c r="AW15" i="5"/>
  <c r="M35" i="5"/>
  <c r="G48" i="5"/>
  <c r="G42" i="5"/>
  <c r="G79" i="4"/>
  <c r="AG42" i="5"/>
  <c r="AG48" i="5"/>
  <c r="AG50" i="5" s="1"/>
  <c r="AG79" i="4"/>
  <c r="AV18" i="5"/>
  <c r="Z53" i="5"/>
  <c r="Z82" i="4" s="1"/>
  <c r="BA50" i="5"/>
  <c r="Z80" i="4"/>
  <c r="AX50" i="4"/>
  <c r="Q51" i="4"/>
  <c r="AD85" i="4"/>
  <c r="BB33" i="3"/>
  <c r="AC117" i="3"/>
  <c r="BA94" i="3"/>
  <c r="AC118" i="3"/>
  <c r="BA7" i="3"/>
  <c r="AX54" i="3"/>
  <c r="Q55" i="3"/>
  <c r="AA96" i="3"/>
  <c r="AA95" i="3"/>
  <c r="N85" i="4"/>
  <c r="AX33" i="3"/>
  <c r="T34" i="3"/>
  <c r="X83" i="3"/>
  <c r="T37" i="3"/>
  <c r="T41" i="3" s="1"/>
  <c r="T43" i="3" s="1"/>
  <c r="AK40" i="3"/>
  <c r="BC40" i="3" s="1"/>
  <c r="BB31" i="3"/>
  <c r="AW26" i="3"/>
  <c r="BC16" i="3"/>
  <c r="AM155" i="2"/>
  <c r="AM156" i="2" s="1"/>
  <c r="AN152" i="2"/>
  <c r="AZ16" i="3"/>
  <c r="BC82" i="2"/>
  <c r="F156" i="2"/>
  <c r="F87" i="2"/>
  <c r="AF79" i="5"/>
  <c r="AE74" i="2"/>
  <c r="AI63" i="2"/>
  <c r="BA71" i="2"/>
  <c r="BB60" i="2"/>
  <c r="F97" i="2"/>
  <c r="AV97" i="2" s="1"/>
  <c r="F69" i="2"/>
  <c r="J59" i="2"/>
  <c r="F25" i="2"/>
  <c r="AV17" i="2"/>
  <c r="AA66" i="4"/>
  <c r="AA70" i="4"/>
  <c r="AA72" i="4"/>
  <c r="AA75" i="4"/>
  <c r="AA77" i="4"/>
  <c r="AA71" i="4"/>
  <c r="AA76" i="4"/>
  <c r="AA73" i="4"/>
  <c r="F74" i="2"/>
  <c r="AC97" i="2"/>
  <c r="AC69" i="2"/>
  <c r="AG59" i="2"/>
  <c r="AC25" i="2"/>
  <c r="AC64" i="2" s="1"/>
  <c r="AZ57" i="2"/>
  <c r="AE63" i="2"/>
  <c r="AW57" i="2"/>
  <c r="BB102" i="2"/>
  <c r="BB136" i="2"/>
  <c r="R72" i="4"/>
  <c r="R75" i="4"/>
  <c r="R77" i="4"/>
  <c r="R71" i="4"/>
  <c r="R76" i="4"/>
  <c r="R73" i="4"/>
  <c r="R66" i="4"/>
  <c r="R70" i="4"/>
  <c r="Z70" i="5"/>
  <c r="Z62" i="4"/>
  <c r="Z75" i="2"/>
  <c r="AD64" i="2"/>
  <c r="Z36" i="2"/>
  <c r="Z31" i="2"/>
  <c r="AZ69" i="2"/>
  <c r="BA59" i="2"/>
  <c r="AC79" i="3"/>
  <c r="AG79" i="3"/>
  <c r="C70" i="5"/>
  <c r="C62" i="4"/>
  <c r="C98" i="2"/>
  <c r="C75" i="2"/>
  <c r="C31" i="2"/>
  <c r="C36" i="2"/>
  <c r="AN29" i="5"/>
  <c r="AR23" i="5"/>
  <c r="BB63" i="5"/>
  <c r="AH63" i="5"/>
  <c r="AI63" i="5" s="1"/>
  <c r="AJ63" i="5" s="1"/>
  <c r="AK63" i="5" s="1"/>
  <c r="U53" i="5"/>
  <c r="U82" i="4" s="1"/>
  <c r="U80" i="4"/>
  <c r="BE60" i="5"/>
  <c r="BB99" i="3"/>
  <c r="BA101" i="3"/>
  <c r="BA99" i="3"/>
  <c r="AZ53" i="3"/>
  <c r="AZ52" i="3"/>
  <c r="BD40" i="4"/>
  <c r="AP40" i="4"/>
  <c r="AB61" i="3"/>
  <c r="Q89" i="4"/>
  <c r="Q88" i="4"/>
  <c r="AH85" i="4"/>
  <c r="BC33" i="3"/>
  <c r="H34" i="3"/>
  <c r="H84" i="4" s="1"/>
  <c r="H37" i="3"/>
  <c r="H41" i="3" s="1"/>
  <c r="L88" i="4"/>
  <c r="L89" i="4"/>
  <c r="V85" i="4"/>
  <c r="AZ33" i="3"/>
  <c r="AF61" i="3"/>
  <c r="AD176" i="2"/>
  <c r="BB165" i="2"/>
  <c r="AF55" i="3"/>
  <c r="V176" i="2"/>
  <c r="AZ165" i="2"/>
  <c r="AW21" i="3"/>
  <c r="AC85" i="3"/>
  <c r="AC34" i="3"/>
  <c r="AG83" i="3"/>
  <c r="AC37" i="3"/>
  <c r="AC41" i="3" s="1"/>
  <c r="AC43" i="3" s="1"/>
  <c r="Q60" i="3"/>
  <c r="AX60" i="3" s="1"/>
  <c r="AX61" i="3" s="1"/>
  <c r="BB7" i="3"/>
  <c r="AL146" i="2"/>
  <c r="AA51" i="4"/>
  <c r="BC102" i="2"/>
  <c r="BC136" i="2"/>
  <c r="AY50" i="4"/>
  <c r="U51" i="4"/>
  <c r="AL118" i="2"/>
  <c r="E97" i="2"/>
  <c r="AU97" i="2" s="1"/>
  <c r="E69" i="2"/>
  <c r="I59" i="2"/>
  <c r="E25" i="2"/>
  <c r="M76" i="4"/>
  <c r="M73" i="4"/>
  <c r="M66" i="4"/>
  <c r="M70" i="4"/>
  <c r="M72" i="4"/>
  <c r="M75" i="4"/>
  <c r="M77" i="4"/>
  <c r="M71" i="4"/>
  <c r="L76" i="4"/>
  <c r="L73" i="4"/>
  <c r="L66" i="4"/>
  <c r="L70" i="4"/>
  <c r="L72" i="4"/>
  <c r="L75" i="4"/>
  <c r="L77" i="4"/>
  <c r="L71" i="4"/>
  <c r="V71" i="4"/>
  <c r="V76" i="4"/>
  <c r="V73" i="4"/>
  <c r="V66" i="4"/>
  <c r="V70" i="4"/>
  <c r="V72" i="4"/>
  <c r="V75" i="4"/>
  <c r="V77" i="4"/>
  <c r="AF77" i="4"/>
  <c r="AF71" i="4"/>
  <c r="AF76" i="4"/>
  <c r="AF73" i="4"/>
  <c r="AF66" i="4"/>
  <c r="AF70" i="4"/>
  <c r="AF72" i="4"/>
  <c r="AF75" i="4"/>
  <c r="D70" i="5"/>
  <c r="D62" i="4"/>
  <c r="D98" i="2"/>
  <c r="D75" i="2"/>
  <c r="D36" i="2"/>
  <c r="D31" i="2"/>
  <c r="BA17" i="2"/>
  <c r="AY58" i="2"/>
  <c r="V70" i="5"/>
  <c r="V62" i="4"/>
  <c r="V75" i="2"/>
  <c r="V98" i="2"/>
  <c r="AZ98" i="2" s="1"/>
  <c r="Z64" i="2"/>
  <c r="V36" i="2"/>
  <c r="V31" i="2"/>
  <c r="AZ25" i="2"/>
  <c r="S53" i="5"/>
  <c r="S82" i="4" s="1"/>
  <c r="S80" i="4"/>
  <c r="BB29" i="5"/>
  <c r="AI48" i="5"/>
  <c r="AI50" i="5" s="1"/>
  <c r="AI42" i="5"/>
  <c r="BC42" i="5" s="1"/>
  <c r="AI79" i="4"/>
  <c r="Q17" i="5"/>
  <c r="AX17" i="5" s="1"/>
  <c r="AB53" i="5"/>
  <c r="AB82" i="4" s="1"/>
  <c r="AB51" i="5"/>
  <c r="AB80" i="4"/>
  <c r="AA53" i="5"/>
  <c r="AA82" i="4" s="1"/>
  <c r="AA80" i="4"/>
  <c r="AY101" i="3"/>
  <c r="AY99" i="3"/>
  <c r="BA105" i="3"/>
  <c r="BB103" i="3"/>
  <c r="BA103" i="3"/>
  <c r="AZ50" i="4"/>
  <c r="AZ51" i="4" s="1"/>
  <c r="Y51" i="4"/>
  <c r="AD89" i="4"/>
  <c r="AD88" i="4"/>
  <c r="AB95" i="3"/>
  <c r="AB96" i="3"/>
  <c r="BA79" i="3"/>
  <c r="BE13" i="3"/>
  <c r="AP107" i="2"/>
  <c r="BE107" i="2" s="1"/>
  <c r="AP6" i="2"/>
  <c r="BE6" i="2" s="1"/>
  <c r="AK51" i="4"/>
  <c r="BC50" i="4"/>
  <c r="N88" i="4"/>
  <c r="N89" i="4"/>
  <c r="AE85" i="3"/>
  <c r="AE34" i="3"/>
  <c r="AI83" i="3"/>
  <c r="AE37" i="3"/>
  <c r="AE41" i="3" s="1"/>
  <c r="AE43" i="3" s="1"/>
  <c r="V61" i="3"/>
  <c r="AZ60" i="3"/>
  <c r="AW16" i="3"/>
  <c r="Z165" i="2"/>
  <c r="BA164" i="2"/>
  <c r="Z90" i="2"/>
  <c r="AF96" i="3"/>
  <c r="AF95" i="3"/>
  <c r="AE95" i="3"/>
  <c r="AE96" i="3"/>
  <c r="AF89" i="4"/>
  <c r="AF88" i="4"/>
  <c r="AH175" i="2"/>
  <c r="BC147" i="2"/>
  <c r="BC148" i="2" s="1"/>
  <c r="AH148" i="2"/>
  <c r="AE89" i="4"/>
  <c r="AE88" i="4"/>
  <c r="Z84" i="4"/>
  <c r="Z35" i="3"/>
  <c r="BB103" i="2"/>
  <c r="BB137" i="2"/>
  <c r="L154" i="2"/>
  <c r="K23" i="2"/>
  <c r="AF74" i="2"/>
  <c r="AJ63" i="2"/>
  <c r="Q70" i="4"/>
  <c r="Q72" i="4"/>
  <c r="Q75" i="4"/>
  <c r="Q77" i="4"/>
  <c r="Q71" i="4"/>
  <c r="Q76" i="4"/>
  <c r="Q73" i="4"/>
  <c r="Q66" i="4"/>
  <c r="AZ71" i="2"/>
  <c r="BA60" i="2"/>
  <c r="N69" i="2"/>
  <c r="N97" i="2"/>
  <c r="AX97" i="2" s="1"/>
  <c r="R59" i="2"/>
  <c r="AX17" i="2"/>
  <c r="AI71" i="4"/>
  <c r="AM71" i="4" s="1"/>
  <c r="AQ71" i="4" s="1"/>
  <c r="AI76" i="4"/>
  <c r="AM76" i="4" s="1"/>
  <c r="AQ76" i="4" s="1"/>
  <c r="AI73" i="4"/>
  <c r="AM73" i="4" s="1"/>
  <c r="AQ73" i="4" s="1"/>
  <c r="AI66" i="4"/>
  <c r="AM66" i="4" s="1"/>
  <c r="AQ66" i="4" s="1"/>
  <c r="AI70" i="4"/>
  <c r="AM70" i="4" s="1"/>
  <c r="AQ70" i="4" s="1"/>
  <c r="AI72" i="4"/>
  <c r="AM72" i="4" s="1"/>
  <c r="AQ72" i="4" s="1"/>
  <c r="AI75" i="4"/>
  <c r="AM75" i="4" s="1"/>
  <c r="AQ75" i="4" s="1"/>
  <c r="AI77" i="4"/>
  <c r="AM77" i="4" s="1"/>
  <c r="AQ77" i="4" s="1"/>
  <c r="AG71" i="4"/>
  <c r="AG76" i="4"/>
  <c r="AG73" i="4"/>
  <c r="AG66" i="4"/>
  <c r="AG70" i="4"/>
  <c r="AG72" i="4"/>
  <c r="AG75" i="4"/>
  <c r="AG77" i="4"/>
  <c r="S59" i="2"/>
  <c r="AD59" i="2"/>
  <c r="AI70" i="5"/>
  <c r="AI62" i="4"/>
  <c r="AI75" i="2"/>
  <c r="AI36" i="2"/>
  <c r="BA61" i="2"/>
  <c r="B45" i="5"/>
  <c r="C44" i="5" s="1"/>
  <c r="Z95" i="3"/>
  <c r="P74" i="5"/>
  <c r="P29" i="5"/>
  <c r="AX29" i="5" s="1"/>
  <c r="AW23" i="5"/>
  <c r="V42" i="5"/>
  <c r="V48" i="5"/>
  <c r="V50" i="5" s="1"/>
  <c r="AZ20" i="5"/>
  <c r="V79" i="4"/>
  <c r="AY29" i="5"/>
  <c r="W48" i="5"/>
  <c r="W50" i="5" s="1"/>
  <c r="AA51" i="5" s="1"/>
  <c r="W42" i="5"/>
  <c r="W79" i="4"/>
  <c r="AE53" i="5"/>
  <c r="AE82" i="4" s="1"/>
  <c r="AE51" i="5"/>
  <c r="AE80" i="4"/>
  <c r="O20" i="5"/>
  <c r="AV14" i="5"/>
  <c r="AC45" i="4"/>
  <c r="BA44" i="4"/>
  <c r="M51" i="4"/>
  <c r="AW50" i="4"/>
  <c r="AW51" i="4" s="1"/>
  <c r="AW93" i="3"/>
  <c r="R55" i="3"/>
  <c r="U118" i="3"/>
  <c r="U117" i="3"/>
  <c r="AY94" i="3"/>
  <c r="AY95" i="3" s="1"/>
  <c r="AY7" i="3"/>
  <c r="V51" i="4"/>
  <c r="AH157" i="2"/>
  <c r="AG34" i="3"/>
  <c r="AK83" i="3"/>
  <c r="AG37" i="3"/>
  <c r="AG41" i="3" s="1"/>
  <c r="AG43" i="3" s="1"/>
  <c r="S34" i="3"/>
  <c r="S37" i="3"/>
  <c r="S41" i="3" s="1"/>
  <c r="S43" i="3" s="1"/>
  <c r="AD157" i="2"/>
  <c r="BB156" i="2"/>
  <c r="AH55" i="3"/>
  <c r="AV21" i="3"/>
  <c r="T61" i="3"/>
  <c r="T55" i="3"/>
  <c r="BB58" i="3"/>
  <c r="AD60" i="3"/>
  <c r="BD169" i="2"/>
  <c r="AZ21" i="3"/>
  <c r="Z85" i="3"/>
  <c r="BE162" i="2"/>
  <c r="AG94" i="3"/>
  <c r="BB95" i="3"/>
  <c r="BE163" i="2"/>
  <c r="Z129" i="2"/>
  <c r="BA126" i="2"/>
  <c r="O51" i="4"/>
  <c r="AC79" i="5"/>
  <c r="AM128" i="2"/>
  <c r="AN37" i="2"/>
  <c r="BA102" i="2"/>
  <c r="BA136" i="2"/>
  <c r="I51" i="4"/>
  <c r="T74" i="2"/>
  <c r="X63" i="2"/>
  <c r="O66" i="4"/>
  <c r="O70" i="4"/>
  <c r="O72" i="4"/>
  <c r="O75" i="4"/>
  <c r="O77" i="4"/>
  <c r="O71" i="4"/>
  <c r="O76" i="4"/>
  <c r="O73" i="4"/>
  <c r="AL35" i="4"/>
  <c r="AL18" i="4"/>
  <c r="AL8" i="4"/>
  <c r="AL14" i="4"/>
  <c r="AL9" i="4"/>
  <c r="AL24" i="4"/>
  <c r="AL17" i="5" s="1"/>
  <c r="AL27" i="4"/>
  <c r="AL10" i="4"/>
  <c r="BD2" i="5"/>
  <c r="BD2" i="4"/>
  <c r="BD2" i="3"/>
  <c r="BE2" i="2"/>
  <c r="F72" i="4"/>
  <c r="F75" i="4"/>
  <c r="F71" i="4"/>
  <c r="F76" i="4"/>
  <c r="F73" i="4"/>
  <c r="F66" i="4"/>
  <c r="F70" i="4"/>
  <c r="BA97" i="2"/>
  <c r="AZ72" i="2"/>
  <c r="AL157" i="2"/>
  <c r="AH51" i="5"/>
  <c r="AH53" i="5"/>
  <c r="AH82" i="4" s="1"/>
  <c r="AH80" i="4"/>
  <c r="Q33" i="5"/>
  <c r="Q39" i="5" s="1"/>
  <c r="AX39" i="5" s="1"/>
  <c r="J42" i="5"/>
  <c r="J48" i="5"/>
  <c r="J79" i="4"/>
  <c r="H74" i="5"/>
  <c r="H29" i="5"/>
  <c r="I23" i="5"/>
  <c r="AV23" i="5" s="1"/>
  <c r="R48" i="5"/>
  <c r="R50" i="5" s="1"/>
  <c r="R42" i="5"/>
  <c r="AY20" i="5"/>
  <c r="R79" i="4"/>
  <c r="AW105" i="3"/>
  <c r="AD79" i="3"/>
  <c r="BA93" i="3"/>
  <c r="BB91" i="3"/>
  <c r="BA91" i="3"/>
  <c r="R89" i="4"/>
  <c r="R88" i="4"/>
  <c r="Z60" i="3"/>
  <c r="BA58" i="3"/>
  <c r="J51" i="4"/>
  <c r="U34" i="3"/>
  <c r="Y83" i="3"/>
  <c r="U37" i="3"/>
  <c r="U41" i="3" s="1"/>
  <c r="J33" i="3"/>
  <c r="G34" i="3"/>
  <c r="G84" i="4" s="1"/>
  <c r="G37" i="3"/>
  <c r="G41" i="3" s="1"/>
  <c r="AH89" i="4"/>
  <c r="AH88" i="4"/>
  <c r="BB54" i="3"/>
  <c r="BB55" i="3" s="1"/>
  <c r="AG55" i="3"/>
  <c r="S61" i="3"/>
  <c r="AK85" i="3"/>
  <c r="T89" i="4"/>
  <c r="T88" i="4"/>
  <c r="AK34" i="3"/>
  <c r="AY31" i="3"/>
  <c r="Z41" i="3"/>
  <c r="BD161" i="2"/>
  <c r="Z175" i="2"/>
  <c r="Z148" i="2"/>
  <c r="BA147" i="2"/>
  <c r="BA148" i="2" s="1"/>
  <c r="AL79" i="5"/>
  <c r="N126" i="2"/>
  <c r="AX121" i="2"/>
  <c r="AE79" i="5"/>
  <c r="AB51" i="4"/>
  <c r="AL103" i="2"/>
  <c r="AL137" i="2"/>
  <c r="AM53" i="2"/>
  <c r="AM123" i="2"/>
  <c r="AN33" i="2"/>
  <c r="AL136" i="2"/>
  <c r="AL102" i="2"/>
  <c r="AM52" i="2"/>
  <c r="AG79" i="5"/>
  <c r="AZ73" i="2"/>
  <c r="BA62" i="2"/>
  <c r="AL78" i="5"/>
  <c r="AL76" i="5" s="1"/>
  <c r="AL8" i="5" s="1"/>
  <c r="AU73" i="2"/>
  <c r="AV62" i="2"/>
  <c r="J71" i="4"/>
  <c r="J76" i="4"/>
  <c r="J73" i="4"/>
  <c r="J66" i="4"/>
  <c r="J70" i="4"/>
  <c r="J72" i="4"/>
  <c r="J75" i="4"/>
  <c r="J77" i="4"/>
  <c r="T77" i="4"/>
  <c r="T71" i="4"/>
  <c r="T76" i="4"/>
  <c r="T73" i="4"/>
  <c r="T66" i="4"/>
  <c r="T70" i="4"/>
  <c r="T72" i="4"/>
  <c r="T75" i="4"/>
  <c r="AK70" i="5"/>
  <c r="AK62" i="4"/>
  <c r="AK98" i="2"/>
  <c r="AK75" i="2"/>
  <c r="AK36" i="2"/>
  <c r="AK31" i="2"/>
  <c r="AF63" i="2"/>
  <c r="AQ69" i="2"/>
  <c r="BA74" i="2"/>
  <c r="AZ97" i="2"/>
  <c r="AG70" i="5"/>
  <c r="AG62" i="4"/>
  <c r="AG75" i="2"/>
  <c r="AG98" i="2"/>
  <c r="AK64" i="2"/>
  <c r="AG36" i="2"/>
  <c r="AG31" i="2"/>
  <c r="AD61" i="3" l="1"/>
  <c r="BB60" i="3"/>
  <c r="BB61" i="3" s="1"/>
  <c r="AI51" i="5"/>
  <c r="AI53" i="5"/>
  <c r="AI82" i="4" s="1"/>
  <c r="AI80" i="4"/>
  <c r="AC84" i="4"/>
  <c r="AC35" i="3"/>
  <c r="BB74" i="2"/>
  <c r="BC63" i="2"/>
  <c r="G69" i="5"/>
  <c r="G71" i="2"/>
  <c r="G24" i="2"/>
  <c r="G60" i="2"/>
  <c r="AV45" i="4"/>
  <c r="AV54" i="4" s="1"/>
  <c r="I54" i="4"/>
  <c r="I55" i="4"/>
  <c r="AM7" i="3"/>
  <c r="AM35" i="3" s="1"/>
  <c r="AM30" i="3"/>
  <c r="AM110" i="2"/>
  <c r="AM26" i="3"/>
  <c r="AM9" i="2"/>
  <c r="AM16" i="3"/>
  <c r="AD126" i="2"/>
  <c r="BB121" i="2"/>
  <c r="AJ55" i="4"/>
  <c r="AJ54" i="4"/>
  <c r="T39" i="2"/>
  <c r="T38" i="2"/>
  <c r="BA37" i="3"/>
  <c r="AL19" i="5"/>
  <c r="BC156" i="2"/>
  <c r="AZ48" i="5"/>
  <c r="AZ79" i="4"/>
  <c r="AI39" i="2"/>
  <c r="AI38" i="2"/>
  <c r="AX69" i="2"/>
  <c r="AY59" i="2"/>
  <c r="AE84" i="4"/>
  <c r="AE35" i="3"/>
  <c r="BA69" i="2"/>
  <c r="BB59" i="2"/>
  <c r="AY51" i="4"/>
  <c r="F85" i="2"/>
  <c r="I152" i="2"/>
  <c r="AV152" i="2" s="1"/>
  <c r="H155" i="2"/>
  <c r="H21" i="2"/>
  <c r="AF84" i="4"/>
  <c r="AF35" i="3"/>
  <c r="AZ95" i="3"/>
  <c r="AZ83" i="3"/>
  <c r="AY85" i="3"/>
  <c r="AH41" i="3"/>
  <c r="BC37" i="3"/>
  <c r="AO18" i="3"/>
  <c r="AP20" i="3"/>
  <c r="AN91" i="2"/>
  <c r="B129" i="2"/>
  <c r="AU126" i="2"/>
  <c r="AJ50" i="4"/>
  <c r="AJ51" i="4" s="1"/>
  <c r="AJ48" i="4"/>
  <c r="V51" i="5"/>
  <c r="AZ50" i="5"/>
  <c r="V53" i="5"/>
  <c r="V82" i="4" s="1"/>
  <c r="V80" i="4"/>
  <c r="AL82" i="2"/>
  <c r="AM88" i="4"/>
  <c r="AL89" i="4"/>
  <c r="AK84" i="4"/>
  <c r="AK35" i="3"/>
  <c r="AL14" i="5"/>
  <c r="AZ42" i="5"/>
  <c r="D39" i="2"/>
  <c r="D38" i="2"/>
  <c r="C39" i="2"/>
  <c r="C38" i="2"/>
  <c r="AV69" i="2"/>
  <c r="AW59" i="2"/>
  <c r="AN125" i="2"/>
  <c r="AO35" i="2"/>
  <c r="BD35" i="2"/>
  <c r="AL68" i="5"/>
  <c r="AL60" i="4"/>
  <c r="AL22" i="4" s="1"/>
  <c r="AL112" i="2"/>
  <c r="AL17" i="2"/>
  <c r="AL58" i="2"/>
  <c r="W43" i="3"/>
  <c r="Y39" i="2"/>
  <c r="Y38" i="2"/>
  <c r="AO151" i="2"/>
  <c r="AN86" i="2"/>
  <c r="AN85" i="2" s="1"/>
  <c r="AN77" i="5" s="1"/>
  <c r="R84" i="4"/>
  <c r="R35" i="3"/>
  <c r="AY34" i="3"/>
  <c r="C48" i="5"/>
  <c r="C42" i="5"/>
  <c r="C79" i="4"/>
  <c r="E20" i="5"/>
  <c r="AU6" i="5"/>
  <c r="AU31" i="2"/>
  <c r="P48" i="5"/>
  <c r="P42" i="5"/>
  <c r="P79" i="4"/>
  <c r="J85" i="4"/>
  <c r="AW33" i="3"/>
  <c r="U48" i="3"/>
  <c r="U43" i="3"/>
  <c r="AM136" i="2"/>
  <c r="AM102" i="2"/>
  <c r="AN52" i="2"/>
  <c r="BA129" i="2"/>
  <c r="Z131" i="2"/>
  <c r="O48" i="5"/>
  <c r="O42" i="5"/>
  <c r="O79" i="4"/>
  <c r="BA34" i="3"/>
  <c r="BA35" i="3" s="1"/>
  <c r="AZ75" i="2"/>
  <c r="Z39" i="2"/>
  <c r="Z38" i="2"/>
  <c r="F70" i="5"/>
  <c r="F62" i="4"/>
  <c r="F75" i="2"/>
  <c r="F98" i="2"/>
  <c r="F36" i="2"/>
  <c r="AX51" i="4"/>
  <c r="M39" i="5"/>
  <c r="AW39" i="5" s="1"/>
  <c r="AW35" i="5"/>
  <c r="AL69" i="5"/>
  <c r="AL116" i="2"/>
  <c r="AL24" i="2"/>
  <c r="AL60" i="2"/>
  <c r="AY69" i="2"/>
  <c r="AZ59" i="2"/>
  <c r="BD92" i="2"/>
  <c r="BA83" i="3"/>
  <c r="AZ85" i="3"/>
  <c r="AP3" i="5"/>
  <c r="AP3" i="4"/>
  <c r="AP57" i="4"/>
  <c r="AP64" i="3"/>
  <c r="AP88" i="3"/>
  <c r="AP28" i="3"/>
  <c r="AP3" i="3"/>
  <c r="AP105" i="2"/>
  <c r="AP80" i="2"/>
  <c r="AP55" i="2"/>
  <c r="AS160" i="2"/>
  <c r="AS89" i="2" s="1"/>
  <c r="AR89" i="2"/>
  <c r="BE89" i="2" s="1"/>
  <c r="BE160" i="2"/>
  <c r="AI43" i="3"/>
  <c r="D48" i="5"/>
  <c r="D42" i="5"/>
  <c r="D79" i="4"/>
  <c r="B39" i="2"/>
  <c r="B38" i="2"/>
  <c r="AD84" i="4"/>
  <c r="AD35" i="3"/>
  <c r="BB34" i="3"/>
  <c r="AJ39" i="2"/>
  <c r="AJ38" i="2"/>
  <c r="AX33" i="5"/>
  <c r="AB39" i="2"/>
  <c r="AB38" i="2"/>
  <c r="BC48" i="5"/>
  <c r="BC79" i="4"/>
  <c r="AI84" i="4"/>
  <c r="AM34" i="3"/>
  <c r="AI35" i="3"/>
  <c r="BB63" i="2"/>
  <c r="U84" i="4"/>
  <c r="U35" i="3"/>
  <c r="AY48" i="5"/>
  <c r="AY79" i="4"/>
  <c r="AL12" i="5"/>
  <c r="BA90" i="2"/>
  <c r="Z88" i="2"/>
  <c r="BC51" i="4"/>
  <c r="AZ31" i="2"/>
  <c r="E70" i="5"/>
  <c r="E62" i="4"/>
  <c r="E75" i="2"/>
  <c r="E98" i="2"/>
  <c r="AU98" i="2" s="1"/>
  <c r="E36" i="2"/>
  <c r="AU36" i="2" s="1"/>
  <c r="AU38" i="2" s="1"/>
  <c r="E31" i="2"/>
  <c r="K61" i="4"/>
  <c r="K72" i="2"/>
  <c r="K61" i="2"/>
  <c r="AB84" i="4"/>
  <c r="AB35" i="3"/>
  <c r="J34" i="3"/>
  <c r="AP173" i="2"/>
  <c r="AQ169" i="2"/>
  <c r="AP92" i="2"/>
  <c r="V84" i="4"/>
  <c r="V35" i="3"/>
  <c r="AZ34" i="3"/>
  <c r="AZ35" i="3" s="1"/>
  <c r="L84" i="4"/>
  <c r="L35" i="3"/>
  <c r="X84" i="4"/>
  <c r="X35" i="3"/>
  <c r="AC53" i="5"/>
  <c r="AC82" i="4" s="1"/>
  <c r="AC51" i="5"/>
  <c r="AC80" i="4"/>
  <c r="F64" i="2"/>
  <c r="AA84" i="4"/>
  <c r="AA35" i="3"/>
  <c r="AJ84" i="4"/>
  <c r="AJ35" i="3"/>
  <c r="AX59" i="2"/>
  <c r="I48" i="3"/>
  <c r="AV59" i="2"/>
  <c r="Z43" i="3"/>
  <c r="BA41" i="3"/>
  <c r="AC70" i="5"/>
  <c r="AC62" i="4"/>
  <c r="AC75" i="2"/>
  <c r="AC98" i="2"/>
  <c r="AG64" i="2"/>
  <c r="AC36" i="2"/>
  <c r="AC31" i="2"/>
  <c r="BA31" i="2" s="1"/>
  <c r="G156" i="2"/>
  <c r="G87" i="2"/>
  <c r="G85" i="2" s="1"/>
  <c r="G77" i="5" s="1"/>
  <c r="N129" i="2"/>
  <c r="AX126" i="2"/>
  <c r="AY42" i="5"/>
  <c r="AL15" i="5"/>
  <c r="V39" i="2"/>
  <c r="AZ36" i="2"/>
  <c r="AZ38" i="2" s="1"/>
  <c r="V38" i="2"/>
  <c r="AL84" i="2"/>
  <c r="AN155" i="2"/>
  <c r="AN87" i="2" s="1"/>
  <c r="AO152" i="2"/>
  <c r="BD152" i="2" s="1"/>
  <c r="Z51" i="5"/>
  <c r="M84" i="4"/>
  <c r="M35" i="3"/>
  <c r="M153" i="2"/>
  <c r="L22" i="2"/>
  <c r="Y84" i="4"/>
  <c r="Y35" i="3"/>
  <c r="AZ37" i="3"/>
  <c r="V41" i="3"/>
  <c r="L43" i="3"/>
  <c r="U39" i="2"/>
  <c r="U38" i="2"/>
  <c r="Q48" i="3"/>
  <c r="Q43" i="3"/>
  <c r="AY60" i="3"/>
  <c r="AY61" i="3" s="1"/>
  <c r="R61" i="3"/>
  <c r="BC75" i="2"/>
  <c r="Q20" i="5"/>
  <c r="BA85" i="3"/>
  <c r="BA45" i="4"/>
  <c r="BA54" i="4" s="1"/>
  <c r="AC54" i="4"/>
  <c r="AC55" i="4"/>
  <c r="R53" i="5"/>
  <c r="R82" i="4" s="1"/>
  <c r="AY50" i="5"/>
  <c r="R80" i="4"/>
  <c r="BC50" i="5"/>
  <c r="AG97" i="3"/>
  <c r="AG96" i="3"/>
  <c r="Z176" i="2"/>
  <c r="BA165" i="2"/>
  <c r="AM87" i="2"/>
  <c r="BA51" i="5"/>
  <c r="BA53" i="5"/>
  <c r="BA82" i="4" s="1"/>
  <c r="BA80" i="4"/>
  <c r="J129" i="2"/>
  <c r="AW126" i="2"/>
  <c r="P84" i="4"/>
  <c r="P35" i="3"/>
  <c r="M43" i="3"/>
  <c r="M48" i="3"/>
  <c r="BA42" i="5"/>
  <c r="AC45" i="3"/>
  <c r="AC47" i="3"/>
  <c r="AB43" i="3"/>
  <c r="AC46" i="3"/>
  <c r="AW37" i="3"/>
  <c r="J41" i="3"/>
  <c r="AA39" i="2"/>
  <c r="AA38" i="2"/>
  <c r="AO173" i="2"/>
  <c r="BD173" i="2" s="1"/>
  <c r="Q84" i="4"/>
  <c r="Q35" i="3"/>
  <c r="O84" i="4"/>
  <c r="O35" i="3"/>
  <c r="X43" i="3"/>
  <c r="Y46" i="3"/>
  <c r="Y45" i="3"/>
  <c r="Y47" i="3"/>
  <c r="AA43" i="3"/>
  <c r="AJ43" i="3"/>
  <c r="AH80" i="5"/>
  <c r="AH78" i="5"/>
  <c r="AH81" i="5" s="1"/>
  <c r="AY55" i="3"/>
  <c r="H42" i="5"/>
  <c r="H48" i="5"/>
  <c r="H79" i="4"/>
  <c r="AJ51" i="5"/>
  <c r="AJ53" i="5"/>
  <c r="AJ82" i="4" s="1"/>
  <c r="AJ80" i="4"/>
  <c r="F126" i="2"/>
  <c r="AV121" i="2"/>
  <c r="R41" i="3"/>
  <c r="AY37" i="3"/>
  <c r="AU75" i="2"/>
  <c r="BB37" i="3"/>
  <c r="AD41" i="3"/>
  <c r="AG45" i="3" s="1"/>
  <c r="AP170" i="2"/>
  <c r="AO93" i="2"/>
  <c r="BD93" i="2" s="1"/>
  <c r="AN123" i="2"/>
  <c r="AO33" i="2"/>
  <c r="Z61" i="3"/>
  <c r="BA60" i="3"/>
  <c r="BA61" i="3" s="1"/>
  <c r="BE2" i="5"/>
  <c r="BE2" i="4"/>
  <c r="BE2" i="3"/>
  <c r="Z96" i="3"/>
  <c r="K73" i="2"/>
  <c r="K62" i="2"/>
  <c r="AX55" i="3"/>
  <c r="AD70" i="5"/>
  <c r="AD62" i="4"/>
  <c r="AD75" i="2"/>
  <c r="AD98" i="2"/>
  <c r="AH64" i="2"/>
  <c r="AD36" i="2"/>
  <c r="AD31" i="2"/>
  <c r="BB25" i="2"/>
  <c r="N43" i="3"/>
  <c r="AX41" i="3"/>
  <c r="K84" i="4"/>
  <c r="K35" i="3"/>
  <c r="Y43" i="3"/>
  <c r="BA48" i="5"/>
  <c r="BA79" i="4"/>
  <c r="BC126" i="2"/>
  <c r="AH129" i="2"/>
  <c r="AZ121" i="2"/>
  <c r="V126" i="2"/>
  <c r="F41" i="3"/>
  <c r="AV41" i="3" s="1"/>
  <c r="AV37" i="3"/>
  <c r="AA78" i="3"/>
  <c r="AE77" i="3"/>
  <c r="AA77" i="3"/>
  <c r="AB78" i="3"/>
  <c r="L48" i="5"/>
  <c r="L42" i="5"/>
  <c r="L79" i="4"/>
  <c r="O43" i="3"/>
  <c r="AW25" i="5"/>
  <c r="AH39" i="2"/>
  <c r="BC36" i="2"/>
  <c r="BC38" i="2" s="1"/>
  <c r="AH38" i="2"/>
  <c r="AE70" i="5"/>
  <c r="AE62" i="4"/>
  <c r="AE75" i="2"/>
  <c r="AE98" i="2"/>
  <c r="AI64" i="2"/>
  <c r="AE36" i="2"/>
  <c r="AE31" i="2"/>
  <c r="W39" i="2"/>
  <c r="W38" i="2"/>
  <c r="I20" i="5"/>
  <c r="AX34" i="3"/>
  <c r="AK51" i="5"/>
  <c r="AK53" i="5"/>
  <c r="AK82" i="4" s="1"/>
  <c r="AK80" i="4"/>
  <c r="AG84" i="4"/>
  <c r="AG35" i="3"/>
  <c r="W84" i="4"/>
  <c r="W35" i="3"/>
  <c r="I74" i="5"/>
  <c r="I29" i="5"/>
  <c r="S84" i="4"/>
  <c r="S35" i="3"/>
  <c r="M154" i="2"/>
  <c r="L23" i="2"/>
  <c r="AZ61" i="3"/>
  <c r="Q61" i="3"/>
  <c r="U61" i="3"/>
  <c r="AQ40" i="4"/>
  <c r="AV8" i="5"/>
  <c r="AF31" i="2" s="1"/>
  <c r="X39" i="2"/>
  <c r="X38" i="2"/>
  <c r="BB69" i="2"/>
  <c r="BC59" i="2"/>
  <c r="AX37" i="3"/>
  <c r="AM88" i="2"/>
  <c r="K43" i="3"/>
  <c r="F84" i="4"/>
  <c r="AV34" i="3"/>
  <c r="AV35" i="3" s="1"/>
  <c r="AL13" i="4"/>
  <c r="BB48" i="5"/>
  <c r="BB79" i="4"/>
  <c r="R126" i="2"/>
  <c r="AY121" i="2"/>
  <c r="AZ45" i="4"/>
  <c r="AZ54" i="4" s="1"/>
  <c r="Y54" i="4"/>
  <c r="Y55" i="4"/>
  <c r="AM124" i="2"/>
  <c r="AN34" i="2"/>
  <c r="AL13" i="5"/>
  <c r="BA25" i="2"/>
  <c r="T84" i="4"/>
  <c r="T35" i="3"/>
  <c r="AG39" i="2"/>
  <c r="AG38" i="2"/>
  <c r="AN128" i="2"/>
  <c r="AO37" i="2"/>
  <c r="W51" i="5"/>
  <c r="W53" i="5"/>
  <c r="W82" i="4" s="1"/>
  <c r="W80" i="4"/>
  <c r="AL63" i="5"/>
  <c r="AM63" i="5" s="1"/>
  <c r="AN63" i="5" s="1"/>
  <c r="AO63" i="5" s="1"/>
  <c r="BC63" i="5"/>
  <c r="I79" i="5"/>
  <c r="AL61" i="4"/>
  <c r="AL117" i="2"/>
  <c r="AL61" i="2"/>
  <c r="K72" i="3"/>
  <c r="L71" i="3"/>
  <c r="AH84" i="4"/>
  <c r="AH35" i="3"/>
  <c r="BC34" i="3"/>
  <c r="BC35" i="3" s="1"/>
  <c r="AL34" i="3"/>
  <c r="BB42" i="5"/>
  <c r="AN165" i="2"/>
  <c r="AN90" i="2"/>
  <c r="AN88" i="2" s="1"/>
  <c r="M20" i="5"/>
  <c r="AF39" i="2"/>
  <c r="AF38" i="2"/>
  <c r="AN5" i="3"/>
  <c r="AN21" i="3" s="1"/>
  <c r="AN108" i="2"/>
  <c r="AN7" i="2"/>
  <c r="AV29" i="5"/>
  <c r="AK39" i="2"/>
  <c r="AK38" i="2"/>
  <c r="AM103" i="2"/>
  <c r="AM137" i="2"/>
  <c r="AN53" i="2"/>
  <c r="AM61" i="5"/>
  <c r="BE15" i="3"/>
  <c r="AC94" i="3"/>
  <c r="AG95" i="3" s="1"/>
  <c r="BA95" i="3"/>
  <c r="AG51" i="5"/>
  <c r="AG53" i="5"/>
  <c r="AG82" i="4" s="1"/>
  <c r="AG80" i="4"/>
  <c r="H79" i="5"/>
  <c r="AG47" i="3"/>
  <c r="AF43" i="3"/>
  <c r="AG46" i="3"/>
  <c r="BE153" i="2"/>
  <c r="AH61" i="3"/>
  <c r="BE23" i="5"/>
  <c r="V80" i="5"/>
  <c r="V79" i="5" s="1"/>
  <c r="V78" i="5"/>
  <c r="V81" i="5" s="1"/>
  <c r="AM21" i="3"/>
  <c r="AD53" i="5"/>
  <c r="AD82" i="4" s="1"/>
  <c r="AD51" i="5"/>
  <c r="BB50" i="5"/>
  <c r="AD80" i="4"/>
  <c r="AG56" i="5"/>
  <c r="AI85" i="2"/>
  <c r="BC87" i="2"/>
  <c r="AP161" i="2"/>
  <c r="AO164" i="2"/>
  <c r="AO24" i="5"/>
  <c r="BD24" i="5"/>
  <c r="L73" i="2" l="1"/>
  <c r="L62" i="2"/>
  <c r="AV126" i="2"/>
  <c r="F129" i="2"/>
  <c r="BB51" i="5"/>
  <c r="BB53" i="5"/>
  <c r="BB82" i="4" s="1"/>
  <c r="BB80" i="4"/>
  <c r="N154" i="2"/>
  <c r="M23" i="2"/>
  <c r="AH79" i="5"/>
  <c r="G80" i="5"/>
  <c r="G78" i="5"/>
  <c r="G81" i="5" s="1"/>
  <c r="AN156" i="2"/>
  <c r="AO21" i="3"/>
  <c r="AO108" i="2"/>
  <c r="BD108" i="2" s="1"/>
  <c r="AO5" i="3"/>
  <c r="AO7" i="2"/>
  <c r="BD7" i="2" s="1"/>
  <c r="AO128" i="2"/>
  <c r="BD128" i="2" s="1"/>
  <c r="AP37" i="2"/>
  <c r="AM67" i="5"/>
  <c r="AM59" i="4"/>
  <c r="AM147" i="2"/>
  <c r="AM23" i="2"/>
  <c r="AM21" i="2"/>
  <c r="AM17" i="2"/>
  <c r="AM22" i="2"/>
  <c r="AM57" i="2"/>
  <c r="AM16" i="2"/>
  <c r="V43" i="3"/>
  <c r="AZ41" i="3"/>
  <c r="AJ71" i="5"/>
  <c r="AJ63" i="4"/>
  <c r="AJ77" i="2"/>
  <c r="AJ99" i="2"/>
  <c r="AJ100" i="2" s="1"/>
  <c r="AJ46" i="2"/>
  <c r="AL120" i="2"/>
  <c r="AN136" i="2"/>
  <c r="AN102" i="2"/>
  <c r="AO52" i="2"/>
  <c r="E48" i="5"/>
  <c r="E42" i="5"/>
  <c r="E45" i="5" s="1"/>
  <c r="E79" i="4"/>
  <c r="D71" i="5"/>
  <c r="D63" i="4"/>
  <c r="D77" i="2"/>
  <c r="D99" i="2"/>
  <c r="D100" i="2" s="1"/>
  <c r="D46" i="2"/>
  <c r="AM157" i="2"/>
  <c r="AO123" i="2"/>
  <c r="BD123" i="2" s="1"/>
  <c r="AP33" i="2"/>
  <c r="AX129" i="2"/>
  <c r="N131" i="2"/>
  <c r="AL74" i="2"/>
  <c r="AL63" i="2"/>
  <c r="Z133" i="2"/>
  <c r="BA131" i="2"/>
  <c r="BA133" i="2" s="1"/>
  <c r="F77" i="5"/>
  <c r="AG71" i="5"/>
  <c r="AG63" i="4"/>
  <c r="AG99" i="2"/>
  <c r="AG100" i="2" s="1"/>
  <c r="AG77" i="2"/>
  <c r="AK65" i="2"/>
  <c r="AG46" i="2"/>
  <c r="AY126" i="2"/>
  <c r="R129" i="2"/>
  <c r="AA79" i="3"/>
  <c r="AE79" i="3"/>
  <c r="AX43" i="3"/>
  <c r="AW23" i="2"/>
  <c r="BB35" i="3"/>
  <c r="AU20" i="5"/>
  <c r="AO125" i="2"/>
  <c r="AP35" i="2"/>
  <c r="BC41" i="3"/>
  <c r="BC43" i="3" s="1"/>
  <c r="AH43" i="3"/>
  <c r="AM37" i="3"/>
  <c r="BD33" i="2"/>
  <c r="M48" i="5"/>
  <c r="M42" i="5"/>
  <c r="M79" i="4"/>
  <c r="AW20" i="5"/>
  <c r="AN88" i="4"/>
  <c r="AM89" i="4"/>
  <c r="AP24" i="5"/>
  <c r="AO29" i="5"/>
  <c r="BD29" i="5" s="1"/>
  <c r="AQ170" i="2"/>
  <c r="AP93" i="2"/>
  <c r="AA71" i="5"/>
  <c r="AA63" i="4"/>
  <c r="AA77" i="2"/>
  <c r="AA99" i="2"/>
  <c r="AA100" i="2" s="1"/>
  <c r="AA46" i="2"/>
  <c r="Q48" i="5"/>
  <c r="Q42" i="5"/>
  <c r="Q79" i="4"/>
  <c r="AX20" i="5"/>
  <c r="AC39" i="2"/>
  <c r="AC38" i="2"/>
  <c r="AM84" i="4"/>
  <c r="AM33" i="3"/>
  <c r="AM85" i="4" s="1"/>
  <c r="BA36" i="2"/>
  <c r="BA38" i="2" s="1"/>
  <c r="BD125" i="2"/>
  <c r="AZ51" i="5"/>
  <c r="AZ53" i="5"/>
  <c r="AZ82" i="4" s="1"/>
  <c r="AZ80" i="4"/>
  <c r="BD18" i="3"/>
  <c r="AN7" i="3"/>
  <c r="AN35" i="3" s="1"/>
  <c r="AN34" i="3" s="1"/>
  <c r="AN30" i="3"/>
  <c r="AN37" i="3" s="1"/>
  <c r="AN110" i="2"/>
  <c r="AN9" i="2"/>
  <c r="AN16" i="3"/>
  <c r="AN26" i="3"/>
  <c r="AL84" i="4"/>
  <c r="AL33" i="3"/>
  <c r="X71" i="5"/>
  <c r="X63" i="4"/>
  <c r="X77" i="2"/>
  <c r="X99" i="2"/>
  <c r="X100" i="2" s="1"/>
  <c r="AB65" i="2"/>
  <c r="X46" i="2"/>
  <c r="AB66" i="2" s="1"/>
  <c r="I42" i="5"/>
  <c r="I48" i="5"/>
  <c r="I79" i="4"/>
  <c r="AH71" i="5"/>
  <c r="AH63" i="4"/>
  <c r="AH77" i="2"/>
  <c r="AH46" i="2"/>
  <c r="AH99" i="2"/>
  <c r="BC39" i="2"/>
  <c r="BB75" i="2"/>
  <c r="BC64" i="2"/>
  <c r="BB41" i="3"/>
  <c r="BB43" i="3" s="1"/>
  <c r="AD43" i="3"/>
  <c r="J43" i="3"/>
  <c r="AW41" i="3"/>
  <c r="AW43" i="3" s="1"/>
  <c r="BC51" i="5"/>
  <c r="BC53" i="5"/>
  <c r="BC82" i="4" s="1"/>
  <c r="BC80" i="4"/>
  <c r="BA88" i="2"/>
  <c r="Z98" i="2"/>
  <c r="BA98" i="2" s="1"/>
  <c r="Z71" i="5"/>
  <c r="Z63" i="4"/>
  <c r="Z77" i="2"/>
  <c r="Z99" i="2"/>
  <c r="BA39" i="2"/>
  <c r="Z46" i="2"/>
  <c r="C45" i="5"/>
  <c r="D44" i="5" s="1"/>
  <c r="Y71" i="5"/>
  <c r="Y63" i="4"/>
  <c r="Y77" i="2"/>
  <c r="Y99" i="2"/>
  <c r="Y100" i="2" s="1"/>
  <c r="AC65" i="2"/>
  <c r="Y46" i="2"/>
  <c r="T71" i="5"/>
  <c r="T63" i="4"/>
  <c r="T99" i="2"/>
  <c r="T100" i="2" s="1"/>
  <c r="T77" i="2"/>
  <c r="X65" i="2"/>
  <c r="T46" i="2"/>
  <c r="X66" i="2" s="1"/>
  <c r="AL113" i="2"/>
  <c r="AP151" i="2"/>
  <c r="AO86" i="2"/>
  <c r="AN103" i="2"/>
  <c r="AN137" i="2"/>
  <c r="AO53" i="2"/>
  <c r="BD53" i="2" s="1"/>
  <c r="AN61" i="5"/>
  <c r="BD86" i="2"/>
  <c r="BA75" i="2"/>
  <c r="BB64" i="2"/>
  <c r="AZ126" i="2"/>
  <c r="V129" i="2"/>
  <c r="BB31" i="2"/>
  <c r="J131" i="2"/>
  <c r="AW129" i="2"/>
  <c r="L61" i="4"/>
  <c r="L72" i="2"/>
  <c r="L61" i="2"/>
  <c r="V71" i="5"/>
  <c r="V63" i="4"/>
  <c r="V77" i="2"/>
  <c r="Z65" i="2"/>
  <c r="V46" i="2"/>
  <c r="AZ39" i="2"/>
  <c r="V99" i="2"/>
  <c r="AO91" i="2"/>
  <c r="BA64" i="2"/>
  <c r="AB71" i="5"/>
  <c r="AB63" i="4"/>
  <c r="AB77" i="2"/>
  <c r="AB99" i="2"/>
  <c r="AB100" i="2" s="1"/>
  <c r="AF65" i="2"/>
  <c r="AB46" i="2"/>
  <c r="I155" i="2"/>
  <c r="J152" i="2"/>
  <c r="I21" i="2"/>
  <c r="AL9" i="5"/>
  <c r="AO165" i="2"/>
  <c r="BD165" i="2" s="1"/>
  <c r="AO90" i="2"/>
  <c r="BD164" i="2"/>
  <c r="AM85" i="2"/>
  <c r="BD63" i="5"/>
  <c r="AP63" i="5"/>
  <c r="AQ63" i="5" s="1"/>
  <c r="AR63" i="5" s="1"/>
  <c r="AS63" i="5" s="1"/>
  <c r="BE63" i="5" s="1"/>
  <c r="W71" i="5"/>
  <c r="W63" i="4"/>
  <c r="W77" i="2"/>
  <c r="W99" i="2"/>
  <c r="W100" i="2" s="1"/>
  <c r="AA65" i="2"/>
  <c r="W46" i="2"/>
  <c r="AA66" i="2" s="1"/>
  <c r="BB36" i="2"/>
  <c r="BB38" i="2" s="1"/>
  <c r="AD39" i="2"/>
  <c r="AD38" i="2"/>
  <c r="AY53" i="5"/>
  <c r="AY82" i="4" s="1"/>
  <c r="AY80" i="4"/>
  <c r="N153" i="2"/>
  <c r="M22" i="2"/>
  <c r="AW153" i="2"/>
  <c r="AY35" i="3"/>
  <c r="BD91" i="2"/>
  <c r="J84" i="4"/>
  <c r="J35" i="3"/>
  <c r="AW34" i="3"/>
  <c r="AW35" i="3" s="1"/>
  <c r="N35" i="3"/>
  <c r="C71" i="5"/>
  <c r="C63" i="4"/>
  <c r="C77" i="2"/>
  <c r="C99" i="2"/>
  <c r="C100" i="2" s="1"/>
  <c r="C46" i="2"/>
  <c r="AQ161" i="2"/>
  <c r="AP164" i="2"/>
  <c r="AR40" i="4"/>
  <c r="AH131" i="2"/>
  <c r="BC129" i="2"/>
  <c r="AR169" i="2"/>
  <c r="AQ173" i="2"/>
  <c r="AQ92" i="2"/>
  <c r="B71" i="5"/>
  <c r="B63" i="4"/>
  <c r="B77" i="2"/>
  <c r="B99" i="2"/>
  <c r="F31" i="2"/>
  <c r="AL97" i="2"/>
  <c r="AL25" i="2"/>
  <c r="AL59" i="2"/>
  <c r="AW154" i="2"/>
  <c r="AO155" i="2"/>
  <c r="AO87" i="2" s="1"/>
  <c r="BD87" i="2" s="1"/>
  <c r="AP152" i="2"/>
  <c r="AL16" i="5"/>
  <c r="L72" i="3"/>
  <c r="M71" i="3"/>
  <c r="AN124" i="2"/>
  <c r="AO34" i="2"/>
  <c r="BD34" i="2"/>
  <c r="AE38" i="2"/>
  <c r="AE39" i="2"/>
  <c r="BB98" i="2"/>
  <c r="E39" i="2"/>
  <c r="E38" i="2"/>
  <c r="F39" i="2"/>
  <c r="F38" i="2"/>
  <c r="AU129" i="2"/>
  <c r="B131" i="2"/>
  <c r="AU131" i="2" s="1"/>
  <c r="AU133" i="2" s="1"/>
  <c r="H69" i="5"/>
  <c r="H71" i="2"/>
  <c r="H24" i="2"/>
  <c r="H60" i="2"/>
  <c r="BB126" i="2"/>
  <c r="AD129" i="2"/>
  <c r="BD37" i="2"/>
  <c r="AK71" i="5"/>
  <c r="AK63" i="4"/>
  <c r="AK77" i="2"/>
  <c r="AK99" i="2"/>
  <c r="AK100" i="2" s="1"/>
  <c r="AK46" i="2"/>
  <c r="D45" i="5"/>
  <c r="E44" i="5" s="1"/>
  <c r="G74" i="2"/>
  <c r="G63" i="2"/>
  <c r="G25" i="2"/>
  <c r="AB79" i="3"/>
  <c r="AF79" i="3"/>
  <c r="U71" i="5"/>
  <c r="U63" i="4"/>
  <c r="U99" i="2"/>
  <c r="U100" i="2" s="1"/>
  <c r="U77" i="2"/>
  <c r="Y65" i="2"/>
  <c r="U46" i="2"/>
  <c r="Y66" i="2" s="1"/>
  <c r="AQ20" i="3"/>
  <c r="AP18" i="3"/>
  <c r="AI77" i="5"/>
  <c r="AI31" i="2"/>
  <c r="BC31" i="2" s="1"/>
  <c r="BC85" i="2"/>
  <c r="AI98" i="2"/>
  <c r="BC98" i="2" s="1"/>
  <c r="AC95" i="3"/>
  <c r="AC97" i="3"/>
  <c r="AC96" i="3"/>
  <c r="AD96" i="3"/>
  <c r="AF71" i="5"/>
  <c r="AF63" i="4"/>
  <c r="AF99" i="2"/>
  <c r="AF100" i="2" s="1"/>
  <c r="AF77" i="2"/>
  <c r="AJ65" i="2"/>
  <c r="AF46" i="2"/>
  <c r="AJ66" i="2" s="1"/>
  <c r="AY41" i="3"/>
  <c r="AY43" i="3" s="1"/>
  <c r="R43" i="3"/>
  <c r="BA43" i="3"/>
  <c r="BD151" i="2"/>
  <c r="H156" i="2"/>
  <c r="H87" i="2"/>
  <c r="H85" i="2" s="1"/>
  <c r="H77" i="5" s="1"/>
  <c r="AV155" i="2"/>
  <c r="AI71" i="5"/>
  <c r="AI63" i="4"/>
  <c r="AI77" i="2"/>
  <c r="AI99" i="2"/>
  <c r="AI100" i="2" s="1"/>
  <c r="AI46" i="2"/>
  <c r="BD5" i="3"/>
  <c r="AV21" i="2"/>
  <c r="AV20" i="5"/>
  <c r="BD103" i="2" l="1"/>
  <c r="BD137" i="2"/>
  <c r="BD61" i="5"/>
  <c r="AV48" i="5"/>
  <c r="AV80" i="4" s="1"/>
  <c r="AV79" i="4"/>
  <c r="AR20" i="3"/>
  <c r="AQ18" i="3"/>
  <c r="AP155" i="2"/>
  <c r="AQ152" i="2"/>
  <c r="AR161" i="2"/>
  <c r="AQ164" i="2"/>
  <c r="AC71" i="5"/>
  <c r="AC63" i="4"/>
  <c r="AC77" i="2"/>
  <c r="AC99" i="2"/>
  <c r="AC100" i="2" s="1"/>
  <c r="AG65" i="2"/>
  <c r="AC46" i="2"/>
  <c r="AG66" i="2" s="1"/>
  <c r="AR170" i="2"/>
  <c r="AQ93" i="2"/>
  <c r="F80" i="5"/>
  <c r="F78" i="5"/>
  <c r="F81" i="5" s="1"/>
  <c r="AM175" i="2"/>
  <c r="AM144" i="2"/>
  <c r="AM143" i="2"/>
  <c r="AM142" i="2"/>
  <c r="AM145" i="2"/>
  <c r="AV71" i="2"/>
  <c r="AV60" i="2"/>
  <c r="H74" i="2"/>
  <c r="H63" i="2"/>
  <c r="H25" i="2"/>
  <c r="AD71" i="5"/>
  <c r="AD63" i="4"/>
  <c r="AD77" i="2"/>
  <c r="AD99" i="2"/>
  <c r="BB39" i="2"/>
  <c r="AH65" i="2"/>
  <c r="AD46" i="2"/>
  <c r="AH66" i="2" s="1"/>
  <c r="AM77" i="5"/>
  <c r="AU42" i="5"/>
  <c r="AL85" i="4"/>
  <c r="AL32" i="3"/>
  <c r="BD21" i="3"/>
  <c r="BD20" i="3"/>
  <c r="AX48" i="5"/>
  <c r="AX80" i="4" s="1"/>
  <c r="AX79" i="4"/>
  <c r="AO136" i="2"/>
  <c r="AO102" i="2"/>
  <c r="AP52" i="2"/>
  <c r="BD52" i="2"/>
  <c r="AZ43" i="3"/>
  <c r="AM35" i="4"/>
  <c r="AM18" i="4"/>
  <c r="AM8" i="4"/>
  <c r="AM14" i="4"/>
  <c r="AM9" i="4"/>
  <c r="AM24" i="4"/>
  <c r="AM17" i="5" s="1"/>
  <c r="AM27" i="4"/>
  <c r="AM19" i="5" s="1"/>
  <c r="AM10" i="4"/>
  <c r="AN157" i="2"/>
  <c r="BD7" i="3"/>
  <c r="BD16" i="3"/>
  <c r="BD26" i="3"/>
  <c r="AX35" i="3"/>
  <c r="AM78" i="5"/>
  <c r="AM13" i="4" s="1"/>
  <c r="AM74" i="5"/>
  <c r="AE71" i="5"/>
  <c r="AE63" i="4"/>
  <c r="AE99" i="2"/>
  <c r="AE100" i="2" s="1"/>
  <c r="AI65" i="2"/>
  <c r="AE46" i="2"/>
  <c r="AI66" i="2" s="1"/>
  <c r="AE77" i="2"/>
  <c r="AQ91" i="2"/>
  <c r="AO88" i="2"/>
  <c r="BD88" i="2" s="1"/>
  <c r="BD90" i="2"/>
  <c r="AO103" i="2"/>
  <c r="AO137" i="2"/>
  <c r="AP53" i="2"/>
  <c r="AO61" i="5"/>
  <c r="AY129" i="2"/>
  <c r="R131" i="2"/>
  <c r="AP108" i="2"/>
  <c r="AP7" i="2"/>
  <c r="AP5" i="3"/>
  <c r="AP165" i="2"/>
  <c r="AP90" i="2"/>
  <c r="BD155" i="2"/>
  <c r="AL70" i="5"/>
  <c r="AL62" i="4"/>
  <c r="AL98" i="2"/>
  <c r="AL75" i="2"/>
  <c r="AL36" i="2"/>
  <c r="AL31" i="2"/>
  <c r="AL64" i="2"/>
  <c r="AU100" i="2"/>
  <c r="AD65" i="2"/>
  <c r="AQ24" i="5"/>
  <c r="AP29" i="5"/>
  <c r="AM68" i="5"/>
  <c r="AM60" i="4"/>
  <c r="AM22" i="4" s="1"/>
  <c r="AM112" i="2"/>
  <c r="AM58" i="2"/>
  <c r="AP128" i="2"/>
  <c r="AQ37" i="2"/>
  <c r="AS169" i="2"/>
  <c r="AR173" i="2"/>
  <c r="AR92" i="2"/>
  <c r="AP91" i="2"/>
  <c r="BA77" i="2"/>
  <c r="BB65" i="2"/>
  <c r="BA46" i="2"/>
  <c r="AP125" i="2"/>
  <c r="AQ35" i="2"/>
  <c r="AK66" i="2"/>
  <c r="M73" i="2"/>
  <c r="M62" i="2"/>
  <c r="AX42" i="5"/>
  <c r="E71" i="5"/>
  <c r="E63" i="4"/>
  <c r="E77" i="2"/>
  <c r="E99" i="2"/>
  <c r="E100" i="2" s="1"/>
  <c r="E46" i="2"/>
  <c r="AU46" i="2" s="1"/>
  <c r="AO124" i="2"/>
  <c r="AP34" i="2"/>
  <c r="AL41" i="4"/>
  <c r="V100" i="2"/>
  <c r="AZ99" i="2"/>
  <c r="AZ100" i="2" s="1"/>
  <c r="J133" i="2"/>
  <c r="AW131" i="2"/>
  <c r="AW133" i="2" s="1"/>
  <c r="AO85" i="2"/>
  <c r="AO77" i="5" s="1"/>
  <c r="Z100" i="2"/>
  <c r="BA99" i="2"/>
  <c r="BA100" i="2" s="1"/>
  <c r="AE65" i="2"/>
  <c r="AN89" i="4"/>
  <c r="AO88" i="4"/>
  <c r="O154" i="2"/>
  <c r="N23" i="2"/>
  <c r="BD124" i="2"/>
  <c r="I69" i="5"/>
  <c r="I71" i="2"/>
  <c r="I24" i="2"/>
  <c r="I60" i="2"/>
  <c r="AZ77" i="2"/>
  <c r="BA65" i="2"/>
  <c r="AZ46" i="2"/>
  <c r="AP156" i="2"/>
  <c r="AQ151" i="2"/>
  <c r="AP86" i="2"/>
  <c r="AN67" i="5"/>
  <c r="AN59" i="4"/>
  <c r="AN147" i="2"/>
  <c r="AN175" i="2" s="1"/>
  <c r="AN21" i="2"/>
  <c r="AN22" i="2"/>
  <c r="AN23" i="2"/>
  <c r="AN16" i="2"/>
  <c r="AN17" i="2" s="1"/>
  <c r="AN57" i="2"/>
  <c r="AW48" i="5"/>
  <c r="AW80" i="4" s="1"/>
  <c r="AW79" i="4"/>
  <c r="AU48" i="5"/>
  <c r="AU80" i="4" s="1"/>
  <c r="AU79" i="4"/>
  <c r="N133" i="2"/>
  <c r="AX131" i="2"/>
  <c r="AX133" i="2" s="1"/>
  <c r="AM61" i="4"/>
  <c r="AM117" i="2"/>
  <c r="AM61" i="2"/>
  <c r="AV87" i="2"/>
  <c r="AV42" i="5"/>
  <c r="F44" i="5"/>
  <c r="F45" i="5" s="1"/>
  <c r="G44" i="5" s="1"/>
  <c r="G45" i="5" s="1"/>
  <c r="H44" i="5" s="1"/>
  <c r="H45" i="5" s="1"/>
  <c r="I44" i="5" s="1"/>
  <c r="I45" i="5" s="1"/>
  <c r="J44" i="5" s="1"/>
  <c r="J45" i="5" s="1"/>
  <c r="K44" i="5" s="1"/>
  <c r="K45" i="5" s="1"/>
  <c r="L44" i="5" s="1"/>
  <c r="L45" i="5" s="1"/>
  <c r="M44" i="5" s="1"/>
  <c r="M45" i="5" s="1"/>
  <c r="N44" i="5" s="1"/>
  <c r="N45" i="5" s="1"/>
  <c r="O44" i="5" s="1"/>
  <c r="O45" i="5" s="1"/>
  <c r="P44" i="5" s="1"/>
  <c r="P45" i="5" s="1"/>
  <c r="Q44" i="5" s="1"/>
  <c r="Q45" i="5" s="1"/>
  <c r="R44" i="5" s="1"/>
  <c r="R45" i="5" s="1"/>
  <c r="S44" i="5" s="1"/>
  <c r="S45" i="5" s="1"/>
  <c r="T44" i="5" s="1"/>
  <c r="T45" i="5" s="1"/>
  <c r="U44" i="5" s="1"/>
  <c r="U45" i="5" s="1"/>
  <c r="V44" i="5" s="1"/>
  <c r="V45" i="5" s="1"/>
  <c r="W44" i="5" s="1"/>
  <c r="W45" i="5" s="1"/>
  <c r="X44" i="5" s="1"/>
  <c r="X45" i="5" s="1"/>
  <c r="Y44" i="5" s="1"/>
  <c r="Y45" i="5" s="1"/>
  <c r="Z44" i="5" s="1"/>
  <c r="Z45" i="5" s="1"/>
  <c r="AA44" i="5" s="1"/>
  <c r="AA45" i="5" s="1"/>
  <c r="AB44" i="5" s="1"/>
  <c r="AB45" i="5" s="1"/>
  <c r="AC44" i="5" s="1"/>
  <c r="AC45" i="5" s="1"/>
  <c r="AD44" i="5" s="1"/>
  <c r="AD45" i="5" s="1"/>
  <c r="AE44" i="5" s="1"/>
  <c r="AE45" i="5" s="1"/>
  <c r="AF44" i="5" s="1"/>
  <c r="AF45" i="5" s="1"/>
  <c r="AG44" i="5" s="1"/>
  <c r="AG45" i="5" s="1"/>
  <c r="AH44" i="5" s="1"/>
  <c r="AH45" i="5" s="1"/>
  <c r="AI44" i="5" s="1"/>
  <c r="AI45" i="5" s="1"/>
  <c r="AJ44" i="5" s="1"/>
  <c r="AJ45" i="5" s="1"/>
  <c r="AK44" i="5" s="1"/>
  <c r="AK45" i="5" s="1"/>
  <c r="AL44" i="5" s="1"/>
  <c r="AU45" i="5"/>
  <c r="AV44" i="5" s="1"/>
  <c r="F71" i="5"/>
  <c r="F63" i="4"/>
  <c r="F77" i="2"/>
  <c r="F99" i="2"/>
  <c r="F46" i="2"/>
  <c r="AW71" i="3"/>
  <c r="M72" i="3"/>
  <c r="N71" i="3"/>
  <c r="BC131" i="2"/>
  <c r="BC133" i="2" s="1"/>
  <c r="AH133" i="2"/>
  <c r="M61" i="4"/>
  <c r="M72" i="2"/>
  <c r="M61" i="2"/>
  <c r="K152" i="2"/>
  <c r="J155" i="2"/>
  <c r="J21" i="2"/>
  <c r="Z66" i="2"/>
  <c r="V131" i="2"/>
  <c r="AZ129" i="2"/>
  <c r="AO156" i="2"/>
  <c r="AM59" i="2"/>
  <c r="AW22" i="2"/>
  <c r="G70" i="5"/>
  <c r="G62" i="4"/>
  <c r="G75" i="2"/>
  <c r="G98" i="2"/>
  <c r="G36" i="2"/>
  <c r="G31" i="2"/>
  <c r="G64" i="2"/>
  <c r="F65" i="2"/>
  <c r="O153" i="2"/>
  <c r="N22" i="2"/>
  <c r="I156" i="2"/>
  <c r="AV156" i="2" s="1"/>
  <c r="I87" i="2"/>
  <c r="I85" i="2" s="1"/>
  <c r="AL121" i="2"/>
  <c r="BC77" i="2"/>
  <c r="BC46" i="2"/>
  <c r="AP123" i="2"/>
  <c r="AQ33" i="2"/>
  <c r="AM69" i="5"/>
  <c r="AM116" i="2"/>
  <c r="AM24" i="2"/>
  <c r="AM25" i="2" s="1"/>
  <c r="AM60" i="2"/>
  <c r="AO7" i="3"/>
  <c r="AO35" i="3" s="1"/>
  <c r="AO34" i="3" s="1"/>
  <c r="AO30" i="3"/>
  <c r="AO110" i="2"/>
  <c r="BD110" i="2" s="1"/>
  <c r="AO9" i="2"/>
  <c r="AO16" i="3"/>
  <c r="AO26" i="3"/>
  <c r="AW42" i="5"/>
  <c r="H80" i="5"/>
  <c r="H78" i="5"/>
  <c r="H81" i="5" s="1"/>
  <c r="AI80" i="5"/>
  <c r="AI78" i="5"/>
  <c r="AI81" i="5" s="1"/>
  <c r="AV24" i="2"/>
  <c r="AD131" i="2"/>
  <c r="BB129" i="2"/>
  <c r="AU39" i="2"/>
  <c r="AS40" i="4"/>
  <c r="AF66" i="2"/>
  <c r="BC99" i="2"/>
  <c r="BC100" i="2" s="1"/>
  <c r="AH100" i="2"/>
  <c r="AN84" i="4"/>
  <c r="AN33" i="3"/>
  <c r="AN85" i="4" s="1"/>
  <c r="AW73" i="2"/>
  <c r="AW62" i="2"/>
  <c r="AM118" i="2"/>
  <c r="AM62" i="2"/>
  <c r="F131" i="2"/>
  <c r="AV129" i="2"/>
  <c r="AN59" i="2" l="1"/>
  <c r="AM70" i="5"/>
  <c r="AM62" i="4"/>
  <c r="AM75" i="2"/>
  <c r="AM31" i="2"/>
  <c r="AM36" i="2"/>
  <c r="AM64" i="2"/>
  <c r="AP103" i="2"/>
  <c r="AP137" i="2"/>
  <c r="AQ53" i="2"/>
  <c r="AP61" i="5"/>
  <c r="L152" i="2"/>
  <c r="K155" i="2"/>
  <c r="K21" i="2"/>
  <c r="F66" i="2"/>
  <c r="AN62" i="2"/>
  <c r="P154" i="2"/>
  <c r="O23" i="2"/>
  <c r="AP7" i="3"/>
  <c r="AP35" i="3" s="1"/>
  <c r="AP34" i="3" s="1"/>
  <c r="AP30" i="3"/>
  <c r="AP110" i="2"/>
  <c r="AP9" i="2"/>
  <c r="AP157" i="2" s="1"/>
  <c r="AP26" i="3"/>
  <c r="AP16" i="3"/>
  <c r="AN13" i="4"/>
  <c r="AM14" i="5"/>
  <c r="BB77" i="2"/>
  <c r="BB46" i="2"/>
  <c r="BC66" i="2" s="1"/>
  <c r="BC65" i="2"/>
  <c r="AN145" i="2"/>
  <c r="AO145" i="2" s="1"/>
  <c r="BD145" i="2"/>
  <c r="AR151" i="2"/>
  <c r="AQ86" i="2"/>
  <c r="AU77" i="2"/>
  <c r="AO37" i="3"/>
  <c r="BD30" i="3"/>
  <c r="BB131" i="2"/>
  <c r="BB133" i="2" s="1"/>
  <c r="AD133" i="2"/>
  <c r="AO84" i="4"/>
  <c r="AO33" i="3"/>
  <c r="AO85" i="4" s="1"/>
  <c r="BD34" i="3"/>
  <c r="BD35" i="3" s="1"/>
  <c r="AN61" i="4"/>
  <c r="AN61" i="2"/>
  <c r="BA66" i="2"/>
  <c r="AM113" i="2"/>
  <c r="BB99" i="2"/>
  <c r="BB100" i="2" s="1"/>
  <c r="AD100" i="2"/>
  <c r="AN142" i="2"/>
  <c r="AM83" i="2"/>
  <c r="AO67" i="5"/>
  <c r="AO59" i="4"/>
  <c r="AO147" i="2"/>
  <c r="AO175" i="2" s="1"/>
  <c r="AO21" i="2"/>
  <c r="BD21" i="2" s="1"/>
  <c r="AO17" i="2"/>
  <c r="BD17" i="2" s="1"/>
  <c r="AO22" i="2"/>
  <c r="AO16" i="2"/>
  <c r="AO23" i="2"/>
  <c r="AO57" i="2"/>
  <c r="AV74" i="2"/>
  <c r="AV63" i="2"/>
  <c r="F100" i="2"/>
  <c r="AM16" i="5"/>
  <c r="AL39" i="2"/>
  <c r="AL38" i="2"/>
  <c r="AM12" i="5"/>
  <c r="BD147" i="2"/>
  <c r="BD148" i="2" s="1"/>
  <c r="AW72" i="3"/>
  <c r="AW73" i="3"/>
  <c r="AW74" i="3" s="1"/>
  <c r="AN69" i="5"/>
  <c r="AN24" i="2"/>
  <c r="AN60" i="2"/>
  <c r="AO89" i="4"/>
  <c r="AP88" i="4"/>
  <c r="AM15" i="5"/>
  <c r="AN143" i="2"/>
  <c r="AN116" i="2" s="1"/>
  <c r="AM146" i="2"/>
  <c r="AU99" i="2"/>
  <c r="AI79" i="5"/>
  <c r="AM74" i="2"/>
  <c r="AM63" i="2"/>
  <c r="G39" i="2"/>
  <c r="G38" i="2"/>
  <c r="AP124" i="2"/>
  <c r="AQ34" i="2"/>
  <c r="AS92" i="2"/>
  <c r="AS91" i="2" s="1"/>
  <c r="BE169" i="2"/>
  <c r="AP21" i="3"/>
  <c r="AL86" i="4"/>
  <c r="AM31" i="3"/>
  <c r="AN144" i="2"/>
  <c r="AO144" i="2" s="1"/>
  <c r="BD144" i="2"/>
  <c r="AQ165" i="2"/>
  <c r="AQ90" i="2"/>
  <c r="AQ88" i="2" s="1"/>
  <c r="AL126" i="2"/>
  <c r="AO157" i="2"/>
  <c r="I74" i="2"/>
  <c r="I25" i="2"/>
  <c r="I63" i="2"/>
  <c r="AY131" i="2"/>
  <c r="AY133" i="2" s="1"/>
  <c r="R133" i="2"/>
  <c r="BD33" i="3"/>
  <c r="H70" i="5"/>
  <c r="H62" i="4"/>
  <c r="H75" i="2"/>
  <c r="H98" i="2"/>
  <c r="H36" i="2"/>
  <c r="H31" i="2"/>
  <c r="H64" i="2"/>
  <c r="AR164" i="2"/>
  <c r="AS161" i="2"/>
  <c r="AS164" i="2" s="1"/>
  <c r="BD9" i="2"/>
  <c r="BE40" i="4"/>
  <c r="AM120" i="2"/>
  <c r="I77" i="5"/>
  <c r="AV85" i="2"/>
  <c r="AN14" i="4"/>
  <c r="AN9" i="4"/>
  <c r="AN14" i="5" s="1"/>
  <c r="AN24" i="4"/>
  <c r="AN17" i="5" s="1"/>
  <c r="AN27" i="4"/>
  <c r="AN10" i="4"/>
  <c r="AN13" i="5" s="1"/>
  <c r="AN18" i="4"/>
  <c r="AN35" i="4"/>
  <c r="AN8" i="4"/>
  <c r="AN12" i="5" s="1"/>
  <c r="AQ125" i="2"/>
  <c r="AR35" i="2"/>
  <c r="BD102" i="2"/>
  <c r="BD136" i="2"/>
  <c r="AQ155" i="2"/>
  <c r="AQ87" i="2" s="1"/>
  <c r="AR152" i="2"/>
  <c r="BB66" i="2"/>
  <c r="N73" i="2"/>
  <c r="N62" i="2"/>
  <c r="V133" i="2"/>
  <c r="AZ131" i="2"/>
  <c r="AZ133" i="2" s="1"/>
  <c r="AN78" i="5"/>
  <c r="AN76" i="5" s="1"/>
  <c r="AN8" i="5" s="1"/>
  <c r="AN74" i="5"/>
  <c r="AN80" i="5"/>
  <c r="AN79" i="5" s="1"/>
  <c r="AR24" i="5"/>
  <c r="AQ29" i="5"/>
  <c r="BD156" i="2"/>
  <c r="AP136" i="2"/>
  <c r="AP102" i="2"/>
  <c r="AQ52" i="2"/>
  <c r="P153" i="2"/>
  <c r="O22" i="2"/>
  <c r="AS20" i="3"/>
  <c r="AS18" i="3" s="1"/>
  <c r="AR18" i="3"/>
  <c r="AW72" i="2"/>
  <c r="AW61" i="2"/>
  <c r="AN68" i="5"/>
  <c r="AN60" i="4"/>
  <c r="AN22" i="4" s="1"/>
  <c r="AN112" i="2"/>
  <c r="AN113" i="2" s="1"/>
  <c r="AN58" i="2"/>
  <c r="F133" i="2"/>
  <c r="AV131" i="2"/>
  <c r="AV133" i="2" s="1"/>
  <c r="BD23" i="2"/>
  <c r="N61" i="4"/>
  <c r="N72" i="2"/>
  <c r="N61" i="2"/>
  <c r="N72" i="3"/>
  <c r="O71" i="3"/>
  <c r="AC66" i="2"/>
  <c r="AQ128" i="2"/>
  <c r="AR37" i="2"/>
  <c r="AD66" i="2"/>
  <c r="BD85" i="2"/>
  <c r="AP87" i="2"/>
  <c r="J156" i="2"/>
  <c r="J87" i="2"/>
  <c r="AQ123" i="2"/>
  <c r="AR33" i="2"/>
  <c r="J69" i="5"/>
  <c r="J71" i="2"/>
  <c r="J24" i="2"/>
  <c r="J60" i="2"/>
  <c r="AV45" i="5"/>
  <c r="AW44" i="5" s="1"/>
  <c r="AW45" i="5" s="1"/>
  <c r="AX44" i="5" s="1"/>
  <c r="AX45" i="5" s="1"/>
  <c r="AY44" i="5" s="1"/>
  <c r="AY45" i="5" s="1"/>
  <c r="AZ44" i="5" s="1"/>
  <c r="AZ45" i="5" s="1"/>
  <c r="BA44" i="5" s="1"/>
  <c r="BA45" i="5" s="1"/>
  <c r="BB44" i="5" s="1"/>
  <c r="BB45" i="5" s="1"/>
  <c r="BC44" i="5" s="1"/>
  <c r="BC45" i="5" s="1"/>
  <c r="BD44" i="5" s="1"/>
  <c r="AE66" i="2"/>
  <c r="AP88" i="2"/>
  <c r="AM13" i="5"/>
  <c r="AM80" i="5"/>
  <c r="AM79" i="5" s="1"/>
  <c r="AM76" i="5"/>
  <c r="AM8" i="5" s="1"/>
  <c r="AM16" i="4"/>
  <c r="AN16" i="4" s="1"/>
  <c r="AO16" i="4" s="1"/>
  <c r="AS170" i="2"/>
  <c r="AS93" i="2" s="1"/>
  <c r="AR93" i="2"/>
  <c r="BE93" i="2" s="1"/>
  <c r="AQ108" i="2"/>
  <c r="AQ7" i="2"/>
  <c r="AQ5" i="3"/>
  <c r="BD69" i="2" l="1"/>
  <c r="BD59" i="2"/>
  <c r="BD71" i="2"/>
  <c r="BD60" i="2"/>
  <c r="BD37" i="3"/>
  <c r="Q154" i="2"/>
  <c r="P23" i="2"/>
  <c r="J74" i="2"/>
  <c r="J25" i="2"/>
  <c r="J63" i="2"/>
  <c r="AL129" i="2"/>
  <c r="AS173" i="2"/>
  <c r="BE173" i="2" s="1"/>
  <c r="AN74" i="2"/>
  <c r="AN63" i="2"/>
  <c r="AL71" i="5"/>
  <c r="AL63" i="4"/>
  <c r="AL77" i="2"/>
  <c r="AL99" i="2"/>
  <c r="AL46" i="2"/>
  <c r="AL65" i="2"/>
  <c r="AQ137" i="2"/>
  <c r="AQ103" i="2"/>
  <c r="AR53" i="2"/>
  <c r="AQ61" i="5"/>
  <c r="AO78" i="5"/>
  <c r="AO76" i="5" s="1"/>
  <c r="AO8" i="5" s="1"/>
  <c r="AO74" i="5"/>
  <c r="AN19" i="5"/>
  <c r="BD57" i="2"/>
  <c r="BD175" i="2"/>
  <c r="AO142" i="2"/>
  <c r="AN83" i="2"/>
  <c r="AN117" i="2"/>
  <c r="BE92" i="2"/>
  <c r="AS24" i="5"/>
  <c r="AS29" i="5" s="1"/>
  <c r="AR29" i="5"/>
  <c r="BE29" i="5" s="1"/>
  <c r="AR155" i="2"/>
  <c r="AS152" i="2"/>
  <c r="AS155" i="2" s="1"/>
  <c r="AS87" i="2" s="1"/>
  <c r="BE161" i="2"/>
  <c r="AQ124" i="2"/>
  <c r="AR34" i="2"/>
  <c r="AR91" i="2"/>
  <c r="BE91" i="2" s="1"/>
  <c r="AO118" i="2"/>
  <c r="AO62" i="2"/>
  <c r="AQ85" i="2"/>
  <c r="AQ77" i="5" s="1"/>
  <c r="AQ21" i="3"/>
  <c r="AR128" i="2"/>
  <c r="AS37" i="2"/>
  <c r="BE37" i="2"/>
  <c r="BD73" i="2"/>
  <c r="BD62" i="2"/>
  <c r="AR108" i="2"/>
  <c r="AR7" i="2"/>
  <c r="BE7" i="2" s="1"/>
  <c r="AR5" i="3"/>
  <c r="AR21" i="3" s="1"/>
  <c r="BE18" i="3"/>
  <c r="AO14" i="5"/>
  <c r="BD14" i="5" s="1"/>
  <c r="AS165" i="2"/>
  <c r="AS90" i="2"/>
  <c r="AS88" i="2" s="1"/>
  <c r="AM84" i="2"/>
  <c r="AR156" i="2"/>
  <c r="AS151" i="2"/>
  <c r="AR86" i="2"/>
  <c r="AP67" i="5"/>
  <c r="AP59" i="4"/>
  <c r="AP147" i="2"/>
  <c r="AP17" i="2"/>
  <c r="AP22" i="2"/>
  <c r="AP21" i="2"/>
  <c r="AP23" i="2"/>
  <c r="AP57" i="2"/>
  <c r="AP16" i="2"/>
  <c r="AN118" i="2"/>
  <c r="BD118" i="2" s="1"/>
  <c r="BE170" i="2"/>
  <c r="AS21" i="3"/>
  <c r="AS108" i="2"/>
  <c r="BE108" i="2" s="1"/>
  <c r="AS7" i="2"/>
  <c r="AS5" i="3"/>
  <c r="AR165" i="2"/>
  <c r="BE165" i="2" s="1"/>
  <c r="AR90" i="2"/>
  <c r="BE164" i="2"/>
  <c r="AN146" i="2"/>
  <c r="AN84" i="2" s="1"/>
  <c r="AO143" i="2"/>
  <c r="AO68" i="5"/>
  <c r="AO60" i="4"/>
  <c r="AO22" i="4" s="1"/>
  <c r="AO112" i="2"/>
  <c r="AO113" i="2" s="1"/>
  <c r="AO121" i="2" s="1"/>
  <c r="AO126" i="2" s="1"/>
  <c r="AO129" i="2" s="1"/>
  <c r="AO131" i="2" s="1"/>
  <c r="AO133" i="2" s="1"/>
  <c r="AO58" i="2"/>
  <c r="BD16" i="2"/>
  <c r="AQ156" i="2"/>
  <c r="AR123" i="2"/>
  <c r="AS33" i="2"/>
  <c r="AS123" i="2" s="1"/>
  <c r="O61" i="4"/>
  <c r="O72" i="2"/>
  <c r="O61" i="2"/>
  <c r="AM32" i="3"/>
  <c r="AO61" i="4"/>
  <c r="AO117" i="2"/>
  <c r="AO61" i="2"/>
  <c r="BD22" i="2"/>
  <c r="AQ7" i="3"/>
  <c r="AQ35" i="3" s="1"/>
  <c r="AQ34" i="3" s="1"/>
  <c r="AQ30" i="3"/>
  <c r="AQ37" i="3" s="1"/>
  <c r="AQ110" i="2"/>
  <c r="AQ9" i="2"/>
  <c r="AQ16" i="3"/>
  <c r="AQ26" i="3"/>
  <c r="AM82" i="2"/>
  <c r="AM97" i="2"/>
  <c r="AO80" i="5"/>
  <c r="AO79" i="5" s="1"/>
  <c r="Q153" i="2"/>
  <c r="P22" i="2"/>
  <c r="AR125" i="2"/>
  <c r="BE125" i="2" s="1"/>
  <c r="AS35" i="2"/>
  <c r="AS125" i="2" s="1"/>
  <c r="BE35" i="2"/>
  <c r="G71" i="5"/>
  <c r="G63" i="4"/>
  <c r="G99" i="2"/>
  <c r="G46" i="2"/>
  <c r="G77" i="2"/>
  <c r="G65" i="2"/>
  <c r="AN15" i="5"/>
  <c r="AO25" i="2"/>
  <c r="AO59" i="2"/>
  <c r="AM121" i="2"/>
  <c r="AP145" i="2"/>
  <c r="AP37" i="3"/>
  <c r="K69" i="5"/>
  <c r="K71" i="2"/>
  <c r="K24" i="2"/>
  <c r="K60" i="2"/>
  <c r="BE33" i="2"/>
  <c r="AO13" i="4"/>
  <c r="BD16" i="4"/>
  <c r="AP85" i="2"/>
  <c r="J85" i="2"/>
  <c r="BE152" i="2"/>
  <c r="I80" i="5"/>
  <c r="I78" i="5"/>
  <c r="I81" i="5" s="1"/>
  <c r="H39" i="2"/>
  <c r="H38" i="2"/>
  <c r="I70" i="5"/>
  <c r="I62" i="4"/>
  <c r="I75" i="2"/>
  <c r="I98" i="2"/>
  <c r="AV98" i="2" s="1"/>
  <c r="I36" i="2"/>
  <c r="I31" i="2"/>
  <c r="AV31" i="2" s="1"/>
  <c r="I64" i="2"/>
  <c r="AV25" i="2"/>
  <c r="AL25" i="4"/>
  <c r="AL32" i="4"/>
  <c r="BD24" i="2"/>
  <c r="AO69" i="5"/>
  <c r="AO116" i="2"/>
  <c r="AO120" i="2" s="1"/>
  <c r="AO24" i="2"/>
  <c r="AO60" i="2"/>
  <c r="BD112" i="2"/>
  <c r="AP84" i="4"/>
  <c r="AP33" i="3"/>
  <c r="K156" i="2"/>
  <c r="K157" i="2" s="1"/>
  <c r="K87" i="2"/>
  <c r="K85" i="2" s="1"/>
  <c r="K77" i="5" s="1"/>
  <c r="AN25" i="2"/>
  <c r="BD8" i="5"/>
  <c r="O72" i="3"/>
  <c r="P71" i="3"/>
  <c r="AQ136" i="2"/>
  <c r="AQ102" i="2"/>
  <c r="AR52" i="2"/>
  <c r="AP89" i="4"/>
  <c r="AQ88" i="4"/>
  <c r="M152" i="2"/>
  <c r="L155" i="2"/>
  <c r="L21" i="2"/>
  <c r="AW152" i="2"/>
  <c r="J157" i="2"/>
  <c r="AN16" i="5"/>
  <c r="AO12" i="5"/>
  <c r="BD12" i="5" s="1"/>
  <c r="AO14" i="4"/>
  <c r="BD14" i="4" s="1"/>
  <c r="AO9" i="4"/>
  <c r="AO24" i="4"/>
  <c r="AO27" i="4"/>
  <c r="AO10" i="4"/>
  <c r="AO13" i="5" s="1"/>
  <c r="BD13" i="5" s="1"/>
  <c r="AO35" i="4"/>
  <c r="BD35" i="4" s="1"/>
  <c r="AO18" i="4"/>
  <c r="AO15" i="5" s="1"/>
  <c r="AO8" i="4"/>
  <c r="AX154" i="2"/>
  <c r="O73" i="2"/>
  <c r="O62" i="2"/>
  <c r="AM39" i="2"/>
  <c r="AM38" i="2"/>
  <c r="BD15" i="5" l="1"/>
  <c r="BD13" i="4"/>
  <c r="AM86" i="4"/>
  <c r="AN31" i="3"/>
  <c r="AP59" i="2"/>
  <c r="J70" i="5"/>
  <c r="J62" i="4"/>
  <c r="J75" i="2"/>
  <c r="J98" i="2"/>
  <c r="J36" i="2"/>
  <c r="J31" i="2"/>
  <c r="J64" i="2"/>
  <c r="AO19" i="5"/>
  <c r="BD19" i="5" s="1"/>
  <c r="BD27" i="4"/>
  <c r="L69" i="5"/>
  <c r="L71" i="2"/>
  <c r="L24" i="2"/>
  <c r="L60" i="2"/>
  <c r="AN70" i="5"/>
  <c r="AN62" i="4"/>
  <c r="AN75" i="2"/>
  <c r="AN36" i="2"/>
  <c r="AN31" i="2"/>
  <c r="AN64" i="2"/>
  <c r="BD25" i="2"/>
  <c r="AO70" i="5"/>
  <c r="AO62" i="4"/>
  <c r="AO75" i="2"/>
  <c r="AO36" i="2"/>
  <c r="AO31" i="2"/>
  <c r="AO64" i="2"/>
  <c r="AQ67" i="5"/>
  <c r="AQ59" i="4"/>
  <c r="AQ147" i="2"/>
  <c r="AQ175" i="2" s="1"/>
  <c r="AQ22" i="2"/>
  <c r="AQ23" i="2"/>
  <c r="AQ21" i="2"/>
  <c r="AQ16" i="2"/>
  <c r="AQ57" i="2"/>
  <c r="AP175" i="2"/>
  <c r="BE20" i="3"/>
  <c r="K80" i="5"/>
  <c r="K78" i="5"/>
  <c r="K81" i="5" s="1"/>
  <c r="AP14" i="4"/>
  <c r="AP9" i="4"/>
  <c r="AP24" i="4"/>
  <c r="AP17" i="5" s="1"/>
  <c r="AP27" i="4"/>
  <c r="AP19" i="5" s="1"/>
  <c r="AP10" i="4"/>
  <c r="AP35" i="4"/>
  <c r="AP18" i="4"/>
  <c r="AP8" i="4"/>
  <c r="AP12" i="5" s="1"/>
  <c r="AP14" i="5"/>
  <c r="BD9" i="4"/>
  <c r="N152" i="2"/>
  <c r="M155" i="2"/>
  <c r="M21" i="2"/>
  <c r="AW21" i="2" s="1"/>
  <c r="H71" i="5"/>
  <c r="H63" i="4"/>
  <c r="H99" i="2"/>
  <c r="H100" i="2" s="1"/>
  <c r="H77" i="2"/>
  <c r="H46" i="2"/>
  <c r="H65" i="2"/>
  <c r="K74" i="2"/>
  <c r="K25" i="2"/>
  <c r="K63" i="2"/>
  <c r="AP78" i="5"/>
  <c r="AP13" i="4" s="1"/>
  <c r="AP74" i="5"/>
  <c r="AP85" i="4"/>
  <c r="AQ84" i="4"/>
  <c r="AQ33" i="3"/>
  <c r="AQ85" i="4" s="1"/>
  <c r="AO146" i="2"/>
  <c r="AP143" i="2"/>
  <c r="AP116" i="2" s="1"/>
  <c r="BD143" i="2"/>
  <c r="BE24" i="5"/>
  <c r="BD117" i="2"/>
  <c r="AR103" i="2"/>
  <c r="AR137" i="2"/>
  <c r="AS53" i="2"/>
  <c r="BE53" i="2" s="1"/>
  <c r="AR61" i="5"/>
  <c r="P73" i="2"/>
  <c r="T62" i="2"/>
  <c r="P62" i="2"/>
  <c r="AV75" i="2"/>
  <c r="AV64" i="2"/>
  <c r="P61" i="4"/>
  <c r="P72" i="2"/>
  <c r="T61" i="2"/>
  <c r="P61" i="2"/>
  <c r="AX22" i="2"/>
  <c r="BD72" i="2"/>
  <c r="BD61" i="2"/>
  <c r="AS156" i="2"/>
  <c r="AS86" i="2"/>
  <c r="AS85" i="2" s="1"/>
  <c r="AS77" i="5" s="1"/>
  <c r="BE151" i="2"/>
  <c r="AN82" i="2"/>
  <c r="AN9" i="5" s="1"/>
  <c r="AN97" i="2"/>
  <c r="R154" i="2"/>
  <c r="Q23" i="2"/>
  <c r="AP13" i="5"/>
  <c r="BD10" i="4"/>
  <c r="AR30" i="3"/>
  <c r="AR7" i="3"/>
  <c r="AR35" i="3" s="1"/>
  <c r="AR34" i="3" s="1"/>
  <c r="AR110" i="2"/>
  <c r="BE110" i="2" s="1"/>
  <c r="AR16" i="3"/>
  <c r="AR9" i="2"/>
  <c r="AR26" i="3"/>
  <c r="AL18" i="5"/>
  <c r="AL39" i="3"/>
  <c r="AL29" i="4"/>
  <c r="AL36" i="4" s="1"/>
  <c r="AR136" i="2"/>
  <c r="AR102" i="2"/>
  <c r="AS52" i="2"/>
  <c r="BE52" i="2"/>
  <c r="R153" i="2"/>
  <c r="Q22" i="2"/>
  <c r="AX153" i="2"/>
  <c r="BE123" i="2"/>
  <c r="AP144" i="2"/>
  <c r="AP68" i="5"/>
  <c r="AP60" i="4"/>
  <c r="AP22" i="4" s="1"/>
  <c r="AP112" i="2"/>
  <c r="AP58" i="2"/>
  <c r="AR157" i="2"/>
  <c r="AP142" i="2"/>
  <c r="AO83" i="2"/>
  <c r="BD142" i="2"/>
  <c r="AO16" i="5"/>
  <c r="BD16" i="5" s="1"/>
  <c r="BD22" i="4"/>
  <c r="J77" i="5"/>
  <c r="AR124" i="2"/>
  <c r="BE124" i="2" s="1"/>
  <c r="AS34" i="2"/>
  <c r="AS124" i="2" s="1"/>
  <c r="L156" i="2"/>
  <c r="L157" i="2" s="1"/>
  <c r="L87" i="2"/>
  <c r="L85" i="2" s="1"/>
  <c r="L77" i="5" s="1"/>
  <c r="AW155" i="2"/>
  <c r="AM71" i="5"/>
  <c r="AM63" i="4"/>
  <c r="AM77" i="2"/>
  <c r="AM99" i="2"/>
  <c r="AM46" i="2"/>
  <c r="AM65" i="2"/>
  <c r="I39" i="2"/>
  <c r="I38" i="2"/>
  <c r="AV36" i="2"/>
  <c r="AV38" i="2" s="1"/>
  <c r="AR88" i="2"/>
  <c r="BE88" i="2" s="1"/>
  <c r="BE90" i="2"/>
  <c r="AP118" i="2"/>
  <c r="AP62" i="2"/>
  <c r="AL131" i="2"/>
  <c r="BE5" i="3"/>
  <c r="BD74" i="2"/>
  <c r="BD63" i="2"/>
  <c r="BD8" i="4"/>
  <c r="AO74" i="2"/>
  <c r="AO63" i="2"/>
  <c r="AP77" i="5"/>
  <c r="AQ145" i="2"/>
  <c r="G66" i="2"/>
  <c r="AQ157" i="2"/>
  <c r="BE156" i="2"/>
  <c r="AL66" i="2"/>
  <c r="BD116" i="2"/>
  <c r="AO17" i="5"/>
  <c r="BD17" i="5" s="1"/>
  <c r="BD24" i="4"/>
  <c r="AQ80" i="5"/>
  <c r="AQ79" i="5" s="1"/>
  <c r="AQ89" i="4"/>
  <c r="AR88" i="4"/>
  <c r="AP15" i="5"/>
  <c r="BD18" i="4"/>
  <c r="P72" i="3"/>
  <c r="Q71" i="3"/>
  <c r="BD113" i="2"/>
  <c r="AM9" i="5"/>
  <c r="AM98" i="2"/>
  <c r="BD58" i="2"/>
  <c r="AS30" i="3"/>
  <c r="AS37" i="3" s="1"/>
  <c r="AS7" i="3"/>
  <c r="AS35" i="3" s="1"/>
  <c r="AS34" i="3" s="1"/>
  <c r="BE34" i="3" s="1"/>
  <c r="BE35" i="3" s="1"/>
  <c r="AS110" i="2"/>
  <c r="AS9" i="2"/>
  <c r="BE9" i="2" s="1"/>
  <c r="AS16" i="3"/>
  <c r="AS26" i="3"/>
  <c r="AP69" i="5"/>
  <c r="AP24" i="2"/>
  <c r="AP60" i="2"/>
  <c r="AS128" i="2"/>
  <c r="BE128" i="2" s="1"/>
  <c r="AN120" i="2"/>
  <c r="AM126" i="2"/>
  <c r="G100" i="2"/>
  <c r="AP61" i="4"/>
  <c r="AP117" i="2"/>
  <c r="AP61" i="2"/>
  <c r="AR87" i="2"/>
  <c r="BE87" i="2" s="1"/>
  <c r="BE155" i="2"/>
  <c r="AL6" i="5"/>
  <c r="AL43" i="4"/>
  <c r="AL100" i="2"/>
  <c r="BE34" i="2"/>
  <c r="BE57" i="2" l="1"/>
  <c r="BE175" i="2"/>
  <c r="AW71" i="2"/>
  <c r="AW60" i="2"/>
  <c r="AP120" i="2"/>
  <c r="BE137" i="2"/>
  <c r="BE103" i="2"/>
  <c r="BE61" i="5"/>
  <c r="BD97" i="2"/>
  <c r="AR37" i="3"/>
  <c r="BE30" i="3"/>
  <c r="H66" i="2"/>
  <c r="AO39" i="2"/>
  <c r="AO38" i="2"/>
  <c r="AN98" i="2"/>
  <c r="Q72" i="3"/>
  <c r="R71" i="3"/>
  <c r="AX71" i="3"/>
  <c r="I71" i="5"/>
  <c r="I63" i="4"/>
  <c r="I99" i="2"/>
  <c r="I77" i="2"/>
  <c r="I46" i="2"/>
  <c r="I65" i="2"/>
  <c r="AP113" i="2"/>
  <c r="Q73" i="2"/>
  <c r="U62" i="2"/>
  <c r="Q62" i="2"/>
  <c r="L80" i="5"/>
  <c r="L78" i="5"/>
  <c r="L81" i="5" s="1"/>
  <c r="AP76" i="5"/>
  <c r="AP8" i="5" s="1"/>
  <c r="AP80" i="5"/>
  <c r="AP79" i="5" s="1"/>
  <c r="AP16" i="4"/>
  <c r="AQ16" i="4" s="1"/>
  <c r="AS102" i="2"/>
  <c r="AS136" i="2"/>
  <c r="AX72" i="2"/>
  <c r="AX61" i="2"/>
  <c r="AO84" i="2"/>
  <c r="BD84" i="2" s="1"/>
  <c r="BD146" i="2"/>
  <c r="AP16" i="5"/>
  <c r="AY154" i="2"/>
  <c r="S154" i="2"/>
  <c r="S23" i="2" s="1"/>
  <c r="R23" i="2"/>
  <c r="AS103" i="2"/>
  <c r="AS137" i="2"/>
  <c r="AS61" i="5"/>
  <c r="AQ68" i="5"/>
  <c r="AQ60" i="4"/>
  <c r="AQ22" i="4" s="1"/>
  <c r="AQ58" i="2"/>
  <c r="J39" i="2"/>
  <c r="J38" i="2"/>
  <c r="AN32" i="3"/>
  <c r="AM43" i="4"/>
  <c r="AL44" i="4"/>
  <c r="AL45" i="4" s="1"/>
  <c r="AM66" i="2"/>
  <c r="J80" i="5"/>
  <c r="J78" i="5"/>
  <c r="J81" i="5" s="1"/>
  <c r="AL40" i="3"/>
  <c r="AM38" i="3"/>
  <c r="AQ69" i="5"/>
  <c r="AQ116" i="2"/>
  <c r="AQ24" i="2"/>
  <c r="AQ60" i="2"/>
  <c r="AM25" i="4"/>
  <c r="AM32" i="4"/>
  <c r="AM41" i="4"/>
  <c r="BE144" i="2"/>
  <c r="AQ144" i="2"/>
  <c r="AR144" i="2" s="1"/>
  <c r="AS144" i="2" s="1"/>
  <c r="AQ118" i="2"/>
  <c r="AQ62" i="2"/>
  <c r="AP74" i="2"/>
  <c r="AP63" i="2"/>
  <c r="AR89" i="4"/>
  <c r="AS88" i="4"/>
  <c r="AS89" i="4" s="1"/>
  <c r="AM6" i="5"/>
  <c r="AM100" i="2"/>
  <c r="AQ61" i="4"/>
  <c r="AQ61" i="2"/>
  <c r="L74" i="2"/>
  <c r="L25" i="2"/>
  <c r="L63" i="2"/>
  <c r="AL20" i="5"/>
  <c r="AN121" i="2"/>
  <c r="BD120" i="2"/>
  <c r="AR67" i="5"/>
  <c r="AR59" i="4"/>
  <c r="AR147" i="2"/>
  <c r="AR22" i="2"/>
  <c r="AR16" i="2"/>
  <c r="AR23" i="2"/>
  <c r="AR21" i="2"/>
  <c r="AR57" i="2"/>
  <c r="AS80" i="5"/>
  <c r="AS79" i="5" s="1"/>
  <c r="BE86" i="2"/>
  <c r="M69" i="5"/>
  <c r="M71" i="2"/>
  <c r="M24" i="2"/>
  <c r="M60" i="2"/>
  <c r="AQ17" i="2"/>
  <c r="BD75" i="2"/>
  <c r="BD64" i="2"/>
  <c r="AP146" i="2"/>
  <c r="AQ143" i="2"/>
  <c r="Q61" i="4"/>
  <c r="U61" i="2"/>
  <c r="Q72" i="2"/>
  <c r="Q61" i="2"/>
  <c r="AS157" i="2"/>
  <c r="AR85" i="2"/>
  <c r="M156" i="2"/>
  <c r="M157" i="2" s="1"/>
  <c r="M87" i="2"/>
  <c r="M85" i="2" s="1"/>
  <c r="M77" i="5" s="1"/>
  <c r="BE102" i="2"/>
  <c r="BE136" i="2"/>
  <c r="AP25" i="2"/>
  <c r="AL133" i="2"/>
  <c r="AS67" i="5"/>
  <c r="AS59" i="4"/>
  <c r="AS147" i="2"/>
  <c r="AS175" i="2" s="1"/>
  <c r="AS22" i="2"/>
  <c r="AS16" i="2"/>
  <c r="AS23" i="2"/>
  <c r="AS21" i="2"/>
  <c r="AS17" i="2"/>
  <c r="AS57" i="2"/>
  <c r="AS84" i="4"/>
  <c r="AS33" i="3"/>
  <c r="AS85" i="4" s="1"/>
  <c r="AR145" i="2"/>
  <c r="AO82" i="2"/>
  <c r="BD83" i="2"/>
  <c r="AO97" i="2"/>
  <c r="S153" i="2"/>
  <c r="S22" i="2" s="1"/>
  <c r="AY153" i="2"/>
  <c r="R22" i="2"/>
  <c r="AX23" i="2"/>
  <c r="K70" i="5"/>
  <c r="K62" i="4"/>
  <c r="K75" i="2"/>
  <c r="K98" i="2"/>
  <c r="K36" i="2"/>
  <c r="K31" i="2"/>
  <c r="K64" i="2"/>
  <c r="O152" i="2"/>
  <c r="N155" i="2"/>
  <c r="N21" i="2"/>
  <c r="AQ14" i="4"/>
  <c r="AQ14" i="5" s="1"/>
  <c r="AQ9" i="4"/>
  <c r="AQ24" i="4"/>
  <c r="AQ17" i="5" s="1"/>
  <c r="AQ27" i="4"/>
  <c r="AQ19" i="5" s="1"/>
  <c r="AQ10" i="4"/>
  <c r="AQ35" i="4"/>
  <c r="AQ18" i="4"/>
  <c r="AQ15" i="5" s="1"/>
  <c r="AQ8" i="4"/>
  <c r="BD31" i="2"/>
  <c r="AW24" i="2"/>
  <c r="AQ12" i="5"/>
  <c r="AM129" i="2"/>
  <c r="BE7" i="3"/>
  <c r="BE26" i="3"/>
  <c r="BE16" i="3"/>
  <c r="AQ142" i="2"/>
  <c r="AP83" i="2"/>
  <c r="AV39" i="2"/>
  <c r="AR84" i="4"/>
  <c r="AR33" i="3"/>
  <c r="BE21" i="3"/>
  <c r="AQ78" i="5"/>
  <c r="AQ76" i="5" s="1"/>
  <c r="AQ8" i="5" s="1"/>
  <c r="AQ74" i="5"/>
  <c r="AN39" i="2"/>
  <c r="AN38" i="2"/>
  <c r="BD36" i="2"/>
  <c r="BD38" i="2" s="1"/>
  <c r="AX73" i="2" l="1"/>
  <c r="AY62" i="2"/>
  <c r="AX62" i="2"/>
  <c r="AP84" i="2"/>
  <c r="AN126" i="2"/>
  <c r="BD121" i="2"/>
  <c r="AP121" i="2"/>
  <c r="M80" i="5"/>
  <c r="M78" i="5"/>
  <c r="M81" i="5" s="1"/>
  <c r="AN86" i="4"/>
  <c r="AO31" i="3"/>
  <c r="R73" i="2"/>
  <c r="V62" i="2"/>
  <c r="AY23" i="2"/>
  <c r="R62" i="2"/>
  <c r="AV77" i="2"/>
  <c r="AV46" i="2"/>
  <c r="AV65" i="2"/>
  <c r="AW74" i="2"/>
  <c r="AW63" i="2"/>
  <c r="N156" i="2"/>
  <c r="N87" i="2"/>
  <c r="R61" i="4"/>
  <c r="R72" i="2"/>
  <c r="V61" i="2"/>
  <c r="AY22" i="2"/>
  <c r="R61" i="2"/>
  <c r="AS62" i="2"/>
  <c r="AR69" i="5"/>
  <c r="AR24" i="2"/>
  <c r="AR60" i="2"/>
  <c r="BE21" i="2"/>
  <c r="AL48" i="5"/>
  <c r="AL50" i="5" s="1"/>
  <c r="AL42" i="5"/>
  <c r="AL79" i="4"/>
  <c r="S73" i="2"/>
  <c r="W62" i="2"/>
  <c r="S62" i="2"/>
  <c r="I66" i="2"/>
  <c r="AO71" i="5"/>
  <c r="AO63" i="4"/>
  <c r="AO77" i="2"/>
  <c r="AO99" i="2"/>
  <c r="AO46" i="2"/>
  <c r="AO65" i="2"/>
  <c r="AR77" i="5"/>
  <c r="AR16" i="4" s="1"/>
  <c r="AS16" i="4" s="1"/>
  <c r="BE16" i="4" s="1"/>
  <c r="BE85" i="2"/>
  <c r="AW87" i="2"/>
  <c r="J71" i="5"/>
  <c r="J63" i="4"/>
  <c r="J77" i="2"/>
  <c r="J46" i="2"/>
  <c r="J99" i="2"/>
  <c r="J65" i="2"/>
  <c r="S61" i="4"/>
  <c r="S72" i="2"/>
  <c r="W61" i="2"/>
  <c r="S61" i="2"/>
  <c r="AS61" i="4"/>
  <c r="AS117" i="2"/>
  <c r="AS61" i="2"/>
  <c r="AR68" i="5"/>
  <c r="AR60" i="4"/>
  <c r="AR22" i="4" s="1"/>
  <c r="AR112" i="2"/>
  <c r="AR113" i="2" s="1"/>
  <c r="AR58" i="2"/>
  <c r="BE16" i="2"/>
  <c r="BE58" i="2" s="1"/>
  <c r="AL41" i="3"/>
  <c r="AR85" i="4"/>
  <c r="BE33" i="3"/>
  <c r="AP82" i="2"/>
  <c r="AP97" i="2"/>
  <c r="AR118" i="2"/>
  <c r="AR62" i="2"/>
  <c r="BE23" i="2"/>
  <c r="AR142" i="2"/>
  <c r="AQ83" i="2"/>
  <c r="AR61" i="4"/>
  <c r="AR117" i="2"/>
  <c r="AR61" i="2"/>
  <c r="BE22" i="2"/>
  <c r="L70" i="5"/>
  <c r="L62" i="4"/>
  <c r="L98" i="2"/>
  <c r="L36" i="2"/>
  <c r="L31" i="2"/>
  <c r="L75" i="2"/>
  <c r="L64" i="2"/>
  <c r="AN41" i="4"/>
  <c r="AM44" i="4"/>
  <c r="I100" i="2"/>
  <c r="AV100" i="2" s="1"/>
  <c r="AV99" i="2"/>
  <c r="AQ13" i="4"/>
  <c r="N69" i="5"/>
  <c r="N71" i="2"/>
  <c r="N24" i="2"/>
  <c r="N60" i="2"/>
  <c r="AS68" i="5"/>
  <c r="AS60" i="4"/>
  <c r="AS22" i="4" s="1"/>
  <c r="AS58" i="2"/>
  <c r="AQ25" i="2"/>
  <c r="AQ59" i="2"/>
  <c r="K39" i="2"/>
  <c r="K38" i="2"/>
  <c r="AS24" i="4"/>
  <c r="AS27" i="4"/>
  <c r="AS10" i="4"/>
  <c r="BE10" i="4" s="1"/>
  <c r="AS35" i="4"/>
  <c r="BE35" i="4" s="1"/>
  <c r="AS18" i="4"/>
  <c r="BE18" i="4" s="1"/>
  <c r="AS8" i="4"/>
  <c r="BE8" i="4" s="1"/>
  <c r="AS14" i="4"/>
  <c r="BE14" i="4" s="1"/>
  <c r="AS9" i="4"/>
  <c r="BE9" i="4" s="1"/>
  <c r="M74" i="2"/>
  <c r="M25" i="2"/>
  <c r="M63" i="2"/>
  <c r="AR17" i="2"/>
  <c r="AQ112" i="2"/>
  <c r="AW85" i="2"/>
  <c r="AM20" i="5"/>
  <c r="P152" i="2"/>
  <c r="O155" i="2"/>
  <c r="O21" i="2"/>
  <c r="AR13" i="5"/>
  <c r="AO9" i="5"/>
  <c r="BD9" i="5" s="1"/>
  <c r="BD82" i="2"/>
  <c r="AO98" i="2"/>
  <c r="BD98" i="2" s="1"/>
  <c r="AS78" i="5"/>
  <c r="AS76" i="5" s="1"/>
  <c r="AS8" i="5" s="1"/>
  <c r="AS74" i="5"/>
  <c r="AR175" i="2"/>
  <c r="BE147" i="2"/>
  <c r="BE148" i="2" s="1"/>
  <c r="AQ16" i="5"/>
  <c r="AM131" i="2"/>
  <c r="AS69" i="5"/>
  <c r="AS24" i="2"/>
  <c r="AS60" i="2"/>
  <c r="AN71" i="5"/>
  <c r="AN63" i="4"/>
  <c r="AN77" i="2"/>
  <c r="AN99" i="2"/>
  <c r="AN43" i="4" s="1"/>
  <c r="AO43" i="4" s="1"/>
  <c r="AN46" i="2"/>
  <c r="AN65" i="2"/>
  <c r="BD39" i="2"/>
  <c r="AS145" i="2"/>
  <c r="AS118" i="2" s="1"/>
  <c r="AR9" i="4"/>
  <c r="AR24" i="4"/>
  <c r="AR17" i="5" s="1"/>
  <c r="AR27" i="4"/>
  <c r="AR10" i="4"/>
  <c r="AS13" i="5" s="1"/>
  <c r="AR35" i="4"/>
  <c r="AR18" i="4"/>
  <c r="AS15" i="5" s="1"/>
  <c r="AR8" i="4"/>
  <c r="AS12" i="5" s="1"/>
  <c r="AR14" i="4"/>
  <c r="AX72" i="3"/>
  <c r="AX73" i="3"/>
  <c r="AX74" i="3" s="1"/>
  <c r="BE37" i="3"/>
  <c r="AW156" i="2"/>
  <c r="AR78" i="5"/>
  <c r="AR74" i="5"/>
  <c r="AQ117" i="2"/>
  <c r="BE117" i="2" s="1"/>
  <c r="AM18" i="5"/>
  <c r="AM39" i="3"/>
  <c r="AM29" i="4"/>
  <c r="AM36" i="4" s="1"/>
  <c r="AQ13" i="5"/>
  <c r="BE13" i="5" s="1"/>
  <c r="R72" i="3"/>
  <c r="S71" i="3"/>
  <c r="AQ74" i="2"/>
  <c r="AQ63" i="2"/>
  <c r="AS25" i="2"/>
  <c r="AS59" i="2"/>
  <c r="AR14" i="5"/>
  <c r="AP70" i="5"/>
  <c r="AP62" i="4"/>
  <c r="AP75" i="2"/>
  <c r="AP98" i="2"/>
  <c r="AP36" i="2"/>
  <c r="AP31" i="2"/>
  <c r="AP64" i="2"/>
  <c r="AQ146" i="2"/>
  <c r="AQ84" i="2" s="1"/>
  <c r="AR143" i="2"/>
  <c r="AR116" i="2" s="1"/>
  <c r="AW25" i="2"/>
  <c r="BD43" i="4" l="1"/>
  <c r="AR120" i="2"/>
  <c r="BE17" i="5"/>
  <c r="BE16" i="5"/>
  <c r="BE14" i="5"/>
  <c r="AW31" i="2"/>
  <c r="S72" i="3"/>
  <c r="T71" i="3"/>
  <c r="AQ113" i="2"/>
  <c r="AS19" i="5"/>
  <c r="BE27" i="4"/>
  <c r="AO41" i="4"/>
  <c r="AN44" i="4"/>
  <c r="N157" i="2"/>
  <c r="AS17" i="5"/>
  <c r="BE24" i="4"/>
  <c r="AR15" i="5"/>
  <c r="BE15" i="5" s="1"/>
  <c r="AR74" i="2"/>
  <c r="AR63" i="2"/>
  <c r="AM40" i="3"/>
  <c r="AN38" i="3"/>
  <c r="AS70" i="5"/>
  <c r="AS62" i="4"/>
  <c r="AS75" i="2"/>
  <c r="AS36" i="2"/>
  <c r="AS31" i="2"/>
  <c r="AS64" i="2"/>
  <c r="AR19" i="5"/>
  <c r="BE19" i="5" s="1"/>
  <c r="N74" i="2"/>
  <c r="N25" i="2"/>
  <c r="N63" i="2"/>
  <c r="AQ82" i="2"/>
  <c r="AQ9" i="5" s="1"/>
  <c r="AL43" i="3"/>
  <c r="AO32" i="3"/>
  <c r="BD31" i="3"/>
  <c r="M70" i="5"/>
  <c r="M62" i="4"/>
  <c r="M98" i="2"/>
  <c r="AW98" i="2" s="1"/>
  <c r="M75" i="2"/>
  <c r="M36" i="2"/>
  <c r="M31" i="2"/>
  <c r="M64" i="2"/>
  <c r="K71" i="5"/>
  <c r="K63" i="4"/>
  <c r="K77" i="2"/>
  <c r="K99" i="2"/>
  <c r="K100" i="2" s="1"/>
  <c r="K46" i="2"/>
  <c r="K65" i="2"/>
  <c r="AS142" i="2"/>
  <c r="AR83" i="2"/>
  <c r="AR82" i="2" s="1"/>
  <c r="AR9" i="5" s="1"/>
  <c r="AN32" i="4"/>
  <c r="AN25" i="4"/>
  <c r="AW75" i="2"/>
  <c r="AW64" i="2"/>
  <c r="AR25" i="2"/>
  <c r="AR59" i="2"/>
  <c r="AS143" i="2"/>
  <c r="AR146" i="2"/>
  <c r="AR84" i="2" s="1"/>
  <c r="BE143" i="2"/>
  <c r="AS14" i="5"/>
  <c r="AS74" i="2"/>
  <c r="AS63" i="2"/>
  <c r="BE142" i="2"/>
  <c r="L39" i="2"/>
  <c r="L38" i="2"/>
  <c r="BE73" i="2"/>
  <c r="BE62" i="2"/>
  <c r="AR12" i="5"/>
  <c r="BE12" i="5" s="1"/>
  <c r="BE145" i="2"/>
  <c r="BE17" i="2"/>
  <c r="AR76" i="5"/>
  <c r="AR8" i="5" s="1"/>
  <c r="BE8" i="5" s="1"/>
  <c r="AR80" i="5"/>
  <c r="AR79" i="5" s="1"/>
  <c r="BE24" i="2"/>
  <c r="BE118" i="2"/>
  <c r="AR121" i="2"/>
  <c r="AR126" i="2" s="1"/>
  <c r="AR129" i="2" s="1"/>
  <c r="AR131" i="2" s="1"/>
  <c r="AR133" i="2" s="1"/>
  <c r="AQ70" i="5"/>
  <c r="AQ62" i="4"/>
  <c r="AQ75" i="2"/>
  <c r="AQ36" i="2"/>
  <c r="AQ31" i="2"/>
  <c r="AQ64" i="2"/>
  <c r="AR13" i="4"/>
  <c r="AS13" i="4" s="1"/>
  <c r="BE13" i="4" s="1"/>
  <c r="AR16" i="5"/>
  <c r="J100" i="2"/>
  <c r="AO66" i="2"/>
  <c r="AY72" i="2"/>
  <c r="AZ61" i="2"/>
  <c r="AY61" i="2"/>
  <c r="AV66" i="2"/>
  <c r="AP126" i="2"/>
  <c r="AM133" i="2"/>
  <c r="O156" i="2"/>
  <c r="O157" i="2" s="1"/>
  <c r="O87" i="2"/>
  <c r="O85" i="2" s="1"/>
  <c r="O77" i="5" s="1"/>
  <c r="AQ97" i="2"/>
  <c r="AQ120" i="2"/>
  <c r="AP39" i="2"/>
  <c r="AP38" i="2"/>
  <c r="BD46" i="2"/>
  <c r="BD77" i="2"/>
  <c r="BD65" i="2"/>
  <c r="O69" i="5"/>
  <c r="O71" i="2"/>
  <c r="O24" i="2"/>
  <c r="O60" i="2"/>
  <c r="AN66" i="2"/>
  <c r="Q152" i="2"/>
  <c r="P155" i="2"/>
  <c r="P21" i="2"/>
  <c r="AX152" i="2"/>
  <c r="BE72" i="2"/>
  <c r="BE61" i="2"/>
  <c r="AP9" i="5"/>
  <c r="J66" i="2"/>
  <c r="AO6" i="5"/>
  <c r="AO100" i="2"/>
  <c r="AL45" i="5"/>
  <c r="AM44" i="5" s="1"/>
  <c r="AL6" i="4"/>
  <c r="AL53" i="5"/>
  <c r="AL82" i="4" s="1"/>
  <c r="AL51" i="5"/>
  <c r="AL80" i="4"/>
  <c r="AY73" i="2"/>
  <c r="AZ62" i="2"/>
  <c r="AN129" i="2"/>
  <c r="BD126" i="2"/>
  <c r="AM48" i="5"/>
  <c r="AM50" i="5" s="1"/>
  <c r="AM42" i="5"/>
  <c r="AM45" i="5" s="1"/>
  <c r="AN44" i="5" s="1"/>
  <c r="AM79" i="4"/>
  <c r="AN6" i="5"/>
  <c r="AN100" i="2"/>
  <c r="BD99" i="2"/>
  <c r="BD100" i="2" s="1"/>
  <c r="AS16" i="5"/>
  <c r="BE22" i="4"/>
  <c r="AM45" i="4"/>
  <c r="BE71" i="2"/>
  <c r="BE60" i="2"/>
  <c r="N85" i="2"/>
  <c r="Q155" i="2" l="1"/>
  <c r="R152" i="2"/>
  <c r="Q21" i="2"/>
  <c r="BD66" i="2"/>
  <c r="BE74" i="2"/>
  <c r="BE63" i="2"/>
  <c r="AN18" i="5"/>
  <c r="AN20" i="5" s="1"/>
  <c r="AN39" i="3"/>
  <c r="AN29" i="4"/>
  <c r="AN36" i="4" s="1"/>
  <c r="L71" i="5"/>
  <c r="L63" i="4"/>
  <c r="L77" i="2"/>
  <c r="L99" i="2"/>
  <c r="L46" i="2"/>
  <c r="L65" i="2"/>
  <c r="AP71" i="5"/>
  <c r="AP63" i="4"/>
  <c r="AP77" i="2"/>
  <c r="AP99" i="2"/>
  <c r="AP46" i="2"/>
  <c r="AP66" i="2" s="1"/>
  <c r="AP65" i="2"/>
  <c r="BD41" i="4"/>
  <c r="AP41" i="4"/>
  <c r="AO44" i="4"/>
  <c r="BD6" i="5"/>
  <c r="AM41" i="3"/>
  <c r="P69" i="5"/>
  <c r="P71" i="2"/>
  <c r="T60" i="2"/>
  <c r="P24" i="2"/>
  <c r="P60" i="2"/>
  <c r="AN131" i="2"/>
  <c r="BD129" i="2"/>
  <c r="BE69" i="2"/>
  <c r="BE59" i="2"/>
  <c r="AS83" i="2"/>
  <c r="AS112" i="2"/>
  <c r="N77" i="5"/>
  <c r="P156" i="2"/>
  <c r="P157" i="2" s="1"/>
  <c r="P87" i="2"/>
  <c r="O74" i="2"/>
  <c r="O25" i="2"/>
  <c r="O63" i="2"/>
  <c r="AQ39" i="2"/>
  <c r="AQ38" i="2"/>
  <c r="AS146" i="2"/>
  <c r="AS116" i="2"/>
  <c r="K66" i="2"/>
  <c r="AX155" i="2"/>
  <c r="N70" i="5"/>
  <c r="N62" i="4"/>
  <c r="N98" i="2"/>
  <c r="N75" i="2"/>
  <c r="N36" i="2"/>
  <c r="N31" i="2"/>
  <c r="N64" i="2"/>
  <c r="AQ98" i="2"/>
  <c r="AQ121" i="2"/>
  <c r="AM6" i="4"/>
  <c r="AL47" i="4"/>
  <c r="AL11" i="4"/>
  <c r="AL19" i="4" s="1"/>
  <c r="AN45" i="4"/>
  <c r="AR70" i="5"/>
  <c r="AR62" i="4"/>
  <c r="AR75" i="2"/>
  <c r="AR98" i="2"/>
  <c r="AR36" i="2"/>
  <c r="AR31" i="2"/>
  <c r="BE31" i="2" s="1"/>
  <c r="AR64" i="2"/>
  <c r="BE25" i="2"/>
  <c r="T72" i="3"/>
  <c r="U71" i="3"/>
  <c r="AM53" i="5"/>
  <c r="AM82" i="4" s="1"/>
  <c r="AM51" i="5"/>
  <c r="AM80" i="4"/>
  <c r="AP129" i="2"/>
  <c r="M39" i="2"/>
  <c r="AW39" i="2" s="1"/>
  <c r="M38" i="2"/>
  <c r="O80" i="5"/>
  <c r="O78" i="5"/>
  <c r="O81" i="5" s="1"/>
  <c r="AW36" i="2"/>
  <c r="AW38" i="2" s="1"/>
  <c r="AR97" i="2"/>
  <c r="AO86" i="4"/>
  <c r="AP31" i="3"/>
  <c r="BD32" i="3"/>
  <c r="AS39" i="2"/>
  <c r="AS38" i="2"/>
  <c r="AN48" i="5" l="1"/>
  <c r="AN50" i="5" s="1"/>
  <c r="AN42" i="5"/>
  <c r="AN79" i="4"/>
  <c r="AW77" i="2"/>
  <c r="AW46" i="2"/>
  <c r="AW65" i="2"/>
  <c r="AP131" i="2"/>
  <c r="AS71" i="5"/>
  <c r="AS63" i="4"/>
  <c r="AS77" i="2"/>
  <c r="AS46" i="2"/>
  <c r="AS66" i="2" s="1"/>
  <c r="AS65" i="2"/>
  <c r="AM43" i="3"/>
  <c r="AS97" i="2"/>
  <c r="BE83" i="2"/>
  <c r="AP32" i="3"/>
  <c r="AL55" i="4"/>
  <c r="AL54" i="4"/>
  <c r="AQ71" i="5"/>
  <c r="AQ63" i="4"/>
  <c r="AQ99" i="2"/>
  <c r="AQ46" i="2"/>
  <c r="AQ66" i="2" s="1"/>
  <c r="AQ77" i="2"/>
  <c r="AQ65" i="2"/>
  <c r="AO25" i="4"/>
  <c r="AO32" i="4"/>
  <c r="BD32" i="4" s="1"/>
  <c r="AL50" i="4"/>
  <c r="AL51" i="4" s="1"/>
  <c r="AL48" i="4"/>
  <c r="O70" i="5"/>
  <c r="O62" i="4"/>
  <c r="O98" i="2"/>
  <c r="O75" i="2"/>
  <c r="O31" i="2"/>
  <c r="O36" i="2"/>
  <c r="O64" i="2"/>
  <c r="BD44" i="4"/>
  <c r="U72" i="3"/>
  <c r="V71" i="3"/>
  <c r="AY71" i="3"/>
  <c r="BE97" i="2"/>
  <c r="AN6" i="4"/>
  <c r="AM47" i="4"/>
  <c r="AM11" i="4"/>
  <c r="AM19" i="4" s="1"/>
  <c r="AQ41" i="4"/>
  <c r="L66" i="2"/>
  <c r="BE75" i="2"/>
  <c r="BE64" i="2"/>
  <c r="AN133" i="2"/>
  <c r="BD131" i="2"/>
  <c r="BD133" i="2" s="1"/>
  <c r="Q69" i="5"/>
  <c r="Q71" i="2"/>
  <c r="U60" i="2"/>
  <c r="Q24" i="2"/>
  <c r="Q60" i="2"/>
  <c r="AQ126" i="2"/>
  <c r="L100" i="2"/>
  <c r="R155" i="2"/>
  <c r="AY152" i="2"/>
  <c r="S152" i="2"/>
  <c r="R21" i="2"/>
  <c r="N39" i="2"/>
  <c r="N38" i="2"/>
  <c r="P85" i="2"/>
  <c r="P74" i="2"/>
  <c r="T63" i="2"/>
  <c r="P25" i="2"/>
  <c r="P63" i="2"/>
  <c r="Q156" i="2"/>
  <c r="Q157" i="2" s="1"/>
  <c r="Q87" i="2"/>
  <c r="Q85" i="2" s="1"/>
  <c r="Q77" i="5" s="1"/>
  <c r="AN40" i="3"/>
  <c r="AO38" i="3"/>
  <c r="BD38" i="3" s="1"/>
  <c r="AR39" i="2"/>
  <c r="AR38" i="2"/>
  <c r="BE36" i="2"/>
  <c r="BE38" i="2" s="1"/>
  <c r="BE39" i="2"/>
  <c r="AX156" i="2"/>
  <c r="AS120" i="2"/>
  <c r="BE120" i="2" s="1"/>
  <c r="BE116" i="2"/>
  <c r="AX21" i="2"/>
  <c r="AS113" i="2"/>
  <c r="BE112" i="2"/>
  <c r="M71" i="5"/>
  <c r="M63" i="4"/>
  <c r="M77" i="2"/>
  <c r="M99" i="2"/>
  <c r="M100" i="2" s="1"/>
  <c r="M46" i="2"/>
  <c r="M65" i="2"/>
  <c r="AS84" i="2"/>
  <c r="BE84" i="2" s="1"/>
  <c r="BE146" i="2"/>
  <c r="N80" i="5"/>
  <c r="N78" i="5"/>
  <c r="N81" i="5" s="1"/>
  <c r="AP6" i="5"/>
  <c r="AP100" i="2"/>
  <c r="AP43" i="4"/>
  <c r="AX24" i="2"/>
  <c r="P70" i="5" l="1"/>
  <c r="P62" i="4"/>
  <c r="P98" i="2"/>
  <c r="P75" i="2"/>
  <c r="T64" i="2"/>
  <c r="P36" i="2"/>
  <c r="P31" i="2"/>
  <c r="P64" i="2"/>
  <c r="M66" i="2"/>
  <c r="AW99" i="2"/>
  <c r="AW100" i="2" s="1"/>
  <c r="AX74" i="2"/>
  <c r="AX63" i="2"/>
  <c r="BE77" i="2"/>
  <c r="BE46" i="2"/>
  <c r="BE66" i="2" s="1"/>
  <c r="BE65" i="2"/>
  <c r="AP86" i="4"/>
  <c r="AQ31" i="3"/>
  <c r="AQ43" i="4"/>
  <c r="AR43" i="4" s="1"/>
  <c r="AX87" i="2"/>
  <c r="AP133" i="2"/>
  <c r="P77" i="5"/>
  <c r="AX85" i="2"/>
  <c r="AQ129" i="2"/>
  <c r="AP44" i="4"/>
  <c r="AO18" i="5"/>
  <c r="BD25" i="4"/>
  <c r="AO39" i="3"/>
  <c r="AO29" i="4"/>
  <c r="R156" i="2"/>
  <c r="R87" i="2"/>
  <c r="AR71" i="5"/>
  <c r="AR63" i="4"/>
  <c r="AR99" i="2"/>
  <c r="AR77" i="2"/>
  <c r="AR46" i="2"/>
  <c r="AR66" i="2" s="1"/>
  <c r="AR65" i="2"/>
  <c r="AR41" i="4"/>
  <c r="O39" i="2"/>
  <c r="O38" i="2"/>
  <c r="AS82" i="2"/>
  <c r="Q74" i="2"/>
  <c r="U63" i="2"/>
  <c r="Q25" i="2"/>
  <c r="Q63" i="2"/>
  <c r="AM55" i="4"/>
  <c r="AM54" i="4"/>
  <c r="AW66" i="2"/>
  <c r="N71" i="5"/>
  <c r="N63" i="4"/>
  <c r="N77" i="2"/>
  <c r="N99" i="2"/>
  <c r="N46" i="2"/>
  <c r="N65" i="2"/>
  <c r="AM48" i="4"/>
  <c r="AM50" i="4"/>
  <c r="AM51" i="4" s="1"/>
  <c r="AS121" i="2"/>
  <c r="BE113" i="2"/>
  <c r="Q80" i="5"/>
  <c r="Q78" i="5"/>
  <c r="Q81" i="5" s="1"/>
  <c r="AN41" i="3"/>
  <c r="AN47" i="4"/>
  <c r="AN11" i="4"/>
  <c r="AN19" i="4" s="1"/>
  <c r="AQ6" i="5"/>
  <c r="AQ100" i="2"/>
  <c r="R69" i="5"/>
  <c r="R71" i="2"/>
  <c r="V60" i="2"/>
  <c r="R24" i="2"/>
  <c r="AY21" i="2"/>
  <c r="R60" i="2"/>
  <c r="AX71" i="2"/>
  <c r="AX60" i="2"/>
  <c r="S155" i="2"/>
  <c r="AY155" i="2" s="1"/>
  <c r="S21" i="2"/>
  <c r="AY72" i="3"/>
  <c r="AY73" i="3"/>
  <c r="AY74" i="3" s="1"/>
  <c r="AN45" i="5"/>
  <c r="AO44" i="5" s="1"/>
  <c r="AX25" i="2"/>
  <c r="W71" i="3"/>
  <c r="V72" i="3"/>
  <c r="AN53" i="5"/>
  <c r="AN82" i="4" s="1"/>
  <c r="AN51" i="5"/>
  <c r="AN80" i="4"/>
  <c r="AY71" i="2" l="1"/>
  <c r="AZ60" i="2"/>
  <c r="AS9" i="5"/>
  <c r="BE9" i="5" s="1"/>
  <c r="AS98" i="2"/>
  <c r="BE98" i="2" s="1"/>
  <c r="BE82" i="2"/>
  <c r="AS99" i="2"/>
  <c r="R157" i="2"/>
  <c r="AX75" i="2"/>
  <c r="AX64" i="2"/>
  <c r="R74" i="2"/>
  <c r="V63" i="2"/>
  <c r="R25" i="2"/>
  <c r="R63" i="2"/>
  <c r="O71" i="5"/>
  <c r="O63" i="4"/>
  <c r="O77" i="2"/>
  <c r="O99" i="2"/>
  <c r="O100" i="2" s="1"/>
  <c r="O46" i="2"/>
  <c r="O65" i="2"/>
  <c r="BD29" i="4"/>
  <c r="AO36" i="4"/>
  <c r="AY87" i="2"/>
  <c r="R85" i="2"/>
  <c r="AS126" i="2"/>
  <c r="BE121" i="2"/>
  <c r="AQ44" i="4"/>
  <c r="AO40" i="3"/>
  <c r="AP38" i="3"/>
  <c r="BD39" i="3"/>
  <c r="AQ32" i="3"/>
  <c r="AS41" i="4"/>
  <c r="AR44" i="4"/>
  <c r="AO20" i="5"/>
  <c r="BD18" i="5"/>
  <c r="AP25" i="4"/>
  <c r="AP32" i="4"/>
  <c r="P39" i="2"/>
  <c r="P38" i="2"/>
  <c r="S156" i="2"/>
  <c r="S157" i="2" s="1"/>
  <c r="S87" i="2"/>
  <c r="S85" i="2" s="1"/>
  <c r="S77" i="5" s="1"/>
  <c r="AN55" i="4"/>
  <c r="AN54" i="4"/>
  <c r="N66" i="2"/>
  <c r="Q70" i="5"/>
  <c r="Q62" i="4"/>
  <c r="Q75" i="2"/>
  <c r="Q98" i="2"/>
  <c r="U64" i="2"/>
  <c r="Q36" i="2"/>
  <c r="Q31" i="2"/>
  <c r="AX31" i="2" s="1"/>
  <c r="Q64" i="2"/>
  <c r="AN43" i="3"/>
  <c r="W72" i="3"/>
  <c r="X71" i="3"/>
  <c r="AN48" i="4"/>
  <c r="AN50" i="4"/>
  <c r="AN51" i="4" s="1"/>
  <c r="AR6" i="5"/>
  <c r="AR100" i="2"/>
  <c r="BE99" i="2"/>
  <c r="BE100" i="2" s="1"/>
  <c r="AQ131" i="2"/>
  <c r="AX98" i="2"/>
  <c r="S69" i="5"/>
  <c r="S71" i="2"/>
  <c r="W60" i="2"/>
  <c r="S24" i="2"/>
  <c r="S60" i="2"/>
  <c r="AY60" i="2"/>
  <c r="N100" i="2"/>
  <c r="P80" i="5"/>
  <c r="P78" i="5"/>
  <c r="P81" i="5" s="1"/>
  <c r="AQ133" i="2" l="1"/>
  <c r="AQ86" i="4"/>
  <c r="AR31" i="3"/>
  <c r="Q39" i="2"/>
  <c r="Q38" i="2"/>
  <c r="AX36" i="2"/>
  <c r="AX38" i="2" s="1"/>
  <c r="O66" i="2"/>
  <c r="P71" i="5"/>
  <c r="P63" i="4"/>
  <c r="P77" i="2"/>
  <c r="P99" i="2"/>
  <c r="T65" i="2"/>
  <c r="P46" i="2"/>
  <c r="P65" i="2"/>
  <c r="AO41" i="3"/>
  <c r="BD40" i="3"/>
  <c r="AY156" i="2"/>
  <c r="AP18" i="5"/>
  <c r="AP39" i="3"/>
  <c r="AP29" i="4"/>
  <c r="AP36" i="4" s="1"/>
  <c r="AP45" i="4" s="1"/>
  <c r="AS6" i="5"/>
  <c r="AS100" i="2"/>
  <c r="W63" i="2"/>
  <c r="S74" i="2"/>
  <c r="S25" i="2"/>
  <c r="S63" i="2"/>
  <c r="X72" i="3"/>
  <c r="Y71" i="3"/>
  <c r="AS129" i="2"/>
  <c r="BE126" i="2"/>
  <c r="AO48" i="5"/>
  <c r="AO50" i="5" s="1"/>
  <c r="AO42" i="5"/>
  <c r="AO79" i="4"/>
  <c r="BD20" i="5"/>
  <c r="R77" i="5"/>
  <c r="AY85" i="2"/>
  <c r="R70" i="5"/>
  <c r="R62" i="4"/>
  <c r="R75" i="2"/>
  <c r="R98" i="2"/>
  <c r="V64" i="2"/>
  <c r="R36" i="2"/>
  <c r="R31" i="2"/>
  <c r="AY25" i="2"/>
  <c r="R64" i="2"/>
  <c r="AS43" i="4"/>
  <c r="BE43" i="4" s="1"/>
  <c r="AY24" i="2"/>
  <c r="S80" i="5"/>
  <c r="S78" i="5"/>
  <c r="S81" i="5" s="1"/>
  <c r="BE41" i="4"/>
  <c r="AS44" i="4"/>
  <c r="BD36" i="4"/>
  <c r="AO45" i="4"/>
  <c r="BD45" i="4" s="1"/>
  <c r="AZ71" i="3" l="1"/>
  <c r="Y72" i="3"/>
  <c r="Z71" i="3"/>
  <c r="AO43" i="3"/>
  <c r="BD41" i="3"/>
  <c r="BD43" i="3" s="1"/>
  <c r="BE44" i="4"/>
  <c r="S70" i="5"/>
  <c r="S62" i="4"/>
  <c r="S75" i="2"/>
  <c r="S98" i="2"/>
  <c r="AY98" i="2" s="1"/>
  <c r="W64" i="2"/>
  <c r="S36" i="2"/>
  <c r="S31" i="2"/>
  <c r="S64" i="2"/>
  <c r="AY74" i="2"/>
  <c r="AZ63" i="2"/>
  <c r="AY63" i="2"/>
  <c r="T66" i="2"/>
  <c r="P66" i="2"/>
  <c r="R80" i="5"/>
  <c r="R78" i="5"/>
  <c r="R81" i="5" s="1"/>
  <c r="Q71" i="5"/>
  <c r="Q63" i="4"/>
  <c r="Q77" i="2"/>
  <c r="Q99" i="2"/>
  <c r="Q100" i="2" s="1"/>
  <c r="U65" i="2"/>
  <c r="Q46" i="2"/>
  <c r="Q65" i="2"/>
  <c r="AX39" i="2"/>
  <c r="P100" i="2"/>
  <c r="AX99" i="2"/>
  <c r="AX100" i="2" s="1"/>
  <c r="AS131" i="2"/>
  <c r="BE129" i="2"/>
  <c r="BD48" i="5"/>
  <c r="BD79" i="4"/>
  <c r="AR32" i="3"/>
  <c r="AY75" i="2"/>
  <c r="AZ64" i="2"/>
  <c r="AY64" i="2"/>
  <c r="AO45" i="5"/>
  <c r="AP44" i="5" s="1"/>
  <c r="AO6" i="4"/>
  <c r="BD42" i="5"/>
  <c r="BD45" i="5" s="1"/>
  <c r="BE44" i="5" s="1"/>
  <c r="AQ25" i="4"/>
  <c r="AQ32" i="4"/>
  <c r="AY31" i="2"/>
  <c r="AO53" i="5"/>
  <c r="AO82" i="4" s="1"/>
  <c r="AO51" i="5"/>
  <c r="AO80" i="4"/>
  <c r="BD50" i="5"/>
  <c r="AP40" i="3"/>
  <c r="AQ38" i="3"/>
  <c r="AY36" i="2"/>
  <c r="AY38" i="2" s="1"/>
  <c r="R39" i="2"/>
  <c r="R38" i="2"/>
  <c r="AP20" i="5"/>
  <c r="BE6" i="5"/>
  <c r="AS133" i="2" l="1"/>
  <c r="BE131" i="2"/>
  <c r="BE133" i="2" s="1"/>
  <c r="AQ18" i="5"/>
  <c r="AQ39" i="3"/>
  <c r="AQ29" i="4"/>
  <c r="AQ36" i="4" s="1"/>
  <c r="AQ45" i="4" s="1"/>
  <c r="R71" i="5"/>
  <c r="R63" i="4"/>
  <c r="R77" i="2"/>
  <c r="R99" i="2"/>
  <c r="V65" i="2"/>
  <c r="R46" i="2"/>
  <c r="R65" i="2"/>
  <c r="AO47" i="4"/>
  <c r="AO11" i="4"/>
  <c r="BD6" i="4"/>
  <c r="AX77" i="2"/>
  <c r="AX46" i="2"/>
  <c r="AX65" i="2"/>
  <c r="AP41" i="3"/>
  <c r="BD53" i="5"/>
  <c r="BD82" i="4" s="1"/>
  <c r="BD51" i="5"/>
  <c r="BD80" i="4"/>
  <c r="U66" i="2"/>
  <c r="Q66" i="2"/>
  <c r="Z72" i="3"/>
  <c r="AA71" i="3"/>
  <c r="AR86" i="4"/>
  <c r="AS31" i="3"/>
  <c r="S38" i="2"/>
  <c r="S39" i="2"/>
  <c r="AY39" i="2" s="1"/>
  <c r="AZ72" i="3"/>
  <c r="AZ73" i="3"/>
  <c r="AZ74" i="3" s="1"/>
  <c r="AP48" i="5"/>
  <c r="AP50" i="5" s="1"/>
  <c r="AP42" i="5"/>
  <c r="AP6" i="4" s="1"/>
  <c r="AP79" i="4"/>
  <c r="AP47" i="4" l="1"/>
  <c r="AP11" i="4"/>
  <c r="AP19" i="4" s="1"/>
  <c r="AY77" i="2"/>
  <c r="AZ65" i="2"/>
  <c r="AY46" i="2"/>
  <c r="AZ66" i="2" s="1"/>
  <c r="AY65" i="2"/>
  <c r="R100" i="2"/>
  <c r="V66" i="2"/>
  <c r="R66" i="2"/>
  <c r="AS32" i="3"/>
  <c r="BE31" i="3"/>
  <c r="AX66" i="2"/>
  <c r="AR25" i="4"/>
  <c r="AR32" i="4"/>
  <c r="AA72" i="3"/>
  <c r="AB71" i="3"/>
  <c r="S71" i="5"/>
  <c r="S63" i="4"/>
  <c r="S99" i="2"/>
  <c r="S100" i="2" s="1"/>
  <c r="W65" i="2"/>
  <c r="S46" i="2"/>
  <c r="S77" i="2"/>
  <c r="S65" i="2"/>
  <c r="AP45" i="5"/>
  <c r="AQ44" i="5" s="1"/>
  <c r="AQ40" i="3"/>
  <c r="AR38" i="3"/>
  <c r="AP53" i="5"/>
  <c r="AP82" i="4" s="1"/>
  <c r="AP51" i="5"/>
  <c r="AP80" i="4"/>
  <c r="BD11" i="4"/>
  <c r="AO19" i="4"/>
  <c r="AQ20" i="5"/>
  <c r="AO48" i="4"/>
  <c r="AO50" i="4"/>
  <c r="BD47" i="4"/>
  <c r="BD48" i="4" s="1"/>
  <c r="AP43" i="3"/>
  <c r="W66" i="2" l="1"/>
  <c r="S66" i="2"/>
  <c r="AS86" i="4"/>
  <c r="BE32" i="3"/>
  <c r="AY99" i="2"/>
  <c r="AY100" i="2" s="1"/>
  <c r="AB72" i="3"/>
  <c r="AC71" i="3"/>
  <c r="AQ41" i="3"/>
  <c r="AR18" i="5"/>
  <c r="AR39" i="3"/>
  <c r="AR29" i="4"/>
  <c r="AR36" i="4" s="1"/>
  <c r="AR45" i="4" s="1"/>
  <c r="BD50" i="4"/>
  <c r="BD51" i="4" s="1"/>
  <c r="AO51" i="4"/>
  <c r="AQ48" i="5"/>
  <c r="AQ50" i="5" s="1"/>
  <c r="AQ42" i="5"/>
  <c r="AQ79" i="4"/>
  <c r="AY66" i="2"/>
  <c r="AP55" i="4"/>
  <c r="AP54" i="4"/>
  <c r="AO55" i="4"/>
  <c r="BD19" i="4"/>
  <c r="BD54" i="4" s="1"/>
  <c r="AO54" i="4"/>
  <c r="AP48" i="4"/>
  <c r="AP50" i="4"/>
  <c r="AP51" i="4" s="1"/>
  <c r="AR20" i="5" l="1"/>
  <c r="AQ43" i="3"/>
  <c r="BA71" i="3"/>
  <c r="AC72" i="3"/>
  <c r="AD71" i="3"/>
  <c r="AR40" i="3"/>
  <c r="AS38" i="3"/>
  <c r="BE38" i="3" s="1"/>
  <c r="AQ45" i="5"/>
  <c r="AR44" i="5" s="1"/>
  <c r="AQ6" i="4"/>
  <c r="AQ53" i="5"/>
  <c r="AQ82" i="4" s="1"/>
  <c r="AQ51" i="5"/>
  <c r="AQ80" i="4"/>
  <c r="AS25" i="4"/>
  <c r="AS32" i="4"/>
  <c r="BE32" i="4" s="1"/>
  <c r="AR41" i="3" l="1"/>
  <c r="AD72" i="3"/>
  <c r="AE71" i="3"/>
  <c r="AS18" i="5"/>
  <c r="BE25" i="4"/>
  <c r="AS39" i="3"/>
  <c r="AS29" i="4"/>
  <c r="BA72" i="3"/>
  <c r="BA73" i="3"/>
  <c r="BA74" i="3" s="1"/>
  <c r="AQ11" i="4"/>
  <c r="AQ19" i="4" s="1"/>
  <c r="AR6" i="4"/>
  <c r="AQ47" i="4"/>
  <c r="AR42" i="5"/>
  <c r="AR48" i="5"/>
  <c r="AR50" i="5" s="1"/>
  <c r="AR79" i="4"/>
  <c r="AS36" i="4" l="1"/>
  <c r="BE29" i="4"/>
  <c r="AS40" i="3"/>
  <c r="BE39" i="3"/>
  <c r="AQ55" i="4"/>
  <c r="AQ54" i="4"/>
  <c r="AR11" i="4"/>
  <c r="AR19" i="4" s="1"/>
  <c r="AR47" i="4"/>
  <c r="AS20" i="5"/>
  <c r="BE18" i="5"/>
  <c r="AE72" i="3"/>
  <c r="AF71" i="3"/>
  <c r="AR53" i="5"/>
  <c r="AR82" i="4" s="1"/>
  <c r="AR51" i="5"/>
  <c r="AR80" i="4"/>
  <c r="AR45" i="5"/>
  <c r="AS44" i="5" s="1"/>
  <c r="AQ50" i="4"/>
  <c r="AQ51" i="4" s="1"/>
  <c r="AQ48" i="4"/>
  <c r="AR43" i="3"/>
  <c r="AS42" i="5" l="1"/>
  <c r="AS48" i="5"/>
  <c r="AS50" i="5" s="1"/>
  <c r="AS79" i="4"/>
  <c r="BE20" i="5"/>
  <c r="AR50" i="4"/>
  <c r="AR51" i="4" s="1"/>
  <c r="AR48" i="4"/>
  <c r="AR54" i="4"/>
  <c r="AR55" i="4"/>
  <c r="AS41" i="3"/>
  <c r="BE40" i="3"/>
  <c r="AF72" i="3"/>
  <c r="AG71" i="3"/>
  <c r="BE36" i="4"/>
  <c r="AS45" i="4"/>
  <c r="BE45" i="4" s="1"/>
  <c r="AG72" i="3" l="1"/>
  <c r="AH71" i="3"/>
  <c r="BB71" i="3"/>
  <c r="BE48" i="5"/>
  <c r="BE79" i="4"/>
  <c r="AS43" i="3"/>
  <c r="BE41" i="3"/>
  <c r="BE43" i="3" s="1"/>
  <c r="AS51" i="5"/>
  <c r="AS53" i="5"/>
  <c r="AS82" i="4" s="1"/>
  <c r="AS80" i="4"/>
  <c r="BE50" i="5"/>
  <c r="AS45" i="5"/>
  <c r="BE42" i="5"/>
  <c r="BE45" i="5" s="1"/>
  <c r="AS6" i="4"/>
  <c r="BE53" i="5" l="1"/>
  <c r="BE82" i="4" s="1"/>
  <c r="BE51" i="5"/>
  <c r="BE80" i="4"/>
  <c r="BB72" i="3"/>
  <c r="BB73" i="3"/>
  <c r="BB74" i="3" s="1"/>
  <c r="AS11" i="4"/>
  <c r="AS47" i="4"/>
  <c r="BE6" i="4"/>
  <c r="AI71" i="3"/>
  <c r="AH72" i="3"/>
  <c r="AS50" i="4" l="1"/>
  <c r="AS48" i="4"/>
  <c r="BE47" i="4"/>
  <c r="BE48" i="4" s="1"/>
  <c r="BE11" i="4"/>
  <c r="AS19" i="4"/>
  <c r="AI72" i="3"/>
  <c r="AJ71" i="3"/>
  <c r="AJ72" i="3" l="1"/>
  <c r="AK71" i="3"/>
  <c r="AK72" i="3" s="1"/>
  <c r="AS54" i="4"/>
  <c r="AS55" i="4"/>
  <c r="BE19" i="4"/>
  <c r="BE54" i="4" s="1"/>
  <c r="AS51" i="4"/>
  <c r="BE50" i="4"/>
  <c r="BE5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Srinivasaraghavan, Vinod</author>
    <author>Donati, Justin [WELLS FARGO SEC RES CONS]</author>
    <author>Nowinski, Andrew</author>
    <author>Schwarz, Stefan A.</author>
    <author>Srinivasraghavan, Vinod</author>
    <author>tc={D86D23D4-F67A-447C-80EA-D1AE80CF228F}</author>
    <author>tc={0F9C1A64-9A02-4D2F-BEC9-93D8E8854901}</author>
    <author>tc={AAFB2272-2D2D-4CD0-BBC1-53E392E2B9CF}</author>
    <author>tc={DB960324-0C9D-419A-A355-57E9586C753A}</author>
    <author>tc={0DFE9202-3871-466A-BC9F-998A201635D1}</author>
    <author>tc={1E339741-907A-405C-B0DA-BF081B6BFB5B}</author>
    <author>tc={F2833F34-5E6D-4E9F-9DDD-397EAC0E51D0}</author>
    <author>tc={3DE43A29-AC2F-4DEC-8707-9C268DE7E58B}</author>
    <author>tc={3083AE7E-4755-48F1-B033-4B271D53B62B}</author>
    <author>tc={986704E4-D5E0-4C4D-BE51-37A1C820DA58}</author>
    <author>tc={29E4F848-A61E-4666-832E-B9203BDD7A2A}</author>
    <author>tc={BF784C76-A9EB-4843-AD30-B82655326A46}</author>
    <author>tc={ABCA9D2C-DC0C-4DBB-B03D-BBEF1C81BBB5}</author>
    <author>tc={44488B96-F0C0-4124-8B4D-9B71A97F7668}</author>
    <author>tc={E3C61257-460B-4486-A2F4-CFDC303B3D2C}</author>
  </authors>
  <commentList>
    <comment ref="AH13" authorId="0" shapeId="0" xr:uid="{B7B3D260-4587-406E-8F14-171ED70CD119}">
      <text>
        <r>
          <rPr>
            <b/>
            <sz val="9"/>
            <color indexed="81"/>
            <rFont val="Tahoma"/>
            <family val="2"/>
          </rPr>
          <t>Srinivasaraghavan, Vinod:</t>
        </r>
        <r>
          <rPr>
            <sz val="9"/>
            <color indexed="81"/>
            <rFont val="Tahoma"/>
            <family val="2"/>
          </rPr>
          <t xml:space="preserve">
232-234 ex Vulcan</t>
        </r>
      </text>
    </comment>
    <comment ref="AY13" authorId="1" shapeId="0" xr:uid="{E45401BC-49D2-46BF-9DEF-9B0CF02A207F}">
      <text>
        <r>
          <rPr>
            <b/>
            <sz val="9"/>
            <color indexed="81"/>
            <rFont val="Tahoma"/>
            <family val="2"/>
          </rPr>
          <t xml:space="preserve">Donati, Justin 
</t>
        </r>
        <r>
          <rPr>
            <sz val="9"/>
            <color indexed="81"/>
            <rFont val="Tahoma"/>
            <family val="2"/>
          </rPr>
          <t>3Q21: $535.1 - 537.1MM
2Q21: $528.0 - 531.0MM
1Q21: $520.0 - 524.0MM
4Q20: $510.0 - 515.0MM</t>
        </r>
      </text>
    </comment>
    <comment ref="AZ13" authorId="2" shapeId="0" xr:uid="{78CC3FCA-E710-4F4D-854E-7B04CC7F2D19}">
      <text>
        <r>
          <rPr>
            <b/>
            <sz val="9"/>
            <color indexed="81"/>
            <rFont val="Tahoma"/>
            <family val="2"/>
          </rPr>
          <t>Nowinski, Andrew:</t>
        </r>
        <r>
          <rPr>
            <sz val="9"/>
            <color indexed="81"/>
            <rFont val="Tahoma"/>
            <family val="2"/>
          </rPr>
          <t xml:space="preserve">
3Q22: $678.6 - 680.6MM
2Q22: $673.0 - 679.0MM
1Q22: $673.0 - 679.0MM
4Q21: $662.0 - 670.0MM</t>
        </r>
      </text>
    </comment>
    <comment ref="BA13" authorId="2" shapeId="0" xr:uid="{530C511B-BF10-4F7A-9F9C-609C2A099E75}">
      <text>
        <r>
          <rPr>
            <b/>
            <sz val="9"/>
            <color indexed="81"/>
            <rFont val="Tahoma"/>
            <family val="2"/>
          </rPr>
          <t>Nowinski, Andrew:</t>
        </r>
        <r>
          <rPr>
            <sz val="9"/>
            <color indexed="81"/>
            <rFont val="Tahoma"/>
            <family val="2"/>
          </rPr>
          <t xml:space="preserve">
3Q23:
2Q23: 783-791
1Q23: 775-785
4Q22: 800-810
12/15/21 (Analyst Day): 20%+ CAGR through 2025</t>
        </r>
      </text>
    </comment>
    <comment ref="BB13" authorId="2" shapeId="0" xr:uid="{894C86F1-7272-4056-ADA6-2A60C10C9CC5}">
      <text>
        <r>
          <rPr>
            <b/>
            <sz val="9"/>
            <color indexed="81"/>
            <rFont val="Tahoma"/>
            <family val="2"/>
          </rPr>
          <t>Nowinski, Andrew:</t>
        </r>
        <r>
          <rPr>
            <sz val="9"/>
            <color indexed="81"/>
            <rFont val="Tahoma"/>
            <family val="2"/>
          </rPr>
          <t xml:space="preserve">
12/15/21 (Analyst Day): 20%+ CAGR through 2025</t>
        </r>
      </text>
    </comment>
    <comment ref="BC13" authorId="2" shapeId="0" xr:uid="{72A87CA6-68AF-4C34-BC06-907EECC9CBAB}">
      <text>
        <r>
          <rPr>
            <b/>
            <sz val="9"/>
            <color indexed="81"/>
            <rFont val="Tahoma"/>
            <family val="2"/>
          </rPr>
          <t>Nowinski, Andrew:</t>
        </r>
        <r>
          <rPr>
            <sz val="9"/>
            <color indexed="81"/>
            <rFont val="Tahoma"/>
            <family val="2"/>
          </rPr>
          <t xml:space="preserve">
1Q25: $970-$980
4Q24: 971-976 (standalone TENB)
3Q24: growth will approach implied TCV growth in FY25
12/15/21 (Analyst Day): 20%+ CAGR through 2025</t>
        </r>
      </text>
    </comment>
    <comment ref="BE13" authorId="2" shapeId="0" xr:uid="{EEEC4909-9533-4886-80D9-41B230010030}">
      <text>
        <r>
          <rPr>
            <b/>
            <sz val="9"/>
            <color indexed="81"/>
            <rFont val="Tahoma"/>
            <family val="2"/>
          </rPr>
          <t>Nowinski, Andrew:</t>
        </r>
        <r>
          <rPr>
            <sz val="9"/>
            <color indexed="81"/>
            <rFont val="Tahoma"/>
            <family val="2"/>
          </rPr>
          <t xml:space="preserve">
12/15/21 (Analyst Day): 20%+ CAGR through 2025</t>
        </r>
      </text>
    </comment>
    <comment ref="BC21" authorId="0" shapeId="0" xr:uid="{CBC52BB1-5394-4AA8-B60B-C22A136F9043}">
      <text>
        <r>
          <rPr>
            <b/>
            <sz val="9"/>
            <color indexed="81"/>
            <rFont val="Tahoma"/>
            <family val="2"/>
          </rPr>
          <t>Srinivasaraghavan, Vinod:</t>
        </r>
        <r>
          <rPr>
            <sz val="9"/>
            <color indexed="81"/>
            <rFont val="Tahoma"/>
            <family val="2"/>
          </rPr>
          <t xml:space="preserve">
4Q24: S&amp;M investments frontloaded</t>
        </r>
      </text>
    </comment>
    <comment ref="BC22" authorId="0" shapeId="0" xr:uid="{58CD5FFC-A9FA-42BB-8DD0-E761279E30AB}">
      <text>
        <r>
          <rPr>
            <b/>
            <sz val="9"/>
            <color indexed="81"/>
            <rFont val="Tahoma"/>
            <family val="2"/>
          </rPr>
          <t>Srinivasaraghavan, Vinod:</t>
        </r>
        <r>
          <rPr>
            <sz val="9"/>
            <color indexed="81"/>
            <rFont val="Tahoma"/>
            <family val="2"/>
          </rPr>
          <t xml:space="preserve">
4Q24: R&amp;D investments frontloaded</t>
        </r>
      </text>
    </comment>
    <comment ref="AC24" authorId="2" shapeId="0" xr:uid="{0A55EED1-0291-4DDC-A9F2-055A1C4FE664}">
      <text>
        <r>
          <rPr>
            <b/>
            <sz val="9"/>
            <color indexed="81"/>
            <rFont val="Tahoma"/>
            <family val="2"/>
          </rPr>
          <t>Nowinski, Andrew:</t>
        </r>
        <r>
          <rPr>
            <sz val="9"/>
            <color indexed="81"/>
            <rFont val="Tahoma"/>
            <family val="2"/>
          </rPr>
          <t xml:space="preserve">
3Q23: acquisition of Ermetic increases opex by $4-6</t>
        </r>
      </text>
    </comment>
    <comment ref="AH29" authorId="0" shapeId="0" xr:uid="{F762F387-F8B7-4C34-B98F-1780E38E94B5}">
      <text>
        <r>
          <rPr>
            <b/>
            <sz val="9"/>
            <color indexed="81"/>
            <rFont val="Tahoma"/>
            <family val="2"/>
          </rPr>
          <t>Srinivasaraghavan, Vinod:</t>
        </r>
        <r>
          <rPr>
            <sz val="9"/>
            <color indexed="81"/>
            <rFont val="Tahoma"/>
            <family val="2"/>
          </rPr>
          <t xml:space="preserve">
2/7/25: 42-44 ex Vulcan, revised to 40-42</t>
        </r>
      </text>
    </comment>
    <comment ref="AY29" authorId="1" shapeId="0" xr:uid="{54C2157C-043B-4B4A-B9FB-4EC5530509F7}">
      <text>
        <r>
          <rPr>
            <b/>
            <sz val="9"/>
            <color indexed="81"/>
            <rFont val="Tahoma"/>
            <family val="2"/>
          </rPr>
          <t xml:space="preserve">Donati, Justin 
</t>
        </r>
        <r>
          <rPr>
            <sz val="9"/>
            <color indexed="81"/>
            <rFont val="Tahoma"/>
            <family val="2"/>
          </rPr>
          <t>3Q21: $46.1 - 47.1MM
2Q21: $40.0 - 44.0MM
1Q21: $34.0 - 38.0MM
4Q20: $40.0 - 45.0MM</t>
        </r>
      </text>
    </comment>
    <comment ref="AZ29" authorId="1" shapeId="0" xr:uid="{A9BAABD8-7D0F-46A2-8134-46E02CE140E3}">
      <text>
        <r>
          <rPr>
            <b/>
            <sz val="9"/>
            <color indexed="81"/>
            <rFont val="Tahoma"/>
            <family val="2"/>
          </rPr>
          <t xml:space="preserve">Donati, Justin </t>
        </r>
        <r>
          <rPr>
            <sz val="9"/>
            <color indexed="81"/>
            <rFont val="Tahoma"/>
            <family val="2"/>
          </rPr>
          <t xml:space="preserve">
3Q22: $62.7 - 63.7MM
2Q22: $45.0 - 49.0MM
1Q22: $44.0 - 48.0MM
4Q21: $40.0 - 45.0MM</t>
        </r>
      </text>
    </comment>
    <comment ref="BA29" authorId="3" shapeId="0" xr:uid="{A2E59A86-C566-472C-9214-1D3EF5E92982}">
      <text>
        <r>
          <rPr>
            <b/>
            <sz val="9"/>
            <color indexed="81"/>
            <rFont val="Tahoma"/>
            <family val="2"/>
          </rPr>
          <t>Schwarz, Stefan A.:</t>
        </r>
        <r>
          <rPr>
            <sz val="9"/>
            <color indexed="81"/>
            <rFont val="Tahoma"/>
            <family val="2"/>
          </rPr>
          <t xml:space="preserve">
3Q23: 107.9-108.9
2Q23: 96-100 
1Q23: 90-95
4Q22: 86-91</t>
        </r>
      </text>
    </comment>
    <comment ref="BB29" authorId="2" shapeId="0" xr:uid="{8DC094F7-0199-487B-AAE6-68934C159E6D}">
      <text>
        <r>
          <rPr>
            <b/>
            <sz val="9"/>
            <color indexed="81"/>
            <rFont val="Tahoma"/>
            <family val="2"/>
          </rPr>
          <t>Nowinski, Andrew:</t>
        </r>
        <r>
          <rPr>
            <sz val="9"/>
            <color indexed="81"/>
            <rFont val="Tahoma"/>
            <family val="2"/>
          </rPr>
          <t xml:space="preserve">
3Q24: 171.8-173.8
2Q24: 167-171
1Q24: 158-163
4Q23: 152-160
3Q23: Ermetic acquisition to lower by $5-10</t>
        </r>
      </text>
    </comment>
    <comment ref="BC29" authorId="0" shapeId="0" xr:uid="{74B4CC23-005B-4649-9640-FAE28D4079FD}">
      <text>
        <r>
          <rPr>
            <b/>
            <sz val="9"/>
            <color indexed="81"/>
            <rFont val="Tahoma"/>
            <family val="2"/>
          </rPr>
          <t>Srinivasaraghavan, Vinod:</t>
        </r>
        <r>
          <rPr>
            <sz val="9"/>
            <color indexed="81"/>
            <rFont val="Tahoma"/>
            <family val="2"/>
          </rPr>
          <t xml:space="preserve">
4/29/25: $205-$215
2/7/25: revised to 205-215 after Vulcan closed
4Q24: 213-223 (does not incl. $11-$13M add'l opex from Vulcan). OM% increases through the year</t>
        </r>
      </text>
    </comment>
    <comment ref="V33" authorId="1" shapeId="0" xr:uid="{A103C26B-9C2C-4681-A67C-7C110D5FAA26}">
      <text>
        <r>
          <rPr>
            <b/>
            <sz val="9"/>
            <color indexed="81"/>
            <rFont val="Tahoma"/>
            <family val="2"/>
          </rPr>
          <t xml:space="preserve">Donati, Justin 
</t>
        </r>
        <r>
          <rPr>
            <sz val="9"/>
            <color indexed="81"/>
            <rFont val="Tahoma"/>
            <family val="2"/>
          </rPr>
          <t>4Q21: $3.5MM</t>
        </r>
      </text>
    </comment>
    <comment ref="W33" authorId="1" shapeId="0" xr:uid="{CE6760D8-2E1D-4F96-ACEB-8988B78B573C}">
      <text>
        <r>
          <rPr>
            <b/>
            <sz val="9"/>
            <color indexed="81"/>
            <rFont val="Tahoma"/>
            <family val="2"/>
          </rPr>
          <t xml:space="preserve">Donati, Justin 
</t>
        </r>
        <r>
          <rPr>
            <sz val="9"/>
            <color indexed="81"/>
            <rFont val="Tahoma"/>
            <family val="2"/>
          </rPr>
          <t>1Q22: $3.5MM</t>
        </r>
      </text>
    </comment>
    <comment ref="X33" authorId="1" shapeId="0" xr:uid="{CA2A1A83-9471-4A8E-B9E0-3D62D27E417E}">
      <text>
        <r>
          <rPr>
            <b/>
            <sz val="9"/>
            <color indexed="81"/>
            <rFont val="Tahoma"/>
            <family val="2"/>
          </rPr>
          <t xml:space="preserve">Donati, Justin 
</t>
        </r>
        <r>
          <rPr>
            <sz val="9"/>
            <color indexed="81"/>
            <rFont val="Tahoma"/>
            <family val="2"/>
          </rPr>
          <t>2Q22: $5</t>
        </r>
      </text>
    </comment>
    <comment ref="Y33" authorId="1" shapeId="0" xr:uid="{736D56E6-6178-4A67-B052-542FB40A7895}">
      <text>
        <r>
          <rPr>
            <b/>
            <sz val="9"/>
            <color indexed="81"/>
            <rFont val="Tahoma"/>
            <family val="2"/>
          </rPr>
          <t xml:space="preserve">Donati, Justin 
</t>
        </r>
        <r>
          <rPr>
            <sz val="9"/>
            <color indexed="81"/>
            <rFont val="Tahoma"/>
            <family val="2"/>
          </rPr>
          <t>3Q22: $6.8MM</t>
        </r>
      </text>
    </comment>
    <comment ref="Z33" authorId="1" shapeId="0" xr:uid="{779C8F49-EAA1-44BD-9028-99FA0E29D74F}">
      <text>
        <r>
          <rPr>
            <b/>
            <sz val="9"/>
            <color indexed="81"/>
            <rFont val="Tahoma"/>
            <family val="2"/>
          </rPr>
          <t xml:space="preserve">Donati, Justin 
</t>
        </r>
        <r>
          <rPr>
            <sz val="9"/>
            <color indexed="81"/>
            <rFont val="Tahoma"/>
            <family val="2"/>
          </rPr>
          <t>4Q22: $7.5MM</t>
        </r>
      </text>
    </comment>
    <comment ref="AA33" authorId="3" shapeId="0" xr:uid="{208860A2-8A2B-4836-B476-C6B4141D37E0}">
      <text>
        <r>
          <rPr>
            <b/>
            <sz val="9"/>
            <color indexed="81"/>
            <rFont val="Tahoma"/>
            <family val="2"/>
          </rPr>
          <t>Schwarz, Stefan A.:</t>
        </r>
        <r>
          <rPr>
            <sz val="9"/>
            <color indexed="81"/>
            <rFont val="Tahoma"/>
            <family val="2"/>
          </rPr>
          <t xml:space="preserve">
1Q23: $7.7 of int exp, $5.2 of int inc = $(2.5)</t>
        </r>
      </text>
    </comment>
    <comment ref="AB33" authorId="3" shapeId="0" xr:uid="{2E4E0E0D-D9A1-4F33-96A7-7122FC8D8DB6}">
      <text>
        <r>
          <rPr>
            <b/>
            <sz val="9"/>
            <color indexed="81"/>
            <rFont val="Tahoma"/>
            <family val="2"/>
          </rPr>
          <t>Schwarz, Stefan A.:</t>
        </r>
        <r>
          <rPr>
            <sz val="9"/>
            <color indexed="81"/>
            <rFont val="Tahoma"/>
            <family val="2"/>
          </rPr>
          <t xml:space="preserve">
2Q23: 6.5</t>
        </r>
      </text>
    </comment>
    <comment ref="AC33" authorId="3" shapeId="0" xr:uid="{48298A2F-B490-4EBC-809F-82EF64BDA89A}">
      <text>
        <r>
          <rPr>
            <b/>
            <sz val="9"/>
            <color indexed="81"/>
            <rFont val="Tahoma"/>
            <family val="2"/>
          </rPr>
          <t>Schwarz, Stefan A.:</t>
        </r>
        <r>
          <rPr>
            <sz val="9"/>
            <color indexed="81"/>
            <rFont val="Tahoma"/>
            <family val="2"/>
          </rPr>
          <t xml:space="preserve">
3Q23: 4.9</t>
        </r>
      </text>
    </comment>
    <comment ref="AD33" authorId="3" shapeId="0" xr:uid="{90EA6BCF-C4D2-4C82-91CF-F6895311DC27}">
      <text>
        <r>
          <rPr>
            <b/>
            <sz val="9"/>
            <color indexed="81"/>
            <rFont val="Tahoma"/>
            <family val="2"/>
          </rPr>
          <t>Schwarz, Stefan A.:</t>
        </r>
        <r>
          <rPr>
            <sz val="9"/>
            <color indexed="81"/>
            <rFont val="Tahoma"/>
            <family val="2"/>
          </rPr>
          <t xml:space="preserve">
4Q23: 5.2</t>
        </r>
      </text>
    </comment>
    <comment ref="AE33" authorId="3" shapeId="0" xr:uid="{A52A0C62-4B26-4028-A4A1-684E3B687F55}">
      <text>
        <r>
          <rPr>
            <b/>
            <sz val="9"/>
            <color indexed="81"/>
            <rFont val="Tahoma"/>
            <family val="2"/>
          </rPr>
          <t>Schwarz, Stefan A.:</t>
        </r>
        <r>
          <rPr>
            <sz val="9"/>
            <color indexed="81"/>
            <rFont val="Tahoma"/>
            <family val="2"/>
          </rPr>
          <t xml:space="preserve">
1Q24: 5.9</t>
        </r>
      </text>
    </comment>
    <comment ref="AF33" authorId="3" shapeId="0" xr:uid="{37AA1C37-7255-4BE3-AA2C-A77FF2F26BC3}">
      <text>
        <r>
          <rPr>
            <b/>
            <sz val="9"/>
            <color indexed="81"/>
            <rFont val="Tahoma"/>
            <family val="2"/>
          </rPr>
          <t>Schwarz, Stefan A.:</t>
        </r>
        <r>
          <rPr>
            <sz val="9"/>
            <color indexed="81"/>
            <rFont val="Tahoma"/>
            <family val="2"/>
          </rPr>
          <t xml:space="preserve">
2Q24: 5.7</t>
        </r>
      </text>
    </comment>
    <comment ref="AG33" authorId="4" shapeId="0" xr:uid="{27D71D8E-CD3A-4767-838D-D49CCF7DB3E5}">
      <text>
        <r>
          <rPr>
            <b/>
            <sz val="9"/>
            <color indexed="81"/>
            <rFont val="Tahoma"/>
            <family val="2"/>
          </rPr>
          <t>Srinivasraghavan, Vinod:</t>
        </r>
        <r>
          <rPr>
            <sz val="9"/>
            <color indexed="81"/>
            <rFont val="Tahoma"/>
            <family val="2"/>
          </rPr>
          <t xml:space="preserve">
$6</t>
        </r>
      </text>
    </comment>
    <comment ref="AH33" authorId="0" shapeId="0" xr:uid="{BFFAB60B-A3B9-4228-8E8E-9345A7359129}">
      <text>
        <r>
          <rPr>
            <b/>
            <sz val="9"/>
            <color indexed="81"/>
            <rFont val="Tahoma"/>
            <family val="2"/>
          </rPr>
          <t>Srinivasaraghavan, Vinod:</t>
        </r>
        <r>
          <rPr>
            <sz val="9"/>
            <color indexed="81"/>
            <rFont val="Tahoma"/>
            <family val="2"/>
          </rPr>
          <t xml:space="preserve">
4Q24: 5.2 initially, revised to $3.8 after Vulcan closed</t>
        </r>
      </text>
    </comment>
    <comment ref="AI33" authorId="0" shapeId="0" xr:uid="{3AF0B23E-C9B1-4916-BBBD-5A65A4A6DEF3}">
      <text>
        <r>
          <rPr>
            <b/>
            <sz val="9"/>
            <color indexed="81"/>
            <rFont val="Tahoma"/>
            <family val="2"/>
          </rPr>
          <t>Srinivasaraghavan, Vinod:</t>
        </r>
        <r>
          <rPr>
            <sz val="9"/>
            <color indexed="81"/>
            <rFont val="Tahoma"/>
            <family val="2"/>
          </rPr>
          <t xml:space="preserve">
1Q25: $4.0</t>
        </r>
      </text>
    </comment>
    <comment ref="AK33" authorId="5" shapeId="0" xr:uid="{D86D23D4-F67A-447C-80EA-D1AE80CF228F}">
      <text>
        <t>[Threaded comment]
Your version of Excel allows you to read this threaded comment; however, any edits to it will get removed if the file is opened in a newer version of Excel. Learn more: https://go.microsoft.com/fwlink/?linkid=870924
Comment:
    7</t>
      </text>
    </comment>
    <comment ref="AL33" authorId="6" shapeId="0" xr:uid="{0F9C1A64-9A02-4D2F-BEC9-93D8E8854901}">
      <text>
        <t>[Threaded comment]
Your version of Excel allows you to read this threaded comment; however, any edits to it will get removed if the file is opened in a newer version of Excel. Learn more: https://go.microsoft.com/fwlink/?linkid=870924
Comment:
    2.9</t>
      </text>
    </comment>
    <comment ref="AZ33" authorId="1" shapeId="0" xr:uid="{0C90ADC5-D7B4-4B1A-A88E-8C3BE71E6C8B}">
      <text>
        <r>
          <rPr>
            <b/>
            <sz val="9"/>
            <color indexed="81"/>
            <rFont val="Tahoma"/>
            <family val="2"/>
          </rPr>
          <t xml:space="preserve">Donati, Justin 
</t>
        </r>
        <r>
          <rPr>
            <sz val="9"/>
            <color indexed="81"/>
            <rFont val="Tahoma"/>
            <family val="2"/>
          </rPr>
          <t>3Q22: $19.0MM</t>
        </r>
        <r>
          <rPr>
            <b/>
            <sz val="9"/>
            <color indexed="81"/>
            <rFont val="Tahoma"/>
            <family val="2"/>
          </rPr>
          <t xml:space="preserve">
</t>
        </r>
        <r>
          <rPr>
            <sz val="9"/>
            <color indexed="81"/>
            <rFont val="Tahoma"/>
            <family val="2"/>
          </rPr>
          <t>2Q22: $17.9MM</t>
        </r>
        <r>
          <rPr>
            <b/>
            <sz val="9"/>
            <color indexed="81"/>
            <rFont val="Tahoma"/>
            <family val="2"/>
          </rPr>
          <t xml:space="preserve">
</t>
        </r>
        <r>
          <rPr>
            <sz val="9"/>
            <color indexed="81"/>
            <rFont val="Tahoma"/>
            <family val="2"/>
          </rPr>
          <t xml:space="preserve">1Q22: $15.7MM
4Q21: $14.0MM
</t>
        </r>
      </text>
    </comment>
    <comment ref="BA33" authorId="3" shapeId="0" xr:uid="{37FFE685-BB78-42AB-9782-9BC9C6124A04}">
      <text>
        <r>
          <rPr>
            <b/>
            <sz val="9"/>
            <color indexed="81"/>
            <rFont val="Tahoma"/>
            <family val="2"/>
          </rPr>
          <t>Schwarz, Stefan A.:</t>
        </r>
        <r>
          <rPr>
            <sz val="9"/>
            <color indexed="81"/>
            <rFont val="Tahoma"/>
            <family val="2"/>
          </rPr>
          <t xml:space="preserve">
3Q23: 24.2
2Q23: 25
1Q23: 20.8</t>
        </r>
      </text>
    </comment>
    <comment ref="BB33" authorId="3" shapeId="0" xr:uid="{2767AF79-D2DB-4DFB-8E19-A6852843B9D7}">
      <text>
        <r>
          <rPr>
            <b/>
            <sz val="9"/>
            <color indexed="81"/>
            <rFont val="Tahoma"/>
            <family val="2"/>
          </rPr>
          <t>Schwarz, Stefan A.:</t>
        </r>
        <r>
          <rPr>
            <sz val="9"/>
            <color indexed="81"/>
            <rFont val="Tahoma"/>
            <family val="2"/>
          </rPr>
          <t xml:space="preserve">
3Q24: 23.5
2Q24: 23.5
1Q24: 24.2
4Q23: 21.7</t>
        </r>
      </text>
    </comment>
    <comment ref="BC33" authorId="0" shapeId="0" xr:uid="{EB16EE7B-C39D-456C-B4D8-7090DEDE267E}">
      <text>
        <r>
          <rPr>
            <b/>
            <sz val="9"/>
            <color indexed="81"/>
            <rFont val="Tahoma"/>
            <family val="2"/>
          </rPr>
          <t>Srinivasaraghavan, Vinod:</t>
        </r>
        <r>
          <rPr>
            <sz val="9"/>
            <color indexed="81"/>
            <rFont val="Tahoma"/>
            <family val="2"/>
          </rPr>
          <t xml:space="preserve">
4/29/25: $16.8
2/7/25: revised to 15.3 after Vulcan closed
4Q24: 21</t>
        </r>
      </text>
    </comment>
    <comment ref="BD33" authorId="7" shapeId="0" xr:uid="{AAFB2272-2D2D-4CD0-BBC1-53E392E2B9CF}">
      <text>
        <t>[Threaded comment]
Your version of Excel allows you to read this threaded comment; however, any edits to it will get removed if the file is opened in a newer version of Excel. Learn more: https://go.microsoft.com/fwlink/?linkid=870924
Comment:
    10.4</t>
      </text>
    </comment>
    <comment ref="AB34" authorId="3" shapeId="0" xr:uid="{44447AA6-AC91-4D70-A140-74888C01AB76}">
      <text>
        <r>
          <rPr>
            <b/>
            <sz val="9"/>
            <color indexed="81"/>
            <rFont val="Tahoma"/>
            <family val="2"/>
          </rPr>
          <t>Schwarz, Stefan A.:</t>
        </r>
        <r>
          <rPr>
            <sz val="9"/>
            <color indexed="81"/>
            <rFont val="Tahoma"/>
            <family val="2"/>
          </rPr>
          <t xml:space="preserve">
2Q23: -8.1</t>
        </r>
      </text>
    </comment>
    <comment ref="AC34" authorId="3" shapeId="0" xr:uid="{2B33331F-179E-4370-BD39-9B2E7F217B2D}">
      <text>
        <r>
          <rPr>
            <b/>
            <sz val="9"/>
            <color indexed="81"/>
            <rFont val="Tahoma"/>
            <family val="2"/>
          </rPr>
          <t>Schwarz, Stefan A.:</t>
        </r>
        <r>
          <rPr>
            <sz val="9"/>
            <color indexed="81"/>
            <rFont val="Tahoma"/>
            <family val="2"/>
          </rPr>
          <t xml:space="preserve">
3Q23: -8.3
</t>
        </r>
      </text>
    </comment>
    <comment ref="AD34" authorId="3" shapeId="0" xr:uid="{9F585BF0-3DB9-42A9-BB6E-2993E7140CD6}">
      <text>
        <r>
          <rPr>
            <b/>
            <sz val="9"/>
            <color indexed="81"/>
            <rFont val="Tahoma"/>
            <family val="2"/>
          </rPr>
          <t>Schwarz, Stefan A.:</t>
        </r>
        <r>
          <rPr>
            <sz val="9"/>
            <color indexed="81"/>
            <rFont val="Tahoma"/>
            <family val="2"/>
          </rPr>
          <t xml:space="preserve">
4Q23: -8.2</t>
        </r>
      </text>
    </comment>
    <comment ref="AE34" authorId="3" shapeId="0" xr:uid="{3A21F4AA-75F0-4625-B2E7-60769666C1FB}">
      <text>
        <r>
          <rPr>
            <b/>
            <sz val="9"/>
            <color indexed="81"/>
            <rFont val="Tahoma"/>
            <family val="2"/>
          </rPr>
          <t>Schwarz, Stefan A.:</t>
        </r>
        <r>
          <rPr>
            <sz val="9"/>
            <color indexed="81"/>
            <rFont val="Tahoma"/>
            <family val="2"/>
          </rPr>
          <t xml:space="preserve">
1Q24: -8.2</t>
        </r>
      </text>
    </comment>
    <comment ref="AF34" authorId="3" shapeId="0" xr:uid="{B21DAE0B-958A-4DD1-B6A1-E6E3D3798F22}">
      <text>
        <r>
          <rPr>
            <b/>
            <sz val="9"/>
            <color indexed="81"/>
            <rFont val="Tahoma"/>
            <family val="2"/>
          </rPr>
          <t>Schwarz, Stefan A.:</t>
        </r>
        <r>
          <rPr>
            <sz val="9"/>
            <color indexed="81"/>
            <rFont val="Tahoma"/>
            <family val="2"/>
          </rPr>
          <t xml:space="preserve">
2Q24: -8.3</t>
        </r>
      </text>
    </comment>
    <comment ref="AG34" authorId="4" shapeId="0" xr:uid="{74F96978-5939-4F7B-AB35-2C4117ED9D63}">
      <text>
        <r>
          <rPr>
            <b/>
            <sz val="9"/>
            <color indexed="81"/>
            <rFont val="Tahoma"/>
            <family val="2"/>
          </rPr>
          <t>Srinivasraghavan, Vinod:</t>
        </r>
        <r>
          <rPr>
            <sz val="9"/>
            <color indexed="81"/>
            <rFont val="Tahoma"/>
            <family val="2"/>
          </rPr>
          <t xml:space="preserve">
$7.8</t>
        </r>
      </text>
    </comment>
    <comment ref="AH34" authorId="0" shapeId="0" xr:uid="{08BD8251-1EE7-41CB-8EFA-CE9FA90379B0}">
      <text>
        <r>
          <rPr>
            <b/>
            <sz val="9"/>
            <color indexed="81"/>
            <rFont val="Tahoma"/>
            <family val="2"/>
          </rPr>
          <t>Srinivasaraghavan, Vinod:</t>
        </r>
        <r>
          <rPr>
            <sz val="9"/>
            <color indexed="81"/>
            <rFont val="Tahoma"/>
            <family val="2"/>
          </rPr>
          <t xml:space="preserve">
4Q24: -7.0 (reiterated after Vulcan closed)</t>
        </r>
      </text>
    </comment>
    <comment ref="AI34" authorId="0" shapeId="0" xr:uid="{DA327AC8-7226-40C8-83F8-BCB76070FCA0}">
      <text>
        <r>
          <rPr>
            <b/>
            <sz val="9"/>
            <color indexed="81"/>
            <rFont val="Tahoma"/>
            <family val="2"/>
          </rPr>
          <t>Srinivasaraghavan, Vinod:</t>
        </r>
        <r>
          <rPr>
            <sz val="9"/>
            <color indexed="81"/>
            <rFont val="Tahoma"/>
            <family val="2"/>
          </rPr>
          <t xml:space="preserve">
1Q25: -$7.1</t>
        </r>
      </text>
    </comment>
    <comment ref="AK34" authorId="8" shapeId="0" xr:uid="{DB960324-0C9D-419A-A355-57E9586C753A}">
      <text>
        <t>[Threaded comment]
Your version of Excel allows you to read this threaded comment; however, any edits to it will get removed if the file is opened in a newer version of Excel. Learn more: https://go.microsoft.com/fwlink/?linkid=870924
Comment:
    3.2</t>
      </text>
    </comment>
    <comment ref="AL34" authorId="9" shapeId="0" xr:uid="{0DFE9202-3871-466A-BC9F-998A201635D1}">
      <text>
        <t>[Threaded comment]
Your version of Excel allows you to read this threaded comment; however, any edits to it will get removed if the file is opened in a newer version of Excel. Learn more: https://go.microsoft.com/fwlink/?linkid=870924
Comment:
    6.4</t>
      </text>
    </comment>
    <comment ref="BA34" authorId="3" shapeId="0" xr:uid="{D37E13A8-7A70-4218-A883-D1181EFF7172}">
      <text>
        <r>
          <rPr>
            <b/>
            <sz val="9"/>
            <color indexed="81"/>
            <rFont val="Tahoma"/>
            <family val="2"/>
          </rPr>
          <t>Schwarz, Stefan A.:</t>
        </r>
        <r>
          <rPr>
            <sz val="9"/>
            <color indexed="81"/>
            <rFont val="Tahoma"/>
            <family val="2"/>
          </rPr>
          <t xml:space="preserve">
3Q23: 31.5
2Q23: 31.5</t>
        </r>
      </text>
    </comment>
    <comment ref="BB34" authorId="3" shapeId="0" xr:uid="{1ECF67F7-7691-4BCA-86CC-C15C6124AFF3}">
      <text>
        <r>
          <rPr>
            <b/>
            <sz val="9"/>
            <color indexed="81"/>
            <rFont val="Tahoma"/>
            <family val="2"/>
          </rPr>
          <t>Schwarz, Stefan A.:</t>
        </r>
        <r>
          <rPr>
            <sz val="9"/>
            <color indexed="81"/>
            <rFont val="Tahoma"/>
            <family val="2"/>
          </rPr>
          <t xml:space="preserve">
3Q24: -32.1
2Q24: -32.7
1Q24: -32.8
4Q23: -32.2</t>
        </r>
      </text>
    </comment>
    <comment ref="BC34" authorId="0" shapeId="0" xr:uid="{05EDDCF5-AA2E-4348-A031-1B8C97CE80EA}">
      <text>
        <r>
          <rPr>
            <b/>
            <sz val="9"/>
            <color indexed="81"/>
            <rFont val="Tahoma"/>
            <family val="2"/>
          </rPr>
          <t>Srinivasaraghavan, Vinod:</t>
        </r>
        <r>
          <rPr>
            <sz val="9"/>
            <color indexed="81"/>
            <rFont val="Tahoma"/>
            <family val="2"/>
          </rPr>
          <t xml:space="preserve">
4/29/25: -$28.4
2/7/25: 28.3 (incl Vulcan)
4Q24: -28.3</t>
        </r>
      </text>
    </comment>
    <comment ref="BD34" authorId="10" shapeId="0" xr:uid="{1E339741-907A-405C-B0DA-BF081B6BFB5B}">
      <text>
        <t>[Threaded comment]
Your version of Excel allows you to read this threaded comment; however, any edits to it will get removed if the file is opened in a newer version of Excel. Learn more: https://go.microsoft.com/fwlink/?linkid=870924
Comment:
    25.9</t>
      </text>
    </comment>
    <comment ref="H35" authorId="1" shapeId="0" xr:uid="{AA28933D-7F23-480E-A2D1-C20CCF511506}">
      <text>
        <r>
          <rPr>
            <b/>
            <sz val="9"/>
            <color indexed="81"/>
            <rFont val="Tahoma"/>
            <family val="2"/>
          </rPr>
          <t>Donati, Justin [WELLS FARGO SEC RES CONS]:</t>
        </r>
        <r>
          <rPr>
            <sz val="9"/>
            <color indexed="81"/>
            <rFont val="Tahoma"/>
            <family val="2"/>
          </rPr>
          <t xml:space="preserve">
Intra-entity IP transfer, net of tax
</t>
        </r>
      </text>
    </comment>
    <comment ref="I35" authorId="1" shapeId="0" xr:uid="{F0F37BA4-31FF-453D-8E75-AB289E7D6355}">
      <text>
        <r>
          <rPr>
            <b/>
            <sz val="9"/>
            <color indexed="81"/>
            <rFont val="Tahoma"/>
            <family val="2"/>
          </rPr>
          <t>Donati, Justin [WELLS FARGO SEC RES CONS]:</t>
        </r>
        <r>
          <rPr>
            <sz val="9"/>
            <color indexed="81"/>
            <rFont val="Tahoma"/>
            <family val="2"/>
          </rPr>
          <t xml:space="preserve">
Intra-entity IP transfer, net of tax</t>
        </r>
      </text>
    </comment>
    <comment ref="V37" authorId="1" shapeId="0" xr:uid="{36FE9F29-4381-471A-8B64-A01E5774A683}">
      <text>
        <r>
          <rPr>
            <b/>
            <sz val="9"/>
            <color indexed="81"/>
            <rFont val="Tahoma"/>
            <family val="2"/>
          </rPr>
          <t xml:space="preserve">Donati, Justin </t>
        </r>
        <r>
          <rPr>
            <sz val="9"/>
            <color indexed="81"/>
            <rFont val="Tahoma"/>
            <family val="2"/>
          </rPr>
          <t xml:space="preserve">
4Q21: $1.3MM</t>
        </r>
      </text>
    </comment>
    <comment ref="W37" authorId="1" shapeId="0" xr:uid="{46A762AC-1844-4AB2-9AB8-9BBEAFCF2651}">
      <text>
        <r>
          <rPr>
            <b/>
            <sz val="9"/>
            <color indexed="81"/>
            <rFont val="Tahoma"/>
            <family val="2"/>
          </rPr>
          <t xml:space="preserve">Donati, Justin 
</t>
        </r>
        <r>
          <rPr>
            <sz val="9"/>
            <color indexed="81"/>
            <rFont val="Tahoma"/>
            <family val="2"/>
          </rPr>
          <t>1Q22: 1.6MM</t>
        </r>
      </text>
    </comment>
    <comment ref="X37" authorId="1" shapeId="0" xr:uid="{5A14EC9F-317B-4587-BEEA-1BB3293E2871}">
      <text>
        <r>
          <rPr>
            <b/>
            <sz val="9"/>
            <color indexed="81"/>
            <rFont val="Tahoma"/>
            <family val="2"/>
          </rPr>
          <t xml:space="preserve">Donati, Justin 
</t>
        </r>
        <r>
          <rPr>
            <sz val="9"/>
            <color indexed="81"/>
            <rFont val="Tahoma"/>
            <family val="2"/>
          </rPr>
          <t>2Q22: $2.3</t>
        </r>
      </text>
    </comment>
    <comment ref="Y37" authorId="1" shapeId="0" xr:uid="{1680A0D6-1125-4CB3-A7B2-83CBCE14CD34}">
      <text>
        <r>
          <rPr>
            <b/>
            <sz val="9"/>
            <color indexed="81"/>
            <rFont val="Tahoma"/>
            <family val="2"/>
          </rPr>
          <t xml:space="preserve">Donati, Justin 
</t>
        </r>
        <r>
          <rPr>
            <sz val="9"/>
            <color indexed="81"/>
            <rFont val="Tahoma"/>
            <family val="2"/>
          </rPr>
          <t>3Q22: $2.8MM</t>
        </r>
      </text>
    </comment>
    <comment ref="Z37" authorId="1" shapeId="0" xr:uid="{5231276F-B928-48B0-A8EE-AE1C2A69F696}">
      <text>
        <r>
          <rPr>
            <b/>
            <sz val="9"/>
            <color indexed="81"/>
            <rFont val="Tahoma"/>
            <family val="2"/>
          </rPr>
          <t xml:space="preserve">Donati, Justin 
</t>
        </r>
        <r>
          <rPr>
            <sz val="9"/>
            <color indexed="81"/>
            <rFont val="Tahoma"/>
            <family val="2"/>
          </rPr>
          <t>4Q22: $2.1MM</t>
        </r>
      </text>
    </comment>
    <comment ref="AA37" authorId="3" shapeId="0" xr:uid="{38B71035-3A19-4E90-B84D-1543D3F75857}">
      <text>
        <r>
          <rPr>
            <b/>
            <sz val="9"/>
            <color indexed="81"/>
            <rFont val="Tahoma"/>
            <family val="2"/>
          </rPr>
          <t>Schwarz, Stefan A.:</t>
        </r>
        <r>
          <rPr>
            <sz val="9"/>
            <color indexed="81"/>
            <rFont val="Tahoma"/>
            <family val="2"/>
          </rPr>
          <t xml:space="preserve">
1Q23: 2.4</t>
        </r>
      </text>
    </comment>
    <comment ref="AB37" authorId="3" shapeId="0" xr:uid="{051BF32D-7BC4-48DF-A35B-35D3AB33410E}">
      <text>
        <r>
          <rPr>
            <b/>
            <sz val="9"/>
            <color indexed="81"/>
            <rFont val="Tahoma"/>
            <family val="2"/>
          </rPr>
          <t>Schwarz, Stefan A.:</t>
        </r>
        <r>
          <rPr>
            <sz val="9"/>
            <color indexed="81"/>
            <rFont val="Tahoma"/>
            <family val="2"/>
          </rPr>
          <t xml:space="preserve">
2Q23: 2.4</t>
        </r>
      </text>
    </comment>
    <comment ref="AC37" authorId="3" shapeId="0" xr:uid="{5B3BB854-EA03-4658-BFAB-AC2F48866522}">
      <text>
        <r>
          <rPr>
            <b/>
            <sz val="9"/>
            <color indexed="81"/>
            <rFont val="Tahoma"/>
            <family val="2"/>
          </rPr>
          <t>Schwarz, Stefan A.:</t>
        </r>
        <r>
          <rPr>
            <sz val="9"/>
            <color indexed="81"/>
            <rFont val="Tahoma"/>
            <family val="2"/>
          </rPr>
          <t xml:space="preserve">
3Q23: 3.0</t>
        </r>
      </text>
    </comment>
    <comment ref="AD37" authorId="3" shapeId="0" xr:uid="{9531835E-4E2F-4D25-89B7-605793CA2CF4}">
      <text>
        <r>
          <rPr>
            <b/>
            <sz val="9"/>
            <color indexed="81"/>
            <rFont val="Tahoma"/>
            <family val="2"/>
          </rPr>
          <t>Schwarz, Stefan A.:</t>
        </r>
        <r>
          <rPr>
            <sz val="9"/>
            <color indexed="81"/>
            <rFont val="Tahoma"/>
            <family val="2"/>
          </rPr>
          <t xml:space="preserve">
4Q23: 3.9</t>
        </r>
      </text>
    </comment>
    <comment ref="AE37" authorId="3" shapeId="0" xr:uid="{CD423327-AF0A-4239-9281-048DB257CB51}">
      <text>
        <r>
          <rPr>
            <b/>
            <sz val="9"/>
            <color indexed="81"/>
            <rFont val="Tahoma"/>
            <family val="2"/>
          </rPr>
          <t>Schwarz, Stefan A.:</t>
        </r>
        <r>
          <rPr>
            <sz val="9"/>
            <color indexed="81"/>
            <rFont val="Tahoma"/>
            <family val="2"/>
          </rPr>
          <t xml:space="preserve">
1Q24: 3.1</t>
        </r>
      </text>
    </comment>
    <comment ref="AF37" authorId="3" shapeId="0" xr:uid="{DF72C1E3-BD29-44FA-BE27-14A37BB6CFD4}">
      <text>
        <r>
          <rPr>
            <b/>
            <sz val="9"/>
            <color indexed="81"/>
            <rFont val="Tahoma"/>
            <family val="2"/>
          </rPr>
          <t>Schwarz, Stefan A.:</t>
        </r>
        <r>
          <rPr>
            <sz val="9"/>
            <color indexed="81"/>
            <rFont val="Tahoma"/>
            <family val="2"/>
          </rPr>
          <t xml:space="preserve">
2Q24: 3.8</t>
        </r>
      </text>
    </comment>
    <comment ref="AG37" authorId="4" shapeId="0" xr:uid="{B164483D-C112-43E1-8164-67422B29B5DA}">
      <text>
        <r>
          <rPr>
            <b/>
            <sz val="9"/>
            <color indexed="81"/>
            <rFont val="Tahoma"/>
            <family val="2"/>
          </rPr>
          <t>Srinivasraghavan, Vinod:</t>
        </r>
        <r>
          <rPr>
            <sz val="9"/>
            <color indexed="81"/>
            <rFont val="Tahoma"/>
            <family val="2"/>
          </rPr>
          <t xml:space="preserve">
$3.1</t>
        </r>
      </text>
    </comment>
    <comment ref="AH37" authorId="0" shapeId="0" xr:uid="{C4C73D0F-A1CA-49C1-A634-8BDF81591AE2}">
      <text>
        <r>
          <rPr>
            <b/>
            <sz val="9"/>
            <color indexed="81"/>
            <rFont val="Tahoma"/>
            <family val="2"/>
          </rPr>
          <t>Srinivasaraghavan, Vinod:</t>
        </r>
        <r>
          <rPr>
            <sz val="9"/>
            <color indexed="81"/>
            <rFont val="Tahoma"/>
            <family val="2"/>
          </rPr>
          <t xml:space="preserve">
4Q24: 3.6 (reiterated after Vulcan closed)</t>
        </r>
      </text>
    </comment>
    <comment ref="AI37" authorId="0" shapeId="0" xr:uid="{226B133A-AD82-4DD1-ADC5-8A827ED32CE8}">
      <text>
        <r>
          <rPr>
            <b/>
            <sz val="9"/>
            <color indexed="81"/>
            <rFont val="Tahoma"/>
            <family val="2"/>
          </rPr>
          <t>Srinivasaraghavan, Vinod:</t>
        </r>
        <r>
          <rPr>
            <sz val="9"/>
            <color indexed="81"/>
            <rFont val="Tahoma"/>
            <family val="2"/>
          </rPr>
          <t xml:space="preserve">
1Q25: $3.2</t>
        </r>
      </text>
    </comment>
    <comment ref="AK37" authorId="11" shapeId="0" xr:uid="{F2833F34-5E6D-4E9F-9DDD-397EAC0E51D0}">
      <text>
        <t>[Threaded comment]
Your version of Excel allows you to read this threaded comment; however, any edits to it will get removed if the file is opened in a newer version of Excel. Learn more: https://go.microsoft.com/fwlink/?linkid=870924
Comment:
    3.4</t>
      </text>
    </comment>
    <comment ref="AL37" authorId="12" shapeId="0" xr:uid="{3DE43A29-AC2F-4DEC-8707-9C268DE7E58B}">
      <text>
        <t>[Threaded comment]
Your version of Excel allows you to read this threaded comment; however, any edits to it will get removed if the file is opened in a newer version of Excel. Learn more: https://go.microsoft.com/fwlink/?linkid=870924
Comment:
    3.1</t>
      </text>
    </comment>
    <comment ref="AZ37" authorId="1" shapeId="0" xr:uid="{A3D4E916-C3A0-48F6-A34C-57A2E8701CE6}">
      <text>
        <r>
          <rPr>
            <b/>
            <sz val="9"/>
            <color indexed="81"/>
            <rFont val="Tahoma"/>
            <family val="2"/>
          </rPr>
          <t xml:space="preserve">Donati, Justin
</t>
        </r>
        <r>
          <rPr>
            <sz val="9"/>
            <color indexed="81"/>
            <rFont val="Tahoma"/>
            <family val="2"/>
          </rPr>
          <t>3Q22: $6.0MM
2Q22: $7.6MM</t>
        </r>
        <r>
          <rPr>
            <b/>
            <sz val="9"/>
            <color indexed="81"/>
            <rFont val="Tahoma"/>
            <family val="2"/>
          </rPr>
          <t xml:space="preserve">
</t>
        </r>
        <r>
          <rPr>
            <sz val="9"/>
            <color indexed="81"/>
            <rFont val="Tahoma"/>
            <family val="2"/>
          </rPr>
          <t>1Q22: $8.0MM</t>
        </r>
        <r>
          <rPr>
            <b/>
            <sz val="9"/>
            <color indexed="81"/>
            <rFont val="Tahoma"/>
            <family val="2"/>
          </rPr>
          <t xml:space="preserve">
</t>
        </r>
        <r>
          <rPr>
            <sz val="9"/>
            <color indexed="81"/>
            <rFont val="Tahoma"/>
            <family val="2"/>
          </rPr>
          <t>4Q21: $8.0MM</t>
        </r>
      </text>
    </comment>
    <comment ref="BA37" authorId="3" shapeId="0" xr:uid="{5D2DCFCC-2CD4-451F-9B31-18E1E9CF8D21}">
      <text>
        <r>
          <rPr>
            <b/>
            <sz val="9"/>
            <color indexed="81"/>
            <rFont val="Tahoma"/>
            <family val="2"/>
          </rPr>
          <t>Schwarz, Stefan A.:</t>
        </r>
        <r>
          <rPr>
            <sz val="9"/>
            <color indexed="81"/>
            <rFont val="Tahoma"/>
            <family val="2"/>
          </rPr>
          <t xml:space="preserve">
3Q23: 9.1
2Q23: 8.6
1Q23: 9.9
4Q22: 9.3</t>
        </r>
      </text>
    </comment>
    <comment ref="BB37" authorId="3" shapeId="0" xr:uid="{1D5C5ABF-B1D5-44FD-A62B-F3EB92856E19}">
      <text>
        <r>
          <rPr>
            <b/>
            <sz val="9"/>
            <color indexed="81"/>
            <rFont val="Tahoma"/>
            <family val="2"/>
          </rPr>
          <t>Schwarz, Stefan A.:</t>
        </r>
        <r>
          <rPr>
            <sz val="9"/>
            <color indexed="81"/>
            <rFont val="Tahoma"/>
            <family val="2"/>
          </rPr>
          <t xml:space="preserve">
3Q24: 12.3
2Q24: 12.8
1Q24: 12.3
4Q23: 10.6</t>
        </r>
      </text>
    </comment>
    <comment ref="BC37" authorId="0" shapeId="0" xr:uid="{D5C1CA36-5C2B-4E59-B9B2-740B750E5085}">
      <text>
        <r>
          <rPr>
            <b/>
            <sz val="9"/>
            <color indexed="81"/>
            <rFont val="Tahoma"/>
            <family val="2"/>
          </rPr>
          <t xml:space="preserve">Srinivasaraghavan, Vinod:
</t>
        </r>
        <r>
          <rPr>
            <sz val="9"/>
            <color indexed="81"/>
            <rFont val="Tahoma"/>
            <family val="2"/>
          </rPr>
          <t>2Q25:12.8
4/29/25: $13.1
2/7/25: 13.4 (incl Vulcan)
4Q24: 13.4</t>
        </r>
      </text>
    </comment>
    <comment ref="BD37" authorId="13" shapeId="0" xr:uid="{3083AE7E-4755-48F1-B033-4B271D53B62B}">
      <text>
        <t>[Threaded comment]
Your version of Excel allows you to read this threaded comment; however, any edits to it will get removed if the file is opened in a newer version of Excel. Learn more: https://go.microsoft.com/fwlink/?linkid=870924
Comment:
    13.3</t>
      </text>
    </comment>
    <comment ref="AH43" authorId="0" shapeId="0" xr:uid="{92C967DD-777A-4FE1-9006-D66383664F46}">
      <text>
        <r>
          <rPr>
            <b/>
            <sz val="9"/>
            <color indexed="81"/>
            <rFont val="Tahoma"/>
            <family val="2"/>
          </rPr>
          <t>Srinivasaraghavan, Vinod:</t>
        </r>
        <r>
          <rPr>
            <sz val="9"/>
            <color indexed="81"/>
            <rFont val="Tahoma"/>
            <family val="2"/>
          </rPr>
          <t xml:space="preserve">
2/7/25: 35-37 ex Vulcan revised to 32-34</t>
        </r>
      </text>
    </comment>
    <comment ref="AY43" authorId="1" shapeId="0" xr:uid="{D8E07E8A-3441-4BDC-84CD-7B5DBE9D7FCF}">
      <text>
        <r>
          <rPr>
            <b/>
            <sz val="9"/>
            <color indexed="81"/>
            <rFont val="Tahoma"/>
            <family val="2"/>
          </rPr>
          <t xml:space="preserve">Donati, Justin 
</t>
        </r>
        <r>
          <rPr>
            <sz val="9"/>
            <color indexed="81"/>
            <rFont val="Tahoma"/>
            <family val="2"/>
          </rPr>
          <t>3Q21: $35.0 - 36.0MM
2Q21: $29.0 - 33.0MM
1Q21: $28.0 - 32.0MM
4Q20: $30.0 - 35.0MM</t>
        </r>
      </text>
    </comment>
    <comment ref="AZ43" authorId="1" shapeId="0" xr:uid="{FDFF0C23-4EA4-4180-96E0-5712E0CC3910}">
      <text>
        <r>
          <rPr>
            <b/>
            <sz val="9"/>
            <color indexed="81"/>
            <rFont val="Tahoma"/>
            <family val="2"/>
          </rPr>
          <t xml:space="preserve">Donati, Justin </t>
        </r>
        <r>
          <rPr>
            <sz val="9"/>
            <color indexed="81"/>
            <rFont val="Tahoma"/>
            <family val="2"/>
          </rPr>
          <t xml:space="preserve">
3Q22: $37.6 - 38.6MM
2Q22: $19.7 - 23.7MM
1Q22: $19.5 - 23.5MM
4Q21: $18.2 - 23.2MM</t>
        </r>
      </text>
    </comment>
    <comment ref="BA43" authorId="3" shapeId="0" xr:uid="{7B1CC044-5243-4567-A726-266B21C58BFA}">
      <text>
        <r>
          <rPr>
            <b/>
            <sz val="9"/>
            <color indexed="81"/>
            <rFont val="Tahoma"/>
            <family val="2"/>
          </rPr>
          <t>Schwarz, Stefan A.:</t>
        </r>
        <r>
          <rPr>
            <sz val="9"/>
            <color indexed="81"/>
            <rFont val="Tahoma"/>
            <family val="2"/>
          </rPr>
          <t xml:space="preserve">
3Q23: 83-84
2Q23: 79-83
1Q23: 69-74
4Q22: 63-68</t>
        </r>
      </text>
    </comment>
    <comment ref="BB43" authorId="3" shapeId="0" xr:uid="{B7FDE612-3903-4D03-B89B-BE9F6D17A0B2}">
      <text>
        <r>
          <rPr>
            <b/>
            <sz val="9"/>
            <color indexed="81"/>
            <rFont val="Tahoma"/>
            <family val="2"/>
          </rPr>
          <t>Schwarz, Stefan A.:</t>
        </r>
        <r>
          <rPr>
            <sz val="9"/>
            <color indexed="81"/>
            <rFont val="Tahoma"/>
            <family val="2"/>
          </rPr>
          <t xml:space="preserve">
3Q24: 149.9-151.9
2Q24: 143-147
1Q24: 135-140
4Q23: 129-137 </t>
        </r>
      </text>
    </comment>
    <comment ref="BC43" authorId="0" shapeId="0" xr:uid="{388056DD-A8DC-4A88-AC05-A3B77C7D89D5}">
      <text>
        <r>
          <rPr>
            <b/>
            <sz val="9"/>
            <color indexed="81"/>
            <rFont val="Tahoma"/>
            <family val="2"/>
          </rPr>
          <t>Srinivasaraghavan, Vinod:</t>
        </r>
        <r>
          <rPr>
            <sz val="9"/>
            <color indexed="81"/>
            <rFont val="Tahoma"/>
            <family val="2"/>
          </rPr>
          <t xml:space="preserve">
3Q25: 185-189
2Q25:179-189
4/29/25: $178-$188
2/7/25: revised to 175-185 after Vulcan closed
4Q24: 189-199 (standalone TENB)</t>
        </r>
      </text>
    </comment>
    <comment ref="AH50" authorId="0" shapeId="0" xr:uid="{6459E8A2-68BE-4604-8E31-30C67C3A113D}">
      <text>
        <r>
          <rPr>
            <b/>
            <sz val="9"/>
            <color indexed="81"/>
            <rFont val="Tahoma"/>
            <family val="2"/>
          </rPr>
          <t>Srinivasaraghavan, Vinod:</t>
        </r>
        <r>
          <rPr>
            <sz val="9"/>
            <color indexed="81"/>
            <rFont val="Tahoma"/>
            <family val="2"/>
          </rPr>
          <t xml:space="preserve">
2/7/25: $0.28-$0.30 initial guide, revised to $0.26-$0.27</t>
        </r>
      </text>
    </comment>
    <comment ref="AZ50" authorId="1" shapeId="0" xr:uid="{DFDE134A-D739-406E-AD03-10F0684ABE63}">
      <text>
        <r>
          <rPr>
            <b/>
            <sz val="9"/>
            <color indexed="81"/>
            <rFont val="Tahoma"/>
            <family val="2"/>
          </rPr>
          <t xml:space="preserve">Donati, Justin </t>
        </r>
        <r>
          <rPr>
            <sz val="9"/>
            <color indexed="81"/>
            <rFont val="Tahoma"/>
            <family val="2"/>
          </rPr>
          <t xml:space="preserve">
3Q22: $0.32 - $0.33
2Q22: $0.17 - $0.20
1Q22: $0.16 - $0.20
4Q21: $0.15 - $0.19</t>
        </r>
      </text>
    </comment>
    <comment ref="BA50" authorId="3" shapeId="0" xr:uid="{E970142B-84BC-4383-8B58-FF2E45D9F28F}">
      <text>
        <r>
          <rPr>
            <b/>
            <sz val="9"/>
            <color indexed="81"/>
            <rFont val="Tahoma"/>
            <family val="2"/>
          </rPr>
          <t>Schwarz, Stefan A.:</t>
        </r>
        <r>
          <rPr>
            <sz val="9"/>
            <color indexed="81"/>
            <rFont val="Tahoma"/>
            <family val="2"/>
          </rPr>
          <t xml:space="preserve">
3Q23: 0.68-0.69
9/7 (Ermetic acqn): Ermetic acquisition lowered by 6-8c
2Q23: 0.65-0.69
1Q23: 0.57-0.61
4Q22: 0.52-0.56</t>
        </r>
      </text>
    </comment>
    <comment ref="BB50" authorId="3" shapeId="0" xr:uid="{140002A3-451F-4348-B5AB-C6E3A411CF82}">
      <text>
        <r>
          <rPr>
            <b/>
            <sz val="9"/>
            <color indexed="81"/>
            <rFont val="Tahoma"/>
            <family val="2"/>
          </rPr>
          <t>Schwarz, Stefan A.:</t>
        </r>
        <r>
          <rPr>
            <sz val="9"/>
            <color indexed="81"/>
            <rFont val="Tahoma"/>
            <family val="2"/>
          </rPr>
          <t xml:space="preserve">
3Q24: 1.21-1.23
2Q24: 1.16-1.19
1Q24: 1.08-1.12 
4Q23: 1.03-1.10</t>
        </r>
      </text>
    </comment>
    <comment ref="BC50" authorId="0" shapeId="0" xr:uid="{BF1659AE-CD15-4114-B1BC-57A52EA8B459}">
      <text>
        <r>
          <rPr>
            <b/>
            <sz val="9"/>
            <color indexed="81"/>
            <rFont val="Tahoma"/>
            <family val="2"/>
          </rPr>
          <t>Srinivasaraghavan, Vinod:</t>
        </r>
        <r>
          <rPr>
            <sz val="9"/>
            <color indexed="81"/>
            <rFont val="Tahoma"/>
            <family val="2"/>
          </rPr>
          <t xml:space="preserve">
3Q25: 1.51-1.54
2Q25:$1.45-1.53
4/29/25: $1.44-$1.52
2/7/25: revised to $1.41-$1.49 after Vulcan closed
4Q24: $1.52-$1.60 (standalone TENB)
</t>
        </r>
      </text>
    </comment>
    <comment ref="Z52" authorId="2" shapeId="0" xr:uid="{A6EDE91A-6C29-4D9F-94C1-58C7C6368C76}">
      <text>
        <r>
          <rPr>
            <b/>
            <sz val="9"/>
            <color indexed="81"/>
            <rFont val="Tahoma"/>
            <family val="2"/>
          </rPr>
          <t>Nowinski, Andrew:</t>
        </r>
        <r>
          <rPr>
            <sz val="9"/>
            <color indexed="81"/>
            <rFont val="Tahoma"/>
            <family val="2"/>
          </rPr>
          <t xml:space="preserve">
4Q22: 114</t>
        </r>
      </text>
    </comment>
    <comment ref="AA52" authorId="3" shapeId="0" xr:uid="{1ACA45C9-8927-4C30-88A7-EB7BD150FFF9}">
      <text>
        <r>
          <rPr>
            <b/>
            <sz val="9"/>
            <color indexed="81"/>
            <rFont val="Tahoma"/>
            <family val="2"/>
          </rPr>
          <t>Schwarz, Stefan A.:</t>
        </r>
        <r>
          <rPr>
            <sz val="9"/>
            <color indexed="81"/>
            <rFont val="Tahoma"/>
            <family val="2"/>
          </rPr>
          <t xml:space="preserve">
1Q23: 115.5</t>
        </r>
      </text>
    </comment>
    <comment ref="AB52" authorId="3" shapeId="0" xr:uid="{C1B48883-B061-4359-84B0-232F91271F4A}">
      <text>
        <r>
          <rPr>
            <b/>
            <sz val="9"/>
            <color indexed="81"/>
            <rFont val="Tahoma"/>
            <family val="2"/>
          </rPr>
          <t>Schwarz, Stefan A.:</t>
        </r>
        <r>
          <rPr>
            <sz val="9"/>
            <color indexed="81"/>
            <rFont val="Tahoma"/>
            <family val="2"/>
          </rPr>
          <t xml:space="preserve">
2Q23: 116</t>
        </r>
      </text>
    </comment>
    <comment ref="AC52" authorId="2" shapeId="0" xr:uid="{D6D00D42-4235-4A3A-9D55-2973BEFDF5FE}">
      <text>
        <r>
          <rPr>
            <b/>
            <sz val="9"/>
            <color indexed="81"/>
            <rFont val="Tahoma"/>
            <family val="2"/>
          </rPr>
          <t>Nowinski, Andrew:</t>
        </r>
        <r>
          <rPr>
            <sz val="9"/>
            <color indexed="81"/>
            <rFont val="Tahoma"/>
            <family val="2"/>
          </rPr>
          <t xml:space="preserve">
3Q23: 117</t>
        </r>
      </text>
    </comment>
    <comment ref="AD52" authorId="3" shapeId="0" xr:uid="{553CD0E8-8A7E-4A9F-A830-DEB2F62E292E}">
      <text>
        <r>
          <rPr>
            <b/>
            <sz val="9"/>
            <color indexed="81"/>
            <rFont val="Tahoma"/>
            <family val="2"/>
          </rPr>
          <t>Schwarz, Stefan A.:</t>
        </r>
        <r>
          <rPr>
            <sz val="9"/>
            <color indexed="81"/>
            <rFont val="Tahoma"/>
            <family val="2"/>
          </rPr>
          <t xml:space="preserve">
4Q23: 117.5</t>
        </r>
      </text>
    </comment>
    <comment ref="AE52" authorId="3" shapeId="0" xr:uid="{23F370FD-E7BB-4397-B4FD-B0D5A3DCC5DB}">
      <text>
        <r>
          <rPr>
            <b/>
            <sz val="9"/>
            <color indexed="81"/>
            <rFont val="Tahoma"/>
            <family val="2"/>
          </rPr>
          <t>Schwarz, Stefan A.:</t>
        </r>
        <r>
          <rPr>
            <sz val="9"/>
            <color indexed="81"/>
            <rFont val="Tahoma"/>
            <family val="2"/>
          </rPr>
          <t xml:space="preserve">
1Q24:</t>
        </r>
      </text>
    </comment>
    <comment ref="AF52" authorId="3" shapeId="0" xr:uid="{4A9459C6-4613-44A3-AB6C-F9D2D6575811}">
      <text>
        <r>
          <rPr>
            <b/>
            <sz val="9"/>
            <color indexed="81"/>
            <rFont val="Tahoma"/>
            <family val="2"/>
          </rPr>
          <t>Schwarz, Stefan A.:</t>
        </r>
        <r>
          <rPr>
            <sz val="9"/>
            <color indexed="81"/>
            <rFont val="Tahoma"/>
            <family val="2"/>
          </rPr>
          <t xml:space="preserve">
2Q24: 119</t>
        </r>
      </text>
    </comment>
    <comment ref="AG52" authorId="4" shapeId="0" xr:uid="{8D44603E-0760-4E13-A15B-F276EAF04B0C}">
      <text>
        <r>
          <rPr>
            <b/>
            <sz val="9"/>
            <color indexed="81"/>
            <rFont val="Tahoma"/>
            <family val="2"/>
          </rPr>
          <t>Srinivasraghavan, Vinod:</t>
        </r>
        <r>
          <rPr>
            <sz val="9"/>
            <color indexed="81"/>
            <rFont val="Tahoma"/>
            <family val="2"/>
          </rPr>
          <t xml:space="preserve">
120</t>
        </r>
      </text>
    </comment>
    <comment ref="AH52" authorId="0" shapeId="0" xr:uid="{1EA613D2-4E7A-4644-9DF8-B4044D6FB90B}">
      <text>
        <r>
          <rPr>
            <b/>
            <sz val="9"/>
            <color indexed="81"/>
            <rFont val="Tahoma"/>
            <family val="2"/>
          </rPr>
          <t>Srinivasaraghavan, Vinod:</t>
        </r>
        <r>
          <rPr>
            <sz val="9"/>
            <color indexed="81"/>
            <rFont val="Tahoma"/>
            <family val="2"/>
          </rPr>
          <t xml:space="preserve">
120.5</t>
        </r>
      </text>
    </comment>
    <comment ref="AI52" authorId="0" shapeId="0" xr:uid="{BED3FE8A-DA9B-4564-B0BA-AAD2E1815F0E}">
      <text>
        <r>
          <rPr>
            <b/>
            <sz val="9"/>
            <color indexed="81"/>
            <rFont val="Tahoma"/>
            <family val="2"/>
          </rPr>
          <t>Srinivasaraghavan, Vinod:</t>
        </r>
        <r>
          <rPr>
            <sz val="9"/>
            <color indexed="81"/>
            <rFont val="Tahoma"/>
            <family val="2"/>
          </rPr>
          <t xml:space="preserve">
1Q25: 121.5</t>
        </r>
      </text>
    </comment>
    <comment ref="BA52" authorId="2" shapeId="0" xr:uid="{6521AE2A-FCA8-46ED-ABD1-6083E777721E}">
      <text>
        <r>
          <rPr>
            <b/>
            <sz val="9"/>
            <color indexed="81"/>
            <rFont val="Tahoma"/>
            <family val="2"/>
          </rPr>
          <t>Nowinski, Andrew:</t>
        </r>
        <r>
          <rPr>
            <sz val="9"/>
            <color indexed="81"/>
            <rFont val="Tahoma"/>
            <family val="2"/>
          </rPr>
          <t xml:space="preserve">
3Q23: 115.5
2Q23: 115.5
1Q23: 116
4Q22: 115.5</t>
        </r>
      </text>
    </comment>
    <comment ref="BB52" authorId="3" shapeId="0" xr:uid="{8669C11F-6442-4F94-A6E1-E8BBA37338E9}">
      <text>
        <r>
          <rPr>
            <b/>
            <sz val="9"/>
            <color indexed="81"/>
            <rFont val="Tahoma"/>
            <family val="2"/>
          </rPr>
          <t>Schwarz, Stefan A.:</t>
        </r>
        <r>
          <rPr>
            <sz val="9"/>
            <color indexed="81"/>
            <rFont val="Tahoma"/>
            <family val="2"/>
          </rPr>
          <t xml:space="preserve">
2Q24: 119
4Q23: 119
</t>
        </r>
      </text>
    </comment>
    <comment ref="BC52" authorId="0" shapeId="0" xr:uid="{9EFAA6F6-878C-4878-A6C8-5D009266EF11}">
      <text>
        <r>
          <rPr>
            <b/>
            <sz val="9"/>
            <color indexed="81"/>
            <rFont val="Tahoma"/>
            <family val="2"/>
          </rPr>
          <t>Srinivasaraghavan, Vinod:</t>
        </r>
        <r>
          <rPr>
            <sz val="9"/>
            <color indexed="81"/>
            <rFont val="Tahoma"/>
            <family val="2"/>
          </rPr>
          <t xml:space="preserve">
1Q25: 121
4Q24: 121</t>
        </r>
      </text>
    </comment>
    <comment ref="V53" authorId="1" shapeId="0" xr:uid="{2C01D5CA-DC3D-46D5-8E7D-E6041AC84702}">
      <text>
        <r>
          <rPr>
            <b/>
            <sz val="9"/>
            <color indexed="81"/>
            <rFont val="Tahoma"/>
            <family val="2"/>
          </rPr>
          <t xml:space="preserve">Donati, Justin 
</t>
        </r>
        <r>
          <rPr>
            <sz val="9"/>
            <color indexed="81"/>
            <rFont val="Tahoma"/>
            <family val="2"/>
          </rPr>
          <t xml:space="preserve">4Q21: 117.5MM
</t>
        </r>
      </text>
    </comment>
    <comment ref="W53" authorId="1" shapeId="0" xr:uid="{313BBB91-D39B-4EA9-A583-D800145CF65E}">
      <text>
        <r>
          <rPr>
            <b/>
            <sz val="9"/>
            <color indexed="81"/>
            <rFont val="Tahoma"/>
            <family val="2"/>
          </rPr>
          <t xml:space="preserve">Donati, Justin 
</t>
        </r>
        <r>
          <rPr>
            <sz val="9"/>
            <color indexed="81"/>
            <rFont val="Tahoma"/>
            <family val="2"/>
          </rPr>
          <t xml:space="preserve">1Q22: 119.5MM
</t>
        </r>
      </text>
    </comment>
    <comment ref="X53" authorId="1" shapeId="0" xr:uid="{5F6F312C-8B5D-4813-B3BC-DFD8980B9251}">
      <text>
        <r>
          <rPr>
            <b/>
            <sz val="9"/>
            <color indexed="81"/>
            <rFont val="Tahoma"/>
            <family val="2"/>
          </rPr>
          <t xml:space="preserve">Donati, Justin 
</t>
        </r>
        <r>
          <rPr>
            <sz val="9"/>
            <color indexed="81"/>
            <rFont val="Tahoma"/>
            <family val="2"/>
          </rPr>
          <t>2Q22: 119.5MM</t>
        </r>
      </text>
    </comment>
    <comment ref="Y53" authorId="1" shapeId="0" xr:uid="{9322673D-3FE6-4698-B3F0-2A6062E05BBC}">
      <text>
        <r>
          <rPr>
            <b/>
            <sz val="9"/>
            <color indexed="81"/>
            <rFont val="Tahoma"/>
            <family val="2"/>
          </rPr>
          <t xml:space="preserve">Donati, Justin 
</t>
        </r>
        <r>
          <rPr>
            <sz val="9"/>
            <color indexed="81"/>
            <rFont val="Tahoma"/>
            <family val="2"/>
          </rPr>
          <t>3Q22: 118.5MM</t>
        </r>
      </text>
    </comment>
    <comment ref="Z53" authorId="1" shapeId="0" xr:uid="{0F055A07-C242-47E6-86C4-30D0737ADA2E}">
      <text>
        <r>
          <rPr>
            <b/>
            <sz val="9"/>
            <color indexed="81"/>
            <rFont val="Tahoma"/>
            <family val="2"/>
          </rPr>
          <t xml:space="preserve">Donati, Justin 
</t>
        </r>
        <r>
          <rPr>
            <sz val="9"/>
            <color indexed="81"/>
            <rFont val="Tahoma"/>
            <family val="2"/>
          </rPr>
          <t>4Q22: 120.0</t>
        </r>
      </text>
    </comment>
    <comment ref="AA53" authorId="3" shapeId="0" xr:uid="{7AD86B2B-7978-4CDE-9B5C-2194BBDCBC99}">
      <text>
        <r>
          <rPr>
            <b/>
            <sz val="9"/>
            <color indexed="81"/>
            <rFont val="Tahoma"/>
            <family val="2"/>
          </rPr>
          <t>Schwarz, Stefan A.:</t>
        </r>
        <r>
          <rPr>
            <sz val="9"/>
            <color indexed="81"/>
            <rFont val="Tahoma"/>
            <family val="2"/>
          </rPr>
          <t xml:space="preserve">
1Q23: 120.5</t>
        </r>
      </text>
    </comment>
    <comment ref="AB53" authorId="3" shapeId="0" xr:uid="{A5A8AF38-4ADE-447D-B620-AB25F94DC5C6}">
      <text>
        <r>
          <rPr>
            <b/>
            <sz val="9"/>
            <color indexed="81"/>
            <rFont val="Tahoma"/>
            <family val="2"/>
          </rPr>
          <t>Schwarz, Stefan A.:</t>
        </r>
        <r>
          <rPr>
            <sz val="9"/>
            <color indexed="81"/>
            <rFont val="Tahoma"/>
            <family val="2"/>
          </rPr>
          <t xml:space="preserve">
2Q23: 122.5</t>
        </r>
      </text>
    </comment>
    <comment ref="AC53" authorId="2" shapeId="0" xr:uid="{5EE6857A-4A8D-4C40-B5A1-4FB1BF1814A8}">
      <text>
        <r>
          <rPr>
            <b/>
            <sz val="9"/>
            <color indexed="81"/>
            <rFont val="Tahoma"/>
            <family val="2"/>
          </rPr>
          <t>Nowinski, Andrew:</t>
        </r>
        <r>
          <rPr>
            <sz val="9"/>
            <color indexed="81"/>
            <rFont val="Tahoma"/>
            <family val="2"/>
          </rPr>
          <t xml:space="preserve">
3Q23: 123.5 (Ermetic acquisition added 1.4 shares)</t>
        </r>
      </text>
    </comment>
    <comment ref="AD53" authorId="3" shapeId="0" xr:uid="{7AF65760-8179-4557-8273-7FD69667D480}">
      <text>
        <r>
          <rPr>
            <b/>
            <sz val="9"/>
            <color indexed="81"/>
            <rFont val="Tahoma"/>
            <family val="2"/>
          </rPr>
          <t>Schwarz, Stefan A.:</t>
        </r>
        <r>
          <rPr>
            <sz val="9"/>
            <color indexed="81"/>
            <rFont val="Tahoma"/>
            <family val="2"/>
          </rPr>
          <t xml:space="preserve">
4Q23: 123</t>
        </r>
      </text>
    </comment>
    <comment ref="AE53" authorId="3" shapeId="0" xr:uid="{F4EFAF9C-AE9F-4B68-80DE-B5BE8ED5E673}">
      <text>
        <r>
          <rPr>
            <b/>
            <sz val="9"/>
            <color indexed="81"/>
            <rFont val="Tahoma"/>
            <family val="2"/>
          </rPr>
          <t>Schwarz, Stefan A.:</t>
        </r>
        <r>
          <rPr>
            <sz val="9"/>
            <color indexed="81"/>
            <rFont val="Tahoma"/>
            <family val="2"/>
          </rPr>
          <t xml:space="preserve">
1Q24: 124.5</t>
        </r>
      </text>
    </comment>
    <comment ref="AF53" authorId="3" shapeId="0" xr:uid="{48865336-F3DC-4105-8C85-9F8F72F1DBDB}">
      <text>
        <r>
          <rPr>
            <b/>
            <sz val="9"/>
            <color indexed="81"/>
            <rFont val="Tahoma"/>
            <family val="2"/>
          </rPr>
          <t>Schwarz, Stefan A.:</t>
        </r>
        <r>
          <rPr>
            <sz val="9"/>
            <color indexed="81"/>
            <rFont val="Tahoma"/>
            <family val="2"/>
          </rPr>
          <t xml:space="preserve">
2Q24: 123</t>
        </r>
      </text>
    </comment>
    <comment ref="AG53" authorId="4" shapeId="0" xr:uid="{7B8C7601-4120-4564-AE65-2A3CF30543FD}">
      <text>
        <r>
          <rPr>
            <b/>
            <sz val="9"/>
            <color indexed="81"/>
            <rFont val="Tahoma"/>
            <family val="2"/>
          </rPr>
          <t>Srinivasraghavan, Vinod:</t>
        </r>
        <r>
          <rPr>
            <sz val="9"/>
            <color indexed="81"/>
            <rFont val="Tahoma"/>
            <family val="2"/>
          </rPr>
          <t xml:space="preserve">
125.5</t>
        </r>
      </text>
    </comment>
    <comment ref="AH53" authorId="0" shapeId="0" xr:uid="{1428FC19-E617-4149-81D7-33552D674DFB}">
      <text>
        <r>
          <rPr>
            <b/>
            <sz val="9"/>
            <color indexed="81"/>
            <rFont val="Tahoma"/>
            <family val="2"/>
          </rPr>
          <t>Srinivasaraghavan, Vinod:</t>
        </r>
        <r>
          <rPr>
            <sz val="9"/>
            <color indexed="81"/>
            <rFont val="Tahoma"/>
            <family val="2"/>
          </rPr>
          <t xml:space="preserve">
124 (reiterated after Vulcan closed)</t>
        </r>
      </text>
    </comment>
    <comment ref="AI53" authorId="0" shapeId="0" xr:uid="{C86EB4C2-988D-4C74-A1F0-1B47C8AAAAC2}">
      <text>
        <r>
          <rPr>
            <b/>
            <sz val="9"/>
            <color indexed="81"/>
            <rFont val="Tahoma"/>
            <family val="2"/>
          </rPr>
          <t>Srinivasaraghavan, Vinod:</t>
        </r>
        <r>
          <rPr>
            <sz val="9"/>
            <color indexed="81"/>
            <rFont val="Tahoma"/>
            <family val="2"/>
          </rPr>
          <t xml:space="preserve">
1Q25: 123</t>
        </r>
      </text>
    </comment>
    <comment ref="AJ53" authorId="14" shapeId="0" xr:uid="{986704E4-D5E0-4C4D-BE51-37A1C820DA58}">
      <text>
        <t>[Threaded comment]
Your version of Excel allows you to read this threaded comment; however, any edits to it will get removed if the file is opened in a newer version of Excel. Learn more: https://go.microsoft.com/fwlink/?linkid=870924
Comment:
    123</t>
      </text>
    </comment>
    <comment ref="AK53" authorId="15" shapeId="0" xr:uid="{29E4F848-A61E-4666-832E-B9203BDD7A2A}">
      <text>
        <t>[Threaded comment]
Your version of Excel allows you to read this threaded comment; however, any edits to it will get removed if the file is opened in a newer version of Excel. Learn more: https://go.microsoft.com/fwlink/?linkid=870924
Comment:
    121.5</t>
      </text>
    </comment>
    <comment ref="AL53" authorId="16" shapeId="0" xr:uid="{BF784C76-A9EB-4843-AD30-B82655326A46}">
      <text>
        <t>[Threaded comment]
Your version of Excel allows you to read this threaded comment; however, any edits to it will get removed if the file is opened in a newer version of Excel. Learn more: https://go.microsoft.com/fwlink/?linkid=870924
Comment:
    118</t>
      </text>
    </comment>
    <comment ref="AV53" authorId="1" shapeId="0" xr:uid="{EE9D0D2E-1EA6-4F13-AFED-132033655F09}">
      <text>
        <r>
          <rPr>
            <b/>
            <sz val="9"/>
            <color indexed="81"/>
            <rFont val="Tahoma"/>
            <family val="2"/>
          </rPr>
          <t>Donati, Justin [WELLS FARGO SEC RES CONS]:</t>
        </r>
        <r>
          <rPr>
            <sz val="9"/>
            <color indexed="81"/>
            <rFont val="Tahoma"/>
            <family val="2"/>
          </rPr>
          <t xml:space="preserve">
Pro-forma share count to reflect the assumed conversion of convertible redeemable preferred stock as of the beginning of the period</t>
        </r>
      </text>
    </comment>
    <comment ref="AZ53" authorId="1" shapeId="0" xr:uid="{FC89CC6B-445F-481F-AABF-2A0DC843B90B}">
      <text>
        <r>
          <rPr>
            <b/>
            <sz val="9"/>
            <color indexed="81"/>
            <rFont val="Tahoma"/>
            <family val="2"/>
          </rPr>
          <t xml:space="preserve">Donati, Justin 
</t>
        </r>
        <r>
          <rPr>
            <sz val="9"/>
            <color indexed="81"/>
            <rFont val="Tahoma"/>
            <family val="2"/>
          </rPr>
          <t>3Q22: 118.0MM
2Q22: 119.0MM
1Q22: 119.5MM</t>
        </r>
        <r>
          <rPr>
            <b/>
            <sz val="9"/>
            <color indexed="81"/>
            <rFont val="Tahoma"/>
            <family val="2"/>
          </rPr>
          <t xml:space="preserve">
</t>
        </r>
        <r>
          <rPr>
            <sz val="9"/>
            <color indexed="81"/>
            <rFont val="Tahoma"/>
            <family val="2"/>
          </rPr>
          <t>4Q21: 119.5MM</t>
        </r>
      </text>
    </comment>
    <comment ref="BA53" authorId="3" shapeId="0" xr:uid="{5ED3FB29-B593-40F6-BBA0-E4F5822B471D}">
      <text>
        <r>
          <rPr>
            <b/>
            <sz val="9"/>
            <color indexed="81"/>
            <rFont val="Tahoma"/>
            <family val="2"/>
          </rPr>
          <t>Schwarz, Stefan A.:</t>
        </r>
        <r>
          <rPr>
            <sz val="9"/>
            <color indexed="81"/>
            <rFont val="Tahoma"/>
            <family val="2"/>
          </rPr>
          <t xml:space="preserve">
3Q23: 121.0
2Q23: 121.0 
1Q23: 121.5
4Q22: 122.0</t>
        </r>
      </text>
    </comment>
    <comment ref="BB53" authorId="3" shapeId="0" xr:uid="{7C771C8C-C699-48BC-8F6A-60C5C538D18A}">
      <text>
        <r>
          <rPr>
            <b/>
            <sz val="9"/>
            <color indexed="81"/>
            <rFont val="Tahoma"/>
            <family val="2"/>
          </rPr>
          <t>Schwarz, Stefan A.:</t>
        </r>
        <r>
          <rPr>
            <sz val="9"/>
            <color indexed="81"/>
            <rFont val="Tahoma"/>
            <family val="2"/>
          </rPr>
          <t xml:space="preserve">
3Q24: 123.5
2Q24: 123.5
1Q24: 125
4Q23: 125</t>
        </r>
      </text>
    </comment>
    <comment ref="BC53" authorId="0" shapeId="0" xr:uid="{2B107994-542F-4DD8-A725-8E5FC9E015EB}">
      <text>
        <r>
          <rPr>
            <b/>
            <sz val="9"/>
            <color indexed="81"/>
            <rFont val="Tahoma"/>
            <family val="2"/>
          </rPr>
          <t xml:space="preserve">Srinivasaraghavan, Vinod:
</t>
        </r>
        <r>
          <rPr>
            <sz val="9"/>
            <color indexed="81"/>
            <rFont val="Tahoma"/>
            <family val="2"/>
          </rPr>
          <t>3Q25: 122.5</t>
        </r>
        <r>
          <rPr>
            <b/>
            <sz val="9"/>
            <color indexed="81"/>
            <rFont val="Tahoma"/>
            <family val="2"/>
          </rPr>
          <t xml:space="preserve">
</t>
        </r>
        <r>
          <rPr>
            <sz val="9"/>
            <color indexed="81"/>
            <rFont val="Tahoma"/>
            <family val="2"/>
          </rPr>
          <t>2Q25:123.5
4/29/25: 123.5
2/7/25: 124.5 (incl Vulcan)
4Q24: 124.5</t>
        </r>
      </text>
    </comment>
    <comment ref="BD53" authorId="17" shapeId="0" xr:uid="{ABCA9D2C-DC0C-4DBB-B03D-BBEF1C81BBB5}">
      <text>
        <t>[Threaded comment]
Your version of Excel allows you to read this threaded comment; however, any edits to it will get removed if the file is opened in a newer version of Excel. Learn more: https://go.microsoft.com/fwlink/?linkid=870924
Comment:
    118</t>
      </text>
    </comment>
    <comment ref="AB69" authorId="2" shapeId="0" xr:uid="{5398F4D7-D097-4AE6-AD2B-F43A0102F5B5}">
      <text>
        <r>
          <rPr>
            <b/>
            <sz val="9"/>
            <color indexed="81"/>
            <rFont val="Tahoma"/>
            <family val="2"/>
          </rPr>
          <t>Nowinski, Andrew:</t>
        </r>
        <r>
          <rPr>
            <sz val="9"/>
            <color indexed="81"/>
            <rFont val="Tahoma"/>
            <family val="2"/>
          </rPr>
          <t xml:space="preserve">
2Q23: modestly lower in 2H</t>
        </r>
      </text>
    </comment>
    <comment ref="AC69" authorId="2" shapeId="0" xr:uid="{C7D9B261-0AE3-43DA-B82A-FF30D33A041B}">
      <text>
        <r>
          <rPr>
            <b/>
            <sz val="9"/>
            <color indexed="81"/>
            <rFont val="Tahoma"/>
            <family val="2"/>
          </rPr>
          <t>Nowinski, Andrew:</t>
        </r>
        <r>
          <rPr>
            <sz val="9"/>
            <color indexed="81"/>
            <rFont val="Tahoma"/>
            <family val="2"/>
          </rPr>
          <t xml:space="preserve">
2Q23: modestly lower in 2H</t>
        </r>
      </text>
    </comment>
    <comment ref="AJ69" authorId="18" shapeId="0" xr:uid="{44488B96-F0C0-4124-8B4D-9B71A97F7668}">
      <text>
        <t>[Threaded comment]
Your version of Excel allows you to read this threaded comment; however, any edits to it will get removed if the file is opened in a newer version of Excel. Learn more: https://go.microsoft.com/fwlink/?linkid=870924
Comment:
    Flat to modestly lower</t>
      </text>
    </comment>
    <comment ref="AZ69" authorId="1" shapeId="0" xr:uid="{0320DF90-BB8B-4B8F-B3B0-FB77E5911686}">
      <text>
        <r>
          <rPr>
            <b/>
            <sz val="9"/>
            <color indexed="81"/>
            <rFont val="Tahoma"/>
            <family val="2"/>
          </rPr>
          <t xml:space="preserve">Donati, Justin 
</t>
        </r>
        <r>
          <rPr>
            <sz val="9"/>
            <color indexed="81"/>
            <rFont val="Tahoma"/>
            <family val="2"/>
          </rPr>
          <t>2Q22: acquisitions having a modest impact on GM in 2H</t>
        </r>
        <r>
          <rPr>
            <b/>
            <sz val="9"/>
            <color indexed="81"/>
            <rFont val="Tahoma"/>
            <family val="2"/>
          </rPr>
          <t xml:space="preserve">
</t>
        </r>
        <r>
          <rPr>
            <sz val="9"/>
            <color indexed="81"/>
            <rFont val="Tahoma"/>
            <family val="2"/>
          </rPr>
          <t>Mgmt is expecting GM's to track in line relative to 4Q21 or modestly lower to the tune of about 100 bps earlier in 2022 given 1) higher public cloud cost related to scaling Accurics infrastructure along with 2) investments in a broader set of advanced analytics across the attack surface. Mgmt still sees long-term GM's in the high 70% to low 80% range</t>
        </r>
      </text>
    </comment>
    <comment ref="BA69" authorId="1" shapeId="0" xr:uid="{23794DCB-6346-4F85-B020-ECF234498ABE}">
      <text>
        <r>
          <rPr>
            <b/>
            <sz val="9"/>
            <color indexed="81"/>
            <rFont val="Tahoma"/>
            <family val="2"/>
          </rPr>
          <t xml:space="preserve">Donati, Justin 
</t>
        </r>
        <r>
          <rPr>
            <sz val="9"/>
            <color indexed="81"/>
            <rFont val="Tahoma"/>
            <family val="2"/>
          </rPr>
          <t>4Q22: High 70's for FY23 with GM improving thoughout the yr</t>
        </r>
      </text>
    </comment>
    <comment ref="BB69" authorId="3" shapeId="0" xr:uid="{7916B97B-1461-4CAA-90E9-3E5DC73FDA11}">
      <text>
        <r>
          <rPr>
            <b/>
            <sz val="9"/>
            <color indexed="81"/>
            <rFont val="Tahoma"/>
            <family val="2"/>
          </rPr>
          <t>Schwarz, Stefan A.:</t>
        </r>
        <r>
          <rPr>
            <sz val="9"/>
            <color indexed="81"/>
            <rFont val="Tahoma"/>
            <family val="2"/>
          </rPr>
          <t xml:space="preserve">
4Q23: high 70s to low 80s</t>
        </r>
      </text>
    </comment>
    <comment ref="BC70" authorId="0" shapeId="0" xr:uid="{728A2ED3-5E36-4E9E-8336-55214E1E3E2F}">
      <text>
        <r>
          <rPr>
            <b/>
            <sz val="9"/>
            <color indexed="81"/>
            <rFont val="Tahoma"/>
            <family val="2"/>
          </rPr>
          <t>Srinivasaraghavan, Vinod:</t>
        </r>
        <r>
          <rPr>
            <sz val="9"/>
            <color indexed="81"/>
            <rFont val="Tahoma"/>
            <family val="2"/>
          </rPr>
          <t xml:space="preserve">
4Q24: high 70% to low 80%</t>
        </r>
      </text>
    </comment>
    <comment ref="AJ71" authorId="19" shapeId="0" xr:uid="{E3C61257-460B-4486-A2F4-CFDC303B3D2C}">
      <text>
        <t xml:space="preserve">[Threaded comment]
Your version of Excel allows you to read this threaded comment; however, any edits to it will get removed if the file is opened in a newer version of Excel. Learn more: https://go.microsoft.com/fwlink/?linkid=870924
Comment:
    Looking ahead, we expect sales and marketing as a percent of revenue to trend somewhat lower, reflecting higher levels of sales productivity and greater efficiency in our go to market organization </t>
      </text>
    </comment>
    <comment ref="AZ71" authorId="1" shapeId="0" xr:uid="{91D3CDFB-72CB-417F-9105-02F225BDD2D4}">
      <text>
        <r>
          <rPr>
            <b/>
            <sz val="9"/>
            <color indexed="81"/>
            <rFont val="Tahoma"/>
            <family val="2"/>
          </rPr>
          <t xml:space="preserve">Donati, Justin </t>
        </r>
        <r>
          <rPr>
            <sz val="9"/>
            <color indexed="81"/>
            <rFont val="Tahoma"/>
            <family val="2"/>
          </rPr>
          <t xml:space="preserve">
S&amp;M as a percent of revenue was 44% in 2021 and is expected to remain at or near this percentage in 2022</t>
        </r>
      </text>
    </comment>
    <comment ref="BB71" authorId="3" shapeId="0" xr:uid="{6FA26640-F175-49AA-AB8A-A6648D549DF1}">
      <text>
        <r>
          <rPr>
            <b/>
            <sz val="9"/>
            <color indexed="81"/>
            <rFont val="Tahoma"/>
            <family val="2"/>
          </rPr>
          <t>Schwarz, Stefan A.:</t>
        </r>
        <r>
          <rPr>
            <sz val="9"/>
            <color indexed="81"/>
            <rFont val="Tahoma"/>
            <family val="2"/>
          </rPr>
          <t xml:space="preserve">
4Q23: 400bps improvement in S&amp;M as a % of revenue</t>
        </r>
      </text>
    </comment>
    <comment ref="AZ72" authorId="1" shapeId="0" xr:uid="{704565E9-0407-4388-A779-0176EEC8102E}">
      <text>
        <r>
          <rPr>
            <b/>
            <sz val="9"/>
            <color indexed="81"/>
            <rFont val="Tahoma"/>
            <family val="2"/>
          </rPr>
          <t xml:space="preserve">Donati, Justin </t>
        </r>
        <r>
          <rPr>
            <sz val="9"/>
            <color indexed="81"/>
            <rFont val="Tahoma"/>
            <family val="2"/>
          </rPr>
          <t xml:space="preserve">
R&amp;D as a percentage of revenue was 18% in 2021 and is expected to increase modestly in 2022, given increased investment in cloud security, attack path analysis attributed to the symptom acquisition and a broader set of predictive analytics and platform capabilities.
</t>
        </r>
      </text>
    </comment>
    <comment ref="BB72" authorId="2" shapeId="0" xr:uid="{9BC09583-25F3-4421-B094-EEE0CC6A11A2}">
      <text>
        <r>
          <rPr>
            <b/>
            <sz val="9"/>
            <color indexed="81"/>
            <rFont val="Tahoma"/>
            <family val="2"/>
          </rPr>
          <t>Nowinski, Andrew:</t>
        </r>
        <r>
          <rPr>
            <sz val="9"/>
            <color indexed="81"/>
            <rFont val="Tahoma"/>
            <family val="2"/>
          </rPr>
          <t xml:space="preserve">
4Q23: R&amp;D will be higher as a % of revenue</t>
        </r>
      </text>
    </comment>
    <comment ref="AZ73" authorId="1" shapeId="0" xr:uid="{D087D501-6BC8-4C25-9FF3-5FE061C3C42F}">
      <text>
        <r>
          <rPr>
            <b/>
            <sz val="9"/>
            <color indexed="81"/>
            <rFont val="Tahoma"/>
            <family val="2"/>
          </rPr>
          <t xml:space="preserve">Donati, Justin 
</t>
        </r>
        <r>
          <rPr>
            <sz val="9"/>
            <color indexed="81"/>
            <rFont val="Tahoma"/>
            <family val="2"/>
          </rPr>
          <t>Management expects G&amp;A expense as a percentage of revenue to remain flat in 2022.</t>
        </r>
      </text>
    </comment>
    <comment ref="BB73" authorId="2" shapeId="0" xr:uid="{AEE7A245-A424-4126-8917-EA1768BC9FB4}">
      <text>
        <r>
          <rPr>
            <b/>
            <sz val="9"/>
            <color indexed="81"/>
            <rFont val="Tahoma"/>
            <family val="2"/>
          </rPr>
          <t>Nowinski, Andrew:</t>
        </r>
        <r>
          <rPr>
            <sz val="9"/>
            <color indexed="81"/>
            <rFont val="Tahoma"/>
            <family val="2"/>
          </rPr>
          <t xml:space="preserve">
4Q23: G&amp;A will be flat at a % of revenue to 2023</t>
        </r>
      </text>
    </comment>
    <comment ref="BB75" authorId="3" shapeId="0" xr:uid="{81EE406A-C320-4FDD-9A25-3E7E8E1A3117}">
      <text>
        <r>
          <rPr>
            <b/>
            <sz val="9"/>
            <color indexed="81"/>
            <rFont val="Tahoma"/>
            <family val="2"/>
          </rPr>
          <t>Schwarz, Stefan A.:</t>
        </r>
        <r>
          <rPr>
            <sz val="9"/>
            <color indexed="81"/>
            <rFont val="Tahoma"/>
            <family val="2"/>
          </rPr>
          <t xml:space="preserve">
4Q23: 17-18%
same seasonal spending patterns as in prior years with incremental investmetns more weighted to 1H, resulting in higher 2H OM</t>
        </r>
      </text>
    </comment>
    <comment ref="AB121" authorId="3" shapeId="0" xr:uid="{34BF99B1-1300-4769-9F30-3490B135ABFE}">
      <text>
        <r>
          <rPr>
            <b/>
            <sz val="9"/>
            <color indexed="81"/>
            <rFont val="Tahoma"/>
            <family val="2"/>
          </rPr>
          <t>Schwarz, Stefan A.:</t>
        </r>
        <r>
          <rPr>
            <sz val="9"/>
            <color indexed="81"/>
            <rFont val="Tahoma"/>
            <family val="2"/>
          </rPr>
          <t xml:space="preserve">
2Q23: (14.1) - (13.1)</t>
        </r>
      </text>
    </comment>
    <comment ref="AC121" authorId="3" shapeId="0" xr:uid="{16D0780F-9F45-4D32-8112-B352F88E871A}">
      <text>
        <r>
          <rPr>
            <b/>
            <sz val="9"/>
            <color indexed="81"/>
            <rFont val="Tahoma"/>
            <family val="2"/>
          </rPr>
          <t>Schwarz, Stefan A.:</t>
        </r>
        <r>
          <rPr>
            <sz val="9"/>
            <color indexed="81"/>
            <rFont val="Tahoma"/>
            <family val="2"/>
          </rPr>
          <t xml:space="preserve">
3Q23: (27.2)-(26.2) </t>
        </r>
      </text>
    </comment>
    <comment ref="AD121" authorId="3" shapeId="0" xr:uid="{070E049A-1DE0-4F01-AC1B-976CD0E9B2CA}">
      <text>
        <r>
          <rPr>
            <b/>
            <sz val="9"/>
            <color indexed="81"/>
            <rFont val="Tahoma"/>
            <family val="2"/>
          </rPr>
          <t>Schwarz, Stefan A.:</t>
        </r>
        <r>
          <rPr>
            <sz val="9"/>
            <color indexed="81"/>
            <rFont val="Tahoma"/>
            <family val="2"/>
          </rPr>
          <t xml:space="preserve">
4Q23: (27.7)-(23.7)</t>
        </r>
      </text>
    </comment>
    <comment ref="AE121" authorId="3" shapeId="0" xr:uid="{E9B8BC7F-FA56-42C0-B894-FFABD62F9312}">
      <text>
        <r>
          <rPr>
            <b/>
            <sz val="9"/>
            <color indexed="81"/>
            <rFont val="Tahoma"/>
            <family val="2"/>
          </rPr>
          <t>Schwarz, Stefan A.:</t>
        </r>
        <r>
          <rPr>
            <sz val="9"/>
            <color indexed="81"/>
            <rFont val="Tahoma"/>
            <family val="2"/>
          </rPr>
          <t xml:space="preserve">
1Q24: (19.1) - (17.1)</t>
        </r>
      </text>
    </comment>
    <comment ref="AF121" authorId="3" shapeId="0" xr:uid="{3A36D04D-5DC5-4F46-AD24-4DF24A58912D}">
      <text>
        <r>
          <rPr>
            <b/>
            <sz val="9"/>
            <color indexed="81"/>
            <rFont val="Tahoma"/>
            <family val="2"/>
          </rPr>
          <t>Schwarz, Stefan A.:</t>
        </r>
        <r>
          <rPr>
            <sz val="9"/>
            <color indexed="81"/>
            <rFont val="Tahoma"/>
            <family val="2"/>
          </rPr>
          <t xml:space="preserve">
2Q24: (5.6) - (3.6)</t>
        </r>
      </text>
    </comment>
    <comment ref="AG121" authorId="4" shapeId="0" xr:uid="{B4CDDFCB-9B8C-4CF9-80DE-B8B4299F9D08}">
      <text>
        <r>
          <rPr>
            <b/>
            <sz val="9"/>
            <color indexed="81"/>
            <rFont val="Tahoma"/>
            <family val="2"/>
          </rPr>
          <t>Srinivasraghavan, Vinod:</t>
        </r>
        <r>
          <rPr>
            <sz val="9"/>
            <color indexed="81"/>
            <rFont val="Tahoma"/>
            <family val="2"/>
          </rPr>
          <t xml:space="preserve">
0.6 to 2.6</t>
        </r>
      </text>
    </comment>
    <comment ref="AH121" authorId="0" shapeId="0" xr:uid="{10464B84-7538-4179-B0F8-ABA0337572FD}">
      <text>
        <r>
          <rPr>
            <b/>
            <sz val="9"/>
            <color indexed="81"/>
            <rFont val="Tahoma"/>
            <family val="2"/>
          </rPr>
          <t>Srinivasaraghavan, Vinod:</t>
        </r>
        <r>
          <rPr>
            <sz val="9"/>
            <color indexed="81"/>
            <rFont val="Tahoma"/>
            <family val="2"/>
          </rPr>
          <t xml:space="preserve">
(18.0) - (16.0)</t>
        </r>
      </text>
    </comment>
    <comment ref="BA121" authorId="3" shapeId="0" xr:uid="{218EEE09-526F-40CB-A130-B10537A9DAF8}">
      <text>
        <r>
          <rPr>
            <b/>
            <sz val="9"/>
            <color indexed="81"/>
            <rFont val="Tahoma"/>
            <family val="2"/>
          </rPr>
          <t>Schwarz, Stefan A.:</t>
        </r>
        <r>
          <rPr>
            <sz val="9"/>
            <color indexed="81"/>
            <rFont val="Tahoma"/>
            <family val="2"/>
          </rPr>
          <t xml:space="preserve">
3Q23: (65.0) - (64.0)
2Q23: (62.3) - (58.3)</t>
        </r>
      </text>
    </comment>
    <comment ref="BB121" authorId="3" shapeId="0" xr:uid="{1C8EBC9D-9806-4A62-A2AA-87035211EBFD}">
      <text>
        <r>
          <rPr>
            <b/>
            <sz val="9"/>
            <color indexed="81"/>
            <rFont val="Tahoma"/>
            <family val="2"/>
          </rPr>
          <t>Schwarz, Stefan A.:</t>
        </r>
        <r>
          <rPr>
            <sz val="9"/>
            <color indexed="81"/>
            <rFont val="Tahoma"/>
            <family val="2"/>
          </rPr>
          <t xml:space="preserve">
2Q24: (25.1) - (21.1)
1Q24: (36.3) - (31.3)
4Q23: (41.7)-(31.7)</t>
        </r>
      </text>
    </comment>
    <comment ref="BC121" authorId="0" shapeId="0" xr:uid="{62DCED59-9DB6-4030-AEF0-88971D1B7D15}">
      <text>
        <r>
          <rPr>
            <b/>
            <sz val="9"/>
            <color indexed="81"/>
            <rFont val="Tahoma"/>
            <family val="2"/>
          </rPr>
          <t>Srinivasaraghavan, Vinod:</t>
        </r>
        <r>
          <rPr>
            <sz val="9"/>
            <color indexed="81"/>
            <rFont val="Tahoma"/>
            <family val="2"/>
          </rPr>
          <t xml:space="preserve">
4Q24: 3.0-13.0</t>
        </r>
      </text>
    </comment>
    <comment ref="AB128" authorId="3" shapeId="0" xr:uid="{B5CE2D4E-CAAB-4206-B104-A93D1E858153}">
      <text>
        <r>
          <rPr>
            <b/>
            <sz val="9"/>
            <color indexed="81"/>
            <rFont val="Tahoma"/>
            <family val="2"/>
          </rPr>
          <t>Schwarz, Stefan A.:</t>
        </r>
        <r>
          <rPr>
            <sz val="9"/>
            <color indexed="81"/>
            <rFont val="Tahoma"/>
            <family val="2"/>
          </rPr>
          <t xml:space="preserve">
2Q23: 2.1</t>
        </r>
      </text>
    </comment>
    <comment ref="AC128" authorId="3" shapeId="0" xr:uid="{87F15E17-B37A-480E-8014-09A5841E0F30}">
      <text>
        <r>
          <rPr>
            <b/>
            <sz val="9"/>
            <color indexed="81"/>
            <rFont val="Tahoma"/>
            <family val="2"/>
          </rPr>
          <t>Schwarz, Stefan A.:</t>
        </r>
        <r>
          <rPr>
            <sz val="9"/>
            <color indexed="81"/>
            <rFont val="Tahoma"/>
            <family val="2"/>
          </rPr>
          <t xml:space="preserve">
3Q23: 4</t>
        </r>
      </text>
    </comment>
    <comment ref="AE128" authorId="3" shapeId="0" xr:uid="{218F1BF4-5651-4D4F-8CB3-CEAA0CD0C12B}">
      <text>
        <r>
          <rPr>
            <b/>
            <sz val="9"/>
            <color indexed="81"/>
            <rFont val="Tahoma"/>
            <family val="2"/>
          </rPr>
          <t>Schwarz, Stefan A.:</t>
        </r>
        <r>
          <rPr>
            <sz val="9"/>
            <color indexed="81"/>
            <rFont val="Tahoma"/>
            <family val="2"/>
          </rPr>
          <t xml:space="preserve">
1Q24: 4.1</t>
        </r>
      </text>
    </comment>
    <comment ref="AF128" authorId="3" shapeId="0" xr:uid="{72D086A0-480D-499E-A19C-B1EFA6106088}">
      <text>
        <r>
          <rPr>
            <b/>
            <sz val="9"/>
            <color indexed="81"/>
            <rFont val="Tahoma"/>
            <family val="2"/>
          </rPr>
          <t>Schwarz, Stefan A.:</t>
        </r>
        <r>
          <rPr>
            <sz val="9"/>
            <color indexed="81"/>
            <rFont val="Tahoma"/>
            <family val="2"/>
          </rPr>
          <t xml:space="preserve">
2Q24: 5.8</t>
        </r>
      </text>
    </comment>
    <comment ref="AG128" authorId="4" shapeId="0" xr:uid="{FA243D8F-F6BA-48D1-AB74-DB841B612BFF}">
      <text>
        <r>
          <rPr>
            <b/>
            <sz val="9"/>
            <color indexed="81"/>
            <rFont val="Tahoma"/>
            <family val="2"/>
          </rPr>
          <t>Srinivasraghavan, Vinod:</t>
        </r>
        <r>
          <rPr>
            <sz val="9"/>
            <color indexed="81"/>
            <rFont val="Tahoma"/>
            <family val="2"/>
          </rPr>
          <t xml:space="preserve">
4.9</t>
        </r>
      </text>
    </comment>
    <comment ref="AH128" authorId="0" shapeId="0" xr:uid="{CEDAD923-F98E-4734-83F5-172EAB343ECB}">
      <text>
        <r>
          <rPr>
            <b/>
            <sz val="9"/>
            <color indexed="81"/>
            <rFont val="Tahoma"/>
            <family val="2"/>
          </rPr>
          <t>Srinivasaraghavan, Vinod:</t>
        </r>
        <r>
          <rPr>
            <sz val="9"/>
            <color indexed="81"/>
            <rFont val="Tahoma"/>
            <family val="2"/>
          </rPr>
          <t xml:space="preserve">
4.6</t>
        </r>
      </text>
    </comment>
    <comment ref="BA128" authorId="3" shapeId="0" xr:uid="{7CA12FBD-70C0-496D-973C-95A13C19DD71}">
      <text>
        <r>
          <rPr>
            <b/>
            <sz val="9"/>
            <color indexed="81"/>
            <rFont val="Tahoma"/>
            <family val="2"/>
          </rPr>
          <t>Schwarz, Stefan A.:</t>
        </r>
        <r>
          <rPr>
            <sz val="9"/>
            <color indexed="81"/>
            <rFont val="Tahoma"/>
            <family val="2"/>
          </rPr>
          <t xml:space="preserve">
3Q23: 10.9
2Q23: 10.8</t>
        </r>
      </text>
    </comment>
    <comment ref="BB128" authorId="3" shapeId="0" xr:uid="{1CDB3290-7A58-4136-8FA8-A6F74BFE568B}">
      <text>
        <r>
          <rPr>
            <b/>
            <sz val="9"/>
            <color indexed="81"/>
            <rFont val="Tahoma"/>
            <family val="2"/>
          </rPr>
          <t>Schwarz, Stefan A.:</t>
        </r>
        <r>
          <rPr>
            <sz val="9"/>
            <color indexed="81"/>
            <rFont val="Tahoma"/>
            <family val="2"/>
          </rPr>
          <t xml:space="preserve">
2Q24: 16.3
1Q24: 15.5</t>
        </r>
      </text>
    </comment>
    <comment ref="BC128" authorId="0" shapeId="0" xr:uid="{B7A39F04-6654-4AE8-B39F-AD11CC8179B6}">
      <text>
        <r>
          <rPr>
            <b/>
            <sz val="9"/>
            <color indexed="81"/>
            <rFont val="Tahoma"/>
            <family val="2"/>
          </rPr>
          <t>Srinivasaraghavan, Vinod:</t>
        </r>
        <r>
          <rPr>
            <sz val="9"/>
            <color indexed="81"/>
            <rFont val="Tahoma"/>
            <family val="2"/>
          </rPr>
          <t xml:space="preserve">
</t>
        </r>
      </text>
    </comment>
    <comment ref="AB131" authorId="3" shapeId="0" xr:uid="{AA2C8393-8D25-4360-B7A0-1683B2D09C52}">
      <text>
        <r>
          <rPr>
            <b/>
            <sz val="9"/>
            <color indexed="81"/>
            <rFont val="Tahoma"/>
            <family val="2"/>
          </rPr>
          <t>Schwarz, Stefan A.:</t>
        </r>
        <r>
          <rPr>
            <sz val="9"/>
            <color indexed="81"/>
            <rFont val="Tahoma"/>
            <family val="2"/>
          </rPr>
          <t xml:space="preserve">
2Q23: (17.8) - (16.8)</t>
        </r>
      </text>
    </comment>
    <comment ref="AC131" authorId="3" shapeId="0" xr:uid="{42D14853-4A01-4068-BC5E-CD4A9B4B830E}">
      <text>
        <r>
          <rPr>
            <b/>
            <sz val="9"/>
            <color indexed="81"/>
            <rFont val="Tahoma"/>
            <family val="2"/>
          </rPr>
          <t>Schwarz, Stefan A.:</t>
        </r>
        <r>
          <rPr>
            <sz val="9"/>
            <color indexed="81"/>
            <rFont val="Tahoma"/>
            <family val="2"/>
          </rPr>
          <t xml:space="preserve">
3Q23: (35.2)-(34.2)</t>
        </r>
      </text>
    </comment>
    <comment ref="AD131" authorId="3" shapeId="0" xr:uid="{6E353D52-B3FE-4F67-9D86-D65D091B1790}">
      <text>
        <r>
          <rPr>
            <b/>
            <sz val="9"/>
            <color indexed="81"/>
            <rFont val="Tahoma"/>
            <family val="2"/>
          </rPr>
          <t>Schwarz, Stefan A.:</t>
        </r>
        <r>
          <rPr>
            <sz val="9"/>
            <color indexed="81"/>
            <rFont val="Tahoma"/>
            <family val="2"/>
          </rPr>
          <t xml:space="preserve">
4Q23: (34.6)-(30.6)</t>
        </r>
      </text>
    </comment>
    <comment ref="AE131" authorId="3" shapeId="0" xr:uid="{EA56AB5D-0FF6-46B6-8193-A7389AC075A8}">
      <text>
        <r>
          <rPr>
            <b/>
            <sz val="9"/>
            <color indexed="81"/>
            <rFont val="Tahoma"/>
            <family val="2"/>
          </rPr>
          <t>Schwarz, Stefan A.:</t>
        </r>
        <r>
          <rPr>
            <sz val="9"/>
            <color indexed="81"/>
            <rFont val="Tahoma"/>
            <family val="2"/>
          </rPr>
          <t xml:space="preserve">
1Q24: (26.1) - (24.1)</t>
        </r>
      </text>
    </comment>
    <comment ref="AF131" authorId="3" shapeId="0" xr:uid="{E198C6B9-4CCD-4205-A286-1CB48BD2F1C3}">
      <text>
        <r>
          <rPr>
            <b/>
            <sz val="9"/>
            <color indexed="81"/>
            <rFont val="Tahoma"/>
            <family val="2"/>
          </rPr>
          <t>Schwarz, Stefan A.:</t>
        </r>
        <r>
          <rPr>
            <sz val="9"/>
            <color indexed="81"/>
            <rFont val="Tahoma"/>
            <family val="2"/>
          </rPr>
          <t xml:space="preserve">
2Q24: (14.6) - (12.6)</t>
        </r>
      </text>
    </comment>
    <comment ref="AG131" authorId="4" shapeId="0" xr:uid="{5EEFCDAA-40AC-4551-8052-E687BBAE9A63}">
      <text>
        <r>
          <rPr>
            <b/>
            <sz val="9"/>
            <color indexed="81"/>
            <rFont val="Tahoma"/>
            <family val="2"/>
          </rPr>
          <t>Srinivasraghavan, Vinod:</t>
        </r>
        <r>
          <rPr>
            <sz val="9"/>
            <color indexed="81"/>
            <rFont val="Tahoma"/>
            <family val="2"/>
          </rPr>
          <t xml:space="preserve">
-6.2 to -4.2</t>
        </r>
      </text>
    </comment>
    <comment ref="AH131" authorId="0" shapeId="0" xr:uid="{A546CF15-F626-4F77-8BE8-CAE57B2442D6}">
      <text>
        <r>
          <rPr>
            <b/>
            <sz val="9"/>
            <color indexed="81"/>
            <rFont val="Tahoma"/>
            <family val="2"/>
          </rPr>
          <t>Srinivasaraghavan, Vinod:</t>
        </r>
        <r>
          <rPr>
            <sz val="9"/>
            <color indexed="81"/>
            <rFont val="Tahoma"/>
            <family val="2"/>
          </rPr>
          <t xml:space="preserve">
(26.0) - (24.0)</t>
        </r>
      </text>
    </comment>
    <comment ref="BA131" authorId="3" shapeId="0" xr:uid="{D2CE4DED-13B3-4AEA-B495-B19A650C6560}">
      <text>
        <r>
          <rPr>
            <b/>
            <sz val="9"/>
            <color indexed="81"/>
            <rFont val="Tahoma"/>
            <family val="2"/>
          </rPr>
          <t>Schwarz, Stefan A.:</t>
        </r>
        <r>
          <rPr>
            <sz val="9"/>
            <color indexed="81"/>
            <rFont val="Tahoma"/>
            <family val="2"/>
          </rPr>
          <t xml:space="preserve">
3Q23: (91.7) - (90.7)
2Q23: (81.5) - (77.5)</t>
        </r>
      </text>
    </comment>
    <comment ref="BB131" authorId="3" shapeId="0" xr:uid="{FD1E7848-05CD-4B18-97ED-82454D71716A}">
      <text>
        <r>
          <rPr>
            <b/>
            <sz val="9"/>
            <color indexed="81"/>
            <rFont val="Tahoma"/>
            <family val="2"/>
          </rPr>
          <t>Schwarz, Stefan A.:</t>
        </r>
        <r>
          <rPr>
            <sz val="9"/>
            <color indexed="81"/>
            <rFont val="Tahoma"/>
            <family val="2"/>
          </rPr>
          <t xml:space="preserve">
2Q24: (52.6) - (48.6)
1Q24: (62.5) - (57.5)
4Q23: (68.9)-(58.9)</t>
        </r>
      </text>
    </comment>
    <comment ref="BC131" authorId="0" shapeId="0" xr:uid="{1BC20792-52A5-4A7C-AE2D-6B2CC1A02CCA}">
      <text>
        <r>
          <rPr>
            <b/>
            <sz val="9"/>
            <color indexed="81"/>
            <rFont val="Tahoma"/>
            <family val="2"/>
          </rPr>
          <t>Srinivasaraghavan, Vinod:</t>
        </r>
        <r>
          <rPr>
            <sz val="9"/>
            <color indexed="81"/>
            <rFont val="Tahoma"/>
            <family val="2"/>
          </rPr>
          <t xml:space="preserve">
4Q24: (26.0) - (16.0)</t>
        </r>
      </text>
    </comment>
    <comment ref="Z133" authorId="2" shapeId="0" xr:uid="{FFCB4FEE-BF3F-4A69-882C-2A5D5D2E6CED}">
      <text>
        <r>
          <rPr>
            <b/>
            <sz val="9"/>
            <color indexed="81"/>
            <rFont val="Tahoma"/>
            <family val="2"/>
          </rPr>
          <t>Nowinski, Andrew:</t>
        </r>
        <r>
          <rPr>
            <sz val="9"/>
            <color indexed="81"/>
            <rFont val="Tahoma"/>
            <family val="2"/>
          </rPr>
          <t xml:space="preserve">
4Q22: $(0.32) to (0.31)</t>
        </r>
      </text>
    </comment>
    <comment ref="BA133" authorId="2" shapeId="0" xr:uid="{F2D4B6E4-04D8-4A9E-AA0E-54E6F16A6CD9}">
      <text>
        <r>
          <rPr>
            <b/>
            <sz val="9"/>
            <color indexed="81"/>
            <rFont val="Tahoma"/>
            <family val="2"/>
          </rPr>
          <t>Nowinski, Andrew:</t>
        </r>
        <r>
          <rPr>
            <sz val="9"/>
            <color indexed="81"/>
            <rFont val="Tahoma"/>
            <family val="2"/>
          </rPr>
          <t xml:space="preserve">
3Q23: (0.79)
4Q22: (0.89) - (0.85)</t>
        </r>
      </text>
    </comment>
    <comment ref="AH145" authorId="0" shapeId="0" xr:uid="{295A5A6B-C029-4C04-AD49-DB1D7935B8B3}">
      <text>
        <r>
          <rPr>
            <b/>
            <sz val="9"/>
            <color indexed="81"/>
            <rFont val="Tahoma"/>
            <family val="2"/>
          </rPr>
          <t>Srinivasaraghavan, Vinod:</t>
        </r>
        <r>
          <rPr>
            <sz val="9"/>
            <color indexed="81"/>
            <rFont val="Tahoma"/>
            <family val="2"/>
          </rPr>
          <t xml:space="preserve">
Incl. $14.6M of expense related to the accelerating vesting of equity award for late CEO Amit Yoran</t>
        </r>
      </text>
    </comment>
    <comment ref="W147" authorId="1" shapeId="0" xr:uid="{1D1324B2-E0EB-437C-9CCB-1627D87742DE}">
      <text>
        <r>
          <rPr>
            <b/>
            <sz val="9"/>
            <color indexed="81"/>
            <rFont val="Tahoma"/>
            <family val="2"/>
          </rPr>
          <t xml:space="preserve">Donati, Justin 
</t>
        </r>
        <r>
          <rPr>
            <sz val="9"/>
            <color indexed="81"/>
            <rFont val="Tahoma"/>
            <family val="2"/>
          </rPr>
          <t>1Q22: 31.5MM</t>
        </r>
      </text>
    </comment>
    <comment ref="X147" authorId="1" shapeId="0" xr:uid="{DA9B16BB-E91D-43DC-9FC0-170BB27DBB88}">
      <text>
        <r>
          <rPr>
            <b/>
            <sz val="9"/>
            <color indexed="81"/>
            <rFont val="Tahoma"/>
            <family val="2"/>
          </rPr>
          <t xml:space="preserve">Donati, Justin 
</t>
        </r>
        <r>
          <rPr>
            <sz val="9"/>
            <color indexed="81"/>
            <rFont val="Tahoma"/>
            <family val="2"/>
          </rPr>
          <t>2Q22: $31.8MM</t>
        </r>
      </text>
    </comment>
    <comment ref="Y147" authorId="1" shapeId="0" xr:uid="{75B18E03-6EB3-49DE-ABCC-B8D4A897DC37}">
      <text>
        <r>
          <rPr>
            <b/>
            <sz val="9"/>
            <color indexed="81"/>
            <rFont val="Tahoma"/>
            <family val="2"/>
          </rPr>
          <t xml:space="preserve">Donati, Justin 
</t>
        </r>
        <r>
          <rPr>
            <sz val="9"/>
            <color indexed="81"/>
            <rFont val="Tahoma"/>
            <family val="2"/>
          </rPr>
          <t>3Q22: 32.4MM</t>
        </r>
      </text>
    </comment>
    <comment ref="Z147" authorId="2" shapeId="0" xr:uid="{60804560-0990-4BCD-9332-ECDCBAC39258}">
      <text>
        <r>
          <rPr>
            <b/>
            <sz val="9"/>
            <color indexed="81"/>
            <rFont val="Tahoma"/>
            <family val="2"/>
          </rPr>
          <t>Nowinski, Andrew:</t>
        </r>
        <r>
          <rPr>
            <sz val="9"/>
            <color indexed="81"/>
            <rFont val="Tahoma"/>
            <family val="2"/>
          </rPr>
          <t xml:space="preserve">
4Q22: $35</t>
        </r>
      </text>
    </comment>
    <comment ref="AA147" authorId="3" shapeId="0" xr:uid="{3D2B41BB-BC6B-4BFE-9973-547CE61CCF95}">
      <text>
        <r>
          <rPr>
            <b/>
            <sz val="9"/>
            <color indexed="81"/>
            <rFont val="Tahoma"/>
            <family val="2"/>
          </rPr>
          <t>Schwarz, Stefan A.:</t>
        </r>
        <r>
          <rPr>
            <sz val="9"/>
            <color indexed="81"/>
            <rFont val="Tahoma"/>
            <family val="2"/>
          </rPr>
          <t xml:space="preserve">
1Q23: 38</t>
        </r>
      </text>
    </comment>
    <comment ref="AB147" authorId="3" shapeId="0" xr:uid="{5214CA43-6B63-4063-9A8E-AD05013DC336}">
      <text>
        <r>
          <rPr>
            <b/>
            <sz val="9"/>
            <color indexed="81"/>
            <rFont val="Tahoma"/>
            <family val="2"/>
          </rPr>
          <t>Schwarz, Stefan A.:</t>
        </r>
        <r>
          <rPr>
            <sz val="9"/>
            <color indexed="81"/>
            <rFont val="Tahoma"/>
            <family val="2"/>
          </rPr>
          <t xml:space="preserve">
2Q23: 37</t>
        </r>
      </text>
    </comment>
    <comment ref="AC147" authorId="3" shapeId="0" xr:uid="{B1212FF7-BDD6-4588-9BB4-FCCAA43B6549}">
      <text>
        <r>
          <rPr>
            <b/>
            <sz val="9"/>
            <color indexed="81"/>
            <rFont val="Tahoma"/>
            <family val="2"/>
          </rPr>
          <t>Schwarz, Stefan A.:</t>
        </r>
        <r>
          <rPr>
            <sz val="9"/>
            <color indexed="81"/>
            <rFont val="Tahoma"/>
            <family val="2"/>
          </rPr>
          <t xml:space="preserve">
3Q23: 38</t>
        </r>
      </text>
    </comment>
    <comment ref="AD147" authorId="3" shapeId="0" xr:uid="{D726DDD5-02C9-4103-A589-0B3AD52C101C}">
      <text>
        <r>
          <rPr>
            <b/>
            <sz val="9"/>
            <color indexed="81"/>
            <rFont val="Tahoma"/>
            <family val="2"/>
          </rPr>
          <t>Schwarz, Stefan A.:</t>
        </r>
        <r>
          <rPr>
            <sz val="9"/>
            <color indexed="81"/>
            <rFont val="Tahoma"/>
            <family val="2"/>
          </rPr>
          <t xml:space="preserve">
4Q23: 40</t>
        </r>
      </text>
    </comment>
    <comment ref="AE147" authorId="3" shapeId="0" xr:uid="{2CCCCC4D-E481-4F60-9315-F8891C80A600}">
      <text>
        <r>
          <rPr>
            <b/>
            <sz val="9"/>
            <color indexed="81"/>
            <rFont val="Tahoma"/>
            <family val="2"/>
          </rPr>
          <t>Schwarz, Stefan A.:</t>
        </r>
        <r>
          <rPr>
            <sz val="9"/>
            <color indexed="81"/>
            <rFont val="Tahoma"/>
            <family val="2"/>
          </rPr>
          <t xml:space="preserve">
1Q24: 41.3</t>
        </r>
      </text>
    </comment>
    <comment ref="AF147" authorId="3" shapeId="0" xr:uid="{F988213B-66AC-4590-8080-6CFEAE9EAF07}">
      <text>
        <r>
          <rPr>
            <b/>
            <sz val="9"/>
            <color indexed="81"/>
            <rFont val="Tahoma"/>
            <family val="2"/>
          </rPr>
          <t>Schwarz, Stefan A.:</t>
        </r>
        <r>
          <rPr>
            <sz val="9"/>
            <color indexed="81"/>
            <rFont val="Tahoma"/>
            <family val="2"/>
          </rPr>
          <t xml:space="preserve">
2Q24: 41.6</t>
        </r>
      </text>
    </comment>
    <comment ref="AG147" authorId="4" shapeId="0" xr:uid="{9CAD4E7B-182F-4B88-87A6-24C2D30FA67E}">
      <text>
        <r>
          <rPr>
            <b/>
            <sz val="9"/>
            <color indexed="81"/>
            <rFont val="Tahoma"/>
            <family val="2"/>
          </rPr>
          <t>Srinivasraghavan, Vinod:</t>
        </r>
        <r>
          <rPr>
            <sz val="9"/>
            <color indexed="81"/>
            <rFont val="Tahoma"/>
            <family val="2"/>
          </rPr>
          <t xml:space="preserve">
41.3</t>
        </r>
      </text>
    </comment>
    <comment ref="AH147" authorId="0" shapeId="0" xr:uid="{AD14010E-316F-454B-A87B-9B1EDC4AA30E}">
      <text>
        <r>
          <rPr>
            <b/>
            <sz val="9"/>
            <color indexed="81"/>
            <rFont val="Tahoma"/>
            <family val="2"/>
          </rPr>
          <t>Srinivasaraghavan, Vinod:</t>
        </r>
        <r>
          <rPr>
            <sz val="9"/>
            <color indexed="81"/>
            <rFont val="Tahoma"/>
            <family val="2"/>
          </rPr>
          <t xml:space="preserve">
55</t>
        </r>
      </text>
    </comment>
    <comment ref="AI147" authorId="2" shapeId="0" xr:uid="{7EC677E1-0169-41EF-AF17-F79782AF8DDD}">
      <text>
        <r>
          <rPr>
            <b/>
            <sz val="9"/>
            <color indexed="81"/>
            <rFont val="Tahoma"/>
            <family val="2"/>
          </rPr>
          <t>Nowinski, Andrew:</t>
        </r>
        <r>
          <rPr>
            <sz val="9"/>
            <color indexed="81"/>
            <rFont val="Tahoma"/>
            <family val="2"/>
          </rPr>
          <t xml:space="preserve">
1Q25: 47</t>
        </r>
      </text>
    </comment>
    <comment ref="AZ147" authorId="1" shapeId="0" xr:uid="{F8926530-7EAD-415B-88B5-1923B7CAD7BD}">
      <text>
        <r>
          <rPr>
            <b/>
            <sz val="9"/>
            <color indexed="81"/>
            <rFont val="Tahoma"/>
            <family val="2"/>
          </rPr>
          <t xml:space="preserve">Donati, Justin 
</t>
        </r>
        <r>
          <rPr>
            <sz val="9"/>
            <color indexed="81"/>
            <rFont val="Tahoma"/>
            <family val="2"/>
          </rPr>
          <t>2Q22: $121.2MM</t>
        </r>
        <r>
          <rPr>
            <b/>
            <sz val="9"/>
            <color indexed="81"/>
            <rFont val="Tahoma"/>
            <family val="2"/>
          </rPr>
          <t xml:space="preserve">
</t>
        </r>
        <r>
          <rPr>
            <sz val="9"/>
            <color indexed="81"/>
            <rFont val="Tahoma"/>
            <family val="2"/>
          </rPr>
          <t xml:space="preserve">1Q22: $121.2MM
</t>
        </r>
      </text>
    </comment>
    <comment ref="BA147" authorId="2" shapeId="0" xr:uid="{1E063B84-8DA6-491D-B7D5-F62271EA9180}">
      <text>
        <r>
          <rPr>
            <b/>
            <sz val="9"/>
            <color indexed="81"/>
            <rFont val="Tahoma"/>
            <family val="2"/>
          </rPr>
          <t>Nowinski, Andrew:</t>
        </r>
        <r>
          <rPr>
            <sz val="9"/>
            <color indexed="81"/>
            <rFont val="Tahoma"/>
            <family val="2"/>
          </rPr>
          <t xml:space="preserve">
3Q23: 146.8
2Q23: 146
4Q22: 150.5</t>
        </r>
      </text>
    </comment>
    <comment ref="BB147" authorId="3" shapeId="0" xr:uid="{DC46D6C8-BD85-4A78-8937-D113566BD207}">
      <text>
        <r>
          <rPr>
            <b/>
            <sz val="9"/>
            <color indexed="81"/>
            <rFont val="Tahoma"/>
            <family val="2"/>
          </rPr>
          <t>Schwarz, Stefan A.:</t>
        </r>
        <r>
          <rPr>
            <sz val="9"/>
            <color indexed="81"/>
            <rFont val="Tahoma"/>
            <family val="2"/>
          </rPr>
          <t xml:space="preserve">
2Q24: 164.6
1Q24: 166.9
4Q23: 165</t>
        </r>
      </text>
    </comment>
    <comment ref="BC147" authorId="0" shapeId="0" xr:uid="{2889B340-AD88-4DE2-A789-F891736E1452}">
      <text>
        <r>
          <rPr>
            <b/>
            <sz val="9"/>
            <color indexed="81"/>
            <rFont val="Tahoma"/>
            <family val="2"/>
          </rPr>
          <t>Srinivasaraghavan, Vinod:</t>
        </r>
        <r>
          <rPr>
            <sz val="9"/>
            <color indexed="81"/>
            <rFont val="Tahoma"/>
            <family val="2"/>
          </rPr>
          <t xml:space="preserve">
2Q25: 197.5
1Q25: 196
4Q24: 190</t>
        </r>
      </text>
    </comment>
    <comment ref="W156" authorId="1" shapeId="0" xr:uid="{EB953187-24A9-4DB7-8F1D-95251C6EE84B}">
      <text>
        <r>
          <rPr>
            <b/>
            <sz val="9"/>
            <color indexed="81"/>
            <rFont val="Tahoma"/>
            <family val="2"/>
          </rPr>
          <t xml:space="preserve">Donati, Justin 
</t>
        </r>
        <r>
          <rPr>
            <sz val="9"/>
            <color indexed="81"/>
            <rFont val="Tahoma"/>
            <family val="2"/>
          </rPr>
          <t>1Q22: $2.7MM</t>
        </r>
      </text>
    </comment>
    <comment ref="X156" authorId="1" shapeId="0" xr:uid="{7F302BB1-CFB4-4D08-8D20-2623811BF484}">
      <text>
        <r>
          <rPr>
            <b/>
            <sz val="9"/>
            <color indexed="81"/>
            <rFont val="Tahoma"/>
            <family val="2"/>
          </rPr>
          <t xml:space="preserve">Donati, Justin 
</t>
        </r>
        <r>
          <rPr>
            <sz val="9"/>
            <color indexed="81"/>
            <rFont val="Tahoma"/>
            <family val="2"/>
          </rPr>
          <t>2Q22: $3.1MM</t>
        </r>
      </text>
    </comment>
    <comment ref="Y156" authorId="1" shapeId="0" xr:uid="{88CDDA79-327E-4B57-B947-E575BA359510}">
      <text>
        <r>
          <rPr>
            <b/>
            <sz val="9"/>
            <color indexed="81"/>
            <rFont val="Tahoma"/>
            <family val="2"/>
          </rPr>
          <t xml:space="preserve">Donati, Justin 
</t>
        </r>
        <r>
          <rPr>
            <sz val="9"/>
            <color indexed="81"/>
            <rFont val="Tahoma"/>
            <family val="2"/>
          </rPr>
          <t>3Q22: $3.1MM</t>
        </r>
      </text>
    </comment>
    <comment ref="Z156" authorId="2" shapeId="0" xr:uid="{CE594F59-4087-4FFC-8688-D4CCEB7DD9E5}">
      <text>
        <r>
          <rPr>
            <b/>
            <sz val="9"/>
            <color indexed="81"/>
            <rFont val="Tahoma"/>
            <family val="2"/>
          </rPr>
          <t>Nowinski, Andrew:</t>
        </r>
        <r>
          <rPr>
            <sz val="9"/>
            <color indexed="81"/>
            <rFont val="Tahoma"/>
            <family val="2"/>
          </rPr>
          <t xml:space="preserve">
4Q22: $3.1</t>
        </r>
      </text>
    </comment>
    <comment ref="AA156" authorId="3" shapeId="0" xr:uid="{5790C4DC-DD37-49BB-AA0C-5A8943002177}">
      <text>
        <r>
          <rPr>
            <b/>
            <sz val="9"/>
            <color indexed="81"/>
            <rFont val="Tahoma"/>
            <family val="2"/>
          </rPr>
          <t>Schwarz, Stefan A.:</t>
        </r>
        <r>
          <rPr>
            <sz val="9"/>
            <color indexed="81"/>
            <rFont val="Tahoma"/>
            <family val="2"/>
          </rPr>
          <t xml:space="preserve">
1Q23: 3.1</t>
        </r>
      </text>
    </comment>
    <comment ref="AB156" authorId="3" shapeId="0" xr:uid="{B92A67E8-AD78-4E70-B043-0DA434932E5D}">
      <text>
        <r>
          <rPr>
            <b/>
            <sz val="9"/>
            <color indexed="81"/>
            <rFont val="Tahoma"/>
            <family val="2"/>
          </rPr>
          <t>Schwarz, Stefan A.:</t>
        </r>
        <r>
          <rPr>
            <sz val="9"/>
            <color indexed="81"/>
            <rFont val="Tahoma"/>
            <family val="2"/>
          </rPr>
          <t xml:space="preserve">
2Q23: 3.1</t>
        </r>
      </text>
    </comment>
    <comment ref="AC156" authorId="3" shapeId="0" xr:uid="{48E6F630-514C-4B56-A298-8296F086DABB}">
      <text>
        <r>
          <rPr>
            <b/>
            <sz val="9"/>
            <color indexed="81"/>
            <rFont val="Tahoma"/>
            <family val="2"/>
          </rPr>
          <t>Schwarz, Stefan A.:</t>
        </r>
        <r>
          <rPr>
            <sz val="9"/>
            <color indexed="81"/>
            <rFont val="Tahoma"/>
            <family val="2"/>
          </rPr>
          <t xml:space="preserve">
3Q23: 5.4</t>
        </r>
      </text>
    </comment>
    <comment ref="AD156" authorId="3" shapeId="0" xr:uid="{A3E72057-3497-4BD3-B2DE-CCEF7CE9AF0D}">
      <text>
        <r>
          <rPr>
            <b/>
            <sz val="9"/>
            <color indexed="81"/>
            <rFont val="Tahoma"/>
            <family val="2"/>
          </rPr>
          <t>Schwarz, Stefan A.:</t>
        </r>
        <r>
          <rPr>
            <sz val="9"/>
            <color indexed="81"/>
            <rFont val="Tahoma"/>
            <family val="2"/>
          </rPr>
          <t xml:space="preserve">
4Q23: 4.7</t>
        </r>
      </text>
    </comment>
    <comment ref="AE156" authorId="3" shapeId="0" xr:uid="{E073E316-BEA8-40E0-AC0F-960A29020504}">
      <text>
        <r>
          <rPr>
            <b/>
            <sz val="9"/>
            <color indexed="81"/>
            <rFont val="Tahoma"/>
            <family val="2"/>
          </rPr>
          <t>Schwarz, Stefan A.:</t>
        </r>
        <r>
          <rPr>
            <sz val="9"/>
            <color indexed="81"/>
            <rFont val="Tahoma"/>
            <family val="2"/>
          </rPr>
          <t xml:space="preserve">
1Q24: 4.7</t>
        </r>
      </text>
    </comment>
    <comment ref="AF156" authorId="3" shapeId="0" xr:uid="{72022B05-E04C-4A12-9097-9792BF5E7795}">
      <text>
        <r>
          <rPr>
            <b/>
            <sz val="9"/>
            <color indexed="81"/>
            <rFont val="Tahoma"/>
            <family val="2"/>
          </rPr>
          <t>Schwarz, Stefan A.:</t>
        </r>
        <r>
          <rPr>
            <sz val="9"/>
            <color indexed="81"/>
            <rFont val="Tahoma"/>
            <family val="2"/>
          </rPr>
          <t xml:space="preserve">
2Q24: 5.0</t>
        </r>
      </text>
    </comment>
    <comment ref="AG156" authorId="4" shapeId="0" xr:uid="{CB0E0004-2F97-4DE3-8CCB-D9CA35A71ED5}">
      <text>
        <r>
          <rPr>
            <b/>
            <sz val="9"/>
            <color indexed="81"/>
            <rFont val="Tahoma"/>
            <family val="2"/>
          </rPr>
          <t>Srinivasraghavan, Vinod:</t>
        </r>
        <r>
          <rPr>
            <sz val="9"/>
            <color indexed="81"/>
            <rFont val="Tahoma"/>
            <family val="2"/>
          </rPr>
          <t xml:space="preserve">
5.1</t>
        </r>
      </text>
    </comment>
    <comment ref="AH156" authorId="0" shapeId="0" xr:uid="{4418E2B7-DEAF-48FA-8819-D68D940C0BD8}">
      <text>
        <r>
          <rPr>
            <b/>
            <sz val="9"/>
            <color indexed="81"/>
            <rFont val="Tahoma"/>
            <family val="2"/>
          </rPr>
          <t>Srinivasaraghavan, Vinod:</t>
        </r>
        <r>
          <rPr>
            <sz val="9"/>
            <color indexed="81"/>
            <rFont val="Tahoma"/>
            <family val="2"/>
          </rPr>
          <t xml:space="preserve">
5</t>
        </r>
      </text>
    </comment>
    <comment ref="AI156" authorId="2" shapeId="0" xr:uid="{A28D7249-9C4D-4A85-857A-44A421B34F54}">
      <text>
        <r>
          <rPr>
            <b/>
            <sz val="9"/>
            <color indexed="81"/>
            <rFont val="Tahoma"/>
            <family val="2"/>
          </rPr>
          <t>Nowinski, Andrew:</t>
        </r>
        <r>
          <rPr>
            <sz val="9"/>
            <color indexed="81"/>
            <rFont val="Tahoma"/>
            <family val="2"/>
          </rPr>
          <t xml:space="preserve">
1Q25: 6.5</t>
        </r>
      </text>
    </comment>
    <comment ref="AZ156" authorId="1" shapeId="0" xr:uid="{05067346-4FD6-4CC0-9472-2C222A569DB5}">
      <text>
        <r>
          <rPr>
            <b/>
            <sz val="9"/>
            <color indexed="81"/>
            <rFont val="Tahoma"/>
            <family val="2"/>
          </rPr>
          <t xml:space="preserve">Donati, Justin 
</t>
        </r>
        <r>
          <rPr>
            <sz val="9"/>
            <color indexed="81"/>
            <rFont val="Tahoma"/>
            <family val="2"/>
          </rPr>
          <t xml:space="preserve">2Q22: $11.4MM
1Q22: $10.4MM
</t>
        </r>
      </text>
    </comment>
    <comment ref="BA156" authorId="2" shapeId="0" xr:uid="{591ED35B-4358-41BF-ACFE-1A886F5D7069}">
      <text>
        <r>
          <rPr>
            <b/>
            <sz val="9"/>
            <color indexed="81"/>
            <rFont val="Tahoma"/>
            <family val="2"/>
          </rPr>
          <t>Nowinski, Andrew:</t>
        </r>
        <r>
          <rPr>
            <sz val="9"/>
            <color indexed="81"/>
            <rFont val="Tahoma"/>
            <family val="2"/>
          </rPr>
          <t xml:space="preserve">
3Q23: 11.5
2Q23: 12.3
4Q22: 12.3</t>
        </r>
      </text>
    </comment>
    <comment ref="BB156" authorId="3" shapeId="0" xr:uid="{077E4B1D-29C9-4D6A-BACA-98C325A322C8}">
      <text>
        <r>
          <rPr>
            <b/>
            <sz val="9"/>
            <color indexed="81"/>
            <rFont val="Tahoma"/>
            <family val="2"/>
          </rPr>
          <t>Schwarz, Stefan A.:</t>
        </r>
        <r>
          <rPr>
            <sz val="9"/>
            <color indexed="81"/>
            <rFont val="Tahoma"/>
            <family val="2"/>
          </rPr>
          <t xml:space="preserve">
2Q24: 19.5
1Q24: 18.7
4Q23: 18.7</t>
        </r>
      </text>
    </comment>
    <comment ref="BC156" authorId="0" shapeId="0" xr:uid="{1C395602-EBF2-47A6-9E50-66BA2C903BB8}">
      <text>
        <r>
          <rPr>
            <b/>
            <sz val="9"/>
            <color indexed="81"/>
            <rFont val="Tahoma"/>
            <family val="2"/>
          </rPr>
          <t>Srinivasaraghavan, Vinod:</t>
        </r>
        <r>
          <rPr>
            <sz val="9"/>
            <color indexed="81"/>
            <rFont val="Tahoma"/>
            <family val="2"/>
          </rPr>
          <t xml:space="preserve">
2Q25: 26
1Q25: 25
4Q24: 20</t>
        </r>
      </text>
    </comment>
    <comment ref="AC163" authorId="2" shapeId="0" xr:uid="{E786D1CE-95EA-4ACB-8F08-AEE52E982425}">
      <text>
        <r>
          <rPr>
            <b/>
            <sz val="9"/>
            <color indexed="81"/>
            <rFont val="Tahoma"/>
            <family val="2"/>
          </rPr>
          <t>Nowinski, Andrew:</t>
        </r>
        <r>
          <rPr>
            <sz val="9"/>
            <color indexed="81"/>
            <rFont val="Tahoma"/>
            <family val="2"/>
          </rPr>
          <t xml:space="preserve">
3Q23: 6.8</t>
        </r>
      </text>
    </comment>
    <comment ref="AE163" authorId="3" shapeId="0" xr:uid="{3AFF4C34-5B76-4F2D-9D32-AA78F42E3860}">
      <text>
        <r>
          <rPr>
            <b/>
            <sz val="9"/>
            <color indexed="81"/>
            <rFont val="Tahoma"/>
            <family val="2"/>
          </rPr>
          <t>Schwarz, Stefan A.:</t>
        </r>
        <r>
          <rPr>
            <sz val="9"/>
            <color indexed="81"/>
            <rFont val="Tahoma"/>
            <family val="2"/>
          </rPr>
          <t xml:space="preserve">
1Q24: 0</t>
        </r>
      </text>
    </comment>
    <comment ref="AI163" authorId="2" shapeId="0" xr:uid="{A6D830B2-619D-4116-95AF-28CFA6758435}">
      <text>
        <r>
          <rPr>
            <b/>
            <sz val="9"/>
            <color indexed="81"/>
            <rFont val="Tahoma"/>
            <family val="2"/>
          </rPr>
          <t>Nowinski, Andrew:</t>
        </r>
        <r>
          <rPr>
            <sz val="9"/>
            <color indexed="81"/>
            <rFont val="Tahoma"/>
            <family val="2"/>
          </rPr>
          <t xml:space="preserve">
1Q25: 1.5</t>
        </r>
      </text>
    </comment>
    <comment ref="AZ163" authorId="1" shapeId="0" xr:uid="{7B48F7BD-5BA0-4CD5-A221-879AD6806D6D}">
      <text>
        <r>
          <rPr>
            <b/>
            <sz val="9"/>
            <color indexed="81"/>
            <rFont val="Tahoma"/>
            <family val="2"/>
          </rPr>
          <t xml:space="preserve">Donati, Justin 
</t>
        </r>
        <r>
          <rPr>
            <sz val="9"/>
            <color indexed="81"/>
            <rFont val="Tahoma"/>
            <family val="2"/>
          </rPr>
          <t xml:space="preserve">2Q22: 2.5MM for acquisition expenses and 0.8MM for intra-entity asset transfers
</t>
        </r>
        <r>
          <rPr>
            <b/>
            <sz val="9"/>
            <color indexed="81"/>
            <rFont val="Tahoma"/>
            <family val="2"/>
          </rPr>
          <t xml:space="preserve">
</t>
        </r>
        <r>
          <rPr>
            <sz val="9"/>
            <color indexed="81"/>
            <rFont val="Tahoma"/>
            <family val="2"/>
          </rPr>
          <t xml:space="preserve">1Q22: 1.7MM for acuistion expenses in FY22 and $0.8MM for intra-entity asset transfer in Q1. </t>
        </r>
      </text>
    </comment>
    <comment ref="BA163" authorId="2" shapeId="0" xr:uid="{1BDE39EE-2EE0-4A36-AEDD-D5FDC19F0760}">
      <text>
        <r>
          <rPr>
            <b/>
            <sz val="9"/>
            <color indexed="81"/>
            <rFont val="Tahoma"/>
            <family val="2"/>
          </rPr>
          <t>Nowinski, Andrew:</t>
        </r>
        <r>
          <rPr>
            <sz val="9"/>
            <color indexed="81"/>
            <rFont val="Tahoma"/>
            <family val="2"/>
          </rPr>
          <t xml:space="preserve">
3Q23: 11.5</t>
        </r>
      </text>
    </comment>
    <comment ref="BB163" authorId="3" shapeId="0" xr:uid="{74B41442-9C43-4BE7-AE7E-323FF09BEC9D}">
      <text>
        <r>
          <rPr>
            <b/>
            <sz val="9"/>
            <color indexed="81"/>
            <rFont val="Tahoma"/>
            <family val="2"/>
          </rPr>
          <t>Schwarz, Stefan A.:</t>
        </r>
        <r>
          <rPr>
            <sz val="9"/>
            <color indexed="81"/>
            <rFont val="Tahoma"/>
            <family val="2"/>
          </rPr>
          <t xml:space="preserve">
2Q24: 1.9
1Q24: 0.2</t>
        </r>
      </text>
    </comment>
    <comment ref="BC163" authorId="2" shapeId="0" xr:uid="{7ADC8968-EDF1-4566-8E8B-7D2672011BC7}">
      <text>
        <r>
          <rPr>
            <b/>
            <sz val="9"/>
            <color indexed="81"/>
            <rFont val="Tahoma"/>
            <family val="2"/>
          </rPr>
          <t>Nowinski, Andrew:</t>
        </r>
        <r>
          <rPr>
            <sz val="9"/>
            <color indexed="81"/>
            <rFont val="Tahoma"/>
            <family val="2"/>
          </rPr>
          <t xml:space="preserve">
1Q25: 6.0
2Q25:7.3</t>
        </r>
      </text>
    </comment>
    <comment ref="W165" authorId="1" shapeId="0" xr:uid="{CF8926E5-99EF-4F94-AED8-7B003473E325}">
      <text>
        <r>
          <rPr>
            <b/>
            <sz val="9"/>
            <color indexed="81"/>
            <rFont val="Tahoma"/>
            <family val="2"/>
          </rPr>
          <t xml:space="preserve">Donati, Justin </t>
        </r>
        <r>
          <rPr>
            <sz val="9"/>
            <color indexed="81"/>
            <rFont val="Tahoma"/>
            <family val="2"/>
          </rPr>
          <t xml:space="preserve">
1Q22: 0.4MM</t>
        </r>
      </text>
    </comment>
    <comment ref="X165" authorId="1" shapeId="0" xr:uid="{C172B546-245B-4A65-B98C-CB42DC5FB5ED}">
      <text>
        <r>
          <rPr>
            <b/>
            <sz val="9"/>
            <color indexed="81"/>
            <rFont val="Tahoma"/>
            <family val="2"/>
          </rPr>
          <t xml:space="preserve">Donati, Justin 
</t>
        </r>
        <r>
          <rPr>
            <sz val="9"/>
            <color indexed="81"/>
            <rFont val="Tahoma"/>
            <family val="2"/>
          </rPr>
          <t>2Q22: $0.4MM</t>
        </r>
      </text>
    </comment>
    <comment ref="AD168" authorId="3" shapeId="0" xr:uid="{487FDEA3-D1D0-4CEE-88BE-DB4E4BEE32E6}">
      <text>
        <r>
          <rPr>
            <b/>
            <sz val="9"/>
            <color indexed="81"/>
            <rFont val="Tahoma"/>
            <family val="2"/>
          </rPr>
          <t>Schwarz, Stefan A.:</t>
        </r>
        <r>
          <rPr>
            <sz val="9"/>
            <color indexed="81"/>
            <rFont val="Tahoma"/>
            <family val="2"/>
          </rPr>
          <t xml:space="preserve">
4Q23: 8-10</t>
        </r>
      </text>
    </comment>
    <comment ref="AE168" authorId="3" shapeId="0" xr:uid="{2D6D274D-5249-485E-BE56-8B57E5DCEBA8}">
      <text>
        <r>
          <rPr>
            <b/>
            <sz val="9"/>
            <color indexed="81"/>
            <rFont val="Tahoma"/>
            <family val="2"/>
          </rPr>
          <t>Schwarz, Stefan A.:</t>
        </r>
        <r>
          <rPr>
            <sz val="9"/>
            <color indexed="81"/>
            <rFont val="Tahoma"/>
            <family val="2"/>
          </rPr>
          <t xml:space="preserve">
1Q24: 7.1</t>
        </r>
      </text>
    </comment>
    <comment ref="BB168" authorId="3" shapeId="0" xr:uid="{EF67844C-EF9B-4D5D-87C9-8FF08307A683}">
      <text>
        <r>
          <rPr>
            <b/>
            <sz val="9"/>
            <color indexed="81"/>
            <rFont val="Tahoma"/>
            <family val="2"/>
          </rPr>
          <t>Schwarz, Stefan A.:</t>
        </r>
        <r>
          <rPr>
            <sz val="9"/>
            <color indexed="81"/>
            <rFont val="Tahoma"/>
            <family val="2"/>
          </rPr>
          <t xml:space="preserve">
2Q24: 6.1
1Q24: 8.5
4Q23: 8-10</t>
        </r>
      </text>
    </comment>
    <comment ref="W169" authorId="1" shapeId="0" xr:uid="{A15F193C-9F39-42CD-8442-A091DF3BF492}">
      <text>
        <r>
          <rPr>
            <b/>
            <sz val="9"/>
            <color indexed="81"/>
            <rFont val="Tahoma"/>
            <family val="2"/>
          </rPr>
          <t xml:space="preserve">Donati, Justin 
</t>
        </r>
        <r>
          <rPr>
            <sz val="9"/>
            <color indexed="81"/>
            <rFont val="Tahoma"/>
            <family val="2"/>
          </rPr>
          <t>1Q22: 0.4MM</t>
        </r>
      </text>
    </comment>
    <comment ref="X169" authorId="1" shapeId="0" xr:uid="{B6BA7C5B-BBC7-4043-9F5E-9488350E1BB6}">
      <text>
        <r>
          <rPr>
            <b/>
            <sz val="9"/>
            <color indexed="81"/>
            <rFont val="Tahoma"/>
            <family val="2"/>
          </rPr>
          <t xml:space="preserve">Donati, Justin 
</t>
        </r>
        <r>
          <rPr>
            <sz val="9"/>
            <color indexed="81"/>
            <rFont val="Tahoma"/>
            <family val="2"/>
          </rPr>
          <t>2Q22: $(0.1)MM</t>
        </r>
      </text>
    </comment>
    <comment ref="Y169" authorId="1" shapeId="0" xr:uid="{D0A29D1B-1D3B-4B55-8BD7-C9E3285B4EE4}">
      <text>
        <r>
          <rPr>
            <b/>
            <sz val="9"/>
            <color indexed="81"/>
            <rFont val="Tahoma"/>
            <family val="2"/>
          </rPr>
          <t xml:space="preserve">Donati, Justin 
</t>
        </r>
        <r>
          <rPr>
            <sz val="9"/>
            <color indexed="81"/>
            <rFont val="Tahoma"/>
            <family val="2"/>
          </rPr>
          <t>3Q22: $(0.3)MM</t>
        </r>
      </text>
    </comment>
    <comment ref="Z169" authorId="2" shapeId="0" xr:uid="{18411C29-11BC-45CE-9974-67AE43EBFF4B}">
      <text>
        <r>
          <rPr>
            <b/>
            <sz val="9"/>
            <color indexed="81"/>
            <rFont val="Tahoma"/>
            <family val="2"/>
          </rPr>
          <t>Nowinski, Andrew:</t>
        </r>
        <r>
          <rPr>
            <sz val="9"/>
            <color indexed="81"/>
            <rFont val="Tahoma"/>
            <family val="2"/>
          </rPr>
          <t xml:space="preserve">
4Q22: $1</t>
        </r>
      </text>
    </comment>
    <comment ref="AC169" authorId="2" shapeId="0" xr:uid="{07996E9E-FF86-43A5-9724-C5DB0A0A1D27}">
      <text>
        <r>
          <rPr>
            <b/>
            <sz val="9"/>
            <color indexed="81"/>
            <rFont val="Tahoma"/>
            <family val="2"/>
          </rPr>
          <t>Nowinski, Andrew:</t>
        </r>
        <r>
          <rPr>
            <sz val="9"/>
            <color indexed="81"/>
            <rFont val="Tahoma"/>
            <family val="2"/>
          </rPr>
          <t xml:space="preserve">
3Q23: 1</t>
        </r>
      </text>
    </comment>
    <comment ref="AD169" authorId="3" shapeId="0" xr:uid="{16CEABE4-0A6D-4962-A40B-193BF27AB8FB}">
      <text>
        <r>
          <rPr>
            <b/>
            <sz val="9"/>
            <color indexed="81"/>
            <rFont val="Tahoma"/>
            <family val="2"/>
          </rPr>
          <t>Schwarz, Stefan A.:</t>
        </r>
        <r>
          <rPr>
            <sz val="9"/>
            <color indexed="81"/>
            <rFont val="Tahoma"/>
            <family val="2"/>
          </rPr>
          <t xml:space="preserve">
4Q23: (0.4)</t>
        </r>
      </text>
    </comment>
    <comment ref="AE169" authorId="3" shapeId="0" xr:uid="{C8C3F271-F968-4B1F-8C62-FD25AAAB1820}">
      <text>
        <r>
          <rPr>
            <b/>
            <sz val="9"/>
            <color indexed="81"/>
            <rFont val="Tahoma"/>
            <family val="2"/>
          </rPr>
          <t>Schwarz, Stefan A.:</t>
        </r>
        <r>
          <rPr>
            <sz val="9"/>
            <color indexed="81"/>
            <rFont val="Tahoma"/>
            <family val="2"/>
          </rPr>
          <t xml:space="preserve">
1Q24: 1.1</t>
        </r>
      </text>
    </comment>
    <comment ref="AG169" authorId="4" shapeId="0" xr:uid="{C5A08A73-B81A-4789-AFE7-C6C5FC240D20}">
      <text>
        <r>
          <rPr>
            <b/>
            <sz val="9"/>
            <color indexed="81"/>
            <rFont val="Tahoma"/>
            <family val="2"/>
          </rPr>
          <t>Srinivasraghavan, Vinod:</t>
        </r>
        <r>
          <rPr>
            <sz val="9"/>
            <color indexed="81"/>
            <rFont val="Tahoma"/>
            <family val="2"/>
          </rPr>
          <t xml:space="preserve">
1.9
</t>
        </r>
      </text>
    </comment>
    <comment ref="AH169" authorId="0" shapeId="0" xr:uid="{4E2C4682-80B0-49CA-917E-8BB3D53CCA46}">
      <text>
        <r>
          <rPr>
            <b/>
            <sz val="9"/>
            <color indexed="81"/>
            <rFont val="Tahoma"/>
            <family val="2"/>
          </rPr>
          <t>Srinivasaraghavan, Vinod:</t>
        </r>
        <r>
          <rPr>
            <sz val="9"/>
            <color indexed="81"/>
            <rFont val="Tahoma"/>
            <family val="2"/>
          </rPr>
          <t xml:space="preserve">
1.0</t>
        </r>
      </text>
    </comment>
    <comment ref="AI169" authorId="2" shapeId="0" xr:uid="{2D7E03AD-8CBB-4BD6-88A6-E8CC86353072}">
      <text>
        <r>
          <rPr>
            <b/>
            <sz val="9"/>
            <color indexed="81"/>
            <rFont val="Tahoma"/>
            <family val="2"/>
          </rPr>
          <t>Nowinski, Andrew:</t>
        </r>
        <r>
          <rPr>
            <sz val="9"/>
            <color indexed="81"/>
            <rFont val="Tahoma"/>
            <family val="2"/>
          </rPr>
          <t xml:space="preserve">
1Q25: 1</t>
        </r>
      </text>
    </comment>
    <comment ref="AZ169" authorId="1" shapeId="0" xr:uid="{9C66D6E1-C993-4B23-8D9B-72526CE987D1}">
      <text>
        <r>
          <rPr>
            <b/>
            <sz val="9"/>
            <color indexed="81"/>
            <rFont val="Tahoma"/>
            <family val="2"/>
          </rPr>
          <t>Donati, Justin</t>
        </r>
        <r>
          <rPr>
            <sz val="9"/>
            <color indexed="81"/>
            <rFont val="Tahoma"/>
            <family val="2"/>
          </rPr>
          <t xml:space="preserve"> 
3Q22: 1.3MM
2Q22: 1.9MM</t>
        </r>
        <r>
          <rPr>
            <b/>
            <sz val="9"/>
            <color indexed="81"/>
            <rFont val="Tahoma"/>
            <family val="2"/>
          </rPr>
          <t xml:space="preserve">
</t>
        </r>
        <r>
          <rPr>
            <sz val="9"/>
            <color indexed="81"/>
            <rFont val="Tahoma"/>
            <family val="2"/>
          </rPr>
          <t>1Q22: 2.1MM</t>
        </r>
      </text>
    </comment>
    <comment ref="BA169" authorId="2" shapeId="0" xr:uid="{5B514FE6-3246-4EBB-8E5F-0FBF2E21B0D3}">
      <text>
        <r>
          <rPr>
            <b/>
            <sz val="9"/>
            <color indexed="81"/>
            <rFont val="Tahoma"/>
            <family val="2"/>
          </rPr>
          <t>Nowinski, Andrew:</t>
        </r>
        <r>
          <rPr>
            <sz val="9"/>
            <color indexed="81"/>
            <rFont val="Tahoma"/>
            <family val="2"/>
          </rPr>
          <t xml:space="preserve">
4Q22: $3.1</t>
        </r>
      </text>
    </comment>
    <comment ref="BB169" authorId="3" shapeId="0" xr:uid="{186F91B5-D99A-4019-B19C-D1D4525E6B9A}">
      <text>
        <r>
          <rPr>
            <b/>
            <sz val="9"/>
            <color indexed="81"/>
            <rFont val="Tahoma"/>
            <family val="2"/>
          </rPr>
          <t>Schwarz, Stefan A.:</t>
        </r>
        <r>
          <rPr>
            <sz val="9"/>
            <color indexed="81"/>
            <rFont val="Tahoma"/>
            <family val="2"/>
          </rPr>
          <t xml:space="preserve">
2Q24: 3.7
1Q24: 3.4
4Q23: 3.2</t>
        </r>
      </text>
    </comment>
    <comment ref="BC169" authorId="0" shapeId="0" xr:uid="{9C8785C1-EB0A-4E49-823D-38006DD04A41}">
      <text>
        <r>
          <rPr>
            <b/>
            <sz val="9"/>
            <color indexed="81"/>
            <rFont val="Tahoma"/>
            <family val="2"/>
          </rPr>
          <t>Srinivasaraghavan, Vinod:</t>
        </r>
        <r>
          <rPr>
            <sz val="9"/>
            <color indexed="81"/>
            <rFont val="Tahoma"/>
            <family val="2"/>
          </rPr>
          <t xml:space="preserve">
1Q25: 4.0
4Q24: 5.0</t>
        </r>
      </text>
    </comment>
    <comment ref="W170" authorId="1" shapeId="0" xr:uid="{20D440BA-70B0-4F73-A3A4-B84C4CA3E36C}">
      <text>
        <r>
          <rPr>
            <b/>
            <sz val="9"/>
            <color indexed="81"/>
            <rFont val="Tahoma"/>
            <family val="2"/>
          </rPr>
          <t xml:space="preserve">Donati, Justin </t>
        </r>
        <r>
          <rPr>
            <sz val="9"/>
            <color indexed="81"/>
            <rFont val="Tahoma"/>
            <family val="2"/>
          </rPr>
          <t xml:space="preserve">
1Q22: $(0.3MM)</t>
        </r>
      </text>
    </comment>
    <comment ref="X170" authorId="1" shapeId="0" xr:uid="{2F0E0ED5-2A30-4814-9325-6817C35E1803}">
      <text>
        <r>
          <rPr>
            <b/>
            <sz val="9"/>
            <color indexed="81"/>
            <rFont val="Tahoma"/>
            <family val="2"/>
          </rPr>
          <t xml:space="preserve">Donati, Justin </t>
        </r>
        <r>
          <rPr>
            <sz val="9"/>
            <color indexed="81"/>
            <rFont val="Tahoma"/>
            <family val="2"/>
          </rPr>
          <t xml:space="preserve">
2Q22: $(0.3MM)</t>
        </r>
      </text>
    </comment>
    <comment ref="Y170" authorId="1" shapeId="0" xr:uid="{892BC1DE-3504-42A4-90B7-C29AFA0EEE09}">
      <text>
        <r>
          <rPr>
            <b/>
            <sz val="9"/>
            <color indexed="81"/>
            <rFont val="Tahoma"/>
            <family val="2"/>
          </rPr>
          <t xml:space="preserve">Donati, Justin 
</t>
        </r>
        <r>
          <rPr>
            <sz val="9"/>
            <color indexed="81"/>
            <rFont val="Tahoma"/>
            <family val="2"/>
          </rPr>
          <t>3Q22: $(0.6)MM</t>
        </r>
      </text>
    </comment>
    <comment ref="AB170" authorId="3" shapeId="0" xr:uid="{AA3F986F-79EC-457D-8182-F8F2B746A99A}">
      <text>
        <r>
          <rPr>
            <b/>
            <sz val="9"/>
            <color indexed="81"/>
            <rFont val="Tahoma"/>
            <family val="2"/>
          </rPr>
          <t>Schwarz, Stefan A.:</t>
        </r>
        <r>
          <rPr>
            <sz val="9"/>
            <color indexed="81"/>
            <rFont val="Tahoma"/>
            <family val="2"/>
          </rPr>
          <t xml:space="preserve">
2Q23: (0.1)</t>
        </r>
      </text>
    </comment>
    <comment ref="AC170" authorId="2" shapeId="0" xr:uid="{9257AF32-10DF-4A52-84A3-A5ED5EA1EE92}">
      <text>
        <r>
          <rPr>
            <b/>
            <sz val="9"/>
            <color indexed="81"/>
            <rFont val="Tahoma"/>
            <family val="2"/>
          </rPr>
          <t>Nowinski, Andrew:</t>
        </r>
        <r>
          <rPr>
            <sz val="9"/>
            <color indexed="81"/>
            <rFont val="Tahoma"/>
            <family val="2"/>
          </rPr>
          <t xml:space="preserve">
3Q23: 0</t>
        </r>
      </text>
    </comment>
    <comment ref="AD170" authorId="3" shapeId="0" xr:uid="{AA4A61F6-5B60-43B3-B004-0A703A11BF49}">
      <text>
        <r>
          <rPr>
            <b/>
            <sz val="9"/>
            <color indexed="81"/>
            <rFont val="Tahoma"/>
            <family val="2"/>
          </rPr>
          <t>Schwarz, Stefan A.:</t>
        </r>
        <r>
          <rPr>
            <sz val="9"/>
            <color indexed="81"/>
            <rFont val="Tahoma"/>
            <family val="2"/>
          </rPr>
          <t xml:space="preserve">
4Q23: 0.3</t>
        </r>
      </text>
    </comment>
    <comment ref="AE170" authorId="3" shapeId="0" xr:uid="{C535E44D-D0E7-40CD-A0AF-ACCB76657277}">
      <text>
        <r>
          <rPr>
            <b/>
            <sz val="9"/>
            <color indexed="81"/>
            <rFont val="Tahoma"/>
            <family val="2"/>
          </rPr>
          <t>Schwarz, Stefan A.:</t>
        </r>
        <r>
          <rPr>
            <sz val="9"/>
            <color indexed="81"/>
            <rFont val="Tahoma"/>
            <family val="2"/>
          </rPr>
          <t xml:space="preserve">
1Q24: (0.1)</t>
        </r>
      </text>
    </comment>
    <comment ref="AG170" authorId="4" shapeId="0" xr:uid="{2C0BEA8B-29C0-4364-B4F9-C9F03409C495}">
      <text>
        <r>
          <rPr>
            <b/>
            <sz val="9"/>
            <color indexed="81"/>
            <rFont val="Tahoma"/>
            <family val="2"/>
          </rPr>
          <t>Srinivasraghavan, Vinod:</t>
        </r>
        <r>
          <rPr>
            <sz val="9"/>
            <color indexed="81"/>
            <rFont val="Tahoma"/>
            <family val="2"/>
          </rPr>
          <t xml:space="preserve">
-0.1</t>
        </r>
      </text>
    </comment>
    <comment ref="AZ170" authorId="1" shapeId="0" xr:uid="{F9BE3B9B-E252-4E2D-8E10-6714ABCCB6D1}">
      <text>
        <r>
          <rPr>
            <b/>
            <sz val="9"/>
            <color indexed="81"/>
            <rFont val="Tahoma"/>
            <family val="2"/>
          </rPr>
          <t xml:space="preserve">Donati, Justin 
</t>
        </r>
        <r>
          <rPr>
            <sz val="9"/>
            <color indexed="81"/>
            <rFont val="Tahoma"/>
            <family val="2"/>
          </rPr>
          <t>3Q22: $(4.9MM)
2Q22: $(4.0MM)</t>
        </r>
        <r>
          <rPr>
            <b/>
            <sz val="9"/>
            <color indexed="81"/>
            <rFont val="Tahoma"/>
            <family val="2"/>
          </rPr>
          <t xml:space="preserve">
</t>
        </r>
        <r>
          <rPr>
            <sz val="9"/>
            <color indexed="81"/>
            <rFont val="Tahoma"/>
            <family val="2"/>
          </rPr>
          <t>1Q22: $(1.5MM)</t>
        </r>
      </text>
    </comment>
    <comment ref="BA170" authorId="3" shapeId="0" xr:uid="{F27E61AF-30D8-4657-9E76-E85F9D897C70}">
      <text>
        <r>
          <rPr>
            <b/>
            <sz val="9"/>
            <color indexed="81"/>
            <rFont val="Tahoma"/>
            <family val="2"/>
          </rPr>
          <t>Schwarz, Stefan A.:</t>
        </r>
        <r>
          <rPr>
            <sz val="9"/>
            <color indexed="81"/>
            <rFont val="Tahoma"/>
            <family val="2"/>
          </rPr>
          <t xml:space="preserve">
3Q23: (0.2)
2Q23: (0.2)</t>
        </r>
      </text>
    </comment>
    <comment ref="BB170" authorId="3" shapeId="0" xr:uid="{6BAA84CF-60C1-4EF2-9E21-1EA3CE3B11C2}">
      <text>
        <r>
          <rPr>
            <b/>
            <sz val="9"/>
            <color indexed="81"/>
            <rFont val="Tahoma"/>
            <family val="2"/>
          </rPr>
          <t>Schwarz, Stefan A.:</t>
        </r>
        <r>
          <rPr>
            <sz val="9"/>
            <color indexed="81"/>
            <rFont val="Tahoma"/>
            <family val="2"/>
          </rPr>
          <t xml:space="preserve">
2Q24: 
1Q24: (0.2)
4Q23: 1.0</t>
        </r>
      </text>
    </comment>
    <comment ref="W171" authorId="1" shapeId="0" xr:uid="{06A1C403-8272-4656-8B76-51D0EDE72B17}">
      <text>
        <r>
          <rPr>
            <b/>
            <sz val="9"/>
            <color indexed="81"/>
            <rFont val="Tahoma"/>
            <family val="2"/>
          </rPr>
          <t xml:space="preserve">Donati, Justin 
</t>
        </r>
        <r>
          <rPr>
            <sz val="9"/>
            <color indexed="81"/>
            <rFont val="Tahoma"/>
            <family val="2"/>
          </rPr>
          <t>1Q22: 0.6MM</t>
        </r>
      </text>
    </comment>
    <comment ref="X171" authorId="1" shapeId="0" xr:uid="{10D3B3E0-A688-4110-B2E0-F0C1BEBD79D9}">
      <text>
        <r>
          <rPr>
            <b/>
            <sz val="9"/>
            <color indexed="81"/>
            <rFont val="Tahoma"/>
            <family val="2"/>
          </rPr>
          <t xml:space="preserve">Donati, Justin 
</t>
        </r>
        <r>
          <rPr>
            <sz val="9"/>
            <color indexed="81"/>
            <rFont val="Tahoma"/>
            <family val="2"/>
          </rPr>
          <t>2Q22: $0.5MM</t>
        </r>
      </text>
    </comment>
    <comment ref="Y171" authorId="1" shapeId="0" xr:uid="{0046F004-8A73-4F50-BDCD-D3B1C23FBB42}">
      <text>
        <r>
          <rPr>
            <b/>
            <sz val="9"/>
            <color indexed="81"/>
            <rFont val="Tahoma"/>
            <family val="2"/>
          </rPr>
          <t xml:space="preserve">Donati, Justin 
</t>
        </r>
        <r>
          <rPr>
            <sz val="9"/>
            <color indexed="81"/>
            <rFont val="Tahoma"/>
            <family val="2"/>
          </rPr>
          <t>3Q22: $0.7MM</t>
        </r>
      </text>
    </comment>
    <comment ref="AZ171" authorId="1" shapeId="0" xr:uid="{9359F7FC-FEBB-4E6B-8AC6-52A8108B6AB9}">
      <text>
        <r>
          <rPr>
            <b/>
            <sz val="9"/>
            <color indexed="81"/>
            <rFont val="Tahoma"/>
            <family val="2"/>
          </rPr>
          <t xml:space="preserve">Donati, Justin 
</t>
        </r>
        <r>
          <rPr>
            <sz val="9"/>
            <color indexed="81"/>
            <rFont val="Tahoma"/>
            <family val="2"/>
          </rPr>
          <t>3Q22: $2.8MM
2Q22: $2.9MM</t>
        </r>
        <r>
          <rPr>
            <b/>
            <sz val="9"/>
            <color indexed="81"/>
            <rFont val="Tahoma"/>
            <family val="2"/>
          </rPr>
          <t xml:space="preserve">
</t>
        </r>
        <r>
          <rPr>
            <sz val="9"/>
            <color indexed="81"/>
            <rFont val="Tahoma"/>
            <family val="2"/>
          </rPr>
          <t>1Q22: $2.9MM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Srinivasaraghavan, Vinod</author>
    <author>Donati, Justin [WELLS FARGO SEC RES CONS]</author>
    <author>Nowinski, Andrew</author>
    <author>tc={940282A8-C743-47F5-8CD1-1A3FE877E8E1}</author>
    <author>tc={BC82EE2E-86A3-4FEC-B57F-BC16C92D4662}</author>
    <author>Schwarz, Stefan A.</author>
  </authors>
  <commentList>
    <comment ref="BC7" authorId="0" shapeId="0" xr:uid="{C87889BA-29EE-439B-A1F0-D5E3E5083F05}">
      <text>
        <r>
          <rPr>
            <b/>
            <sz val="9"/>
            <color indexed="81"/>
            <rFont val="Tahoma"/>
            <family val="2"/>
          </rPr>
          <t>Srinivasaraghavan, Vinod:</t>
        </r>
        <r>
          <rPr>
            <sz val="9"/>
            <color indexed="81"/>
            <rFont val="Tahoma"/>
            <family val="2"/>
          </rPr>
          <t xml:space="preserve">
4Q24: guide midpoint is 8.4% Y/Y (Vulcan adds an add'l 50bps)</t>
        </r>
      </text>
    </comment>
    <comment ref="AH10" authorId="0" shapeId="0" xr:uid="{D573AC7D-33A3-4EFA-B7DE-170C42536FCC}">
      <text>
        <r>
          <rPr>
            <b/>
            <sz val="9"/>
            <color indexed="81"/>
            <rFont val="Tahoma"/>
            <family val="2"/>
          </rPr>
          <t>Srinivasaraghavan, Vinod:</t>
        </r>
        <r>
          <rPr>
            <sz val="9"/>
            <color indexed="81"/>
            <rFont val="Tahoma"/>
            <family val="2"/>
          </rPr>
          <t xml:space="preserve">
2/7/25: revised to 233-235 w/ Vulcan, was 232-234 prior</t>
        </r>
      </text>
    </comment>
    <comment ref="AY10" authorId="1" shapeId="0" xr:uid="{02080375-262B-4371-8E85-D91933274701}">
      <text>
        <r>
          <rPr>
            <b/>
            <sz val="9"/>
            <color indexed="81"/>
            <rFont val="Tahoma"/>
            <family val="2"/>
          </rPr>
          <t xml:space="preserve">Donati, Justin 
</t>
        </r>
        <r>
          <rPr>
            <sz val="9"/>
            <color indexed="81"/>
            <rFont val="Tahoma"/>
            <family val="2"/>
          </rPr>
          <t>3Q21: $535.1 - 537.1MM
2Q21: $528.0 - 531.0MM
1Q21: $520.0 - 524.0MM
4Q20: $510.0 - 515.0MM</t>
        </r>
      </text>
    </comment>
    <comment ref="AZ10" authorId="2" shapeId="0" xr:uid="{996263A3-743C-4712-83C9-E7E094F33CDB}">
      <text>
        <r>
          <rPr>
            <b/>
            <sz val="9"/>
            <color indexed="81"/>
            <rFont val="Tahoma"/>
            <family val="2"/>
          </rPr>
          <t>Nowinski, Andrew:</t>
        </r>
        <r>
          <rPr>
            <sz val="9"/>
            <color indexed="81"/>
            <rFont val="Tahoma"/>
            <family val="2"/>
          </rPr>
          <t xml:space="preserve">
3Q22: $678.6 - 680.6
2Q22: $673.0 - 679.0
1Q22: $673.0 - 679.0
4Q21: $662.0 - 670.0</t>
        </r>
      </text>
    </comment>
    <comment ref="BA10" authorId="2" shapeId="0" xr:uid="{6A92BF12-6FA5-4021-813A-3C7E6761E024}">
      <text>
        <r>
          <rPr>
            <b/>
            <sz val="9"/>
            <color indexed="81"/>
            <rFont val="Tahoma"/>
            <family val="2"/>
          </rPr>
          <t>Nowinski, Andrew:</t>
        </r>
        <r>
          <rPr>
            <sz val="9"/>
            <color indexed="81"/>
            <rFont val="Tahoma"/>
            <family val="2"/>
          </rPr>
          <t xml:space="preserve">
3Q23: 789.4-793.4
2Q23: 783-791
1Q23: 775-785
4Q22: 800-810
12/15/21 (Analyst Day): 20%+ CAGR through 2025</t>
        </r>
      </text>
    </comment>
    <comment ref="BB10" authorId="2" shapeId="0" xr:uid="{EEAAA4E8-92F1-4D65-8402-FD722894143E}">
      <text>
        <r>
          <rPr>
            <b/>
            <sz val="9"/>
            <color indexed="81"/>
            <rFont val="Tahoma"/>
            <family val="2"/>
          </rPr>
          <t>Nowinski, Andrew:</t>
        </r>
        <r>
          <rPr>
            <sz val="9"/>
            <color indexed="81"/>
            <rFont val="Tahoma"/>
            <family val="2"/>
          </rPr>
          <t xml:space="preserve">
3Q24: 893.3-897.3
2Q24: 889-895
1Q24: 900-908
4Q23: 895-905
9/7 (Ermetic acq.): Ermetic acquisition to 1 point to growth
12/15/21 (Analyst Day): 20%+ CAGR through 2025</t>
        </r>
      </text>
    </comment>
    <comment ref="BC10" authorId="2" shapeId="0" xr:uid="{EB263C63-816F-4179-8368-441E76A48D1A}">
      <text>
        <r>
          <rPr>
            <b/>
            <sz val="9"/>
            <color indexed="81"/>
            <rFont val="Tahoma"/>
            <family val="2"/>
          </rPr>
          <t>Nowinski, Andrew:</t>
        </r>
        <r>
          <rPr>
            <sz val="9"/>
            <color indexed="81"/>
            <rFont val="Tahoma"/>
            <family val="2"/>
          </rPr>
          <t xml:space="preserve">
3Q25: 988-992
4/29/25: $970-$980
2/7/25: revised to 975-985 after Vulcan closed
4Q24: $971-$981 (Vulcan will add 50bps in 2H, not included yet)
9/7 (Ermetic acq.): Ermetic acquisition to 1 point to growth
12/15/21 (Analyst Day): 20%+ CAGR through 2025</t>
        </r>
      </text>
    </comment>
    <comment ref="V38" authorId="2" shapeId="0" xr:uid="{01BCE6FE-5C12-43F6-B9C8-3C67EC30E0D8}">
      <text>
        <r>
          <rPr>
            <b/>
            <sz val="9"/>
            <color indexed="81"/>
            <rFont val="Tahoma"/>
            <family val="2"/>
          </rPr>
          <t>Nowinski, Andrew:</t>
        </r>
        <r>
          <rPr>
            <sz val="9"/>
            <color indexed="81"/>
            <rFont val="Tahoma"/>
            <family val="2"/>
          </rPr>
          <t xml:space="preserve">
1Q22: Added $0.137 due to the contribution from Cymptom</t>
        </r>
      </text>
    </comment>
    <comment ref="W38" authorId="1" shapeId="0" xr:uid="{471089F9-8E71-4400-9B9B-5119D6907B95}">
      <text>
        <r>
          <rPr>
            <b/>
            <sz val="9"/>
            <color indexed="81"/>
            <rFont val="Tahoma"/>
            <family val="2"/>
          </rPr>
          <t xml:space="preserve">Donati, Justin 
</t>
        </r>
        <r>
          <rPr>
            <sz val="9"/>
            <color indexed="81"/>
            <rFont val="Tahoma"/>
            <family val="2"/>
          </rPr>
          <t>2Q22: Added $0.808MM due to the contribution from Cymptom</t>
        </r>
      </text>
    </comment>
    <comment ref="AH38" authorId="0" shapeId="0" xr:uid="{6DA2F3B0-E4F8-44C3-88C6-19C6DFEE3267}">
      <text>
        <r>
          <rPr>
            <b/>
            <sz val="9"/>
            <color indexed="81"/>
            <rFont val="Tahoma"/>
            <family val="2"/>
          </rPr>
          <t>Srinivasaraghavan, Vinod:</t>
        </r>
        <r>
          <rPr>
            <sz val="9"/>
            <color indexed="81"/>
            <rFont val="Tahoma"/>
            <family val="2"/>
          </rPr>
          <t xml:space="preserve">
Incl. $6,629 of acquired deferred revenue</t>
        </r>
      </text>
    </comment>
    <comment ref="BC41" authorId="3" shapeId="0" xr:uid="{940282A8-C743-47F5-8CD1-1A3FE877E8E1}">
      <text>
        <t>[Threaded comment]
Your version of Excel allows you to read this threaded comment; however, any edits to it will get removed if the file is opened in a newer version of Excel. Learn more: https://go.microsoft.com/fwlink/?linkid=870924
Comment:
    1.038-1.048</t>
      </text>
    </comment>
    <comment ref="BD41" authorId="4" shapeId="0" xr:uid="{BC82EE2E-86A3-4FEC-B57F-BC16C92D4662}">
      <text>
        <t xml:space="preserve">[Threaded comment]
Your version of Excel allows you to read this threaded comment; however, any edits to it will get removed if the file is opened in a newer version of Excel. Learn more: https://go.microsoft.com/fwlink/?linkid=870924
Comment:
    As discussed previously, changes in billing duration due to the shift to annual installment billing is creating negative distortion in calculated current billings that fails to accurately represent our growth rate, and we have transitioned away from relying on calculated current billings to monitor performance of our business. Consequently, we will no longer provide a specific guidance range for calculated current billings in 2026 and forward. However, while we will not provide a specific guidance range, we expect full year 2026 calculated current billings will be in line with current consensus expectations, despite the anticipated billings duration headwinds. </t>
      </text>
    </comment>
    <comment ref="AA43" authorId="2" shapeId="0" xr:uid="{5A807734-EBE1-4F7B-B6C9-5329B5A94F4E}">
      <text>
        <r>
          <rPr>
            <b/>
            <sz val="9"/>
            <color indexed="81"/>
            <rFont val="Tahoma"/>
            <family val="2"/>
          </rPr>
          <t>Nowinski, Andrew:</t>
        </r>
        <r>
          <rPr>
            <sz val="9"/>
            <color indexed="81"/>
            <rFont val="Tahoma"/>
            <family val="2"/>
          </rPr>
          <t xml:space="preserve">
1Q23: slightly lower than the 13-14% guidance for the year</t>
        </r>
      </text>
    </comment>
    <comment ref="BB43" authorId="5" shapeId="0" xr:uid="{F98DAD7A-569A-46B8-A9AC-BBD1BE85FE1F}">
      <text>
        <r>
          <rPr>
            <b/>
            <sz val="9"/>
            <color indexed="81"/>
            <rFont val="Tahoma"/>
            <family val="2"/>
          </rPr>
          <t>Schwarz, Stefan A.:</t>
        </r>
        <r>
          <rPr>
            <sz val="9"/>
            <color indexed="81"/>
            <rFont val="Tahoma"/>
            <family val="2"/>
          </rPr>
          <t xml:space="preserve">
4Q23: expect growth to accelerate modestly throughout the year</t>
        </r>
      </text>
    </comment>
    <comment ref="BC43" authorId="0" shapeId="0" xr:uid="{07D48ADA-FF94-4F8F-8B1B-43146D15125B}">
      <text>
        <r>
          <rPr>
            <b/>
            <sz val="9"/>
            <color indexed="81"/>
            <rFont val="Tahoma"/>
            <family val="2"/>
          </rPr>
          <t>Srinivasaraghavan, Vinod:</t>
        </r>
        <r>
          <rPr>
            <sz val="9"/>
            <color indexed="81"/>
            <rFont val="Tahoma"/>
            <family val="2"/>
          </rPr>
          <t xml:space="preserve">
2Q25: 1.043-1.048; raising by 0.8%
4Q24: CCB midpoint is 8% (50bps add'l from Vulcan)</t>
        </r>
      </text>
    </comment>
    <comment ref="AY46" authorId="1" shapeId="0" xr:uid="{41269FDB-02AC-494D-A1B8-439E5C6EFCF3}">
      <text>
        <r>
          <rPr>
            <b/>
            <sz val="9"/>
            <color indexed="81"/>
            <rFont val="Tahoma"/>
            <family val="2"/>
          </rPr>
          <t xml:space="preserve">Donati, Justin 
</t>
        </r>
        <r>
          <rPr>
            <sz val="9"/>
            <color indexed="81"/>
            <rFont val="Tahoma"/>
            <family val="2"/>
          </rPr>
          <t>3Q21: $602.0 - 605.0MM
2Q21: $590.0 - 595.0MM
1Q21: $575.0 - 585.0MM
4Q20: $565.0 - 575.0MM</t>
        </r>
      </text>
    </comment>
    <comment ref="AZ46" authorId="1" shapeId="0" xr:uid="{5BCF6249-16B5-4334-A9C9-648B7E836B31}">
      <text>
        <r>
          <rPr>
            <b/>
            <sz val="9"/>
            <color indexed="81"/>
            <rFont val="Tahoma"/>
            <family val="2"/>
          </rPr>
          <t xml:space="preserve">Donati, Justin </t>
        </r>
        <r>
          <rPr>
            <sz val="9"/>
            <color indexed="81"/>
            <rFont val="Tahoma"/>
            <family val="2"/>
          </rPr>
          <t xml:space="preserve">
3Q22: $768.0 - 776.0MM
2Q22: $768.0 - 776.0MM
1Q22: $764.0 - 772.0MM
4Q21: $750.0 - 760.0MM</t>
        </r>
      </text>
    </comment>
    <comment ref="BA46" authorId="5" shapeId="0" xr:uid="{2CE01413-12A9-427D-B1A1-E67EA4DD6A5F}">
      <text>
        <r>
          <rPr>
            <b/>
            <sz val="9"/>
            <color indexed="81"/>
            <rFont val="Tahoma"/>
            <family val="2"/>
          </rPr>
          <t>Schwarz, Stefan A.:</t>
        </r>
        <r>
          <rPr>
            <sz val="9"/>
            <color indexed="81"/>
            <rFont val="Tahoma"/>
            <family val="2"/>
          </rPr>
          <t xml:space="preserve">
3Q23: 862-870
2Q23: 879-887
1Q23: 875-885
4Q22: 915-925</t>
        </r>
      </text>
    </comment>
    <comment ref="BB46" authorId="2" shapeId="0" xr:uid="{F6DB5C65-68DA-4177-B53E-B2B10E09269C}">
      <text>
        <r>
          <rPr>
            <b/>
            <sz val="9"/>
            <color indexed="81"/>
            <rFont val="Tahoma"/>
            <family val="2"/>
          </rPr>
          <t>Nowinski, Andrew:</t>
        </r>
        <r>
          <rPr>
            <sz val="9"/>
            <color indexed="81"/>
            <rFont val="Tahoma"/>
            <family val="2"/>
          </rPr>
          <t xml:space="preserve">
3Q24: 957-967
2Q24: 957-967
1Q24: 986-994
4Q23: 982-992
3Q23: mid-teens growth
9/7 (Ermetic aqcn): Ermetic acquisition to add 2 points to growth</t>
        </r>
      </text>
    </comment>
    <comment ref="BC46" authorId="0" shapeId="0" xr:uid="{36FC57F7-D75F-4322-9690-7A0E9D2DA90C}">
      <text>
        <r>
          <rPr>
            <b/>
            <sz val="9"/>
            <color indexed="81"/>
            <rFont val="Tahoma"/>
            <family val="2"/>
          </rPr>
          <t>Srinivasaraghavan, Vinod:</t>
        </r>
        <r>
          <rPr>
            <sz val="9"/>
            <color indexed="81"/>
            <rFont val="Tahoma"/>
            <family val="2"/>
          </rPr>
          <t xml:space="preserve">
4/29/25: $1,025-$1,045
2/7/25: revised w/ Vulcan to $1,045 -$1,060
4Q24: $1,040-$1,055 (Vulcan adds an incremental 50bps on top of this in 2H)</t>
        </r>
      </text>
    </comment>
    <comment ref="E67" authorId="1" shapeId="0" xr:uid="{145C4EC5-88F7-4F9A-8AD7-8305C5CB5F52}">
      <text>
        <r>
          <rPr>
            <b/>
            <sz val="9"/>
            <color indexed="81"/>
            <rFont val="Tahoma"/>
            <family val="2"/>
          </rPr>
          <t xml:space="preserve">Donati, Justin 
</t>
        </r>
        <r>
          <rPr>
            <sz val="9"/>
            <color indexed="81"/>
            <rFont val="Tahoma"/>
            <family val="2"/>
          </rPr>
          <t xml:space="preserve">Tenable had over 21,000 customers as of December 2016 </t>
        </r>
      </text>
    </comment>
    <comment ref="AU67" authorId="1" shapeId="0" xr:uid="{C8187E8E-C3F1-476C-A454-F033569F24D9}">
      <text>
        <r>
          <rPr>
            <b/>
            <sz val="9"/>
            <color indexed="81"/>
            <rFont val="Tahoma"/>
            <family val="2"/>
          </rPr>
          <t xml:space="preserve">Donati, Justin 
</t>
        </r>
        <r>
          <rPr>
            <sz val="9"/>
            <color indexed="81"/>
            <rFont val="Tahoma"/>
            <family val="2"/>
          </rPr>
          <t xml:space="preserve">Tenable had over 21,000 customers as of December 2016 </t>
        </r>
      </text>
    </comment>
    <comment ref="E72" authorId="1" shapeId="0" xr:uid="{83FEF34B-84A7-48AF-83D2-5D2D4E4E95D7}">
      <text>
        <r>
          <rPr>
            <b/>
            <sz val="9"/>
            <color indexed="81"/>
            <rFont val="Tahoma"/>
            <family val="2"/>
          </rPr>
          <t xml:space="preserve">Donati, Justin 
</t>
        </r>
        <r>
          <rPr>
            <sz val="9"/>
            <color indexed="81"/>
            <rFont val="Tahoma"/>
            <family val="2"/>
          </rPr>
          <t xml:space="preserve">Tenable had over 3,100 enterprise platform customers as of December 2016 </t>
        </r>
      </text>
    </comment>
    <comment ref="AU72" authorId="1" shapeId="0" xr:uid="{51D7EED5-A3DB-44AA-B801-47B9C48CA0CC}">
      <text>
        <r>
          <rPr>
            <b/>
            <sz val="9"/>
            <color indexed="81"/>
            <rFont val="Tahoma"/>
            <family val="2"/>
          </rPr>
          <t xml:space="preserve">Donati, Justin 
</t>
        </r>
        <r>
          <rPr>
            <sz val="9"/>
            <color indexed="81"/>
            <rFont val="Tahoma"/>
            <family val="2"/>
          </rPr>
          <t xml:space="preserve">Tenable had over 3,100 enterprise platform customers as of December 2016 </t>
        </r>
      </text>
    </comment>
    <comment ref="S73" authorId="1" shapeId="0" xr:uid="{9E0987B8-C03B-4839-9DC2-18840053CA62}">
      <text>
        <r>
          <rPr>
            <b/>
            <sz val="9"/>
            <color indexed="81"/>
            <rFont val="Tahoma"/>
            <family val="2"/>
          </rPr>
          <t xml:space="preserve">Donati, Justin 
</t>
        </r>
        <r>
          <rPr>
            <sz val="9"/>
            <color indexed="81"/>
            <rFont val="Tahoma"/>
            <family val="2"/>
          </rPr>
          <t>Included 91 legacy Alsid customers</t>
        </r>
      </text>
    </comment>
    <comment ref="AH73" authorId="0" shapeId="0" xr:uid="{F8DFCEB6-7CF7-42CD-AEA6-8B6C41D68728}">
      <text>
        <r>
          <rPr>
            <b/>
            <sz val="9"/>
            <color indexed="81"/>
            <rFont val="Tahoma"/>
            <family val="2"/>
          </rPr>
          <t>Srinivasaraghavan, Vinod:</t>
        </r>
        <r>
          <rPr>
            <sz val="9"/>
            <color indexed="81"/>
            <rFont val="Tahoma"/>
            <family val="2"/>
          </rPr>
          <t xml:space="preserve">
Includes 26 legacy Vulcan customers</t>
        </r>
      </text>
    </comment>
    <comment ref="AU73" authorId="1" shapeId="0" xr:uid="{31598F5A-3178-41AA-8C29-9E4DC4347341}">
      <text>
        <r>
          <rPr>
            <b/>
            <sz val="9"/>
            <color indexed="81"/>
            <rFont val="Tahoma"/>
            <family val="2"/>
          </rPr>
          <t xml:space="preserve">Donati, Justin 
</t>
        </r>
        <r>
          <rPr>
            <sz val="9"/>
            <color indexed="81"/>
            <rFont val="Tahoma"/>
            <family val="2"/>
          </rPr>
          <t>Tenable added 1,017 enterprise platform customers in 2017</t>
        </r>
      </text>
    </comment>
    <comment ref="AY73" authorId="5" shapeId="0" xr:uid="{FEF8FB09-C9AC-42E4-9421-9CE907C9B536}">
      <text>
        <r>
          <rPr>
            <b/>
            <sz val="9"/>
            <color indexed="81"/>
            <rFont val="Tahoma"/>
            <family val="2"/>
          </rPr>
          <t>Schwarz, Stefan A.:</t>
        </r>
        <r>
          <rPr>
            <sz val="9"/>
            <color indexed="81"/>
            <rFont val="Tahoma"/>
            <family val="2"/>
          </rPr>
          <t xml:space="preserve">
FY23 10K: 95 legacy customers from companies acquired in 2021</t>
        </r>
      </text>
    </comment>
    <comment ref="BA73" authorId="5" shapeId="0" xr:uid="{71553CDC-D000-4CA7-8262-01CAB5050F41}">
      <text>
        <r>
          <rPr>
            <b/>
            <sz val="9"/>
            <color indexed="81"/>
            <rFont val="Tahoma"/>
            <family val="2"/>
          </rPr>
          <t>Schwarz, Stefan A.:</t>
        </r>
        <r>
          <rPr>
            <sz val="9"/>
            <color indexed="81"/>
            <rFont val="Tahoma"/>
            <family val="2"/>
          </rPr>
          <t xml:space="preserve">
FY23 10K: 104 legacy customers from companies acquired</t>
        </r>
      </text>
    </comment>
    <comment ref="E77" authorId="1" shapeId="0" xr:uid="{098F0DB8-A7E0-4BE0-A7E9-649D9F64AC41}">
      <text>
        <r>
          <rPr>
            <b/>
            <sz val="9"/>
            <color indexed="81"/>
            <rFont val="Tahoma"/>
            <family val="2"/>
          </rPr>
          <t xml:space="preserve">Donati, Justin 
</t>
        </r>
        <r>
          <rPr>
            <sz val="9"/>
            <color indexed="81"/>
            <rFont val="Tahoma"/>
            <family val="2"/>
          </rPr>
          <t>Tenable had 124 customers &gt;$100K as of December 2016 and 45 as of December 2015</t>
        </r>
      </text>
    </comment>
    <comment ref="AU77" authorId="1" shapeId="0" xr:uid="{46BA26A7-355D-4192-B6E1-7B35B350DF58}">
      <text>
        <r>
          <rPr>
            <b/>
            <sz val="9"/>
            <color indexed="81"/>
            <rFont val="Tahoma"/>
            <family val="2"/>
          </rPr>
          <t xml:space="preserve">Donati, Justin 
</t>
        </r>
        <r>
          <rPr>
            <sz val="9"/>
            <color indexed="81"/>
            <rFont val="Tahoma"/>
            <family val="2"/>
          </rPr>
          <t>Tenable had 124 customers &gt;$100K as of December 2016 and 45 as of December 2015</t>
        </r>
      </text>
    </comment>
    <comment ref="AC78" authorId="5" shapeId="0" xr:uid="{8A9E87AB-94C2-473B-9C9A-EDECDF79EB62}">
      <text>
        <r>
          <rPr>
            <b/>
            <sz val="9"/>
            <color indexed="81"/>
            <rFont val="Tahoma"/>
            <family val="2"/>
          </rPr>
          <t>Schwarz, Stefan A.:</t>
        </r>
        <r>
          <rPr>
            <sz val="9"/>
            <color indexed="81"/>
            <rFont val="Tahoma"/>
            <family val="2"/>
          </rPr>
          <t xml:space="preserve">
4Q23: includes 104 eneterprise customers and 15 six-figure customers from Ermetic</t>
        </r>
      </text>
    </comment>
    <comment ref="E111" authorId="1" shapeId="0" xr:uid="{4949C952-F54E-4E1B-9F12-92D9CCCEC583}">
      <text>
        <r>
          <rPr>
            <b/>
            <sz val="9"/>
            <color indexed="81"/>
            <rFont val="Tahoma"/>
            <family val="2"/>
          </rPr>
          <t xml:space="preserve">Donati, Justin 
</t>
        </r>
        <r>
          <rPr>
            <sz val="9"/>
            <color indexed="81"/>
            <rFont val="Tahoma"/>
            <family val="2"/>
          </rPr>
          <t>Tenable had 751 employees as of December 2016</t>
        </r>
      </text>
    </comment>
    <comment ref="AU111" authorId="1" shapeId="0" xr:uid="{A0039B37-6804-4128-95A0-455743A388D5}">
      <text>
        <r>
          <rPr>
            <b/>
            <sz val="9"/>
            <color indexed="81"/>
            <rFont val="Tahoma"/>
            <family val="2"/>
          </rPr>
          <t xml:space="preserve">Donati, Justin 
</t>
        </r>
        <r>
          <rPr>
            <sz val="9"/>
            <color indexed="81"/>
            <rFont val="Tahoma"/>
            <family val="2"/>
          </rPr>
          <t>Tenable had 751 employees as of December 2016</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Schwarz, Stefan A.</author>
  </authors>
  <commentList>
    <comment ref="AC41" authorId="0" shapeId="0" xr:uid="{F2E09C34-CCE0-4C73-8EF1-B147E3D46983}">
      <text>
        <r>
          <rPr>
            <b/>
            <sz val="9"/>
            <color indexed="81"/>
            <rFont val="Tahoma"/>
            <family val="2"/>
          </rPr>
          <t>Schwarz, Stefan A.:</t>
        </r>
        <r>
          <rPr>
            <sz val="9"/>
            <color indexed="81"/>
            <rFont val="Tahoma"/>
            <family val="2"/>
          </rPr>
          <t xml:space="preserve">
-14.934 Treasury stock</t>
        </r>
      </text>
    </comment>
    <comment ref="AD41" authorId="0" shapeId="0" xr:uid="{037D6103-5320-4B45-BFB3-49F68129008C}">
      <text>
        <r>
          <rPr>
            <b/>
            <sz val="9"/>
            <color indexed="81"/>
            <rFont val="Tahoma"/>
            <family val="2"/>
          </rPr>
          <t>Schwarz, Stefan A.:</t>
        </r>
        <r>
          <rPr>
            <sz val="9"/>
            <color indexed="81"/>
            <rFont val="Tahoma"/>
            <family val="2"/>
          </rPr>
          <t xml:space="preserve">
-39.925 treasury stock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Schwarz, Stefan A.</author>
    <author>Srinivasaraghavan, Vinod</author>
    <author>Nowinski, Andrew</author>
    <author>tc={A3693296-939E-48C9-B037-08F3C8F934EF}</author>
    <author>tc={0C57D4B4-AD90-4CBF-92FF-40B04C3BC372}</author>
    <author>Donati, Justin [WELLS FARGO SEC RES CONS]</author>
  </authors>
  <commentList>
    <comment ref="BA20" authorId="0" shapeId="0" xr:uid="{3D31B477-8A82-45CE-A1BD-B98C312092B6}">
      <text>
        <r>
          <rPr>
            <b/>
            <sz val="9"/>
            <color indexed="81"/>
            <rFont val="Tahoma"/>
            <family val="2"/>
          </rPr>
          <t>Schwarz, Stefan A.:</t>
        </r>
        <r>
          <rPr>
            <sz val="9"/>
            <color indexed="81"/>
            <rFont val="Tahoma"/>
            <family val="2"/>
          </rPr>
          <t xml:space="preserve">
3Q23: 143.4-148.4 = 145.9
2Q23: 156.0-161.0 = 158.5
1Q23: 149.8-154.8 = 152.3</t>
        </r>
      </text>
    </comment>
    <comment ref="BB20" authorId="0" shapeId="0" xr:uid="{1176DF76-4175-4430-A56A-F16998108EBF}">
      <text>
        <r>
          <rPr>
            <b/>
            <sz val="9"/>
            <color indexed="81"/>
            <rFont val="Tahoma"/>
            <family val="2"/>
          </rPr>
          <t>Schwarz, Stefan A.:</t>
        </r>
        <r>
          <rPr>
            <sz val="9"/>
            <color indexed="81"/>
            <rFont val="Tahoma"/>
            <family val="2"/>
          </rPr>
          <t xml:space="preserve">
2Q24: 206.2-216.2
1Q24: 202-212
4Q23: 201-211</t>
        </r>
      </text>
    </comment>
    <comment ref="BC20" authorId="1" shapeId="0" xr:uid="{BF9C5A82-4B8E-445A-B283-C6B40E3E72A9}">
      <text>
        <r>
          <rPr>
            <b/>
            <sz val="9"/>
            <color indexed="81"/>
            <rFont val="Tahoma"/>
            <family val="2"/>
          </rPr>
          <t>Srinivasaraghavan, Vinod:</t>
        </r>
        <r>
          <rPr>
            <sz val="9"/>
            <color indexed="81"/>
            <rFont val="Tahoma"/>
            <family val="2"/>
          </rPr>
          <t xml:space="preserve">
1Q25: 256-266 = 261
4Q24: 278-288 (standalone TENB)</t>
        </r>
      </text>
    </comment>
    <comment ref="AZ23" authorId="0" shapeId="0" xr:uid="{8110AFF4-5627-4067-B5CF-41E377D986D9}">
      <text>
        <r>
          <rPr>
            <b/>
            <sz val="9"/>
            <color indexed="81"/>
            <rFont val="Tahoma"/>
            <family val="2"/>
          </rPr>
          <t>Schwarz, Stefan A.:</t>
        </r>
        <r>
          <rPr>
            <sz val="9"/>
            <color indexed="81"/>
            <rFont val="Tahoma"/>
            <family val="2"/>
          </rPr>
          <t xml:space="preserve">
Purchases of property and equipment: $9.359MM
Capitalized software development costs: $9.789MM</t>
        </r>
      </text>
    </comment>
    <comment ref="BA23" authorId="0" shapeId="0" xr:uid="{3098DFFF-20C9-4976-9989-3CBF22476895}">
      <text>
        <r>
          <rPr>
            <b/>
            <sz val="9"/>
            <color indexed="81"/>
            <rFont val="Tahoma"/>
            <family val="2"/>
          </rPr>
          <t>Schwarz, Stefan A.:</t>
        </r>
        <r>
          <rPr>
            <sz val="9"/>
            <color indexed="81"/>
            <rFont val="Tahoma"/>
            <family val="2"/>
          </rPr>
          <t xml:space="preserve">
3Q23: (3.2) + (6.8) = (10)
2Q23: (10.5)
1Q23: (7)</t>
        </r>
      </text>
    </comment>
    <comment ref="BB23" authorId="0" shapeId="0" xr:uid="{77DB5478-10F1-445F-86F6-DA25FA1D4A9E}">
      <text>
        <r>
          <rPr>
            <b/>
            <sz val="9"/>
            <color indexed="81"/>
            <rFont val="Tahoma"/>
            <family val="2"/>
          </rPr>
          <t>Schwarz, Stefan A.:</t>
        </r>
        <r>
          <rPr>
            <sz val="9"/>
            <color indexed="81"/>
            <rFont val="Tahoma"/>
            <family val="2"/>
          </rPr>
          <t xml:space="preserve">
3Q24: (5.9)
2Q24: (6.0)
1Q24: (7.3)
4Q23: (7.7)</t>
        </r>
      </text>
    </comment>
    <comment ref="BC23" authorId="1" shapeId="0" xr:uid="{532CC054-3D51-4098-8C43-59324D0C56A3}">
      <text>
        <r>
          <rPr>
            <b/>
            <sz val="9"/>
            <color indexed="81"/>
            <rFont val="Tahoma"/>
            <family val="2"/>
          </rPr>
          <t>Srinivasaraghavan, Vinod:</t>
        </r>
        <r>
          <rPr>
            <sz val="9"/>
            <color indexed="81"/>
            <rFont val="Tahoma"/>
            <family val="2"/>
          </rPr>
          <t xml:space="preserve">
1Q25: (15.0)
4Q24: (17.0)</t>
        </r>
      </text>
    </comment>
    <comment ref="BA24" authorId="0" shapeId="0" xr:uid="{9B92840A-CB25-47B0-8DFD-025D83CACBF2}">
      <text>
        <r>
          <rPr>
            <b/>
            <sz val="9"/>
            <color indexed="81"/>
            <rFont val="Tahoma"/>
            <family val="2"/>
          </rPr>
          <t>Schwarz, Stefan A.:</t>
        </r>
        <r>
          <rPr>
            <sz val="9"/>
            <color indexed="81"/>
            <rFont val="Tahoma"/>
            <family val="2"/>
          </rPr>
          <t xml:space="preserve">
3Q23: (3.2) + (6.8) = (10)
2Q23: (10.5)
1Q23: (7)</t>
        </r>
      </text>
    </comment>
    <comment ref="BB24" authorId="0" shapeId="0" xr:uid="{6943DA6E-D592-4E26-B984-3E2A2A9CE30D}">
      <text>
        <r>
          <rPr>
            <b/>
            <sz val="9"/>
            <color indexed="81"/>
            <rFont val="Tahoma"/>
            <family val="2"/>
          </rPr>
          <t>Schwarz, Stefan A.:</t>
        </r>
        <r>
          <rPr>
            <sz val="9"/>
            <color indexed="81"/>
            <rFont val="Tahoma"/>
            <family val="2"/>
          </rPr>
          <t xml:space="preserve">
3Q24: (6.7)
2Q24: (6.5)
1Q24: (6)
4Q23: (4)</t>
        </r>
      </text>
    </comment>
    <comment ref="BC24" authorId="1" shapeId="0" xr:uid="{F27C5412-C976-483B-8839-01E06B47AFB8}">
      <text>
        <r>
          <rPr>
            <b/>
            <sz val="9"/>
            <color indexed="81"/>
            <rFont val="Tahoma"/>
            <family val="2"/>
          </rPr>
          <t>Srinivasaraghavan, Vinod:</t>
        </r>
        <r>
          <rPr>
            <sz val="9"/>
            <color indexed="81"/>
            <rFont val="Tahoma"/>
            <family val="2"/>
          </rPr>
          <t xml:space="preserve">
1Q25: (3.0)
4Q24: (3.0)</t>
        </r>
      </text>
    </comment>
    <comment ref="BA48" authorId="0" shapeId="0" xr:uid="{4134E8CB-4E93-424D-A7F9-4F00A6A67F96}">
      <text>
        <r>
          <rPr>
            <b/>
            <sz val="9"/>
            <color indexed="81"/>
            <rFont val="Tahoma"/>
            <family val="2"/>
          </rPr>
          <t xml:space="preserve">Schwarz, Stefan A.:
</t>
        </r>
        <r>
          <rPr>
            <sz val="9"/>
            <color indexed="81"/>
            <rFont val="Tahoma"/>
            <family val="2"/>
          </rPr>
          <t>3Q23: 133.4-138.4 = 135.9</t>
        </r>
        <r>
          <rPr>
            <b/>
            <sz val="9"/>
            <color indexed="81"/>
            <rFont val="Tahoma"/>
            <family val="2"/>
          </rPr>
          <t xml:space="preserve">
</t>
        </r>
        <r>
          <rPr>
            <sz val="9"/>
            <color indexed="81"/>
            <rFont val="Tahoma"/>
            <family val="2"/>
          </rPr>
          <t>2Q23: 145.5-150.5 = 148.0
1Q23: 142.8-147.8 = 145.3</t>
        </r>
      </text>
    </comment>
    <comment ref="BB48" authorId="0" shapeId="0" xr:uid="{4944A051-2185-427B-A4BD-92BC70E290D3}">
      <text>
        <r>
          <rPr>
            <b/>
            <sz val="9"/>
            <color indexed="81"/>
            <rFont val="Tahoma"/>
            <family val="2"/>
          </rPr>
          <t>Schwarz, Stefan A.:</t>
        </r>
        <r>
          <rPr>
            <sz val="9"/>
            <color indexed="81"/>
            <rFont val="Tahoma"/>
            <family val="2"/>
          </rPr>
          <t xml:space="preserve">
3Q24: 194.1-204.1
2Q24: 193.7-203.7
1Q24: 188.7-198.7
4Q23: 189.3-199.3</t>
        </r>
      </text>
    </comment>
    <comment ref="BC48" authorId="1" shapeId="0" xr:uid="{CE6502FE-CC62-4F45-9D8C-87034281B459}">
      <text>
        <r>
          <rPr>
            <b/>
            <sz val="9"/>
            <color indexed="81"/>
            <rFont val="Tahoma"/>
            <family val="2"/>
          </rPr>
          <t>Srinivasaraghavan, Vinod:</t>
        </r>
        <r>
          <rPr>
            <sz val="9"/>
            <color indexed="81"/>
            <rFont val="Tahoma"/>
            <family val="2"/>
          </rPr>
          <t xml:space="preserve">
1Q25: 238-248
4Q24: 258-268 (does not incl add'l $20 negative impact from Vulcan)</t>
        </r>
      </text>
    </comment>
    <comment ref="BA49" authorId="0" shapeId="0" xr:uid="{E96A344C-18E5-4542-AF59-D04B385CC7EC}">
      <text>
        <r>
          <rPr>
            <b/>
            <sz val="9"/>
            <color indexed="81"/>
            <rFont val="Tahoma"/>
            <family val="2"/>
          </rPr>
          <t>Schwarz, Stefan A.:</t>
        </r>
        <r>
          <rPr>
            <sz val="9"/>
            <color indexed="81"/>
            <rFont val="Tahoma"/>
            <family val="2"/>
          </rPr>
          <t xml:space="preserve">
3Q23: 34.6
2Q23: 34.5
1Q23: 32.2</t>
        </r>
      </text>
    </comment>
    <comment ref="BB49" authorId="0" shapeId="0" xr:uid="{8B05412C-FF90-439D-B25A-12AF3435CF38}">
      <text>
        <r>
          <rPr>
            <b/>
            <sz val="9"/>
            <color indexed="81"/>
            <rFont val="Tahoma"/>
            <family val="2"/>
          </rPr>
          <t>Schwarz, Stefan A.:</t>
        </r>
        <r>
          <rPr>
            <sz val="9"/>
            <color indexed="81"/>
            <rFont val="Tahoma"/>
            <family val="2"/>
          </rPr>
          <t xml:space="preserve">
3Q24: 30.9
2Q24: 31.3
1Q24: 31.3
4Q23: 30.7</t>
        </r>
      </text>
    </comment>
    <comment ref="BC49" authorId="1" shapeId="0" xr:uid="{5C751AE9-A367-4FAB-9585-195D09F131ED}">
      <text>
        <r>
          <rPr>
            <b/>
            <sz val="9"/>
            <color indexed="81"/>
            <rFont val="Tahoma"/>
            <family val="2"/>
          </rPr>
          <t>Srinivasaraghavan, Vinod:</t>
        </r>
        <r>
          <rPr>
            <sz val="9"/>
            <color indexed="81"/>
            <rFont val="Tahoma"/>
            <family val="2"/>
          </rPr>
          <t xml:space="preserve">
1Q25: 27
4Q24: 27</t>
        </r>
      </text>
    </comment>
    <comment ref="AC50" authorId="2" shapeId="0" xr:uid="{4E6F8BB8-A713-4BC9-BF8E-A5AFB8B0CC1D}">
      <text>
        <r>
          <rPr>
            <b/>
            <sz val="9"/>
            <color indexed="81"/>
            <rFont val="Tahoma"/>
            <family val="2"/>
          </rPr>
          <t>Nowinski, Andrew:</t>
        </r>
        <r>
          <rPr>
            <sz val="9"/>
            <color indexed="81"/>
            <rFont val="Tahoma"/>
            <family val="2"/>
          </rPr>
          <t xml:space="preserve">
3Q23: Ermetic acquisition lowers it by 14-16</t>
        </r>
      </text>
    </comment>
    <comment ref="BC50" authorId="3" shapeId="0" xr:uid="{A3693296-939E-48C9-B037-08F3C8F934EF}">
      <text>
        <t>[Threaded comment]
Your version of Excel allows you to read this threaded comment; however, any edits to it will get removed if the file is opened in a newer version of Excel. Learn more: https://go.microsoft.com/fwlink/?linkid=870924
Comment:
    265-275
Reply:
    265-275</t>
      </text>
    </comment>
    <comment ref="BD50" authorId="4" shapeId="0" xr:uid="{0C57D4B4-AD90-4CBF-92FF-40B04C3BC372}">
      <text>
        <t>[Threaded comment]
Your version of Excel allows you to read this threaded comment; however, any edits to it will get removed if the file is opened in a newer version of Excel. Learn more: https://go.microsoft.com/fwlink/?linkid=870924
Comment:
    285-295</t>
      </text>
    </comment>
    <comment ref="AD53" authorId="2" shapeId="0" xr:uid="{DA7BC25A-1E52-41A7-8192-2C1DCC039D3A}">
      <text>
        <r>
          <rPr>
            <b/>
            <sz val="9"/>
            <color indexed="81"/>
            <rFont val="Tahoma"/>
            <family val="2"/>
          </rPr>
          <t>Nowinski, Andrew:</t>
        </r>
        <r>
          <rPr>
            <sz val="9"/>
            <color indexed="81"/>
            <rFont val="Tahoma"/>
            <family val="2"/>
          </rPr>
          <t xml:space="preserve">
4Q23: Looking ahead, we expect uFCF margin to generally ramp through the year with Q2 as the low point</t>
        </r>
      </text>
    </comment>
    <comment ref="AE53" authorId="2" shapeId="0" xr:uid="{73B247D3-838B-4E7C-97BB-382CD3D423BD}">
      <text>
        <r>
          <rPr>
            <b/>
            <sz val="9"/>
            <color indexed="81"/>
            <rFont val="Tahoma"/>
            <family val="2"/>
          </rPr>
          <t>Nowinski, Andrew:</t>
        </r>
        <r>
          <rPr>
            <sz val="9"/>
            <color indexed="81"/>
            <rFont val="Tahoma"/>
            <family val="2"/>
          </rPr>
          <t xml:space="preserve">
4Q23: Looking ahead, we expect uFCF margin to generally ramp through the year with Q2 as the low point</t>
        </r>
      </text>
    </comment>
    <comment ref="AF53" authorId="2" shapeId="0" xr:uid="{931FB138-A2CF-487D-875C-EF7ACBF40644}">
      <text>
        <r>
          <rPr>
            <b/>
            <sz val="9"/>
            <color indexed="81"/>
            <rFont val="Tahoma"/>
            <family val="2"/>
          </rPr>
          <t>Nowinski, Andrew:</t>
        </r>
        <r>
          <rPr>
            <sz val="9"/>
            <color indexed="81"/>
            <rFont val="Tahoma"/>
            <family val="2"/>
          </rPr>
          <t xml:space="preserve">
4Q23: Looking ahead, we expect uFCF margin to generally ramp through the year with Q2 as the low point</t>
        </r>
      </text>
    </comment>
    <comment ref="AG53" authorId="2" shapeId="0" xr:uid="{85325221-2E41-4838-93A4-283D725BB33A}">
      <text>
        <r>
          <rPr>
            <b/>
            <sz val="9"/>
            <color indexed="81"/>
            <rFont val="Tahoma"/>
            <family val="2"/>
          </rPr>
          <t>Nowinski, Andrew:</t>
        </r>
        <r>
          <rPr>
            <sz val="9"/>
            <color indexed="81"/>
            <rFont val="Tahoma"/>
            <family val="2"/>
          </rPr>
          <t xml:space="preserve">
4Q23: Looking ahead, we expect uFCF margin to generally ramp through the year with Q2 as the low point</t>
        </r>
      </text>
    </comment>
    <comment ref="AJ53" authorId="2" shapeId="0" xr:uid="{5ED8CE8A-AF3A-42BA-B265-32B33FA6514C}">
      <text>
        <r>
          <rPr>
            <b/>
            <sz val="9"/>
            <color indexed="81"/>
            <rFont val="Tahoma"/>
            <family val="2"/>
          </rPr>
          <t>Nowinski, Andrew:</t>
        </r>
        <r>
          <rPr>
            <sz val="9"/>
            <color indexed="81"/>
            <rFont val="Tahoma"/>
            <family val="2"/>
          </rPr>
          <t xml:space="preserve">
4Q23: Looking ahead, we expect uFCF margin to generally ramp through the year with Q2 as the low point</t>
        </r>
      </text>
    </comment>
    <comment ref="AZ56" authorId="5" shapeId="0" xr:uid="{B1E670F0-F55A-421E-A5D1-DDE1791D1546}">
      <text>
        <r>
          <rPr>
            <b/>
            <sz val="9"/>
            <color indexed="81"/>
            <rFont val="Tahoma"/>
            <family val="2"/>
          </rPr>
          <t xml:space="preserve">Donati, Justin </t>
        </r>
        <r>
          <rPr>
            <sz val="9"/>
            <color indexed="81"/>
            <rFont val="Tahoma"/>
            <family val="2"/>
          </rPr>
          <t xml:space="preserve">
3Q22: $120 - 125MM
</t>
        </r>
      </text>
    </comment>
    <comment ref="BA56" authorId="2" shapeId="0" xr:uid="{5264A6B5-5C16-4CAB-A1B5-AA4A4BE3135A}">
      <text>
        <r>
          <rPr>
            <b/>
            <sz val="9"/>
            <color indexed="81"/>
            <rFont val="Tahoma"/>
            <family val="2"/>
          </rPr>
          <t>Nowinski, Andrew:</t>
        </r>
        <r>
          <rPr>
            <sz val="9"/>
            <color indexed="81"/>
            <rFont val="Tahoma"/>
            <family val="2"/>
          </rPr>
          <t xml:space="preserve">
3Q23: 168-173
9/7: Ermetic acquisition to lower Q4 by 14-16 =165-170 
2Q23: 180-185
1Q23: 175-180
4Q22: 175-180</t>
        </r>
      </text>
    </comment>
    <comment ref="BB56" authorId="5" shapeId="0" xr:uid="{48B87BD0-7C3B-49D9-A21F-3ADC562DADDF}">
      <text>
        <r>
          <rPr>
            <b/>
            <sz val="9"/>
            <color indexed="81"/>
            <rFont val="Tahoma"/>
            <family val="2"/>
          </rPr>
          <t>Nowinski, Andrew</t>
        </r>
        <r>
          <rPr>
            <sz val="9"/>
            <color indexed="81"/>
            <rFont val="Tahoma"/>
            <family val="2"/>
          </rPr>
          <t xml:space="preserve">
3Q24: 225-235
2Q24: 225-235
1Q24: 220-230
4Q23: 220-230
3Q23: 25% growth
9/7: Ermetic acquisition to lower it by $10-15
3Q22: "Think we can double unlevered FCF by 2024" ($240-250)</t>
        </r>
      </text>
    </comment>
    <comment ref="BC56" authorId="0" shapeId="0" xr:uid="{701FC64F-3061-4FE2-88B7-AF32A0F7AD5E}">
      <text>
        <r>
          <rPr>
            <b/>
            <sz val="9"/>
            <color indexed="81"/>
            <rFont val="Tahoma"/>
            <family val="2"/>
          </rPr>
          <t>Nowinski, Andrew</t>
        </r>
        <r>
          <rPr>
            <sz val="9"/>
            <color indexed="81"/>
            <rFont val="Tahoma"/>
            <family val="2"/>
          </rPr>
          <t xml:space="preserve">
1Q25: 265-276
2/7/25: 265-275 after Vulcan closed
4Q24: 285-295 (standalone TENB; Vulcan negatively impacts FCF by $20)
2Q24: 280-290</t>
        </r>
      </text>
    </comment>
    <comment ref="AG63" authorId="1" shapeId="0" xr:uid="{B685BC98-DE75-4CA2-AFFE-794B7D256849}">
      <text>
        <r>
          <rPr>
            <b/>
            <sz val="9"/>
            <color indexed="81"/>
            <rFont val="Tahoma"/>
            <family val="2"/>
          </rPr>
          <t>Srinivasaraghavan, Vinod:</t>
        </r>
        <r>
          <rPr>
            <sz val="9"/>
            <color indexed="81"/>
            <rFont val="Tahoma"/>
            <family val="2"/>
          </rPr>
          <t xml:space="preserve">
Inc share repurchase authorization by $200MM in Oct 2024</t>
        </r>
      </text>
    </comment>
  </commentList>
</comments>
</file>

<file path=xl/sharedStrings.xml><?xml version="1.0" encoding="utf-8"?>
<sst xmlns="http://schemas.openxmlformats.org/spreadsheetml/2006/main" count="521" uniqueCount="352">
  <si>
    <t>Equity Research</t>
  </si>
  <si>
    <t>Financial Model</t>
  </si>
  <si>
    <t>Software</t>
  </si>
  <si>
    <t>Wells Fargo Software Team</t>
  </si>
  <si>
    <t>Richard Poland</t>
  </si>
  <si>
    <t>David Unger</t>
  </si>
  <si>
    <t>Analyst</t>
  </si>
  <si>
    <t>Associate Analyst</t>
  </si>
  <si>
    <t>(212) 214-5333</t>
  </si>
  <si>
    <t>(212) 214-5317</t>
  </si>
  <si>
    <t>richard.d.poland@wellsfargo.com</t>
  </si>
  <si>
    <t>David.Unger@wellsfargo.com</t>
  </si>
  <si>
    <t>Important Disclaimers:</t>
  </si>
  <si>
    <t>Tenable Holdings, Inc. (TENB)</t>
  </si>
  <si>
    <t>Income Statement</t>
  </si>
  <si>
    <t>2017/1F</t>
  </si>
  <si>
    <t>2017/2F</t>
  </si>
  <si>
    <t>2017/3F</t>
  </si>
  <si>
    <t>2017/4F</t>
  </si>
  <si>
    <t>2018/1F</t>
  </si>
  <si>
    <t>2018/2F</t>
  </si>
  <si>
    <t>2018/3F</t>
  </si>
  <si>
    <t>2018/4F</t>
  </si>
  <si>
    <t>2019/1F</t>
  </si>
  <si>
    <t>2019/2F</t>
  </si>
  <si>
    <t>2019/3F</t>
  </si>
  <si>
    <t>2019/4F</t>
  </si>
  <si>
    <t>2020/1F</t>
  </si>
  <si>
    <t>2020/2F</t>
  </si>
  <si>
    <t>2020/3F</t>
  </si>
  <si>
    <t>2020/4F</t>
  </si>
  <si>
    <t>2021/1F</t>
  </si>
  <si>
    <t>2021/2F</t>
  </si>
  <si>
    <t>2021/3F</t>
  </si>
  <si>
    <t>2021/4F</t>
  </si>
  <si>
    <t>2022/1F</t>
  </si>
  <si>
    <t>2022/2F</t>
  </si>
  <si>
    <t>2022/3F</t>
  </si>
  <si>
    <t>2022/4F</t>
  </si>
  <si>
    <t>2023/1F</t>
  </si>
  <si>
    <t>2023/2F</t>
  </si>
  <si>
    <t>2023/3F</t>
  </si>
  <si>
    <t>2023/4F</t>
  </si>
  <si>
    <t>2024/1F</t>
  </si>
  <si>
    <t>2024/2F</t>
  </si>
  <si>
    <t>2024/3F</t>
  </si>
  <si>
    <t>2024/4F</t>
  </si>
  <si>
    <t>2025/1F</t>
  </si>
  <si>
    <t>2025/2F</t>
  </si>
  <si>
    <t>2025/3F</t>
  </si>
  <si>
    <t>2025/4F</t>
  </si>
  <si>
    <t>2026/1F</t>
  </si>
  <si>
    <t>2026/2F</t>
  </si>
  <si>
    <t>2026/3F</t>
  </si>
  <si>
    <t>2026/4F</t>
  </si>
  <si>
    <t>2027/1F</t>
  </si>
  <si>
    <t>2027/2F</t>
  </si>
  <si>
    <t>2027/3F</t>
  </si>
  <si>
    <t>2027/4F</t>
  </si>
  <si>
    <t>($ in millions, unless otherwise stated)</t>
  </si>
  <si>
    <t>Sep-24</t>
  </si>
  <si>
    <t>Dec-24</t>
  </si>
  <si>
    <t>Mar-25</t>
  </si>
  <si>
    <t>Jun-25</t>
  </si>
  <si>
    <t>Sep-25</t>
  </si>
  <si>
    <t>Dec-25</t>
  </si>
  <si>
    <t>Mar-26E</t>
  </si>
  <si>
    <t>Jun-26E</t>
  </si>
  <si>
    <t>Sep-26E</t>
  </si>
  <si>
    <t>Dec-26E</t>
  </si>
  <si>
    <t>Mar-27E</t>
  </si>
  <si>
    <t>Jun-27E</t>
  </si>
  <si>
    <t>Sep-27E</t>
  </si>
  <si>
    <t>Dec-27E</t>
  </si>
  <si>
    <t>CY21</t>
  </si>
  <si>
    <t>CY22</t>
  </si>
  <si>
    <t>CY23</t>
  </si>
  <si>
    <t>CY24</t>
  </si>
  <si>
    <t>CY25</t>
  </si>
  <si>
    <t>CY26E</t>
  </si>
  <si>
    <t>CY27E</t>
  </si>
  <si>
    <t>Revenue</t>
  </si>
  <si>
    <t>Subscription</t>
  </si>
  <si>
    <t>Perpetual Licnese and Maintenance</t>
  </si>
  <si>
    <t>Professional Services and Other</t>
  </si>
  <si>
    <t>Total revenue</t>
  </si>
  <si>
    <t>Consensus revenue</t>
  </si>
  <si>
    <t>Management Guidance - Revenue</t>
  </si>
  <si>
    <t>Low</t>
  </si>
  <si>
    <t>Mid</t>
  </si>
  <si>
    <t>High</t>
  </si>
  <si>
    <t>Cost of Revenue</t>
  </si>
  <si>
    <t>Gross profit</t>
  </si>
  <si>
    <t>Consensus gross profit</t>
  </si>
  <si>
    <t>Operating expenses</t>
  </si>
  <si>
    <t>Sales and marketing</t>
  </si>
  <si>
    <t>Research and development</t>
  </si>
  <si>
    <t>General and administrative</t>
  </si>
  <si>
    <t>Total operating expenses</t>
  </si>
  <si>
    <t>Operating Income</t>
  </si>
  <si>
    <t>Consensus operating income</t>
  </si>
  <si>
    <t>Management Guidance - Operating Income</t>
  </si>
  <si>
    <t>EBITDA</t>
  </si>
  <si>
    <t>Interest income</t>
  </si>
  <si>
    <t>Interest expense</t>
  </si>
  <si>
    <t>Other income (expense), net</t>
  </si>
  <si>
    <t>Pre-tax income</t>
  </si>
  <si>
    <t>Provision for (benefit from) income taxes</t>
  </si>
  <si>
    <t>Adjusted tax rate (non-GAAP)</t>
  </si>
  <si>
    <t>Non-GAAP Net income</t>
  </si>
  <si>
    <t>Consensus net income</t>
  </si>
  <si>
    <t>Management Guidance - Non-GAAP Net Income</t>
  </si>
  <si>
    <t>Non-GAAP EPS</t>
  </si>
  <si>
    <t>Consensus non-GAAP EPS</t>
  </si>
  <si>
    <t>Management Guidance - Non-GAAP EPS</t>
  </si>
  <si>
    <t>Basic shares outstanding</t>
  </si>
  <si>
    <t>Pro forma Diluted shares outstanding</t>
  </si>
  <si>
    <t>Y/Y Growth</t>
  </si>
  <si>
    <t>Total Revenue</t>
  </si>
  <si>
    <t>Total cost of revenue</t>
  </si>
  <si>
    <t>Operating income</t>
  </si>
  <si>
    <t>Net income</t>
  </si>
  <si>
    <t>EPS</t>
  </si>
  <si>
    <t>Margin Analysis</t>
  </si>
  <si>
    <t>Gross Margin</t>
  </si>
  <si>
    <t>Consensus Gross Margin</t>
  </si>
  <si>
    <t>Sales and Marketing</t>
  </si>
  <si>
    <t>Research and Development</t>
  </si>
  <si>
    <t>Operating margin</t>
  </si>
  <si>
    <t>Consensus Operating margin</t>
  </si>
  <si>
    <t>Source: Company data, FactSet, Wells Fargo Securities, LLC estimates</t>
  </si>
  <si>
    <t>Non-GAAP Reconciliation to GAAP Results</t>
  </si>
  <si>
    <t>Adjustments</t>
  </si>
  <si>
    <t>Share-based compensation</t>
  </si>
  <si>
    <t>Cost of revenue</t>
  </si>
  <si>
    <t>OpEx</t>
  </si>
  <si>
    <t>Amortization of acquired intangible assets</t>
  </si>
  <si>
    <t>Acquisition related expenses</t>
  </si>
  <si>
    <t>Other items</t>
  </si>
  <si>
    <t>Taxes impact of stock-based compensation</t>
  </si>
  <si>
    <t>Tax impact of acquistions</t>
  </si>
  <si>
    <t>Tax impact from intra-equity asset transfers</t>
  </si>
  <si>
    <t>Accretion from convertible preferred stock</t>
  </si>
  <si>
    <t>GAAP Gross Profit</t>
  </si>
  <si>
    <t>GAAP Operating Income</t>
  </si>
  <si>
    <t>GAAP Net income</t>
  </si>
  <si>
    <t>GAAP EPS</t>
  </si>
  <si>
    <t>Consensus GAAP EPS</t>
  </si>
  <si>
    <t>Diluted shares outstanding</t>
  </si>
  <si>
    <t>GAAP Inputs</t>
  </si>
  <si>
    <t>Restructuring</t>
  </si>
  <si>
    <t>Other income (expenses), net</t>
  </si>
  <si>
    <t>Loss before provision for (benefit from) income taxes</t>
  </si>
  <si>
    <t>Net Income (loss)</t>
  </si>
  <si>
    <t>Accretion from Convertible Preferred Stock</t>
  </si>
  <si>
    <t>Net Income (loss) to Common Shareholders</t>
  </si>
  <si>
    <t>Diluted EPS</t>
  </si>
  <si>
    <t>Non-GAAP Diluted EPS</t>
  </si>
  <si>
    <t>GAAP to non-GAAP reconciliation</t>
  </si>
  <si>
    <t>(US$ in millions, unless otherwise stated)</t>
  </si>
  <si>
    <t>Total SBC in operating expenses</t>
  </si>
  <si>
    <t>Total non-cash stock-based compensation</t>
  </si>
  <si>
    <t>% of revenue</t>
  </si>
  <si>
    <t>Total amort of intangibles in operating expenses</t>
  </si>
  <si>
    <t>Total amortization of acquired intangibles</t>
  </si>
  <si>
    <t>Acquisition/Other expenses</t>
  </si>
  <si>
    <t>Total acquisition/other expenses in operating expenses</t>
  </si>
  <si>
    <t>Total acquisition related expenses</t>
  </si>
  <si>
    <t>Tax impact of stock-based compensation</t>
  </si>
  <si>
    <t>Acquisition-related expenses</t>
  </si>
  <si>
    <t>Tax impact of intra-equity asset transfers</t>
  </si>
  <si>
    <t>Total other items</t>
  </si>
  <si>
    <t>Tax rate on stock-based compensation</t>
  </si>
  <si>
    <t>Tax rate on acquisition related expenses</t>
  </si>
  <si>
    <t>Revenue Build</t>
  </si>
  <si>
    <t/>
  </si>
  <si>
    <t>Revenue by Type</t>
  </si>
  <si>
    <t xml:space="preserve">Subscription </t>
  </si>
  <si>
    <t>Consensus subscription revenue</t>
  </si>
  <si>
    <t>% of total revenue</t>
  </si>
  <si>
    <t xml:space="preserve">Perpetual License and Maintenance </t>
  </si>
  <si>
    <t>Consensus perpetual license and maintenance revenue</t>
  </si>
  <si>
    <t>Professional Services and Other Revenue</t>
  </si>
  <si>
    <t>Consensus professional services &amp; other revenue</t>
  </si>
  <si>
    <t>Billings &amp; Bookings</t>
  </si>
  <si>
    <t>Beginning deferred revenue balance</t>
  </si>
  <si>
    <t>Ending deferred revenue balance</t>
  </si>
  <si>
    <t>Change in deferred revenue</t>
  </si>
  <si>
    <t>Total Billings</t>
  </si>
  <si>
    <t>Beginning deferred revenue (current) balance</t>
  </si>
  <si>
    <t>Ending deferred revenue (current) balance</t>
  </si>
  <si>
    <t>Change in deferred revenue (current)</t>
  </si>
  <si>
    <t xml:space="preserve">Current Billings </t>
  </si>
  <si>
    <t>Consensus Current Billings</t>
  </si>
  <si>
    <t>Management Guidance - Current Billings</t>
  </si>
  <si>
    <t>RPO</t>
  </si>
  <si>
    <t>Current RPO</t>
  </si>
  <si>
    <t>Current RPO - % of total</t>
  </si>
  <si>
    <t>Backlog (RPO - Deferred Rev)</t>
  </si>
  <si>
    <t>Bookings</t>
  </si>
  <si>
    <t>+ change in CRPO</t>
  </si>
  <si>
    <t>Total CRPO Bookings</t>
  </si>
  <si>
    <t>Customer Metrics</t>
  </si>
  <si>
    <t>Total Customers</t>
  </si>
  <si>
    <t>&gt; 35,000</t>
  </si>
  <si>
    <t>% of Fortune 500</t>
  </si>
  <si>
    <t>&gt;50%</t>
  </si>
  <si>
    <t>~60%</t>
  </si>
  <si>
    <t>% of Global 2000</t>
  </si>
  <si>
    <t>&gt;30%</t>
  </si>
  <si>
    <t>~40%</t>
  </si>
  <si>
    <t>Total Enterprise Platform Customers</t>
  </si>
  <si>
    <t>Net new additions</t>
  </si>
  <si>
    <t>$100K+ Customers</t>
  </si>
  <si>
    <t>NM</t>
  </si>
  <si>
    <t>Dollar-Based Net Expansion Rate (TTM ARR)</t>
  </si>
  <si>
    <t>&gt;110%</t>
  </si>
  <si>
    <t>Calculated NRR (Revenue)</t>
  </si>
  <si>
    <t>Y/Y revenue change from existing customers (10-Q)</t>
  </si>
  <si>
    <t>Geographic Mix</t>
  </si>
  <si>
    <t>AMERICAS</t>
  </si>
  <si>
    <t>Q/Q Growth</t>
  </si>
  <si>
    <t>UNITED STATES</t>
  </si>
  <si>
    <t>NA</t>
  </si>
  <si>
    <t>EMEA</t>
  </si>
  <si>
    <t>APAC</t>
  </si>
  <si>
    <t>Tenable One as a % of New Enterprise Sales</t>
  </si>
  <si>
    <t>Exposure Management as a % of New Enterprise Sales</t>
  </si>
  <si>
    <t>Headcount</t>
  </si>
  <si>
    <t>U.S.-based</t>
  </si>
  <si>
    <t>International</t>
  </si>
  <si>
    <t>% of Sales via Channel Partners</t>
  </si>
  <si>
    <t>Ingram Micro (% of Total)</t>
  </si>
  <si>
    <t>Balance Sheet</t>
  </si>
  <si>
    <t>Current assets</t>
  </si>
  <si>
    <t>Cash and Cash Equivalents</t>
  </si>
  <si>
    <t>Short-Term Investments</t>
  </si>
  <si>
    <t>Accounts Receivables, net</t>
  </si>
  <si>
    <t>Deferred Commissions</t>
  </si>
  <si>
    <t>Prepaid Expenses &amp; Other Current Assets</t>
  </si>
  <si>
    <t>Total current assets</t>
  </si>
  <si>
    <t>Property and Equipment, net</t>
  </si>
  <si>
    <t>Operating Lease Right-of-use-Assets</t>
  </si>
  <si>
    <t>Intangible Assets</t>
  </si>
  <si>
    <t>Goodwill</t>
  </si>
  <si>
    <t>Other Assets</t>
  </si>
  <si>
    <t>Total assets</t>
  </si>
  <si>
    <t>Current liabilities</t>
  </si>
  <si>
    <t>Accounts Payable</t>
  </si>
  <si>
    <t>Accrued Expenses</t>
  </si>
  <si>
    <t>Accrued Payroll &amp; Benefits</t>
  </si>
  <si>
    <t>Deferred Revenues</t>
  </si>
  <si>
    <t>Operating Leases</t>
  </si>
  <si>
    <t>Other Current Liabilities</t>
  </si>
  <si>
    <t>Current Portion of Long-term Debt</t>
  </si>
  <si>
    <t>Total current liabilities</t>
  </si>
  <si>
    <t>Long term liabilities</t>
  </si>
  <si>
    <t>Long-term Debt</t>
  </si>
  <si>
    <t>Other Liabilities</t>
  </si>
  <si>
    <t>Total liabilities</t>
  </si>
  <si>
    <t xml:space="preserve">Stockholders' equity </t>
  </si>
  <si>
    <t>Convertible Preferred Stock</t>
  </si>
  <si>
    <t>Common Stock</t>
  </si>
  <si>
    <t>Additional Paid-In-Capital</t>
  </si>
  <si>
    <t>Accumulated Other Comprehensive Income</t>
  </si>
  <si>
    <t>Accumulated Deficit</t>
  </si>
  <si>
    <t>Total stockholders' equity</t>
  </si>
  <si>
    <t>Total liabilities and shareholders' equity</t>
  </si>
  <si>
    <t>Net cash</t>
  </si>
  <si>
    <t>Net cash per diluted share</t>
  </si>
  <si>
    <t>Source: Company data, Wells Fargo Securities, LLC estimates</t>
  </si>
  <si>
    <t>Check</t>
  </si>
  <si>
    <t>COGS</t>
  </si>
  <si>
    <t>R&amp;D</t>
  </si>
  <si>
    <t>EBIT</t>
  </si>
  <si>
    <t>Net Income</t>
  </si>
  <si>
    <t>Working Capital Ratios</t>
  </si>
  <si>
    <t>Days Sales Outstanding (DSO)</t>
  </si>
  <si>
    <t>Days Payable Outstanding (DPO)</t>
  </si>
  <si>
    <t>Current assets &amp; liabilities</t>
  </si>
  <si>
    <t>Deferred Commissions (long-term)</t>
  </si>
  <si>
    <t>Other Long-Term Assets</t>
  </si>
  <si>
    <t>Other Liabilities (long-term)</t>
  </si>
  <si>
    <t>CFFO</t>
  </si>
  <si>
    <t>Unlevered Free Cash Flow</t>
  </si>
  <si>
    <t>Consensus Unlevered FCF</t>
  </si>
  <si>
    <t>uFCF Margin</t>
  </si>
  <si>
    <t>Billings</t>
  </si>
  <si>
    <t>Change in deferred</t>
  </si>
  <si>
    <t>Ending deferred balance, total deferred revenue</t>
  </si>
  <si>
    <t>Short term deferred as % of deferred mix</t>
  </si>
  <si>
    <t>Long term deferred as % of deferred mix</t>
  </si>
  <si>
    <t xml:space="preserve"> </t>
  </si>
  <si>
    <t>Statement of Cash Flows</t>
  </si>
  <si>
    <t>INPUTS</t>
  </si>
  <si>
    <t>CASH FLOWS FROM OPERATING ACTIVITIES:</t>
  </si>
  <si>
    <t>Net income (loss)</t>
  </si>
  <si>
    <t>Deferred income taxes</t>
  </si>
  <si>
    <t>Depreciation and amortization</t>
  </si>
  <si>
    <t>Stock based compensation</t>
  </si>
  <si>
    <t>Other</t>
  </si>
  <si>
    <t>Changes to assets and liabilities</t>
  </si>
  <si>
    <t>Accounts receivable</t>
  </si>
  <si>
    <t>Prepaid expenses and other current assets</t>
  </si>
  <si>
    <t>Deferred commissions</t>
  </si>
  <si>
    <t>Other assets</t>
  </si>
  <si>
    <t>Accounts payables and accrued expenses</t>
  </si>
  <si>
    <t>Accrued compensation and other current liabilities</t>
  </si>
  <si>
    <t>Deferred revenue</t>
  </si>
  <si>
    <t>Other liabilities</t>
  </si>
  <si>
    <t>Net cash provided by operating activities</t>
  </si>
  <si>
    <t>CASH FLOWS FROM INVESTING ACTIVITIES:</t>
  </si>
  <si>
    <t>Purchases of property and equipment</t>
  </si>
  <si>
    <t>Capitalized software development costs</t>
  </si>
  <si>
    <t>Purchases of short-term investments</t>
  </si>
  <si>
    <t>Sales and maturities of short-term investments</t>
  </si>
  <si>
    <t>Payments for business acquisitions, net of cash acquired</t>
  </si>
  <si>
    <t>Net cash used in investing activities</t>
  </si>
  <si>
    <t>CASH FLOWS FROM FINANCING ACTIVITIES:</t>
  </si>
  <si>
    <t>Payments on term loan</t>
  </si>
  <si>
    <t>Proceeds from term loan agreement</t>
  </si>
  <si>
    <t>Principal payments under finance leases</t>
  </si>
  <si>
    <t>Proceeds from stock issued (including the ESPP )</t>
  </si>
  <si>
    <t>Proceeds from exercise of stock options</t>
  </si>
  <si>
    <t>Repurchases of common stock</t>
  </si>
  <si>
    <t>Other financing activities</t>
  </si>
  <si>
    <t>Net cash provided by financing activities</t>
  </si>
  <si>
    <t>Foreign currency exchange rate impact on cash</t>
  </si>
  <si>
    <t>Net (decrease) increase in cash and equivalents</t>
  </si>
  <si>
    <t>Change Restricted Cash / Mkt Securities</t>
  </si>
  <si>
    <t>Beginning balance cash and cash equivalents</t>
  </si>
  <si>
    <t>Ending balance cash and cash equivalents</t>
  </si>
  <si>
    <t>Unlevered Free Cash Flow Analysis</t>
  </si>
  <si>
    <t>Free Cash Flow</t>
  </si>
  <si>
    <t>+ Cash paid for interest and other</t>
  </si>
  <si>
    <t>Y/Y %</t>
  </si>
  <si>
    <t>Unlevered Free Cash Flow margin</t>
  </si>
  <si>
    <t>Management Guidance - Unlevered FCF</t>
  </si>
  <si>
    <t>Total Share Repurchases</t>
  </si>
  <si>
    <t>Total number of shares repurchased</t>
  </si>
  <si>
    <t>% of total shares outstanding</t>
  </si>
  <si>
    <t>Average price paid per share</t>
  </si>
  <si>
    <t>N/A</t>
  </si>
  <si>
    <t>Remaining Share Repurchase Authorization</t>
  </si>
  <si>
    <t>Capital Spending</t>
  </si>
  <si>
    <t>Capex</t>
  </si>
  <si>
    <t>D&amp;A</t>
  </si>
  <si>
    <t>Amortization</t>
  </si>
  <si>
    <t>Depreciation</t>
  </si>
  <si>
    <t>D&amp;A as % of rev</t>
  </si>
  <si>
    <t>Amort as % of rev</t>
  </si>
  <si>
    <t>Depreciation as % of rev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</si>
</sst>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44" formatCode="_(&quot;$&quot;* #,##0.00_);_(&quot;$&quot;* \(#,##0.00\);_(&quot;$&quot;* &quot;-&quot;??_);_(@_)"/>
    <numFmt numFmtId="43" formatCode="_(* #,##0.00_);_(* \(#,##0.00\);_(* &quot;-&quot;??_);_(@_)"/>
    <numFmt numFmtId="164" formatCode="[$-409]mmmm\ d\,\ yyyy;@"/>
    <numFmt numFmtId="165" formatCode="0.0%"/>
    <numFmt numFmtId="166" formatCode="_(* #,##0.00_);_(* \(#,##0.00\);_(* \-??_);_(@_)"/>
    <numFmt numFmtId="167" formatCode="0.000"/>
    <numFmt numFmtId="168" formatCode="_(* #,##0.0_);_(* \(#,##0.0\);_(* \-_);_(@_)"/>
    <numFmt numFmtId="169" formatCode="#,##0;\(#,##0\)"/>
    <numFmt numFmtId="170" formatCode="&quot;$&quot;#,##0;\(&quot;$&quot;#,##0\)"/>
    <numFmt numFmtId="171" formatCode="_(* #,##0_);_(* \(#,##0\);_(* \-_);_(@_)"/>
    <numFmt numFmtId="172" formatCode="_(* #,##0.000_);_(* \(#,##0.000\);_(* \-_);_(@_)"/>
    <numFmt numFmtId="173" formatCode="_(* #,##0.00_);_(* \(#,##0.00\);_(* \-_);_(@_)"/>
    <numFmt numFmtId="174" formatCode="\$#,##0.00;&quot;($&quot;#,##0.00\)"/>
    <numFmt numFmtId="175" formatCode="_(* #,##0.0_);_(* \(#,##0.0\);_(* &quot;-&quot;?_);_(@_)"/>
    <numFmt numFmtId="176" formatCode="_(* #,##0.0_);_(* \(#,##0.0\);_(* &quot;-&quot;??_);_(@_)"/>
    <numFmt numFmtId="177" formatCode="_(* #,##0.00_);_(* \(#,##0.00\);_(* \-?_);_(@_)"/>
    <numFmt numFmtId="178" formatCode="_(* #,##0.0_);_(* \(#,##0.0\);_(* \-?_);_(@_)"/>
    <numFmt numFmtId="179" formatCode="_(* #,##0.000_);_(* \(#,##0.000\);_(* \-?_);_(@_)"/>
    <numFmt numFmtId="180" formatCode="0.0_);\(0.0\)"/>
    <numFmt numFmtId="181" formatCode="\$#,##0;&quot;($&quot;#,##0\)"/>
    <numFmt numFmtId="182" formatCode="_(\$* #,##0_);_(\$* \(#,##0\);_(\$* \-_);_(@_)"/>
    <numFmt numFmtId="183" formatCode="0.000_);\(0.000\)"/>
    <numFmt numFmtId="184" formatCode="&quot;$&quot;#,##0.00;\(&quot;$&quot;#,##0.00\)"/>
    <numFmt numFmtId="185" formatCode="_(\$* #,##0.0_);_(\$* \(#,##0.0\);_(\$* \-?_);_(@_)"/>
    <numFmt numFmtId="186" formatCode="#,##0.0;\(#,##0.0\)"/>
    <numFmt numFmtId="187" formatCode="#,##0.0%\ ;\(#,##0.0%\)"/>
    <numFmt numFmtId="188" formatCode="#,##0%\ ;\(#,##0%\)"/>
    <numFmt numFmtId="189" formatCode="_(* #,##0.000_);_(* \(#,##0.000\);_(* &quot;-&quot;??_);_(@_)"/>
    <numFmt numFmtId="190" formatCode="_(* &quot;$&quot;#,##0.0_);_(* \(&quot;$&quot;#,##0.0\);_(* \-_);_(@_)"/>
    <numFmt numFmtId="191" formatCode="0.0"/>
    <numFmt numFmtId="192" formatCode="_(* #,##0.0000_);_(* \(#,##0.0000\);_(* &quot;-&quot;?_);_(@_)"/>
    <numFmt numFmtId="193" formatCode="_(* #,##0_);_(* \(#,##0\);_(* &quot;-&quot;??_);_(@_)"/>
    <numFmt numFmtId="194" formatCode="\$#,##0.0\ ;&quot;($&quot;#,##0.0\)"/>
    <numFmt numFmtId="195" formatCode="#,##0.0_);\(#,##0.0\)"/>
    <numFmt numFmtId="196" formatCode="#,##0.000_);\(#,##0.000\)"/>
    <numFmt numFmtId="197" formatCode="#,##0.0"/>
    <numFmt numFmtId="198" formatCode="\&gt;_(* #,##0_);_(* \(#,##0\);_(* &quot;-&quot;??_);_(@_)"/>
    <numFmt numFmtId="199" formatCode="\~#,##0"/>
    <numFmt numFmtId="200" formatCode="\&gt;* #,##0_);_(* \(#,##0\);_(* &quot;-&quot;??_);_(@_)"/>
    <numFmt numFmtId="201" formatCode="\~0%"/>
    <numFmt numFmtId="202" formatCode="&quot;$&quot;#,##0.0_);[Red]\(&quot;$&quot;#,##0.0\)"/>
    <numFmt numFmtId="203" formatCode="#,##0.0_);[Red]\(#,##0.0\)"/>
    <numFmt numFmtId="204" formatCode="_(* #,##0.0000_);_(* \(#,##0.0000\);_(* \-?_);_(@_)"/>
    <numFmt numFmtId="205" formatCode="_(* #,##0.000000000_);_(* \(#,##0.000000000\);_(* \-?_);_(@_)"/>
    <numFmt numFmtId="206" formatCode="0.000000000000000"/>
    <numFmt numFmtId="207" formatCode="_(* #,##0_);_(* \(#,##0\);_(* \-?_);_(@_)"/>
    <numFmt numFmtId="208" formatCode="&quot;$&quot;#,##0.00"/>
  </numFmts>
  <fonts count="72">
    <font>
      <sz val="10"/>
      <color theme="1"/>
      <name val="Arial"/>
      <family val="2"/>
    </font>
    <font>
      <sz val="10"/>
      <name val="Arial"/>
      <family val="2"/>
    </font>
    <font>
      <sz val="10"/>
      <name val="Verdana"/>
      <family val="2"/>
    </font>
    <font>
      <sz val="24"/>
      <color theme="1"/>
      <name val="Georgia"/>
      <family val="1"/>
    </font>
    <font>
      <b/>
      <sz val="12"/>
      <color theme="1"/>
      <name val="Verdana"/>
      <family val="2"/>
    </font>
    <font>
      <b/>
      <sz val="9"/>
      <color theme="1"/>
      <name val="Arial"/>
      <family val="2"/>
    </font>
    <font>
      <b/>
      <sz val="9"/>
      <color theme="1"/>
      <name val="Verdana"/>
      <family val="2"/>
    </font>
    <font>
      <sz val="13"/>
      <name val="Arial"/>
      <family val="2"/>
    </font>
    <font>
      <b/>
      <sz val="9"/>
      <name val="Verdana"/>
      <family val="2"/>
    </font>
    <font>
      <sz val="13"/>
      <color theme="1"/>
      <name val="Arial"/>
      <family val="2"/>
    </font>
    <font>
      <sz val="26"/>
      <color rgb="FFD71E28"/>
      <name val="Georgia"/>
      <family val="1"/>
    </font>
    <font>
      <b/>
      <sz val="18"/>
      <color theme="3"/>
      <name val="Georgia"/>
      <family val="1"/>
    </font>
    <font>
      <sz val="10"/>
      <color theme="1"/>
      <name val="Verdana"/>
      <family val="2"/>
    </font>
    <font>
      <sz val="13"/>
      <color rgb="FFD71E28"/>
      <name val="Georgia"/>
      <family val="1"/>
    </font>
    <font>
      <b/>
      <sz val="11"/>
      <name val="Verdana"/>
      <family val="2"/>
    </font>
    <font>
      <sz val="9"/>
      <name val="Arial"/>
      <family val="2"/>
    </font>
    <font>
      <b/>
      <sz val="11"/>
      <name val="Arial"/>
      <family val="2"/>
    </font>
    <font>
      <sz val="11"/>
      <name val="Verdana"/>
      <family val="2"/>
    </font>
    <font>
      <sz val="11"/>
      <name val="Arial"/>
      <family val="2"/>
    </font>
    <font>
      <u/>
      <sz val="9"/>
      <color indexed="12"/>
      <name val="Arial"/>
      <family val="2"/>
    </font>
    <font>
      <u/>
      <sz val="11"/>
      <color theme="10"/>
      <name val="Arial"/>
      <family val="2"/>
    </font>
    <font>
      <u/>
      <sz val="10"/>
      <color theme="10"/>
      <name val="Arial"/>
      <family val="2"/>
    </font>
    <font>
      <b/>
      <sz val="10.5"/>
      <name val="Arial"/>
      <family val="2"/>
    </font>
    <font>
      <u/>
      <sz val="9.5"/>
      <color rgb="FF0000FF"/>
      <name val="Verdana"/>
      <family val="2"/>
    </font>
    <font>
      <u/>
      <sz val="9.5"/>
      <color theme="10"/>
      <name val="Verdana"/>
      <family val="2"/>
    </font>
    <font>
      <sz val="10"/>
      <color theme="1"/>
      <name val="Arial"/>
      <family val="2"/>
    </font>
    <font>
      <b/>
      <sz val="12"/>
      <color rgb="FF002060"/>
      <name val="Calibri"/>
      <family val="2"/>
      <scheme val="minor"/>
    </font>
    <font>
      <sz val="8"/>
      <name val="Arial"/>
      <family val="2"/>
    </font>
    <font>
      <sz val="8"/>
      <color theme="0"/>
      <name val="Arial"/>
      <family val="2"/>
    </font>
    <font>
      <b/>
      <sz val="9"/>
      <name val="Arial"/>
      <family val="2"/>
    </font>
    <font>
      <b/>
      <i/>
      <sz val="9"/>
      <name val="Arial"/>
      <family val="2"/>
    </font>
    <font>
      <b/>
      <sz val="8"/>
      <name val="Arial"/>
      <family val="2"/>
    </font>
    <font>
      <i/>
      <sz val="9"/>
      <name val="Arial"/>
      <family val="2"/>
    </font>
    <font>
      <b/>
      <u/>
      <sz val="9"/>
      <name val="Arial"/>
      <family val="2"/>
    </font>
    <font>
      <b/>
      <u/>
      <sz val="8"/>
      <name val="Arial"/>
      <family val="2"/>
    </font>
    <font>
      <sz val="9"/>
      <color rgb="FFC00000"/>
      <name val="Arial"/>
      <family val="2"/>
    </font>
    <font>
      <sz val="8"/>
      <color rgb="FFC00000"/>
      <name val="Arial"/>
      <family val="2"/>
    </font>
    <font>
      <b/>
      <sz val="9"/>
      <color theme="6"/>
      <name val="Arial"/>
      <family val="2"/>
    </font>
    <font>
      <sz val="9"/>
      <color theme="6" tint="-0.249977111117893"/>
      <name val="Arial"/>
      <family val="2"/>
    </font>
    <font>
      <i/>
      <sz val="8"/>
      <name val="Arial"/>
      <family val="2"/>
    </font>
    <font>
      <sz val="9"/>
      <color theme="1"/>
      <name val="Arial"/>
      <family val="2"/>
    </font>
    <font>
      <sz val="9"/>
      <color rgb="FF0000FF"/>
      <name val="Arial"/>
      <family val="2"/>
    </font>
    <font>
      <i/>
      <sz val="9"/>
      <color theme="1"/>
      <name val="Arial"/>
      <family val="2"/>
    </font>
    <font>
      <b/>
      <i/>
      <sz val="8"/>
      <name val="Arial"/>
      <family val="2"/>
    </font>
    <font>
      <b/>
      <sz val="9"/>
      <color rgb="FF0000FF"/>
      <name val="Arial"/>
      <family val="2"/>
    </font>
    <font>
      <sz val="10"/>
      <name val="Geneva"/>
      <family val="2"/>
    </font>
    <font>
      <sz val="10"/>
      <name val="Times New Roman"/>
      <family val="1"/>
    </font>
    <font>
      <b/>
      <sz val="9"/>
      <color indexed="12"/>
      <name val="Arial"/>
      <family val="2"/>
    </font>
    <font>
      <sz val="9"/>
      <color rgb="FF008000"/>
      <name val="Arial"/>
      <family val="2"/>
    </font>
    <font>
      <i/>
      <sz val="9"/>
      <color rgb="FF0000FF"/>
      <name val="Arial"/>
      <family val="2"/>
    </font>
    <font>
      <sz val="9"/>
      <color indexed="12"/>
      <name val="Arial"/>
      <family val="2"/>
    </font>
    <font>
      <u/>
      <sz val="8"/>
      <name val="Arial"/>
      <family val="2"/>
    </font>
    <font>
      <i/>
      <u/>
      <sz val="8"/>
      <name val="Arial"/>
      <family val="2"/>
    </font>
    <font>
      <b/>
      <sz val="9"/>
      <color indexed="81"/>
      <name val="Tahoma"/>
      <family val="2"/>
    </font>
    <font>
      <sz val="9"/>
      <color indexed="81"/>
      <name val="Tahoma"/>
      <family val="2"/>
    </font>
    <font>
      <sz val="8"/>
      <color rgb="FFFF0000"/>
      <name val="Arial"/>
      <family val="2"/>
    </font>
    <font>
      <b/>
      <sz val="9"/>
      <name val="AAFormataRegular"/>
    </font>
    <font>
      <i/>
      <sz val="9"/>
      <name val="AAFormataRegular"/>
    </font>
    <font>
      <i/>
      <u/>
      <sz val="9"/>
      <name val="Arial"/>
      <family val="2"/>
    </font>
    <font>
      <u/>
      <sz val="9"/>
      <name val="Arial"/>
      <family val="2"/>
    </font>
    <font>
      <u val="singleAccounting"/>
      <sz val="9"/>
      <name val="Arial"/>
      <family val="2"/>
    </font>
    <font>
      <sz val="9"/>
      <name val="AAFormataRegular"/>
    </font>
    <font>
      <b/>
      <i/>
      <u/>
      <sz val="8"/>
      <name val="Arial"/>
      <family val="2"/>
    </font>
    <font>
      <b/>
      <i/>
      <u/>
      <sz val="9"/>
      <name val="Arial"/>
      <family val="2"/>
    </font>
    <font>
      <b/>
      <i/>
      <sz val="9"/>
      <name val="AAFormataRegular"/>
    </font>
    <font>
      <u val="double"/>
      <sz val="8"/>
      <name val="Arial"/>
      <family val="2"/>
    </font>
    <font>
      <b/>
      <sz val="9"/>
      <color rgb="FFC00000"/>
      <name val="Arial"/>
      <family val="2"/>
    </font>
    <font>
      <sz val="8"/>
      <color indexed="9"/>
      <name val="Arial"/>
      <family val="2"/>
    </font>
    <font>
      <sz val="9"/>
      <color indexed="9"/>
      <name val="Arial"/>
      <family val="2"/>
    </font>
    <font>
      <b/>
      <sz val="9"/>
      <color indexed="9"/>
      <name val="Arial"/>
      <family val="2"/>
    </font>
    <font>
      <b/>
      <sz val="9"/>
      <color rgb="FF00B0F0"/>
      <name val="Arial"/>
      <family val="2"/>
    </font>
    <font>
      <sz val="9"/>
      <color rgb="FF00B0F0"/>
      <name val="Arial"/>
      <family val="2"/>
    </font>
  </fonts>
  <fills count="16">
    <fill>
      <patternFill patternType="none"/>
    </fill>
    <fill>
      <patternFill patternType="gray125"/>
    </fill>
    <fill>
      <patternFill patternType="solid">
        <fgColor rgb="FFFFCD41"/>
        <bgColor indexed="64"/>
      </patternFill>
    </fill>
    <fill>
      <patternFill patternType="solid">
        <fgColor theme="0"/>
        <bgColor indexed="64"/>
      </patternFill>
    </fill>
    <fill>
      <patternFill patternType="solid">
        <fgColor theme="3" tint="0.59999389629810485"/>
        <bgColor indexed="64"/>
      </patternFill>
    </fill>
    <fill>
      <patternFill patternType="solid">
        <fgColor indexed="9"/>
        <bgColor indexed="64"/>
      </patternFill>
    </fill>
    <fill>
      <patternFill patternType="solid">
        <fgColor theme="0" tint="-0.249977111117893"/>
        <bgColor indexed="64"/>
      </patternFill>
    </fill>
    <fill>
      <patternFill patternType="solid">
        <fgColor indexed="22"/>
        <bgColor indexed="31"/>
      </patternFill>
    </fill>
    <fill>
      <patternFill patternType="solid">
        <fgColor rgb="FFFFFFFF"/>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9998168889431442"/>
        <bgColor indexed="31"/>
      </patternFill>
    </fill>
    <fill>
      <patternFill patternType="solid">
        <fgColor theme="3" tint="0.79998168889431442"/>
        <bgColor indexed="64"/>
      </patternFill>
    </fill>
    <fill>
      <patternFill patternType="solid">
        <fgColor theme="2"/>
        <bgColor indexed="64"/>
      </patternFill>
    </fill>
    <fill>
      <patternFill patternType="solid">
        <fgColor theme="1" tint="0.499984740745262"/>
        <bgColor indexed="64"/>
      </patternFill>
    </fill>
    <fill>
      <patternFill patternType="solid">
        <fgColor indexed="9"/>
        <bgColor indexed="26"/>
      </patternFill>
    </fill>
  </fills>
  <borders count="129">
    <border>
      <left/>
      <right/>
      <top/>
      <bottom/>
      <diagonal/>
    </border>
    <border>
      <left style="thin">
        <color indexed="64"/>
      </left>
      <right style="thin">
        <color indexed="64"/>
      </right>
      <top style="thin">
        <color indexed="8"/>
      </top>
      <bottom/>
      <diagonal/>
    </border>
    <border>
      <left style="thin">
        <color indexed="64"/>
      </left>
      <right style="thin">
        <color indexed="8"/>
      </right>
      <top style="thin">
        <color indexed="64"/>
      </top>
      <bottom/>
      <diagonal/>
    </border>
    <border>
      <left style="thin">
        <color indexed="8"/>
      </left>
      <right style="thin">
        <color indexed="8"/>
      </right>
      <top style="thin">
        <color indexed="64"/>
      </top>
      <bottom/>
      <diagonal/>
    </border>
    <border>
      <left style="thin">
        <color indexed="8"/>
      </left>
      <right style="thin">
        <color indexed="64"/>
      </right>
      <top style="thin">
        <color indexed="64"/>
      </top>
      <bottom/>
      <diagonal/>
    </border>
    <border>
      <left/>
      <right style="thin">
        <color indexed="8"/>
      </right>
      <top style="thin">
        <color indexed="64"/>
      </top>
      <bottom/>
      <diagonal/>
    </border>
    <border>
      <left style="thin">
        <color indexed="8"/>
      </left>
      <right/>
      <top style="thin">
        <color indexed="64"/>
      </top>
      <bottom/>
      <diagonal/>
    </border>
    <border>
      <left/>
      <right style="thin">
        <color auto="1"/>
      </right>
      <top/>
      <bottom/>
      <diagonal/>
    </border>
    <border>
      <left/>
      <right/>
      <top style="thin">
        <color auto="1"/>
      </top>
      <bottom/>
      <diagonal/>
    </border>
    <border>
      <left style="thin">
        <color indexed="64"/>
      </left>
      <right/>
      <top style="thin">
        <color auto="1"/>
      </top>
      <bottom/>
      <diagonal/>
    </border>
    <border>
      <left/>
      <right style="thin">
        <color indexed="64"/>
      </right>
      <top style="thin">
        <color auto="1"/>
      </top>
      <bottom/>
      <diagonal/>
    </border>
    <border>
      <left style="thin">
        <color auto="1"/>
      </left>
      <right style="thin">
        <color indexed="64"/>
      </right>
      <top/>
      <bottom/>
      <diagonal/>
    </border>
    <border>
      <left style="thin">
        <color indexed="64"/>
      </left>
      <right/>
      <top/>
      <bottom/>
      <diagonal/>
    </border>
    <border>
      <left style="thin">
        <color indexed="8"/>
      </left>
      <right style="thin">
        <color indexed="64"/>
      </right>
      <top/>
      <bottom/>
      <diagonal/>
    </border>
    <border>
      <left style="thin">
        <color indexed="8"/>
      </left>
      <right/>
      <top/>
      <bottom/>
      <diagonal/>
    </border>
    <border>
      <left style="thin">
        <color indexed="64"/>
      </left>
      <right/>
      <top/>
      <bottom/>
      <diagonal/>
    </border>
    <border>
      <left style="thin">
        <color indexed="64"/>
      </left>
      <right style="thin">
        <color indexed="64"/>
      </right>
      <top/>
      <bottom/>
      <diagonal/>
    </border>
    <border>
      <left style="thin">
        <color auto="1"/>
      </left>
      <right style="thin">
        <color auto="1"/>
      </right>
      <top/>
      <bottom style="double">
        <color indexed="64"/>
      </bottom>
      <diagonal/>
    </border>
    <border>
      <left style="thin">
        <color indexed="64"/>
      </left>
      <right/>
      <top/>
      <bottom style="double">
        <color indexed="64"/>
      </bottom>
      <diagonal/>
    </border>
    <border>
      <left/>
      <right/>
      <top/>
      <bottom style="double">
        <color indexed="64"/>
      </bottom>
      <diagonal/>
    </border>
    <border>
      <left/>
      <right style="thin">
        <color auto="1"/>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top/>
      <bottom/>
      <diagonal/>
    </border>
    <border>
      <left/>
      <right/>
      <top style="double">
        <color indexed="64"/>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thin">
        <color indexed="8"/>
      </bottom>
      <diagonal/>
    </border>
    <border>
      <left style="thin">
        <color indexed="64"/>
      </left>
      <right/>
      <top style="thin">
        <color indexed="64"/>
      </top>
      <bottom/>
      <diagonal/>
    </border>
    <border>
      <left/>
      <right style="thin">
        <color indexed="8"/>
      </right>
      <top style="thin">
        <color indexed="64"/>
      </top>
      <bottom/>
      <diagonal/>
    </border>
    <border>
      <left style="thin">
        <color indexed="8"/>
      </left>
      <right/>
      <top/>
      <bottom/>
      <diagonal/>
    </border>
    <border>
      <left/>
      <right style="thin">
        <color indexed="8"/>
      </right>
      <top/>
      <bottom/>
      <diagonal/>
    </border>
    <border>
      <left style="thin">
        <color indexed="8"/>
      </left>
      <right/>
      <top/>
      <bottom/>
      <diagonal/>
    </border>
    <border>
      <left/>
      <right style="thin">
        <color indexed="64"/>
      </right>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style="thin">
        <color indexed="8"/>
      </right>
      <top/>
      <bottom style="thin">
        <color indexed="64"/>
      </bottom>
      <diagonal/>
    </border>
    <border>
      <left style="thin">
        <color indexed="8"/>
      </left>
      <right/>
      <top/>
      <bottom style="thin">
        <color indexed="64"/>
      </bottom>
      <diagonal/>
    </border>
    <border>
      <left style="thin">
        <color indexed="8"/>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top/>
      <bottom/>
      <diagonal/>
    </border>
    <border>
      <left/>
      <right/>
      <top style="thin">
        <color indexed="8"/>
      </top>
      <bottom/>
      <diagonal/>
    </border>
    <border>
      <left style="thin">
        <color indexed="8"/>
      </left>
      <right style="thin">
        <color indexed="8"/>
      </right>
      <top style="thin">
        <color indexed="8"/>
      </top>
      <bottom/>
      <diagonal/>
    </border>
    <border>
      <left style="thin">
        <color indexed="64"/>
      </left>
      <right/>
      <top style="thin">
        <color auto="1"/>
      </top>
      <bottom/>
      <diagonal/>
    </border>
    <border>
      <left/>
      <right style="thin">
        <color indexed="64"/>
      </right>
      <top style="thin">
        <color indexed="64"/>
      </top>
      <bottom/>
      <diagonal/>
    </border>
    <border>
      <left/>
      <right/>
      <top style="thin">
        <color indexed="8"/>
      </top>
      <bottom/>
      <diagonal/>
    </border>
    <border>
      <left style="thin">
        <color indexed="64"/>
      </left>
      <right style="thin">
        <color indexed="64"/>
      </right>
      <top style="thin">
        <color indexed="8"/>
      </top>
      <bottom/>
      <diagonal/>
    </border>
    <border>
      <left/>
      <right/>
      <top style="thin">
        <color indexed="64"/>
      </top>
      <bottom/>
      <diagonal/>
    </border>
    <border>
      <left style="thin">
        <color indexed="64"/>
      </left>
      <right style="thin">
        <color indexed="8"/>
      </right>
      <top/>
      <bottom/>
      <diagonal/>
    </border>
    <border>
      <left style="thin">
        <color indexed="64"/>
      </left>
      <right style="thin">
        <color indexed="8"/>
      </right>
      <top/>
      <bottom/>
      <diagonal/>
    </border>
    <border>
      <left style="thin">
        <color indexed="8"/>
      </left>
      <right style="thin">
        <color indexed="64"/>
      </right>
      <top/>
      <bottom/>
      <diagonal/>
    </border>
    <border>
      <left style="thin">
        <color indexed="64"/>
      </left>
      <right/>
      <top/>
      <bottom/>
      <diagonal/>
    </border>
    <border>
      <left style="thin">
        <color auto="1"/>
      </left>
      <right style="thin">
        <color indexed="64"/>
      </right>
      <top/>
      <bottom/>
      <diagonal/>
    </border>
    <border>
      <left style="thin">
        <color indexed="8"/>
      </left>
      <right/>
      <top/>
      <bottom/>
      <diagonal/>
    </border>
    <border>
      <left style="thin">
        <color indexed="64"/>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8"/>
      </left>
      <right/>
      <top style="thin">
        <color indexed="64"/>
      </top>
      <bottom style="thin">
        <color indexed="64"/>
      </bottom>
      <diagonal/>
    </border>
    <border>
      <left style="thin">
        <color indexed="64"/>
      </left>
      <right style="thin">
        <color indexed="8"/>
      </right>
      <top/>
      <bottom/>
      <diagonal/>
    </border>
    <border>
      <left style="thin">
        <color indexed="8"/>
      </left>
      <right style="thin">
        <color indexed="64"/>
      </right>
      <top/>
      <bottom/>
      <diagonal/>
    </border>
    <border>
      <left style="thin">
        <color indexed="64"/>
      </left>
      <right/>
      <top/>
      <bottom/>
      <diagonal/>
    </border>
    <border>
      <left style="thin">
        <color indexed="8"/>
      </left>
      <right/>
      <top/>
      <bottom/>
      <diagonal/>
    </border>
    <border>
      <left/>
      <right style="thin">
        <color indexed="8"/>
      </right>
      <top style="thin">
        <color indexed="64"/>
      </top>
      <bottom/>
      <diagonal/>
    </border>
    <border>
      <left style="thin">
        <color auto="1"/>
      </left>
      <right style="thin">
        <color indexed="64"/>
      </right>
      <top/>
      <bottom/>
      <diagonal/>
    </border>
    <border>
      <left style="thin">
        <color auto="1"/>
      </left>
      <right/>
      <top/>
      <bottom style="thin">
        <color auto="1"/>
      </bottom>
      <diagonal/>
    </border>
    <border>
      <left style="thin">
        <color auto="1"/>
      </left>
      <right style="thin">
        <color indexed="64"/>
      </right>
      <top/>
      <bottom style="thin">
        <color auto="1"/>
      </bottom>
      <diagonal/>
    </border>
    <border>
      <left style="thin">
        <color indexed="8"/>
      </left>
      <right style="thin">
        <color indexed="8"/>
      </right>
      <top/>
      <bottom/>
      <diagonal/>
    </border>
    <border>
      <left style="thin">
        <color indexed="64"/>
      </left>
      <right style="thin">
        <color indexed="64"/>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64"/>
      </left>
      <right style="thin">
        <color indexed="8"/>
      </right>
      <top style="thin">
        <color indexed="8"/>
      </top>
      <bottom style="thin">
        <color indexed="8"/>
      </bottom>
      <diagonal/>
    </border>
    <border>
      <left style="thin">
        <color indexed="8"/>
      </left>
      <right style="thin">
        <color indexed="64"/>
      </right>
      <top style="thin">
        <color indexed="8"/>
      </top>
      <bottom style="thin">
        <color indexed="8"/>
      </bottom>
      <diagonal/>
    </border>
    <border>
      <left style="thin">
        <color indexed="64"/>
      </left>
      <right style="thin">
        <color indexed="64"/>
      </right>
      <top style="thin">
        <color indexed="8"/>
      </top>
      <bottom style="thin">
        <color indexed="64"/>
      </bottom>
      <diagonal/>
    </border>
    <border>
      <left/>
      <right/>
      <top style="thin">
        <color indexed="8"/>
      </top>
      <bottom style="thin">
        <color indexed="8"/>
      </bottom>
      <diagonal/>
    </border>
    <border>
      <left style="thin">
        <color indexed="64"/>
      </left>
      <right/>
      <top style="thin">
        <color indexed="8"/>
      </top>
      <bottom style="thin">
        <color indexed="64"/>
      </bottom>
      <diagonal/>
    </border>
    <border>
      <left/>
      <right/>
      <top style="thin">
        <color indexed="8"/>
      </top>
      <bottom style="thin">
        <color indexed="64"/>
      </bottom>
      <diagonal/>
    </border>
    <border>
      <left/>
      <right style="thin">
        <color indexed="64"/>
      </right>
      <top style="thin">
        <color indexed="8"/>
      </top>
      <bottom style="thin">
        <color indexed="64"/>
      </bottom>
      <diagonal/>
    </border>
    <border>
      <left style="thin">
        <color indexed="64"/>
      </left>
      <right style="thin">
        <color indexed="8"/>
      </right>
      <top style="thin">
        <color indexed="8"/>
      </top>
      <bottom style="thin">
        <color indexed="64"/>
      </bottom>
      <diagonal/>
    </border>
    <border>
      <left style="thin">
        <color indexed="8"/>
      </left>
      <right style="thin">
        <color indexed="8"/>
      </right>
      <top style="thin">
        <color indexed="8"/>
      </top>
      <bottom style="thin">
        <color indexed="64"/>
      </bottom>
      <diagonal/>
    </border>
    <border>
      <left style="thin">
        <color indexed="8"/>
      </left>
      <right style="thin">
        <color indexed="64"/>
      </right>
      <top style="thin">
        <color indexed="8"/>
      </top>
      <bottom style="thin">
        <color indexed="64"/>
      </bottom>
      <diagonal/>
    </border>
    <border>
      <left style="thin">
        <color indexed="8"/>
      </left>
      <right style="thin">
        <color indexed="8"/>
      </right>
      <top/>
      <bottom style="thin">
        <color indexed="64"/>
      </bottom>
      <diagonal/>
    </border>
    <border>
      <left/>
      <right/>
      <top/>
      <bottom style="thin">
        <color indexed="8"/>
      </bottom>
      <diagonal/>
    </border>
    <border>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right style="thin">
        <color indexed="64"/>
      </right>
      <top style="thin">
        <color auto="1"/>
      </top>
      <bottom/>
      <diagonal/>
    </border>
    <border>
      <left style="thin">
        <color indexed="64"/>
      </left>
      <right style="thin">
        <color indexed="8"/>
      </right>
      <top/>
      <bottom/>
      <diagonal/>
    </border>
    <border>
      <left style="thin">
        <color indexed="8"/>
      </left>
      <right/>
      <top/>
      <bottom/>
      <diagonal/>
    </border>
    <border>
      <left style="thin">
        <color indexed="64"/>
      </left>
      <right/>
      <top/>
      <bottom/>
      <diagonal/>
    </border>
    <border>
      <left style="thin">
        <color indexed="8"/>
      </left>
      <right style="thin">
        <color indexed="64"/>
      </right>
      <top/>
      <bottom/>
      <diagonal/>
    </border>
    <border>
      <left style="thin">
        <color auto="1"/>
      </left>
      <right style="thin">
        <color indexed="64"/>
      </right>
      <top/>
      <bottom/>
      <diagonal/>
    </border>
    <border>
      <left style="thin">
        <color indexed="64"/>
      </left>
      <right style="thin">
        <color indexed="8"/>
      </right>
      <top/>
      <bottom/>
      <diagonal/>
    </border>
    <border>
      <left style="thin">
        <color indexed="8"/>
      </left>
      <right/>
      <top/>
      <bottom/>
      <diagonal/>
    </border>
    <border>
      <left style="thin">
        <color indexed="64"/>
      </left>
      <right/>
      <top/>
      <bottom/>
      <diagonal/>
    </border>
    <border>
      <left/>
      <right style="thin">
        <color indexed="64"/>
      </right>
      <top/>
      <bottom style="thin">
        <color indexed="8"/>
      </bottom>
      <diagonal/>
    </border>
    <border>
      <left style="thin">
        <color indexed="8"/>
      </left>
      <right style="thin">
        <color indexed="64"/>
      </right>
      <top/>
      <bottom/>
      <diagonal/>
    </border>
    <border>
      <left style="thin">
        <color indexed="64"/>
      </left>
      <right style="thin">
        <color auto="1"/>
      </right>
      <top/>
      <bottom style="thin">
        <color indexed="64"/>
      </bottom>
      <diagonal/>
    </border>
    <border>
      <left/>
      <right style="thin">
        <color indexed="64"/>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bottom style="thin">
        <color indexed="8"/>
      </bottom>
      <diagonal/>
    </border>
    <border>
      <left style="thin">
        <color indexed="64"/>
      </left>
      <right/>
      <top style="thin">
        <color indexed="8"/>
      </top>
      <bottom style="thin">
        <color indexed="8"/>
      </bottom>
      <diagonal/>
    </border>
    <border>
      <left style="thin">
        <color indexed="8"/>
      </left>
      <right style="thin">
        <color indexed="8"/>
      </right>
      <top/>
      <bottom/>
      <diagonal/>
    </border>
    <border>
      <left style="thin">
        <color indexed="64"/>
      </left>
      <right style="thin">
        <color indexed="64"/>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style="thin">
        <color indexed="64"/>
      </left>
      <right/>
      <top/>
      <bottom style="thin">
        <color indexed="8"/>
      </bottom>
      <diagonal/>
    </border>
    <border>
      <left/>
      <right/>
      <top/>
      <bottom style="thin">
        <color auto="1"/>
      </bottom>
      <diagonal/>
    </border>
    <border>
      <left style="thin">
        <color indexed="64"/>
      </left>
      <right/>
      <top style="thin">
        <color indexed="8"/>
      </top>
      <bottom/>
      <diagonal/>
    </border>
  </borders>
  <cellStyleXfs count="14">
    <xf numFmtId="0" fontId="0" fillId="0" borderId="0"/>
    <xf numFmtId="43" fontId="25" fillId="0" borderId="0" applyFont="0" applyFill="0" applyBorder="0" applyAlignment="0" applyProtection="0"/>
    <xf numFmtId="44" fontId="25" fillId="0" borderId="0" applyFont="0" applyFill="0" applyBorder="0" applyAlignment="0" applyProtection="0"/>
    <xf numFmtId="9" fontId="25" fillId="0" borderId="0" applyFont="0" applyFill="0" applyBorder="0" applyAlignment="0" applyProtection="0"/>
    <xf numFmtId="0" fontId="21" fillId="0" borderId="0" applyNumberFormat="0" applyFill="0" applyBorder="0" applyAlignment="0" applyProtection="0"/>
    <xf numFmtId="0" fontId="1" fillId="0" borderId="0"/>
    <xf numFmtId="3" fontId="15" fillId="0" borderId="0"/>
    <xf numFmtId="0" fontId="19" fillId="0" borderId="0" applyNumberFormat="0" applyFill="0" applyBorder="0" applyAlignment="0" applyProtection="0">
      <alignment vertical="top"/>
      <protection locked="0"/>
    </xf>
    <xf numFmtId="0" fontId="1" fillId="0" borderId="0"/>
    <xf numFmtId="0" fontId="45" fillId="0" borderId="0"/>
    <xf numFmtId="11" fontId="46" fillId="0" borderId="0" applyNumberForma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1" fillId="0" borderId="0"/>
  </cellStyleXfs>
  <cellXfs count="1739">
    <xf numFmtId="0" fontId="0" fillId="0" borderId="0" xfId="0"/>
    <xf numFmtId="0" fontId="2" fillId="0" borderId="0" xfId="5" applyFont="1"/>
    <xf numFmtId="0" fontId="2" fillId="2" borderId="0" xfId="5" applyFont="1" applyFill="1"/>
    <xf numFmtId="0" fontId="3" fillId="0" borderId="0" xfId="5" applyFont="1"/>
    <xf numFmtId="0" fontId="4" fillId="0" borderId="0" xfId="5" applyFont="1"/>
    <xf numFmtId="0" fontId="2" fillId="3" borderId="0" xfId="5" applyFont="1" applyFill="1"/>
    <xf numFmtId="0" fontId="5" fillId="0" borderId="0" xfId="5" applyFont="1"/>
    <xf numFmtId="0" fontId="6" fillId="0" borderId="0" xfId="5" applyFont="1"/>
    <xf numFmtId="0" fontId="7" fillId="0" borderId="0" xfId="5" applyFont="1"/>
    <xf numFmtId="0" fontId="8" fillId="0" borderId="0" xfId="5" applyFont="1"/>
    <xf numFmtId="0" fontId="9" fillId="0" borderId="0" xfId="5" applyFont="1"/>
    <xf numFmtId="164" fontId="9" fillId="0" borderId="0" xfId="5" applyNumberFormat="1" applyFont="1" applyAlignment="1">
      <alignment horizontal="left"/>
    </xf>
    <xf numFmtId="9" fontId="10" fillId="0" borderId="0" xfId="5" applyNumberFormat="1" applyFont="1"/>
    <xf numFmtId="0" fontId="11" fillId="0" borderId="0" xfId="5" applyFont="1"/>
    <xf numFmtId="0" fontId="12" fillId="0" borderId="0" xfId="5" applyFont="1"/>
    <xf numFmtId="0" fontId="2" fillId="4" borderId="0" xfId="5" applyFont="1" applyFill="1"/>
    <xf numFmtId="0" fontId="13" fillId="0" borderId="0" xfId="5" applyFont="1"/>
    <xf numFmtId="0" fontId="14" fillId="0" borderId="0" xfId="5" applyFont="1"/>
    <xf numFmtId="164" fontId="16" fillId="5" borderId="0" xfId="6" applyNumberFormat="1" applyFont="1" applyFill="1" applyAlignment="1">
      <alignment horizontal="left"/>
    </xf>
    <xf numFmtId="0" fontId="17" fillId="0" borderId="0" xfId="5" applyFont="1"/>
    <xf numFmtId="0" fontId="18" fillId="5" borderId="0" xfId="6" applyNumberFormat="1" applyFont="1" applyFill="1" applyAlignment="1">
      <alignment horizontal="left" vertical="center"/>
    </xf>
    <xf numFmtId="49" fontId="18" fillId="5" borderId="0" xfId="6" applyNumberFormat="1" applyFont="1" applyFill="1" applyAlignment="1">
      <alignment horizontal="left" vertical="center"/>
    </xf>
    <xf numFmtId="0" fontId="20" fillId="0" borderId="0" xfId="7" applyFont="1" applyAlignment="1" applyProtection="1"/>
    <xf numFmtId="0" fontId="22" fillId="0" borderId="0" xfId="4" applyNumberFormat="1" applyFont="1" applyFill="1" applyAlignment="1">
      <alignment horizontal="left" vertical="center"/>
    </xf>
    <xf numFmtId="0" fontId="23" fillId="5" borderId="0" xfId="6" applyNumberFormat="1" applyFont="1" applyFill="1" applyAlignment="1">
      <alignment horizontal="left" vertical="center"/>
    </xf>
    <xf numFmtId="0" fontId="24" fillId="5" borderId="0" xfId="4" applyNumberFormat="1" applyFont="1" applyFill="1" applyAlignment="1">
      <alignment horizontal="left" vertical="center"/>
    </xf>
    <xf numFmtId="0" fontId="23" fillId="0" borderId="0" xfId="6" applyNumberFormat="1" applyFont="1" applyAlignment="1">
      <alignment horizontal="left" vertical="center"/>
    </xf>
    <xf numFmtId="0" fontId="24" fillId="0" borderId="0" xfId="4" applyNumberFormat="1" applyFont="1" applyFill="1" applyAlignment="1">
      <alignment horizontal="left" vertical="center"/>
    </xf>
    <xf numFmtId="9" fontId="26" fillId="0" borderId="0" xfId="3" applyFont="1" applyFill="1" applyBorder="1" applyAlignment="1" applyProtection="1"/>
    <xf numFmtId="165" fontId="27" fillId="0" borderId="0" xfId="8" applyNumberFormat="1" applyFont="1"/>
    <xf numFmtId="43" fontId="27" fillId="0" borderId="0" xfId="1" applyFont="1" applyFill="1" applyBorder="1" applyAlignment="1"/>
    <xf numFmtId="0" fontId="27" fillId="3" borderId="0" xfId="8" applyFont="1" applyFill="1"/>
    <xf numFmtId="165" fontId="27" fillId="3" borderId="0" xfId="8" applyNumberFormat="1" applyFont="1" applyFill="1"/>
    <xf numFmtId="0" fontId="27" fillId="0" borderId="0" xfId="8" applyFont="1"/>
    <xf numFmtId="166" fontId="28" fillId="3" borderId="0" xfId="8" applyNumberFormat="1" applyFont="1" applyFill="1"/>
    <xf numFmtId="166" fontId="28" fillId="0" borderId="0" xfId="8" applyNumberFormat="1" applyFont="1"/>
    <xf numFmtId="166" fontId="27" fillId="0" borderId="0" xfId="8" applyNumberFormat="1" applyFont="1"/>
    <xf numFmtId="0" fontId="28" fillId="3" borderId="0" xfId="8" applyFont="1" applyFill="1"/>
    <xf numFmtId="167" fontId="28" fillId="3" borderId="0" xfId="8" applyNumberFormat="1" applyFont="1" applyFill="1"/>
    <xf numFmtId="0" fontId="28" fillId="0" borderId="0" xfId="8" applyFont="1"/>
    <xf numFmtId="0" fontId="29" fillId="6" borderId="1" xfId="8" applyFont="1" applyFill="1" applyBorder="1"/>
    <xf numFmtId="0" fontId="29" fillId="0" borderId="7" xfId="8" applyFont="1" applyBorder="1"/>
    <xf numFmtId="0" fontId="30" fillId="7" borderId="8" xfId="8" applyFont="1" applyFill="1" applyBorder="1"/>
    <xf numFmtId="0" fontId="30" fillId="7" borderId="9" xfId="8" applyFont="1" applyFill="1" applyBorder="1"/>
    <xf numFmtId="0" fontId="30" fillId="7" borderId="10" xfId="8" applyFont="1" applyFill="1" applyBorder="1"/>
    <xf numFmtId="0" fontId="31" fillId="0" borderId="0" xfId="8" applyFont="1"/>
    <xf numFmtId="0" fontId="32" fillId="0" borderId="11" xfId="8" applyFont="1" applyBorder="1"/>
    <xf numFmtId="17" fontId="33" fillId="0" borderId="12" xfId="8" applyNumberFormat="1" applyFont="1" applyBorder="1" applyAlignment="1">
      <alignment horizontal="right"/>
    </xf>
    <xf numFmtId="17" fontId="33" fillId="0" borderId="0" xfId="8" applyNumberFormat="1" applyFont="1" applyAlignment="1">
      <alignment horizontal="right"/>
    </xf>
    <xf numFmtId="17" fontId="33" fillId="0" borderId="0" xfId="8" quotePrefix="1" applyNumberFormat="1" applyFont="1" applyAlignment="1">
      <alignment horizontal="right"/>
    </xf>
    <xf numFmtId="17" fontId="33" fillId="0" borderId="7" xfId="8" applyNumberFormat="1" applyFont="1" applyBorder="1" applyAlignment="1">
      <alignment horizontal="right"/>
    </xf>
    <xf numFmtId="17" fontId="33" fillId="0" borderId="7" xfId="8" quotePrefix="1" applyNumberFormat="1" applyFont="1" applyBorder="1" applyAlignment="1">
      <alignment horizontal="right"/>
    </xf>
    <xf numFmtId="17" fontId="33" fillId="0" borderId="12" xfId="8" quotePrefix="1" applyNumberFormat="1" applyFont="1" applyBorder="1" applyAlignment="1">
      <alignment horizontal="right"/>
    </xf>
    <xf numFmtId="17" fontId="33" fillId="3" borderId="0" xfId="8" quotePrefix="1" applyNumberFormat="1" applyFont="1" applyFill="1" applyAlignment="1">
      <alignment horizontal="right"/>
    </xf>
    <xf numFmtId="17" fontId="33" fillId="3" borderId="7" xfId="8" quotePrefix="1" applyNumberFormat="1" applyFont="1" applyFill="1" applyBorder="1" applyAlignment="1">
      <alignment horizontal="right"/>
    </xf>
    <xf numFmtId="17" fontId="33" fillId="3" borderId="12" xfId="8" quotePrefix="1" applyNumberFormat="1" applyFont="1" applyFill="1" applyBorder="1" applyAlignment="1">
      <alignment horizontal="right"/>
    </xf>
    <xf numFmtId="0" fontId="33" fillId="0" borderId="7" xfId="8" applyFont="1" applyBorder="1" applyAlignment="1">
      <alignment horizontal="right"/>
    </xf>
    <xf numFmtId="0" fontId="33" fillId="0" borderId="11" xfId="8" applyFont="1" applyBorder="1" applyAlignment="1">
      <alignment horizontal="right"/>
    </xf>
    <xf numFmtId="0" fontId="33" fillId="0" borderId="13" xfId="8" applyFont="1" applyBorder="1" applyAlignment="1">
      <alignment horizontal="right"/>
    </xf>
    <xf numFmtId="0" fontId="33" fillId="0" borderId="14" xfId="8" applyFont="1" applyBorder="1" applyAlignment="1">
      <alignment horizontal="right"/>
    </xf>
    <xf numFmtId="0" fontId="33" fillId="0" borderId="15" xfId="8" applyFont="1" applyBorder="1" applyAlignment="1">
      <alignment horizontal="right"/>
    </xf>
    <xf numFmtId="0" fontId="33" fillId="0" borderId="16" xfId="8" applyFont="1" applyBorder="1" applyAlignment="1">
      <alignment horizontal="right"/>
    </xf>
    <xf numFmtId="0" fontId="34" fillId="0" borderId="0" xfId="8" applyFont="1" applyAlignment="1">
      <alignment horizontal="right"/>
    </xf>
    <xf numFmtId="0" fontId="29" fillId="3" borderId="16" xfId="8" applyFont="1" applyFill="1" applyBorder="1"/>
    <xf numFmtId="17" fontId="33" fillId="3" borderId="15" xfId="8" applyNumberFormat="1" applyFont="1" applyFill="1" applyBorder="1" applyAlignment="1">
      <alignment horizontal="right"/>
    </xf>
    <xf numFmtId="17" fontId="33" fillId="3" borderId="0" xfId="8" applyNumberFormat="1" applyFont="1" applyFill="1" applyAlignment="1">
      <alignment horizontal="right"/>
    </xf>
    <xf numFmtId="17" fontId="33" fillId="3" borderId="7" xfId="8" applyNumberFormat="1" applyFont="1" applyFill="1" applyBorder="1" applyAlignment="1">
      <alignment horizontal="right"/>
    </xf>
    <xf numFmtId="17" fontId="33" fillId="3" borderId="16" xfId="8" applyNumberFormat="1" applyFont="1" applyFill="1" applyBorder="1" applyAlignment="1">
      <alignment horizontal="right"/>
    </xf>
    <xf numFmtId="0" fontId="15" fillId="0" borderId="15" xfId="8" applyFont="1" applyBorder="1" applyAlignment="1">
      <alignment horizontal="left" indent="1"/>
    </xf>
    <xf numFmtId="168" fontId="15" fillId="3" borderId="15" xfId="8" applyNumberFormat="1" applyFont="1" applyFill="1" applyBorder="1"/>
    <xf numFmtId="168" fontId="15" fillId="3" borderId="0" xfId="8" applyNumberFormat="1" applyFont="1" applyFill="1"/>
    <xf numFmtId="168" fontId="15" fillId="3" borderId="7" xfId="8" applyNumberFormat="1" applyFont="1" applyFill="1" applyBorder="1"/>
    <xf numFmtId="168" fontId="15" fillId="3" borderId="16" xfId="8" applyNumberFormat="1" applyFont="1" applyFill="1" applyBorder="1"/>
    <xf numFmtId="169" fontId="29" fillId="3" borderId="16" xfId="8" applyNumberFormat="1" applyFont="1" applyFill="1" applyBorder="1" applyAlignment="1">
      <alignment horizontal="left"/>
    </xf>
    <xf numFmtId="168" fontId="29" fillId="3" borderId="15" xfId="8" applyNumberFormat="1" applyFont="1" applyFill="1" applyBorder="1"/>
    <xf numFmtId="168" fontId="29" fillId="3" borderId="0" xfId="8" applyNumberFormat="1" applyFont="1" applyFill="1"/>
    <xf numFmtId="168" fontId="29" fillId="3" borderId="7" xfId="8" applyNumberFormat="1" applyFont="1" applyFill="1" applyBorder="1"/>
    <xf numFmtId="168" fontId="29" fillId="0" borderId="0" xfId="8" applyNumberFormat="1" applyFont="1"/>
    <xf numFmtId="168" fontId="29" fillId="3" borderId="7" xfId="2" applyNumberFormat="1" applyFont="1" applyFill="1" applyBorder="1" applyProtection="1"/>
    <xf numFmtId="168" fontId="29" fillId="3" borderId="16" xfId="8" applyNumberFormat="1" applyFont="1" applyFill="1" applyBorder="1"/>
    <xf numFmtId="170" fontId="31" fillId="3" borderId="0" xfId="8" applyNumberFormat="1" applyFont="1" applyFill="1"/>
    <xf numFmtId="0" fontId="35" fillId="3" borderId="16" xfId="8" applyFont="1" applyFill="1" applyBorder="1" applyAlignment="1">
      <alignment horizontal="left" indent="1"/>
    </xf>
    <xf numFmtId="168" fontId="35" fillId="3" borderId="15" xfId="8" applyNumberFormat="1" applyFont="1" applyFill="1" applyBorder="1"/>
    <xf numFmtId="168" fontId="35" fillId="3" borderId="0" xfId="8" applyNumberFormat="1" applyFont="1" applyFill="1"/>
    <xf numFmtId="168" fontId="35" fillId="3" borderId="7" xfId="8" applyNumberFormat="1" applyFont="1" applyFill="1" applyBorder="1"/>
    <xf numFmtId="171" fontId="35" fillId="0" borderId="7" xfId="8" applyNumberFormat="1" applyFont="1" applyBorder="1"/>
    <xf numFmtId="168" fontId="35" fillId="0" borderId="15" xfId="8" applyNumberFormat="1" applyFont="1" applyBorder="1"/>
    <xf numFmtId="168" fontId="35" fillId="0" borderId="16" xfId="8" applyNumberFormat="1" applyFont="1" applyBorder="1"/>
    <xf numFmtId="168" fontId="35" fillId="3" borderId="16" xfId="8" applyNumberFormat="1" applyFont="1" applyFill="1" applyBorder="1"/>
    <xf numFmtId="169" fontId="36" fillId="0" borderId="0" xfId="8" applyNumberFormat="1" applyFont="1"/>
    <xf numFmtId="0" fontId="37" fillId="3" borderId="17" xfId="8" applyFont="1" applyFill="1" applyBorder="1"/>
    <xf numFmtId="168" fontId="35" fillId="3" borderId="18" xfId="8" applyNumberFormat="1" applyFont="1" applyFill="1" applyBorder="1"/>
    <xf numFmtId="168" fontId="35" fillId="3" borderId="19" xfId="8" applyNumberFormat="1" applyFont="1" applyFill="1" applyBorder="1"/>
    <xf numFmtId="168" fontId="35" fillId="3" borderId="20" xfId="8" applyNumberFormat="1" applyFont="1" applyFill="1" applyBorder="1"/>
    <xf numFmtId="168" fontId="35" fillId="0" borderId="19" xfId="8" applyNumberFormat="1" applyFont="1" applyBorder="1"/>
    <xf numFmtId="9" fontId="35" fillId="3" borderId="19" xfId="3" applyFont="1" applyFill="1" applyBorder="1" applyAlignment="1" applyProtection="1"/>
    <xf numFmtId="168" fontId="35" fillId="3" borderId="18" xfId="8" applyNumberFormat="1" applyFont="1" applyFill="1" applyBorder="1" applyAlignment="1">
      <alignment horizontal="right"/>
    </xf>
    <xf numFmtId="168" fontId="35" fillId="3" borderId="19" xfId="8" applyNumberFormat="1" applyFont="1" applyFill="1" applyBorder="1" applyAlignment="1">
      <alignment horizontal="right"/>
    </xf>
    <xf numFmtId="168" fontId="35" fillId="3" borderId="20" xfId="8" applyNumberFormat="1" applyFont="1" applyFill="1" applyBorder="1" applyAlignment="1">
      <alignment horizontal="right"/>
    </xf>
    <xf numFmtId="171" fontId="35" fillId="0" borderId="0" xfId="8" applyNumberFormat="1" applyFont="1"/>
    <xf numFmtId="168" fontId="29" fillId="0" borderId="17" xfId="8" applyNumberFormat="1" applyFont="1" applyBorder="1"/>
    <xf numFmtId="168" fontId="35" fillId="3" borderId="17" xfId="8" applyNumberFormat="1" applyFont="1" applyFill="1" applyBorder="1"/>
    <xf numFmtId="9" fontId="35" fillId="3" borderId="18" xfId="3" applyFont="1" applyFill="1" applyBorder="1" applyAlignment="1" applyProtection="1"/>
    <xf numFmtId="0" fontId="37" fillId="3" borderId="16" xfId="8" applyFont="1" applyFill="1" applyBorder="1" applyAlignment="1">
      <alignment horizontal="left" indent="1"/>
    </xf>
    <xf numFmtId="168" fontId="37" fillId="3" borderId="15" xfId="8" applyNumberFormat="1" applyFont="1" applyFill="1" applyBorder="1"/>
    <xf numFmtId="168" fontId="37" fillId="3" borderId="0" xfId="8" applyNumberFormat="1" applyFont="1" applyFill="1"/>
    <xf numFmtId="168" fontId="37" fillId="3" borderId="7" xfId="8" applyNumberFormat="1" applyFont="1" applyFill="1" applyBorder="1"/>
    <xf numFmtId="168" fontId="37" fillId="0" borderId="0" xfId="8" applyNumberFormat="1" applyFont="1"/>
    <xf numFmtId="168" fontId="37" fillId="3" borderId="21" xfId="8" applyNumberFormat="1" applyFont="1" applyFill="1" applyBorder="1"/>
    <xf numFmtId="168" fontId="37" fillId="3" borderId="22" xfId="8" applyNumberFormat="1" applyFont="1" applyFill="1" applyBorder="1"/>
    <xf numFmtId="168" fontId="29" fillId="0" borderId="13" xfId="8" applyNumberFormat="1" applyFont="1" applyBorder="1"/>
    <xf numFmtId="168" fontId="35" fillId="3" borderId="11" xfId="8" applyNumberFormat="1" applyFont="1" applyFill="1" applyBorder="1"/>
    <xf numFmtId="168" fontId="37" fillId="3" borderId="11" xfId="8" applyNumberFormat="1" applyFont="1" applyFill="1" applyBorder="1"/>
    <xf numFmtId="168" fontId="37" fillId="3" borderId="12" xfId="8" applyNumberFormat="1" applyFont="1" applyFill="1" applyBorder="1"/>
    <xf numFmtId="168" fontId="37" fillId="0" borderId="7" xfId="8" applyNumberFormat="1" applyFont="1" applyBorder="1"/>
    <xf numFmtId="0" fontId="37" fillId="3" borderId="11" xfId="8" applyFont="1" applyFill="1" applyBorder="1" applyAlignment="1">
      <alignment horizontal="left" indent="1"/>
    </xf>
    <xf numFmtId="168" fontId="35" fillId="3" borderId="12" xfId="8" applyNumberFormat="1" applyFont="1" applyFill="1" applyBorder="1"/>
    <xf numFmtId="168" fontId="29" fillId="0" borderId="23" xfId="8" applyNumberFormat="1" applyFont="1" applyBorder="1"/>
    <xf numFmtId="168" fontId="35" fillId="3" borderId="24" xfId="8" applyNumberFormat="1" applyFont="1" applyFill="1" applyBorder="1"/>
    <xf numFmtId="168" fontId="37" fillId="3" borderId="24" xfId="8" applyNumberFormat="1" applyFont="1" applyFill="1" applyBorder="1"/>
    <xf numFmtId="168" fontId="37" fillId="3" borderId="25" xfId="8" applyNumberFormat="1" applyFont="1" applyFill="1" applyBorder="1"/>
    <xf numFmtId="0" fontId="37" fillId="3" borderId="17" xfId="8" applyFont="1" applyFill="1" applyBorder="1" applyAlignment="1">
      <alignment horizontal="left" indent="1"/>
    </xf>
    <xf numFmtId="168" fontId="37" fillId="3" borderId="18" xfId="8" applyNumberFormat="1" applyFont="1" applyFill="1" applyBorder="1"/>
    <xf numFmtId="168" fontId="37" fillId="3" borderId="19" xfId="8" applyNumberFormat="1" applyFont="1" applyFill="1" applyBorder="1"/>
    <xf numFmtId="168" fontId="37" fillId="3" borderId="20" xfId="8" applyNumberFormat="1" applyFont="1" applyFill="1" applyBorder="1"/>
    <xf numFmtId="168" fontId="37" fillId="0" borderId="19" xfId="8" applyNumberFormat="1" applyFont="1" applyBorder="1"/>
    <xf numFmtId="168" fontId="37" fillId="3" borderId="17" xfId="8" applyNumberFormat="1" applyFont="1" applyFill="1" applyBorder="1"/>
    <xf numFmtId="168" fontId="37" fillId="0" borderId="20" xfId="8" applyNumberFormat="1" applyFont="1" applyBorder="1"/>
    <xf numFmtId="0" fontId="15" fillId="3" borderId="16" xfId="8" applyFont="1" applyFill="1" applyBorder="1" applyAlignment="1">
      <alignment horizontal="left" indent="1"/>
    </xf>
    <xf numFmtId="168" fontId="38" fillId="3" borderId="7" xfId="8" applyNumberFormat="1" applyFont="1" applyFill="1" applyBorder="1" applyAlignment="1">
      <alignment horizontal="right"/>
    </xf>
    <xf numFmtId="168" fontId="15" fillId="3" borderId="25" xfId="8" applyNumberFormat="1" applyFont="1" applyFill="1" applyBorder="1"/>
    <xf numFmtId="168" fontId="15" fillId="0" borderId="0" xfId="8" applyNumberFormat="1" applyFont="1"/>
    <xf numFmtId="172" fontId="15" fillId="3" borderId="0" xfId="8" applyNumberFormat="1" applyFont="1" applyFill="1"/>
    <xf numFmtId="168" fontId="38" fillId="3" borderId="0" xfId="8" applyNumberFormat="1" applyFont="1" applyFill="1" applyAlignment="1">
      <alignment horizontal="right"/>
    </xf>
    <xf numFmtId="171" fontId="15" fillId="3" borderId="7" xfId="8" applyNumberFormat="1" applyFont="1" applyFill="1" applyBorder="1"/>
    <xf numFmtId="168" fontId="38" fillId="3" borderId="25" xfId="8" applyNumberFormat="1" applyFont="1" applyFill="1" applyBorder="1"/>
    <xf numFmtId="168" fontId="38" fillId="3" borderId="16" xfId="8" applyNumberFormat="1" applyFont="1" applyFill="1" applyBorder="1"/>
    <xf numFmtId="9" fontId="38" fillId="3" borderId="15" xfId="3" applyFont="1" applyFill="1" applyBorder="1" applyAlignment="1" applyProtection="1"/>
    <xf numFmtId="169" fontId="27" fillId="3" borderId="0" xfId="8" applyNumberFormat="1" applyFont="1" applyFill="1"/>
    <xf numFmtId="0" fontId="15" fillId="3" borderId="16" xfId="8" applyFont="1" applyFill="1" applyBorder="1"/>
    <xf numFmtId="168" fontId="29" fillId="3" borderId="25" xfId="8" applyNumberFormat="1" applyFont="1" applyFill="1" applyBorder="1"/>
    <xf numFmtId="173" fontId="29" fillId="3" borderId="0" xfId="8" applyNumberFormat="1" applyFont="1" applyFill="1"/>
    <xf numFmtId="171" fontId="29" fillId="0" borderId="7" xfId="8" applyNumberFormat="1" applyFont="1" applyBorder="1"/>
    <xf numFmtId="169" fontId="31" fillId="0" borderId="0" xfId="8" applyNumberFormat="1" applyFont="1"/>
    <xf numFmtId="0" fontId="35" fillId="0" borderId="16" xfId="8" applyFont="1" applyBorder="1" applyAlignment="1">
      <alignment horizontal="left" indent="1"/>
    </xf>
    <xf numFmtId="168" fontId="35" fillId="0" borderId="0" xfId="8" applyNumberFormat="1" applyFont="1"/>
    <xf numFmtId="168" fontId="35" fillId="0" borderId="7" xfId="8" applyNumberFormat="1" applyFont="1" applyBorder="1"/>
    <xf numFmtId="168" fontId="35" fillId="0" borderId="25" xfId="8" applyNumberFormat="1" applyFont="1" applyBorder="1"/>
    <xf numFmtId="165" fontId="29" fillId="3" borderId="15" xfId="3" applyNumberFormat="1" applyFont="1" applyFill="1" applyBorder="1" applyAlignment="1" applyProtection="1"/>
    <xf numFmtId="165" fontId="29" fillId="3" borderId="16" xfId="3" applyNumberFormat="1" applyFont="1" applyFill="1" applyBorder="1" applyAlignment="1" applyProtection="1"/>
    <xf numFmtId="171" fontId="15" fillId="0" borderId="7" xfId="8" applyNumberFormat="1" applyFont="1" applyBorder="1"/>
    <xf numFmtId="169" fontId="27" fillId="0" borderId="0" xfId="8" applyNumberFormat="1" applyFont="1"/>
    <xf numFmtId="169" fontId="15" fillId="3" borderId="16" xfId="8" applyNumberFormat="1" applyFont="1" applyFill="1" applyBorder="1" applyAlignment="1">
      <alignment horizontal="left" indent="1"/>
    </xf>
    <xf numFmtId="168" fontId="15" fillId="0" borderId="7" xfId="8" applyNumberFormat="1" applyFont="1" applyBorder="1"/>
    <xf numFmtId="168" fontId="15" fillId="0" borderId="15" xfId="8" applyNumberFormat="1" applyFont="1" applyBorder="1"/>
    <xf numFmtId="165" fontId="27" fillId="0" borderId="0" xfId="3" applyNumberFormat="1" applyFont="1" applyFill="1" applyBorder="1" applyAlignment="1"/>
    <xf numFmtId="165" fontId="30" fillId="0" borderId="7" xfId="8" applyNumberFormat="1" applyFont="1" applyBorder="1"/>
    <xf numFmtId="0" fontId="39" fillId="0" borderId="0" xfId="8" applyFont="1"/>
    <xf numFmtId="169" fontId="29" fillId="3" borderId="16" xfId="8" applyNumberFormat="1" applyFont="1" applyFill="1" applyBorder="1" applyAlignment="1">
      <alignment horizontal="left" indent="1"/>
    </xf>
    <xf numFmtId="169" fontId="34" fillId="0" borderId="0" xfId="8" applyNumberFormat="1" applyFont="1"/>
    <xf numFmtId="168" fontId="29" fillId="0" borderId="7" xfId="8" applyNumberFormat="1" applyFont="1" applyBorder="1"/>
    <xf numFmtId="174" fontId="31" fillId="0" borderId="0" xfId="8" applyNumberFormat="1" applyFont="1"/>
    <xf numFmtId="175" fontId="35" fillId="0" borderId="0" xfId="8" applyNumberFormat="1" applyFont="1"/>
    <xf numFmtId="175" fontId="35" fillId="0" borderId="7" xfId="8" applyNumberFormat="1" applyFont="1" applyBorder="1"/>
    <xf numFmtId="175" fontId="35" fillId="0" borderId="15" xfId="8" applyNumberFormat="1" applyFont="1" applyBorder="1"/>
    <xf numFmtId="174" fontId="36" fillId="0" borderId="0" xfId="8" applyNumberFormat="1" applyFont="1"/>
    <xf numFmtId="168" fontId="37" fillId="3" borderId="26" xfId="8" applyNumberFormat="1" applyFont="1" applyFill="1" applyBorder="1"/>
    <xf numFmtId="168" fontId="29" fillId="0" borderId="27" xfId="8" applyNumberFormat="1" applyFont="1" applyBorder="1"/>
    <xf numFmtId="168" fontId="35" fillId="3" borderId="28" xfId="8" applyNumberFormat="1" applyFont="1" applyFill="1" applyBorder="1"/>
    <xf numFmtId="168" fontId="37" fillId="3" borderId="28" xfId="8" applyNumberFormat="1" applyFont="1" applyFill="1" applyBorder="1"/>
    <xf numFmtId="168" fontId="37" fillId="3" borderId="29" xfId="8" applyNumberFormat="1" applyFont="1" applyFill="1" applyBorder="1"/>
    <xf numFmtId="0" fontId="37" fillId="3" borderId="28" xfId="8" applyFont="1" applyFill="1" applyBorder="1" applyAlignment="1">
      <alignment horizontal="left" indent="1"/>
    </xf>
    <xf numFmtId="168" fontId="35" fillId="3" borderId="29" xfId="8" applyNumberFormat="1" applyFont="1" applyFill="1" applyBorder="1"/>
    <xf numFmtId="168" fontId="29" fillId="0" borderId="30" xfId="8" applyNumberFormat="1" applyFont="1" applyBorder="1"/>
    <xf numFmtId="168" fontId="35" fillId="3" borderId="31" xfId="8" applyNumberFormat="1" applyFont="1" applyFill="1" applyBorder="1"/>
    <xf numFmtId="168" fontId="37" fillId="3" borderId="31" xfId="8" applyNumberFormat="1" applyFont="1" applyFill="1" applyBorder="1"/>
    <xf numFmtId="168" fontId="37" fillId="3" borderId="32" xfId="8" applyNumberFormat="1" applyFont="1" applyFill="1" applyBorder="1"/>
    <xf numFmtId="169" fontId="29" fillId="3" borderId="31" xfId="8" applyNumberFormat="1" applyFont="1" applyFill="1" applyBorder="1" applyAlignment="1">
      <alignment horizontal="left" indent="1"/>
    </xf>
    <xf numFmtId="176" fontId="29" fillId="3" borderId="32" xfId="8" applyNumberFormat="1" applyFont="1" applyFill="1" applyBorder="1"/>
    <xf numFmtId="175" fontId="29" fillId="3" borderId="0" xfId="8" applyNumberFormat="1" applyFont="1" applyFill="1"/>
    <xf numFmtId="175" fontId="29" fillId="3" borderId="7" xfId="8" applyNumberFormat="1" applyFont="1" applyFill="1" applyBorder="1"/>
    <xf numFmtId="175" fontId="29" fillId="3" borderId="32" xfId="8" applyNumberFormat="1" applyFont="1" applyFill="1" applyBorder="1"/>
    <xf numFmtId="175" fontId="29" fillId="0" borderId="0" xfId="8" applyNumberFormat="1" applyFont="1"/>
    <xf numFmtId="177" fontId="29" fillId="3" borderId="32" xfId="8" applyNumberFormat="1" applyFont="1" applyFill="1" applyBorder="1"/>
    <xf numFmtId="178" fontId="29" fillId="3" borderId="0" xfId="8" applyNumberFormat="1" applyFont="1" applyFill="1"/>
    <xf numFmtId="168" fontId="29" fillId="3" borderId="31" xfId="8" applyNumberFormat="1" applyFont="1" applyFill="1" applyBorder="1"/>
    <xf numFmtId="168" fontId="29" fillId="3" borderId="32" xfId="8" applyNumberFormat="1" applyFont="1" applyFill="1" applyBorder="1"/>
    <xf numFmtId="174" fontId="29" fillId="3" borderId="31" xfId="8" applyNumberFormat="1" applyFont="1" applyFill="1" applyBorder="1" applyAlignment="1">
      <alignment horizontal="left"/>
    </xf>
    <xf numFmtId="178" fontId="29" fillId="3" borderId="32" xfId="8" applyNumberFormat="1" applyFont="1" applyFill="1" applyBorder="1"/>
    <xf numFmtId="178" fontId="29" fillId="0" borderId="0" xfId="8" applyNumberFormat="1" applyFont="1"/>
    <xf numFmtId="179" fontId="29" fillId="3" borderId="32" xfId="8" applyNumberFormat="1" applyFont="1" applyFill="1" applyBorder="1"/>
    <xf numFmtId="179" fontId="29" fillId="3" borderId="0" xfId="8" applyNumberFormat="1" applyFont="1" applyFill="1"/>
    <xf numFmtId="168" fontId="15" fillId="3" borderId="0" xfId="8" applyNumberFormat="1" applyFont="1" applyFill="1" applyAlignment="1">
      <alignment horizontal="right"/>
    </xf>
    <xf numFmtId="171" fontId="29" fillId="3" borderId="7" xfId="8" applyNumberFormat="1" applyFont="1" applyFill="1" applyBorder="1"/>
    <xf numFmtId="178" fontId="38" fillId="3" borderId="31" xfId="8" applyNumberFormat="1" applyFont="1" applyFill="1" applyBorder="1"/>
    <xf numFmtId="178" fontId="29" fillId="3" borderId="31" xfId="8" applyNumberFormat="1" applyFont="1" applyFill="1" applyBorder="1"/>
    <xf numFmtId="178" fontId="38" fillId="3" borderId="32" xfId="8" applyNumberFormat="1" applyFont="1" applyFill="1" applyBorder="1"/>
    <xf numFmtId="174" fontId="31" fillId="3" borderId="0" xfId="8" applyNumberFormat="1" applyFont="1" applyFill="1"/>
    <xf numFmtId="169" fontId="15" fillId="3" borderId="31" xfId="8" applyNumberFormat="1" applyFont="1" applyFill="1" applyBorder="1" applyAlignment="1">
      <alignment horizontal="left" indent="1"/>
    </xf>
    <xf numFmtId="168" fontId="15" fillId="3" borderId="32" xfId="8" applyNumberFormat="1" applyFont="1" applyFill="1" applyBorder="1"/>
    <xf numFmtId="168" fontId="15" fillId="0" borderId="32" xfId="8" applyNumberFormat="1" applyFont="1" applyBorder="1"/>
    <xf numFmtId="168" fontId="40" fillId="0" borderId="0" xfId="8" applyNumberFormat="1" applyFont="1"/>
    <xf numFmtId="168" fontId="41" fillId="0" borderId="32" xfId="8" applyNumberFormat="1" applyFont="1" applyBorder="1"/>
    <xf numFmtId="168" fontId="41" fillId="0" borderId="0" xfId="8" applyNumberFormat="1" applyFont="1"/>
    <xf numFmtId="171" fontId="29" fillId="0" borderId="31" xfId="8" applyNumberFormat="1" applyFont="1" applyBorder="1"/>
    <xf numFmtId="168" fontId="15" fillId="3" borderId="31" xfId="8" applyNumberFormat="1" applyFont="1" applyFill="1" applyBorder="1"/>
    <xf numFmtId="168" fontId="15" fillId="0" borderId="32" xfId="8" quotePrefix="1" applyNumberFormat="1" applyFont="1" applyBorder="1"/>
    <xf numFmtId="169" fontId="29" fillId="3" borderId="31" xfId="8" applyNumberFormat="1" applyFont="1" applyFill="1" applyBorder="1" applyAlignment="1">
      <alignment horizontal="left"/>
    </xf>
    <xf numFmtId="168" fontId="29" fillId="0" borderId="32" xfId="8" applyNumberFormat="1" applyFont="1" applyBorder="1"/>
    <xf numFmtId="180" fontId="29" fillId="0" borderId="0" xfId="8" applyNumberFormat="1" applyFont="1"/>
    <xf numFmtId="180" fontId="29" fillId="0" borderId="7" xfId="8" applyNumberFormat="1" applyFont="1" applyBorder="1"/>
    <xf numFmtId="180" fontId="29" fillId="3" borderId="0" xfId="8" applyNumberFormat="1" applyFont="1" applyFill="1"/>
    <xf numFmtId="180" fontId="29" fillId="3" borderId="32" xfId="8" applyNumberFormat="1" applyFont="1" applyFill="1" applyBorder="1"/>
    <xf numFmtId="180" fontId="29" fillId="3" borderId="7" xfId="8" applyNumberFormat="1" applyFont="1" applyFill="1" applyBorder="1"/>
    <xf numFmtId="180" fontId="5" fillId="3" borderId="7" xfId="8" applyNumberFormat="1" applyFont="1" applyFill="1" applyBorder="1"/>
    <xf numFmtId="181" fontId="31" fillId="0" borderId="0" xfId="8" applyNumberFormat="1" applyFont="1"/>
    <xf numFmtId="182" fontId="29" fillId="0" borderId="31" xfId="8" applyNumberFormat="1" applyFont="1" applyBorder="1"/>
    <xf numFmtId="169" fontId="32" fillId="3" borderId="31" xfId="8" applyNumberFormat="1" applyFont="1" applyFill="1" applyBorder="1" applyAlignment="1">
      <alignment horizontal="left" indent="1"/>
    </xf>
    <xf numFmtId="9" fontId="32" fillId="3" borderId="32" xfId="3" applyFont="1" applyFill="1" applyBorder="1" applyAlignment="1" applyProtection="1"/>
    <xf numFmtId="9" fontId="32" fillId="3" borderId="0" xfId="3" applyFont="1" applyFill="1" applyBorder="1" applyAlignment="1" applyProtection="1"/>
    <xf numFmtId="9" fontId="32" fillId="3" borderId="7" xfId="3" applyFont="1" applyFill="1" applyBorder="1" applyAlignment="1" applyProtection="1"/>
    <xf numFmtId="9" fontId="32" fillId="0" borderId="0" xfId="3" applyFont="1" applyFill="1" applyBorder="1" applyAlignment="1" applyProtection="1"/>
    <xf numFmtId="9" fontId="32" fillId="0" borderId="32" xfId="3" applyFont="1" applyFill="1" applyBorder="1" applyAlignment="1" applyProtection="1"/>
    <xf numFmtId="9" fontId="32" fillId="0" borderId="7" xfId="3" applyFont="1" applyFill="1" applyBorder="1" applyAlignment="1" applyProtection="1"/>
    <xf numFmtId="9" fontId="42" fillId="0" borderId="7" xfId="3" applyFont="1" applyFill="1" applyBorder="1" applyAlignment="1" applyProtection="1"/>
    <xf numFmtId="182" fontId="30" fillId="0" borderId="7" xfId="8" applyNumberFormat="1" applyFont="1" applyBorder="1"/>
    <xf numFmtId="9" fontId="32" fillId="0" borderId="31" xfId="3" applyFont="1" applyFill="1" applyBorder="1" applyAlignment="1" applyProtection="1"/>
    <xf numFmtId="181" fontId="43" fillId="0" borderId="0" xfId="8" applyNumberFormat="1" applyFont="1"/>
    <xf numFmtId="181" fontId="29" fillId="3" borderId="31" xfId="8" applyNumberFormat="1" applyFont="1" applyFill="1" applyBorder="1" applyAlignment="1">
      <alignment horizontal="left"/>
    </xf>
    <xf numFmtId="183" fontId="29" fillId="3" borderId="0" xfId="8" applyNumberFormat="1" applyFont="1" applyFill="1"/>
    <xf numFmtId="182" fontId="29" fillId="0" borderId="7" xfId="8" applyNumberFormat="1" applyFont="1" applyBorder="1"/>
    <xf numFmtId="184" fontId="35" fillId="0" borderId="31" xfId="8" applyNumberFormat="1" applyFont="1" applyBorder="1" applyAlignment="1">
      <alignment horizontal="left" indent="1"/>
    </xf>
    <xf numFmtId="184" fontId="35" fillId="3" borderId="0" xfId="8" applyNumberFormat="1" applyFont="1" applyFill="1"/>
    <xf numFmtId="168" fontId="35" fillId="0" borderId="32" xfId="8" applyNumberFormat="1" applyFont="1" applyBorder="1"/>
    <xf numFmtId="168" fontId="35" fillId="0" borderId="31" xfId="8" applyNumberFormat="1" applyFont="1" applyBorder="1"/>
    <xf numFmtId="168" fontId="35" fillId="3" borderId="32" xfId="8" applyNumberFormat="1" applyFont="1" applyFill="1" applyBorder="1"/>
    <xf numFmtId="0" fontId="37" fillId="3" borderId="31" xfId="8" applyFont="1" applyFill="1" applyBorder="1" applyAlignment="1">
      <alignment horizontal="left" indent="1"/>
    </xf>
    <xf numFmtId="168" fontId="29" fillId="0" borderId="33" xfId="8" applyNumberFormat="1" applyFont="1" applyBorder="1"/>
    <xf numFmtId="168" fontId="35" fillId="3" borderId="34" xfId="8" applyNumberFormat="1" applyFont="1" applyFill="1" applyBorder="1"/>
    <xf numFmtId="168" fontId="37" fillId="3" borderId="34" xfId="8" applyNumberFormat="1" applyFont="1" applyFill="1" applyBorder="1"/>
    <xf numFmtId="168" fontId="37" fillId="3" borderId="35" xfId="8" applyNumberFormat="1" applyFont="1" applyFill="1" applyBorder="1"/>
    <xf numFmtId="0" fontId="37" fillId="3" borderId="34" xfId="8" applyFont="1" applyFill="1" applyBorder="1" applyAlignment="1">
      <alignment horizontal="left" indent="1"/>
    </xf>
    <xf numFmtId="168" fontId="35" fillId="3" borderId="35" xfId="8" applyNumberFormat="1" applyFont="1" applyFill="1" applyBorder="1"/>
    <xf numFmtId="168" fontId="29" fillId="0" borderId="36" xfId="8" applyNumberFormat="1" applyFont="1" applyBorder="1"/>
    <xf numFmtId="168" fontId="35" fillId="3" borderId="37" xfId="8" applyNumberFormat="1" applyFont="1" applyFill="1" applyBorder="1"/>
    <xf numFmtId="168" fontId="37" fillId="3" borderId="37" xfId="8" applyNumberFormat="1" applyFont="1" applyFill="1" applyBorder="1"/>
    <xf numFmtId="168" fontId="37" fillId="3" borderId="38" xfId="8" applyNumberFormat="1" applyFont="1" applyFill="1" applyBorder="1"/>
    <xf numFmtId="181" fontId="29" fillId="3" borderId="34" xfId="8" applyNumberFormat="1" applyFont="1" applyFill="1" applyBorder="1" applyAlignment="1">
      <alignment horizontal="left"/>
    </xf>
    <xf numFmtId="185" fontId="29" fillId="3" borderId="38" xfId="8" applyNumberFormat="1" applyFont="1" applyFill="1" applyBorder="1"/>
    <xf numFmtId="185" fontId="29" fillId="3" borderId="0" xfId="8" applyNumberFormat="1" applyFont="1" applyFill="1"/>
    <xf numFmtId="185" fontId="29" fillId="3" borderId="7" xfId="8" applyNumberFormat="1" applyFont="1" applyFill="1" applyBorder="1"/>
    <xf numFmtId="185" fontId="29" fillId="0" borderId="0" xfId="8" applyNumberFormat="1" applyFont="1"/>
    <xf numFmtId="185" fontId="29" fillId="3" borderId="34" xfId="8" applyNumberFormat="1" applyFont="1" applyFill="1" applyBorder="1"/>
    <xf numFmtId="9" fontId="29" fillId="3" borderId="34" xfId="3" applyFont="1" applyFill="1" applyBorder="1" applyAlignment="1" applyProtection="1"/>
    <xf numFmtId="184" fontId="29" fillId="3" borderId="34" xfId="8" applyNumberFormat="1" applyFont="1" applyFill="1" applyBorder="1" applyAlignment="1">
      <alignment horizontal="left"/>
    </xf>
    <xf numFmtId="184" fontId="29" fillId="3" borderId="38" xfId="8" applyNumberFormat="1" applyFont="1" applyFill="1" applyBorder="1"/>
    <xf numFmtId="184" fontId="29" fillId="3" borderId="0" xfId="8" applyNumberFormat="1" applyFont="1" applyFill="1"/>
    <xf numFmtId="184" fontId="29" fillId="3" borderId="7" xfId="8" applyNumberFormat="1" applyFont="1" applyFill="1" applyBorder="1"/>
    <xf numFmtId="184" fontId="29" fillId="0" borderId="0" xfId="8" applyNumberFormat="1" applyFont="1"/>
    <xf numFmtId="184" fontId="29" fillId="3" borderId="34" xfId="8" applyNumberFormat="1" applyFont="1" applyFill="1" applyBorder="1"/>
    <xf numFmtId="184" fontId="29" fillId="0" borderId="34" xfId="8" applyNumberFormat="1" applyFont="1" applyBorder="1"/>
    <xf numFmtId="184" fontId="35" fillId="0" borderId="34" xfId="8" applyNumberFormat="1" applyFont="1" applyBorder="1" applyAlignment="1">
      <alignment horizontal="left" indent="1"/>
    </xf>
    <xf numFmtId="184" fontId="35" fillId="3" borderId="38" xfId="8" applyNumberFormat="1" applyFont="1" applyFill="1" applyBorder="1"/>
    <xf numFmtId="184" fontId="35" fillId="3" borderId="7" xfId="8" applyNumberFormat="1" applyFont="1" applyFill="1" applyBorder="1"/>
    <xf numFmtId="184" fontId="35" fillId="3" borderId="34" xfId="8" applyNumberFormat="1" applyFont="1" applyFill="1" applyBorder="1"/>
    <xf numFmtId="184" fontId="35" fillId="0" borderId="34" xfId="8" applyNumberFormat="1" applyFont="1" applyBorder="1" applyAlignment="1">
      <alignment horizontal="right"/>
    </xf>
    <xf numFmtId="184" fontId="35" fillId="0" borderId="38" xfId="8" applyNumberFormat="1" applyFont="1" applyBorder="1"/>
    <xf numFmtId="184" fontId="35" fillId="0" borderId="34" xfId="8" applyNumberFormat="1" applyFont="1" applyBorder="1"/>
    <xf numFmtId="168" fontId="35" fillId="3" borderId="38" xfId="8" applyNumberFormat="1" applyFont="1" applyFill="1" applyBorder="1"/>
    <xf numFmtId="184" fontId="37" fillId="3" borderId="38" xfId="8" applyNumberFormat="1" applyFont="1" applyFill="1" applyBorder="1"/>
    <xf numFmtId="184" fontId="37" fillId="3" borderId="0" xfId="8" applyNumberFormat="1" applyFont="1" applyFill="1"/>
    <xf numFmtId="184" fontId="37" fillId="3" borderId="7" xfId="8" applyNumberFormat="1" applyFont="1" applyFill="1" applyBorder="1"/>
    <xf numFmtId="184" fontId="37" fillId="0" borderId="0" xfId="8" applyNumberFormat="1" applyFont="1"/>
    <xf numFmtId="184" fontId="37" fillId="3" borderId="21" xfId="8" applyNumberFormat="1" applyFont="1" applyFill="1" applyBorder="1"/>
    <xf numFmtId="184" fontId="37" fillId="0" borderId="26" xfId="8" applyNumberFormat="1" applyFont="1" applyBorder="1"/>
    <xf numFmtId="184" fontId="37" fillId="0" borderId="22" xfId="8" applyNumberFormat="1" applyFont="1" applyBorder="1"/>
    <xf numFmtId="184" fontId="37" fillId="3" borderId="34" xfId="8" applyNumberFormat="1" applyFont="1" applyFill="1" applyBorder="1"/>
    <xf numFmtId="184" fontId="37" fillId="0" borderId="7" xfId="8" applyNumberFormat="1" applyFont="1" applyBorder="1"/>
    <xf numFmtId="168" fontId="29" fillId="0" borderId="39" xfId="8" applyNumberFormat="1" applyFont="1" applyBorder="1"/>
    <xf numFmtId="168" fontId="35" fillId="3" borderId="40" xfId="8" applyNumberFormat="1" applyFont="1" applyFill="1" applyBorder="1"/>
    <xf numFmtId="184" fontId="37" fillId="3" borderId="40" xfId="8" applyNumberFormat="1" applyFont="1" applyFill="1" applyBorder="1"/>
    <xf numFmtId="184" fontId="37" fillId="3" borderId="41" xfId="8" applyNumberFormat="1" applyFont="1" applyFill="1" applyBorder="1"/>
    <xf numFmtId="184" fontId="37" fillId="3" borderId="18" xfId="8" applyNumberFormat="1" applyFont="1" applyFill="1" applyBorder="1"/>
    <xf numFmtId="184" fontId="37" fillId="3" borderId="19" xfId="8" applyNumberFormat="1" applyFont="1" applyFill="1" applyBorder="1"/>
    <xf numFmtId="184" fontId="37" fillId="3" borderId="20" xfId="8" applyNumberFormat="1" applyFont="1" applyFill="1" applyBorder="1"/>
    <xf numFmtId="184" fontId="37" fillId="0" borderId="19" xfId="8" applyNumberFormat="1" applyFont="1" applyBorder="1"/>
    <xf numFmtId="184" fontId="37" fillId="0" borderId="20" xfId="8" applyNumberFormat="1" applyFont="1" applyBorder="1"/>
    <xf numFmtId="184" fontId="37" fillId="3" borderId="17" xfId="8" applyNumberFormat="1" applyFont="1" applyFill="1" applyBorder="1"/>
    <xf numFmtId="0" fontId="15" fillId="0" borderId="0" xfId="8" applyFont="1"/>
    <xf numFmtId="168" fontId="15" fillId="3" borderId="41" xfId="8" applyNumberFormat="1" applyFont="1" applyFill="1" applyBorder="1"/>
    <xf numFmtId="168" fontId="15" fillId="8" borderId="7" xfId="8" applyNumberFormat="1" applyFont="1" applyFill="1" applyBorder="1"/>
    <xf numFmtId="168" fontId="15" fillId="8" borderId="0" xfId="8" applyNumberFormat="1" applyFont="1" applyFill="1"/>
    <xf numFmtId="168" fontId="15" fillId="8" borderId="41" xfId="8" applyNumberFormat="1" applyFont="1" applyFill="1" applyBorder="1"/>
    <xf numFmtId="168" fontId="15" fillId="8" borderId="21" xfId="8" applyNumberFormat="1" applyFont="1" applyFill="1" applyBorder="1"/>
    <xf numFmtId="168" fontId="40" fillId="8" borderId="0" xfId="8" applyNumberFormat="1" applyFont="1" applyFill="1"/>
    <xf numFmtId="168" fontId="41" fillId="8" borderId="41" xfId="8" applyNumberFormat="1" applyFont="1" applyFill="1" applyBorder="1"/>
    <xf numFmtId="168" fontId="41" fillId="8" borderId="0" xfId="8" applyNumberFormat="1" applyFont="1" applyFill="1"/>
    <xf numFmtId="168" fontId="15" fillId="3" borderId="34" xfId="8" applyNumberFormat="1" applyFont="1" applyFill="1" applyBorder="1"/>
    <xf numFmtId="0" fontId="15" fillId="0" borderId="42" xfId="8" applyFont="1" applyBorder="1"/>
    <xf numFmtId="168" fontId="15" fillId="3" borderId="43" xfId="8" applyNumberFormat="1" applyFont="1" applyFill="1" applyBorder="1"/>
    <xf numFmtId="168" fontId="15" fillId="3" borderId="42" xfId="8" applyNumberFormat="1" applyFont="1" applyFill="1" applyBorder="1"/>
    <xf numFmtId="168" fontId="15" fillId="3" borderId="44" xfId="8" applyNumberFormat="1" applyFont="1" applyFill="1" applyBorder="1"/>
    <xf numFmtId="168" fontId="15" fillId="0" borderId="43" xfId="8" applyNumberFormat="1" applyFont="1" applyBorder="1"/>
    <xf numFmtId="168" fontId="15" fillId="0" borderId="42" xfId="8" applyNumberFormat="1" applyFont="1" applyBorder="1"/>
    <xf numFmtId="168" fontId="40" fillId="3" borderId="42" xfId="8" applyNumberFormat="1" applyFont="1" applyFill="1" applyBorder="1"/>
    <xf numFmtId="168" fontId="41" fillId="3" borderId="43" xfId="8" applyNumberFormat="1" applyFont="1" applyFill="1" applyBorder="1"/>
    <xf numFmtId="168" fontId="41" fillId="3" borderId="42" xfId="8" applyNumberFormat="1" applyFont="1" applyFill="1" applyBorder="1"/>
    <xf numFmtId="186" fontId="15" fillId="0" borderId="16" xfId="8" applyNumberFormat="1" applyFont="1" applyBorder="1"/>
    <xf numFmtId="168" fontId="15" fillId="3" borderId="45" xfId="8" applyNumberFormat="1" applyFont="1" applyFill="1" applyBorder="1"/>
    <xf numFmtId="181" fontId="29" fillId="3" borderId="46" xfId="8" applyNumberFormat="1" applyFont="1" applyFill="1" applyBorder="1" applyAlignment="1">
      <alignment horizontal="left"/>
    </xf>
    <xf numFmtId="182" fontId="15" fillId="0" borderId="0" xfId="8" applyNumberFormat="1" applyFont="1"/>
    <xf numFmtId="185" fontId="15" fillId="0" borderId="47" xfId="8" applyNumberFormat="1" applyFont="1" applyBorder="1"/>
    <xf numFmtId="185" fontId="15" fillId="0" borderId="8" xfId="8" applyNumberFormat="1" applyFont="1" applyBorder="1"/>
    <xf numFmtId="0" fontId="29" fillId="6" borderId="0" xfId="8" applyFont="1" applyFill="1"/>
    <xf numFmtId="0" fontId="29" fillId="0" borderId="33" xfId="8" applyFont="1" applyBorder="1"/>
    <xf numFmtId="0" fontId="30" fillId="7" borderId="48" xfId="8" applyFont="1" applyFill="1" applyBorder="1"/>
    <xf numFmtId="0" fontId="33" fillId="0" borderId="16" xfId="8" applyFont="1" applyBorder="1" applyAlignment="1">
      <alignment horizontal="left"/>
    </xf>
    <xf numFmtId="17" fontId="33" fillId="0" borderId="50" xfId="8" applyNumberFormat="1" applyFont="1" applyBorder="1" applyAlignment="1">
      <alignment horizontal="right"/>
    </xf>
    <xf numFmtId="17" fontId="33" fillId="0" borderId="51" xfId="8" applyNumberFormat="1" applyFont="1" applyBorder="1" applyAlignment="1">
      <alignment horizontal="right"/>
    </xf>
    <xf numFmtId="17" fontId="33" fillId="0" borderId="52" xfId="8" applyNumberFormat="1" applyFont="1" applyBorder="1" applyAlignment="1">
      <alignment horizontal="right"/>
    </xf>
    <xf numFmtId="17" fontId="33" fillId="0" borderId="53" xfId="8" applyNumberFormat="1" applyFont="1" applyBorder="1" applyAlignment="1">
      <alignment horizontal="right"/>
    </xf>
    <xf numFmtId="0" fontId="33" fillId="0" borderId="0" xfId="8" applyFont="1" applyAlignment="1">
      <alignment horizontal="right"/>
    </xf>
    <xf numFmtId="0" fontId="33" fillId="0" borderId="54" xfId="8" applyFont="1" applyBorder="1" applyAlignment="1">
      <alignment horizontal="right"/>
    </xf>
    <xf numFmtId="0" fontId="33" fillId="0" borderId="52" xfId="8" applyFont="1" applyBorder="1" applyAlignment="1">
      <alignment horizontal="right"/>
    </xf>
    <xf numFmtId="0" fontId="29" fillId="0" borderId="16" xfId="8" applyFont="1" applyBorder="1" applyAlignment="1">
      <alignment horizontal="left"/>
    </xf>
    <xf numFmtId="187" fontId="29" fillId="3" borderId="52" xfId="8" applyNumberFormat="1" applyFont="1" applyFill="1" applyBorder="1" applyAlignment="1">
      <alignment horizontal="right"/>
    </xf>
    <xf numFmtId="187" fontId="29" fillId="3" borderId="0" xfId="8" applyNumberFormat="1" applyFont="1" applyFill="1" applyAlignment="1">
      <alignment horizontal="right"/>
    </xf>
    <xf numFmtId="187" fontId="29" fillId="3" borderId="53" xfId="8" applyNumberFormat="1" applyFont="1" applyFill="1" applyBorder="1" applyAlignment="1">
      <alignment horizontal="right"/>
    </xf>
    <xf numFmtId="187" fontId="29" fillId="0" borderId="0" xfId="8" applyNumberFormat="1" applyFont="1" applyAlignment="1">
      <alignment horizontal="right"/>
    </xf>
    <xf numFmtId="187" fontId="29" fillId="0" borderId="0" xfId="8" applyNumberFormat="1" applyFont="1"/>
    <xf numFmtId="187" fontId="29" fillId="3" borderId="54" xfId="8" applyNumberFormat="1" applyFont="1" applyFill="1" applyBorder="1" applyAlignment="1">
      <alignment horizontal="right"/>
    </xf>
    <xf numFmtId="187" fontId="29" fillId="3" borderId="16" xfId="8" applyNumberFormat="1" applyFont="1" applyFill="1" applyBorder="1" applyAlignment="1">
      <alignment horizontal="right"/>
    </xf>
    <xf numFmtId="0" fontId="15" fillId="0" borderId="16" xfId="8" applyFont="1" applyBorder="1" applyAlignment="1">
      <alignment horizontal="left"/>
    </xf>
    <xf numFmtId="187" fontId="15" fillId="3" borderId="52" xfId="8" applyNumberFormat="1" applyFont="1" applyFill="1" applyBorder="1" applyAlignment="1">
      <alignment horizontal="right"/>
    </xf>
    <xf numFmtId="187" fontId="15" fillId="3" borderId="0" xfId="8" applyNumberFormat="1" applyFont="1" applyFill="1" applyAlignment="1">
      <alignment horizontal="right"/>
    </xf>
    <xf numFmtId="187" fontId="15" fillId="3" borderId="53" xfId="8" applyNumberFormat="1" applyFont="1" applyFill="1" applyBorder="1" applyAlignment="1">
      <alignment horizontal="right"/>
    </xf>
    <xf numFmtId="187" fontId="15" fillId="0" borderId="0" xfId="8" applyNumberFormat="1" applyFont="1" applyAlignment="1">
      <alignment horizontal="right"/>
    </xf>
    <xf numFmtId="187" fontId="15" fillId="0" borderId="0" xfId="8" applyNumberFormat="1" applyFont="1"/>
    <xf numFmtId="187" fontId="15" fillId="3" borderId="54" xfId="8" applyNumberFormat="1" applyFont="1" applyFill="1" applyBorder="1" applyAlignment="1">
      <alignment horizontal="right"/>
    </xf>
    <xf numFmtId="187" fontId="15" fillId="3" borderId="16" xfId="8" applyNumberFormat="1" applyFont="1" applyFill="1" applyBorder="1" applyAlignment="1">
      <alignment horizontal="right"/>
    </xf>
    <xf numFmtId="169" fontId="15" fillId="9" borderId="55" xfId="8" applyNumberFormat="1" applyFont="1" applyFill="1" applyBorder="1" applyAlignment="1">
      <alignment horizontal="left"/>
    </xf>
    <xf numFmtId="187" fontId="15" fillId="9" borderId="52" xfId="8" applyNumberFormat="1" applyFont="1" applyFill="1" applyBorder="1" applyAlignment="1">
      <alignment horizontal="right"/>
    </xf>
    <xf numFmtId="187" fontId="15" fillId="9" borderId="0" xfId="8" applyNumberFormat="1" applyFont="1" applyFill="1" applyAlignment="1">
      <alignment horizontal="right"/>
    </xf>
    <xf numFmtId="187" fontId="15" fillId="9" borderId="53" xfId="8" applyNumberFormat="1" applyFont="1" applyFill="1" applyBorder="1" applyAlignment="1">
      <alignment horizontal="right"/>
    </xf>
    <xf numFmtId="187" fontId="15" fillId="9" borderId="54" xfId="8" applyNumberFormat="1" applyFont="1" applyFill="1" applyBorder="1" applyAlignment="1">
      <alignment horizontal="right"/>
    </xf>
    <xf numFmtId="187" fontId="15" fillId="9" borderId="16" xfId="8" applyNumberFormat="1" applyFont="1" applyFill="1" applyBorder="1" applyAlignment="1">
      <alignment horizontal="right"/>
    </xf>
    <xf numFmtId="188" fontId="15" fillId="3" borderId="53" xfId="8" applyNumberFormat="1" applyFont="1" applyFill="1" applyBorder="1" applyAlignment="1">
      <alignment horizontal="right"/>
    </xf>
    <xf numFmtId="174" fontId="15" fillId="0" borderId="56" xfId="8" applyNumberFormat="1" applyFont="1" applyBorder="1" applyAlignment="1">
      <alignment horizontal="left"/>
    </xf>
    <xf numFmtId="187" fontId="15" fillId="3" borderId="57" xfId="8" applyNumberFormat="1" applyFont="1" applyFill="1" applyBorder="1" applyAlignment="1">
      <alignment horizontal="right"/>
    </xf>
    <xf numFmtId="187" fontId="15" fillId="3" borderId="42" xfId="8" applyNumberFormat="1" applyFont="1" applyFill="1" applyBorder="1" applyAlignment="1">
      <alignment horizontal="right"/>
    </xf>
    <xf numFmtId="188" fontId="15" fillId="3" borderId="44" xfId="8" applyNumberFormat="1" applyFont="1" applyFill="1" applyBorder="1" applyAlignment="1">
      <alignment horizontal="right"/>
    </xf>
    <xf numFmtId="187" fontId="15" fillId="3" borderId="44" xfId="8" applyNumberFormat="1" applyFont="1" applyFill="1" applyBorder="1" applyAlignment="1">
      <alignment horizontal="right"/>
    </xf>
    <xf numFmtId="187" fontId="15" fillId="0" borderId="42" xfId="8" applyNumberFormat="1" applyFont="1" applyBorder="1" applyAlignment="1">
      <alignment horizontal="right"/>
    </xf>
    <xf numFmtId="187" fontId="15" fillId="3" borderId="58" xfId="8" applyNumberFormat="1" applyFont="1" applyFill="1" applyBorder="1" applyAlignment="1">
      <alignment horizontal="right"/>
    </xf>
    <xf numFmtId="187" fontId="15" fillId="3" borderId="45" xfId="8" applyNumberFormat="1" applyFont="1" applyFill="1" applyBorder="1" applyAlignment="1">
      <alignment horizontal="right"/>
    </xf>
    <xf numFmtId="174" fontId="15" fillId="0" borderId="0" xfId="8" applyNumberFormat="1" applyFont="1" applyAlignment="1">
      <alignment horizontal="left"/>
    </xf>
    <xf numFmtId="188" fontId="15" fillId="3" borderId="0" xfId="8" applyNumberFormat="1" applyFont="1" applyFill="1" applyAlignment="1">
      <alignment horizontal="right"/>
    </xf>
    <xf numFmtId="176" fontId="15" fillId="3" borderId="0" xfId="1" applyNumberFormat="1" applyFont="1" applyFill="1" applyBorder="1" applyAlignment="1" applyProtection="1">
      <alignment horizontal="right"/>
    </xf>
    <xf numFmtId="0" fontId="33" fillId="0" borderId="59" xfId="8" applyFont="1" applyBorder="1" applyAlignment="1">
      <alignment horizontal="left"/>
    </xf>
    <xf numFmtId="17" fontId="33" fillId="3" borderId="8" xfId="8" quotePrefix="1" applyNumberFormat="1" applyFont="1" applyFill="1" applyBorder="1" applyAlignment="1">
      <alignment horizontal="right"/>
    </xf>
    <xf numFmtId="17" fontId="33" fillId="3" borderId="48" xfId="8" quotePrefix="1" applyNumberFormat="1" applyFont="1" applyFill="1" applyBorder="1" applyAlignment="1">
      <alignment horizontal="right"/>
    </xf>
    <xf numFmtId="17" fontId="33" fillId="3" borderId="10" xfId="8" quotePrefix="1" applyNumberFormat="1" applyFont="1" applyFill="1" applyBorder="1" applyAlignment="1">
      <alignment horizontal="right"/>
    </xf>
    <xf numFmtId="0" fontId="33" fillId="0" borderId="59" xfId="8" applyFont="1" applyBorder="1" applyAlignment="1">
      <alignment horizontal="right"/>
    </xf>
    <xf numFmtId="0" fontId="33" fillId="0" borderId="10" xfId="8" applyFont="1" applyBorder="1" applyAlignment="1">
      <alignment horizontal="right"/>
    </xf>
    <xf numFmtId="0" fontId="33" fillId="0" borderId="48" xfId="8" applyFont="1" applyBorder="1" applyAlignment="1">
      <alignment horizontal="right"/>
    </xf>
    <xf numFmtId="187" fontId="29" fillId="3" borderId="60" xfId="8" applyNumberFormat="1" applyFont="1" applyFill="1" applyBorder="1" applyAlignment="1">
      <alignment horizontal="right"/>
    </xf>
    <xf numFmtId="187" fontId="44" fillId="3" borderId="60" xfId="8" applyNumberFormat="1" applyFont="1" applyFill="1" applyBorder="1" applyAlignment="1">
      <alignment horizontal="right"/>
    </xf>
    <xf numFmtId="187" fontId="44" fillId="3" borderId="0" xfId="8" applyNumberFormat="1" applyFont="1" applyFill="1" applyAlignment="1">
      <alignment horizontal="right"/>
    </xf>
    <xf numFmtId="187" fontId="44" fillId="3" borderId="53" xfId="8" applyNumberFormat="1" applyFont="1" applyFill="1" applyBorder="1" applyAlignment="1">
      <alignment horizontal="right"/>
    </xf>
    <xf numFmtId="0" fontId="33" fillId="0" borderId="55" xfId="8" applyFont="1" applyBorder="1" applyAlignment="1">
      <alignment horizontal="right"/>
    </xf>
    <xf numFmtId="187" fontId="29" fillId="3" borderId="55" xfId="8" applyNumberFormat="1" applyFont="1" applyFill="1" applyBorder="1" applyAlignment="1">
      <alignment horizontal="right"/>
    </xf>
    <xf numFmtId="0" fontId="35" fillId="0" borderId="55" xfId="8" applyFont="1" applyBorder="1" applyAlignment="1">
      <alignment horizontal="left" indent="1"/>
    </xf>
    <xf numFmtId="187" fontId="35" fillId="3" borderId="41" xfId="8" applyNumberFormat="1" applyFont="1" applyFill="1" applyBorder="1" applyAlignment="1">
      <alignment horizontal="right"/>
    </xf>
    <xf numFmtId="187" fontId="35" fillId="3" borderId="0" xfId="8" applyNumberFormat="1" applyFont="1" applyFill="1" applyAlignment="1">
      <alignment horizontal="right"/>
    </xf>
    <xf numFmtId="187" fontId="35" fillId="3" borderId="53" xfId="8" applyNumberFormat="1" applyFont="1" applyFill="1" applyBorder="1" applyAlignment="1">
      <alignment horizontal="right"/>
    </xf>
    <xf numFmtId="187" fontId="35" fillId="3" borderId="16" xfId="8" applyNumberFormat="1" applyFont="1" applyFill="1" applyBorder="1" applyAlignment="1">
      <alignment horizontal="right"/>
    </xf>
    <xf numFmtId="169" fontId="15" fillId="3" borderId="16" xfId="8" applyNumberFormat="1" applyFont="1" applyFill="1" applyBorder="1" applyAlignment="1">
      <alignment horizontal="left"/>
    </xf>
    <xf numFmtId="187" fontId="15" fillId="3" borderId="41" xfId="8" applyNumberFormat="1" applyFont="1" applyFill="1" applyBorder="1" applyAlignment="1">
      <alignment horizontal="right"/>
    </xf>
    <xf numFmtId="187" fontId="41" fillId="0" borderId="41" xfId="8" applyNumberFormat="1" applyFont="1" applyBorder="1" applyAlignment="1">
      <alignment horizontal="right"/>
    </xf>
    <xf numFmtId="187" fontId="41" fillId="0" borderId="0" xfId="8" applyNumberFormat="1" applyFont="1" applyAlignment="1">
      <alignment horizontal="right"/>
    </xf>
    <xf numFmtId="187" fontId="41" fillId="0" borderId="53" xfId="8" applyNumberFormat="1" applyFont="1" applyBorder="1" applyAlignment="1">
      <alignment horizontal="right"/>
    </xf>
    <xf numFmtId="187" fontId="41" fillId="3" borderId="41" xfId="8" applyNumberFormat="1" applyFont="1" applyFill="1" applyBorder="1" applyAlignment="1">
      <alignment horizontal="right"/>
    </xf>
    <xf numFmtId="187" fontId="41" fillId="3" borderId="0" xfId="8" applyNumberFormat="1" applyFont="1" applyFill="1" applyAlignment="1">
      <alignment horizontal="right"/>
    </xf>
    <xf numFmtId="187" fontId="41" fillId="3" borderId="53" xfId="8" applyNumberFormat="1" applyFont="1" applyFill="1" applyBorder="1" applyAlignment="1">
      <alignment horizontal="right"/>
    </xf>
    <xf numFmtId="187" fontId="29" fillId="3" borderId="41" xfId="8" applyNumberFormat="1" applyFont="1" applyFill="1" applyBorder="1" applyAlignment="1">
      <alignment horizontal="right"/>
    </xf>
    <xf numFmtId="0" fontId="15" fillId="0" borderId="45" xfId="8" applyFont="1" applyBorder="1" applyAlignment="1">
      <alignment horizontal="left"/>
    </xf>
    <xf numFmtId="188" fontId="15" fillId="3" borderId="57" xfId="8" applyNumberFormat="1" applyFont="1" applyFill="1" applyBorder="1" applyAlignment="1">
      <alignment horizontal="right"/>
    </xf>
    <xf numFmtId="188" fontId="15" fillId="3" borderId="42" xfId="8" applyNumberFormat="1" applyFont="1" applyFill="1" applyBorder="1" applyAlignment="1">
      <alignment horizontal="right"/>
    </xf>
    <xf numFmtId="187" fontId="15" fillId="3" borderId="43" xfId="8" applyNumberFormat="1" applyFont="1" applyFill="1" applyBorder="1" applyAlignment="1">
      <alignment horizontal="right"/>
    </xf>
    <xf numFmtId="0" fontId="43" fillId="0" borderId="0" xfId="9" applyFont="1" applyAlignment="1">
      <alignment horizontal="left"/>
    </xf>
    <xf numFmtId="187" fontId="15" fillId="0" borderId="8" xfId="8" applyNumberFormat="1" applyFont="1" applyBorder="1"/>
    <xf numFmtId="187" fontId="15" fillId="3" borderId="8" xfId="8" applyNumberFormat="1" applyFont="1" applyFill="1" applyBorder="1"/>
    <xf numFmtId="176" fontId="15" fillId="0" borderId="8" xfId="1" applyNumberFormat="1" applyFont="1" applyFill="1" applyBorder="1" applyAlignment="1" applyProtection="1"/>
    <xf numFmtId="165" fontId="15" fillId="0" borderId="0" xfId="8" applyNumberFormat="1" applyFont="1"/>
    <xf numFmtId="165" fontId="15" fillId="0" borderId="8" xfId="8" applyNumberFormat="1" applyFont="1" applyBorder="1"/>
    <xf numFmtId="176" fontId="15" fillId="0" borderId="0" xfId="1" applyNumberFormat="1" applyFont="1" applyFill="1" applyBorder="1" applyAlignment="1" applyProtection="1"/>
    <xf numFmtId="0" fontId="15" fillId="0" borderId="0" xfId="8" applyFont="1" applyAlignment="1">
      <alignment horizontal="left"/>
    </xf>
    <xf numFmtId="187" fontId="15" fillId="3" borderId="0" xfId="8" applyNumberFormat="1" applyFont="1" applyFill="1"/>
    <xf numFmtId="0" fontId="29" fillId="6" borderId="59" xfId="10" applyNumberFormat="1" applyFont="1" applyFill="1" applyBorder="1" applyAlignment="1" applyProtection="1"/>
    <xf numFmtId="178" fontId="29" fillId="3" borderId="52" xfId="8" applyNumberFormat="1" applyFont="1" applyFill="1" applyBorder="1"/>
    <xf numFmtId="178" fontId="29" fillId="9" borderId="59" xfId="8" applyNumberFormat="1" applyFont="1" applyFill="1" applyBorder="1"/>
    <xf numFmtId="178" fontId="29" fillId="9" borderId="61" xfId="8" applyNumberFormat="1" applyFont="1" applyFill="1" applyBorder="1"/>
    <xf numFmtId="178" fontId="29" fillId="9" borderId="62" xfId="8" applyNumberFormat="1" applyFont="1" applyFill="1" applyBorder="1"/>
    <xf numFmtId="0" fontId="30" fillId="7" borderId="63" xfId="8" applyFont="1" applyFill="1" applyBorder="1"/>
    <xf numFmtId="0" fontId="30" fillId="7" borderId="64" xfId="8" applyFont="1" applyFill="1" applyBorder="1"/>
    <xf numFmtId="174" fontId="29" fillId="3" borderId="16" xfId="8" applyNumberFormat="1" applyFont="1" applyFill="1" applyBorder="1" applyAlignment="1">
      <alignment horizontal="left"/>
    </xf>
    <xf numFmtId="168" fontId="29" fillId="3" borderId="41" xfId="1" applyNumberFormat="1" applyFont="1" applyFill="1" applyBorder="1" applyAlignment="1" applyProtection="1"/>
    <xf numFmtId="168" fontId="29" fillId="3" borderId="0" xfId="1" applyNumberFormat="1" applyFont="1" applyFill="1" applyBorder="1" applyAlignment="1" applyProtection="1"/>
    <xf numFmtId="168" fontId="29" fillId="3" borderId="53" xfId="1" applyNumberFormat="1" applyFont="1" applyFill="1" applyBorder="1" applyAlignment="1" applyProtection="1"/>
    <xf numFmtId="171" fontId="29" fillId="0" borderId="41" xfId="8" applyNumberFormat="1" applyFont="1" applyBorder="1"/>
    <xf numFmtId="0" fontId="33" fillId="0" borderId="53" xfId="8" applyFont="1" applyBorder="1" applyAlignment="1">
      <alignment horizontal="right"/>
    </xf>
    <xf numFmtId="0" fontId="33" fillId="3" borderId="16" xfId="8" applyFont="1" applyFill="1" applyBorder="1" applyAlignment="1">
      <alignment horizontal="right"/>
    </xf>
    <xf numFmtId="0" fontId="29" fillId="3" borderId="16" xfId="10" applyNumberFormat="1" applyFont="1" applyFill="1" applyBorder="1" applyAlignment="1" applyProtection="1">
      <alignment horizontal="left" indent="1"/>
    </xf>
    <xf numFmtId="176" fontId="29" fillId="3" borderId="41" xfId="8" applyNumberFormat="1" applyFont="1" applyFill="1" applyBorder="1"/>
    <xf numFmtId="176" fontId="29" fillId="3" borderId="0" xfId="8" applyNumberFormat="1" applyFont="1" applyFill="1"/>
    <xf numFmtId="176" fontId="29" fillId="3" borderId="53" xfId="8" applyNumberFormat="1" applyFont="1" applyFill="1" applyBorder="1"/>
    <xf numFmtId="176" fontId="29" fillId="0" borderId="0" xfId="8" applyNumberFormat="1" applyFont="1"/>
    <xf numFmtId="176" fontId="29" fillId="0" borderId="53" xfId="8" applyNumberFormat="1" applyFont="1" applyBorder="1"/>
    <xf numFmtId="171" fontId="29" fillId="0" borderId="0" xfId="8" applyNumberFormat="1" applyFont="1"/>
    <xf numFmtId="0" fontId="15" fillId="3" borderId="16" xfId="10" applyNumberFormat="1" applyFont="1" applyFill="1" applyBorder="1" applyAlignment="1" applyProtection="1">
      <alignment horizontal="left" indent="2"/>
    </xf>
    <xf numFmtId="176" fontId="15" fillId="3" borderId="41" xfId="8" applyNumberFormat="1" applyFont="1" applyFill="1" applyBorder="1"/>
    <xf numFmtId="176" fontId="15" fillId="3" borderId="0" xfId="8" applyNumberFormat="1" applyFont="1" applyFill="1"/>
    <xf numFmtId="176" fontId="15" fillId="3" borderId="53" xfId="8" applyNumberFormat="1" applyFont="1" applyFill="1" applyBorder="1"/>
    <xf numFmtId="176" fontId="15" fillId="0" borderId="0" xfId="8" applyNumberFormat="1" applyFont="1"/>
    <xf numFmtId="176" fontId="15" fillId="0" borderId="53" xfId="8" applyNumberFormat="1" applyFont="1" applyBorder="1"/>
    <xf numFmtId="171" fontId="15" fillId="0" borderId="0" xfId="8" applyNumberFormat="1" applyFont="1"/>
    <xf numFmtId="171" fontId="47" fillId="0" borderId="0" xfId="8" applyNumberFormat="1" applyFont="1"/>
    <xf numFmtId="176" fontId="29" fillId="0" borderId="41" xfId="8" applyNumberFormat="1" applyFont="1" applyBorder="1"/>
    <xf numFmtId="0" fontId="15" fillId="0" borderId="16" xfId="10" applyNumberFormat="1" applyFont="1" applyFill="1" applyBorder="1" applyAlignment="1" applyProtection="1">
      <alignment horizontal="left" indent="2"/>
    </xf>
    <xf numFmtId="176" fontId="15" fillId="0" borderId="41" xfId="8" applyNumberFormat="1" applyFont="1" applyBorder="1"/>
    <xf numFmtId="189" fontId="15" fillId="3" borderId="41" xfId="8" applyNumberFormat="1" applyFont="1" applyFill="1" applyBorder="1"/>
    <xf numFmtId="189" fontId="15" fillId="3" borderId="0" xfId="8" applyNumberFormat="1" applyFont="1" applyFill="1"/>
    <xf numFmtId="189" fontId="15" fillId="3" borderId="53" xfId="8" applyNumberFormat="1" applyFont="1" applyFill="1" applyBorder="1"/>
    <xf numFmtId="176" fontId="48" fillId="0" borderId="0" xfId="8" applyNumberFormat="1" applyFont="1"/>
    <xf numFmtId="176" fontId="48" fillId="0" borderId="53" xfId="8" applyNumberFormat="1" applyFont="1" applyBorder="1"/>
    <xf numFmtId="176" fontId="48" fillId="0" borderId="41" xfId="8" applyNumberFormat="1" applyFont="1" applyBorder="1"/>
    <xf numFmtId="0" fontId="32" fillId="3" borderId="16" xfId="10" applyNumberFormat="1" applyFont="1" applyFill="1" applyBorder="1" applyAlignment="1" applyProtection="1">
      <alignment horizontal="left" indent="2"/>
    </xf>
    <xf numFmtId="176" fontId="32" fillId="3" borderId="41" xfId="8" applyNumberFormat="1" applyFont="1" applyFill="1" applyBorder="1"/>
    <xf numFmtId="176" fontId="32" fillId="3" borderId="0" xfId="8" applyNumberFormat="1" applyFont="1" applyFill="1"/>
    <xf numFmtId="176" fontId="32" fillId="3" borderId="53" xfId="8" applyNumberFormat="1" applyFont="1" applyFill="1" applyBorder="1"/>
    <xf numFmtId="176" fontId="32" fillId="0" borderId="0" xfId="8" applyNumberFormat="1" applyFont="1"/>
    <xf numFmtId="176" fontId="32" fillId="0" borderId="53" xfId="8" applyNumberFormat="1" applyFont="1" applyBorder="1"/>
    <xf numFmtId="176" fontId="32" fillId="0" borderId="41" xfId="8" applyNumberFormat="1" applyFont="1" applyBorder="1"/>
    <xf numFmtId="176" fontId="49" fillId="0" borderId="0" xfId="8" applyNumberFormat="1" applyFont="1"/>
    <xf numFmtId="176" fontId="49" fillId="0" borderId="41" xfId="8" applyNumberFormat="1" applyFont="1" applyBorder="1"/>
    <xf numFmtId="176" fontId="49" fillId="0" borderId="53" xfId="8" applyNumberFormat="1" applyFont="1" applyBorder="1"/>
    <xf numFmtId="171" fontId="32" fillId="0" borderId="0" xfId="8" applyNumberFormat="1" applyFont="1"/>
    <xf numFmtId="168" fontId="32" fillId="3" borderId="16" xfId="8" applyNumberFormat="1" applyFont="1" applyFill="1" applyBorder="1"/>
    <xf numFmtId="174" fontId="43" fillId="0" borderId="0" xfId="8" applyNumberFormat="1" applyFont="1"/>
    <xf numFmtId="168" fontId="15" fillId="3" borderId="53" xfId="8" applyNumberFormat="1" applyFont="1" applyFill="1" applyBorder="1"/>
    <xf numFmtId="168" fontId="15" fillId="0" borderId="53" xfId="8" applyNumberFormat="1" applyFont="1" applyBorder="1"/>
    <xf numFmtId="168" fontId="15" fillId="0" borderId="41" xfId="8" applyNumberFormat="1" applyFont="1" applyBorder="1"/>
    <xf numFmtId="171" fontId="50" fillId="0" borderId="0" xfId="8" applyNumberFormat="1" applyFont="1"/>
    <xf numFmtId="169" fontId="51" fillId="0" borderId="0" xfId="8" applyNumberFormat="1" applyFont="1"/>
    <xf numFmtId="178" fontId="27" fillId="0" borderId="0" xfId="8" applyNumberFormat="1" applyFont="1"/>
    <xf numFmtId="172" fontId="15" fillId="0" borderId="0" xfId="8" applyNumberFormat="1" applyFont="1"/>
    <xf numFmtId="168" fontId="15" fillId="0" borderId="16" xfId="8" applyNumberFormat="1" applyFont="1" applyBorder="1"/>
    <xf numFmtId="184" fontId="29" fillId="3" borderId="16" xfId="8" applyNumberFormat="1" applyFont="1" applyFill="1" applyBorder="1" applyAlignment="1">
      <alignment horizontal="left"/>
    </xf>
    <xf numFmtId="184" fontId="29" fillId="3" borderId="41" xfId="8" applyNumberFormat="1" applyFont="1" applyFill="1" applyBorder="1" applyAlignment="1">
      <alignment horizontal="right"/>
    </xf>
    <xf numFmtId="184" fontId="29" fillId="3" borderId="0" xfId="8" applyNumberFormat="1" applyFont="1" applyFill="1" applyAlignment="1">
      <alignment horizontal="right"/>
    </xf>
    <xf numFmtId="184" fontId="29" fillId="3" borderId="53" xfId="8" applyNumberFormat="1" applyFont="1" applyFill="1" applyBorder="1" applyAlignment="1">
      <alignment horizontal="right"/>
    </xf>
    <xf numFmtId="184" fontId="29" fillId="0" borderId="0" xfId="8" applyNumberFormat="1" applyFont="1" applyAlignment="1">
      <alignment horizontal="right"/>
    </xf>
    <xf numFmtId="184" fontId="29" fillId="0" borderId="53" xfId="8" applyNumberFormat="1" applyFont="1" applyBorder="1" applyAlignment="1">
      <alignment horizontal="right"/>
    </xf>
    <xf numFmtId="184" fontId="29" fillId="0" borderId="41" xfId="8" applyNumberFormat="1" applyFont="1" applyBorder="1" applyAlignment="1">
      <alignment horizontal="right"/>
    </xf>
    <xf numFmtId="184" fontId="29" fillId="3" borderId="16" xfId="8" applyNumberFormat="1" applyFont="1" applyFill="1" applyBorder="1"/>
    <xf numFmtId="184" fontId="29" fillId="0" borderId="16" xfId="8" applyNumberFormat="1" applyFont="1" applyBorder="1"/>
    <xf numFmtId="184" fontId="35" fillId="0" borderId="16" xfId="8" applyNumberFormat="1" applyFont="1" applyBorder="1" applyAlignment="1">
      <alignment horizontal="left" indent="1"/>
    </xf>
    <xf numFmtId="184" fontId="35" fillId="3" borderId="41" xfId="8" applyNumberFormat="1" applyFont="1" applyFill="1" applyBorder="1"/>
    <xf numFmtId="184" fontId="35" fillId="3" borderId="53" xfId="8" applyNumberFormat="1" applyFont="1" applyFill="1" applyBorder="1"/>
    <xf numFmtId="184" fontId="35" fillId="3" borderId="16" xfId="8" applyNumberFormat="1" applyFont="1" applyFill="1" applyBorder="1"/>
    <xf numFmtId="184" fontId="35" fillId="0" borderId="16" xfId="8" applyNumberFormat="1" applyFont="1" applyBorder="1" applyAlignment="1">
      <alignment horizontal="right"/>
    </xf>
    <xf numFmtId="184" fontId="35" fillId="0" borderId="41" xfId="8" applyNumberFormat="1" applyFont="1" applyBorder="1"/>
    <xf numFmtId="184" fontId="35" fillId="0" borderId="16" xfId="8" applyNumberFormat="1" applyFont="1" applyBorder="1"/>
    <xf numFmtId="0" fontId="15" fillId="0" borderId="16" xfId="8" applyFont="1" applyBorder="1"/>
    <xf numFmtId="168" fontId="15" fillId="8" borderId="53" xfId="8" applyNumberFormat="1" applyFont="1" applyFill="1" applyBorder="1"/>
    <xf numFmtId="0" fontId="15" fillId="0" borderId="45" xfId="8" applyFont="1" applyBorder="1"/>
    <xf numFmtId="168" fontId="15" fillId="0" borderId="44" xfId="8" applyNumberFormat="1" applyFont="1" applyBorder="1"/>
    <xf numFmtId="186" fontId="15" fillId="0" borderId="0" xfId="8" applyNumberFormat="1" applyFont="1"/>
    <xf numFmtId="169" fontId="32" fillId="3" borderId="0" xfId="8" applyNumberFormat="1" applyFont="1" applyFill="1" applyAlignment="1">
      <alignment horizontal="left" indent="1"/>
    </xf>
    <xf numFmtId="165" fontId="30" fillId="0" borderId="0" xfId="8" applyNumberFormat="1" applyFont="1" applyAlignment="1">
      <alignment horizontal="right"/>
    </xf>
    <xf numFmtId="165" fontId="30" fillId="3" borderId="0" xfId="8" applyNumberFormat="1" applyFont="1" applyFill="1" applyAlignment="1">
      <alignment horizontal="right"/>
    </xf>
    <xf numFmtId="165" fontId="30" fillId="0" borderId="0" xfId="8" applyNumberFormat="1" applyFont="1"/>
    <xf numFmtId="165" fontId="30" fillId="0" borderId="65" xfId="8" applyNumberFormat="1" applyFont="1" applyBorder="1" applyAlignment="1">
      <alignment horizontal="right"/>
    </xf>
    <xf numFmtId="0" fontId="52" fillId="0" borderId="0" xfId="8" applyFont="1"/>
    <xf numFmtId="0" fontId="29" fillId="6" borderId="42" xfId="8" applyFont="1" applyFill="1" applyBorder="1" applyAlignment="1">
      <alignment horizontal="left"/>
    </xf>
    <xf numFmtId="0" fontId="33" fillId="0" borderId="48" xfId="8" applyFont="1" applyBorder="1"/>
    <xf numFmtId="168" fontId="50" fillId="3" borderId="8" xfId="8" applyNumberFormat="1" applyFont="1" applyFill="1" applyBorder="1"/>
    <xf numFmtId="168" fontId="50" fillId="3" borderId="48" xfId="8" applyNumberFormat="1" applyFont="1" applyFill="1" applyBorder="1"/>
    <xf numFmtId="168" fontId="50" fillId="3" borderId="64" xfId="8" applyNumberFormat="1" applyFont="1" applyFill="1" applyBorder="1"/>
    <xf numFmtId="168" fontId="50" fillId="0" borderId="8" xfId="8" applyNumberFormat="1" applyFont="1" applyBorder="1"/>
    <xf numFmtId="0" fontId="15" fillId="0" borderId="41" xfId="8" applyFont="1" applyBorder="1" applyAlignment="1">
      <alignment horizontal="left" indent="1"/>
    </xf>
    <xf numFmtId="0" fontId="29" fillId="0" borderId="41" xfId="8" applyFont="1" applyBorder="1" applyAlignment="1">
      <alignment horizontal="left"/>
    </xf>
    <xf numFmtId="168" fontId="29" fillId="3" borderId="41" xfId="8" applyNumberFormat="1" applyFont="1" applyFill="1" applyBorder="1"/>
    <xf numFmtId="168" fontId="29" fillId="3" borderId="53" xfId="8" applyNumberFormat="1" applyFont="1" applyFill="1" applyBorder="1"/>
    <xf numFmtId="172" fontId="29" fillId="3" borderId="0" xfId="8" applyNumberFormat="1" applyFont="1" applyFill="1"/>
    <xf numFmtId="172" fontId="29" fillId="3" borderId="41" xfId="8" applyNumberFormat="1" applyFont="1" applyFill="1" applyBorder="1"/>
    <xf numFmtId="172" fontId="29" fillId="3" borderId="53" xfId="8" applyNumberFormat="1" applyFont="1" applyFill="1" applyBorder="1"/>
    <xf numFmtId="190" fontId="29" fillId="3" borderId="41" xfId="8" applyNumberFormat="1" applyFont="1" applyFill="1" applyBorder="1"/>
    <xf numFmtId="190" fontId="29" fillId="3" borderId="0" xfId="8" applyNumberFormat="1" applyFont="1" applyFill="1"/>
    <xf numFmtId="190" fontId="29" fillId="0" borderId="0" xfId="8" applyNumberFormat="1" applyFont="1"/>
    <xf numFmtId="190" fontId="29" fillId="3" borderId="53" xfId="8" applyNumberFormat="1" applyFont="1" applyFill="1" applyBorder="1"/>
    <xf numFmtId="190" fontId="29" fillId="0" borderId="53" xfId="8" applyNumberFormat="1" applyFont="1" applyBorder="1"/>
    <xf numFmtId="190" fontId="29" fillId="3" borderId="16" xfId="8" applyNumberFormat="1" applyFont="1" applyFill="1" applyBorder="1"/>
    <xf numFmtId="0" fontId="15" fillId="0" borderId="41" xfId="8" applyFont="1" applyBorder="1" applyAlignment="1">
      <alignment horizontal="left"/>
    </xf>
    <xf numFmtId="0" fontId="29" fillId="0" borderId="41" xfId="8" applyFont="1" applyBorder="1" applyAlignment="1">
      <alignment horizontal="left" indent="1"/>
    </xf>
    <xf numFmtId="168" fontId="29" fillId="0" borderId="53" xfId="8" applyNumberFormat="1" applyFont="1" applyBorder="1"/>
    <xf numFmtId="9" fontId="15" fillId="3" borderId="0" xfId="3" applyFont="1" applyFill="1" applyBorder="1" applyAlignment="1" applyProtection="1"/>
    <xf numFmtId="9" fontId="15" fillId="3" borderId="41" xfId="3" applyFont="1" applyFill="1" applyBorder="1" applyAlignment="1" applyProtection="1"/>
    <xf numFmtId="9" fontId="15" fillId="3" borderId="53" xfId="3" applyFont="1" applyFill="1" applyBorder="1" applyAlignment="1" applyProtection="1"/>
    <xf numFmtId="9" fontId="15" fillId="0" borderId="0" xfId="3" applyFont="1" applyFill="1" applyBorder="1" applyAlignment="1" applyProtection="1"/>
    <xf numFmtId="0" fontId="33" fillId="0" borderId="41" xfId="8" applyFont="1" applyBorder="1"/>
    <xf numFmtId="169" fontId="15" fillId="3" borderId="41" xfId="8" applyNumberFormat="1" applyFont="1" applyFill="1" applyBorder="1" applyAlignment="1">
      <alignment horizontal="left" indent="1"/>
    </xf>
    <xf numFmtId="0" fontId="31" fillId="0" borderId="16" xfId="8" applyFont="1" applyBorder="1"/>
    <xf numFmtId="168" fontId="29" fillId="0" borderId="41" xfId="8" applyNumberFormat="1" applyFont="1" applyBorder="1"/>
    <xf numFmtId="172" fontId="15" fillId="3" borderId="41" xfId="8" applyNumberFormat="1" applyFont="1" applyFill="1" applyBorder="1"/>
    <xf numFmtId="172" fontId="15" fillId="3" borderId="53" xfId="8" applyNumberFormat="1" applyFont="1" applyFill="1" applyBorder="1"/>
    <xf numFmtId="190" fontId="15" fillId="3" borderId="0" xfId="8" applyNumberFormat="1" applyFont="1" applyFill="1"/>
    <xf numFmtId="190" fontId="15" fillId="3" borderId="41" xfId="8" applyNumberFormat="1" applyFont="1" applyFill="1" applyBorder="1"/>
    <xf numFmtId="190" fontId="15" fillId="3" borderId="53" xfId="8" applyNumberFormat="1" applyFont="1" applyFill="1" applyBorder="1"/>
    <xf numFmtId="190" fontId="15" fillId="3" borderId="16" xfId="8" applyNumberFormat="1" applyFont="1" applyFill="1" applyBorder="1"/>
    <xf numFmtId="0" fontId="29" fillId="0" borderId="0" xfId="8" applyFont="1" applyAlignment="1">
      <alignment horizontal="left"/>
    </xf>
    <xf numFmtId="0" fontId="29" fillId="0" borderId="0" xfId="8" applyFont="1"/>
    <xf numFmtId="184" fontId="15" fillId="3" borderId="0" xfId="8" applyNumberFormat="1" applyFont="1" applyFill="1" applyAlignment="1">
      <alignment horizontal="right"/>
    </xf>
    <xf numFmtId="184" fontId="15" fillId="3" borderId="41" xfId="8" applyNumberFormat="1" applyFont="1" applyFill="1" applyBorder="1" applyAlignment="1">
      <alignment horizontal="right"/>
    </xf>
    <xf numFmtId="184" fontId="15" fillId="3" borderId="53" xfId="8" applyNumberFormat="1" applyFont="1" applyFill="1" applyBorder="1" applyAlignment="1">
      <alignment horizontal="right"/>
    </xf>
    <xf numFmtId="184" fontId="15" fillId="0" borderId="0" xfId="8" applyNumberFormat="1" applyFont="1" applyAlignment="1">
      <alignment horizontal="right"/>
    </xf>
    <xf numFmtId="184" fontId="15" fillId="0" borderId="16" xfId="8" applyNumberFormat="1" applyFont="1" applyBorder="1"/>
    <xf numFmtId="184" fontId="29" fillId="0" borderId="41" xfId="8" applyNumberFormat="1" applyFont="1" applyBorder="1"/>
    <xf numFmtId="184" fontId="29" fillId="3" borderId="41" xfId="8" applyNumberFormat="1" applyFont="1" applyFill="1" applyBorder="1"/>
    <xf numFmtId="184" fontId="29" fillId="3" borderId="53" xfId="8" applyNumberFormat="1" applyFont="1" applyFill="1" applyBorder="1"/>
    <xf numFmtId="184" fontId="29" fillId="3" borderId="16" xfId="8" applyNumberFormat="1" applyFont="1" applyFill="1" applyBorder="1" applyAlignment="1">
      <alignment horizontal="right"/>
    </xf>
    <xf numFmtId="191" fontId="15" fillId="0" borderId="0" xfId="8" applyNumberFormat="1" applyFont="1"/>
    <xf numFmtId="191" fontId="15" fillId="0" borderId="41" xfId="8" applyNumberFormat="1" applyFont="1" applyBorder="1"/>
    <xf numFmtId="191" fontId="15" fillId="0" borderId="53" xfId="8" applyNumberFormat="1" applyFont="1" applyBorder="1"/>
    <xf numFmtId="191" fontId="15" fillId="0" borderId="16" xfId="8" applyNumberFormat="1" applyFont="1" applyBorder="1"/>
    <xf numFmtId="191" fontId="15" fillId="3" borderId="16" xfId="8" applyNumberFormat="1" applyFont="1" applyFill="1" applyBorder="1"/>
    <xf numFmtId="0" fontId="29" fillId="0" borderId="42" xfId="8" applyFont="1" applyBorder="1"/>
    <xf numFmtId="191" fontId="29" fillId="0" borderId="42" xfId="8" applyNumberFormat="1" applyFont="1" applyBorder="1"/>
    <xf numFmtId="191" fontId="29" fillId="0" borderId="43" xfId="8" applyNumberFormat="1" applyFont="1" applyBorder="1"/>
    <xf numFmtId="191" fontId="29" fillId="0" borderId="44" xfId="8" applyNumberFormat="1" applyFont="1" applyBorder="1"/>
    <xf numFmtId="168" fontId="29" fillId="0" borderId="42" xfId="8" applyNumberFormat="1" applyFont="1" applyBorder="1"/>
    <xf numFmtId="191" fontId="29" fillId="3" borderId="42" xfId="8" applyNumberFormat="1" applyFont="1" applyFill="1" applyBorder="1"/>
    <xf numFmtId="168" fontId="29" fillId="0" borderId="43" xfId="8" applyNumberFormat="1" applyFont="1" applyBorder="1"/>
    <xf numFmtId="168" fontId="29" fillId="0" borderId="44" xfId="8" applyNumberFormat="1" applyFont="1" applyBorder="1"/>
    <xf numFmtId="191" fontId="29" fillId="0" borderId="45" xfId="8" applyNumberFormat="1" applyFont="1" applyBorder="1"/>
    <xf numFmtId="191" fontId="29" fillId="3" borderId="45" xfId="8" applyNumberFormat="1" applyFont="1" applyFill="1" applyBorder="1"/>
    <xf numFmtId="192" fontId="27" fillId="0" borderId="0" xfId="8" applyNumberFormat="1" applyFont="1"/>
    <xf numFmtId="17" fontId="34" fillId="0" borderId="0" xfId="8" applyNumberFormat="1" applyFont="1" applyAlignment="1">
      <alignment horizontal="right"/>
    </xf>
    <xf numFmtId="17" fontId="34" fillId="3" borderId="0" xfId="8" applyNumberFormat="1" applyFont="1" applyFill="1" applyAlignment="1">
      <alignment horizontal="right"/>
    </xf>
    <xf numFmtId="0" fontId="32" fillId="10" borderId="48" xfId="8" applyFont="1" applyFill="1" applyBorder="1"/>
    <xf numFmtId="17" fontId="33" fillId="10" borderId="48" xfId="8" applyNumberFormat="1" applyFont="1" applyFill="1" applyBorder="1" applyAlignment="1">
      <alignment horizontal="right"/>
    </xf>
    <xf numFmtId="17" fontId="33" fillId="10" borderId="8" xfId="8" applyNumberFormat="1" applyFont="1" applyFill="1" applyBorder="1" applyAlignment="1">
      <alignment horizontal="right"/>
    </xf>
    <xf numFmtId="17" fontId="33" fillId="10" borderId="64" xfId="8" applyNumberFormat="1" applyFont="1" applyFill="1" applyBorder="1" applyAlignment="1">
      <alignment horizontal="right"/>
    </xf>
    <xf numFmtId="17" fontId="33" fillId="0" borderId="8" xfId="8" applyNumberFormat="1" applyFont="1" applyBorder="1" applyAlignment="1">
      <alignment horizontal="right"/>
    </xf>
    <xf numFmtId="0" fontId="33" fillId="10" borderId="59" xfId="8" applyFont="1" applyFill="1" applyBorder="1" applyAlignment="1">
      <alignment horizontal="right"/>
    </xf>
    <xf numFmtId="0" fontId="33" fillId="10" borderId="64" xfId="8" applyFont="1" applyFill="1" applyBorder="1" applyAlignment="1">
      <alignment horizontal="right"/>
    </xf>
    <xf numFmtId="17" fontId="33" fillId="10" borderId="59" xfId="8" applyNumberFormat="1" applyFont="1" applyFill="1" applyBorder="1" applyAlignment="1">
      <alignment horizontal="right"/>
    </xf>
    <xf numFmtId="0" fontId="29" fillId="0" borderId="41" xfId="8" applyFont="1" applyBorder="1"/>
    <xf numFmtId="0" fontId="15" fillId="3" borderId="41" xfId="8" applyFont="1" applyFill="1" applyBorder="1"/>
    <xf numFmtId="0" fontId="15" fillId="3" borderId="0" xfId="8" applyFont="1" applyFill="1"/>
    <xf numFmtId="0" fontId="15" fillId="3" borderId="53" xfId="8" applyFont="1" applyFill="1" applyBorder="1"/>
    <xf numFmtId="176" fontId="15" fillId="3" borderId="16" xfId="8" applyNumberFormat="1" applyFont="1" applyFill="1" applyBorder="1"/>
    <xf numFmtId="0" fontId="29" fillId="0" borderId="41" xfId="8" applyFont="1" applyBorder="1" applyAlignment="1">
      <alignment horizontal="left" indent="2"/>
    </xf>
    <xf numFmtId="176" fontId="29" fillId="0" borderId="43" xfId="8" applyNumberFormat="1" applyFont="1" applyBorder="1"/>
    <xf numFmtId="176" fontId="29" fillId="0" borderId="42" xfId="8" applyNumberFormat="1" applyFont="1" applyBorder="1"/>
    <xf numFmtId="176" fontId="29" fillId="0" borderId="44" xfId="8" applyNumberFormat="1" applyFont="1" applyBorder="1"/>
    <xf numFmtId="176" fontId="29" fillId="3" borderId="43" xfId="8" applyNumberFormat="1" applyFont="1" applyFill="1" applyBorder="1"/>
    <xf numFmtId="176" fontId="29" fillId="3" borderId="42" xfId="8" applyNumberFormat="1" applyFont="1" applyFill="1" applyBorder="1"/>
    <xf numFmtId="176" fontId="29" fillId="3" borderId="44" xfId="8" applyNumberFormat="1" applyFont="1" applyFill="1" applyBorder="1"/>
    <xf numFmtId="168" fontId="29" fillId="3" borderId="43" xfId="8" applyNumberFormat="1" applyFont="1" applyFill="1" applyBorder="1"/>
    <xf numFmtId="168" fontId="29" fillId="3" borderId="42" xfId="8" applyNumberFormat="1" applyFont="1" applyFill="1" applyBorder="1"/>
    <xf numFmtId="168" fontId="29" fillId="3" borderId="44" xfId="8" applyNumberFormat="1" applyFont="1" applyFill="1" applyBorder="1"/>
    <xf numFmtId="168" fontId="5" fillId="0" borderId="43" xfId="8" applyNumberFormat="1" applyFont="1" applyBorder="1"/>
    <xf numFmtId="176" fontId="29" fillId="3" borderId="45" xfId="8" applyNumberFormat="1" applyFont="1" applyFill="1" applyBorder="1"/>
    <xf numFmtId="168" fontId="29" fillId="3" borderId="45" xfId="8" applyNumberFormat="1" applyFont="1" applyFill="1" applyBorder="1"/>
    <xf numFmtId="0" fontId="29" fillId="0" borderId="48" xfId="8" applyFont="1" applyBorder="1" applyAlignment="1">
      <alignment horizontal="left"/>
    </xf>
    <xf numFmtId="189" fontId="29" fillId="3" borderId="41" xfId="8" applyNumberFormat="1" applyFont="1" applyFill="1" applyBorder="1"/>
    <xf numFmtId="189" fontId="29" fillId="3" borderId="0" xfId="8" applyNumberFormat="1" applyFont="1" applyFill="1"/>
    <xf numFmtId="189" fontId="29" fillId="3" borderId="53" xfId="8" applyNumberFormat="1" applyFont="1" applyFill="1" applyBorder="1"/>
    <xf numFmtId="176" fontId="29" fillId="3" borderId="48" xfId="8" applyNumberFormat="1" applyFont="1" applyFill="1" applyBorder="1"/>
    <xf numFmtId="176" fontId="29" fillId="3" borderId="8" xfId="8" applyNumberFormat="1" applyFont="1" applyFill="1" applyBorder="1"/>
    <xf numFmtId="176" fontId="29" fillId="0" borderId="8" xfId="8" applyNumberFormat="1" applyFont="1" applyBorder="1"/>
    <xf numFmtId="176" fontId="29" fillId="3" borderId="64" xfId="8" applyNumberFormat="1" applyFont="1" applyFill="1" applyBorder="1"/>
    <xf numFmtId="176" fontId="5" fillId="3" borderId="41" xfId="8" applyNumberFormat="1" applyFont="1" applyFill="1" applyBorder="1"/>
    <xf numFmtId="176" fontId="29" fillId="3" borderId="16" xfId="8" applyNumberFormat="1" applyFont="1" applyFill="1" applyBorder="1"/>
    <xf numFmtId="187" fontId="15" fillId="3" borderId="53" xfId="8" applyNumberFormat="1" applyFont="1" applyFill="1" applyBorder="1"/>
    <xf numFmtId="187" fontId="15" fillId="3" borderId="41" xfId="8" applyNumberFormat="1" applyFont="1" applyFill="1" applyBorder="1"/>
    <xf numFmtId="187" fontId="29" fillId="3" borderId="41" xfId="8" applyNumberFormat="1" applyFont="1" applyFill="1" applyBorder="1"/>
    <xf numFmtId="187" fontId="29" fillId="3" borderId="0" xfId="8" applyNumberFormat="1" applyFont="1" applyFill="1"/>
    <xf numFmtId="187" fontId="5" fillId="3" borderId="41" xfId="8" applyNumberFormat="1" applyFont="1" applyFill="1" applyBorder="1"/>
    <xf numFmtId="187" fontId="44" fillId="3" borderId="41" xfId="8" applyNumberFormat="1" applyFont="1" applyFill="1" applyBorder="1"/>
    <xf numFmtId="187" fontId="44" fillId="3" borderId="0" xfId="8" applyNumberFormat="1" applyFont="1" applyFill="1"/>
    <xf numFmtId="0" fontId="27" fillId="0" borderId="16" xfId="8" applyFont="1" applyBorder="1"/>
    <xf numFmtId="187" fontId="15" fillId="3" borderId="16" xfId="8" applyNumberFormat="1" applyFont="1" applyFill="1" applyBorder="1"/>
    <xf numFmtId="0" fontId="15" fillId="0" borderId="53" xfId="8" applyFont="1" applyBorder="1"/>
    <xf numFmtId="176" fontId="41" fillId="3" borderId="41" xfId="8" applyNumberFormat="1" applyFont="1" applyFill="1" applyBorder="1"/>
    <xf numFmtId="176" fontId="41" fillId="3" borderId="0" xfId="8" applyNumberFormat="1" applyFont="1" applyFill="1"/>
    <xf numFmtId="176" fontId="41" fillId="3" borderId="53" xfId="8" applyNumberFormat="1" applyFont="1" applyFill="1" applyBorder="1"/>
    <xf numFmtId="168" fontId="29" fillId="3" borderId="8" xfId="8" applyNumberFormat="1" applyFont="1" applyFill="1" applyBorder="1"/>
    <xf numFmtId="168" fontId="29" fillId="3" borderId="64" xfId="8" applyNumberFormat="1" applyFont="1" applyFill="1" applyBorder="1"/>
    <xf numFmtId="168" fontId="29" fillId="3" borderId="48" xfId="8" applyNumberFormat="1" applyFont="1" applyFill="1" applyBorder="1"/>
    <xf numFmtId="165" fontId="15" fillId="3" borderId="41" xfId="3" applyNumberFormat="1" applyFont="1" applyFill="1" applyBorder="1" applyAlignment="1"/>
    <xf numFmtId="165" fontId="15" fillId="3" borderId="0" xfId="3" applyNumberFormat="1" applyFont="1" applyFill="1" applyBorder="1" applyAlignment="1"/>
    <xf numFmtId="0" fontId="29" fillId="3" borderId="0" xfId="8" applyFont="1" applyFill="1"/>
    <xf numFmtId="0" fontId="29" fillId="3" borderId="53" xfId="8" applyFont="1" applyFill="1" applyBorder="1"/>
    <xf numFmtId="0" fontId="29" fillId="3" borderId="41" xfId="8" applyFont="1" applyFill="1" applyBorder="1"/>
    <xf numFmtId="189" fontId="15" fillId="0" borderId="0" xfId="8" applyNumberFormat="1" applyFont="1"/>
    <xf numFmtId="189" fontId="15" fillId="0" borderId="53" xfId="8" applyNumberFormat="1" applyFont="1" applyBorder="1"/>
    <xf numFmtId="189" fontId="41" fillId="3" borderId="0" xfId="8" applyNumberFormat="1" applyFont="1" applyFill="1"/>
    <xf numFmtId="189" fontId="41" fillId="3" borderId="41" xfId="8" applyNumberFormat="1" applyFont="1" applyFill="1" applyBorder="1"/>
    <xf numFmtId="189" fontId="41" fillId="3" borderId="53" xfId="8" applyNumberFormat="1" applyFont="1" applyFill="1" applyBorder="1"/>
    <xf numFmtId="189" fontId="15" fillId="3" borderId="16" xfId="8" applyNumberFormat="1" applyFont="1" applyFill="1" applyBorder="1"/>
    <xf numFmtId="176" fontId="15" fillId="3" borderId="42" xfId="8" applyNumberFormat="1" applyFont="1" applyFill="1" applyBorder="1"/>
    <xf numFmtId="189" fontId="29" fillId="3" borderId="45" xfId="8" applyNumberFormat="1" applyFont="1" applyFill="1" applyBorder="1"/>
    <xf numFmtId="189" fontId="29" fillId="0" borderId="8" xfId="8" applyNumberFormat="1" applyFont="1" applyBorder="1"/>
    <xf numFmtId="189" fontId="29" fillId="3" borderId="16" xfId="8" applyNumberFormat="1" applyFont="1" applyFill="1" applyBorder="1"/>
    <xf numFmtId="189" fontId="29" fillId="0" borderId="0" xfId="8" applyNumberFormat="1" applyFont="1"/>
    <xf numFmtId="176" fontId="31" fillId="0" borderId="0" xfId="8" applyNumberFormat="1" applyFont="1"/>
    <xf numFmtId="176" fontId="31" fillId="0" borderId="53" xfId="8" applyNumberFormat="1" applyFont="1" applyBorder="1"/>
    <xf numFmtId="176" fontId="31" fillId="0" borderId="41" xfId="8" applyNumberFormat="1" applyFont="1" applyBorder="1"/>
    <xf numFmtId="0" fontId="15" fillId="3" borderId="16" xfId="10" applyNumberFormat="1" applyFont="1" applyFill="1" applyBorder="1" applyAlignment="1" applyProtection="1">
      <alignment horizontal="left" indent="1"/>
    </xf>
    <xf numFmtId="176" fontId="15" fillId="0" borderId="43" xfId="8" applyNumberFormat="1" applyFont="1" applyBorder="1"/>
    <xf numFmtId="176" fontId="15" fillId="0" borderId="42" xfId="8" applyNumberFormat="1" applyFont="1" applyBorder="1"/>
    <xf numFmtId="176" fontId="15" fillId="0" borderId="44" xfId="8" applyNumberFormat="1" applyFont="1" applyBorder="1"/>
    <xf numFmtId="176" fontId="15" fillId="3" borderId="43" xfId="8" applyNumberFormat="1" applyFont="1" applyFill="1" applyBorder="1"/>
    <xf numFmtId="189" fontId="15" fillId="3" borderId="42" xfId="8" applyNumberFormat="1" applyFont="1" applyFill="1" applyBorder="1"/>
    <xf numFmtId="189" fontId="15" fillId="3" borderId="44" xfId="8" applyNumberFormat="1" applyFont="1" applyFill="1" applyBorder="1"/>
    <xf numFmtId="189" fontId="15" fillId="3" borderId="43" xfId="8" applyNumberFormat="1" applyFont="1" applyFill="1" applyBorder="1"/>
    <xf numFmtId="189" fontId="15" fillId="0" borderId="42" xfId="8" applyNumberFormat="1" applyFont="1" applyBorder="1"/>
    <xf numFmtId="189" fontId="41" fillId="3" borderId="42" xfId="8" applyNumberFormat="1" applyFont="1" applyFill="1" applyBorder="1"/>
    <xf numFmtId="189" fontId="41" fillId="3" borderId="43" xfId="8" applyNumberFormat="1" applyFont="1" applyFill="1" applyBorder="1"/>
    <xf numFmtId="176" fontId="15" fillId="3" borderId="45" xfId="8" applyNumberFormat="1" applyFont="1" applyFill="1" applyBorder="1"/>
    <xf numFmtId="187" fontId="15" fillId="0" borderId="41" xfId="8" applyNumberFormat="1" applyFont="1" applyBorder="1"/>
    <xf numFmtId="187" fontId="15" fillId="0" borderId="53" xfId="8" applyNumberFormat="1" applyFont="1" applyBorder="1"/>
    <xf numFmtId="165" fontId="15" fillId="3" borderId="16" xfId="3" applyNumberFormat="1" applyFont="1" applyFill="1" applyBorder="1" applyAlignment="1"/>
    <xf numFmtId="188" fontId="15" fillId="3" borderId="0" xfId="8" applyNumberFormat="1" applyFont="1" applyFill="1"/>
    <xf numFmtId="188" fontId="15" fillId="3" borderId="53" xfId="8" applyNumberFormat="1" applyFont="1" applyFill="1" applyBorder="1"/>
    <xf numFmtId="188" fontId="15" fillId="3" borderId="41" xfId="8" applyNumberFormat="1" applyFont="1" applyFill="1" applyBorder="1"/>
    <xf numFmtId="0" fontId="29" fillId="0" borderId="43" xfId="8" applyFont="1" applyBorder="1" applyAlignment="1">
      <alignment horizontal="left"/>
    </xf>
    <xf numFmtId="0" fontId="29" fillId="3" borderId="42" xfId="8" applyFont="1" applyFill="1" applyBorder="1"/>
    <xf numFmtId="0" fontId="29" fillId="3" borderId="43" xfId="8" applyFont="1" applyFill="1" applyBorder="1"/>
    <xf numFmtId="0" fontId="29" fillId="3" borderId="44" xfId="8" applyFont="1" applyFill="1" applyBorder="1"/>
    <xf numFmtId="0" fontId="29" fillId="3" borderId="45" xfId="8" applyFont="1" applyFill="1" applyBorder="1"/>
    <xf numFmtId="0" fontId="30" fillId="0" borderId="0" xfId="9" applyFont="1" applyAlignment="1">
      <alignment horizontal="left"/>
    </xf>
    <xf numFmtId="184" fontId="27" fillId="0" borderId="0" xfId="8" applyNumberFormat="1" applyFont="1"/>
    <xf numFmtId="184" fontId="36" fillId="0" borderId="0" xfId="8" applyNumberFormat="1" applyFont="1"/>
    <xf numFmtId="165" fontId="27" fillId="0" borderId="0" xfId="3" applyNumberFormat="1" applyFont="1" applyBorder="1" applyAlignment="1"/>
    <xf numFmtId="193" fontId="27" fillId="0" borderId="0" xfId="1" applyNumberFormat="1" applyFont="1" applyBorder="1" applyAlignment="1"/>
    <xf numFmtId="165" fontId="55" fillId="0" borderId="0" xfId="3" applyNumberFormat="1" applyFont="1" applyFill="1" applyBorder="1" applyAlignment="1"/>
    <xf numFmtId="0" fontId="29" fillId="6" borderId="66" xfId="8" applyFont="1" applyFill="1" applyBorder="1"/>
    <xf numFmtId="0" fontId="29" fillId="0" borderId="16" xfId="8" applyFont="1" applyBorder="1"/>
    <xf numFmtId="0" fontId="29" fillId="6" borderId="8" xfId="8" applyFont="1" applyFill="1" applyBorder="1"/>
    <xf numFmtId="0" fontId="29" fillId="6" borderId="48" xfId="8" applyFont="1" applyFill="1" applyBorder="1"/>
    <xf numFmtId="0" fontId="29" fillId="6" borderId="64" xfId="8" applyFont="1" applyFill="1" applyBorder="1"/>
    <xf numFmtId="0" fontId="32" fillId="0" borderId="16" xfId="8" applyFont="1" applyBorder="1"/>
    <xf numFmtId="17" fontId="33" fillId="0" borderId="41" xfId="8" applyNumberFormat="1" applyFont="1" applyBorder="1" applyAlignment="1">
      <alignment horizontal="right"/>
    </xf>
    <xf numFmtId="0" fontId="29" fillId="3" borderId="16" xfId="9" applyFont="1" applyFill="1" applyBorder="1"/>
    <xf numFmtId="176" fontId="29" fillId="0" borderId="0" xfId="1" applyNumberFormat="1" applyFont="1" applyFill="1" applyBorder="1" applyAlignment="1">
      <alignment horizontal="right"/>
    </xf>
    <xf numFmtId="194" fontId="56" fillId="3" borderId="68" xfId="9" applyNumberFormat="1" applyFont="1" applyFill="1" applyBorder="1"/>
    <xf numFmtId="168" fontId="29" fillId="0" borderId="54" xfId="8" applyNumberFormat="1" applyFont="1" applyBorder="1"/>
    <xf numFmtId="168" fontId="29" fillId="0" borderId="16" xfId="8" applyNumberFormat="1" applyFont="1" applyBorder="1"/>
    <xf numFmtId="168" fontId="29" fillId="0" borderId="52" xfId="8" applyNumberFormat="1" applyFont="1" applyBorder="1"/>
    <xf numFmtId="0" fontId="56" fillId="3" borderId="0" xfId="9" applyFont="1" applyFill="1"/>
    <xf numFmtId="0" fontId="35" fillId="3" borderId="55" xfId="8" applyFont="1" applyFill="1" applyBorder="1" applyAlignment="1">
      <alignment horizontal="left"/>
    </xf>
    <xf numFmtId="168" fontId="35" fillId="3" borderId="60" xfId="8" applyNumberFormat="1" applyFont="1" applyFill="1" applyBorder="1"/>
    <xf numFmtId="168" fontId="35" fillId="3" borderId="53" xfId="8" applyNumberFormat="1" applyFont="1" applyFill="1" applyBorder="1"/>
    <xf numFmtId="168" fontId="35" fillId="3" borderId="60" xfId="8" applyNumberFormat="1" applyFont="1" applyFill="1" applyBorder="1" applyAlignment="1">
      <alignment horizontal="right"/>
    </xf>
    <xf numFmtId="168" fontId="35" fillId="3" borderId="0" xfId="8" applyNumberFormat="1" applyFont="1" applyFill="1" applyAlignment="1">
      <alignment horizontal="right"/>
    </xf>
    <xf numFmtId="168" fontId="35" fillId="3" borderId="53" xfId="8" applyNumberFormat="1" applyFont="1" applyFill="1" applyBorder="1" applyAlignment="1">
      <alignment horizontal="right"/>
    </xf>
    <xf numFmtId="168" fontId="35" fillId="3" borderId="55" xfId="8" applyNumberFormat="1" applyFont="1" applyFill="1" applyBorder="1"/>
    <xf numFmtId="187" fontId="32" fillId="0" borderId="55" xfId="9" applyNumberFormat="1" applyFont="1" applyBorder="1" applyAlignment="1">
      <alignment horizontal="left" indent="1"/>
    </xf>
    <xf numFmtId="188" fontId="32" fillId="0" borderId="60" xfId="9" applyNumberFormat="1" applyFont="1" applyBorder="1" applyAlignment="1">
      <alignment horizontal="right"/>
    </xf>
    <xf numFmtId="188" fontId="32" fillId="0" borderId="0" xfId="9" applyNumberFormat="1" applyFont="1" applyAlignment="1">
      <alignment horizontal="right"/>
    </xf>
    <xf numFmtId="188" fontId="32" fillId="0" borderId="53" xfId="9" applyNumberFormat="1" applyFont="1" applyBorder="1" applyAlignment="1">
      <alignment horizontal="right"/>
    </xf>
    <xf numFmtId="187" fontId="57" fillId="0" borderId="0" xfId="9" applyNumberFormat="1" applyFont="1" applyAlignment="1">
      <alignment horizontal="right"/>
    </xf>
    <xf numFmtId="188" fontId="32" fillId="0" borderId="54" xfId="9" applyNumberFormat="1" applyFont="1" applyBorder="1" applyAlignment="1">
      <alignment horizontal="right"/>
    </xf>
    <xf numFmtId="188" fontId="32" fillId="0" borderId="16" xfId="9" applyNumberFormat="1" applyFont="1" applyBorder="1" applyAlignment="1">
      <alignment horizontal="right"/>
    </xf>
    <xf numFmtId="168" fontId="35" fillId="3" borderId="41" xfId="8" applyNumberFormat="1" applyFont="1" applyFill="1" applyBorder="1"/>
    <xf numFmtId="168" fontId="37" fillId="3" borderId="41" xfId="8" applyNumberFormat="1" applyFont="1" applyFill="1" applyBorder="1"/>
    <xf numFmtId="168" fontId="37" fillId="3" borderId="53" xfId="8" applyNumberFormat="1" applyFont="1" applyFill="1" applyBorder="1"/>
    <xf numFmtId="168" fontId="37" fillId="3" borderId="55" xfId="8" applyNumberFormat="1" applyFont="1" applyFill="1" applyBorder="1"/>
    <xf numFmtId="168" fontId="37" fillId="3" borderId="60" xfId="8" applyNumberFormat="1" applyFont="1" applyFill="1" applyBorder="1"/>
    <xf numFmtId="168" fontId="37" fillId="0" borderId="53" xfId="8" applyNumberFormat="1" applyFont="1" applyBorder="1"/>
    <xf numFmtId="0" fontId="37" fillId="3" borderId="55" xfId="8" applyFont="1" applyFill="1" applyBorder="1" applyAlignment="1">
      <alignment horizontal="left" indent="1"/>
    </xf>
    <xf numFmtId="0" fontId="33" fillId="3" borderId="55" xfId="9" applyFont="1" applyFill="1" applyBorder="1"/>
    <xf numFmtId="188" fontId="32" fillId="3" borderId="0" xfId="9" applyNumberFormat="1" applyFont="1" applyFill="1" applyAlignment="1">
      <alignment horizontal="right"/>
    </xf>
    <xf numFmtId="188" fontId="58" fillId="3" borderId="60" xfId="9" applyNumberFormat="1" applyFont="1" applyFill="1" applyBorder="1" applyAlignment="1">
      <alignment horizontal="right"/>
    </xf>
    <xf numFmtId="188" fontId="58" fillId="3" borderId="0" xfId="9" applyNumberFormat="1" applyFont="1" applyFill="1" applyAlignment="1">
      <alignment horizontal="right"/>
    </xf>
    <xf numFmtId="188" fontId="58" fillId="3" borderId="53" xfId="9" applyNumberFormat="1" applyFont="1" applyFill="1" applyBorder="1" applyAlignment="1">
      <alignment horizontal="right"/>
    </xf>
    <xf numFmtId="188" fontId="32" fillId="3" borderId="60" xfId="9" applyNumberFormat="1" applyFont="1" applyFill="1" applyBorder="1" applyAlignment="1">
      <alignment horizontal="right"/>
    </xf>
    <xf numFmtId="188" fontId="32" fillId="3" borderId="53" xfId="9" applyNumberFormat="1" applyFont="1" applyFill="1" applyBorder="1" applyAlignment="1">
      <alignment horizontal="right"/>
    </xf>
    <xf numFmtId="188" fontId="32" fillId="0" borderId="21" xfId="9" applyNumberFormat="1" applyFont="1" applyBorder="1" applyAlignment="1">
      <alignment horizontal="right"/>
    </xf>
    <xf numFmtId="0" fontId="29" fillId="3" borderId="55" xfId="9" applyFont="1" applyFill="1" applyBorder="1"/>
    <xf numFmtId="176" fontId="29" fillId="0" borderId="60" xfId="1" applyNumberFormat="1" applyFont="1" applyFill="1" applyBorder="1" applyAlignment="1">
      <alignment horizontal="right"/>
    </xf>
    <xf numFmtId="176" fontId="29" fillId="0" borderId="53" xfId="1" applyNumberFormat="1" applyFont="1" applyFill="1" applyBorder="1" applyAlignment="1">
      <alignment horizontal="right"/>
    </xf>
    <xf numFmtId="168" fontId="29" fillId="0" borderId="60" xfId="8" applyNumberFormat="1" applyFont="1" applyBorder="1"/>
    <xf numFmtId="0" fontId="35" fillId="3" borderId="55" xfId="8" applyFont="1" applyFill="1" applyBorder="1"/>
    <xf numFmtId="168" fontId="15" fillId="0" borderId="60" xfId="1" applyNumberFormat="1" applyFont="1" applyFill="1" applyBorder="1" applyAlignment="1">
      <alignment horizontal="right"/>
    </xf>
    <xf numFmtId="168" fontId="15" fillId="0" borderId="0" xfId="1" applyNumberFormat="1" applyFont="1" applyFill="1" applyBorder="1" applyAlignment="1">
      <alignment horizontal="right"/>
    </xf>
    <xf numFmtId="168" fontId="15" fillId="0" borderId="53" xfId="1" applyNumberFormat="1" applyFont="1" applyFill="1" applyBorder="1" applyAlignment="1">
      <alignment horizontal="right"/>
    </xf>
    <xf numFmtId="168" fontId="35" fillId="0" borderId="60" xfId="8" applyNumberFormat="1" applyFont="1" applyBorder="1"/>
    <xf numFmtId="168" fontId="35" fillId="0" borderId="53" xfId="8" applyNumberFormat="1" applyFont="1" applyBorder="1"/>
    <xf numFmtId="188" fontId="32" fillId="0" borderId="16" xfId="9" applyNumberFormat="1" applyFont="1" applyBorder="1" applyAlignment="1">
      <alignment horizontal="left" indent="1"/>
    </xf>
    <xf numFmtId="188" fontId="32" fillId="3" borderId="41" xfId="9" applyNumberFormat="1" applyFont="1" applyFill="1" applyBorder="1" applyAlignment="1">
      <alignment horizontal="right"/>
    </xf>
    <xf numFmtId="188" fontId="32" fillId="0" borderId="41" xfId="9" applyNumberFormat="1" applyFont="1" applyBorder="1" applyAlignment="1">
      <alignment horizontal="right"/>
    </xf>
    <xf numFmtId="188" fontId="49" fillId="3" borderId="41" xfId="9" applyNumberFormat="1" applyFont="1" applyFill="1" applyBorder="1" applyAlignment="1">
      <alignment horizontal="right"/>
    </xf>
    <xf numFmtId="188" fontId="49" fillId="3" borderId="0" xfId="9" applyNumberFormat="1" applyFont="1" applyFill="1" applyAlignment="1">
      <alignment horizontal="right"/>
    </xf>
    <xf numFmtId="188" fontId="49" fillId="3" borderId="53" xfId="9" applyNumberFormat="1" applyFont="1" applyFill="1" applyBorder="1" applyAlignment="1">
      <alignment horizontal="right"/>
    </xf>
    <xf numFmtId="188" fontId="32" fillId="0" borderId="68" xfId="9" applyNumberFormat="1" applyFont="1" applyBorder="1" applyAlignment="1">
      <alignment horizontal="right"/>
    </xf>
    <xf numFmtId="188" fontId="32" fillId="0" borderId="52" xfId="9" applyNumberFormat="1" applyFont="1" applyBorder="1" applyAlignment="1">
      <alignment horizontal="right"/>
    </xf>
    <xf numFmtId="188" fontId="32" fillId="0" borderId="55" xfId="9" applyNumberFormat="1" applyFont="1" applyBorder="1" applyAlignment="1">
      <alignment horizontal="left" indent="1"/>
    </xf>
    <xf numFmtId="187" fontId="32" fillId="0" borderId="60" xfId="9" applyNumberFormat="1" applyFont="1" applyBorder="1" applyAlignment="1">
      <alignment horizontal="right"/>
    </xf>
    <xf numFmtId="187" fontId="32" fillId="0" borderId="0" xfId="9" applyNumberFormat="1" applyFont="1" applyAlignment="1">
      <alignment horizontal="right"/>
    </xf>
    <xf numFmtId="187" fontId="32" fillId="0" borderId="53" xfId="9" applyNumberFormat="1" applyFont="1" applyBorder="1" applyAlignment="1">
      <alignment horizontal="right"/>
    </xf>
    <xf numFmtId="176" fontId="29" fillId="3" borderId="0" xfId="1" applyNumberFormat="1" applyFont="1" applyFill="1" applyBorder="1" applyAlignment="1">
      <alignment horizontal="right"/>
    </xf>
    <xf numFmtId="176" fontId="29" fillId="3" borderId="53" xfId="1" applyNumberFormat="1" applyFont="1" applyFill="1" applyBorder="1" applyAlignment="1">
      <alignment horizontal="right"/>
    </xf>
    <xf numFmtId="176" fontId="29" fillId="3" borderId="60" xfId="1" applyNumberFormat="1" applyFont="1" applyFill="1" applyBorder="1" applyAlignment="1">
      <alignment horizontal="right"/>
    </xf>
    <xf numFmtId="168" fontId="35" fillId="0" borderId="60" xfId="1" applyNumberFormat="1" applyFont="1" applyFill="1" applyBorder="1" applyAlignment="1">
      <alignment horizontal="right"/>
    </xf>
    <xf numFmtId="168" fontId="35" fillId="0" borderId="0" xfId="1" applyNumberFormat="1" applyFont="1" applyFill="1" applyBorder="1" applyAlignment="1">
      <alignment horizontal="right"/>
    </xf>
    <xf numFmtId="168" fontId="35" fillId="0" borderId="53" xfId="1" applyNumberFormat="1" applyFont="1" applyFill="1" applyBorder="1" applyAlignment="1">
      <alignment horizontal="right"/>
    </xf>
    <xf numFmtId="168" fontId="35" fillId="3" borderId="55" xfId="8" applyNumberFormat="1" applyFont="1" applyFill="1" applyBorder="1" applyAlignment="1">
      <alignment horizontal="right"/>
    </xf>
    <xf numFmtId="188" fontId="49" fillId="3" borderId="60" xfId="9" applyNumberFormat="1" applyFont="1" applyFill="1" applyBorder="1" applyAlignment="1">
      <alignment horizontal="right"/>
    </xf>
    <xf numFmtId="187" fontId="57" fillId="0" borderId="69" xfId="9" applyNumberFormat="1" applyFont="1" applyBorder="1" applyAlignment="1">
      <alignment horizontal="right"/>
    </xf>
    <xf numFmtId="188" fontId="32" fillId="0" borderId="70" xfId="9" applyNumberFormat="1" applyFont="1" applyBorder="1" applyAlignment="1">
      <alignment horizontal="right"/>
    </xf>
    <xf numFmtId="188" fontId="32" fillId="0" borderId="55" xfId="9" applyNumberFormat="1" applyFont="1" applyBorder="1" applyAlignment="1">
      <alignment horizontal="right"/>
    </xf>
    <xf numFmtId="188" fontId="32" fillId="3" borderId="71" xfId="9" applyNumberFormat="1" applyFont="1" applyFill="1" applyBorder="1" applyAlignment="1">
      <alignment horizontal="right"/>
    </xf>
    <xf numFmtId="188" fontId="32" fillId="0" borderId="71" xfId="9" applyNumberFormat="1" applyFont="1" applyBorder="1" applyAlignment="1">
      <alignment horizontal="right"/>
    </xf>
    <xf numFmtId="0" fontId="29" fillId="3" borderId="72" xfId="9" applyFont="1" applyFill="1" applyBorder="1"/>
    <xf numFmtId="168" fontId="29" fillId="0" borderId="70" xfId="8" applyNumberFormat="1" applyFont="1" applyBorder="1"/>
    <xf numFmtId="168" fontId="29" fillId="0" borderId="73" xfId="8" applyNumberFormat="1" applyFont="1" applyBorder="1"/>
    <xf numFmtId="0" fontId="35" fillId="3" borderId="72" xfId="8" applyFont="1" applyFill="1" applyBorder="1"/>
    <xf numFmtId="176" fontId="35" fillId="0" borderId="60" xfId="1" applyNumberFormat="1" applyFont="1" applyFill="1" applyBorder="1" applyAlignment="1">
      <alignment horizontal="right"/>
    </xf>
    <xf numFmtId="176" fontId="35" fillId="0" borderId="0" xfId="1" applyNumberFormat="1" applyFont="1" applyFill="1" applyBorder="1" applyAlignment="1">
      <alignment horizontal="right"/>
    </xf>
    <xf numFmtId="176" fontId="35" fillId="0" borderId="53" xfId="1" applyNumberFormat="1" applyFont="1" applyFill="1" applyBorder="1" applyAlignment="1">
      <alignment horizontal="right"/>
    </xf>
    <xf numFmtId="168" fontId="35" fillId="3" borderId="72" xfId="8" applyNumberFormat="1" applyFont="1" applyFill="1" applyBorder="1"/>
    <xf numFmtId="168" fontId="35" fillId="3" borderId="72" xfId="8" applyNumberFormat="1" applyFont="1" applyFill="1" applyBorder="1" applyAlignment="1">
      <alignment horizontal="right"/>
    </xf>
    <xf numFmtId="188" fontId="32" fillId="0" borderId="72" xfId="9" applyNumberFormat="1" applyFont="1" applyBorder="1" applyAlignment="1">
      <alignment horizontal="left" indent="1"/>
    </xf>
    <xf numFmtId="188" fontId="32" fillId="0" borderId="73" xfId="9" applyNumberFormat="1" applyFont="1" applyBorder="1" applyAlignment="1">
      <alignment horizontal="right"/>
    </xf>
    <xf numFmtId="188" fontId="32" fillId="3" borderId="43" xfId="9" applyNumberFormat="1" applyFont="1" applyFill="1" applyBorder="1" applyAlignment="1">
      <alignment horizontal="right"/>
    </xf>
    <xf numFmtId="188" fontId="32" fillId="3" borderId="42" xfId="9" applyNumberFormat="1" applyFont="1" applyFill="1" applyBorder="1" applyAlignment="1">
      <alignment horizontal="right"/>
    </xf>
    <xf numFmtId="188" fontId="32" fillId="3" borderId="44" xfId="9" applyNumberFormat="1" applyFont="1" applyFill="1" applyBorder="1" applyAlignment="1">
      <alignment horizontal="right"/>
    </xf>
    <xf numFmtId="188" fontId="32" fillId="0" borderId="58" xfId="9" applyNumberFormat="1" applyFont="1" applyBorder="1" applyAlignment="1">
      <alignment horizontal="right"/>
    </xf>
    <xf numFmtId="188" fontId="32" fillId="0" borderId="45" xfId="9" applyNumberFormat="1" applyFont="1" applyBorder="1" applyAlignment="1">
      <alignment horizontal="right"/>
    </xf>
    <xf numFmtId="188" fontId="32" fillId="0" borderId="57" xfId="9" applyNumberFormat="1" applyFont="1" applyBorder="1" applyAlignment="1">
      <alignment horizontal="right"/>
    </xf>
    <xf numFmtId="0" fontId="15" fillId="0" borderId="8" xfId="0" applyFont="1" applyBorder="1" applyAlignment="1">
      <alignment horizontal="left"/>
    </xf>
    <xf numFmtId="180" fontId="15" fillId="3" borderId="8" xfId="11" applyNumberFormat="1" applyFont="1" applyFill="1" applyBorder="1" applyProtection="1"/>
    <xf numFmtId="180" fontId="15" fillId="0" borderId="8" xfId="11" applyNumberFormat="1" applyFont="1" applyFill="1" applyBorder="1" applyProtection="1"/>
    <xf numFmtId="180" fontId="15" fillId="0" borderId="0" xfId="11" applyNumberFormat="1" applyFont="1" applyFill="1" applyBorder="1" applyProtection="1"/>
    <xf numFmtId="176" fontId="15" fillId="0" borderId="0" xfId="12" applyNumberFormat="1" applyFont="1" applyFill="1" applyBorder="1" applyProtection="1"/>
    <xf numFmtId="0" fontId="29" fillId="0" borderId="53" xfId="8" applyFont="1" applyBorder="1"/>
    <xf numFmtId="0" fontId="29" fillId="6" borderId="67" xfId="8" applyFont="1" applyFill="1" applyBorder="1"/>
    <xf numFmtId="0" fontId="33" fillId="3" borderId="16" xfId="8" applyFont="1" applyFill="1" applyBorder="1" applyAlignment="1">
      <alignment horizontal="left"/>
    </xf>
    <xf numFmtId="17" fontId="33" fillId="3" borderId="53" xfId="8" applyNumberFormat="1" applyFont="1" applyFill="1" applyBorder="1" applyAlignment="1">
      <alignment horizontal="right"/>
    </xf>
    <xf numFmtId="17" fontId="33" fillId="3" borderId="60" xfId="8" applyNumberFormat="1" applyFont="1" applyFill="1" applyBorder="1" applyAlignment="1">
      <alignment horizontal="right"/>
    </xf>
    <xf numFmtId="17" fontId="33" fillId="0" borderId="60" xfId="8" applyNumberFormat="1" applyFont="1" applyBorder="1" applyAlignment="1">
      <alignment horizontal="right"/>
    </xf>
    <xf numFmtId="0" fontId="33" fillId="0" borderId="70" xfId="8" applyFont="1" applyBorder="1" applyAlignment="1">
      <alignment horizontal="right"/>
    </xf>
    <xf numFmtId="0" fontId="33" fillId="0" borderId="73" xfId="8" applyFont="1" applyBorder="1" applyAlignment="1">
      <alignment horizontal="right"/>
    </xf>
    <xf numFmtId="0" fontId="29" fillId="3" borderId="16" xfId="8" applyFont="1" applyFill="1" applyBorder="1" applyAlignment="1">
      <alignment horizontal="left"/>
    </xf>
    <xf numFmtId="176" fontId="29" fillId="0" borderId="0" xfId="11" applyNumberFormat="1" applyFont="1" applyFill="1" applyBorder="1" applyProtection="1"/>
    <xf numFmtId="176" fontId="29" fillId="0" borderId="53" xfId="11" applyNumberFormat="1" applyFont="1" applyFill="1" applyBorder="1" applyProtection="1"/>
    <xf numFmtId="176" fontId="29" fillId="0" borderId="41" xfId="11" applyNumberFormat="1" applyFont="1" applyFill="1" applyBorder="1" applyProtection="1"/>
    <xf numFmtId="17" fontId="29" fillId="0" borderId="0" xfId="8" applyNumberFormat="1" applyFont="1" applyAlignment="1">
      <alignment horizontal="right"/>
    </xf>
    <xf numFmtId="0" fontId="31" fillId="0" borderId="0" xfId="8" applyFont="1" applyAlignment="1">
      <alignment horizontal="right"/>
    </xf>
    <xf numFmtId="195" fontId="15" fillId="0" borderId="41" xfId="11" applyNumberFormat="1" applyFont="1" applyFill="1" applyBorder="1" applyAlignment="1" applyProtection="1">
      <alignment horizontal="right"/>
    </xf>
    <xf numFmtId="195" fontId="15" fillId="0" borderId="0" xfId="11" applyNumberFormat="1" applyFont="1" applyFill="1" applyBorder="1" applyProtection="1"/>
    <xf numFmtId="195" fontId="15" fillId="0" borderId="53" xfId="11" applyNumberFormat="1" applyFont="1" applyFill="1" applyBorder="1" applyProtection="1"/>
    <xf numFmtId="195" fontId="15" fillId="0" borderId="41" xfId="11" applyNumberFormat="1" applyFont="1" applyFill="1" applyBorder="1" applyProtection="1"/>
    <xf numFmtId="17" fontId="15" fillId="0" borderId="0" xfId="8" applyNumberFormat="1" applyFont="1" applyAlignment="1">
      <alignment horizontal="right"/>
    </xf>
    <xf numFmtId="191" fontId="15" fillId="0" borderId="70" xfId="8" applyNumberFormat="1" applyFont="1" applyBorder="1" applyAlignment="1">
      <alignment horizontal="right"/>
    </xf>
    <xf numFmtId="191" fontId="15" fillId="0" borderId="73" xfId="8" applyNumberFormat="1" applyFont="1" applyBorder="1" applyAlignment="1">
      <alignment horizontal="right"/>
    </xf>
    <xf numFmtId="191" fontId="15" fillId="0" borderId="16" xfId="8" applyNumberFormat="1" applyFont="1" applyBorder="1" applyAlignment="1">
      <alignment horizontal="right"/>
    </xf>
    <xf numFmtId="0" fontId="27" fillId="0" borderId="0" xfId="8" applyFont="1" applyAlignment="1">
      <alignment horizontal="right"/>
    </xf>
    <xf numFmtId="195" fontId="48" fillId="0" borderId="0" xfId="11" applyNumberFormat="1" applyFont="1" applyFill="1" applyBorder="1" applyProtection="1"/>
    <xf numFmtId="196" fontId="15" fillId="0" borderId="0" xfId="11" applyNumberFormat="1" applyFont="1" applyFill="1" applyBorder="1" applyProtection="1"/>
    <xf numFmtId="39" fontId="15" fillId="0" borderId="53" xfId="11" applyNumberFormat="1" applyFont="1" applyFill="1" applyBorder="1" applyProtection="1"/>
    <xf numFmtId="180" fontId="15" fillId="0" borderId="41" xfId="11" applyNumberFormat="1" applyFont="1" applyFill="1" applyBorder="1" applyProtection="1"/>
    <xf numFmtId="176" fontId="15" fillId="0" borderId="53" xfId="11" applyNumberFormat="1" applyFont="1" applyFill="1" applyBorder="1" applyProtection="1"/>
    <xf numFmtId="176" fontId="15" fillId="0" borderId="41" xfId="11" applyNumberFormat="1" applyFont="1" applyFill="1" applyBorder="1" applyProtection="1"/>
    <xf numFmtId="176" fontId="15" fillId="0" borderId="0" xfId="11" applyNumberFormat="1" applyFont="1" applyFill="1" applyBorder="1" applyProtection="1"/>
    <xf numFmtId="191" fontId="15" fillId="0" borderId="72" xfId="8" applyNumberFormat="1" applyFont="1" applyBorder="1" applyAlignment="1">
      <alignment horizontal="right"/>
    </xf>
    <xf numFmtId="191" fontId="15" fillId="0" borderId="53" xfId="8" applyNumberFormat="1" applyFont="1" applyBorder="1" applyAlignment="1">
      <alignment horizontal="right"/>
    </xf>
    <xf numFmtId="0" fontId="29" fillId="3" borderId="74" xfId="8" applyFont="1" applyFill="1" applyBorder="1" applyAlignment="1">
      <alignment horizontal="left"/>
    </xf>
    <xf numFmtId="180" fontId="29" fillId="0" borderId="75" xfId="11" applyNumberFormat="1" applyFont="1" applyFill="1" applyBorder="1" applyProtection="1"/>
    <xf numFmtId="180" fontId="29" fillId="0" borderId="46" xfId="11" applyNumberFormat="1" applyFont="1" applyFill="1" applyBorder="1" applyProtection="1"/>
    <xf numFmtId="176" fontId="29" fillId="0" borderId="76" xfId="11" applyNumberFormat="1" applyFont="1" applyFill="1" applyBorder="1" applyProtection="1"/>
    <xf numFmtId="176" fontId="29" fillId="0" borderId="75" xfId="11" applyNumberFormat="1" applyFont="1" applyFill="1" applyBorder="1" applyProtection="1"/>
    <xf numFmtId="176" fontId="29" fillId="0" borderId="46" xfId="11" applyNumberFormat="1" applyFont="1" applyFill="1" applyBorder="1" applyProtection="1"/>
    <xf numFmtId="17" fontId="33" fillId="0" borderId="72" xfId="8" applyNumberFormat="1" applyFont="1" applyBorder="1" applyAlignment="1">
      <alignment horizontal="right"/>
    </xf>
    <xf numFmtId="168" fontId="29" fillId="0" borderId="74" xfId="8" applyNumberFormat="1" applyFont="1" applyBorder="1"/>
    <xf numFmtId="168" fontId="29" fillId="0" borderId="76" xfId="8" applyNumberFormat="1" applyFont="1" applyBorder="1"/>
    <xf numFmtId="168" fontId="29" fillId="0" borderId="77" xfId="8" applyNumberFormat="1" applyFont="1" applyBorder="1"/>
    <xf numFmtId="168" fontId="29" fillId="0" borderId="78" xfId="8" applyNumberFormat="1" applyFont="1" applyBorder="1"/>
    <xf numFmtId="187" fontId="32" fillId="3" borderId="72" xfId="9" applyNumberFormat="1" applyFont="1" applyFill="1" applyBorder="1" applyAlignment="1">
      <alignment horizontal="left" indent="1"/>
    </xf>
    <xf numFmtId="188" fontId="49" fillId="0" borderId="60" xfId="9" applyNumberFormat="1" applyFont="1" applyBorder="1" applyAlignment="1">
      <alignment horizontal="right"/>
    </xf>
    <xf numFmtId="188" fontId="49" fillId="0" borderId="0" xfId="9" applyNumberFormat="1" applyFont="1" applyAlignment="1">
      <alignment horizontal="right"/>
    </xf>
    <xf numFmtId="188" fontId="49" fillId="0" borderId="53" xfId="9" applyNumberFormat="1" applyFont="1" applyBorder="1" applyAlignment="1">
      <alignment horizontal="right"/>
    </xf>
    <xf numFmtId="188" fontId="32" fillId="0" borderId="72" xfId="9" applyNumberFormat="1" applyFont="1" applyBorder="1" applyAlignment="1">
      <alignment horizontal="right"/>
    </xf>
    <xf numFmtId="187" fontId="32" fillId="3" borderId="16" xfId="9" applyNumberFormat="1" applyFont="1" applyFill="1" applyBorder="1" applyAlignment="1">
      <alignment horizontal="left" indent="1"/>
    </xf>
    <xf numFmtId="188" fontId="32" fillId="0" borderId="0" xfId="11" applyNumberFormat="1" applyFont="1" applyFill="1" applyBorder="1" applyAlignment="1" applyProtection="1">
      <alignment horizontal="right"/>
    </xf>
    <xf numFmtId="188" fontId="32" fillId="0" borderId="53" xfId="11" applyNumberFormat="1" applyFont="1" applyFill="1" applyBorder="1" applyAlignment="1" applyProtection="1">
      <alignment horizontal="right"/>
    </xf>
    <xf numFmtId="188" fontId="32" fillId="0" borderId="41" xfId="11" applyNumberFormat="1" applyFont="1" applyFill="1" applyBorder="1" applyAlignment="1" applyProtection="1">
      <alignment horizontal="right"/>
    </xf>
    <xf numFmtId="187" fontId="32" fillId="0" borderId="41" xfId="11" applyNumberFormat="1" applyFont="1" applyFill="1" applyBorder="1" applyAlignment="1" applyProtection="1">
      <alignment horizontal="right"/>
    </xf>
    <xf numFmtId="187" fontId="32" fillId="0" borderId="0" xfId="11" applyNumberFormat="1" applyFont="1" applyFill="1" applyBorder="1" applyAlignment="1" applyProtection="1">
      <alignment horizontal="right"/>
    </xf>
    <xf numFmtId="17" fontId="33" fillId="0" borderId="16" xfId="8" applyNumberFormat="1" applyFont="1" applyBorder="1" applyAlignment="1">
      <alignment horizontal="right"/>
    </xf>
    <xf numFmtId="180" fontId="29" fillId="0" borderId="0" xfId="11" applyNumberFormat="1" applyFont="1" applyFill="1" applyBorder="1" applyProtection="1"/>
    <xf numFmtId="180" fontId="29" fillId="0" borderId="53" xfId="11" applyNumberFormat="1" applyFont="1" applyFill="1" applyBorder="1" applyProtection="1"/>
    <xf numFmtId="1" fontId="15" fillId="0" borderId="53" xfId="8" applyNumberFormat="1" applyFont="1" applyBorder="1" applyAlignment="1">
      <alignment horizontal="right"/>
    </xf>
    <xf numFmtId="1" fontId="15" fillId="0" borderId="70" xfId="8" applyNumberFormat="1" applyFont="1" applyBorder="1"/>
    <xf numFmtId="1" fontId="15" fillId="0" borderId="16" xfId="8" applyNumberFormat="1" applyFont="1" applyBorder="1" applyAlignment="1">
      <alignment horizontal="right"/>
    </xf>
    <xf numFmtId="180" fontId="15" fillId="0" borderId="53" xfId="11" applyNumberFormat="1" applyFont="1" applyFill="1" applyBorder="1" applyProtection="1"/>
    <xf numFmtId="176" fontId="15" fillId="0" borderId="42" xfId="11" applyNumberFormat="1" applyFont="1" applyFill="1" applyBorder="1" applyProtection="1"/>
    <xf numFmtId="176" fontId="15" fillId="0" borderId="43" xfId="11" applyNumberFormat="1" applyFont="1" applyFill="1" applyBorder="1" applyProtection="1"/>
    <xf numFmtId="180" fontId="29" fillId="0" borderId="76" xfId="11" applyNumberFormat="1" applyFont="1" applyFill="1" applyBorder="1" applyProtection="1"/>
    <xf numFmtId="176" fontId="29" fillId="0" borderId="42" xfId="11" applyNumberFormat="1" applyFont="1" applyFill="1" applyBorder="1" applyProtection="1"/>
    <xf numFmtId="0" fontId="33" fillId="0" borderId="74" xfId="8" applyFont="1" applyBorder="1" applyAlignment="1">
      <alignment horizontal="right"/>
    </xf>
    <xf numFmtId="168" fontId="29" fillId="0" borderId="75" xfId="8" applyNumberFormat="1" applyFont="1" applyBorder="1"/>
    <xf numFmtId="0" fontId="35" fillId="3" borderId="16" xfId="8" applyFont="1" applyFill="1" applyBorder="1"/>
    <xf numFmtId="180" fontId="29" fillId="0" borderId="41" xfId="11" applyNumberFormat="1" applyFont="1" applyFill="1" applyBorder="1" applyProtection="1"/>
    <xf numFmtId="168" fontId="35" fillId="0" borderId="41" xfId="8" applyNumberFormat="1" applyFont="1" applyBorder="1"/>
    <xf numFmtId="188" fontId="32" fillId="0" borderId="41" xfId="3" applyNumberFormat="1" applyFont="1" applyFill="1" applyBorder="1" applyProtection="1"/>
    <xf numFmtId="188" fontId="32" fillId="0" borderId="0" xfId="3" applyNumberFormat="1" applyFont="1" applyFill="1" applyBorder="1" applyProtection="1"/>
    <xf numFmtId="188" fontId="32" fillId="0" borderId="53" xfId="3" applyNumberFormat="1" applyFont="1" applyFill="1" applyBorder="1" applyProtection="1"/>
    <xf numFmtId="188" fontId="33" fillId="0" borderId="0" xfId="8" applyNumberFormat="1" applyFont="1" applyAlignment="1">
      <alignment horizontal="right"/>
    </xf>
    <xf numFmtId="188" fontId="33" fillId="0" borderId="16" xfId="8" applyNumberFormat="1" applyFont="1" applyBorder="1" applyAlignment="1">
      <alignment horizontal="right"/>
    </xf>
    <xf numFmtId="188" fontId="29" fillId="0" borderId="53" xfId="8" applyNumberFormat="1" applyFont="1" applyBorder="1"/>
    <xf numFmtId="188" fontId="32" fillId="0" borderId="53" xfId="3" applyNumberFormat="1" applyFont="1" applyBorder="1" applyAlignment="1" applyProtection="1"/>
    <xf numFmtId="188" fontId="32" fillId="0" borderId="16" xfId="3" applyNumberFormat="1" applyFont="1" applyBorder="1" applyAlignment="1" applyProtection="1"/>
    <xf numFmtId="188" fontId="32" fillId="0" borderId="41" xfId="3" applyNumberFormat="1" applyFont="1" applyBorder="1" applyAlignment="1" applyProtection="1"/>
    <xf numFmtId="9" fontId="35" fillId="3" borderId="18" xfId="3" applyFont="1" applyFill="1" applyBorder="1" applyAlignment="1" applyProtection="1">
      <alignment horizontal="right"/>
    </xf>
    <xf numFmtId="165" fontId="35" fillId="3" borderId="41" xfId="3" applyNumberFormat="1" applyFont="1" applyFill="1" applyBorder="1" applyAlignment="1" applyProtection="1"/>
    <xf numFmtId="165" fontId="35" fillId="3" borderId="0" xfId="8" applyNumberFormat="1" applyFont="1" applyFill="1"/>
    <xf numFmtId="189" fontId="35" fillId="3" borderId="53" xfId="1" applyNumberFormat="1" applyFont="1" applyFill="1" applyBorder="1" applyAlignment="1" applyProtection="1"/>
    <xf numFmtId="165" fontId="35" fillId="3" borderId="41" xfId="8" applyNumberFormat="1" applyFont="1" applyFill="1" applyBorder="1"/>
    <xf numFmtId="165" fontId="35" fillId="3" borderId="53" xfId="8" applyNumberFormat="1" applyFont="1" applyFill="1" applyBorder="1"/>
    <xf numFmtId="165" fontId="35" fillId="0" borderId="0" xfId="8" applyNumberFormat="1" applyFont="1"/>
    <xf numFmtId="168" fontId="35" fillId="3" borderId="41" xfId="8" applyNumberFormat="1" applyFont="1" applyFill="1" applyBorder="1" applyAlignment="1">
      <alignment horizontal="right"/>
    </xf>
    <xf numFmtId="165" fontId="35" fillId="3" borderId="0" xfId="3" applyNumberFormat="1" applyFont="1" applyFill="1" applyBorder="1" applyAlignment="1" applyProtection="1">
      <alignment horizontal="right"/>
    </xf>
    <xf numFmtId="168" fontId="37" fillId="3" borderId="72" xfId="8" applyNumberFormat="1" applyFont="1" applyFill="1" applyBorder="1"/>
    <xf numFmtId="0" fontId="37" fillId="3" borderId="72" xfId="8" applyFont="1" applyFill="1" applyBorder="1" applyAlignment="1">
      <alignment horizontal="left" indent="1"/>
    </xf>
    <xf numFmtId="186" fontId="36" fillId="0" borderId="0" xfId="8" applyNumberFormat="1" applyFont="1"/>
    <xf numFmtId="165" fontId="36" fillId="0" borderId="0" xfId="3" applyNumberFormat="1" applyFont="1"/>
    <xf numFmtId="0" fontId="33" fillId="0" borderId="72" xfId="8" applyFont="1" applyBorder="1" applyAlignment="1">
      <alignment horizontal="right"/>
    </xf>
    <xf numFmtId="0" fontId="33" fillId="0" borderId="41" xfId="8" applyFont="1" applyBorder="1" applyAlignment="1">
      <alignment horizontal="right"/>
    </xf>
    <xf numFmtId="180" fontId="29" fillId="3" borderId="0" xfId="11" applyNumberFormat="1" applyFont="1" applyFill="1" applyBorder="1" applyProtection="1"/>
    <xf numFmtId="180" fontId="29" fillId="3" borderId="53" xfId="11" applyNumberFormat="1" applyFont="1" applyFill="1" applyBorder="1" applyProtection="1"/>
    <xf numFmtId="180" fontId="29" fillId="3" borderId="60" xfId="11" applyNumberFormat="1" applyFont="1" applyFill="1" applyBorder="1" applyProtection="1"/>
    <xf numFmtId="176" fontId="29" fillId="3" borderId="0" xfId="11" applyNumberFormat="1" applyFont="1" applyFill="1" applyBorder="1" applyProtection="1"/>
    <xf numFmtId="176" fontId="29" fillId="3" borderId="60" xfId="11" applyNumberFormat="1" applyFont="1" applyFill="1" applyBorder="1" applyProtection="1"/>
    <xf numFmtId="176" fontId="29" fillId="3" borderId="53" xfId="11" applyNumberFormat="1" applyFont="1" applyFill="1" applyBorder="1" applyProtection="1"/>
    <xf numFmtId="176" fontId="29" fillId="0" borderId="60" xfId="11" applyNumberFormat="1" applyFont="1" applyFill="1" applyBorder="1" applyProtection="1"/>
    <xf numFmtId="3" fontId="29" fillId="3" borderId="51" xfId="9" applyNumberFormat="1" applyFont="1" applyFill="1" applyBorder="1" applyAlignment="1">
      <alignment horizontal="right"/>
    </xf>
    <xf numFmtId="197" fontId="29" fillId="3" borderId="79" xfId="9" applyNumberFormat="1" applyFont="1" applyFill="1" applyBorder="1" applyAlignment="1">
      <alignment horizontal="right"/>
    </xf>
    <xf numFmtId="176" fontId="29" fillId="0" borderId="80" xfId="8" applyNumberFormat="1" applyFont="1" applyBorder="1" applyAlignment="1">
      <alignment horizontal="right"/>
    </xf>
    <xf numFmtId="180" fontId="29" fillId="0" borderId="72" xfId="8" applyNumberFormat="1" applyFont="1" applyBorder="1" applyAlignment="1">
      <alignment horizontal="right"/>
    </xf>
    <xf numFmtId="180" fontId="29" fillId="0" borderId="81" xfId="8" applyNumberFormat="1" applyFont="1" applyBorder="1" applyAlignment="1">
      <alignment horizontal="right"/>
    </xf>
    <xf numFmtId="188" fontId="29" fillId="3" borderId="0" xfId="11" applyNumberFormat="1" applyFont="1" applyFill="1" applyBorder="1" applyProtection="1"/>
    <xf numFmtId="188" fontId="29" fillId="3" borderId="7" xfId="11" applyNumberFormat="1" applyFont="1" applyFill="1" applyBorder="1" applyProtection="1"/>
    <xf numFmtId="188" fontId="29" fillId="3" borderId="60" xfId="11" applyNumberFormat="1" applyFont="1" applyFill="1" applyBorder="1" applyProtection="1"/>
    <xf numFmtId="188" fontId="32" fillId="3" borderId="0" xfId="3" applyNumberFormat="1" applyFont="1" applyFill="1" applyBorder="1" applyProtection="1"/>
    <xf numFmtId="188" fontId="32" fillId="3" borderId="60" xfId="3" applyNumberFormat="1" applyFont="1" applyFill="1" applyBorder="1" applyProtection="1"/>
    <xf numFmtId="188" fontId="32" fillId="3" borderId="7" xfId="11" applyNumberFormat="1" applyFont="1" applyFill="1" applyBorder="1" applyProtection="1"/>
    <xf numFmtId="188" fontId="32" fillId="0" borderId="60" xfId="3" applyNumberFormat="1" applyFont="1" applyFill="1" applyBorder="1" applyProtection="1"/>
    <xf numFmtId="188" fontId="33" fillId="0" borderId="60" xfId="8" applyNumberFormat="1" applyFont="1" applyBorder="1" applyAlignment="1">
      <alignment horizontal="right"/>
    </xf>
    <xf numFmtId="188" fontId="33" fillId="0" borderId="7" xfId="8" applyNumberFormat="1" applyFont="1" applyBorder="1" applyAlignment="1">
      <alignment horizontal="right"/>
    </xf>
    <xf numFmtId="188" fontId="29" fillId="3" borderId="72" xfId="9" applyNumberFormat="1" applyFont="1" applyFill="1" applyBorder="1" applyAlignment="1">
      <alignment horizontal="right"/>
    </xf>
    <xf numFmtId="188" fontId="29" fillId="3" borderId="79" xfId="9" applyNumberFormat="1" applyFont="1" applyFill="1" applyBorder="1" applyAlignment="1">
      <alignment horizontal="right"/>
    </xf>
    <xf numFmtId="188" fontId="32" fillId="0" borderId="80" xfId="3" applyNumberFormat="1" applyFont="1" applyFill="1" applyBorder="1" applyAlignment="1" applyProtection="1">
      <alignment horizontal="right"/>
    </xf>
    <xf numFmtId="188" fontId="32" fillId="0" borderId="72" xfId="3" applyNumberFormat="1" applyFont="1" applyFill="1" applyBorder="1" applyAlignment="1" applyProtection="1">
      <alignment horizontal="right"/>
    </xf>
    <xf numFmtId="188" fontId="32" fillId="0" borderId="81" xfId="3" applyNumberFormat="1" applyFont="1" applyFill="1" applyBorder="1" applyAlignment="1" applyProtection="1">
      <alignment horizontal="right"/>
    </xf>
    <xf numFmtId="188" fontId="33" fillId="0" borderId="70" xfId="8" applyNumberFormat="1" applyFont="1" applyBorder="1" applyAlignment="1">
      <alignment horizontal="right"/>
    </xf>
    <xf numFmtId="9" fontId="32" fillId="3" borderId="0" xfId="3" applyFont="1" applyFill="1" applyBorder="1" applyProtection="1"/>
    <xf numFmtId="9" fontId="32" fillId="3" borderId="7" xfId="3" applyFont="1" applyFill="1" applyBorder="1" applyProtection="1"/>
    <xf numFmtId="9" fontId="32" fillId="3" borderId="41" xfId="3" applyFont="1" applyFill="1" applyBorder="1" applyProtection="1"/>
    <xf numFmtId="176" fontId="29" fillId="3" borderId="0" xfId="3" applyNumberFormat="1" applyFont="1" applyFill="1" applyBorder="1" applyProtection="1"/>
    <xf numFmtId="176" fontId="29" fillId="3" borderId="41" xfId="3" applyNumberFormat="1" applyFont="1" applyFill="1" applyBorder="1" applyProtection="1"/>
    <xf numFmtId="176" fontId="29" fillId="3" borderId="7" xfId="3" applyNumberFormat="1" applyFont="1" applyFill="1" applyBorder="1" applyProtection="1"/>
    <xf numFmtId="176" fontId="29" fillId="0" borderId="0" xfId="3" applyNumberFormat="1" applyFont="1" applyFill="1" applyBorder="1" applyProtection="1"/>
    <xf numFmtId="176" fontId="29" fillId="0" borderId="41" xfId="3" applyNumberFormat="1" applyFont="1" applyFill="1" applyBorder="1" applyProtection="1"/>
    <xf numFmtId="17" fontId="58" fillId="0" borderId="41" xfId="8" applyNumberFormat="1" applyFont="1" applyBorder="1" applyAlignment="1">
      <alignment horizontal="right"/>
    </xf>
    <xf numFmtId="17" fontId="58" fillId="0" borderId="0" xfId="8" applyNumberFormat="1" applyFont="1" applyAlignment="1">
      <alignment horizontal="right"/>
    </xf>
    <xf numFmtId="17" fontId="58" fillId="0" borderId="7" xfId="8" applyNumberFormat="1" applyFont="1" applyBorder="1" applyAlignment="1">
      <alignment horizontal="right"/>
    </xf>
    <xf numFmtId="0" fontId="58" fillId="0" borderId="80" xfId="8" applyFont="1" applyBorder="1" applyAlignment="1">
      <alignment horizontal="right"/>
    </xf>
    <xf numFmtId="197" fontId="29" fillId="3" borderId="68" xfId="9" applyNumberFormat="1" applyFont="1" applyFill="1" applyBorder="1" applyAlignment="1">
      <alignment horizontal="right"/>
    </xf>
    <xf numFmtId="180" fontId="29" fillId="0" borderId="16" xfId="8" applyNumberFormat="1" applyFont="1" applyBorder="1" applyAlignment="1">
      <alignment horizontal="right"/>
    </xf>
    <xf numFmtId="180" fontId="29" fillId="0" borderId="82" xfId="8" applyNumberFormat="1" applyFont="1" applyBorder="1" applyAlignment="1">
      <alignment horizontal="right"/>
    </xf>
    <xf numFmtId="0" fontId="52" fillId="0" borderId="0" xfId="8" applyFont="1" applyAlignment="1">
      <alignment horizontal="right"/>
    </xf>
    <xf numFmtId="188" fontId="32" fillId="3" borderId="7" xfId="3" applyNumberFormat="1" applyFont="1" applyFill="1" applyBorder="1" applyProtection="1"/>
    <xf numFmtId="188" fontId="32" fillId="3" borderId="41" xfId="3" applyNumberFormat="1" applyFont="1" applyFill="1" applyBorder="1" applyProtection="1"/>
    <xf numFmtId="188" fontId="15" fillId="3" borderId="0" xfId="11" applyNumberFormat="1" applyFont="1" applyFill="1" applyBorder="1" applyProtection="1"/>
    <xf numFmtId="188" fontId="32" fillId="3" borderId="7" xfId="11" applyNumberFormat="1" applyFont="1" applyFill="1" applyBorder="1" applyAlignment="1" applyProtection="1">
      <alignment horizontal="right"/>
    </xf>
    <xf numFmtId="188" fontId="32" fillId="0" borderId="7" xfId="11" applyNumberFormat="1" applyFont="1" applyFill="1" applyBorder="1" applyAlignment="1" applyProtection="1">
      <alignment horizontal="right"/>
    </xf>
    <xf numFmtId="188" fontId="58" fillId="0" borderId="41" xfId="8" applyNumberFormat="1" applyFont="1" applyBorder="1" applyAlignment="1">
      <alignment horizontal="right"/>
    </xf>
    <xf numFmtId="188" fontId="58" fillId="0" borderId="0" xfId="8" applyNumberFormat="1" applyFont="1" applyAlignment="1">
      <alignment horizontal="right"/>
    </xf>
    <xf numFmtId="188" fontId="58" fillId="0" borderId="7" xfId="8" applyNumberFormat="1" applyFont="1" applyBorder="1" applyAlignment="1">
      <alignment horizontal="right"/>
    </xf>
    <xf numFmtId="9" fontId="32" fillId="0" borderId="80" xfId="3" applyFont="1" applyFill="1" applyBorder="1" applyAlignment="1" applyProtection="1">
      <alignment horizontal="right"/>
    </xf>
    <xf numFmtId="188" fontId="32" fillId="0" borderId="16" xfId="3" applyNumberFormat="1" applyFont="1" applyFill="1" applyBorder="1" applyAlignment="1" applyProtection="1">
      <alignment horizontal="right"/>
    </xf>
    <xf numFmtId="188" fontId="32" fillId="0" borderId="41" xfId="3" applyNumberFormat="1" applyFont="1" applyFill="1" applyBorder="1" applyAlignment="1" applyProtection="1">
      <alignment horizontal="right"/>
    </xf>
    <xf numFmtId="188" fontId="49" fillId="0" borderId="0" xfId="11" applyNumberFormat="1" applyFont="1" applyFill="1" applyBorder="1" applyAlignment="1" applyProtection="1">
      <alignment horizontal="right"/>
    </xf>
    <xf numFmtId="188" fontId="49" fillId="0" borderId="41" xfId="11" applyNumberFormat="1" applyFont="1" applyFill="1" applyBorder="1" applyAlignment="1" applyProtection="1">
      <alignment horizontal="right"/>
    </xf>
    <xf numFmtId="188" fontId="49" fillId="0" borderId="7" xfId="11" applyNumberFormat="1" applyFont="1" applyFill="1" applyBorder="1" applyAlignment="1" applyProtection="1">
      <alignment horizontal="right"/>
    </xf>
    <xf numFmtId="176" fontId="32" fillId="0" borderId="7" xfId="11" applyNumberFormat="1" applyFont="1" applyFill="1" applyBorder="1" applyAlignment="1" applyProtection="1">
      <alignment horizontal="right"/>
    </xf>
    <xf numFmtId="176" fontId="32" fillId="0" borderId="41" xfId="11" applyNumberFormat="1" applyFont="1" applyFill="1" applyBorder="1" applyAlignment="1" applyProtection="1">
      <alignment horizontal="right"/>
    </xf>
    <xf numFmtId="176" fontId="30" fillId="0" borderId="0" xfId="11" applyNumberFormat="1" applyFont="1" applyFill="1" applyBorder="1" applyAlignment="1" applyProtection="1">
      <alignment horizontal="right"/>
    </xf>
    <xf numFmtId="176" fontId="29" fillId="3" borderId="41" xfId="11" applyNumberFormat="1" applyFont="1" applyFill="1" applyBorder="1" applyProtection="1"/>
    <xf numFmtId="176" fontId="29" fillId="3" borderId="7" xfId="11" applyNumberFormat="1" applyFont="1" applyFill="1" applyBorder="1" applyProtection="1"/>
    <xf numFmtId="176" fontId="30" fillId="0" borderId="41" xfId="11" applyNumberFormat="1" applyFont="1" applyFill="1" applyBorder="1" applyAlignment="1" applyProtection="1">
      <alignment horizontal="right"/>
    </xf>
    <xf numFmtId="0" fontId="33" fillId="0" borderId="82" xfId="8" applyFont="1" applyBorder="1" applyAlignment="1">
      <alignment horizontal="right"/>
    </xf>
    <xf numFmtId="0" fontId="33" fillId="0" borderId="80" xfId="8" applyFont="1" applyBorder="1" applyAlignment="1">
      <alignment horizontal="right"/>
    </xf>
    <xf numFmtId="188" fontId="29" fillId="3" borderId="41" xfId="11" applyNumberFormat="1" applyFont="1" applyFill="1" applyBorder="1" applyProtection="1"/>
    <xf numFmtId="188" fontId="33" fillId="0" borderId="41" xfId="8" applyNumberFormat="1" applyFont="1" applyBorder="1" applyAlignment="1">
      <alignment horizontal="right"/>
    </xf>
    <xf numFmtId="188" fontId="33" fillId="0" borderId="80" xfId="8" applyNumberFormat="1" applyFont="1" applyBorder="1" applyAlignment="1">
      <alignment horizontal="right"/>
    </xf>
    <xf numFmtId="180" fontId="29" fillId="3" borderId="7" xfId="11" applyNumberFormat="1" applyFont="1" applyFill="1" applyBorder="1" applyProtection="1"/>
    <xf numFmtId="180" fontId="29" fillId="3" borderId="41" xfId="11" applyNumberFormat="1" applyFont="1" applyFill="1" applyBorder="1" applyProtection="1"/>
    <xf numFmtId="197" fontId="33" fillId="0" borderId="80" xfId="8" applyNumberFormat="1" applyFont="1" applyBorder="1" applyAlignment="1">
      <alignment horizontal="right"/>
    </xf>
    <xf numFmtId="197" fontId="33" fillId="0" borderId="82" xfId="8" applyNumberFormat="1" applyFont="1" applyBorder="1" applyAlignment="1">
      <alignment horizontal="right"/>
    </xf>
    <xf numFmtId="0" fontId="15" fillId="3" borderId="16" xfId="8" applyFont="1" applyFill="1" applyBorder="1" applyAlignment="1">
      <alignment horizontal="left"/>
    </xf>
    <xf numFmtId="168" fontId="15" fillId="3" borderId="7" xfId="8" applyNumberFormat="1" applyFont="1" applyFill="1" applyBorder="1" applyAlignment="1">
      <alignment horizontal="right"/>
    </xf>
    <xf numFmtId="168" fontId="15" fillId="3" borderId="41" xfId="8" applyNumberFormat="1" applyFont="1" applyFill="1" applyBorder="1" applyAlignment="1">
      <alignment horizontal="right"/>
    </xf>
    <xf numFmtId="17" fontId="15" fillId="0" borderId="41" xfId="8" applyNumberFormat="1" applyFont="1" applyBorder="1" applyAlignment="1">
      <alignment horizontal="right"/>
    </xf>
    <xf numFmtId="17" fontId="15" fillId="0" borderId="7" xfId="8" applyNumberFormat="1" applyFont="1" applyBorder="1" applyAlignment="1">
      <alignment horizontal="right"/>
    </xf>
    <xf numFmtId="0" fontId="15" fillId="0" borderId="80" xfId="8" applyFont="1" applyBorder="1" applyAlignment="1">
      <alignment horizontal="right"/>
    </xf>
    <xf numFmtId="168" fontId="15" fillId="0" borderId="80" xfId="8" applyNumberFormat="1" applyFont="1" applyBorder="1"/>
    <xf numFmtId="168" fontId="15" fillId="0" borderId="80" xfId="8" applyNumberFormat="1" applyFont="1" applyBorder="1" applyAlignment="1">
      <alignment horizontal="right"/>
    </xf>
    <xf numFmtId="168" fontId="15" fillId="0" borderId="82" xfId="8" applyNumberFormat="1" applyFont="1" applyBorder="1" applyAlignment="1">
      <alignment horizontal="right"/>
    </xf>
    <xf numFmtId="168" fontId="15" fillId="0" borderId="16" xfId="8" applyNumberFormat="1" applyFont="1" applyBorder="1" applyAlignment="1">
      <alignment horizontal="right"/>
    </xf>
    <xf numFmtId="0" fontId="59" fillId="3" borderId="16" xfId="8" quotePrefix="1" applyFont="1" applyFill="1" applyBorder="1" applyAlignment="1">
      <alignment horizontal="left"/>
    </xf>
    <xf numFmtId="168" fontId="59" fillId="3" borderId="0" xfId="8" applyNumberFormat="1" applyFont="1" applyFill="1" applyAlignment="1">
      <alignment horizontal="right"/>
    </xf>
    <xf numFmtId="168" fontId="59" fillId="3" borderId="7" xfId="8" applyNumberFormat="1" applyFont="1" applyFill="1" applyBorder="1" applyAlignment="1">
      <alignment horizontal="right"/>
    </xf>
    <xf numFmtId="168" fontId="59" fillId="3" borderId="41" xfId="8" applyNumberFormat="1" applyFont="1" applyFill="1" applyBorder="1" applyAlignment="1">
      <alignment horizontal="right"/>
    </xf>
    <xf numFmtId="168" fontId="60" fillId="3" borderId="7" xfId="8" applyNumberFormat="1" applyFont="1" applyFill="1" applyBorder="1" applyAlignment="1">
      <alignment horizontal="right"/>
    </xf>
    <xf numFmtId="17" fontId="59" fillId="0" borderId="41" xfId="8" applyNumberFormat="1" applyFont="1" applyBorder="1" applyAlignment="1">
      <alignment horizontal="right"/>
    </xf>
    <xf numFmtId="17" fontId="59" fillId="0" borderId="0" xfId="8" applyNumberFormat="1" applyFont="1" applyAlignment="1">
      <alignment horizontal="right"/>
    </xf>
    <xf numFmtId="17" fontId="59" fillId="0" borderId="7" xfId="8" applyNumberFormat="1" applyFont="1" applyBorder="1" applyAlignment="1">
      <alignment horizontal="right"/>
    </xf>
    <xf numFmtId="0" fontId="59" fillId="0" borderId="80" xfId="8" applyFont="1" applyBorder="1" applyAlignment="1">
      <alignment horizontal="right"/>
    </xf>
    <xf numFmtId="168" fontId="59" fillId="0" borderId="80" xfId="8" applyNumberFormat="1" applyFont="1" applyBorder="1"/>
    <xf numFmtId="168" fontId="59" fillId="0" borderId="80" xfId="8" applyNumberFormat="1" applyFont="1" applyBorder="1" applyAlignment="1">
      <alignment horizontal="right"/>
    </xf>
    <xf numFmtId="168" fontId="59" fillId="0" borderId="82" xfId="8" applyNumberFormat="1" applyFont="1" applyBorder="1" applyAlignment="1">
      <alignment horizontal="right"/>
    </xf>
    <xf numFmtId="168" fontId="59" fillId="0" borderId="16" xfId="8" applyNumberFormat="1" applyFont="1" applyBorder="1" applyAlignment="1">
      <alignment horizontal="right"/>
    </xf>
    <xf numFmtId="0" fontId="51" fillId="0" borderId="0" xfId="8" applyFont="1" applyAlignment="1">
      <alignment horizontal="right"/>
    </xf>
    <xf numFmtId="168" fontId="29" fillId="0" borderId="80" xfId="8" applyNumberFormat="1" applyFont="1" applyBorder="1" applyAlignment="1">
      <alignment horizontal="right"/>
    </xf>
    <xf numFmtId="168" fontId="29" fillId="0" borderId="16" xfId="8" applyNumberFormat="1" applyFont="1" applyBorder="1" applyAlignment="1">
      <alignment horizontal="right"/>
    </xf>
    <xf numFmtId="168" fontId="29" fillId="0" borderId="82" xfId="8" applyNumberFormat="1" applyFont="1" applyBorder="1" applyAlignment="1">
      <alignment horizontal="right"/>
    </xf>
    <xf numFmtId="188" fontId="32" fillId="0" borderId="45" xfId="3" applyNumberFormat="1" applyFont="1" applyBorder="1" applyAlignment="1" applyProtection="1"/>
    <xf numFmtId="188" fontId="32" fillId="0" borderId="43" xfId="3" applyNumberFormat="1" applyFont="1" applyBorder="1" applyAlignment="1" applyProtection="1"/>
    <xf numFmtId="188" fontId="33" fillId="0" borderId="58" xfId="8" applyNumberFormat="1" applyFont="1" applyBorder="1" applyAlignment="1">
      <alignment horizontal="right"/>
    </xf>
    <xf numFmtId="3" fontId="31" fillId="3" borderId="67" xfId="9" applyNumberFormat="1" applyFont="1" applyFill="1" applyBorder="1"/>
    <xf numFmtId="9" fontId="15" fillId="3" borderId="67" xfId="9" applyNumberFormat="1" applyFont="1" applyFill="1" applyBorder="1" applyAlignment="1">
      <alignment horizontal="right"/>
    </xf>
    <xf numFmtId="188" fontId="32" fillId="0" borderId="67" xfId="11" applyNumberFormat="1" applyFont="1" applyFill="1" applyBorder="1" applyAlignment="1" applyProtection="1">
      <alignment horizontal="right"/>
    </xf>
    <xf numFmtId="165" fontId="15" fillId="0" borderId="67" xfId="9" applyNumberFormat="1" applyFont="1" applyBorder="1" applyAlignment="1">
      <alignment horizontal="right"/>
    </xf>
    <xf numFmtId="0" fontId="61" fillId="0" borderId="0" xfId="9" applyFont="1" applyAlignment="1">
      <alignment horizontal="right"/>
    </xf>
    <xf numFmtId="187" fontId="15" fillId="0" borderId="67" xfId="9" applyNumberFormat="1" applyFont="1" applyBorder="1" applyAlignment="1">
      <alignment horizontal="right"/>
    </xf>
    <xf numFmtId="188" fontId="32" fillId="3" borderId="0" xfId="9" applyNumberFormat="1" applyFont="1" applyFill="1" applyAlignment="1">
      <alignment horizontal="left" indent="1"/>
    </xf>
    <xf numFmtId="9" fontId="15" fillId="3" borderId="0" xfId="9" applyNumberFormat="1" applyFont="1" applyFill="1" applyAlignment="1">
      <alignment horizontal="right"/>
    </xf>
    <xf numFmtId="165" fontId="15" fillId="0" borderId="0" xfId="9" applyNumberFormat="1" applyFont="1" applyAlignment="1">
      <alignment horizontal="right"/>
    </xf>
    <xf numFmtId="187" fontId="15" fillId="0" borderId="0" xfId="9" applyNumberFormat="1" applyFont="1" applyAlignment="1">
      <alignment horizontal="right"/>
    </xf>
    <xf numFmtId="0" fontId="29" fillId="0" borderId="82" xfId="8" applyFont="1" applyBorder="1"/>
    <xf numFmtId="17" fontId="33" fillId="3" borderId="51" xfId="8" applyNumberFormat="1" applyFont="1" applyFill="1" applyBorder="1" applyAlignment="1">
      <alignment horizontal="right"/>
    </xf>
    <xf numFmtId="17" fontId="33" fillId="3" borderId="82" xfId="8" applyNumberFormat="1" applyFont="1" applyFill="1" applyBorder="1" applyAlignment="1">
      <alignment horizontal="right"/>
    </xf>
    <xf numFmtId="17" fontId="33" fillId="0" borderId="82" xfId="8" applyNumberFormat="1" applyFont="1" applyBorder="1" applyAlignment="1">
      <alignment horizontal="right"/>
    </xf>
    <xf numFmtId="0" fontId="33" fillId="0" borderId="84" xfId="8" applyFont="1" applyBorder="1" applyAlignment="1">
      <alignment horizontal="right"/>
    </xf>
    <xf numFmtId="3" fontId="29" fillId="3" borderId="16" xfId="9" applyNumberFormat="1" applyFont="1" applyFill="1" applyBorder="1"/>
    <xf numFmtId="3" fontId="29" fillId="3" borderId="0" xfId="9" applyNumberFormat="1" applyFont="1" applyFill="1" applyAlignment="1">
      <alignment horizontal="right"/>
    </xf>
    <xf numFmtId="193" fontId="29" fillId="3" borderId="51" xfId="9" applyNumberFormat="1" applyFont="1" applyFill="1" applyBorder="1" applyAlignment="1">
      <alignment horizontal="right"/>
    </xf>
    <xf numFmtId="193" fontId="29" fillId="3" borderId="0" xfId="9" applyNumberFormat="1" applyFont="1" applyFill="1" applyAlignment="1">
      <alignment horizontal="right"/>
    </xf>
    <xf numFmtId="193" fontId="29" fillId="3" borderId="82" xfId="9" applyNumberFormat="1" applyFont="1" applyFill="1" applyBorder="1" applyAlignment="1">
      <alignment horizontal="right"/>
    </xf>
    <xf numFmtId="198" fontId="29" fillId="3" borderId="51" xfId="9" applyNumberFormat="1" applyFont="1" applyFill="1" applyBorder="1" applyAlignment="1">
      <alignment horizontal="right"/>
    </xf>
    <xf numFmtId="3" fontId="29" fillId="3" borderId="82" xfId="9" applyNumberFormat="1" applyFont="1" applyFill="1" applyBorder="1" applyAlignment="1">
      <alignment horizontal="right"/>
    </xf>
    <xf numFmtId="3" fontId="29" fillId="0" borderId="0" xfId="9" applyNumberFormat="1" applyFont="1" applyAlignment="1">
      <alignment horizontal="right"/>
    </xf>
    <xf numFmtId="3" fontId="29" fillId="0" borderId="51" xfId="9" applyNumberFormat="1" applyFont="1" applyBorder="1" applyAlignment="1">
      <alignment horizontal="right"/>
    </xf>
    <xf numFmtId="199" fontId="29" fillId="0" borderId="82" xfId="9" applyNumberFormat="1" applyFont="1" applyBorder="1" applyAlignment="1">
      <alignment horizontal="right"/>
    </xf>
    <xf numFmtId="3" fontId="29" fillId="0" borderId="82" xfId="9" applyNumberFormat="1" applyFont="1" applyBorder="1" applyAlignment="1">
      <alignment horizontal="right"/>
    </xf>
    <xf numFmtId="3" fontId="29" fillId="0" borderId="41" xfId="9" applyNumberFormat="1" applyFont="1" applyBorder="1" applyAlignment="1">
      <alignment horizontal="right"/>
    </xf>
    <xf numFmtId="3" fontId="56" fillId="0" borderId="80" xfId="9" applyNumberFormat="1" applyFont="1" applyBorder="1"/>
    <xf numFmtId="200" fontId="29" fillId="3" borderId="0" xfId="1" applyNumberFormat="1" applyFont="1" applyFill="1" applyBorder="1" applyAlignment="1">
      <alignment horizontal="right"/>
    </xf>
    <xf numFmtId="200" fontId="29" fillId="3" borderId="41" xfId="1" applyNumberFormat="1" applyFont="1" applyFill="1" applyBorder="1" applyAlignment="1">
      <alignment horizontal="right"/>
    </xf>
    <xf numFmtId="193" fontId="29" fillId="3" borderId="68" xfId="1" applyNumberFormat="1" applyFont="1" applyFill="1" applyBorder="1" applyAlignment="1">
      <alignment horizontal="right"/>
    </xf>
    <xf numFmtId="193" fontId="29" fillId="3" borderId="41" xfId="1" applyNumberFormat="1" applyFont="1" applyFill="1" applyBorder="1" applyAlignment="1">
      <alignment horizontal="right"/>
    </xf>
    <xf numFmtId="1" fontId="29" fillId="0" borderId="80" xfId="9" applyNumberFormat="1" applyFont="1" applyBorder="1" applyAlignment="1">
      <alignment horizontal="right"/>
    </xf>
    <xf numFmtId="188" fontId="32" fillId="3" borderId="0" xfId="11" applyNumberFormat="1" applyFont="1" applyFill="1" applyBorder="1" applyAlignment="1" applyProtection="1">
      <alignment horizontal="right"/>
    </xf>
    <xf numFmtId="9" fontId="32" fillId="0" borderId="51" xfId="9" applyNumberFormat="1" applyFont="1" applyBorder="1" applyAlignment="1">
      <alignment horizontal="right"/>
    </xf>
    <xf numFmtId="9" fontId="32" fillId="0" borderId="82" xfId="9" applyNumberFormat="1" applyFont="1" applyBorder="1" applyAlignment="1">
      <alignment horizontal="right"/>
    </xf>
    <xf numFmtId="9" fontId="32" fillId="0" borderId="0" xfId="9" applyNumberFormat="1" applyFont="1" applyAlignment="1">
      <alignment horizontal="right"/>
    </xf>
    <xf numFmtId="9" fontId="32" fillId="0" borderId="7" xfId="9" applyNumberFormat="1" applyFont="1" applyBorder="1" applyAlignment="1">
      <alignment horizontal="right"/>
    </xf>
    <xf numFmtId="0" fontId="57" fillId="0" borderId="80" xfId="9" applyFont="1" applyBorder="1" applyAlignment="1">
      <alignment horizontal="right"/>
    </xf>
    <xf numFmtId="188" fontId="32" fillId="0" borderId="16" xfId="8" applyNumberFormat="1" applyFont="1" applyBorder="1" applyAlignment="1">
      <alignment horizontal="right"/>
    </xf>
    <xf numFmtId="188" fontId="32" fillId="0" borderId="41" xfId="8" applyNumberFormat="1" applyFont="1" applyBorder="1" applyAlignment="1">
      <alignment horizontal="right"/>
    </xf>
    <xf numFmtId="188" fontId="32" fillId="0" borderId="80" xfId="9" applyNumberFormat="1" applyFont="1" applyBorder="1" applyAlignment="1">
      <alignment horizontal="right"/>
    </xf>
    <xf numFmtId="0" fontId="62" fillId="0" borderId="0" xfId="8" applyFont="1" applyAlignment="1">
      <alignment horizontal="right"/>
    </xf>
    <xf numFmtId="3" fontId="15" fillId="3" borderId="16" xfId="9" applyNumberFormat="1" applyFont="1" applyFill="1" applyBorder="1" applyAlignment="1">
      <alignment horizontal="left"/>
    </xf>
    <xf numFmtId="3" fontId="15" fillId="3" borderId="0" xfId="9" applyNumberFormat="1" applyFont="1" applyFill="1" applyAlignment="1">
      <alignment horizontal="right"/>
    </xf>
    <xf numFmtId="3" fontId="15" fillId="3" borderId="51" xfId="9" applyNumberFormat="1" applyFont="1" applyFill="1" applyBorder="1" applyAlignment="1">
      <alignment horizontal="right"/>
    </xf>
    <xf numFmtId="201" fontId="15" fillId="3" borderId="51" xfId="9" applyNumberFormat="1" applyFont="1" applyFill="1" applyBorder="1" applyAlignment="1">
      <alignment horizontal="right"/>
    </xf>
    <xf numFmtId="201" fontId="15" fillId="0" borderId="0" xfId="9" applyNumberFormat="1" applyFont="1" applyAlignment="1">
      <alignment horizontal="right"/>
    </xf>
    <xf numFmtId="201" fontId="15" fillId="0" borderId="7" xfId="9" applyNumberFormat="1" applyFont="1" applyBorder="1" applyAlignment="1">
      <alignment horizontal="right"/>
    </xf>
    <xf numFmtId="3" fontId="61" fillId="0" borderId="80" xfId="9" applyNumberFormat="1" applyFont="1" applyBorder="1"/>
    <xf numFmtId="188" fontId="32" fillId="0" borderId="7" xfId="8" applyNumberFormat="1" applyFont="1" applyBorder="1" applyAlignment="1">
      <alignment horizontal="right"/>
    </xf>
    <xf numFmtId="201" fontId="32" fillId="0" borderId="16" xfId="8" applyNumberFormat="1" applyFont="1" applyBorder="1" applyAlignment="1">
      <alignment horizontal="right"/>
    </xf>
    <xf numFmtId="3" fontId="32" fillId="3" borderId="16" xfId="9" applyNumberFormat="1" applyFont="1" applyFill="1" applyBorder="1" applyAlignment="1">
      <alignment horizontal="right"/>
    </xf>
    <xf numFmtId="187" fontId="15" fillId="3" borderId="16" xfId="9" applyNumberFormat="1" applyFont="1" applyFill="1" applyBorder="1" applyAlignment="1">
      <alignment horizontal="left"/>
    </xf>
    <xf numFmtId="188" fontId="32" fillId="0" borderId="0" xfId="8" applyNumberFormat="1" applyFont="1" applyAlignment="1">
      <alignment horizontal="right"/>
    </xf>
    <xf numFmtId="37" fontId="29" fillId="3" borderId="0" xfId="11" applyNumberFormat="1" applyFont="1" applyFill="1" applyBorder="1" applyProtection="1"/>
    <xf numFmtId="37" fontId="29" fillId="3" borderId="41" xfId="11" applyNumberFormat="1" applyFont="1" applyFill="1" applyBorder="1" applyProtection="1"/>
    <xf numFmtId="37" fontId="29" fillId="0" borderId="7" xfId="11" applyNumberFormat="1" applyFont="1" applyFill="1" applyBorder="1" applyAlignment="1" applyProtection="1">
      <alignment horizontal="right"/>
    </xf>
    <xf numFmtId="37" fontId="29" fillId="0" borderId="41" xfId="11" applyNumberFormat="1" applyFont="1" applyFill="1" applyBorder="1" applyProtection="1"/>
    <xf numFmtId="37" fontId="29" fillId="0" borderId="0" xfId="11" applyNumberFormat="1" applyFont="1" applyFill="1" applyBorder="1" applyProtection="1"/>
    <xf numFmtId="37" fontId="29" fillId="0" borderId="7" xfId="11" applyNumberFormat="1" applyFont="1" applyFill="1" applyBorder="1" applyProtection="1"/>
    <xf numFmtId="200" fontId="29" fillId="0" borderId="16" xfId="8" applyNumberFormat="1" applyFont="1" applyBorder="1" applyAlignment="1">
      <alignment horizontal="right"/>
    </xf>
    <xf numFmtId="37" fontId="29" fillId="0" borderId="7" xfId="8" applyNumberFormat="1" applyFont="1" applyBorder="1" applyAlignment="1">
      <alignment horizontal="right"/>
    </xf>
    <xf numFmtId="37" fontId="29" fillId="0" borderId="0" xfId="8" applyNumberFormat="1" applyFont="1" applyAlignment="1">
      <alignment horizontal="right"/>
    </xf>
    <xf numFmtId="37" fontId="29" fillId="0" borderId="16" xfId="8" applyNumberFormat="1" applyFont="1" applyBorder="1" applyAlignment="1">
      <alignment horizontal="right"/>
    </xf>
    <xf numFmtId="17" fontId="63" fillId="0" borderId="0" xfId="8" applyNumberFormat="1" applyFont="1" applyAlignment="1">
      <alignment horizontal="right"/>
    </xf>
    <xf numFmtId="17" fontId="63" fillId="0" borderId="7" xfId="8" applyNumberFormat="1" applyFont="1" applyBorder="1" applyAlignment="1">
      <alignment horizontal="right"/>
    </xf>
    <xf numFmtId="188" fontId="32" fillId="0" borderId="80" xfId="8" applyNumberFormat="1" applyFont="1" applyBorder="1" applyAlignment="1">
      <alignment horizontal="right"/>
    </xf>
    <xf numFmtId="188" fontId="32" fillId="0" borderId="82" xfId="8" applyNumberFormat="1" applyFont="1" applyBorder="1" applyAlignment="1">
      <alignment horizontal="right"/>
    </xf>
    <xf numFmtId="0" fontId="63" fillId="0" borderId="7" xfId="8" applyFont="1" applyBorder="1" applyAlignment="1">
      <alignment horizontal="right"/>
    </xf>
    <xf numFmtId="3" fontId="29" fillId="3" borderId="16" xfId="9" applyNumberFormat="1" applyFont="1" applyFill="1" applyBorder="1" applyAlignment="1">
      <alignment horizontal="left" indent="1"/>
    </xf>
    <xf numFmtId="193" fontId="29" fillId="0" borderId="0" xfId="11" applyNumberFormat="1" applyFont="1" applyFill="1" applyBorder="1" applyAlignment="1" applyProtection="1">
      <alignment horizontal="right"/>
    </xf>
    <xf numFmtId="193" fontId="29" fillId="0" borderId="7" xfId="11" applyNumberFormat="1" applyFont="1" applyFill="1" applyBorder="1" applyAlignment="1" applyProtection="1">
      <alignment horizontal="right"/>
    </xf>
    <xf numFmtId="193" fontId="29" fillId="3" borderId="0" xfId="11" applyNumberFormat="1" applyFont="1" applyFill="1" applyBorder="1" applyProtection="1"/>
    <xf numFmtId="193" fontId="44" fillId="0" borderId="7" xfId="8" applyNumberFormat="1" applyFont="1" applyBorder="1" applyAlignment="1">
      <alignment horizontal="right"/>
    </xf>
    <xf numFmtId="193" fontId="29" fillId="0" borderId="80" xfId="8" applyNumberFormat="1" applyFont="1" applyBorder="1" applyAlignment="1">
      <alignment horizontal="right"/>
    </xf>
    <xf numFmtId="193" fontId="29" fillId="0" borderId="82" xfId="8" applyNumberFormat="1" applyFont="1" applyBorder="1" applyAlignment="1">
      <alignment horizontal="right"/>
    </xf>
    <xf numFmtId="193" fontId="29" fillId="0" borderId="16" xfId="8" applyNumberFormat="1" applyFont="1" applyBorder="1" applyAlignment="1">
      <alignment horizontal="right"/>
    </xf>
    <xf numFmtId="187" fontId="32" fillId="3" borderId="16" xfId="9" applyNumberFormat="1" applyFont="1" applyFill="1" applyBorder="1" applyAlignment="1">
      <alignment horizontal="left" indent="2"/>
    </xf>
    <xf numFmtId="9" fontId="32" fillId="0" borderId="41" xfId="9" applyNumberFormat="1" applyFont="1" applyBorder="1" applyAlignment="1">
      <alignment horizontal="right"/>
    </xf>
    <xf numFmtId="188" fontId="32" fillId="0" borderId="7" xfId="9" applyNumberFormat="1" applyFont="1" applyBorder="1" applyAlignment="1">
      <alignment horizontal="right"/>
    </xf>
    <xf numFmtId="187" fontId="29" fillId="3" borderId="16" xfId="9" applyNumberFormat="1" applyFont="1" applyFill="1" applyBorder="1" applyAlignment="1">
      <alignment horizontal="left"/>
    </xf>
    <xf numFmtId="193" fontId="29" fillId="0" borderId="7" xfId="8" applyNumberFormat="1" applyFont="1" applyBorder="1" applyAlignment="1">
      <alignment horizontal="right"/>
    </xf>
    <xf numFmtId="193" fontId="29" fillId="0" borderId="41" xfId="8" applyNumberFormat="1" applyFont="1" applyBorder="1" applyAlignment="1">
      <alignment horizontal="right"/>
    </xf>
    <xf numFmtId="188" fontId="32" fillId="3" borderId="41" xfId="11" applyNumberFormat="1" applyFont="1" applyFill="1" applyBorder="1" applyAlignment="1" applyProtection="1">
      <alignment horizontal="right"/>
    </xf>
    <xf numFmtId="188" fontId="32" fillId="3" borderId="0" xfId="11" applyNumberFormat="1" applyFont="1" applyFill="1" applyBorder="1" applyProtection="1"/>
    <xf numFmtId="193" fontId="29" fillId="0" borderId="41" xfId="11" applyNumberFormat="1" applyFont="1" applyFill="1" applyBorder="1" applyAlignment="1" applyProtection="1">
      <alignment horizontal="right"/>
    </xf>
    <xf numFmtId="0" fontId="57" fillId="0" borderId="82" xfId="9" applyFont="1" applyBorder="1" applyAlignment="1">
      <alignment horizontal="right"/>
    </xf>
    <xf numFmtId="188" fontId="32" fillId="0" borderId="84" xfId="9" applyNumberFormat="1" applyFont="1" applyBorder="1" applyAlignment="1">
      <alignment horizontal="right"/>
    </xf>
    <xf numFmtId="188" fontId="32" fillId="0" borderId="84" xfId="8" applyNumberFormat="1" applyFont="1" applyBorder="1" applyAlignment="1">
      <alignment horizontal="right"/>
    </xf>
    <xf numFmtId="188" fontId="32" fillId="0" borderId="60" xfId="8" applyNumberFormat="1" applyFont="1" applyBorder="1" applyAlignment="1">
      <alignment horizontal="right"/>
    </xf>
    <xf numFmtId="187" fontId="32" fillId="3" borderId="84" xfId="9" applyNumberFormat="1" applyFont="1" applyFill="1" applyBorder="1" applyAlignment="1">
      <alignment horizontal="left" indent="2"/>
    </xf>
    <xf numFmtId="188" fontId="32" fillId="3" borderId="60" xfId="11" applyNumberFormat="1" applyFont="1" applyFill="1" applyBorder="1" applyAlignment="1" applyProtection="1">
      <alignment horizontal="right"/>
    </xf>
    <xf numFmtId="9" fontId="32" fillId="0" borderId="60" xfId="9" applyNumberFormat="1" applyFont="1" applyBorder="1" applyAlignment="1">
      <alignment horizontal="right"/>
    </xf>
    <xf numFmtId="0" fontId="57" fillId="0" borderId="0" xfId="9" applyFont="1" applyAlignment="1">
      <alignment horizontal="right"/>
    </xf>
    <xf numFmtId="0" fontId="29" fillId="3" borderId="84" xfId="9" applyFont="1" applyFill="1" applyBorder="1" applyAlignment="1">
      <alignment horizontal="left"/>
    </xf>
    <xf numFmtId="9" fontId="29" fillId="3" borderId="0" xfId="9" applyNumberFormat="1" applyFont="1" applyFill="1" applyAlignment="1">
      <alignment horizontal="right"/>
    </xf>
    <xf numFmtId="9" fontId="29" fillId="3" borderId="7" xfId="9" applyNumberFormat="1" applyFont="1" applyFill="1" applyBorder="1" applyAlignment="1">
      <alignment horizontal="right"/>
    </xf>
    <xf numFmtId="9" fontId="29" fillId="3" borderId="60" xfId="9" applyNumberFormat="1" applyFont="1" applyFill="1" applyBorder="1" applyAlignment="1">
      <alignment horizontal="right"/>
    </xf>
    <xf numFmtId="188" fontId="29" fillId="3" borderId="60" xfId="11" applyNumberFormat="1" applyFont="1" applyFill="1" applyBorder="1" applyAlignment="1" applyProtection="1">
      <alignment horizontal="center"/>
    </xf>
    <xf numFmtId="188" fontId="29" fillId="3" borderId="0" xfId="11" applyNumberFormat="1" applyFont="1" applyFill="1" applyBorder="1" applyAlignment="1" applyProtection="1">
      <alignment horizontal="center"/>
    </xf>
    <xf numFmtId="188" fontId="29" fillId="3" borderId="7" xfId="11" applyNumberFormat="1" applyFont="1" applyFill="1" applyBorder="1" applyAlignment="1" applyProtection="1">
      <alignment horizontal="right"/>
    </xf>
    <xf numFmtId="188" fontId="29" fillId="0" borderId="60" xfId="11" applyNumberFormat="1" applyFont="1" applyFill="1" applyBorder="1" applyProtection="1"/>
    <xf numFmtId="188" fontId="29" fillId="0" borderId="0" xfId="11" applyNumberFormat="1" applyFont="1" applyFill="1" applyBorder="1" applyProtection="1"/>
    <xf numFmtId="180" fontId="15" fillId="3" borderId="60" xfId="11" applyNumberFormat="1" applyFont="1" applyFill="1" applyBorder="1" applyProtection="1"/>
    <xf numFmtId="180" fontId="15" fillId="3" borderId="0" xfId="11" applyNumberFormat="1" applyFont="1" applyFill="1" applyBorder="1" applyProtection="1"/>
    <xf numFmtId="180" fontId="15" fillId="3" borderId="7" xfId="11" applyNumberFormat="1" applyFont="1" applyFill="1" applyBorder="1" applyProtection="1"/>
    <xf numFmtId="0" fontId="61" fillId="3" borderId="0" xfId="9" applyFont="1" applyFill="1" applyAlignment="1">
      <alignment horizontal="right"/>
    </xf>
    <xf numFmtId="9" fontId="15" fillId="0" borderId="84" xfId="9" applyNumberFormat="1" applyFont="1" applyBorder="1"/>
    <xf numFmtId="168" fontId="15" fillId="0" borderId="84" xfId="8" applyNumberFormat="1" applyFont="1" applyBorder="1"/>
    <xf numFmtId="188" fontId="29" fillId="3" borderId="84" xfId="11" applyNumberFormat="1" applyFont="1" applyFill="1" applyBorder="1" applyProtection="1"/>
    <xf numFmtId="0" fontId="29" fillId="3" borderId="0" xfId="9" applyFont="1" applyFill="1" applyAlignment="1">
      <alignment horizontal="left"/>
    </xf>
    <xf numFmtId="9" fontId="29" fillId="3" borderId="84" xfId="9" applyNumberFormat="1" applyFont="1" applyFill="1" applyBorder="1" applyAlignment="1">
      <alignment horizontal="right"/>
    </xf>
    <xf numFmtId="188" fontId="29" fillId="0" borderId="60" xfId="8" applyNumberFormat="1" applyFont="1" applyBorder="1"/>
    <xf numFmtId="9" fontId="29" fillId="0" borderId="84" xfId="3" applyFont="1" applyBorder="1" applyAlignment="1" applyProtection="1"/>
    <xf numFmtId="0" fontId="29" fillId="3" borderId="60" xfId="9" applyFont="1" applyFill="1" applyBorder="1" applyAlignment="1">
      <alignment horizontal="left"/>
    </xf>
    <xf numFmtId="187" fontId="15" fillId="3" borderId="7" xfId="11" applyNumberFormat="1" applyFont="1" applyFill="1" applyBorder="1" applyProtection="1"/>
    <xf numFmtId="188" fontId="15" fillId="3" borderId="7" xfId="11" applyNumberFormat="1" applyFont="1" applyFill="1" applyBorder="1" applyProtection="1"/>
    <xf numFmtId="188" fontId="15" fillId="3" borderId="60" xfId="11" applyNumberFormat="1" applyFont="1" applyFill="1" applyBorder="1" applyProtection="1"/>
    <xf numFmtId="188" fontId="15" fillId="0" borderId="60" xfId="11" applyNumberFormat="1" applyFont="1" applyFill="1" applyBorder="1" applyProtection="1"/>
    <xf numFmtId="188" fontId="15" fillId="0" borderId="0" xfId="11" applyNumberFormat="1" applyFont="1" applyFill="1" applyBorder="1" applyProtection="1"/>
    <xf numFmtId="188" fontId="15" fillId="0" borderId="7" xfId="11" applyNumberFormat="1" applyFont="1" applyFill="1" applyBorder="1" applyProtection="1"/>
    <xf numFmtId="0" fontId="15" fillId="3" borderId="60" xfId="9" applyFont="1" applyFill="1" applyBorder="1" applyAlignment="1">
      <alignment horizontal="left" indent="1"/>
    </xf>
    <xf numFmtId="195" fontId="41" fillId="3" borderId="7" xfId="11" applyNumberFormat="1" applyFont="1" applyFill="1" applyBorder="1" applyProtection="1"/>
    <xf numFmtId="195" fontId="41" fillId="3" borderId="60" xfId="11" applyNumberFormat="1" applyFont="1" applyFill="1" applyBorder="1" applyProtection="1"/>
    <xf numFmtId="195" fontId="41" fillId="3" borderId="0" xfId="11" applyNumberFormat="1" applyFont="1" applyFill="1" applyBorder="1" applyProtection="1"/>
    <xf numFmtId="195" fontId="41" fillId="0" borderId="60" xfId="11" applyNumberFormat="1" applyFont="1" applyFill="1" applyBorder="1" applyProtection="1"/>
    <xf numFmtId="195" fontId="41" fillId="0" borderId="0" xfId="11" applyNumberFormat="1" applyFont="1" applyFill="1" applyBorder="1" applyProtection="1"/>
    <xf numFmtId="195" fontId="41" fillId="0" borderId="7" xfId="11" applyNumberFormat="1" applyFont="1" applyFill="1" applyBorder="1" applyProtection="1"/>
    <xf numFmtId="195" fontId="41" fillId="3" borderId="84" xfId="11" applyNumberFormat="1" applyFont="1" applyFill="1" applyBorder="1" applyProtection="1"/>
    <xf numFmtId="195" fontId="15" fillId="3" borderId="84" xfId="11" applyNumberFormat="1" applyFont="1" applyFill="1" applyBorder="1" applyProtection="1"/>
    <xf numFmtId="9" fontId="29" fillId="3" borderId="42" xfId="9" applyNumberFormat="1" applyFont="1" applyFill="1" applyBorder="1" applyAlignment="1">
      <alignment horizontal="right"/>
    </xf>
    <xf numFmtId="9" fontId="29" fillId="3" borderId="44" xfId="9" applyNumberFormat="1" applyFont="1" applyFill="1" applyBorder="1" applyAlignment="1">
      <alignment horizontal="right"/>
    </xf>
    <xf numFmtId="9" fontId="29" fillId="3" borderId="85" xfId="9" applyNumberFormat="1" applyFont="1" applyFill="1" applyBorder="1" applyAlignment="1">
      <alignment horizontal="right"/>
    </xf>
    <xf numFmtId="188" fontId="29" fillId="3" borderId="85" xfId="11" applyNumberFormat="1" applyFont="1" applyFill="1" applyBorder="1" applyAlignment="1" applyProtection="1">
      <alignment horizontal="center"/>
    </xf>
    <xf numFmtId="188" fontId="29" fillId="3" borderId="42" xfId="11" applyNumberFormat="1" applyFont="1" applyFill="1" applyBorder="1" applyAlignment="1" applyProtection="1">
      <alignment horizontal="center"/>
    </xf>
    <xf numFmtId="188" fontId="29" fillId="3" borderId="42" xfId="11" applyNumberFormat="1" applyFont="1" applyFill="1" applyBorder="1" applyProtection="1"/>
    <xf numFmtId="188" fontId="15" fillId="3" borderId="44" xfId="11" applyNumberFormat="1" applyFont="1" applyFill="1" applyBorder="1" applyProtection="1"/>
    <xf numFmtId="188" fontId="15" fillId="3" borderId="42" xfId="11" applyNumberFormat="1" applyFont="1" applyFill="1" applyBorder="1" applyProtection="1"/>
    <xf numFmtId="188" fontId="15" fillId="3" borderId="85" xfId="11" applyNumberFormat="1" applyFont="1" applyFill="1" applyBorder="1" applyProtection="1"/>
    <xf numFmtId="188" fontId="15" fillId="0" borderId="85" xfId="11" applyNumberFormat="1" applyFont="1" applyFill="1" applyBorder="1" applyProtection="1"/>
    <xf numFmtId="188" fontId="15" fillId="0" borderId="42" xfId="11" applyNumberFormat="1" applyFont="1" applyFill="1" applyBorder="1" applyProtection="1"/>
    <xf numFmtId="188" fontId="15" fillId="0" borderId="44" xfId="11" applyNumberFormat="1" applyFont="1" applyFill="1" applyBorder="1" applyProtection="1"/>
    <xf numFmtId="180" fontId="15" fillId="3" borderId="85" xfId="11" applyNumberFormat="1" applyFont="1" applyFill="1" applyBorder="1" applyProtection="1"/>
    <xf numFmtId="180" fontId="15" fillId="3" borderId="42" xfId="11" applyNumberFormat="1" applyFont="1" applyFill="1" applyBorder="1" applyProtection="1"/>
    <xf numFmtId="180" fontId="15" fillId="3" borderId="44" xfId="11" applyNumberFormat="1" applyFont="1" applyFill="1" applyBorder="1" applyProtection="1"/>
    <xf numFmtId="9" fontId="15" fillId="0" borderId="86" xfId="9" applyNumberFormat="1" applyFont="1" applyBorder="1"/>
    <xf numFmtId="168" fontId="15" fillId="0" borderId="86" xfId="8" applyNumberFormat="1" applyFont="1" applyBorder="1"/>
    <xf numFmtId="9" fontId="29" fillId="3" borderId="86" xfId="9" applyNumberFormat="1" applyFont="1" applyFill="1" applyBorder="1" applyAlignment="1">
      <alignment horizontal="right"/>
    </xf>
    <xf numFmtId="188" fontId="15" fillId="3" borderId="86" xfId="11" applyNumberFormat="1" applyFont="1" applyFill="1" applyBorder="1" applyProtection="1"/>
    <xf numFmtId="3" fontId="31" fillId="3" borderId="8" xfId="9" applyNumberFormat="1" applyFont="1" applyFill="1" applyBorder="1"/>
    <xf numFmtId="165" fontId="15" fillId="3" borderId="8" xfId="9" applyNumberFormat="1" applyFont="1" applyFill="1" applyBorder="1" applyAlignment="1">
      <alignment horizontal="right"/>
    </xf>
    <xf numFmtId="193" fontId="15" fillId="3" borderId="8" xfId="1" applyNumberFormat="1" applyFont="1" applyFill="1" applyBorder="1" applyAlignment="1">
      <alignment horizontal="right"/>
    </xf>
    <xf numFmtId="165" fontId="15" fillId="0" borderId="8" xfId="9" applyNumberFormat="1" applyFont="1" applyBorder="1" applyAlignment="1">
      <alignment horizontal="right"/>
    </xf>
    <xf numFmtId="165" fontId="15" fillId="3" borderId="0" xfId="9" applyNumberFormat="1" applyFont="1" applyFill="1" applyAlignment="1">
      <alignment horizontal="right"/>
    </xf>
    <xf numFmtId="0" fontId="61" fillId="3" borderId="0" xfId="9" applyFont="1" applyFill="1"/>
    <xf numFmtId="3" fontId="15" fillId="3" borderId="0" xfId="9" applyNumberFormat="1" applyFont="1" applyFill="1"/>
    <xf numFmtId="0" fontId="29" fillId="3" borderId="16" xfId="9" applyFont="1" applyFill="1" applyBorder="1" applyAlignment="1">
      <alignment horizontal="left"/>
    </xf>
    <xf numFmtId="176" fontId="29" fillId="3" borderId="41" xfId="9" applyNumberFormat="1" applyFont="1" applyFill="1" applyBorder="1" applyAlignment="1">
      <alignment horizontal="right"/>
    </xf>
    <xf numFmtId="0" fontId="56" fillId="3" borderId="7" xfId="9" applyFont="1" applyFill="1" applyBorder="1" applyAlignment="1">
      <alignment horizontal="right"/>
    </xf>
    <xf numFmtId="168" fontId="29" fillId="0" borderId="80" xfId="8" applyNumberFormat="1" applyFont="1" applyBorder="1"/>
    <xf numFmtId="0" fontId="56" fillId="3" borderId="0" xfId="9" applyFont="1" applyFill="1" applyAlignment="1">
      <alignment horizontal="right"/>
    </xf>
    <xf numFmtId="0" fontId="61" fillId="3" borderId="7" xfId="9" applyFont="1" applyFill="1" applyBorder="1" applyAlignment="1">
      <alignment horizontal="right"/>
    </xf>
    <xf numFmtId="9" fontId="15" fillId="0" borderId="80" xfId="9" applyNumberFormat="1" applyFont="1" applyBorder="1" applyAlignment="1">
      <alignment horizontal="right"/>
    </xf>
    <xf numFmtId="188" fontId="32" fillId="3" borderId="80" xfId="9" applyNumberFormat="1" applyFont="1" applyFill="1" applyBorder="1" applyAlignment="1">
      <alignment horizontal="right"/>
    </xf>
    <xf numFmtId="188" fontId="32" fillId="3" borderId="16" xfId="9" applyNumberFormat="1" applyFont="1" applyFill="1" applyBorder="1" applyAlignment="1">
      <alignment horizontal="right"/>
    </xf>
    <xf numFmtId="188" fontId="32" fillId="3" borderId="7" xfId="9" applyNumberFormat="1" applyFont="1" applyFill="1" applyBorder="1" applyAlignment="1">
      <alignment horizontal="right"/>
    </xf>
    <xf numFmtId="9" fontId="32" fillId="0" borderId="87" xfId="9" applyNumberFormat="1" applyFont="1" applyBorder="1"/>
    <xf numFmtId="9" fontId="32" fillId="0" borderId="87" xfId="9" applyNumberFormat="1" applyFont="1" applyBorder="1" applyAlignment="1">
      <alignment horizontal="right"/>
    </xf>
    <xf numFmtId="165" fontId="15" fillId="3" borderId="80" xfId="9" applyNumberFormat="1" applyFont="1" applyFill="1" applyBorder="1" applyAlignment="1">
      <alignment horizontal="right"/>
    </xf>
    <xf numFmtId="165" fontId="15" fillId="3" borderId="16" xfId="9" applyNumberFormat="1" applyFont="1" applyFill="1" applyBorder="1" applyAlignment="1">
      <alignment horizontal="right"/>
    </xf>
    <xf numFmtId="165" fontId="15" fillId="3" borderId="7" xfId="9" applyNumberFormat="1" applyFont="1" applyFill="1" applyBorder="1" applyAlignment="1">
      <alignment horizontal="right"/>
    </xf>
    <xf numFmtId="9" fontId="32" fillId="3" borderId="0" xfId="9" applyNumberFormat="1" applyFont="1" applyFill="1" applyAlignment="1">
      <alignment horizontal="right"/>
    </xf>
    <xf numFmtId="9" fontId="32" fillId="3" borderId="7" xfId="9" applyNumberFormat="1" applyFont="1" applyFill="1" applyBorder="1" applyAlignment="1">
      <alignment horizontal="right"/>
    </xf>
    <xf numFmtId="9" fontId="32" fillId="3" borderId="41" xfId="9" applyNumberFormat="1" applyFont="1" applyFill="1" applyBorder="1" applyAlignment="1">
      <alignment horizontal="right"/>
    </xf>
    <xf numFmtId="0" fontId="57" fillId="3" borderId="7" xfId="9" applyFont="1" applyFill="1" applyBorder="1" applyAlignment="1">
      <alignment horizontal="right"/>
    </xf>
    <xf numFmtId="0" fontId="57" fillId="3" borderId="0" xfId="9" applyFont="1" applyFill="1" applyAlignment="1">
      <alignment horizontal="right"/>
    </xf>
    <xf numFmtId="187" fontId="29" fillId="10" borderId="16" xfId="9" applyNumberFormat="1" applyFont="1" applyFill="1" applyBorder="1" applyAlignment="1">
      <alignment horizontal="left" indent="3"/>
    </xf>
    <xf numFmtId="9" fontId="30" fillId="10" borderId="0" xfId="9" applyNumberFormat="1" applyFont="1" applyFill="1" applyAlignment="1">
      <alignment horizontal="right"/>
    </xf>
    <xf numFmtId="9" fontId="30" fillId="10" borderId="7" xfId="9" applyNumberFormat="1" applyFont="1" applyFill="1" applyBorder="1" applyAlignment="1">
      <alignment horizontal="right"/>
    </xf>
    <xf numFmtId="180" fontId="29" fillId="10" borderId="0" xfId="11" applyNumberFormat="1" applyFont="1" applyFill="1" applyBorder="1" applyProtection="1"/>
    <xf numFmtId="180" fontId="29" fillId="10" borderId="41" xfId="11" applyNumberFormat="1" applyFont="1" applyFill="1" applyBorder="1" applyProtection="1"/>
    <xf numFmtId="180" fontId="29" fillId="10" borderId="7" xfId="11" applyNumberFormat="1" applyFont="1" applyFill="1" applyBorder="1" applyProtection="1"/>
    <xf numFmtId="9" fontId="30" fillId="10" borderId="41" xfId="9" applyNumberFormat="1" applyFont="1" applyFill="1" applyBorder="1" applyAlignment="1">
      <alignment horizontal="right"/>
    </xf>
    <xf numFmtId="0" fontId="64" fillId="3" borderId="7" xfId="9" applyFont="1" applyFill="1" applyBorder="1" applyAlignment="1">
      <alignment horizontal="right"/>
    </xf>
    <xf numFmtId="188" fontId="30" fillId="10" borderId="80" xfId="9" applyNumberFormat="1" applyFont="1" applyFill="1" applyBorder="1" applyAlignment="1">
      <alignment horizontal="right"/>
    </xf>
    <xf numFmtId="188" fontId="30" fillId="10" borderId="16" xfId="9" applyNumberFormat="1" applyFont="1" applyFill="1" applyBorder="1" applyAlignment="1">
      <alignment horizontal="right"/>
    </xf>
    <xf numFmtId="188" fontId="30" fillId="10" borderId="7" xfId="9" applyNumberFormat="1" applyFont="1" applyFill="1" applyBorder="1" applyAlignment="1">
      <alignment horizontal="right"/>
    </xf>
    <xf numFmtId="0" fontId="64" fillId="3" borderId="0" xfId="9" applyFont="1" applyFill="1" applyAlignment="1">
      <alignment horizontal="right"/>
    </xf>
    <xf numFmtId="187" fontId="32" fillId="10" borderId="16" xfId="9" applyNumberFormat="1" applyFont="1" applyFill="1" applyBorder="1" applyAlignment="1">
      <alignment horizontal="left" indent="3"/>
    </xf>
    <xf numFmtId="9" fontId="32" fillId="10" borderId="0" xfId="9" applyNumberFormat="1" applyFont="1" applyFill="1" applyAlignment="1">
      <alignment horizontal="right"/>
    </xf>
    <xf numFmtId="9" fontId="32" fillId="10" borderId="7" xfId="9" applyNumberFormat="1" applyFont="1" applyFill="1" applyBorder="1" applyAlignment="1">
      <alignment horizontal="right"/>
    </xf>
    <xf numFmtId="188" fontId="32" fillId="10" borderId="0" xfId="11" applyNumberFormat="1" applyFont="1" applyFill="1" applyBorder="1" applyAlignment="1" applyProtection="1">
      <alignment horizontal="right"/>
    </xf>
    <xf numFmtId="188" fontId="32" fillId="10" borderId="41" xfId="11" applyNumberFormat="1" applyFont="1" applyFill="1" applyBorder="1" applyAlignment="1" applyProtection="1">
      <alignment horizontal="right"/>
    </xf>
    <xf numFmtId="188" fontId="32" fillId="10" borderId="7" xfId="11" applyNumberFormat="1" applyFont="1" applyFill="1" applyBorder="1" applyAlignment="1" applyProtection="1">
      <alignment horizontal="right"/>
    </xf>
    <xf numFmtId="9" fontId="32" fillId="10" borderId="41" xfId="9" applyNumberFormat="1" applyFont="1" applyFill="1" applyBorder="1" applyAlignment="1">
      <alignment horizontal="right"/>
    </xf>
    <xf numFmtId="188" fontId="32" fillId="10" borderId="80" xfId="9" applyNumberFormat="1" applyFont="1" applyFill="1" applyBorder="1" applyAlignment="1">
      <alignment horizontal="right"/>
    </xf>
    <xf numFmtId="188" fontId="32" fillId="10" borderId="16" xfId="9" applyNumberFormat="1" applyFont="1" applyFill="1" applyBorder="1" applyAlignment="1">
      <alignment horizontal="right"/>
    </xf>
    <xf numFmtId="188" fontId="32" fillId="10" borderId="7" xfId="9" applyNumberFormat="1" applyFont="1" applyFill="1" applyBorder="1" applyAlignment="1">
      <alignment horizontal="right"/>
    </xf>
    <xf numFmtId="9" fontId="49" fillId="10" borderId="0" xfId="9" applyNumberFormat="1" applyFont="1" applyFill="1" applyAlignment="1">
      <alignment horizontal="right"/>
    </xf>
    <xf numFmtId="9" fontId="49" fillId="10" borderId="41" xfId="9" applyNumberFormat="1" applyFont="1" applyFill="1" applyBorder="1" applyAlignment="1">
      <alignment horizontal="right"/>
    </xf>
    <xf numFmtId="9" fontId="49" fillId="10" borderId="7" xfId="9" applyNumberFormat="1" applyFont="1" applyFill="1" applyBorder="1" applyAlignment="1">
      <alignment horizontal="right"/>
    </xf>
    <xf numFmtId="188" fontId="49" fillId="10" borderId="80" xfId="9" applyNumberFormat="1" applyFont="1" applyFill="1" applyBorder="1" applyAlignment="1">
      <alignment horizontal="right"/>
    </xf>
    <xf numFmtId="188" fontId="49" fillId="10" borderId="16" xfId="9" applyNumberFormat="1" applyFont="1" applyFill="1" applyBorder="1" applyAlignment="1">
      <alignment horizontal="right"/>
    </xf>
    <xf numFmtId="180" fontId="29" fillId="0" borderId="7" xfId="11" applyNumberFormat="1" applyFont="1" applyFill="1" applyBorder="1" applyProtection="1"/>
    <xf numFmtId="9" fontId="32" fillId="0" borderId="7" xfId="9" applyNumberFormat="1" applyFont="1" applyBorder="1"/>
    <xf numFmtId="9" fontId="32" fillId="0" borderId="0" xfId="9" applyNumberFormat="1" applyFont="1"/>
    <xf numFmtId="9" fontId="32" fillId="0" borderId="82" xfId="9" applyNumberFormat="1" applyFont="1" applyBorder="1"/>
    <xf numFmtId="165" fontId="32" fillId="3" borderId="80" xfId="9" applyNumberFormat="1" applyFont="1" applyFill="1" applyBorder="1" applyAlignment="1">
      <alignment horizontal="right"/>
    </xf>
    <xf numFmtId="165" fontId="32" fillId="3" borderId="16" xfId="9" applyNumberFormat="1" applyFont="1" applyFill="1" applyBorder="1" applyAlignment="1">
      <alignment horizontal="right"/>
    </xf>
    <xf numFmtId="165" fontId="32" fillId="3" borderId="7" xfId="9" applyNumberFormat="1" applyFont="1" applyFill="1" applyBorder="1" applyAlignment="1">
      <alignment horizontal="right"/>
    </xf>
    <xf numFmtId="0" fontId="15" fillId="3" borderId="16" xfId="9" applyFont="1" applyFill="1" applyBorder="1" applyAlignment="1">
      <alignment horizontal="left"/>
    </xf>
    <xf numFmtId="165" fontId="15" fillId="3" borderId="51" xfId="9" applyNumberFormat="1" applyFont="1" applyFill="1" applyBorder="1" applyAlignment="1">
      <alignment horizontal="right"/>
    </xf>
    <xf numFmtId="165" fontId="15" fillId="3" borderId="82" xfId="9" applyNumberFormat="1" applyFont="1" applyFill="1" applyBorder="1" applyAlignment="1">
      <alignment horizontal="right"/>
    </xf>
    <xf numFmtId="165" fontId="15" fillId="3" borderId="41" xfId="9" applyNumberFormat="1" applyFont="1" applyFill="1" applyBorder="1" applyAlignment="1">
      <alignment horizontal="right"/>
    </xf>
    <xf numFmtId="165" fontId="15" fillId="0" borderId="41" xfId="9" applyNumberFormat="1" applyFont="1" applyBorder="1" applyAlignment="1">
      <alignment horizontal="right"/>
    </xf>
    <xf numFmtId="165" fontId="15" fillId="0" borderId="7" xfId="9" applyNumberFormat="1" applyFont="1" applyBorder="1" applyAlignment="1">
      <alignment horizontal="right"/>
    </xf>
    <xf numFmtId="9" fontId="15" fillId="3" borderId="41" xfId="9" applyNumberFormat="1" applyFont="1" applyFill="1" applyBorder="1" applyAlignment="1">
      <alignment horizontal="right"/>
    </xf>
    <xf numFmtId="9" fontId="15" fillId="0" borderId="41" xfId="9" applyNumberFormat="1" applyFont="1" applyBorder="1" applyAlignment="1">
      <alignment horizontal="right"/>
    </xf>
    <xf numFmtId="9" fontId="15" fillId="0" borderId="0" xfId="9" applyNumberFormat="1" applyFont="1" applyAlignment="1">
      <alignment horizontal="right"/>
    </xf>
    <xf numFmtId="9" fontId="15" fillId="0" borderId="7" xfId="9" applyNumberFormat="1" applyFont="1" applyBorder="1" applyAlignment="1">
      <alignment horizontal="right"/>
    </xf>
    <xf numFmtId="3" fontId="29" fillId="3" borderId="7" xfId="9" applyNumberFormat="1" applyFont="1" applyFill="1" applyBorder="1" applyAlignment="1">
      <alignment horizontal="right"/>
    </xf>
    <xf numFmtId="193" fontId="29" fillId="3" borderId="7" xfId="9" applyNumberFormat="1" applyFont="1" applyFill="1" applyBorder="1" applyAlignment="1">
      <alignment horizontal="right"/>
    </xf>
    <xf numFmtId="193" fontId="29" fillId="0" borderId="0" xfId="9" applyNumberFormat="1" applyFont="1" applyAlignment="1">
      <alignment horizontal="right"/>
    </xf>
    <xf numFmtId="193" fontId="29" fillId="0" borderId="51" xfId="9" applyNumberFormat="1" applyFont="1" applyBorder="1" applyAlignment="1">
      <alignment horizontal="right"/>
    </xf>
    <xf numFmtId="3" fontId="29" fillId="0" borderId="7" xfId="9" applyNumberFormat="1" applyFont="1" applyBorder="1" applyAlignment="1">
      <alignment horizontal="right"/>
    </xf>
    <xf numFmtId="3" fontId="56" fillId="0" borderId="0" xfId="9" applyNumberFormat="1" applyFont="1"/>
    <xf numFmtId="3" fontId="29" fillId="0" borderId="16" xfId="9" applyNumberFormat="1" applyFont="1" applyBorder="1"/>
    <xf numFmtId="3" fontId="29" fillId="0" borderId="80" xfId="9" applyNumberFormat="1" applyFont="1" applyBorder="1"/>
    <xf numFmtId="3" fontId="29" fillId="0" borderId="7" xfId="9" applyNumberFormat="1" applyFont="1" applyBorder="1"/>
    <xf numFmtId="188" fontId="32" fillId="3" borderId="16" xfId="9" applyNumberFormat="1" applyFont="1" applyFill="1" applyBorder="1" applyAlignment="1">
      <alignment horizontal="left" indent="1"/>
    </xf>
    <xf numFmtId="9" fontId="15" fillId="3" borderId="82" xfId="9" applyNumberFormat="1" applyFont="1" applyFill="1" applyBorder="1" applyAlignment="1">
      <alignment horizontal="right"/>
    </xf>
    <xf numFmtId="188" fontId="32" fillId="0" borderId="82" xfId="9" applyNumberFormat="1" applyFont="1" applyBorder="1" applyAlignment="1">
      <alignment horizontal="right"/>
    </xf>
    <xf numFmtId="165" fontId="15" fillId="0" borderId="82" xfId="9" applyNumberFormat="1" applyFont="1" applyBorder="1" applyAlignment="1">
      <alignment horizontal="right"/>
    </xf>
    <xf numFmtId="188" fontId="32" fillId="3" borderId="68" xfId="9" applyNumberFormat="1" applyFont="1" applyFill="1" applyBorder="1" applyAlignment="1">
      <alignment horizontal="right"/>
    </xf>
    <xf numFmtId="188" fontId="15" fillId="0" borderId="80" xfId="9" applyNumberFormat="1" applyFont="1" applyBorder="1" applyAlignment="1">
      <alignment horizontal="right"/>
    </xf>
    <xf numFmtId="188" fontId="15" fillId="0" borderId="16" xfId="9" applyNumberFormat="1" applyFont="1" applyBorder="1" applyAlignment="1">
      <alignment horizontal="right"/>
    </xf>
    <xf numFmtId="188" fontId="15" fillId="0" borderId="7" xfId="9" applyNumberFormat="1" applyFont="1" applyBorder="1" applyAlignment="1">
      <alignment horizontal="right"/>
    </xf>
    <xf numFmtId="188" fontId="15" fillId="3" borderId="16" xfId="9" applyNumberFormat="1" applyFont="1" applyFill="1" applyBorder="1" applyAlignment="1">
      <alignment horizontal="left" indent="1"/>
    </xf>
    <xf numFmtId="3" fontId="15" fillId="3" borderId="7" xfId="9" applyNumberFormat="1" applyFont="1" applyFill="1" applyBorder="1" applyAlignment="1">
      <alignment horizontal="right"/>
    </xf>
    <xf numFmtId="3" fontId="15" fillId="0" borderId="51" xfId="9" applyNumberFormat="1" applyFont="1" applyBorder="1" applyAlignment="1">
      <alignment horizontal="right"/>
    </xf>
    <xf numFmtId="1" fontId="15" fillId="3" borderId="82" xfId="9" applyNumberFormat="1" applyFont="1" applyFill="1" applyBorder="1" applyAlignment="1">
      <alignment horizontal="right"/>
    </xf>
    <xf numFmtId="1" fontId="15" fillId="3" borderId="0" xfId="9" applyNumberFormat="1" applyFont="1" applyFill="1" applyAlignment="1">
      <alignment horizontal="right"/>
    </xf>
    <xf numFmtId="1" fontId="15" fillId="0" borderId="82" xfId="9" applyNumberFormat="1" applyFont="1" applyBorder="1" applyAlignment="1">
      <alignment horizontal="right"/>
    </xf>
    <xf numFmtId="1" fontId="15" fillId="0" borderId="0" xfId="9" applyNumberFormat="1" applyFont="1" applyAlignment="1">
      <alignment horizontal="right"/>
    </xf>
    <xf numFmtId="1" fontId="15" fillId="0" borderId="51" xfId="9" applyNumberFormat="1" applyFont="1" applyBorder="1" applyAlignment="1">
      <alignment horizontal="right"/>
    </xf>
    <xf numFmtId="3" fontId="15" fillId="0" borderId="0" xfId="9" applyNumberFormat="1" applyFont="1" applyAlignment="1">
      <alignment horizontal="right"/>
    </xf>
    <xf numFmtId="0" fontId="61" fillId="0" borderId="7" xfId="9" applyFont="1" applyBorder="1" applyAlignment="1">
      <alignment horizontal="right"/>
    </xf>
    <xf numFmtId="3" fontId="15" fillId="0" borderId="80" xfId="9" applyNumberFormat="1" applyFont="1" applyBorder="1"/>
    <xf numFmtId="3" fontId="15" fillId="0" borderId="16" xfId="9" applyNumberFormat="1" applyFont="1" applyBorder="1"/>
    <xf numFmtId="188" fontId="32" fillId="3" borderId="16" xfId="9" applyNumberFormat="1" applyFont="1" applyFill="1" applyBorder="1" applyAlignment="1">
      <alignment horizontal="left" indent="2"/>
    </xf>
    <xf numFmtId="165" fontId="15" fillId="0" borderId="53" xfId="9" applyNumberFormat="1" applyFont="1" applyBorder="1" applyAlignment="1">
      <alignment horizontal="right"/>
    </xf>
    <xf numFmtId="0" fontId="61" fillId="0" borderId="53" xfId="9" applyFont="1" applyBorder="1" applyAlignment="1">
      <alignment horizontal="right"/>
    </xf>
    <xf numFmtId="3" fontId="15" fillId="3" borderId="53" xfId="9" applyNumberFormat="1" applyFont="1" applyFill="1" applyBorder="1" applyAlignment="1">
      <alignment horizontal="right"/>
    </xf>
    <xf numFmtId="1" fontId="15" fillId="0" borderId="53" xfId="9" applyNumberFormat="1" applyFont="1" applyBorder="1" applyAlignment="1">
      <alignment horizontal="right"/>
    </xf>
    <xf numFmtId="1" fontId="15" fillId="0" borderId="7" xfId="9" applyNumberFormat="1" applyFont="1" applyBorder="1" applyAlignment="1">
      <alignment horizontal="right"/>
    </xf>
    <xf numFmtId="9" fontId="32" fillId="0" borderId="0" xfId="3" applyFont="1" applyFill="1" applyBorder="1" applyAlignment="1">
      <alignment horizontal="right"/>
    </xf>
    <xf numFmtId="3" fontId="15" fillId="0" borderId="7" xfId="9" applyNumberFormat="1" applyFont="1" applyBorder="1"/>
    <xf numFmtId="9" fontId="32" fillId="0" borderId="7" xfId="3" applyFont="1" applyFill="1" applyBorder="1"/>
    <xf numFmtId="9" fontId="32" fillId="0" borderId="16" xfId="3" applyFont="1" applyFill="1" applyBorder="1"/>
    <xf numFmtId="9" fontId="15" fillId="3" borderId="7" xfId="9" applyNumberFormat="1" applyFont="1" applyFill="1" applyBorder="1" applyAlignment="1">
      <alignment horizontal="right"/>
    </xf>
    <xf numFmtId="165" fontId="15" fillId="0" borderId="16" xfId="9" applyNumberFormat="1" applyFont="1" applyBorder="1" applyAlignment="1">
      <alignment horizontal="right"/>
    </xf>
    <xf numFmtId="188" fontId="49" fillId="3" borderId="80" xfId="9" applyNumberFormat="1" applyFont="1" applyFill="1" applyBorder="1" applyAlignment="1">
      <alignment horizontal="right"/>
    </xf>
    <xf numFmtId="188" fontId="49" fillId="3" borderId="16" xfId="9" applyNumberFormat="1" applyFont="1" applyFill="1" applyBorder="1" applyAlignment="1">
      <alignment horizontal="right"/>
    </xf>
    <xf numFmtId="3" fontId="15" fillId="3" borderId="16" xfId="9" applyNumberFormat="1" applyFont="1" applyFill="1" applyBorder="1" applyAlignment="1">
      <alignment horizontal="left" indent="1"/>
    </xf>
    <xf numFmtId="9" fontId="32" fillId="0" borderId="85" xfId="9" applyNumberFormat="1" applyFont="1" applyBorder="1" applyAlignment="1">
      <alignment horizontal="right"/>
    </xf>
    <xf numFmtId="3" fontId="56" fillId="0" borderId="16" xfId="9" applyNumberFormat="1" applyFont="1" applyBorder="1"/>
    <xf numFmtId="188" fontId="49" fillId="3" borderId="86" xfId="9" applyNumberFormat="1" applyFont="1" applyFill="1" applyBorder="1" applyAlignment="1">
      <alignment horizontal="right"/>
    </xf>
    <xf numFmtId="3" fontId="29" fillId="0" borderId="44" xfId="9" applyNumberFormat="1" applyFont="1" applyBorder="1"/>
    <xf numFmtId="165" fontId="30" fillId="0" borderId="67" xfId="9" applyNumberFormat="1" applyFont="1" applyBorder="1" applyAlignment="1">
      <alignment horizontal="right"/>
    </xf>
    <xf numFmtId="0" fontId="64" fillId="0" borderId="0" xfId="9" applyFont="1" applyAlignment="1">
      <alignment horizontal="right"/>
    </xf>
    <xf numFmtId="0" fontId="64" fillId="0" borderId="0" xfId="9" applyFont="1"/>
    <xf numFmtId="0" fontId="15" fillId="0" borderId="0" xfId="9" applyFont="1"/>
    <xf numFmtId="0" fontId="61" fillId="0" borderId="0" xfId="9" applyFont="1"/>
    <xf numFmtId="0" fontId="29" fillId="6" borderId="59" xfId="8" applyFont="1" applyFill="1" applyBorder="1"/>
    <xf numFmtId="181" fontId="29" fillId="0" borderId="16" xfId="8" applyNumberFormat="1" applyFont="1" applyBorder="1" applyAlignment="1">
      <alignment horizontal="left"/>
    </xf>
    <xf numFmtId="182" fontId="15" fillId="3" borderId="0" xfId="2" applyNumberFormat="1" applyFont="1" applyFill="1" applyBorder="1" applyAlignment="1" applyProtection="1"/>
    <xf numFmtId="182" fontId="15" fillId="3" borderId="7" xfId="2" applyNumberFormat="1" applyFont="1" applyFill="1" applyBorder="1" applyAlignment="1" applyProtection="1"/>
    <xf numFmtId="182" fontId="15" fillId="3" borderId="41" xfId="2" applyNumberFormat="1" applyFont="1" applyFill="1" applyBorder="1" applyAlignment="1" applyProtection="1"/>
    <xf numFmtId="182" fontId="15" fillId="0" borderId="7" xfId="2" applyNumberFormat="1" applyFont="1" applyFill="1" applyBorder="1" applyAlignment="1" applyProtection="1"/>
    <xf numFmtId="181" fontId="15" fillId="0" borderId="0" xfId="8" applyNumberFormat="1" applyFont="1"/>
    <xf numFmtId="182" fontId="15" fillId="3" borderId="87" xfId="2" applyNumberFormat="1" applyFont="1" applyFill="1" applyBorder="1" applyAlignment="1" applyProtection="1"/>
    <xf numFmtId="182" fontId="15" fillId="3" borderId="82" xfId="2" applyNumberFormat="1" applyFont="1" applyFill="1" applyBorder="1" applyAlignment="1" applyProtection="1"/>
    <xf numFmtId="182" fontId="15" fillId="3" borderId="68" xfId="2" applyNumberFormat="1" applyFont="1" applyFill="1" applyBorder="1" applyAlignment="1" applyProtection="1"/>
    <xf numFmtId="182" fontId="15" fillId="3" borderId="80" xfId="2" applyNumberFormat="1" applyFont="1" applyFill="1" applyBorder="1" applyAlignment="1" applyProtection="1"/>
    <xf numFmtId="202" fontId="15" fillId="0" borderId="16" xfId="1" applyNumberFormat="1" applyFont="1" applyFill="1" applyBorder="1" applyAlignment="1">
      <alignment horizontal="left" indent="1"/>
    </xf>
    <xf numFmtId="178" fontId="15" fillId="0" borderId="0" xfId="8" applyNumberFormat="1" applyFont="1"/>
    <xf numFmtId="178" fontId="15" fillId="0" borderId="7" xfId="8" applyNumberFormat="1" applyFont="1" applyBorder="1"/>
    <xf numFmtId="178" fontId="15" fillId="0" borderId="41" xfId="8" applyNumberFormat="1" applyFont="1" applyBorder="1"/>
    <xf numFmtId="178" fontId="15" fillId="3" borderId="87" xfId="8" applyNumberFormat="1" applyFont="1" applyFill="1" applyBorder="1"/>
    <xf numFmtId="178" fontId="15" fillId="3" borderId="82" xfId="8" applyNumberFormat="1" applyFont="1" applyFill="1" applyBorder="1"/>
    <xf numFmtId="178" fontId="15" fillId="3" borderId="68" xfId="8" applyNumberFormat="1" applyFont="1" applyFill="1" applyBorder="1"/>
    <xf numFmtId="178" fontId="15" fillId="3" borderId="80" xfId="8" applyNumberFormat="1" applyFont="1" applyFill="1" applyBorder="1"/>
    <xf numFmtId="179" fontId="27" fillId="0" borderId="0" xfId="8" applyNumberFormat="1" applyFont="1"/>
    <xf numFmtId="203" fontId="15" fillId="0" borderId="16" xfId="1" applyNumberFormat="1" applyFont="1" applyFill="1" applyBorder="1" applyAlignment="1">
      <alignment horizontal="left" indent="1"/>
    </xf>
    <xf numFmtId="178" fontId="15" fillId="3" borderId="87" xfId="8" applyNumberFormat="1" applyFont="1" applyFill="1" applyBorder="1" applyAlignment="1">
      <alignment vertical="center"/>
    </xf>
    <xf numFmtId="178" fontId="15" fillId="3" borderId="82" xfId="8" applyNumberFormat="1" applyFont="1" applyFill="1" applyBorder="1" applyAlignment="1">
      <alignment vertical="center"/>
    </xf>
    <xf numFmtId="178" fontId="15" fillId="3" borderId="68" xfId="8" applyNumberFormat="1" applyFont="1" applyFill="1" applyBorder="1" applyAlignment="1">
      <alignment vertical="center"/>
    </xf>
    <xf numFmtId="178" fontId="15" fillId="3" borderId="80" xfId="8" applyNumberFormat="1" applyFont="1" applyFill="1" applyBorder="1" applyAlignment="1">
      <alignment vertical="center"/>
    </xf>
    <xf numFmtId="181" fontId="29" fillId="3" borderId="16" xfId="8" applyNumberFormat="1" applyFont="1" applyFill="1" applyBorder="1" applyAlignment="1">
      <alignment horizontal="left"/>
    </xf>
    <xf numFmtId="178" fontId="29" fillId="0" borderId="7" xfId="8" applyNumberFormat="1" applyFont="1" applyBorder="1"/>
    <xf numFmtId="178" fontId="29" fillId="0" borderId="41" xfId="8" applyNumberFormat="1" applyFont="1" applyBorder="1"/>
    <xf numFmtId="178" fontId="29" fillId="3" borderId="87" xfId="8" applyNumberFormat="1" applyFont="1" applyFill="1" applyBorder="1"/>
    <xf numFmtId="178" fontId="29" fillId="3" borderId="82" xfId="8" applyNumberFormat="1" applyFont="1" applyFill="1" applyBorder="1"/>
    <xf numFmtId="178" fontId="29" fillId="3" borderId="68" xfId="8" applyNumberFormat="1" applyFont="1" applyFill="1" applyBorder="1"/>
    <xf numFmtId="178" fontId="29" fillId="3" borderId="80" xfId="8" applyNumberFormat="1" applyFont="1" applyFill="1" applyBorder="1"/>
    <xf numFmtId="179" fontId="34" fillId="0" borderId="0" xfId="8" applyNumberFormat="1" applyFont="1"/>
    <xf numFmtId="178" fontId="34" fillId="0" borderId="0" xfId="8" applyNumberFormat="1" applyFont="1"/>
    <xf numFmtId="178" fontId="15" fillId="3" borderId="0" xfId="8" applyNumberFormat="1" applyFont="1" applyFill="1"/>
    <xf numFmtId="178" fontId="15" fillId="3" borderId="7" xfId="8" applyNumberFormat="1" applyFont="1" applyFill="1" applyBorder="1"/>
    <xf numFmtId="178" fontId="15" fillId="3" borderId="41" xfId="8" applyNumberFormat="1" applyFont="1" applyFill="1" applyBorder="1"/>
    <xf numFmtId="178" fontId="51" fillId="0" borderId="0" xfId="8" applyNumberFormat="1" applyFont="1"/>
    <xf numFmtId="178" fontId="15" fillId="0" borderId="68" xfId="8" applyNumberFormat="1" applyFont="1" applyBorder="1"/>
    <xf numFmtId="178" fontId="15" fillId="3" borderId="51" xfId="8" applyNumberFormat="1" applyFont="1" applyFill="1" applyBorder="1"/>
    <xf numFmtId="178" fontId="15" fillId="3" borderId="16" xfId="8" applyNumberFormat="1" applyFont="1" applyFill="1" applyBorder="1"/>
    <xf numFmtId="178" fontId="27" fillId="0" borderId="16" xfId="8" applyNumberFormat="1" applyFont="1" applyBorder="1"/>
    <xf numFmtId="178" fontId="27" fillId="0" borderId="41" xfId="8" applyNumberFormat="1" applyFont="1" applyBorder="1"/>
    <xf numFmtId="169" fontId="29" fillId="3" borderId="88" xfId="8" applyNumberFormat="1" applyFont="1" applyFill="1" applyBorder="1" applyAlignment="1">
      <alignment horizontal="left" indent="2"/>
    </xf>
    <xf numFmtId="178" fontId="29" fillId="3" borderId="46" xfId="8" applyNumberFormat="1" applyFont="1" applyFill="1" applyBorder="1"/>
    <xf numFmtId="178" fontId="29" fillId="3" borderId="76" xfId="8" applyNumberFormat="1" applyFont="1" applyFill="1" applyBorder="1"/>
    <xf numFmtId="178" fontId="29" fillId="3" borderId="75" xfId="8" applyNumberFormat="1" applyFont="1" applyFill="1" applyBorder="1"/>
    <xf numFmtId="178" fontId="29" fillId="0" borderId="46" xfId="8" applyNumberFormat="1" applyFont="1" applyBorder="1"/>
    <xf numFmtId="178" fontId="29" fillId="0" borderId="76" xfId="8" applyNumberFormat="1" applyFont="1" applyBorder="1"/>
    <xf numFmtId="178" fontId="29" fillId="0" borderId="75" xfId="8" applyNumberFormat="1" applyFont="1" applyBorder="1"/>
    <xf numFmtId="178" fontId="29" fillId="3" borderId="89" xfId="8" applyNumberFormat="1" applyFont="1" applyFill="1" applyBorder="1"/>
    <xf numFmtId="178" fontId="29" fillId="3" borderId="90" xfId="8" applyNumberFormat="1" applyFont="1" applyFill="1" applyBorder="1"/>
    <xf numFmtId="178" fontId="29" fillId="3" borderId="91" xfId="8" applyNumberFormat="1" applyFont="1" applyFill="1" applyBorder="1"/>
    <xf numFmtId="178" fontId="29" fillId="3" borderId="92" xfId="8" applyNumberFormat="1" applyFont="1" applyFill="1" applyBorder="1"/>
    <xf numFmtId="178" fontId="29" fillId="3" borderId="7" xfId="8" applyNumberFormat="1" applyFont="1" applyFill="1" applyBorder="1"/>
    <xf numFmtId="178" fontId="29" fillId="3" borderId="41" xfId="8" applyNumberFormat="1" applyFont="1" applyFill="1" applyBorder="1"/>
    <xf numFmtId="179" fontId="31" fillId="0" borderId="0" xfId="8" applyNumberFormat="1" applyFont="1"/>
    <xf numFmtId="178" fontId="31" fillId="0" borderId="0" xfId="8" applyNumberFormat="1" applyFont="1"/>
    <xf numFmtId="203" fontId="15" fillId="3" borderId="16" xfId="1" applyNumberFormat="1" applyFont="1" applyFill="1" applyBorder="1" applyAlignment="1">
      <alignment horizontal="left" indent="1"/>
    </xf>
    <xf numFmtId="178" fontId="51" fillId="3" borderId="0" xfId="8" applyNumberFormat="1" applyFont="1" applyFill="1"/>
    <xf numFmtId="169" fontId="29" fillId="3" borderId="16" xfId="8" applyNumberFormat="1" applyFont="1" applyFill="1" applyBorder="1" applyAlignment="1">
      <alignment horizontal="left" indent="2"/>
    </xf>
    <xf numFmtId="179" fontId="51" fillId="0" borderId="0" xfId="8" applyNumberFormat="1" applyFont="1"/>
    <xf numFmtId="9" fontId="15" fillId="3" borderId="7" xfId="3" applyFont="1" applyFill="1" applyBorder="1" applyAlignment="1" applyProtection="1"/>
    <xf numFmtId="9" fontId="15" fillId="0" borderId="7" xfId="3" applyFont="1" applyFill="1" applyBorder="1" applyAlignment="1" applyProtection="1"/>
    <xf numFmtId="203" fontId="15" fillId="0" borderId="86" xfId="1" applyNumberFormat="1" applyFont="1" applyFill="1" applyBorder="1" applyAlignment="1">
      <alignment horizontal="left" indent="1"/>
    </xf>
    <xf numFmtId="174" fontId="15" fillId="3" borderId="16" xfId="8" applyNumberFormat="1" applyFont="1" applyFill="1" applyBorder="1" applyAlignment="1">
      <alignment horizontal="left" indent="1"/>
    </xf>
    <xf numFmtId="178" fontId="15" fillId="3" borderId="0" xfId="1" applyNumberFormat="1" applyFont="1" applyFill="1" applyBorder="1" applyAlignment="1" applyProtection="1"/>
    <xf numFmtId="178" fontId="15" fillId="3" borderId="7" xfId="1" applyNumberFormat="1" applyFont="1" applyFill="1" applyBorder="1" applyAlignment="1" applyProtection="1"/>
    <xf numFmtId="178" fontId="15" fillId="3" borderId="41" xfId="1" applyNumberFormat="1" applyFont="1" applyFill="1" applyBorder="1" applyAlignment="1" applyProtection="1"/>
    <xf numFmtId="178" fontId="15" fillId="3" borderId="48" xfId="1" applyNumberFormat="1" applyFont="1" applyFill="1" applyBorder="1" applyAlignment="1" applyProtection="1"/>
    <xf numFmtId="178" fontId="15" fillId="3" borderId="67" xfId="1" applyNumberFormat="1" applyFont="1" applyFill="1" applyBorder="1" applyAlignment="1" applyProtection="1"/>
    <xf numFmtId="178" fontId="15" fillId="3" borderId="64" xfId="1" applyNumberFormat="1" applyFont="1" applyFill="1" applyBorder="1" applyAlignment="1" applyProtection="1"/>
    <xf numFmtId="178" fontId="15" fillId="0" borderId="0" xfId="1" applyNumberFormat="1" applyFont="1" applyFill="1" applyBorder="1" applyAlignment="1" applyProtection="1"/>
    <xf numFmtId="179" fontId="15" fillId="3" borderId="0" xfId="1" applyNumberFormat="1" applyFont="1" applyFill="1" applyBorder="1" applyAlignment="1" applyProtection="1"/>
    <xf numFmtId="178" fontId="15" fillId="0" borderId="67" xfId="1" applyNumberFormat="1" applyFont="1" applyFill="1" applyBorder="1" applyAlignment="1" applyProtection="1"/>
    <xf numFmtId="178" fontId="15" fillId="0" borderId="64" xfId="1" applyNumberFormat="1" applyFont="1" applyFill="1" applyBorder="1" applyAlignment="1" applyProtection="1"/>
    <xf numFmtId="178" fontId="15" fillId="3" borderId="87" xfId="1" applyNumberFormat="1" applyFont="1" applyFill="1" applyBorder="1" applyAlignment="1" applyProtection="1"/>
    <xf numFmtId="178" fontId="15" fillId="3" borderId="82" xfId="1" applyNumberFormat="1" applyFont="1" applyFill="1" applyBorder="1" applyAlignment="1" applyProtection="1"/>
    <xf numFmtId="178" fontId="15" fillId="3" borderId="68" xfId="1" applyNumberFormat="1" applyFont="1" applyFill="1" applyBorder="1" applyAlignment="1" applyProtection="1"/>
    <xf numFmtId="178" fontId="15" fillId="3" borderId="80" xfId="1" applyNumberFormat="1" applyFont="1" applyFill="1" applyBorder="1" applyAlignment="1" applyProtection="1"/>
    <xf numFmtId="0" fontId="29" fillId="3" borderId="16" xfId="10" applyNumberFormat="1" applyFont="1" applyFill="1" applyBorder="1" applyAlignment="1" applyProtection="1">
      <alignment horizontal="left"/>
    </xf>
    <xf numFmtId="177" fontId="15" fillId="3" borderId="7" xfId="1" applyNumberFormat="1" applyFont="1" applyFill="1" applyBorder="1" applyAlignment="1" applyProtection="1"/>
    <xf numFmtId="177" fontId="15" fillId="3" borderId="0" xfId="1" applyNumberFormat="1" applyFont="1" applyFill="1" applyBorder="1" applyAlignment="1" applyProtection="1"/>
    <xf numFmtId="177" fontId="15" fillId="0" borderId="7" xfId="1" applyNumberFormat="1" applyFont="1" applyFill="1" applyBorder="1" applyAlignment="1" applyProtection="1"/>
    <xf numFmtId="178" fontId="15" fillId="0" borderId="41" xfId="1" applyNumberFormat="1" applyFont="1" applyFill="1" applyBorder="1" applyAlignment="1" applyProtection="1"/>
    <xf numFmtId="178" fontId="27" fillId="3" borderId="0" xfId="8" applyNumberFormat="1" applyFont="1" applyFill="1"/>
    <xf numFmtId="169" fontId="15" fillId="0" borderId="88" xfId="8" applyNumberFormat="1" applyFont="1" applyBorder="1" applyAlignment="1">
      <alignment horizontal="left" indent="2"/>
    </xf>
    <xf numFmtId="178" fontId="15" fillId="3" borderId="46" xfId="8" applyNumberFormat="1" applyFont="1" applyFill="1" applyBorder="1"/>
    <xf numFmtId="178" fontId="15" fillId="3" borderId="76" xfId="8" applyNumberFormat="1" applyFont="1" applyFill="1" applyBorder="1"/>
    <xf numFmtId="178" fontId="15" fillId="3" borderId="75" xfId="8" applyNumberFormat="1" applyFont="1" applyFill="1" applyBorder="1"/>
    <xf numFmtId="178" fontId="15" fillId="0" borderId="46" xfId="8" applyNumberFormat="1" applyFont="1" applyBorder="1"/>
    <xf numFmtId="178" fontId="15" fillId="0" borderId="75" xfId="8" applyNumberFormat="1" applyFont="1" applyBorder="1"/>
    <xf numFmtId="178" fontId="15" fillId="3" borderId="89" xfId="8" applyNumberFormat="1" applyFont="1" applyFill="1" applyBorder="1"/>
    <xf numFmtId="178" fontId="15" fillId="3" borderId="90" xfId="8" applyNumberFormat="1" applyFont="1" applyFill="1" applyBorder="1"/>
    <xf numFmtId="178" fontId="15" fillId="3" borderId="91" xfId="8" applyNumberFormat="1" applyFont="1" applyFill="1" applyBorder="1"/>
    <xf numFmtId="178" fontId="15" fillId="3" borderId="92" xfId="8" applyNumberFormat="1" applyFont="1" applyFill="1" applyBorder="1"/>
    <xf numFmtId="169" fontId="29" fillId="0" borderId="93" xfId="8" applyNumberFormat="1" applyFont="1" applyBorder="1" applyAlignment="1">
      <alignment horizontal="left" vertical="center" indent="2"/>
    </xf>
    <xf numFmtId="204" fontId="29" fillId="3" borderId="94" xfId="8" applyNumberFormat="1" applyFont="1" applyFill="1" applyBorder="1" applyAlignment="1">
      <alignment vertical="center"/>
    </xf>
    <xf numFmtId="178" fontId="29" fillId="3" borderId="94" xfId="8" applyNumberFormat="1" applyFont="1" applyFill="1" applyBorder="1" applyAlignment="1">
      <alignment vertical="center"/>
    </xf>
    <xf numFmtId="178" fontId="29" fillId="3" borderId="95" xfId="8" applyNumberFormat="1" applyFont="1" applyFill="1" applyBorder="1" applyAlignment="1">
      <alignment vertical="center"/>
    </xf>
    <xf numFmtId="178" fontId="29" fillId="3" borderId="96" xfId="8" applyNumberFormat="1" applyFont="1" applyFill="1" applyBorder="1" applyAlignment="1">
      <alignment vertical="center"/>
    </xf>
    <xf numFmtId="178" fontId="29" fillId="3" borderId="97" xfId="8" applyNumberFormat="1" applyFont="1" applyFill="1" applyBorder="1" applyAlignment="1">
      <alignment vertical="center"/>
    </xf>
    <xf numFmtId="178" fontId="29" fillId="3" borderId="85" xfId="8" applyNumberFormat="1" applyFont="1" applyFill="1" applyBorder="1" applyAlignment="1">
      <alignment vertical="center"/>
    </xf>
    <xf numFmtId="178" fontId="29" fillId="3" borderId="42" xfId="8" applyNumberFormat="1" applyFont="1" applyFill="1" applyBorder="1" applyAlignment="1">
      <alignment vertical="center"/>
    </xf>
    <xf numFmtId="178" fontId="29" fillId="3" borderId="44" xfId="8" applyNumberFormat="1" applyFont="1" applyFill="1" applyBorder="1" applyAlignment="1">
      <alignment vertical="center"/>
    </xf>
    <xf numFmtId="178" fontId="29" fillId="0" borderId="42" xfId="8" applyNumberFormat="1" applyFont="1" applyBorder="1" applyAlignment="1">
      <alignment vertical="center"/>
    </xf>
    <xf numFmtId="178" fontId="29" fillId="3" borderId="89" xfId="8" applyNumberFormat="1" applyFont="1" applyFill="1" applyBorder="1" applyAlignment="1">
      <alignment vertical="center"/>
    </xf>
    <xf numFmtId="178" fontId="29" fillId="3" borderId="90" xfId="8" applyNumberFormat="1" applyFont="1" applyFill="1" applyBorder="1" applyAlignment="1">
      <alignment vertical="center"/>
    </xf>
    <xf numFmtId="178" fontId="29" fillId="3" borderId="98" xfId="8" applyNumberFormat="1" applyFont="1" applyFill="1" applyBorder="1" applyAlignment="1">
      <alignment vertical="center"/>
    </xf>
    <xf numFmtId="178" fontId="29" fillId="3" borderId="99" xfId="8" applyNumberFormat="1" applyFont="1" applyFill="1" applyBorder="1" applyAlignment="1">
      <alignment vertical="center"/>
    </xf>
    <xf numFmtId="178" fontId="29" fillId="3" borderId="100" xfId="8" applyNumberFormat="1" applyFont="1" applyFill="1" applyBorder="1" applyAlignment="1">
      <alignment vertical="center"/>
    </xf>
    <xf numFmtId="178" fontId="65" fillId="0" borderId="0" xfId="8" applyNumberFormat="1" applyFont="1"/>
    <xf numFmtId="174" fontId="31" fillId="0" borderId="0" xfId="8" applyNumberFormat="1" applyFont="1" applyAlignment="1">
      <alignment horizontal="left"/>
    </xf>
    <xf numFmtId="9" fontId="27" fillId="3" borderId="0" xfId="3" applyFont="1" applyFill="1" applyBorder="1" applyAlignment="1" applyProtection="1"/>
    <xf numFmtId="0" fontId="29" fillId="3" borderId="59" xfId="8" applyFont="1" applyFill="1" applyBorder="1"/>
    <xf numFmtId="176" fontId="29" fillId="3" borderId="67" xfId="8" applyNumberFormat="1" applyFont="1" applyFill="1" applyBorder="1"/>
    <xf numFmtId="175" fontId="29" fillId="3" borderId="59" xfId="8" applyNumberFormat="1" applyFont="1" applyFill="1" applyBorder="1"/>
    <xf numFmtId="187" fontId="32" fillId="3" borderId="7" xfId="11" applyNumberFormat="1" applyFont="1" applyFill="1" applyBorder="1" applyAlignment="1" applyProtection="1">
      <alignment horizontal="right"/>
    </xf>
    <xf numFmtId="187" fontId="15" fillId="0" borderId="7" xfId="9" applyNumberFormat="1" applyFont="1" applyBorder="1" applyAlignment="1">
      <alignment horizontal="right"/>
    </xf>
    <xf numFmtId="187" fontId="15" fillId="0" borderId="16" xfId="9" applyNumberFormat="1" applyFont="1" applyBorder="1" applyAlignment="1">
      <alignment horizontal="right"/>
    </xf>
    <xf numFmtId="187" fontId="32" fillId="3" borderId="86" xfId="9" applyNumberFormat="1" applyFont="1" applyFill="1" applyBorder="1" applyAlignment="1">
      <alignment horizontal="left" indent="1"/>
    </xf>
    <xf numFmtId="188" fontId="32" fillId="0" borderId="85" xfId="11" applyNumberFormat="1" applyFont="1" applyFill="1" applyBorder="1" applyAlignment="1" applyProtection="1">
      <alignment horizontal="right"/>
    </xf>
    <xf numFmtId="188" fontId="32" fillId="0" borderId="42" xfId="11" applyNumberFormat="1" applyFont="1" applyFill="1" applyBorder="1" applyAlignment="1" applyProtection="1">
      <alignment horizontal="right"/>
    </xf>
    <xf numFmtId="188" fontId="32" fillId="0" borderId="44" xfId="11" applyNumberFormat="1" applyFont="1" applyFill="1" applyBorder="1" applyAlignment="1" applyProtection="1">
      <alignment horizontal="right"/>
    </xf>
    <xf numFmtId="188" fontId="32" fillId="0" borderId="86" xfId="9" applyNumberFormat="1" applyFont="1" applyBorder="1" applyAlignment="1">
      <alignment horizontal="right"/>
    </xf>
    <xf numFmtId="174" fontId="31" fillId="11" borderId="0" xfId="8" applyNumberFormat="1" applyFont="1" applyFill="1" applyAlignment="1">
      <alignment horizontal="left"/>
    </xf>
    <xf numFmtId="178" fontId="27" fillId="11" borderId="0" xfId="8" applyNumberFormat="1" applyFont="1" applyFill="1" applyAlignment="1">
      <alignment horizontal="right"/>
    </xf>
    <xf numFmtId="178" fontId="27" fillId="11" borderId="0" xfId="8" applyNumberFormat="1" applyFont="1" applyFill="1"/>
    <xf numFmtId="179" fontId="27" fillId="11" borderId="0" xfId="8" applyNumberFormat="1" applyFont="1" applyFill="1" applyAlignment="1">
      <alignment horizontal="right"/>
    </xf>
    <xf numFmtId="204" fontId="27" fillId="11" borderId="0" xfId="8" applyNumberFormat="1" applyFont="1" applyFill="1" applyAlignment="1">
      <alignment horizontal="right"/>
    </xf>
    <xf numFmtId="205" fontId="27" fillId="11" borderId="0" xfId="8" applyNumberFormat="1" applyFont="1" applyFill="1" applyAlignment="1">
      <alignment horizontal="right"/>
    </xf>
    <xf numFmtId="179" fontId="15" fillId="0" borderId="0" xfId="8" applyNumberFormat="1" applyFont="1"/>
    <xf numFmtId="206" fontId="15" fillId="0" borderId="0" xfId="1" applyNumberFormat="1" applyFont="1" applyFill="1" applyBorder="1" applyAlignment="1"/>
    <xf numFmtId="0" fontId="15" fillId="0" borderId="48" xfId="8" applyFont="1" applyBorder="1"/>
    <xf numFmtId="178" fontId="15" fillId="0" borderId="48" xfId="8" applyNumberFormat="1" applyFont="1" applyBorder="1"/>
    <xf numFmtId="178" fontId="15" fillId="0" borderId="8" xfId="8" applyNumberFormat="1" applyFont="1" applyBorder="1"/>
    <xf numFmtId="178" fontId="15" fillId="0" borderId="64" xfId="8" applyNumberFormat="1" applyFont="1" applyBorder="1"/>
    <xf numFmtId="0" fontId="15" fillId="0" borderId="41" xfId="8" applyFont="1" applyBorder="1"/>
    <xf numFmtId="178" fontId="48" fillId="0" borderId="41" xfId="8" applyNumberFormat="1" applyFont="1" applyBorder="1"/>
    <xf numFmtId="178" fontId="48" fillId="0" borderId="0" xfId="8" applyNumberFormat="1" applyFont="1"/>
    <xf numFmtId="178" fontId="48" fillId="0" borderId="7" xfId="8" applyNumberFormat="1" applyFont="1" applyBorder="1"/>
    <xf numFmtId="207" fontId="15" fillId="0" borderId="41" xfId="8" applyNumberFormat="1" applyFont="1" applyBorder="1"/>
    <xf numFmtId="207" fontId="15" fillId="0" borderId="0" xfId="8" applyNumberFormat="1" applyFont="1"/>
    <xf numFmtId="207" fontId="15" fillId="0" borderId="7" xfId="8" applyNumberFormat="1" applyFont="1" applyBorder="1"/>
    <xf numFmtId="207" fontId="41" fillId="0" borderId="41" xfId="8" applyNumberFormat="1" applyFont="1" applyBorder="1"/>
    <xf numFmtId="207" fontId="41" fillId="0" borderId="0" xfId="8" applyNumberFormat="1" applyFont="1"/>
    <xf numFmtId="207" fontId="41" fillId="0" borderId="7" xfId="8" applyNumberFormat="1" applyFont="1" applyBorder="1"/>
    <xf numFmtId="203" fontId="15" fillId="0" borderId="41" xfId="8" applyNumberFormat="1" applyFont="1" applyBorder="1" applyAlignment="1">
      <alignment horizontal="left" indent="1"/>
    </xf>
    <xf numFmtId="165" fontId="15" fillId="0" borderId="41" xfId="3" applyNumberFormat="1" applyFont="1" applyFill="1" applyBorder="1" applyAlignment="1"/>
    <xf numFmtId="165" fontId="15" fillId="0" borderId="0" xfId="3" applyNumberFormat="1" applyFont="1" applyFill="1" applyBorder="1" applyAlignment="1"/>
    <xf numFmtId="165" fontId="15" fillId="0" borderId="7" xfId="3" applyNumberFormat="1" applyFont="1" applyFill="1" applyBorder="1" applyAlignment="1"/>
    <xf numFmtId="165" fontId="41" fillId="0" borderId="41" xfId="3" applyNumberFormat="1" applyFont="1" applyFill="1" applyBorder="1" applyAlignment="1"/>
    <xf numFmtId="165" fontId="41" fillId="0" borderId="0" xfId="3" applyNumberFormat="1" applyFont="1" applyFill="1" applyBorder="1" applyAlignment="1"/>
    <xf numFmtId="203" fontId="15" fillId="3" borderId="41" xfId="8" applyNumberFormat="1" applyFont="1" applyFill="1" applyBorder="1" applyAlignment="1">
      <alignment horizontal="left" indent="1"/>
    </xf>
    <xf numFmtId="165" fontId="15" fillId="3" borderId="7" xfId="3" applyNumberFormat="1" applyFont="1" applyFill="1" applyBorder="1" applyAlignment="1"/>
    <xf numFmtId="9" fontId="48" fillId="0" borderId="41" xfId="3" applyFont="1" applyFill="1" applyBorder="1" applyAlignment="1"/>
    <xf numFmtId="9" fontId="15" fillId="0" borderId="0" xfId="3" applyFont="1" applyFill="1" applyBorder="1" applyAlignment="1"/>
    <xf numFmtId="9" fontId="15" fillId="0" borderId="7" xfId="3" applyFont="1" applyFill="1" applyBorder="1" applyAlignment="1"/>
    <xf numFmtId="9" fontId="48" fillId="0" borderId="0" xfId="3" applyFont="1" applyFill="1" applyBorder="1" applyAlignment="1"/>
    <xf numFmtId="0" fontId="15" fillId="12" borderId="41" xfId="8" applyFont="1" applyFill="1" applyBorder="1"/>
    <xf numFmtId="175" fontId="15" fillId="12" borderId="41" xfId="3" applyNumberFormat="1" applyFont="1" applyFill="1" applyBorder="1" applyAlignment="1"/>
    <xf numFmtId="175" fontId="15" fillId="12" borderId="0" xfId="3" applyNumberFormat="1" applyFont="1" applyFill="1" applyBorder="1" applyAlignment="1"/>
    <xf numFmtId="175" fontId="15" fillId="12" borderId="7" xfId="3" applyNumberFormat="1" applyFont="1" applyFill="1" applyBorder="1" applyAlignment="1"/>
    <xf numFmtId="175" fontId="15" fillId="12" borderId="41" xfId="8" applyNumberFormat="1" applyFont="1" applyFill="1" applyBorder="1" applyAlignment="1">
      <alignment horizontal="right"/>
    </xf>
    <xf numFmtId="175" fontId="15" fillId="12" borderId="0" xfId="8" applyNumberFormat="1" applyFont="1" applyFill="1" applyAlignment="1">
      <alignment horizontal="right"/>
    </xf>
    <xf numFmtId="175" fontId="15" fillId="12" borderId="7" xfId="8" applyNumberFormat="1" applyFont="1" applyFill="1" applyBorder="1" applyAlignment="1">
      <alignment horizontal="right"/>
    </xf>
    <xf numFmtId="9" fontId="29" fillId="0" borderId="7" xfId="3" applyFont="1" applyFill="1" applyBorder="1" applyAlignment="1" applyProtection="1"/>
    <xf numFmtId="175" fontId="15" fillId="12" borderId="16" xfId="8" applyNumberFormat="1" applyFont="1" applyFill="1" applyBorder="1" applyAlignment="1">
      <alignment horizontal="right"/>
    </xf>
    <xf numFmtId="0" fontId="29" fillId="12" borderId="41" xfId="8" applyFont="1" applyFill="1" applyBorder="1"/>
    <xf numFmtId="175" fontId="29" fillId="12" borderId="41" xfId="3" applyNumberFormat="1" applyFont="1" applyFill="1" applyBorder="1" applyAlignment="1"/>
    <xf numFmtId="175" fontId="29" fillId="12" borderId="0" xfId="3" applyNumberFormat="1" applyFont="1" applyFill="1" applyBorder="1" applyAlignment="1"/>
    <xf numFmtId="175" fontId="29" fillId="12" borderId="7" xfId="3" applyNumberFormat="1" applyFont="1" applyFill="1" applyBorder="1" applyAlignment="1"/>
    <xf numFmtId="175" fontId="29" fillId="12" borderId="41" xfId="8" applyNumberFormat="1" applyFont="1" applyFill="1" applyBorder="1" applyAlignment="1">
      <alignment horizontal="right"/>
    </xf>
    <xf numFmtId="175" fontId="29" fillId="12" borderId="0" xfId="8" applyNumberFormat="1" applyFont="1" applyFill="1" applyAlignment="1">
      <alignment horizontal="right"/>
    </xf>
    <xf numFmtId="175" fontId="29" fillId="12" borderId="7" xfId="8" applyNumberFormat="1" applyFont="1" applyFill="1" applyBorder="1" applyAlignment="1">
      <alignment horizontal="right"/>
    </xf>
    <xf numFmtId="175" fontId="29" fillId="0" borderId="41" xfId="8" applyNumberFormat="1" applyFont="1" applyBorder="1" applyAlignment="1">
      <alignment horizontal="right"/>
    </xf>
    <xf numFmtId="175" fontId="29" fillId="12" borderId="16" xfId="8" applyNumberFormat="1" applyFont="1" applyFill="1" applyBorder="1" applyAlignment="1">
      <alignment horizontal="right"/>
    </xf>
    <xf numFmtId="0" fontId="35" fillId="12" borderId="41" xfId="8" applyFont="1" applyFill="1" applyBorder="1" applyAlignment="1">
      <alignment horizontal="left" indent="1"/>
    </xf>
    <xf numFmtId="9" fontId="15" fillId="12" borderId="41" xfId="3" applyFont="1" applyFill="1" applyBorder="1" applyAlignment="1"/>
    <xf numFmtId="9" fontId="15" fillId="12" borderId="0" xfId="3" applyFont="1" applyFill="1" applyBorder="1" applyAlignment="1"/>
    <xf numFmtId="9" fontId="15" fillId="12" borderId="7" xfId="3" applyFont="1" applyFill="1" applyBorder="1" applyAlignment="1"/>
    <xf numFmtId="191" fontId="15" fillId="12" borderId="41" xfId="8" applyNumberFormat="1" applyFont="1" applyFill="1" applyBorder="1" applyAlignment="1">
      <alignment horizontal="right"/>
    </xf>
    <xf numFmtId="191" fontId="15" fillId="12" borderId="0" xfId="8" applyNumberFormat="1" applyFont="1" applyFill="1" applyAlignment="1">
      <alignment horizontal="right"/>
    </xf>
    <xf numFmtId="191" fontId="15" fillId="12" borderId="7" xfId="8" applyNumberFormat="1" applyFont="1" applyFill="1" applyBorder="1" applyAlignment="1">
      <alignment horizontal="right"/>
    </xf>
    <xf numFmtId="175" fontId="35" fillId="13" borderId="0" xfId="8" applyNumberFormat="1" applyFont="1" applyFill="1"/>
    <xf numFmtId="175" fontId="35" fillId="13" borderId="7" xfId="8" applyNumberFormat="1" applyFont="1" applyFill="1" applyBorder="1"/>
    <xf numFmtId="175" fontId="35" fillId="13" borderId="41" xfId="8" applyNumberFormat="1" applyFont="1" applyFill="1" applyBorder="1"/>
    <xf numFmtId="9" fontId="29" fillId="0" borderId="16" xfId="3" applyFont="1" applyFill="1" applyBorder="1" applyAlignment="1" applyProtection="1"/>
    <xf numFmtId="175" fontId="35" fillId="13" borderId="7" xfId="8" applyNumberFormat="1" applyFont="1" applyFill="1" applyBorder="1" applyAlignment="1">
      <alignment horizontal="right"/>
    </xf>
    <xf numFmtId="175" fontId="35" fillId="13" borderId="16" xfId="8" applyNumberFormat="1" applyFont="1" applyFill="1" applyBorder="1" applyAlignment="1">
      <alignment horizontal="right"/>
    </xf>
    <xf numFmtId="175" fontId="35" fillId="13" borderId="16" xfId="8" applyNumberFormat="1" applyFont="1" applyFill="1" applyBorder="1"/>
    <xf numFmtId="9" fontId="29" fillId="12" borderId="41" xfId="3" applyFont="1" applyFill="1" applyBorder="1" applyAlignment="1"/>
    <xf numFmtId="9" fontId="29" fillId="12" borderId="0" xfId="3" applyFont="1" applyFill="1" applyBorder="1" applyAlignment="1"/>
    <xf numFmtId="9" fontId="29" fillId="12" borderId="7" xfId="3" applyFont="1" applyFill="1" applyBorder="1" applyAlignment="1"/>
    <xf numFmtId="191" fontId="29" fillId="12" borderId="41" xfId="8" applyNumberFormat="1" applyFont="1" applyFill="1" applyBorder="1" applyAlignment="1">
      <alignment horizontal="right"/>
    </xf>
    <xf numFmtId="191" fontId="29" fillId="12" borderId="0" xfId="8" applyNumberFormat="1" applyFont="1" applyFill="1" applyAlignment="1">
      <alignment horizontal="right"/>
    </xf>
    <xf numFmtId="191" fontId="29" fillId="12" borderId="7" xfId="8" applyNumberFormat="1" applyFont="1" applyFill="1" applyBorder="1" applyAlignment="1">
      <alignment horizontal="right"/>
    </xf>
    <xf numFmtId="175" fontId="66" fillId="13" borderId="0" xfId="8" applyNumberFormat="1" applyFont="1" applyFill="1"/>
    <xf numFmtId="175" fontId="66" fillId="13" borderId="7" xfId="8" applyNumberFormat="1" applyFont="1" applyFill="1" applyBorder="1"/>
    <xf numFmtId="165" fontId="29" fillId="13" borderId="41" xfId="3" applyNumberFormat="1" applyFont="1" applyFill="1" applyBorder="1"/>
    <xf numFmtId="165" fontId="29" fillId="13" borderId="0" xfId="3" applyNumberFormat="1" applyFont="1" applyFill="1" applyBorder="1"/>
    <xf numFmtId="165" fontId="29" fillId="0" borderId="41" xfId="3" applyNumberFormat="1" applyFont="1" applyFill="1" applyBorder="1"/>
    <xf numFmtId="165" fontId="29" fillId="13" borderId="16" xfId="3" applyNumberFormat="1" applyFont="1" applyFill="1" applyBorder="1"/>
    <xf numFmtId="0" fontId="15" fillId="3" borderId="41" xfId="8" applyFont="1" applyFill="1" applyBorder="1" applyAlignment="1">
      <alignment horizontal="left"/>
    </xf>
    <xf numFmtId="9" fontId="15" fillId="3" borderId="41" xfId="3" applyFont="1" applyFill="1" applyBorder="1" applyAlignment="1"/>
    <xf numFmtId="9" fontId="15" fillId="3" borderId="0" xfId="3" applyFont="1" applyFill="1" applyBorder="1" applyAlignment="1"/>
    <xf numFmtId="9" fontId="15" fillId="3" borderId="7" xfId="3" applyFont="1" applyFill="1" applyBorder="1" applyAlignment="1"/>
    <xf numFmtId="191" fontId="41" fillId="3" borderId="41" xfId="8" applyNumberFormat="1" applyFont="1" applyFill="1" applyBorder="1" applyAlignment="1">
      <alignment horizontal="right"/>
    </xf>
    <xf numFmtId="191" fontId="41" fillId="3" borderId="0" xfId="8" applyNumberFormat="1" applyFont="1" applyFill="1" applyAlignment="1">
      <alignment horizontal="right"/>
    </xf>
    <xf numFmtId="191" fontId="41" fillId="3" borderId="7" xfId="8" applyNumberFormat="1" applyFont="1" applyFill="1" applyBorder="1" applyAlignment="1">
      <alignment horizontal="right"/>
    </xf>
    <xf numFmtId="9" fontId="41" fillId="3" borderId="41" xfId="3" applyFont="1" applyFill="1" applyBorder="1" applyAlignment="1">
      <alignment horizontal="right"/>
    </xf>
    <xf numFmtId="9" fontId="41" fillId="3" borderId="0" xfId="3" applyFont="1" applyFill="1" applyBorder="1" applyAlignment="1">
      <alignment horizontal="right"/>
    </xf>
    <xf numFmtId="9" fontId="47" fillId="3" borderId="16" xfId="3" applyFont="1" applyFill="1" applyBorder="1" applyAlignment="1" applyProtection="1"/>
    <xf numFmtId="193" fontId="15" fillId="3" borderId="87" xfId="1" applyNumberFormat="1" applyFont="1" applyFill="1" applyBorder="1" applyAlignment="1" applyProtection="1"/>
    <xf numFmtId="193" fontId="15" fillId="3" borderId="80" xfId="1" applyNumberFormat="1" applyFont="1" applyFill="1" applyBorder="1" applyAlignment="1" applyProtection="1"/>
    <xf numFmtId="0" fontId="15" fillId="0" borderId="85" xfId="8" applyFont="1" applyBorder="1"/>
    <xf numFmtId="165" fontId="15" fillId="0" borderId="85" xfId="3" applyNumberFormat="1" applyFont="1" applyFill="1" applyBorder="1" applyAlignment="1"/>
    <xf numFmtId="165" fontId="15" fillId="0" borderId="42" xfId="3" applyNumberFormat="1" applyFont="1" applyFill="1" applyBorder="1" applyAlignment="1"/>
    <xf numFmtId="165" fontId="15" fillId="0" borderId="44" xfId="3" applyNumberFormat="1" applyFont="1" applyFill="1" applyBorder="1" applyAlignment="1"/>
    <xf numFmtId="178" fontId="15" fillId="3" borderId="101" xfId="8" applyNumberFormat="1" applyFont="1" applyFill="1" applyBorder="1"/>
    <xf numFmtId="178" fontId="15" fillId="3" borderId="57" xfId="8" applyNumberFormat="1" applyFont="1" applyFill="1" applyBorder="1"/>
    <xf numFmtId="178" fontId="15" fillId="3" borderId="56" xfId="8" applyNumberFormat="1" applyFont="1" applyFill="1" applyBorder="1"/>
    <xf numFmtId="178" fontId="15" fillId="3" borderId="58" xfId="8" applyNumberFormat="1" applyFont="1" applyFill="1" applyBorder="1"/>
    <xf numFmtId="178" fontId="35" fillId="0" borderId="0" xfId="8" applyNumberFormat="1" applyFont="1"/>
    <xf numFmtId="9" fontId="27" fillId="0" borderId="0" xfId="3" applyFont="1" applyFill="1" applyBorder="1" applyAlignment="1"/>
    <xf numFmtId="178" fontId="55" fillId="0" borderId="0" xfId="8" applyNumberFormat="1" applyFont="1"/>
    <xf numFmtId="1" fontId="67" fillId="0" borderId="0" xfId="8" applyNumberFormat="1" applyFont="1"/>
    <xf numFmtId="1" fontId="27" fillId="0" borderId="0" xfId="8" applyNumberFormat="1" applyFont="1"/>
    <xf numFmtId="0" fontId="67" fillId="0" borderId="0" xfId="8" applyFont="1"/>
    <xf numFmtId="9" fontId="26" fillId="0" borderId="102" xfId="3" applyFont="1" applyFill="1" applyBorder="1" applyAlignment="1" applyProtection="1"/>
    <xf numFmtId="0" fontId="68" fillId="14" borderId="43" xfId="8" applyFont="1" applyFill="1" applyBorder="1"/>
    <xf numFmtId="0" fontId="69" fillId="14" borderId="42" xfId="8" applyFont="1" applyFill="1" applyBorder="1"/>
    <xf numFmtId="1" fontId="33" fillId="0" borderId="82" xfId="8" applyNumberFormat="1" applyFont="1" applyBorder="1" applyAlignment="1">
      <alignment horizontal="right"/>
    </xf>
    <xf numFmtId="1" fontId="33" fillId="0" borderId="16" xfId="8" applyNumberFormat="1" applyFont="1" applyBorder="1" applyAlignment="1">
      <alignment horizontal="right"/>
    </xf>
    <xf numFmtId="1" fontId="33" fillId="0" borderId="80" xfId="8" applyNumberFormat="1" applyFont="1" applyBorder="1" applyAlignment="1">
      <alignment horizontal="right"/>
    </xf>
    <xf numFmtId="0" fontId="15" fillId="3" borderId="51" xfId="8" applyFont="1" applyFill="1" applyBorder="1"/>
    <xf numFmtId="0" fontId="15" fillId="3" borderId="82" xfId="8" applyFont="1" applyFill="1" applyBorder="1"/>
    <xf numFmtId="0" fontId="15" fillId="0" borderId="51" xfId="8" applyFont="1" applyBorder="1"/>
    <xf numFmtId="0" fontId="15" fillId="0" borderId="87" xfId="8" applyFont="1" applyBorder="1"/>
    <xf numFmtId="0" fontId="15" fillId="0" borderId="82" xfId="8" applyFont="1" applyBorder="1"/>
    <xf numFmtId="0" fontId="15" fillId="0" borderId="80" xfId="8" applyFont="1" applyBorder="1"/>
    <xf numFmtId="0" fontId="27" fillId="0" borderId="53" xfId="8" applyFont="1" applyBorder="1"/>
    <xf numFmtId="178" fontId="15" fillId="3" borderId="53" xfId="8" applyNumberFormat="1" applyFont="1" applyFill="1" applyBorder="1"/>
    <xf numFmtId="178" fontId="15" fillId="0" borderId="51" xfId="8" applyNumberFormat="1" applyFont="1" applyBorder="1"/>
    <xf numFmtId="178" fontId="15" fillId="0" borderId="87" xfId="8" applyNumberFormat="1" applyFont="1" applyBorder="1"/>
    <xf numFmtId="178" fontId="15" fillId="0" borderId="82" xfId="8" applyNumberFormat="1" applyFont="1" applyBorder="1"/>
    <xf numFmtId="178" fontId="15" fillId="0" borderId="16" xfId="8" applyNumberFormat="1" applyFont="1" applyBorder="1"/>
    <xf numFmtId="178" fontId="15" fillId="0" borderId="80" xfId="8" applyNumberFormat="1" applyFont="1" applyBorder="1"/>
    <xf numFmtId="0" fontId="27" fillId="0" borderId="7" xfId="8" applyFont="1" applyBorder="1"/>
    <xf numFmtId="0" fontId="15" fillId="0" borderId="7" xfId="8" applyFont="1" applyBorder="1"/>
    <xf numFmtId="176" fontId="15" fillId="3" borderId="7" xfId="8" applyNumberFormat="1" applyFont="1" applyFill="1" applyBorder="1"/>
    <xf numFmtId="191" fontId="15" fillId="0" borderId="7" xfId="8" applyNumberFormat="1" applyFont="1" applyBorder="1"/>
    <xf numFmtId="0" fontId="29" fillId="3" borderId="16" xfId="8" applyFont="1" applyFill="1" applyBorder="1" applyAlignment="1">
      <alignment horizontal="left" indent="1"/>
    </xf>
    <xf numFmtId="178" fontId="15" fillId="0" borderId="53" xfId="8" applyNumberFormat="1" applyFont="1" applyBorder="1"/>
    <xf numFmtId="0" fontId="31" fillId="0" borderId="53" xfId="8" applyFont="1" applyBorder="1"/>
    <xf numFmtId="178" fontId="29" fillId="0" borderId="53" xfId="8" applyNumberFormat="1" applyFont="1" applyBorder="1"/>
    <xf numFmtId="0" fontId="15" fillId="3" borderId="16" xfId="8" applyFont="1" applyFill="1" applyBorder="1" applyAlignment="1">
      <alignment horizontal="left" indent="2"/>
    </xf>
    <xf numFmtId="0" fontId="15" fillId="0" borderId="16" xfId="8" applyFont="1" applyBorder="1" applyAlignment="1">
      <alignment horizontal="left" indent="2"/>
    </xf>
    <xf numFmtId="178" fontId="15" fillId="3" borderId="44" xfId="8" applyNumberFormat="1" applyFont="1" applyFill="1" applyBorder="1"/>
    <xf numFmtId="178" fontId="15" fillId="0" borderId="87" xfId="8" applyNumberFormat="1" applyFont="1" applyBorder="1" applyAlignment="1">
      <alignment horizontal="center"/>
    </xf>
    <xf numFmtId="178" fontId="15" fillId="0" borderId="82" xfId="8" applyNumberFormat="1" applyFont="1" applyBorder="1" applyAlignment="1">
      <alignment horizontal="center"/>
    </xf>
    <xf numFmtId="178" fontId="15" fillId="0" borderId="68" xfId="8" applyNumberFormat="1" applyFont="1" applyBorder="1" applyAlignment="1">
      <alignment horizontal="center"/>
    </xf>
    <xf numFmtId="178" fontId="15" fillId="0" borderId="80" xfId="8" applyNumberFormat="1" applyFont="1" applyBorder="1" applyAlignment="1">
      <alignment horizontal="center"/>
    </xf>
    <xf numFmtId="0" fontId="29" fillId="3" borderId="88" xfId="8" applyFont="1" applyFill="1" applyBorder="1"/>
    <xf numFmtId="178" fontId="29" fillId="0" borderId="89" xfId="8" applyNumberFormat="1" applyFont="1" applyBorder="1"/>
    <xf numFmtId="178" fontId="29" fillId="0" borderId="90" xfId="8" applyNumberFormat="1" applyFont="1" applyBorder="1"/>
    <xf numFmtId="178" fontId="29" fillId="0" borderId="91" xfId="8" applyNumberFormat="1" applyFont="1" applyBorder="1"/>
    <xf numFmtId="178" fontId="29" fillId="0" borderId="92" xfId="8" applyNumberFormat="1" applyFont="1" applyBorder="1"/>
    <xf numFmtId="178" fontId="29" fillId="3" borderId="78" xfId="8" applyNumberFormat="1" applyFont="1" applyFill="1" applyBorder="1"/>
    <xf numFmtId="0" fontId="15" fillId="3" borderId="7" xfId="8" applyFont="1" applyFill="1" applyBorder="1"/>
    <xf numFmtId="0" fontId="15" fillId="3" borderId="48" xfId="8" applyFont="1" applyFill="1" applyBorder="1"/>
    <xf numFmtId="0" fontId="15" fillId="3" borderId="67" xfId="8" applyFont="1" applyFill="1" applyBorder="1"/>
    <xf numFmtId="0" fontId="15" fillId="0" borderId="64" xfId="8" applyFont="1" applyBorder="1"/>
    <xf numFmtId="43" fontId="15" fillId="0" borderId="51" xfId="8" applyNumberFormat="1" applyFont="1" applyBorder="1"/>
    <xf numFmtId="0" fontId="15" fillId="3" borderId="80" xfId="8" applyFont="1" applyFill="1" applyBorder="1"/>
    <xf numFmtId="179" fontId="15" fillId="0" borderId="87" xfId="3" applyNumberFormat="1" applyFont="1" applyBorder="1"/>
    <xf numFmtId="165" fontId="15" fillId="0" borderId="87" xfId="3" applyNumberFormat="1" applyFont="1" applyBorder="1"/>
    <xf numFmtId="165" fontId="15" fillId="0" borderId="82" xfId="3" applyNumberFormat="1" applyFont="1" applyBorder="1"/>
    <xf numFmtId="165" fontId="15" fillId="0" borderId="68" xfId="3" applyNumberFormat="1" applyFont="1" applyBorder="1"/>
    <xf numFmtId="165" fontId="15" fillId="0" borderId="80" xfId="3" applyNumberFormat="1" applyFont="1" applyBorder="1"/>
    <xf numFmtId="167" fontId="15" fillId="3" borderId="0" xfId="8" applyNumberFormat="1" applyFont="1" applyFill="1"/>
    <xf numFmtId="167" fontId="15" fillId="3" borderId="82" xfId="8" applyNumberFormat="1" applyFont="1" applyFill="1" applyBorder="1"/>
    <xf numFmtId="167" fontId="15" fillId="3" borderId="41" xfId="8" applyNumberFormat="1" applyFont="1" applyFill="1" applyBorder="1"/>
    <xf numFmtId="9" fontId="15" fillId="0" borderId="0" xfId="3" applyFont="1" applyFill="1" applyBorder="1"/>
    <xf numFmtId="179" fontId="15" fillId="0" borderId="87" xfId="8" applyNumberFormat="1" applyFont="1" applyBorder="1"/>
    <xf numFmtId="0" fontId="15" fillId="0" borderId="68" xfId="8" applyFont="1" applyBorder="1"/>
    <xf numFmtId="178" fontId="41" fillId="3" borderId="41" xfId="8" applyNumberFormat="1" applyFont="1" applyFill="1" applyBorder="1"/>
    <xf numFmtId="178" fontId="41" fillId="3" borderId="0" xfId="8" applyNumberFormat="1" applyFont="1" applyFill="1"/>
    <xf numFmtId="178" fontId="15" fillId="10" borderId="0" xfId="8" applyNumberFormat="1" applyFont="1" applyFill="1"/>
    <xf numFmtId="178" fontId="15" fillId="10" borderId="53" xfId="8" applyNumberFormat="1" applyFont="1" applyFill="1" applyBorder="1"/>
    <xf numFmtId="178" fontId="15" fillId="10" borderId="82" xfId="8" applyNumberFormat="1" applyFont="1" applyFill="1" applyBorder="1"/>
    <xf numFmtId="178" fontId="15" fillId="10" borderId="41" xfId="8" applyNumberFormat="1" applyFont="1" applyFill="1" applyBorder="1"/>
    <xf numFmtId="178" fontId="41" fillId="0" borderId="41" xfId="8" applyNumberFormat="1" applyFont="1" applyBorder="1"/>
    <xf numFmtId="178" fontId="41" fillId="0" borderId="0" xfId="8" applyNumberFormat="1" applyFont="1"/>
    <xf numFmtId="178" fontId="15" fillId="3" borderId="43" xfId="8" applyNumberFormat="1" applyFont="1" applyFill="1" applyBorder="1"/>
    <xf numFmtId="179" fontId="29" fillId="3" borderId="75" xfId="8" applyNumberFormat="1" applyFont="1" applyFill="1" applyBorder="1"/>
    <xf numFmtId="179" fontId="29" fillId="3" borderId="46" xfId="8" applyNumberFormat="1" applyFont="1" applyFill="1" applyBorder="1"/>
    <xf numFmtId="179" fontId="29" fillId="3" borderId="76" xfId="8" applyNumberFormat="1" applyFont="1" applyFill="1" applyBorder="1"/>
    <xf numFmtId="178" fontId="29" fillId="0" borderId="104" xfId="8" applyNumberFormat="1" applyFont="1" applyBorder="1"/>
    <xf numFmtId="0" fontId="15" fillId="0" borderId="106" xfId="8" applyFont="1" applyBorder="1"/>
    <xf numFmtId="179" fontId="15" fillId="15" borderId="59" xfId="8" applyNumberFormat="1" applyFont="1" applyFill="1" applyBorder="1"/>
    <xf numFmtId="179" fontId="15" fillId="15" borderId="51" xfId="8" applyNumberFormat="1" applyFont="1" applyFill="1" applyBorder="1"/>
    <xf numFmtId="179" fontId="15" fillId="15" borderId="87" xfId="8" applyNumberFormat="1" applyFont="1" applyFill="1" applyBorder="1"/>
    <xf numFmtId="0" fontId="15" fillId="15" borderId="87" xfId="8" applyFont="1" applyFill="1" applyBorder="1"/>
    <xf numFmtId="0" fontId="15" fillId="15" borderId="82" xfId="8" applyFont="1" applyFill="1" applyBorder="1"/>
    <xf numFmtId="0" fontId="15" fillId="15" borderId="68" xfId="8" applyFont="1" applyFill="1" applyBorder="1"/>
    <xf numFmtId="0" fontId="15" fillId="15" borderId="80" xfId="8" applyFont="1" applyFill="1" applyBorder="1"/>
    <xf numFmtId="179" fontId="15" fillId="15" borderId="84" xfId="8" applyNumberFormat="1" applyFont="1" applyFill="1" applyBorder="1"/>
    <xf numFmtId="178" fontId="48" fillId="0" borderId="51" xfId="8" applyNumberFormat="1" applyFont="1" applyBorder="1"/>
    <xf numFmtId="178" fontId="48" fillId="0" borderId="82" xfId="8" applyNumberFormat="1" applyFont="1" applyBorder="1"/>
    <xf numFmtId="178" fontId="15" fillId="0" borderId="107" xfId="8" applyNumberFormat="1" applyFont="1" applyBorder="1"/>
    <xf numFmtId="178" fontId="15" fillId="0" borderId="60" xfId="8" applyNumberFormat="1" applyFont="1" applyBorder="1"/>
    <xf numFmtId="0" fontId="15" fillId="3" borderId="84" xfId="8" applyFont="1" applyFill="1" applyBorder="1" applyAlignment="1">
      <alignment horizontal="left" indent="1"/>
    </xf>
    <xf numFmtId="178" fontId="15" fillId="15" borderId="84" xfId="8" applyNumberFormat="1" applyFont="1" applyFill="1" applyBorder="1"/>
    <xf numFmtId="178" fontId="15" fillId="15" borderId="51" xfId="8" applyNumberFormat="1" applyFont="1" applyFill="1" applyBorder="1"/>
    <xf numFmtId="178" fontId="15" fillId="0" borderId="84" xfId="8" applyNumberFormat="1" applyFont="1" applyBorder="1"/>
    <xf numFmtId="178" fontId="15" fillId="3" borderId="108" xfId="8" applyNumberFormat="1" applyFont="1" applyFill="1" applyBorder="1"/>
    <xf numFmtId="178" fontId="15" fillId="0" borderId="108" xfId="8" applyNumberFormat="1" applyFont="1" applyBorder="1"/>
    <xf numFmtId="178" fontId="15" fillId="3" borderId="109" xfId="8" applyNumberFormat="1" applyFont="1" applyFill="1" applyBorder="1"/>
    <xf numFmtId="178" fontId="48" fillId="0" borderId="108" xfId="8" applyNumberFormat="1" applyFont="1" applyBorder="1"/>
    <xf numFmtId="0" fontId="15" fillId="0" borderId="110" xfId="8" applyFont="1" applyBorder="1"/>
    <xf numFmtId="178" fontId="15" fillId="0" borderId="111" xfId="8" applyNumberFormat="1" applyFont="1" applyBorder="1"/>
    <xf numFmtId="178" fontId="15" fillId="0" borderId="112" xfId="8" applyNumberFormat="1" applyFont="1" applyBorder="1"/>
    <xf numFmtId="0" fontId="15" fillId="3" borderId="111" xfId="8" applyFont="1" applyFill="1" applyBorder="1" applyAlignment="1">
      <alignment horizontal="left" indent="1"/>
    </xf>
    <xf numFmtId="178" fontId="48" fillId="3" borderId="0" xfId="8" applyNumberFormat="1" applyFont="1" applyFill="1"/>
    <xf numFmtId="178" fontId="48" fillId="3" borderId="51" xfId="8" applyNumberFormat="1" applyFont="1" applyFill="1" applyBorder="1"/>
    <xf numFmtId="178" fontId="48" fillId="3" borderId="108" xfId="8" applyNumberFormat="1" applyFont="1" applyFill="1" applyBorder="1"/>
    <xf numFmtId="178" fontId="15" fillId="3" borderId="113" xfId="8" applyNumberFormat="1" applyFont="1" applyFill="1" applyBorder="1"/>
    <xf numFmtId="178" fontId="15" fillId="3" borderId="114" xfId="8" applyNumberFormat="1" applyFont="1" applyFill="1" applyBorder="1"/>
    <xf numFmtId="178" fontId="15" fillId="3" borderId="115" xfId="8" applyNumberFormat="1" applyFont="1" applyFill="1" applyBorder="1"/>
    <xf numFmtId="178" fontId="48" fillId="3" borderId="113" xfId="8" applyNumberFormat="1" applyFont="1" applyFill="1" applyBorder="1"/>
    <xf numFmtId="0" fontId="15" fillId="0" borderId="116" xfId="8" applyFont="1" applyBorder="1"/>
    <xf numFmtId="178" fontId="15" fillId="0" borderId="117" xfId="8" applyNumberFormat="1" applyFont="1" applyBorder="1"/>
    <xf numFmtId="178" fontId="29" fillId="3" borderId="94" xfId="8" applyNumberFormat="1" applyFont="1" applyFill="1" applyBorder="1"/>
    <xf numFmtId="178" fontId="29" fillId="3" borderId="118" xfId="8" applyNumberFormat="1" applyFont="1" applyFill="1" applyBorder="1"/>
    <xf numFmtId="178" fontId="29" fillId="3" borderId="119" xfId="8" applyNumberFormat="1" applyFont="1" applyFill="1" applyBorder="1"/>
    <xf numFmtId="179" fontId="29" fillId="3" borderId="90" xfId="8" applyNumberFormat="1" applyFont="1" applyFill="1" applyBorder="1"/>
    <xf numFmtId="179" fontId="29" fillId="3" borderId="94" xfId="8" applyNumberFormat="1" applyFont="1" applyFill="1" applyBorder="1"/>
    <xf numFmtId="179" fontId="29" fillId="3" borderId="119" xfId="8" applyNumberFormat="1" applyFont="1" applyFill="1" applyBorder="1"/>
    <xf numFmtId="179" fontId="29" fillId="0" borderId="120" xfId="8" applyNumberFormat="1" applyFont="1" applyBorder="1"/>
    <xf numFmtId="179" fontId="29" fillId="0" borderId="89" xfId="8" applyNumberFormat="1" applyFont="1" applyBorder="1"/>
    <xf numFmtId="178" fontId="29" fillId="0" borderId="121" xfId="8" applyNumberFormat="1" applyFont="1" applyBorder="1"/>
    <xf numFmtId="0" fontId="29" fillId="0" borderId="84" xfId="8" applyFont="1" applyBorder="1"/>
    <xf numFmtId="0" fontId="15" fillId="3" borderId="113" xfId="8" applyFont="1" applyFill="1" applyBorder="1"/>
    <xf numFmtId="0" fontId="15" fillId="0" borderId="122" xfId="8" applyFont="1" applyBorder="1"/>
    <xf numFmtId="0" fontId="15" fillId="0" borderId="113" xfId="8" applyFont="1" applyBorder="1"/>
    <xf numFmtId="0" fontId="15" fillId="0" borderId="114" xfId="8" applyFont="1" applyBorder="1"/>
    <xf numFmtId="0" fontId="15" fillId="0" borderId="112" xfId="8" applyFont="1" applyBorder="1"/>
    <xf numFmtId="178" fontId="15" fillId="0" borderId="114" xfId="8" applyNumberFormat="1" applyFont="1" applyBorder="1"/>
    <xf numFmtId="0" fontId="15" fillId="3" borderId="64" xfId="8" applyFont="1" applyFill="1" applyBorder="1"/>
    <xf numFmtId="0" fontId="15" fillId="3" borderId="114" xfId="8" applyFont="1" applyFill="1" applyBorder="1"/>
    <xf numFmtId="0" fontId="15" fillId="0" borderId="84" xfId="8" applyFont="1" applyBorder="1"/>
    <xf numFmtId="0" fontId="29" fillId="0" borderId="16" xfId="8" applyFont="1" applyBorder="1" applyAlignment="1">
      <alignment wrapText="1"/>
    </xf>
    <xf numFmtId="178" fontId="29" fillId="3" borderId="51" xfId="8" applyNumberFormat="1" applyFont="1" applyFill="1" applyBorder="1"/>
    <xf numFmtId="0" fontId="29" fillId="0" borderId="80" xfId="8" applyFont="1" applyBorder="1"/>
    <xf numFmtId="178" fontId="29" fillId="0" borderId="87" xfId="8" applyNumberFormat="1" applyFont="1" applyBorder="1"/>
    <xf numFmtId="178" fontId="29" fillId="0" borderId="82" xfId="8" applyNumberFormat="1" applyFont="1" applyBorder="1"/>
    <xf numFmtId="178" fontId="29" fillId="0" borderId="68" xfId="8" applyNumberFormat="1" applyFont="1" applyBorder="1"/>
    <xf numFmtId="178" fontId="29" fillId="0" borderId="80" xfId="8" applyNumberFormat="1" applyFont="1" applyBorder="1"/>
    <xf numFmtId="178" fontId="29" fillId="3" borderId="53" xfId="8" applyNumberFormat="1" applyFont="1" applyFill="1" applyBorder="1"/>
    <xf numFmtId="0" fontId="15" fillId="0" borderId="16" xfId="8" applyFont="1" applyBorder="1" applyAlignment="1">
      <alignment wrapText="1"/>
    </xf>
    <xf numFmtId="0" fontId="15" fillId="0" borderId="123" xfId="8" applyFont="1" applyBorder="1"/>
    <xf numFmtId="178" fontId="15" fillId="3" borderId="102" xfId="8" applyNumberFormat="1" applyFont="1" applyFill="1" applyBorder="1"/>
    <xf numFmtId="178" fontId="15" fillId="3" borderId="124" xfId="8" applyNumberFormat="1" applyFont="1" applyFill="1" applyBorder="1"/>
    <xf numFmtId="178" fontId="15" fillId="3" borderId="125" xfId="8" applyNumberFormat="1" applyFont="1" applyFill="1" applyBorder="1"/>
    <xf numFmtId="178" fontId="15" fillId="0" borderId="120" xfId="8" applyNumberFormat="1" applyFont="1" applyBorder="1"/>
    <xf numFmtId="178" fontId="15" fillId="0" borderId="126" xfId="8" applyNumberFormat="1" applyFont="1" applyBorder="1"/>
    <xf numFmtId="178" fontId="15" fillId="0" borderId="43" xfId="8" applyNumberFormat="1" applyFont="1" applyBorder="1"/>
    <xf numFmtId="178" fontId="15" fillId="0" borderId="127" xfId="8" applyNumberFormat="1" applyFont="1" applyBorder="1"/>
    <xf numFmtId="178" fontId="15" fillId="0" borderId="44" xfId="8" applyNumberFormat="1" applyFont="1" applyBorder="1"/>
    <xf numFmtId="178" fontId="27" fillId="0" borderId="128" xfId="8" applyNumberFormat="1" applyFont="1" applyBorder="1"/>
    <xf numFmtId="178" fontId="27" fillId="0" borderId="48" xfId="8" applyNumberFormat="1" applyFont="1" applyBorder="1"/>
    <xf numFmtId="178" fontId="27" fillId="0" borderId="67" xfId="8" applyNumberFormat="1" applyFont="1" applyBorder="1"/>
    <xf numFmtId="178" fontId="27" fillId="0" borderId="64" xfId="8" applyNumberFormat="1" applyFont="1" applyBorder="1"/>
    <xf numFmtId="178" fontId="27" fillId="0" borderId="59" xfId="8" applyNumberFormat="1" applyFont="1" applyBorder="1"/>
    <xf numFmtId="0" fontId="33" fillId="3" borderId="16" xfId="8" applyFont="1" applyFill="1" applyBorder="1"/>
    <xf numFmtId="9" fontId="32" fillId="3" borderId="0" xfId="3" applyFont="1" applyFill="1" applyBorder="1" applyAlignment="1">
      <alignment horizontal="right"/>
    </xf>
    <xf numFmtId="9" fontId="32" fillId="3" borderId="41" xfId="3" applyFont="1" applyFill="1" applyBorder="1" applyAlignment="1">
      <alignment horizontal="right"/>
    </xf>
    <xf numFmtId="9" fontId="32" fillId="3" borderId="7" xfId="3" applyFont="1" applyFill="1" applyBorder="1" applyAlignment="1">
      <alignment horizontal="right"/>
    </xf>
    <xf numFmtId="0" fontId="32" fillId="3" borderId="0" xfId="8" applyFont="1" applyFill="1"/>
    <xf numFmtId="9" fontId="32" fillId="3" borderId="16" xfId="3" applyFont="1" applyFill="1" applyBorder="1" applyAlignment="1">
      <alignment horizontal="right"/>
    </xf>
    <xf numFmtId="0" fontId="39" fillId="3" borderId="0" xfId="8" applyFont="1" applyFill="1"/>
    <xf numFmtId="176" fontId="15" fillId="3" borderId="0" xfId="3" applyNumberFormat="1" applyFont="1" applyFill="1" applyBorder="1" applyAlignment="1">
      <alignment horizontal="right"/>
    </xf>
    <xf numFmtId="176" fontId="15" fillId="3" borderId="41" xfId="3" applyNumberFormat="1" applyFont="1" applyFill="1" applyBorder="1" applyAlignment="1">
      <alignment horizontal="right"/>
    </xf>
    <xf numFmtId="176" fontId="15" fillId="3" borderId="7" xfId="3" applyNumberFormat="1" applyFont="1" applyFill="1" applyBorder="1" applyAlignment="1">
      <alignment horizontal="right"/>
    </xf>
    <xf numFmtId="176" fontId="15" fillId="3" borderId="16" xfId="3" applyNumberFormat="1" applyFont="1" applyFill="1" applyBorder="1" applyAlignment="1">
      <alignment horizontal="right"/>
    </xf>
    <xf numFmtId="187" fontId="15" fillId="0" borderId="16" xfId="9" quotePrefix="1" applyNumberFormat="1" applyFont="1" applyBorder="1" applyAlignment="1">
      <alignment horizontal="left"/>
    </xf>
    <xf numFmtId="9" fontId="15" fillId="3" borderId="0" xfId="3" applyFont="1" applyFill="1" applyBorder="1" applyAlignment="1">
      <alignment horizontal="right"/>
    </xf>
    <xf numFmtId="9" fontId="15" fillId="3" borderId="41" xfId="3" applyFont="1" applyFill="1" applyBorder="1" applyAlignment="1">
      <alignment horizontal="right"/>
    </xf>
    <xf numFmtId="176" fontId="15" fillId="3" borderId="43" xfId="3" applyNumberFormat="1" applyFont="1" applyFill="1" applyBorder="1" applyAlignment="1">
      <alignment horizontal="right"/>
    </xf>
    <xf numFmtId="176" fontId="15" fillId="3" borderId="127" xfId="3" applyNumberFormat="1" applyFont="1" applyFill="1" applyBorder="1" applyAlignment="1">
      <alignment horizontal="right"/>
    </xf>
    <xf numFmtId="176" fontId="15" fillId="0" borderId="127" xfId="3" applyNumberFormat="1" applyFont="1" applyFill="1" applyBorder="1" applyAlignment="1">
      <alignment horizontal="right"/>
    </xf>
    <xf numFmtId="176" fontId="15" fillId="0" borderId="43" xfId="3" applyNumberFormat="1" applyFont="1" applyFill="1" applyBorder="1" applyAlignment="1">
      <alignment horizontal="right"/>
    </xf>
    <xf numFmtId="187" fontId="29" fillId="0" borderId="74" xfId="9" applyNumberFormat="1" applyFont="1" applyBorder="1" applyAlignment="1">
      <alignment horizontal="left"/>
    </xf>
    <xf numFmtId="9" fontId="15" fillId="3" borderId="46" xfId="3" applyFont="1" applyFill="1" applyBorder="1" applyAlignment="1">
      <alignment horizontal="right"/>
    </xf>
    <xf numFmtId="9" fontId="15" fillId="3" borderId="75" xfId="3" applyFont="1" applyFill="1" applyBorder="1" applyAlignment="1">
      <alignment horizontal="right"/>
    </xf>
    <xf numFmtId="176" fontId="29" fillId="3" borderId="75" xfId="3" applyNumberFormat="1" applyFont="1" applyFill="1" applyBorder="1" applyAlignment="1">
      <alignment horizontal="right"/>
    </xf>
    <xf numFmtId="176" fontId="29" fillId="3" borderId="46" xfId="3" applyNumberFormat="1" applyFont="1" applyFill="1" applyBorder="1" applyAlignment="1">
      <alignment horizontal="right"/>
    </xf>
    <xf numFmtId="176" fontId="29" fillId="3" borderId="76" xfId="3" applyNumberFormat="1" applyFont="1" applyFill="1" applyBorder="1" applyAlignment="1">
      <alignment horizontal="right"/>
    </xf>
    <xf numFmtId="176" fontId="29" fillId="3" borderId="74" xfId="3" applyNumberFormat="1" applyFont="1" applyFill="1" applyBorder="1" applyAlignment="1">
      <alignment horizontal="right"/>
    </xf>
    <xf numFmtId="187" fontId="32" fillId="0" borderId="16" xfId="9" applyNumberFormat="1" applyFont="1" applyBorder="1" applyAlignment="1">
      <alignment horizontal="left" indent="2"/>
    </xf>
    <xf numFmtId="176" fontId="29" fillId="3" borderId="41" xfId="3" applyNumberFormat="1" applyFont="1" applyFill="1" applyBorder="1" applyAlignment="1">
      <alignment horizontal="right"/>
    </xf>
    <xf numFmtId="176" fontId="29" fillId="3" borderId="0" xfId="3" applyNumberFormat="1" applyFont="1" applyFill="1" applyBorder="1" applyAlignment="1">
      <alignment horizontal="right"/>
    </xf>
    <xf numFmtId="176" fontId="29" fillId="3" borderId="7" xfId="3" applyNumberFormat="1" applyFont="1" applyFill="1" applyBorder="1" applyAlignment="1">
      <alignment horizontal="right"/>
    </xf>
    <xf numFmtId="165" fontId="32" fillId="3" borderId="48" xfId="3" applyNumberFormat="1" applyFont="1" applyFill="1" applyBorder="1" applyAlignment="1">
      <alignment horizontal="right"/>
    </xf>
    <xf numFmtId="165" fontId="32" fillId="3" borderId="0" xfId="3" applyNumberFormat="1" applyFont="1" applyFill="1" applyBorder="1" applyAlignment="1">
      <alignment horizontal="right"/>
    </xf>
    <xf numFmtId="165" fontId="32" fillId="3" borderId="7" xfId="3" applyNumberFormat="1" applyFont="1" applyFill="1" applyBorder="1" applyAlignment="1">
      <alignment horizontal="right"/>
    </xf>
    <xf numFmtId="176" fontId="29" fillId="3" borderId="16" xfId="3" applyNumberFormat="1" applyFont="1" applyFill="1" applyBorder="1" applyAlignment="1">
      <alignment horizontal="right"/>
    </xf>
    <xf numFmtId="165" fontId="32" fillId="3" borderId="41" xfId="3" applyNumberFormat="1" applyFont="1" applyFill="1" applyBorder="1" applyAlignment="1">
      <alignment horizontal="right"/>
    </xf>
    <xf numFmtId="176" fontId="35" fillId="3" borderId="0" xfId="3" applyNumberFormat="1" applyFont="1" applyFill="1" applyBorder="1" applyAlignment="1">
      <alignment horizontal="right"/>
    </xf>
    <xf numFmtId="176" fontId="35" fillId="3" borderId="41" xfId="3" applyNumberFormat="1" applyFont="1" applyFill="1" applyBorder="1" applyAlignment="1">
      <alignment horizontal="right"/>
    </xf>
    <xf numFmtId="176" fontId="35" fillId="0" borderId="7" xfId="8" applyNumberFormat="1" applyFont="1" applyBorder="1"/>
    <xf numFmtId="176" fontId="35" fillId="0" borderId="0" xfId="8" applyNumberFormat="1" applyFont="1"/>
    <xf numFmtId="176" fontId="35" fillId="0" borderId="41" xfId="8" applyNumberFormat="1" applyFont="1" applyBorder="1"/>
    <xf numFmtId="175" fontId="35" fillId="8" borderId="41" xfId="8" applyNumberFormat="1" applyFont="1" applyFill="1" applyBorder="1"/>
    <xf numFmtId="175" fontId="35" fillId="8" borderId="16" xfId="8" applyNumberFormat="1" applyFont="1" applyFill="1" applyBorder="1"/>
    <xf numFmtId="187" fontId="29" fillId="0" borderId="16" xfId="9" applyNumberFormat="1" applyFont="1" applyBorder="1" applyAlignment="1">
      <alignment horizontal="left"/>
    </xf>
    <xf numFmtId="188" fontId="29" fillId="3" borderId="0" xfId="3" applyNumberFormat="1" applyFont="1" applyFill="1" applyBorder="1" applyAlignment="1">
      <alignment horizontal="right"/>
    </xf>
    <xf numFmtId="188" fontId="29" fillId="3" borderId="41" xfId="3" applyNumberFormat="1" applyFont="1" applyFill="1" applyBorder="1" applyAlignment="1">
      <alignment horizontal="right"/>
    </xf>
    <xf numFmtId="187" fontId="29" fillId="3" borderId="41" xfId="3" applyNumberFormat="1" applyFont="1" applyFill="1" applyBorder="1" applyAlignment="1">
      <alignment horizontal="right"/>
    </xf>
    <xf numFmtId="187" fontId="29" fillId="3" borderId="0" xfId="3" applyNumberFormat="1" applyFont="1" applyFill="1" applyBorder="1" applyAlignment="1">
      <alignment horizontal="right"/>
    </xf>
    <xf numFmtId="187" fontId="29" fillId="3" borderId="7" xfId="3" applyNumberFormat="1" applyFont="1" applyFill="1" applyBorder="1" applyAlignment="1">
      <alignment horizontal="right"/>
    </xf>
    <xf numFmtId="188" fontId="29" fillId="3" borderId="0" xfId="8" applyNumberFormat="1" applyFont="1" applyFill="1"/>
    <xf numFmtId="187" fontId="29" fillId="3" borderId="16" xfId="3" applyNumberFormat="1" applyFont="1" applyFill="1" applyBorder="1" applyAlignment="1">
      <alignment horizontal="right"/>
    </xf>
    <xf numFmtId="0" fontId="31" fillId="3" borderId="0" xfId="8" applyFont="1" applyFill="1"/>
    <xf numFmtId="168" fontId="35" fillId="3" borderId="7" xfId="8" applyNumberFormat="1" applyFont="1" applyFill="1" applyBorder="1" applyAlignment="1">
      <alignment horizontal="right"/>
    </xf>
    <xf numFmtId="168" fontId="37" fillId="3" borderId="16" xfId="8" applyNumberFormat="1" applyFont="1" applyFill="1" applyBorder="1"/>
    <xf numFmtId="0" fontId="37" fillId="3" borderId="117" xfId="8" applyFont="1" applyFill="1" applyBorder="1" applyAlignment="1">
      <alignment horizontal="left" indent="1"/>
    </xf>
    <xf numFmtId="168" fontId="35" fillId="3" borderId="127" xfId="8" applyNumberFormat="1" applyFont="1" applyFill="1" applyBorder="1"/>
    <xf numFmtId="168" fontId="35" fillId="3" borderId="43" xfId="8" applyNumberFormat="1" applyFont="1" applyFill="1" applyBorder="1"/>
    <xf numFmtId="168" fontId="37" fillId="3" borderId="43" xfId="8" applyNumberFormat="1" applyFont="1" applyFill="1" applyBorder="1"/>
    <xf numFmtId="168" fontId="37" fillId="0" borderId="127" xfId="8" applyNumberFormat="1" applyFont="1" applyBorder="1"/>
    <xf numFmtId="168" fontId="37" fillId="3" borderId="127" xfId="8" applyNumberFormat="1" applyFont="1" applyFill="1" applyBorder="1"/>
    <xf numFmtId="168" fontId="37" fillId="3" borderId="44" xfId="8" applyNumberFormat="1" applyFont="1" applyFill="1" applyBorder="1"/>
    <xf numFmtId="168" fontId="35" fillId="3" borderId="127" xfId="8" applyNumberFormat="1" applyFont="1" applyFill="1" applyBorder="1" applyAlignment="1">
      <alignment horizontal="right"/>
    </xf>
    <xf numFmtId="168" fontId="35" fillId="3" borderId="43" xfId="8" applyNumberFormat="1" applyFont="1" applyFill="1" applyBorder="1" applyAlignment="1">
      <alignment horizontal="right"/>
    </xf>
    <xf numFmtId="168" fontId="35" fillId="3" borderId="44" xfId="8" applyNumberFormat="1" applyFont="1" applyFill="1" applyBorder="1" applyAlignment="1">
      <alignment horizontal="right"/>
    </xf>
    <xf numFmtId="168" fontId="29" fillId="0" borderId="117" xfId="8" applyNumberFormat="1" applyFont="1" applyBorder="1"/>
    <xf numFmtId="168" fontId="35" fillId="3" borderId="117" xfId="8" applyNumberFormat="1" applyFont="1" applyFill="1" applyBorder="1"/>
    <xf numFmtId="168" fontId="37" fillId="3" borderId="117" xfId="8" applyNumberFormat="1" applyFont="1" applyFill="1" applyBorder="1"/>
    <xf numFmtId="0" fontId="31" fillId="0" borderId="127" xfId="8" applyFont="1" applyBorder="1"/>
    <xf numFmtId="0" fontId="33" fillId="0" borderId="0" xfId="13" applyFont="1" applyAlignment="1">
      <alignment horizontal="right"/>
    </xf>
    <xf numFmtId="43" fontId="15" fillId="0" borderId="0" xfId="1" applyFont="1" applyFill="1" applyBorder="1" applyAlignment="1">
      <alignment horizontal="right"/>
    </xf>
    <xf numFmtId="178" fontId="29" fillId="0" borderId="48" xfId="9" applyNumberFormat="1" applyFont="1" applyBorder="1" applyAlignment="1">
      <alignment horizontal="right"/>
    </xf>
    <xf numFmtId="178" fontId="29" fillId="0" borderId="8" xfId="9" applyNumberFormat="1" applyFont="1" applyBorder="1" applyAlignment="1">
      <alignment horizontal="right"/>
    </xf>
    <xf numFmtId="178" fontId="29" fillId="0" borderId="64" xfId="9" applyNumberFormat="1" applyFont="1" applyBorder="1" applyAlignment="1">
      <alignment horizontal="right"/>
    </xf>
    <xf numFmtId="165" fontId="29" fillId="0" borderId="64" xfId="9" applyNumberFormat="1" applyFont="1" applyBorder="1" applyAlignment="1">
      <alignment horizontal="right"/>
    </xf>
    <xf numFmtId="176" fontId="29" fillId="0" borderId="8" xfId="1" applyNumberFormat="1" applyFont="1" applyFill="1" applyBorder="1" applyAlignment="1">
      <alignment horizontal="right"/>
    </xf>
    <xf numFmtId="176" fontId="29" fillId="0" borderId="48" xfId="1" applyNumberFormat="1" applyFont="1" applyFill="1" applyBorder="1" applyAlignment="1">
      <alignment horizontal="right"/>
    </xf>
    <xf numFmtId="165" fontId="29" fillId="0" borderId="41" xfId="9" applyNumberFormat="1" applyFont="1" applyBorder="1" applyAlignment="1">
      <alignment horizontal="right"/>
    </xf>
    <xf numFmtId="165" fontId="29" fillId="0" borderId="0" xfId="9" applyNumberFormat="1" applyFont="1" applyAlignment="1">
      <alignment horizontal="right"/>
    </xf>
    <xf numFmtId="176" fontId="29" fillId="0" borderId="0" xfId="9" applyNumberFormat="1" applyFont="1" applyAlignment="1">
      <alignment horizontal="right"/>
    </xf>
    <xf numFmtId="176" fontId="29" fillId="0" borderId="59" xfId="1" applyNumberFormat="1" applyFont="1" applyFill="1" applyBorder="1" applyAlignment="1">
      <alignment horizontal="right"/>
    </xf>
    <xf numFmtId="176" fontId="29" fillId="0" borderId="64" xfId="1" applyNumberFormat="1" applyFont="1" applyFill="1" applyBorder="1" applyAlignment="1">
      <alignment horizontal="right"/>
    </xf>
    <xf numFmtId="191" fontId="70" fillId="0" borderId="0" xfId="8" applyNumberFormat="1" applyFont="1" applyAlignment="1">
      <alignment horizontal="right"/>
    </xf>
    <xf numFmtId="0" fontId="56" fillId="0" borderId="0" xfId="9" applyFont="1" applyAlignment="1">
      <alignment horizontal="right"/>
    </xf>
    <xf numFmtId="189" fontId="15" fillId="0" borderId="41" xfId="1" applyNumberFormat="1" applyFont="1" applyFill="1" applyBorder="1" applyAlignment="1">
      <alignment horizontal="right"/>
    </xf>
    <xf numFmtId="189" fontId="15" fillId="0" borderId="0" xfId="1" applyNumberFormat="1" applyFont="1" applyFill="1" applyBorder="1" applyAlignment="1">
      <alignment horizontal="right"/>
    </xf>
    <xf numFmtId="176" fontId="15" fillId="0" borderId="0" xfId="9" applyNumberFormat="1" applyFont="1" applyAlignment="1">
      <alignment horizontal="right"/>
    </xf>
    <xf numFmtId="189" fontId="15" fillId="0" borderId="16" xfId="1" applyNumberFormat="1" applyFont="1" applyFill="1" applyBorder="1" applyAlignment="1">
      <alignment horizontal="right"/>
    </xf>
    <xf numFmtId="189" fontId="15" fillId="0" borderId="7" xfId="1" applyNumberFormat="1" applyFont="1" applyFill="1" applyBorder="1" applyAlignment="1">
      <alignment horizontal="right"/>
    </xf>
    <xf numFmtId="176" fontId="48" fillId="0" borderId="0" xfId="9" applyNumberFormat="1" applyFont="1" applyAlignment="1">
      <alignment horizontal="right"/>
    </xf>
    <xf numFmtId="176" fontId="48" fillId="3" borderId="0" xfId="8" applyNumberFormat="1" applyFont="1" applyFill="1"/>
    <xf numFmtId="176" fontId="48" fillId="0" borderId="0" xfId="8" applyNumberFormat="1" applyFont="1" applyAlignment="1">
      <alignment horizontal="right"/>
    </xf>
    <xf numFmtId="176" fontId="70" fillId="0" borderId="0" xfId="8" applyNumberFormat="1" applyFont="1" applyAlignment="1">
      <alignment horizontal="right"/>
    </xf>
    <xf numFmtId="9" fontId="15" fillId="3" borderId="0" xfId="3" applyFont="1" applyFill="1" applyBorder="1"/>
    <xf numFmtId="176" fontId="15" fillId="0" borderId="0" xfId="8" applyNumberFormat="1" applyFont="1" applyAlignment="1">
      <alignment horizontal="right"/>
    </xf>
    <xf numFmtId="165" fontId="61" fillId="0" borderId="41" xfId="3" applyNumberFormat="1" applyFont="1" applyFill="1" applyBorder="1" applyAlignment="1">
      <alignment horizontal="right"/>
    </xf>
    <xf numFmtId="165" fontId="61" fillId="0" borderId="0" xfId="3" applyNumberFormat="1" applyFont="1" applyFill="1" applyBorder="1" applyAlignment="1">
      <alignment horizontal="right"/>
    </xf>
    <xf numFmtId="184" fontId="15" fillId="0" borderId="0" xfId="9" applyNumberFormat="1" applyFont="1" applyAlignment="1">
      <alignment horizontal="right"/>
    </xf>
    <xf numFmtId="165" fontId="61" fillId="0" borderId="16" xfId="3" applyNumberFormat="1" applyFont="1" applyFill="1" applyBorder="1" applyAlignment="1">
      <alignment horizontal="right"/>
    </xf>
    <xf numFmtId="165" fontId="61" fillId="0" borderId="7" xfId="3" applyNumberFormat="1" applyFont="1" applyFill="1" applyBorder="1" applyAlignment="1">
      <alignment horizontal="right"/>
    </xf>
    <xf numFmtId="184" fontId="70" fillId="0" borderId="0" xfId="8" applyNumberFormat="1" applyFont="1" applyAlignment="1">
      <alignment horizontal="right"/>
    </xf>
    <xf numFmtId="44" fontId="29" fillId="3" borderId="0" xfId="2" applyFont="1" applyFill="1" applyBorder="1"/>
    <xf numFmtId="184" fontId="48" fillId="0" borderId="0" xfId="8" applyNumberFormat="1" applyFont="1" applyAlignment="1">
      <alignment horizontal="right"/>
    </xf>
    <xf numFmtId="208" fontId="41" fillId="0" borderId="41" xfId="9" applyNumberFormat="1" applyFont="1" applyBorder="1" applyAlignment="1">
      <alignment horizontal="right"/>
    </xf>
    <xf numFmtId="208" fontId="41" fillId="0" borderId="0" xfId="9" applyNumberFormat="1" applyFont="1" applyAlignment="1">
      <alignment horizontal="right"/>
    </xf>
    <xf numFmtId="208" fontId="41" fillId="0" borderId="16" xfId="9" applyNumberFormat="1" applyFont="1" applyBorder="1" applyAlignment="1">
      <alignment horizontal="right"/>
    </xf>
    <xf numFmtId="208" fontId="41" fillId="0" borderId="7" xfId="9" applyNumberFormat="1" applyFont="1" applyBorder="1" applyAlignment="1">
      <alignment horizontal="right"/>
    </xf>
    <xf numFmtId="191" fontId="71" fillId="0" borderId="0" xfId="8" applyNumberFormat="1" applyFont="1" applyAlignment="1">
      <alignment horizontal="right"/>
    </xf>
    <xf numFmtId="17" fontId="51" fillId="0" borderId="0" xfId="8" applyNumberFormat="1" applyFont="1" applyAlignment="1">
      <alignment horizontal="right"/>
    </xf>
    <xf numFmtId="0" fontId="29" fillId="0" borderId="117" xfId="8" applyFont="1" applyBorder="1"/>
    <xf numFmtId="165" fontId="29" fillId="0" borderId="43" xfId="9" applyNumberFormat="1" applyFont="1" applyBorder="1" applyAlignment="1">
      <alignment horizontal="right"/>
    </xf>
    <xf numFmtId="165" fontId="29" fillId="0" borderId="127" xfId="9" applyNumberFormat="1" applyFont="1" applyBorder="1" applyAlignment="1">
      <alignment horizontal="right"/>
    </xf>
    <xf numFmtId="165" fontId="29" fillId="0" borderId="44" xfId="9" applyNumberFormat="1" applyFont="1" applyBorder="1" applyAlignment="1">
      <alignment horizontal="right"/>
    </xf>
    <xf numFmtId="176" fontId="29" fillId="0" borderId="43" xfId="1" applyNumberFormat="1" applyFont="1" applyFill="1" applyBorder="1" applyAlignment="1">
      <alignment horizontal="right"/>
    </xf>
    <xf numFmtId="176" fontId="29" fillId="0" borderId="127" xfId="1" applyNumberFormat="1" applyFont="1" applyFill="1" applyBorder="1" applyAlignment="1">
      <alignment horizontal="right"/>
    </xf>
    <xf numFmtId="176" fontId="29" fillId="0" borderId="117" xfId="1" applyNumberFormat="1" applyFont="1" applyFill="1" applyBorder="1" applyAlignment="1">
      <alignment horizontal="right"/>
    </xf>
    <xf numFmtId="176" fontId="29" fillId="0" borderId="44" xfId="1" applyNumberFormat="1" applyFont="1" applyFill="1" applyBorder="1" applyAlignment="1">
      <alignment horizontal="right"/>
    </xf>
    <xf numFmtId="176" fontId="29" fillId="0" borderId="0" xfId="8" applyNumberFormat="1" applyFont="1" applyAlignment="1">
      <alignment horizontal="right"/>
    </xf>
    <xf numFmtId="9" fontId="30" fillId="3" borderId="0" xfId="3" applyFont="1" applyFill="1" applyBorder="1"/>
    <xf numFmtId="176" fontId="29" fillId="3" borderId="0" xfId="3" applyNumberFormat="1" applyFont="1" applyFill="1" applyBorder="1"/>
    <xf numFmtId="0" fontId="15" fillId="0" borderId="0" xfId="9" applyFont="1" applyAlignment="1">
      <alignment horizontal="left"/>
    </xf>
    <xf numFmtId="0" fontId="15" fillId="0" borderId="0" xfId="8" applyFont="1" applyAlignment="1">
      <alignment horizontal="left" indent="1"/>
    </xf>
    <xf numFmtId="165" fontId="15" fillId="0" borderId="0" xfId="3" applyNumberFormat="1" applyFont="1" applyBorder="1"/>
    <xf numFmtId="165" fontId="15" fillId="0" borderId="0" xfId="3" applyNumberFormat="1" applyFont="1" applyFill="1" applyBorder="1"/>
    <xf numFmtId="165" fontId="29" fillId="0" borderId="0" xfId="3" applyNumberFormat="1" applyFont="1" applyBorder="1"/>
    <xf numFmtId="0" fontId="44" fillId="0" borderId="0" xfId="8" applyFont="1"/>
    <xf numFmtId="0" fontId="41" fillId="0" borderId="0" xfId="8" applyFont="1"/>
    <xf numFmtId="165" fontId="41" fillId="0" borderId="0" xfId="3" applyNumberFormat="1" applyFont="1" applyBorder="1"/>
    <xf numFmtId="0" fontId="30" fillId="7" borderId="2" xfId="8" applyFont="1" applyFill="1" applyBorder="1" applyAlignment="1">
      <alignment horizontal="center"/>
    </xf>
    <xf numFmtId="0" fontId="30" fillId="7" borderId="3" xfId="8" applyFont="1" applyFill="1" applyBorder="1" applyAlignment="1">
      <alignment horizontal="center"/>
    </xf>
    <xf numFmtId="0" fontId="30" fillId="7" borderId="4" xfId="8" applyFont="1" applyFill="1" applyBorder="1" applyAlignment="1">
      <alignment horizontal="center"/>
    </xf>
    <xf numFmtId="0" fontId="29" fillId="7" borderId="2" xfId="8" applyFont="1" applyFill="1" applyBorder="1" applyAlignment="1">
      <alignment horizontal="center"/>
    </xf>
    <xf numFmtId="0" fontId="29" fillId="7" borderId="3" xfId="8" applyFont="1" applyFill="1" applyBorder="1" applyAlignment="1">
      <alignment horizontal="center"/>
    </xf>
    <xf numFmtId="0" fontId="29" fillId="7" borderId="4" xfId="8" applyFont="1" applyFill="1" applyBorder="1" applyAlignment="1">
      <alignment horizontal="center"/>
    </xf>
    <xf numFmtId="0" fontId="30" fillId="7" borderId="6" xfId="8" applyFont="1" applyFill="1" applyBorder="1" applyAlignment="1">
      <alignment horizontal="center"/>
    </xf>
    <xf numFmtId="0" fontId="29" fillId="7" borderId="49" xfId="8" applyFont="1" applyFill="1" applyBorder="1" applyAlignment="1">
      <alignment horizontal="center"/>
    </xf>
    <xf numFmtId="0" fontId="29" fillId="7" borderId="6" xfId="8" applyFont="1" applyFill="1" applyBorder="1" applyAlignment="1">
      <alignment horizontal="center"/>
    </xf>
    <xf numFmtId="0" fontId="30" fillId="7" borderId="8" xfId="8" applyFont="1" applyFill="1" applyBorder="1" applyAlignment="1">
      <alignment horizontal="center"/>
    </xf>
    <xf numFmtId="0" fontId="30" fillId="7" borderId="49" xfId="8" applyFont="1" applyFill="1" applyBorder="1" applyAlignment="1">
      <alignment horizontal="center"/>
    </xf>
    <xf numFmtId="0" fontId="30" fillId="7" borderId="10" xfId="8" applyFont="1" applyFill="1" applyBorder="1" applyAlignment="1">
      <alignment horizontal="center"/>
    </xf>
    <xf numFmtId="0" fontId="30" fillId="7" borderId="48" xfId="8" applyFont="1" applyFill="1" applyBorder="1" applyAlignment="1">
      <alignment horizontal="center"/>
    </xf>
    <xf numFmtId="0" fontId="30" fillId="7" borderId="5" xfId="8" applyFont="1" applyFill="1" applyBorder="1" applyAlignment="1">
      <alignment horizontal="center"/>
    </xf>
    <xf numFmtId="0" fontId="30" fillId="7" borderId="67" xfId="8" applyFont="1" applyFill="1" applyBorder="1" applyAlignment="1">
      <alignment horizontal="center"/>
    </xf>
    <xf numFmtId="0" fontId="30" fillId="7" borderId="64" xfId="8" applyFont="1" applyFill="1" applyBorder="1" applyAlignment="1">
      <alignment horizontal="center"/>
    </xf>
    <xf numFmtId="0" fontId="30" fillId="7" borderId="83" xfId="8" applyFont="1" applyFill="1" applyBorder="1" applyAlignment="1">
      <alignment horizontal="center"/>
    </xf>
    <xf numFmtId="0" fontId="30" fillId="7" borderId="103" xfId="8" applyFont="1" applyFill="1" applyBorder="1" applyAlignment="1">
      <alignment horizontal="center"/>
    </xf>
    <xf numFmtId="0" fontId="30" fillId="7" borderId="104" xfId="8" applyFont="1" applyFill="1" applyBorder="1" applyAlignment="1">
      <alignment horizontal="center"/>
    </xf>
    <xf numFmtId="0" fontId="30" fillId="7" borderId="105" xfId="8" applyFont="1" applyFill="1" applyBorder="1" applyAlignment="1">
      <alignment horizontal="center"/>
    </xf>
  </cellXfs>
  <cellStyles count="14">
    <cellStyle name="AFE" xfId="8" xr:uid="{C974826D-9084-48BB-9370-9F6494625EB9}"/>
    <cellStyle name="AFE 2 2" xfId="13" xr:uid="{AC2DED58-3F61-48AF-A360-6C408B0BE9FD}"/>
    <cellStyle name="Comma" xfId="1" builtinId="3"/>
    <cellStyle name="Comma 2 2" xfId="12" xr:uid="{78BD2E9F-02C2-4B3D-987F-275C53932789}"/>
    <cellStyle name="Currency" xfId="2" builtinId="4"/>
    <cellStyle name="Currency 2 2" xfId="11" xr:uid="{02BF38AB-CB62-436C-8B3B-6148C3E31C19}"/>
    <cellStyle name="Hyperlink" xfId="4" builtinId="8"/>
    <cellStyle name="Hyperlink 2" xfId="7" xr:uid="{6EC3FE60-9DAA-4596-8048-B48D572945FD}"/>
    <cellStyle name="Normal" xfId="0" builtinId="0"/>
    <cellStyle name="Normal 3 2" xfId="5" xr:uid="{99B94AC3-994E-4AA8-9D8F-24A52E343653}"/>
    <cellStyle name="Normal_Credit Suisse Software Short Interest Toolbox.1-12-10" xfId="6" xr:uid="{D4E41857-652D-45C7-B722-73D795DFE1CA}"/>
    <cellStyle name="Normal_IBM Model" xfId="9" xr:uid="{A7BE125D-BFFE-4667-BDD5-0CF308B9CC4A}"/>
    <cellStyle name="Normal_Model0804" xfId="10" xr:uid="{D473FE06-2103-439A-95F7-678B93599E18}"/>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10</xdr:col>
      <xdr:colOff>1210308</xdr:colOff>
      <xdr:row>3</xdr:row>
      <xdr:rowOff>21167</xdr:rowOff>
    </xdr:from>
    <xdr:to>
      <xdr:col>12</xdr:col>
      <xdr:colOff>6968</xdr:colOff>
      <xdr:row>5</xdr:row>
      <xdr:rowOff>506669</xdr:rowOff>
    </xdr:to>
    <xdr:pic>
      <xdr:nvPicPr>
        <xdr:cNvPr id="2" name="Wells Fargo" descr="Wells Fargo">
          <a:extLst>
            <a:ext uri="{FF2B5EF4-FFF2-40B4-BE49-F238E27FC236}">
              <a16:creationId xmlns:a16="http://schemas.microsoft.com/office/drawing/2014/main" id="{EABC6AD4-C626-4DA1-8397-21511F33F439}"/>
            </a:ext>
          </a:extLst>
        </xdr:cNvPr>
        <xdr:cNvPicPr>
          <a:picLocks noChangeAspect="1"/>
        </xdr:cNvPicPr>
      </xdr:nvPicPr>
      <xdr:blipFill>
        <a:blip xmlns:r="http://schemas.openxmlformats.org/officeDocument/2006/relationships" r:embed="rId1"/>
        <a:stretch>
          <a:fillRect/>
        </a:stretch>
      </xdr:blipFill>
      <xdr:spPr>
        <a:xfrm>
          <a:off x="10173333" y="383117"/>
          <a:ext cx="930260" cy="1028427"/>
        </a:xfrm>
        <a:prstGeom prst="rect">
          <a:avLst/>
        </a:prstGeom>
      </xdr:spPr>
    </xdr:pic>
    <xdr:clientData/>
  </xdr:twoCellAnchor>
  <xdr:twoCellAnchor editAs="oneCell">
    <xdr:from>
      <xdr:col>2</xdr:col>
      <xdr:colOff>17319</xdr:colOff>
      <xdr:row>24</xdr:row>
      <xdr:rowOff>69273</xdr:rowOff>
    </xdr:from>
    <xdr:to>
      <xdr:col>10</xdr:col>
      <xdr:colOff>1882434</xdr:colOff>
      <xdr:row>41</xdr:row>
      <xdr:rowOff>1002</xdr:rowOff>
    </xdr:to>
    <xdr:pic>
      <xdr:nvPicPr>
        <xdr:cNvPr id="3" name="Picture 2">
          <a:extLst>
            <a:ext uri="{FF2B5EF4-FFF2-40B4-BE49-F238E27FC236}">
              <a16:creationId xmlns:a16="http://schemas.microsoft.com/office/drawing/2014/main" id="{3FDB0785-4EDA-45AD-A85E-BAB4E013EF3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5919" y="4803198"/>
          <a:ext cx="10599540" cy="2684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28862</xdr:colOff>
      <xdr:row>44</xdr:row>
      <xdr:rowOff>150091</xdr:rowOff>
    </xdr:from>
    <xdr:to>
      <xdr:col>10</xdr:col>
      <xdr:colOff>1928276</xdr:colOff>
      <xdr:row>46</xdr:row>
      <xdr:rowOff>53297</xdr:rowOff>
    </xdr:to>
    <xdr:pic>
      <xdr:nvPicPr>
        <xdr:cNvPr id="4" name="Picture 3">
          <a:extLst>
            <a:ext uri="{FF2B5EF4-FFF2-40B4-BE49-F238E27FC236}">
              <a16:creationId xmlns:a16="http://schemas.microsoft.com/office/drawing/2014/main" id="{BA1B0EE9-7840-4573-8D51-08AB9B96DE5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7462" y="7874866"/>
          <a:ext cx="10633839" cy="227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PVWA98A3936.ent.wfb.bank.corp\WHLSC\Equity%20Research\Software-MT\Administrative%20and%20Archive\PW%20Archive\Companies\ServiceNow\Model\NOW.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PVWA98A3936.ent.wfb.bank.corp\WHLSC\shared\Equity%20Research\Software-AN\RP\Initiation\Models\TENB_WFS_Current.xlsx" TargetMode="External"/><Relationship Id="rId1" Type="http://schemas.openxmlformats.org/officeDocument/2006/relationships/externalLinkPath" Target="file:///\\CPVWA98A3936.ent.wfb.bank.corp\WHLSC\shared\Equity%20Research\Software-AN\RP\Initiation\Models\TENB_WFS_Curr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Disclaimer"/>
      <sheetName val="Valuation"/>
      <sheetName val="Variance"/>
      <sheetName val="IS"/>
      <sheetName val="BS"/>
      <sheetName val="Billings"/>
      <sheetName val="Rev"/>
      <sheetName val="CF"/>
      <sheetName val="StatsPull"/>
      <sheetName val="WFvsCon"/>
      <sheetName val="BM NOW Estimate Upload"/>
      <sheetName val="BM NOW Financials"/>
      <sheetName val="BM NOW DL"/>
      <sheetName val="BM NOW VAR"/>
      <sheetName val="BM NOW Charts"/>
      <sheetName val="IS (605)"/>
      <sheetName val="BS (605)"/>
      <sheetName val="Billings (605)"/>
      <sheetName val="Rev (605)"/>
      <sheetName val="CF (605)"/>
      <sheetName val="__APW_ACTIVE_FIELD_RESTORE__"/>
      <sheetName val="EUCT_Te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A1">
            <v>1</v>
          </cell>
          <cell r="B1">
            <v>2</v>
          </cell>
          <cell r="C1">
            <v>3</v>
          </cell>
          <cell r="D1">
            <v>4</v>
          </cell>
          <cell r="E1">
            <v>5</v>
          </cell>
          <cell r="F1">
            <v>6</v>
          </cell>
          <cell r="G1">
            <v>7</v>
          </cell>
          <cell r="H1">
            <v>8</v>
          </cell>
          <cell r="I1">
            <v>9</v>
          </cell>
          <cell r="J1">
            <v>10</v>
          </cell>
          <cell r="K1">
            <v>11</v>
          </cell>
          <cell r="L1">
            <v>12</v>
          </cell>
          <cell r="M1">
            <v>13</v>
          </cell>
          <cell r="N1">
            <v>14</v>
          </cell>
          <cell r="O1">
            <v>15</v>
          </cell>
          <cell r="P1">
            <v>16</v>
          </cell>
          <cell r="Q1">
            <v>17</v>
          </cell>
          <cell r="R1">
            <v>18</v>
          </cell>
          <cell r="S1">
            <v>19</v>
          </cell>
          <cell r="T1">
            <v>20</v>
          </cell>
          <cell r="U1">
            <v>21</v>
          </cell>
          <cell r="V1">
            <v>22</v>
          </cell>
          <cell r="W1">
            <v>23</v>
          </cell>
          <cell r="X1">
            <v>24</v>
          </cell>
          <cell r="Y1">
            <v>25</v>
          </cell>
          <cell r="Z1">
            <v>26</v>
          </cell>
          <cell r="AA1">
            <v>27</v>
          </cell>
          <cell r="AB1">
            <v>28</v>
          </cell>
          <cell r="AC1">
            <v>29</v>
          </cell>
          <cell r="AD1">
            <v>30</v>
          </cell>
          <cell r="AE1">
            <v>31</v>
          </cell>
          <cell r="AF1">
            <v>32</v>
          </cell>
          <cell r="AG1">
            <v>33</v>
          </cell>
          <cell r="AH1">
            <v>34</v>
          </cell>
          <cell r="AI1">
            <v>35</v>
          </cell>
          <cell r="AJ1">
            <v>36</v>
          </cell>
          <cell r="AK1">
            <v>37</v>
          </cell>
          <cell r="AL1">
            <v>38</v>
          </cell>
          <cell r="AM1">
            <v>39</v>
          </cell>
          <cell r="AN1">
            <v>40</v>
          </cell>
          <cell r="AO1">
            <v>41</v>
          </cell>
          <cell r="AP1">
            <v>42</v>
          </cell>
          <cell r="AQ1">
            <v>43</v>
          </cell>
          <cell r="AR1">
            <v>44</v>
          </cell>
          <cell r="AS1">
            <v>45</v>
          </cell>
          <cell r="AT1">
            <v>46</v>
          </cell>
          <cell r="AU1">
            <v>47</v>
          </cell>
          <cell r="AV1">
            <v>48</v>
          </cell>
          <cell r="AW1">
            <v>49</v>
          </cell>
          <cell r="AX1">
            <v>50</v>
          </cell>
          <cell r="AY1">
            <v>51</v>
          </cell>
          <cell r="AZ1">
            <v>52</v>
          </cell>
          <cell r="BA1">
            <v>53</v>
          </cell>
          <cell r="BB1">
            <v>54</v>
          </cell>
          <cell r="BC1">
            <v>55</v>
          </cell>
          <cell r="BD1">
            <v>56</v>
          </cell>
          <cell r="BE1">
            <v>57</v>
          </cell>
          <cell r="BF1">
            <v>58</v>
          </cell>
          <cell r="BG1">
            <v>59</v>
          </cell>
          <cell r="BH1">
            <v>60</v>
          </cell>
          <cell r="BI1">
            <v>61</v>
          </cell>
          <cell r="BJ1">
            <v>62</v>
          </cell>
          <cell r="BK1">
            <v>63</v>
          </cell>
          <cell r="BL1">
            <v>64</v>
          </cell>
          <cell r="BM1">
            <v>65</v>
          </cell>
          <cell r="BN1">
            <v>66</v>
          </cell>
          <cell r="BO1">
            <v>67</v>
          </cell>
          <cell r="BP1">
            <v>68</v>
          </cell>
          <cell r="BQ1">
            <v>69</v>
          </cell>
          <cell r="BR1">
            <v>70</v>
          </cell>
          <cell r="BS1">
            <v>71</v>
          </cell>
          <cell r="BT1">
            <v>72</v>
          </cell>
          <cell r="BU1">
            <v>73</v>
          </cell>
          <cell r="BV1">
            <v>74</v>
          </cell>
          <cell r="BW1">
            <v>75</v>
          </cell>
          <cell r="BX1">
            <v>76</v>
          </cell>
          <cell r="BY1">
            <v>77</v>
          </cell>
          <cell r="BZ1">
            <v>78</v>
          </cell>
          <cell r="CA1">
            <v>79</v>
          </cell>
          <cell r="CB1">
            <v>80</v>
          </cell>
          <cell r="CC1">
            <v>81</v>
          </cell>
          <cell r="CD1">
            <v>82</v>
          </cell>
          <cell r="CE1">
            <v>83</v>
          </cell>
          <cell r="CF1">
            <v>84</v>
          </cell>
          <cell r="CG1">
            <v>85</v>
          </cell>
          <cell r="CH1">
            <v>86</v>
          </cell>
          <cell r="CI1">
            <v>87</v>
          </cell>
          <cell r="CJ1">
            <v>88</v>
          </cell>
          <cell r="CK1">
            <v>89</v>
          </cell>
          <cell r="CL1">
            <v>90</v>
          </cell>
          <cell r="CM1">
            <v>91</v>
          </cell>
          <cell r="CN1">
            <v>92</v>
          </cell>
          <cell r="CO1">
            <v>93</v>
          </cell>
          <cell r="CP1">
            <v>94</v>
          </cell>
          <cell r="CQ1">
            <v>95</v>
          </cell>
          <cell r="CR1">
            <v>96</v>
          </cell>
          <cell r="CS1">
            <v>97</v>
          </cell>
          <cell r="CT1">
            <v>98</v>
          </cell>
          <cell r="CU1">
            <v>99</v>
          </cell>
          <cell r="CV1">
            <v>100</v>
          </cell>
          <cell r="CW1">
            <v>101</v>
          </cell>
          <cell r="CX1">
            <v>102</v>
          </cell>
          <cell r="CY1">
            <v>103</v>
          </cell>
          <cell r="CZ1">
            <v>104</v>
          </cell>
          <cell r="DA1">
            <v>105</v>
          </cell>
          <cell r="DB1">
            <v>106</v>
          </cell>
          <cell r="DC1">
            <v>107</v>
          </cell>
          <cell r="DD1">
            <v>108</v>
          </cell>
          <cell r="DE1">
            <v>109</v>
          </cell>
          <cell r="DF1">
            <v>110</v>
          </cell>
          <cell r="DG1">
            <v>111</v>
          </cell>
          <cell r="DH1">
            <v>112</v>
          </cell>
          <cell r="DI1">
            <v>113</v>
          </cell>
          <cell r="DJ1">
            <v>114</v>
          </cell>
          <cell r="DK1">
            <v>115</v>
          </cell>
          <cell r="DL1">
            <v>116</v>
          </cell>
          <cell r="DM1">
            <v>117</v>
          </cell>
          <cell r="DN1">
            <v>118</v>
          </cell>
          <cell r="DO1">
            <v>107</v>
          </cell>
          <cell r="DP1">
            <v>108</v>
          </cell>
          <cell r="DQ1">
            <v>109</v>
          </cell>
          <cell r="DR1">
            <v>110</v>
          </cell>
          <cell r="DS1">
            <v>111</v>
          </cell>
          <cell r="DT1">
            <v>112</v>
          </cell>
          <cell r="DU1">
            <v>113</v>
          </cell>
          <cell r="DV1">
            <v>114</v>
          </cell>
          <cell r="DW1">
            <v>115</v>
          </cell>
          <cell r="DX1">
            <v>116</v>
          </cell>
          <cell r="DY1">
            <v>117</v>
          </cell>
          <cell r="DZ1">
            <v>118</v>
          </cell>
          <cell r="EA1">
            <v>119</v>
          </cell>
          <cell r="EB1">
            <v>120</v>
          </cell>
          <cell r="EC1">
            <v>121</v>
          </cell>
          <cell r="ED1">
            <v>122</v>
          </cell>
          <cell r="EE1">
            <v>123</v>
          </cell>
          <cell r="EF1">
            <v>124</v>
          </cell>
          <cell r="EG1">
            <v>125</v>
          </cell>
          <cell r="EH1">
            <v>126</v>
          </cell>
          <cell r="EI1">
            <v>127</v>
          </cell>
          <cell r="EJ1">
            <v>128</v>
          </cell>
          <cell r="EK1">
            <v>129</v>
          </cell>
          <cell r="EL1">
            <v>130</v>
          </cell>
          <cell r="EM1">
            <v>131</v>
          </cell>
          <cell r="EN1">
            <v>132</v>
          </cell>
          <cell r="EO1">
            <v>133</v>
          </cell>
          <cell r="EP1">
            <v>134</v>
          </cell>
          <cell r="EQ1">
            <v>135</v>
          </cell>
          <cell r="ER1">
            <v>136</v>
          </cell>
        </row>
        <row r="2">
          <cell r="A2" t="str">
            <v>S E R V I C E N O W</v>
          </cell>
        </row>
        <row r="3">
          <cell r="A3" t="str">
            <v>R e v e n u e   B r e a k d o w n</v>
          </cell>
        </row>
        <row r="4">
          <cell r="A4" t="str">
            <v>(US$ in millions, unless otherwise stated)</v>
          </cell>
          <cell r="C4" t="str">
            <v>Fiscal 1999 by Quarter</v>
          </cell>
          <cell r="G4" t="str">
            <v>Fiscal 2000 by Quarter</v>
          </cell>
          <cell r="K4" t="str">
            <v>Fiscal 2001 by Quarter</v>
          </cell>
          <cell r="O4" t="str">
            <v>Fiscal 2002 by Quarter</v>
          </cell>
          <cell r="S4" t="str">
            <v>Fiscal 2003 by Quarter</v>
          </cell>
          <cell r="W4" t="str">
            <v>Fiscal 2004 by Quarter</v>
          </cell>
          <cell r="AA4" t="str">
            <v>Fiscal 2005 by Quarter</v>
          </cell>
          <cell r="AE4" t="str">
            <v>Fiscal 2006 by Quarter</v>
          </cell>
          <cell r="AI4" t="str">
            <v>Fiscal 2006 by Quarter</v>
          </cell>
          <cell r="AM4" t="str">
            <v>Fiscal 2007 by Quarter</v>
          </cell>
          <cell r="AQ4" t="str">
            <v>Fiscal 2008 by Quarter</v>
          </cell>
          <cell r="AU4" t="str">
            <v>Fiscal 2009 by Quarter</v>
          </cell>
          <cell r="AY4" t="str">
            <v>Fiscal 2010 by Quarter</v>
          </cell>
          <cell r="BC4" t="str">
            <v>Fiscal 2011 by Quarter</v>
          </cell>
          <cell r="BG4" t="str">
            <v>Fiscal 2012 by Quarter</v>
          </cell>
          <cell r="BK4" t="str">
            <v>Fiscal 2013 by Quarter</v>
          </cell>
          <cell r="BO4" t="str">
            <v>Fiscal 2014 by Quarter</v>
          </cell>
          <cell r="BS4" t="str">
            <v>Fiscal 2015 by Quarter</v>
          </cell>
          <cell r="BW4" t="str">
            <v>Fiscal 2016 by Quarter</v>
          </cell>
          <cell r="CA4" t="str">
            <v>Fiscal 2017 by Quarter</v>
          </cell>
          <cell r="CE4" t="str">
            <v>Fiscal 2018 by Quarter</v>
          </cell>
          <cell r="CI4" t="str">
            <v>Fiscal 2019 by Quarter</v>
          </cell>
          <cell r="CM4" t="str">
            <v>Fiscal 2020 by Quarter</v>
          </cell>
          <cell r="CQ4" t="str">
            <v>Fiscal 2021 by Quarter</v>
          </cell>
          <cell r="CU4" t="str">
            <v>Fiscal 2022 by Quarter</v>
          </cell>
          <cell r="CY4" t="str">
            <v>Fiscal 2023 by Quarter</v>
          </cell>
          <cell r="DC4" t="str">
            <v>Fiscal 2024 by Quarter</v>
          </cell>
          <cell r="DG4" t="str">
            <v>Fiscal 2025 by Quarter</v>
          </cell>
          <cell r="DK4" t="str">
            <v>Fiscal 2026 by Quarter</v>
          </cell>
          <cell r="DP4" t="str">
            <v xml:space="preserve"> Fiscal Year Ends December</v>
          </cell>
        </row>
        <row r="5">
          <cell r="C5">
            <v>35886</v>
          </cell>
          <cell r="D5">
            <v>35977</v>
          </cell>
          <cell r="E5">
            <v>36069</v>
          </cell>
          <cell r="F5">
            <v>36161</v>
          </cell>
          <cell r="G5">
            <v>36251</v>
          </cell>
          <cell r="H5">
            <v>36342</v>
          </cell>
          <cell r="I5">
            <v>36434</v>
          </cell>
          <cell r="J5">
            <v>36526</v>
          </cell>
          <cell r="K5">
            <v>36617</v>
          </cell>
          <cell r="L5">
            <v>36708</v>
          </cell>
          <cell r="M5">
            <v>36800</v>
          </cell>
          <cell r="N5">
            <v>36892</v>
          </cell>
          <cell r="O5">
            <v>36982</v>
          </cell>
          <cell r="P5">
            <v>37073</v>
          </cell>
          <cell r="Q5">
            <v>37165</v>
          </cell>
          <cell r="R5">
            <v>37257</v>
          </cell>
          <cell r="S5">
            <v>37348</v>
          </cell>
          <cell r="T5">
            <v>37439</v>
          </cell>
          <cell r="U5">
            <v>37531</v>
          </cell>
          <cell r="V5">
            <v>37623</v>
          </cell>
          <cell r="W5">
            <v>37715</v>
          </cell>
          <cell r="X5">
            <v>37806</v>
          </cell>
          <cell r="Y5">
            <v>37898</v>
          </cell>
          <cell r="Z5">
            <v>37990</v>
          </cell>
          <cell r="AA5">
            <v>38081</v>
          </cell>
          <cell r="AB5">
            <v>38172</v>
          </cell>
          <cell r="AC5">
            <v>38264</v>
          </cell>
          <cell r="AD5">
            <v>38356</v>
          </cell>
          <cell r="AE5">
            <v>38447</v>
          </cell>
          <cell r="AF5">
            <v>38538</v>
          </cell>
          <cell r="AG5">
            <v>38630</v>
          </cell>
          <cell r="AH5">
            <v>38722</v>
          </cell>
          <cell r="AI5">
            <v>38807</v>
          </cell>
          <cell r="AJ5">
            <v>38898</v>
          </cell>
          <cell r="AK5">
            <v>38990</v>
          </cell>
          <cell r="AL5">
            <v>39082</v>
          </cell>
          <cell r="AM5">
            <v>39172</v>
          </cell>
          <cell r="AN5">
            <v>39263</v>
          </cell>
          <cell r="AO5">
            <v>39355</v>
          </cell>
          <cell r="AP5">
            <v>39447</v>
          </cell>
          <cell r="AQ5">
            <v>39538</v>
          </cell>
          <cell r="AR5">
            <v>39629</v>
          </cell>
          <cell r="AS5">
            <v>39721</v>
          </cell>
          <cell r="AT5">
            <v>39813</v>
          </cell>
          <cell r="AU5">
            <v>39903</v>
          </cell>
          <cell r="AV5">
            <v>39994</v>
          </cell>
          <cell r="AW5">
            <v>40086</v>
          </cell>
          <cell r="AX5">
            <v>40178</v>
          </cell>
          <cell r="AY5">
            <v>40268</v>
          </cell>
          <cell r="AZ5">
            <v>40359</v>
          </cell>
          <cell r="BA5">
            <v>40451</v>
          </cell>
          <cell r="BB5">
            <v>40543</v>
          </cell>
          <cell r="BC5">
            <v>40633</v>
          </cell>
          <cell r="BD5">
            <v>40724</v>
          </cell>
          <cell r="BE5">
            <v>40816</v>
          </cell>
          <cell r="BF5">
            <v>40908</v>
          </cell>
          <cell r="BG5">
            <v>40999</v>
          </cell>
          <cell r="BH5">
            <v>41072</v>
          </cell>
          <cell r="BI5">
            <v>41164</v>
          </cell>
          <cell r="BJ5">
            <v>41255</v>
          </cell>
          <cell r="BK5">
            <v>41346</v>
          </cell>
          <cell r="BL5">
            <v>41438</v>
          </cell>
          <cell r="BM5">
            <v>41529</v>
          </cell>
          <cell r="BN5">
            <v>41621</v>
          </cell>
          <cell r="BO5">
            <v>41712</v>
          </cell>
          <cell r="BP5">
            <v>41804</v>
          </cell>
          <cell r="BQ5">
            <v>41894</v>
          </cell>
          <cell r="BR5">
            <v>41987</v>
          </cell>
          <cell r="BS5">
            <v>42078</v>
          </cell>
          <cell r="BT5">
            <v>42170</v>
          </cell>
          <cell r="BU5">
            <v>42262</v>
          </cell>
          <cell r="BV5">
            <v>42353</v>
          </cell>
          <cell r="BW5">
            <v>42445</v>
          </cell>
          <cell r="BX5">
            <v>42537</v>
          </cell>
          <cell r="BY5">
            <v>42629</v>
          </cell>
          <cell r="BZ5">
            <v>42720</v>
          </cell>
          <cell r="CA5">
            <v>42811</v>
          </cell>
          <cell r="CB5">
            <v>42903</v>
          </cell>
          <cell r="CC5">
            <v>42995</v>
          </cell>
          <cell r="CD5">
            <v>43086</v>
          </cell>
          <cell r="CE5">
            <v>43177</v>
          </cell>
          <cell r="CF5">
            <v>43269</v>
          </cell>
          <cell r="CG5">
            <v>43361</v>
          </cell>
          <cell r="CH5">
            <v>43452</v>
          </cell>
          <cell r="CI5">
            <v>43543</v>
          </cell>
          <cell r="CJ5">
            <v>43635</v>
          </cell>
          <cell r="CK5">
            <v>43727</v>
          </cell>
          <cell r="CL5">
            <v>43818</v>
          </cell>
          <cell r="CM5">
            <v>43910</v>
          </cell>
          <cell r="CN5">
            <v>44002</v>
          </cell>
          <cell r="CO5">
            <v>44094</v>
          </cell>
          <cell r="CP5">
            <v>44185</v>
          </cell>
          <cell r="CQ5" t="str">
            <v>Mar-21E</v>
          </cell>
          <cell r="CR5" t="str">
            <v>Jun-21E</v>
          </cell>
          <cell r="CS5" t="str">
            <v>Sep-21E</v>
          </cell>
          <cell r="CT5" t="str">
            <v>Dec-21E</v>
          </cell>
          <cell r="CU5" t="str">
            <v>Mar-22E</v>
          </cell>
          <cell r="CV5" t="str">
            <v>Jun-22E</v>
          </cell>
          <cell r="CW5" t="str">
            <v>Sep-22E</v>
          </cell>
          <cell r="CX5" t="str">
            <v>Dec-22E</v>
          </cell>
          <cell r="CY5" t="str">
            <v>Mar-23E</v>
          </cell>
          <cell r="CZ5" t="str">
            <v>Jun-23E</v>
          </cell>
          <cell r="DA5" t="str">
            <v>Sep-23E</v>
          </cell>
          <cell r="DB5" t="str">
            <v>Dec-23E</v>
          </cell>
          <cell r="DC5" t="str">
            <v>Mar-24E</v>
          </cell>
          <cell r="DD5" t="str">
            <v>Jun-24E</v>
          </cell>
          <cell r="DE5" t="str">
            <v>Sep-24E</v>
          </cell>
          <cell r="DF5" t="str">
            <v>Dec-24E</v>
          </cell>
          <cell r="DG5" t="str">
            <v>Mar-25E</v>
          </cell>
          <cell r="DH5" t="str">
            <v>Jun-25E</v>
          </cell>
          <cell r="DI5" t="str">
            <v>Sep-25E</v>
          </cell>
          <cell r="DJ5" t="str">
            <v>Dec-25E</v>
          </cell>
          <cell r="DK5" t="str">
            <v>Mar-26E</v>
          </cell>
          <cell r="DL5" t="str">
            <v>Jun-26E</v>
          </cell>
          <cell r="DM5" t="str">
            <v>Sep-26E</v>
          </cell>
          <cell r="DN5" t="str">
            <v>Dec-26E</v>
          </cell>
          <cell r="DP5">
            <v>1998</v>
          </cell>
          <cell r="DQ5">
            <v>1999</v>
          </cell>
          <cell r="DR5">
            <v>2000</v>
          </cell>
          <cell r="DS5">
            <v>2001</v>
          </cell>
          <cell r="DT5">
            <v>2002</v>
          </cell>
          <cell r="DU5">
            <v>2003</v>
          </cell>
          <cell r="DV5">
            <v>2004</v>
          </cell>
          <cell r="DW5">
            <v>2005</v>
          </cell>
          <cell r="DX5">
            <v>2006</v>
          </cell>
          <cell r="DY5">
            <v>2007</v>
          </cell>
          <cell r="DZ5">
            <v>2008</v>
          </cell>
          <cell r="EA5">
            <v>2009</v>
          </cell>
          <cell r="EB5">
            <v>2010</v>
          </cell>
          <cell r="EC5">
            <v>2011</v>
          </cell>
          <cell r="ED5">
            <v>2012</v>
          </cell>
          <cell r="EE5">
            <v>2013</v>
          </cell>
          <cell r="EF5">
            <v>2014</v>
          </cell>
          <cell r="EG5">
            <v>2015</v>
          </cell>
          <cell r="EH5">
            <v>2016</v>
          </cell>
          <cell r="EI5">
            <v>2017</v>
          </cell>
          <cell r="EJ5">
            <v>2018</v>
          </cell>
          <cell r="EK5">
            <v>2019</v>
          </cell>
          <cell r="EL5">
            <v>2020</v>
          </cell>
          <cell r="EM5" t="str">
            <v>2021E</v>
          </cell>
          <cell r="EN5" t="str">
            <v>2022E</v>
          </cell>
          <cell r="EO5" t="str">
            <v>2023E</v>
          </cell>
          <cell r="EP5" t="str">
            <v>2024E</v>
          </cell>
          <cell r="EQ5" t="str">
            <v>2025E</v>
          </cell>
          <cell r="ER5" t="str">
            <v>2026E</v>
          </cell>
        </row>
        <row r="6">
          <cell r="A6" t="str">
            <v>North America</v>
          </cell>
          <cell r="BE6">
            <v>24.5</v>
          </cell>
          <cell r="BF6">
            <v>27.4</v>
          </cell>
          <cell r="BG6">
            <v>33.9</v>
          </cell>
          <cell r="BH6">
            <v>40.700000000000003</v>
          </cell>
          <cell r="BI6">
            <v>45.5</v>
          </cell>
          <cell r="BJ6">
            <v>52.9</v>
          </cell>
          <cell r="BK6">
            <v>60.1</v>
          </cell>
          <cell r="BL6">
            <v>71.8</v>
          </cell>
          <cell r="BM6">
            <v>76.900000000000006</v>
          </cell>
          <cell r="BN6">
            <v>86.5</v>
          </cell>
          <cell r="BO6">
            <v>95</v>
          </cell>
          <cell r="BP6">
            <v>114.3</v>
          </cell>
          <cell r="BQ6">
            <v>120</v>
          </cell>
          <cell r="BR6">
            <v>135</v>
          </cell>
          <cell r="BS6">
            <v>149</v>
          </cell>
          <cell r="BT6">
            <v>174</v>
          </cell>
          <cell r="BU6">
            <v>181</v>
          </cell>
          <cell r="BV6">
            <v>199</v>
          </cell>
          <cell r="BW6">
            <v>211</v>
          </cell>
          <cell r="BX6">
            <v>234</v>
          </cell>
          <cell r="BY6">
            <v>239.62952000000001</v>
          </cell>
          <cell r="BZ6">
            <v>262.25287999999983</v>
          </cell>
          <cell r="CA6">
            <v>283.41244000000006</v>
          </cell>
          <cell r="CB6">
            <v>304.81544000000002</v>
          </cell>
          <cell r="CC6">
            <v>324.96551999999997</v>
          </cell>
          <cell r="CD6">
            <v>362.40138000000002</v>
          </cell>
          <cell r="CE6">
            <v>388.88652000000008</v>
          </cell>
          <cell r="CF6">
            <v>416.49696000000006</v>
          </cell>
          <cell r="CG6">
            <v>450.97498999999999</v>
          </cell>
          <cell r="CH6">
            <v>472.19106000000005</v>
          </cell>
          <cell r="CI6">
            <v>520.69115999999997</v>
          </cell>
          <cell r="CJ6">
            <v>542.0376</v>
          </cell>
          <cell r="CK6">
            <v>593.50810999999999</v>
          </cell>
          <cell r="CL6">
            <v>618.65309999999999</v>
          </cell>
          <cell r="CM6">
            <v>701.04779999999994</v>
          </cell>
          <cell r="CN6">
            <v>706.75572000000011</v>
          </cell>
          <cell r="CO6">
            <v>760.30151999999998</v>
          </cell>
          <cell r="CP6">
            <v>800.21119999999996</v>
          </cell>
          <cell r="DP6">
            <v>0</v>
          </cell>
          <cell r="DQ6">
            <v>0</v>
          </cell>
          <cell r="DR6">
            <v>0</v>
          </cell>
          <cell r="DS6">
            <v>0</v>
          </cell>
          <cell r="DT6">
            <v>0</v>
          </cell>
          <cell r="DU6">
            <v>0</v>
          </cell>
          <cell r="DV6">
            <v>0</v>
          </cell>
          <cell r="DW6">
            <v>0</v>
          </cell>
          <cell r="DX6">
            <v>0</v>
          </cell>
          <cell r="DY6">
            <v>0</v>
          </cell>
          <cell r="DZ6">
            <v>0</v>
          </cell>
          <cell r="EA6">
            <v>0</v>
          </cell>
          <cell r="EB6">
            <v>0</v>
          </cell>
          <cell r="EC6">
            <v>51.9</v>
          </cell>
          <cell r="ED6">
            <v>173</v>
          </cell>
          <cell r="EE6">
            <v>295.3</v>
          </cell>
          <cell r="EF6">
            <v>464.3</v>
          </cell>
          <cell r="EG6">
            <v>703</v>
          </cell>
          <cell r="EH6">
            <v>946.88239999999973</v>
          </cell>
          <cell r="EI6">
            <v>1275.5947800000001</v>
          </cell>
          <cell r="EJ6">
            <v>1728.5495300000002</v>
          </cell>
          <cell r="EK6">
            <v>2274.8899700000002</v>
          </cell>
          <cell r="EL6">
            <v>2968.3162400000001</v>
          </cell>
          <cell r="EM6">
            <v>0</v>
          </cell>
          <cell r="EN6">
            <v>0</v>
          </cell>
          <cell r="EO6">
            <v>0</v>
          </cell>
          <cell r="EP6">
            <v>0</v>
          </cell>
          <cell r="EQ6">
            <v>0</v>
          </cell>
          <cell r="ER6">
            <v>0</v>
          </cell>
        </row>
        <row r="7">
          <cell r="A7" t="str">
            <v>% revenues</v>
          </cell>
          <cell r="BC7">
            <v>0</v>
          </cell>
          <cell r="BD7">
            <v>0</v>
          </cell>
          <cell r="BE7">
            <v>0.71643711436675728</v>
          </cell>
          <cell r="BF7">
            <v>0.69937209658481803</v>
          </cell>
          <cell r="BG7">
            <v>0.71472243891126053</v>
          </cell>
          <cell r="BH7">
            <v>0.716877443900377</v>
          </cell>
          <cell r="BI7">
            <v>0.70712565078871703</v>
          </cell>
          <cell r="BJ7">
            <v>0.70381309704371886</v>
          </cell>
          <cell r="BK7">
            <v>0.69933324800148944</v>
          </cell>
          <cell r="BL7">
            <v>0.70239283128876362</v>
          </cell>
          <cell r="BM7">
            <v>0.69118003936760175</v>
          </cell>
          <cell r="BN7">
            <v>0.6907290585323006</v>
          </cell>
          <cell r="BO7">
            <v>0.68301100007189586</v>
          </cell>
          <cell r="BP7">
            <v>0.68542849775421721</v>
          </cell>
          <cell r="BQ7">
            <v>0.67147141769998664</v>
          </cell>
          <cell r="BR7">
            <v>0.68180440799175768</v>
          </cell>
          <cell r="BS7">
            <v>0.70294955747202359</v>
          </cell>
          <cell r="BT7">
            <v>0.70526435253489839</v>
          </cell>
          <cell r="BU7">
            <v>0.69308826345012453</v>
          </cell>
          <cell r="BV7">
            <v>0.69665674776824793</v>
          </cell>
          <cell r="BW7">
            <v>0.68981525374412755</v>
          </cell>
          <cell r="BX7">
            <v>0.68558972435777243</v>
          </cell>
          <cell r="BY7">
            <v>0.67</v>
          </cell>
          <cell r="BZ7">
            <v>0.6799999999999996</v>
          </cell>
          <cell r="CA7">
            <v>0.66098789330435137</v>
          </cell>
          <cell r="CB7">
            <v>0.68</v>
          </cell>
          <cell r="CC7">
            <v>0.66</v>
          </cell>
          <cell r="CD7">
            <v>0.66</v>
          </cell>
          <cell r="CE7">
            <v>0.66</v>
          </cell>
          <cell r="CF7">
            <v>0.66</v>
          </cell>
          <cell r="CG7">
            <v>0.67</v>
          </cell>
          <cell r="CH7">
            <v>0.66</v>
          </cell>
          <cell r="CI7">
            <v>0.66</v>
          </cell>
          <cell r="CJ7">
            <v>0.65</v>
          </cell>
          <cell r="CK7">
            <v>0.67</v>
          </cell>
          <cell r="CL7">
            <v>0.65</v>
          </cell>
          <cell r="CM7">
            <v>0.67</v>
          </cell>
          <cell r="CN7">
            <v>0.66</v>
          </cell>
          <cell r="CO7">
            <v>0.66</v>
          </cell>
          <cell r="CP7">
            <v>0.64</v>
          </cell>
          <cell r="DP7" t="str">
            <v>NA</v>
          </cell>
          <cell r="DQ7" t="str">
            <v>NA</v>
          </cell>
          <cell r="DR7" t="str">
            <v>NA</v>
          </cell>
          <cell r="DS7" t="str">
            <v>NA</v>
          </cell>
          <cell r="DT7" t="str">
            <v>NA</v>
          </cell>
          <cell r="DU7" t="str">
            <v>NA</v>
          </cell>
          <cell r="DV7" t="str">
            <v>NA</v>
          </cell>
          <cell r="DW7" t="str">
            <v>NA</v>
          </cell>
          <cell r="DX7" t="str">
            <v>NA</v>
          </cell>
          <cell r="DY7" t="str">
            <v>NA</v>
          </cell>
          <cell r="DZ7">
            <v>0</v>
          </cell>
          <cell r="EA7">
            <v>0</v>
          </cell>
          <cell r="EB7">
            <v>0</v>
          </cell>
          <cell r="EC7">
            <v>0.40524130515153595</v>
          </cell>
          <cell r="ED7">
            <v>0.70985425420168058</v>
          </cell>
          <cell r="EE7">
            <v>0.69539620864241136</v>
          </cell>
          <cell r="EF7">
            <v>0.6802302498084426</v>
          </cell>
          <cell r="EG7">
            <v>0.6991685563114135</v>
          </cell>
          <cell r="EH7">
            <v>0.68095904173495669</v>
          </cell>
          <cell r="EI7">
            <v>0.66489380733012471</v>
          </cell>
          <cell r="EJ7">
            <v>0.66258008613869279</v>
          </cell>
          <cell r="EK7">
            <v>0.65739962033696908</v>
          </cell>
          <cell r="EL7">
            <v>0.65678211052412183</v>
          </cell>
          <cell r="EM7">
            <v>0</v>
          </cell>
          <cell r="EN7">
            <v>0</v>
          </cell>
          <cell r="EO7">
            <v>0</v>
          </cell>
          <cell r="EP7">
            <v>0</v>
          </cell>
          <cell r="EQ7">
            <v>0</v>
          </cell>
          <cell r="ER7">
            <v>0</v>
          </cell>
        </row>
        <row r="8">
          <cell r="A8" t="str">
            <v>% growth y-o-y</v>
          </cell>
          <cell r="BC8" t="str">
            <v>NA</v>
          </cell>
          <cell r="BD8" t="str">
            <v>NA</v>
          </cell>
          <cell r="BE8" t="str">
            <v>NA</v>
          </cell>
          <cell r="BF8" t="str">
            <v>NA</v>
          </cell>
          <cell r="BG8" t="str">
            <v>NA</v>
          </cell>
          <cell r="BH8" t="str">
            <v>NA</v>
          </cell>
          <cell r="BI8">
            <v>0.85714285714285721</v>
          </cell>
          <cell r="BJ8">
            <v>0.93065693430656937</v>
          </cell>
          <cell r="BK8">
            <v>0.77286135693215341</v>
          </cell>
          <cell r="BL8">
            <v>0.76412776412776395</v>
          </cell>
          <cell r="BM8">
            <v>0.69010989010989032</v>
          </cell>
          <cell r="BN8">
            <v>0.63516068052930064</v>
          </cell>
          <cell r="BO8">
            <v>0.58069883527454236</v>
          </cell>
          <cell r="BP8">
            <v>0.59192200557103059</v>
          </cell>
          <cell r="BQ8">
            <v>0.56046814044213256</v>
          </cell>
          <cell r="BR8">
            <v>0.56069364161849711</v>
          </cell>
          <cell r="BS8">
            <v>0.56842105263157894</v>
          </cell>
          <cell r="BT8">
            <v>0.52230971128608927</v>
          </cell>
          <cell r="BU8">
            <v>0.5083333333333333</v>
          </cell>
          <cell r="BV8">
            <v>0.47407407407407409</v>
          </cell>
          <cell r="BW8">
            <v>0.41610738255033564</v>
          </cell>
          <cell r="BX8">
            <v>0.34482758620689657</v>
          </cell>
          <cell r="BY8">
            <v>0.32391999999999999</v>
          </cell>
          <cell r="BZ8">
            <v>0.3178536683417077</v>
          </cell>
          <cell r="CA8">
            <v>0.34318691943127999</v>
          </cell>
          <cell r="CB8">
            <v>0.30263008547008563</v>
          </cell>
          <cell r="CC8">
            <v>0.35611639166994102</v>
          </cell>
          <cell r="CD8">
            <v>0.38187759844620284</v>
          </cell>
          <cell r="CE8">
            <v>0.37215755243488946</v>
          </cell>
          <cell r="CF8">
            <v>0.36639062640658904</v>
          </cell>
          <cell r="CG8">
            <v>0.38776258478130243</v>
          </cell>
          <cell r="CH8">
            <v>0.30295050200967788</v>
          </cell>
          <cell r="CI8">
            <v>0.33892828170027567</v>
          </cell>
          <cell r="CJ8">
            <v>0.30142030328384606</v>
          </cell>
          <cell r="CK8">
            <v>0.31605548680205087</v>
          </cell>
          <cell r="CL8">
            <v>0.31017537689087105</v>
          </cell>
          <cell r="CM8">
            <v>0.34637930092763614</v>
          </cell>
          <cell r="CN8">
            <v>0.30388688902762495</v>
          </cell>
          <cell r="CO8">
            <v>0.28102970656963722</v>
          </cell>
          <cell r="CP8">
            <v>0.29347319200372546</v>
          </cell>
          <cell r="DQ8" t="str">
            <v>NA</v>
          </cell>
          <cell r="DR8" t="str">
            <v>NA</v>
          </cell>
          <cell r="DS8" t="str">
            <v>NA</v>
          </cell>
          <cell r="DT8" t="str">
            <v>NA</v>
          </cell>
          <cell r="DU8" t="str">
            <v>NA</v>
          </cell>
          <cell r="DV8" t="str">
            <v>NA</v>
          </cell>
          <cell r="DW8" t="str">
            <v>NA</v>
          </cell>
          <cell r="DX8" t="str">
            <v>NA</v>
          </cell>
          <cell r="DY8" t="str">
            <v>NA</v>
          </cell>
          <cell r="DZ8" t="str">
            <v>NA</v>
          </cell>
          <cell r="EA8" t="str">
            <v>NA</v>
          </cell>
          <cell r="EB8" t="str">
            <v>NA</v>
          </cell>
          <cell r="EC8" t="str">
            <v>NA</v>
          </cell>
          <cell r="ED8">
            <v>2.3333333333333335</v>
          </cell>
          <cell r="EE8">
            <v>0.70693641618497116</v>
          </cell>
          <cell r="EF8">
            <v>0.5722993565865222</v>
          </cell>
          <cell r="EG8">
            <v>0.51410725823820802</v>
          </cell>
          <cell r="EH8">
            <v>0.3469166429587478</v>
          </cell>
          <cell r="EI8">
            <v>0.34715227572082918</v>
          </cell>
          <cell r="EJ8">
            <v>0.35509297866521528</v>
          </cell>
          <cell r="EK8">
            <v>0.31606872150200971</v>
          </cell>
          <cell r="EL8">
            <v>0.304817498492026</v>
          </cell>
          <cell r="EM8">
            <v>-1</v>
          </cell>
          <cell r="EN8" t="str">
            <v>NA</v>
          </cell>
          <cell r="EO8" t="str">
            <v>NA</v>
          </cell>
          <cell r="EP8" t="str">
            <v>NA</v>
          </cell>
          <cell r="EQ8" t="str">
            <v>NA</v>
          </cell>
          <cell r="ER8" t="str">
            <v>NA</v>
          </cell>
        </row>
        <row r="9">
          <cell r="A9" t="str">
            <v>% growth seq</v>
          </cell>
          <cell r="BC9" t="str">
            <v>NA</v>
          </cell>
          <cell r="BD9" t="str">
            <v>NA</v>
          </cell>
          <cell r="BE9" t="str">
            <v>NA</v>
          </cell>
          <cell r="BF9">
            <v>0.11836734693877538</v>
          </cell>
          <cell r="BG9">
            <v>0.23722627737226287</v>
          </cell>
          <cell r="BH9">
            <v>0.20058997050147509</v>
          </cell>
          <cell r="BI9">
            <v>0.1179361179361178</v>
          </cell>
          <cell r="BJ9">
            <v>0.1626373626373625</v>
          </cell>
          <cell r="BK9">
            <v>0.13610586011342152</v>
          </cell>
          <cell r="BL9">
            <v>0.19467554076539084</v>
          </cell>
          <cell r="BM9">
            <v>7.1030640668523715E-2</v>
          </cell>
          <cell r="BN9">
            <v>0.12483745123537049</v>
          </cell>
          <cell r="BO9">
            <v>9.8265895953757232E-2</v>
          </cell>
          <cell r="BP9">
            <v>0.20315789473684198</v>
          </cell>
          <cell r="BQ9">
            <v>4.986876640419946E-2</v>
          </cell>
          <cell r="BR9">
            <v>0.125</v>
          </cell>
          <cell r="BS9">
            <v>0.10370370370370363</v>
          </cell>
          <cell r="BT9">
            <v>0.16778523489932895</v>
          </cell>
          <cell r="BU9">
            <v>4.022988505747116E-2</v>
          </cell>
          <cell r="BV9">
            <v>9.9447513812154664E-2</v>
          </cell>
          <cell r="BW9">
            <v>6.0301507537688481E-2</v>
          </cell>
          <cell r="BX9">
            <v>0.1090047393364928</v>
          </cell>
          <cell r="BY9">
            <v>2.4057777777777734E-2</v>
          </cell>
          <cell r="BZ9">
            <v>9.4409737164268481E-2</v>
          </cell>
          <cell r="CA9">
            <v>8.0683804120665004E-2</v>
          </cell>
          <cell r="CB9">
            <v>7.5518915118898633E-2</v>
          </cell>
          <cell r="CC9">
            <v>6.6105837683287705E-2</v>
          </cell>
          <cell r="CD9">
            <v>0.11519948331749186</v>
          </cell>
          <cell r="CE9">
            <v>7.3082337600370195E-2</v>
          </cell>
          <cell r="CF9">
            <v>7.099870676926523E-2</v>
          </cell>
          <cell r="CG9">
            <v>8.2780988365437125E-2</v>
          </cell>
          <cell r="CH9">
            <v>4.7044892666886051E-2</v>
          </cell>
          <cell r="CI9">
            <v>0.10271287220050263</v>
          </cell>
          <cell r="CJ9">
            <v>4.0996355690002595E-2</v>
          </cell>
          <cell r="CK9">
            <v>9.4957453136092385E-2</v>
          </cell>
          <cell r="CL9">
            <v>4.2366716774940194E-2</v>
          </cell>
          <cell r="CM9">
            <v>0.13318400893812687</v>
          </cell>
          <cell r="CN9">
            <v>8.1419840416019351E-3</v>
          </cell>
          <cell r="CO9">
            <v>7.5762810946899517E-2</v>
          </cell>
          <cell r="CP9">
            <v>5.2491911366953525E-2</v>
          </cell>
        </row>
        <row r="10">
          <cell r="DW10" t="e">
            <v>#REF!</v>
          </cell>
          <cell r="DX10" t="e">
            <v>#REF!</v>
          </cell>
        </row>
        <row r="11">
          <cell r="A11" t="str">
            <v>EMEA</v>
          </cell>
          <cell r="BE11">
            <v>8.6</v>
          </cell>
          <cell r="BF11">
            <v>10.3</v>
          </cell>
          <cell r="BG11">
            <v>11.9</v>
          </cell>
          <cell r="BH11">
            <v>14</v>
          </cell>
          <cell r="BI11">
            <v>16.100000000000001</v>
          </cell>
          <cell r="BJ11">
            <v>18.600000000000001</v>
          </cell>
          <cell r="BK11">
            <v>20.3</v>
          </cell>
          <cell r="BL11">
            <v>24.5</v>
          </cell>
          <cell r="BM11">
            <v>27.6</v>
          </cell>
          <cell r="BN11">
            <v>31.8</v>
          </cell>
          <cell r="BO11">
            <v>36</v>
          </cell>
          <cell r="BP11">
            <v>42.157000000000011</v>
          </cell>
          <cell r="BQ11">
            <v>46.711999999999989</v>
          </cell>
          <cell r="BR11">
            <v>49</v>
          </cell>
          <cell r="BS11">
            <v>48</v>
          </cell>
          <cell r="BT11">
            <v>56</v>
          </cell>
          <cell r="BU11">
            <v>62</v>
          </cell>
          <cell r="BV11">
            <v>67</v>
          </cell>
          <cell r="BW11">
            <v>74</v>
          </cell>
          <cell r="BX11">
            <v>82</v>
          </cell>
          <cell r="BY11">
            <v>89.414000000000001</v>
          </cell>
          <cell r="BZ11">
            <v>92.559840000000008</v>
          </cell>
          <cell r="CA11">
            <v>100.02792000000001</v>
          </cell>
          <cell r="CB11">
            <v>107.58192000000001</v>
          </cell>
          <cell r="CC11">
            <v>128.01671999999999</v>
          </cell>
          <cell r="CD11">
            <v>142.76417999999998</v>
          </cell>
          <cell r="CE11">
            <v>153.19772000000003</v>
          </cell>
          <cell r="CF11">
            <v>164.07456000000002</v>
          </cell>
          <cell r="CG11">
            <v>161.54327999999998</v>
          </cell>
          <cell r="CH11">
            <v>178.86025000000001</v>
          </cell>
          <cell r="CI11">
            <v>197.23149999999998</v>
          </cell>
          <cell r="CJ11">
            <v>216.81504000000001</v>
          </cell>
          <cell r="CK11">
            <v>212.59992</v>
          </cell>
          <cell r="CL11">
            <v>247.46124</v>
          </cell>
          <cell r="CM11">
            <v>251.12159999999997</v>
          </cell>
          <cell r="CN11">
            <v>267.71050000000002</v>
          </cell>
          <cell r="CO11">
            <v>287.99299999999999</v>
          </cell>
          <cell r="CP11">
            <v>325.08580000000001</v>
          </cell>
          <cell r="DP11">
            <v>0</v>
          </cell>
          <cell r="DQ11">
            <v>0</v>
          </cell>
          <cell r="DR11">
            <v>0</v>
          </cell>
          <cell r="DS11">
            <v>0</v>
          </cell>
          <cell r="DT11">
            <v>0</v>
          </cell>
          <cell r="DU11">
            <v>0</v>
          </cell>
          <cell r="DV11">
            <v>0</v>
          </cell>
          <cell r="DW11">
            <v>0</v>
          </cell>
          <cell r="DX11">
            <v>0</v>
          </cell>
          <cell r="DY11">
            <v>0</v>
          </cell>
          <cell r="DZ11">
            <v>0</v>
          </cell>
          <cell r="EA11">
            <v>0</v>
          </cell>
          <cell r="EB11">
            <v>0</v>
          </cell>
          <cell r="EC11">
            <v>0</v>
          </cell>
          <cell r="ED11">
            <v>0</v>
          </cell>
          <cell r="EE11">
            <v>0</v>
          </cell>
          <cell r="EF11">
            <v>0</v>
          </cell>
          <cell r="EG11">
            <v>0</v>
          </cell>
          <cell r="EH11">
            <v>0</v>
          </cell>
          <cell r="EI11">
            <v>0</v>
          </cell>
          <cell r="EJ11">
            <v>0</v>
          </cell>
          <cell r="EK11">
            <v>874.10769999999991</v>
          </cell>
          <cell r="EL11">
            <v>1131.9109000000001</v>
          </cell>
          <cell r="EM11">
            <v>0</v>
          </cell>
          <cell r="EN11">
            <v>0</v>
          </cell>
          <cell r="EO11">
            <v>0</v>
          </cell>
          <cell r="EP11">
            <v>0</v>
          </cell>
          <cell r="EQ11">
            <v>0</v>
          </cell>
          <cell r="ER11">
            <v>0</v>
          </cell>
        </row>
        <row r="12">
          <cell r="A12" t="str">
            <v>% revenues</v>
          </cell>
          <cell r="BC12">
            <v>0</v>
          </cell>
          <cell r="BD12">
            <v>0</v>
          </cell>
          <cell r="BE12">
            <v>0.2514840483083311</v>
          </cell>
          <cell r="BF12">
            <v>0.26290264944611774</v>
          </cell>
          <cell r="BG12">
            <v>0.25089076764141599</v>
          </cell>
          <cell r="BH12">
            <v>0.24659174974460141</v>
          </cell>
          <cell r="BI12">
            <v>0.25021369181754605</v>
          </cell>
          <cell r="BJ12">
            <v>0.24746547457491819</v>
          </cell>
          <cell r="BK12">
            <v>0.23621405880915533</v>
          </cell>
          <cell r="BL12">
            <v>0.23967443407485667</v>
          </cell>
          <cell r="BM12">
            <v>0.24806981907081677</v>
          </cell>
          <cell r="BN12">
            <v>0.25393276371476481</v>
          </cell>
          <cell r="BO12">
            <v>0.25882522107987632</v>
          </cell>
          <cell r="BP12">
            <v>0.25280497970100213</v>
          </cell>
          <cell r="BQ12">
            <v>0.26138144053001472</v>
          </cell>
          <cell r="BR12">
            <v>0.24746974808589722</v>
          </cell>
          <cell r="BS12">
            <v>0.22645354871581966</v>
          </cell>
          <cell r="BT12">
            <v>0.22698163070088684</v>
          </cell>
          <cell r="BU12">
            <v>0.2374114493586062</v>
          </cell>
          <cell r="BV12">
            <v>0.23455277437423422</v>
          </cell>
          <cell r="BW12">
            <v>0.24192572880125801</v>
          </cell>
          <cell r="BX12">
            <v>0.24024939058691172</v>
          </cell>
          <cell r="BY12">
            <v>0.25</v>
          </cell>
          <cell r="BZ12">
            <v>0.24000000000000002</v>
          </cell>
          <cell r="CA12">
            <v>0.23328984469565339</v>
          </cell>
          <cell r="CB12">
            <v>0.24</v>
          </cell>
          <cell r="CC12">
            <v>0.26</v>
          </cell>
          <cell r="CD12">
            <v>0.26</v>
          </cell>
          <cell r="CE12">
            <v>0.26</v>
          </cell>
          <cell r="CF12">
            <v>0.26</v>
          </cell>
          <cell r="CG12">
            <v>0.24</v>
          </cell>
          <cell r="CH12">
            <v>0.25</v>
          </cell>
          <cell r="CI12">
            <v>0.25</v>
          </cell>
          <cell r="CJ12">
            <v>0.26</v>
          </cell>
          <cell r="CK12">
            <v>0.24</v>
          </cell>
          <cell r="CL12">
            <v>0.26</v>
          </cell>
          <cell r="CM12">
            <v>0.24</v>
          </cell>
          <cell r="CN12">
            <v>0.25</v>
          </cell>
          <cell r="CO12">
            <v>0.25</v>
          </cell>
          <cell r="CP12">
            <v>0.26</v>
          </cell>
          <cell r="DP12" t="str">
            <v>NA</v>
          </cell>
          <cell r="DQ12" t="str">
            <v>NA</v>
          </cell>
          <cell r="DR12" t="str">
            <v>NA</v>
          </cell>
          <cell r="DS12" t="str">
            <v>NA</v>
          </cell>
          <cell r="DT12" t="str">
            <v>NA</v>
          </cell>
          <cell r="DU12" t="str">
            <v>NA</v>
          </cell>
          <cell r="DV12" t="str">
            <v>NA</v>
          </cell>
          <cell r="DW12" t="str">
            <v>NA</v>
          </cell>
          <cell r="DX12" t="str">
            <v>NA</v>
          </cell>
          <cell r="DY12" t="str">
            <v>NA</v>
          </cell>
          <cell r="DZ12">
            <v>0</v>
          </cell>
          <cell r="EA12">
            <v>0</v>
          </cell>
          <cell r="EB12">
            <v>0</v>
          </cell>
          <cell r="EC12">
            <v>0</v>
          </cell>
          <cell r="ED12">
            <v>0</v>
          </cell>
          <cell r="EE12">
            <v>0</v>
          </cell>
          <cell r="EF12">
            <v>0</v>
          </cell>
          <cell r="EG12">
            <v>0</v>
          </cell>
          <cell r="EH12">
            <v>0</v>
          </cell>
          <cell r="EI12">
            <v>0</v>
          </cell>
          <cell r="EJ12">
            <v>0</v>
          </cell>
          <cell r="EK12">
            <v>0.252600379663031</v>
          </cell>
          <cell r="EL12">
            <v>0.25045135683631142</v>
          </cell>
          <cell r="EM12">
            <v>0</v>
          </cell>
          <cell r="EN12">
            <v>0</v>
          </cell>
          <cell r="EO12">
            <v>0</v>
          </cell>
          <cell r="EP12">
            <v>0</v>
          </cell>
          <cell r="EQ12">
            <v>0</v>
          </cell>
          <cell r="ER12">
            <v>0</v>
          </cell>
        </row>
        <row r="13">
          <cell r="A13" t="str">
            <v>% growth y-o-y</v>
          </cell>
          <cell r="BC13" t="str">
            <v>NA</v>
          </cell>
          <cell r="BD13" t="str">
            <v>NA</v>
          </cell>
          <cell r="BE13" t="str">
            <v>NA</v>
          </cell>
          <cell r="BF13" t="str">
            <v>NA</v>
          </cell>
          <cell r="BG13" t="str">
            <v>NA</v>
          </cell>
          <cell r="BH13" t="str">
            <v>NA</v>
          </cell>
          <cell r="BI13">
            <v>0.87209302325581417</v>
          </cell>
          <cell r="BJ13">
            <v>0.80582524271844669</v>
          </cell>
          <cell r="BK13">
            <v>0.70588235294117641</v>
          </cell>
          <cell r="BL13">
            <v>0.75</v>
          </cell>
          <cell r="BM13">
            <v>0.71428571428571419</v>
          </cell>
          <cell r="BN13">
            <v>0.70967741935483852</v>
          </cell>
          <cell r="BO13">
            <v>0.77339901477832496</v>
          </cell>
          <cell r="BP13">
            <v>0.72069387755102077</v>
          </cell>
          <cell r="BQ13">
            <v>0.69246376811594157</v>
          </cell>
          <cell r="BR13">
            <v>0.54088050314465397</v>
          </cell>
          <cell r="BS13">
            <v>0.33333333333333326</v>
          </cell>
          <cell r="BT13">
            <v>0.32836776810494062</v>
          </cell>
          <cell r="BU13">
            <v>0.32728206884740563</v>
          </cell>
          <cell r="BV13">
            <v>0.36734693877551017</v>
          </cell>
          <cell r="BW13">
            <v>0.54166666666666674</v>
          </cell>
          <cell r="BX13">
            <v>0.46428571428571419</v>
          </cell>
          <cell r="BY13">
            <v>0.44216129032258067</v>
          </cell>
          <cell r="BZ13">
            <v>0.38149014925373148</v>
          </cell>
          <cell r="CA13">
            <v>0.35172864864864883</v>
          </cell>
          <cell r="CB13">
            <v>0.31197463414634163</v>
          </cell>
          <cell r="CC13">
            <v>0.43173015411456817</v>
          </cell>
          <cell r="CD13">
            <v>0.54239873361924529</v>
          </cell>
          <cell r="CE13">
            <v>0.53154959135409419</v>
          </cell>
          <cell r="CF13">
            <v>0.52511276987806133</v>
          </cell>
          <cell r="CG13">
            <v>0.26189204035222891</v>
          </cell>
          <cell r="CH13">
            <v>0.25283702116315188</v>
          </cell>
          <cell r="CI13">
            <v>0.28743104009641884</v>
          </cell>
          <cell r="CJ13">
            <v>0.32144215410359767</v>
          </cell>
          <cell r="CK13">
            <v>0.31605548680205087</v>
          </cell>
          <cell r="CL13">
            <v>0.3835451979967599</v>
          </cell>
          <cell r="CM13">
            <v>0.27323272398171694</v>
          </cell>
          <cell r="CN13">
            <v>0.23474137218525071</v>
          </cell>
          <cell r="CO13">
            <v>0.35462421622736273</v>
          </cell>
          <cell r="CP13">
            <v>0.31368371062878375</v>
          </cell>
          <cell r="DQ13" t="str">
            <v>NA</v>
          </cell>
          <cell r="DR13" t="str">
            <v>NA</v>
          </cell>
          <cell r="DS13" t="str">
            <v>NA</v>
          </cell>
          <cell r="DT13" t="str">
            <v>NA</v>
          </cell>
          <cell r="DU13" t="str">
            <v>NA</v>
          </cell>
          <cell r="DV13" t="str">
            <v>NA</v>
          </cell>
          <cell r="DW13" t="str">
            <v>NA</v>
          </cell>
          <cell r="DX13" t="str">
            <v>NA</v>
          </cell>
          <cell r="DY13" t="str">
            <v>NA</v>
          </cell>
          <cell r="DZ13" t="str">
            <v>NA</v>
          </cell>
          <cell r="EA13" t="str">
            <v>NA</v>
          </cell>
          <cell r="EB13" t="str">
            <v>NA</v>
          </cell>
          <cell r="EC13" t="str">
            <v>NA</v>
          </cell>
          <cell r="ED13" t="str">
            <v>NA</v>
          </cell>
          <cell r="EE13" t="str">
            <v>NA</v>
          </cell>
          <cell r="EF13" t="str">
            <v>NA</v>
          </cell>
          <cell r="EG13" t="str">
            <v>NA</v>
          </cell>
          <cell r="EH13" t="str">
            <v>NA</v>
          </cell>
          <cell r="EI13" t="str">
            <v>NA</v>
          </cell>
          <cell r="EJ13" t="str">
            <v>NA</v>
          </cell>
          <cell r="EK13" t="str">
            <v>NA</v>
          </cell>
          <cell r="EL13">
            <v>0.2949329928108404</v>
          </cell>
          <cell r="EM13">
            <v>-1</v>
          </cell>
          <cell r="EN13" t="str">
            <v>NA</v>
          </cell>
          <cell r="EO13" t="str">
            <v>NA</v>
          </cell>
          <cell r="EP13" t="str">
            <v>NA</v>
          </cell>
          <cell r="EQ13" t="str">
            <v>NA</v>
          </cell>
          <cell r="ER13" t="str">
            <v>NA</v>
          </cell>
        </row>
        <row r="14">
          <cell r="A14" t="str">
            <v>% growth seq</v>
          </cell>
          <cell r="BC14" t="str">
            <v>NA</v>
          </cell>
          <cell r="BD14" t="str">
            <v>NA</v>
          </cell>
          <cell r="BE14" t="str">
            <v>NA</v>
          </cell>
          <cell r="BF14">
            <v>0.19767441860465129</v>
          </cell>
          <cell r="BG14">
            <v>0.15533980582524265</v>
          </cell>
          <cell r="BH14">
            <v>0.17647058823529416</v>
          </cell>
          <cell r="BI14">
            <v>0.15000000000000013</v>
          </cell>
          <cell r="BJ14">
            <v>0.15527950310559002</v>
          </cell>
          <cell r="BK14">
            <v>9.139784946236551E-2</v>
          </cell>
          <cell r="BL14">
            <v>0.2068965517241379</v>
          </cell>
          <cell r="BM14">
            <v>0.12653061224489792</v>
          </cell>
          <cell r="BN14">
            <v>0.15217391304347827</v>
          </cell>
          <cell r="BO14">
            <v>0.13207547169811318</v>
          </cell>
          <cell r="BP14">
            <v>0.171027777777778</v>
          </cell>
          <cell r="BQ14">
            <v>0.10804848542353529</v>
          </cell>
          <cell r="BR14">
            <v>4.8980989895530236E-2</v>
          </cell>
          <cell r="BS14">
            <v>-2.0408163265306145E-2</v>
          </cell>
          <cell r="BT14">
            <v>0.16666666666666674</v>
          </cell>
          <cell r="BU14">
            <v>0.10714285714285721</v>
          </cell>
          <cell r="BV14">
            <v>8.0645161290322509E-2</v>
          </cell>
          <cell r="BW14">
            <v>0.10447761194029859</v>
          </cell>
          <cell r="BX14">
            <v>0.10810810810810811</v>
          </cell>
          <cell r="BY14">
            <v>9.0414634146341433E-2</v>
          </cell>
          <cell r="BZ14">
            <v>3.5182857270673606E-2</v>
          </cell>
          <cell r="CA14">
            <v>8.0683804120663893E-2</v>
          </cell>
          <cell r="CB14">
            <v>7.5518915118898855E-2</v>
          </cell>
          <cell r="CC14">
            <v>0.18994641478791219</v>
          </cell>
          <cell r="CD14">
            <v>0.11519948331749164</v>
          </cell>
          <cell r="CE14">
            <v>7.3082337600370417E-2</v>
          </cell>
          <cell r="CF14">
            <v>7.099870676926523E-2</v>
          </cell>
          <cell r="CG14">
            <v>-1.5427620223391392E-2</v>
          </cell>
          <cell r="CH14">
            <v>0.10719709294004698</v>
          </cell>
          <cell r="CI14">
            <v>0.10271287220050285</v>
          </cell>
          <cell r="CJ14">
            <v>9.9292151608642687E-2</v>
          </cell>
          <cell r="CK14">
            <v>-1.9441086743797853E-2</v>
          </cell>
          <cell r="CL14">
            <v>0.1639761670653499</v>
          </cell>
          <cell r="CM14">
            <v>1.4791649795337536E-2</v>
          </cell>
          <cell r="CN14">
            <v>6.6059231862173773E-2</v>
          </cell>
          <cell r="CO14">
            <v>7.5762810946899517E-2</v>
          </cell>
          <cell r="CP14">
            <v>0.1287975749410577</v>
          </cell>
        </row>
        <row r="15">
          <cell r="DW15" t="e">
            <v>#REF!</v>
          </cell>
          <cell r="DX15" t="e">
            <v>#REF!</v>
          </cell>
        </row>
        <row r="16">
          <cell r="A16" t="str">
            <v>APAC &amp; Other</v>
          </cell>
          <cell r="BE16">
            <v>1.1000000000000001</v>
          </cell>
          <cell r="BF16">
            <v>1.5</v>
          </cell>
          <cell r="BG16">
            <v>1.6</v>
          </cell>
          <cell r="BH16">
            <v>2.1</v>
          </cell>
          <cell r="BI16">
            <v>2.7</v>
          </cell>
          <cell r="BJ16">
            <v>3.7</v>
          </cell>
          <cell r="BK16">
            <v>5.5</v>
          </cell>
          <cell r="BL16">
            <v>5.9</v>
          </cell>
          <cell r="BM16">
            <v>6.8</v>
          </cell>
          <cell r="BN16">
            <v>6.9</v>
          </cell>
          <cell r="BO16">
            <v>7.8</v>
          </cell>
          <cell r="BP16">
            <v>10.3</v>
          </cell>
          <cell r="BQ16">
            <v>12</v>
          </cell>
          <cell r="BR16">
            <v>14</v>
          </cell>
          <cell r="BS16">
            <v>15</v>
          </cell>
          <cell r="BT16">
            <v>17</v>
          </cell>
          <cell r="BU16">
            <v>18</v>
          </cell>
          <cell r="BV16">
            <v>20</v>
          </cell>
          <cell r="BW16">
            <v>21</v>
          </cell>
          <cell r="BX16">
            <v>25</v>
          </cell>
          <cell r="BY16">
            <v>28.612480000000001</v>
          </cell>
          <cell r="BZ16">
            <v>30.853280000000005</v>
          </cell>
          <cell r="CA16">
            <v>33.342640000000003</v>
          </cell>
          <cell r="CB16">
            <v>35.860639999999982</v>
          </cell>
          <cell r="CC16">
            <v>39.389759999999974</v>
          </cell>
          <cell r="CD16">
            <v>43.927439999999976</v>
          </cell>
          <cell r="CE16">
            <v>47.137759999999986</v>
          </cell>
          <cell r="CF16">
            <v>50.484479999999976</v>
          </cell>
          <cell r="CG16">
            <v>60.578729999999979</v>
          </cell>
          <cell r="CH16">
            <v>64.389689999999987</v>
          </cell>
          <cell r="CI16">
            <v>71.003339999999966</v>
          </cell>
          <cell r="CJ16">
            <v>75.051359999999974</v>
          </cell>
          <cell r="CK16">
            <v>79.724969999999971</v>
          </cell>
          <cell r="CL16">
            <v>85.659659999999974</v>
          </cell>
          <cell r="CM16">
            <v>94.170599999999965</v>
          </cell>
          <cell r="CN16">
            <v>96.375779999999978</v>
          </cell>
          <cell r="CO16">
            <v>103.67747999999996</v>
          </cell>
          <cell r="CP16">
            <v>125.03299999999996</v>
          </cell>
          <cell r="DP16">
            <v>0</v>
          </cell>
          <cell r="DQ16">
            <v>0</v>
          </cell>
          <cell r="DR16">
            <v>0</v>
          </cell>
          <cell r="DS16">
            <v>0</v>
          </cell>
          <cell r="DT16">
            <v>0</v>
          </cell>
          <cell r="DU16">
            <v>0</v>
          </cell>
          <cell r="DV16">
            <v>0</v>
          </cell>
          <cell r="DW16">
            <v>0</v>
          </cell>
          <cell r="DX16">
            <v>0</v>
          </cell>
          <cell r="DY16">
            <v>0</v>
          </cell>
          <cell r="DZ16">
            <v>0</v>
          </cell>
          <cell r="EA16">
            <v>0</v>
          </cell>
          <cell r="EB16">
            <v>0</v>
          </cell>
          <cell r="EC16">
            <v>0</v>
          </cell>
          <cell r="ED16">
            <v>0</v>
          </cell>
          <cell r="EE16">
            <v>0</v>
          </cell>
          <cell r="EF16">
            <v>0</v>
          </cell>
          <cell r="EG16">
            <v>0</v>
          </cell>
          <cell r="EH16">
            <v>0</v>
          </cell>
          <cell r="EI16">
            <v>0</v>
          </cell>
          <cell r="EJ16">
            <v>0</v>
          </cell>
          <cell r="EK16">
            <v>311.43932999999987</v>
          </cell>
          <cell r="EL16">
            <v>419.25685999999985</v>
          </cell>
          <cell r="EM16">
            <v>0</v>
          </cell>
          <cell r="EN16">
            <v>0</v>
          </cell>
          <cell r="EO16">
            <v>0</v>
          </cell>
          <cell r="EP16">
            <v>0</v>
          </cell>
          <cell r="EQ16">
            <v>0</v>
          </cell>
          <cell r="ER16">
            <v>0</v>
          </cell>
        </row>
        <row r="17">
          <cell r="A17" t="str">
            <v>% revenues</v>
          </cell>
          <cell r="BC17">
            <v>0</v>
          </cell>
          <cell r="BD17">
            <v>0</v>
          </cell>
          <cell r="BE17">
            <v>3.2166564318507472E-2</v>
          </cell>
          <cell r="BF17">
            <v>3.8286793608657922E-2</v>
          </cell>
          <cell r="BG17">
            <v>3.3733212455988704E-2</v>
          </cell>
          <cell r="BH17">
            <v>3.6988762461690208E-2</v>
          </cell>
          <cell r="BI17">
            <v>4.19613023544953E-2</v>
          </cell>
          <cell r="BJ17">
            <v>4.9227003006838563E-2</v>
          </cell>
          <cell r="BK17">
            <v>6.3998882928588879E-2</v>
          </cell>
          <cell r="BL17">
            <v>5.7717516777210383E-2</v>
          </cell>
          <cell r="BM17">
            <v>6.1118651075418619E-2</v>
          </cell>
          <cell r="BN17">
            <v>5.5098618541882936E-2</v>
          </cell>
          <cell r="BO17">
            <v>5.6078797900639868E-2</v>
          </cell>
          <cell r="BP17">
            <v>6.1766522544780732E-2</v>
          </cell>
          <cell r="BQ17">
            <v>6.7147141769998656E-2</v>
          </cell>
          <cell r="BR17">
            <v>7.0705642310256347E-2</v>
          </cell>
          <cell r="BS17">
            <v>7.0766733973693652E-2</v>
          </cell>
          <cell r="BT17">
            <v>6.8905137891340645E-2</v>
          </cell>
          <cell r="BU17">
            <v>6.8925904652498565E-2</v>
          </cell>
          <cell r="BV17">
            <v>7.0015753544547532E-2</v>
          </cell>
          <cell r="BW17">
            <v>6.8654598713870515E-2</v>
          </cell>
          <cell r="BX17">
            <v>7.3246765422838936E-2</v>
          </cell>
          <cell r="BY17">
            <v>0.08</v>
          </cell>
          <cell r="BZ17">
            <v>8.0000000000000016E-2</v>
          </cell>
          <cell r="CA17">
            <v>7.7763281565217807E-2</v>
          </cell>
          <cell r="CB17">
            <v>7.999999999999996E-2</v>
          </cell>
          <cell r="CC17">
            <v>7.999999999999996E-2</v>
          </cell>
          <cell r="CD17">
            <v>7.999999999999996E-2</v>
          </cell>
          <cell r="CE17">
            <v>7.999999999999996E-2</v>
          </cell>
          <cell r="CF17">
            <v>7.999999999999996E-2</v>
          </cell>
          <cell r="CG17">
            <v>8.9999999999999969E-2</v>
          </cell>
          <cell r="CH17">
            <v>8.9999999999999969E-2</v>
          </cell>
          <cell r="CI17">
            <v>8.9999999999999969E-2</v>
          </cell>
          <cell r="CJ17">
            <v>8.9999999999999969E-2</v>
          </cell>
          <cell r="CK17">
            <v>8.9999999999999969E-2</v>
          </cell>
          <cell r="CL17">
            <v>8.9999999999999969E-2</v>
          </cell>
          <cell r="CM17">
            <v>8.9999999999999969E-2</v>
          </cell>
          <cell r="CN17">
            <v>8.9999999999999969E-2</v>
          </cell>
          <cell r="CO17">
            <v>8.9999999999999969E-2</v>
          </cell>
          <cell r="CP17">
            <v>9.9999999999999978E-2</v>
          </cell>
          <cell r="DP17" t="str">
            <v>NA</v>
          </cell>
          <cell r="DQ17" t="str">
            <v>NA</v>
          </cell>
          <cell r="DR17" t="str">
            <v>NA</v>
          </cell>
          <cell r="DS17" t="str">
            <v>NA</v>
          </cell>
          <cell r="DT17" t="str">
            <v>NA</v>
          </cell>
          <cell r="DU17" t="str">
            <v>NA</v>
          </cell>
          <cell r="DV17" t="str">
            <v>NA</v>
          </cell>
          <cell r="DW17" t="str">
            <v>NA</v>
          </cell>
          <cell r="DX17" t="str">
            <v>NA</v>
          </cell>
          <cell r="DY17" t="str">
            <v>NA</v>
          </cell>
          <cell r="DZ17">
            <v>0</v>
          </cell>
          <cell r="EA17">
            <v>0</v>
          </cell>
          <cell r="EB17">
            <v>0</v>
          </cell>
          <cell r="EC17">
            <v>0</v>
          </cell>
          <cell r="ED17">
            <v>0</v>
          </cell>
          <cell r="EE17">
            <v>0</v>
          </cell>
          <cell r="EF17">
            <v>0</v>
          </cell>
          <cell r="EG17">
            <v>0</v>
          </cell>
          <cell r="EH17">
            <v>0</v>
          </cell>
          <cell r="EI17">
            <v>0</v>
          </cell>
          <cell r="EJ17">
            <v>0</v>
          </cell>
          <cell r="EK17">
            <v>8.9999999999999969E-2</v>
          </cell>
          <cell r="EL17">
            <v>9.2766532639566801E-2</v>
          </cell>
          <cell r="EM17">
            <v>0</v>
          </cell>
          <cell r="EN17">
            <v>0</v>
          </cell>
          <cell r="EO17">
            <v>0</v>
          </cell>
          <cell r="EP17">
            <v>0</v>
          </cell>
          <cell r="EQ17">
            <v>0</v>
          </cell>
          <cell r="ER17">
            <v>0</v>
          </cell>
        </row>
        <row r="18">
          <cell r="A18" t="str">
            <v>% growth y-o-y</v>
          </cell>
          <cell r="BC18" t="str">
            <v>NA</v>
          </cell>
          <cell r="BD18" t="str">
            <v>NA</v>
          </cell>
          <cell r="BE18" t="str">
            <v>NA</v>
          </cell>
          <cell r="BF18" t="str">
            <v>NA</v>
          </cell>
          <cell r="BG18" t="str">
            <v>NA</v>
          </cell>
          <cell r="BH18" t="str">
            <v>NA</v>
          </cell>
          <cell r="BI18">
            <v>1.4545454545454546</v>
          </cell>
          <cell r="BJ18">
            <v>1.4666666666666668</v>
          </cell>
          <cell r="BK18">
            <v>2.4375</v>
          </cell>
          <cell r="BL18">
            <v>1.8095238095238098</v>
          </cell>
          <cell r="BM18">
            <v>1.5185185185185182</v>
          </cell>
          <cell r="BN18">
            <v>0.86486486486486491</v>
          </cell>
          <cell r="BO18">
            <v>0.41818181818181821</v>
          </cell>
          <cell r="BP18">
            <v>0.74576271186440679</v>
          </cell>
          <cell r="BQ18">
            <v>0.76470588235294112</v>
          </cell>
          <cell r="BR18">
            <v>1.0289855072463765</v>
          </cell>
          <cell r="BS18">
            <v>0.92307692307692313</v>
          </cell>
          <cell r="BT18">
            <v>0.65048543689320382</v>
          </cell>
          <cell r="BU18">
            <v>0.5</v>
          </cell>
          <cell r="BV18">
            <v>0.4285714285714286</v>
          </cell>
          <cell r="BW18">
            <v>0.39999999999999991</v>
          </cell>
          <cell r="BX18">
            <v>0.47058823529411775</v>
          </cell>
          <cell r="BY18">
            <v>0.58958222222222223</v>
          </cell>
          <cell r="BZ18">
            <v>0.54266400000000026</v>
          </cell>
          <cell r="CA18">
            <v>0.58774476190476199</v>
          </cell>
          <cell r="CB18">
            <v>0.4344255999999993</v>
          </cell>
          <cell r="CC18">
            <v>0.37666360972554536</v>
          </cell>
          <cell r="CD18">
            <v>0.42375267718699505</v>
          </cell>
          <cell r="CE18">
            <v>0.41373808432685544</v>
          </cell>
          <cell r="CF18">
            <v>0.40779640296436437</v>
          </cell>
          <cell r="CG18">
            <v>0.53793092417927957</v>
          </cell>
          <cell r="CH18">
            <v>0.465819314760888</v>
          </cell>
          <cell r="CI18">
            <v>0.50629431691281024</v>
          </cell>
          <cell r="CJ18">
            <v>0.48662242336654771</v>
          </cell>
          <cell r="CK18">
            <v>0.31605548680205087</v>
          </cell>
          <cell r="CL18">
            <v>0.33033192115073073</v>
          </cell>
          <cell r="CM18">
            <v>0.32628408748095517</v>
          </cell>
          <cell r="CN18">
            <v>0.28413102707266069</v>
          </cell>
          <cell r="CO18">
            <v>0.30043924757826801</v>
          </cell>
          <cell r="CP18">
            <v>0.45964856736531523</v>
          </cell>
          <cell r="DQ18" t="str">
            <v>NA</v>
          </cell>
          <cell r="DR18" t="str">
            <v>NA</v>
          </cell>
          <cell r="DS18" t="str">
            <v>NA</v>
          </cell>
          <cell r="DT18" t="str">
            <v>NA</v>
          </cell>
          <cell r="DU18" t="str">
            <v>NA</v>
          </cell>
          <cell r="DV18" t="str">
            <v>NA</v>
          </cell>
          <cell r="DW18" t="str">
            <v>NA</v>
          </cell>
          <cell r="DX18" t="str">
            <v>NA</v>
          </cell>
          <cell r="DY18" t="str">
            <v>NA</v>
          </cell>
          <cell r="DZ18" t="str">
            <v>NA</v>
          </cell>
          <cell r="EA18" t="str">
            <v>NA</v>
          </cell>
          <cell r="EB18" t="str">
            <v>NA</v>
          </cell>
          <cell r="EC18" t="str">
            <v>NA</v>
          </cell>
          <cell r="ED18" t="str">
            <v>NA</v>
          </cell>
          <cell r="EE18" t="str">
            <v>NA</v>
          </cell>
          <cell r="EF18" t="str">
            <v>NA</v>
          </cell>
          <cell r="EG18" t="str">
            <v>NA</v>
          </cell>
          <cell r="EH18" t="str">
            <v>NA</v>
          </cell>
          <cell r="EI18" t="str">
            <v>NA</v>
          </cell>
          <cell r="EJ18" t="str">
            <v>NA</v>
          </cell>
          <cell r="EK18" t="str">
            <v>NA</v>
          </cell>
          <cell r="EL18">
            <v>0.34619111850773643</v>
          </cell>
          <cell r="EM18">
            <v>-1</v>
          </cell>
          <cell r="EN18" t="str">
            <v>NA</v>
          </cell>
          <cell r="EO18" t="str">
            <v>NA</v>
          </cell>
          <cell r="EP18" t="str">
            <v>NA</v>
          </cell>
          <cell r="EQ18" t="str">
            <v>NA</v>
          </cell>
          <cell r="ER18" t="str">
            <v>NA</v>
          </cell>
        </row>
        <row r="19">
          <cell r="A19" t="str">
            <v>% growth seq</v>
          </cell>
          <cell r="BC19" t="str">
            <v>NA</v>
          </cell>
          <cell r="BD19" t="str">
            <v>NA</v>
          </cell>
          <cell r="BE19" t="str">
            <v>NA</v>
          </cell>
          <cell r="BF19">
            <v>0.36363636363636354</v>
          </cell>
          <cell r="BG19">
            <v>6.6666666666666652E-2</v>
          </cell>
          <cell r="BH19">
            <v>0.3125</v>
          </cell>
          <cell r="BI19">
            <v>0.28571428571428581</v>
          </cell>
          <cell r="BJ19">
            <v>0.37037037037037024</v>
          </cell>
          <cell r="BK19">
            <v>0.4864864864864864</v>
          </cell>
          <cell r="BL19">
            <v>7.2727272727272751E-2</v>
          </cell>
          <cell r="BM19">
            <v>0.15254237288135575</v>
          </cell>
          <cell r="BN19">
            <v>1.4705882352941346E-2</v>
          </cell>
          <cell r="BO19">
            <v>0.13043478260869557</v>
          </cell>
          <cell r="BP19">
            <v>0.32051282051282071</v>
          </cell>
          <cell r="BQ19">
            <v>0.16504854368932032</v>
          </cell>
          <cell r="BR19">
            <v>0.16666666666666674</v>
          </cell>
          <cell r="BS19">
            <v>7.1428571428571397E-2</v>
          </cell>
          <cell r="BT19">
            <v>0.1333333333333333</v>
          </cell>
          <cell r="BU19">
            <v>5.8823529411764719E-2</v>
          </cell>
          <cell r="BV19">
            <v>0.11111111111111116</v>
          </cell>
          <cell r="BW19">
            <v>5.0000000000000044E-2</v>
          </cell>
          <cell r="BX19">
            <v>0.19047619047619047</v>
          </cell>
          <cell r="BY19">
            <v>0.14449920000000005</v>
          </cell>
          <cell r="BZ19">
            <v>7.831547632361846E-2</v>
          </cell>
          <cell r="CA19">
            <v>8.0683804120663893E-2</v>
          </cell>
          <cell r="CB19">
            <v>7.5518915118898189E-2</v>
          </cell>
          <cell r="CC19">
            <v>9.8412075188841985E-2</v>
          </cell>
          <cell r="CD19">
            <v>0.11519948331749186</v>
          </cell>
          <cell r="CE19">
            <v>7.3082337600370417E-2</v>
          </cell>
          <cell r="CF19">
            <v>7.0998706769265008E-2</v>
          </cell>
          <cell r="CG19">
            <v>0.19994758785274214</v>
          </cell>
          <cell r="CH19">
            <v>6.2909209222445028E-2</v>
          </cell>
          <cell r="CI19">
            <v>0.10271287220050263</v>
          </cell>
          <cell r="CJ19">
            <v>5.7011684239079541E-2</v>
          </cell>
          <cell r="CK19">
            <v>6.2272156027552317E-2</v>
          </cell>
          <cell r="CL19">
            <v>7.4439538829553786E-2</v>
          </cell>
          <cell r="CM19">
            <v>9.9357620611615793E-2</v>
          </cell>
          <cell r="CN19">
            <v>2.3416862587686715E-2</v>
          </cell>
          <cell r="CO19">
            <v>7.5762810946899517E-2</v>
          </cell>
          <cell r="CP19">
            <v>0.20598031510796755</v>
          </cell>
        </row>
        <row r="20">
          <cell r="AG20" t="str">
            <v>Ex. Alias</v>
          </cell>
          <cell r="AH20" t="e">
            <v>#REF!</v>
          </cell>
          <cell r="AI20" t="e">
            <v>#REF!</v>
          </cell>
          <cell r="AM20" t="e">
            <v>#REF!</v>
          </cell>
          <cell r="AQ20" t="e">
            <v>#REF!</v>
          </cell>
        </row>
        <row r="22">
          <cell r="A22" t="str">
            <v>(US$ in millions, unless otherwise stated)</v>
          </cell>
          <cell r="C22" t="str">
            <v>Fiscal 1999 by Quarter</v>
          </cell>
          <cell r="G22" t="str">
            <v>Fiscal 2000 by Quarter</v>
          </cell>
          <cell r="K22" t="str">
            <v>Fiscal 2001 by Quarter</v>
          </cell>
          <cell r="O22" t="str">
            <v>Fiscal 2002 by Quarter</v>
          </cell>
          <cell r="S22" t="str">
            <v>Fiscal 2003 by Quarter</v>
          </cell>
          <cell r="W22" t="str">
            <v>Fiscal 2004 by Quarter</v>
          </cell>
          <cell r="AA22" t="str">
            <v>Fiscal 2005 by Quarter</v>
          </cell>
          <cell r="AE22" t="str">
            <v>Fiscal 2006 by Quarter</v>
          </cell>
          <cell r="AI22" t="str">
            <v>Fiscal 2006 by Quarter</v>
          </cell>
          <cell r="AM22" t="str">
            <v>Fiscal 2007 by Quarter</v>
          </cell>
          <cell r="AQ22" t="str">
            <v>Fiscal 2008 by Quarter</v>
          </cell>
          <cell r="AU22" t="str">
            <v>Fiscal 2009 by Quarter</v>
          </cell>
          <cell r="AY22" t="str">
            <v>Fiscal 2010 by Quarter</v>
          </cell>
          <cell r="BC22" t="str">
            <v>Fiscal 2011 by Quarter</v>
          </cell>
          <cell r="BG22" t="str">
            <v>Fiscal 2012 by Quarter</v>
          </cell>
          <cell r="BK22" t="str">
            <v>Fiscal 2013 by Quarter</v>
          </cell>
          <cell r="BO22" t="str">
            <v>Fiscal 2014 by Quarter</v>
          </cell>
          <cell r="BS22" t="str">
            <v>Fiscal 2015 by Quarter</v>
          </cell>
          <cell r="BW22" t="str">
            <v>Fiscal 2016 by Quarter</v>
          </cell>
          <cell r="CA22" t="str">
            <v>Fiscal 2017 by Quarter</v>
          </cell>
          <cell r="CE22" t="str">
            <v>Fiscal 2018 by Quarter</v>
          </cell>
          <cell r="CI22" t="str">
            <v>Fiscal 2019 by Quarter</v>
          </cell>
          <cell r="CM22" t="str">
            <v>Fiscal 2020 by Quarter</v>
          </cell>
          <cell r="CQ22" t="str">
            <v>Fiscal 2021 by Quarter</v>
          </cell>
          <cell r="CU22" t="str">
            <v>Fiscal 2022 by Quarter</v>
          </cell>
          <cell r="CY22" t="str">
            <v>Fiscal 2023 by Quarter</v>
          </cell>
          <cell r="DC22" t="str">
            <v>Fiscal 2024 by Quarter</v>
          </cell>
          <cell r="DG22" t="str">
            <v>Fiscal 2025 by Quarter</v>
          </cell>
          <cell r="DK22" t="str">
            <v>Fiscal 2026 by Quarter</v>
          </cell>
          <cell r="DP22" t="str">
            <v xml:space="preserve"> Fiscal Year Ends December</v>
          </cell>
        </row>
        <row r="23">
          <cell r="C23">
            <v>35886</v>
          </cell>
          <cell r="D23">
            <v>35977</v>
          </cell>
          <cell r="E23">
            <v>36069</v>
          </cell>
          <cell r="F23">
            <v>36161</v>
          </cell>
          <cell r="G23">
            <v>36251</v>
          </cell>
          <cell r="H23">
            <v>36342</v>
          </cell>
          <cell r="I23">
            <v>36434</v>
          </cell>
          <cell r="J23">
            <v>36526</v>
          </cell>
          <cell r="K23">
            <v>36617</v>
          </cell>
          <cell r="L23">
            <v>36708</v>
          </cell>
          <cell r="M23">
            <v>36800</v>
          </cell>
          <cell r="N23">
            <v>36892</v>
          </cell>
          <cell r="O23">
            <v>36982</v>
          </cell>
          <cell r="P23">
            <v>37073</v>
          </cell>
          <cell r="Q23">
            <v>37165</v>
          </cell>
          <cell r="R23">
            <v>37257</v>
          </cell>
          <cell r="S23">
            <v>37348</v>
          </cell>
          <cell r="T23">
            <v>37439</v>
          </cell>
          <cell r="U23">
            <v>37531</v>
          </cell>
          <cell r="V23">
            <v>37623</v>
          </cell>
          <cell r="W23">
            <v>37715</v>
          </cell>
          <cell r="X23">
            <v>37806</v>
          </cell>
          <cell r="Y23">
            <v>37898</v>
          </cell>
          <cell r="Z23">
            <v>37990</v>
          </cell>
          <cell r="AA23">
            <v>38081</v>
          </cell>
          <cell r="AB23">
            <v>38172</v>
          </cell>
          <cell r="AC23">
            <v>38264</v>
          </cell>
          <cell r="AD23">
            <v>38356</v>
          </cell>
          <cell r="AE23">
            <v>38447</v>
          </cell>
          <cell r="AF23">
            <v>38538</v>
          </cell>
          <cell r="AG23">
            <v>38630</v>
          </cell>
          <cell r="AH23">
            <v>38722</v>
          </cell>
          <cell r="AI23">
            <v>38807</v>
          </cell>
          <cell r="AJ23">
            <v>38898</v>
          </cell>
          <cell r="AK23">
            <v>38990</v>
          </cell>
          <cell r="AL23">
            <v>39082</v>
          </cell>
          <cell r="AM23">
            <v>39172</v>
          </cell>
          <cell r="AN23">
            <v>39263</v>
          </cell>
          <cell r="AO23">
            <v>39355</v>
          </cell>
          <cell r="AP23">
            <v>39447</v>
          </cell>
          <cell r="AQ23">
            <v>39538</v>
          </cell>
          <cell r="AR23">
            <v>39629</v>
          </cell>
          <cell r="AS23">
            <v>39721</v>
          </cell>
          <cell r="AT23">
            <v>39813</v>
          </cell>
          <cell r="AU23">
            <v>39903</v>
          </cell>
          <cell r="AV23">
            <v>39994</v>
          </cell>
          <cell r="AW23">
            <v>40086</v>
          </cell>
          <cell r="AX23">
            <v>40178</v>
          </cell>
          <cell r="AY23">
            <v>40268</v>
          </cell>
          <cell r="AZ23">
            <v>40359</v>
          </cell>
          <cell r="BA23">
            <v>40451</v>
          </cell>
          <cell r="BB23">
            <v>40543</v>
          </cell>
          <cell r="BC23">
            <v>40633</v>
          </cell>
          <cell r="BD23">
            <v>40724</v>
          </cell>
          <cell r="BE23">
            <v>40816</v>
          </cell>
          <cell r="BF23">
            <v>40908</v>
          </cell>
          <cell r="BG23">
            <v>40999</v>
          </cell>
          <cell r="BH23">
            <v>41072</v>
          </cell>
          <cell r="BI23">
            <v>41164</v>
          </cell>
          <cell r="BJ23">
            <v>41255</v>
          </cell>
          <cell r="BK23">
            <v>41346</v>
          </cell>
          <cell r="BL23">
            <v>41438</v>
          </cell>
          <cell r="BM23">
            <v>41529</v>
          </cell>
          <cell r="BN23">
            <v>41621</v>
          </cell>
          <cell r="BO23">
            <v>41712</v>
          </cell>
          <cell r="BP23">
            <v>41804</v>
          </cell>
          <cell r="BQ23">
            <v>41894</v>
          </cell>
          <cell r="BR23">
            <v>41987</v>
          </cell>
          <cell r="BS23">
            <v>42078</v>
          </cell>
          <cell r="BT23">
            <v>42170</v>
          </cell>
          <cell r="BU23">
            <v>42262</v>
          </cell>
          <cell r="BV23">
            <v>42353</v>
          </cell>
          <cell r="BW23">
            <v>42445</v>
          </cell>
          <cell r="BX23">
            <v>42537</v>
          </cell>
          <cell r="BY23">
            <v>42629</v>
          </cell>
          <cell r="BZ23">
            <v>42720</v>
          </cell>
          <cell r="CA23">
            <v>42811</v>
          </cell>
          <cell r="CB23">
            <v>42903</v>
          </cell>
          <cell r="CC23">
            <v>42995</v>
          </cell>
          <cell r="CD23">
            <v>43086</v>
          </cell>
          <cell r="CE23">
            <v>43177</v>
          </cell>
          <cell r="CF23">
            <v>43269</v>
          </cell>
          <cell r="CG23">
            <v>43361</v>
          </cell>
          <cell r="CH23">
            <v>43452</v>
          </cell>
          <cell r="CI23">
            <v>43543</v>
          </cell>
          <cell r="CJ23">
            <v>43635</v>
          </cell>
          <cell r="CK23">
            <v>43727</v>
          </cell>
          <cell r="CL23">
            <v>43818</v>
          </cell>
          <cell r="CM23">
            <v>43910</v>
          </cell>
          <cell r="CN23">
            <v>44002</v>
          </cell>
          <cell r="CO23">
            <v>44094</v>
          </cell>
          <cell r="CP23">
            <v>44185</v>
          </cell>
          <cell r="CQ23" t="str">
            <v>Mar-21E</v>
          </cell>
          <cell r="CR23" t="str">
            <v>Jun-21E</v>
          </cell>
          <cell r="CS23" t="str">
            <v>Sep-21E</v>
          </cell>
          <cell r="CT23" t="str">
            <v>Dec-21E</v>
          </cell>
          <cell r="CU23" t="str">
            <v>Mar-22E</v>
          </cell>
          <cell r="CV23" t="str">
            <v>Jun-22E</v>
          </cell>
          <cell r="CW23" t="str">
            <v>Sep-22E</v>
          </cell>
          <cell r="CX23" t="str">
            <v>Dec-22E</v>
          </cell>
          <cell r="CY23" t="str">
            <v>Mar-23E</v>
          </cell>
          <cell r="CZ23" t="str">
            <v>Jun-23E</v>
          </cell>
          <cell r="DA23" t="str">
            <v>Sep-23E</v>
          </cell>
          <cell r="DB23" t="str">
            <v>Dec-23E</v>
          </cell>
          <cell r="DC23" t="str">
            <v>Mar-24E</v>
          </cell>
          <cell r="DD23" t="str">
            <v>Jun-24E</v>
          </cell>
          <cell r="DE23" t="str">
            <v>Sep-24E</v>
          </cell>
          <cell r="DF23" t="str">
            <v>Dec-24E</v>
          </cell>
          <cell r="DG23" t="str">
            <v>Mar-25E</v>
          </cell>
          <cell r="DH23" t="str">
            <v>Jun-25E</v>
          </cell>
          <cell r="DI23" t="str">
            <v>Sep-25E</v>
          </cell>
          <cell r="DJ23" t="str">
            <v>Dec-25E</v>
          </cell>
          <cell r="DK23" t="str">
            <v>Mar-26E</v>
          </cell>
          <cell r="DL23" t="str">
            <v>Jun-26E</v>
          </cell>
          <cell r="DM23" t="str">
            <v>Sep-26E</v>
          </cell>
          <cell r="DN23" t="str">
            <v>Dec-26E</v>
          </cell>
          <cell r="DP23">
            <v>1998</v>
          </cell>
          <cell r="DQ23">
            <v>1999</v>
          </cell>
          <cell r="DR23">
            <v>2000</v>
          </cell>
          <cell r="DS23">
            <v>2001</v>
          </cell>
          <cell r="DT23">
            <v>2002</v>
          </cell>
          <cell r="DU23">
            <v>2003</v>
          </cell>
          <cell r="DV23">
            <v>2004</v>
          </cell>
          <cell r="DW23">
            <v>2005</v>
          </cell>
          <cell r="DX23">
            <v>2006</v>
          </cell>
          <cell r="DY23">
            <v>2007</v>
          </cell>
          <cell r="DZ23">
            <v>2008</v>
          </cell>
          <cell r="EA23">
            <v>2009</v>
          </cell>
          <cell r="EB23">
            <v>2010</v>
          </cell>
          <cell r="EC23">
            <v>2011</v>
          </cell>
          <cell r="ED23">
            <v>2012</v>
          </cell>
          <cell r="EE23">
            <v>2013</v>
          </cell>
          <cell r="EF23">
            <v>2014</v>
          </cell>
          <cell r="EG23">
            <v>2015</v>
          </cell>
          <cell r="EH23">
            <v>2016</v>
          </cell>
          <cell r="EI23">
            <v>2017</v>
          </cell>
          <cell r="EJ23">
            <v>2018</v>
          </cell>
          <cell r="EK23">
            <v>2019</v>
          </cell>
          <cell r="EL23">
            <v>2020</v>
          </cell>
          <cell r="EM23" t="str">
            <v>2021E</v>
          </cell>
          <cell r="EN23" t="str">
            <v>2022E</v>
          </cell>
          <cell r="EO23" t="str">
            <v>2023E</v>
          </cell>
          <cell r="EP23" t="str">
            <v>2024E</v>
          </cell>
          <cell r="EQ23" t="str">
            <v>2025E</v>
          </cell>
          <cell r="ER23" t="str">
            <v>2026E</v>
          </cell>
        </row>
        <row r="24">
          <cell r="A24" t="str">
            <v>Subscription and support</v>
          </cell>
          <cell r="AW24">
            <v>7.0659999999999998</v>
          </cell>
          <cell r="AX24">
            <v>8.7430000000000003</v>
          </cell>
          <cell r="AY24">
            <v>11.098000000000001</v>
          </cell>
          <cell r="AZ24">
            <v>13.17</v>
          </cell>
          <cell r="BA24">
            <v>14.816000000000001</v>
          </cell>
          <cell r="BB24">
            <v>18.375</v>
          </cell>
          <cell r="BC24">
            <v>21.224</v>
          </cell>
          <cell r="BD24">
            <v>24.776022999999999</v>
          </cell>
          <cell r="BE24">
            <v>30.331</v>
          </cell>
          <cell r="BF24">
            <v>34.555</v>
          </cell>
          <cell r="BG24">
            <v>39.540999999999997</v>
          </cell>
          <cell r="BH24">
            <v>46.82</v>
          </cell>
          <cell r="BI24">
            <v>55.279000000000003</v>
          </cell>
          <cell r="BJ24">
            <v>62.886000000000003</v>
          </cell>
          <cell r="BK24">
            <v>71.558000000000007</v>
          </cell>
          <cell r="BL24">
            <v>80.376000000000005</v>
          </cell>
          <cell r="BM24">
            <v>92.992000000000004</v>
          </cell>
          <cell r="BN24">
            <v>104.878</v>
          </cell>
          <cell r="BO24">
            <v>117.375</v>
          </cell>
          <cell r="BP24">
            <v>132.72399999999999</v>
          </cell>
          <cell r="BQ24">
            <v>150.36699999999999</v>
          </cell>
          <cell r="BR24">
            <v>166.751</v>
          </cell>
          <cell r="BS24">
            <v>179.90700000000001</v>
          </cell>
          <cell r="BT24">
            <v>200.46100000000001</v>
          </cell>
          <cell r="BU24">
            <v>223.208</v>
          </cell>
          <cell r="BV24">
            <v>244.702</v>
          </cell>
          <cell r="BW24">
            <v>267.42200000000003</v>
          </cell>
          <cell r="BX24">
            <v>290.67899999999997</v>
          </cell>
          <cell r="BY24">
            <v>318.93400000000003</v>
          </cell>
          <cell r="BZ24">
            <v>344.60399999999998</v>
          </cell>
          <cell r="CA24">
            <v>387.584</v>
          </cell>
          <cell r="CB24">
            <v>402.67200000000003</v>
          </cell>
          <cell r="CC24">
            <v>449.50599999999997</v>
          </cell>
          <cell r="CD24">
            <v>499.738</v>
          </cell>
          <cell r="CE24">
            <v>543.32500000000005</v>
          </cell>
          <cell r="CF24">
            <v>585.28200000000004</v>
          </cell>
          <cell r="CG24">
            <v>626.56700000000001</v>
          </cell>
          <cell r="CH24">
            <v>666.13900000000001</v>
          </cell>
          <cell r="CI24">
            <v>739.98599999999999</v>
          </cell>
          <cell r="CJ24">
            <v>780.98900000000003</v>
          </cell>
          <cell r="CK24">
            <v>834.91</v>
          </cell>
          <cell r="CL24">
            <v>899.19399999999996</v>
          </cell>
          <cell r="CM24">
            <v>994.702</v>
          </cell>
          <cell r="CN24">
            <v>1015.528</v>
          </cell>
          <cell r="CO24">
            <v>1091.386</v>
          </cell>
          <cell r="CP24">
            <v>1184.181</v>
          </cell>
          <cell r="CQ24">
            <v>1279.2170818399061</v>
          </cell>
          <cell r="CR24">
            <v>1358.1011990049717</v>
          </cell>
          <cell r="CS24">
            <v>1393.6787924043736</v>
          </cell>
          <cell r="CT24">
            <v>1466.9192528949336</v>
          </cell>
          <cell r="CU24">
            <v>1562.998778027737</v>
          </cell>
          <cell r="CV24">
            <v>1670.8857950521058</v>
          </cell>
          <cell r="CW24">
            <v>1774.9844693650821</v>
          </cell>
          <cell r="CX24">
            <v>1892.6456412524244</v>
          </cell>
          <cell r="CY24">
            <v>2017.8864337488289</v>
          </cell>
          <cell r="CZ24">
            <v>2163.2800526255714</v>
          </cell>
          <cell r="DA24">
            <v>2301.9508408604738</v>
          </cell>
          <cell r="DB24">
            <v>2436.3189978260903</v>
          </cell>
          <cell r="DC24">
            <v>2572.9909999542747</v>
          </cell>
          <cell r="DD24">
            <v>2763.1951830369871</v>
          </cell>
          <cell r="DE24">
            <v>2943.9355198678641</v>
          </cell>
          <cell r="DF24">
            <v>3098.7981874561851</v>
          </cell>
          <cell r="DG24">
            <v>3249.0022480938346</v>
          </cell>
          <cell r="DH24">
            <v>3492.7553410798009</v>
          </cell>
          <cell r="DI24">
            <v>3724.6696618311089</v>
          </cell>
          <cell r="DJ24">
            <v>3904.5617742435579</v>
          </cell>
          <cell r="DK24">
            <v>4070.6400200499838</v>
          </cell>
          <cell r="DL24">
            <v>4378.1754835995844</v>
          </cell>
          <cell r="DM24">
            <v>4672.1763937007227</v>
          </cell>
          <cell r="DN24">
            <v>4882.5475949222791</v>
          </cell>
          <cell r="DP24">
            <v>0</v>
          </cell>
          <cell r="DQ24">
            <v>0</v>
          </cell>
          <cell r="DR24">
            <v>0</v>
          </cell>
          <cell r="DS24">
            <v>0</v>
          </cell>
          <cell r="DT24">
            <v>0</v>
          </cell>
          <cell r="DU24">
            <v>0</v>
          </cell>
          <cell r="DV24">
            <v>0</v>
          </cell>
          <cell r="DW24">
            <v>0</v>
          </cell>
          <cell r="DX24">
            <v>0</v>
          </cell>
          <cell r="DY24">
            <v>0</v>
          </cell>
          <cell r="DZ24">
            <v>0</v>
          </cell>
          <cell r="EA24">
            <v>15.809000000000001</v>
          </cell>
          <cell r="EB24">
            <v>57.459000000000003</v>
          </cell>
          <cell r="EC24">
            <v>110.88602299999999</v>
          </cell>
          <cell r="ED24">
            <v>204.52599999999998</v>
          </cell>
          <cell r="EE24">
            <v>349.80400000000003</v>
          </cell>
          <cell r="EF24">
            <v>567.21699999999998</v>
          </cell>
          <cell r="EG24">
            <v>848.27800000000002</v>
          </cell>
          <cell r="EH24">
            <v>1221.6390000000001</v>
          </cell>
          <cell r="EI24">
            <v>1739.5000000000002</v>
          </cell>
          <cell r="EJ24">
            <v>2421.3130000000001</v>
          </cell>
          <cell r="EK24">
            <v>3255.0789999999997</v>
          </cell>
          <cell r="EL24">
            <v>4285.7970000000005</v>
          </cell>
          <cell r="EM24">
            <v>5497.9163261441845</v>
          </cell>
          <cell r="EN24">
            <v>6901.514683697349</v>
          </cell>
          <cell r="EO24">
            <v>8919.4363250609658</v>
          </cell>
          <cell r="EP24">
            <v>11378.91989031531</v>
          </cell>
          <cell r="EQ24">
            <v>14370.989025248302</v>
          </cell>
          <cell r="ER24">
            <v>18003.539492272568</v>
          </cell>
        </row>
        <row r="25">
          <cell r="A25" t="str">
            <v>% of revenues</v>
          </cell>
          <cell r="C25" t="str">
            <v>NA</v>
          </cell>
          <cell r="D25" t="str">
            <v>NA</v>
          </cell>
          <cell r="E25" t="str">
            <v>NA</v>
          </cell>
          <cell r="F25" t="str">
            <v>NA</v>
          </cell>
          <cell r="G25" t="str">
            <v>NA</v>
          </cell>
          <cell r="H25" t="str">
            <v>NA</v>
          </cell>
          <cell r="I25" t="str">
            <v>NA</v>
          </cell>
          <cell r="J25" t="str">
            <v>NA</v>
          </cell>
          <cell r="K25" t="str">
            <v>NA</v>
          </cell>
          <cell r="L25" t="str">
            <v>NA</v>
          </cell>
          <cell r="M25" t="str">
            <v>NA</v>
          </cell>
          <cell r="N25" t="str">
            <v>NA</v>
          </cell>
          <cell r="O25" t="str">
            <v>NA</v>
          </cell>
          <cell r="P25" t="str">
            <v>NA</v>
          </cell>
          <cell r="Q25" t="str">
            <v>NA</v>
          </cell>
          <cell r="R25" t="str">
            <v>NA</v>
          </cell>
          <cell r="S25" t="str">
            <v>NA</v>
          </cell>
          <cell r="T25" t="str">
            <v>NA</v>
          </cell>
          <cell r="U25" t="str">
            <v>NA</v>
          </cell>
          <cell r="V25" t="str">
            <v>NA</v>
          </cell>
          <cell r="W25" t="str">
            <v>NA</v>
          </cell>
          <cell r="X25" t="str">
            <v>NA</v>
          </cell>
          <cell r="Y25" t="str">
            <v>NA</v>
          </cell>
          <cell r="Z25" t="str">
            <v>NA</v>
          </cell>
          <cell r="AA25" t="str">
            <v>NA</v>
          </cell>
          <cell r="AB25" t="str">
            <v>NA</v>
          </cell>
          <cell r="AC25" t="str">
            <v>NA</v>
          </cell>
          <cell r="AD25" t="str">
            <v>NA</v>
          </cell>
          <cell r="AE25" t="str">
            <v>NA</v>
          </cell>
          <cell r="AF25" t="str">
            <v>NA</v>
          </cell>
          <cell r="AG25" t="str">
            <v>NA</v>
          </cell>
          <cell r="AH25" t="str">
            <v>NA</v>
          </cell>
          <cell r="AI25" t="str">
            <v>NA</v>
          </cell>
          <cell r="AJ25" t="str">
            <v>NA</v>
          </cell>
          <cell r="AK25" t="str">
            <v>NA</v>
          </cell>
          <cell r="AL25" t="str">
            <v>NA</v>
          </cell>
          <cell r="AM25" t="str">
            <v>NA</v>
          </cell>
          <cell r="AN25">
            <v>0</v>
          </cell>
          <cell r="AO25" t="str">
            <v>NA</v>
          </cell>
          <cell r="AP25" t="str">
            <v>NA</v>
          </cell>
          <cell r="AQ25" t="str">
            <v>NA</v>
          </cell>
          <cell r="AR25">
            <v>0</v>
          </cell>
          <cell r="AS25" t="str">
            <v>NA</v>
          </cell>
          <cell r="AT25" t="str">
            <v>NA</v>
          </cell>
          <cell r="AU25" t="str">
            <v>NA</v>
          </cell>
          <cell r="AV25" t="str">
            <v>NA</v>
          </cell>
          <cell r="AW25">
            <v>0.9302264349657714</v>
          </cell>
          <cell r="AX25">
            <v>0.93598115833422535</v>
          </cell>
          <cell r="AY25">
            <v>0.93709364181372967</v>
          </cell>
          <cell r="AZ25">
            <v>0.90527907616167169</v>
          </cell>
          <cell r="BA25">
            <v>0.89306811332127789</v>
          </cell>
          <cell r="BB25">
            <v>0.86045422617653944</v>
          </cell>
          <cell r="BC25">
            <v>0.84182135491036014</v>
          </cell>
          <cell r="BD25">
            <v>0.84029698515247209</v>
          </cell>
          <cell r="BE25">
            <v>0.88694914758604548</v>
          </cell>
          <cell r="BF25">
            <v>0.8820001020981163</v>
          </cell>
          <cell r="BG25">
            <v>0.8336530960764057</v>
          </cell>
          <cell r="BH25">
            <v>0.82467326593158841</v>
          </cell>
          <cell r="BI25">
            <v>0.85910327142746146</v>
          </cell>
          <cell r="BJ25">
            <v>0.83667278678055401</v>
          </cell>
          <cell r="BK25">
            <v>0.83266037538253879</v>
          </cell>
          <cell r="BL25">
            <v>0.78628866584492574</v>
          </cell>
          <cell r="BM25">
            <v>0.83581552953019533</v>
          </cell>
          <cell r="BN25">
            <v>0.83748303122255052</v>
          </cell>
          <cell r="BO25">
            <v>0.84387806456251346</v>
          </cell>
          <cell r="BP25">
            <v>0.79591261536247349</v>
          </cell>
          <cell r="BQ25">
            <v>0.84139285554411569</v>
          </cell>
          <cell r="BR25">
            <v>0.84215975434839696</v>
          </cell>
          <cell r="BS25">
            <v>0.84876205393368687</v>
          </cell>
          <cell r="BT25">
            <v>0.81251722628447287</v>
          </cell>
          <cell r="BU25">
            <v>0.8547118514263834</v>
          </cell>
          <cell r="BV25">
            <v>0.85664974619289347</v>
          </cell>
          <cell r="BW25">
            <v>0.87427381415527061</v>
          </cell>
          <cell r="BX25">
            <v>0.85165186105381585</v>
          </cell>
          <cell r="BY25">
            <v>0.89173395665108379</v>
          </cell>
          <cell r="BZ25">
            <v>0.8935296344505349</v>
          </cell>
          <cell r="CA25">
            <v>0.90394173113386866</v>
          </cell>
          <cell r="CB25">
            <v>0.89830410165574293</v>
          </cell>
          <cell r="CC25">
            <v>0.91293980973735311</v>
          </cell>
          <cell r="CD25">
            <v>0.91011540850092798</v>
          </cell>
          <cell r="CE25">
            <v>0.92210575979851395</v>
          </cell>
          <cell r="CF25">
            <v>0.92746444055678101</v>
          </cell>
          <cell r="CG25">
            <v>0.93087177628187323</v>
          </cell>
          <cell r="CH25">
            <v>0.93108865720583522</v>
          </cell>
          <cell r="CI25">
            <v>0.93796629848680368</v>
          </cell>
          <cell r="CJ25">
            <v>0.93654545367332453</v>
          </cell>
          <cell r="CK25">
            <v>0.94251399530159752</v>
          </cell>
          <cell r="CL25">
            <v>0.94475579286679401</v>
          </cell>
          <cell r="CM25">
            <v>0.95064892864652029</v>
          </cell>
          <cell r="CN25">
            <v>0.94834532078495237</v>
          </cell>
          <cell r="CO25">
            <v>0.94740670780192571</v>
          </cell>
          <cell r="CP25">
            <v>0.94709476698151696</v>
          </cell>
          <cell r="CQ25">
            <v>0.95354020794502059</v>
          </cell>
          <cell r="CR25">
            <v>0.95485353727887223</v>
          </cell>
          <cell r="CS25">
            <v>0.95462152563071978</v>
          </cell>
          <cell r="CT25">
            <v>0.95552699758735293</v>
          </cell>
          <cell r="CU25">
            <v>0.95692779926253668</v>
          </cell>
          <cell r="CV25">
            <v>0.95857525907173924</v>
          </cell>
          <cell r="CW25">
            <v>0.95973509578674066</v>
          </cell>
          <cell r="CX25">
            <v>0.96087920160370976</v>
          </cell>
          <cell r="CY25">
            <v>0.9619432530786225</v>
          </cell>
          <cell r="CZ25">
            <v>0.96335500170858701</v>
          </cell>
          <cell r="DA25">
            <v>0.96434749085452898</v>
          </cell>
          <cell r="DB25">
            <v>0.96509333721329504</v>
          </cell>
          <cell r="DC25">
            <v>0.96574832155570522</v>
          </cell>
          <cell r="DD25">
            <v>0.96710760487107073</v>
          </cell>
          <cell r="DE25">
            <v>0.96807786262813211</v>
          </cell>
          <cell r="DF25">
            <v>0.96861933105235998</v>
          </cell>
          <cell r="DG25">
            <v>0.96903511895407746</v>
          </cell>
          <cell r="DH25">
            <v>0.97034930108904238</v>
          </cell>
          <cell r="DI25">
            <v>0.97130297297986556</v>
          </cell>
          <cell r="DJ25">
            <v>0.97171805883547213</v>
          </cell>
          <cell r="DK25">
            <v>0.97196408014049784</v>
          </cell>
          <cell r="DL25">
            <v>0.97317987125798022</v>
          </cell>
          <cell r="DM25">
            <v>0.97407907372986957</v>
          </cell>
          <cell r="DN25">
            <v>0.97439589982332442</v>
          </cell>
          <cell r="DP25" t="str">
            <v>NA</v>
          </cell>
          <cell r="DQ25" t="str">
            <v>NA</v>
          </cell>
          <cell r="DR25" t="str">
            <v>NA</v>
          </cell>
          <cell r="DS25" t="str">
            <v>NA</v>
          </cell>
          <cell r="DT25" t="str">
            <v>NA</v>
          </cell>
          <cell r="DU25" t="str">
            <v>NA</v>
          </cell>
          <cell r="DV25" t="str">
            <v>NA</v>
          </cell>
          <cell r="DW25" t="str">
            <v>NA</v>
          </cell>
          <cell r="DX25" t="str">
            <v>NA</v>
          </cell>
          <cell r="DY25" t="str">
            <v>NA</v>
          </cell>
          <cell r="DZ25">
            <v>0</v>
          </cell>
          <cell r="EA25">
            <v>0.56460714285714286</v>
          </cell>
          <cell r="EB25">
            <v>0.89310805769709034</v>
          </cell>
          <cell r="EC25">
            <v>0.86581111143705658</v>
          </cell>
          <cell r="ED25">
            <v>0.83921185661764697</v>
          </cell>
          <cell r="EE25">
            <v>0.8237466148592959</v>
          </cell>
          <cell r="EF25">
            <v>0.83101047082833379</v>
          </cell>
          <cell r="EG25">
            <v>0.84365477185026072</v>
          </cell>
          <cell r="EH25">
            <v>0.87855273557313029</v>
          </cell>
          <cell r="EI25">
            <v>0.90670077675510086</v>
          </cell>
          <cell r="EJ25">
            <v>0.9281271657334208</v>
          </cell>
          <cell r="EK25">
            <v>0.94065547212678624</v>
          </cell>
          <cell r="EL25">
            <v>0.94829343349816064</v>
          </cell>
          <cell r="EM25">
            <v>0.95466831031136801</v>
          </cell>
          <cell r="EN25">
            <v>0.95913007927097271</v>
          </cell>
          <cell r="EO25">
            <v>0.96376516765999609</v>
          </cell>
          <cell r="EP25">
            <v>0.96746175671884393</v>
          </cell>
          <cell r="EQ25">
            <v>0.97067018710259412</v>
          </cell>
          <cell r="ER25">
            <v>0.97346723423019332</v>
          </cell>
        </row>
        <row r="26">
          <cell r="A26" t="str">
            <v>% growth y-o-y</v>
          </cell>
          <cell r="C26" t="str">
            <v>NA</v>
          </cell>
          <cell r="D26" t="str">
            <v>NA</v>
          </cell>
          <cell r="E26" t="str">
            <v>NA</v>
          </cell>
          <cell r="F26" t="str">
            <v>NA</v>
          </cell>
          <cell r="G26" t="str">
            <v>NA</v>
          </cell>
          <cell r="H26" t="str">
            <v>NA</v>
          </cell>
          <cell r="I26" t="str">
            <v>NA</v>
          </cell>
          <cell r="J26" t="str">
            <v>NA</v>
          </cell>
          <cell r="K26" t="str">
            <v>NA</v>
          </cell>
          <cell r="L26" t="str">
            <v>NA</v>
          </cell>
          <cell r="M26" t="str">
            <v>NA</v>
          </cell>
          <cell r="N26" t="str">
            <v>NA</v>
          </cell>
          <cell r="O26" t="str">
            <v>NA</v>
          </cell>
          <cell r="P26" t="str">
            <v>NA</v>
          </cell>
          <cell r="Q26" t="str">
            <v>NA</v>
          </cell>
          <cell r="R26" t="str">
            <v>NA</v>
          </cell>
          <cell r="S26" t="str">
            <v>NA</v>
          </cell>
          <cell r="T26" t="str">
            <v>NA</v>
          </cell>
          <cell r="U26" t="str">
            <v>NA</v>
          </cell>
          <cell r="V26" t="str">
            <v>NA</v>
          </cell>
          <cell r="W26" t="str">
            <v>NA</v>
          </cell>
          <cell r="X26" t="str">
            <v>NA</v>
          </cell>
          <cell r="Y26" t="str">
            <v>NA</v>
          </cell>
          <cell r="Z26" t="str">
            <v>NA</v>
          </cell>
          <cell r="AA26" t="str">
            <v>NA</v>
          </cell>
          <cell r="AB26" t="str">
            <v>NA</v>
          </cell>
          <cell r="AC26" t="str">
            <v>NA</v>
          </cell>
          <cell r="AD26" t="str">
            <v>NA</v>
          </cell>
          <cell r="AE26" t="str">
            <v>NA</v>
          </cell>
          <cell r="AF26" t="str">
            <v>NA</v>
          </cell>
          <cell r="AG26" t="str">
            <v>NA</v>
          </cell>
          <cell r="AH26" t="str">
            <v>NA</v>
          </cell>
          <cell r="AI26" t="str">
            <v>NA</v>
          </cell>
          <cell r="AJ26" t="str">
            <v>NA</v>
          </cell>
          <cell r="AK26" t="str">
            <v>NA</v>
          </cell>
          <cell r="AL26" t="str">
            <v>NA</v>
          </cell>
          <cell r="AM26" t="str">
            <v>NA</v>
          </cell>
          <cell r="AN26" t="str">
            <v>NA</v>
          </cell>
          <cell r="AO26" t="str">
            <v>NA</v>
          </cell>
          <cell r="AP26" t="str">
            <v>NA</v>
          </cell>
          <cell r="AQ26" t="str">
            <v>NA</v>
          </cell>
          <cell r="AR26" t="str">
            <v>NA</v>
          </cell>
          <cell r="AS26" t="str">
            <v>NA</v>
          </cell>
          <cell r="AT26" t="str">
            <v>NA</v>
          </cell>
          <cell r="AU26" t="str">
            <v>NA</v>
          </cell>
          <cell r="AV26" t="str">
            <v>NA</v>
          </cell>
          <cell r="AW26" t="str">
            <v>NA</v>
          </cell>
          <cell r="AX26" t="str">
            <v>NA</v>
          </cell>
          <cell r="AY26" t="str">
            <v>NA</v>
          </cell>
          <cell r="AZ26" t="str">
            <v>NA</v>
          </cell>
          <cell r="BA26" t="str">
            <v>NA</v>
          </cell>
          <cell r="BB26" t="str">
            <v>NA</v>
          </cell>
          <cell r="BC26">
            <v>0.91241665164894559</v>
          </cell>
          <cell r="BD26">
            <v>0.8812470007593014</v>
          </cell>
          <cell r="BE26">
            <v>1.0471787257019436</v>
          </cell>
          <cell r="BF26">
            <v>0.8805442176870748</v>
          </cell>
          <cell r="BG26">
            <v>0.86303241613267989</v>
          </cell>
          <cell r="BH26">
            <v>0.88973024443834281</v>
          </cell>
          <cell r="BI26">
            <v>0.8225248096007387</v>
          </cell>
          <cell r="BJ26">
            <v>0.81988134857473605</v>
          </cell>
          <cell r="BK26">
            <v>0.80971649680078928</v>
          </cell>
          <cell r="BL26">
            <v>0.71670226398974801</v>
          </cell>
          <cell r="BM26">
            <v>0.68223014164510931</v>
          </cell>
          <cell r="BN26">
            <v>0.66774798842349647</v>
          </cell>
          <cell r="BO26">
            <v>0.64027781659632721</v>
          </cell>
          <cell r="BP26">
            <v>0.65128894197272791</v>
          </cell>
          <cell r="BQ26">
            <v>0.6169885581555401</v>
          </cell>
          <cell r="BR26">
            <v>0.58995213486145803</v>
          </cell>
          <cell r="BS26">
            <v>0.53275399361022369</v>
          </cell>
          <cell r="BT26">
            <v>0.51035984448931648</v>
          </cell>
          <cell r="BU26">
            <v>0.48442144885513461</v>
          </cell>
          <cell r="BV26">
            <v>0.46746946045301074</v>
          </cell>
          <cell r="BW26">
            <v>0.4864457747614046</v>
          </cell>
          <cell r="BX26">
            <v>0.45005262869086726</v>
          </cell>
          <cell r="BY26">
            <v>0.4288645568259204</v>
          </cell>
          <cell r="BZ26">
            <v>0.40825984258404091</v>
          </cell>
          <cell r="CA26">
            <v>0.44933475929429867</v>
          </cell>
          <cell r="CB26">
            <v>0.3852806704302687</v>
          </cell>
          <cell r="CC26">
            <v>0.40940131814105718</v>
          </cell>
          <cell r="CD26">
            <v>0.45018049703427709</v>
          </cell>
          <cell r="CE26">
            <v>0.40182515274108344</v>
          </cell>
          <cell r="CF26">
            <v>0.45349564906425077</v>
          </cell>
          <cell r="CG26">
            <v>0.39390130498814258</v>
          </cell>
          <cell r="CH26">
            <v>0.33297647967534982</v>
          </cell>
          <cell r="CI26">
            <v>0.36195831224405262</v>
          </cell>
          <cell r="CJ26">
            <v>0.3343806917007528</v>
          </cell>
          <cell r="CK26">
            <v>0.33251511809590983</v>
          </cell>
          <cell r="CL26">
            <v>0.34985941372596407</v>
          </cell>
          <cell r="CM26">
            <v>0.34421732303043573</v>
          </cell>
          <cell r="CN26">
            <v>0.30031024764753411</v>
          </cell>
          <cell r="CO26">
            <v>0.30718999652657164</v>
          </cell>
          <cell r="CP26">
            <v>0.31693605606798991</v>
          </cell>
          <cell r="CQ26">
            <v>0.28603047127673031</v>
          </cell>
          <cell r="CR26">
            <v>0.33733506019033621</v>
          </cell>
          <cell r="CS26">
            <v>0.27698063966770103</v>
          </cell>
          <cell r="CT26">
            <v>0.23876270003904265</v>
          </cell>
          <cell r="CU26">
            <v>0.22184013973583427</v>
          </cell>
          <cell r="CV26">
            <v>0.23031022745307883</v>
          </cell>
          <cell r="CW26">
            <v>0.27359652671680568</v>
          </cell>
          <cell r="CX26">
            <v>0.29021801133043201</v>
          </cell>
          <cell r="CY26">
            <v>0.29103519600641659</v>
          </cell>
          <cell r="CZ26">
            <v>0.2946905521799057</v>
          </cell>
          <cell r="DA26">
            <v>0.29688506045570606</v>
          </cell>
          <cell r="DB26">
            <v>0.28725575708609652</v>
          </cell>
          <cell r="DC26">
            <v>0.2750920750154271</v>
          </cell>
          <cell r="DD26">
            <v>0.27731736798631279</v>
          </cell>
          <cell r="DE26">
            <v>0.27888722365913554</v>
          </cell>
          <cell r="DF26">
            <v>0.2719180822467091</v>
          </cell>
          <cell r="DG26">
            <v>0.26273362330127603</v>
          </cell>
          <cell r="DH26">
            <v>0.26402773228670906</v>
          </cell>
          <cell r="DI26">
            <v>0.26520082953389124</v>
          </cell>
          <cell r="DJ26">
            <v>0.26002454436983746</v>
          </cell>
          <cell r="DK26">
            <v>0.25288925929127881</v>
          </cell>
          <cell r="DL26">
            <v>0.25350190782216431</v>
          </cell>
          <cell r="DM26">
            <v>0.2543867826935835</v>
          </cell>
          <cell r="DN26">
            <v>0.25047262080216148</v>
          </cell>
          <cell r="DP26" t="str">
            <v>NA</v>
          </cell>
          <cell r="DQ26" t="str">
            <v>NA</v>
          </cell>
          <cell r="DR26" t="str">
            <v>NA</v>
          </cell>
          <cell r="DS26" t="str">
            <v>NA</v>
          </cell>
          <cell r="DT26" t="str">
            <v>NA</v>
          </cell>
          <cell r="DU26" t="str">
            <v>NA</v>
          </cell>
          <cell r="DV26" t="str">
            <v>NA</v>
          </cell>
          <cell r="DW26" t="str">
            <v>NA</v>
          </cell>
          <cell r="DX26" t="str">
            <v>NA</v>
          </cell>
          <cell r="DY26" t="str">
            <v>NA</v>
          </cell>
          <cell r="DZ26" t="str">
            <v>NA</v>
          </cell>
          <cell r="EA26" t="str">
            <v>NA</v>
          </cell>
          <cell r="EB26">
            <v>2.6345752419507873</v>
          </cell>
          <cell r="EC26">
            <v>0.92982862562870894</v>
          </cell>
          <cell r="ED26">
            <v>0.84447051545892293</v>
          </cell>
          <cell r="EE26">
            <v>0.7103155589020469</v>
          </cell>
          <cell r="EF26">
            <v>0.62152805571119818</v>
          </cell>
          <cell r="EG26">
            <v>0.4955087735381698</v>
          </cell>
          <cell r="EH26">
            <v>0.44013990696446226</v>
          </cell>
          <cell r="EI26">
            <v>0.42390673513206445</v>
          </cell>
          <cell r="EJ26">
            <v>0.39195918367346927</v>
          </cell>
          <cell r="EK26">
            <v>0.34434457668215535</v>
          </cell>
          <cell r="EL26">
            <v>0.31664915045072672</v>
          </cell>
          <cell r="EM26">
            <v>0.28282238429495932</v>
          </cell>
          <cell r="EN26">
            <v>0.25529642036904932</v>
          </cell>
          <cell r="EO26">
            <v>0.29238822691058242</v>
          </cell>
          <cell r="EP26">
            <v>0.2757442819950322</v>
          </cell>
          <cell r="EQ26">
            <v>0.26294843129000012</v>
          </cell>
          <cell r="ER26">
            <v>0.25276969181747067</v>
          </cell>
        </row>
        <row r="27">
          <cell r="A27" t="str">
            <v>% growth seq</v>
          </cell>
          <cell r="C27" t="str">
            <v>NA</v>
          </cell>
          <cell r="D27" t="str">
            <v>NA</v>
          </cell>
          <cell r="E27" t="str">
            <v>NA</v>
          </cell>
          <cell r="F27" t="str">
            <v>NA</v>
          </cell>
          <cell r="G27" t="str">
            <v>NA</v>
          </cell>
          <cell r="H27" t="str">
            <v>NA</v>
          </cell>
          <cell r="I27" t="str">
            <v>NA</v>
          </cell>
          <cell r="J27" t="str">
            <v>NA</v>
          </cell>
          <cell r="K27" t="str">
            <v>NA</v>
          </cell>
          <cell r="L27" t="str">
            <v>NA</v>
          </cell>
          <cell r="M27" t="str">
            <v>NA</v>
          </cell>
          <cell r="N27" t="str">
            <v>NA</v>
          </cell>
          <cell r="O27" t="str">
            <v>NA</v>
          </cell>
          <cell r="P27" t="str">
            <v>NA</v>
          </cell>
          <cell r="Q27" t="str">
            <v>NA</v>
          </cell>
          <cell r="R27" t="str">
            <v>NA</v>
          </cell>
          <cell r="S27" t="str">
            <v>NA</v>
          </cell>
          <cell r="T27" t="str">
            <v>NA</v>
          </cell>
          <cell r="U27" t="str">
            <v>NA</v>
          </cell>
          <cell r="V27" t="str">
            <v>NA</v>
          </cell>
          <cell r="W27" t="str">
            <v>NA</v>
          </cell>
          <cell r="X27" t="str">
            <v>NA</v>
          </cell>
          <cell r="Y27" t="str">
            <v>NA</v>
          </cell>
          <cell r="Z27" t="str">
            <v>NA</v>
          </cell>
          <cell r="AA27" t="str">
            <v>NA</v>
          </cell>
          <cell r="AB27" t="str">
            <v>NA</v>
          </cell>
          <cell r="AC27" t="str">
            <v>NA</v>
          </cell>
          <cell r="AD27" t="str">
            <v>NA</v>
          </cell>
          <cell r="AE27" t="str">
            <v>NA</v>
          </cell>
          <cell r="AF27" t="str">
            <v>NA</v>
          </cell>
          <cell r="AG27" t="str">
            <v>NA</v>
          </cell>
          <cell r="AH27" t="str">
            <v>NA</v>
          </cell>
          <cell r="AI27" t="str">
            <v>NA</v>
          </cell>
          <cell r="AJ27" t="str">
            <v>NA</v>
          </cell>
          <cell r="AK27" t="str">
            <v>NA</v>
          </cell>
          <cell r="AL27" t="str">
            <v>NA</v>
          </cell>
          <cell r="AM27" t="str">
            <v>NA</v>
          </cell>
          <cell r="AN27" t="str">
            <v>NA</v>
          </cell>
          <cell r="AO27" t="str">
            <v>NA</v>
          </cell>
          <cell r="AP27" t="str">
            <v>NA</v>
          </cell>
          <cell r="AQ27" t="str">
            <v>NA</v>
          </cell>
          <cell r="AR27" t="str">
            <v>NA</v>
          </cell>
          <cell r="AS27" t="str">
            <v>NA</v>
          </cell>
          <cell r="AT27" t="str">
            <v>NA</v>
          </cell>
          <cell r="AU27" t="str">
            <v>NA</v>
          </cell>
          <cell r="AV27" t="str">
            <v>NA</v>
          </cell>
          <cell r="AW27" t="str">
            <v>NA</v>
          </cell>
          <cell r="AX27">
            <v>0.23733371072742715</v>
          </cell>
          <cell r="AY27">
            <v>0.26935834381791146</v>
          </cell>
          <cell r="AZ27">
            <v>0.18670030636150647</v>
          </cell>
          <cell r="BA27">
            <v>0.1249810174639332</v>
          </cell>
          <cell r="BB27">
            <v>0.24021328293736488</v>
          </cell>
          <cell r="BC27">
            <v>0.1550476190476191</v>
          </cell>
          <cell r="BD27">
            <v>0.16735879193365988</v>
          </cell>
          <cell r="BE27">
            <v>0.22420777539639847</v>
          </cell>
          <cell r="BF27">
            <v>0.13926345982658006</v>
          </cell>
          <cell r="BG27">
            <v>0.14429170886991738</v>
          </cell>
          <cell r="BH27">
            <v>0.18408740294883796</v>
          </cell>
          <cell r="BI27">
            <v>0.18067065356685186</v>
          </cell>
          <cell r="BJ27">
            <v>0.13761102769586997</v>
          </cell>
          <cell r="BK27">
            <v>0.13790032757688531</v>
          </cell>
          <cell r="BL27">
            <v>0.12322870957824428</v>
          </cell>
          <cell r="BM27">
            <v>0.15696227729670542</v>
          </cell>
          <cell r="BN27">
            <v>0.1278174466620785</v>
          </cell>
          <cell r="BO27">
            <v>0.11915749728255687</v>
          </cell>
          <cell r="BP27">
            <v>0.13076890308839184</v>
          </cell>
          <cell r="BQ27">
            <v>0.13292999005454931</v>
          </cell>
          <cell r="BR27">
            <v>0.10896007767661797</v>
          </cell>
          <cell r="BS27">
            <v>7.8896078584236307E-2</v>
          </cell>
          <cell r="BT27">
            <v>0.11424791697932823</v>
          </cell>
          <cell r="BU27">
            <v>0.1134734437122431</v>
          </cell>
          <cell r="BV27">
            <v>9.6295831690620393E-2</v>
          </cell>
          <cell r="BW27">
            <v>9.2847626909465575E-2</v>
          </cell>
          <cell r="BX27">
            <v>8.6967414797585629E-2</v>
          </cell>
          <cell r="BY27">
            <v>9.7203444349265089E-2</v>
          </cell>
          <cell r="BZ27">
            <v>8.0486871891989997E-2</v>
          </cell>
          <cell r="CA27">
            <v>0.12472287030910856</v>
          </cell>
          <cell r="CB27">
            <v>3.8928335535006742E-2</v>
          </cell>
          <cell r="CC27">
            <v>0.11630806214487222</v>
          </cell>
          <cell r="CD27">
            <v>0.11174934261166714</v>
          </cell>
          <cell r="CE27">
            <v>8.7219703124437276E-2</v>
          </cell>
          <cell r="CF27">
            <v>7.7222656789214472E-2</v>
          </cell>
          <cell r="CG27">
            <v>7.0538646327753085E-2</v>
          </cell>
          <cell r="CH27">
            <v>6.315685313781283E-2</v>
          </cell>
          <cell r="CI27">
            <v>0.11085824430036362</v>
          </cell>
          <cell r="CJ27">
            <v>5.5410507766363137E-2</v>
          </cell>
          <cell r="CK27">
            <v>6.9041945533163673E-2</v>
          </cell>
          <cell r="CL27">
            <v>7.6995125223077832E-2</v>
          </cell>
          <cell r="CM27">
            <v>0.10621512154218116</v>
          </cell>
          <cell r="CN27">
            <v>2.093692382241108E-2</v>
          </cell>
          <cell r="CO27">
            <v>7.4698088088166914E-2</v>
          </cell>
          <cell r="CP27">
            <v>8.5024913275413061E-2</v>
          </cell>
          <cell r="CQ27">
            <v>8.0254692348472156E-2</v>
          </cell>
          <cell r="CR27">
            <v>6.1665934801000466E-2</v>
          </cell>
          <cell r="CS27">
            <v>2.6196570200709868E-2</v>
          </cell>
          <cell r="CT27">
            <v>5.2551894231098739E-2</v>
          </cell>
          <cell r="CU27">
            <v>6.5497487297404122E-2</v>
          </cell>
          <cell r="CV27">
            <v>6.9025656667822677E-2</v>
          </cell>
          <cell r="CW27">
            <v>6.2301489797350396E-2</v>
          </cell>
          <cell r="CX27">
            <v>6.6288564163848873E-2</v>
          </cell>
          <cell r="CY27">
            <v>6.6172340858021705E-2</v>
          </cell>
          <cell r="CZ27">
            <v>7.2052428940032165E-2</v>
          </cell>
          <cell r="DA27">
            <v>6.4102097214180809E-2</v>
          </cell>
          <cell r="DB27">
            <v>5.837142765194292E-2</v>
          </cell>
          <cell r="DC27">
            <v>5.6097745102400731E-2</v>
          </cell>
          <cell r="DD27">
            <v>7.392337675728089E-2</v>
          </cell>
          <cell r="DE27">
            <v>6.5409905872891638E-2</v>
          </cell>
          <cell r="DF27">
            <v>5.2603960427527241E-2</v>
          </cell>
          <cell r="DG27">
            <v>4.847171437161335E-2</v>
          </cell>
          <cell r="DH27">
            <v>7.5023984095109242E-2</v>
          </cell>
          <cell r="DI27">
            <v>6.6398673283428522E-2</v>
          </cell>
          <cell r="DJ27">
            <v>4.8297467626702506E-2</v>
          </cell>
          <cell r="DK27">
            <v>4.2534413695785478E-2</v>
          </cell>
          <cell r="DL27">
            <v>7.5549658538910602E-2</v>
          </cell>
          <cell r="DM27">
            <v>6.7151467820887989E-2</v>
          </cell>
          <cell r="DN27">
            <v>4.5026382459615544E-2</v>
          </cell>
        </row>
        <row r="29">
          <cell r="A29" t="str">
            <v>Enterprise Service Management</v>
          </cell>
          <cell r="AW29">
            <v>7.0659999999999998</v>
          </cell>
          <cell r="AX29">
            <v>8.7430000000000003</v>
          </cell>
          <cell r="AY29">
            <v>9.2839077681208408</v>
          </cell>
          <cell r="AZ29">
            <v>11.140493333653588</v>
          </cell>
          <cell r="BA29">
            <v>11.800535763149909</v>
          </cell>
          <cell r="BB29">
            <v>14.758725049943529</v>
          </cell>
          <cell r="BC29">
            <v>19.170085709537791</v>
          </cell>
          <cell r="BD29">
            <v>22.470944774021913</v>
          </cell>
          <cell r="BE29">
            <v>27.008821227197888</v>
          </cell>
          <cell r="BF29">
            <v>30.554313719115989</v>
          </cell>
          <cell r="BG29">
            <v>36.9870796225646</v>
          </cell>
          <cell r="BH29">
            <v>43.876111535527301</v>
          </cell>
          <cell r="BI29">
            <v>51.034557829703992</v>
          </cell>
          <cell r="BJ29">
            <v>57.705711028395001</v>
          </cell>
          <cell r="BK29">
            <v>67.524157011043414</v>
          </cell>
          <cell r="BL29">
            <v>75.531498838485646</v>
          </cell>
          <cell r="BM29">
            <v>86.604650015876757</v>
          </cell>
          <cell r="BN29">
            <v>97.280734160412763</v>
          </cell>
          <cell r="BO29">
            <v>110.42530602654755</v>
          </cell>
          <cell r="BP29">
            <v>124.49353291264691</v>
          </cell>
          <cell r="BQ29">
            <v>140.15465071379083</v>
          </cell>
          <cell r="BR29">
            <v>154.51677922598523</v>
          </cell>
          <cell r="BS29">
            <v>167.20400000000001</v>
          </cell>
          <cell r="BT29">
            <v>186.08199999999999</v>
          </cell>
          <cell r="BU29">
            <v>205.79499999999999</v>
          </cell>
          <cell r="BV29">
            <v>224.52199999999993</v>
          </cell>
          <cell r="BW29">
            <v>244.60599999999999</v>
          </cell>
          <cell r="BX29">
            <v>264.66699999999997</v>
          </cell>
          <cell r="BY29">
            <v>290.005</v>
          </cell>
          <cell r="BZ29">
            <v>309.56799999999998</v>
          </cell>
          <cell r="CA29">
            <v>333.63600000000002</v>
          </cell>
          <cell r="CB29">
            <v>363.74599999999998</v>
          </cell>
          <cell r="CC29">
            <v>397.85988696080648</v>
          </cell>
          <cell r="CD29">
            <v>439.27552906650851</v>
          </cell>
          <cell r="CE29">
            <v>460.65359856332969</v>
          </cell>
          <cell r="CF29">
            <v>517.936130718865</v>
          </cell>
          <cell r="CG29">
            <v>547.1125581388302</v>
          </cell>
          <cell r="CH29">
            <v>575.23383908818266</v>
          </cell>
          <cell r="CI29">
            <v>625.63740852476303</v>
          </cell>
          <cell r="CJ29">
            <v>678.30167456276843</v>
          </cell>
          <cell r="CK29">
            <v>717.1717799076232</v>
          </cell>
          <cell r="CL29">
            <v>766.94566743437213</v>
          </cell>
          <cell r="CM29">
            <v>835.55971784441829</v>
          </cell>
          <cell r="CN29">
            <v>865.65114695496038</v>
          </cell>
          <cell r="CO29">
            <v>920.26646870632089</v>
          </cell>
          <cell r="CP29">
            <v>990.59804526053688</v>
          </cell>
          <cell r="CQ29">
            <v>1049.6779099284315</v>
          </cell>
          <cell r="CR29">
            <v>1135.548617307913</v>
          </cell>
          <cell r="CS29">
            <v>1153.848065979955</v>
          </cell>
          <cell r="CT29">
            <v>1204.503236539761</v>
          </cell>
          <cell r="CU29">
            <v>1256.0727015035075</v>
          </cell>
          <cell r="CV29">
            <v>1361.614218481448</v>
          </cell>
          <cell r="CW29">
            <v>1438.711302949135</v>
          </cell>
          <cell r="CX29">
            <v>1522.8971651881652</v>
          </cell>
          <cell r="CY29">
            <v>1590.6553459852905</v>
          </cell>
          <cell r="CZ29">
            <v>1723.0358091991056</v>
          </cell>
          <cell r="DA29">
            <v>1825.019815650408</v>
          </cell>
          <cell r="DB29">
            <v>1918.9085847794806</v>
          </cell>
          <cell r="DC29">
            <v>1987.9400437505701</v>
          </cell>
          <cell r="DD29">
            <v>2151.3473671255497</v>
          </cell>
          <cell r="DE29">
            <v>2282.7040523791702</v>
          </cell>
          <cell r="DF29">
            <v>2388.2862896062616</v>
          </cell>
          <cell r="DG29">
            <v>2458.2892040040178</v>
          </cell>
          <cell r="DH29">
            <v>2657.595686789417</v>
          </cell>
          <cell r="DI29">
            <v>2823.614469933525</v>
          </cell>
          <cell r="DJ29">
            <v>2943.1641594566618</v>
          </cell>
          <cell r="DK29">
            <v>3013.5366516341164</v>
          </cell>
          <cell r="DL29">
            <v>3254.2575165514563</v>
          </cell>
          <cell r="DM29">
            <v>3461.0722482621632</v>
          </cell>
          <cell r="DN29">
            <v>3597.1980176758593</v>
          </cell>
          <cell r="DP29">
            <v>0</v>
          </cell>
          <cell r="DQ29">
            <v>0</v>
          </cell>
          <cell r="DR29">
            <v>0</v>
          </cell>
          <cell r="DS29">
            <v>0</v>
          </cell>
          <cell r="DT29">
            <v>0</v>
          </cell>
          <cell r="DU29">
            <v>0</v>
          </cell>
          <cell r="DV29">
            <v>0</v>
          </cell>
          <cell r="DW29">
            <v>0</v>
          </cell>
          <cell r="DX29">
            <v>0</v>
          </cell>
          <cell r="DY29">
            <v>0</v>
          </cell>
          <cell r="DZ29">
            <v>0</v>
          </cell>
          <cell r="EA29">
            <v>15.809000000000001</v>
          </cell>
          <cell r="EB29">
            <v>46.983661914867866</v>
          </cell>
          <cell r="EC29">
            <v>99.204165429873584</v>
          </cell>
          <cell r="ED29">
            <v>189.60346001619089</v>
          </cell>
          <cell r="EE29">
            <v>326.94104002581855</v>
          </cell>
          <cell r="EF29">
            <v>529.59026887897051</v>
          </cell>
          <cell r="EG29">
            <v>783.60299999999995</v>
          </cell>
          <cell r="EH29">
            <v>1108.846</v>
          </cell>
          <cell r="EI29">
            <v>1534.517416027315</v>
          </cell>
          <cell r="EJ29">
            <v>2100.9361265092075</v>
          </cell>
          <cell r="EK29">
            <v>2788.0565304295269</v>
          </cell>
          <cell r="EL29">
            <v>3612.0753787662366</v>
          </cell>
          <cell r="EM29">
            <v>4543.577829756061</v>
          </cell>
          <cell r="EN29">
            <v>5579.2953881222547</v>
          </cell>
          <cell r="EO29">
            <v>7057.6195556142839</v>
          </cell>
          <cell r="EP29">
            <v>8810.2777528615516</v>
          </cell>
          <cell r="EQ29">
            <v>10882.663520183622</v>
          </cell>
          <cell r="ER29">
            <v>13326.064434123595</v>
          </cell>
        </row>
        <row r="30">
          <cell r="A30" t="str">
            <v>% of revenues</v>
          </cell>
          <cell r="AU30" t="str">
            <v>NA</v>
          </cell>
          <cell r="AV30" t="str">
            <v>NA</v>
          </cell>
          <cell r="AW30">
            <v>0.9302264349657714</v>
          </cell>
          <cell r="AX30">
            <v>0.93598115833422535</v>
          </cell>
          <cell r="AY30">
            <v>0.78391520460363429</v>
          </cell>
          <cell r="AZ30">
            <v>0.76577490608012011</v>
          </cell>
          <cell r="BA30">
            <v>0.71130414485532911</v>
          </cell>
          <cell r="BB30">
            <v>0.69111332474565812</v>
          </cell>
          <cell r="BC30">
            <v>0.760355612785094</v>
          </cell>
          <cell r="BD30">
            <v>0.76211856709764558</v>
          </cell>
          <cell r="BE30">
            <v>0.78980089561066424</v>
          </cell>
          <cell r="BF30">
            <v>0.77988446881198603</v>
          </cell>
          <cell r="BG30">
            <v>0.7798081343965888</v>
          </cell>
          <cell r="BH30">
            <v>0.7728205082524976</v>
          </cell>
          <cell r="BI30">
            <v>0.79313944874821651</v>
          </cell>
          <cell r="BJ30">
            <v>0.76775113792069127</v>
          </cell>
          <cell r="BK30">
            <v>0.78572193080025843</v>
          </cell>
          <cell r="BL30">
            <v>0.73889670363019355</v>
          </cell>
          <cell r="BM30">
            <v>0.77840579203369398</v>
          </cell>
          <cell r="BN30">
            <v>0.7768165308665077</v>
          </cell>
          <cell r="BO30">
            <v>0.79391261792039358</v>
          </cell>
          <cell r="BP30">
            <v>0.74655656381829194</v>
          </cell>
          <cell r="BQ30">
            <v>0.78424868343362975</v>
          </cell>
          <cell r="BR30">
            <v>0.78037200877752577</v>
          </cell>
          <cell r="BS30">
            <v>0.78883206582249821</v>
          </cell>
          <cell r="BT30">
            <v>0.75423563935861471</v>
          </cell>
          <cell r="BU30">
            <v>0.78803369710894122</v>
          </cell>
          <cell r="BV30">
            <v>0.78600385086644475</v>
          </cell>
          <cell r="BW30">
            <v>0.79968222728595284</v>
          </cell>
          <cell r="BX30">
            <v>0.77544006656666042</v>
          </cell>
          <cell r="BY30">
            <v>0.81084897219674767</v>
          </cell>
          <cell r="BZ30">
            <v>0.8026841878724077</v>
          </cell>
          <cell r="CA30">
            <v>0.7781216546828027</v>
          </cell>
          <cell r="CB30">
            <v>0.81146571840324089</v>
          </cell>
          <cell r="CC30">
            <v>0.80804734420480151</v>
          </cell>
          <cell r="CD30">
            <v>0.80000205623912257</v>
          </cell>
          <cell r="CE30">
            <v>0.78179972669610032</v>
          </cell>
          <cell r="CF30">
            <v>0.82074511726196242</v>
          </cell>
          <cell r="CG30">
            <v>0.81282869800167024</v>
          </cell>
          <cell r="CH30">
            <v>0.80402694154819565</v>
          </cell>
          <cell r="CI30">
            <v>0.79302419811840796</v>
          </cell>
          <cell r="CJ30">
            <v>0.81340498973834929</v>
          </cell>
          <cell r="CK30">
            <v>0.80960156136384986</v>
          </cell>
          <cell r="CL30">
            <v>0.80580649128298543</v>
          </cell>
          <cell r="CM30">
            <v>0.79855469335437657</v>
          </cell>
          <cell r="CN30">
            <v>0.80838363358456267</v>
          </cell>
          <cell r="CO30">
            <v>0.79886183753278805</v>
          </cell>
          <cell r="CP30">
            <v>0.79226927711927009</v>
          </cell>
          <cell r="CQ30">
            <v>0.78243959271465935</v>
          </cell>
          <cell r="CR30">
            <v>0.79838130971609855</v>
          </cell>
          <cell r="CS30">
            <v>0.79034581504361801</v>
          </cell>
          <cell r="CT30">
            <v>0.78459353432286127</v>
          </cell>
          <cell r="CU30">
            <v>0.76901588335225834</v>
          </cell>
          <cell r="CV30">
            <v>0.78114836220503958</v>
          </cell>
          <cell r="CW30">
            <v>0.77791200654238113</v>
          </cell>
          <cell r="CX30">
            <v>0.77316121957316386</v>
          </cell>
          <cell r="CY30">
            <v>0.75827863870482304</v>
          </cell>
          <cell r="CZ30">
            <v>0.76730479851665412</v>
          </cell>
          <cell r="DA30">
            <v>0.76454859449752277</v>
          </cell>
          <cell r="DB30">
            <v>0.76013276239463301</v>
          </cell>
          <cell r="DC30">
            <v>0.7461548682601713</v>
          </cell>
          <cell r="DD30">
            <v>0.75296324061325803</v>
          </cell>
          <cell r="DE30">
            <v>0.75063983063697981</v>
          </cell>
          <cell r="DF30">
            <v>0.74652821134472447</v>
          </cell>
          <cell r="DG30">
            <v>0.73320003783412535</v>
          </cell>
          <cell r="DH30">
            <v>0.73832715590554876</v>
          </cell>
          <cell r="DI30">
            <v>0.7363297629586566</v>
          </cell>
          <cell r="DJ30">
            <v>0.73245755329749473</v>
          </cell>
          <cell r="DK30">
            <v>0.7195549999872658</v>
          </cell>
          <cell r="DL30">
            <v>0.72335563589472229</v>
          </cell>
          <cell r="DM30">
            <v>0.72158192790940212</v>
          </cell>
          <cell r="DN30">
            <v>0.7178824028097861</v>
          </cell>
          <cell r="DP30" t="str">
            <v>NA</v>
          </cell>
          <cell r="DQ30" t="str">
            <v>NA</v>
          </cell>
          <cell r="DR30" t="str">
            <v>NA</v>
          </cell>
          <cell r="DS30" t="str">
            <v>NA</v>
          </cell>
          <cell r="DT30" t="str">
            <v>NA</v>
          </cell>
          <cell r="DU30" t="str">
            <v>NA</v>
          </cell>
          <cell r="DV30" t="str">
            <v>NA</v>
          </cell>
          <cell r="DW30" t="str">
            <v>NA</v>
          </cell>
          <cell r="DX30" t="str">
            <v>NA</v>
          </cell>
          <cell r="DY30" t="str">
            <v>NA</v>
          </cell>
          <cell r="DZ30">
            <v>0</v>
          </cell>
          <cell r="EA30">
            <v>0.56460714285714286</v>
          </cell>
          <cell r="EB30">
            <v>0.73028571740344239</v>
          </cell>
          <cell r="EC30">
            <v>0.77459779335781997</v>
          </cell>
          <cell r="ED30">
            <v>0.77798163412630839</v>
          </cell>
          <cell r="EE30">
            <v>0.76990707647667145</v>
          </cell>
          <cell r="EF30">
            <v>0.77588481778087959</v>
          </cell>
          <cell r="EG30">
            <v>0.77933225921947724</v>
          </cell>
          <cell r="EH30">
            <v>0.79743662950292449</v>
          </cell>
          <cell r="EI30">
            <v>0.79985520727576698</v>
          </cell>
          <cell r="EJ30">
            <v>0.8053216963209392</v>
          </cell>
          <cell r="EK30">
            <v>0.8056949253604464</v>
          </cell>
          <cell r="EL30">
            <v>0.79922295969323864</v>
          </cell>
          <cell r="EM30">
            <v>0.78895521724745432</v>
          </cell>
          <cell r="EN30">
            <v>0.77537617075952292</v>
          </cell>
          <cell r="EO30">
            <v>0.76259167579746978</v>
          </cell>
          <cell r="EP30">
            <v>0.74906993582219483</v>
          </cell>
          <cell r="EQ30">
            <v>0.73505567478705214</v>
          </cell>
          <cell r="ER30">
            <v>0.72055203886033958</v>
          </cell>
        </row>
        <row r="31">
          <cell r="A31" t="str">
            <v>% of subscription revenues</v>
          </cell>
          <cell r="AU31" t="str">
            <v>NA</v>
          </cell>
          <cell r="AV31" t="str">
            <v>NA</v>
          </cell>
          <cell r="AW31">
            <v>1</v>
          </cell>
          <cell r="AX31">
            <v>1</v>
          </cell>
          <cell r="AY31">
            <v>0.83653881493249593</v>
          </cell>
          <cell r="AZ31">
            <v>0.84589926603292243</v>
          </cell>
          <cell r="BA31">
            <v>0.79647244621692148</v>
          </cell>
          <cell r="BB31">
            <v>0.80319592108536209</v>
          </cell>
          <cell r="BC31">
            <v>0.90322680501026154</v>
          </cell>
          <cell r="BD31">
            <v>0.90696334815405655</v>
          </cell>
          <cell r="BE31">
            <v>0.89046919742830399</v>
          </cell>
          <cell r="BF31">
            <v>0.88422265139968137</v>
          </cell>
          <cell r="BG31">
            <v>0.93541082983648882</v>
          </cell>
          <cell r="BH31">
            <v>0.93712327072890433</v>
          </cell>
          <cell r="BI31">
            <v>0.92321781923884272</v>
          </cell>
          <cell r="BJ31">
            <v>0.91762412982849917</v>
          </cell>
          <cell r="BK31">
            <v>0.94362834359601178</v>
          </cell>
          <cell r="BL31">
            <v>0.93972701849414808</v>
          </cell>
          <cell r="BM31">
            <v>0.93131290880803463</v>
          </cell>
          <cell r="BN31">
            <v>0.92756091992994494</v>
          </cell>
          <cell r="BO31">
            <v>0.9407906796723966</v>
          </cell>
          <cell r="BP31">
            <v>0.93798810247315423</v>
          </cell>
          <cell r="BQ31">
            <v>0.93208383963097519</v>
          </cell>
          <cell r="BR31">
            <v>0.92663179966528075</v>
          </cell>
          <cell r="BS31">
            <v>0.92939129661436182</v>
          </cell>
          <cell r="BT31">
            <v>0.92827033687350646</v>
          </cell>
          <cell r="BU31">
            <v>0.92198756316977881</v>
          </cell>
          <cell r="BV31">
            <v>0.9175323454650961</v>
          </cell>
          <cell r="BW31">
            <v>0.91468166418619246</v>
          </cell>
          <cell r="BX31">
            <v>0.91051297135327969</v>
          </cell>
          <cell r="BY31">
            <v>0.90929471301272358</v>
          </cell>
          <cell r="BZ31">
            <v>0.89832967696254251</v>
          </cell>
          <cell r="CA31">
            <v>0.86080952774108332</v>
          </cell>
          <cell r="CB31">
            <v>0.90333075058608481</v>
          </cell>
          <cell r="CC31">
            <v>0.88510473043920768</v>
          </cell>
          <cell r="CD31">
            <v>0.87901166024298438</v>
          </cell>
          <cell r="CE31">
            <v>0.84784171271951347</v>
          </cell>
          <cell r="CF31">
            <v>0.88493432348656709</v>
          </cell>
          <cell r="CG31">
            <v>0.87319082897572042</v>
          </cell>
          <cell r="CH31">
            <v>0.86353424598797346</v>
          </cell>
          <cell r="CI31">
            <v>0.84547195288122079</v>
          </cell>
          <cell r="CJ31">
            <v>0.86851629736496727</v>
          </cell>
          <cell r="CK31">
            <v>0.85898094394320734</v>
          </cell>
          <cell r="CL31">
            <v>0.85292569504953564</v>
          </cell>
          <cell r="CM31">
            <v>0.84001009130816895</v>
          </cell>
          <cell r="CN31">
            <v>0.85241484917694088</v>
          </cell>
          <cell r="CO31">
            <v>0.84320897345789747</v>
          </cell>
          <cell r="CP31">
            <v>0.83652587337622952</v>
          </cell>
          <cell r="CQ31">
            <v>0.82056276829783503</v>
          </cell>
          <cell r="CR31">
            <v>0.83612960369955169</v>
          </cell>
          <cell r="CS31">
            <v>0.82791535055888821</v>
          </cell>
          <cell r="CT31">
            <v>0.82111079676860177</v>
          </cell>
          <cell r="CU31">
            <v>0.80362999585225348</v>
          </cell>
          <cell r="CV31">
            <v>0.81490561623871294</v>
          </cell>
          <cell r="CW31">
            <v>0.81054867114627027</v>
          </cell>
          <cell r="CX31">
            <v>0.80463935350328719</v>
          </cell>
          <cell r="CY31">
            <v>0.7882779324851158</v>
          </cell>
          <cell r="CZ31">
            <v>0.79649225587221517</v>
          </cell>
          <cell r="DA31">
            <v>0.79281441777801476</v>
          </cell>
          <cell r="DB31">
            <v>0.78762616327817037</v>
          </cell>
          <cell r="DC31">
            <v>0.77261834331558032</v>
          </cell>
          <cell r="DD31">
            <v>0.77857234998543801</v>
          </cell>
          <cell r="DE31">
            <v>0.77539200059708757</v>
          </cell>
          <cell r="DF31">
            <v>0.77071372355707179</v>
          </cell>
          <cell r="DG31">
            <v>0.75662896369070776</v>
          </cell>
          <cell r="DH31">
            <v>0.76088801741487266</v>
          </cell>
          <cell r="DI31">
            <v>0.75808453535323439</v>
          </cell>
          <cell r="DJ31">
            <v>0.75377579601153821</v>
          </cell>
          <cell r="DK31">
            <v>0.7403102796589498</v>
          </cell>
          <cell r="DL31">
            <v>0.74329079059113423</v>
          </cell>
          <cell r="DM31">
            <v>0.74078372831311878</v>
          </cell>
          <cell r="DN31">
            <v>0.73674612438327292</v>
          </cell>
          <cell r="DP31" t="str">
            <v>NA</v>
          </cell>
          <cell r="DQ31" t="str">
            <v>NA</v>
          </cell>
          <cell r="DR31" t="str">
            <v>NA</v>
          </cell>
          <cell r="DS31" t="str">
            <v>NA</v>
          </cell>
          <cell r="DT31" t="str">
            <v>NA</v>
          </cell>
          <cell r="DU31" t="str">
            <v>NA</v>
          </cell>
          <cell r="DV31" t="str">
            <v>NA</v>
          </cell>
          <cell r="DW31" t="str">
            <v>NA</v>
          </cell>
          <cell r="DX31" t="str">
            <v>NA</v>
          </cell>
          <cell r="DY31" t="str">
            <v>NA</v>
          </cell>
          <cell r="DZ31" t="str">
            <v>NA</v>
          </cell>
          <cell r="EA31">
            <v>1</v>
          </cell>
          <cell r="EB31">
            <v>0.81769021241002915</v>
          </cell>
          <cell r="EC31">
            <v>0.89464986430141502</v>
          </cell>
          <cell r="ED31">
            <v>0.92703842062227249</v>
          </cell>
          <cell r="EE31">
            <v>0.93464065598397539</v>
          </cell>
          <cell r="EF31">
            <v>0.93366430991837435</v>
          </cell>
          <cell r="EG31">
            <v>0.92375730597752148</v>
          </cell>
          <cell r="EH31">
            <v>0.90767076034736927</v>
          </cell>
          <cell r="EI31">
            <v>0.88216005520397511</v>
          </cell>
          <cell r="EJ31">
            <v>0.86768465147182849</v>
          </cell>
          <cell r="EK31">
            <v>0.85652499691390815</v>
          </cell>
          <cell r="EL31">
            <v>0.84280132231326776</v>
          </cell>
          <cell r="EM31">
            <v>0.8264181482992079</v>
          </cell>
          <cell r="EN31">
            <v>0.8084160715185581</v>
          </cell>
          <cell r="EO31">
            <v>0.79126295635795618</v>
          </cell>
          <cell r="EP31">
            <v>0.77426309683048644</v>
          </cell>
          <cell r="EQ31">
            <v>0.75726614925833824</v>
          </cell>
          <cell r="ER31">
            <v>0.74019136291746257</v>
          </cell>
        </row>
        <row r="32">
          <cell r="A32" t="str">
            <v>% growth y-o-y</v>
          </cell>
          <cell r="AU32" t="str">
            <v>NA</v>
          </cell>
          <cell r="AV32" t="str">
            <v>NA</v>
          </cell>
          <cell r="AW32" t="str">
            <v>NA</v>
          </cell>
          <cell r="AX32" t="str">
            <v>NA</v>
          </cell>
          <cell r="AY32" t="str">
            <v>NA</v>
          </cell>
          <cell r="AZ32" t="str">
            <v>NA</v>
          </cell>
          <cell r="BA32">
            <v>0.67004468768042869</v>
          </cell>
          <cell r="BB32">
            <v>0.6880618837862893</v>
          </cell>
          <cell r="BC32">
            <v>1.0648724856319869</v>
          </cell>
          <cell r="BD32">
            <v>1.0170511395703552</v>
          </cell>
          <cell r="BE32">
            <v>1.2887792359004249</v>
          </cell>
          <cell r="BF32">
            <v>1.0702542811604787</v>
          </cell>
          <cell r="BG32">
            <v>0.92941649729621334</v>
          </cell>
          <cell r="BH32">
            <v>0.95257084100225975</v>
          </cell>
          <cell r="BI32">
            <v>0.88955146914416927</v>
          </cell>
          <cell r="BJ32">
            <v>0.88862730018681524</v>
          </cell>
          <cell r="BK32">
            <v>0.82561472006157377</v>
          </cell>
          <cell r="BL32">
            <v>0.72147203102367885</v>
          </cell>
          <cell r="BM32">
            <v>0.69698051083083268</v>
          </cell>
          <cell r="BN32">
            <v>0.68580773768724979</v>
          </cell>
          <cell r="BO32">
            <v>0.63534519962222924</v>
          </cell>
          <cell r="BP32">
            <v>0.64823331758396918</v>
          </cell>
          <cell r="BQ32">
            <v>0.6183270839163606</v>
          </cell>
          <cell r="BR32">
            <v>0.588359509820229</v>
          </cell>
          <cell r="BS32">
            <v>0.51418190283124221</v>
          </cell>
          <cell r="BT32">
            <v>0.494712180194675</v>
          </cell>
          <cell r="BU32">
            <v>0.46834228441161763</v>
          </cell>
          <cell r="BV32">
            <v>0.45305902132240305</v>
          </cell>
          <cell r="BW32">
            <v>0.46291954737924912</v>
          </cell>
          <cell r="BX32">
            <v>0.42231381863909445</v>
          </cell>
          <cell r="BY32">
            <v>0.40919361500522378</v>
          </cell>
          <cell r="BZ32">
            <v>0.3787869340198291</v>
          </cell>
          <cell r="CA32">
            <v>0.36397308324407418</v>
          </cell>
          <cell r="CB32">
            <v>0.37435343280424083</v>
          </cell>
          <cell r="CC32">
            <v>0.37190699112362369</v>
          </cell>
          <cell r="CD32">
            <v>0.41899527427417738</v>
          </cell>
          <cell r="CE32">
            <v>0.38070711363081222</v>
          </cell>
          <cell r="CF32">
            <v>0.42389505511776093</v>
          </cell>
          <cell r="CG32">
            <v>0.37513877641232707</v>
          </cell>
          <cell r="CH32">
            <v>0.30950576807816987</v>
          </cell>
          <cell r="CI32">
            <v>0.35815157088966432</v>
          </cell>
          <cell r="CJ32">
            <v>0.3096241685655825</v>
          </cell>
          <cell r="CK32">
            <v>0.31083041183938676</v>
          </cell>
          <cell r="CL32">
            <v>0.33327633967097037</v>
          </cell>
          <cell r="CM32">
            <v>0.33553349985041114</v>
          </cell>
          <cell r="CN32">
            <v>0.2762037592092883</v>
          </cell>
          <cell r="CO32">
            <v>0.28318834411590732</v>
          </cell>
          <cell r="CP32">
            <v>0.29161437025172687</v>
          </cell>
          <cell r="CQ32">
            <v>0.25625719803295044</v>
          </cell>
          <cell r="CR32">
            <v>0.31178549384743692</v>
          </cell>
          <cell r="CS32">
            <v>0.25381952425366006</v>
          </cell>
          <cell r="CT32">
            <v>0.21593540619491636</v>
          </cell>
          <cell r="CU32">
            <v>0.19662678391426591</v>
          </cell>
          <cell r="CV32">
            <v>0.19908051291496176</v>
          </cell>
          <cell r="CW32">
            <v>0.24688106291294742</v>
          </cell>
          <cell r="CX32">
            <v>0.26433629980361939</v>
          </cell>
          <cell r="CY32">
            <v>0.26637203728835979</v>
          </cell>
          <cell r="CZ32">
            <v>0.26543611678845136</v>
          </cell>
          <cell r="DA32">
            <v>0.2685100978281052</v>
          </cell>
          <cell r="DB32">
            <v>0.26003818816117197</v>
          </cell>
          <cell r="DC32">
            <v>0.24976164620953245</v>
          </cell>
          <cell r="DD32">
            <v>0.24857960330234219</v>
          </cell>
          <cell r="DE32">
            <v>0.25078316016292179</v>
          </cell>
          <cell r="DF32">
            <v>0.24460660010060953</v>
          </cell>
          <cell r="DG32">
            <v>0.23660128067346431</v>
          </cell>
          <cell r="DH32">
            <v>0.2353168657929352</v>
          </cell>
          <cell r="DI32">
            <v>0.23696037906910705</v>
          </cell>
          <cell r="DJ32">
            <v>0.23233306336229842</v>
          </cell>
          <cell r="DK32">
            <v>0.22586742305409846</v>
          </cell>
          <cell r="DL32">
            <v>0.22451188972347169</v>
          </cell>
          <cell r="DM32">
            <v>0.22575949553893793</v>
          </cell>
          <cell r="DN32">
            <v>0.22222133145979162</v>
          </cell>
          <cell r="DQ32" t="str">
            <v>NA</v>
          </cell>
          <cell r="DR32" t="str">
            <v>NA</v>
          </cell>
          <cell r="DS32" t="str">
            <v>NA</v>
          </cell>
          <cell r="DT32" t="str">
            <v>NA</v>
          </cell>
          <cell r="DU32" t="str">
            <v>NA</v>
          </cell>
          <cell r="DV32" t="str">
            <v>NA</v>
          </cell>
          <cell r="DW32" t="str">
            <v>NA</v>
          </cell>
          <cell r="DX32" t="str">
            <v>NA</v>
          </cell>
          <cell r="DY32" t="str">
            <v>NA</v>
          </cell>
          <cell r="DZ32" t="str">
            <v>NA</v>
          </cell>
          <cell r="EA32" t="str">
            <v>NA</v>
          </cell>
          <cell r="EB32">
            <v>1.9719566016109726</v>
          </cell>
          <cell r="EC32">
            <v>1.1114609076156463</v>
          </cell>
          <cell r="ED32">
            <v>0.91124494817931456</v>
          </cell>
          <cell r="EE32">
            <v>0.72434110642231908</v>
          </cell>
          <cell r="EF32">
            <v>0.61983417204872393</v>
          </cell>
          <cell r="EG32">
            <v>0.47964010301533699</v>
          </cell>
          <cell r="EH32">
            <v>0.41506094284988704</v>
          </cell>
          <cell r="EI32">
            <v>0.38388686618999834</v>
          </cell>
          <cell r="EJ32">
            <v>0.3691184632809732</v>
          </cell>
          <cell r="EK32">
            <v>0.32705439982223461</v>
          </cell>
          <cell r="EL32">
            <v>0.29555313507569436</v>
          </cell>
          <cell r="EM32">
            <v>0.25788566220564157</v>
          </cell>
          <cell r="EN32">
            <v>0.22795197907324072</v>
          </cell>
          <cell r="EO32">
            <v>0.26496610497433593</v>
          </cell>
          <cell r="EP32">
            <v>0.24833560146395839</v>
          </cell>
          <cell r="EQ32">
            <v>0.23522365871484197</v>
          </cell>
          <cell r="ER32">
            <v>0.22452232483420076</v>
          </cell>
        </row>
        <row r="33">
          <cell r="A33" t="str">
            <v>% growth seq</v>
          </cell>
          <cell r="AU33" t="str">
            <v>NA</v>
          </cell>
          <cell r="AV33" t="str">
            <v>NA</v>
          </cell>
          <cell r="AW33" t="str">
            <v>NA</v>
          </cell>
          <cell r="AX33">
            <v>0.23733371072742715</v>
          </cell>
          <cell r="AY33">
            <v>6.1867524662111428E-2</v>
          </cell>
          <cell r="AZ33">
            <v>0.19997888948314468</v>
          </cell>
          <cell r="BA33">
            <v>5.9247145501397425E-2</v>
          </cell>
          <cell r="BB33">
            <v>0.25068262544750697</v>
          </cell>
          <cell r="BC33">
            <v>0.29889849188640727</v>
          </cell>
          <cell r="BD33">
            <v>0.17218801806618056</v>
          </cell>
          <cell r="BE33">
            <v>0.20194417719463664</v>
          </cell>
          <cell r="BF33">
            <v>0.13127164869926977</v>
          </cell>
          <cell r="BG33">
            <v>0.21053544067736718</v>
          </cell>
          <cell r="BH33">
            <v>0.18625509186618583</v>
          </cell>
          <cell r="BI33">
            <v>0.16315133779301205</v>
          </cell>
          <cell r="BJ33">
            <v>0.13071835012173172</v>
          </cell>
          <cell r="BK33">
            <v>0.17014686774792698</v>
          </cell>
          <cell r="BL33">
            <v>0.11858484699235339</v>
          </cell>
          <cell r="BM33">
            <v>0.1466030907326441</v>
          </cell>
          <cell r="BN33">
            <v>0.12327379814569794</v>
          </cell>
          <cell r="BO33">
            <v>0.13511999040282552</v>
          </cell>
          <cell r="BP33">
            <v>0.12740038848266533</v>
          </cell>
          <cell r="BQ33">
            <v>0.12579864539737029</v>
          </cell>
          <cell r="BR33">
            <v>0.10247343515930307</v>
          </cell>
          <cell r="BS33">
            <v>8.2109016493667308E-2</v>
          </cell>
          <cell r="BT33">
            <v>0.11290399751202118</v>
          </cell>
          <cell r="BU33">
            <v>0.10593716748530224</v>
          </cell>
          <cell r="BV33">
            <v>9.0998323574430717E-2</v>
          </cell>
          <cell r="BW33">
            <v>8.9452258575997368E-2</v>
          </cell>
          <cell r="BX33">
            <v>8.2013523789277398E-2</v>
          </cell>
          <cell r="BY33">
            <v>9.5735395799249723E-2</v>
          </cell>
          <cell r="BZ33">
            <v>6.7457457630040851E-2</v>
          </cell>
          <cell r="CA33">
            <v>7.7747053959065671E-2</v>
          </cell>
          <cell r="CB33">
            <v>9.0248054766272068E-2</v>
          </cell>
          <cell r="CC33">
            <v>9.3784912990951153E-2</v>
          </cell>
          <cell r="CD33">
            <v>0.10409604854128429</v>
          </cell>
          <cell r="CE33">
            <v>4.8666652436230917E-2</v>
          </cell>
          <cell r="CF33">
            <v>0.12435055828107289</v>
          </cell>
          <cell r="CG33">
            <v>5.6332095193803111E-2</v>
          </cell>
          <cell r="CH33">
            <v>5.1399443370511388E-2</v>
          </cell>
          <cell r="CI33">
            <v>8.7622747501218567E-2</v>
          </cell>
          <cell r="CJ33">
            <v>8.4176977463969793E-2</v>
          </cell>
          <cell r="CK33">
            <v>5.7305041108604682E-2</v>
          </cell>
          <cell r="CL33">
            <v>6.940302019853628E-2</v>
          </cell>
          <cell r="CM33">
            <v>8.9464030274240436E-2</v>
          </cell>
          <cell r="CN33">
            <v>3.6013499056862353E-2</v>
          </cell>
          <cell r="CO33">
            <v>6.3091606755766305E-2</v>
          </cell>
          <cell r="CP33">
            <v>7.6425230023957846E-2</v>
          </cell>
          <cell r="CQ33">
            <v>5.9640602917156116E-2</v>
          </cell>
          <cell r="CR33">
            <v>8.1806720487560103E-2</v>
          </cell>
          <cell r="CS33">
            <v>1.6115072831866195E-2</v>
          </cell>
          <cell r="CT33">
            <v>4.3901075066399731E-2</v>
          </cell>
          <cell r="CU33">
            <v>4.2813886587712791E-2</v>
          </cell>
          <cell r="CV33">
            <v>8.4025006555439319E-2</v>
          </cell>
          <cell r="CW33">
            <v>5.6621826814991838E-2</v>
          </cell>
          <cell r="CX33">
            <v>5.8514770869223298E-2</v>
          </cell>
          <cell r="CY33">
            <v>4.4492945647287563E-2</v>
          </cell>
          <cell r="CZ33">
            <v>8.3223850815913547E-2</v>
          </cell>
          <cell r="DA33">
            <v>5.9188558883582321E-2</v>
          </cell>
          <cell r="DB33">
            <v>5.144534230474207E-2</v>
          </cell>
          <cell r="DC33">
            <v>3.597433432662589E-2</v>
          </cell>
          <cell r="DD33">
            <v>8.2199321799808933E-2</v>
          </cell>
          <cell r="DE33">
            <v>6.1057868785331593E-2</v>
          </cell>
          <cell r="DF33">
            <v>4.6253143116405049E-2</v>
          </cell>
          <cell r="DG33">
            <v>2.9310939271563363E-2</v>
          </cell>
          <cell r="DH33">
            <v>8.1075278881252988E-2</v>
          </cell>
          <cell r="DI33">
            <v>6.2469541160593778E-2</v>
          </cell>
          <cell r="DJ33">
            <v>4.2339239579669341E-2</v>
          </cell>
          <cell r="DK33">
            <v>2.391048829245257E-2</v>
          </cell>
          <cell r="DL33">
            <v>7.9879853057969852E-2</v>
          </cell>
          <cell r="DM33">
            <v>6.3552048557567353E-2</v>
          </cell>
          <cell r="DN33">
            <v>3.9330519460275992E-2</v>
          </cell>
        </row>
        <row r="35">
          <cell r="A35" t="str">
            <v>ITSM</v>
          </cell>
          <cell r="AW35">
            <v>7.0659999999999998</v>
          </cell>
          <cell r="AX35">
            <v>8.7430000000000003</v>
          </cell>
          <cell r="AY35">
            <v>9.2839077681208408</v>
          </cell>
          <cell r="AZ35">
            <v>11.140493333653588</v>
          </cell>
          <cell r="BA35">
            <v>11.800535763149909</v>
          </cell>
          <cell r="BB35">
            <v>14.758725049943529</v>
          </cell>
          <cell r="BC35">
            <v>19.170085709537791</v>
          </cell>
          <cell r="BD35">
            <v>22.470944774021913</v>
          </cell>
          <cell r="BE35">
            <v>27.008821227197888</v>
          </cell>
          <cell r="BF35">
            <v>30.554313719115989</v>
          </cell>
          <cell r="BG35">
            <v>36.9870796225646</v>
          </cell>
          <cell r="BH35">
            <v>43.876111535527301</v>
          </cell>
          <cell r="BI35">
            <v>51.034557829703992</v>
          </cell>
          <cell r="BJ35">
            <v>57.705711028395001</v>
          </cell>
          <cell r="BK35">
            <v>67.277568785525958</v>
          </cell>
          <cell r="BL35">
            <v>74.396151485925742</v>
          </cell>
          <cell r="BM35">
            <v>83.954175912664851</v>
          </cell>
          <cell r="BN35">
            <v>92.931520907780651</v>
          </cell>
          <cell r="BO35">
            <v>104.18052616260026</v>
          </cell>
          <cell r="BP35">
            <v>116.14170456739832</v>
          </cell>
          <cell r="BQ35">
            <v>129.6584436665089</v>
          </cell>
          <cell r="BR35">
            <v>141.70811698476447</v>
          </cell>
          <cell r="BS35">
            <v>152.77637181063719</v>
          </cell>
          <cell r="BT35">
            <v>169.15268933291648</v>
          </cell>
          <cell r="BU35">
            <v>186.1435662505169</v>
          </cell>
          <cell r="BV35">
            <v>201.81724595505844</v>
          </cell>
          <cell r="BW35">
            <v>217.96256979585218</v>
          </cell>
          <cell r="BX35">
            <v>232.94070773376927</v>
          </cell>
          <cell r="BY35">
            <v>250.91577622366142</v>
          </cell>
          <cell r="BZ35">
            <v>262.7138505772802</v>
          </cell>
          <cell r="CA35">
            <v>277.48266634220431</v>
          </cell>
          <cell r="CB35">
            <v>295.56443709601757</v>
          </cell>
          <cell r="CC35">
            <v>316.72672816915258</v>
          </cell>
          <cell r="CD35">
            <v>340.33932847364639</v>
          </cell>
          <cell r="CE35">
            <v>345.28311635664062</v>
          </cell>
          <cell r="CF35">
            <v>378.99796391818558</v>
          </cell>
          <cell r="CG35">
            <v>392.94146283243157</v>
          </cell>
          <cell r="CH35">
            <v>401.8624891720205</v>
          </cell>
          <cell r="CI35">
            <v>421.14864474648499</v>
          </cell>
          <cell r="CJ35">
            <v>448.09713214695228</v>
          </cell>
          <cell r="CK35">
            <v>464.89225704396955</v>
          </cell>
          <cell r="CL35">
            <v>484.47154705850357</v>
          </cell>
          <cell r="CM35">
            <v>514.98555830420196</v>
          </cell>
          <cell r="CN35">
            <v>531.69642729950795</v>
          </cell>
          <cell r="CO35">
            <v>560.57903976336843</v>
          </cell>
          <cell r="CP35">
            <v>593.50675505067966</v>
          </cell>
          <cell r="CQ35">
            <v>616.88284951997628</v>
          </cell>
          <cell r="CR35">
            <v>663.87197668608871</v>
          </cell>
          <cell r="CS35">
            <v>670.78874665126079</v>
          </cell>
          <cell r="CT35">
            <v>691.67316947964139</v>
          </cell>
          <cell r="CU35">
            <v>707.90094069822919</v>
          </cell>
          <cell r="CV35">
            <v>762.89204338928641</v>
          </cell>
          <cell r="CW35">
            <v>799.50986758205238</v>
          </cell>
          <cell r="CX35">
            <v>835.37540029157526</v>
          </cell>
          <cell r="CY35">
            <v>856.30605738714451</v>
          </cell>
          <cell r="CZ35">
            <v>922.50585354328746</v>
          </cell>
          <cell r="DA35">
            <v>969.50970709205603</v>
          </cell>
          <cell r="DB35">
            <v>1008.1944284235115</v>
          </cell>
          <cell r="DC35">
            <v>1026.5653499475102</v>
          </cell>
          <cell r="DD35">
            <v>1104.9780889515089</v>
          </cell>
          <cell r="DE35">
            <v>1163.5601207059408</v>
          </cell>
          <cell r="DF35">
            <v>1205.4952780452709</v>
          </cell>
          <cell r="DG35">
            <v>1220.6274424618173</v>
          </cell>
          <cell r="DH35">
            <v>1312.2995721171899</v>
          </cell>
          <cell r="DI35">
            <v>1383.7334379511055</v>
          </cell>
          <cell r="DJ35">
            <v>1429.3245793262126</v>
          </cell>
          <cell r="DK35">
            <v>1440.2822198422341</v>
          </cell>
          <cell r="DL35">
            <v>1546.2185442910138</v>
          </cell>
          <cell r="DM35">
            <v>1631.7979158849557</v>
          </cell>
          <cell r="DN35">
            <v>1681.4069665632283</v>
          </cell>
          <cell r="DP35">
            <v>0</v>
          </cell>
          <cell r="DQ35">
            <v>0</v>
          </cell>
          <cell r="DR35">
            <v>0</v>
          </cell>
          <cell r="DS35">
            <v>0</v>
          </cell>
          <cell r="DT35">
            <v>0</v>
          </cell>
          <cell r="DU35">
            <v>0</v>
          </cell>
          <cell r="DV35">
            <v>0</v>
          </cell>
          <cell r="DW35">
            <v>0</v>
          </cell>
          <cell r="DX35">
            <v>0</v>
          </cell>
          <cell r="DY35">
            <v>0</v>
          </cell>
          <cell r="DZ35">
            <v>0</v>
          </cell>
          <cell r="EA35">
            <v>15.809000000000001</v>
          </cell>
          <cell r="EB35">
            <v>46.983661914867866</v>
          </cell>
          <cell r="EC35">
            <v>99.204165429873584</v>
          </cell>
          <cell r="ED35">
            <v>189.60346001619089</v>
          </cell>
          <cell r="EE35">
            <v>318.55941709189722</v>
          </cell>
          <cell r="EF35">
            <v>491.68879138127193</v>
          </cell>
          <cell r="EG35">
            <v>709.88987334912895</v>
          </cell>
          <cell r="EH35">
            <v>964.53290433056304</v>
          </cell>
          <cell r="EI35">
            <v>1230.1131600810209</v>
          </cell>
          <cell r="EJ35">
            <v>1519.0850322792783</v>
          </cell>
          <cell r="EK35">
            <v>1818.6095809959104</v>
          </cell>
          <cell r="EL35">
            <v>2200.7677804177583</v>
          </cell>
          <cell r="EM35">
            <v>2643.2167423369669</v>
          </cell>
          <cell r="EN35">
            <v>3105.6782519611434</v>
          </cell>
          <cell r="EO35">
            <v>3756.5160464459996</v>
          </cell>
          <cell r="EP35">
            <v>4500.5988376502301</v>
          </cell>
          <cell r="EQ35">
            <v>5345.9850318563258</v>
          </cell>
          <cell r="ER35">
            <v>6299.7056465814312</v>
          </cell>
        </row>
        <row r="36">
          <cell r="A36" t="str">
            <v>% of revenues</v>
          </cell>
          <cell r="AU36" t="str">
            <v>NA</v>
          </cell>
          <cell r="AV36" t="str">
            <v>NA</v>
          </cell>
          <cell r="AW36">
            <v>0.9302264349657714</v>
          </cell>
          <cell r="AX36">
            <v>0.93598115833422535</v>
          </cell>
          <cell r="AY36">
            <v>0.78391520460363429</v>
          </cell>
          <cell r="AZ36">
            <v>0.76577490608012011</v>
          </cell>
          <cell r="BA36">
            <v>0.71130414485532911</v>
          </cell>
          <cell r="BB36">
            <v>0.69111332474565812</v>
          </cell>
          <cell r="BC36">
            <v>0.760355612785094</v>
          </cell>
          <cell r="BD36">
            <v>0.76211856709764558</v>
          </cell>
          <cell r="BE36">
            <v>0.78980089561066424</v>
          </cell>
          <cell r="BF36">
            <v>0.77988446881198603</v>
          </cell>
          <cell r="BG36">
            <v>0.7798081343965888</v>
          </cell>
          <cell r="BH36">
            <v>0.7728205082524976</v>
          </cell>
          <cell r="BI36">
            <v>0.79313944874821651</v>
          </cell>
          <cell r="BJ36">
            <v>0.76775113792069127</v>
          </cell>
          <cell r="BK36">
            <v>0.78285259062272017</v>
          </cell>
          <cell r="BL36">
            <v>0.72779002060149223</v>
          </cell>
          <cell r="BM36">
            <v>0.75458323293095253</v>
          </cell>
          <cell r="BN36">
            <v>0.74208672768330786</v>
          </cell>
          <cell r="BO36">
            <v>0.74901521434035701</v>
          </cell>
          <cell r="BP36">
            <v>0.6964727391797545</v>
          </cell>
          <cell r="BQ36">
            <v>0.72551615821270488</v>
          </cell>
          <cell r="BR36">
            <v>0.71568310228462284</v>
          </cell>
          <cell r="BS36">
            <v>0.72076565742596477</v>
          </cell>
          <cell r="BT36">
            <v>0.68561702253974799</v>
          </cell>
          <cell r="BU36">
            <v>0.7127840943921766</v>
          </cell>
          <cell r="BV36">
            <v>0.70651932769143522</v>
          </cell>
          <cell r="BW36">
            <v>0.71257775066562978</v>
          </cell>
          <cell r="BX36">
            <v>0.68248613507221922</v>
          </cell>
          <cell r="BY36">
            <v>0.701556177510405</v>
          </cell>
          <cell r="BZ36">
            <v>0.68119525853272056</v>
          </cell>
          <cell r="CA36">
            <v>0.64715819479909864</v>
          </cell>
          <cell r="CB36">
            <v>0.65936232503606751</v>
          </cell>
          <cell r="CC36">
            <v>0.64326713982345185</v>
          </cell>
          <cell r="CD36">
            <v>0.61982092008757428</v>
          </cell>
          <cell r="CE36">
            <v>0.58599834418375518</v>
          </cell>
          <cell r="CF36">
            <v>0.60057738761407153</v>
          </cell>
          <cell r="CG36">
            <v>0.58378133141646982</v>
          </cell>
          <cell r="CH36">
            <v>0.5616989928897288</v>
          </cell>
          <cell r="CI36">
            <v>0.53382528240479465</v>
          </cell>
          <cell r="CJ36">
            <v>0.53734858226720617</v>
          </cell>
          <cell r="CK36">
            <v>0.52480801352395945</v>
          </cell>
          <cell r="CL36">
            <v>0.50901952255315186</v>
          </cell>
          <cell r="CM36">
            <v>0.49217802846512798</v>
          </cell>
          <cell r="CN36">
            <v>0.49652182796295613</v>
          </cell>
          <cell r="CO36">
            <v>0.48662557749959934</v>
          </cell>
          <cell r="CP36">
            <v>0.47468008849718052</v>
          </cell>
          <cell r="CQ36">
            <v>0.45983016405859023</v>
          </cell>
          <cell r="CR36">
            <v>0.46675498534532128</v>
          </cell>
          <cell r="CS36">
            <v>0.45946697344760101</v>
          </cell>
          <cell r="CT36">
            <v>0.45054449018943182</v>
          </cell>
          <cell r="CU36">
            <v>0.43340410677289387</v>
          </cell>
          <cell r="CV36">
            <v>0.43766572215837701</v>
          </cell>
          <cell r="CW36">
            <v>0.43229543277118221</v>
          </cell>
          <cell r="CX36">
            <v>0.42411259148351688</v>
          </cell>
          <cell r="CY36">
            <v>0.40820822257257389</v>
          </cell>
          <cell r="CZ36">
            <v>0.41081164088660638</v>
          </cell>
          <cell r="DA36">
            <v>0.40615300587559444</v>
          </cell>
          <cell r="DB36">
            <v>0.39937369710423781</v>
          </cell>
          <cell r="DC36">
            <v>0.38531178838039915</v>
          </cell>
          <cell r="DD36">
            <v>0.38673804861891381</v>
          </cell>
          <cell r="DE36">
            <v>0.38262278065889727</v>
          </cell>
          <cell r="DF36">
            <v>0.37681254446761192</v>
          </cell>
          <cell r="DG36">
            <v>0.36405972313455814</v>
          </cell>
          <cell r="DH36">
            <v>0.36458006595723669</v>
          </cell>
          <cell r="DI36">
            <v>0.36084392016467165</v>
          </cell>
          <cell r="DJ36">
            <v>0.35571226323798422</v>
          </cell>
          <cell r="DK36">
            <v>0.34390232888598232</v>
          </cell>
          <cell r="DL36">
            <v>0.34369311360555105</v>
          </cell>
          <cell r="DM36">
            <v>0.34020552061403297</v>
          </cell>
          <cell r="DN36">
            <v>0.33555352452834875</v>
          </cell>
          <cell r="DP36" t="str">
            <v>NA</v>
          </cell>
          <cell r="DQ36" t="str">
            <v>NA</v>
          </cell>
          <cell r="DR36" t="str">
            <v>NA</v>
          </cell>
          <cell r="DS36" t="str">
            <v>NA</v>
          </cell>
          <cell r="DT36" t="str">
            <v>NA</v>
          </cell>
          <cell r="DU36" t="str">
            <v>NA</v>
          </cell>
          <cell r="DV36" t="str">
            <v>NA</v>
          </cell>
          <cell r="DW36" t="str">
            <v>NA</v>
          </cell>
          <cell r="DX36" t="str">
            <v>NA</v>
          </cell>
          <cell r="DY36" t="str">
            <v>NA</v>
          </cell>
          <cell r="DZ36">
            <v>0</v>
          </cell>
          <cell r="EA36">
            <v>0.56460714285714286</v>
          </cell>
          <cell r="EB36">
            <v>0.73028571740344239</v>
          </cell>
          <cell r="EC36">
            <v>0.77459779335781997</v>
          </cell>
          <cell r="ED36">
            <v>0.77798163412630839</v>
          </cell>
          <cell r="EE36">
            <v>0.75016935615659297</v>
          </cell>
          <cell r="EF36">
            <v>0.72035664309561453</v>
          </cell>
          <cell r="EG36">
            <v>0.70602087893257848</v>
          </cell>
          <cell r="EH36">
            <v>0.69365256155862121</v>
          </cell>
          <cell r="EI36">
            <v>0.64118686849217199</v>
          </cell>
          <cell r="EJ36">
            <v>0.58228906610480702</v>
          </cell>
          <cell r="EK36">
            <v>0.52554332906390444</v>
          </cell>
          <cell r="EL36">
            <v>0.48695111663582802</v>
          </cell>
          <cell r="EM36">
            <v>0.45897302023206055</v>
          </cell>
          <cell r="EN36">
            <v>0.43160806931701284</v>
          </cell>
          <cell r="EO36">
            <v>0.40590001266652331</v>
          </cell>
          <cell r="EP36">
            <v>0.38265119182935253</v>
          </cell>
          <cell r="EQ36">
            <v>0.36108776382772223</v>
          </cell>
          <cell r="ER36">
            <v>0.34063063181960179</v>
          </cell>
        </row>
        <row r="37">
          <cell r="A37" t="str">
            <v>% of subscription revenues</v>
          </cell>
          <cell r="AU37" t="str">
            <v>NA</v>
          </cell>
          <cell r="AV37" t="str">
            <v>NA</v>
          </cell>
          <cell r="AW37">
            <v>1</v>
          </cell>
          <cell r="AX37">
            <v>1</v>
          </cell>
          <cell r="AY37">
            <v>0.83653881493249593</v>
          </cell>
          <cell r="AZ37">
            <v>0.84589926603292243</v>
          </cell>
          <cell r="BA37">
            <v>0.79647244621692148</v>
          </cell>
          <cell r="BB37">
            <v>0.80319592108536209</v>
          </cell>
          <cell r="BC37">
            <v>0.90322680501026154</v>
          </cell>
          <cell r="BD37">
            <v>0.90696334815405655</v>
          </cell>
          <cell r="BE37">
            <v>0.89046919742830399</v>
          </cell>
          <cell r="BF37">
            <v>0.88422265139968137</v>
          </cell>
          <cell r="BG37">
            <v>0.93541082983648882</v>
          </cell>
          <cell r="BH37">
            <v>0.93712327072890433</v>
          </cell>
          <cell r="BI37">
            <v>0.92321781923884272</v>
          </cell>
          <cell r="BJ37">
            <v>0.91762412982849917</v>
          </cell>
          <cell r="BK37">
            <v>0.94018235257449834</v>
          </cell>
          <cell r="BL37">
            <v>0.92560156621287126</v>
          </cell>
          <cell r="BM37">
            <v>0.9028107354682644</v>
          </cell>
          <cell r="BN37">
            <v>0.88609165800054013</v>
          </cell>
          <cell r="BO37">
            <v>0.88758701735974666</v>
          </cell>
          <cell r="BP37">
            <v>0.87506181675807182</v>
          </cell>
          <cell r="BQ37">
            <v>0.86227991292310757</v>
          </cell>
          <cell r="BR37">
            <v>0.84981869364960017</v>
          </cell>
          <cell r="BS37">
            <v>0.8491963726293984</v>
          </cell>
          <cell r="BT37">
            <v>0.84381844514851501</v>
          </cell>
          <cell r="BU37">
            <v>0.83394666074028212</v>
          </cell>
          <cell r="BV37">
            <v>0.82474702272583977</v>
          </cell>
          <cell r="BW37">
            <v>0.81505100476345305</v>
          </cell>
          <cell r="BX37">
            <v>0.8013675144532949</v>
          </cell>
          <cell r="BY37">
            <v>0.78673260368496745</v>
          </cell>
          <cell r="BZ37">
            <v>0.762364483805412</v>
          </cell>
          <cell r="CA37">
            <v>0.71592910528351095</v>
          </cell>
          <cell r="CB37">
            <v>0.73400791983554248</v>
          </cell>
          <cell r="CC37">
            <v>0.70461067965533852</v>
          </cell>
          <cell r="CD37">
            <v>0.681035519559542</v>
          </cell>
          <cell r="CE37">
            <v>0.63550014513714737</v>
          </cell>
          <cell r="CF37">
            <v>0.64754761622292423</v>
          </cell>
          <cell r="CG37">
            <v>0.62713399019168192</v>
          </cell>
          <cell r="CH37">
            <v>0.60327122293098057</v>
          </cell>
          <cell r="CI37">
            <v>0.56913055753282493</v>
          </cell>
          <cell r="CJ37">
            <v>0.57375600955577133</v>
          </cell>
          <cell r="CK37">
            <v>0.55681721029089315</v>
          </cell>
          <cell r="CL37">
            <v>0.53878423016446242</v>
          </cell>
          <cell r="CM37">
            <v>0.51772848381143499</v>
          </cell>
          <cell r="CN37">
            <v>0.52356648689106355</v>
          </cell>
          <cell r="CO37">
            <v>0.51363957368279278</v>
          </cell>
          <cell r="CP37">
            <v>0.50119597852919417</v>
          </cell>
          <cell r="CQ37">
            <v>0.48223468735479186</v>
          </cell>
          <cell r="CR37">
            <v>0.488823643755327</v>
          </cell>
          <cell r="CS37">
            <v>0.48130799600818819</v>
          </cell>
          <cell r="CT37">
            <v>0.47151413966013417</v>
          </cell>
          <cell r="CU37">
            <v>0.45291202440445338</v>
          </cell>
          <cell r="CV37">
            <v>0.45657940575495526</v>
          </cell>
          <cell r="CW37">
            <v>0.45043203553664879</v>
          </cell>
          <cell r="CX37">
            <v>0.44137971846582996</v>
          </cell>
          <cell r="CY37">
            <v>0.42435790392638661</v>
          </cell>
          <cell r="CZ37">
            <v>0.42643847819132008</v>
          </cell>
          <cell r="DA37">
            <v>0.42116872779509545</v>
          </cell>
          <cell r="DB37">
            <v>0.41381872789364449</v>
          </cell>
          <cell r="DC37">
            <v>0.39897743519730677</v>
          </cell>
          <cell r="DD37">
            <v>0.39989143573167485</v>
          </cell>
          <cell r="DE37">
            <v>0.39523967588738701</v>
          </cell>
          <cell r="DF37">
            <v>0.38902026047551885</v>
          </cell>
          <cell r="DG37">
            <v>0.37569301257884641</v>
          </cell>
          <cell r="DH37">
            <v>0.37572043958609669</v>
          </cell>
          <cell r="DI37">
            <v>0.3715050094592387</v>
          </cell>
          <cell r="DJ37">
            <v>0.3660653005299474</v>
          </cell>
          <cell r="DK37">
            <v>0.3538220556836536</v>
          </cell>
          <cell r="DL37">
            <v>0.35316504559560652</v>
          </cell>
          <cell r="DM37">
            <v>0.34925862775323141</v>
          </cell>
          <cell r="DN37">
            <v>0.34437082975122396</v>
          </cell>
          <cell r="DP37" t="str">
            <v>NA</v>
          </cell>
          <cell r="DQ37" t="str">
            <v>NA</v>
          </cell>
          <cell r="DR37" t="str">
            <v>NA</v>
          </cell>
          <cell r="DS37" t="str">
            <v>NA</v>
          </cell>
          <cell r="DT37" t="str">
            <v>NA</v>
          </cell>
          <cell r="DU37" t="str">
            <v>NA</v>
          </cell>
          <cell r="DV37" t="str">
            <v>NA</v>
          </cell>
          <cell r="DW37" t="str">
            <v>NA</v>
          </cell>
          <cell r="DX37" t="str">
            <v>NA</v>
          </cell>
          <cell r="DY37" t="str">
            <v>NA</v>
          </cell>
          <cell r="DZ37" t="str">
            <v>NA</v>
          </cell>
          <cell r="EA37">
            <v>1</v>
          </cell>
          <cell r="EB37">
            <v>0.81769021241002915</v>
          </cell>
          <cell r="EC37">
            <v>0.89464986430141502</v>
          </cell>
          <cell r="ED37">
            <v>0.92703842062227249</v>
          </cell>
          <cell r="EE37">
            <v>0.91067974377622096</v>
          </cell>
          <cell r="EF37">
            <v>0.86684424370438817</v>
          </cell>
          <cell r="EG37">
            <v>0.83685993665888891</v>
          </cell>
          <cell r="EH37">
            <v>0.78954003951295182</v>
          </cell>
          <cell r="EI37">
            <v>0.70716479452774972</v>
          </cell>
          <cell r="EJ37">
            <v>0.62738069480454539</v>
          </cell>
          <cell r="EK37">
            <v>0.55869906106607869</v>
          </cell>
          <cell r="EL37">
            <v>0.51350257149784695</v>
          </cell>
          <cell r="EM37">
            <v>0.48076700072129247</v>
          </cell>
          <cell r="EN37">
            <v>0.44999951377301689</v>
          </cell>
          <cell r="EO37">
            <v>0.42116070001994471</v>
          </cell>
          <cell r="EP37">
            <v>0.39552074195378822</v>
          </cell>
          <cell r="EQ37">
            <v>0.37199840751836899</v>
          </cell>
          <cell r="ER37">
            <v>0.34991484031711512</v>
          </cell>
        </row>
        <row r="38">
          <cell r="A38" t="str">
            <v>% growth y-o-y</v>
          </cell>
          <cell r="AU38" t="str">
            <v>NA</v>
          </cell>
          <cell r="AV38" t="str">
            <v>NA</v>
          </cell>
          <cell r="AW38" t="str">
            <v>NA</v>
          </cell>
          <cell r="AX38" t="str">
            <v>NA</v>
          </cell>
          <cell r="AY38" t="str">
            <v>NA</v>
          </cell>
          <cell r="AZ38" t="str">
            <v>NA</v>
          </cell>
          <cell r="BA38">
            <v>0.67004468768042869</v>
          </cell>
          <cell r="BB38">
            <v>0.6880618837862893</v>
          </cell>
          <cell r="BC38">
            <v>1.0648724856319869</v>
          </cell>
          <cell r="BD38">
            <v>1.0170511395703552</v>
          </cell>
          <cell r="BE38">
            <v>1.2887792359004249</v>
          </cell>
          <cell r="BF38">
            <v>1.0702542811604787</v>
          </cell>
          <cell r="BG38">
            <v>0.92941649729621334</v>
          </cell>
          <cell r="BH38">
            <v>0.95257084100225975</v>
          </cell>
          <cell r="BI38">
            <v>0.88955146914416927</v>
          </cell>
          <cell r="BJ38">
            <v>0.88862730018681524</v>
          </cell>
          <cell r="BK38">
            <v>0.81894784535738596</v>
          </cell>
          <cell r="BL38">
            <v>0.6955958238388058</v>
          </cell>
          <cell r="BM38">
            <v>0.64504562169049362</v>
          </cell>
          <cell r="BN38">
            <v>0.61043888467212959</v>
          </cell>
          <cell r="BO38">
            <v>0.54851799854297911</v>
          </cell>
          <cell r="BP38">
            <v>0.56112516908041932</v>
          </cell>
          <cell r="BQ38">
            <v>0.54439540686325016</v>
          </cell>
          <cell r="BR38">
            <v>0.52486600456465804</v>
          </cell>
          <cell r="BS38">
            <v>0.46645805543533858</v>
          </cell>
          <cell r="BT38">
            <v>0.45643367266712787</v>
          </cell>
          <cell r="BU38">
            <v>0.43564553905406966</v>
          </cell>
          <cell r="BV38">
            <v>0.42417562415818777</v>
          </cell>
          <cell r="BW38">
            <v>0.42667722248314544</v>
          </cell>
          <cell r="BX38">
            <v>0.37710318796829134</v>
          </cell>
          <cell r="BY38">
            <v>0.34796910405150605</v>
          </cell>
          <cell r="BZ38">
            <v>0.30174133203553133</v>
          </cell>
          <cell r="CA38">
            <v>0.27307485226522954</v>
          </cell>
          <cell r="CB38">
            <v>0.26883978318560664</v>
          </cell>
          <cell r="CC38">
            <v>0.26228303750350301</v>
          </cell>
          <cell r="CD38">
            <v>0.2954753916696593</v>
          </cell>
          <cell r="CE38">
            <v>0.24434120843722074</v>
          </cell>
          <cell r="CF38">
            <v>0.28228540497605148</v>
          </cell>
          <cell r="CG38">
            <v>0.24063246920725745</v>
          </cell>
          <cell r="CH38">
            <v>0.18077005961753856</v>
          </cell>
          <cell r="CI38">
            <v>0.21971977428367317</v>
          </cell>
          <cell r="CJ38">
            <v>0.18232068456094175</v>
          </cell>
          <cell r="CK38">
            <v>0.1831081751793171</v>
          </cell>
          <cell r="CL38">
            <v>0.20556548598672908</v>
          </cell>
          <cell r="CM38">
            <v>0.22281186162715327</v>
          </cell>
          <cell r="CN38">
            <v>0.18656511982571566</v>
          </cell>
          <cell r="CO38">
            <v>0.20582571825959417</v>
          </cell>
          <cell r="CP38">
            <v>0.22506008588985149</v>
          </cell>
          <cell r="CQ38">
            <v>0.19786436643255079</v>
          </cell>
          <cell r="CR38">
            <v>0.2485921337818684</v>
          </cell>
          <cell r="CS38">
            <v>0.19659976394125267</v>
          </cell>
          <cell r="CT38">
            <v>0.16540066914753027</v>
          </cell>
          <cell r="CU38">
            <v>0.14754518017331519</v>
          </cell>
          <cell r="CV38">
            <v>0.14915536455912082</v>
          </cell>
          <cell r="CW38">
            <v>0.19189517053379102</v>
          </cell>
          <cell r="CX38">
            <v>0.20776030812362389</v>
          </cell>
          <cell r="CY38">
            <v>0.20964107851380698</v>
          </cell>
          <cell r="CZ38">
            <v>0.20922201448698785</v>
          </cell>
          <cell r="DA38">
            <v>0.21263007050073313</v>
          </cell>
          <cell r="DB38">
            <v>0.20687588845878913</v>
          </cell>
          <cell r="DC38">
            <v>0.19882995231854328</v>
          </cell>
          <cell r="DD38">
            <v>0.19780062609614557</v>
          </cell>
          <cell r="DE38">
            <v>0.2001531415254405</v>
          </cell>
          <cell r="DF38">
            <v>0.19569722273735812</v>
          </cell>
          <cell r="DG38">
            <v>0.18904017413429131</v>
          </cell>
          <cell r="DH38">
            <v>0.18762497214981355</v>
          </cell>
          <cell r="DI38">
            <v>0.18922384269373538</v>
          </cell>
          <cell r="DJ38">
            <v>0.18567414187128506</v>
          </cell>
          <cell r="DK38">
            <v>0.17995235052016123</v>
          </cell>
          <cell r="DL38">
            <v>0.17825119899752173</v>
          </cell>
          <cell r="DM38">
            <v>0.1792718677819618</v>
          </cell>
          <cell r="DN38">
            <v>0.17636469062600746</v>
          </cell>
          <cell r="DQ38" t="str">
            <v>NA</v>
          </cell>
          <cell r="DR38" t="str">
            <v>NA</v>
          </cell>
          <cell r="DS38" t="str">
            <v>NA</v>
          </cell>
          <cell r="DT38" t="str">
            <v>NA</v>
          </cell>
          <cell r="DU38" t="str">
            <v>NA</v>
          </cell>
          <cell r="DV38" t="str">
            <v>NA</v>
          </cell>
          <cell r="DW38" t="str">
            <v>NA</v>
          </cell>
          <cell r="DX38" t="str">
            <v>NA</v>
          </cell>
          <cell r="DY38" t="str">
            <v>NA</v>
          </cell>
          <cell r="DZ38" t="str">
            <v>NA</v>
          </cell>
          <cell r="EA38" t="str">
            <v>NA</v>
          </cell>
          <cell r="EB38">
            <v>1.9719566016109726</v>
          </cell>
          <cell r="EC38">
            <v>1.1114609076156463</v>
          </cell>
          <cell r="ED38">
            <v>0.91124494817931456</v>
          </cell>
          <cell r="EE38">
            <v>0.68013504112580181</v>
          </cell>
          <cell r="EF38">
            <v>0.54347592631182762</v>
          </cell>
          <cell r="EG38">
            <v>0.44377884099183507</v>
          </cell>
          <cell r="EH38">
            <v>0.35870779474578995</v>
          </cell>
          <cell r="EI38">
            <v>0.27534597789049475</v>
          </cell>
          <cell r="EJ38">
            <v>0.23491486927855032</v>
          </cell>
          <cell r="EK38">
            <v>0.19717431371647254</v>
          </cell>
          <cell r="EL38">
            <v>0.21013757071078976</v>
          </cell>
          <cell r="EM38">
            <v>0.20104300229041949</v>
          </cell>
          <cell r="EN38">
            <v>0.17496162997790976</v>
          </cell>
          <cell r="EO38">
            <v>0.20956381881280572</v>
          </cell>
          <cell r="EP38">
            <v>0.19807789505070783</v>
          </cell>
          <cell r="EQ38">
            <v>0.18783860208422243</v>
          </cell>
          <cell r="ER38">
            <v>0.17839941732757492</v>
          </cell>
        </row>
        <row r="39">
          <cell r="A39" t="str">
            <v>% growth seq</v>
          </cell>
          <cell r="AU39" t="str">
            <v>NA</v>
          </cell>
          <cell r="AV39" t="str">
            <v>NA</v>
          </cell>
          <cell r="AW39" t="str">
            <v>NA</v>
          </cell>
          <cell r="AX39">
            <v>0.23733371072742715</v>
          </cell>
          <cell r="AY39">
            <v>6.1867524662111428E-2</v>
          </cell>
          <cell r="AZ39">
            <v>0.19997888948314468</v>
          </cell>
          <cell r="BA39">
            <v>5.9247145501397425E-2</v>
          </cell>
          <cell r="BB39">
            <v>0.25068262544750697</v>
          </cell>
          <cell r="BC39">
            <v>0.29889849188640727</v>
          </cell>
          <cell r="BD39">
            <v>0.17218801806618056</v>
          </cell>
          <cell r="BE39">
            <v>0.20194417719463664</v>
          </cell>
          <cell r="BF39">
            <v>0.13127164869926977</v>
          </cell>
          <cell r="BG39">
            <v>0.21053544067736718</v>
          </cell>
          <cell r="BH39">
            <v>0.18625509186618583</v>
          </cell>
          <cell r="BI39">
            <v>0.16315133779301205</v>
          </cell>
          <cell r="BJ39">
            <v>0.13071835012173172</v>
          </cell>
          <cell r="BK39">
            <v>0.16587366460870689</v>
          </cell>
          <cell r="BL39">
            <v>0.10580915495167642</v>
          </cell>
          <cell r="BM39">
            <v>0.12847471590714332</v>
          </cell>
          <cell r="BN39">
            <v>0.10693148848789469</v>
          </cell>
          <cell r="BO39">
            <v>0.12104617620519109</v>
          </cell>
          <cell r="BP39">
            <v>0.11481203681127128</v>
          </cell>
          <cell r="BQ39">
            <v>0.11638144238934145</v>
          </cell>
          <cell r="BR39">
            <v>9.293396540566401E-2</v>
          </cell>
          <cell r="BS39">
            <v>7.8106004520988037E-2</v>
          </cell>
          <cell r="BT39">
            <v>0.10719142841392615</v>
          </cell>
          <cell r="BU39">
            <v>0.10044698068122315</v>
          </cell>
          <cell r="BV39">
            <v>8.4202102819108449E-2</v>
          </cell>
          <cell r="BW39">
            <v>7.9999723335779871E-2</v>
          </cell>
          <cell r="BX39">
            <v>6.8718853663479518E-2</v>
          </cell>
          <cell r="BY39">
            <v>7.7165853339967061E-2</v>
          </cell>
          <cell r="BZ39">
            <v>4.7020058009832777E-2</v>
          </cell>
          <cell r="CA39">
            <v>5.6216357578679377E-2</v>
          </cell>
          <cell r="CB39">
            <v>6.516360460337367E-2</v>
          </cell>
          <cell r="CC39">
            <v>7.1599585122821052E-2</v>
          </cell>
          <cell r="CD39">
            <v>7.455196610967163E-2</v>
          </cell>
          <cell r="CE39">
            <v>1.4526055231894874E-2</v>
          </cell>
          <cell r="CF39">
            <v>9.764406646145174E-2</v>
          </cell>
          <cell r="CG39">
            <v>3.6790432249540928E-2</v>
          </cell>
          <cell r="CH39">
            <v>2.2703194199165777E-2</v>
          </cell>
          <cell r="CI39">
            <v>4.7991927821381841E-2</v>
          </cell>
          <cell r="CJ39">
            <v>6.3988066295901813E-2</v>
          </cell>
          <cell r="CK39">
            <v>3.7480991713888745E-2</v>
          </cell>
          <cell r="CL39">
            <v>4.2115758474940979E-2</v>
          </cell>
          <cell r="CM39">
            <v>6.2984114198173069E-2</v>
          </cell>
          <cell r="CN39">
            <v>3.2449199255865091E-2</v>
          </cell>
          <cell r="CO39">
            <v>5.4321622228224564E-2</v>
          </cell>
          <cell r="CP39">
            <v>5.8738755735873838E-2</v>
          </cell>
          <cell r="CQ39">
            <v>3.9386400020502865E-2</v>
          </cell>
          <cell r="CR39">
            <v>7.6171881261858365E-2</v>
          </cell>
          <cell r="CS39">
            <v>1.0418831051883126E-2</v>
          </cell>
          <cell r="CT39">
            <v>3.1134128192580324E-2</v>
          </cell>
          <cell r="CU39">
            <v>2.3461617328305984E-2</v>
          </cell>
          <cell r="CV39">
            <v>7.7681917807338241E-2</v>
          </cell>
          <cell r="CW39">
            <v>4.79986972076476E-2</v>
          </cell>
          <cell r="CX39">
            <v>4.4859399694453517E-2</v>
          </cell>
          <cell r="CY39">
            <v>2.5055390771937747E-2</v>
          </cell>
          <cell r="CZ39">
            <v>7.7308569272695582E-2</v>
          </cell>
          <cell r="DA39">
            <v>5.0952363465478046E-2</v>
          </cell>
          <cell r="DB39">
            <v>3.9901324399820748E-2</v>
          </cell>
          <cell r="DC39">
            <v>1.8221605878862901E-2</v>
          </cell>
          <cell r="DD39">
            <v>7.6383582407109296E-2</v>
          </cell>
          <cell r="DE39">
            <v>5.3016464616071346E-2</v>
          </cell>
          <cell r="DF39">
            <v>3.6040387250370731E-2</v>
          </cell>
          <cell r="DG39">
            <v>1.2552653413195891E-2</v>
          </cell>
          <cell r="DH39">
            <v>7.5102464901562582E-2</v>
          </cell>
          <cell r="DI39">
            <v>5.4434115008258566E-2</v>
          </cell>
          <cell r="DJ39">
            <v>3.2947921994725959E-2</v>
          </cell>
          <cell r="DK39">
            <v>7.6663066419713211E-3</v>
          </cell>
          <cell r="DL39">
            <v>7.3552476722502202E-2</v>
          </cell>
          <cell r="DM39">
            <v>5.5347526331203323E-2</v>
          </cell>
          <cell r="DN39">
            <v>3.0401467115104497E-2</v>
          </cell>
        </row>
        <row r="41">
          <cell r="A41" t="str">
            <v>ITSM Pro</v>
          </cell>
          <cell r="DP41">
            <v>0</v>
          </cell>
          <cell r="DQ41">
            <v>0</v>
          </cell>
          <cell r="DR41">
            <v>0</v>
          </cell>
          <cell r="DS41">
            <v>0</v>
          </cell>
          <cell r="DT41">
            <v>0</v>
          </cell>
          <cell r="DU41">
            <v>0</v>
          </cell>
          <cell r="DV41">
            <v>0</v>
          </cell>
          <cell r="DW41">
            <v>0</v>
          </cell>
          <cell r="DX41">
            <v>0</v>
          </cell>
          <cell r="DY41">
            <v>0</v>
          </cell>
          <cell r="DZ41">
            <v>0</v>
          </cell>
          <cell r="EA41">
            <v>0</v>
          </cell>
          <cell r="EB41">
            <v>0</v>
          </cell>
          <cell r="EC41">
            <v>0</v>
          </cell>
          <cell r="ED41">
            <v>0</v>
          </cell>
          <cell r="EE41">
            <v>0</v>
          </cell>
          <cell r="EF41">
            <v>0</v>
          </cell>
          <cell r="EG41">
            <v>0</v>
          </cell>
          <cell r="EH41">
            <v>0</v>
          </cell>
          <cell r="EI41">
            <v>0</v>
          </cell>
          <cell r="EJ41">
            <v>0</v>
          </cell>
          <cell r="EK41">
            <v>0</v>
          </cell>
          <cell r="EL41">
            <v>0</v>
          </cell>
          <cell r="EM41">
            <v>0</v>
          </cell>
          <cell r="EN41">
            <v>0</v>
          </cell>
          <cell r="EO41">
            <v>0</v>
          </cell>
          <cell r="EP41">
            <v>0</v>
          </cell>
          <cell r="EQ41">
            <v>0</v>
          </cell>
          <cell r="ER41">
            <v>0</v>
          </cell>
        </row>
        <row r="42">
          <cell r="A42" t="str">
            <v>ITSM Pro Penetration</v>
          </cell>
          <cell r="CL42">
            <v>0.1</v>
          </cell>
          <cell r="CO42">
            <v>0.15</v>
          </cell>
          <cell r="CP42">
            <v>0.2</v>
          </cell>
          <cell r="DP42">
            <v>0</v>
          </cell>
          <cell r="DQ42">
            <v>0</v>
          </cell>
          <cell r="DR42">
            <v>0</v>
          </cell>
          <cell r="DS42">
            <v>0</v>
          </cell>
          <cell r="DT42">
            <v>0</v>
          </cell>
          <cell r="DU42">
            <v>0</v>
          </cell>
          <cell r="DV42">
            <v>0</v>
          </cell>
          <cell r="DW42">
            <v>0</v>
          </cell>
          <cell r="DX42">
            <v>0</v>
          </cell>
          <cell r="DY42">
            <v>0</v>
          </cell>
          <cell r="DZ42">
            <v>0</v>
          </cell>
          <cell r="EA42">
            <v>0</v>
          </cell>
          <cell r="EB42">
            <v>0</v>
          </cell>
          <cell r="EC42">
            <v>0</v>
          </cell>
          <cell r="ED42">
            <v>0</v>
          </cell>
          <cell r="EE42">
            <v>0</v>
          </cell>
          <cell r="EF42">
            <v>0</v>
          </cell>
          <cell r="EG42">
            <v>0</v>
          </cell>
          <cell r="EH42">
            <v>0</v>
          </cell>
          <cell r="EI42">
            <v>0</v>
          </cell>
          <cell r="EJ42">
            <v>0</v>
          </cell>
          <cell r="EK42">
            <v>0.1</v>
          </cell>
          <cell r="EL42">
            <v>0.35</v>
          </cell>
          <cell r="EM42">
            <v>0</v>
          </cell>
          <cell r="EN42">
            <v>0</v>
          </cell>
          <cell r="EO42">
            <v>0</v>
          </cell>
          <cell r="EP42">
            <v>0</v>
          </cell>
          <cell r="EQ42">
            <v>0</v>
          </cell>
          <cell r="ER42">
            <v>0</v>
          </cell>
        </row>
        <row r="43">
          <cell r="A43" t="str">
            <v>% growth y-o-y</v>
          </cell>
          <cell r="AU43" t="str">
            <v>NA</v>
          </cell>
          <cell r="AV43" t="str">
            <v>NA</v>
          </cell>
          <cell r="AW43" t="str">
            <v>NA</v>
          </cell>
          <cell r="AX43" t="str">
            <v>NA</v>
          </cell>
          <cell r="AY43" t="str">
            <v>NA</v>
          </cell>
          <cell r="AZ43" t="str">
            <v>NA</v>
          </cell>
          <cell r="BA43" t="str">
            <v>NA</v>
          </cell>
          <cell r="BB43" t="str">
            <v>NA</v>
          </cell>
          <cell r="BC43" t="str">
            <v>NA</v>
          </cell>
          <cell r="BD43" t="str">
            <v>NA</v>
          </cell>
          <cell r="BE43" t="str">
            <v>NA</v>
          </cell>
          <cell r="BF43" t="str">
            <v>NA</v>
          </cell>
          <cell r="BG43" t="str">
            <v>NA</v>
          </cell>
          <cell r="BH43" t="str">
            <v>NA</v>
          </cell>
          <cell r="BI43" t="str">
            <v>NA</v>
          </cell>
          <cell r="BJ43" t="str">
            <v>NA</v>
          </cell>
          <cell r="BK43" t="str">
            <v>NA</v>
          </cell>
          <cell r="BL43" t="str">
            <v>NA</v>
          </cell>
          <cell r="BM43" t="str">
            <v>NA</v>
          </cell>
          <cell r="BN43" t="str">
            <v>NA</v>
          </cell>
          <cell r="BO43" t="str">
            <v>NA</v>
          </cell>
          <cell r="BP43" t="str">
            <v>NA</v>
          </cell>
          <cell r="BQ43" t="str">
            <v>NA</v>
          </cell>
          <cell r="BR43" t="str">
            <v>NA</v>
          </cell>
          <cell r="BS43" t="str">
            <v>NA</v>
          </cell>
          <cell r="BT43" t="str">
            <v>NA</v>
          </cell>
          <cell r="BU43" t="str">
            <v>NA</v>
          </cell>
          <cell r="BV43" t="str">
            <v>NA</v>
          </cell>
          <cell r="BW43" t="str">
            <v>NA</v>
          </cell>
          <cell r="BX43" t="str">
            <v>NA</v>
          </cell>
          <cell r="BY43" t="str">
            <v>NA</v>
          </cell>
          <cell r="BZ43" t="str">
            <v>NA</v>
          </cell>
          <cell r="CA43" t="str">
            <v>NA</v>
          </cell>
          <cell r="CB43" t="str">
            <v>NA</v>
          </cell>
          <cell r="CC43" t="str">
            <v>NA</v>
          </cell>
          <cell r="CD43" t="str">
            <v>NA</v>
          </cell>
          <cell r="CE43" t="str">
            <v>NA</v>
          </cell>
          <cell r="CF43" t="str">
            <v>NA</v>
          </cell>
          <cell r="CG43" t="str">
            <v>NA</v>
          </cell>
          <cell r="CH43" t="str">
            <v>NA</v>
          </cell>
          <cell r="CI43" t="str">
            <v>NA</v>
          </cell>
          <cell r="CJ43" t="str">
            <v>NA</v>
          </cell>
          <cell r="CK43" t="str">
            <v>NA</v>
          </cell>
          <cell r="CL43" t="str">
            <v>NA</v>
          </cell>
          <cell r="CM43" t="str">
            <v>NA</v>
          </cell>
          <cell r="CN43" t="str">
            <v>NA</v>
          </cell>
          <cell r="CO43" t="str">
            <v>NA</v>
          </cell>
          <cell r="CP43" t="str">
            <v>NA</v>
          </cell>
          <cell r="CQ43" t="str">
            <v>NA</v>
          </cell>
          <cell r="CR43" t="str">
            <v>NA</v>
          </cell>
          <cell r="CS43" t="str">
            <v>NA</v>
          </cell>
          <cell r="CT43" t="str">
            <v>NA</v>
          </cell>
          <cell r="CU43" t="str">
            <v>NA</v>
          </cell>
          <cell r="CV43" t="str">
            <v>NA</v>
          </cell>
          <cell r="CW43" t="str">
            <v>NA</v>
          </cell>
          <cell r="CX43" t="str">
            <v>NA</v>
          </cell>
          <cell r="CY43" t="str">
            <v>NA</v>
          </cell>
          <cell r="CZ43" t="str">
            <v>NA</v>
          </cell>
          <cell r="DA43" t="str">
            <v>NA</v>
          </cell>
          <cell r="DB43" t="str">
            <v>NA</v>
          </cell>
          <cell r="DC43" t="str">
            <v>NA</v>
          </cell>
          <cell r="DD43" t="str">
            <v>NA</v>
          </cell>
          <cell r="DE43" t="str">
            <v>NA</v>
          </cell>
          <cell r="DF43" t="str">
            <v>NA</v>
          </cell>
          <cell r="DG43" t="str">
            <v>NA</v>
          </cell>
          <cell r="DH43" t="str">
            <v>NA</v>
          </cell>
          <cell r="DI43" t="str">
            <v>NA</v>
          </cell>
          <cell r="DJ43" t="str">
            <v>NA</v>
          </cell>
          <cell r="DK43" t="str">
            <v>NA</v>
          </cell>
          <cell r="DL43" t="str">
            <v>NA</v>
          </cell>
          <cell r="DM43" t="str">
            <v>NA</v>
          </cell>
          <cell r="DN43" t="str">
            <v>NA</v>
          </cell>
          <cell r="DQ43" t="str">
            <v>NA</v>
          </cell>
          <cell r="DR43" t="str">
            <v>NA</v>
          </cell>
          <cell r="DS43" t="str">
            <v>NA</v>
          </cell>
          <cell r="DT43" t="str">
            <v>NA</v>
          </cell>
          <cell r="DU43" t="str">
            <v>NA</v>
          </cell>
          <cell r="DV43" t="str">
            <v>NA</v>
          </cell>
          <cell r="DW43" t="str">
            <v>NA</v>
          </cell>
          <cell r="DX43" t="str">
            <v>NA</v>
          </cell>
          <cell r="DY43" t="str">
            <v>NA</v>
          </cell>
          <cell r="DZ43" t="str">
            <v>NA</v>
          </cell>
          <cell r="EA43" t="str">
            <v>NA</v>
          </cell>
          <cell r="EB43" t="str">
            <v>NA</v>
          </cell>
          <cell r="EC43" t="str">
            <v>NA</v>
          </cell>
          <cell r="ED43" t="str">
            <v>NA</v>
          </cell>
          <cell r="EE43" t="str">
            <v>NA</v>
          </cell>
          <cell r="EF43" t="str">
            <v>NA</v>
          </cell>
          <cell r="EG43" t="str">
            <v>NA</v>
          </cell>
          <cell r="EH43" t="str">
            <v>NA</v>
          </cell>
          <cell r="EI43" t="str">
            <v>NA</v>
          </cell>
          <cell r="EJ43" t="str">
            <v>NA</v>
          </cell>
          <cell r="EK43" t="str">
            <v>NA</v>
          </cell>
          <cell r="EL43" t="str">
            <v>NA</v>
          </cell>
          <cell r="EM43" t="str">
            <v>NA</v>
          </cell>
          <cell r="EN43" t="str">
            <v>NA</v>
          </cell>
          <cell r="EO43" t="str">
            <v>NA</v>
          </cell>
          <cell r="EP43" t="str">
            <v>NA</v>
          </cell>
          <cell r="EQ43" t="str">
            <v>NA</v>
          </cell>
          <cell r="ER43" t="str">
            <v>NA</v>
          </cell>
        </row>
        <row r="44">
          <cell r="A44" t="str">
            <v>% growth seq</v>
          </cell>
          <cell r="AU44" t="str">
            <v>NA</v>
          </cell>
          <cell r="AV44" t="str">
            <v>NA</v>
          </cell>
          <cell r="AW44" t="str">
            <v>NA</v>
          </cell>
          <cell r="AX44" t="str">
            <v>NA</v>
          </cell>
          <cell r="AY44" t="str">
            <v>NA</v>
          </cell>
          <cell r="AZ44" t="str">
            <v>NA</v>
          </cell>
          <cell r="BA44" t="str">
            <v>NA</v>
          </cell>
          <cell r="BB44" t="str">
            <v>NA</v>
          </cell>
          <cell r="BC44" t="str">
            <v>NA</v>
          </cell>
          <cell r="BD44" t="str">
            <v>NA</v>
          </cell>
          <cell r="BE44" t="str">
            <v>NA</v>
          </cell>
          <cell r="BF44" t="str">
            <v>NA</v>
          </cell>
          <cell r="BG44" t="str">
            <v>NA</v>
          </cell>
          <cell r="BH44" t="str">
            <v>NA</v>
          </cell>
          <cell r="BI44" t="str">
            <v>NA</v>
          </cell>
          <cell r="BJ44" t="str">
            <v>NA</v>
          </cell>
          <cell r="BK44" t="str">
            <v>NA</v>
          </cell>
          <cell r="BL44" t="str">
            <v>NA</v>
          </cell>
          <cell r="BM44" t="str">
            <v>NA</v>
          </cell>
          <cell r="BN44" t="str">
            <v>NA</v>
          </cell>
          <cell r="BO44" t="str">
            <v>NA</v>
          </cell>
          <cell r="BP44" t="str">
            <v>NA</v>
          </cell>
          <cell r="BQ44" t="str">
            <v>NA</v>
          </cell>
          <cell r="BR44" t="str">
            <v>NA</v>
          </cell>
          <cell r="BS44" t="str">
            <v>NA</v>
          </cell>
          <cell r="BT44" t="str">
            <v>NA</v>
          </cell>
          <cell r="BU44" t="str">
            <v>NA</v>
          </cell>
          <cell r="BV44" t="str">
            <v>NA</v>
          </cell>
          <cell r="BW44" t="str">
            <v>NA</v>
          </cell>
          <cell r="BX44" t="str">
            <v>NA</v>
          </cell>
          <cell r="BY44" t="str">
            <v>NA</v>
          </cell>
          <cell r="BZ44" t="str">
            <v>NA</v>
          </cell>
          <cell r="CA44" t="str">
            <v>NA</v>
          </cell>
          <cell r="CB44" t="str">
            <v>NA</v>
          </cell>
          <cell r="CC44" t="str">
            <v>NA</v>
          </cell>
          <cell r="CD44" t="str">
            <v>NA</v>
          </cell>
          <cell r="CE44" t="str">
            <v>NA</v>
          </cell>
          <cell r="CF44" t="str">
            <v>NA</v>
          </cell>
          <cell r="CG44" t="str">
            <v>NA</v>
          </cell>
          <cell r="CH44" t="str">
            <v>NA</v>
          </cell>
          <cell r="CI44" t="str">
            <v>NA</v>
          </cell>
          <cell r="CJ44" t="str">
            <v>NA</v>
          </cell>
          <cell r="CK44" t="str">
            <v>NA</v>
          </cell>
          <cell r="CL44" t="str">
            <v>NA</v>
          </cell>
          <cell r="CM44" t="str">
            <v>NA</v>
          </cell>
          <cell r="CN44" t="str">
            <v>NA</v>
          </cell>
          <cell r="CO44" t="str">
            <v>NA</v>
          </cell>
          <cell r="CP44" t="str">
            <v>NA</v>
          </cell>
          <cell r="CQ44" t="str">
            <v>NA</v>
          </cell>
          <cell r="CR44" t="str">
            <v>NA</v>
          </cell>
          <cell r="CS44" t="str">
            <v>NA</v>
          </cell>
          <cell r="CT44" t="str">
            <v>NA</v>
          </cell>
          <cell r="CU44" t="str">
            <v>NA</v>
          </cell>
          <cell r="CV44" t="str">
            <v>NA</v>
          </cell>
          <cell r="CW44" t="str">
            <v>NA</v>
          </cell>
          <cell r="CX44" t="str">
            <v>NA</v>
          </cell>
          <cell r="CY44" t="str">
            <v>NA</v>
          </cell>
          <cell r="CZ44" t="str">
            <v>NA</v>
          </cell>
          <cell r="DA44" t="str">
            <v>NA</v>
          </cell>
          <cell r="DB44" t="str">
            <v>NA</v>
          </cell>
          <cell r="DC44" t="str">
            <v>NA</v>
          </cell>
          <cell r="DD44" t="str">
            <v>NA</v>
          </cell>
          <cell r="DE44" t="str">
            <v>NA</v>
          </cell>
          <cell r="DF44" t="str">
            <v>NA</v>
          </cell>
          <cell r="DG44" t="str">
            <v>NA</v>
          </cell>
          <cell r="DH44" t="str">
            <v>NA</v>
          </cell>
          <cell r="DI44" t="str">
            <v>NA</v>
          </cell>
          <cell r="DJ44" t="str">
            <v>NA</v>
          </cell>
          <cell r="DK44" t="str">
            <v>NA</v>
          </cell>
          <cell r="DL44" t="str">
            <v>NA</v>
          </cell>
          <cell r="DM44" t="str">
            <v>NA</v>
          </cell>
          <cell r="DN44" t="str">
            <v>NA</v>
          </cell>
        </row>
        <row r="46">
          <cell r="A46" t="str">
            <v>Other Service Management</v>
          </cell>
          <cell r="AW46">
            <v>0</v>
          </cell>
          <cell r="AX46">
            <v>0</v>
          </cell>
          <cell r="AY46">
            <v>0</v>
          </cell>
          <cell r="AZ46">
            <v>0</v>
          </cell>
          <cell r="BA46">
            <v>0</v>
          </cell>
          <cell r="BB46">
            <v>0</v>
          </cell>
          <cell r="BC46">
            <v>0</v>
          </cell>
          <cell r="BD46">
            <v>0</v>
          </cell>
          <cell r="BE46">
            <v>0</v>
          </cell>
          <cell r="BF46">
            <v>0</v>
          </cell>
          <cell r="BG46">
            <v>0</v>
          </cell>
          <cell r="BH46">
            <v>0</v>
          </cell>
          <cell r="BI46">
            <v>0</v>
          </cell>
          <cell r="BJ46">
            <v>0</v>
          </cell>
          <cell r="BK46">
            <v>0.24658822551745629</v>
          </cell>
          <cell r="BL46">
            <v>1.1353473525599043</v>
          </cell>
          <cell r="BM46">
            <v>2.6504741032119057</v>
          </cell>
          <cell r="BN46">
            <v>4.3492132526321114</v>
          </cell>
          <cell r="BO46">
            <v>6.2447798639472865</v>
          </cell>
          <cell r="BP46">
            <v>8.3518283452485917</v>
          </cell>
          <cell r="BQ46">
            <v>10.496207047281928</v>
          </cell>
          <cell r="BR46">
            <v>12.808662241220759</v>
          </cell>
          <cell r="BS46">
            <v>14.427628189362821</v>
          </cell>
          <cell r="BT46">
            <v>16.929310667083513</v>
          </cell>
          <cell r="BU46">
            <v>19.65143374948309</v>
          </cell>
          <cell r="BV46">
            <v>22.704754044941495</v>
          </cell>
          <cell r="BW46">
            <v>26.643430204147819</v>
          </cell>
          <cell r="BX46">
            <v>31.726292266230701</v>
          </cell>
          <cell r="BY46">
            <v>39.089223776338571</v>
          </cell>
          <cell r="BZ46">
            <v>46.854149422719786</v>
          </cell>
          <cell r="CA46">
            <v>56.153333657795713</v>
          </cell>
          <cell r="CB46">
            <v>68.18156290398241</v>
          </cell>
          <cell r="CC46">
            <v>81.133158791653898</v>
          </cell>
          <cell r="CD46">
            <v>98.936200592862122</v>
          </cell>
          <cell r="CE46">
            <v>115.37048220668908</v>
          </cell>
          <cell r="CF46">
            <v>138.93816680067943</v>
          </cell>
          <cell r="CG46">
            <v>154.17109530639863</v>
          </cell>
          <cell r="CH46">
            <v>173.37134991616216</v>
          </cell>
          <cell r="CI46">
            <v>204.48876377827804</v>
          </cell>
          <cell r="CJ46">
            <v>230.20454241581615</v>
          </cell>
          <cell r="CK46">
            <v>252.27952286365365</v>
          </cell>
          <cell r="CL46">
            <v>282.47412037586855</v>
          </cell>
          <cell r="CM46">
            <v>320.57415954021633</v>
          </cell>
          <cell r="CN46">
            <v>333.95471965545244</v>
          </cell>
          <cell r="CO46">
            <v>359.68742894295247</v>
          </cell>
          <cell r="CP46">
            <v>397.09129020985722</v>
          </cell>
          <cell r="CQ46">
            <v>432.79506040845524</v>
          </cell>
          <cell r="CR46">
            <v>471.67664062182428</v>
          </cell>
          <cell r="CS46">
            <v>483.05931932869419</v>
          </cell>
          <cell r="CT46">
            <v>512.83006706011963</v>
          </cell>
          <cell r="CU46">
            <v>548.17176080527827</v>
          </cell>
          <cell r="CV46">
            <v>598.72217509216159</v>
          </cell>
          <cell r="CW46">
            <v>639.20143536708258</v>
          </cell>
          <cell r="CX46">
            <v>687.52176489658996</v>
          </cell>
          <cell r="CY46">
            <v>734.34928859814602</v>
          </cell>
          <cell r="CZ46">
            <v>800.52995565581818</v>
          </cell>
          <cell r="DA46">
            <v>855.51010855835193</v>
          </cell>
          <cell r="DB46">
            <v>910.71415635596918</v>
          </cell>
          <cell r="DC46">
            <v>961.37469380305993</v>
          </cell>
          <cell r="DD46">
            <v>1046.3692781740408</v>
          </cell>
          <cell r="DE46">
            <v>1119.1439316732294</v>
          </cell>
          <cell r="DF46">
            <v>1182.7910115609907</v>
          </cell>
          <cell r="DG46">
            <v>1237.6617615422006</v>
          </cell>
          <cell r="DH46">
            <v>1345.2961146722271</v>
          </cell>
          <cell r="DI46">
            <v>1439.8810319824195</v>
          </cell>
          <cell r="DJ46">
            <v>1513.8395801304491</v>
          </cell>
          <cell r="DK46">
            <v>1573.2544317918823</v>
          </cell>
          <cell r="DL46">
            <v>1708.0389722604425</v>
          </cell>
          <cell r="DM46">
            <v>1829.2743323772074</v>
          </cell>
          <cell r="DN46">
            <v>1915.7910511126311</v>
          </cell>
          <cell r="DP46">
            <v>0</v>
          </cell>
          <cell r="DQ46">
            <v>0</v>
          </cell>
          <cell r="DR46">
            <v>0</v>
          </cell>
          <cell r="DS46">
            <v>0</v>
          </cell>
          <cell r="DT46">
            <v>0</v>
          </cell>
          <cell r="DU46">
            <v>0</v>
          </cell>
          <cell r="DV46">
            <v>0</v>
          </cell>
          <cell r="DW46">
            <v>0</v>
          </cell>
          <cell r="DX46">
            <v>0</v>
          </cell>
          <cell r="DY46">
            <v>0</v>
          </cell>
          <cell r="DZ46">
            <v>0</v>
          </cell>
          <cell r="EA46">
            <v>0</v>
          </cell>
          <cell r="EB46">
            <v>0</v>
          </cell>
          <cell r="EC46">
            <v>0</v>
          </cell>
          <cell r="ED46">
            <v>0</v>
          </cell>
          <cell r="EE46">
            <v>8.3816229339213777</v>
          </cell>
          <cell r="EF46">
            <v>37.901477497698565</v>
          </cell>
          <cell r="EG46">
            <v>73.713126650870919</v>
          </cell>
          <cell r="EH46">
            <v>144.31309566943688</v>
          </cell>
          <cell r="EI46">
            <v>304.40425594629414</v>
          </cell>
          <cell r="EJ46">
            <v>581.85109422992923</v>
          </cell>
          <cell r="EK46">
            <v>969.4469494336164</v>
          </cell>
          <cell r="EL46">
            <v>1411.3075983484785</v>
          </cell>
          <cell r="EM46">
            <v>1900.3610874190936</v>
          </cell>
          <cell r="EN46">
            <v>2473.6171361611123</v>
          </cell>
          <cell r="EO46">
            <v>3301.1035091682852</v>
          </cell>
          <cell r="EP46">
            <v>4309.6789152113215</v>
          </cell>
          <cell r="EQ46">
            <v>5536.6784883272958</v>
          </cell>
          <cell r="ER46">
            <v>7026.3587875421636</v>
          </cell>
        </row>
        <row r="47">
          <cell r="A47" t="str">
            <v>% of revenues</v>
          </cell>
          <cell r="AU47" t="str">
            <v>NA</v>
          </cell>
          <cell r="AV47" t="str">
            <v>NA</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2.8693401775382104E-3</v>
          </cell>
          <cell r="BL47">
            <v>1.1106683028701299E-2</v>
          </cell>
          <cell r="BM47">
            <v>2.3822559102741402E-2</v>
          </cell>
          <cell r="BN47">
            <v>3.4729803183199806E-2</v>
          </cell>
          <cell r="BO47">
            <v>4.489740358003657E-2</v>
          </cell>
          <cell r="BP47">
            <v>5.0083824638537465E-2</v>
          </cell>
          <cell r="BQ47">
            <v>5.873252522092489E-2</v>
          </cell>
          <cell r="BR47">
            <v>6.4688906492902959E-2</v>
          </cell>
          <cell r="BS47">
            <v>6.8066408396533468E-2</v>
          </cell>
          <cell r="BT47">
            <v>6.8618616818866676E-2</v>
          </cell>
          <cell r="BU47">
            <v>7.524960271676466E-2</v>
          </cell>
          <cell r="BV47">
            <v>7.9484523175009619E-2</v>
          </cell>
          <cell r="BW47">
            <v>8.7104476620323126E-2</v>
          </cell>
          <cell r="BX47">
            <v>9.2953931494441172E-2</v>
          </cell>
          <cell r="BY47">
            <v>0.10929279468634266</v>
          </cell>
          <cell r="BZ47">
            <v>0.12148892933968715</v>
          </cell>
          <cell r="CA47">
            <v>0.13096345988370414</v>
          </cell>
          <cell r="CB47">
            <v>0.15210339336717338</v>
          </cell>
          <cell r="CC47">
            <v>0.16478020438134969</v>
          </cell>
          <cell r="CD47">
            <v>0.18018113615154832</v>
          </cell>
          <cell r="CE47">
            <v>0.19580138251234519</v>
          </cell>
          <cell r="CF47">
            <v>0.22016772964789086</v>
          </cell>
          <cell r="CG47">
            <v>0.22904736658520039</v>
          </cell>
          <cell r="CH47">
            <v>0.2423279486584668</v>
          </cell>
          <cell r="CI47">
            <v>0.25919891571361325</v>
          </cell>
          <cell r="CJ47">
            <v>0.27605640747114313</v>
          </cell>
          <cell r="CK47">
            <v>0.28479354783989042</v>
          </cell>
          <cell r="CL47">
            <v>0.29678696872983351</v>
          </cell>
          <cell r="CM47">
            <v>0.30637666488924858</v>
          </cell>
          <cell r="CN47">
            <v>0.31186180562160654</v>
          </cell>
          <cell r="CO47">
            <v>0.31223626003318872</v>
          </cell>
          <cell r="CP47">
            <v>0.31758918862208957</v>
          </cell>
          <cell r="CQ47">
            <v>0.32260942865606917</v>
          </cell>
          <cell r="CR47">
            <v>0.33162632437077733</v>
          </cell>
          <cell r="CS47">
            <v>0.33087884159601705</v>
          </cell>
          <cell r="CT47">
            <v>0.3340490441334294</v>
          </cell>
          <cell r="CU47">
            <v>0.33561177657936453</v>
          </cell>
          <cell r="CV47">
            <v>0.34348264004666257</v>
          </cell>
          <cell r="CW47">
            <v>0.34561657377119887</v>
          </cell>
          <cell r="CX47">
            <v>0.34904862808964693</v>
          </cell>
          <cell r="CY47">
            <v>0.35007041613224915</v>
          </cell>
          <cell r="CZ47">
            <v>0.35649315763004774</v>
          </cell>
          <cell r="DA47">
            <v>0.35839558862192833</v>
          </cell>
          <cell r="DB47">
            <v>0.36075906529039525</v>
          </cell>
          <cell r="DC47">
            <v>0.36084307987977216</v>
          </cell>
          <cell r="DD47">
            <v>0.36622519199434422</v>
          </cell>
          <cell r="DE47">
            <v>0.36801704997808254</v>
          </cell>
          <cell r="DF47">
            <v>0.36971566687711249</v>
          </cell>
          <cell r="DG47">
            <v>0.36914031469956721</v>
          </cell>
          <cell r="DH47">
            <v>0.37374708994831207</v>
          </cell>
          <cell r="DI47">
            <v>0.37548584279398495</v>
          </cell>
          <cell r="DJ47">
            <v>0.37674529005951052</v>
          </cell>
          <cell r="DK47">
            <v>0.37565267110128348</v>
          </cell>
          <cell r="DL47">
            <v>0.37966252228917124</v>
          </cell>
          <cell r="DM47">
            <v>0.38137640729536915</v>
          </cell>
          <cell r="DN47">
            <v>0.38232887828143736</v>
          </cell>
          <cell r="DP47" t="str">
            <v>NA</v>
          </cell>
          <cell r="DQ47" t="str">
            <v>NA</v>
          </cell>
          <cell r="DR47" t="str">
            <v>NA</v>
          </cell>
          <cell r="DS47" t="str">
            <v>NA</v>
          </cell>
          <cell r="DT47" t="str">
            <v>NA</v>
          </cell>
          <cell r="DU47" t="str">
            <v>NA</v>
          </cell>
          <cell r="DV47" t="str">
            <v>NA</v>
          </cell>
          <cell r="DW47" t="str">
            <v>NA</v>
          </cell>
          <cell r="DX47" t="str">
            <v>NA</v>
          </cell>
          <cell r="DY47" t="str">
            <v>NA</v>
          </cell>
          <cell r="DZ47">
            <v>0</v>
          </cell>
          <cell r="EA47">
            <v>0</v>
          </cell>
          <cell r="EB47">
            <v>0</v>
          </cell>
          <cell r="EC47">
            <v>0</v>
          </cell>
          <cell r="ED47">
            <v>0</v>
          </cell>
          <cell r="EE47">
            <v>1.9737720320078599E-2</v>
          </cell>
          <cell r="EF47">
            <v>5.5528174685265046E-2</v>
          </cell>
          <cell r="EG47">
            <v>7.3311380286898722E-2</v>
          </cell>
          <cell r="EH47">
            <v>0.10378406794430321</v>
          </cell>
          <cell r="EI47">
            <v>0.15866833878359493</v>
          </cell>
          <cell r="EJ47">
            <v>0.2230326302161322</v>
          </cell>
          <cell r="EK47">
            <v>0.28015159629654185</v>
          </cell>
          <cell r="EL47">
            <v>0.31227184305741068</v>
          </cell>
          <cell r="EM47">
            <v>0.32998219701539372</v>
          </cell>
          <cell r="EN47">
            <v>0.34376810144251019</v>
          </cell>
          <cell r="EO47">
            <v>0.35669166313094652</v>
          </cell>
          <cell r="EP47">
            <v>0.3664187439928423</v>
          </cell>
          <cell r="EQ47">
            <v>0.37396791095932991</v>
          </cell>
          <cell r="ER47">
            <v>0.37992140704073785</v>
          </cell>
        </row>
        <row r="48">
          <cell r="A48" t="str">
            <v>% of subscription revenues</v>
          </cell>
          <cell r="AU48" t="str">
            <v>NA</v>
          </cell>
          <cell r="AV48" t="str">
            <v>NA</v>
          </cell>
          <cell r="AW48">
            <v>0</v>
          </cell>
          <cell r="AX48">
            <v>0</v>
          </cell>
          <cell r="AY48">
            <v>0</v>
          </cell>
          <cell r="AZ48">
            <v>0</v>
          </cell>
          <cell r="BA48">
            <v>0</v>
          </cell>
          <cell r="BB48">
            <v>0</v>
          </cell>
          <cell r="BC48">
            <v>0</v>
          </cell>
          <cell r="BD48">
            <v>0</v>
          </cell>
          <cell r="BE48">
            <v>0</v>
          </cell>
          <cell r="BF48">
            <v>0</v>
          </cell>
          <cell r="BG48">
            <v>0</v>
          </cell>
          <cell r="BH48">
            <v>0</v>
          </cell>
          <cell r="BI48">
            <v>0</v>
          </cell>
          <cell r="BJ48">
            <v>0</v>
          </cell>
          <cell r="BK48">
            <v>3.4459910215134055E-3</v>
          </cell>
          <cell r="BL48">
            <v>1.4125452281276802E-2</v>
          </cell>
          <cell r="BM48">
            <v>2.8502173339770148E-2</v>
          </cell>
          <cell r="BN48">
            <v>4.1469261929404748E-2</v>
          </cell>
          <cell r="BO48">
            <v>5.3203662312649939E-2</v>
          </cell>
          <cell r="BP48">
            <v>6.2926285715082367E-2</v>
          </cell>
          <cell r="BQ48">
            <v>6.98039267078676E-2</v>
          </cell>
          <cell r="BR48">
            <v>7.6813106015680616E-2</v>
          </cell>
          <cell r="BS48">
            <v>8.0194923984963459E-2</v>
          </cell>
          <cell r="BT48">
            <v>8.4451891724991457E-2</v>
          </cell>
          <cell r="BU48">
            <v>8.8040902429496651E-2</v>
          </cell>
          <cell r="BV48">
            <v>9.2785322739256298E-2</v>
          </cell>
          <cell r="BW48">
            <v>9.9630659422739409E-2</v>
          </cell>
          <cell r="BX48">
            <v>0.10914545689998488</v>
          </cell>
          <cell r="BY48">
            <v>0.12256210932775612</v>
          </cell>
          <cell r="BZ48">
            <v>0.13596519315713046</v>
          </cell>
          <cell r="CA48">
            <v>0.14488042245757232</v>
          </cell>
          <cell r="CB48">
            <v>0.16932283075054239</v>
          </cell>
          <cell r="CC48">
            <v>0.18049405078386918</v>
          </cell>
          <cell r="CD48">
            <v>0.19797614068344238</v>
          </cell>
          <cell r="CE48">
            <v>0.21234156758236611</v>
          </cell>
          <cell r="CF48">
            <v>0.23738670726364286</v>
          </cell>
          <cell r="CG48">
            <v>0.24605683878403845</v>
          </cell>
          <cell r="CH48">
            <v>0.26026302305699284</v>
          </cell>
          <cell r="CI48">
            <v>0.27634139534839586</v>
          </cell>
          <cell r="CJ48">
            <v>0.29476028780919594</v>
          </cell>
          <cell r="CK48">
            <v>0.30216373365231419</v>
          </cell>
          <cell r="CL48">
            <v>0.31414146488507327</v>
          </cell>
          <cell r="CM48">
            <v>0.32228160749673401</v>
          </cell>
          <cell r="CN48">
            <v>0.32884836228587733</v>
          </cell>
          <cell r="CO48">
            <v>0.32956939977510474</v>
          </cell>
          <cell r="CP48">
            <v>0.3353298948470354</v>
          </cell>
          <cell r="CQ48">
            <v>0.33832808094304317</v>
          </cell>
          <cell r="CR48">
            <v>0.34730595994422475</v>
          </cell>
          <cell r="CS48">
            <v>0.34660735455070002</v>
          </cell>
          <cell r="CT48">
            <v>0.34959665710846766</v>
          </cell>
          <cell r="CU48">
            <v>0.35071797144780009</v>
          </cell>
          <cell r="CV48">
            <v>0.35832621048375762</v>
          </cell>
          <cell r="CW48">
            <v>0.36011663560962148</v>
          </cell>
          <cell r="CX48">
            <v>0.36325963503745728</v>
          </cell>
          <cell r="CY48">
            <v>0.36392002855872918</v>
          </cell>
          <cell r="CZ48">
            <v>0.37005377768089504</v>
          </cell>
          <cell r="DA48">
            <v>0.37164568998291925</v>
          </cell>
          <cell r="DB48">
            <v>0.37380743538452593</v>
          </cell>
          <cell r="DC48">
            <v>0.37364090811827355</v>
          </cell>
          <cell r="DD48">
            <v>0.37868091425376321</v>
          </cell>
          <cell r="DE48">
            <v>0.38015232470970056</v>
          </cell>
          <cell r="DF48">
            <v>0.381693463081553</v>
          </cell>
          <cell r="DG48">
            <v>0.38093595111186135</v>
          </cell>
          <cell r="DH48">
            <v>0.38516757782877592</v>
          </cell>
          <cell r="DI48">
            <v>0.38657952589399575</v>
          </cell>
          <cell r="DJ48">
            <v>0.38771049548159081</v>
          </cell>
          <cell r="DK48">
            <v>0.3864882239752962</v>
          </cell>
          <cell r="DL48">
            <v>0.39012574499552766</v>
          </cell>
          <cell r="DM48">
            <v>0.39152510055988737</v>
          </cell>
          <cell r="DN48">
            <v>0.3923752946320489</v>
          </cell>
          <cell r="DP48" t="str">
            <v>NA</v>
          </cell>
          <cell r="DQ48" t="str">
            <v>NA</v>
          </cell>
          <cell r="DR48" t="str">
            <v>NA</v>
          </cell>
          <cell r="DS48" t="str">
            <v>NA</v>
          </cell>
          <cell r="DT48" t="str">
            <v>NA</v>
          </cell>
          <cell r="DU48" t="str">
            <v>NA</v>
          </cell>
          <cell r="DV48" t="str">
            <v>NA</v>
          </cell>
          <cell r="DW48" t="str">
            <v>NA</v>
          </cell>
          <cell r="DX48" t="str">
            <v>NA</v>
          </cell>
          <cell r="DY48" t="str">
            <v>NA</v>
          </cell>
          <cell r="DZ48" t="str">
            <v>NA</v>
          </cell>
          <cell r="EA48">
            <v>0</v>
          </cell>
          <cell r="EB48">
            <v>0</v>
          </cell>
          <cell r="EC48">
            <v>0</v>
          </cell>
          <cell r="ED48">
            <v>0</v>
          </cell>
          <cell r="EE48">
            <v>2.3960912207754561E-2</v>
          </cell>
          <cell r="EF48">
            <v>6.6820066213986118E-2</v>
          </cell>
          <cell r="EG48">
            <v>8.689736931863247E-2</v>
          </cell>
          <cell r="EH48">
            <v>0.11813072083441742</v>
          </cell>
          <cell r="EI48">
            <v>0.17499526067622542</v>
          </cell>
          <cell r="EJ48">
            <v>0.24030395666728308</v>
          </cell>
          <cell r="EK48">
            <v>0.29782593584782935</v>
          </cell>
          <cell r="EL48">
            <v>0.32929875081542087</v>
          </cell>
          <cell r="EM48">
            <v>0.34565114757791532</v>
          </cell>
          <cell r="EN48">
            <v>0.35841655774554132</v>
          </cell>
          <cell r="EO48">
            <v>0.37010225633801153</v>
          </cell>
          <cell r="EP48">
            <v>0.37874235487669827</v>
          </cell>
          <cell r="EQ48">
            <v>0.3852677417399693</v>
          </cell>
          <cell r="ER48">
            <v>0.39027652260034751</v>
          </cell>
        </row>
        <row r="49">
          <cell r="A49" t="str">
            <v>% growth y-o-y</v>
          </cell>
          <cell r="AU49" t="str">
            <v>NA</v>
          </cell>
          <cell r="AV49" t="str">
            <v>NA</v>
          </cell>
          <cell r="AW49" t="str">
            <v>NA</v>
          </cell>
          <cell r="AX49" t="str">
            <v>NA</v>
          </cell>
          <cell r="AY49" t="str">
            <v>NA</v>
          </cell>
          <cell r="AZ49" t="str">
            <v>NA</v>
          </cell>
          <cell r="BA49" t="str">
            <v>NA</v>
          </cell>
          <cell r="BB49" t="str">
            <v>NA</v>
          </cell>
          <cell r="BC49" t="str">
            <v>NA</v>
          </cell>
          <cell r="BD49" t="str">
            <v>NA</v>
          </cell>
          <cell r="BE49" t="str">
            <v>NA</v>
          </cell>
          <cell r="BF49" t="str">
            <v>NA</v>
          </cell>
          <cell r="BG49" t="str">
            <v>NA</v>
          </cell>
          <cell r="BH49" t="str">
            <v>NA</v>
          </cell>
          <cell r="BI49" t="str">
            <v>NA</v>
          </cell>
          <cell r="BJ49" t="str">
            <v>NA</v>
          </cell>
          <cell r="BK49" t="str">
            <v>NA</v>
          </cell>
          <cell r="BL49" t="str">
            <v>NA</v>
          </cell>
          <cell r="BM49" t="str">
            <v>NA</v>
          </cell>
          <cell r="BN49" t="str">
            <v>NA</v>
          </cell>
          <cell r="BO49">
            <v>24.324728505762376</v>
          </cell>
          <cell r="BP49">
            <v>6.3561878013961586</v>
          </cell>
          <cell r="BQ49">
            <v>2.960124354568257</v>
          </cell>
          <cell r="BR49">
            <v>1.9450527019959418</v>
          </cell>
          <cell r="BS49">
            <v>1.3103501650486056</v>
          </cell>
          <cell r="BT49">
            <v>1.0270185122656055</v>
          </cell>
          <cell r="BU49">
            <v>0.87224143549759492</v>
          </cell>
          <cell r="BV49">
            <v>0.77260931839339109</v>
          </cell>
          <cell r="BW49">
            <v>0.84669509460962167</v>
          </cell>
          <cell r="BX49">
            <v>0.87404513332711664</v>
          </cell>
          <cell r="BY49">
            <v>0.98912833916592846</v>
          </cell>
          <cell r="BZ49">
            <v>1.0636272619371825</v>
          </cell>
          <cell r="CA49">
            <v>1.1075864942140154</v>
          </cell>
          <cell r="CB49">
            <v>1.1490555004611904</v>
          </cell>
          <cell r="CC49">
            <v>1.0755888951871513</v>
          </cell>
          <cell r="CD49">
            <v>1.1115782019700378</v>
          </cell>
          <cell r="CE49">
            <v>1.0545615850657923</v>
          </cell>
          <cell r="CF49">
            <v>1.0377674092971576</v>
          </cell>
          <cell r="CG49">
            <v>0.90022301118957637</v>
          </cell>
          <cell r="CH49">
            <v>0.75235504170624323</v>
          </cell>
          <cell r="CI49">
            <v>0.77245305616328586</v>
          </cell>
          <cell r="CJ49">
            <v>0.65688484105355571</v>
          </cell>
          <cell r="CK49">
            <v>0.63636070926443744</v>
          </cell>
          <cell r="CL49">
            <v>0.62930103798848913</v>
          </cell>
          <cell r="CM49">
            <v>0.56768593842059079</v>
          </cell>
          <cell r="CN49">
            <v>0.45068692455352766</v>
          </cell>
          <cell r="CO49">
            <v>0.42574960052286226</v>
          </cell>
          <cell r="CP49">
            <v>0.40576166652532852</v>
          </cell>
          <cell r="CQ49">
            <v>0.35006221658411829</v>
          </cell>
          <cell r="CR49">
            <v>0.41239698935371294</v>
          </cell>
          <cell r="CS49">
            <v>0.34299750410601337</v>
          </cell>
          <cell r="CT49">
            <v>0.29146642020049374</v>
          </cell>
          <cell r="CU49">
            <v>0.26658506750963129</v>
          </cell>
          <cell r="CV49">
            <v>0.26934879434107595</v>
          </cell>
          <cell r="CW49">
            <v>0.32323590455801265</v>
          </cell>
          <cell r="CX49">
            <v>0.34064246435065404</v>
          </cell>
          <cell r="CY49">
            <v>0.33963356215097296</v>
          </cell>
          <cell r="CZ49">
            <v>0.33706414921510497</v>
          </cell>
          <cell r="DA49">
            <v>0.33840454858654523</v>
          </cell>
          <cell r="DB49">
            <v>0.32463320123829043</v>
          </cell>
          <cell r="DC49">
            <v>0.30915180109767593</v>
          </cell>
          <cell r="DD49">
            <v>0.30709571925615653</v>
          </cell>
          <cell r="DE49">
            <v>0.30815979902228796</v>
          </cell>
          <cell r="DF49">
            <v>0.29875109913046671</v>
          </cell>
          <cell r="DG49">
            <v>0.28738749784039852</v>
          </cell>
          <cell r="DH49">
            <v>0.28568005840139565</v>
          </cell>
          <cell r="DI49">
            <v>0.28659146623764187</v>
          </cell>
          <cell r="DJ49">
            <v>0.27988762624477204</v>
          </cell>
          <cell r="DK49">
            <v>0.27115055233791274</v>
          </cell>
          <cell r="DL49">
            <v>0.26963792850661394</v>
          </cell>
          <cell r="DM49">
            <v>0.27043435655143933</v>
          </cell>
          <cell r="DN49">
            <v>0.26551787670100779</v>
          </cell>
          <cell r="DQ49" t="str">
            <v>NA</v>
          </cell>
          <cell r="DR49" t="str">
            <v>NA</v>
          </cell>
          <cell r="DS49" t="str">
            <v>NA</v>
          </cell>
          <cell r="DT49" t="str">
            <v>NA</v>
          </cell>
          <cell r="DU49" t="str">
            <v>NA</v>
          </cell>
          <cell r="DV49" t="str">
            <v>NA</v>
          </cell>
          <cell r="DW49" t="str">
            <v>NA</v>
          </cell>
          <cell r="DX49" t="str">
            <v>NA</v>
          </cell>
          <cell r="DY49" t="str">
            <v>NA</v>
          </cell>
          <cell r="DZ49" t="str">
            <v>NA</v>
          </cell>
          <cell r="EA49" t="str">
            <v>NA</v>
          </cell>
          <cell r="EB49" t="str">
            <v>NA</v>
          </cell>
          <cell r="EC49" t="str">
            <v>NA</v>
          </cell>
          <cell r="ED49" t="str">
            <v>NA</v>
          </cell>
          <cell r="EE49" t="str">
            <v>NA</v>
          </cell>
          <cell r="EF49">
            <v>3.521973583935277</v>
          </cell>
          <cell r="EG49">
            <v>0.94486155995757404</v>
          </cell>
          <cell r="EH49">
            <v>0.95776657735534831</v>
          </cell>
          <cell r="EI49">
            <v>1.1093321748399161</v>
          </cell>
          <cell r="EJ49">
            <v>0.91144204742191537</v>
          </cell>
          <cell r="EK49">
            <v>0.66614269363309209</v>
          </cell>
          <cell r="EL49">
            <v>0.4557863111261653</v>
          </cell>
          <cell r="EM49">
            <v>0.34652508754498923</v>
          </cell>
          <cell r="EN49">
            <v>0.30165638127255368</v>
          </cell>
          <cell r="EO49">
            <v>0.33452483850891168</v>
          </cell>
          <cell r="EP49">
            <v>0.30552674378185363</v>
          </cell>
          <cell r="EQ49">
            <v>0.28470788595994723</v>
          </cell>
          <cell r="ER49">
            <v>0.2690566740249567</v>
          </cell>
        </row>
        <row r="50">
          <cell r="A50" t="str">
            <v>% growth seq</v>
          </cell>
          <cell r="AU50" t="str">
            <v>NA</v>
          </cell>
          <cell r="AV50" t="str">
            <v>NA</v>
          </cell>
          <cell r="AW50" t="str">
            <v>NA</v>
          </cell>
          <cell r="AX50" t="str">
            <v>NA</v>
          </cell>
          <cell r="AY50" t="str">
            <v>NA</v>
          </cell>
          <cell r="AZ50" t="str">
            <v>NA</v>
          </cell>
          <cell r="BA50" t="str">
            <v>NA</v>
          </cell>
          <cell r="BB50" t="str">
            <v>NA</v>
          </cell>
          <cell r="BC50" t="str">
            <v>NA</v>
          </cell>
          <cell r="BD50" t="str">
            <v>NA</v>
          </cell>
          <cell r="BE50" t="str">
            <v>NA</v>
          </cell>
          <cell r="BF50" t="str">
            <v>NA</v>
          </cell>
          <cell r="BG50" t="str">
            <v>NA</v>
          </cell>
          <cell r="BH50" t="str">
            <v>NA</v>
          </cell>
          <cell r="BI50" t="str">
            <v>NA</v>
          </cell>
          <cell r="BJ50" t="str">
            <v>NA</v>
          </cell>
          <cell r="BK50" t="str">
            <v>NA</v>
          </cell>
          <cell r="BL50">
            <v>3.60422370199315</v>
          </cell>
          <cell r="BM50">
            <v>1.3345050281183077</v>
          </cell>
          <cell r="BN50">
            <v>0.64091897648108853</v>
          </cell>
          <cell r="BO50">
            <v>0.43584126627223729</v>
          </cell>
          <cell r="BP50">
            <v>0.33740956882496942</v>
          </cell>
          <cell r="BQ50">
            <v>0.25675560049713986</v>
          </cell>
          <cell r="BR50">
            <v>0.22031341259961712</v>
          </cell>
          <cell r="BS50">
            <v>0.12639617765326938</v>
          </cell>
          <cell r="BT50">
            <v>0.17339526947091199</v>
          </cell>
          <cell r="BU50">
            <v>0.16079349808922427</v>
          </cell>
          <cell r="BV50">
            <v>0.15537392000920636</v>
          </cell>
          <cell r="BW50">
            <v>0.17347363250049574</v>
          </cell>
          <cell r="BX50">
            <v>0.19077356117950561</v>
          </cell>
          <cell r="BY50">
            <v>0.2320766463449917</v>
          </cell>
          <cell r="BZ50">
            <v>0.19864619698796537</v>
          </cell>
          <cell r="CA50">
            <v>0.19847087930629925</v>
          </cell>
          <cell r="CB50">
            <v>0.2142032976971231</v>
          </cell>
          <cell r="CC50">
            <v>0.18995745090077709</v>
          </cell>
          <cell r="CD50">
            <v>0.21942991085710828</v>
          </cell>
          <cell r="CE50">
            <v>0.16610989218654737</v>
          </cell>
          <cell r="CF50">
            <v>0.20427828802663983</v>
          </cell>
          <cell r="CG50">
            <v>0.1096381855071713</v>
          </cell>
          <cell r="CH50">
            <v>0.12453861452826209</v>
          </cell>
          <cell r="CI50">
            <v>0.17948417588698162</v>
          </cell>
          <cell r="CJ50">
            <v>0.12575643845850171</v>
          </cell>
          <cell r="CK50">
            <v>9.5892896882823875E-2</v>
          </cell>
          <cell r="CL50">
            <v>0.11968707237699117</v>
          </cell>
          <cell r="CM50">
            <v>0.13487975151015852</v>
          </cell>
          <cell r="CN50">
            <v>4.1739359574169077E-2</v>
          </cell>
          <cell r="CO50">
            <v>7.7054486051429283E-2</v>
          </cell>
          <cell r="CP50">
            <v>0.10398990416992615</v>
          </cell>
          <cell r="CQ50">
            <v>8.9913254404872633E-2</v>
          </cell>
          <cell r="CR50">
            <v>8.9838317878845775E-2</v>
          </cell>
          <cell r="CS50">
            <v>2.413237740979457E-2</v>
          </cell>
          <cell r="CT50">
            <v>6.1629589866515344E-2</v>
          </cell>
          <cell r="CU50">
            <v>6.8915018863384025E-2</v>
          </cell>
          <cell r="CV50">
            <v>9.2216377969969621E-2</v>
          </cell>
          <cell r="CW50">
            <v>6.7609422130874064E-2</v>
          </cell>
          <cell r="CX50">
            <v>7.5594838897315331E-2</v>
          </cell>
          <cell r="CY50">
            <v>6.8110605500030008E-2</v>
          </cell>
          <cell r="CZ50">
            <v>9.0121510410950956E-2</v>
          </cell>
          <cell r="DA50">
            <v>6.867969463740109E-2</v>
          </cell>
          <cell r="DB50">
            <v>6.4527639411115167E-2</v>
          </cell>
          <cell r="DC50">
            <v>5.5627264705973456E-2</v>
          </cell>
          <cell r="DD50">
            <v>8.840942550167874E-2</v>
          </cell>
          <cell r="DE50">
            <v>6.954968481699253E-2</v>
          </cell>
          <cell r="DF50">
            <v>5.6871219229686298E-2</v>
          </cell>
          <cell r="DG50">
            <v>4.6390908829104127E-2</v>
          </cell>
          <cell r="DH50">
            <v>8.696588718706777E-2</v>
          </cell>
          <cell r="DI50">
            <v>7.0307879639745607E-2</v>
          </cell>
          <cell r="DJ50">
            <v>5.1364346432291041E-2</v>
          </cell>
          <cell r="DK50">
            <v>3.9247785856090012E-2</v>
          </cell>
          <cell r="DL50">
            <v>8.5672436539743435E-2</v>
          </cell>
          <cell r="DM50">
            <v>7.097927042983132E-2</v>
          </cell>
          <cell r="DN50">
            <v>4.7295650086005558E-2</v>
          </cell>
        </row>
        <row r="52">
          <cell r="A52" t="str">
            <v>ITOM</v>
          </cell>
          <cell r="AW52">
            <v>0</v>
          </cell>
          <cell r="AX52">
            <v>0</v>
          </cell>
          <cell r="AY52">
            <v>1.8140922318791604</v>
          </cell>
          <cell r="AZ52">
            <v>2.0295066663464114</v>
          </cell>
          <cell r="BA52">
            <v>3.0154642368500912</v>
          </cell>
          <cell r="BB52">
            <v>3.6162749500564706</v>
          </cell>
          <cell r="BC52">
            <v>2.0539142904622105</v>
          </cell>
          <cell r="BD52">
            <v>2.3050782259780855</v>
          </cell>
          <cell r="BE52">
            <v>3.3221787728021113</v>
          </cell>
          <cell r="BF52">
            <v>4.0006862808840111</v>
          </cell>
          <cell r="BG52">
            <v>2.5539203774353947</v>
          </cell>
          <cell r="BH52">
            <v>2.9438884644726997</v>
          </cell>
          <cell r="BI52">
            <v>4.2444421702960113</v>
          </cell>
          <cell r="BJ52">
            <v>5.1802889716050053</v>
          </cell>
          <cell r="BK52">
            <v>4.0338429889565948</v>
          </cell>
          <cell r="BL52">
            <v>4.8445011615143629</v>
          </cell>
          <cell r="BM52">
            <v>6.3873499841232437</v>
          </cell>
          <cell r="BN52">
            <v>7.5972658395872328</v>
          </cell>
          <cell r="BO52">
            <v>6.9496939734524554</v>
          </cell>
          <cell r="BP52">
            <v>8.2304670873530696</v>
          </cell>
          <cell r="BQ52">
            <v>10.212349286209173</v>
          </cell>
          <cell r="BR52">
            <v>12.234220774014783</v>
          </cell>
          <cell r="BS52">
            <v>12.703000000000003</v>
          </cell>
          <cell r="BT52">
            <v>14.379000000000019</v>
          </cell>
          <cell r="BU52">
            <v>17.413000000000011</v>
          </cell>
          <cell r="BV52">
            <v>20.180000000000064</v>
          </cell>
          <cell r="BW52">
            <v>22.816000000000031</v>
          </cell>
          <cell r="BX52">
            <v>26.012</v>
          </cell>
          <cell r="BY52">
            <v>28.92900000000003</v>
          </cell>
          <cell r="BZ52">
            <v>35.036000000000001</v>
          </cell>
          <cell r="CA52">
            <v>53.947999999999979</v>
          </cell>
          <cell r="CB52">
            <v>38.926000000000045</v>
          </cell>
          <cell r="CC52">
            <v>51.646113039193509</v>
          </cell>
          <cell r="CD52">
            <v>60.46247093349146</v>
          </cell>
          <cell r="CE52">
            <v>82.671401436670365</v>
          </cell>
          <cell r="CF52">
            <v>67.345869281135037</v>
          </cell>
          <cell r="CG52">
            <v>79.454441861169826</v>
          </cell>
          <cell r="CH52">
            <v>90.905160911817333</v>
          </cell>
          <cell r="CI52">
            <v>114.34859147523694</v>
          </cell>
          <cell r="CJ52">
            <v>102.68732543723164</v>
          </cell>
          <cell r="CK52">
            <v>117.73822009237672</v>
          </cell>
          <cell r="CL52">
            <v>132.24833256562778</v>
          </cell>
          <cell r="CM52">
            <v>159.14228215558168</v>
          </cell>
          <cell r="CN52">
            <v>149.87685304503967</v>
          </cell>
          <cell r="CO52">
            <v>171.11953129367905</v>
          </cell>
          <cell r="CP52">
            <v>193.58295473946319</v>
          </cell>
          <cell r="CQ52">
            <v>229.53917191147448</v>
          </cell>
          <cell r="CR52">
            <v>222.55258169705866</v>
          </cell>
          <cell r="CS52">
            <v>239.83072642441863</v>
          </cell>
          <cell r="CT52">
            <v>262.4160163551727</v>
          </cell>
          <cell r="CU52">
            <v>306.92607652422953</v>
          </cell>
          <cell r="CV52">
            <v>309.27157657065766</v>
          </cell>
          <cell r="CW52">
            <v>336.27316641594712</v>
          </cell>
          <cell r="CX52">
            <v>369.74847606425919</v>
          </cell>
          <cell r="CY52">
            <v>427.23108776353848</v>
          </cell>
          <cell r="CZ52">
            <v>440.2442434264658</v>
          </cell>
          <cell r="DA52">
            <v>476.93102521006574</v>
          </cell>
          <cell r="DB52">
            <v>517.41041304660962</v>
          </cell>
          <cell r="DC52">
            <v>585.05095620370446</v>
          </cell>
          <cell r="DD52">
            <v>611.84781591143769</v>
          </cell>
          <cell r="DE52">
            <v>661.23146748869385</v>
          </cell>
          <cell r="DF52">
            <v>710.51189784992368</v>
          </cell>
          <cell r="DG52">
            <v>790.71304408981678</v>
          </cell>
          <cell r="DH52">
            <v>835.15965429038386</v>
          </cell>
          <cell r="DI52">
            <v>901.05519189758388</v>
          </cell>
          <cell r="DJ52">
            <v>961.39761478689627</v>
          </cell>
          <cell r="DK52">
            <v>1057.1033684158674</v>
          </cell>
          <cell r="DL52">
            <v>1123.917967048128</v>
          </cell>
          <cell r="DM52">
            <v>1211.1041454385595</v>
          </cell>
          <cell r="DN52">
            <v>1285.3495772464198</v>
          </cell>
          <cell r="DP52">
            <v>0</v>
          </cell>
          <cell r="DQ52">
            <v>0</v>
          </cell>
          <cell r="DR52">
            <v>0</v>
          </cell>
          <cell r="DS52">
            <v>0</v>
          </cell>
          <cell r="DT52">
            <v>0</v>
          </cell>
          <cell r="DU52">
            <v>0</v>
          </cell>
          <cell r="DV52">
            <v>0</v>
          </cell>
          <cell r="DW52">
            <v>0</v>
          </cell>
          <cell r="DX52">
            <v>0</v>
          </cell>
          <cell r="DY52">
            <v>0</v>
          </cell>
          <cell r="DZ52">
            <v>0</v>
          </cell>
          <cell r="EA52">
            <v>0</v>
          </cell>
          <cell r="EB52">
            <v>10.475338085132133</v>
          </cell>
          <cell r="EC52">
            <v>11.681857570126418</v>
          </cell>
          <cell r="ED52">
            <v>14.922539983809111</v>
          </cell>
          <cell r="EE52">
            <v>22.862959974181436</v>
          </cell>
          <cell r="EF52">
            <v>37.626731121029479</v>
          </cell>
          <cell r="EG52">
            <v>64.675000000000097</v>
          </cell>
          <cell r="EH52">
            <v>112.79300000000006</v>
          </cell>
          <cell r="EI52">
            <v>204.98258397268498</v>
          </cell>
          <cell r="EJ52">
            <v>320.37687349079255</v>
          </cell>
          <cell r="EK52">
            <v>467.02246957047305</v>
          </cell>
          <cell r="EL52">
            <v>673.72162123376359</v>
          </cell>
          <cell r="EM52">
            <v>954.33849638812455</v>
          </cell>
          <cell r="EN52">
            <v>1322.2192955750934</v>
          </cell>
          <cell r="EO52">
            <v>1861.8167694466795</v>
          </cell>
          <cell r="EP52">
            <v>2568.6421374537595</v>
          </cell>
          <cell r="EQ52">
            <v>3488.3255050646808</v>
          </cell>
          <cell r="ER52">
            <v>4677.4750581489752</v>
          </cell>
        </row>
        <row r="53">
          <cell r="A53" t="str">
            <v>% of revenues</v>
          </cell>
          <cell r="AU53" t="str">
            <v>NA</v>
          </cell>
          <cell r="AV53" t="str">
            <v>NA</v>
          </cell>
          <cell r="AW53">
            <v>0</v>
          </cell>
          <cell r="AX53">
            <v>0</v>
          </cell>
          <cell r="AY53">
            <v>0.15317843721009544</v>
          </cell>
          <cell r="AZ53">
            <v>0.13950417008155153</v>
          </cell>
          <cell r="BA53">
            <v>0.18176396846594883</v>
          </cell>
          <cell r="BB53">
            <v>0.16934090143088132</v>
          </cell>
          <cell r="BC53">
            <v>8.1465742125266166E-2</v>
          </cell>
          <cell r="BD53">
            <v>7.8178418054826393E-2</v>
          </cell>
          <cell r="BE53">
            <v>9.7148251975381197E-2</v>
          </cell>
          <cell r="BF53">
            <v>0.10211563328613026</v>
          </cell>
          <cell r="BG53">
            <v>5.3844961679816887E-2</v>
          </cell>
          <cell r="BH53">
            <v>5.1852757679090776E-2</v>
          </cell>
          <cell r="BI53">
            <v>6.5963822679244874E-2</v>
          </cell>
          <cell r="BJ53">
            <v>6.8921648859862766E-2</v>
          </cell>
          <cell r="BK53">
            <v>4.6938444582280393E-2</v>
          </cell>
          <cell r="BL53">
            <v>4.7391962214732276E-2</v>
          </cell>
          <cell r="BM53">
            <v>5.7409737496501349E-2</v>
          </cell>
          <cell r="BN53">
            <v>6.0666500356042742E-2</v>
          </cell>
          <cell r="BO53">
            <v>4.9965446642119889E-2</v>
          </cell>
          <cell r="BP53">
            <v>4.9356051544181469E-2</v>
          </cell>
          <cell r="BQ53">
            <v>5.7144172110486002E-2</v>
          </cell>
          <cell r="BR53">
            <v>6.1787745570871209E-2</v>
          </cell>
          <cell r="BS53">
            <v>5.9929988111188708E-2</v>
          </cell>
          <cell r="BT53">
            <v>5.828158692585815E-2</v>
          </cell>
          <cell r="BU53">
            <v>6.6678154317442132E-2</v>
          </cell>
          <cell r="BV53">
            <v>7.0645895326448674E-2</v>
          </cell>
          <cell r="BW53">
            <v>7.4591586869317703E-2</v>
          </cell>
          <cell r="BX53">
            <v>7.6211794487155454E-2</v>
          </cell>
          <cell r="BY53">
            <v>8.088498445433609E-2</v>
          </cell>
          <cell r="BZ53">
            <v>9.0845446578127195E-2</v>
          </cell>
          <cell r="CA53">
            <v>0.12582007645106591</v>
          </cell>
          <cell r="CB53">
            <v>8.6838383252501997E-2</v>
          </cell>
          <cell r="CC53">
            <v>0.10489246553255163</v>
          </cell>
          <cell r="CD53">
            <v>0.11011335226180531</v>
          </cell>
          <cell r="CE53">
            <v>0.1403060331024136</v>
          </cell>
          <cell r="CF53">
            <v>0.10671932329481858</v>
          </cell>
          <cell r="CG53">
            <v>0.11804307828020305</v>
          </cell>
          <cell r="CH53">
            <v>0.1270617156576396</v>
          </cell>
          <cell r="CI53">
            <v>0.14494210036839572</v>
          </cell>
          <cell r="CJ53">
            <v>0.1231404639349753</v>
          </cell>
          <cell r="CK53">
            <v>0.13291243393774754</v>
          </cell>
          <cell r="CL53">
            <v>0.13894930158380853</v>
          </cell>
          <cell r="CM53">
            <v>0.15209423529214375</v>
          </cell>
          <cell r="CN53">
            <v>0.13996168720038965</v>
          </cell>
          <cell r="CO53">
            <v>0.14854487026913765</v>
          </cell>
          <cell r="CP53">
            <v>0.15482548986224692</v>
          </cell>
          <cell r="CQ53">
            <v>0.17110061523036119</v>
          </cell>
          <cell r="CR53">
            <v>0.15647222756277365</v>
          </cell>
          <cell r="CS53">
            <v>0.16427571058710172</v>
          </cell>
          <cell r="CT53">
            <v>0.1709334632644918</v>
          </cell>
          <cell r="CU53">
            <v>0.18791191591027834</v>
          </cell>
          <cell r="CV53">
            <v>0.17742689686669963</v>
          </cell>
          <cell r="CW53">
            <v>0.18182308924435961</v>
          </cell>
          <cell r="CX53">
            <v>0.18771798203054599</v>
          </cell>
          <cell r="CY53">
            <v>0.20366461437379946</v>
          </cell>
          <cell r="CZ53">
            <v>0.19605020319193289</v>
          </cell>
          <cell r="DA53">
            <v>0.19979889635700618</v>
          </cell>
          <cell r="DB53">
            <v>0.20496057481866195</v>
          </cell>
          <cell r="DC53">
            <v>0.21959345329553387</v>
          </cell>
          <cell r="DD53">
            <v>0.2141443642578128</v>
          </cell>
          <cell r="DE53">
            <v>0.21743803199115222</v>
          </cell>
          <cell r="DF53">
            <v>0.22209111970763559</v>
          </cell>
          <cell r="DG53">
            <v>0.23583508111995213</v>
          </cell>
          <cell r="DH53">
            <v>0.23202214518349359</v>
          </cell>
          <cell r="DI53">
            <v>0.23497321002120897</v>
          </cell>
          <cell r="DJ53">
            <v>0.23926050553797745</v>
          </cell>
          <cell r="DK53">
            <v>0.25240908015323199</v>
          </cell>
          <cell r="DL53">
            <v>0.2498242353632579</v>
          </cell>
          <cell r="DM53">
            <v>0.25249714582046751</v>
          </cell>
          <cell r="DN53">
            <v>0.25651349701353837</v>
          </cell>
          <cell r="DP53" t="str">
            <v>NA</v>
          </cell>
          <cell r="DQ53" t="str">
            <v>NA</v>
          </cell>
          <cell r="DR53" t="str">
            <v>NA</v>
          </cell>
          <cell r="DS53" t="str">
            <v>NA</v>
          </cell>
          <cell r="DT53" t="str">
            <v>NA</v>
          </cell>
          <cell r="DU53" t="str">
            <v>NA</v>
          </cell>
          <cell r="DV53" t="str">
            <v>NA</v>
          </cell>
          <cell r="DW53" t="str">
            <v>NA</v>
          </cell>
          <cell r="DX53" t="str">
            <v>NA</v>
          </cell>
          <cell r="DY53" t="str">
            <v>NA</v>
          </cell>
          <cell r="DZ53">
            <v>0</v>
          </cell>
          <cell r="EA53">
            <v>0</v>
          </cell>
          <cell r="EB53">
            <v>0.16282234029364792</v>
          </cell>
          <cell r="EC53">
            <v>9.1213318079236619E-2</v>
          </cell>
          <cell r="ED53">
            <v>6.1230222491338589E-2</v>
          </cell>
          <cell r="EE53">
            <v>5.3839538382624362E-2</v>
          </cell>
          <cell r="EF53">
            <v>5.5125653047454197E-2</v>
          </cell>
          <cell r="EG53">
            <v>6.432251263078341E-2</v>
          </cell>
          <cell r="EH53">
            <v>8.1116106070205793E-2</v>
          </cell>
          <cell r="EI53">
            <v>0.1068455694793338</v>
          </cell>
          <cell r="EJ53">
            <v>0.12280546941248156</v>
          </cell>
          <cell r="EK53">
            <v>0.13496054676633992</v>
          </cell>
          <cell r="EL53">
            <v>0.14907047380492192</v>
          </cell>
          <cell r="EM53">
            <v>0.16571309306391382</v>
          </cell>
          <cell r="EN53">
            <v>0.18375390851144963</v>
          </cell>
          <cell r="EO53">
            <v>0.20117349186252603</v>
          </cell>
          <cell r="EP53">
            <v>0.21839182089664919</v>
          </cell>
          <cell r="EQ53">
            <v>0.23561451231554198</v>
          </cell>
          <cell r="ER53">
            <v>0.25291519536985385</v>
          </cell>
        </row>
        <row r="54">
          <cell r="A54" t="str">
            <v>% of subscription revenues</v>
          </cell>
          <cell r="AU54" t="str">
            <v>NA</v>
          </cell>
          <cell r="AV54" t="str">
            <v>NA</v>
          </cell>
          <cell r="AW54">
            <v>0</v>
          </cell>
          <cell r="AX54">
            <v>0</v>
          </cell>
          <cell r="AY54">
            <v>0.16346118506750407</v>
          </cell>
          <cell r="AZ54">
            <v>0.15410073396707755</v>
          </cell>
          <cell r="BA54">
            <v>0.20352755378307849</v>
          </cell>
          <cell r="BB54">
            <v>0.19680407891463786</v>
          </cell>
          <cell r="BC54">
            <v>9.6773194989738534E-2</v>
          </cell>
          <cell r="BD54">
            <v>9.3036651845943383E-2</v>
          </cell>
          <cell r="BE54">
            <v>0.10953080257169599</v>
          </cell>
          <cell r="BF54">
            <v>0.11577734860031866</v>
          </cell>
          <cell r="BG54">
            <v>6.4589170163511164E-2</v>
          </cell>
          <cell r="BH54">
            <v>6.287672927109568E-2</v>
          </cell>
          <cell r="BI54">
            <v>7.678218076115724E-2</v>
          </cell>
          <cell r="BJ54">
            <v>8.2375870171500887E-2</v>
          </cell>
          <cell r="BK54">
            <v>5.6371656403988293E-2</v>
          </cell>
          <cell r="BL54">
            <v>6.027298150585203E-2</v>
          </cell>
          <cell r="BM54">
            <v>6.8687091191965366E-2</v>
          </cell>
          <cell r="BN54">
            <v>7.2439080070055048E-2</v>
          </cell>
          <cell r="BO54">
            <v>5.9209320327603454E-2</v>
          </cell>
          <cell r="BP54">
            <v>6.2011897526845709E-2</v>
          </cell>
          <cell r="BQ54">
            <v>6.7916160369024953E-2</v>
          </cell>
          <cell r="BR54">
            <v>7.336820033471933E-2</v>
          </cell>
          <cell r="BS54">
            <v>7.0608703385638141E-2</v>
          </cell>
          <cell r="BT54">
            <v>7.1729663126493523E-2</v>
          </cell>
          <cell r="BU54">
            <v>7.8012436830221188E-2</v>
          </cell>
          <cell r="BV54">
            <v>8.2467654534903942E-2</v>
          </cell>
          <cell r="BW54">
            <v>8.5318335813807503E-2</v>
          </cell>
          <cell r="BX54">
            <v>8.9487028646720271E-2</v>
          </cell>
          <cell r="BY54">
            <v>9.0705286987276451E-2</v>
          </cell>
          <cell r="BZ54">
            <v>0.1016703230374575</v>
          </cell>
          <cell r="CA54">
            <v>0.13919047225891673</v>
          </cell>
          <cell r="CB54">
            <v>9.6669249413915151E-2</v>
          </cell>
          <cell r="CC54">
            <v>0.11489526956079232</v>
          </cell>
          <cell r="CD54">
            <v>0.12098833975701559</v>
          </cell>
          <cell r="CE54">
            <v>0.15215828728048655</v>
          </cell>
          <cell r="CF54">
            <v>0.1150656765134329</v>
          </cell>
          <cell r="CG54">
            <v>0.12680917102427966</v>
          </cell>
          <cell r="CH54">
            <v>0.13646575401202651</v>
          </cell>
          <cell r="CI54">
            <v>0.15452804711877921</v>
          </cell>
          <cell r="CJ54">
            <v>0.13148370263503281</v>
          </cell>
          <cell r="CK54">
            <v>0.14101905605679263</v>
          </cell>
          <cell r="CL54">
            <v>0.14707430495046428</v>
          </cell>
          <cell r="CM54">
            <v>0.159989908691831</v>
          </cell>
          <cell r="CN54">
            <v>0.1475851508230592</v>
          </cell>
          <cell r="CO54">
            <v>0.15679102654210247</v>
          </cell>
          <cell r="CP54">
            <v>0.1634741266237705</v>
          </cell>
          <cell r="CQ54">
            <v>0.17943723170216491</v>
          </cell>
          <cell r="CR54">
            <v>0.16387039630044825</v>
          </cell>
          <cell r="CS54">
            <v>0.17208464944111179</v>
          </cell>
          <cell r="CT54">
            <v>0.17888920323139829</v>
          </cell>
          <cell r="CU54">
            <v>0.19637000414774658</v>
          </cell>
          <cell r="CV54">
            <v>0.18509438376128703</v>
          </cell>
          <cell r="CW54">
            <v>0.18945132885372973</v>
          </cell>
          <cell r="CX54">
            <v>0.19536064649671281</v>
          </cell>
          <cell r="CY54">
            <v>0.2117220675148842</v>
          </cell>
          <cell r="CZ54">
            <v>0.20350774412778488</v>
          </cell>
          <cell r="DA54">
            <v>0.20718558222198524</v>
          </cell>
          <cell r="DB54">
            <v>0.21237383672182961</v>
          </cell>
          <cell r="DC54">
            <v>0.22738165668441962</v>
          </cell>
          <cell r="DD54">
            <v>0.22142765001456205</v>
          </cell>
          <cell r="DE54">
            <v>0.2246079994029124</v>
          </cell>
          <cell r="DF54">
            <v>0.22928627644292821</v>
          </cell>
          <cell r="DG54">
            <v>0.24337103630929224</v>
          </cell>
          <cell r="DH54">
            <v>0.23911198258512734</v>
          </cell>
          <cell r="DI54">
            <v>0.24191546464676555</v>
          </cell>
          <cell r="DJ54">
            <v>0.24622420398846184</v>
          </cell>
          <cell r="DK54">
            <v>0.25968972034105026</v>
          </cell>
          <cell r="DL54">
            <v>0.25670920940886582</v>
          </cell>
          <cell r="DM54">
            <v>0.25921627168688122</v>
          </cell>
          <cell r="DN54">
            <v>0.26325387561672714</v>
          </cell>
          <cell r="DP54" t="str">
            <v>NA</v>
          </cell>
          <cell r="DQ54" t="str">
            <v>NA</v>
          </cell>
          <cell r="DR54" t="str">
            <v>NA</v>
          </cell>
          <cell r="DS54" t="str">
            <v>NA</v>
          </cell>
          <cell r="DT54" t="str">
            <v>NA</v>
          </cell>
          <cell r="DU54" t="str">
            <v>NA</v>
          </cell>
          <cell r="DV54" t="str">
            <v>NA</v>
          </cell>
          <cell r="DW54" t="str">
            <v>NA</v>
          </cell>
          <cell r="DX54" t="str">
            <v>NA</v>
          </cell>
          <cell r="DY54" t="str">
            <v>NA</v>
          </cell>
          <cell r="DZ54" t="str">
            <v>NA</v>
          </cell>
          <cell r="EA54">
            <v>0</v>
          </cell>
          <cell r="EB54">
            <v>0.1823097875899708</v>
          </cell>
          <cell r="EC54">
            <v>0.10535013569858501</v>
          </cell>
          <cell r="ED54">
            <v>7.2961579377727584E-2</v>
          </cell>
          <cell r="EE54">
            <v>6.5359344016024501E-2</v>
          </cell>
          <cell r="EF54">
            <v>6.6335690081625695E-2</v>
          </cell>
          <cell r="EG54">
            <v>7.6242694022478588E-2</v>
          </cell>
          <cell r="EH54">
            <v>9.2329239652630651E-2</v>
          </cell>
          <cell r="EI54">
            <v>0.11783994479602469</v>
          </cell>
          <cell r="EJ54">
            <v>0.13231534852817151</v>
          </cell>
          <cell r="EK54">
            <v>0.14347500308609196</v>
          </cell>
          <cell r="EL54">
            <v>0.15719867768673212</v>
          </cell>
          <cell r="EM54">
            <v>0.17358185170079227</v>
          </cell>
          <cell r="EN54">
            <v>0.19158392848144182</v>
          </cell>
          <cell r="EO54">
            <v>0.20873704364204357</v>
          </cell>
          <cell r="EP54">
            <v>0.22573690316951359</v>
          </cell>
          <cell r="EQ54">
            <v>0.24273385074166179</v>
          </cell>
          <cell r="ER54">
            <v>0.25980863708253749</v>
          </cell>
        </row>
        <row r="55">
          <cell r="A55" t="str">
            <v>% growth y-o-y</v>
          </cell>
          <cell r="V55" t="str">
            <v>NA</v>
          </cell>
          <cell r="Z55" t="str">
            <v>NA</v>
          </cell>
          <cell r="AA55" t="str">
            <v>NA</v>
          </cell>
          <cell r="AB55" t="str">
            <v>NA</v>
          </cell>
          <cell r="AC55" t="str">
            <v>NA</v>
          </cell>
          <cell r="AD55" t="str">
            <v>NA</v>
          </cell>
          <cell r="AE55" t="str">
            <v>NA</v>
          </cell>
          <cell r="AF55" t="str">
            <v>NA</v>
          </cell>
          <cell r="AG55" t="str">
            <v>NA</v>
          </cell>
          <cell r="AH55" t="str">
            <v>NA</v>
          </cell>
          <cell r="AI55" t="str">
            <v>NA</v>
          </cell>
          <cell r="AJ55" t="str">
            <v>NA</v>
          </cell>
          <cell r="AK55" t="str">
            <v>NA</v>
          </cell>
          <cell r="AL55" t="str">
            <v>NA</v>
          </cell>
          <cell r="AM55" t="str">
            <v>NA</v>
          </cell>
          <cell r="AN55" t="str">
            <v>NA</v>
          </cell>
          <cell r="AO55" t="str">
            <v>NA</v>
          </cell>
          <cell r="AP55" t="str">
            <v>NA</v>
          </cell>
          <cell r="AQ55" t="str">
            <v>NA</v>
          </cell>
          <cell r="AR55" t="str">
            <v>NA</v>
          </cell>
          <cell r="AS55" t="str">
            <v>NA</v>
          </cell>
          <cell r="AT55" t="str">
            <v>NA</v>
          </cell>
          <cell r="AU55" t="str">
            <v>NA</v>
          </cell>
          <cell r="AV55" t="str">
            <v>NA</v>
          </cell>
          <cell r="AW55" t="str">
            <v>NA</v>
          </cell>
          <cell r="AX55" t="str">
            <v>NA</v>
          </cell>
          <cell r="AY55" t="str">
            <v>NA</v>
          </cell>
          <cell r="AZ55" t="str">
            <v>NA</v>
          </cell>
          <cell r="BA55" t="str">
            <v>NA</v>
          </cell>
          <cell r="BB55" t="str">
            <v>NA</v>
          </cell>
          <cell r="BC55">
            <v>0.13219948488210331</v>
          </cell>
          <cell r="BD55">
            <v>0.13578253484023661</v>
          </cell>
          <cell r="BE55">
            <v>0.10171386952756878</v>
          </cell>
          <cell r="BF55">
            <v>0.10630036049154334</v>
          </cell>
          <cell r="BG55">
            <v>0.24344058040545757</v>
          </cell>
          <cell r="BH55">
            <v>0.27713169613736466</v>
          </cell>
          <cell r="BI55">
            <v>0.27760799781283652</v>
          </cell>
          <cell r="BJ55">
            <v>0.29485008518597056</v>
          </cell>
          <cell r="BK55">
            <v>0.57947092814511092</v>
          </cell>
          <cell r="BL55">
            <v>0.64561301149094152</v>
          </cell>
          <cell r="BM55">
            <v>0.50487383921119222</v>
          </cell>
          <cell r="BN55">
            <v>0.4665718227748552</v>
          </cell>
          <cell r="BO55">
            <v>0.72284692103251214</v>
          </cell>
          <cell r="BP55">
            <v>0.69892973764511868</v>
          </cell>
          <cell r="BQ55">
            <v>0.59883978670239824</v>
          </cell>
          <cell r="BR55">
            <v>0.61034522581343298</v>
          </cell>
          <cell r="BS55">
            <v>0.8278502691665186</v>
          </cell>
          <cell r="BT55">
            <v>0.74704544072532419</v>
          </cell>
          <cell r="BU55">
            <v>0.70509248283493853</v>
          </cell>
          <cell r="BV55">
            <v>0.64947162330615615</v>
          </cell>
          <cell r="BW55">
            <v>0.79611115484531414</v>
          </cell>
          <cell r="BX55">
            <v>0.80902705334167657</v>
          </cell>
          <cell r="BY55">
            <v>0.66134497214724708</v>
          </cell>
          <cell r="BZ55">
            <v>0.7361744301288351</v>
          </cell>
          <cell r="CA55">
            <v>1.3644810659186493</v>
          </cell>
          <cell r="CB55">
            <v>0.49646317084422753</v>
          </cell>
          <cell r="CC55">
            <v>0.78527128622466913</v>
          </cell>
          <cell r="CD55">
            <v>0.72572413898537103</v>
          </cell>
          <cell r="CE55">
            <v>0.53242754943038473</v>
          </cell>
          <cell r="CF55">
            <v>0.73009991473911939</v>
          </cell>
          <cell r="CG55">
            <v>0.53843991707319705</v>
          </cell>
          <cell r="CH55">
            <v>0.50349728531294624</v>
          </cell>
          <cell r="CI55">
            <v>0.38316986875845549</v>
          </cell>
          <cell r="CJ55">
            <v>0.52477540988540583</v>
          </cell>
          <cell r="CK55">
            <v>0.48183307735141945</v>
          </cell>
          <cell r="CL55">
            <v>0.4547945489466263</v>
          </cell>
          <cell r="CM55">
            <v>0.39172927363993937</v>
          </cell>
          <cell r="CN55">
            <v>0.45954578529414492</v>
          </cell>
          <cell r="CO55">
            <v>0.45338982668006755</v>
          </cell>
          <cell r="CP55">
            <v>0.46378370890535292</v>
          </cell>
          <cell r="CQ55">
            <v>0.44235189292479138</v>
          </cell>
          <cell r="CR55">
            <v>0.48490295316101362</v>
          </cell>
          <cell r="CS55">
            <v>0.40153917329761701</v>
          </cell>
          <cell r="CT55">
            <v>0.35557397968405646</v>
          </cell>
          <cell r="CU55">
            <v>0.33714029709317139</v>
          </cell>
          <cell r="CV55">
            <v>0.38965620714138449</v>
          </cell>
          <cell r="CW55">
            <v>0.40212712286439167</v>
          </cell>
          <cell r="CX55">
            <v>0.40901642056716159</v>
          </cell>
          <cell r="CY55">
            <v>0.39196738381338458</v>
          </cell>
          <cell r="CZ55">
            <v>0.42348756490360984</v>
          </cell>
          <cell r="DA55">
            <v>0.41828451640454234</v>
          </cell>
          <cell r="DB55">
            <v>0.39935779737111887</v>
          </cell>
          <cell r="DC55">
            <v>0.36940164927210373</v>
          </cell>
          <cell r="DD55">
            <v>0.38979174639369218</v>
          </cell>
          <cell r="DE55">
            <v>0.38642997107905153</v>
          </cell>
          <cell r="DF55">
            <v>0.37320757358997914</v>
          </cell>
          <cell r="DG55">
            <v>0.35152850483420872</v>
          </cell>
          <cell r="DH55">
            <v>0.36497938306160371</v>
          </cell>
          <cell r="DI55">
            <v>0.36269254595478051</v>
          </cell>
          <cell r="DJ55">
            <v>0.35310558161823402</v>
          </cell>
          <cell r="DK55">
            <v>0.33689886149872517</v>
          </cell>
          <cell r="DL55">
            <v>0.34575222985729059</v>
          </cell>
          <cell r="DM55">
            <v>0.34409540761651436</v>
          </cell>
          <cell r="DN55">
            <v>0.3369593989801305</v>
          </cell>
          <cell r="DQ55" t="str">
            <v>NA</v>
          </cell>
          <cell r="DR55" t="str">
            <v>NA</v>
          </cell>
          <cell r="DS55" t="str">
            <v>NA</v>
          </cell>
          <cell r="DT55" t="str">
            <v>NA</v>
          </cell>
          <cell r="DU55" t="str">
            <v>NA</v>
          </cell>
          <cell r="DV55" t="str">
            <v>NA</v>
          </cell>
          <cell r="DW55" t="str">
            <v>NA</v>
          </cell>
          <cell r="DX55" t="str">
            <v>NA</v>
          </cell>
          <cell r="DY55" t="str">
            <v>NA</v>
          </cell>
          <cell r="DZ55" t="str">
            <v>NA</v>
          </cell>
          <cell r="EA55" t="str">
            <v>NA</v>
          </cell>
          <cell r="EB55" t="str">
            <v>NA</v>
          </cell>
          <cell r="EC55">
            <v>0.11517714036425453</v>
          </cell>
          <cell r="ED55">
            <v>0.27741156697287339</v>
          </cell>
          <cell r="EE55">
            <v>0.53210914489005523</v>
          </cell>
          <cell r="EF55">
            <v>0.6457506448648993</v>
          </cell>
          <cell r="EG55">
            <v>0.71885779266786787</v>
          </cell>
          <cell r="EH55">
            <v>0.74399690761499637</v>
          </cell>
          <cell r="EI55">
            <v>0.8173342669552619</v>
          </cell>
          <cell r="EJ55">
            <v>0.56294679909725631</v>
          </cell>
          <cell r="EK55">
            <v>0.45772840742793197</v>
          </cell>
          <cell r="EL55">
            <v>0.44258930807632146</v>
          </cell>
          <cell r="EM55">
            <v>0.41651754420538967</v>
          </cell>
          <cell r="EN55">
            <v>0.3854825102196795</v>
          </cell>
          <cell r="EO55">
            <v>0.40809983311950582</v>
          </cell>
          <cell r="EP55">
            <v>0.37964281964070179</v>
          </cell>
          <cell r="EQ55">
            <v>0.3580426226763469</v>
          </cell>
          <cell r="ER55">
            <v>0.34089409126464099</v>
          </cell>
        </row>
        <row r="56">
          <cell r="A56" t="str">
            <v>% growth seq</v>
          </cell>
          <cell r="V56" t="str">
            <v>NA</v>
          </cell>
          <cell r="Z56" t="str">
            <v>NA</v>
          </cell>
          <cell r="AA56" t="str">
            <v>NA</v>
          </cell>
          <cell r="AB56" t="str">
            <v>NA</v>
          </cell>
          <cell r="AC56" t="str">
            <v>NA</v>
          </cell>
          <cell r="AD56" t="str">
            <v>NA</v>
          </cell>
          <cell r="AE56" t="str">
            <v>NA</v>
          </cell>
          <cell r="AF56" t="str">
            <v>NA</v>
          </cell>
          <cell r="AG56" t="str">
            <v>NA</v>
          </cell>
          <cell r="AH56" t="str">
            <v>NA</v>
          </cell>
          <cell r="AI56" t="str">
            <v>NA</v>
          </cell>
          <cell r="AJ56" t="str">
            <v>NA</v>
          </cell>
          <cell r="AK56" t="str">
            <v>NA</v>
          </cell>
          <cell r="AL56" t="str">
            <v>NA</v>
          </cell>
          <cell r="AM56" t="str">
            <v>NA</v>
          </cell>
          <cell r="AN56" t="str">
            <v>NA</v>
          </cell>
          <cell r="AO56" t="str">
            <v>NA</v>
          </cell>
          <cell r="AP56" t="str">
            <v>NA</v>
          </cell>
          <cell r="AQ56" t="str">
            <v>NA</v>
          </cell>
          <cell r="AR56" t="str">
            <v>NA</v>
          </cell>
          <cell r="AS56" t="str">
            <v>NA</v>
          </cell>
          <cell r="AT56" t="str">
            <v>NA</v>
          </cell>
          <cell r="AU56" t="str">
            <v>NA</v>
          </cell>
          <cell r="AV56" t="str">
            <v>NA</v>
          </cell>
          <cell r="AW56" t="str">
            <v>NA</v>
          </cell>
          <cell r="AX56" t="str">
            <v>NA</v>
          </cell>
          <cell r="AY56" t="str">
            <v>NA</v>
          </cell>
          <cell r="AZ56">
            <v>0.11874502888097926</v>
          </cell>
          <cell r="BA56">
            <v>0.48581144711322133</v>
          </cell>
          <cell r="BB56">
            <v>0.19924318977630362</v>
          </cell>
          <cell r="BC56">
            <v>-0.4320359157341902</v>
          </cell>
          <cell r="BD56">
            <v>0.12228549978069103</v>
          </cell>
          <cell r="BE56">
            <v>0.44124339701853366</v>
          </cell>
          <cell r="BF56">
            <v>0.20423570026895588</v>
          </cell>
          <cell r="BG56">
            <v>-0.36162943102075273</v>
          </cell>
          <cell r="BH56">
            <v>0.15269390952152739</v>
          </cell>
          <cell r="BI56">
            <v>0.44178090356295585</v>
          </cell>
          <cell r="BJ56">
            <v>0.22048758441294236</v>
          </cell>
          <cell r="BK56">
            <v>-0.22130927230748831</v>
          </cell>
          <cell r="BL56">
            <v>0.20096423553844245</v>
          </cell>
          <cell r="BM56">
            <v>0.31847423938414243</v>
          </cell>
          <cell r="BN56">
            <v>0.18942376078834311</v>
          </cell>
          <cell r="BO56">
            <v>-8.523748935577069E-2</v>
          </cell>
          <cell r="BP56">
            <v>0.1842920161366981</v>
          </cell>
          <cell r="BQ56">
            <v>0.24079826549594774</v>
          </cell>
          <cell r="BR56">
            <v>0.19798299403409159</v>
          </cell>
          <cell r="BS56">
            <v>3.8317048109912877E-2</v>
          </cell>
          <cell r="BT56">
            <v>0.13193733763678006</v>
          </cell>
          <cell r="BU56">
            <v>0.21100215592182958</v>
          </cell>
          <cell r="BV56">
            <v>0.15890426692701154</v>
          </cell>
          <cell r="BW56">
            <v>0.13062438057482462</v>
          </cell>
          <cell r="BX56">
            <v>0.14007713884992845</v>
          </cell>
          <cell r="BY56">
            <v>0.11214055051514804</v>
          </cell>
          <cell r="BZ56">
            <v>0.21110304538698066</v>
          </cell>
          <cell r="CA56">
            <v>0.53978764699166515</v>
          </cell>
          <cell r="CB56">
            <v>-0.27845332542448176</v>
          </cell>
          <cell r="CC56">
            <v>0.32677678259244325</v>
          </cell>
          <cell r="CD56">
            <v>0.17070709440625942</v>
          </cell>
          <cell r="CE56">
            <v>0.36731761306296362</v>
          </cell>
          <cell r="CF56">
            <v>-0.18537888422364901</v>
          </cell>
          <cell r="CG56">
            <v>0.17979681173150519</v>
          </cell>
          <cell r="CH56">
            <v>0.14411678922438687</v>
          </cell>
          <cell r="CI56">
            <v>0.25788888472636828</v>
          </cell>
          <cell r="CJ56">
            <v>-0.10197997096038258</v>
          </cell>
          <cell r="CK56">
            <v>0.14657013016027043</v>
          </cell>
          <cell r="CL56">
            <v>0.1232404605901678</v>
          </cell>
          <cell r="CM56">
            <v>0.20335946070705946</v>
          </cell>
          <cell r="CN56">
            <v>-5.8221039594517632E-2</v>
          </cell>
          <cell r="CO56">
            <v>0.14173421590494506</v>
          </cell>
          <cell r="CP56">
            <v>0.13127328760170531</v>
          </cell>
          <cell r="CQ56">
            <v>0.18574061554336518</v>
          </cell>
          <cell r="CR56">
            <v>-3.043746370711109E-2</v>
          </cell>
          <cell r="CS56">
            <v>7.76362358756153E-2</v>
          </cell>
          <cell r="CT56">
            <v>9.4171794696505273E-2</v>
          </cell>
          <cell r="CU56">
            <v>0.16961640065754868</v>
          </cell>
          <cell r="CV56">
            <v>7.6419054157588207E-3</v>
          </cell>
          <cell r="CW56">
            <v>8.7307052735641655E-2</v>
          </cell>
          <cell r="CX56">
            <v>9.9547965736003441E-2</v>
          </cell>
          <cell r="CY56">
            <v>0.15546409362154967</v>
          </cell>
          <cell r="CZ56">
            <v>3.0459290149151608E-2</v>
          </cell>
          <cell r="DA56">
            <v>8.3332791584196597E-2</v>
          </cell>
          <cell r="DB56">
            <v>8.4874721284308619E-2</v>
          </cell>
          <cell r="DC56">
            <v>0.13072899472357857</v>
          </cell>
          <cell r="DD56">
            <v>4.5802608172138548E-2</v>
          </cell>
          <cell r="DE56">
            <v>8.071231161247483E-2</v>
          </cell>
          <cell r="DF56">
            <v>7.4528259443539691E-2</v>
          </cell>
          <cell r="DG56">
            <v>0.11287797781091258</v>
          </cell>
          <cell r="DH56">
            <v>5.6210796739453395E-2</v>
          </cell>
          <cell r="DI56">
            <v>7.8901725279330037E-2</v>
          </cell>
          <cell r="DJ56">
            <v>6.6968620159919112E-2</v>
          </cell>
          <cell r="DK56">
            <v>9.9548565709917325E-2</v>
          </cell>
          <cell r="DL56">
            <v>6.3205359691915763E-2</v>
          </cell>
          <cell r="DM56">
            <v>7.7573435914916722E-2</v>
          </cell>
          <cell r="DN56">
            <v>6.1303920135600709E-2</v>
          </cell>
        </row>
        <row r="57">
          <cell r="AG57" t="str">
            <v>Ex. Alias</v>
          </cell>
          <cell r="AH57" t="e">
            <v>#REF!</v>
          </cell>
          <cell r="AI57" t="e">
            <v>#REF!</v>
          </cell>
          <cell r="AM57" t="e">
            <v>#REF!</v>
          </cell>
          <cell r="AQ57" t="e">
            <v>#REF!</v>
          </cell>
        </row>
        <row r="59">
          <cell r="A59" t="str">
            <v>(US$ in millions, unless otherwise stated)</v>
          </cell>
          <cell r="C59" t="str">
            <v>Fiscal 1999 by Quarter</v>
          </cell>
          <cell r="G59" t="str">
            <v>Fiscal 2000 by Quarter</v>
          </cell>
          <cell r="K59" t="str">
            <v>Fiscal 2001 by Quarter</v>
          </cell>
          <cell r="O59" t="str">
            <v>Fiscal 2002 by Quarter</v>
          </cell>
          <cell r="S59" t="str">
            <v>Fiscal 2003 by Quarter</v>
          </cell>
          <cell r="W59" t="str">
            <v>Fiscal 2004 by Quarter</v>
          </cell>
          <cell r="AA59" t="str">
            <v>Fiscal 2005 by Quarter</v>
          </cell>
          <cell r="AE59" t="str">
            <v>Fiscal 2006 by Quarter</v>
          </cell>
          <cell r="AI59" t="str">
            <v>Fiscal 2006 by Quarter</v>
          </cell>
          <cell r="AM59" t="str">
            <v>Fiscal 2007 by Quarter</v>
          </cell>
          <cell r="AQ59" t="str">
            <v>Fiscal 2008 by Quarter</v>
          </cell>
          <cell r="AU59" t="str">
            <v>Fiscal 2009 by Quarter</v>
          </cell>
          <cell r="AY59" t="str">
            <v>Fiscal 2010 by Quarter</v>
          </cell>
          <cell r="BC59" t="str">
            <v>Fiscal 2011 by Quarter</v>
          </cell>
          <cell r="BG59" t="str">
            <v>Fiscal 2012 by Quarter</v>
          </cell>
          <cell r="BK59" t="str">
            <v>Fiscal 2013 by Quarter</v>
          </cell>
          <cell r="BO59" t="str">
            <v>Fiscal 2014 by Quarter</v>
          </cell>
          <cell r="BS59" t="str">
            <v>Fiscal 2015 by Quarter</v>
          </cell>
          <cell r="BW59" t="str">
            <v>Fiscal 2016 by Quarter</v>
          </cell>
          <cell r="CA59" t="str">
            <v>Fiscal 2017 by Quarter</v>
          </cell>
          <cell r="CE59" t="str">
            <v>Fiscal 2018 by Quarter</v>
          </cell>
          <cell r="CI59" t="str">
            <v>Fiscal 2019 by Quarter</v>
          </cell>
          <cell r="CM59" t="str">
            <v>Fiscal 2020 by Quarter</v>
          </cell>
          <cell r="CQ59" t="str">
            <v>Fiscal 2021 by Quarter</v>
          </cell>
          <cell r="CU59" t="str">
            <v>Fiscal 2022 by Quarter</v>
          </cell>
          <cell r="CY59" t="str">
            <v>Fiscal 2023 by Quarter</v>
          </cell>
          <cell r="DC59" t="str">
            <v>Fiscal 2024 by Quarter</v>
          </cell>
          <cell r="DG59" t="str">
            <v>Fiscal 2025 by Quarter</v>
          </cell>
          <cell r="DK59" t="str">
            <v>Fiscal 2026 by Quarter</v>
          </cell>
          <cell r="DP59" t="str">
            <v xml:space="preserve"> Fiscal Year Ends December</v>
          </cell>
        </row>
        <row r="60">
          <cell r="C60">
            <v>35886</v>
          </cell>
          <cell r="D60">
            <v>35977</v>
          </cell>
          <cell r="E60">
            <v>36069</v>
          </cell>
          <cell r="F60">
            <v>36161</v>
          </cell>
          <cell r="G60">
            <v>36251</v>
          </cell>
          <cell r="H60">
            <v>36342</v>
          </cell>
          <cell r="I60">
            <v>36434</v>
          </cell>
          <cell r="J60">
            <v>36526</v>
          </cell>
          <cell r="K60">
            <v>36617</v>
          </cell>
          <cell r="L60">
            <v>36708</v>
          </cell>
          <cell r="M60">
            <v>36800</v>
          </cell>
          <cell r="N60">
            <v>36892</v>
          </cell>
          <cell r="O60">
            <v>36982</v>
          </cell>
          <cell r="P60">
            <v>37073</v>
          </cell>
          <cell r="Q60">
            <v>37165</v>
          </cell>
          <cell r="R60">
            <v>37257</v>
          </cell>
          <cell r="S60">
            <v>37348</v>
          </cell>
          <cell r="T60">
            <v>37439</v>
          </cell>
          <cell r="U60">
            <v>37531</v>
          </cell>
          <cell r="V60">
            <v>37623</v>
          </cell>
          <cell r="W60">
            <v>37715</v>
          </cell>
          <cell r="X60">
            <v>37806</v>
          </cell>
          <cell r="Y60">
            <v>37898</v>
          </cell>
          <cell r="Z60">
            <v>37990</v>
          </cell>
          <cell r="AA60">
            <v>38081</v>
          </cell>
          <cell r="AB60">
            <v>38172</v>
          </cell>
          <cell r="AC60">
            <v>38264</v>
          </cell>
          <cell r="AD60">
            <v>38356</v>
          </cell>
          <cell r="AE60">
            <v>38447</v>
          </cell>
          <cell r="AF60">
            <v>38538</v>
          </cell>
          <cell r="AG60">
            <v>38630</v>
          </cell>
          <cell r="AH60">
            <v>38722</v>
          </cell>
          <cell r="AI60">
            <v>38807</v>
          </cell>
          <cell r="AJ60">
            <v>38898</v>
          </cell>
          <cell r="AK60">
            <v>38990</v>
          </cell>
          <cell r="AL60">
            <v>39082</v>
          </cell>
          <cell r="AM60">
            <v>39172</v>
          </cell>
          <cell r="AN60">
            <v>39263</v>
          </cell>
          <cell r="AO60">
            <v>39355</v>
          </cell>
          <cell r="AP60">
            <v>39447</v>
          </cell>
          <cell r="AQ60">
            <v>39538</v>
          </cell>
          <cell r="AR60">
            <v>39629</v>
          </cell>
          <cell r="AS60">
            <v>39721</v>
          </cell>
          <cell r="AT60">
            <v>39813</v>
          </cell>
          <cell r="AU60">
            <v>39903</v>
          </cell>
          <cell r="AV60">
            <v>39994</v>
          </cell>
          <cell r="AW60">
            <v>40086</v>
          </cell>
          <cell r="AX60">
            <v>40178</v>
          </cell>
          <cell r="AY60">
            <v>40268</v>
          </cell>
          <cell r="AZ60">
            <v>40359</v>
          </cell>
          <cell r="BA60">
            <v>40451</v>
          </cell>
          <cell r="BB60">
            <v>40543</v>
          </cell>
          <cell r="BC60">
            <v>40633</v>
          </cell>
          <cell r="BD60">
            <v>40724</v>
          </cell>
          <cell r="BE60">
            <v>40816</v>
          </cell>
          <cell r="BF60">
            <v>40908</v>
          </cell>
          <cell r="BG60">
            <v>40999</v>
          </cell>
          <cell r="BH60">
            <v>41072</v>
          </cell>
          <cell r="BI60">
            <v>41164</v>
          </cell>
          <cell r="BJ60">
            <v>41255</v>
          </cell>
          <cell r="BK60">
            <v>41346</v>
          </cell>
          <cell r="BL60">
            <v>41438</v>
          </cell>
          <cell r="BM60">
            <v>41529</v>
          </cell>
          <cell r="BN60">
            <v>41621</v>
          </cell>
          <cell r="BO60">
            <v>41712</v>
          </cell>
          <cell r="BP60">
            <v>41804</v>
          </cell>
          <cell r="BQ60">
            <v>41894</v>
          </cell>
          <cell r="BR60">
            <v>41987</v>
          </cell>
          <cell r="BS60">
            <v>42078</v>
          </cell>
          <cell r="BT60">
            <v>42170</v>
          </cell>
          <cell r="BU60">
            <v>42262</v>
          </cell>
          <cell r="BV60">
            <v>42353</v>
          </cell>
          <cell r="BW60">
            <v>42445</v>
          </cell>
          <cell r="BX60">
            <v>42537</v>
          </cell>
          <cell r="BY60">
            <v>42629</v>
          </cell>
          <cell r="BZ60">
            <v>42720</v>
          </cell>
          <cell r="CA60">
            <v>42811</v>
          </cell>
          <cell r="CB60">
            <v>42903</v>
          </cell>
          <cell r="CC60">
            <v>42995</v>
          </cell>
          <cell r="CD60">
            <v>43086</v>
          </cell>
          <cell r="CE60">
            <v>43177</v>
          </cell>
          <cell r="CF60">
            <v>43269</v>
          </cell>
          <cell r="CG60">
            <v>43361</v>
          </cell>
          <cell r="CH60">
            <v>43452</v>
          </cell>
          <cell r="CI60">
            <v>43543</v>
          </cell>
          <cell r="CJ60">
            <v>43635</v>
          </cell>
          <cell r="CK60">
            <v>43727</v>
          </cell>
          <cell r="CL60">
            <v>43818</v>
          </cell>
          <cell r="CM60">
            <v>43910</v>
          </cell>
          <cell r="CN60">
            <v>44002</v>
          </cell>
          <cell r="CO60">
            <v>44094</v>
          </cell>
          <cell r="CP60">
            <v>44185</v>
          </cell>
          <cell r="CQ60" t="str">
            <v>Mar-21E</v>
          </cell>
          <cell r="CR60" t="str">
            <v>Jun-21E</v>
          </cell>
          <cell r="CS60" t="str">
            <v>Sep-21E</v>
          </cell>
          <cell r="CT60" t="str">
            <v>Dec-21E</v>
          </cell>
          <cell r="CU60" t="str">
            <v>Mar-22E</v>
          </cell>
          <cell r="CV60" t="str">
            <v>Jun-22E</v>
          </cell>
          <cell r="CW60" t="str">
            <v>Sep-22E</v>
          </cell>
          <cell r="CX60" t="str">
            <v>Dec-22E</v>
          </cell>
          <cell r="CY60" t="str">
            <v>Mar-23E</v>
          </cell>
          <cell r="CZ60" t="str">
            <v>Jun-23E</v>
          </cell>
          <cell r="DA60" t="str">
            <v>Sep-23E</v>
          </cell>
          <cell r="DB60" t="str">
            <v>Dec-23E</v>
          </cell>
          <cell r="DC60" t="str">
            <v>Mar-24E</v>
          </cell>
          <cell r="DD60" t="str">
            <v>Jun-24E</v>
          </cell>
          <cell r="DE60" t="str">
            <v>Sep-24E</v>
          </cell>
          <cell r="DF60" t="str">
            <v>Dec-24E</v>
          </cell>
          <cell r="DG60" t="str">
            <v>Mar-25E</v>
          </cell>
          <cell r="DH60" t="str">
            <v>Jun-25E</v>
          </cell>
          <cell r="DI60" t="str">
            <v>Sep-25E</v>
          </cell>
          <cell r="DJ60" t="str">
            <v>Dec-25E</v>
          </cell>
          <cell r="DK60" t="str">
            <v>Mar-26E</v>
          </cell>
          <cell r="DL60" t="str">
            <v>Jun-26E</v>
          </cell>
          <cell r="DM60" t="str">
            <v>Sep-26E</v>
          </cell>
          <cell r="DN60" t="str">
            <v>Dec-26E</v>
          </cell>
          <cell r="DP60">
            <v>1998</v>
          </cell>
          <cell r="DQ60">
            <v>1999</v>
          </cell>
          <cell r="DR60">
            <v>2000</v>
          </cell>
          <cell r="DS60">
            <v>2001</v>
          </cell>
          <cell r="DT60">
            <v>2002</v>
          </cell>
          <cell r="DU60">
            <v>2003</v>
          </cell>
          <cell r="DV60">
            <v>2004</v>
          </cell>
          <cell r="DW60">
            <v>2005</v>
          </cell>
          <cell r="DX60">
            <v>2006</v>
          </cell>
          <cell r="DY60">
            <v>2007</v>
          </cell>
          <cell r="DZ60">
            <v>2008</v>
          </cell>
          <cell r="EA60">
            <v>2009</v>
          </cell>
          <cell r="EB60">
            <v>2010</v>
          </cell>
          <cell r="EC60">
            <v>2011</v>
          </cell>
          <cell r="ED60">
            <v>2012</v>
          </cell>
          <cell r="EE60">
            <v>2013</v>
          </cell>
          <cell r="EF60">
            <v>2014</v>
          </cell>
          <cell r="EG60">
            <v>2015</v>
          </cell>
          <cell r="EH60">
            <v>2016</v>
          </cell>
          <cell r="EI60">
            <v>2017</v>
          </cell>
          <cell r="EJ60">
            <v>2018</v>
          </cell>
          <cell r="EK60">
            <v>2019</v>
          </cell>
          <cell r="EL60">
            <v>2020</v>
          </cell>
          <cell r="EM60" t="str">
            <v>2021E</v>
          </cell>
          <cell r="EN60" t="str">
            <v>2022E</v>
          </cell>
          <cell r="EO60" t="str">
            <v>2023E</v>
          </cell>
          <cell r="EP60" t="str">
            <v>2024E</v>
          </cell>
          <cell r="EQ60" t="str">
            <v>2025E</v>
          </cell>
          <cell r="ER60" t="str">
            <v>2026E</v>
          </cell>
        </row>
        <row r="61">
          <cell r="A61" t="str">
            <v>Subscription and support</v>
          </cell>
          <cell r="AW61">
            <v>7.0659999999999998</v>
          </cell>
          <cell r="AX61">
            <v>8.7430000000000003</v>
          </cell>
          <cell r="AY61">
            <v>11.098000000000001</v>
          </cell>
          <cell r="AZ61">
            <v>13.17</v>
          </cell>
          <cell r="BA61">
            <v>14.816000000000001</v>
          </cell>
          <cell r="BB61">
            <v>18.375</v>
          </cell>
          <cell r="BC61">
            <v>21.224</v>
          </cell>
          <cell r="BD61">
            <v>24.776022999999999</v>
          </cell>
          <cell r="BE61">
            <v>30.331</v>
          </cell>
          <cell r="BF61">
            <v>34.555</v>
          </cell>
          <cell r="BG61">
            <v>39.540999999999997</v>
          </cell>
          <cell r="BH61">
            <v>46.82</v>
          </cell>
          <cell r="BI61">
            <v>55.279000000000003</v>
          </cell>
          <cell r="BJ61">
            <v>62.886000000000003</v>
          </cell>
          <cell r="BK61">
            <v>71.558000000000007</v>
          </cell>
          <cell r="BL61">
            <v>80.376000000000005</v>
          </cell>
          <cell r="BM61">
            <v>92.992000000000004</v>
          </cell>
          <cell r="BN61">
            <v>104.878</v>
          </cell>
          <cell r="BO61">
            <v>117.375</v>
          </cell>
          <cell r="BP61">
            <v>132.72399999999999</v>
          </cell>
          <cell r="BQ61">
            <v>150.36699999999999</v>
          </cell>
          <cell r="BR61">
            <v>166.751</v>
          </cell>
          <cell r="BS61">
            <v>179.90700000000001</v>
          </cell>
          <cell r="BT61">
            <v>200.46100000000001</v>
          </cell>
          <cell r="BU61">
            <v>223.208</v>
          </cell>
          <cell r="BV61">
            <v>244.702</v>
          </cell>
          <cell r="BW61">
            <v>267.42200000000003</v>
          </cell>
          <cell r="BX61">
            <v>290.67899999999997</v>
          </cell>
          <cell r="BY61">
            <v>318.93400000000003</v>
          </cell>
          <cell r="BZ61">
            <v>344.60399999999998</v>
          </cell>
          <cell r="CA61">
            <v>387.584</v>
          </cell>
          <cell r="CB61">
            <v>402.67200000000003</v>
          </cell>
          <cell r="CC61">
            <v>449.50599999999997</v>
          </cell>
          <cell r="CD61">
            <v>499.738</v>
          </cell>
          <cell r="CE61">
            <v>543.32500000000005</v>
          </cell>
          <cell r="CF61">
            <v>585.28200000000004</v>
          </cell>
          <cell r="CG61">
            <v>626.56700000000001</v>
          </cell>
          <cell r="CH61">
            <v>666.13900000000001</v>
          </cell>
          <cell r="CI61">
            <v>739.98599999999999</v>
          </cell>
          <cell r="CJ61">
            <v>780.98900000000003</v>
          </cell>
          <cell r="CK61">
            <v>834.91</v>
          </cell>
          <cell r="CL61">
            <v>899.19399999999996</v>
          </cell>
          <cell r="CM61">
            <v>994.702</v>
          </cell>
          <cell r="CN61">
            <v>1015.528</v>
          </cell>
          <cell r="CO61">
            <v>1091.386</v>
          </cell>
          <cell r="CP61">
            <v>1184.181</v>
          </cell>
          <cell r="CQ61">
            <v>1279.2170818399061</v>
          </cell>
          <cell r="CR61">
            <v>1358.1011990049717</v>
          </cell>
          <cell r="CS61">
            <v>1393.6787924043736</v>
          </cell>
          <cell r="CT61">
            <v>1466.9192528949336</v>
          </cell>
          <cell r="CU61">
            <v>1562.998778027737</v>
          </cell>
          <cell r="CV61">
            <v>1670.8857950521058</v>
          </cell>
          <cell r="CW61">
            <v>1774.9844693650821</v>
          </cell>
          <cell r="CX61">
            <v>1892.6456412524244</v>
          </cell>
          <cell r="CY61">
            <v>2017.8864337488289</v>
          </cell>
          <cell r="CZ61">
            <v>2163.2800526255714</v>
          </cell>
          <cell r="DA61">
            <v>2301.9508408604738</v>
          </cell>
          <cell r="DB61">
            <v>2436.3189978260903</v>
          </cell>
          <cell r="DC61">
            <v>2572.9909999542747</v>
          </cell>
          <cell r="DD61">
            <v>2763.1951830369871</v>
          </cell>
          <cell r="DE61">
            <v>2943.9355198678641</v>
          </cell>
          <cell r="DF61">
            <v>3098.7981874561851</v>
          </cell>
          <cell r="DG61">
            <v>3249.0022480938346</v>
          </cell>
          <cell r="DH61">
            <v>3492.7553410798009</v>
          </cell>
          <cell r="DI61">
            <v>3724.6696618311089</v>
          </cell>
          <cell r="DJ61">
            <v>3904.5617742435579</v>
          </cell>
          <cell r="DK61">
            <v>4070.6400200499838</v>
          </cell>
          <cell r="DL61">
            <v>4378.1754835995844</v>
          </cell>
          <cell r="DM61">
            <v>4672.1763937007227</v>
          </cell>
          <cell r="DN61">
            <v>4882.5475949222791</v>
          </cell>
          <cell r="DP61">
            <v>0</v>
          </cell>
          <cell r="DQ61">
            <v>0</v>
          </cell>
          <cell r="DR61">
            <v>0</v>
          </cell>
          <cell r="DS61">
            <v>0</v>
          </cell>
          <cell r="DT61">
            <v>0</v>
          </cell>
          <cell r="DU61">
            <v>0</v>
          </cell>
          <cell r="DV61">
            <v>0</v>
          </cell>
          <cell r="DW61">
            <v>0</v>
          </cell>
          <cell r="DX61">
            <v>0</v>
          </cell>
          <cell r="DY61">
            <v>0</v>
          </cell>
          <cell r="DZ61">
            <v>0</v>
          </cell>
          <cell r="EA61">
            <v>15.809000000000001</v>
          </cell>
          <cell r="EB61">
            <v>57.459000000000003</v>
          </cell>
          <cell r="EC61">
            <v>110.88602299999999</v>
          </cell>
          <cell r="ED61">
            <v>204.52599999999998</v>
          </cell>
          <cell r="EE61">
            <v>349.80400000000003</v>
          </cell>
          <cell r="EF61">
            <v>567.21699999999998</v>
          </cell>
          <cell r="EG61">
            <v>848.27800000000002</v>
          </cell>
          <cell r="EH61">
            <v>1221.6390000000001</v>
          </cell>
          <cell r="EI61">
            <v>1739.5000000000002</v>
          </cell>
          <cell r="EJ61">
            <v>2421.3130000000001</v>
          </cell>
          <cell r="EK61">
            <v>3255.0789999999997</v>
          </cell>
          <cell r="EL61">
            <v>4285.7970000000005</v>
          </cell>
          <cell r="EM61">
            <v>5497.9163261441845</v>
          </cell>
          <cell r="EN61">
            <v>6901.514683697349</v>
          </cell>
          <cell r="EO61">
            <v>8919.4363250609658</v>
          </cell>
          <cell r="EP61">
            <v>11378.91989031531</v>
          </cell>
          <cell r="EQ61">
            <v>14370.989025248302</v>
          </cell>
          <cell r="ER61">
            <v>18003.539492272568</v>
          </cell>
        </row>
        <row r="62">
          <cell r="A62" t="str">
            <v>Estimated subscription - waterfall method</v>
          </cell>
          <cell r="B62">
            <v>0</v>
          </cell>
          <cell r="C62">
            <v>0</v>
          </cell>
          <cell r="D62">
            <v>0</v>
          </cell>
          <cell r="E62">
            <v>0</v>
          </cell>
          <cell r="F62">
            <v>0</v>
          </cell>
          <cell r="G62">
            <v>0</v>
          </cell>
          <cell r="H62">
            <v>0</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cell r="AF62">
            <v>0</v>
          </cell>
          <cell r="AG62">
            <v>0</v>
          </cell>
          <cell r="AH62">
            <v>0</v>
          </cell>
          <cell r="AI62">
            <v>0</v>
          </cell>
          <cell r="AJ62">
            <v>0</v>
          </cell>
          <cell r="AK62">
            <v>0</v>
          </cell>
          <cell r="AL62">
            <v>0</v>
          </cell>
          <cell r="AM62">
            <v>0</v>
          </cell>
          <cell r="AN62">
            <v>0</v>
          </cell>
          <cell r="AO62">
            <v>0</v>
          </cell>
          <cell r="AP62">
            <v>0</v>
          </cell>
          <cell r="AQ62">
            <v>0</v>
          </cell>
          <cell r="AR62">
            <v>0</v>
          </cell>
          <cell r="AS62">
            <v>0</v>
          </cell>
          <cell r="AT62">
            <v>0</v>
          </cell>
          <cell r="AU62">
            <v>0</v>
          </cell>
          <cell r="AV62">
            <v>0</v>
          </cell>
          <cell r="AW62">
            <v>7.0659999999999998</v>
          </cell>
          <cell r="AX62">
            <v>8.7430000000000003</v>
          </cell>
          <cell r="AY62">
            <v>11.098000000000001</v>
          </cell>
          <cell r="AZ62">
            <v>13.169999999999998</v>
          </cell>
          <cell r="BA62">
            <v>14.816000000000001</v>
          </cell>
          <cell r="BB62">
            <v>18.375</v>
          </cell>
          <cell r="BC62">
            <v>21.224</v>
          </cell>
          <cell r="BD62">
            <v>24.776022999999999</v>
          </cell>
          <cell r="BE62">
            <v>30.331</v>
          </cell>
          <cell r="BF62">
            <v>34.555</v>
          </cell>
          <cell r="BG62">
            <v>39.540999999999997</v>
          </cell>
          <cell r="BH62">
            <v>46.82</v>
          </cell>
          <cell r="BI62">
            <v>55.279000000000003</v>
          </cell>
          <cell r="BJ62">
            <v>62.88600000000001</v>
          </cell>
          <cell r="BK62">
            <v>71.549133731839362</v>
          </cell>
          <cell r="BL62">
            <v>80.413947695671325</v>
          </cell>
          <cell r="BM62">
            <v>93.006071810866274</v>
          </cell>
          <cell r="BN62">
            <v>104.87626286811233</v>
          </cell>
          <cell r="BO62">
            <v>117.45566032363108</v>
          </cell>
          <cell r="BP62">
            <v>132.78564466000151</v>
          </cell>
          <cell r="BQ62">
            <v>150.49029330032675</v>
          </cell>
          <cell r="BR62">
            <v>167.02141732856145</v>
          </cell>
          <cell r="BS62">
            <v>179.88007944045236</v>
          </cell>
          <cell r="BT62">
            <v>199.92870181808152</v>
          </cell>
          <cell r="BU62">
            <v>222.87439462089571</v>
          </cell>
          <cell r="BV62">
            <v>243.83836760670249</v>
          </cell>
          <cell r="BW62">
            <v>266.1917475717886</v>
          </cell>
          <cell r="BX62">
            <v>289.15502419423984</v>
          </cell>
          <cell r="BY62">
            <v>317.6263839045543</v>
          </cell>
          <cell r="BZ62">
            <v>343.57029159783787</v>
          </cell>
          <cell r="CA62">
            <v>386.99210200032854</v>
          </cell>
          <cell r="CB62">
            <v>401.64442863456202</v>
          </cell>
          <cell r="CC62">
            <v>449.41862872256218</v>
          </cell>
          <cell r="CD62">
            <v>498.87061047123683</v>
          </cell>
          <cell r="CE62">
            <v>548.26252796457561</v>
          </cell>
          <cell r="CF62">
            <v>582.18353332936965</v>
          </cell>
          <cell r="CG62">
            <v>623.49775095354119</v>
          </cell>
          <cell r="CH62">
            <v>667.53479414532694</v>
          </cell>
          <cell r="CI62">
            <v>737.73309340872652</v>
          </cell>
          <cell r="CJ62">
            <v>775.09429326209283</v>
          </cell>
          <cell r="CK62">
            <v>829.01697409977646</v>
          </cell>
          <cell r="CL62">
            <v>892.51923841910934</v>
          </cell>
          <cell r="CM62">
            <v>980.05818668746701</v>
          </cell>
          <cell r="CN62">
            <v>1007.0572282501925</v>
          </cell>
          <cell r="CO62">
            <v>1086.1011404738294</v>
          </cell>
          <cell r="CP62">
            <v>1179.5162250248547</v>
          </cell>
          <cell r="CQ62">
            <v>1280.2544456945116</v>
          </cell>
          <cell r="CR62">
            <v>1344.5013176062855</v>
          </cell>
          <cell r="CS62">
            <v>1388.5433688249109</v>
          </cell>
          <cell r="CT62">
            <v>1467.222569296184</v>
          </cell>
          <cell r="CU62">
            <v>1580.1234089219045</v>
          </cell>
          <cell r="CV62">
            <v>1674.9862438442231</v>
          </cell>
          <cell r="CW62">
            <v>1772.3526252677875</v>
          </cell>
          <cell r="CX62">
            <v>1891.382134865298</v>
          </cell>
          <cell r="CY62">
            <v>2037.9278081797438</v>
          </cell>
          <cell r="CZ62">
            <v>2168.0089863646617</v>
          </cell>
          <cell r="DA62">
            <v>2297.3052080672501</v>
          </cell>
          <cell r="DB62">
            <v>2432.9520070753697</v>
          </cell>
          <cell r="DC62">
            <v>2596.7608534376227</v>
          </cell>
          <cell r="DD62">
            <v>2768.7257263074935</v>
          </cell>
          <cell r="DE62">
            <v>2936.724018344154</v>
          </cell>
          <cell r="DF62">
            <v>3092.7565445660512</v>
          </cell>
          <cell r="DG62">
            <v>3277.4991540716119</v>
          </cell>
          <cell r="DH62">
            <v>3499.3004699705461</v>
          </cell>
          <cell r="DI62">
            <v>3714.2125391960335</v>
          </cell>
          <cell r="DJ62">
            <v>3895.1414561609504</v>
          </cell>
          <cell r="DK62">
            <v>4105.0945129259617</v>
          </cell>
          <cell r="DL62">
            <v>4385.9973272320203</v>
          </cell>
          <cell r="DM62">
            <v>4657.6367924759898</v>
          </cell>
          <cell r="DN62">
            <v>4868.8811810329535</v>
          </cell>
          <cell r="DT62">
            <v>0</v>
          </cell>
          <cell r="DU62">
            <v>0</v>
          </cell>
          <cell r="DV62">
            <v>0</v>
          </cell>
          <cell r="DW62">
            <v>0</v>
          </cell>
          <cell r="DX62">
            <v>0</v>
          </cell>
          <cell r="DY62">
            <v>0</v>
          </cell>
          <cell r="DZ62">
            <v>0</v>
          </cell>
          <cell r="EA62">
            <v>15.809000000000001</v>
          </cell>
          <cell r="EB62">
            <v>57.459000000000003</v>
          </cell>
          <cell r="EC62">
            <v>110.88602299999999</v>
          </cell>
          <cell r="ED62">
            <v>204.52600000000001</v>
          </cell>
          <cell r="EE62">
            <v>349.84541610648932</v>
          </cell>
          <cell r="EF62">
            <v>567.75301561252081</v>
          </cell>
          <cell r="EG62">
            <v>846.52154348613215</v>
          </cell>
          <cell r="EH62">
            <v>1216.5434472684208</v>
          </cell>
          <cell r="EI62">
            <v>1736.9257698286897</v>
          </cell>
          <cell r="EJ62">
            <v>2421.4786063928132</v>
          </cell>
          <cell r="EK62">
            <v>3234.3635991897054</v>
          </cell>
          <cell r="EL62">
            <v>4252.732780436344</v>
          </cell>
          <cell r="EM62">
            <v>5480.5217014218924</v>
          </cell>
          <cell r="EN62">
            <v>6918.8444128992132</v>
          </cell>
          <cell r="EO62">
            <v>8936.1940096870258</v>
          </cell>
          <cell r="EP62">
            <v>11394.967142655321</v>
          </cell>
          <cell r="EQ62">
            <v>14386.153619399143</v>
          </cell>
          <cell r="ER62">
            <v>18017.609813666924</v>
          </cell>
        </row>
        <row r="63">
          <cell r="A63" t="str">
            <v>Delta</v>
          </cell>
          <cell r="B63">
            <v>0</v>
          </cell>
          <cell r="C63">
            <v>0</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0</v>
          </cell>
          <cell r="AQ63">
            <v>0</v>
          </cell>
          <cell r="AR63">
            <v>0</v>
          </cell>
          <cell r="AS63">
            <v>0</v>
          </cell>
          <cell r="AT63">
            <v>0</v>
          </cell>
          <cell r="AU63">
            <v>0</v>
          </cell>
          <cell r="AV63">
            <v>0</v>
          </cell>
          <cell r="AW63">
            <v>0</v>
          </cell>
          <cell r="AX63">
            <v>0</v>
          </cell>
          <cell r="AY63">
            <v>0</v>
          </cell>
          <cell r="AZ63">
            <v>0</v>
          </cell>
          <cell r="BA63">
            <v>0</v>
          </cell>
          <cell r="BB63">
            <v>0</v>
          </cell>
          <cell r="BC63">
            <v>0</v>
          </cell>
          <cell r="BD63">
            <v>0</v>
          </cell>
          <cell r="BE63">
            <v>0</v>
          </cell>
          <cell r="BF63">
            <v>0</v>
          </cell>
          <cell r="BG63">
            <v>0</v>
          </cell>
          <cell r="BH63">
            <v>0</v>
          </cell>
          <cell r="BI63">
            <v>0</v>
          </cell>
          <cell r="BJ63">
            <v>0</v>
          </cell>
          <cell r="BK63">
            <v>8.8662681606450633E-3</v>
          </cell>
          <cell r="BL63">
            <v>-3.7947695671320503E-2</v>
          </cell>
          <cell r="BM63">
            <v>-1.407181086626963E-2</v>
          </cell>
          <cell r="BN63">
            <v>1.737131887665555E-3</v>
          </cell>
          <cell r="BO63">
            <v>-8.0660323631079223E-2</v>
          </cell>
          <cell r="BP63">
            <v>-6.1644660001519469E-2</v>
          </cell>
          <cell r="BQ63">
            <v>-0.12329330032676467</v>
          </cell>
          <cell r="BR63">
            <v>-0.27041732856145018</v>
          </cell>
          <cell r="BS63">
            <v>2.6920559547647827E-2</v>
          </cell>
          <cell r="BT63">
            <v>0.53229818191849176</v>
          </cell>
          <cell r="BU63">
            <v>0.33360537910428434</v>
          </cell>
          <cell r="BV63">
            <v>0.86363239329750741</v>
          </cell>
          <cell r="BW63">
            <v>1.2302524282114291</v>
          </cell>
          <cell r="BX63">
            <v>1.5239758057601307</v>
          </cell>
          <cell r="BY63">
            <v>1.3076160954457237</v>
          </cell>
          <cell r="BZ63">
            <v>1.0337084021621195</v>
          </cell>
          <cell r="CA63">
            <v>0.59189799967145973</v>
          </cell>
          <cell r="CB63">
            <v>1.027571365438007</v>
          </cell>
          <cell r="CC63">
            <v>8.737127743779638E-2</v>
          </cell>
          <cell r="CD63">
            <v>0.86738952876316944</v>
          </cell>
          <cell r="CE63">
            <v>-4.9375279645755654</v>
          </cell>
          <cell r="CF63">
            <v>3.0984666706303869</v>
          </cell>
          <cell r="CG63">
            <v>3.0692490464588218</v>
          </cell>
          <cell r="CH63">
            <v>-1.3957941453269314</v>
          </cell>
          <cell r="CI63">
            <v>2.2529065912734723</v>
          </cell>
          <cell r="CJ63">
            <v>5.8947067379071996</v>
          </cell>
          <cell r="CK63">
            <v>5.8930259002235061</v>
          </cell>
          <cell r="CL63">
            <v>6.6747615808906176</v>
          </cell>
          <cell r="CM63">
            <v>14.643813312532984</v>
          </cell>
          <cell r="CN63">
            <v>8.4707717498075681</v>
          </cell>
          <cell r="CO63">
            <v>5.2848595261705213</v>
          </cell>
          <cell r="CP63">
            <v>4.664774975145292</v>
          </cell>
          <cell r="CQ63">
            <v>-1.0373638546054735</v>
          </cell>
          <cell r="CR63">
            <v>13.599881398686193</v>
          </cell>
          <cell r="CS63">
            <v>5.1354235794626675</v>
          </cell>
          <cell r="CT63">
            <v>-0.30331640125041304</v>
          </cell>
          <cell r="CU63">
            <v>-17.124630894167467</v>
          </cell>
          <cell r="CV63">
            <v>-4.1004487921172768</v>
          </cell>
          <cell r="CW63">
            <v>2.6318440972945609</v>
          </cell>
          <cell r="CX63">
            <v>1.2635063871264265</v>
          </cell>
          <cell r="CY63">
            <v>-20.041374430914857</v>
          </cell>
          <cell r="CZ63">
            <v>-4.7289337390902801</v>
          </cell>
          <cell r="DA63">
            <v>4.64563279322374</v>
          </cell>
          <cell r="DB63">
            <v>3.3669907507205608</v>
          </cell>
          <cell r="DC63">
            <v>-23.769853483348015</v>
          </cell>
          <cell r="DD63">
            <v>-5.530543270506314</v>
          </cell>
          <cell r="DE63">
            <v>7.2115015237100124</v>
          </cell>
          <cell r="DF63">
            <v>6.0416428901339714</v>
          </cell>
          <cell r="DG63">
            <v>-28.49690597777726</v>
          </cell>
          <cell r="DH63">
            <v>-6.5451288907452181</v>
          </cell>
          <cell r="DI63">
            <v>10.457122635075393</v>
          </cell>
          <cell r="DJ63">
            <v>9.4203180826075368</v>
          </cell>
          <cell r="DK63">
            <v>-34.454492875977849</v>
          </cell>
          <cell r="DL63">
            <v>-7.8218436324359573</v>
          </cell>
          <cell r="DM63">
            <v>14.539601224732905</v>
          </cell>
          <cell r="DN63">
            <v>13.666413889325668</v>
          </cell>
          <cell r="DP63">
            <v>0</v>
          </cell>
          <cell r="DQ63">
            <v>0</v>
          </cell>
          <cell r="DR63">
            <v>0</v>
          </cell>
          <cell r="DS63">
            <v>0</v>
          </cell>
          <cell r="DT63">
            <v>0</v>
          </cell>
          <cell r="DU63">
            <v>0</v>
          </cell>
          <cell r="DV63">
            <v>0</v>
          </cell>
          <cell r="DW63">
            <v>0</v>
          </cell>
          <cell r="DX63">
            <v>0</v>
          </cell>
          <cell r="DY63">
            <v>0</v>
          </cell>
          <cell r="DZ63">
            <v>0</v>
          </cell>
          <cell r="EA63">
            <v>0</v>
          </cell>
          <cell r="EB63">
            <v>0</v>
          </cell>
          <cell r="EC63">
            <v>0</v>
          </cell>
          <cell r="ED63">
            <v>0</v>
          </cell>
          <cell r="EE63">
            <v>-4.1416106489279514E-2</v>
          </cell>
          <cell r="EF63">
            <v>-0.53601561252081353</v>
          </cell>
          <cell r="EG63">
            <v>1.7564565138679313</v>
          </cell>
          <cell r="EH63">
            <v>5.0955527315794029</v>
          </cell>
          <cell r="EI63">
            <v>2.5742301713104325</v>
          </cell>
          <cell r="EJ63">
            <v>-0.16560639281328804</v>
          </cell>
          <cell r="EK63">
            <v>20.715400810294796</v>
          </cell>
          <cell r="EL63">
            <v>33.064219563656366</v>
          </cell>
          <cell r="EM63">
            <v>17.394624722292974</v>
          </cell>
          <cell r="EN63">
            <v>-17.329729201863756</v>
          </cell>
          <cell r="EO63">
            <v>-16.757684626060836</v>
          </cell>
          <cell r="EP63">
            <v>-16.047252340010346</v>
          </cell>
          <cell r="EQ63">
            <v>-15.164594150839548</v>
          </cell>
          <cell r="ER63">
            <v>-14.070321394355233</v>
          </cell>
        </row>
        <row r="64">
          <cell r="A64" t="str">
            <v>% delta</v>
          </cell>
          <cell r="C64" t="e">
            <v>#DIV/0!</v>
          </cell>
          <cell r="D64" t="e">
            <v>#DIV/0!</v>
          </cell>
          <cell r="E64" t="e">
            <v>#DIV/0!</v>
          </cell>
          <cell r="F64" t="e">
            <v>#DIV/0!</v>
          </cell>
          <cell r="G64" t="e">
            <v>#DIV/0!</v>
          </cell>
          <cell r="H64" t="e">
            <v>#DIV/0!</v>
          </cell>
          <cell r="I64" t="e">
            <v>#DIV/0!</v>
          </cell>
          <cell r="J64" t="e">
            <v>#DIV/0!</v>
          </cell>
          <cell r="K64" t="e">
            <v>#DIV/0!</v>
          </cell>
          <cell r="L64" t="e">
            <v>#DIV/0!</v>
          </cell>
          <cell r="M64" t="e">
            <v>#DIV/0!</v>
          </cell>
          <cell r="N64" t="e">
            <v>#DIV/0!</v>
          </cell>
          <cell r="O64" t="e">
            <v>#DIV/0!</v>
          </cell>
          <cell r="P64" t="e">
            <v>#DIV/0!</v>
          </cell>
          <cell r="Q64" t="e">
            <v>#DIV/0!</v>
          </cell>
          <cell r="R64" t="e">
            <v>#DIV/0!</v>
          </cell>
          <cell r="S64" t="e">
            <v>#DIV/0!</v>
          </cell>
          <cell r="T64" t="e">
            <v>#DIV/0!</v>
          </cell>
          <cell r="U64" t="e">
            <v>#DIV/0!</v>
          </cell>
          <cell r="V64" t="e">
            <v>#DIV/0!</v>
          </cell>
          <cell r="W64" t="e">
            <v>#DIV/0!</v>
          </cell>
          <cell r="X64" t="e">
            <v>#DIV/0!</v>
          </cell>
          <cell r="Y64" t="e">
            <v>#DIV/0!</v>
          </cell>
          <cell r="Z64" t="e">
            <v>#DIV/0!</v>
          </cell>
          <cell r="AA64" t="e">
            <v>#DIV/0!</v>
          </cell>
          <cell r="AB64" t="e">
            <v>#DIV/0!</v>
          </cell>
          <cell r="AC64" t="e">
            <v>#DIV/0!</v>
          </cell>
          <cell r="AD64" t="e">
            <v>#DIV/0!</v>
          </cell>
          <cell r="AE64" t="e">
            <v>#DIV/0!</v>
          </cell>
          <cell r="AF64" t="e">
            <v>#DIV/0!</v>
          </cell>
          <cell r="AG64" t="e">
            <v>#DIV/0!</v>
          </cell>
          <cell r="AH64" t="e">
            <v>#DIV/0!</v>
          </cell>
          <cell r="AI64" t="e">
            <v>#DIV/0!</v>
          </cell>
          <cell r="AJ64" t="e">
            <v>#DIV/0!</v>
          </cell>
          <cell r="AK64" t="e">
            <v>#DIV/0!</v>
          </cell>
          <cell r="AL64" t="e">
            <v>#DIV/0!</v>
          </cell>
          <cell r="AM64" t="e">
            <v>#DIV/0!</v>
          </cell>
          <cell r="AN64" t="e">
            <v>#DIV/0!</v>
          </cell>
          <cell r="AO64" t="e">
            <v>#DIV/0!</v>
          </cell>
          <cell r="AP64" t="e">
            <v>#DIV/0!</v>
          </cell>
          <cell r="AQ64" t="e">
            <v>#DIV/0!</v>
          </cell>
          <cell r="AR64" t="e">
            <v>#DIV/0!</v>
          </cell>
          <cell r="AS64" t="e">
            <v>#DIV/0!</v>
          </cell>
          <cell r="AT64" t="e">
            <v>#DIV/0!</v>
          </cell>
          <cell r="AU64" t="e">
            <v>#DIV/0!</v>
          </cell>
          <cell r="AV64" t="e">
            <v>#DIV/0!</v>
          </cell>
          <cell r="AW64">
            <v>0</v>
          </cell>
          <cell r="AX64">
            <v>0</v>
          </cell>
          <cell r="AY64">
            <v>0</v>
          </cell>
          <cell r="AZ64">
            <v>0</v>
          </cell>
          <cell r="BA64">
            <v>0</v>
          </cell>
          <cell r="BB64">
            <v>0</v>
          </cell>
          <cell r="BC64">
            <v>0</v>
          </cell>
          <cell r="BD64">
            <v>0</v>
          </cell>
          <cell r="BE64">
            <v>0</v>
          </cell>
          <cell r="BF64">
            <v>0</v>
          </cell>
          <cell r="BG64">
            <v>0</v>
          </cell>
          <cell r="BH64">
            <v>0</v>
          </cell>
          <cell r="BI64">
            <v>0</v>
          </cell>
          <cell r="BJ64">
            <v>0</v>
          </cell>
          <cell r="BK64">
            <v>1.2391859549087947E-4</v>
          </cell>
          <cell r="BL64">
            <v>-4.7190439915889559E-4</v>
          </cell>
          <cell r="BM64">
            <v>-1.5129991614837301E-4</v>
          </cell>
          <cell r="BN64">
            <v>1.6563632610155921E-5</v>
          </cell>
          <cell r="BO64">
            <v>-6.8672998311725131E-4</v>
          </cell>
          <cell r="BP64">
            <v>-4.6424190023974798E-4</v>
          </cell>
          <cell r="BQ64">
            <v>-8.1927742728704622E-4</v>
          </cell>
          <cell r="BR64">
            <v>-1.619057800410606E-3</v>
          </cell>
          <cell r="BS64">
            <v>1.4965837035085805E-4</v>
          </cell>
          <cell r="BT64">
            <v>2.6624400452659458E-3</v>
          </cell>
          <cell r="BU64">
            <v>1.4968313415801848E-3</v>
          </cell>
          <cell r="BV64">
            <v>3.5418232240238545E-3</v>
          </cell>
          <cell r="BW64">
            <v>4.6216775667684562E-3</v>
          </cell>
          <cell r="BX64">
            <v>5.2704455335226275E-3</v>
          </cell>
          <cell r="BY64">
            <v>4.1168371448596641E-3</v>
          </cell>
          <cell r="BZ64">
            <v>3.0087246407559665E-3</v>
          </cell>
          <cell r="CA64">
            <v>1.5294834096406529E-3</v>
          </cell>
          <cell r="CB64">
            <v>2.5584106044527211E-3</v>
          </cell>
          <cell r="CC64">
            <v>1.9440955904781454E-4</v>
          </cell>
          <cell r="CD64">
            <v>1.7387064111551442E-3</v>
          </cell>
          <cell r="CE64">
            <v>-9.0057731702112287E-3</v>
          </cell>
          <cell r="CF64">
            <v>5.3221475587106326E-3</v>
          </cell>
          <cell r="CG64">
            <v>4.9226305014973271E-3</v>
          </cell>
          <cell r="CH64">
            <v>-2.0909683773323584E-3</v>
          </cell>
          <cell r="CI64">
            <v>3.053823410393397E-3</v>
          </cell>
          <cell r="CJ64">
            <v>7.6051479015519785E-3</v>
          </cell>
          <cell r="CK64">
            <v>7.1084502300120533E-3</v>
          </cell>
          <cell r="CL64">
            <v>7.4785632550771197E-3</v>
          </cell>
          <cell r="CM64">
            <v>1.4941779489673124E-2</v>
          </cell>
          <cell r="CN64">
            <v>8.4114105059609479E-3</v>
          </cell>
          <cell r="CO64">
            <v>4.8658999877901898E-3</v>
          </cell>
          <cell r="CP64">
            <v>3.9548205240220735E-3</v>
          </cell>
          <cell r="CQ64">
            <v>-8.1027943944589342E-4</v>
          </cell>
          <cell r="CR64">
            <v>1.0115186367313456E-2</v>
          </cell>
          <cell r="CS64">
            <v>3.6984250508564909E-3</v>
          </cell>
          <cell r="CT64">
            <v>-2.0672828212831007E-4</v>
          </cell>
          <cell r="CU64">
            <v>-1.0837527497837285E-2</v>
          </cell>
          <cell r="CV64">
            <v>-2.4480492345455573E-3</v>
          </cell>
          <cell r="CW64">
            <v>1.4849438310262641E-3</v>
          </cell>
          <cell r="CX64">
            <v>6.6803337296850174E-4</v>
          </cell>
          <cell r="CY64">
            <v>-9.8341925314889833E-3</v>
          </cell>
          <cell r="CZ64">
            <v>-2.1812334583629633E-3</v>
          </cell>
          <cell r="DA64">
            <v>2.022209664136021E-3</v>
          </cell>
          <cell r="DB64">
            <v>1.3839117010647772E-3</v>
          </cell>
          <cell r="DC64">
            <v>-9.1536551977364766E-3</v>
          </cell>
          <cell r="DD64">
            <v>-1.9975049236393705E-3</v>
          </cell>
          <cell r="DE64">
            <v>2.4556279305318895E-3</v>
          </cell>
          <cell r="DF64">
            <v>1.9534815634774105E-3</v>
          </cell>
          <cell r="DG64">
            <v>-8.6947103990479002E-3</v>
          </cell>
          <cell r="DH64">
            <v>-1.8704106569048529E-3</v>
          </cell>
          <cell r="DI64">
            <v>2.8154346378193029E-3</v>
          </cell>
          <cell r="DJ64">
            <v>2.4184790690227054E-3</v>
          </cell>
          <cell r="DK64">
            <v>-8.3931058755136734E-3</v>
          </cell>
          <cell r="DL64">
            <v>-1.7833671680261842E-3</v>
          </cell>
          <cell r="DM64">
            <v>3.1216691795763474E-3</v>
          </cell>
          <cell r="DN64">
            <v>2.806889998171247E-3</v>
          </cell>
          <cell r="DP64" t="e">
            <v>#DIV/0!</v>
          </cell>
          <cell r="DQ64" t="e">
            <v>#DIV/0!</v>
          </cell>
          <cell r="DR64" t="e">
            <v>#DIV/0!</v>
          </cell>
          <cell r="DS64" t="e">
            <v>#DIV/0!</v>
          </cell>
          <cell r="DT64" t="e">
            <v>#DIV/0!</v>
          </cell>
          <cell r="DU64" t="e">
            <v>#DIV/0!</v>
          </cell>
          <cell r="DV64" t="e">
            <v>#DIV/0!</v>
          </cell>
          <cell r="DW64" t="e">
            <v>#DIV/0!</v>
          </cell>
          <cell r="DX64" t="e">
            <v>#DIV/0!</v>
          </cell>
          <cell r="DY64" t="e">
            <v>#DIV/0!</v>
          </cell>
          <cell r="DZ64" t="e">
            <v>#DIV/0!</v>
          </cell>
          <cell r="EA64">
            <v>0</v>
          </cell>
          <cell r="EB64">
            <v>0</v>
          </cell>
          <cell r="EC64">
            <v>0</v>
          </cell>
          <cell r="ED64">
            <v>0</v>
          </cell>
          <cell r="EE64">
            <v>-1.1838401929120668E-4</v>
          </cell>
          <cell r="EF64">
            <v>-9.4409998323397026E-4</v>
          </cell>
          <cell r="EG64">
            <v>2.0749105883761665E-3</v>
          </cell>
          <cell r="EH64">
            <v>4.1885497332796451E-3</v>
          </cell>
          <cell r="EI64">
            <v>1.4820611312389431E-3</v>
          </cell>
          <cell r="EJ64">
            <v>-6.8390607447788021E-5</v>
          </cell>
          <cell r="EK64">
            <v>6.4047841793311022E-3</v>
          </cell>
          <cell r="EL64">
            <v>7.7748171048415138E-3</v>
          </cell>
          <cell r="EM64">
            <v>3.1738994332928261E-3</v>
          </cell>
          <cell r="EN64">
            <v>-2.5047143955940765E-3</v>
          </cell>
          <cell r="EO64">
            <v>-1.8752597143587568E-3</v>
          </cell>
          <cell r="EP64">
            <v>-1.4082754376658624E-3</v>
          </cell>
          <cell r="EQ64">
            <v>-1.0541104003222168E-3</v>
          </cell>
          <cell r="ER64">
            <v>-7.8092052940803569E-4</v>
          </cell>
        </row>
        <row r="65">
          <cell r="A65" t="str">
            <v>% of revenues</v>
          </cell>
          <cell r="C65" t="str">
            <v>NA</v>
          </cell>
          <cell r="D65" t="str">
            <v>NA</v>
          </cell>
          <cell r="E65" t="str">
            <v>NA</v>
          </cell>
          <cell r="F65" t="str">
            <v>NA</v>
          </cell>
          <cell r="G65" t="str">
            <v>NA</v>
          </cell>
          <cell r="H65" t="str">
            <v>NA</v>
          </cell>
          <cell r="I65" t="str">
            <v>NA</v>
          </cell>
          <cell r="J65" t="str">
            <v>NA</v>
          </cell>
          <cell r="K65" t="str">
            <v>NA</v>
          </cell>
          <cell r="L65" t="str">
            <v>NA</v>
          </cell>
          <cell r="M65" t="str">
            <v>NA</v>
          </cell>
          <cell r="N65" t="str">
            <v>NA</v>
          </cell>
          <cell r="O65" t="str">
            <v>NA</v>
          </cell>
          <cell r="P65" t="str">
            <v>NA</v>
          </cell>
          <cell r="Q65" t="str">
            <v>NA</v>
          </cell>
          <cell r="R65" t="str">
            <v>NA</v>
          </cell>
          <cell r="S65" t="str">
            <v>NA</v>
          </cell>
          <cell r="T65" t="str">
            <v>NA</v>
          </cell>
          <cell r="U65" t="str">
            <v>NA</v>
          </cell>
          <cell r="V65" t="str">
            <v>NA</v>
          </cell>
          <cell r="W65" t="str">
            <v>NA</v>
          </cell>
          <cell r="X65" t="str">
            <v>NA</v>
          </cell>
          <cell r="Y65" t="str">
            <v>NA</v>
          </cell>
          <cell r="Z65" t="str">
            <v>NA</v>
          </cell>
          <cell r="AA65" t="str">
            <v>NA</v>
          </cell>
          <cell r="AB65" t="str">
            <v>NA</v>
          </cell>
          <cell r="AC65" t="str">
            <v>NA</v>
          </cell>
          <cell r="AD65" t="str">
            <v>NA</v>
          </cell>
          <cell r="AE65" t="str">
            <v>NA</v>
          </cell>
          <cell r="AF65" t="str">
            <v>NA</v>
          </cell>
          <cell r="AG65" t="str">
            <v>NA</v>
          </cell>
          <cell r="AH65" t="str">
            <v>NA</v>
          </cell>
          <cell r="AI65" t="str">
            <v>NA</v>
          </cell>
          <cell r="AJ65" t="str">
            <v>NA</v>
          </cell>
          <cell r="AK65" t="str">
            <v>NA</v>
          </cell>
          <cell r="AL65" t="str">
            <v>NA</v>
          </cell>
          <cell r="AM65" t="str">
            <v>NA</v>
          </cell>
          <cell r="AN65">
            <v>0</v>
          </cell>
          <cell r="AO65" t="str">
            <v>NA</v>
          </cell>
          <cell r="AP65" t="str">
            <v>NA</v>
          </cell>
          <cell r="AQ65" t="str">
            <v>NA</v>
          </cell>
          <cell r="AR65">
            <v>0</v>
          </cell>
          <cell r="AS65" t="str">
            <v>NA</v>
          </cell>
          <cell r="AT65" t="str">
            <v>NA</v>
          </cell>
          <cell r="AU65" t="str">
            <v>NA</v>
          </cell>
          <cell r="AV65" t="str">
            <v>NA</v>
          </cell>
          <cell r="AW65">
            <v>0.9302264349657714</v>
          </cell>
          <cell r="AX65">
            <v>0.93598115833422535</v>
          </cell>
          <cell r="AY65">
            <v>0.93709364181372967</v>
          </cell>
          <cell r="AZ65">
            <v>0.90527907616167169</v>
          </cell>
          <cell r="BA65">
            <v>0.89306811332127789</v>
          </cell>
          <cell r="BB65">
            <v>0.86045422617653944</v>
          </cell>
          <cell r="BC65">
            <v>0.84182135491036014</v>
          </cell>
          <cell r="BD65">
            <v>0.84029698515247209</v>
          </cell>
          <cell r="BE65">
            <v>0.88694914758604548</v>
          </cell>
          <cell r="BF65">
            <v>0.8820001020981163</v>
          </cell>
          <cell r="BG65">
            <v>0.8336530960764057</v>
          </cell>
          <cell r="BH65">
            <v>0.82467326593158841</v>
          </cell>
          <cell r="BI65">
            <v>0.85910327142746146</v>
          </cell>
          <cell r="BJ65">
            <v>0.83667278678055401</v>
          </cell>
          <cell r="BK65">
            <v>0.83266037538253879</v>
          </cell>
          <cell r="BL65">
            <v>0.78628866584492574</v>
          </cell>
          <cell r="BM65">
            <v>0.83581552953019533</v>
          </cell>
          <cell r="BN65">
            <v>0.83748303122255052</v>
          </cell>
          <cell r="BO65">
            <v>0.84387806456251346</v>
          </cell>
          <cell r="BP65">
            <v>0.79591261536247349</v>
          </cell>
          <cell r="BQ65">
            <v>0.84139285554411569</v>
          </cell>
          <cell r="BR65">
            <v>0.84215975434839696</v>
          </cell>
          <cell r="BS65">
            <v>0.84876205393368687</v>
          </cell>
          <cell r="BT65">
            <v>0.81251722628447287</v>
          </cell>
          <cell r="BU65">
            <v>0.8547118514263834</v>
          </cell>
          <cell r="BV65">
            <v>0.85664974619289347</v>
          </cell>
          <cell r="BW65">
            <v>0.87427381415527061</v>
          </cell>
          <cell r="BX65">
            <v>0.85165186105381585</v>
          </cell>
          <cell r="BY65">
            <v>0.89173395665108379</v>
          </cell>
          <cell r="BZ65">
            <v>0.8935296344505349</v>
          </cell>
          <cell r="CA65">
            <v>0.90394173113386866</v>
          </cell>
          <cell r="CB65">
            <v>0.89830410165574293</v>
          </cell>
          <cell r="CC65">
            <v>0.91293980973735311</v>
          </cell>
          <cell r="CD65">
            <v>0.91011540850092798</v>
          </cell>
          <cell r="CE65">
            <v>0.92210575979851395</v>
          </cell>
          <cell r="CF65">
            <v>0.92746444055678101</v>
          </cell>
          <cell r="CG65">
            <v>0.93087177628187323</v>
          </cell>
          <cell r="CH65">
            <v>0.93108865720583522</v>
          </cell>
          <cell r="CI65">
            <v>0.93796629848680368</v>
          </cell>
          <cell r="CJ65">
            <v>0.93654545367332453</v>
          </cell>
          <cell r="CK65">
            <v>0.94251399530159752</v>
          </cell>
          <cell r="CL65">
            <v>0.94475579286679401</v>
          </cell>
          <cell r="CM65">
            <v>0.95064892864652029</v>
          </cell>
          <cell r="CN65">
            <v>0.94834532078495237</v>
          </cell>
          <cell r="CO65">
            <v>0.94740670780192571</v>
          </cell>
          <cell r="CP65">
            <v>0.94709476698151696</v>
          </cell>
          <cell r="CQ65">
            <v>0.95354020794502059</v>
          </cell>
          <cell r="CR65">
            <v>0.95485353727887223</v>
          </cell>
          <cell r="CS65">
            <v>0.95462152563071978</v>
          </cell>
          <cell r="CT65">
            <v>0.95552699758735293</v>
          </cell>
          <cell r="CU65">
            <v>0.95692779926253668</v>
          </cell>
          <cell r="CV65">
            <v>0.95857525907173924</v>
          </cell>
          <cell r="CW65">
            <v>0.95973509578674066</v>
          </cell>
          <cell r="CX65">
            <v>0.96087920160370976</v>
          </cell>
          <cell r="CY65">
            <v>0.9619432530786225</v>
          </cell>
          <cell r="CZ65">
            <v>0.96335500170858701</v>
          </cell>
          <cell r="DA65">
            <v>0.96434749085452898</v>
          </cell>
          <cell r="DB65">
            <v>0.96509333721329504</v>
          </cell>
          <cell r="DC65">
            <v>0.96574832155570522</v>
          </cell>
          <cell r="DD65">
            <v>0.96710760487107073</v>
          </cell>
          <cell r="DE65">
            <v>0.96807786262813211</v>
          </cell>
          <cell r="DF65">
            <v>0.96861933105235998</v>
          </cell>
          <cell r="DG65">
            <v>0.96903511895407746</v>
          </cell>
          <cell r="DH65">
            <v>0.97034930108904238</v>
          </cell>
          <cell r="DI65">
            <v>0.97130297297986556</v>
          </cell>
          <cell r="DJ65">
            <v>0.97171805883547213</v>
          </cell>
          <cell r="DK65">
            <v>0.97196408014049784</v>
          </cell>
          <cell r="DL65">
            <v>0.97317987125798022</v>
          </cell>
          <cell r="DM65">
            <v>0.97407907372986957</v>
          </cell>
          <cell r="DN65">
            <v>0.97439589982332442</v>
          </cell>
          <cell r="DP65" t="str">
            <v>NA</v>
          </cell>
          <cell r="DQ65" t="str">
            <v>NA</v>
          </cell>
          <cell r="DR65" t="str">
            <v>NA</v>
          </cell>
          <cell r="DS65" t="str">
            <v>NA</v>
          </cell>
          <cell r="DT65" t="str">
            <v>NA</v>
          </cell>
          <cell r="DU65" t="str">
            <v>NA</v>
          </cell>
          <cell r="DV65" t="str">
            <v>NA</v>
          </cell>
          <cell r="DW65" t="str">
            <v>NA</v>
          </cell>
          <cell r="DX65" t="str">
            <v>NA</v>
          </cell>
          <cell r="DY65" t="str">
            <v>NA</v>
          </cell>
          <cell r="DZ65">
            <v>0</v>
          </cell>
          <cell r="EA65">
            <v>0.56460714285714286</v>
          </cell>
          <cell r="EB65">
            <v>0.89310805769709034</v>
          </cell>
          <cell r="EC65">
            <v>0.86581111143705658</v>
          </cell>
          <cell r="ED65">
            <v>0.83921185661764697</v>
          </cell>
          <cell r="EE65">
            <v>0.8237466148592959</v>
          </cell>
          <cell r="EF65">
            <v>0.83101047082833379</v>
          </cell>
          <cell r="EG65">
            <v>0.84365477185026072</v>
          </cell>
          <cell r="EH65">
            <v>0.87855273557313029</v>
          </cell>
          <cell r="EI65">
            <v>0.90670077675510086</v>
          </cell>
          <cell r="EJ65">
            <v>0.9281271657334208</v>
          </cell>
          <cell r="EK65">
            <v>0.94065547212678624</v>
          </cell>
          <cell r="EL65">
            <v>0.94829343349816064</v>
          </cell>
          <cell r="EM65">
            <v>0.95466831031136801</v>
          </cell>
          <cell r="EN65">
            <v>0.95913007927097271</v>
          </cell>
          <cell r="EO65">
            <v>0.96376516765999609</v>
          </cell>
          <cell r="EP65">
            <v>0.96746175671884393</v>
          </cell>
          <cell r="EQ65">
            <v>0.97067018710259412</v>
          </cell>
          <cell r="ER65">
            <v>0.97346723423019332</v>
          </cell>
        </row>
        <row r="66">
          <cell r="A66" t="str">
            <v>% growth y-o-y</v>
          </cell>
          <cell r="C66" t="str">
            <v>NA</v>
          </cell>
          <cell r="D66" t="str">
            <v>NA</v>
          </cell>
          <cell r="E66" t="str">
            <v>NA</v>
          </cell>
          <cell r="F66" t="str">
            <v>NA</v>
          </cell>
          <cell r="G66" t="str">
            <v>NA</v>
          </cell>
          <cell r="H66" t="str">
            <v>NA</v>
          </cell>
          <cell r="I66" t="str">
            <v>NA</v>
          </cell>
          <cell r="J66" t="str">
            <v>NA</v>
          </cell>
          <cell r="K66" t="str">
            <v>NA</v>
          </cell>
          <cell r="L66" t="str">
            <v>NA</v>
          </cell>
          <cell r="M66" t="str">
            <v>NA</v>
          </cell>
          <cell r="N66" t="str">
            <v>NA</v>
          </cell>
          <cell r="O66" t="str">
            <v>NA</v>
          </cell>
          <cell r="P66" t="str">
            <v>NA</v>
          </cell>
          <cell r="Q66" t="str">
            <v>NA</v>
          </cell>
          <cell r="R66" t="str">
            <v>NA</v>
          </cell>
          <cell r="S66" t="str">
            <v>NA</v>
          </cell>
          <cell r="T66" t="str">
            <v>NA</v>
          </cell>
          <cell r="U66" t="str">
            <v>NA</v>
          </cell>
          <cell r="V66" t="str">
            <v>NA</v>
          </cell>
          <cell r="W66" t="str">
            <v>NA</v>
          </cell>
          <cell r="X66" t="str">
            <v>NA</v>
          </cell>
          <cell r="Y66" t="str">
            <v>NA</v>
          </cell>
          <cell r="Z66" t="str">
            <v>NA</v>
          </cell>
          <cell r="AA66" t="str">
            <v>NA</v>
          </cell>
          <cell r="AB66" t="str">
            <v>NA</v>
          </cell>
          <cell r="AC66" t="str">
            <v>NA</v>
          </cell>
          <cell r="AD66" t="str">
            <v>NA</v>
          </cell>
          <cell r="AE66" t="str">
            <v>NA</v>
          </cell>
          <cell r="AF66" t="str">
            <v>NA</v>
          </cell>
          <cell r="AG66" t="str">
            <v>NA</v>
          </cell>
          <cell r="AH66" t="str">
            <v>NA</v>
          </cell>
          <cell r="AI66" t="str">
            <v>NA</v>
          </cell>
          <cell r="AJ66" t="str">
            <v>NA</v>
          </cell>
          <cell r="AK66" t="str">
            <v>NA</v>
          </cell>
          <cell r="AL66" t="str">
            <v>NA</v>
          </cell>
          <cell r="AM66" t="str">
            <v>NA</v>
          </cell>
          <cell r="AN66" t="str">
            <v>NA</v>
          </cell>
          <cell r="AO66" t="str">
            <v>NA</v>
          </cell>
          <cell r="AP66" t="str">
            <v>NA</v>
          </cell>
          <cell r="AQ66" t="str">
            <v>NA</v>
          </cell>
          <cell r="AR66" t="str">
            <v>NA</v>
          </cell>
          <cell r="AS66" t="str">
            <v>NA</v>
          </cell>
          <cell r="AT66" t="str">
            <v>NA</v>
          </cell>
          <cell r="AU66" t="str">
            <v>NA</v>
          </cell>
          <cell r="AV66" t="str">
            <v>NA</v>
          </cell>
          <cell r="AW66" t="str">
            <v>NA</v>
          </cell>
          <cell r="AX66" t="str">
            <v>NA</v>
          </cell>
          <cell r="AY66" t="str">
            <v>NA</v>
          </cell>
          <cell r="AZ66" t="str">
            <v>NA</v>
          </cell>
          <cell r="BA66" t="str">
            <v>NA</v>
          </cell>
          <cell r="BB66" t="str">
            <v>NA</v>
          </cell>
          <cell r="BC66">
            <v>0.91241665164894559</v>
          </cell>
          <cell r="BD66">
            <v>0.8812470007593014</v>
          </cell>
          <cell r="BE66">
            <v>1.0471787257019436</v>
          </cell>
          <cell r="BF66">
            <v>0.8805442176870748</v>
          </cell>
          <cell r="BG66">
            <v>0.86303241613267989</v>
          </cell>
          <cell r="BH66">
            <v>0.88973024443834281</v>
          </cell>
          <cell r="BI66">
            <v>0.8225248096007387</v>
          </cell>
          <cell r="BJ66">
            <v>0.81988134857473605</v>
          </cell>
          <cell r="BK66">
            <v>0.80971649680078928</v>
          </cell>
          <cell r="BL66">
            <v>0.71670226398974801</v>
          </cell>
          <cell r="BM66">
            <v>0.68223014164510931</v>
          </cell>
          <cell r="BN66">
            <v>0.66774798842349647</v>
          </cell>
          <cell r="BO66">
            <v>0.64027781659632721</v>
          </cell>
          <cell r="BP66">
            <v>0.65128894197272791</v>
          </cell>
          <cell r="BQ66">
            <v>0.6169885581555401</v>
          </cell>
          <cell r="BR66">
            <v>0.58995213486145803</v>
          </cell>
          <cell r="BS66">
            <v>0.53275399361022369</v>
          </cell>
          <cell r="BT66">
            <v>0.51035984448931648</v>
          </cell>
          <cell r="BU66">
            <v>0.48442144885513461</v>
          </cell>
          <cell r="BV66">
            <v>0.46746946045301074</v>
          </cell>
          <cell r="BW66">
            <v>0.4864457747614046</v>
          </cell>
          <cell r="BX66">
            <v>0.45005262869086726</v>
          </cell>
          <cell r="BY66">
            <v>0.4288645568259204</v>
          </cell>
          <cell r="BZ66">
            <v>0.40825984258404091</v>
          </cell>
          <cell r="CA66">
            <v>0.44933475929429867</v>
          </cell>
          <cell r="CB66">
            <v>0.3852806704302687</v>
          </cell>
          <cell r="CC66">
            <v>0.40940131814105718</v>
          </cell>
          <cell r="CD66">
            <v>0.45018049703427709</v>
          </cell>
          <cell r="CE66">
            <v>0.40182515274108344</v>
          </cell>
          <cell r="CF66">
            <v>0.45349564906425077</v>
          </cell>
          <cell r="CG66">
            <v>0.39390130498814258</v>
          </cell>
          <cell r="CH66">
            <v>0.33297647967534982</v>
          </cell>
          <cell r="CI66">
            <v>0.36195831224405262</v>
          </cell>
          <cell r="CJ66">
            <v>0.3343806917007528</v>
          </cell>
          <cell r="CK66">
            <v>0.33251511809590983</v>
          </cell>
          <cell r="CL66">
            <v>0.34985941372596407</v>
          </cell>
          <cell r="CM66">
            <v>0.34421732303043573</v>
          </cell>
          <cell r="CN66">
            <v>0.30031024764753411</v>
          </cell>
          <cell r="CO66">
            <v>0.30718999652657164</v>
          </cell>
          <cell r="CP66">
            <v>0.31693605606798991</v>
          </cell>
          <cell r="CQ66">
            <v>0.28603047127673031</v>
          </cell>
          <cell r="CR66">
            <v>0.33733506019033621</v>
          </cell>
          <cell r="CS66">
            <v>0.27698063966770103</v>
          </cell>
          <cell r="CT66">
            <v>0.23876270003904265</v>
          </cell>
          <cell r="CU66">
            <v>0.22184013973583427</v>
          </cell>
          <cell r="CV66">
            <v>0.23031022745307883</v>
          </cell>
          <cell r="CW66">
            <v>0.27359652671680568</v>
          </cell>
          <cell r="CX66">
            <v>0.29021801133043201</v>
          </cell>
          <cell r="CY66">
            <v>0.29103519600641659</v>
          </cell>
          <cell r="CZ66">
            <v>0.2946905521799057</v>
          </cell>
          <cell r="DA66">
            <v>0.29688506045570606</v>
          </cell>
          <cell r="DB66">
            <v>0.28725575708609652</v>
          </cell>
          <cell r="DC66">
            <v>0.2750920750154271</v>
          </cell>
          <cell r="DD66">
            <v>0.27731736798631279</v>
          </cell>
          <cell r="DE66">
            <v>0.27888722365913554</v>
          </cell>
          <cell r="DF66">
            <v>0.2719180822467091</v>
          </cell>
          <cell r="DG66">
            <v>0.26273362330127603</v>
          </cell>
          <cell r="DH66">
            <v>0.26402773228670906</v>
          </cell>
          <cell r="DI66">
            <v>0.26520082953389124</v>
          </cell>
          <cell r="DJ66">
            <v>0.26002454436983746</v>
          </cell>
          <cell r="DK66">
            <v>0.25288925929127881</v>
          </cell>
          <cell r="DL66">
            <v>0.25350190782216431</v>
          </cell>
          <cell r="DM66">
            <v>0.2543867826935835</v>
          </cell>
          <cell r="DN66">
            <v>0.25047262080216148</v>
          </cell>
          <cell r="DP66" t="str">
            <v>NA</v>
          </cell>
          <cell r="DQ66" t="str">
            <v>NA</v>
          </cell>
          <cell r="DR66" t="str">
            <v>NA</v>
          </cell>
          <cell r="DS66" t="str">
            <v>NA</v>
          </cell>
          <cell r="DT66" t="str">
            <v>NA</v>
          </cell>
          <cell r="DU66" t="str">
            <v>NA</v>
          </cell>
          <cell r="DV66" t="str">
            <v>NA</v>
          </cell>
          <cell r="DW66" t="str">
            <v>NA</v>
          </cell>
          <cell r="DX66" t="str">
            <v>NA</v>
          </cell>
          <cell r="DY66" t="str">
            <v>NA</v>
          </cell>
          <cell r="DZ66" t="str">
            <v>NA</v>
          </cell>
          <cell r="EA66" t="str">
            <v>NA</v>
          </cell>
          <cell r="EB66">
            <v>2.6345752419507873</v>
          </cell>
          <cell r="EC66">
            <v>0.92982862562870894</v>
          </cell>
          <cell r="ED66">
            <v>0.84447051545892293</v>
          </cell>
          <cell r="EE66">
            <v>0.7103155589020469</v>
          </cell>
          <cell r="EF66">
            <v>0.62152805571119818</v>
          </cell>
          <cell r="EG66">
            <v>0.4955087735381698</v>
          </cell>
          <cell r="EH66">
            <v>0.44013990696446226</v>
          </cell>
          <cell r="EI66">
            <v>0.42390673513206445</v>
          </cell>
          <cell r="EJ66">
            <v>0.39195918367346927</v>
          </cell>
          <cell r="EK66">
            <v>0.34434457668215535</v>
          </cell>
          <cell r="EL66">
            <v>0.31664915045072672</v>
          </cell>
          <cell r="EM66">
            <v>0.28282238429495932</v>
          </cell>
          <cell r="EN66">
            <v>0.25529642036904932</v>
          </cell>
          <cell r="EO66">
            <v>0.29238822691058242</v>
          </cell>
          <cell r="EP66">
            <v>0.2757442819950322</v>
          </cell>
          <cell r="EQ66">
            <v>0.26294843129000012</v>
          </cell>
          <cell r="ER66">
            <v>0.25276969181747067</v>
          </cell>
        </row>
        <row r="67">
          <cell r="A67" t="str">
            <v>% growth seq</v>
          </cell>
          <cell r="C67" t="str">
            <v>NA</v>
          </cell>
          <cell r="D67" t="str">
            <v>NA</v>
          </cell>
          <cell r="E67" t="str">
            <v>NA</v>
          </cell>
          <cell r="F67" t="str">
            <v>NA</v>
          </cell>
          <cell r="G67" t="str">
            <v>NA</v>
          </cell>
          <cell r="H67" t="str">
            <v>NA</v>
          </cell>
          <cell r="I67" t="str">
            <v>NA</v>
          </cell>
          <cell r="J67" t="str">
            <v>NA</v>
          </cell>
          <cell r="K67" t="str">
            <v>NA</v>
          </cell>
          <cell r="L67" t="str">
            <v>NA</v>
          </cell>
          <cell r="M67" t="str">
            <v>NA</v>
          </cell>
          <cell r="N67" t="str">
            <v>NA</v>
          </cell>
          <cell r="O67" t="str">
            <v>NA</v>
          </cell>
          <cell r="P67" t="str">
            <v>NA</v>
          </cell>
          <cell r="Q67" t="str">
            <v>NA</v>
          </cell>
          <cell r="R67" t="str">
            <v>NA</v>
          </cell>
          <cell r="S67" t="str">
            <v>NA</v>
          </cell>
          <cell r="T67" t="str">
            <v>NA</v>
          </cell>
          <cell r="U67" t="str">
            <v>NA</v>
          </cell>
          <cell r="V67" t="str">
            <v>NA</v>
          </cell>
          <cell r="W67" t="str">
            <v>NA</v>
          </cell>
          <cell r="X67" t="str">
            <v>NA</v>
          </cell>
          <cell r="Y67" t="str">
            <v>NA</v>
          </cell>
          <cell r="Z67" t="str">
            <v>NA</v>
          </cell>
          <cell r="AA67" t="str">
            <v>NA</v>
          </cell>
          <cell r="AB67" t="str">
            <v>NA</v>
          </cell>
          <cell r="AC67" t="str">
            <v>NA</v>
          </cell>
          <cell r="AD67" t="str">
            <v>NA</v>
          </cell>
          <cell r="AE67" t="str">
            <v>NA</v>
          </cell>
          <cell r="AF67" t="str">
            <v>NA</v>
          </cell>
          <cell r="AG67" t="str">
            <v>NA</v>
          </cell>
          <cell r="AH67" t="str">
            <v>NA</v>
          </cell>
          <cell r="AI67" t="str">
            <v>NA</v>
          </cell>
          <cell r="AJ67" t="str">
            <v>NA</v>
          </cell>
          <cell r="AK67" t="str">
            <v>NA</v>
          </cell>
          <cell r="AL67" t="str">
            <v>NA</v>
          </cell>
          <cell r="AM67" t="str">
            <v>NA</v>
          </cell>
          <cell r="AN67" t="str">
            <v>NA</v>
          </cell>
          <cell r="AO67" t="str">
            <v>NA</v>
          </cell>
          <cell r="AP67" t="str">
            <v>NA</v>
          </cell>
          <cell r="AQ67" t="str">
            <v>NA</v>
          </cell>
          <cell r="AR67" t="str">
            <v>NA</v>
          </cell>
          <cell r="AS67" t="str">
            <v>NA</v>
          </cell>
          <cell r="AT67" t="str">
            <v>NA</v>
          </cell>
          <cell r="AU67" t="str">
            <v>NA</v>
          </cell>
          <cell r="AV67" t="str">
            <v>NA</v>
          </cell>
          <cell r="AW67" t="str">
            <v>NA</v>
          </cell>
          <cell r="AX67">
            <v>0.23733371072742715</v>
          </cell>
          <cell r="AY67">
            <v>0.26935834381791146</v>
          </cell>
          <cell r="AZ67">
            <v>0.18670030636150647</v>
          </cell>
          <cell r="BA67">
            <v>0.1249810174639332</v>
          </cell>
          <cell r="BB67">
            <v>0.24021328293736488</v>
          </cell>
          <cell r="BC67">
            <v>0.1550476190476191</v>
          </cell>
          <cell r="BD67">
            <v>0.16735879193365988</v>
          </cell>
          <cell r="BE67">
            <v>0.22420777539639847</v>
          </cell>
          <cell r="BF67">
            <v>0.13926345982658006</v>
          </cell>
          <cell r="BG67">
            <v>0.14429170886991738</v>
          </cell>
          <cell r="BH67">
            <v>0.18408740294883796</v>
          </cell>
          <cell r="BI67">
            <v>0.18067065356685186</v>
          </cell>
          <cell r="BJ67">
            <v>0.13761102769586997</v>
          </cell>
          <cell r="BK67">
            <v>0.13790032757688531</v>
          </cell>
          <cell r="BL67">
            <v>0.12322870957824428</v>
          </cell>
          <cell r="BM67">
            <v>0.15696227729670542</v>
          </cell>
          <cell r="BN67">
            <v>0.1278174466620785</v>
          </cell>
          <cell r="BO67">
            <v>0.11915749728255687</v>
          </cell>
          <cell r="BP67">
            <v>0.13076890308839184</v>
          </cell>
          <cell r="BQ67">
            <v>0.13292999005454931</v>
          </cell>
          <cell r="BR67">
            <v>0.10896007767661797</v>
          </cell>
          <cell r="BS67">
            <v>7.8896078584236307E-2</v>
          </cell>
          <cell r="BT67">
            <v>0.11424791697932823</v>
          </cell>
          <cell r="BU67">
            <v>0.1134734437122431</v>
          </cell>
          <cell r="BV67">
            <v>9.6295831690620393E-2</v>
          </cell>
          <cell r="BW67">
            <v>9.2847626909465575E-2</v>
          </cell>
          <cell r="BX67">
            <v>8.6967414797585629E-2</v>
          </cell>
          <cell r="BY67">
            <v>9.7203444349265089E-2</v>
          </cell>
          <cell r="BZ67">
            <v>8.0486871891989997E-2</v>
          </cell>
          <cell r="CA67">
            <v>0.12472287030910856</v>
          </cell>
          <cell r="CB67">
            <v>3.8928335535006742E-2</v>
          </cell>
          <cell r="CC67">
            <v>0.11630806214487222</v>
          </cell>
          <cell r="CD67">
            <v>0.11174934261166714</v>
          </cell>
          <cell r="CE67">
            <v>8.7219703124437276E-2</v>
          </cell>
          <cell r="CF67">
            <v>7.7222656789214472E-2</v>
          </cell>
          <cell r="CG67">
            <v>7.0538646327753085E-2</v>
          </cell>
          <cell r="CH67">
            <v>6.315685313781283E-2</v>
          </cell>
          <cell r="CI67">
            <v>0.11085824430036362</v>
          </cell>
          <cell r="CJ67">
            <v>5.5410507766363137E-2</v>
          </cell>
          <cell r="CK67">
            <v>6.9041945533163673E-2</v>
          </cell>
          <cell r="CL67">
            <v>7.6995125223077832E-2</v>
          </cell>
          <cell r="CM67">
            <v>0.10621512154218116</v>
          </cell>
          <cell r="CN67">
            <v>2.093692382241108E-2</v>
          </cell>
          <cell r="CO67">
            <v>7.4698088088166914E-2</v>
          </cell>
          <cell r="CP67">
            <v>8.5024913275413061E-2</v>
          </cell>
          <cell r="CQ67">
            <v>8.0254692348472156E-2</v>
          </cell>
          <cell r="CR67">
            <v>6.1665934801000466E-2</v>
          </cell>
          <cell r="CS67">
            <v>2.6196570200709868E-2</v>
          </cell>
          <cell r="CT67">
            <v>5.2551894231098739E-2</v>
          </cell>
          <cell r="CU67">
            <v>6.5497487297404122E-2</v>
          </cell>
          <cell r="CV67">
            <v>6.9025656667822677E-2</v>
          </cell>
          <cell r="CW67">
            <v>6.2301489797350396E-2</v>
          </cell>
          <cell r="CX67">
            <v>6.6288564163848873E-2</v>
          </cell>
          <cell r="CY67">
            <v>6.6172340858021705E-2</v>
          </cell>
          <cell r="CZ67">
            <v>7.2052428940032165E-2</v>
          </cell>
          <cell r="DA67">
            <v>6.4102097214180809E-2</v>
          </cell>
          <cell r="DB67">
            <v>5.837142765194292E-2</v>
          </cell>
          <cell r="DC67">
            <v>5.6097745102400731E-2</v>
          </cell>
          <cell r="DD67">
            <v>7.392337675728089E-2</v>
          </cell>
          <cell r="DE67">
            <v>6.5409905872891638E-2</v>
          </cell>
          <cell r="DF67">
            <v>5.2603960427527241E-2</v>
          </cell>
          <cell r="DG67">
            <v>4.847171437161335E-2</v>
          </cell>
          <cell r="DH67">
            <v>7.5023984095109242E-2</v>
          </cell>
          <cell r="DI67">
            <v>6.6398673283428522E-2</v>
          </cell>
          <cell r="DJ67">
            <v>4.8297467626702506E-2</v>
          </cell>
          <cell r="DK67">
            <v>4.2534413695785478E-2</v>
          </cell>
          <cell r="DL67">
            <v>7.5549658538910602E-2</v>
          </cell>
          <cell r="DM67">
            <v>6.7151467820887989E-2</v>
          </cell>
          <cell r="DN67">
            <v>4.5026382459615544E-2</v>
          </cell>
        </row>
        <row r="69">
          <cell r="A69" t="str">
            <v>IT</v>
          </cell>
          <cell r="C69">
            <v>0</v>
          </cell>
          <cell r="D69">
            <v>0</v>
          </cell>
          <cell r="E69">
            <v>0</v>
          </cell>
          <cell r="F69">
            <v>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0</v>
          </cell>
          <cell r="AQ69">
            <v>0</v>
          </cell>
          <cell r="AR69">
            <v>0</v>
          </cell>
          <cell r="AS69">
            <v>0</v>
          </cell>
          <cell r="AT69">
            <v>0</v>
          </cell>
          <cell r="AU69">
            <v>0</v>
          </cell>
          <cell r="AV69">
            <v>0</v>
          </cell>
          <cell r="AW69">
            <v>7.0659999999999998</v>
          </cell>
          <cell r="AX69">
            <v>8.7430000000000003</v>
          </cell>
          <cell r="AY69">
            <v>11.098000000000001</v>
          </cell>
          <cell r="AZ69">
            <v>13.169999999999998</v>
          </cell>
          <cell r="BA69">
            <v>14.816000000000001</v>
          </cell>
          <cell r="BB69">
            <v>18.375</v>
          </cell>
          <cell r="BC69">
            <v>21.224</v>
          </cell>
          <cell r="BD69">
            <v>24.776022999999999</v>
          </cell>
          <cell r="BE69">
            <v>30.331</v>
          </cell>
          <cell r="BF69">
            <v>34.555</v>
          </cell>
          <cell r="BG69">
            <v>39.540999999999997</v>
          </cell>
          <cell r="BH69">
            <v>46.82</v>
          </cell>
          <cell r="BI69">
            <v>55.279000000000003</v>
          </cell>
          <cell r="BJ69">
            <v>62.88600000000001</v>
          </cell>
          <cell r="BK69">
            <v>71.501616612155217</v>
          </cell>
          <cell r="BL69">
            <v>79.852216687231348</v>
          </cell>
          <cell r="BM69">
            <v>91.227424270880604</v>
          </cell>
          <cell r="BN69">
            <v>101.76700797521039</v>
          </cell>
          <cell r="BO69">
            <v>112.8084509363625</v>
          </cell>
          <cell r="BP69">
            <v>126.5238464046918</v>
          </cell>
          <cell r="BQ69">
            <v>142.52487583118346</v>
          </cell>
          <cell r="BR69">
            <v>157.22166090586967</v>
          </cell>
          <cell r="BS69">
            <v>169.44458337111735</v>
          </cell>
          <cell r="BT69">
            <v>188.05359749202441</v>
          </cell>
          <cell r="BU69">
            <v>208.64117288533316</v>
          </cell>
          <cell r="BV69">
            <v>227.58641445887474</v>
          </cell>
          <cell r="BW69">
            <v>246.99658353325179</v>
          </cell>
          <cell r="BX69">
            <v>265.91114387916883</v>
          </cell>
          <cell r="BY69">
            <v>287.57676659564441</v>
          </cell>
          <cell r="BZ69">
            <v>306.47188273401309</v>
          </cell>
          <cell r="CA69">
            <v>341.51206961304831</v>
          </cell>
          <cell r="CB69">
            <v>346.19742628033384</v>
          </cell>
          <cell r="CC69">
            <v>381.5140496006901</v>
          </cell>
          <cell r="CD69">
            <v>415.92677265703747</v>
          </cell>
          <cell r="CE69">
            <v>445.49553609983553</v>
          </cell>
          <cell r="CF69">
            <v>465.08845476388689</v>
          </cell>
          <cell r="CG69">
            <v>492.40252436658432</v>
          </cell>
          <cell r="CH69">
            <v>514.38754196086245</v>
          </cell>
          <cell r="CI69">
            <v>558.9801377681631</v>
          </cell>
          <cell r="CJ69">
            <v>575.74400692091683</v>
          </cell>
          <cell r="CK69">
            <v>609.05731672224579</v>
          </cell>
          <cell r="CL69">
            <v>644.97754474811427</v>
          </cell>
          <cell r="CM69">
            <v>704.64987816389157</v>
          </cell>
          <cell r="CN69">
            <v>713.77721222278046</v>
          </cell>
          <cell r="CO69">
            <v>765.44224962344708</v>
          </cell>
          <cell r="CP69">
            <v>823.27944412716738</v>
          </cell>
          <cell r="CQ69">
            <v>885.71704361906018</v>
          </cell>
          <cell r="CR69">
            <v>927.47080581997022</v>
          </cell>
          <cell r="CS69">
            <v>953.19981011695972</v>
          </cell>
          <cell r="CT69">
            <v>999.11113004208198</v>
          </cell>
          <cell r="CU69">
            <v>1063.7413541005353</v>
          </cell>
          <cell r="CV69">
            <v>1123.8010282256309</v>
          </cell>
          <cell r="CW69">
            <v>1189.9715926627352</v>
          </cell>
          <cell r="CX69">
            <v>1262.8134943471091</v>
          </cell>
          <cell r="CY69">
            <v>1346.2876482236095</v>
          </cell>
          <cell r="CZ69">
            <v>1429.1999149069495</v>
          </cell>
          <cell r="DA69">
            <v>1516.3094044665165</v>
          </cell>
          <cell r="DB69">
            <v>1599.4716965659654</v>
          </cell>
          <cell r="DC69">
            <v>1691.251239779557</v>
          </cell>
          <cell r="DD69">
            <v>1801.3226202671897</v>
          </cell>
          <cell r="DE69">
            <v>1913.7627936066676</v>
          </cell>
          <cell r="DF69">
            <v>2009.5863873129126</v>
          </cell>
          <cell r="DG69">
            <v>2111.5374289775546</v>
          </cell>
          <cell r="DH69">
            <v>2253.9028751375549</v>
          </cell>
          <cell r="DI69">
            <v>2396.9909191044653</v>
          </cell>
          <cell r="DJ69">
            <v>2508.2772513876794</v>
          </cell>
          <cell r="DK69">
            <v>2622.5740129143546</v>
          </cell>
          <cell r="DL69">
            <v>2803.2157385322876</v>
          </cell>
          <cell r="DM69">
            <v>2983.2978253455208</v>
          </cell>
          <cell r="DN69">
            <v>3113.4119943897404</v>
          </cell>
          <cell r="DP69">
            <v>0</v>
          </cell>
          <cell r="DQ69">
            <v>0</v>
          </cell>
          <cell r="DR69">
            <v>0</v>
          </cell>
          <cell r="DS69">
            <v>0</v>
          </cell>
          <cell r="DT69">
            <v>0</v>
          </cell>
          <cell r="DU69">
            <v>0</v>
          </cell>
          <cell r="DV69">
            <v>0</v>
          </cell>
          <cell r="DW69">
            <v>0</v>
          </cell>
          <cell r="DX69">
            <v>0</v>
          </cell>
          <cell r="DY69">
            <v>0</v>
          </cell>
          <cell r="DZ69">
            <v>0</v>
          </cell>
          <cell r="EA69">
            <v>15.809000000000001</v>
          </cell>
          <cell r="EB69">
            <v>57.459000000000003</v>
          </cell>
          <cell r="EC69">
            <v>110.88602299999999</v>
          </cell>
          <cell r="ED69">
            <v>204.52600000000001</v>
          </cell>
          <cell r="EE69">
            <v>344.34826554547755</v>
          </cell>
          <cell r="EF69">
            <v>539.07883407810743</v>
          </cell>
          <cell r="EG69">
            <v>793.72576820734969</v>
          </cell>
          <cell r="EH69">
            <v>1106.9563767420782</v>
          </cell>
          <cell r="EI69">
            <v>1485.1503181511098</v>
          </cell>
          <cell r="EJ69">
            <v>1917.3740571911694</v>
          </cell>
          <cell r="EK69">
            <v>2388.7590061594401</v>
          </cell>
          <cell r="EL69">
            <v>3007.1487841372864</v>
          </cell>
          <cell r="EM69">
            <v>3765.4987895980721</v>
          </cell>
          <cell r="EN69">
            <v>4640.3274693360108</v>
          </cell>
          <cell r="EO69">
            <v>5891.2686641630407</v>
          </cell>
          <cell r="EP69">
            <v>7415.9230409663269</v>
          </cell>
          <cell r="EQ69">
            <v>9270.7084746072542</v>
          </cell>
          <cell r="ER69">
            <v>11522.499571181903</v>
          </cell>
        </row>
        <row r="70">
          <cell r="A70" t="str">
            <v>% of revenues</v>
          </cell>
          <cell r="AU70" t="str">
            <v>NA</v>
          </cell>
          <cell r="AV70" t="str">
            <v>NA</v>
          </cell>
          <cell r="AW70">
            <v>0.9302264349657714</v>
          </cell>
          <cell r="AX70">
            <v>0.93598115833422535</v>
          </cell>
          <cell r="AY70">
            <v>0.93709364181372967</v>
          </cell>
          <cell r="AZ70">
            <v>0.90527907616167158</v>
          </cell>
          <cell r="BA70">
            <v>0.89306811332127789</v>
          </cell>
          <cell r="BB70">
            <v>0.86045422617653944</v>
          </cell>
          <cell r="BC70">
            <v>0.84182135491036014</v>
          </cell>
          <cell r="BD70">
            <v>0.84029698515247209</v>
          </cell>
          <cell r="BE70">
            <v>0.88694914758604548</v>
          </cell>
          <cell r="BF70">
            <v>0.8820001020981163</v>
          </cell>
          <cell r="BG70">
            <v>0.8336530960764057</v>
          </cell>
          <cell r="BH70">
            <v>0.82467326593158841</v>
          </cell>
          <cell r="BI70">
            <v>0.85910327142746146</v>
          </cell>
          <cell r="BJ70">
            <v>0.83667278678055401</v>
          </cell>
          <cell r="BK70">
            <v>0.8320042892302123</v>
          </cell>
          <cell r="BL70">
            <v>0.78116468751571422</v>
          </cell>
          <cell r="BM70">
            <v>0.81995545772369516</v>
          </cell>
          <cell r="BN70">
            <v>0.81264080472099642</v>
          </cell>
          <cell r="BO70">
            <v>0.81104645148006682</v>
          </cell>
          <cell r="BP70">
            <v>0.75873184576774466</v>
          </cell>
          <cell r="BQ70">
            <v>0.79751150359899436</v>
          </cell>
          <cell r="BR70">
            <v>0.79403275138820251</v>
          </cell>
          <cell r="BS70">
            <v>0.79940265031381441</v>
          </cell>
          <cell r="BT70">
            <v>0.76222700389121256</v>
          </cell>
          <cell r="BU70">
            <v>0.79893231049333024</v>
          </cell>
          <cell r="BV70">
            <v>0.79673171524199116</v>
          </cell>
          <cell r="BW70">
            <v>0.80749768219868567</v>
          </cell>
          <cell r="BX70">
            <v>0.77908524716145011</v>
          </cell>
          <cell r="BY70">
            <v>0.80405967352887808</v>
          </cell>
          <cell r="BZ70">
            <v>0.79465621219919069</v>
          </cell>
          <cell r="CA70">
            <v>0.79649059664260946</v>
          </cell>
          <cell r="CB70">
            <v>0.77231734019322318</v>
          </cell>
          <cell r="CC70">
            <v>0.77484919857483803</v>
          </cell>
          <cell r="CD70">
            <v>0.75747964854230065</v>
          </cell>
          <cell r="CE70">
            <v>0.75607417255268039</v>
          </cell>
          <cell r="CF70">
            <v>0.73700028961595621</v>
          </cell>
          <cell r="CG70">
            <v>0.73154764375206593</v>
          </cell>
          <cell r="CH70">
            <v>0.71897968100914322</v>
          </cell>
          <cell r="CI70">
            <v>0.70853304082786361</v>
          </cell>
          <cell r="CJ70">
            <v>0.69042000868315401</v>
          </cell>
          <cell r="CK70">
            <v>0.68755320328125713</v>
          </cell>
          <cell r="CL70">
            <v>0.67765829361604146</v>
          </cell>
          <cell r="CM70">
            <v>0.67344255037931422</v>
          </cell>
          <cell r="CN70">
            <v>0.66655698247059825</v>
          </cell>
          <cell r="CO70">
            <v>0.6644625473739354</v>
          </cell>
          <cell r="CP70">
            <v>0.65844972457444628</v>
          </cell>
          <cell r="CQ70">
            <v>0.66022165115104758</v>
          </cell>
          <cell r="CR70">
            <v>0.65208600088780477</v>
          </cell>
          <cell r="CS70">
            <v>0.65290873472712319</v>
          </cell>
          <cell r="CT70">
            <v>0.65080450506132637</v>
          </cell>
          <cell r="CU70">
            <v>0.65126325578349997</v>
          </cell>
          <cell r="CV70">
            <v>0.64471663172100735</v>
          </cell>
          <cell r="CW70">
            <v>0.64341830600703143</v>
          </cell>
          <cell r="CX70">
            <v>0.64111907468303886</v>
          </cell>
          <cell r="CY70">
            <v>0.64178652388570712</v>
          </cell>
          <cell r="CZ70">
            <v>0.63645337310628969</v>
          </cell>
          <cell r="DA70">
            <v>0.63522171872698141</v>
          </cell>
          <cell r="DB70">
            <v>0.63359497618925786</v>
          </cell>
          <cell r="DC70">
            <v>0.6347954758392621</v>
          </cell>
          <cell r="DD70">
            <v>0.63045593578807435</v>
          </cell>
          <cell r="DE70">
            <v>0.6293179257184075</v>
          </cell>
          <cell r="DF70">
            <v>0.62815456329180031</v>
          </cell>
          <cell r="DG70">
            <v>0.62977916523933297</v>
          </cell>
          <cell r="DH70">
            <v>0.62617414219919743</v>
          </cell>
          <cell r="DI70">
            <v>0.6250767497022337</v>
          </cell>
          <cell r="DJ70">
            <v>0.62422838788657709</v>
          </cell>
          <cell r="DK70">
            <v>0.6262031831621836</v>
          </cell>
          <cell r="DL70">
            <v>0.62309816994596601</v>
          </cell>
          <cell r="DM70">
            <v>0.62197308866396406</v>
          </cell>
          <cell r="DN70">
            <v>0.62133462558543939</v>
          </cell>
          <cell r="DP70" t="str">
            <v>NA</v>
          </cell>
          <cell r="DQ70" t="str">
            <v>NA</v>
          </cell>
          <cell r="DR70" t="str">
            <v>NA</v>
          </cell>
          <cell r="DS70" t="str">
            <v>NA</v>
          </cell>
          <cell r="DT70" t="str">
            <v>NA</v>
          </cell>
          <cell r="DU70" t="str">
            <v>NA</v>
          </cell>
          <cell r="DV70" t="str">
            <v>NA</v>
          </cell>
          <cell r="DW70" t="str">
            <v>NA</v>
          </cell>
          <cell r="DX70" t="str">
            <v>NA</v>
          </cell>
          <cell r="DY70" t="str">
            <v>NA</v>
          </cell>
          <cell r="DZ70">
            <v>0</v>
          </cell>
          <cell r="EA70">
            <v>0.56460714285714286</v>
          </cell>
          <cell r="EB70">
            <v>0.89310805769709034</v>
          </cell>
          <cell r="EC70">
            <v>0.86581111143705658</v>
          </cell>
          <cell r="ED70">
            <v>0.83921185661764708</v>
          </cell>
          <cell r="EE70">
            <v>0.8108990122347286</v>
          </cell>
          <cell r="EF70">
            <v>0.7897861942093366</v>
          </cell>
          <cell r="EG70">
            <v>0.78939985699103887</v>
          </cell>
          <cell r="EH70">
            <v>0.79607768984689697</v>
          </cell>
          <cell r="EI70">
            <v>0.77412299342667223</v>
          </cell>
          <cell r="EJ70">
            <v>0.73495948245915743</v>
          </cell>
          <cell r="EK70">
            <v>0.69030559035157701</v>
          </cell>
          <cell r="EL70">
            <v>0.66537436223632762</v>
          </cell>
          <cell r="EM70">
            <v>0.65384814058569174</v>
          </cell>
          <cell r="EN70">
            <v>0.64488418231157885</v>
          </cell>
          <cell r="EO70">
            <v>0.63656483716288714</v>
          </cell>
          <cell r="EP70">
            <v>0.63051871373234747</v>
          </cell>
          <cell r="EQ70">
            <v>0.62617822014968427</v>
          </cell>
          <cell r="ER70">
            <v>0.62303169850525619</v>
          </cell>
        </row>
        <row r="71">
          <cell r="A71" t="str">
            <v>% of subscription revenues</v>
          </cell>
          <cell r="AU71" t="str">
            <v>NA</v>
          </cell>
          <cell r="AV71" t="str">
            <v>NA</v>
          </cell>
          <cell r="AW71">
            <v>1</v>
          </cell>
          <cell r="AX71">
            <v>1</v>
          </cell>
          <cell r="AY71">
            <v>1</v>
          </cell>
          <cell r="AZ71">
            <v>0.99999999999999989</v>
          </cell>
          <cell r="BA71">
            <v>1</v>
          </cell>
          <cell r="BB71">
            <v>1</v>
          </cell>
          <cell r="BC71">
            <v>1</v>
          </cell>
          <cell r="BD71">
            <v>1</v>
          </cell>
          <cell r="BE71">
            <v>1</v>
          </cell>
          <cell r="BF71">
            <v>1</v>
          </cell>
          <cell r="BG71">
            <v>1</v>
          </cell>
          <cell r="BH71">
            <v>1</v>
          </cell>
          <cell r="BI71">
            <v>1</v>
          </cell>
          <cell r="BJ71">
            <v>1.0000000000000002</v>
          </cell>
          <cell r="BK71">
            <v>0.99921206031687881</v>
          </cell>
          <cell r="BL71">
            <v>0.99348333690692925</v>
          </cell>
          <cell r="BM71">
            <v>0.98102443512216753</v>
          </cell>
          <cell r="BN71">
            <v>0.97033703899016377</v>
          </cell>
          <cell r="BO71">
            <v>0.96109436367507994</v>
          </cell>
          <cell r="BP71">
            <v>0.95328536214016912</v>
          </cell>
          <cell r="BQ71">
            <v>0.94784677376807058</v>
          </cell>
          <cell r="BR71">
            <v>0.94285288187698824</v>
          </cell>
          <cell r="BS71">
            <v>0.94184541663813715</v>
          </cell>
          <cell r="BT71">
            <v>0.93810565392781842</v>
          </cell>
          <cell r="BU71">
            <v>0.93473877677024642</v>
          </cell>
          <cell r="BV71">
            <v>0.93005539169632756</v>
          </cell>
          <cell r="BW71">
            <v>0.92362103167746767</v>
          </cell>
          <cell r="BX71">
            <v>0.91479310125316537</v>
          </cell>
          <cell r="BY71">
            <v>0.90168112084520435</v>
          </cell>
          <cell r="BZ71">
            <v>0.88934511129880411</v>
          </cell>
          <cell r="CA71">
            <v>0.88113046362349401</v>
          </cell>
          <cell r="CB71">
            <v>0.85975043280966601</v>
          </cell>
          <cell r="CC71">
            <v>0.84874072782274346</v>
          </cell>
          <cell r="CD71">
            <v>0.8322896650985866</v>
          </cell>
          <cell r="CE71">
            <v>0.81994301035261674</v>
          </cell>
          <cell r="CF71">
            <v>0.79463994239338787</v>
          </cell>
          <cell r="CG71">
            <v>0.78587369645478344</v>
          </cell>
          <cell r="CH71">
            <v>0.77219250330766165</v>
          </cell>
          <cell r="CI71">
            <v>0.75539285576776194</v>
          </cell>
          <cell r="CJ71">
            <v>0.7371986121711277</v>
          </cell>
          <cell r="CK71">
            <v>0.72948858765884439</v>
          </cell>
          <cell r="CL71">
            <v>0.71728408413325073</v>
          </cell>
          <cell r="CM71">
            <v>0.70840299724328648</v>
          </cell>
          <cell r="CN71">
            <v>0.70286315318019832</v>
          </cell>
          <cell r="CO71">
            <v>0.7013487891758251</v>
          </cell>
          <cell r="CP71">
            <v>0.69523108724693894</v>
          </cell>
          <cell r="CQ71">
            <v>0.69238994396879672</v>
          </cell>
          <cell r="CR71">
            <v>0.68291730137598894</v>
          </cell>
          <cell r="CS71">
            <v>0.68394512086425607</v>
          </cell>
          <cell r="CT71">
            <v>0.68109483740864241</v>
          </cell>
          <cell r="CU71">
            <v>0.68057721416955463</v>
          </cell>
          <cell r="CV71">
            <v>0.67257800117367428</v>
          </cell>
          <cell r="CW71">
            <v>0.67041239695375598</v>
          </cell>
          <cell r="CX71">
            <v>0.6672213048352067</v>
          </cell>
          <cell r="CY71">
            <v>0.66717711448333428</v>
          </cell>
          <cell r="CZ71">
            <v>0.66066338159607707</v>
          </cell>
          <cell r="DA71">
            <v>0.65870624930448862</v>
          </cell>
          <cell r="DB71">
            <v>0.65651160541503906</v>
          </cell>
          <cell r="DC71">
            <v>0.65730942697025085</v>
          </cell>
          <cell r="DD71">
            <v>0.65189843675370862</v>
          </cell>
          <cell r="DE71">
            <v>0.65006953470657713</v>
          </cell>
          <cell r="DF71">
            <v>0.6485050867293134</v>
          </cell>
          <cell r="DG71">
            <v>0.64990334500888014</v>
          </cell>
          <cell r="DH71">
            <v>0.64530797466070178</v>
          </cell>
          <cell r="DI71">
            <v>0.64354456548666528</v>
          </cell>
          <cell r="DJ71">
            <v>0.64239661104442769</v>
          </cell>
          <cell r="DK71">
            <v>0.64426576656172896</v>
          </cell>
          <cell r="DL71">
            <v>0.64027030187186118</v>
          </cell>
          <cell r="DM71">
            <v>0.63852422810229559</v>
          </cell>
          <cell r="DN71">
            <v>0.63766137121276745</v>
          </cell>
          <cell r="DP71" t="str">
            <v>NA</v>
          </cell>
          <cell r="DQ71" t="str">
            <v>NA</v>
          </cell>
          <cell r="DR71" t="str">
            <v>NA</v>
          </cell>
          <cell r="DS71" t="str">
            <v>NA</v>
          </cell>
          <cell r="DT71" t="str">
            <v>NA</v>
          </cell>
          <cell r="DU71" t="str">
            <v>NA</v>
          </cell>
          <cell r="DV71" t="str">
            <v>NA</v>
          </cell>
          <cell r="DW71" t="str">
            <v>NA</v>
          </cell>
          <cell r="DX71" t="str">
            <v>NA</v>
          </cell>
          <cell r="DY71" t="str">
            <v>NA</v>
          </cell>
          <cell r="DZ71" t="str">
            <v>NA</v>
          </cell>
          <cell r="EA71">
            <v>1</v>
          </cell>
          <cell r="EB71">
            <v>1</v>
          </cell>
          <cell r="EC71">
            <v>1</v>
          </cell>
          <cell r="ED71">
            <v>1.0000000000000002</v>
          </cell>
          <cell r="EE71">
            <v>0.98440345320658862</v>
          </cell>
          <cell r="EF71">
            <v>0.95039259062776227</v>
          </cell>
          <cell r="EG71">
            <v>0.93569062053636853</v>
          </cell>
          <cell r="EH71">
            <v>0.90612396685279206</v>
          </cell>
          <cell r="EI71">
            <v>0.85378000468589221</v>
          </cell>
          <cell r="EJ71">
            <v>0.79187368885855292</v>
          </cell>
          <cell r="EK71">
            <v>0.73385592366865449</v>
          </cell>
          <cell r="EL71">
            <v>0.70165450770003479</v>
          </cell>
          <cell r="EM71">
            <v>0.68489561612497352</v>
          </cell>
          <cell r="EN71">
            <v>0.67236363059508086</v>
          </cell>
          <cell r="EO71">
            <v>0.66049786662082288</v>
          </cell>
          <cell r="EP71">
            <v>0.65172469025624113</v>
          </cell>
          <cell r="EQ71">
            <v>0.64509884868185507</v>
          </cell>
          <cell r="ER71">
            <v>0.64001301389249377</v>
          </cell>
        </row>
        <row r="72">
          <cell r="A72" t="str">
            <v>% growth y-o-y</v>
          </cell>
          <cell r="AU72" t="str">
            <v>NA</v>
          </cell>
          <cell r="AV72" t="str">
            <v>NA</v>
          </cell>
          <cell r="AW72" t="str">
            <v>NA</v>
          </cell>
          <cell r="AX72" t="str">
            <v>NA</v>
          </cell>
          <cell r="AY72" t="str">
            <v>NA</v>
          </cell>
          <cell r="AZ72" t="str">
            <v>NA</v>
          </cell>
          <cell r="BA72">
            <v>1.0968015850551942</v>
          </cell>
          <cell r="BB72">
            <v>1.1016813450760607</v>
          </cell>
          <cell r="BC72">
            <v>0.91241665164894559</v>
          </cell>
          <cell r="BD72">
            <v>0.88124700075930162</v>
          </cell>
          <cell r="BE72">
            <v>1.0471787257019436</v>
          </cell>
          <cell r="BF72">
            <v>0.8805442176870748</v>
          </cell>
          <cell r="BG72">
            <v>0.86303241613267989</v>
          </cell>
          <cell r="BH72">
            <v>0.88973024443834281</v>
          </cell>
          <cell r="BI72">
            <v>0.8225248096007387</v>
          </cell>
          <cell r="BJ72">
            <v>0.81988134857473627</v>
          </cell>
          <cell r="BK72">
            <v>0.80829054935776079</v>
          </cell>
          <cell r="BL72">
            <v>0.70551509370421495</v>
          </cell>
          <cell r="BM72">
            <v>0.65030887445287711</v>
          </cell>
          <cell r="BN72">
            <v>0.61827764486865711</v>
          </cell>
          <cell r="BO72">
            <v>0.57770490069150626</v>
          </cell>
          <cell r="BP72">
            <v>0.58447506723909659</v>
          </cell>
          <cell r="BQ72">
            <v>0.56230296942272417</v>
          </cell>
          <cell r="BR72">
            <v>0.5449177885250156</v>
          </cell>
          <cell r="BS72">
            <v>0.50205575880750652</v>
          </cell>
          <cell r="BT72">
            <v>0.48630952058260335</v>
          </cell>
          <cell r="BU72">
            <v>0.46389303389018566</v>
          </cell>
          <cell r="BV72">
            <v>0.44755126709374493</v>
          </cell>
          <cell r="BW72">
            <v>0.45768356013057154</v>
          </cell>
          <cell r="BX72">
            <v>0.41401785142901337</v>
          </cell>
          <cell r="BY72">
            <v>0.37833181542596761</v>
          </cell>
          <cell r="BZ72">
            <v>0.34661765054255067</v>
          </cell>
          <cell r="CA72">
            <v>0.38265908267946713</v>
          </cell>
          <cell r="CB72">
            <v>0.30192898736747731</v>
          </cell>
          <cell r="CC72">
            <v>0.3266511551579161</v>
          </cell>
          <cell r="CD72">
            <v>0.35714496529530004</v>
          </cell>
          <cell r="CE72">
            <v>0.30447962382297677</v>
          </cell>
          <cell r="CF72">
            <v>0.34341973526770486</v>
          </cell>
          <cell r="CG72">
            <v>0.29065371218164859</v>
          </cell>
          <cell r="CH72">
            <v>0.23672621186377252</v>
          </cell>
          <cell r="CI72">
            <v>0.25473790974842836</v>
          </cell>
          <cell r="CJ72">
            <v>0.23792367026871664</v>
          </cell>
          <cell r="CK72">
            <v>0.23690941167639945</v>
          </cell>
          <cell r="CL72">
            <v>0.25387473866384558</v>
          </cell>
          <cell r="CM72">
            <v>0.26059913501997278</v>
          </cell>
          <cell r="CN72">
            <v>0.23974753300527829</v>
          </cell>
          <cell r="CO72">
            <v>0.25676554341850055</v>
          </cell>
          <cell r="CP72">
            <v>0.27644667761059205</v>
          </cell>
          <cell r="CQ72">
            <v>0.25696047223761087</v>
          </cell>
          <cell r="CR72">
            <v>0.29938416348670538</v>
          </cell>
          <cell r="CS72">
            <v>0.24529291476382231</v>
          </cell>
          <cell r="CT72">
            <v>0.21357473111858094</v>
          </cell>
          <cell r="CU72">
            <v>0.20099456340375221</v>
          </cell>
          <cell r="CV72">
            <v>0.21168345264742494</v>
          </cell>
          <cell r="CW72">
            <v>0.24839679994976405</v>
          </cell>
          <cell r="CX72">
            <v>0.26393696994839821</v>
          </cell>
          <cell r="CY72">
            <v>0.26561559634201304</v>
          </cell>
          <cell r="CZ72">
            <v>0.27175530099266121</v>
          </cell>
          <cell r="DA72">
            <v>0.27424000187563524</v>
          </cell>
          <cell r="DB72">
            <v>0.26659376362850229</v>
          </cell>
          <cell r="DC72">
            <v>0.25623319950318013</v>
          </cell>
          <cell r="DD72">
            <v>0.2603713458690402</v>
          </cell>
          <cell r="DE72">
            <v>0.26211892372980916</v>
          </cell>
          <cell r="DF72">
            <v>0.25640634443701349</v>
          </cell>
          <cell r="DG72">
            <v>0.24850606421596999</v>
          </cell>
          <cell r="DH72">
            <v>0.25124886001999691</v>
          </cell>
          <cell r="DI72">
            <v>0.25250157810159357</v>
          </cell>
          <cell r="DJ72">
            <v>0.2481559724046416</v>
          </cell>
          <cell r="DK72">
            <v>0.24202108706368208</v>
          </cell>
          <cell r="DL72">
            <v>0.24371629738535572</v>
          </cell>
          <cell r="DM72">
            <v>0.24460122129294692</v>
          </cell>
          <cell r="DN72">
            <v>0.24125512547198524</v>
          </cell>
          <cell r="DQ72" t="str">
            <v>NA</v>
          </cell>
          <cell r="DR72" t="str">
            <v>NA</v>
          </cell>
          <cell r="DS72" t="str">
            <v>NA</v>
          </cell>
          <cell r="DT72" t="str">
            <v>NA</v>
          </cell>
          <cell r="DU72" t="str">
            <v>NA</v>
          </cell>
          <cell r="DV72" t="str">
            <v>NA</v>
          </cell>
          <cell r="DW72" t="str">
            <v>NA</v>
          </cell>
          <cell r="DX72" t="str">
            <v>NA</v>
          </cell>
          <cell r="DY72" t="str">
            <v>NA</v>
          </cell>
          <cell r="DZ72" t="str">
            <v>NA</v>
          </cell>
          <cell r="EA72" t="str">
            <v>NA</v>
          </cell>
          <cell r="EB72">
            <v>2.6345752419507873</v>
          </cell>
          <cell r="EC72">
            <v>0.92982862562870894</v>
          </cell>
          <cell r="ED72">
            <v>0.84447051545892315</v>
          </cell>
          <cell r="EE72">
            <v>0.68364054225613136</v>
          </cell>
          <cell r="EF72">
            <v>0.56550471722039819</v>
          </cell>
          <cell r="EG72">
            <v>0.47237420212336945</v>
          </cell>
          <cell r="EH72">
            <v>0.39463328655962382</v>
          </cell>
          <cell r="EI72">
            <v>0.34165207351901916</v>
          </cell>
          <cell r="EJ72">
            <v>0.29103029757832366</v>
          </cell>
          <cell r="EK72">
            <v>0.24584923698134298</v>
          </cell>
          <cell r="EL72">
            <v>0.25887491219638381</v>
          </cell>
          <cell r="EM72">
            <v>0.25218240263371161</v>
          </cell>
          <cell r="EN72">
            <v>0.2323274361831138</v>
          </cell>
          <cell r="EO72">
            <v>0.2695803697246455</v>
          </cell>
          <cell r="EP72">
            <v>0.25879898943972024</v>
          </cell>
          <cell r="EQ72">
            <v>0.25010850616907709</v>
          </cell>
          <cell r="ER72">
            <v>0.24289309740915388</v>
          </cell>
        </row>
        <row r="73">
          <cell r="A73" t="str">
            <v>% growth seq</v>
          </cell>
          <cell r="AU73" t="str">
            <v>NA</v>
          </cell>
          <cell r="AV73" t="str">
            <v>NA</v>
          </cell>
          <cell r="AW73" t="str">
            <v>NA</v>
          </cell>
          <cell r="AX73">
            <v>0.23733371072742715</v>
          </cell>
          <cell r="AY73">
            <v>0.26935834381791146</v>
          </cell>
          <cell r="AZ73">
            <v>0.18670030636150625</v>
          </cell>
          <cell r="BA73">
            <v>0.12498101746393342</v>
          </cell>
          <cell r="BB73">
            <v>0.24021328293736488</v>
          </cell>
          <cell r="BC73">
            <v>0.1550476190476191</v>
          </cell>
          <cell r="BD73">
            <v>0.16735879193365988</v>
          </cell>
          <cell r="BE73">
            <v>0.22420777539639847</v>
          </cell>
          <cell r="BF73">
            <v>0.13926345982658006</v>
          </cell>
          <cell r="BG73">
            <v>0.14429170886991738</v>
          </cell>
          <cell r="BH73">
            <v>0.18408740294883796</v>
          </cell>
          <cell r="BI73">
            <v>0.18067065356685186</v>
          </cell>
          <cell r="BJ73">
            <v>0.13761102769587019</v>
          </cell>
          <cell r="BK73">
            <v>0.13700373075335071</v>
          </cell>
          <cell r="BL73">
            <v>0.1167889688476853</v>
          </cell>
          <cell r="BM73">
            <v>0.1424532474559117</v>
          </cell>
          <cell r="BN73">
            <v>0.11553087011461294</v>
          </cell>
          <cell r="BO73">
            <v>0.10849727412484911</v>
          </cell>
          <cell r="BP73">
            <v>0.12158127653101469</v>
          </cell>
          <cell r="BQ73">
            <v>0.12646651110583296</v>
          </cell>
          <cell r="BR73">
            <v>0.10311733294961156</v>
          </cell>
          <cell r="BS73">
            <v>7.7743247303345031E-2</v>
          </cell>
          <cell r="BT73">
            <v>0.10982359985004431</v>
          </cell>
          <cell r="BU73">
            <v>0.10947716857254974</v>
          </cell>
          <cell r="BV73">
            <v>9.0802986349936221E-2</v>
          </cell>
          <cell r="BW73">
            <v>8.5287028755771876E-2</v>
          </cell>
          <cell r="BX73">
            <v>7.6578226610857891E-2</v>
          </cell>
          <cell r="BY73">
            <v>8.1476926466536259E-2</v>
          </cell>
          <cell r="BZ73">
            <v>6.5704599026028765E-2</v>
          </cell>
          <cell r="CA73">
            <v>0.11433409997173083</v>
          </cell>
          <cell r="CB73">
            <v>1.3719446790253498E-2</v>
          </cell>
          <cell r="CC73">
            <v>0.10201295746132599</v>
          </cell>
          <cell r="CD73">
            <v>9.0200408326679637E-2</v>
          </cell>
          <cell r="CE73">
            <v>7.1091272278304807E-2</v>
          </cell>
          <cell r="CF73">
            <v>4.3980056086713626E-2</v>
          </cell>
          <cell r="CG73">
            <v>5.8728762932986678E-2</v>
          </cell>
          <cell r="CH73">
            <v>4.4648466460563307E-2</v>
          </cell>
          <cell r="CI73">
            <v>8.6690660581149048E-2</v>
          </cell>
          <cell r="CJ73">
            <v>2.9990098073406912E-2</v>
          </cell>
          <cell r="CK73">
            <v>5.7861322742183141E-2</v>
          </cell>
          <cell r="CL73">
            <v>5.8976761364890606E-2</v>
          </cell>
          <cell r="CM73">
            <v>9.2518466575578717E-2</v>
          </cell>
          <cell r="CN73">
            <v>1.2953005942003548E-2</v>
          </cell>
          <cell r="CO73">
            <v>7.2382581729915518E-2</v>
          </cell>
          <cell r="CP73">
            <v>7.5560493991771116E-2</v>
          </cell>
          <cell r="CQ73">
            <v>7.5840105006008685E-2</v>
          </cell>
          <cell r="CR73">
            <v>4.7141197633843834E-2</v>
          </cell>
          <cell r="CS73">
            <v>2.7741039540584378E-2</v>
          </cell>
          <cell r="CT73">
            <v>4.8165473217508081E-2</v>
          </cell>
          <cell r="CU73">
            <v>6.4687723032102795E-2</v>
          </cell>
          <cell r="CV73">
            <v>5.6460787101654253E-2</v>
          </cell>
          <cell r="CW73">
            <v>5.8881032117919396E-2</v>
          </cell>
          <cell r="CX73">
            <v>6.1213143350236976E-2</v>
          </cell>
          <cell r="CY73">
            <v>6.6101727808711486E-2</v>
          </cell>
          <cell r="CZ73">
            <v>6.1585848160116807E-2</v>
          </cell>
          <cell r="DA73">
            <v>6.0949828397686812E-2</v>
          </cell>
          <cell r="DB73">
            <v>5.4845199702964198E-2</v>
          </cell>
          <cell r="DC73">
            <v>5.7381161173805317E-2</v>
          </cell>
          <cell r="DD73">
            <v>6.5082808454869134E-2</v>
          </cell>
          <cell r="DE73">
            <v>6.2420896775725598E-2</v>
          </cell>
          <cell r="DF73">
            <v>5.0070778900271229E-2</v>
          </cell>
          <cell r="DG73">
            <v>5.0732350850049457E-2</v>
          </cell>
          <cell r="DH73">
            <v>6.7422648638028715E-2</v>
          </cell>
          <cell r="DI73">
            <v>6.3484565171503915E-2</v>
          </cell>
          <cell r="DJ73">
            <v>4.64275151800706E-2</v>
          </cell>
          <cell r="DK73">
            <v>4.556783404364162E-2</v>
          </cell>
          <cell r="DL73">
            <v>6.8879552961478963E-2</v>
          </cell>
          <cell r="DM73">
            <v>6.424125133783698E-2</v>
          </cell>
          <cell r="DN73">
            <v>4.3614207049257558E-2</v>
          </cell>
        </row>
        <row r="75">
          <cell r="A75" t="str">
            <v>ITSM</v>
          </cell>
          <cell r="C75">
            <v>0</v>
          </cell>
          <cell r="D75">
            <v>0</v>
          </cell>
          <cell r="E75">
            <v>0</v>
          </cell>
          <cell r="F75">
            <v>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0</v>
          </cell>
          <cell r="AQ75">
            <v>0</v>
          </cell>
          <cell r="AR75">
            <v>0</v>
          </cell>
          <cell r="AS75">
            <v>0</v>
          </cell>
          <cell r="AT75">
            <v>0</v>
          </cell>
          <cell r="AU75">
            <v>0</v>
          </cell>
          <cell r="AV75">
            <v>0</v>
          </cell>
          <cell r="AW75">
            <v>7.0659999999999998</v>
          </cell>
          <cell r="AX75">
            <v>8.7430000000000003</v>
          </cell>
          <cell r="AY75">
            <v>9.2839077681208408</v>
          </cell>
          <cell r="AZ75">
            <v>11.140493333653588</v>
          </cell>
          <cell r="BA75">
            <v>11.800535763149909</v>
          </cell>
          <cell r="BB75">
            <v>14.758725049943529</v>
          </cell>
          <cell r="BC75">
            <v>19.170085709537791</v>
          </cell>
          <cell r="BD75">
            <v>22.470944774021913</v>
          </cell>
          <cell r="BE75">
            <v>27.008821227197888</v>
          </cell>
          <cell r="BF75">
            <v>30.554313719115989</v>
          </cell>
          <cell r="BG75">
            <v>36.9870796225646</v>
          </cell>
          <cell r="BH75">
            <v>43.876111535527301</v>
          </cell>
          <cell r="BI75">
            <v>51.034557829703992</v>
          </cell>
          <cell r="BJ75">
            <v>57.705711028395001</v>
          </cell>
          <cell r="BK75">
            <v>67.277568785525958</v>
          </cell>
          <cell r="BL75">
            <v>74.396151485925742</v>
          </cell>
          <cell r="BM75">
            <v>83.954175912664851</v>
          </cell>
          <cell r="BN75">
            <v>92.931520907780651</v>
          </cell>
          <cell r="BO75">
            <v>104.18052616260026</v>
          </cell>
          <cell r="BP75">
            <v>116.14170456739832</v>
          </cell>
          <cell r="BQ75">
            <v>129.6584436665089</v>
          </cell>
          <cell r="BR75">
            <v>141.70811698476447</v>
          </cell>
          <cell r="BS75">
            <v>152.77637181063719</v>
          </cell>
          <cell r="BT75">
            <v>169.15268933291648</v>
          </cell>
          <cell r="BU75">
            <v>186.1435662505169</v>
          </cell>
          <cell r="BV75">
            <v>201.81724595505844</v>
          </cell>
          <cell r="BW75">
            <v>217.96256979585218</v>
          </cell>
          <cell r="BX75">
            <v>232.94070773376927</v>
          </cell>
          <cell r="BY75">
            <v>250.91577622366142</v>
          </cell>
          <cell r="BZ75">
            <v>262.7138505772802</v>
          </cell>
          <cell r="CA75">
            <v>277.48266634220431</v>
          </cell>
          <cell r="CB75">
            <v>295.56443709601757</v>
          </cell>
          <cell r="CC75">
            <v>316.72672816915258</v>
          </cell>
          <cell r="CD75">
            <v>340.33932847364639</v>
          </cell>
          <cell r="CE75">
            <v>345.28311635664062</v>
          </cell>
          <cell r="CF75">
            <v>378.99796391818558</v>
          </cell>
          <cell r="CG75">
            <v>392.94146283243157</v>
          </cell>
          <cell r="CH75">
            <v>401.8624891720205</v>
          </cell>
          <cell r="CI75">
            <v>421.14864474648499</v>
          </cell>
          <cell r="CJ75">
            <v>448.09713214695228</v>
          </cell>
          <cell r="CK75">
            <v>464.89225704396955</v>
          </cell>
          <cell r="CL75">
            <v>484.47154705850357</v>
          </cell>
          <cell r="CM75">
            <v>514.98555830420196</v>
          </cell>
          <cell r="CN75">
            <v>531.69642729950795</v>
          </cell>
          <cell r="CO75">
            <v>560.57903976336843</v>
          </cell>
          <cell r="CP75">
            <v>593.50675505067966</v>
          </cell>
          <cell r="CQ75">
            <v>616.88284951997628</v>
          </cell>
          <cell r="CR75">
            <v>663.87197668608871</v>
          </cell>
          <cell r="CS75">
            <v>670.78874665126079</v>
          </cell>
          <cell r="CT75">
            <v>691.67316947964139</v>
          </cell>
          <cell r="CU75">
            <v>707.90094069822919</v>
          </cell>
          <cell r="CV75">
            <v>762.89204338928641</v>
          </cell>
          <cell r="CW75">
            <v>799.50986758205238</v>
          </cell>
          <cell r="CX75">
            <v>835.37540029157526</v>
          </cell>
          <cell r="CY75">
            <v>856.30605738714451</v>
          </cell>
          <cell r="CZ75">
            <v>922.50585354328746</v>
          </cell>
          <cell r="DA75">
            <v>969.50970709205603</v>
          </cell>
          <cell r="DB75">
            <v>1008.1944284235115</v>
          </cell>
          <cell r="DC75">
            <v>1026.5653499475102</v>
          </cell>
          <cell r="DD75">
            <v>1104.9780889515089</v>
          </cell>
          <cell r="DE75">
            <v>1163.5601207059408</v>
          </cell>
          <cell r="DF75">
            <v>1205.4952780452709</v>
          </cell>
          <cell r="DG75">
            <v>1220.6274424618173</v>
          </cell>
          <cell r="DH75">
            <v>1312.2995721171899</v>
          </cell>
          <cell r="DI75">
            <v>1383.7334379511055</v>
          </cell>
          <cell r="DJ75">
            <v>1429.3245793262126</v>
          </cell>
          <cell r="DK75">
            <v>1440.2822198422341</v>
          </cell>
          <cell r="DL75">
            <v>1546.2185442910138</v>
          </cell>
          <cell r="DM75">
            <v>1631.7979158849557</v>
          </cell>
          <cell r="DN75">
            <v>1681.4069665632283</v>
          </cell>
          <cell r="DP75">
            <v>0</v>
          </cell>
          <cell r="DQ75">
            <v>0</v>
          </cell>
          <cell r="DR75">
            <v>0</v>
          </cell>
          <cell r="DS75">
            <v>0</v>
          </cell>
          <cell r="DT75">
            <v>0</v>
          </cell>
          <cell r="DU75">
            <v>0</v>
          </cell>
          <cell r="DV75">
            <v>0</v>
          </cell>
          <cell r="DW75">
            <v>0</v>
          </cell>
          <cell r="DX75">
            <v>0</v>
          </cell>
          <cell r="DY75">
            <v>0</v>
          </cell>
          <cell r="DZ75">
            <v>0</v>
          </cell>
          <cell r="EA75">
            <v>15.809000000000001</v>
          </cell>
          <cell r="EB75">
            <v>46.983661914867866</v>
          </cell>
          <cell r="EC75">
            <v>99.204165429873584</v>
          </cell>
          <cell r="ED75">
            <v>189.60346001619089</v>
          </cell>
          <cell r="EE75">
            <v>318.55941709189722</v>
          </cell>
          <cell r="EF75">
            <v>491.68879138127193</v>
          </cell>
          <cell r="EG75">
            <v>709.88987334912895</v>
          </cell>
          <cell r="EH75">
            <v>964.53290433056304</v>
          </cell>
          <cell r="EI75">
            <v>1230.1131600810209</v>
          </cell>
          <cell r="EJ75">
            <v>1519.0850322792783</v>
          </cell>
          <cell r="EK75">
            <v>1818.6095809959104</v>
          </cell>
          <cell r="EL75">
            <v>2200.7677804177583</v>
          </cell>
          <cell r="EM75">
            <v>2643.2167423369669</v>
          </cell>
          <cell r="EN75">
            <v>3105.6782519611434</v>
          </cell>
          <cell r="EO75">
            <v>3756.5160464459996</v>
          </cell>
          <cell r="EP75">
            <v>4500.5988376502301</v>
          </cell>
          <cell r="EQ75">
            <v>5345.9850318563258</v>
          </cell>
          <cell r="ER75">
            <v>6299.7056465814312</v>
          </cell>
        </row>
        <row r="76">
          <cell r="A76" t="str">
            <v>% of revenues</v>
          </cell>
          <cell r="AU76" t="str">
            <v>NA</v>
          </cell>
          <cell r="AV76" t="str">
            <v>NA</v>
          </cell>
          <cell r="AW76">
            <v>0.9302264349657714</v>
          </cell>
          <cell r="AX76">
            <v>0.93598115833422535</v>
          </cell>
          <cell r="AY76">
            <v>0.78391520460363429</v>
          </cell>
          <cell r="AZ76">
            <v>0.76577490608012011</v>
          </cell>
          <cell r="BA76">
            <v>0.71130414485532911</v>
          </cell>
          <cell r="BB76">
            <v>0.69111332474565812</v>
          </cell>
          <cell r="BC76">
            <v>0.760355612785094</v>
          </cell>
          <cell r="BD76">
            <v>0.76211856709764558</v>
          </cell>
          <cell r="BE76">
            <v>0.78980089561066424</v>
          </cell>
          <cell r="BF76">
            <v>0.77988446881198603</v>
          </cell>
          <cell r="BG76">
            <v>0.7798081343965888</v>
          </cell>
          <cell r="BH76">
            <v>0.7728205082524976</v>
          </cell>
          <cell r="BI76">
            <v>0.79313944874821651</v>
          </cell>
          <cell r="BJ76">
            <v>0.76775113792069127</v>
          </cell>
          <cell r="BK76">
            <v>0.78285259062272017</v>
          </cell>
          <cell r="BL76">
            <v>0.72779002060149223</v>
          </cell>
          <cell r="BM76">
            <v>0.75458323293095253</v>
          </cell>
          <cell r="BN76">
            <v>0.74208672768330786</v>
          </cell>
          <cell r="BO76">
            <v>0.74901521434035701</v>
          </cell>
          <cell r="BP76">
            <v>0.6964727391797545</v>
          </cell>
          <cell r="BQ76">
            <v>0.72551615821270488</v>
          </cell>
          <cell r="BR76">
            <v>0.71568310228462284</v>
          </cell>
          <cell r="BS76">
            <v>0.72076565742596477</v>
          </cell>
          <cell r="BT76">
            <v>0.68561702253974799</v>
          </cell>
          <cell r="BU76">
            <v>0.7127840943921766</v>
          </cell>
          <cell r="BV76">
            <v>0.70651932769143522</v>
          </cell>
          <cell r="BW76">
            <v>0.71257775066562978</v>
          </cell>
          <cell r="BX76">
            <v>0.68248613507221922</v>
          </cell>
          <cell r="BY76">
            <v>0.701556177510405</v>
          </cell>
          <cell r="BZ76">
            <v>0.68119525853272056</v>
          </cell>
          <cell r="CA76">
            <v>0.64715819479909864</v>
          </cell>
          <cell r="CB76">
            <v>0.65936232503606751</v>
          </cell>
          <cell r="CC76">
            <v>0.64326713982345185</v>
          </cell>
          <cell r="CD76">
            <v>0.61982092008757428</v>
          </cell>
          <cell r="CE76">
            <v>0.58599834418375518</v>
          </cell>
          <cell r="CF76">
            <v>0.60057738761407153</v>
          </cell>
          <cell r="CG76">
            <v>0.58378133141646982</v>
          </cell>
          <cell r="CH76">
            <v>0.5616989928897288</v>
          </cell>
          <cell r="CI76">
            <v>0.53382528240479465</v>
          </cell>
          <cell r="CJ76">
            <v>0.53734858226720617</v>
          </cell>
          <cell r="CK76">
            <v>0.52480801352395945</v>
          </cell>
          <cell r="CL76">
            <v>0.50901952255315186</v>
          </cell>
          <cell r="CM76">
            <v>0.49217802846512798</v>
          </cell>
          <cell r="CN76">
            <v>0.49652182796295613</v>
          </cell>
          <cell r="CO76">
            <v>0.48662557749959934</v>
          </cell>
          <cell r="CP76">
            <v>0.47468008849718052</v>
          </cell>
          <cell r="CQ76">
            <v>0.45983016405859023</v>
          </cell>
          <cell r="CR76">
            <v>0.46675498534532128</v>
          </cell>
          <cell r="CS76">
            <v>0.45946697344760101</v>
          </cell>
          <cell r="CT76">
            <v>0.45054449018943182</v>
          </cell>
          <cell r="CU76">
            <v>0.43340410677289387</v>
          </cell>
          <cell r="CV76">
            <v>0.43766572215837701</v>
          </cell>
          <cell r="CW76">
            <v>0.43229543277118221</v>
          </cell>
          <cell r="CX76">
            <v>0.42411259148351688</v>
          </cell>
          <cell r="CY76">
            <v>0.40820822257257389</v>
          </cell>
          <cell r="CZ76">
            <v>0.41081164088660638</v>
          </cell>
          <cell r="DA76">
            <v>0.40615300587559444</v>
          </cell>
          <cell r="DB76">
            <v>0.39937369710423781</v>
          </cell>
          <cell r="DC76">
            <v>0.38531178838039915</v>
          </cell>
          <cell r="DD76">
            <v>0.38673804861891381</v>
          </cell>
          <cell r="DE76">
            <v>0.38262278065889727</v>
          </cell>
          <cell r="DF76">
            <v>0.37681254446761192</v>
          </cell>
          <cell r="DG76">
            <v>0.36405972313455814</v>
          </cell>
          <cell r="DH76">
            <v>0.36458006595723669</v>
          </cell>
          <cell r="DI76">
            <v>0.36084392016467165</v>
          </cell>
          <cell r="DJ76">
            <v>0.35571226323798422</v>
          </cell>
          <cell r="DK76">
            <v>0.34390232888598232</v>
          </cell>
          <cell r="DL76">
            <v>0.34369311360555105</v>
          </cell>
          <cell r="DM76">
            <v>0.34020552061403297</v>
          </cell>
          <cell r="DN76">
            <v>0.33555352452834875</v>
          </cell>
          <cell r="DP76" t="str">
            <v>NA</v>
          </cell>
          <cell r="DQ76" t="str">
            <v>NA</v>
          </cell>
          <cell r="DR76" t="str">
            <v>NA</v>
          </cell>
          <cell r="DS76" t="str">
            <v>NA</v>
          </cell>
          <cell r="DT76" t="str">
            <v>NA</v>
          </cell>
          <cell r="DU76" t="str">
            <v>NA</v>
          </cell>
          <cell r="DV76" t="str">
            <v>NA</v>
          </cell>
          <cell r="DW76" t="str">
            <v>NA</v>
          </cell>
          <cell r="DX76" t="str">
            <v>NA</v>
          </cell>
          <cell r="DY76" t="str">
            <v>NA</v>
          </cell>
          <cell r="DZ76">
            <v>0</v>
          </cell>
          <cell r="EA76">
            <v>0.56460714285714286</v>
          </cell>
          <cell r="EB76">
            <v>0.73028571740344239</v>
          </cell>
          <cell r="EC76">
            <v>0.77459779335781997</v>
          </cell>
          <cell r="ED76">
            <v>0.77798163412630839</v>
          </cell>
          <cell r="EE76">
            <v>0.75016935615659297</v>
          </cell>
          <cell r="EF76">
            <v>0.72035664309561453</v>
          </cell>
          <cell r="EG76">
            <v>0.70602087893257848</v>
          </cell>
          <cell r="EH76">
            <v>0.69365256155862121</v>
          </cell>
          <cell r="EI76">
            <v>0.64118686849217199</v>
          </cell>
          <cell r="EJ76">
            <v>0.58228906610480702</v>
          </cell>
          <cell r="EK76">
            <v>0.52554332906390444</v>
          </cell>
          <cell r="EL76">
            <v>0.48695111663582802</v>
          </cell>
          <cell r="EM76">
            <v>0.45897302023206055</v>
          </cell>
          <cell r="EN76">
            <v>0.43160806931701284</v>
          </cell>
          <cell r="EO76">
            <v>0.40590001266652331</v>
          </cell>
          <cell r="EP76">
            <v>0.38265119182935253</v>
          </cell>
          <cell r="EQ76">
            <v>0.36108776382772223</v>
          </cell>
          <cell r="ER76">
            <v>0.34063063181960179</v>
          </cell>
        </row>
        <row r="77">
          <cell r="A77" t="str">
            <v>% of subscription revenues</v>
          </cell>
          <cell r="AU77" t="str">
            <v>NA</v>
          </cell>
          <cell r="AV77" t="str">
            <v>NA</v>
          </cell>
          <cell r="AW77">
            <v>1</v>
          </cell>
          <cell r="AX77">
            <v>1</v>
          </cell>
          <cell r="AY77">
            <v>0.83653881493249593</v>
          </cell>
          <cell r="AZ77">
            <v>0.84589926603292243</v>
          </cell>
          <cell r="BA77">
            <v>0.79647244621692148</v>
          </cell>
          <cell r="BB77">
            <v>0.80319592108536209</v>
          </cell>
          <cell r="BC77">
            <v>0.90322680501026154</v>
          </cell>
          <cell r="BD77">
            <v>0.90696334815405655</v>
          </cell>
          <cell r="BE77">
            <v>0.89046919742830399</v>
          </cell>
          <cell r="BF77">
            <v>0.88422265139968137</v>
          </cell>
          <cell r="BG77">
            <v>0.93541082983648882</v>
          </cell>
          <cell r="BH77">
            <v>0.93712327072890433</v>
          </cell>
          <cell r="BI77">
            <v>0.92321781923884272</v>
          </cell>
          <cell r="BJ77">
            <v>0.91762412982849917</v>
          </cell>
          <cell r="BK77">
            <v>0.94018235257449834</v>
          </cell>
          <cell r="BL77">
            <v>0.92560156621287126</v>
          </cell>
          <cell r="BM77">
            <v>0.9028107354682644</v>
          </cell>
          <cell r="BN77">
            <v>0.88609165800054013</v>
          </cell>
          <cell r="BO77">
            <v>0.88758701735974666</v>
          </cell>
          <cell r="BP77">
            <v>0.87506181675807182</v>
          </cell>
          <cell r="BQ77">
            <v>0.86227991292310757</v>
          </cell>
          <cell r="BR77">
            <v>0.84981869364960017</v>
          </cell>
          <cell r="BS77">
            <v>0.8491963726293984</v>
          </cell>
          <cell r="BT77">
            <v>0.84381844514851501</v>
          </cell>
          <cell r="BU77">
            <v>0.83394666074028212</v>
          </cell>
          <cell r="BV77">
            <v>0.82474702272583977</v>
          </cell>
          <cell r="BW77">
            <v>0.81505100476345305</v>
          </cell>
          <cell r="BX77">
            <v>0.8013675144532949</v>
          </cell>
          <cell r="BY77">
            <v>0.78673260368496745</v>
          </cell>
          <cell r="BZ77">
            <v>0.762364483805412</v>
          </cell>
          <cell r="CA77">
            <v>0.71592910528351095</v>
          </cell>
          <cell r="CB77">
            <v>0.73400791983554248</v>
          </cell>
          <cell r="CC77">
            <v>0.70461067965533852</v>
          </cell>
          <cell r="CD77">
            <v>0.681035519559542</v>
          </cell>
          <cell r="CE77">
            <v>0.63550014513714737</v>
          </cell>
          <cell r="CF77">
            <v>0.64754761622292423</v>
          </cell>
          <cell r="CG77">
            <v>0.62713399019168192</v>
          </cell>
          <cell r="CH77">
            <v>0.60327122293098057</v>
          </cell>
          <cell r="CI77">
            <v>0.56913055753282493</v>
          </cell>
          <cell r="CJ77">
            <v>0.57375600955577133</v>
          </cell>
          <cell r="CK77">
            <v>0.55681721029089315</v>
          </cell>
          <cell r="CL77">
            <v>0.53878423016446242</v>
          </cell>
          <cell r="CM77">
            <v>0.51772848381143499</v>
          </cell>
          <cell r="CN77">
            <v>0.52356648689106355</v>
          </cell>
          <cell r="CO77">
            <v>0.51363957368279278</v>
          </cell>
          <cell r="CP77">
            <v>0.50119597852919417</v>
          </cell>
          <cell r="CQ77">
            <v>0.48223468735479186</v>
          </cell>
          <cell r="CR77">
            <v>0.488823643755327</v>
          </cell>
          <cell r="CS77">
            <v>0.48130799600818819</v>
          </cell>
          <cell r="CT77">
            <v>0.47151413966013417</v>
          </cell>
          <cell r="CU77">
            <v>0.45291202440445338</v>
          </cell>
          <cell r="CV77">
            <v>0.45657940575495526</v>
          </cell>
          <cell r="CW77">
            <v>0.45043203553664879</v>
          </cell>
          <cell r="CX77">
            <v>0.44137971846582996</v>
          </cell>
          <cell r="CY77">
            <v>0.42435790392638661</v>
          </cell>
          <cell r="CZ77">
            <v>0.42643847819132008</v>
          </cell>
          <cell r="DA77">
            <v>0.42116872779509545</v>
          </cell>
          <cell r="DB77">
            <v>0.41381872789364449</v>
          </cell>
          <cell r="DC77">
            <v>0.39897743519730677</v>
          </cell>
          <cell r="DD77">
            <v>0.39989143573167485</v>
          </cell>
          <cell r="DE77">
            <v>0.39523967588738701</v>
          </cell>
          <cell r="DF77">
            <v>0.38902026047551885</v>
          </cell>
          <cell r="DG77">
            <v>0.37569301257884641</v>
          </cell>
          <cell r="DH77">
            <v>0.37572043958609669</v>
          </cell>
          <cell r="DI77">
            <v>0.3715050094592387</v>
          </cell>
          <cell r="DJ77">
            <v>0.3660653005299474</v>
          </cell>
          <cell r="DK77">
            <v>0.3538220556836536</v>
          </cell>
          <cell r="DL77">
            <v>0.35316504559560652</v>
          </cell>
          <cell r="DM77">
            <v>0.34925862775323141</v>
          </cell>
          <cell r="DN77">
            <v>0.34437082975122396</v>
          </cell>
          <cell r="DP77" t="str">
            <v>NA</v>
          </cell>
          <cell r="DQ77" t="str">
            <v>NA</v>
          </cell>
          <cell r="DR77" t="str">
            <v>NA</v>
          </cell>
          <cell r="DS77" t="str">
            <v>NA</v>
          </cell>
          <cell r="DT77" t="str">
            <v>NA</v>
          </cell>
          <cell r="DU77" t="str">
            <v>NA</v>
          </cell>
          <cell r="DV77" t="str">
            <v>NA</v>
          </cell>
          <cell r="DW77" t="str">
            <v>NA</v>
          </cell>
          <cell r="DX77" t="str">
            <v>NA</v>
          </cell>
          <cell r="DY77" t="str">
            <v>NA</v>
          </cell>
          <cell r="DZ77" t="str">
            <v>NA</v>
          </cell>
          <cell r="EA77">
            <v>1</v>
          </cell>
          <cell r="EB77">
            <v>0.81769021241002915</v>
          </cell>
          <cell r="EC77">
            <v>0.89464986430141502</v>
          </cell>
          <cell r="ED77">
            <v>0.92703842062227249</v>
          </cell>
          <cell r="EE77">
            <v>0.91067974377622096</v>
          </cell>
          <cell r="EF77">
            <v>0.86684424370438817</v>
          </cell>
          <cell r="EG77">
            <v>0.83685993665888891</v>
          </cell>
          <cell r="EH77">
            <v>0.78954003951295182</v>
          </cell>
          <cell r="EI77">
            <v>0.70716479452774972</v>
          </cell>
          <cell r="EJ77">
            <v>0.62738069480454539</v>
          </cell>
          <cell r="EK77">
            <v>0.55869906106607869</v>
          </cell>
          <cell r="EL77">
            <v>0.51350257149784695</v>
          </cell>
          <cell r="EM77">
            <v>0.48076700072129247</v>
          </cell>
          <cell r="EN77">
            <v>0.44999951377301689</v>
          </cell>
          <cell r="EO77">
            <v>0.42116070001994471</v>
          </cell>
          <cell r="EP77">
            <v>0.39552074195378822</v>
          </cell>
          <cell r="EQ77">
            <v>0.37199840751836899</v>
          </cell>
          <cell r="ER77">
            <v>0.34991484031711512</v>
          </cell>
        </row>
        <row r="78">
          <cell r="A78" t="str">
            <v>% growth y-o-y</v>
          </cell>
          <cell r="AU78" t="str">
            <v>NA</v>
          </cell>
          <cell r="AV78" t="str">
            <v>NA</v>
          </cell>
          <cell r="AW78" t="str">
            <v>NA</v>
          </cell>
          <cell r="AX78" t="str">
            <v>NA</v>
          </cell>
          <cell r="AY78" t="str">
            <v>NA</v>
          </cell>
          <cell r="AZ78" t="str">
            <v>NA</v>
          </cell>
          <cell r="BA78">
            <v>0.67004468768042869</v>
          </cell>
          <cell r="BB78">
            <v>0.6880618837862893</v>
          </cell>
          <cell r="BC78">
            <v>1.0648724856319869</v>
          </cell>
          <cell r="BD78">
            <v>1.0170511395703552</v>
          </cell>
          <cell r="BE78">
            <v>1.2887792359004249</v>
          </cell>
          <cell r="BF78">
            <v>1.0702542811604787</v>
          </cell>
          <cell r="BG78">
            <v>0.92941649729621334</v>
          </cell>
          <cell r="BH78">
            <v>0.95257084100225975</v>
          </cell>
          <cell r="BI78">
            <v>0.88955146914416927</v>
          </cell>
          <cell r="BJ78">
            <v>0.88862730018681524</v>
          </cell>
          <cell r="BK78">
            <v>0.81894784535738596</v>
          </cell>
          <cell r="BL78">
            <v>0.6955958238388058</v>
          </cell>
          <cell r="BM78">
            <v>0.64504562169049362</v>
          </cell>
          <cell r="BN78">
            <v>0.61043888467212959</v>
          </cell>
          <cell r="BO78">
            <v>0.54851799854297911</v>
          </cell>
          <cell r="BP78">
            <v>0.56112516908041932</v>
          </cell>
          <cell r="BQ78">
            <v>0.54439540686325016</v>
          </cell>
          <cell r="BR78">
            <v>0.52486600456465804</v>
          </cell>
          <cell r="BS78">
            <v>0.46645805543533858</v>
          </cell>
          <cell r="BT78">
            <v>0.45643367266712787</v>
          </cell>
          <cell r="BU78">
            <v>0.43564553905406966</v>
          </cell>
          <cell r="BV78">
            <v>0.42417562415818777</v>
          </cell>
          <cell r="BW78">
            <v>0.42667722248314544</v>
          </cell>
          <cell r="BX78">
            <v>0.37710318796829134</v>
          </cell>
          <cell r="BY78">
            <v>0.34796910405150605</v>
          </cell>
          <cell r="BZ78">
            <v>0.30174133203553133</v>
          </cell>
          <cell r="CA78">
            <v>0.27307485226522954</v>
          </cell>
          <cell r="CB78">
            <v>0.26883978318560664</v>
          </cell>
          <cell r="CC78">
            <v>0.26228303750350301</v>
          </cell>
          <cell r="CD78">
            <v>0.2954753916696593</v>
          </cell>
          <cell r="CE78">
            <v>0.24434120843722074</v>
          </cell>
          <cell r="CF78">
            <v>0.28228540497605148</v>
          </cell>
          <cell r="CG78">
            <v>0.24063246920725745</v>
          </cell>
          <cell r="CH78">
            <v>0.18077005961753856</v>
          </cell>
          <cell r="CI78">
            <v>0.21971977428367317</v>
          </cell>
          <cell r="CJ78">
            <v>0.18232068456094175</v>
          </cell>
          <cell r="CK78">
            <v>0.1831081751793171</v>
          </cell>
          <cell r="CL78">
            <v>0.20556548598672908</v>
          </cell>
          <cell r="CM78">
            <v>0.22281186162715327</v>
          </cell>
          <cell r="CN78">
            <v>0.18656511982571566</v>
          </cell>
          <cell r="CO78">
            <v>0.20582571825959417</v>
          </cell>
          <cell r="CP78">
            <v>0.22506008588985149</v>
          </cell>
          <cell r="CQ78">
            <v>0.19786436643255079</v>
          </cell>
          <cell r="CR78">
            <v>0.2485921337818684</v>
          </cell>
          <cell r="CS78">
            <v>0.19659976394125267</v>
          </cell>
          <cell r="CT78">
            <v>0.16540066914753027</v>
          </cell>
          <cell r="CU78">
            <v>0.14754518017331519</v>
          </cell>
          <cell r="CV78">
            <v>0.14915536455912082</v>
          </cell>
          <cell r="CW78">
            <v>0.19189517053379102</v>
          </cell>
          <cell r="CX78">
            <v>0.20776030812362389</v>
          </cell>
          <cell r="CY78">
            <v>0.20964107851380698</v>
          </cell>
          <cell r="CZ78">
            <v>0.20922201448698785</v>
          </cell>
          <cell r="DA78">
            <v>0.21263007050073313</v>
          </cell>
          <cell r="DB78">
            <v>0.20687588845878913</v>
          </cell>
          <cell r="DC78">
            <v>0.19882995231854328</v>
          </cell>
          <cell r="DD78">
            <v>0.19780062609614557</v>
          </cell>
          <cell r="DE78">
            <v>0.2001531415254405</v>
          </cell>
          <cell r="DF78">
            <v>0.19569722273735812</v>
          </cell>
          <cell r="DG78">
            <v>0.18904017413429131</v>
          </cell>
          <cell r="DH78">
            <v>0.18762497214981355</v>
          </cell>
          <cell r="DI78">
            <v>0.18922384269373538</v>
          </cell>
          <cell r="DJ78">
            <v>0.18567414187128506</v>
          </cell>
          <cell r="DK78">
            <v>0.17995235052016123</v>
          </cell>
          <cell r="DL78">
            <v>0.17825119899752173</v>
          </cell>
          <cell r="DM78">
            <v>0.1792718677819618</v>
          </cell>
          <cell r="DN78">
            <v>0.17636469062600746</v>
          </cell>
          <cell r="DQ78" t="str">
            <v>NA</v>
          </cell>
          <cell r="DR78" t="str">
            <v>NA</v>
          </cell>
          <cell r="DS78" t="str">
            <v>NA</v>
          </cell>
          <cell r="DT78" t="str">
            <v>NA</v>
          </cell>
          <cell r="DU78" t="str">
            <v>NA</v>
          </cell>
          <cell r="DV78" t="str">
            <v>NA</v>
          </cell>
          <cell r="DW78" t="str">
            <v>NA</v>
          </cell>
          <cell r="DX78" t="str">
            <v>NA</v>
          </cell>
          <cell r="DY78" t="str">
            <v>NA</v>
          </cell>
          <cell r="DZ78" t="str">
            <v>NA</v>
          </cell>
          <cell r="EA78" t="str">
            <v>NA</v>
          </cell>
          <cell r="EB78">
            <v>1.9719566016109726</v>
          </cell>
          <cell r="EC78">
            <v>1.1114609076156463</v>
          </cell>
          <cell r="ED78">
            <v>0.91124494817931456</v>
          </cell>
          <cell r="EE78">
            <v>0.68013504112580181</v>
          </cell>
          <cell r="EF78">
            <v>0.54347592631182762</v>
          </cell>
          <cell r="EG78">
            <v>0.44377884099183507</v>
          </cell>
          <cell r="EH78">
            <v>0.35870779474578995</v>
          </cell>
          <cell r="EI78">
            <v>0.27534597789049475</v>
          </cell>
          <cell r="EJ78">
            <v>0.23491486927855032</v>
          </cell>
          <cell r="EK78">
            <v>0.19717431371647254</v>
          </cell>
          <cell r="EL78">
            <v>0.21013757071078976</v>
          </cell>
          <cell r="EM78">
            <v>0.20104300229041949</v>
          </cell>
          <cell r="EN78">
            <v>0.17496162997790976</v>
          </cell>
          <cell r="EO78">
            <v>0.20956381881280572</v>
          </cell>
          <cell r="EP78">
            <v>0.19807789505070783</v>
          </cell>
          <cell r="EQ78">
            <v>0.18783860208422243</v>
          </cell>
          <cell r="ER78">
            <v>0.17839941732757492</v>
          </cell>
        </row>
        <row r="79">
          <cell r="A79" t="str">
            <v>% growth seq</v>
          </cell>
          <cell r="AU79" t="str">
            <v>NA</v>
          </cell>
          <cell r="AV79" t="str">
            <v>NA</v>
          </cell>
          <cell r="AW79" t="str">
            <v>NA</v>
          </cell>
          <cell r="AX79">
            <v>0.23733371072742715</v>
          </cell>
          <cell r="AY79">
            <v>6.1867524662111428E-2</v>
          </cell>
          <cell r="AZ79">
            <v>0.19997888948314468</v>
          </cell>
          <cell r="BA79">
            <v>5.9247145501397425E-2</v>
          </cell>
          <cell r="BB79">
            <v>0.25068262544750697</v>
          </cell>
          <cell r="BC79">
            <v>0.29889849188640727</v>
          </cell>
          <cell r="BD79">
            <v>0.17218801806618056</v>
          </cell>
          <cell r="BE79">
            <v>0.20194417719463664</v>
          </cell>
          <cell r="BF79">
            <v>0.13127164869926977</v>
          </cell>
          <cell r="BG79">
            <v>0.21053544067736718</v>
          </cell>
          <cell r="BH79">
            <v>0.18625509186618583</v>
          </cell>
          <cell r="BI79">
            <v>0.16315133779301205</v>
          </cell>
          <cell r="BJ79">
            <v>0.13071835012173172</v>
          </cell>
          <cell r="BK79">
            <v>0.16587366460870689</v>
          </cell>
          <cell r="BL79">
            <v>0.10580915495167642</v>
          </cell>
          <cell r="BM79">
            <v>0.12847471590714332</v>
          </cell>
          <cell r="BN79">
            <v>0.10693148848789469</v>
          </cell>
          <cell r="BO79">
            <v>0.12104617620519109</v>
          </cell>
          <cell r="BP79">
            <v>0.11481203681127128</v>
          </cell>
          <cell r="BQ79">
            <v>0.11638144238934145</v>
          </cell>
          <cell r="BR79">
            <v>9.293396540566401E-2</v>
          </cell>
          <cell r="BS79">
            <v>7.8106004520988037E-2</v>
          </cell>
          <cell r="BT79">
            <v>0.10719142841392615</v>
          </cell>
          <cell r="BU79">
            <v>0.10044698068122315</v>
          </cell>
          <cell r="BV79">
            <v>8.4202102819108449E-2</v>
          </cell>
          <cell r="BW79">
            <v>7.9999723335779871E-2</v>
          </cell>
          <cell r="BX79">
            <v>6.8718853663479518E-2</v>
          </cell>
          <cell r="BY79">
            <v>7.7165853339967061E-2</v>
          </cell>
          <cell r="BZ79">
            <v>4.7020058009832777E-2</v>
          </cell>
          <cell r="CA79">
            <v>5.6216357578679377E-2</v>
          </cell>
          <cell r="CB79">
            <v>6.516360460337367E-2</v>
          </cell>
          <cell r="CC79">
            <v>7.1599585122821052E-2</v>
          </cell>
          <cell r="CD79">
            <v>7.455196610967163E-2</v>
          </cell>
          <cell r="CE79">
            <v>1.4526055231894874E-2</v>
          </cell>
          <cell r="CF79">
            <v>9.764406646145174E-2</v>
          </cell>
          <cell r="CG79">
            <v>3.6790432249540928E-2</v>
          </cell>
          <cell r="CH79">
            <v>2.2703194199165777E-2</v>
          </cell>
          <cell r="CI79">
            <v>4.7991927821381841E-2</v>
          </cell>
          <cell r="CJ79">
            <v>6.3988066295901813E-2</v>
          </cell>
          <cell r="CK79">
            <v>3.7480991713888745E-2</v>
          </cell>
          <cell r="CL79">
            <v>4.2115758474940979E-2</v>
          </cell>
          <cell r="CM79">
            <v>6.2984114198173069E-2</v>
          </cell>
          <cell r="CN79">
            <v>3.2449199255865091E-2</v>
          </cell>
          <cell r="CO79">
            <v>5.4321622228224564E-2</v>
          </cell>
          <cell r="CP79">
            <v>5.8738755735873838E-2</v>
          </cell>
          <cell r="CQ79">
            <v>3.9386400020502865E-2</v>
          </cell>
          <cell r="CR79">
            <v>7.6171881261858365E-2</v>
          </cell>
          <cell r="CS79">
            <v>1.0418831051883126E-2</v>
          </cell>
          <cell r="CT79">
            <v>3.1134128192580324E-2</v>
          </cell>
          <cell r="CU79">
            <v>2.3461617328305984E-2</v>
          </cell>
          <cell r="CV79">
            <v>7.7681917807338241E-2</v>
          </cell>
          <cell r="CW79">
            <v>4.79986972076476E-2</v>
          </cell>
          <cell r="CX79">
            <v>4.4859399694453517E-2</v>
          </cell>
          <cell r="CY79">
            <v>2.5055390771937747E-2</v>
          </cell>
          <cell r="CZ79">
            <v>7.7308569272695582E-2</v>
          </cell>
          <cell r="DA79">
            <v>5.0952363465478046E-2</v>
          </cell>
          <cell r="DB79">
            <v>3.9901324399820748E-2</v>
          </cell>
          <cell r="DC79">
            <v>1.8221605878862901E-2</v>
          </cell>
          <cell r="DD79">
            <v>7.6383582407109296E-2</v>
          </cell>
          <cell r="DE79">
            <v>5.3016464616071346E-2</v>
          </cell>
          <cell r="DF79">
            <v>3.6040387250370731E-2</v>
          </cell>
          <cell r="DG79">
            <v>1.2552653413195891E-2</v>
          </cell>
          <cell r="DH79">
            <v>7.5102464901562582E-2</v>
          </cell>
          <cell r="DI79">
            <v>5.4434115008258566E-2</v>
          </cell>
          <cell r="DJ79">
            <v>3.2947921994725959E-2</v>
          </cell>
          <cell r="DK79">
            <v>7.6663066419713211E-3</v>
          </cell>
          <cell r="DL79">
            <v>7.3552476722502202E-2</v>
          </cell>
          <cell r="DM79">
            <v>5.5347526331203323E-2</v>
          </cell>
          <cell r="DN79">
            <v>3.0401467115104497E-2</v>
          </cell>
        </row>
        <row r="81">
          <cell r="A81" t="str">
            <v>ITOM</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0</v>
          </cell>
          <cell r="AX81">
            <v>0</v>
          </cell>
          <cell r="AY81">
            <v>1.8140922318791604</v>
          </cell>
          <cell r="AZ81">
            <v>2.0295066663464114</v>
          </cell>
          <cell r="BA81">
            <v>3.0154642368500912</v>
          </cell>
          <cell r="BB81">
            <v>3.6162749500564706</v>
          </cell>
          <cell r="BC81">
            <v>2.0539142904622105</v>
          </cell>
          <cell r="BD81">
            <v>2.3050782259780855</v>
          </cell>
          <cell r="BE81">
            <v>3.3221787728021113</v>
          </cell>
          <cell r="BF81">
            <v>4.0006862808840111</v>
          </cell>
          <cell r="BG81">
            <v>2.5539203774353947</v>
          </cell>
          <cell r="BH81">
            <v>2.9438884644726997</v>
          </cell>
          <cell r="BI81">
            <v>4.2444421702960113</v>
          </cell>
          <cell r="BJ81">
            <v>5.1802889716050053</v>
          </cell>
          <cell r="BK81">
            <v>4.0338429889565948</v>
          </cell>
          <cell r="BL81">
            <v>4.8445011615143629</v>
          </cell>
          <cell r="BM81">
            <v>6.3873499841232437</v>
          </cell>
          <cell r="BN81">
            <v>7.5972658395872328</v>
          </cell>
          <cell r="BO81">
            <v>6.9496939734524554</v>
          </cell>
          <cell r="BP81">
            <v>8.2304670873530696</v>
          </cell>
          <cell r="BQ81">
            <v>10.212349286209173</v>
          </cell>
          <cell r="BR81">
            <v>12.234220774014783</v>
          </cell>
          <cell r="BS81">
            <v>12.703000000000003</v>
          </cell>
          <cell r="BT81">
            <v>14.379000000000019</v>
          </cell>
          <cell r="BU81">
            <v>17.413000000000011</v>
          </cell>
          <cell r="BV81">
            <v>20.180000000000064</v>
          </cell>
          <cell r="BW81">
            <v>22.816000000000031</v>
          </cell>
          <cell r="BX81">
            <v>26.012</v>
          </cell>
          <cell r="BY81">
            <v>28.92900000000003</v>
          </cell>
          <cell r="BZ81">
            <v>35.036000000000001</v>
          </cell>
          <cell r="CA81">
            <v>53.947999999999979</v>
          </cell>
          <cell r="CB81">
            <v>38.926000000000045</v>
          </cell>
          <cell r="CC81">
            <v>51.646113039193509</v>
          </cell>
          <cell r="CD81">
            <v>60.46247093349146</v>
          </cell>
          <cell r="CE81">
            <v>82.671401436670365</v>
          </cell>
          <cell r="CF81">
            <v>67.345869281135037</v>
          </cell>
          <cell r="CG81">
            <v>79.454441861169826</v>
          </cell>
          <cell r="CH81">
            <v>90.905160911817333</v>
          </cell>
          <cell r="CI81">
            <v>114.34859147523694</v>
          </cell>
          <cell r="CJ81">
            <v>102.68732543723164</v>
          </cell>
          <cell r="CK81">
            <v>117.73822009237672</v>
          </cell>
          <cell r="CL81">
            <v>132.24833256562778</v>
          </cell>
          <cell r="CM81">
            <v>159.14228215558168</v>
          </cell>
          <cell r="CN81">
            <v>149.87685304503967</v>
          </cell>
          <cell r="CO81">
            <v>171.11953129367905</v>
          </cell>
          <cell r="CP81">
            <v>193.58295473946319</v>
          </cell>
          <cell r="CQ81">
            <v>229.53917191147448</v>
          </cell>
          <cell r="CR81">
            <v>222.55258169705866</v>
          </cell>
          <cell r="CS81">
            <v>239.83072642441863</v>
          </cell>
          <cell r="CT81">
            <v>262.4160163551727</v>
          </cell>
          <cell r="CU81">
            <v>306.92607652422953</v>
          </cell>
          <cell r="CV81">
            <v>309.27157657065766</v>
          </cell>
          <cell r="CW81">
            <v>336.27316641594712</v>
          </cell>
          <cell r="CX81">
            <v>369.74847606425919</v>
          </cell>
          <cell r="CY81">
            <v>427.23108776353848</v>
          </cell>
          <cell r="CZ81">
            <v>440.2442434264658</v>
          </cell>
          <cell r="DA81">
            <v>476.93102521006574</v>
          </cell>
          <cell r="DB81">
            <v>517.41041304660962</v>
          </cell>
          <cell r="DC81">
            <v>585.05095620370446</v>
          </cell>
          <cell r="DD81">
            <v>611.84781591143769</v>
          </cell>
          <cell r="DE81">
            <v>661.23146748869385</v>
          </cell>
          <cell r="DF81">
            <v>710.51189784992368</v>
          </cell>
          <cell r="DG81">
            <v>790.71304408981678</v>
          </cell>
          <cell r="DH81">
            <v>835.15965429038386</v>
          </cell>
          <cell r="DI81">
            <v>901.05519189758388</v>
          </cell>
          <cell r="DJ81">
            <v>961.39761478689627</v>
          </cell>
          <cell r="DK81">
            <v>1057.1033684158674</v>
          </cell>
          <cell r="DL81">
            <v>1123.917967048128</v>
          </cell>
          <cell r="DM81">
            <v>1211.1041454385595</v>
          </cell>
          <cell r="DN81">
            <v>1285.3495772464198</v>
          </cell>
          <cell r="DP81">
            <v>0</v>
          </cell>
          <cell r="DQ81">
            <v>0</v>
          </cell>
          <cell r="DR81">
            <v>0</v>
          </cell>
          <cell r="DS81">
            <v>0</v>
          </cell>
          <cell r="DT81">
            <v>0</v>
          </cell>
          <cell r="DU81">
            <v>0</v>
          </cell>
          <cell r="DV81">
            <v>0</v>
          </cell>
          <cell r="DW81">
            <v>0</v>
          </cell>
          <cell r="DX81">
            <v>0</v>
          </cell>
          <cell r="DY81">
            <v>0</v>
          </cell>
          <cell r="DZ81">
            <v>0</v>
          </cell>
          <cell r="EA81">
            <v>0</v>
          </cell>
          <cell r="EB81">
            <v>10.475338085132133</v>
          </cell>
          <cell r="EC81">
            <v>11.681857570126418</v>
          </cell>
          <cell r="ED81">
            <v>14.922539983809111</v>
          </cell>
          <cell r="EE81">
            <v>22.862959974181436</v>
          </cell>
          <cell r="EF81">
            <v>37.626731121029479</v>
          </cell>
          <cell r="EG81">
            <v>64.675000000000097</v>
          </cell>
          <cell r="EH81">
            <v>112.79300000000006</v>
          </cell>
          <cell r="EI81">
            <v>204.98258397268498</v>
          </cell>
          <cell r="EJ81">
            <v>320.37687349079255</v>
          </cell>
          <cell r="EK81">
            <v>467.02246957047305</v>
          </cell>
          <cell r="EL81">
            <v>673.72162123376359</v>
          </cell>
          <cell r="EM81">
            <v>954.33849638812455</v>
          </cell>
          <cell r="EN81">
            <v>1322.2192955750934</v>
          </cell>
          <cell r="EO81">
            <v>1861.8167694466795</v>
          </cell>
          <cell r="EP81">
            <v>2568.6421374537595</v>
          </cell>
          <cell r="EQ81">
            <v>3488.3255050646808</v>
          </cell>
          <cell r="ER81">
            <v>4677.4750581489752</v>
          </cell>
        </row>
        <row r="82">
          <cell r="A82" t="str">
            <v>% of revenues</v>
          </cell>
          <cell r="AU82" t="str">
            <v>NA</v>
          </cell>
          <cell r="AV82" t="str">
            <v>NA</v>
          </cell>
          <cell r="AW82">
            <v>0</v>
          </cell>
          <cell r="AX82">
            <v>0</v>
          </cell>
          <cell r="AY82">
            <v>0.15317843721009544</v>
          </cell>
          <cell r="AZ82">
            <v>0.13950417008155153</v>
          </cell>
          <cell r="BA82">
            <v>0.18176396846594883</v>
          </cell>
          <cell r="BB82">
            <v>0.16934090143088132</v>
          </cell>
          <cell r="BC82">
            <v>8.1465742125266166E-2</v>
          </cell>
          <cell r="BD82">
            <v>7.8178418054826393E-2</v>
          </cell>
          <cell r="BE82">
            <v>9.7148251975381197E-2</v>
          </cell>
          <cell r="BF82">
            <v>0.10211563328613026</v>
          </cell>
          <cell r="BG82">
            <v>5.3844961679816887E-2</v>
          </cell>
          <cell r="BH82">
            <v>5.1852757679090776E-2</v>
          </cell>
          <cell r="BI82">
            <v>6.5963822679244874E-2</v>
          </cell>
          <cell r="BJ82">
            <v>6.8921648859862766E-2</v>
          </cell>
          <cell r="BK82">
            <v>4.6938444582280393E-2</v>
          </cell>
          <cell r="BL82">
            <v>4.7391962214732276E-2</v>
          </cell>
          <cell r="BM82">
            <v>5.7409737496501349E-2</v>
          </cell>
          <cell r="BN82">
            <v>6.0666500356042742E-2</v>
          </cell>
          <cell r="BO82">
            <v>4.9965446642119889E-2</v>
          </cell>
          <cell r="BP82">
            <v>4.9356051544181469E-2</v>
          </cell>
          <cell r="BQ82">
            <v>5.7144172110486002E-2</v>
          </cell>
          <cell r="BR82">
            <v>6.1787745570871209E-2</v>
          </cell>
          <cell r="BS82">
            <v>5.9929988111188708E-2</v>
          </cell>
          <cell r="BT82">
            <v>5.828158692585815E-2</v>
          </cell>
          <cell r="BU82">
            <v>6.6678154317442132E-2</v>
          </cell>
          <cell r="BV82">
            <v>7.0645895326448674E-2</v>
          </cell>
          <cell r="BW82">
            <v>7.4591586869317703E-2</v>
          </cell>
          <cell r="BX82">
            <v>7.6211794487155454E-2</v>
          </cell>
          <cell r="BY82">
            <v>8.088498445433609E-2</v>
          </cell>
          <cell r="BZ82">
            <v>9.0845446578127195E-2</v>
          </cell>
          <cell r="CA82">
            <v>0.12582007645106591</v>
          </cell>
          <cell r="CB82">
            <v>8.6838383252501997E-2</v>
          </cell>
          <cell r="CC82">
            <v>0.10489246553255163</v>
          </cell>
          <cell r="CD82">
            <v>0.11011335226180531</v>
          </cell>
          <cell r="CE82">
            <v>0.1403060331024136</v>
          </cell>
          <cell r="CF82">
            <v>0.10671932329481858</v>
          </cell>
          <cell r="CG82">
            <v>0.11804307828020305</v>
          </cell>
          <cell r="CH82">
            <v>0.1270617156576396</v>
          </cell>
          <cell r="CI82">
            <v>0.14494210036839572</v>
          </cell>
          <cell r="CJ82">
            <v>0.1231404639349753</v>
          </cell>
          <cell r="CK82">
            <v>0.13291243393774754</v>
          </cell>
          <cell r="CL82">
            <v>0.13894930158380853</v>
          </cell>
          <cell r="CM82">
            <v>0.15209423529214375</v>
          </cell>
          <cell r="CN82">
            <v>0.13996168720038965</v>
          </cell>
          <cell r="CO82">
            <v>0.14854487026913765</v>
          </cell>
          <cell r="CP82">
            <v>0.15482548986224692</v>
          </cell>
          <cell r="CQ82">
            <v>0.17110061523036119</v>
          </cell>
          <cell r="CR82">
            <v>0.15647222756277365</v>
          </cell>
          <cell r="CS82">
            <v>0.16427571058710172</v>
          </cell>
          <cell r="CT82">
            <v>0.1709334632644918</v>
          </cell>
          <cell r="CU82">
            <v>0.18791191591027834</v>
          </cell>
          <cell r="CV82">
            <v>0.17742689686669963</v>
          </cell>
          <cell r="CW82">
            <v>0.18182308924435961</v>
          </cell>
          <cell r="CX82">
            <v>0.18771798203054599</v>
          </cell>
          <cell r="CY82">
            <v>0.20366461437379946</v>
          </cell>
          <cell r="CZ82">
            <v>0.19605020319193289</v>
          </cell>
          <cell r="DA82">
            <v>0.19979889635700618</v>
          </cell>
          <cell r="DB82">
            <v>0.20496057481866195</v>
          </cell>
          <cell r="DC82">
            <v>0.21959345329553387</v>
          </cell>
          <cell r="DD82">
            <v>0.2141443642578128</v>
          </cell>
          <cell r="DE82">
            <v>0.21743803199115222</v>
          </cell>
          <cell r="DF82">
            <v>0.22209111970763559</v>
          </cell>
          <cell r="DG82">
            <v>0.23583508111995213</v>
          </cell>
          <cell r="DH82">
            <v>0.23202214518349359</v>
          </cell>
          <cell r="DI82">
            <v>0.23497321002120897</v>
          </cell>
          <cell r="DJ82">
            <v>0.23926050553797745</v>
          </cell>
          <cell r="DK82">
            <v>0.25240908015323199</v>
          </cell>
          <cell r="DL82">
            <v>0.2498242353632579</v>
          </cell>
          <cell r="DM82">
            <v>0.25249714582046751</v>
          </cell>
          <cell r="DN82">
            <v>0.25651349701353837</v>
          </cell>
          <cell r="DP82" t="str">
            <v>NA</v>
          </cell>
          <cell r="DQ82" t="str">
            <v>NA</v>
          </cell>
          <cell r="DR82" t="str">
            <v>NA</v>
          </cell>
          <cell r="DS82" t="str">
            <v>NA</v>
          </cell>
          <cell r="DT82" t="str">
            <v>NA</v>
          </cell>
          <cell r="DU82" t="str">
            <v>NA</v>
          </cell>
          <cell r="DV82" t="str">
            <v>NA</v>
          </cell>
          <cell r="DW82" t="str">
            <v>NA</v>
          </cell>
          <cell r="DX82" t="str">
            <v>NA</v>
          </cell>
          <cell r="DY82" t="str">
            <v>NA</v>
          </cell>
          <cell r="DZ82">
            <v>0</v>
          </cell>
          <cell r="EA82">
            <v>0</v>
          </cell>
          <cell r="EB82">
            <v>0.16282234029364792</v>
          </cell>
          <cell r="EC82">
            <v>9.1213318079236619E-2</v>
          </cell>
          <cell r="ED82">
            <v>6.1230222491338589E-2</v>
          </cell>
          <cell r="EE82">
            <v>5.3839538382624362E-2</v>
          </cell>
          <cell r="EF82">
            <v>5.5125653047454197E-2</v>
          </cell>
          <cell r="EG82">
            <v>6.432251263078341E-2</v>
          </cell>
          <cell r="EH82">
            <v>8.1116106070205793E-2</v>
          </cell>
          <cell r="EI82">
            <v>0.1068455694793338</v>
          </cell>
          <cell r="EJ82">
            <v>0.12280546941248156</v>
          </cell>
          <cell r="EK82">
            <v>0.13496054676633992</v>
          </cell>
          <cell r="EL82">
            <v>0.14907047380492192</v>
          </cell>
          <cell r="EM82">
            <v>0.16571309306391382</v>
          </cell>
          <cell r="EN82">
            <v>0.18375390851144963</v>
          </cell>
          <cell r="EO82">
            <v>0.20117349186252603</v>
          </cell>
          <cell r="EP82">
            <v>0.21839182089664919</v>
          </cell>
          <cell r="EQ82">
            <v>0.23561451231554198</v>
          </cell>
          <cell r="ER82">
            <v>0.25291519536985385</v>
          </cell>
        </row>
        <row r="83">
          <cell r="A83" t="str">
            <v>% of subscription revenues</v>
          </cell>
          <cell r="AU83" t="str">
            <v>NA</v>
          </cell>
          <cell r="AV83" t="str">
            <v>NA</v>
          </cell>
          <cell r="AW83">
            <v>0</v>
          </cell>
          <cell r="AX83">
            <v>0</v>
          </cell>
          <cell r="AY83">
            <v>0.16346118506750407</v>
          </cell>
          <cell r="AZ83">
            <v>0.15410073396707755</v>
          </cell>
          <cell r="BA83">
            <v>0.20352755378307849</v>
          </cell>
          <cell r="BB83">
            <v>0.19680407891463786</v>
          </cell>
          <cell r="BC83">
            <v>9.6773194989738534E-2</v>
          </cell>
          <cell r="BD83">
            <v>9.3036651845943383E-2</v>
          </cell>
          <cell r="BE83">
            <v>0.10953080257169599</v>
          </cell>
          <cell r="BF83">
            <v>0.11577734860031866</v>
          </cell>
          <cell r="BG83">
            <v>6.4589170163511164E-2</v>
          </cell>
          <cell r="BH83">
            <v>6.287672927109568E-2</v>
          </cell>
          <cell r="BI83">
            <v>7.678218076115724E-2</v>
          </cell>
          <cell r="BJ83">
            <v>8.2375870171500887E-2</v>
          </cell>
          <cell r="BK83">
            <v>5.6371656403988293E-2</v>
          </cell>
          <cell r="BL83">
            <v>6.027298150585203E-2</v>
          </cell>
          <cell r="BM83">
            <v>6.8687091191965366E-2</v>
          </cell>
          <cell r="BN83">
            <v>7.2439080070055048E-2</v>
          </cell>
          <cell r="BO83">
            <v>5.9209320327603454E-2</v>
          </cell>
          <cell r="BP83">
            <v>6.2011897526845709E-2</v>
          </cell>
          <cell r="BQ83">
            <v>6.7916160369024953E-2</v>
          </cell>
          <cell r="BR83">
            <v>7.336820033471933E-2</v>
          </cell>
          <cell r="BS83">
            <v>7.0608703385638141E-2</v>
          </cell>
          <cell r="BT83">
            <v>7.1729663126493523E-2</v>
          </cell>
          <cell r="BU83">
            <v>7.8012436830221188E-2</v>
          </cell>
          <cell r="BV83">
            <v>8.2467654534903942E-2</v>
          </cell>
          <cell r="BW83">
            <v>8.5318335813807503E-2</v>
          </cell>
          <cell r="BX83">
            <v>8.9487028646720271E-2</v>
          </cell>
          <cell r="BY83">
            <v>9.0705286987276451E-2</v>
          </cell>
          <cell r="BZ83">
            <v>0.1016703230374575</v>
          </cell>
          <cell r="CA83">
            <v>0.13919047225891673</v>
          </cell>
          <cell r="CB83">
            <v>9.6669249413915151E-2</v>
          </cell>
          <cell r="CC83">
            <v>0.11489526956079232</v>
          </cell>
          <cell r="CD83">
            <v>0.12098833975701559</v>
          </cell>
          <cell r="CE83">
            <v>0.15215828728048655</v>
          </cell>
          <cell r="CF83">
            <v>0.1150656765134329</v>
          </cell>
          <cell r="CG83">
            <v>0.12680917102427966</v>
          </cell>
          <cell r="CH83">
            <v>0.13646575401202651</v>
          </cell>
          <cell r="CI83">
            <v>0.15452804711877921</v>
          </cell>
          <cell r="CJ83">
            <v>0.13148370263503281</v>
          </cell>
          <cell r="CK83">
            <v>0.14101905605679263</v>
          </cell>
          <cell r="CL83">
            <v>0.14707430495046428</v>
          </cell>
          <cell r="CM83">
            <v>0.159989908691831</v>
          </cell>
          <cell r="CN83">
            <v>0.1475851508230592</v>
          </cell>
          <cell r="CO83">
            <v>0.15679102654210247</v>
          </cell>
          <cell r="CP83">
            <v>0.1634741266237705</v>
          </cell>
          <cell r="CQ83">
            <v>0.17943723170216491</v>
          </cell>
          <cell r="CR83">
            <v>0.16387039630044825</v>
          </cell>
          <cell r="CS83">
            <v>0.17208464944111179</v>
          </cell>
          <cell r="CT83">
            <v>0.17888920323139829</v>
          </cell>
          <cell r="CU83">
            <v>0.19637000414774658</v>
          </cell>
          <cell r="CV83">
            <v>0.18509438376128703</v>
          </cell>
          <cell r="CW83">
            <v>0.18945132885372973</v>
          </cell>
          <cell r="CX83">
            <v>0.19536064649671281</v>
          </cell>
          <cell r="CY83">
            <v>0.2117220675148842</v>
          </cell>
          <cell r="CZ83">
            <v>0.20350774412778488</v>
          </cell>
          <cell r="DA83">
            <v>0.20718558222198524</v>
          </cell>
          <cell r="DB83">
            <v>0.21237383672182961</v>
          </cell>
          <cell r="DC83">
            <v>0.22738165668441962</v>
          </cell>
          <cell r="DD83">
            <v>0.22142765001456205</v>
          </cell>
          <cell r="DE83">
            <v>0.2246079994029124</v>
          </cell>
          <cell r="DF83">
            <v>0.22928627644292821</v>
          </cell>
          <cell r="DG83">
            <v>0.24337103630929224</v>
          </cell>
          <cell r="DH83">
            <v>0.23911198258512734</v>
          </cell>
          <cell r="DI83">
            <v>0.24191546464676555</v>
          </cell>
          <cell r="DJ83">
            <v>0.24622420398846184</v>
          </cell>
          <cell r="DK83">
            <v>0.25968972034105026</v>
          </cell>
          <cell r="DL83">
            <v>0.25670920940886582</v>
          </cell>
          <cell r="DM83">
            <v>0.25921627168688122</v>
          </cell>
          <cell r="DN83">
            <v>0.26325387561672714</v>
          </cell>
          <cell r="DP83" t="str">
            <v>NA</v>
          </cell>
          <cell r="DQ83" t="str">
            <v>NA</v>
          </cell>
          <cell r="DR83" t="str">
            <v>NA</v>
          </cell>
          <cell r="DS83" t="str">
            <v>NA</v>
          </cell>
          <cell r="DT83" t="str">
            <v>NA</v>
          </cell>
          <cell r="DU83" t="str">
            <v>NA</v>
          </cell>
          <cell r="DV83" t="str">
            <v>NA</v>
          </cell>
          <cell r="DW83" t="str">
            <v>NA</v>
          </cell>
          <cell r="DX83" t="str">
            <v>NA</v>
          </cell>
          <cell r="DY83" t="str">
            <v>NA</v>
          </cell>
          <cell r="DZ83" t="str">
            <v>NA</v>
          </cell>
          <cell r="EA83">
            <v>0</v>
          </cell>
          <cell r="EB83">
            <v>0.1823097875899708</v>
          </cell>
          <cell r="EC83">
            <v>0.10535013569858501</v>
          </cell>
          <cell r="ED83">
            <v>7.2961579377727584E-2</v>
          </cell>
          <cell r="EE83">
            <v>6.5359344016024501E-2</v>
          </cell>
          <cell r="EF83">
            <v>6.6335690081625695E-2</v>
          </cell>
          <cell r="EG83">
            <v>7.6242694022478588E-2</v>
          </cell>
          <cell r="EH83">
            <v>9.2329239652630651E-2</v>
          </cell>
          <cell r="EI83">
            <v>0.11783994479602469</v>
          </cell>
          <cell r="EJ83">
            <v>0.13231534852817151</v>
          </cell>
          <cell r="EK83">
            <v>0.14347500308609196</v>
          </cell>
          <cell r="EL83">
            <v>0.15719867768673212</v>
          </cell>
          <cell r="EM83">
            <v>0.17358185170079227</v>
          </cell>
          <cell r="EN83">
            <v>0.19158392848144182</v>
          </cell>
          <cell r="EO83">
            <v>0.20873704364204357</v>
          </cell>
          <cell r="EP83">
            <v>0.22573690316951359</v>
          </cell>
          <cell r="EQ83">
            <v>0.24273385074166179</v>
          </cell>
          <cell r="ER83">
            <v>0.25980863708253749</v>
          </cell>
        </row>
        <row r="84">
          <cell r="A84" t="str">
            <v>% growth y-o-y</v>
          </cell>
          <cell r="V84" t="str">
            <v>NA</v>
          </cell>
          <cell r="Z84" t="str">
            <v>NA</v>
          </cell>
          <cell r="AA84" t="str">
            <v>NA</v>
          </cell>
          <cell r="AB84" t="str">
            <v>NA</v>
          </cell>
          <cell r="AC84" t="str">
            <v>NA</v>
          </cell>
          <cell r="AD84" t="str">
            <v>NA</v>
          </cell>
          <cell r="AE84" t="str">
            <v>NA</v>
          </cell>
          <cell r="AF84" t="str">
            <v>NA</v>
          </cell>
          <cell r="AG84" t="str">
            <v>NA</v>
          </cell>
          <cell r="AH84" t="str">
            <v>NA</v>
          </cell>
          <cell r="AI84" t="str">
            <v>NA</v>
          </cell>
          <cell r="AJ84" t="str">
            <v>NA</v>
          </cell>
          <cell r="AK84" t="str">
            <v>NA</v>
          </cell>
          <cell r="AL84" t="str">
            <v>NA</v>
          </cell>
          <cell r="AM84" t="str">
            <v>NA</v>
          </cell>
          <cell r="AN84" t="str">
            <v>NA</v>
          </cell>
          <cell r="AO84" t="str">
            <v>NA</v>
          </cell>
          <cell r="AP84" t="str">
            <v>NA</v>
          </cell>
          <cell r="AQ84" t="str">
            <v>NA</v>
          </cell>
          <cell r="AR84" t="str">
            <v>NA</v>
          </cell>
          <cell r="AS84" t="str">
            <v>NA</v>
          </cell>
          <cell r="AT84" t="str">
            <v>NA</v>
          </cell>
          <cell r="AU84" t="str">
            <v>NA</v>
          </cell>
          <cell r="AV84" t="str">
            <v>NA</v>
          </cell>
          <cell r="AW84" t="str">
            <v>NA</v>
          </cell>
          <cell r="AX84" t="str">
            <v>NA</v>
          </cell>
          <cell r="AY84" t="str">
            <v>NA</v>
          </cell>
          <cell r="AZ84" t="str">
            <v>NA</v>
          </cell>
          <cell r="BA84" t="str">
            <v>NA</v>
          </cell>
          <cell r="BB84" t="str">
            <v>NA</v>
          </cell>
          <cell r="BC84">
            <v>0.13219948488210331</v>
          </cell>
          <cell r="BD84">
            <v>0.13578253484023661</v>
          </cell>
          <cell r="BE84">
            <v>0.10171386952756878</v>
          </cell>
          <cell r="BF84">
            <v>0.10630036049154334</v>
          </cell>
          <cell r="BG84">
            <v>0.24344058040545757</v>
          </cell>
          <cell r="BH84">
            <v>0.27713169613736466</v>
          </cell>
          <cell r="BI84">
            <v>0.27760799781283652</v>
          </cell>
          <cell r="BJ84">
            <v>0.29485008518597056</v>
          </cell>
          <cell r="BK84">
            <v>0.57947092814511092</v>
          </cell>
          <cell r="BL84">
            <v>0.64561301149094152</v>
          </cell>
          <cell r="BM84">
            <v>0.50487383921119222</v>
          </cell>
          <cell r="BN84">
            <v>0.4665718227748552</v>
          </cell>
          <cell r="BO84">
            <v>0.72284692103251214</v>
          </cell>
          <cell r="BP84">
            <v>0.69892973764511868</v>
          </cell>
          <cell r="BQ84">
            <v>0.59883978670239824</v>
          </cell>
          <cell r="BR84">
            <v>0.61034522581343298</v>
          </cell>
          <cell r="BS84">
            <v>0.8278502691665186</v>
          </cell>
          <cell r="BT84">
            <v>0.74704544072532419</v>
          </cell>
          <cell r="BU84">
            <v>0.70509248283493853</v>
          </cell>
          <cell r="BV84">
            <v>0.64947162330615615</v>
          </cell>
          <cell r="BW84">
            <v>0.79611115484531414</v>
          </cell>
          <cell r="BX84">
            <v>0.80902705334167657</v>
          </cell>
          <cell r="BY84">
            <v>0.66134497214724708</v>
          </cell>
          <cell r="BZ84">
            <v>0.7361744301288351</v>
          </cell>
          <cell r="CA84">
            <v>1.3644810659186493</v>
          </cell>
          <cell r="CB84">
            <v>0.49646317084422753</v>
          </cell>
          <cell r="CC84">
            <v>0.78527128622466913</v>
          </cell>
          <cell r="CD84">
            <v>0.72572413898537103</v>
          </cell>
          <cell r="CE84">
            <v>0.53242754943038473</v>
          </cell>
          <cell r="CF84">
            <v>0.73009991473911939</v>
          </cell>
          <cell r="CG84">
            <v>0.53843991707319705</v>
          </cell>
          <cell r="CH84">
            <v>0.50349728531294624</v>
          </cell>
          <cell r="CI84">
            <v>0.38316986875845549</v>
          </cell>
          <cell r="CJ84">
            <v>0.52477540988540583</v>
          </cell>
          <cell r="CK84">
            <v>0.48183307735141945</v>
          </cell>
          <cell r="CL84">
            <v>0.4547945489466263</v>
          </cell>
          <cell r="CM84">
            <v>0.39172927363993937</v>
          </cell>
          <cell r="CN84">
            <v>0.45954578529414492</v>
          </cell>
          <cell r="CO84">
            <v>0.45338982668006755</v>
          </cell>
          <cell r="CP84">
            <v>0.46378370890535292</v>
          </cell>
          <cell r="CQ84">
            <v>0.44235189292479138</v>
          </cell>
          <cell r="CR84">
            <v>0.48490295316101362</v>
          </cell>
          <cell r="CS84">
            <v>0.40153917329761701</v>
          </cell>
          <cell r="CT84">
            <v>0.35557397968405646</v>
          </cell>
          <cell r="CU84">
            <v>0.33714029709317139</v>
          </cell>
          <cell r="CV84">
            <v>0.38965620714138449</v>
          </cell>
          <cell r="CW84">
            <v>0.40212712286439167</v>
          </cell>
          <cell r="CX84">
            <v>0.40901642056716159</v>
          </cell>
          <cell r="CY84">
            <v>0.39196738381338458</v>
          </cell>
          <cell r="CZ84">
            <v>0.42348756490360984</v>
          </cell>
          <cell r="DA84">
            <v>0.41828451640454234</v>
          </cell>
          <cell r="DB84">
            <v>0.39935779737111887</v>
          </cell>
          <cell r="DC84">
            <v>0.36940164927210373</v>
          </cell>
          <cell r="DD84">
            <v>0.38979174639369218</v>
          </cell>
          <cell r="DE84">
            <v>0.38642997107905153</v>
          </cell>
          <cell r="DF84">
            <v>0.37320757358997914</v>
          </cell>
          <cell r="DG84">
            <v>0.35152850483420872</v>
          </cell>
          <cell r="DH84">
            <v>0.36497938306160371</v>
          </cell>
          <cell r="DI84">
            <v>0.36269254595478051</v>
          </cell>
          <cell r="DJ84">
            <v>0.35310558161823402</v>
          </cell>
          <cell r="DK84">
            <v>0.33689886149872517</v>
          </cell>
          <cell r="DL84">
            <v>0.34575222985729059</v>
          </cell>
          <cell r="DM84">
            <v>0.34409540761651436</v>
          </cell>
          <cell r="DN84">
            <v>0.3369593989801305</v>
          </cell>
          <cell r="DQ84" t="str">
            <v>NA</v>
          </cell>
          <cell r="DR84" t="str">
            <v>NA</v>
          </cell>
          <cell r="DS84" t="str">
            <v>NA</v>
          </cell>
          <cell r="DT84" t="str">
            <v>NA</v>
          </cell>
          <cell r="DU84" t="str">
            <v>NA</v>
          </cell>
          <cell r="DV84" t="str">
            <v>NA</v>
          </cell>
          <cell r="DW84" t="str">
            <v>NA</v>
          </cell>
          <cell r="DX84" t="str">
            <v>NA</v>
          </cell>
          <cell r="DY84" t="str">
            <v>NA</v>
          </cell>
          <cell r="DZ84" t="str">
            <v>NA</v>
          </cell>
          <cell r="EA84" t="str">
            <v>NA</v>
          </cell>
          <cell r="EB84" t="str">
            <v>NA</v>
          </cell>
          <cell r="EC84">
            <v>0.11517714036425453</v>
          </cell>
          <cell r="ED84">
            <v>0.27741156697287339</v>
          </cell>
          <cell r="EE84">
            <v>0.53210914489005523</v>
          </cell>
          <cell r="EF84">
            <v>0.6457506448648993</v>
          </cell>
          <cell r="EG84">
            <v>0.71885779266786787</v>
          </cell>
          <cell r="EH84">
            <v>0.74399690761499637</v>
          </cell>
          <cell r="EI84">
            <v>0.8173342669552619</v>
          </cell>
          <cell r="EJ84">
            <v>0.56294679909725631</v>
          </cell>
          <cell r="EK84">
            <v>0.45772840742793197</v>
          </cell>
          <cell r="EL84">
            <v>0.44258930807632146</v>
          </cell>
          <cell r="EM84">
            <v>0.41651754420538967</v>
          </cell>
          <cell r="EN84">
            <v>0.3854825102196795</v>
          </cell>
          <cell r="EO84">
            <v>0.40809983311950582</v>
          </cell>
          <cell r="EP84">
            <v>0.37964281964070179</v>
          </cell>
          <cell r="EQ84">
            <v>0.3580426226763469</v>
          </cell>
          <cell r="ER84">
            <v>0.34089409126464099</v>
          </cell>
        </row>
        <row r="85">
          <cell r="A85" t="str">
            <v>% growth seq</v>
          </cell>
          <cell r="V85" t="str">
            <v>NA</v>
          </cell>
          <cell r="Z85" t="str">
            <v>NA</v>
          </cell>
          <cell r="AA85" t="str">
            <v>NA</v>
          </cell>
          <cell r="AB85" t="str">
            <v>NA</v>
          </cell>
          <cell r="AC85" t="str">
            <v>NA</v>
          </cell>
          <cell r="AD85" t="str">
            <v>NA</v>
          </cell>
          <cell r="AE85" t="str">
            <v>NA</v>
          </cell>
          <cell r="AF85" t="str">
            <v>NA</v>
          </cell>
          <cell r="AG85" t="str">
            <v>NA</v>
          </cell>
          <cell r="AH85" t="str">
            <v>NA</v>
          </cell>
          <cell r="AI85" t="str">
            <v>NA</v>
          </cell>
          <cell r="AJ85" t="str">
            <v>NA</v>
          </cell>
          <cell r="AK85" t="str">
            <v>NA</v>
          </cell>
          <cell r="AL85" t="str">
            <v>NA</v>
          </cell>
          <cell r="AM85" t="str">
            <v>NA</v>
          </cell>
          <cell r="AN85" t="str">
            <v>NA</v>
          </cell>
          <cell r="AO85" t="str">
            <v>NA</v>
          </cell>
          <cell r="AP85" t="str">
            <v>NA</v>
          </cell>
          <cell r="AQ85" t="str">
            <v>NA</v>
          </cell>
          <cell r="AR85" t="str">
            <v>NA</v>
          </cell>
          <cell r="AS85" t="str">
            <v>NA</v>
          </cell>
          <cell r="AT85" t="str">
            <v>NA</v>
          </cell>
          <cell r="AU85" t="str">
            <v>NA</v>
          </cell>
          <cell r="AV85" t="str">
            <v>NA</v>
          </cell>
          <cell r="AW85" t="str">
            <v>NA</v>
          </cell>
          <cell r="AX85" t="str">
            <v>NA</v>
          </cell>
          <cell r="AY85" t="str">
            <v>NA</v>
          </cell>
          <cell r="AZ85">
            <v>0.11874502888097926</v>
          </cell>
          <cell r="BA85">
            <v>0.48581144711322133</v>
          </cell>
          <cell r="BB85">
            <v>0.19924318977630362</v>
          </cell>
          <cell r="BC85">
            <v>-0.4320359157341902</v>
          </cell>
          <cell r="BD85">
            <v>0.12228549978069103</v>
          </cell>
          <cell r="BE85">
            <v>0.44124339701853366</v>
          </cell>
          <cell r="BF85">
            <v>0.20423570026895588</v>
          </cell>
          <cell r="BG85">
            <v>-0.36162943102075273</v>
          </cell>
          <cell r="BH85">
            <v>0.15269390952152739</v>
          </cell>
          <cell r="BI85">
            <v>0.44178090356295585</v>
          </cell>
          <cell r="BJ85">
            <v>0.22048758441294236</v>
          </cell>
          <cell r="BK85">
            <v>-0.22130927230748831</v>
          </cell>
          <cell r="BL85">
            <v>0.20096423553844245</v>
          </cell>
          <cell r="BM85">
            <v>0.31847423938414243</v>
          </cell>
          <cell r="BN85">
            <v>0.18942376078834311</v>
          </cell>
          <cell r="BO85">
            <v>-8.523748935577069E-2</v>
          </cell>
          <cell r="BP85">
            <v>0.1842920161366981</v>
          </cell>
          <cell r="BQ85">
            <v>0.24079826549594774</v>
          </cell>
          <cell r="BR85">
            <v>0.19798299403409159</v>
          </cell>
          <cell r="BS85">
            <v>3.8317048109912877E-2</v>
          </cell>
          <cell r="BT85">
            <v>0.13193733763678006</v>
          </cell>
          <cell r="BU85">
            <v>0.21100215592182958</v>
          </cell>
          <cell r="BV85">
            <v>0.15890426692701154</v>
          </cell>
          <cell r="BW85">
            <v>0.13062438057482462</v>
          </cell>
          <cell r="BX85">
            <v>0.14007713884992845</v>
          </cell>
          <cell r="BY85">
            <v>0.11214055051514804</v>
          </cell>
          <cell r="BZ85">
            <v>0.21110304538698066</v>
          </cell>
          <cell r="CA85">
            <v>0.53978764699166515</v>
          </cell>
          <cell r="CB85">
            <v>-0.27845332542448176</v>
          </cell>
          <cell r="CC85">
            <v>0.32677678259244325</v>
          </cell>
          <cell r="CD85">
            <v>0.17070709440625942</v>
          </cell>
          <cell r="CE85">
            <v>0.36731761306296362</v>
          </cell>
          <cell r="CF85">
            <v>-0.18537888422364901</v>
          </cell>
          <cell r="CG85">
            <v>0.17979681173150519</v>
          </cell>
          <cell r="CH85">
            <v>0.14411678922438687</v>
          </cell>
          <cell r="CI85">
            <v>0.25788888472636828</v>
          </cell>
          <cell r="CJ85">
            <v>-0.10197997096038258</v>
          </cell>
          <cell r="CK85">
            <v>0.14657013016027043</v>
          </cell>
          <cell r="CL85">
            <v>0.1232404605901678</v>
          </cell>
          <cell r="CM85">
            <v>0.20335946070705946</v>
          </cell>
          <cell r="CN85">
            <v>-5.8221039594517632E-2</v>
          </cell>
          <cell r="CO85">
            <v>0.14173421590494506</v>
          </cell>
          <cell r="CP85">
            <v>0.13127328760170531</v>
          </cell>
          <cell r="CQ85">
            <v>0.18574061554336518</v>
          </cell>
          <cell r="CR85">
            <v>-3.043746370711109E-2</v>
          </cell>
          <cell r="CS85">
            <v>7.76362358756153E-2</v>
          </cell>
          <cell r="CT85">
            <v>9.4171794696505273E-2</v>
          </cell>
          <cell r="CU85">
            <v>0.16961640065754868</v>
          </cell>
          <cell r="CV85">
            <v>7.6419054157588207E-3</v>
          </cell>
          <cell r="CW85">
            <v>8.7307052735641655E-2</v>
          </cell>
          <cell r="CX85">
            <v>9.9547965736003441E-2</v>
          </cell>
          <cell r="CY85">
            <v>0.15546409362154967</v>
          </cell>
          <cell r="CZ85">
            <v>3.0459290149151608E-2</v>
          </cell>
          <cell r="DA85">
            <v>8.3332791584196597E-2</v>
          </cell>
          <cell r="DB85">
            <v>8.4874721284308619E-2</v>
          </cell>
          <cell r="DC85">
            <v>0.13072899472357857</v>
          </cell>
          <cell r="DD85">
            <v>4.5802608172138548E-2</v>
          </cell>
          <cell r="DE85">
            <v>8.071231161247483E-2</v>
          </cell>
          <cell r="DF85">
            <v>7.4528259443539691E-2</v>
          </cell>
          <cell r="DG85">
            <v>0.11287797781091258</v>
          </cell>
          <cell r="DH85">
            <v>5.6210796739453395E-2</v>
          </cell>
          <cell r="DI85">
            <v>7.8901725279330037E-2</v>
          </cell>
          <cell r="DJ85">
            <v>6.6968620159919112E-2</v>
          </cell>
          <cell r="DK85">
            <v>9.9548565709917325E-2</v>
          </cell>
          <cell r="DL85">
            <v>6.3205359691915763E-2</v>
          </cell>
          <cell r="DM85">
            <v>7.7573435914916722E-2</v>
          </cell>
          <cell r="DN85">
            <v>6.1303920135600709E-2</v>
          </cell>
        </row>
        <row r="87">
          <cell r="A87" t="str">
            <v>non-ITSM/ITOM</v>
          </cell>
          <cell r="AU87">
            <v>0</v>
          </cell>
          <cell r="AV87">
            <v>0</v>
          </cell>
          <cell r="AW87">
            <v>0</v>
          </cell>
          <cell r="AX87">
            <v>0</v>
          </cell>
          <cell r="AY87">
            <v>0</v>
          </cell>
          <cell r="AZ87">
            <v>0</v>
          </cell>
          <cell r="BA87">
            <v>0</v>
          </cell>
          <cell r="BB87">
            <v>0</v>
          </cell>
          <cell r="BC87">
            <v>0</v>
          </cell>
          <cell r="BD87">
            <v>0</v>
          </cell>
          <cell r="BE87">
            <v>0</v>
          </cell>
          <cell r="BF87">
            <v>0</v>
          </cell>
          <cell r="BG87">
            <v>0</v>
          </cell>
          <cell r="BH87">
            <v>0</v>
          </cell>
          <cell r="BI87">
            <v>0</v>
          </cell>
          <cell r="BJ87">
            <v>0</v>
          </cell>
          <cell r="BK87">
            <v>0.19020483767266683</v>
          </cell>
          <cell r="BL87">
            <v>0.6115640397912504</v>
          </cell>
          <cell r="BM87">
            <v>0.88589837409250016</v>
          </cell>
          <cell r="BN87">
            <v>1.2382212278425002</v>
          </cell>
          <cell r="BO87">
            <v>1.6782308003097919</v>
          </cell>
          <cell r="BP87">
            <v>2.1516747499404167</v>
          </cell>
          <cell r="BQ87">
            <v>2.6540828784654167</v>
          </cell>
          <cell r="BR87">
            <v>3.2793231470904169</v>
          </cell>
          <cell r="BS87">
            <v>3.9652115604801672</v>
          </cell>
          <cell r="BT87">
            <v>4.5219081591079169</v>
          </cell>
          <cell r="BU87">
            <v>5.0846066348162502</v>
          </cell>
          <cell r="BV87">
            <v>5.58916850381625</v>
          </cell>
          <cell r="BW87">
            <v>6.2180137373995823</v>
          </cell>
          <cell r="BX87">
            <v>6.9584361453995838</v>
          </cell>
          <cell r="BY87">
            <v>7.7319903719829162</v>
          </cell>
          <cell r="BZ87">
            <v>8.7220321567329169</v>
          </cell>
          <cell r="CA87">
            <v>10.081403270844028</v>
          </cell>
          <cell r="CB87">
            <v>11.706989184316249</v>
          </cell>
          <cell r="CC87">
            <v>13.141208392344026</v>
          </cell>
          <cell r="CD87">
            <v>15.124973249899588</v>
          </cell>
          <cell r="CE87">
            <v>17.541018306524588</v>
          </cell>
          <cell r="CF87">
            <v>18.744621564566256</v>
          </cell>
          <cell r="CG87">
            <v>20.006619672982922</v>
          </cell>
          <cell r="CH87">
            <v>21.619891877024585</v>
          </cell>
          <cell r="CI87">
            <v>23.482901546441255</v>
          </cell>
          <cell r="CJ87">
            <v>24.95954933673292</v>
          </cell>
          <cell r="CK87">
            <v>26.426839585899586</v>
          </cell>
          <cell r="CL87">
            <v>28.257665123982918</v>
          </cell>
          <cell r="CM87">
            <v>30.522037704107923</v>
          </cell>
          <cell r="CN87">
            <v>32.203931878232915</v>
          </cell>
          <cell r="CO87">
            <v>33.743678566399581</v>
          </cell>
          <cell r="CP87">
            <v>36.189734337024575</v>
          </cell>
          <cell r="CQ87">
            <v>39.295022187609405</v>
          </cell>
          <cell r="CR87">
            <v>41.046247436822874</v>
          </cell>
          <cell r="CS87">
            <v>42.580337041280252</v>
          </cell>
          <cell r="CT87">
            <v>45.02194420726785</v>
          </cell>
          <cell r="CU87">
            <v>48.91433687807659</v>
          </cell>
          <cell r="CV87">
            <v>51.637408265686837</v>
          </cell>
          <cell r="CW87">
            <v>54.188558664735595</v>
          </cell>
          <cell r="CX87">
            <v>57.689617991274702</v>
          </cell>
          <cell r="CY87">
            <v>62.750503072926485</v>
          </cell>
          <cell r="CZ87">
            <v>66.449817937196315</v>
          </cell>
          <cell r="DA87">
            <v>69.868672164394667</v>
          </cell>
          <cell r="DB87">
            <v>73.866855095844357</v>
          </cell>
          <cell r="DC87">
            <v>79.634933628342111</v>
          </cell>
          <cell r="DD87">
            <v>84.49671540424302</v>
          </cell>
          <cell r="DE87">
            <v>88.971205412033044</v>
          </cell>
          <cell r="DF87">
            <v>93.579211417718113</v>
          </cell>
          <cell r="DG87">
            <v>100.19694242592038</v>
          </cell>
          <cell r="DH87">
            <v>106.44364872998152</v>
          </cell>
          <cell r="DI87">
            <v>112.20228925577635</v>
          </cell>
          <cell r="DJ87">
            <v>117.55505727457066</v>
          </cell>
          <cell r="DK87">
            <v>125.18842465625329</v>
          </cell>
          <cell r="DL87">
            <v>133.07922719314533</v>
          </cell>
          <cell r="DM87">
            <v>140.39576402200538</v>
          </cell>
          <cell r="DN87">
            <v>146.65545058009235</v>
          </cell>
          <cell r="DP87">
            <v>0</v>
          </cell>
          <cell r="DQ87">
            <v>0</v>
          </cell>
          <cell r="DR87">
            <v>0</v>
          </cell>
          <cell r="DS87">
            <v>0</v>
          </cell>
          <cell r="DT87">
            <v>0</v>
          </cell>
          <cell r="DU87">
            <v>0</v>
          </cell>
          <cell r="DV87">
            <v>0</v>
          </cell>
          <cell r="DW87">
            <v>0</v>
          </cell>
          <cell r="DX87">
            <v>0</v>
          </cell>
          <cell r="DY87">
            <v>0</v>
          </cell>
          <cell r="DZ87">
            <v>0</v>
          </cell>
          <cell r="EA87">
            <v>0</v>
          </cell>
          <cell r="EB87">
            <v>0</v>
          </cell>
          <cell r="EC87">
            <v>0</v>
          </cell>
          <cell r="ED87">
            <v>0</v>
          </cell>
          <cell r="EE87">
            <v>2.9258884793989175</v>
          </cell>
          <cell r="EF87">
            <v>9.7633115758060427</v>
          </cell>
          <cell r="EG87">
            <v>19.160894858220583</v>
          </cell>
          <cell r="EH87">
            <v>29.630472411515001</v>
          </cell>
          <cell r="EI87">
            <v>50.054574097403894</v>
          </cell>
          <cell r="EJ87">
            <v>77.912151421098343</v>
          </cell>
          <cell r="EK87">
            <v>103.12695559305668</v>
          </cell>
          <cell r="EL87">
            <v>132.65938248576498</v>
          </cell>
          <cell r="EM87">
            <v>167.94355087298038</v>
          </cell>
          <cell r="EN87">
            <v>212.42992179977372</v>
          </cell>
          <cell r="EO87">
            <v>272.93584827036182</v>
          </cell>
          <cell r="EP87">
            <v>346.68206586233629</v>
          </cell>
          <cell r="EQ87">
            <v>436.39793768624895</v>
          </cell>
          <cell r="ER87">
            <v>545.31886645149632</v>
          </cell>
        </row>
        <row r="88">
          <cell r="A88" t="str">
            <v>% of revenues</v>
          </cell>
          <cell r="AU88" t="str">
            <v>NA</v>
          </cell>
          <cell r="AV88" t="str">
            <v>NA</v>
          </cell>
          <cell r="AW88">
            <v>0</v>
          </cell>
          <cell r="AX88">
            <v>0</v>
          </cell>
          <cell r="AY88">
            <v>0</v>
          </cell>
          <cell r="AZ88">
            <v>0</v>
          </cell>
          <cell r="BA88">
            <v>0</v>
          </cell>
          <cell r="BB88">
            <v>0</v>
          </cell>
          <cell r="BC88">
            <v>0</v>
          </cell>
          <cell r="BD88">
            <v>0</v>
          </cell>
          <cell r="BE88">
            <v>0</v>
          </cell>
          <cell r="BF88">
            <v>0</v>
          </cell>
          <cell r="BG88">
            <v>0</v>
          </cell>
          <cell r="BH88">
            <v>0</v>
          </cell>
          <cell r="BI88">
            <v>0</v>
          </cell>
          <cell r="BJ88">
            <v>0</v>
          </cell>
          <cell r="BK88">
            <v>2.213254025211683E-3</v>
          </cell>
          <cell r="BL88">
            <v>5.9827046994898395E-3</v>
          </cell>
          <cell r="BM88">
            <v>7.9624872962412042E-3</v>
          </cell>
          <cell r="BN88">
            <v>9.8875766816457732E-3</v>
          </cell>
          <cell r="BO88">
            <v>1.2065790497589992E-2</v>
          </cell>
          <cell r="BP88">
            <v>1.2903055043808755E-2</v>
          </cell>
          <cell r="BQ88">
            <v>1.4851173275803622E-2</v>
          </cell>
          <cell r="BR88">
            <v>1.6561903532708516E-2</v>
          </cell>
          <cell r="BS88">
            <v>1.8707004776660978E-2</v>
          </cell>
          <cell r="BT88">
            <v>1.8328394425606433E-2</v>
          </cell>
          <cell r="BU88">
            <v>1.9470061783711471E-2</v>
          </cell>
          <cell r="BV88">
            <v>1.95664922241073E-2</v>
          </cell>
          <cell r="BW88">
            <v>2.0328344663738215E-2</v>
          </cell>
          <cell r="BX88">
            <v>2.0387317602075475E-2</v>
          </cell>
          <cell r="BY88">
            <v>2.1618511564136814E-2</v>
          </cell>
          <cell r="BZ88">
            <v>2.2615507088343065E-2</v>
          </cell>
          <cell r="CA88">
            <v>2.3512325392444983E-2</v>
          </cell>
          <cell r="CB88">
            <v>2.611663190465368E-2</v>
          </cell>
          <cell r="CC88">
            <v>2.6689593218834597E-2</v>
          </cell>
          <cell r="CD88">
            <v>2.7545376192921033E-2</v>
          </cell>
          <cell r="CE88">
            <v>2.9769795266511748E-2</v>
          </cell>
          <cell r="CF88">
            <v>2.9703578707066022E-2</v>
          </cell>
          <cell r="CG88">
            <v>2.9723234055393091E-2</v>
          </cell>
          <cell r="CH88">
            <v>3.0218972461774744E-2</v>
          </cell>
          <cell r="CI88">
            <v>2.9765658054673388E-2</v>
          </cell>
          <cell r="CJ88">
            <v>2.9930962480972535E-2</v>
          </cell>
          <cell r="CK88">
            <v>2.983275581955017E-2</v>
          </cell>
          <cell r="CL88">
            <v>2.9689469479081083E-2</v>
          </cell>
          <cell r="CM88">
            <v>2.9170286622042477E-2</v>
          </cell>
          <cell r="CN88">
            <v>3.0073467307252529E-2</v>
          </cell>
          <cell r="CO88">
            <v>2.9292099605198373E-2</v>
          </cell>
          <cell r="CP88">
            <v>2.8944146215018896E-2</v>
          </cell>
          <cell r="CQ88">
            <v>2.9290871862096165E-2</v>
          </cell>
          <cell r="CR88">
            <v>2.8858787979709817E-2</v>
          </cell>
          <cell r="CS88">
            <v>2.9166050692420398E-2</v>
          </cell>
          <cell r="CT88">
            <v>2.9326551607402756E-2</v>
          </cell>
          <cell r="CU88">
            <v>2.9947233100327816E-2</v>
          </cell>
          <cell r="CV88">
            <v>2.9624012695930752E-2</v>
          </cell>
          <cell r="CW88">
            <v>2.9299783991489452E-2</v>
          </cell>
          <cell r="CX88">
            <v>2.9288501168976043E-2</v>
          </cell>
          <cell r="CY88">
            <v>2.9913686939333699E-2</v>
          </cell>
          <cell r="CZ88">
            <v>2.9591529027750422E-2</v>
          </cell>
          <cell r="DA88">
            <v>2.9269816494380808E-2</v>
          </cell>
          <cell r="DB88">
            <v>2.926070426635816E-2</v>
          </cell>
          <cell r="DC88">
            <v>2.9890234163329029E-2</v>
          </cell>
          <cell r="DD88">
            <v>2.9573522911347714E-2</v>
          </cell>
          <cell r="DE88">
            <v>2.9257113068358018E-2</v>
          </cell>
          <cell r="DF88">
            <v>2.9250899116552782E-2</v>
          </cell>
          <cell r="DG88">
            <v>2.9884360984822694E-2</v>
          </cell>
          <cell r="DH88">
            <v>2.9571931058467241E-2</v>
          </cell>
          <cell r="DI88">
            <v>2.9259619516353256E-2</v>
          </cell>
          <cell r="DJ88">
            <v>2.9255619110615489E-2</v>
          </cell>
          <cell r="DK88">
            <v>2.9891774122969277E-2</v>
          </cell>
          <cell r="DL88">
            <v>2.9580820977156908E-2</v>
          </cell>
          <cell r="DM88">
            <v>2.9270422229463525E-2</v>
          </cell>
          <cell r="DN88">
            <v>2.9267604043552366E-2</v>
          </cell>
          <cell r="DP88" t="str">
            <v>NA</v>
          </cell>
          <cell r="DQ88" t="str">
            <v>NA</v>
          </cell>
          <cell r="DR88" t="str">
            <v>NA</v>
          </cell>
          <cell r="DS88" t="str">
            <v>NA</v>
          </cell>
          <cell r="DT88" t="str">
            <v>NA</v>
          </cell>
          <cell r="DU88" t="str">
            <v>NA</v>
          </cell>
          <cell r="DV88" t="str">
            <v>NA</v>
          </cell>
          <cell r="DW88" t="str">
            <v>NA</v>
          </cell>
          <cell r="DX88" t="str">
            <v>NA</v>
          </cell>
          <cell r="DY88" t="str">
            <v>NA</v>
          </cell>
          <cell r="DZ88">
            <v>0</v>
          </cell>
          <cell r="EA88">
            <v>0</v>
          </cell>
          <cell r="EB88">
            <v>0</v>
          </cell>
          <cell r="EC88">
            <v>0</v>
          </cell>
          <cell r="ED88">
            <v>0</v>
          </cell>
          <cell r="EE88">
            <v>6.8901176955114031E-3</v>
          </cell>
          <cell r="EF88">
            <v>1.4303898066267938E-2</v>
          </cell>
          <cell r="EG88">
            <v>1.9056465427676916E-2</v>
          </cell>
          <cell r="EH88">
            <v>2.1309022218069879E-2</v>
          </cell>
          <cell r="EI88">
            <v>2.6090555455166344E-2</v>
          </cell>
          <cell r="EJ88">
            <v>2.9864946941868777E-2</v>
          </cell>
          <cell r="EK88">
            <v>2.9801714521332619E-2</v>
          </cell>
          <cell r="EL88">
            <v>2.935277179557777E-2</v>
          </cell>
          <cell r="EM88">
            <v>2.9162027289717386E-2</v>
          </cell>
          <cell r="EN88">
            <v>2.9522204483116394E-2</v>
          </cell>
          <cell r="EO88">
            <v>2.9491332633837773E-2</v>
          </cell>
          <cell r="EP88">
            <v>2.9475701006345674E-2</v>
          </cell>
          <cell r="EQ88">
            <v>2.9475944006420153E-2</v>
          </cell>
          <cell r="ER88">
            <v>2.948587131580056E-2</v>
          </cell>
        </row>
        <row r="89">
          <cell r="A89" t="str">
            <v>% of subscription revenues</v>
          </cell>
          <cell r="AU89" t="str">
            <v>NA</v>
          </cell>
          <cell r="AV89" t="str">
            <v>NA</v>
          </cell>
          <cell r="AW89">
            <v>0</v>
          </cell>
          <cell r="AX89">
            <v>0</v>
          </cell>
          <cell r="AY89">
            <v>0</v>
          </cell>
          <cell r="AZ89">
            <v>0</v>
          </cell>
          <cell r="BA89">
            <v>0</v>
          </cell>
          <cell r="BB89">
            <v>0</v>
          </cell>
          <cell r="BC89">
            <v>0</v>
          </cell>
          <cell r="BD89">
            <v>0</v>
          </cell>
          <cell r="BE89">
            <v>0</v>
          </cell>
          <cell r="BF89">
            <v>0</v>
          </cell>
          <cell r="BG89">
            <v>0</v>
          </cell>
          <cell r="BH89">
            <v>0</v>
          </cell>
          <cell r="BI89">
            <v>0</v>
          </cell>
          <cell r="BJ89">
            <v>0</v>
          </cell>
          <cell r="BK89">
            <v>2.6580513383921687E-3</v>
          </cell>
          <cell r="BL89">
            <v>7.6087891882060613E-3</v>
          </cell>
          <cell r="BM89">
            <v>9.5266084619375878E-3</v>
          </cell>
          <cell r="BN89">
            <v>1.1806300919568453E-2</v>
          </cell>
          <cell r="BO89">
            <v>1.4298025987729857E-2</v>
          </cell>
          <cell r="BP89">
            <v>1.6211647855251626E-2</v>
          </cell>
          <cell r="BQ89">
            <v>1.7650700475938318E-2</v>
          </cell>
          <cell r="BR89">
            <v>1.966598789266881E-2</v>
          </cell>
          <cell r="BS89">
            <v>2.2040340623100639E-2</v>
          </cell>
          <cell r="BT89">
            <v>2.2557545652809857E-2</v>
          </cell>
          <cell r="BU89">
            <v>2.2779679199743066E-2</v>
          </cell>
          <cell r="BV89">
            <v>2.2840714435583893E-2</v>
          </cell>
          <cell r="BW89">
            <v>2.3251691100207094E-2</v>
          </cell>
          <cell r="BX89">
            <v>2.3938558153150328E-2</v>
          </cell>
          <cell r="BY89">
            <v>2.4243230172960286E-2</v>
          </cell>
          <cell r="BZ89">
            <v>2.5310304455934688E-2</v>
          </cell>
          <cell r="CA89">
            <v>2.6010886081066369E-2</v>
          </cell>
          <cell r="CB89">
            <v>2.907326356020843E-2</v>
          </cell>
          <cell r="CC89">
            <v>2.9234778606612652E-2</v>
          </cell>
          <cell r="CD89">
            <v>3.0265805782028959E-2</v>
          </cell>
          <cell r="CE89">
            <v>3.2284577934982905E-2</v>
          </cell>
          <cell r="CF89">
            <v>3.2026649657030719E-2</v>
          </cell>
          <cell r="CG89">
            <v>3.1930535238821903E-2</v>
          </cell>
          <cell r="CH89">
            <v>3.2455526364654499E-2</v>
          </cell>
          <cell r="CI89">
            <v>3.1734251116157949E-2</v>
          </cell>
          <cell r="CJ89">
            <v>3.1958899980323564E-2</v>
          </cell>
          <cell r="CK89">
            <v>3.165232131115879E-2</v>
          </cell>
          <cell r="CL89">
            <v>3.1425549018324096E-2</v>
          </cell>
          <cell r="CM89">
            <v>3.0684604740020553E-2</v>
          </cell>
          <cell r="CN89">
            <v>3.1711515466075688E-2</v>
          </cell>
          <cell r="CO89">
            <v>3.09181889509299E-2</v>
          </cell>
          <cell r="CP89">
            <v>3.0560982093974294E-2</v>
          </cell>
          <cell r="CQ89">
            <v>3.0718024911839923E-2</v>
          </cell>
          <cell r="CR89">
            <v>3.0223261320213746E-2</v>
          </cell>
          <cell r="CS89">
            <v>3.0552475414956044E-2</v>
          </cell>
          <cell r="CT89">
            <v>3.0691494517109931E-2</v>
          </cell>
          <cell r="CU89">
            <v>3.1295185617354691E-2</v>
          </cell>
          <cell r="CV89">
            <v>3.0904211657432009E-2</v>
          </cell>
          <cell r="CW89">
            <v>3.0529032563377315E-2</v>
          </cell>
          <cell r="CX89">
            <v>3.0480939872663974E-2</v>
          </cell>
          <cell r="CY89">
            <v>3.1097143042063381E-2</v>
          </cell>
          <cell r="CZ89">
            <v>3.0717159276972123E-2</v>
          </cell>
          <cell r="DA89">
            <v>3.0351939287407901E-2</v>
          </cell>
          <cell r="DB89">
            <v>3.0319040799564923E-2</v>
          </cell>
          <cell r="DC89">
            <v>3.095033508852434E-2</v>
          </cell>
          <cell r="DD89">
            <v>3.0579351007471691E-2</v>
          </cell>
          <cell r="DE89">
            <v>3.0221859416277717E-2</v>
          </cell>
          <cell r="DF89">
            <v>3.0198549810866396E-2</v>
          </cell>
          <cell r="DG89">
            <v>3.0839296120741433E-2</v>
          </cell>
          <cell r="DH89">
            <v>3.0475552489477833E-2</v>
          </cell>
          <cell r="DI89">
            <v>3.0124091380661085E-2</v>
          </cell>
          <cell r="DJ89">
            <v>3.0107106526018515E-2</v>
          </cell>
          <cell r="DK89">
            <v>3.0753990537025204E-2</v>
          </cell>
          <cell r="DL89">
            <v>3.039604686738874E-2</v>
          </cell>
          <cell r="DM89">
            <v>3.0049328662182882E-2</v>
          </cell>
          <cell r="DN89">
            <v>3.0036665844816374E-2</v>
          </cell>
          <cell r="DP89" t="str">
            <v>NA</v>
          </cell>
          <cell r="DQ89" t="str">
            <v>NA</v>
          </cell>
          <cell r="DR89" t="str">
            <v>NA</v>
          </cell>
          <cell r="DS89" t="str">
            <v>NA</v>
          </cell>
          <cell r="DT89" t="str">
            <v>NA</v>
          </cell>
          <cell r="DU89" t="str">
            <v>NA</v>
          </cell>
          <cell r="DV89" t="str">
            <v>NA</v>
          </cell>
          <cell r="DW89" t="str">
            <v>NA</v>
          </cell>
          <cell r="DX89" t="str">
            <v>NA</v>
          </cell>
          <cell r="DY89" t="str">
            <v>NA</v>
          </cell>
          <cell r="DZ89" t="str">
            <v>NA</v>
          </cell>
          <cell r="EA89">
            <v>0</v>
          </cell>
          <cell r="EB89">
            <v>0</v>
          </cell>
          <cell r="EC89">
            <v>0</v>
          </cell>
          <cell r="ED89">
            <v>0</v>
          </cell>
          <cell r="EE89">
            <v>8.364365414343225E-3</v>
          </cell>
          <cell r="EF89">
            <v>1.7212656841748473E-2</v>
          </cell>
          <cell r="EG89">
            <v>2.2587989855001052E-2</v>
          </cell>
          <cell r="EH89">
            <v>2.4254687687209557E-2</v>
          </cell>
          <cell r="EI89">
            <v>2.8775265362117785E-2</v>
          </cell>
          <cell r="EJ89">
            <v>3.2177645525835914E-2</v>
          </cell>
          <cell r="EK89">
            <v>3.1681859516483835E-2</v>
          </cell>
          <cell r="EL89">
            <v>3.0953258515455811E-2</v>
          </cell>
          <cell r="EM89">
            <v>3.0546763702888703E-2</v>
          </cell>
          <cell r="EN89">
            <v>3.0780188340622152E-2</v>
          </cell>
          <cell r="EO89">
            <v>3.0600122958834651E-2</v>
          </cell>
          <cell r="EP89">
            <v>3.0467045132939213E-2</v>
          </cell>
          <cell r="EQ89">
            <v>3.0366590421824421E-2</v>
          </cell>
          <cell r="ER89">
            <v>3.0289536492841124E-2</v>
          </cell>
        </row>
        <row r="90">
          <cell r="A90" t="str">
            <v>% growth y-o-y</v>
          </cell>
          <cell r="AU90" t="str">
            <v>NA</v>
          </cell>
          <cell r="AV90" t="str">
            <v>NA</v>
          </cell>
          <cell r="AW90" t="str">
            <v>NA</v>
          </cell>
          <cell r="AX90" t="str">
            <v>NA</v>
          </cell>
          <cell r="AY90" t="str">
            <v>NA</v>
          </cell>
          <cell r="AZ90" t="str">
            <v>NA</v>
          </cell>
          <cell r="BA90" t="str">
            <v>NA</v>
          </cell>
          <cell r="BB90" t="str">
            <v>NA</v>
          </cell>
          <cell r="BC90" t="str">
            <v>NA</v>
          </cell>
          <cell r="BD90" t="str">
            <v>NA</v>
          </cell>
          <cell r="BE90" t="str">
            <v>NA</v>
          </cell>
          <cell r="BF90" t="str">
            <v>NA</v>
          </cell>
          <cell r="BG90" t="str">
            <v>NA</v>
          </cell>
          <cell r="BH90" t="str">
            <v>NA</v>
          </cell>
          <cell r="BI90" t="str">
            <v>NA</v>
          </cell>
          <cell r="BJ90" t="str">
            <v>NA</v>
          </cell>
          <cell r="BK90" t="str">
            <v>NA</v>
          </cell>
          <cell r="BL90" t="str">
            <v>NA</v>
          </cell>
          <cell r="BM90" t="str">
            <v>NA</v>
          </cell>
          <cell r="BN90" t="str">
            <v>NA</v>
          </cell>
          <cell r="BO90">
            <v>7.8232813678374704</v>
          </cell>
          <cell r="BP90">
            <v>2.518314697958473</v>
          </cell>
          <cell r="BQ90">
            <v>1.9959225076851688</v>
          </cell>
          <cell r="BR90">
            <v>1.6484145751598613</v>
          </cell>
          <cell r="BS90">
            <v>1.3627331590793181</v>
          </cell>
          <cell r="BT90">
            <v>1.1015760673090278</v>
          </cell>
          <cell r="BU90">
            <v>0.91576784435464043</v>
          </cell>
          <cell r="BV90">
            <v>0.70436649671907015</v>
          </cell>
          <cell r="BW90">
            <v>0.56814173532940382</v>
          </cell>
          <cell r="BX90">
            <v>0.53882739333926355</v>
          </cell>
          <cell r="BY90">
            <v>0.52066638135564225</v>
          </cell>
          <cell r="BZ90">
            <v>0.56052410135381803</v>
          </cell>
          <cell r="CA90">
            <v>0.62132212899551154</v>
          </cell>
          <cell r="CB90">
            <v>0.68241670106523378</v>
          </cell>
          <cell r="CC90">
            <v>0.69958933730201767</v>
          </cell>
          <cell r="CD90">
            <v>0.73411115415619754</v>
          </cell>
          <cell r="CE90">
            <v>0.73993816488367026</v>
          </cell>
          <cell r="CF90">
            <v>0.60114793560057778</v>
          </cell>
          <cell r="CG90">
            <v>0.52243378810114871</v>
          </cell>
          <cell r="CH90">
            <v>0.42941686704590487</v>
          </cell>
          <cell r="CI90">
            <v>0.33874220618688455</v>
          </cell>
          <cell r="CJ90">
            <v>0.33155792186890576</v>
          </cell>
          <cell r="CK90">
            <v>0.32090478141025369</v>
          </cell>
          <cell r="CL90">
            <v>0.30702157460890356</v>
          </cell>
          <cell r="CM90">
            <v>0.29975580929578194</v>
          </cell>
          <cell r="CN90">
            <v>0.29024492565009785</v>
          </cell>
          <cell r="CO90">
            <v>0.27687150999334764</v>
          </cell>
          <cell r="CP90">
            <v>0.28070504686919562</v>
          </cell>
          <cell r="CQ90">
            <v>0.28743115281325848</v>
          </cell>
          <cell r="CR90">
            <v>0.27457254573832346</v>
          </cell>
          <cell r="CS90">
            <v>0.26187596759767073</v>
          </cell>
          <cell r="CT90">
            <v>0.24405290704793381</v>
          </cell>
          <cell r="CU90">
            <v>0.24479728359843933</v>
          </cell>
          <cell r="CV90">
            <v>0.25802994159613624</v>
          </cell>
          <cell r="CW90">
            <v>0.27261929872000668</v>
          </cell>
          <cell r="CX90">
            <v>0.28136665368533587</v>
          </cell>
          <cell r="CY90">
            <v>0.28286525133393492</v>
          </cell>
          <cell r="CZ90">
            <v>0.28685424325125064</v>
          </cell>
          <cell r="DA90">
            <v>0.28936206989139301</v>
          </cell>
          <cell r="DB90">
            <v>0.28041851667342277</v>
          </cell>
          <cell r="DC90">
            <v>0.26907243334436881</v>
          </cell>
          <cell r="DD90">
            <v>0.27158686099190454</v>
          </cell>
          <cell r="DE90">
            <v>0.27340627288138308</v>
          </cell>
          <cell r="DF90">
            <v>0.26686334887679197</v>
          </cell>
          <cell r="DG90">
            <v>0.25820337709505226</v>
          </cell>
          <cell r="DH90">
            <v>0.25973711783637476</v>
          </cell>
          <cell r="DI90">
            <v>0.26110789143699042</v>
          </cell>
          <cell r="DJ90">
            <v>0.25620910342821079</v>
          </cell>
          <cell r="DK90">
            <v>0.24942360141189046</v>
          </cell>
          <cell r="DL90">
            <v>0.25023173088261008</v>
          </cell>
          <cell r="DM90">
            <v>0.25127361440869689</v>
          </cell>
          <cell r="DN90">
            <v>0.24754692805391243</v>
          </cell>
          <cell r="DQ90" t="str">
            <v>NA</v>
          </cell>
          <cell r="DR90" t="str">
            <v>NA</v>
          </cell>
          <cell r="DS90" t="str">
            <v>NA</v>
          </cell>
          <cell r="DT90" t="str">
            <v>NA</v>
          </cell>
          <cell r="DU90" t="str">
            <v>NA</v>
          </cell>
          <cell r="DV90" t="str">
            <v>NA</v>
          </cell>
          <cell r="DW90" t="str">
            <v>NA</v>
          </cell>
          <cell r="DX90" t="str">
            <v>NA</v>
          </cell>
          <cell r="DY90" t="str">
            <v>NA</v>
          </cell>
          <cell r="DZ90" t="str">
            <v>NA</v>
          </cell>
          <cell r="EA90" t="str">
            <v>NA</v>
          </cell>
          <cell r="EB90" t="str">
            <v>NA</v>
          </cell>
          <cell r="EC90" t="str">
            <v>NA</v>
          </cell>
          <cell r="ED90" t="str">
            <v>NA</v>
          </cell>
          <cell r="EE90" t="str">
            <v>NA</v>
          </cell>
          <cell r="EF90">
            <v>2.3368707127934614</v>
          </cell>
          <cell r="EG90">
            <v>0.96254054881360185</v>
          </cell>
          <cell r="EH90">
            <v>0.54640337159423757</v>
          </cell>
          <cell r="EI90">
            <v>0.68929382570193765</v>
          </cell>
          <cell r="EJ90">
            <v>0.55654408864782035</v>
          </cell>
          <cell r="EK90">
            <v>0.32363121428489072</v>
          </cell>
          <cell r="EL90">
            <v>0.2863696181359654</v>
          </cell>
          <cell r="EM90">
            <v>0.26597567187531257</v>
          </cell>
          <cell r="EN90">
            <v>0.26488883136953212</v>
          </cell>
          <cell r="EO90">
            <v>0.2848277020391603</v>
          </cell>
          <cell r="EP90">
            <v>0.27019615803243169</v>
          </cell>
          <cell r="EQ90">
            <v>0.25878428871350345</v>
          </cell>
          <cell r="ER90">
            <v>0.24959084211703297</v>
          </cell>
        </row>
        <row r="91">
          <cell r="A91" t="str">
            <v>% growth seq</v>
          </cell>
          <cell r="AU91" t="str">
            <v>NA</v>
          </cell>
          <cell r="AV91" t="str">
            <v>NA</v>
          </cell>
          <cell r="AW91" t="str">
            <v>NA</v>
          </cell>
          <cell r="AX91" t="str">
            <v>NA</v>
          </cell>
          <cell r="AY91" t="str">
            <v>NA</v>
          </cell>
          <cell r="AZ91" t="str">
            <v>NA</v>
          </cell>
          <cell r="BA91" t="str">
            <v>NA</v>
          </cell>
          <cell r="BB91" t="str">
            <v>NA</v>
          </cell>
          <cell r="BC91" t="str">
            <v>NA</v>
          </cell>
          <cell r="BD91" t="str">
            <v>NA</v>
          </cell>
          <cell r="BE91" t="str">
            <v>NA</v>
          </cell>
          <cell r="BF91" t="str">
            <v>NA</v>
          </cell>
          <cell r="BG91" t="str">
            <v>NA</v>
          </cell>
          <cell r="BH91" t="str">
            <v>NA</v>
          </cell>
          <cell r="BI91" t="str">
            <v>NA</v>
          </cell>
          <cell r="BJ91" t="str">
            <v>NA</v>
          </cell>
          <cell r="BK91" t="str">
            <v>NA</v>
          </cell>
          <cell r="BL91">
            <v>2.2152917206223854</v>
          </cell>
          <cell r="BM91">
            <v>0.44857826237607146</v>
          </cell>
          <cell r="BN91">
            <v>0.39770120823498956</v>
          </cell>
          <cell r="BO91">
            <v>0.35535618560987881</v>
          </cell>
          <cell r="BP91">
            <v>0.28210896233296978</v>
          </cell>
          <cell r="BQ91">
            <v>0.23349631655012559</v>
          </cell>
          <cell r="BR91">
            <v>0.23557676879574774</v>
          </cell>
          <cell r="BS91">
            <v>0.20915548197752498</v>
          </cell>
          <cell r="BT91">
            <v>0.14039518198124501</v>
          </cell>
          <cell r="BU91">
            <v>0.12443828045798755</v>
          </cell>
          <cell r="BV91">
            <v>9.9233216104677835E-2</v>
          </cell>
          <cell r="BW91">
            <v>0.11251141080358562</v>
          </cell>
          <cell r="BX91">
            <v>0.11907699777930225</v>
          </cell>
          <cell r="BY91">
            <v>0.11116782714098061</v>
          </cell>
          <cell r="BZ91">
            <v>0.12804488069946962</v>
          </cell>
          <cell r="CA91">
            <v>0.15585486153725703</v>
          </cell>
          <cell r="CB91">
            <v>0.16124599619712709</v>
          </cell>
          <cell r="CC91">
            <v>0.12250965516814416</v>
          </cell>
          <cell r="CD91">
            <v>0.15095756785283831</v>
          </cell>
          <cell r="CE91">
            <v>0.15973879865480356</v>
          </cell>
          <cell r="CF91">
            <v>6.8616498598258246E-2</v>
          </cell>
          <cell r="CG91">
            <v>6.7325878202965317E-2</v>
          </cell>
          <cell r="CH91">
            <v>8.0636920699814096E-2</v>
          </cell>
          <cell r="CI91">
            <v>8.617109095704989E-2</v>
          </cell>
          <cell r="CJ91">
            <v>6.2881828609269386E-2</v>
          </cell>
          <cell r="CK91">
            <v>5.8786728452955517E-2</v>
          </cell>
          <cell r="CL91">
            <v>6.9279019616866888E-2</v>
          </cell>
          <cell r="CM91">
            <v>8.0133038953851266E-2</v>
          </cell>
          <cell r="CN91">
            <v>5.5104255830816573E-2</v>
          </cell>
          <cell r="CO91">
            <v>4.7812381854136277E-2</v>
          </cell>
          <cell r="CP91">
            <v>7.2489303909522906E-2</v>
          </cell>
          <cell r="CQ91">
            <v>8.5805765294273195E-2</v>
          </cell>
          <cell r="CR91">
            <v>4.4566083735808837E-2</v>
          </cell>
          <cell r="CS91">
            <v>3.7374661516100804E-2</v>
          </cell>
          <cell r="CT91">
            <v>5.7341189282286376E-2</v>
          </cell>
          <cell r="CU91">
            <v>8.6455454986335223E-2</v>
          </cell>
          <cell r="CV91">
            <v>5.567020962377045E-2</v>
          </cell>
          <cell r="CW91">
            <v>4.9405082182329529E-2</v>
          </cell>
          <cell r="CX91">
            <v>6.4608829110959443E-2</v>
          </cell>
          <cell r="CY91">
            <v>8.7726098002888886E-2</v>
          </cell>
          <cell r="CZ91">
            <v>5.8952752298584876E-2</v>
          </cell>
          <cell r="DA91">
            <v>5.1450166958013632E-2</v>
          </cell>
          <cell r="DB91">
            <v>5.7224258134494388E-2</v>
          </cell>
          <cell r="DC91">
            <v>7.8087506568588871E-2</v>
          </cell>
          <cell r="DD91">
            <v>6.1050867432010936E-2</v>
          </cell>
          <cell r="DE91">
            <v>5.2954602866910117E-2</v>
          </cell>
          <cell r="DF91">
            <v>5.179210492141828E-2</v>
          </cell>
          <cell r="DG91">
            <v>7.0717960837072047E-2</v>
          </cell>
          <cell r="DH91">
            <v>6.2344280701774668E-2</v>
          </cell>
          <cell r="DI91">
            <v>5.4100367607680777E-2</v>
          </cell>
          <cell r="DJ91">
            <v>4.7706406476182739E-2</v>
          </cell>
          <cell r="DK91">
            <v>6.4934402301838556E-2</v>
          </cell>
          <cell r="DL91">
            <v>6.3031406925671218E-2</v>
          </cell>
          <cell r="DM91">
            <v>5.4978804605178233E-2</v>
          </cell>
          <cell r="DN91">
            <v>4.458600728940687E-2</v>
          </cell>
        </row>
        <row r="93">
          <cell r="A93" t="str">
            <v>non-IT</v>
          </cell>
          <cell r="B93">
            <v>0</v>
          </cell>
          <cell r="C93">
            <v>0</v>
          </cell>
          <cell r="D93">
            <v>0</v>
          </cell>
          <cell r="E93">
            <v>0</v>
          </cell>
          <cell r="F93">
            <v>0</v>
          </cell>
          <cell r="G93">
            <v>0</v>
          </cell>
          <cell r="H93">
            <v>0</v>
          </cell>
          <cell r="I93">
            <v>0</v>
          </cell>
          <cell r="J93">
            <v>0</v>
          </cell>
          <cell r="K93">
            <v>0</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0</v>
          </cell>
          <cell r="AQ93">
            <v>0</v>
          </cell>
          <cell r="AR93">
            <v>0</v>
          </cell>
          <cell r="AS93">
            <v>0</v>
          </cell>
          <cell r="AT93">
            <v>0</v>
          </cell>
          <cell r="AU93">
            <v>0</v>
          </cell>
          <cell r="AV93">
            <v>0</v>
          </cell>
          <cell r="AW93">
            <v>0</v>
          </cell>
          <cell r="AX93">
            <v>0</v>
          </cell>
          <cell r="AY93">
            <v>0</v>
          </cell>
          <cell r="AZ93">
            <v>0</v>
          </cell>
          <cell r="BA93">
            <v>0</v>
          </cell>
          <cell r="BB93">
            <v>0</v>
          </cell>
          <cell r="BC93">
            <v>0</v>
          </cell>
          <cell r="BD93">
            <v>0</v>
          </cell>
          <cell r="BE93">
            <v>0</v>
          </cell>
          <cell r="BF93">
            <v>0</v>
          </cell>
          <cell r="BG93">
            <v>0</v>
          </cell>
          <cell r="BH93">
            <v>0</v>
          </cell>
          <cell r="BI93">
            <v>0</v>
          </cell>
          <cell r="BJ93">
            <v>0</v>
          </cell>
          <cell r="BK93">
            <v>4.7517119684144647E-2</v>
          </cell>
          <cell r="BL93">
            <v>0.56173100843997337</v>
          </cell>
          <cell r="BM93">
            <v>1.7786475399856629</v>
          </cell>
          <cell r="BN93">
            <v>3.1092548929019457</v>
          </cell>
          <cell r="BO93">
            <v>4.64720938726858</v>
          </cell>
          <cell r="BP93">
            <v>6.26179825530971</v>
          </cell>
          <cell r="BQ93">
            <v>7.9654174691432971</v>
          </cell>
          <cell r="BR93">
            <v>9.7997564226917984</v>
          </cell>
          <cell r="BS93">
            <v>10.435496069335004</v>
          </cell>
          <cell r="BT93">
            <v>11.875104326057119</v>
          </cell>
          <cell r="BU93">
            <v>14.233221735562539</v>
          </cell>
          <cell r="BV93">
            <v>16.251953147827763</v>
          </cell>
          <cell r="BW93">
            <v>19.195164038536777</v>
          </cell>
          <cell r="BX93">
            <v>23.24388031507101</v>
          </cell>
          <cell r="BY93">
            <v>30.049617308909873</v>
          </cell>
          <cell r="BZ93">
            <v>37.098408863824773</v>
          </cell>
          <cell r="CA93">
            <v>45.480032387280254</v>
          </cell>
          <cell r="CB93">
            <v>55.447002354228154</v>
          </cell>
          <cell r="CC93">
            <v>67.904579121872047</v>
          </cell>
          <cell r="CD93">
            <v>82.943837814199341</v>
          </cell>
          <cell r="CE93">
            <v>102.76699186474011</v>
          </cell>
          <cell r="CF93">
            <v>117.09507856548272</v>
          </cell>
          <cell r="CG93">
            <v>131.09522658695684</v>
          </cell>
          <cell r="CH93">
            <v>153.14725218446449</v>
          </cell>
          <cell r="CI93">
            <v>178.75295564056341</v>
          </cell>
          <cell r="CJ93">
            <v>199.35028634117594</v>
          </cell>
          <cell r="CK93">
            <v>219.95965737753068</v>
          </cell>
          <cell r="CL93">
            <v>247.54169367099507</v>
          </cell>
          <cell r="CM93">
            <v>275.40830852357539</v>
          </cell>
          <cell r="CN93">
            <v>293.28001602741199</v>
          </cell>
          <cell r="CO93">
            <v>320.65889085038236</v>
          </cell>
          <cell r="CP93">
            <v>356.23678089768731</v>
          </cell>
          <cell r="CQ93">
            <v>394.5374020754515</v>
          </cell>
          <cell r="CR93">
            <v>417.03051178631523</v>
          </cell>
          <cell r="CS93">
            <v>435.3435587079511</v>
          </cell>
          <cell r="CT93">
            <v>468.11143925410209</v>
          </cell>
          <cell r="CU93">
            <v>516.38205482136914</v>
          </cell>
          <cell r="CV93">
            <v>551.18521561859211</v>
          </cell>
          <cell r="CW93">
            <v>582.38103260505216</v>
          </cell>
          <cell r="CX93">
            <v>628.56864051818889</v>
          </cell>
          <cell r="CY93">
            <v>691.64015995613443</v>
          </cell>
          <cell r="CZ93">
            <v>738.80907145771209</v>
          </cell>
          <cell r="DA93">
            <v>780.99580360073367</v>
          </cell>
          <cell r="DB93">
            <v>833.48031050940449</v>
          </cell>
          <cell r="DC93">
            <v>905.50961365806575</v>
          </cell>
          <cell r="DD93">
            <v>967.40310604030356</v>
          </cell>
          <cell r="DE93">
            <v>1022.9612247374865</v>
          </cell>
          <cell r="DF93">
            <v>1083.1701572531388</v>
          </cell>
          <cell r="DG93">
            <v>1165.9617250940571</v>
          </cell>
          <cell r="DH93">
            <v>1245.3975948329912</v>
          </cell>
          <cell r="DI93">
            <v>1317.2216200915682</v>
          </cell>
          <cell r="DJ93">
            <v>1386.864204773271</v>
          </cell>
          <cell r="DK93">
            <v>1482.5205000116073</v>
          </cell>
          <cell r="DL93">
            <v>1582.7815886997328</v>
          </cell>
          <cell r="DM93">
            <v>1674.3389671304692</v>
          </cell>
          <cell r="DN93">
            <v>1755.4691866432127</v>
          </cell>
          <cell r="DP93">
            <v>0</v>
          </cell>
          <cell r="DQ93">
            <v>0</v>
          </cell>
          <cell r="DR93">
            <v>0</v>
          </cell>
          <cell r="DS93">
            <v>0</v>
          </cell>
          <cell r="DT93">
            <v>0</v>
          </cell>
          <cell r="DU93">
            <v>0</v>
          </cell>
          <cell r="DV93">
            <v>0</v>
          </cell>
          <cell r="DW93">
            <v>0</v>
          </cell>
          <cell r="DX93">
            <v>0</v>
          </cell>
          <cell r="DY93">
            <v>0</v>
          </cell>
          <cell r="DZ93">
            <v>0</v>
          </cell>
          <cell r="EA93">
            <v>0</v>
          </cell>
          <cell r="EB93">
            <v>0</v>
          </cell>
          <cell r="EC93">
            <v>0</v>
          </cell>
          <cell r="ED93">
            <v>0</v>
          </cell>
          <cell r="EE93">
            <v>5.4971505610117273</v>
          </cell>
          <cell r="EF93">
            <v>28.674181534413385</v>
          </cell>
          <cell r="EG93">
            <v>52.795775278782422</v>
          </cell>
          <cell r="EH93">
            <v>109.58707052634243</v>
          </cell>
          <cell r="EI93">
            <v>251.77545167757978</v>
          </cell>
          <cell r="EJ93">
            <v>504.1045492016442</v>
          </cell>
          <cell r="EK93">
            <v>845.60459303026505</v>
          </cell>
          <cell r="EL93">
            <v>1245.5839962990569</v>
          </cell>
          <cell r="EM93">
            <v>1715.0229118238201</v>
          </cell>
          <cell r="EN93">
            <v>2278.5169435632024</v>
          </cell>
          <cell r="EO93">
            <v>3044.925345523985</v>
          </cell>
          <cell r="EP93">
            <v>3979.0441016889945</v>
          </cell>
          <cell r="EQ93">
            <v>5115.4451447918873</v>
          </cell>
          <cell r="ER93">
            <v>6495.1102424850214</v>
          </cell>
        </row>
        <row r="94">
          <cell r="A94" t="str">
            <v>% of revenues</v>
          </cell>
          <cell r="AU94" t="str">
            <v>NA</v>
          </cell>
          <cell r="AV94" t="str">
            <v>NA</v>
          </cell>
          <cell r="AW94">
            <v>0</v>
          </cell>
          <cell r="AX94">
            <v>0</v>
          </cell>
          <cell r="AY94">
            <v>0</v>
          </cell>
          <cell r="AZ94">
            <v>0</v>
          </cell>
          <cell r="BA94">
            <v>0</v>
          </cell>
          <cell r="BB94">
            <v>0</v>
          </cell>
          <cell r="BC94">
            <v>0</v>
          </cell>
          <cell r="BD94">
            <v>0</v>
          </cell>
          <cell r="BE94">
            <v>0</v>
          </cell>
          <cell r="BF94">
            <v>0</v>
          </cell>
          <cell r="BG94">
            <v>0</v>
          </cell>
          <cell r="BH94">
            <v>0</v>
          </cell>
          <cell r="BI94">
            <v>0</v>
          </cell>
          <cell r="BJ94">
            <v>0</v>
          </cell>
          <cell r="BK94">
            <v>5.5291683268533082E-4</v>
          </cell>
          <cell r="BL94">
            <v>5.4952065938836392E-3</v>
          </cell>
          <cell r="BM94">
            <v>1.5986549762137561E-2</v>
          </cell>
          <cell r="BN94">
            <v>2.4828354970070635E-2</v>
          </cell>
          <cell r="BO94">
            <v>3.3411527696229633E-2</v>
          </cell>
          <cell r="BP94">
            <v>3.7550437194898624E-2</v>
          </cell>
          <cell r="BQ94">
            <v>4.4571251338149077E-2</v>
          </cell>
          <cell r="BR94">
            <v>4.9492719453605977E-2</v>
          </cell>
          <cell r="BS94">
            <v>4.9232398281477061E-2</v>
          </cell>
          <cell r="BT94">
            <v>4.8132688297707157E-2</v>
          </cell>
          <cell r="BU94">
            <v>5.4502093569069654E-2</v>
          </cell>
          <cell r="BV94">
            <v>5.6894637310792105E-2</v>
          </cell>
          <cell r="BW94">
            <v>6.2754108776793355E-2</v>
          </cell>
          <cell r="BX94">
            <v>6.8101561958181997E-2</v>
          </cell>
          <cell r="BY94">
            <v>8.401821109924025E-2</v>
          </cell>
          <cell r="BZ94">
            <v>9.6193101968606962E-2</v>
          </cell>
          <cell r="CA94">
            <v>0.10607068198940751</v>
          </cell>
          <cell r="CB94">
            <v>0.12369439553611569</v>
          </cell>
          <cell r="CC94">
            <v>0.1379131614345902</v>
          </cell>
          <cell r="CD94">
            <v>0.15105608305733154</v>
          </cell>
          <cell r="CE94">
            <v>0.17441132860745201</v>
          </cell>
          <cell r="CF94">
            <v>0.18555417992299053</v>
          </cell>
          <cell r="CG94">
            <v>0.19476424139010698</v>
          </cell>
          <cell r="CH94">
            <v>0.21405993252338695</v>
          </cell>
          <cell r="CI94">
            <v>0.22657759490822135</v>
          </cell>
          <cell r="CJ94">
            <v>0.23905663762396626</v>
          </cell>
          <cell r="CK94">
            <v>0.24830826733428388</v>
          </cell>
          <cell r="CL94">
            <v>0.26008453022565764</v>
          </cell>
          <cell r="CM94">
            <v>0.26321110587722479</v>
          </cell>
          <cell r="CN94">
            <v>0.2738779540094729</v>
          </cell>
          <cell r="CO94">
            <v>0.27835649725026507</v>
          </cell>
          <cell r="CP94">
            <v>0.28491420736740486</v>
          </cell>
          <cell r="CQ94">
            <v>0.29409181737630713</v>
          </cell>
          <cell r="CR94">
            <v>0.2932057343179798</v>
          </cell>
          <cell r="CS94">
            <v>0.29819520426964269</v>
          </cell>
          <cell r="CT94">
            <v>0.30492006782516717</v>
          </cell>
          <cell r="CU94">
            <v>0.3161488993116221</v>
          </cell>
          <cell r="CV94">
            <v>0.31621102556660852</v>
          </cell>
          <cell r="CW94">
            <v>0.31489375020364113</v>
          </cell>
          <cell r="CX94">
            <v>0.31911865607054396</v>
          </cell>
          <cell r="CY94">
            <v>0.32971061914123384</v>
          </cell>
          <cell r="CZ94">
            <v>0.32900752421427409</v>
          </cell>
          <cell r="DA94">
            <v>0.32717959489037329</v>
          </cell>
          <cell r="DB94">
            <v>0.33016460286556998</v>
          </cell>
          <cell r="DC94">
            <v>0.3398746398873424</v>
          </cell>
          <cell r="DD94">
            <v>0.33858733779319455</v>
          </cell>
          <cell r="DE94">
            <v>0.33638852118601131</v>
          </cell>
          <cell r="DF94">
            <v>0.33857627688742459</v>
          </cell>
          <cell r="DG94">
            <v>0.34775533308273338</v>
          </cell>
          <cell r="DH94">
            <v>0.34599351162986508</v>
          </cell>
          <cell r="DI94">
            <v>0.34349926082822352</v>
          </cell>
          <cell r="DJ94">
            <v>0.34514526106883431</v>
          </cell>
          <cell r="DK94">
            <v>0.3539877432015025</v>
          </cell>
          <cell r="DL94">
            <v>0.35182033897232012</v>
          </cell>
          <cell r="DM94">
            <v>0.34907469512734846</v>
          </cell>
          <cell r="DN94">
            <v>0.35033390755068738</v>
          </cell>
          <cell r="DP94" t="str">
            <v>NA</v>
          </cell>
          <cell r="DQ94" t="str">
            <v>NA</v>
          </cell>
          <cell r="DR94" t="str">
            <v>NA</v>
          </cell>
          <cell r="DS94" t="str">
            <v>NA</v>
          </cell>
          <cell r="DT94" t="str">
            <v>NA</v>
          </cell>
          <cell r="DU94" t="str">
            <v>NA</v>
          </cell>
          <cell r="DV94" t="str">
            <v>NA</v>
          </cell>
          <cell r="DW94" t="str">
            <v>NA</v>
          </cell>
          <cell r="DX94" t="str">
            <v>NA</v>
          </cell>
          <cell r="DY94" t="str">
            <v>NA</v>
          </cell>
          <cell r="DZ94">
            <v>0</v>
          </cell>
          <cell r="EA94">
            <v>0</v>
          </cell>
          <cell r="EB94">
            <v>0</v>
          </cell>
          <cell r="EC94">
            <v>0</v>
          </cell>
          <cell r="ED94">
            <v>0</v>
          </cell>
          <cell r="EE94">
            <v>1.2945132605702877E-2</v>
          </cell>
          <cell r="EF94">
            <v>4.2009574990753071E-2</v>
          </cell>
          <cell r="EG94">
            <v>5.2508031267436875E-2</v>
          </cell>
          <cell r="EH94">
            <v>7.8810532894221366E-2</v>
          </cell>
          <cell r="EI94">
            <v>0.13123598597523881</v>
          </cell>
          <cell r="EJ94">
            <v>0.19323116279631991</v>
          </cell>
          <cell r="EK94">
            <v>0.24436352779439854</v>
          </cell>
          <cell r="EL94">
            <v>0.27560314325685348</v>
          </cell>
          <cell r="EM94">
            <v>0.29779973507243052</v>
          </cell>
          <cell r="EN94">
            <v>0.31665427617829067</v>
          </cell>
          <cell r="EO94">
            <v>0.32901103603327048</v>
          </cell>
          <cell r="EP94">
            <v>0.33830741702981765</v>
          </cell>
          <cell r="EQ94">
            <v>0.34551624018948868</v>
          </cell>
          <cell r="ER94">
            <v>0.35119633039302856</v>
          </cell>
        </row>
        <row r="95">
          <cell r="A95" t="str">
            <v>% of subscription revenues</v>
          </cell>
          <cell r="AU95" t="str">
            <v>NA</v>
          </cell>
          <cell r="AV95" t="str">
            <v>NA</v>
          </cell>
          <cell r="AW95">
            <v>0</v>
          </cell>
          <cell r="AX95">
            <v>0</v>
          </cell>
          <cell r="AY95">
            <v>0</v>
          </cell>
          <cell r="AZ95">
            <v>0</v>
          </cell>
          <cell r="BA95">
            <v>0</v>
          </cell>
          <cell r="BB95">
            <v>0</v>
          </cell>
          <cell r="BC95">
            <v>0</v>
          </cell>
          <cell r="BD95">
            <v>0</v>
          </cell>
          <cell r="BE95">
            <v>0</v>
          </cell>
          <cell r="BF95">
            <v>0</v>
          </cell>
          <cell r="BG95">
            <v>0</v>
          </cell>
          <cell r="BH95">
            <v>0</v>
          </cell>
          <cell r="BI95">
            <v>0</v>
          </cell>
          <cell r="BJ95">
            <v>0</v>
          </cell>
          <cell r="BK95">
            <v>6.640364415459437E-4</v>
          </cell>
          <cell r="BL95">
            <v>6.988790291131349E-3</v>
          </cell>
          <cell r="BM95">
            <v>1.9126887689109418E-2</v>
          </cell>
          <cell r="BN95">
            <v>2.96463976515756E-2</v>
          </cell>
          <cell r="BO95">
            <v>3.9592838230190247E-2</v>
          </cell>
          <cell r="BP95">
            <v>4.7179095380712688E-2</v>
          </cell>
          <cell r="BQ95">
            <v>5.2973175425081953E-2</v>
          </cell>
          <cell r="BR95">
            <v>5.8768801522580363E-2</v>
          </cell>
          <cell r="BS95">
            <v>5.8004947385788229E-2</v>
          </cell>
          <cell r="BT95">
            <v>5.923897579108714E-2</v>
          </cell>
          <cell r="BU95">
            <v>6.376662904359405E-2</v>
          </cell>
          <cell r="BV95">
            <v>6.6415285317765124E-2</v>
          </cell>
          <cell r="BW95">
            <v>7.1778552394854478E-2</v>
          </cell>
          <cell r="BX95">
            <v>7.9964085176676025E-2</v>
          </cell>
          <cell r="BY95">
            <v>9.4218920870493175E-2</v>
          </cell>
          <cell r="BZ95">
            <v>0.10765518932985332</v>
          </cell>
          <cell r="CA95">
            <v>0.11734238871387945</v>
          </cell>
          <cell r="CB95">
            <v>0.13769768534744942</v>
          </cell>
          <cell r="CC95">
            <v>0.15106490040593909</v>
          </cell>
          <cell r="CD95">
            <v>0.16597464634308245</v>
          </cell>
          <cell r="CE95">
            <v>0.18914460380939602</v>
          </cell>
          <cell r="CF95">
            <v>0.20006608534942594</v>
          </cell>
          <cell r="CG95">
            <v>0.20922778663248598</v>
          </cell>
          <cell r="CH95">
            <v>0.2299028463796062</v>
          </cell>
          <cell r="CI95">
            <v>0.24156261826651237</v>
          </cell>
          <cell r="CJ95">
            <v>0.25525364165330872</v>
          </cell>
          <cell r="CK95">
            <v>0.26345313552063176</v>
          </cell>
          <cell r="CL95">
            <v>0.27529286635697647</v>
          </cell>
          <cell r="CM95">
            <v>0.27687519329766641</v>
          </cell>
          <cell r="CN95">
            <v>0.28879559798194832</v>
          </cell>
          <cell r="CO95">
            <v>0.29380887316713095</v>
          </cell>
          <cell r="CP95">
            <v>0.30082967122229398</v>
          </cell>
          <cell r="CQ95">
            <v>0.30842099255584193</v>
          </cell>
          <cell r="CR95">
            <v>0.30706880466040187</v>
          </cell>
          <cell r="CS95">
            <v>0.31237008203080763</v>
          </cell>
          <cell r="CT95">
            <v>0.31911193361890522</v>
          </cell>
          <cell r="CU95">
            <v>0.33037905216596747</v>
          </cell>
          <cell r="CV95">
            <v>0.32987605571295414</v>
          </cell>
          <cell r="CW95">
            <v>0.3281048610038666</v>
          </cell>
          <cell r="CX95">
            <v>0.33211110776248892</v>
          </cell>
          <cell r="CY95">
            <v>0.34275474991484306</v>
          </cell>
          <cell r="CZ95">
            <v>0.34152262004219935</v>
          </cell>
          <cell r="DA95">
            <v>0.33927562211050338</v>
          </cell>
          <cell r="DB95">
            <v>0.34210639544867194</v>
          </cell>
          <cell r="DC95">
            <v>0.35192879169579599</v>
          </cell>
          <cell r="DD95">
            <v>0.35010306618189924</v>
          </cell>
          <cell r="DE95">
            <v>0.34748085269999435</v>
          </cell>
          <cell r="DF95">
            <v>0.34954524035730034</v>
          </cell>
          <cell r="DG95">
            <v>0.35886762644689402</v>
          </cell>
          <cell r="DH95">
            <v>0.35656594098800259</v>
          </cell>
          <cell r="DI95">
            <v>0.35364790429334353</v>
          </cell>
          <cell r="DJ95">
            <v>0.35519074481590246</v>
          </cell>
          <cell r="DK95">
            <v>0.36419837979026287</v>
          </cell>
          <cell r="DL95">
            <v>0.36151625137657217</v>
          </cell>
          <cell r="DM95">
            <v>0.35836381721116145</v>
          </cell>
          <cell r="DN95">
            <v>0.35953959536797025</v>
          </cell>
          <cell r="DP95" t="str">
            <v>NA</v>
          </cell>
          <cell r="DQ95" t="str">
            <v>NA</v>
          </cell>
          <cell r="DR95" t="str">
            <v>NA</v>
          </cell>
          <cell r="DS95" t="str">
            <v>NA</v>
          </cell>
          <cell r="DT95" t="str">
            <v>NA</v>
          </cell>
          <cell r="DU95" t="str">
            <v>NA</v>
          </cell>
          <cell r="DV95" t="str">
            <v>NA</v>
          </cell>
          <cell r="DW95" t="str">
            <v>NA</v>
          </cell>
          <cell r="DX95" t="str">
            <v>NA</v>
          </cell>
          <cell r="DY95" t="str">
            <v>NA</v>
          </cell>
          <cell r="DZ95" t="str">
            <v>NA</v>
          </cell>
          <cell r="EA95">
            <v>0</v>
          </cell>
          <cell r="EB95">
            <v>0</v>
          </cell>
          <cell r="EC95">
            <v>0</v>
          </cell>
          <cell r="ED95">
            <v>0</v>
          </cell>
          <cell r="EE95">
            <v>1.5714944829137822E-2</v>
          </cell>
          <cell r="EF95">
            <v>5.0552401522544962E-2</v>
          </cell>
          <cell r="EG95">
            <v>6.2238765214684834E-2</v>
          </cell>
          <cell r="EH95">
            <v>8.9704954185600178E-2</v>
          </cell>
          <cell r="EI95">
            <v>0.14474012743752787</v>
          </cell>
          <cell r="EJ95">
            <v>0.20819470642649016</v>
          </cell>
          <cell r="EK95">
            <v>0.25978005235211343</v>
          </cell>
          <cell r="EL95">
            <v>0.29063065663144028</v>
          </cell>
          <cell r="EM95">
            <v>0.31194052620779067</v>
          </cell>
          <cell r="EN95">
            <v>0.33014737314773518</v>
          </cell>
          <cell r="EO95">
            <v>0.34138091629945827</v>
          </cell>
          <cell r="EP95">
            <v>0.34968557121801963</v>
          </cell>
          <cell r="EQ95">
            <v>0.35595637403971248</v>
          </cell>
          <cell r="ER95">
            <v>0.36076851695039386</v>
          </cell>
        </row>
        <row r="96">
          <cell r="A96" t="str">
            <v>% growth y-o-y</v>
          </cell>
          <cell r="AU96" t="str">
            <v>NA</v>
          </cell>
          <cell r="AV96" t="str">
            <v>NA</v>
          </cell>
          <cell r="AW96" t="str">
            <v>NA</v>
          </cell>
          <cell r="AX96" t="str">
            <v>NA</v>
          </cell>
          <cell r="AY96" t="str">
            <v>NA</v>
          </cell>
          <cell r="AZ96" t="str">
            <v>NA</v>
          </cell>
          <cell r="BA96" t="str">
            <v>NA</v>
          </cell>
          <cell r="BB96" t="str">
            <v>NA</v>
          </cell>
          <cell r="BC96" t="str">
            <v>NA</v>
          </cell>
          <cell r="BD96" t="str">
            <v>NA</v>
          </cell>
          <cell r="BE96" t="str">
            <v>NA</v>
          </cell>
          <cell r="BF96" t="str">
            <v>NA</v>
          </cell>
          <cell r="BG96" t="str">
            <v>NA</v>
          </cell>
          <cell r="BH96" t="str">
            <v>NA</v>
          </cell>
          <cell r="BI96" t="str">
            <v>NA</v>
          </cell>
          <cell r="BJ96" t="str">
            <v>NA</v>
          </cell>
          <cell r="BK96" t="str">
            <v>NA</v>
          </cell>
          <cell r="BL96" t="str">
            <v>NA</v>
          </cell>
          <cell r="BM96" t="str">
            <v>NA</v>
          </cell>
          <cell r="BN96" t="str">
            <v>NA</v>
          </cell>
          <cell r="BO96">
            <v>96.800738305677342</v>
          </cell>
          <cell r="BP96">
            <v>10.147325252169779</v>
          </cell>
          <cell r="BQ96">
            <v>3.4783563297804934</v>
          </cell>
          <cell r="BR96">
            <v>2.1518022035000932</v>
          </cell>
          <cell r="BS96">
            <v>1.2455403231719924</v>
          </cell>
          <cell r="BT96">
            <v>0.89643674897823322</v>
          </cell>
          <cell r="BU96">
            <v>0.78687705832113308</v>
          </cell>
          <cell r="BV96">
            <v>0.65840378544466671</v>
          </cell>
          <cell r="BW96">
            <v>0.83941078708680661</v>
          </cell>
          <cell r="BX96">
            <v>0.95736219883709062</v>
          </cell>
          <cell r="BY96">
            <v>1.1112308841384197</v>
          </cell>
          <cell r="BZ96">
            <v>1.2827046402593987</v>
          </cell>
          <cell r="CA96">
            <v>1.3693484617257345</v>
          </cell>
          <cell r="CB96">
            <v>1.3854451839642747</v>
          </cell>
          <cell r="CC96">
            <v>1.2597485493347023</v>
          </cell>
          <cell r="CD96">
            <v>1.2357788475149172</v>
          </cell>
          <cell r="CE96">
            <v>1.2596068311833863</v>
          </cell>
          <cell r="CF96">
            <v>1.1118378558575683</v>
          </cell>
          <cell r="CG96">
            <v>0.93058006223222578</v>
          </cell>
          <cell r="CH96">
            <v>0.846396986446736</v>
          </cell>
          <cell r="CI96">
            <v>0.73940048645030432</v>
          </cell>
          <cell r="CJ96">
            <v>0.70246511453249405</v>
          </cell>
          <cell r="CK96">
            <v>0.67786168195551433</v>
          </cell>
          <cell r="CL96">
            <v>0.61636392517727523</v>
          </cell>
          <cell r="CM96">
            <v>0.54072030605953514</v>
          </cell>
          <cell r="CN96">
            <v>0.4711793065874057</v>
          </cell>
          <cell r="CO96">
            <v>0.45780773926200125</v>
          </cell>
          <cell r="CP96">
            <v>0.43909809945454148</v>
          </cell>
          <cell r="CQ96">
            <v>0.43255446500692063</v>
          </cell>
          <cell r="CR96">
            <v>0.42195338582952302</v>
          </cell>
          <cell r="CS96">
            <v>0.35765316705682726</v>
          </cell>
          <cell r="CT96">
            <v>0.31404578178171239</v>
          </cell>
          <cell r="CU96">
            <v>0.3088291556262035</v>
          </cell>
          <cell r="CV96">
            <v>0.32169038005789186</v>
          </cell>
          <cell r="CW96">
            <v>0.33775042941600231</v>
          </cell>
          <cell r="CX96">
            <v>0.34277564658484394</v>
          </cell>
          <cell r="CY96">
            <v>0.33939619608855676</v>
          </cell>
          <cell r="CZ96">
            <v>0.34040074102595574</v>
          </cell>
          <cell r="DA96">
            <v>0.34103921638253998</v>
          </cell>
          <cell r="DB96">
            <v>0.32599728459613808</v>
          </cell>
          <cell r="DC96">
            <v>0.30922069897661153</v>
          </cell>
          <cell r="DD96">
            <v>0.30940880859998443</v>
          </cell>
          <cell r="DE96">
            <v>0.30981654449509977</v>
          </cell>
          <cell r="DF96">
            <v>0.29957497927111132</v>
          </cell>
          <cell r="DG96">
            <v>0.28763042104414582</v>
          </cell>
          <cell r="DH96">
            <v>0.28736158387019484</v>
          </cell>
          <cell r="DI96">
            <v>0.28765547338277186</v>
          </cell>
          <cell r="DJ96">
            <v>0.28037519819626855</v>
          </cell>
          <cell r="DK96">
            <v>0.27150014284732515</v>
          </cell>
          <cell r="DL96">
            <v>0.27090464544536474</v>
          </cell>
          <cell r="DM96">
            <v>0.27111409469127579</v>
          </cell>
          <cell r="DN96">
            <v>0.26578303816717397</v>
          </cell>
          <cell r="DQ96" t="str">
            <v>NA</v>
          </cell>
          <cell r="DR96" t="str">
            <v>NA</v>
          </cell>
          <cell r="DS96" t="str">
            <v>NA</v>
          </cell>
          <cell r="DT96" t="str">
            <v>NA</v>
          </cell>
          <cell r="DU96" t="str">
            <v>NA</v>
          </cell>
          <cell r="DV96" t="str">
            <v>NA</v>
          </cell>
          <cell r="DW96" t="str">
            <v>NA</v>
          </cell>
          <cell r="DX96" t="str">
            <v>NA</v>
          </cell>
          <cell r="DY96" t="str">
            <v>NA</v>
          </cell>
          <cell r="DZ96" t="str">
            <v>NA</v>
          </cell>
          <cell r="EA96" t="str">
            <v>NA</v>
          </cell>
          <cell r="EB96" t="str">
            <v>NA</v>
          </cell>
          <cell r="EC96" t="str">
            <v>NA</v>
          </cell>
          <cell r="ED96" t="str">
            <v>NA</v>
          </cell>
          <cell r="EE96" t="str">
            <v>NA</v>
          </cell>
          <cell r="EF96">
            <v>4.2161899544436023</v>
          </cell>
          <cell r="EG96">
            <v>0.84123041891952344</v>
          </cell>
          <cell r="EH96">
            <v>1.0756787820176839</v>
          </cell>
          <cell r="EI96">
            <v>1.297492308794387</v>
          </cell>
          <cell r="EJ96">
            <v>1.0021989667491238</v>
          </cell>
          <cell r="EK96">
            <v>0.67743892486084123</v>
          </cell>
          <cell r="EL96">
            <v>0.47300997010369383</v>
          </cell>
          <cell r="EM96">
            <v>0.37688258432958688</v>
          </cell>
          <cell r="EN96">
            <v>0.32856355903732015</v>
          </cell>
          <cell r="EO96">
            <v>0.33636282763921588</v>
          </cell>
          <cell r="EP96">
            <v>0.30677886981306668</v>
          </cell>
          <cell r="EQ96">
            <v>0.2855964935448998</v>
          </cell>
          <cell r="ER96">
            <v>0.26970577508739235</v>
          </cell>
        </row>
        <row r="97">
          <cell r="A97" t="str">
            <v>% growth seq</v>
          </cell>
          <cell r="AU97" t="str">
            <v>NA</v>
          </cell>
          <cell r="AV97" t="str">
            <v>NA</v>
          </cell>
          <cell r="AW97" t="str">
            <v>NA</v>
          </cell>
          <cell r="AX97" t="str">
            <v>NA</v>
          </cell>
          <cell r="AY97" t="str">
            <v>NA</v>
          </cell>
          <cell r="AZ97" t="str">
            <v>NA</v>
          </cell>
          <cell r="BA97" t="str">
            <v>NA</v>
          </cell>
          <cell r="BB97" t="str">
            <v>NA</v>
          </cell>
          <cell r="BC97" t="str">
            <v>NA</v>
          </cell>
          <cell r="BD97" t="str">
            <v>NA</v>
          </cell>
          <cell r="BE97" t="str">
            <v>NA</v>
          </cell>
          <cell r="BF97" t="str">
            <v>NA</v>
          </cell>
          <cell r="BG97" t="str">
            <v>NA</v>
          </cell>
          <cell r="BH97" t="str">
            <v>NA</v>
          </cell>
          <cell r="BI97" t="str">
            <v>NA</v>
          </cell>
          <cell r="BJ97" t="str">
            <v>NA</v>
          </cell>
          <cell r="BK97" t="str">
            <v>NA</v>
          </cell>
          <cell r="BL97">
            <v>10.821655272329352</v>
          </cell>
          <cell r="BM97">
            <v>2.1663688015466382</v>
          </cell>
          <cell r="BN97">
            <v>0.74810063433197582</v>
          </cell>
          <cell r="BO97">
            <v>0.49463763742162126</v>
          </cell>
          <cell r="BP97">
            <v>0.34743191741358403</v>
          </cell>
          <cell r="BQ97">
            <v>0.2720654905144857</v>
          </cell>
          <cell r="BR97">
            <v>0.23028786132734735</v>
          </cell>
          <cell r="BS97">
            <v>6.4873004921951027E-2</v>
          </cell>
          <cell r="BT97">
            <v>0.1379530256307071</v>
          </cell>
          <cell r="BU97">
            <v>0.19857656360383191</v>
          </cell>
          <cell r="BV97">
            <v>0.14183235881313538</v>
          </cell>
          <cell r="BW97">
            <v>0.18109890324797084</v>
          </cell>
          <cell r="BX97">
            <v>0.21092376540288527</v>
          </cell>
          <cell r="BY97">
            <v>0.29279693844517518</v>
          </cell>
          <cell r="BZ97">
            <v>0.23457175785146833</v>
          </cell>
          <cell r="CA97">
            <v>0.22592946113191736</v>
          </cell>
          <cell r="CB97">
            <v>0.21915045886676721</v>
          </cell>
          <cell r="CC97">
            <v>0.22467538800488329</v>
          </cell>
          <cell r="CD97">
            <v>0.22147635530345489</v>
          </cell>
          <cell r="CE97">
            <v>0.23899489790846395</v>
          </cell>
          <cell r="CF97">
            <v>0.13942304275677309</v>
          </cell>
          <cell r="CG97">
            <v>0.11956222407455708</v>
          </cell>
          <cell r="CH97">
            <v>0.16821379520542878</v>
          </cell>
          <cell r="CI97">
            <v>0.16719662345137665</v>
          </cell>
          <cell r="CJ97">
            <v>0.11522791680172073</v>
          </cell>
          <cell r="CK97">
            <v>0.10338270094622803</v>
          </cell>
          <cell r="CL97">
            <v>0.12539588678356406</v>
          </cell>
          <cell r="CM97">
            <v>0.11257341920596819</v>
          </cell>
          <cell r="CN97">
            <v>6.4891678830040656E-2</v>
          </cell>
          <cell r="CO97">
            <v>9.3354041621476647E-2</v>
          </cell>
          <cell r="CP97">
            <v>0.11095245153799715</v>
          </cell>
          <cell r="CQ97">
            <v>0.10751450504703586</v>
          </cell>
          <cell r="CR97">
            <v>5.7011349475460271E-2</v>
          </cell>
          <cell r="CS97">
            <v>4.3912966567346556E-2</v>
          </cell>
          <cell r="CT97">
            <v>7.526901430080235E-2</v>
          </cell>
          <cell r="CU97">
            <v>0.10311778674792138</v>
          </cell>
          <cell r="CV97">
            <v>6.7398083400211029E-2</v>
          </cell>
          <cell r="CW97">
            <v>5.6597702736727262E-2</v>
          </cell>
          <cell r="CX97">
            <v>7.9308228337270359E-2</v>
          </cell>
          <cell r="CY97">
            <v>0.10034149871993248</v>
          </cell>
          <cell r="CZ97">
            <v>6.8198630201822263E-2</v>
          </cell>
          <cell r="DA97">
            <v>5.71009937111151E-2</v>
          </cell>
          <cell r="DB97">
            <v>6.7202034462533922E-2</v>
          </cell>
          <cell r="DC97">
            <v>8.6419921671141209E-2</v>
          </cell>
          <cell r="DD97">
            <v>6.8352109628302404E-2</v>
          </cell>
          <cell r="DE97">
            <v>5.7430163651829735E-2</v>
          </cell>
          <cell r="DF97">
            <v>5.885749240505489E-2</v>
          </cell>
          <cell r="DG97">
            <v>7.6434498574880605E-2</v>
          </cell>
          <cell r="DH97">
            <v>6.8129054349983953E-2</v>
          </cell>
          <cell r="DI97">
            <v>5.7671562524744147E-2</v>
          </cell>
          <cell r="DJ97">
            <v>5.2870818106418138E-2</v>
          </cell>
          <cell r="DK97">
            <v>6.8973079634696122E-2</v>
          </cell>
          <cell r="DL97">
            <v>6.7628804247455987E-2</v>
          </cell>
          <cell r="DM97">
            <v>5.7845870260565535E-2</v>
          </cell>
          <cell r="DN97">
            <v>4.8455074572974155E-2</v>
          </cell>
        </row>
        <row r="99">
          <cell r="A99" t="str">
            <v>Emerging Products</v>
          </cell>
          <cell r="AU99">
            <v>0</v>
          </cell>
          <cell r="AV99">
            <v>0</v>
          </cell>
          <cell r="AW99">
            <v>0</v>
          </cell>
          <cell r="AX99">
            <v>0</v>
          </cell>
          <cell r="AY99">
            <v>0</v>
          </cell>
          <cell r="AZ99">
            <v>0</v>
          </cell>
          <cell r="BA99">
            <v>0</v>
          </cell>
          <cell r="BB99">
            <v>0</v>
          </cell>
          <cell r="BC99">
            <v>0</v>
          </cell>
          <cell r="BD99">
            <v>0</v>
          </cell>
          <cell r="BE99">
            <v>0</v>
          </cell>
          <cell r="BF99">
            <v>0</v>
          </cell>
          <cell r="BG99">
            <v>0</v>
          </cell>
          <cell r="BH99">
            <v>0</v>
          </cell>
          <cell r="BI99">
            <v>0</v>
          </cell>
          <cell r="BJ99">
            <v>0</v>
          </cell>
          <cell r="BK99">
            <v>4.7517119684144647E-2</v>
          </cell>
          <cell r="BL99">
            <v>0.55246163284012917</v>
          </cell>
          <cell r="BM99">
            <v>1.7334676037963865</v>
          </cell>
          <cell r="BN99">
            <v>2.9951460565959596</v>
          </cell>
          <cell r="BO99">
            <v>4.4221655263148376</v>
          </cell>
          <cell r="BP99">
            <v>5.8872922556146525</v>
          </cell>
          <cell r="BQ99">
            <v>7.3873025530705885</v>
          </cell>
          <cell r="BR99">
            <v>8.9219910634025474</v>
          </cell>
          <cell r="BS99">
            <v>9.2857472216411132</v>
          </cell>
          <cell r="BT99">
            <v>10.237160625509505</v>
          </cell>
          <cell r="BU99">
            <v>11.769914340626993</v>
          </cell>
          <cell r="BV99">
            <v>12.889027001945692</v>
          </cell>
          <cell r="BW99">
            <v>14.464601864255124</v>
          </cell>
          <cell r="BX99">
            <v>16.80053508733485</v>
          </cell>
          <cell r="BY99">
            <v>21.033089997402286</v>
          </cell>
          <cell r="BZ99">
            <v>25.369585046470874</v>
          </cell>
          <cell r="CA99">
            <v>30.653539720771139</v>
          </cell>
          <cell r="CB99">
            <v>37.254912895040121</v>
          </cell>
          <cell r="CC99">
            <v>45.690637284448719</v>
          </cell>
          <cell r="CD99">
            <v>55.846380469808359</v>
          </cell>
          <cell r="CE99">
            <v>69.738647342785612</v>
          </cell>
          <cell r="CF99">
            <v>80.10282364802039</v>
          </cell>
          <cell r="CG99">
            <v>89.722420822840434</v>
          </cell>
          <cell r="CH99">
            <v>104.82898088990899</v>
          </cell>
          <cell r="CI99">
            <v>122.17266390150849</v>
          </cell>
          <cell r="CJ99">
            <v>135.37232600823361</v>
          </cell>
          <cell r="CK99">
            <v>149.26795397191603</v>
          </cell>
          <cell r="CL99">
            <v>168.05905674515697</v>
          </cell>
          <cell r="CM99">
            <v>187.30644541512925</v>
          </cell>
          <cell r="CN99">
            <v>199.24704886439437</v>
          </cell>
          <cell r="CO99">
            <v>217.58151061734327</v>
          </cell>
          <cell r="CP99">
            <v>240.42434393415789</v>
          </cell>
          <cell r="CQ99">
            <v>263.25351490229616</v>
          </cell>
          <cell r="CR99">
            <v>276.46040554503458</v>
          </cell>
          <cell r="CS99">
            <v>287.07781797575905</v>
          </cell>
          <cell r="CT99">
            <v>305.54646535047141</v>
          </cell>
          <cell r="CU99">
            <v>331.75954976162677</v>
          </cell>
          <cell r="CV99">
            <v>350.37401657587236</v>
          </cell>
          <cell r="CW99">
            <v>366.69340593996998</v>
          </cell>
          <cell r="CX99">
            <v>390.34039136548876</v>
          </cell>
          <cell r="CY99">
            <v>421.30305914420791</v>
          </cell>
          <cell r="CZ99">
            <v>444.05622973795789</v>
          </cell>
          <cell r="DA99">
            <v>463.85060189068054</v>
          </cell>
          <cell r="DB99">
            <v>488.0332171357781</v>
          </cell>
          <cell r="DC99">
            <v>519.56372079451239</v>
          </cell>
          <cell r="DD99">
            <v>546.16393550319424</v>
          </cell>
          <cell r="DE99">
            <v>569.27191386790128</v>
          </cell>
          <cell r="DF99">
            <v>593.90246988088279</v>
          </cell>
          <cell r="DG99">
            <v>625.75876633833718</v>
          </cell>
          <cell r="DH99">
            <v>655.71391923128203</v>
          </cell>
          <cell r="DI99">
            <v>681.78629442245131</v>
          </cell>
          <cell r="DJ99">
            <v>706.65041510617391</v>
          </cell>
          <cell r="DK99">
            <v>738.40592250566908</v>
          </cell>
          <cell r="DL99">
            <v>770.92854649818878</v>
          </cell>
          <cell r="DM99">
            <v>799.33837483594925</v>
          </cell>
          <cell r="DN99">
            <v>824.05441778039631</v>
          </cell>
          <cell r="DP99">
            <v>0</v>
          </cell>
          <cell r="DQ99">
            <v>0</v>
          </cell>
          <cell r="DR99">
            <v>0</v>
          </cell>
          <cell r="DS99">
            <v>0</v>
          </cell>
          <cell r="DT99">
            <v>0</v>
          </cell>
          <cell r="DU99">
            <v>0</v>
          </cell>
          <cell r="DV99">
            <v>0</v>
          </cell>
          <cell r="DW99">
            <v>0</v>
          </cell>
          <cell r="DX99">
            <v>0</v>
          </cell>
          <cell r="DY99">
            <v>0</v>
          </cell>
          <cell r="DZ99">
            <v>0</v>
          </cell>
          <cell r="EA99">
            <v>0</v>
          </cell>
          <cell r="EB99">
            <v>0</v>
          </cell>
          <cell r="EC99">
            <v>0</v>
          </cell>
          <cell r="ED99">
            <v>0</v>
          </cell>
          <cell r="EE99">
            <v>5.3285924129166204</v>
          </cell>
          <cell r="EF99">
            <v>26.618751398402626</v>
          </cell>
          <cell r="EG99">
            <v>44.181849189723309</v>
          </cell>
          <cell r="EH99">
            <v>77.667811995463126</v>
          </cell>
          <cell r="EI99">
            <v>169.44547037006834</v>
          </cell>
          <cell r="EJ99">
            <v>344.39287270355544</v>
          </cell>
          <cell r="EK99">
            <v>574.87200062681507</v>
          </cell>
          <cell r="EL99">
            <v>844.55934883102486</v>
          </cell>
          <cell r="EM99">
            <v>1132.3382037735612</v>
          </cell>
          <cell r="EN99">
            <v>1439.167363642958</v>
          </cell>
          <cell r="EO99">
            <v>1817.2431079086246</v>
          </cell>
          <cell r="EP99">
            <v>2228.9020400464906</v>
          </cell>
          <cell r="EQ99">
            <v>2669.9093950982447</v>
          </cell>
          <cell r="ER99">
            <v>3132.7272616202035</v>
          </cell>
        </row>
        <row r="100">
          <cell r="A100" t="str">
            <v>% of revenues</v>
          </cell>
          <cell r="AU100" t="str">
            <v>NA</v>
          </cell>
          <cell r="AV100" t="str">
            <v>NA</v>
          </cell>
          <cell r="AW100">
            <v>0</v>
          </cell>
          <cell r="AX100">
            <v>0</v>
          </cell>
          <cell r="AY100">
            <v>0</v>
          </cell>
          <cell r="AZ100">
            <v>0</v>
          </cell>
          <cell r="BA100">
            <v>0</v>
          </cell>
          <cell r="BB100">
            <v>0</v>
          </cell>
          <cell r="BC100">
            <v>0</v>
          </cell>
          <cell r="BD100">
            <v>0</v>
          </cell>
          <cell r="BE100">
            <v>0</v>
          </cell>
          <cell r="BF100">
            <v>0</v>
          </cell>
          <cell r="BG100">
            <v>0</v>
          </cell>
          <cell r="BH100">
            <v>0</v>
          </cell>
          <cell r="BI100">
            <v>0</v>
          </cell>
          <cell r="BJ100">
            <v>0</v>
          </cell>
          <cell r="BK100">
            <v>5.5291683268533082E-4</v>
          </cell>
          <cell r="BL100">
            <v>5.4045277224093555E-3</v>
          </cell>
          <cell r="BM100">
            <v>1.5580470827496081E-2</v>
          </cell>
          <cell r="BN100">
            <v>2.3917160876754447E-2</v>
          </cell>
          <cell r="BO100">
            <v>3.1793554722229042E-2</v>
          </cell>
          <cell r="BP100">
            <v>3.5304618430498584E-2</v>
          </cell>
          <cell r="BQ100">
            <v>4.133635431907532E-2</v>
          </cell>
          <cell r="BR100">
            <v>4.5059650630303157E-2</v>
          </cell>
          <cell r="BS100">
            <v>4.3808133558722769E-2</v>
          </cell>
          <cell r="BT100">
            <v>4.1493703795090327E-2</v>
          </cell>
          <cell r="BU100">
            <v>4.5069555200562876E-2</v>
          </cell>
          <cell r="BV100">
            <v>4.5121746899862397E-2</v>
          </cell>
          <cell r="BW100">
            <v>4.728863983553995E-2</v>
          </cell>
          <cell r="BX100">
            <v>4.922339410080763E-2</v>
          </cell>
          <cell r="BY100">
            <v>5.8808156433562658E-2</v>
          </cell>
          <cell r="BZ100">
            <v>6.5781233104476089E-2</v>
          </cell>
          <cell r="CA100">
            <v>7.1491634743886923E-2</v>
          </cell>
          <cell r="CB100">
            <v>8.3110425012024591E-2</v>
          </cell>
          <cell r="CC100">
            <v>9.2796985377821495E-2</v>
          </cell>
          <cell r="CD100">
            <v>0.1017065970059869</v>
          </cell>
          <cell r="CE100">
            <v>0.1183571681688491</v>
          </cell>
          <cell r="CF100">
            <v>0.12693457260214686</v>
          </cell>
          <cell r="CG100">
            <v>0.1332979062792442</v>
          </cell>
          <cell r="CH100">
            <v>0.1465235859978796</v>
          </cell>
          <cell r="CI100">
            <v>0.15485947211970261</v>
          </cell>
          <cell r="CJ100">
            <v>0.16233562377471941</v>
          </cell>
          <cell r="CK100">
            <v>0.16850574992342351</v>
          </cell>
          <cell r="CL100">
            <v>0.17657454053709912</v>
          </cell>
          <cell r="CM100">
            <v>0.17901107232365127</v>
          </cell>
          <cell r="CN100">
            <v>0.18606577708419575</v>
          </cell>
          <cell r="CO100">
            <v>0.18887742984841929</v>
          </cell>
          <cell r="CP100">
            <v>0.19228871092764144</v>
          </cell>
          <cell r="CQ100">
            <v>0.19623159736199375</v>
          </cell>
          <cell r="CR100">
            <v>0.19437373028286492</v>
          </cell>
          <cell r="CS100">
            <v>0.1966383258928445</v>
          </cell>
          <cell r="CT100">
            <v>0.19902792609994824</v>
          </cell>
          <cell r="CU100">
            <v>0.2031159206908156</v>
          </cell>
          <cell r="CV100">
            <v>0.20100707343720586</v>
          </cell>
          <cell r="CW100">
            <v>0.19827132977678913</v>
          </cell>
          <cell r="CX100">
            <v>0.19817231257339574</v>
          </cell>
          <cell r="CY100">
            <v>0.20083867380596082</v>
          </cell>
          <cell r="CZ100">
            <v>0.19774776244930389</v>
          </cell>
          <cell r="DA100">
            <v>0.19431916447765421</v>
          </cell>
          <cell r="DB100">
            <v>0.19332345502242376</v>
          </cell>
          <cell r="DC100">
            <v>0.19501342651702025</v>
          </cell>
          <cell r="DD100">
            <v>0.19115526068300254</v>
          </cell>
          <cell r="DE100">
            <v>0.18719823648046463</v>
          </cell>
          <cell r="DF100">
            <v>0.18564145784485647</v>
          </cell>
          <cell r="DG100">
            <v>0.18663644228962514</v>
          </cell>
          <cell r="DH100">
            <v>0.18216894145346152</v>
          </cell>
          <cell r="DI100">
            <v>0.17779323130199259</v>
          </cell>
          <cell r="DJ100">
            <v>0.1758622373890554</v>
          </cell>
          <cell r="DK100">
            <v>0.17631233164894439</v>
          </cell>
          <cell r="DL100">
            <v>0.17136182559164528</v>
          </cell>
          <cell r="DM100">
            <v>0.16665012579720151</v>
          </cell>
          <cell r="DN100">
            <v>0.16445415642267722</v>
          </cell>
          <cell r="DP100" t="str">
            <v>NA</v>
          </cell>
          <cell r="DQ100" t="str">
            <v>NA</v>
          </cell>
          <cell r="DR100" t="str">
            <v>NA</v>
          </cell>
          <cell r="DS100" t="str">
            <v>NA</v>
          </cell>
          <cell r="DT100" t="str">
            <v>NA</v>
          </cell>
          <cell r="DU100" t="str">
            <v>NA</v>
          </cell>
          <cell r="DV100" t="str">
            <v>NA</v>
          </cell>
          <cell r="DW100" t="str">
            <v>NA</v>
          </cell>
          <cell r="DX100" t="str">
            <v>NA</v>
          </cell>
          <cell r="DY100" t="str">
            <v>NA</v>
          </cell>
          <cell r="DZ100">
            <v>0</v>
          </cell>
          <cell r="EA100">
            <v>0</v>
          </cell>
          <cell r="EB100">
            <v>0</v>
          </cell>
          <cell r="EC100">
            <v>0</v>
          </cell>
          <cell r="ED100">
            <v>0</v>
          </cell>
          <cell r="EE100">
            <v>1.2548198311354338E-2</v>
          </cell>
          <cell r="EF100">
            <v>3.8998233713814882E-2</v>
          </cell>
          <cell r="EG100">
            <v>4.3941052223538321E-2</v>
          </cell>
          <cell r="EH100">
            <v>5.585550943821678E-2</v>
          </cell>
          <cell r="EI100">
            <v>8.8322126819301155E-2</v>
          </cell>
          <cell r="EJ100">
            <v>0.13201117775402918</v>
          </cell>
          <cell r="EK100">
            <v>0.16612699512426179</v>
          </cell>
          <cell r="EL100">
            <v>0.18687074649031282</v>
          </cell>
          <cell r="EM100">
            <v>0.19662128987976987</v>
          </cell>
          <cell r="EN100">
            <v>0.20000663199858218</v>
          </cell>
          <cell r="EO100">
            <v>0.19635720742258417</v>
          </cell>
          <cell r="EP100">
            <v>0.18950634190270579</v>
          </cell>
          <cell r="EQ100">
            <v>0.18033563643628273</v>
          </cell>
          <cell r="ER100">
            <v>0.16938932170953891</v>
          </cell>
        </row>
        <row r="101">
          <cell r="A101" t="str">
            <v>% of subscription revenues</v>
          </cell>
          <cell r="AU101" t="str">
            <v>NA</v>
          </cell>
          <cell r="AV101" t="str">
            <v>NA</v>
          </cell>
          <cell r="AW101">
            <v>0</v>
          </cell>
          <cell r="AX101">
            <v>0</v>
          </cell>
          <cell r="AY101">
            <v>0</v>
          </cell>
          <cell r="AZ101">
            <v>0</v>
          </cell>
          <cell r="BA101">
            <v>0</v>
          </cell>
          <cell r="BB101">
            <v>0</v>
          </cell>
          <cell r="BC101">
            <v>0</v>
          </cell>
          <cell r="BD101">
            <v>0</v>
          </cell>
          <cell r="BE101">
            <v>0</v>
          </cell>
          <cell r="BF101">
            <v>0</v>
          </cell>
          <cell r="BG101">
            <v>0</v>
          </cell>
          <cell r="BH101">
            <v>0</v>
          </cell>
          <cell r="BI101">
            <v>0</v>
          </cell>
          <cell r="BJ101">
            <v>0</v>
          </cell>
          <cell r="BK101">
            <v>6.640364415459437E-4</v>
          </cell>
          <cell r="BL101">
            <v>6.8734651244168549E-3</v>
          </cell>
          <cell r="BM101">
            <v>1.8641040130294932E-2</v>
          </cell>
          <cell r="BN101">
            <v>2.8558382659813874E-2</v>
          </cell>
          <cell r="BO101">
            <v>3.7675531640594999E-2</v>
          </cell>
          <cell r="BP101">
            <v>4.4357405259144188E-2</v>
          </cell>
          <cell r="BQ101">
            <v>4.9128482666213925E-2</v>
          </cell>
          <cell r="BR101">
            <v>5.3504872914720433E-2</v>
          </cell>
          <cell r="BS101">
            <v>5.1614151876475695E-2</v>
          </cell>
          <cell r="BT101">
            <v>5.1068091177383652E-2</v>
          </cell>
          <cell r="BU101">
            <v>5.2730701142553106E-2</v>
          </cell>
          <cell r="BV101">
            <v>5.2672340242195373E-2</v>
          </cell>
          <cell r="BW101">
            <v>5.4089049757518541E-2</v>
          </cell>
          <cell r="BX101">
            <v>5.7797553615276137E-2</v>
          </cell>
          <cell r="BY101">
            <v>6.594809583613627E-2</v>
          </cell>
          <cell r="BZ101">
            <v>7.3619531539015431E-2</v>
          </cell>
          <cell r="CA101">
            <v>7.908876455367389E-2</v>
          </cell>
          <cell r="CB101">
            <v>9.2519253623396011E-2</v>
          </cell>
          <cell r="CC101">
            <v>0.10164633460832274</v>
          </cell>
          <cell r="CD101">
            <v>0.11175131863057915</v>
          </cell>
          <cell r="CE101">
            <v>0.1283553073073862</v>
          </cell>
          <cell r="CF101">
            <v>0.13686192920339321</v>
          </cell>
          <cell r="CG101">
            <v>0.14319685017378897</v>
          </cell>
          <cell r="CH101">
            <v>0.1573680281291277</v>
          </cell>
          <cell r="CI101">
            <v>0.1651013179999466</v>
          </cell>
          <cell r="CJ101">
            <v>0.17333448487524614</v>
          </cell>
          <cell r="CK101">
            <v>0.17878328678769692</v>
          </cell>
          <cell r="CL101">
            <v>0.18689966430509652</v>
          </cell>
          <cell r="CM101">
            <v>0.18830408043326469</v>
          </cell>
          <cell r="CN101">
            <v>0.19620044830314315</v>
          </cell>
          <cell r="CO101">
            <v>0.19936256339859892</v>
          </cell>
          <cell r="CP101">
            <v>0.20303006376065641</v>
          </cell>
          <cell r="CQ101">
            <v>0.20579268260212485</v>
          </cell>
          <cell r="CR101">
            <v>0.2035639212656512</v>
          </cell>
          <cell r="CS101">
            <v>0.20598563997697963</v>
          </cell>
          <cell r="CT101">
            <v>0.2082912639857184</v>
          </cell>
          <cell r="CU101">
            <v>0.21225835517303224</v>
          </cell>
          <cell r="CV101">
            <v>0.20969357547560341</v>
          </cell>
          <cell r="CW101">
            <v>0.20658964192015575</v>
          </cell>
          <cell r="CX101">
            <v>0.20624060989419446</v>
          </cell>
          <cell r="CY101">
            <v>0.20878432606413394</v>
          </cell>
          <cell r="CZ101">
            <v>0.20526987673140479</v>
          </cell>
          <cell r="DA101">
            <v>0.20150326134562122</v>
          </cell>
          <cell r="DB101">
            <v>0.2003158115054911</v>
          </cell>
          <cell r="DC101">
            <v>0.20192986326176254</v>
          </cell>
          <cell r="DD101">
            <v>0.19765666169948715</v>
          </cell>
          <cell r="DE101">
            <v>0.19337105382438965</v>
          </cell>
          <cell r="DF101">
            <v>0.19165574327653118</v>
          </cell>
          <cell r="DG101">
            <v>0.19260028727449024</v>
          </cell>
          <cell r="DH101">
            <v>0.18773542810718746</v>
          </cell>
          <cell r="DI101">
            <v>0.18304611048037853</v>
          </cell>
          <cell r="DJ101">
            <v>0.18098072356482958</v>
          </cell>
          <cell r="DK101">
            <v>0.18139799119269753</v>
          </cell>
          <cell r="DL101">
            <v>0.17608443274739596</v>
          </cell>
          <cell r="DM101">
            <v>0.17108480234471882</v>
          </cell>
          <cell r="DN101">
            <v>0.16877550126442006</v>
          </cell>
          <cell r="DP101" t="str">
            <v>NA</v>
          </cell>
          <cell r="DQ101" t="str">
            <v>NA</v>
          </cell>
          <cell r="DR101" t="str">
            <v>NA</v>
          </cell>
          <cell r="DS101" t="str">
            <v>NA</v>
          </cell>
          <cell r="DT101" t="str">
            <v>NA</v>
          </cell>
          <cell r="DU101" t="str">
            <v>NA</v>
          </cell>
          <cell r="DV101" t="str">
            <v>NA</v>
          </cell>
          <cell r="DW101" t="str">
            <v>NA</v>
          </cell>
          <cell r="DX101" t="str">
            <v>NA</v>
          </cell>
          <cell r="DY101" t="str">
            <v>NA</v>
          </cell>
          <cell r="DZ101" t="str">
            <v>NA</v>
          </cell>
          <cell r="EA101">
            <v>0</v>
          </cell>
          <cell r="EB101">
            <v>0</v>
          </cell>
          <cell r="EC101">
            <v>0</v>
          </cell>
          <cell r="ED101">
            <v>0</v>
          </cell>
          <cell r="EE101">
            <v>1.5233080276144983E-2</v>
          </cell>
          <cell r="EF101">
            <v>4.6928691133027792E-2</v>
          </cell>
          <cell r="EG101">
            <v>5.2084162491215509E-2</v>
          </cell>
          <cell r="EH101">
            <v>6.3576729291929215E-2</v>
          </cell>
          <cell r="EI101">
            <v>9.7410445743068882E-2</v>
          </cell>
          <cell r="EJ101">
            <v>0.14223393369777282</v>
          </cell>
          <cell r="EK101">
            <v>0.17660769542822621</v>
          </cell>
          <cell r="EL101">
            <v>0.19706004480170777</v>
          </cell>
          <cell r="EM101">
            <v>0.20595770044534237</v>
          </cell>
          <cell r="EN101">
            <v>0.20852920403727268</v>
          </cell>
          <cell r="EO101">
            <v>0.20373968058976008</v>
          </cell>
          <cell r="EP101">
            <v>0.19587993074312149</v>
          </cell>
          <cell r="EQ101">
            <v>0.18578466592713261</v>
          </cell>
          <cell r="ER101">
            <v>0.17400618711475177</v>
          </cell>
        </row>
        <row r="102">
          <cell r="A102" t="str">
            <v>% growth y-o-y</v>
          </cell>
          <cell r="AU102" t="str">
            <v>NA</v>
          </cell>
          <cell r="AV102" t="str">
            <v>NA</v>
          </cell>
          <cell r="AW102" t="str">
            <v>NA</v>
          </cell>
          <cell r="AX102" t="str">
            <v>NA</v>
          </cell>
          <cell r="AY102" t="str">
            <v>NA</v>
          </cell>
          <cell r="AZ102" t="str">
            <v>NA</v>
          </cell>
          <cell r="BA102" t="str">
            <v>NA</v>
          </cell>
          <cell r="BB102" t="str">
            <v>NA</v>
          </cell>
          <cell r="BC102" t="str">
            <v>NA</v>
          </cell>
          <cell r="BD102" t="str">
            <v>NA</v>
          </cell>
          <cell r="BE102" t="str">
            <v>NA</v>
          </cell>
          <cell r="BF102" t="str">
            <v>NA</v>
          </cell>
          <cell r="BG102" t="str">
            <v>NA</v>
          </cell>
          <cell r="BH102" t="str">
            <v>NA</v>
          </cell>
          <cell r="BI102" t="str">
            <v>NA</v>
          </cell>
          <cell r="BJ102" t="str">
            <v>NA</v>
          </cell>
          <cell r="BK102" t="str">
            <v>NA</v>
          </cell>
          <cell r="BL102" t="str">
            <v>NA</v>
          </cell>
          <cell r="BM102" t="str">
            <v>NA</v>
          </cell>
          <cell r="BN102" t="str">
            <v>NA</v>
          </cell>
          <cell r="BO102">
            <v>92.064679755629442</v>
          </cell>
          <cell r="BP102">
            <v>9.6564726048918441</v>
          </cell>
          <cell r="BQ102">
            <v>3.2615752015740025</v>
          </cell>
          <cell r="BR102">
            <v>1.9788166903428275</v>
          </cell>
          <cell r="BS102">
            <v>1.0998190064086741</v>
          </cell>
          <cell r="BT102">
            <v>0.73885721670202908</v>
          </cell>
          <cell r="BU102">
            <v>0.59326279871057119</v>
          </cell>
          <cell r="BV102">
            <v>0.44463572204366786</v>
          </cell>
          <cell r="BW102">
            <v>0.55772082946047807</v>
          </cell>
          <cell r="BX102">
            <v>0.64113231216382194</v>
          </cell>
          <cell r="BY102">
            <v>0.78702150149053973</v>
          </cell>
          <cell r="BZ102">
            <v>0.96830878255132458</v>
          </cell>
          <cell r="CA102">
            <v>1.1192107469284767</v>
          </cell>
          <cell r="CB102">
            <v>1.2174837111661332</v>
          </cell>
          <cell r="CC102">
            <v>1.1723216745657337</v>
          </cell>
          <cell r="CD102">
            <v>1.2013123339428473</v>
          </cell>
          <cell r="CE102">
            <v>1.2750601717794443</v>
          </cell>
          <cell r="CF102">
            <v>1.1501277931771723</v>
          </cell>
          <cell r="CG102">
            <v>0.96369379276262324</v>
          </cell>
          <cell r="CH102">
            <v>0.87709534634176656</v>
          </cell>
          <cell r="CI102">
            <v>0.75186454794562518</v>
          </cell>
          <cell r="CJ102">
            <v>0.68998194873969498</v>
          </cell>
          <cell r="CK102">
            <v>0.66366391591963403</v>
          </cell>
          <cell r="CL102">
            <v>0.60317361972307992</v>
          </cell>
          <cell r="CM102">
            <v>0.53312892944799373</v>
          </cell>
          <cell r="CN102">
            <v>0.4718447613308776</v>
          </cell>
          <cell r="CO102">
            <v>0.45765721863033026</v>
          </cell>
          <cell r="CP102">
            <v>0.43059439098682373</v>
          </cell>
          <cell r="CQ102">
            <v>0.40546959993205056</v>
          </cell>
          <cell r="CR102">
            <v>0.38752572306950883</v>
          </cell>
          <cell r="CS102">
            <v>0.31940355208139759</v>
          </cell>
          <cell r="CT102">
            <v>0.27086325931349009</v>
          </cell>
          <cell r="CU102">
            <v>0.26022837675977817</v>
          </cell>
          <cell r="CV102">
            <v>0.26735695075437294</v>
          </cell>
          <cell r="CW102">
            <v>0.27733103353507338</v>
          </cell>
          <cell r="CX102">
            <v>0.27751565025553826</v>
          </cell>
          <cell r="CY102">
            <v>0.26990484357396571</v>
          </cell>
          <cell r="CZ102">
            <v>0.26737774129948622</v>
          </cell>
          <cell r="DA102">
            <v>0.26495484886525555</v>
          </cell>
          <cell r="DB102">
            <v>0.25027598457986966</v>
          </cell>
          <cell r="DC102">
            <v>0.23323035405890757</v>
          </cell>
          <cell r="DD102">
            <v>0.229943189459342</v>
          </cell>
          <cell r="DE102">
            <v>0.22727428087301749</v>
          </cell>
          <cell r="DF102">
            <v>0.21693042405277563</v>
          </cell>
          <cell r="DG102">
            <v>0.20439272661576946</v>
          </cell>
          <cell r="DH102">
            <v>0.20058077182843781</v>
          </cell>
          <cell r="DI102">
            <v>0.19764611218929518</v>
          </cell>
          <cell r="DJ102">
            <v>0.18984252624493148</v>
          </cell>
          <cell r="DK102">
            <v>0.18001690463961562</v>
          </cell>
          <cell r="DL102">
            <v>0.17570868009325946</v>
          </cell>
          <cell r="DM102">
            <v>0.17241778160571219</v>
          </cell>
          <cell r="DN102">
            <v>0.16614156047241901</v>
          </cell>
          <cell r="DQ102" t="str">
            <v>NA</v>
          </cell>
          <cell r="DR102" t="str">
            <v>NA</v>
          </cell>
          <cell r="DS102" t="str">
            <v>NA</v>
          </cell>
          <cell r="DT102" t="str">
            <v>NA</v>
          </cell>
          <cell r="DU102" t="str">
            <v>NA</v>
          </cell>
          <cell r="DV102" t="str">
            <v>NA</v>
          </cell>
          <cell r="DW102" t="str">
            <v>NA</v>
          </cell>
          <cell r="DX102" t="str">
            <v>NA</v>
          </cell>
          <cell r="DY102" t="str">
            <v>NA</v>
          </cell>
          <cell r="DZ102" t="str">
            <v>NA</v>
          </cell>
          <cell r="EA102" t="str">
            <v>NA</v>
          </cell>
          <cell r="EB102" t="str">
            <v>NA</v>
          </cell>
          <cell r="EC102" t="str">
            <v>NA</v>
          </cell>
          <cell r="ED102" t="str">
            <v>NA</v>
          </cell>
          <cell r="EE102" t="str">
            <v>NA</v>
          </cell>
          <cell r="EF102">
            <v>3.9954564612369694</v>
          </cell>
          <cell r="EG102">
            <v>0.65980171377890517</v>
          </cell>
          <cell r="EH102">
            <v>0.75791220647977431</v>
          </cell>
          <cell r="EI102">
            <v>1.1816691627667621</v>
          </cell>
          <cell r="EJ102">
            <v>1.0324702215491661</v>
          </cell>
          <cell r="EK102">
            <v>0.66923315257354399</v>
          </cell>
          <cell r="EL102">
            <v>0.46912590613241667</v>
          </cell>
          <cell r="EM102">
            <v>0.34074438385041628</v>
          </cell>
          <cell r="EN102">
            <v>0.27096953794094092</v>
          </cell>
          <cell r="EO102">
            <v>0.26270450110030641</v>
          </cell>
          <cell r="EP102">
            <v>0.22652936767036302</v>
          </cell>
          <cell r="EQ102">
            <v>0.19785856315271499</v>
          </cell>
          <cell r="ER102">
            <v>0.17334590730743815</v>
          </cell>
        </row>
        <row r="103">
          <cell r="A103" t="str">
            <v>% growth seq</v>
          </cell>
          <cell r="AU103" t="str">
            <v>NA</v>
          </cell>
          <cell r="AV103" t="str">
            <v>NA</v>
          </cell>
          <cell r="AW103" t="str">
            <v>NA</v>
          </cell>
          <cell r="AX103" t="str">
            <v>NA</v>
          </cell>
          <cell r="AY103" t="str">
            <v>NA</v>
          </cell>
          <cell r="AZ103" t="str">
            <v>NA</v>
          </cell>
          <cell r="BA103" t="str">
            <v>NA</v>
          </cell>
          <cell r="BB103" t="str">
            <v>NA</v>
          </cell>
          <cell r="BC103" t="str">
            <v>NA</v>
          </cell>
          <cell r="BD103" t="str">
            <v>NA</v>
          </cell>
          <cell r="BE103" t="str">
            <v>NA</v>
          </cell>
          <cell r="BF103" t="str">
            <v>NA</v>
          </cell>
          <cell r="BG103" t="str">
            <v>NA</v>
          </cell>
          <cell r="BH103" t="str">
            <v>NA</v>
          </cell>
          <cell r="BI103" t="str">
            <v>NA</v>
          </cell>
          <cell r="BJ103" t="str">
            <v>NA</v>
          </cell>
          <cell r="BK103" t="str">
            <v>NA</v>
          </cell>
          <cell r="BL103">
            <v>10.626580830497449</v>
          </cell>
          <cell r="BM103">
            <v>2.1377158172683743</v>
          </cell>
          <cell r="BN103">
            <v>0.72783503426105556</v>
          </cell>
          <cell r="BO103">
            <v>0.47644403403175373</v>
          </cell>
          <cell r="BP103">
            <v>0.33131431209015871</v>
          </cell>
          <cell r="BQ103">
            <v>0.25478780945949997</v>
          </cell>
          <cell r="BR103">
            <v>0.20774680599673756</v>
          </cell>
          <cell r="BS103">
            <v>4.0770737793122347E-2</v>
          </cell>
          <cell r="BT103">
            <v>0.10245954161352278</v>
          </cell>
          <cell r="BU103">
            <v>0.14972449599922166</v>
          </cell>
          <cell r="BV103">
            <v>9.5082481395449392E-2</v>
          </cell>
          <cell r="BW103">
            <v>0.12224156734806968</v>
          </cell>
          <cell r="BX103">
            <v>0.1614930880919907</v>
          </cell>
          <cell r="BY103">
            <v>0.25192976819280966</v>
          </cell>
          <cell r="BZ103">
            <v>0.20617489154490243</v>
          </cell>
          <cell r="CA103">
            <v>0.20827911314360681</v>
          </cell>
          <cell r="CB103">
            <v>0.21535435171279182</v>
          </cell>
          <cell r="CC103">
            <v>0.22643253557389675</v>
          </cell>
          <cell r="CD103">
            <v>0.22227186550572031</v>
          </cell>
          <cell r="CE103">
            <v>0.24875859019167201</v>
          </cell>
          <cell r="CF103">
            <v>0.14861453010827486</v>
          </cell>
          <cell r="CG103">
            <v>0.12009061274905219</v>
          </cell>
          <cell r="CH103">
            <v>0.16836995623309026</v>
          </cell>
          <cell r="CI103">
            <v>0.16544740647449174</v>
          </cell>
          <cell r="CJ103">
            <v>0.10804104359520439</v>
          </cell>
          <cell r="CK103">
            <v>0.1026474787973819</v>
          </cell>
          <cell r="CL103">
            <v>0.12588839247288397</v>
          </cell>
          <cell r="CM103">
            <v>0.11452753004057858</v>
          </cell>
          <cell r="CN103">
            <v>6.374902594943288E-2</v>
          </cell>
          <cell r="CO103">
            <v>9.2018736826697811E-2</v>
          </cell>
          <cell r="CP103">
            <v>0.10498517659888806</v>
          </cell>
          <cell r="CQ103">
            <v>9.4953658163626775E-2</v>
          </cell>
          <cell r="CR103">
            <v>5.0167955583195312E-2</v>
          </cell>
          <cell r="CS103">
            <v>3.84048211525716E-2</v>
          </cell>
          <cell r="CT103">
            <v>6.4333244222553931E-2</v>
          </cell>
          <cell r="CU103">
            <v>8.5790828511428385E-2</v>
          </cell>
          <cell r="CV103">
            <v>5.6108307440193572E-2</v>
          </cell>
          <cell r="CW103">
            <v>4.6577053639945687E-2</v>
          </cell>
          <cell r="CX103">
            <v>6.4487075694483309E-2</v>
          </cell>
          <cell r="CY103">
            <v>7.9322223535221559E-2</v>
          </cell>
          <cell r="CZ103">
            <v>5.4006658864448998E-2</v>
          </cell>
          <cell r="DA103">
            <v>4.4576273965131641E-2</v>
          </cell>
          <cell r="DB103">
            <v>5.2134491464553179E-2</v>
          </cell>
          <cell r="DC103">
            <v>6.4607290142634E-2</v>
          </cell>
          <cell r="DD103">
            <v>5.119721343900796E-2</v>
          </cell>
          <cell r="DE103">
            <v>4.2309601316712797E-2</v>
          </cell>
          <cell r="DF103">
            <v>4.326676832803833E-2</v>
          </cell>
          <cell r="DG103">
            <v>5.3638935806823218E-2</v>
          </cell>
          <cell r="DH103">
            <v>4.787012904066712E-2</v>
          </cell>
          <cell r="DI103">
            <v>3.9761814453679545E-2</v>
          </cell>
          <cell r="DJ103">
            <v>3.6469082595427249E-2</v>
          </cell>
          <cell r="DK103">
            <v>4.4938072235794158E-2</v>
          </cell>
          <cell r="DL103">
            <v>4.4044370448924841E-2</v>
          </cell>
          <cell r="DM103">
            <v>3.6851441637240301E-2</v>
          </cell>
          <cell r="DN103">
            <v>3.0920626010880081E-2</v>
          </cell>
        </row>
        <row r="105">
          <cell r="A105" t="str">
            <v>Platform Add-ons &amp; Other</v>
          </cell>
          <cell r="AU105">
            <v>0</v>
          </cell>
          <cell r="AV105">
            <v>0</v>
          </cell>
          <cell r="AW105">
            <v>0</v>
          </cell>
          <cell r="AX105">
            <v>0</v>
          </cell>
          <cell r="AY105">
            <v>0</v>
          </cell>
          <cell r="AZ105">
            <v>0</v>
          </cell>
          <cell r="BA105">
            <v>0</v>
          </cell>
          <cell r="BB105">
            <v>0</v>
          </cell>
          <cell r="BC105">
            <v>0</v>
          </cell>
          <cell r="BD105">
            <v>0</v>
          </cell>
          <cell r="BE105">
            <v>0</v>
          </cell>
          <cell r="BF105">
            <v>0</v>
          </cell>
          <cell r="BG105">
            <v>0</v>
          </cell>
          <cell r="BH105">
            <v>0</v>
          </cell>
          <cell r="BI105">
            <v>0</v>
          </cell>
          <cell r="BJ105">
            <v>0</v>
          </cell>
          <cell r="BK105">
            <v>0</v>
          </cell>
          <cell r="BL105">
            <v>9.2693755998442488E-3</v>
          </cell>
          <cell r="BM105">
            <v>4.5179936189276432E-2</v>
          </cell>
          <cell r="BN105">
            <v>0.11410883630598612</v>
          </cell>
          <cell r="BO105">
            <v>0.22504386095374262</v>
          </cell>
          <cell r="BP105">
            <v>0.37450599969505755</v>
          </cell>
          <cell r="BQ105">
            <v>0.57811491607270871</v>
          </cell>
          <cell r="BR105">
            <v>0.87776535928925015</v>
          </cell>
          <cell r="BS105">
            <v>1.1497488476938915</v>
          </cell>
          <cell r="BT105">
            <v>1.6379437005476143</v>
          </cell>
          <cell r="BU105">
            <v>2.4633073949355464</v>
          </cell>
          <cell r="BV105">
            <v>3.3629261458820707</v>
          </cell>
          <cell r="BW105">
            <v>4.7305621742816539</v>
          </cell>
          <cell r="BX105">
            <v>6.4433452277361605</v>
          </cell>
          <cell r="BY105">
            <v>9.0165273115075877</v>
          </cell>
          <cell r="BZ105">
            <v>11.7288238173539</v>
          </cell>
          <cell r="CA105">
            <v>14.826492666509116</v>
          </cell>
          <cell r="CB105">
            <v>18.192089459188033</v>
          </cell>
          <cell r="CC105">
            <v>22.21394183742332</v>
          </cell>
          <cell r="CD105">
            <v>27.097457344390982</v>
          </cell>
          <cell r="CE105">
            <v>33.028344521954487</v>
          </cell>
          <cell r="CF105">
            <v>36.992254917462333</v>
          </cell>
          <cell r="CG105">
            <v>41.372805764116414</v>
          </cell>
          <cell r="CH105">
            <v>48.318271294555501</v>
          </cell>
          <cell r="CI105">
            <v>56.580291739054942</v>
          </cell>
          <cell r="CJ105">
            <v>63.977960332942317</v>
          </cell>
          <cell r="CK105">
            <v>70.691703405614632</v>
          </cell>
          <cell r="CL105">
            <v>79.482636925838108</v>
          </cell>
          <cell r="CM105">
            <v>88.101863108446139</v>
          </cell>
          <cell r="CN105">
            <v>94.032967163017588</v>
          </cell>
          <cell r="CO105">
            <v>103.07738023303909</v>
          </cell>
          <cell r="CP105">
            <v>115.81243696352941</v>
          </cell>
          <cell r="CQ105">
            <v>131.28388717315531</v>
          </cell>
          <cell r="CR105">
            <v>140.57010624128066</v>
          </cell>
          <cell r="CS105">
            <v>148.26574073219206</v>
          </cell>
          <cell r="CT105">
            <v>162.56497390363069</v>
          </cell>
          <cell r="CU105">
            <v>184.62250505974234</v>
          </cell>
          <cell r="CV105">
            <v>200.81119904271972</v>
          </cell>
          <cell r="CW105">
            <v>215.68762666508218</v>
          </cell>
          <cell r="CX105">
            <v>238.22824915270007</v>
          </cell>
          <cell r="CY105">
            <v>270.33710081192652</v>
          </cell>
          <cell r="CZ105">
            <v>294.7528417197542</v>
          </cell>
          <cell r="DA105">
            <v>317.14520171005313</v>
          </cell>
          <cell r="DB105">
            <v>345.44709337362639</v>
          </cell>
          <cell r="DC105">
            <v>385.94589286355335</v>
          </cell>
          <cell r="DD105">
            <v>421.23917053710932</v>
          </cell>
          <cell r="DE105">
            <v>453.68931086958526</v>
          </cell>
          <cell r="DF105">
            <v>489.26768737225598</v>
          </cell>
          <cell r="DG105">
            <v>540.20295875571992</v>
          </cell>
          <cell r="DH105">
            <v>589.68367560170918</v>
          </cell>
          <cell r="DI105">
            <v>635.43532566911699</v>
          </cell>
          <cell r="DJ105">
            <v>680.21378966709722</v>
          </cell>
          <cell r="DK105">
            <v>744.1145775059382</v>
          </cell>
          <cell r="DL105">
            <v>811.85304220154387</v>
          </cell>
          <cell r="DM105">
            <v>875.00059229451995</v>
          </cell>
          <cell r="DN105">
            <v>931.41476886281646</v>
          </cell>
          <cell r="DP105">
            <v>0</v>
          </cell>
          <cell r="DQ105">
            <v>0</v>
          </cell>
          <cell r="DR105">
            <v>0</v>
          </cell>
          <cell r="DS105">
            <v>0</v>
          </cell>
          <cell r="DT105">
            <v>0</v>
          </cell>
          <cell r="DU105">
            <v>0</v>
          </cell>
          <cell r="DV105">
            <v>0</v>
          </cell>
          <cell r="DW105">
            <v>0</v>
          </cell>
          <cell r="DX105">
            <v>0</v>
          </cell>
          <cell r="DY105">
            <v>0</v>
          </cell>
          <cell r="DZ105">
            <v>0</v>
          </cell>
          <cell r="EA105">
            <v>0</v>
          </cell>
          <cell r="EB105">
            <v>0</v>
          </cell>
          <cell r="EC105">
            <v>0</v>
          </cell>
          <cell r="ED105">
            <v>0</v>
          </cell>
          <cell r="EE105">
            <v>0.1685581480951068</v>
          </cell>
          <cell r="EF105">
            <v>2.055430136010759</v>
          </cell>
          <cell r="EG105">
            <v>8.6139260890591238</v>
          </cell>
          <cell r="EH105">
            <v>31.919258530879304</v>
          </cell>
          <cell r="EI105">
            <v>82.329981307511446</v>
          </cell>
          <cell r="EJ105">
            <v>159.71167649808874</v>
          </cell>
          <cell r="EK105">
            <v>270.73259240344998</v>
          </cell>
          <cell r="EL105">
            <v>401.02464746803224</v>
          </cell>
          <cell r="EM105">
            <v>582.68470805025868</v>
          </cell>
          <cell r="EN105">
            <v>839.34957992024431</v>
          </cell>
          <cell r="EO105">
            <v>1227.6822376153602</v>
          </cell>
          <cell r="EP105">
            <v>1750.1420616425039</v>
          </cell>
          <cell r="EQ105">
            <v>2445.5357496936431</v>
          </cell>
          <cell r="ER105">
            <v>3362.3829808648184</v>
          </cell>
        </row>
        <row r="106">
          <cell r="A106" t="str">
            <v>% of revenues</v>
          </cell>
          <cell r="AU106" t="str">
            <v>NA</v>
          </cell>
          <cell r="AV106" t="str">
            <v>NA</v>
          </cell>
          <cell r="AW106">
            <v>0</v>
          </cell>
          <cell r="AX106">
            <v>0</v>
          </cell>
          <cell r="AY106">
            <v>0</v>
          </cell>
          <cell r="AZ106">
            <v>0</v>
          </cell>
          <cell r="BA106">
            <v>0</v>
          </cell>
          <cell r="BB106">
            <v>0</v>
          </cell>
          <cell r="BC106">
            <v>0</v>
          </cell>
          <cell r="BD106">
            <v>0</v>
          </cell>
          <cell r="BE106">
            <v>0</v>
          </cell>
          <cell r="BF106">
            <v>0</v>
          </cell>
          <cell r="BG106">
            <v>0</v>
          </cell>
          <cell r="BH106">
            <v>0</v>
          </cell>
          <cell r="BI106">
            <v>0</v>
          </cell>
          <cell r="BJ106">
            <v>0</v>
          </cell>
          <cell r="BK106">
            <v>0</v>
          </cell>
          <cell r="BL106">
            <v>9.0678871474283892E-5</v>
          </cell>
          <cell r="BM106">
            <v>4.0607893464148008E-4</v>
          </cell>
          <cell r="BN106">
            <v>9.1119409331618707E-4</v>
          </cell>
          <cell r="BO106">
            <v>1.617972974000594E-3</v>
          </cell>
          <cell r="BP106">
            <v>2.2458187644000403E-3</v>
          </cell>
          <cell r="BQ106">
            <v>3.2348970190737539E-3</v>
          </cell>
          <cell r="BR106">
            <v>4.4330688233028123E-3</v>
          </cell>
          <cell r="BS106">
            <v>5.4242647227542955E-3</v>
          </cell>
          <cell r="BT106">
            <v>6.6389845026168315E-3</v>
          </cell>
          <cell r="BU106">
            <v>9.4325383685067831E-3</v>
          </cell>
          <cell r="BV106">
            <v>1.1772890410929708E-2</v>
          </cell>
          <cell r="BW106">
            <v>1.5465468941253417E-2</v>
          </cell>
          <cell r="BX106">
            <v>1.8878167857374371E-2</v>
          </cell>
          <cell r="BY106">
            <v>2.5210054665677599E-2</v>
          </cell>
          <cell r="BZ106">
            <v>3.041186886413088E-2</v>
          </cell>
          <cell r="CA106">
            <v>3.4579047245520605E-2</v>
          </cell>
          <cell r="CB106">
            <v>4.0583970524091108E-2</v>
          </cell>
          <cell r="CC106">
            <v>4.5116176056768709E-2</v>
          </cell>
          <cell r="CD106">
            <v>4.9349486051344642E-2</v>
          </cell>
          <cell r="CE106">
            <v>5.605416043860291E-2</v>
          </cell>
          <cell r="CF106">
            <v>5.8619607320843682E-2</v>
          </cell>
          <cell r="CG106">
            <v>6.1466335110862795E-2</v>
          </cell>
          <cell r="CH106">
            <v>6.7536346525507343E-2</v>
          </cell>
          <cell r="CI106">
            <v>7.1718122788518759E-2</v>
          </cell>
          <cell r="CJ106">
            <v>7.6721013849246816E-2</v>
          </cell>
          <cell r="CK106">
            <v>7.9802517410860321E-2</v>
          </cell>
          <cell r="CL106">
            <v>8.3509989688558536E-2</v>
          </cell>
          <cell r="CM106">
            <v>8.4200033553573542E-2</v>
          </cell>
          <cell r="CN106">
            <v>8.7812176925277097E-2</v>
          </cell>
          <cell r="CO106">
            <v>8.9479067401845788E-2</v>
          </cell>
          <cell r="CP106">
            <v>9.2625496439763436E-2</v>
          </cell>
          <cell r="CQ106">
            <v>9.7860220014313382E-2</v>
          </cell>
          <cell r="CR106">
            <v>9.883200403511487E-2</v>
          </cell>
          <cell r="CS106">
            <v>0.10155687837679818</v>
          </cell>
          <cell r="CT106">
            <v>0.10589214172521895</v>
          </cell>
          <cell r="CU106">
            <v>0.11303297862080644</v>
          </cell>
          <cell r="CV106">
            <v>0.11520395212940264</v>
          </cell>
          <cell r="CW106">
            <v>0.116622420426852</v>
          </cell>
          <cell r="CX106">
            <v>0.12094634349714822</v>
          </cell>
          <cell r="CY106">
            <v>0.12887194533527302</v>
          </cell>
          <cell r="CZ106">
            <v>0.1312597617649702</v>
          </cell>
          <cell r="DA106">
            <v>0.13286043041271911</v>
          </cell>
          <cell r="DB106">
            <v>0.13684114784314622</v>
          </cell>
          <cell r="DC106">
            <v>0.14486121337032212</v>
          </cell>
          <cell r="DD106">
            <v>0.14743207711019204</v>
          </cell>
          <cell r="DE106">
            <v>0.14919028470554671</v>
          </cell>
          <cell r="DF106">
            <v>0.15293481904256814</v>
          </cell>
          <cell r="DG106">
            <v>0.16111889079310823</v>
          </cell>
          <cell r="DH106">
            <v>0.16382457017640353</v>
          </cell>
          <cell r="DI106">
            <v>0.16570602952623095</v>
          </cell>
          <cell r="DJ106">
            <v>0.16928302367977893</v>
          </cell>
          <cell r="DK106">
            <v>0.17767541155255814</v>
          </cell>
          <cell r="DL106">
            <v>0.18045851338067481</v>
          </cell>
          <cell r="DM106">
            <v>0.18242456933014692</v>
          </cell>
          <cell r="DN106">
            <v>0.18587975112801017</v>
          </cell>
          <cell r="DP106" t="str">
            <v>NA</v>
          </cell>
          <cell r="DQ106" t="str">
            <v>NA</v>
          </cell>
          <cell r="DR106" t="str">
            <v>NA</v>
          </cell>
          <cell r="DS106" t="str">
            <v>NA</v>
          </cell>
          <cell r="DT106" t="str">
            <v>NA</v>
          </cell>
          <cell r="DU106" t="str">
            <v>NA</v>
          </cell>
          <cell r="DV106" t="str">
            <v>NA</v>
          </cell>
          <cell r="DW106" t="str">
            <v>NA</v>
          </cell>
          <cell r="DX106" t="str">
            <v>NA</v>
          </cell>
          <cell r="DY106" t="str">
            <v>NA</v>
          </cell>
          <cell r="DZ106">
            <v>0</v>
          </cell>
          <cell r="EA106">
            <v>0</v>
          </cell>
          <cell r="EB106">
            <v>0</v>
          </cell>
          <cell r="EC106">
            <v>0</v>
          </cell>
          <cell r="ED106">
            <v>0</v>
          </cell>
          <cell r="EE106">
            <v>3.9693429434853832E-4</v>
          </cell>
          <cell r="EF106">
            <v>3.0113412769381858E-3</v>
          </cell>
          <cell r="EG106">
            <v>8.5669790438985607E-3</v>
          </cell>
          <cell r="EH106">
            <v>2.2955023456004586E-2</v>
          </cell>
          <cell r="EI106">
            <v>4.2913859155937657E-2</v>
          </cell>
          <cell r="EJ106">
            <v>6.1219985042290724E-2</v>
          </cell>
          <cell r="EK106">
            <v>7.8236532670136749E-2</v>
          </cell>
          <cell r="EL106">
            <v>8.8732396766540669E-2</v>
          </cell>
          <cell r="EM106">
            <v>0.10117844519266059</v>
          </cell>
          <cell r="EN106">
            <v>0.11664764417970845</v>
          </cell>
          <cell r="EO106">
            <v>0.13265382861068628</v>
          </cell>
          <cell r="EP106">
            <v>0.14880107512711188</v>
          </cell>
          <cell r="EQ106">
            <v>0.16518060375320595</v>
          </cell>
          <cell r="ER106">
            <v>0.18180700868348967</v>
          </cell>
        </row>
        <row r="107">
          <cell r="A107" t="str">
            <v>% of subscription revenues</v>
          </cell>
          <cell r="AU107" t="str">
            <v>NA</v>
          </cell>
          <cell r="AV107" t="str">
            <v>NA</v>
          </cell>
          <cell r="AW107">
            <v>0</v>
          </cell>
          <cell r="AX107">
            <v>0</v>
          </cell>
          <cell r="AY107">
            <v>0</v>
          </cell>
          <cell r="AZ107">
            <v>0</v>
          </cell>
          <cell r="BA107">
            <v>0</v>
          </cell>
          <cell r="BB107">
            <v>0</v>
          </cell>
          <cell r="BC107">
            <v>0</v>
          </cell>
          <cell r="BD107">
            <v>0</v>
          </cell>
          <cell r="BE107">
            <v>0</v>
          </cell>
          <cell r="BF107">
            <v>0</v>
          </cell>
          <cell r="BG107">
            <v>0</v>
          </cell>
          <cell r="BH107">
            <v>0</v>
          </cell>
          <cell r="BI107">
            <v>0</v>
          </cell>
          <cell r="BJ107">
            <v>0</v>
          </cell>
          <cell r="BK107">
            <v>0</v>
          </cell>
          <cell r="BL107">
            <v>1.1532516671449498E-4</v>
          </cell>
          <cell r="BM107">
            <v>4.8584755881448327E-4</v>
          </cell>
          <cell r="BN107">
            <v>1.0880149917617242E-3</v>
          </cell>
          <cell r="BO107">
            <v>1.9173065895952512E-3</v>
          </cell>
          <cell r="BP107">
            <v>2.8216901215685E-3</v>
          </cell>
          <cell r="BQ107">
            <v>3.8446927588680277E-3</v>
          </cell>
          <cell r="BR107">
            <v>5.263928607859924E-3</v>
          </cell>
          <cell r="BS107">
            <v>6.3907955093125421E-3</v>
          </cell>
          <cell r="BT107">
            <v>8.1708846137034837E-3</v>
          </cell>
          <cell r="BU107">
            <v>1.1035927901040941E-2</v>
          </cell>
          <cell r="BV107">
            <v>1.3742945075569757E-2</v>
          </cell>
          <cell r="BW107">
            <v>1.7689502637335947E-2</v>
          </cell>
          <cell r="BX107">
            <v>2.2166531561399899E-2</v>
          </cell>
          <cell r="BY107">
            <v>2.8270825034356909E-2</v>
          </cell>
          <cell r="BZ107">
            <v>3.4035657790837892E-2</v>
          </cell>
          <cell r="CA107">
            <v>3.8253624160205571E-2</v>
          </cell>
          <cell r="CB107">
            <v>4.5178431724053399E-2</v>
          </cell>
          <cell r="CC107">
            <v>4.9418565797616318E-2</v>
          </cell>
          <cell r="CD107">
            <v>5.4223327712503315E-2</v>
          </cell>
          <cell r="CE107">
            <v>6.0789296502009815E-2</v>
          </cell>
          <cell r="CF107">
            <v>6.3204156146032739E-2</v>
          </cell>
          <cell r="CG107">
            <v>6.6030936458697023E-2</v>
          </cell>
          <cell r="CH107">
            <v>7.25348182504785E-2</v>
          </cell>
          <cell r="CI107">
            <v>7.6461300266565779E-2</v>
          </cell>
          <cell r="CJ107">
            <v>8.191915677806258E-2</v>
          </cell>
          <cell r="CK107">
            <v>8.4669848732934844E-2</v>
          </cell>
          <cell r="CL107">
            <v>8.8393202051879921E-2</v>
          </cell>
          <cell r="CM107">
            <v>8.8571112864401738E-2</v>
          </cell>
          <cell r="CN107">
            <v>9.2595149678805097E-2</v>
          </cell>
          <cell r="CO107">
            <v>9.4446309768532022E-2</v>
          </cell>
          <cell r="CP107">
            <v>9.7799607461637544E-2</v>
          </cell>
          <cell r="CQ107">
            <v>0.10262830995371705</v>
          </cell>
          <cell r="CR107">
            <v>0.10350488339475065</v>
          </cell>
          <cell r="CS107">
            <v>0.10638444205382799</v>
          </cell>
          <cell r="CT107">
            <v>0.11082066963318683</v>
          </cell>
          <cell r="CU107">
            <v>0.11812069699293522</v>
          </cell>
          <cell r="CV107">
            <v>0.1201824802373507</v>
          </cell>
          <cell r="CW107">
            <v>0.12151521908371084</v>
          </cell>
          <cell r="CX107">
            <v>0.12587049786829446</v>
          </cell>
          <cell r="CY107">
            <v>0.13397042385070915</v>
          </cell>
          <cell r="CZ107">
            <v>0.13625274331079459</v>
          </cell>
          <cell r="DA107">
            <v>0.1377723607648822</v>
          </cell>
          <cell r="DB107">
            <v>0.14179058394318081</v>
          </cell>
          <cell r="DC107">
            <v>0.14999892843403342</v>
          </cell>
          <cell r="DD107">
            <v>0.15244640448241212</v>
          </cell>
          <cell r="DE107">
            <v>0.15410979887560469</v>
          </cell>
          <cell r="DF107">
            <v>0.15788949708076913</v>
          </cell>
          <cell r="DG107">
            <v>0.16626733917240377</v>
          </cell>
          <cell r="DH107">
            <v>0.16883051288081513</v>
          </cell>
          <cell r="DI107">
            <v>0.17060179381296503</v>
          </cell>
          <cell r="DJ107">
            <v>0.17421002125107293</v>
          </cell>
          <cell r="DK107">
            <v>0.18280038859756534</v>
          </cell>
          <cell r="DL107">
            <v>0.18543181862917618</v>
          </cell>
          <cell r="DM107">
            <v>0.18727901486644263</v>
          </cell>
          <cell r="DN107">
            <v>0.19076409410355022</v>
          </cell>
          <cell r="DP107" t="str">
            <v>NA</v>
          </cell>
          <cell r="DQ107" t="str">
            <v>NA</v>
          </cell>
          <cell r="DR107" t="str">
            <v>NA</v>
          </cell>
          <cell r="DS107" t="str">
            <v>NA</v>
          </cell>
          <cell r="DT107" t="str">
            <v>NA</v>
          </cell>
          <cell r="DU107" t="str">
            <v>NA</v>
          </cell>
          <cell r="DV107" t="str">
            <v>NA</v>
          </cell>
          <cell r="DW107" t="str">
            <v>NA</v>
          </cell>
          <cell r="DX107" t="str">
            <v>NA</v>
          </cell>
          <cell r="DY107" t="str">
            <v>NA</v>
          </cell>
          <cell r="DZ107" t="str">
            <v>NA</v>
          </cell>
          <cell r="EA107">
            <v>0</v>
          </cell>
          <cell r="EB107">
            <v>0</v>
          </cell>
          <cell r="EC107">
            <v>0</v>
          </cell>
          <cell r="ED107">
            <v>0</v>
          </cell>
          <cell r="EE107">
            <v>4.8186455299283824E-4</v>
          </cell>
          <cell r="EF107">
            <v>3.6237103895171673E-3</v>
          </cell>
          <cell r="EG107">
            <v>1.0154602723469339E-2</v>
          </cell>
          <cell r="EH107">
            <v>2.6128224893670962E-2</v>
          </cell>
          <cell r="EI107">
            <v>4.7329681694459003E-2</v>
          </cell>
          <cell r="EJ107">
            <v>6.5960772728717323E-2</v>
          </cell>
          <cell r="EK107">
            <v>8.3172356923887261E-2</v>
          </cell>
          <cell r="EL107">
            <v>9.3570611829732531E-2</v>
          </cell>
          <cell r="EM107">
            <v>0.10598282576244825</v>
          </cell>
          <cell r="EN107">
            <v>0.1216181691104625</v>
          </cell>
          <cell r="EO107">
            <v>0.13764123570969816</v>
          </cell>
          <cell r="EP107">
            <v>0.15380564047489814</v>
          </cell>
          <cell r="EQ107">
            <v>0.17017170811257989</v>
          </cell>
          <cell r="ER107">
            <v>0.18676232983564212</v>
          </cell>
        </row>
        <row r="108">
          <cell r="A108" t="str">
            <v>% growth y-o-y</v>
          </cell>
          <cell r="AU108" t="str">
            <v>NA</v>
          </cell>
          <cell r="AV108" t="str">
            <v>NA</v>
          </cell>
          <cell r="AW108" t="str">
            <v>NA</v>
          </cell>
          <cell r="AX108" t="str">
            <v>NA</v>
          </cell>
          <cell r="AY108" t="str">
            <v>NA</v>
          </cell>
          <cell r="AZ108" t="str">
            <v>NA</v>
          </cell>
          <cell r="BA108" t="str">
            <v>NA</v>
          </cell>
          <cell r="BB108" t="str">
            <v>NA</v>
          </cell>
          <cell r="BC108" t="str">
            <v>NA</v>
          </cell>
          <cell r="BD108" t="str">
            <v>NA</v>
          </cell>
          <cell r="BE108" t="str">
            <v>NA</v>
          </cell>
          <cell r="BF108" t="str">
            <v>NA</v>
          </cell>
          <cell r="BG108" t="str">
            <v>NA</v>
          </cell>
          <cell r="BH108" t="str">
            <v>NA</v>
          </cell>
          <cell r="BI108" t="str">
            <v>NA</v>
          </cell>
          <cell r="BJ108" t="str">
            <v>NA</v>
          </cell>
          <cell r="BK108" t="str">
            <v>NA</v>
          </cell>
          <cell r="BL108" t="str">
            <v>NA</v>
          </cell>
          <cell r="BM108" t="str">
            <v>NA</v>
          </cell>
          <cell r="BN108" t="str">
            <v>NA</v>
          </cell>
          <cell r="BO108" t="str">
            <v>NA</v>
          </cell>
          <cell r="BP108">
            <v>39.402505612282049</v>
          </cell>
          <cell r="BQ108">
            <v>11.795832947854532</v>
          </cell>
          <cell r="BR108">
            <v>6.6923522113177736</v>
          </cell>
          <cell r="BS108">
            <v>4.1089989427892917</v>
          </cell>
          <cell r="BT108">
            <v>3.3736113757358073</v>
          </cell>
          <cell r="BU108">
            <v>3.2609303556280143</v>
          </cell>
          <cell r="BV108">
            <v>2.8312358881479684</v>
          </cell>
          <cell r="BW108">
            <v>3.1144308896416621</v>
          </cell>
          <cell r="BX108">
            <v>2.9338014032972897</v>
          </cell>
          <cell r="BY108">
            <v>2.6603337975784824</v>
          </cell>
          <cell r="BZ108">
            <v>2.4876840312761361</v>
          </cell>
          <cell r="CA108">
            <v>2.1341925378584738</v>
          </cell>
          <cell r="CB108">
            <v>1.8233920139616266</v>
          </cell>
          <cell r="CC108">
            <v>1.4636915155874006</v>
          </cell>
          <cell r="CD108">
            <v>1.3103303252196303</v>
          </cell>
          <cell r="CE108">
            <v>1.2276572932559229</v>
          </cell>
          <cell r="CF108">
            <v>1.0334252973222466</v>
          </cell>
          <cell r="CG108">
            <v>0.86247024805010497</v>
          </cell>
          <cell r="CH108">
            <v>0.78312934237562715</v>
          </cell>
          <cell r="CI108">
            <v>0.71308288556349186</v>
          </cell>
          <cell r="CJ108">
            <v>0.72949609251155123</v>
          </cell>
          <cell r="CK108">
            <v>0.70865142211184451</v>
          </cell>
          <cell r="CL108">
            <v>0.64498097295948176</v>
          </cell>
          <cell r="CM108">
            <v>0.55711220993286625</v>
          </cell>
          <cell r="CN108">
            <v>0.46977125675261511</v>
          </cell>
          <cell r="CO108">
            <v>0.45812556873332122</v>
          </cell>
          <cell r="CP108">
            <v>0.45707844433481881</v>
          </cell>
          <cell r="CQ108">
            <v>0.4901374674852863</v>
          </cell>
          <cell r="CR108">
            <v>0.49490237820088434</v>
          </cell>
          <cell r="CS108">
            <v>0.43839259784242035</v>
          </cell>
          <cell r="CT108">
            <v>0.40369185008017894</v>
          </cell>
          <cell r="CU108">
            <v>0.40628457181677358</v>
          </cell>
          <cell r="CV108">
            <v>0.42854839063747052</v>
          </cell>
          <cell r="CW108">
            <v>0.45473678275193885</v>
          </cell>
          <cell r="CX108">
            <v>0.46543405650175873</v>
          </cell>
          <cell r="CY108">
            <v>0.4642694872136397</v>
          </cell>
          <cell r="CZ108">
            <v>0.46781077512041414</v>
          </cell>
          <cell r="DA108">
            <v>0.4703912626500053</v>
          </cell>
          <cell r="DB108">
            <v>0.45006771699942671</v>
          </cell>
          <cell r="DC108">
            <v>0.42764678508576548</v>
          </cell>
          <cell r="DD108">
            <v>0.42912674931092298</v>
          </cell>
          <cell r="DE108">
            <v>0.43054130544395308</v>
          </cell>
          <cell r="DF108">
            <v>0.41633175313209847</v>
          </cell>
          <cell r="DG108">
            <v>0.39968572990282425</v>
          </cell>
          <cell r="DH108">
            <v>0.39987854132800948</v>
          </cell>
          <cell r="DI108">
            <v>0.40059576111938711</v>
          </cell>
          <cell r="DJ108">
            <v>0.3902691864250607</v>
          </cell>
          <cell r="DK108">
            <v>0.37747223602754687</v>
          </cell>
          <cell r="DL108">
            <v>0.37676024586085854</v>
          </cell>
          <cell r="DM108">
            <v>0.37700967659161755</v>
          </cell>
          <cell r="DN108">
            <v>0.3692970989586366</v>
          </cell>
          <cell r="DQ108" t="str">
            <v>NA</v>
          </cell>
          <cell r="DR108" t="str">
            <v>NA</v>
          </cell>
          <cell r="DS108" t="str">
            <v>NA</v>
          </cell>
          <cell r="DT108" t="str">
            <v>NA</v>
          </cell>
          <cell r="DU108" t="str">
            <v>NA</v>
          </cell>
          <cell r="DV108" t="str">
            <v>NA</v>
          </cell>
          <cell r="DW108" t="str">
            <v>NA</v>
          </cell>
          <cell r="DX108" t="str">
            <v>NA</v>
          </cell>
          <cell r="DY108" t="str">
            <v>NA</v>
          </cell>
          <cell r="DZ108" t="str">
            <v>NA</v>
          </cell>
          <cell r="EA108" t="str">
            <v>NA</v>
          </cell>
          <cell r="EB108" t="str">
            <v>NA</v>
          </cell>
          <cell r="EC108" t="str">
            <v>NA</v>
          </cell>
          <cell r="ED108" t="str">
            <v>NA</v>
          </cell>
          <cell r="EE108" t="str">
            <v>NA</v>
          </cell>
          <cell r="EF108">
            <v>11.194190309038092</v>
          </cell>
          <cell r="EG108">
            <v>3.1908143400958853</v>
          </cell>
          <cell r="EH108">
            <v>2.7055412596842654</v>
          </cell>
          <cell r="EI108">
            <v>1.5793199810034384</v>
          </cell>
          <cell r="EJ108">
            <v>0.93989691193476932</v>
          </cell>
          <cell r="EK108">
            <v>0.69513336995551378</v>
          </cell>
          <cell r="EL108">
            <v>0.48125736878557634</v>
          </cell>
          <cell r="EM108">
            <v>0.45298976441767835</v>
          </cell>
          <cell r="EN108">
            <v>0.44048671318116583</v>
          </cell>
          <cell r="EO108">
            <v>0.46265902430309858</v>
          </cell>
          <cell r="EP108">
            <v>0.42556600398647548</v>
          </cell>
          <cell r="EQ108">
            <v>0.39733556680451065</v>
          </cell>
          <cell r="ER108">
            <v>0.37490649289671207</v>
          </cell>
        </row>
        <row r="109">
          <cell r="A109" t="str">
            <v>% growth seq</v>
          </cell>
          <cell r="AU109" t="str">
            <v>NA</v>
          </cell>
          <cell r="AV109" t="str">
            <v>NA</v>
          </cell>
          <cell r="AW109" t="str">
            <v>NA</v>
          </cell>
          <cell r="AX109" t="str">
            <v>NA</v>
          </cell>
          <cell r="AY109" t="str">
            <v>NA</v>
          </cell>
          <cell r="AZ109" t="str">
            <v>NA</v>
          </cell>
          <cell r="BA109" t="str">
            <v>NA</v>
          </cell>
          <cell r="BB109" t="str">
            <v>NA</v>
          </cell>
          <cell r="BC109" t="str">
            <v>NA</v>
          </cell>
          <cell r="BD109" t="str">
            <v>NA</v>
          </cell>
          <cell r="BE109" t="str">
            <v>NA</v>
          </cell>
          <cell r="BF109" t="str">
            <v>NA</v>
          </cell>
          <cell r="BG109" t="str">
            <v>NA</v>
          </cell>
          <cell r="BH109" t="str">
            <v>NA</v>
          </cell>
          <cell r="BI109" t="str">
            <v>NA</v>
          </cell>
          <cell r="BJ109" t="str">
            <v>NA</v>
          </cell>
          <cell r="BK109" t="str">
            <v>NA</v>
          </cell>
          <cell r="BL109" t="str">
            <v>NA</v>
          </cell>
          <cell r="BM109">
            <v>3.8741078298775138</v>
          </cell>
          <cell r="BN109">
            <v>1.5256528877761037</v>
          </cell>
          <cell r="BO109">
            <v>0.97218610091054702</v>
          </cell>
          <cell r="BP109">
            <v>0.66414670503736417</v>
          </cell>
          <cell r="BQ109">
            <v>0.54367330975589234</v>
          </cell>
          <cell r="BR109">
            <v>0.5183233209967113</v>
          </cell>
          <cell r="BS109">
            <v>0.30985899081831336</v>
          </cell>
          <cell r="BT109">
            <v>0.42460999533325872</v>
          </cell>
          <cell r="BU109">
            <v>0.5039023588612892</v>
          </cell>
          <cell r="BV109">
            <v>0.36520766867996324</v>
          </cell>
          <cell r="BW109">
            <v>0.40668036378802563</v>
          </cell>
          <cell r="BX109">
            <v>0.36206754934250407</v>
          </cell>
          <cell r="BY109">
            <v>0.39935499229419724</v>
          </cell>
          <cell r="BZ109">
            <v>0.30081387347262512</v>
          </cell>
          <cell r="CA109">
            <v>0.26410737320241129</v>
          </cell>
          <cell r="CB109">
            <v>0.22699885052931701</v>
          </cell>
          <cell r="CC109">
            <v>0.22107698993333758</v>
          </cell>
          <cell r="CD109">
            <v>0.21984011404677917</v>
          </cell>
          <cell r="CE109">
            <v>0.2188724610647339</v>
          </cell>
          <cell r="CF109">
            <v>0.12001541260637416</v>
          </cell>
          <cell r="CG109">
            <v>0.11841805416912354</v>
          </cell>
          <cell r="CH109">
            <v>0.16787513928927322</v>
          </cell>
          <cell r="CI109">
            <v>0.17099163987330823</v>
          </cell>
          <cell r="CJ109">
            <v>0.13074638476600642</v>
          </cell>
          <cell r="CK109">
            <v>0.10493837311683407</v>
          </cell>
          <cell r="CL109">
            <v>0.12435594414499929</v>
          </cell>
          <cell r="CM109">
            <v>0.10844162342840069</v>
          </cell>
          <cell r="CN109">
            <v>6.7320983294879344E-2</v>
          </cell>
          <cell r="CO109">
            <v>9.6183427396711929E-2</v>
          </cell>
          <cell r="CP109">
            <v>0.12354850988353294</v>
          </cell>
          <cell r="CQ109">
            <v>0.13359057641191008</v>
          </cell>
          <cell r="CR109">
            <v>7.073388264225744E-2</v>
          </cell>
          <cell r="CS109">
            <v>5.474588229806332E-2</v>
          </cell>
          <cell r="CT109">
            <v>9.6443272065573904E-2</v>
          </cell>
          <cell r="CU109">
            <v>0.1356844012978311</v>
          </cell>
          <cell r="CV109">
            <v>8.768537713069624E-2</v>
          </cell>
          <cell r="CW109">
            <v>7.4081663240294304E-2</v>
          </cell>
          <cell r="CX109">
            <v>0.10450586728657729</v>
          </cell>
          <cell r="CY109">
            <v>0.13478188155026594</v>
          </cell>
          <cell r="CZ109">
            <v>9.0315908672904399E-2</v>
          </cell>
          <cell r="DA109">
            <v>7.5969954554633956E-2</v>
          </cell>
          <cell r="DB109">
            <v>8.9239539210963725E-2</v>
          </cell>
          <cell r="DC109">
            <v>0.11723589593537143</v>
          </cell>
          <cell r="DD109">
            <v>9.144618021892903E-2</v>
          </cell>
          <cell r="DE109">
            <v>7.7034954491767005E-2</v>
          </cell>
          <cell r="DF109">
            <v>7.8420133889594457E-2</v>
          </cell>
          <cell r="DG109">
            <v>0.10410512015830342</v>
          </cell>
          <cell r="DH109">
            <v>9.1596530607608972E-2</v>
          </cell>
          <cell r="DI109">
            <v>7.7586767211629493E-2</v>
          </cell>
          <cell r="DJ109">
            <v>7.0468955988287618E-2</v>
          </cell>
          <cell r="DK109">
            <v>9.3942211712753743E-2</v>
          </cell>
          <cell r="DL109">
            <v>9.1032304356468696E-2</v>
          </cell>
          <cell r="DM109">
            <v>7.7781996014618215E-2</v>
          </cell>
          <cell r="DN109">
            <v>6.4473301006987116E-2</v>
          </cell>
        </row>
        <row r="110">
          <cell r="BK110" t="str">
            <v>January 2013 - Licenes platform seperately</v>
          </cell>
        </row>
        <row r="111">
          <cell r="BL111" t="str">
            <v>June 2013 - HR Service Automation, Facility Service Automation, and Field Service Automation</v>
          </cell>
        </row>
        <row r="112">
          <cell r="BL112" t="str">
            <v>July 9, 2013 - ServiceNow Acquires Mirror42 (Announces New ServiceNow Performance Analytics Product)</v>
          </cell>
        </row>
        <row r="113">
          <cell r="BU113" t="str">
            <v>ITOM products represented 14% of our net new ACV, and grew 170% year-over-year. And from performance analytics, which represented 5% of our net new ACV and grew 179% year-over-year.</v>
          </cell>
        </row>
        <row r="114">
          <cell r="BV114" t="str">
            <v>Dec 2015 New SOAR</v>
          </cell>
        </row>
        <row r="115">
          <cell r="BX115" t="str">
            <v>Customer service management officially launched in May at Knowledge16</v>
          </cell>
        </row>
        <row r="116">
          <cell r="C116" t="str">
            <v>Fiscal 1999 by Quarter</v>
          </cell>
          <cell r="G116" t="str">
            <v>Fiscal 2000 by Quarter</v>
          </cell>
          <cell r="K116" t="str">
            <v>Fiscal 2001 by Quarter</v>
          </cell>
          <cell r="O116" t="str">
            <v>Fiscal 2002 by Quarter</v>
          </cell>
          <cell r="S116" t="str">
            <v>Fiscal 2003 by Quarter</v>
          </cell>
          <cell r="W116" t="str">
            <v>Fiscal 2004 by Quarter</v>
          </cell>
          <cell r="AA116" t="str">
            <v>Fiscal 2005 by Quarter</v>
          </cell>
          <cell r="AE116" t="str">
            <v>Fiscal 2006 by Quarter</v>
          </cell>
          <cell r="AI116" t="str">
            <v>Fiscal 2006 by Quarter</v>
          </cell>
          <cell r="AM116" t="str">
            <v>Fiscal 2007 by Quarter</v>
          </cell>
          <cell r="AQ116" t="str">
            <v>Fiscal 2008 by Quarter</v>
          </cell>
          <cell r="AU116" t="str">
            <v>Fiscal 2009 by Quarter</v>
          </cell>
          <cell r="AY116" t="str">
            <v>Fiscal 2010 by Quarter</v>
          </cell>
          <cell r="BC116" t="str">
            <v>Fiscal 2011 by Quarter</v>
          </cell>
          <cell r="BG116" t="str">
            <v>Fiscal 2012 by Quarter</v>
          </cell>
          <cell r="BK116" t="str">
            <v>Fiscal 2013 by Quarter</v>
          </cell>
          <cell r="BO116" t="str">
            <v>Fiscal 2014 by Quarter</v>
          </cell>
          <cell r="BS116" t="str">
            <v>Fiscal 2015 by Quarter</v>
          </cell>
          <cell r="BW116" t="str">
            <v>Fiscal 2016 by Quarter</v>
          </cell>
          <cell r="CA116" t="str">
            <v>Fiscal 2017 by Quarter</v>
          </cell>
          <cell r="CE116" t="str">
            <v>Fiscal 2018 by Quarter</v>
          </cell>
          <cell r="CI116" t="str">
            <v>Fiscal 2019 by Quarter</v>
          </cell>
          <cell r="CM116" t="str">
            <v>Fiscal 2020 by Quarter</v>
          </cell>
          <cell r="CQ116" t="str">
            <v>Fiscal 2021 by Quarter</v>
          </cell>
          <cell r="CU116" t="str">
            <v>Fiscal 2022 by Quarter</v>
          </cell>
          <cell r="CY116" t="str">
            <v>Fiscal 2023 by Quarter</v>
          </cell>
          <cell r="DC116" t="str">
            <v>Fiscal 2024 by Quarter</v>
          </cell>
          <cell r="DG116" t="str">
            <v>Fiscal 2025 by Quarter</v>
          </cell>
          <cell r="DK116" t="str">
            <v>Fiscal 2026 by Quarter</v>
          </cell>
          <cell r="DP116" t="str">
            <v xml:space="preserve"> Fiscal Year Ends December</v>
          </cell>
        </row>
        <row r="117">
          <cell r="C117">
            <v>35886</v>
          </cell>
          <cell r="D117">
            <v>35977</v>
          </cell>
          <cell r="E117">
            <v>36069</v>
          </cell>
          <cell r="F117">
            <v>36161</v>
          </cell>
          <cell r="G117">
            <v>36251</v>
          </cell>
          <cell r="H117">
            <v>36342</v>
          </cell>
          <cell r="I117">
            <v>36434</v>
          </cell>
          <cell r="J117">
            <v>36526</v>
          </cell>
          <cell r="K117">
            <v>36617</v>
          </cell>
          <cell r="L117">
            <v>36708</v>
          </cell>
          <cell r="M117">
            <v>36800</v>
          </cell>
          <cell r="N117">
            <v>36892</v>
          </cell>
          <cell r="O117">
            <v>36982</v>
          </cell>
          <cell r="P117">
            <v>37073</v>
          </cell>
          <cell r="Q117">
            <v>37165</v>
          </cell>
          <cell r="R117">
            <v>37257</v>
          </cell>
          <cell r="S117">
            <v>37348</v>
          </cell>
          <cell r="T117">
            <v>37439</v>
          </cell>
          <cell r="U117">
            <v>37531</v>
          </cell>
          <cell r="V117">
            <v>37623</v>
          </cell>
          <cell r="W117">
            <v>37715</v>
          </cell>
          <cell r="X117">
            <v>37806</v>
          </cell>
          <cell r="Y117">
            <v>37898</v>
          </cell>
          <cell r="Z117">
            <v>37990</v>
          </cell>
          <cell r="AA117">
            <v>38081</v>
          </cell>
          <cell r="AB117">
            <v>38172</v>
          </cell>
          <cell r="AC117">
            <v>38264</v>
          </cell>
          <cell r="AD117">
            <v>38356</v>
          </cell>
          <cell r="AE117">
            <v>38447</v>
          </cell>
          <cell r="AF117">
            <v>38538</v>
          </cell>
          <cell r="AG117">
            <v>38630</v>
          </cell>
          <cell r="AH117">
            <v>38722</v>
          </cell>
          <cell r="AI117">
            <v>38807</v>
          </cell>
          <cell r="AJ117">
            <v>38898</v>
          </cell>
          <cell r="AK117">
            <v>38990</v>
          </cell>
          <cell r="AL117">
            <v>39082</v>
          </cell>
          <cell r="AM117">
            <v>39172</v>
          </cell>
          <cell r="AN117">
            <v>39263</v>
          </cell>
          <cell r="AO117">
            <v>39355</v>
          </cell>
          <cell r="AP117">
            <v>39447</v>
          </cell>
          <cell r="AQ117">
            <v>39538</v>
          </cell>
          <cell r="AR117">
            <v>39629</v>
          </cell>
          <cell r="AS117">
            <v>39721</v>
          </cell>
          <cell r="AT117">
            <v>39813</v>
          </cell>
          <cell r="AU117">
            <v>39903</v>
          </cell>
          <cell r="AV117">
            <v>39994</v>
          </cell>
          <cell r="AW117">
            <v>40086</v>
          </cell>
          <cell r="AX117">
            <v>40178</v>
          </cell>
          <cell r="AY117">
            <v>40268</v>
          </cell>
          <cell r="AZ117">
            <v>40359</v>
          </cell>
          <cell r="BA117">
            <v>40451</v>
          </cell>
          <cell r="BB117">
            <v>40543</v>
          </cell>
          <cell r="BC117">
            <v>40633</v>
          </cell>
          <cell r="BD117">
            <v>40724</v>
          </cell>
          <cell r="BE117">
            <v>40816</v>
          </cell>
          <cell r="BF117">
            <v>40908</v>
          </cell>
          <cell r="BG117">
            <v>40999</v>
          </cell>
          <cell r="BH117">
            <v>41072</v>
          </cell>
          <cell r="BI117">
            <v>41164</v>
          </cell>
          <cell r="BJ117">
            <v>41255</v>
          </cell>
          <cell r="BK117">
            <v>41346</v>
          </cell>
          <cell r="BL117">
            <v>41438</v>
          </cell>
          <cell r="BM117">
            <v>41529</v>
          </cell>
          <cell r="BN117">
            <v>41621</v>
          </cell>
          <cell r="BO117">
            <v>41712</v>
          </cell>
          <cell r="BP117">
            <v>41804</v>
          </cell>
          <cell r="BQ117">
            <v>41894</v>
          </cell>
          <cell r="BR117">
            <v>41987</v>
          </cell>
          <cell r="BS117">
            <v>42078</v>
          </cell>
          <cell r="BT117">
            <v>42170</v>
          </cell>
          <cell r="BU117">
            <v>42262</v>
          </cell>
          <cell r="BV117">
            <v>42353</v>
          </cell>
          <cell r="BW117">
            <v>42445</v>
          </cell>
          <cell r="BX117">
            <v>42537</v>
          </cell>
          <cell r="BY117">
            <v>42629</v>
          </cell>
          <cell r="BZ117">
            <v>42720</v>
          </cell>
          <cell r="CA117">
            <v>42811</v>
          </cell>
          <cell r="CB117">
            <v>42903</v>
          </cell>
          <cell r="CC117">
            <v>42995</v>
          </cell>
          <cell r="CD117">
            <v>43086</v>
          </cell>
          <cell r="CE117">
            <v>43177</v>
          </cell>
          <cell r="CF117">
            <v>43269</v>
          </cell>
          <cell r="CG117">
            <v>43361</v>
          </cell>
          <cell r="CH117">
            <v>43452</v>
          </cell>
          <cell r="CI117">
            <v>43543</v>
          </cell>
          <cell r="CJ117">
            <v>43635</v>
          </cell>
          <cell r="CK117">
            <v>43727</v>
          </cell>
          <cell r="CL117">
            <v>43818</v>
          </cell>
          <cell r="CM117">
            <v>43910</v>
          </cell>
          <cell r="CN117">
            <v>44002</v>
          </cell>
          <cell r="CO117">
            <v>44094</v>
          </cell>
          <cell r="CP117">
            <v>44185</v>
          </cell>
          <cell r="CQ117" t="str">
            <v>Mar-21E</v>
          </cell>
          <cell r="CR117" t="str">
            <v>Jun-21E</v>
          </cell>
          <cell r="CS117" t="str">
            <v>Sep-21E</v>
          </cell>
          <cell r="CT117" t="str">
            <v>Dec-21E</v>
          </cell>
          <cell r="CU117" t="str">
            <v>Mar-22E</v>
          </cell>
          <cell r="CV117" t="str">
            <v>Jun-22E</v>
          </cell>
          <cell r="CW117" t="str">
            <v>Sep-22E</v>
          </cell>
          <cell r="CX117" t="str">
            <v>Dec-22E</v>
          </cell>
          <cell r="CY117" t="str">
            <v>Mar-23E</v>
          </cell>
          <cell r="CZ117" t="str">
            <v>Jun-23E</v>
          </cell>
          <cell r="DA117" t="str">
            <v>Sep-23E</v>
          </cell>
          <cell r="DB117" t="str">
            <v>Dec-23E</v>
          </cell>
          <cell r="DC117" t="str">
            <v>Mar-24E</v>
          </cell>
          <cell r="DD117" t="str">
            <v>Jun-24E</v>
          </cell>
          <cell r="DE117" t="str">
            <v>Sep-24E</v>
          </cell>
          <cell r="DF117" t="str">
            <v>Dec-24E</v>
          </cell>
          <cell r="DG117" t="str">
            <v>Mar-25E</v>
          </cell>
          <cell r="DH117" t="str">
            <v>Jun-25E</v>
          </cell>
          <cell r="DI117" t="str">
            <v>Sep-25E</v>
          </cell>
          <cell r="DJ117" t="str">
            <v>Dec-25E</v>
          </cell>
          <cell r="DK117" t="str">
            <v>Mar-26E</v>
          </cell>
          <cell r="DL117" t="str">
            <v>Jun-26E</v>
          </cell>
          <cell r="DM117" t="str">
            <v>Sep-26E</v>
          </cell>
          <cell r="DN117" t="str">
            <v>Dec-26E</v>
          </cell>
          <cell r="DP117">
            <v>1998</v>
          </cell>
          <cell r="DQ117">
            <v>1999</v>
          </cell>
          <cell r="DR117">
            <v>2000</v>
          </cell>
          <cell r="DS117">
            <v>2001</v>
          </cell>
          <cell r="DT117">
            <v>2002</v>
          </cell>
          <cell r="DU117">
            <v>2003</v>
          </cell>
          <cell r="DV117">
            <v>2004</v>
          </cell>
          <cell r="DW117">
            <v>2005</v>
          </cell>
          <cell r="DX117">
            <v>2006</v>
          </cell>
          <cell r="DY117">
            <v>2007</v>
          </cell>
          <cell r="DZ117">
            <v>2008</v>
          </cell>
          <cell r="EA117">
            <v>2009</v>
          </cell>
          <cell r="EB117">
            <v>2010</v>
          </cell>
          <cell r="EC117">
            <v>2011</v>
          </cell>
          <cell r="ED117">
            <v>2012</v>
          </cell>
          <cell r="EE117">
            <v>2013</v>
          </cell>
          <cell r="EF117">
            <v>2014</v>
          </cell>
          <cell r="EG117">
            <v>2015</v>
          </cell>
          <cell r="EH117">
            <v>2016</v>
          </cell>
          <cell r="EI117">
            <v>2017</v>
          </cell>
          <cell r="EJ117">
            <v>2018</v>
          </cell>
          <cell r="EK117">
            <v>2019</v>
          </cell>
          <cell r="EL117">
            <v>2020</v>
          </cell>
          <cell r="EM117" t="str">
            <v>2021E</v>
          </cell>
          <cell r="EN117" t="str">
            <v>2022E</v>
          </cell>
          <cell r="EO117" t="str">
            <v>2023E</v>
          </cell>
          <cell r="EP117" t="str">
            <v>2024E</v>
          </cell>
          <cell r="EQ117" t="str">
            <v>2025E</v>
          </cell>
          <cell r="ER117" t="str">
            <v>2026E</v>
          </cell>
        </row>
        <row r="118">
          <cell r="A118" t="str">
            <v>Cumulative number of customers</v>
          </cell>
          <cell r="AV118">
            <v>281</v>
          </cell>
          <cell r="AZ118">
            <v>460</v>
          </cell>
          <cell r="BB118">
            <v>568</v>
          </cell>
          <cell r="BC118">
            <v>630</v>
          </cell>
          <cell r="BD118">
            <v>771</v>
          </cell>
          <cell r="BE118">
            <v>801</v>
          </cell>
          <cell r="BF118">
            <v>914</v>
          </cell>
          <cell r="BG118">
            <v>1074</v>
          </cell>
          <cell r="BH118">
            <v>1201</v>
          </cell>
          <cell r="BI118">
            <v>1346</v>
          </cell>
          <cell r="BJ118">
            <v>1512</v>
          </cell>
          <cell r="BK118">
            <v>1640</v>
          </cell>
          <cell r="BL118">
            <v>1778</v>
          </cell>
          <cell r="BM118">
            <v>1900</v>
          </cell>
          <cell r="BN118">
            <v>2060</v>
          </cell>
          <cell r="BO118">
            <v>2195</v>
          </cell>
          <cell r="BP118">
            <v>2364</v>
          </cell>
          <cell r="BQ118">
            <v>2176</v>
          </cell>
          <cell r="BR118">
            <v>2347</v>
          </cell>
          <cell r="BS118">
            <v>2872</v>
          </cell>
          <cell r="BT118">
            <v>2628</v>
          </cell>
          <cell r="BU118">
            <v>2804</v>
          </cell>
          <cell r="BV118">
            <v>2978</v>
          </cell>
          <cell r="BW118">
            <v>2978</v>
          </cell>
          <cell r="BX118">
            <v>2978</v>
          </cell>
          <cell r="BY118">
            <v>2978</v>
          </cell>
          <cell r="BZ118">
            <v>2978</v>
          </cell>
          <cell r="CA118">
            <v>2978</v>
          </cell>
          <cell r="CB118">
            <v>2978</v>
          </cell>
          <cell r="CC118">
            <v>2978</v>
          </cell>
          <cell r="CD118">
            <v>2978</v>
          </cell>
          <cell r="CE118">
            <v>2978</v>
          </cell>
          <cell r="CF118">
            <v>2978</v>
          </cell>
          <cell r="CG118">
            <v>2978</v>
          </cell>
          <cell r="CH118">
            <v>2978</v>
          </cell>
          <cell r="CI118">
            <v>2978</v>
          </cell>
          <cell r="CJ118">
            <v>2978</v>
          </cell>
          <cell r="CK118">
            <v>2978</v>
          </cell>
          <cell r="CL118">
            <v>2978</v>
          </cell>
          <cell r="CM118">
            <v>2978</v>
          </cell>
          <cell r="CN118">
            <v>2978</v>
          </cell>
          <cell r="CO118">
            <v>2978</v>
          </cell>
          <cell r="CP118">
            <v>2978</v>
          </cell>
          <cell r="CQ118">
            <v>2978</v>
          </cell>
          <cell r="CR118">
            <v>2978</v>
          </cell>
          <cell r="CS118">
            <v>2978</v>
          </cell>
          <cell r="CT118">
            <v>2978</v>
          </cell>
          <cell r="CU118">
            <v>2978</v>
          </cell>
          <cell r="CV118">
            <v>2978</v>
          </cell>
          <cell r="CW118">
            <v>2978</v>
          </cell>
          <cell r="CX118">
            <v>2978</v>
          </cell>
          <cell r="CY118">
            <v>2978</v>
          </cell>
          <cell r="CZ118">
            <v>2978</v>
          </cell>
          <cell r="DA118">
            <v>2978</v>
          </cell>
          <cell r="DB118">
            <v>2978</v>
          </cell>
          <cell r="DC118">
            <v>2978</v>
          </cell>
          <cell r="DD118">
            <v>2978</v>
          </cell>
          <cell r="DE118">
            <v>2978</v>
          </cell>
          <cell r="DF118">
            <v>2978</v>
          </cell>
          <cell r="DG118">
            <v>2978</v>
          </cell>
          <cell r="DH118">
            <v>2978</v>
          </cell>
          <cell r="DI118">
            <v>2978</v>
          </cell>
          <cell r="DJ118">
            <v>2978</v>
          </cell>
          <cell r="DK118">
            <v>2978</v>
          </cell>
          <cell r="DL118">
            <v>2978</v>
          </cell>
          <cell r="DM118">
            <v>2978</v>
          </cell>
          <cell r="DN118">
            <v>2978</v>
          </cell>
          <cell r="DP118">
            <v>0</v>
          </cell>
          <cell r="DQ118">
            <v>0</v>
          </cell>
          <cell r="DR118">
            <v>0</v>
          </cell>
          <cell r="DS118">
            <v>0</v>
          </cell>
          <cell r="DT118">
            <v>0</v>
          </cell>
          <cell r="DU118">
            <v>0</v>
          </cell>
          <cell r="DV118">
            <v>0</v>
          </cell>
          <cell r="DW118">
            <v>0</v>
          </cell>
          <cell r="DX118">
            <v>0</v>
          </cell>
          <cell r="DY118">
            <v>0</v>
          </cell>
          <cell r="DZ118">
            <v>0</v>
          </cell>
          <cell r="EA118">
            <v>0</v>
          </cell>
          <cell r="EB118">
            <v>568</v>
          </cell>
          <cell r="EC118">
            <v>914</v>
          </cell>
          <cell r="ED118">
            <v>1512</v>
          </cell>
          <cell r="EE118">
            <v>2060</v>
          </cell>
          <cell r="EF118">
            <v>2347</v>
          </cell>
          <cell r="EG118">
            <v>2978</v>
          </cell>
          <cell r="EH118">
            <v>2978</v>
          </cell>
          <cell r="EI118">
            <v>2978</v>
          </cell>
          <cell r="EJ118">
            <v>2978</v>
          </cell>
          <cell r="EK118">
            <v>2978</v>
          </cell>
          <cell r="EL118">
            <v>2978</v>
          </cell>
          <cell r="EM118">
            <v>2978</v>
          </cell>
          <cell r="EN118">
            <v>2978</v>
          </cell>
          <cell r="EO118">
            <v>2978</v>
          </cell>
          <cell r="EP118">
            <v>2978</v>
          </cell>
          <cell r="EQ118">
            <v>2978</v>
          </cell>
          <cell r="ER118">
            <v>2978</v>
          </cell>
        </row>
        <row r="119">
          <cell r="A119" t="str">
            <v>% growth y-o-y</v>
          </cell>
          <cell r="V119" t="str">
            <v>NA</v>
          </cell>
          <cell r="Z119" t="str">
            <v>NA</v>
          </cell>
          <cell r="AA119" t="str">
            <v>NA</v>
          </cell>
          <cell r="AB119" t="str">
            <v>NA</v>
          </cell>
          <cell r="AC119" t="str">
            <v>NA</v>
          </cell>
          <cell r="AD119" t="str">
            <v>NA</v>
          </cell>
          <cell r="AE119" t="str">
            <v>NA</v>
          </cell>
          <cell r="AF119" t="str">
            <v>NA</v>
          </cell>
          <cell r="AG119" t="str">
            <v>NA</v>
          </cell>
          <cell r="AH119" t="str">
            <v>NA</v>
          </cell>
          <cell r="AI119" t="str">
            <v>NA</v>
          </cell>
          <cell r="AJ119" t="str">
            <v>NA</v>
          </cell>
          <cell r="AK119" t="str">
            <v>NA</v>
          </cell>
          <cell r="AL119" t="str">
            <v>NA</v>
          </cell>
          <cell r="AM119" t="str">
            <v>NA</v>
          </cell>
          <cell r="AN119" t="str">
            <v>NA</v>
          </cell>
          <cell r="AO119" t="str">
            <v>NA</v>
          </cell>
          <cell r="AP119" t="str">
            <v>NA</v>
          </cell>
          <cell r="AQ119" t="str">
            <v>NA</v>
          </cell>
          <cell r="AR119" t="str">
            <v>NA</v>
          </cell>
          <cell r="AS119" t="str">
            <v>NA</v>
          </cell>
          <cell r="AT119" t="str">
            <v>NA</v>
          </cell>
          <cell r="AU119" t="str">
            <v>NA</v>
          </cell>
          <cell r="AV119" t="str">
            <v>NA</v>
          </cell>
          <cell r="AW119" t="str">
            <v>NA</v>
          </cell>
          <cell r="AX119" t="str">
            <v>NA</v>
          </cell>
          <cell r="AY119" t="str">
            <v>NA</v>
          </cell>
          <cell r="AZ119">
            <v>0.63701067615658369</v>
          </cell>
          <cell r="BA119" t="str">
            <v>NA</v>
          </cell>
          <cell r="BB119" t="str">
            <v>NA</v>
          </cell>
          <cell r="BC119" t="str">
            <v>NA</v>
          </cell>
          <cell r="BD119">
            <v>0.67608695652173911</v>
          </cell>
          <cell r="BE119" t="str">
            <v>NA</v>
          </cell>
          <cell r="BF119">
            <v>0.60915492957746475</v>
          </cell>
          <cell r="BG119">
            <v>0.7047619047619047</v>
          </cell>
          <cell r="BH119">
            <v>0.55771725032425423</v>
          </cell>
          <cell r="BI119">
            <v>0.68039950062421983</v>
          </cell>
          <cell r="BJ119">
            <v>0.65426695842450755</v>
          </cell>
          <cell r="BK119">
            <v>0.52700186219739287</v>
          </cell>
          <cell r="BL119">
            <v>0.48043297252289752</v>
          </cell>
          <cell r="BM119">
            <v>0.41158989598811302</v>
          </cell>
          <cell r="BN119">
            <v>0.36243386243386233</v>
          </cell>
          <cell r="BO119">
            <v>0.33841463414634143</v>
          </cell>
          <cell r="BP119">
            <v>0.3295838020247468</v>
          </cell>
          <cell r="BQ119">
            <v>0.14526315789473676</v>
          </cell>
          <cell r="BR119">
            <v>0.13932038834951466</v>
          </cell>
          <cell r="BS119">
            <v>0.30842824601366736</v>
          </cell>
          <cell r="BT119">
            <v>0.11167512690355319</v>
          </cell>
          <cell r="BU119">
            <v>0.28860294117647056</v>
          </cell>
          <cell r="BV119">
            <v>0.26885385598636558</v>
          </cell>
          <cell r="BW119">
            <v>3.6908077994429078E-2</v>
          </cell>
          <cell r="BX119">
            <v>0.13318112633181123</v>
          </cell>
          <cell r="BY119">
            <v>6.2054208273894407E-2</v>
          </cell>
          <cell r="BZ119">
            <v>0</v>
          </cell>
          <cell r="CA119">
            <v>0</v>
          </cell>
          <cell r="CB119">
            <v>0</v>
          </cell>
          <cell r="CC119">
            <v>0</v>
          </cell>
          <cell r="CD119">
            <v>0</v>
          </cell>
          <cell r="CE119">
            <v>0</v>
          </cell>
          <cell r="CF119">
            <v>0</v>
          </cell>
          <cell r="CG119">
            <v>0</v>
          </cell>
          <cell r="CH119">
            <v>0</v>
          </cell>
          <cell r="CI119">
            <v>0</v>
          </cell>
          <cell r="CJ119">
            <v>0</v>
          </cell>
          <cell r="CK119">
            <v>0</v>
          </cell>
          <cell r="CL119">
            <v>0</v>
          </cell>
          <cell r="CM119">
            <v>0</v>
          </cell>
          <cell r="CN119">
            <v>0</v>
          </cell>
          <cell r="CO119">
            <v>0</v>
          </cell>
          <cell r="CP119">
            <v>0</v>
          </cell>
          <cell r="CQ119">
            <v>0</v>
          </cell>
          <cell r="CR119">
            <v>0</v>
          </cell>
          <cell r="CS119">
            <v>0</v>
          </cell>
          <cell r="CT119">
            <v>0</v>
          </cell>
          <cell r="CU119">
            <v>0</v>
          </cell>
          <cell r="CV119">
            <v>0</v>
          </cell>
          <cell r="CW119">
            <v>0</v>
          </cell>
          <cell r="CX119">
            <v>0</v>
          </cell>
          <cell r="CY119">
            <v>0</v>
          </cell>
          <cell r="CZ119">
            <v>0</v>
          </cell>
          <cell r="DA119">
            <v>0</v>
          </cell>
          <cell r="DB119">
            <v>0</v>
          </cell>
          <cell r="DC119">
            <v>0</v>
          </cell>
          <cell r="DD119">
            <v>0</v>
          </cell>
          <cell r="DE119">
            <v>0</v>
          </cell>
          <cell r="DF119">
            <v>0</v>
          </cell>
          <cell r="DG119">
            <v>0</v>
          </cell>
          <cell r="DH119">
            <v>0</v>
          </cell>
          <cell r="DI119">
            <v>0</v>
          </cell>
          <cell r="DJ119">
            <v>0</v>
          </cell>
          <cell r="DK119">
            <v>0</v>
          </cell>
          <cell r="DL119">
            <v>0</v>
          </cell>
          <cell r="DM119">
            <v>0</v>
          </cell>
          <cell r="DN119">
            <v>0</v>
          </cell>
          <cell r="DQ119" t="str">
            <v>NA</v>
          </cell>
          <cell r="DR119" t="str">
            <v>NA</v>
          </cell>
          <cell r="DS119" t="str">
            <v>NA</v>
          </cell>
          <cell r="DT119" t="str">
            <v>NA</v>
          </cell>
          <cell r="DU119" t="str">
            <v>NA</v>
          </cell>
          <cell r="DV119" t="str">
            <v>NA</v>
          </cell>
          <cell r="DW119" t="str">
            <v>NA</v>
          </cell>
          <cell r="DX119" t="str">
            <v>NA</v>
          </cell>
          <cell r="DY119" t="str">
            <v>NA</v>
          </cell>
          <cell r="DZ119" t="str">
            <v>NA</v>
          </cell>
          <cell r="EA119" t="str">
            <v>NA</v>
          </cell>
          <cell r="EB119" t="str">
            <v>NA</v>
          </cell>
          <cell r="EC119">
            <v>0.60915492957746475</v>
          </cell>
          <cell r="ED119">
            <v>0.65426695842450755</v>
          </cell>
          <cell r="EE119">
            <v>0.36243386243386233</v>
          </cell>
          <cell r="EF119">
            <v>0.13932038834951466</v>
          </cell>
          <cell r="EG119">
            <v>0.26885385598636558</v>
          </cell>
          <cell r="EH119">
            <v>0</v>
          </cell>
          <cell r="EI119">
            <v>0</v>
          </cell>
          <cell r="EJ119">
            <v>0</v>
          </cell>
          <cell r="EK119">
            <v>0</v>
          </cell>
          <cell r="EL119">
            <v>0</v>
          </cell>
          <cell r="EM119">
            <v>0</v>
          </cell>
          <cell r="EN119">
            <v>0</v>
          </cell>
          <cell r="EO119">
            <v>0</v>
          </cell>
          <cell r="EP119">
            <v>0</v>
          </cell>
          <cell r="EQ119">
            <v>0</v>
          </cell>
          <cell r="ER119">
            <v>0</v>
          </cell>
        </row>
        <row r="120">
          <cell r="A120" t="str">
            <v>% growth seq</v>
          </cell>
          <cell r="V120" t="str">
            <v>NA</v>
          </cell>
          <cell r="Z120" t="str">
            <v>NA</v>
          </cell>
          <cell r="AA120" t="str">
            <v>NA</v>
          </cell>
          <cell r="AB120" t="str">
            <v>NA</v>
          </cell>
          <cell r="AC120" t="str">
            <v>NA</v>
          </cell>
          <cell r="AD120" t="str">
            <v>NA</v>
          </cell>
          <cell r="AE120" t="str">
            <v>NA</v>
          </cell>
          <cell r="AF120" t="str">
            <v>NA</v>
          </cell>
          <cell r="AG120" t="str">
            <v>NA</v>
          </cell>
          <cell r="AH120" t="str">
            <v>NA</v>
          </cell>
          <cell r="AI120" t="str">
            <v>NA</v>
          </cell>
          <cell r="AJ120" t="str">
            <v>NA</v>
          </cell>
          <cell r="AK120" t="str">
            <v>NA</v>
          </cell>
          <cell r="AL120" t="str">
            <v>NA</v>
          </cell>
          <cell r="AM120" t="str">
            <v>NA</v>
          </cell>
          <cell r="AN120" t="str">
            <v>NA</v>
          </cell>
          <cell r="AO120" t="str">
            <v>NA</v>
          </cell>
          <cell r="AP120" t="str">
            <v>NA</v>
          </cell>
          <cell r="AQ120" t="str">
            <v>NA</v>
          </cell>
          <cell r="AR120" t="str">
            <v>NA</v>
          </cell>
          <cell r="AS120" t="str">
            <v>NA</v>
          </cell>
          <cell r="AT120" t="str">
            <v>NA</v>
          </cell>
          <cell r="AU120" t="str">
            <v>NA</v>
          </cell>
          <cell r="AV120" t="str">
            <v>NA</v>
          </cell>
          <cell r="AW120">
            <v>-1</v>
          </cell>
          <cell r="AX120" t="str">
            <v>NA</v>
          </cell>
          <cell r="AY120" t="str">
            <v>NA</v>
          </cell>
          <cell r="AZ120" t="str">
            <v>NA</v>
          </cell>
          <cell r="BA120">
            <v>-1</v>
          </cell>
          <cell r="BB120" t="str">
            <v>NA</v>
          </cell>
          <cell r="BC120">
            <v>0.10915492957746475</v>
          </cell>
          <cell r="BD120">
            <v>0.2238095238095239</v>
          </cell>
          <cell r="BE120">
            <v>3.8910505836575959E-2</v>
          </cell>
          <cell r="BF120">
            <v>0.14107365792759041</v>
          </cell>
          <cell r="BG120">
            <v>0.17505470459518602</v>
          </cell>
          <cell r="BH120">
            <v>0.11824953445065178</v>
          </cell>
          <cell r="BI120">
            <v>0.12073272273105751</v>
          </cell>
          <cell r="BJ120">
            <v>0.12332838038632987</v>
          </cell>
          <cell r="BK120">
            <v>8.4656084656084651E-2</v>
          </cell>
          <cell r="BL120">
            <v>8.4146341463414709E-2</v>
          </cell>
          <cell r="BM120">
            <v>6.861642294713155E-2</v>
          </cell>
          <cell r="BN120">
            <v>8.4210526315789513E-2</v>
          </cell>
          <cell r="BO120">
            <v>6.5533980582524354E-2</v>
          </cell>
          <cell r="BP120">
            <v>7.6993166287016024E-2</v>
          </cell>
          <cell r="BQ120">
            <v>-7.9526226734348615E-2</v>
          </cell>
          <cell r="BR120">
            <v>7.8584558823529438E-2</v>
          </cell>
          <cell r="BS120">
            <v>0.2236898167873882</v>
          </cell>
          <cell r="BT120">
            <v>-8.4958217270195036E-2</v>
          </cell>
          <cell r="BU120">
            <v>6.6971080669710803E-2</v>
          </cell>
          <cell r="BV120">
            <v>6.2054208273894407E-2</v>
          </cell>
          <cell r="BW120">
            <v>0</v>
          </cell>
          <cell r="BX120">
            <v>0</v>
          </cell>
          <cell r="BY120">
            <v>0</v>
          </cell>
          <cell r="BZ120">
            <v>0</v>
          </cell>
          <cell r="CA120">
            <v>0</v>
          </cell>
          <cell r="CB120">
            <v>0</v>
          </cell>
          <cell r="CC120">
            <v>0</v>
          </cell>
          <cell r="CD120">
            <v>0</v>
          </cell>
          <cell r="CE120">
            <v>0</v>
          </cell>
          <cell r="CF120">
            <v>0</v>
          </cell>
          <cell r="CG120">
            <v>0</v>
          </cell>
          <cell r="CH120">
            <v>0</v>
          </cell>
          <cell r="CI120">
            <v>0</v>
          </cell>
          <cell r="CJ120">
            <v>0</v>
          </cell>
          <cell r="CK120">
            <v>0</v>
          </cell>
          <cell r="CL120">
            <v>0</v>
          </cell>
          <cell r="CM120">
            <v>0</v>
          </cell>
          <cell r="CN120">
            <v>0</v>
          </cell>
          <cell r="CO120">
            <v>0</v>
          </cell>
          <cell r="CP120">
            <v>0</v>
          </cell>
          <cell r="CQ120">
            <v>0</v>
          </cell>
          <cell r="CR120">
            <v>0</v>
          </cell>
          <cell r="CS120">
            <v>0</v>
          </cell>
          <cell r="CT120">
            <v>0</v>
          </cell>
          <cell r="CU120">
            <v>0</v>
          </cell>
          <cell r="CV120">
            <v>0</v>
          </cell>
          <cell r="CW120">
            <v>0</v>
          </cell>
          <cell r="CX120">
            <v>0</v>
          </cell>
          <cell r="CY120">
            <v>0</v>
          </cell>
          <cell r="CZ120">
            <v>0</v>
          </cell>
          <cell r="DA120">
            <v>0</v>
          </cell>
          <cell r="DB120">
            <v>0</v>
          </cell>
          <cell r="DC120">
            <v>0</v>
          </cell>
          <cell r="DD120">
            <v>0</v>
          </cell>
          <cell r="DE120">
            <v>0</v>
          </cell>
          <cell r="DF120">
            <v>0</v>
          </cell>
          <cell r="DG120">
            <v>0</v>
          </cell>
          <cell r="DH120">
            <v>0</v>
          </cell>
          <cell r="DI120">
            <v>0</v>
          </cell>
          <cell r="DJ120">
            <v>0</v>
          </cell>
          <cell r="DK120">
            <v>0</v>
          </cell>
          <cell r="DL120">
            <v>0</v>
          </cell>
          <cell r="DM120">
            <v>0</v>
          </cell>
          <cell r="DN120">
            <v>0</v>
          </cell>
        </row>
        <row r="122">
          <cell r="A122" t="str">
            <v>Net new customers</v>
          </cell>
          <cell r="C122">
            <v>0</v>
          </cell>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281</v>
          </cell>
          <cell r="AW122">
            <v>-281</v>
          </cell>
          <cell r="AX122">
            <v>0</v>
          </cell>
          <cell r="AY122">
            <v>0</v>
          </cell>
          <cell r="AZ122">
            <v>460</v>
          </cell>
          <cell r="BA122">
            <v>-460</v>
          </cell>
          <cell r="BB122">
            <v>568</v>
          </cell>
          <cell r="BC122">
            <v>62</v>
          </cell>
          <cell r="BD122">
            <v>141</v>
          </cell>
          <cell r="BE122">
            <v>30</v>
          </cell>
          <cell r="BF122">
            <v>113</v>
          </cell>
          <cell r="BG122">
            <v>160</v>
          </cell>
          <cell r="BH122">
            <v>127</v>
          </cell>
          <cell r="BI122">
            <v>127</v>
          </cell>
          <cell r="BJ122">
            <v>166</v>
          </cell>
          <cell r="BK122">
            <v>128</v>
          </cell>
          <cell r="BL122">
            <v>138</v>
          </cell>
          <cell r="BM122">
            <v>122</v>
          </cell>
          <cell r="BN122">
            <v>160</v>
          </cell>
          <cell r="BO122">
            <v>135</v>
          </cell>
          <cell r="BP122">
            <v>169</v>
          </cell>
          <cell r="BQ122">
            <v>130</v>
          </cell>
          <cell r="BR122">
            <v>171</v>
          </cell>
          <cell r="BS122">
            <v>114</v>
          </cell>
          <cell r="BT122">
            <v>167</v>
          </cell>
          <cell r="BU122">
            <v>176</v>
          </cell>
          <cell r="BV122">
            <v>174</v>
          </cell>
          <cell r="DP122">
            <v>0</v>
          </cell>
          <cell r="DQ122">
            <v>0</v>
          </cell>
          <cell r="DR122">
            <v>0</v>
          </cell>
          <cell r="DS122">
            <v>0</v>
          </cell>
          <cell r="DT122">
            <v>0</v>
          </cell>
          <cell r="DU122">
            <v>0</v>
          </cell>
          <cell r="DV122">
            <v>0</v>
          </cell>
          <cell r="DW122">
            <v>0</v>
          </cell>
          <cell r="DX122">
            <v>0</v>
          </cell>
          <cell r="DY122">
            <v>0</v>
          </cell>
          <cell r="DZ122">
            <v>0</v>
          </cell>
          <cell r="EA122">
            <v>0</v>
          </cell>
          <cell r="EB122">
            <v>568</v>
          </cell>
          <cell r="EC122">
            <v>346</v>
          </cell>
          <cell r="ED122">
            <v>598</v>
          </cell>
          <cell r="EE122">
            <v>548</v>
          </cell>
          <cell r="EF122">
            <v>287</v>
          </cell>
          <cell r="EG122">
            <v>631</v>
          </cell>
          <cell r="EH122">
            <v>0</v>
          </cell>
          <cell r="EI122">
            <v>0</v>
          </cell>
          <cell r="EJ122">
            <v>0</v>
          </cell>
          <cell r="EK122">
            <v>0</v>
          </cell>
          <cell r="EL122">
            <v>0</v>
          </cell>
          <cell r="EM122">
            <v>0</v>
          </cell>
          <cell r="EN122">
            <v>0</v>
          </cell>
          <cell r="EO122">
            <v>0</v>
          </cell>
          <cell r="EP122">
            <v>0</v>
          </cell>
          <cell r="EQ122">
            <v>0</v>
          </cell>
          <cell r="ER122">
            <v>0</v>
          </cell>
        </row>
        <row r="123">
          <cell r="A123" t="str">
            <v>% growth y-o-y</v>
          </cell>
          <cell r="V123" t="str">
            <v>NA</v>
          </cell>
          <cell r="Z123" t="str">
            <v>NA</v>
          </cell>
          <cell r="AA123" t="str">
            <v>NA</v>
          </cell>
          <cell r="AB123" t="str">
            <v>NA</v>
          </cell>
          <cell r="AC123" t="str">
            <v>NA</v>
          </cell>
          <cell r="AD123" t="str">
            <v>NA</v>
          </cell>
          <cell r="AE123" t="str">
            <v>NA</v>
          </cell>
          <cell r="AF123" t="str">
            <v>NA</v>
          </cell>
          <cell r="AG123" t="str">
            <v>NA</v>
          </cell>
          <cell r="AH123" t="str">
            <v>NA</v>
          </cell>
          <cell r="AI123" t="str">
            <v>NA</v>
          </cell>
          <cell r="AJ123" t="str">
            <v>NA</v>
          </cell>
          <cell r="AK123" t="str">
            <v>NA</v>
          </cell>
          <cell r="AL123" t="str">
            <v>NA</v>
          </cell>
          <cell r="AM123" t="str">
            <v>NA</v>
          </cell>
          <cell r="AN123" t="str">
            <v>NA</v>
          </cell>
          <cell r="AO123" t="str">
            <v>NA</v>
          </cell>
          <cell r="AP123" t="str">
            <v>NA</v>
          </cell>
          <cell r="AQ123" t="str">
            <v>NA</v>
          </cell>
          <cell r="AR123" t="str">
            <v>NA</v>
          </cell>
          <cell r="AS123" t="str">
            <v>NA</v>
          </cell>
          <cell r="AT123" t="str">
            <v>NA</v>
          </cell>
          <cell r="AU123" t="str">
            <v>NA</v>
          </cell>
          <cell r="AV123" t="str">
            <v>NA</v>
          </cell>
          <cell r="AW123" t="str">
            <v>NA</v>
          </cell>
          <cell r="AX123" t="str">
            <v>NA</v>
          </cell>
          <cell r="AY123" t="str">
            <v>NA</v>
          </cell>
          <cell r="AZ123">
            <v>0.63701067615658369</v>
          </cell>
          <cell r="BA123">
            <v>0.63701067615658369</v>
          </cell>
          <cell r="BB123" t="str">
            <v>NA</v>
          </cell>
          <cell r="BC123" t="str">
            <v>NA</v>
          </cell>
          <cell r="BD123">
            <v>-0.69347826086956521</v>
          </cell>
          <cell r="BE123">
            <v>-1.0652173913043479</v>
          </cell>
          <cell r="BF123">
            <v>-0.801056338028169</v>
          </cell>
          <cell r="BG123">
            <v>1.5806451612903225</v>
          </cell>
          <cell r="BH123">
            <v>-9.9290780141844004E-2</v>
          </cell>
          <cell r="BI123">
            <v>3.2333333333333334</v>
          </cell>
          <cell r="BJ123">
            <v>0.46902654867256643</v>
          </cell>
          <cell r="BK123">
            <v>-0.19999999999999996</v>
          </cell>
          <cell r="BL123">
            <v>8.6614173228346525E-2</v>
          </cell>
          <cell r="BM123">
            <v>-3.9370078740157521E-2</v>
          </cell>
          <cell r="BN123">
            <v>-3.6144578313253017E-2</v>
          </cell>
          <cell r="BO123">
            <v>5.46875E-2</v>
          </cell>
          <cell r="BP123">
            <v>0.2246376811594204</v>
          </cell>
          <cell r="BQ123">
            <v>6.5573770491803351E-2</v>
          </cell>
          <cell r="BR123">
            <v>6.8750000000000089E-2</v>
          </cell>
          <cell r="BS123">
            <v>-0.15555555555555556</v>
          </cell>
          <cell r="BT123">
            <v>-1.1834319526627168E-2</v>
          </cell>
          <cell r="BU123">
            <v>0.35384615384615392</v>
          </cell>
          <cell r="BV123">
            <v>1.7543859649122862E-2</v>
          </cell>
          <cell r="BW123">
            <v>-1</v>
          </cell>
          <cell r="BX123">
            <v>-1</v>
          </cell>
          <cell r="BY123">
            <v>-1</v>
          </cell>
          <cell r="BZ123">
            <v>-1</v>
          </cell>
          <cell r="CA123" t="str">
            <v>NA</v>
          </cell>
          <cell r="CB123" t="str">
            <v>NA</v>
          </cell>
          <cell r="CC123" t="str">
            <v>NA</v>
          </cell>
          <cell r="CD123" t="str">
            <v>NA</v>
          </cell>
          <cell r="CE123" t="str">
            <v>NA</v>
          </cell>
          <cell r="CF123" t="str">
            <v>NA</v>
          </cell>
          <cell r="CG123" t="str">
            <v>NA</v>
          </cell>
          <cell r="CH123" t="str">
            <v>NA</v>
          </cell>
          <cell r="CI123" t="str">
            <v>NA</v>
          </cell>
          <cell r="CJ123" t="str">
            <v>NA</v>
          </cell>
          <cell r="CK123" t="str">
            <v>NA</v>
          </cell>
          <cell r="CL123" t="str">
            <v>NA</v>
          </cell>
          <cell r="CM123" t="str">
            <v>NA</v>
          </cell>
          <cell r="CN123" t="str">
            <v>NA</v>
          </cell>
          <cell r="CO123" t="str">
            <v>NA</v>
          </cell>
          <cell r="CP123" t="str">
            <v>NA</v>
          </cell>
          <cell r="CQ123" t="str">
            <v>NA</v>
          </cell>
          <cell r="CR123" t="str">
            <v>NA</v>
          </cell>
          <cell r="CS123" t="str">
            <v>NA</v>
          </cell>
          <cell r="CT123" t="str">
            <v>NA</v>
          </cell>
          <cell r="CU123" t="str">
            <v>NA</v>
          </cell>
          <cell r="CV123" t="str">
            <v>NA</v>
          </cell>
          <cell r="CW123" t="str">
            <v>NA</v>
          </cell>
          <cell r="CX123" t="str">
            <v>NA</v>
          </cell>
          <cell r="CY123" t="str">
            <v>NA</v>
          </cell>
          <cell r="CZ123" t="str">
            <v>NA</v>
          </cell>
          <cell r="DA123" t="str">
            <v>NA</v>
          </cell>
          <cell r="DB123" t="str">
            <v>NA</v>
          </cell>
          <cell r="DC123" t="str">
            <v>NA</v>
          </cell>
          <cell r="DD123" t="str">
            <v>NA</v>
          </cell>
          <cell r="DE123" t="str">
            <v>NA</v>
          </cell>
          <cell r="DF123" t="str">
            <v>NA</v>
          </cell>
          <cell r="DG123" t="str">
            <v>NA</v>
          </cell>
          <cell r="DH123" t="str">
            <v>NA</v>
          </cell>
          <cell r="DI123" t="str">
            <v>NA</v>
          </cell>
          <cell r="DJ123" t="str">
            <v>NA</v>
          </cell>
          <cell r="DK123" t="str">
            <v>NA</v>
          </cell>
          <cell r="DL123" t="str">
            <v>NA</v>
          </cell>
          <cell r="DM123" t="str">
            <v>NA</v>
          </cell>
          <cell r="DN123" t="str">
            <v>NA</v>
          </cell>
          <cell r="DQ123" t="str">
            <v>NA</v>
          </cell>
          <cell r="DR123" t="str">
            <v>NA</v>
          </cell>
          <cell r="DS123" t="str">
            <v>NA</v>
          </cell>
          <cell r="DT123" t="str">
            <v>NA</v>
          </cell>
          <cell r="DU123" t="str">
            <v>NA</v>
          </cell>
          <cell r="DV123" t="str">
            <v>NA</v>
          </cell>
          <cell r="DW123" t="str">
            <v>NA</v>
          </cell>
          <cell r="DX123" t="str">
            <v>NA</v>
          </cell>
          <cell r="DY123" t="str">
            <v>NA</v>
          </cell>
          <cell r="DZ123" t="str">
            <v>NA</v>
          </cell>
          <cell r="EA123" t="str">
            <v>NA</v>
          </cell>
          <cell r="EB123" t="str">
            <v>NA</v>
          </cell>
          <cell r="EC123">
            <v>-0.39084507042253525</v>
          </cell>
          <cell r="ED123">
            <v>0.72832369942196529</v>
          </cell>
          <cell r="EE123">
            <v>-8.361204013377932E-2</v>
          </cell>
          <cell r="EF123">
            <v>-0.47627737226277367</v>
          </cell>
          <cell r="EG123">
            <v>1.1986062717770034</v>
          </cell>
          <cell r="EH123">
            <v>-1</v>
          </cell>
          <cell r="EI123" t="str">
            <v>NA</v>
          </cell>
          <cell r="EJ123" t="str">
            <v>NA</v>
          </cell>
          <cell r="EK123" t="str">
            <v>NA</v>
          </cell>
          <cell r="EL123" t="str">
            <v>NA</v>
          </cell>
          <cell r="EM123" t="str">
            <v>NA</v>
          </cell>
          <cell r="EN123" t="str">
            <v>NA</v>
          </cell>
          <cell r="EO123" t="str">
            <v>NA</v>
          </cell>
          <cell r="EP123" t="str">
            <v>NA</v>
          </cell>
          <cell r="EQ123" t="str">
            <v>NA</v>
          </cell>
          <cell r="ER123" t="str">
            <v>NA</v>
          </cell>
        </row>
        <row r="124">
          <cell r="A124" t="str">
            <v>% growth seq</v>
          </cell>
          <cell r="V124" t="str">
            <v>NA</v>
          </cell>
          <cell r="Z124" t="str">
            <v>NA</v>
          </cell>
          <cell r="AA124" t="str">
            <v>NA</v>
          </cell>
          <cell r="AB124" t="str">
            <v>NA</v>
          </cell>
          <cell r="AC124" t="str">
            <v>NA</v>
          </cell>
          <cell r="AD124" t="str">
            <v>NA</v>
          </cell>
          <cell r="AE124" t="str">
            <v>NA</v>
          </cell>
          <cell r="AF124" t="str">
            <v>NA</v>
          </cell>
          <cell r="AG124" t="str">
            <v>NA</v>
          </cell>
          <cell r="AH124" t="str">
            <v>NA</v>
          </cell>
          <cell r="AI124" t="str">
            <v>NA</v>
          </cell>
          <cell r="AJ124" t="str">
            <v>NA</v>
          </cell>
          <cell r="AK124" t="str">
            <v>NA</v>
          </cell>
          <cell r="AL124" t="str">
            <v>NA</v>
          </cell>
          <cell r="AM124" t="str">
            <v>NA</v>
          </cell>
          <cell r="AN124" t="str">
            <v>NA</v>
          </cell>
          <cell r="AO124" t="str">
            <v>NA</v>
          </cell>
          <cell r="AP124" t="str">
            <v>NA</v>
          </cell>
          <cell r="AQ124" t="str">
            <v>NA</v>
          </cell>
          <cell r="AR124" t="str">
            <v>NA</v>
          </cell>
          <cell r="AS124" t="str">
            <v>NA</v>
          </cell>
          <cell r="AT124" t="str">
            <v>NA</v>
          </cell>
          <cell r="AU124" t="str">
            <v>NA</v>
          </cell>
          <cell r="AV124" t="str">
            <v>NA</v>
          </cell>
          <cell r="AW124">
            <v>-2</v>
          </cell>
          <cell r="AX124">
            <v>-1</v>
          </cell>
          <cell r="AY124" t="str">
            <v>NA</v>
          </cell>
          <cell r="AZ124" t="str">
            <v>NA</v>
          </cell>
          <cell r="BA124">
            <v>-2</v>
          </cell>
          <cell r="BB124">
            <v>-2.2347826086956522</v>
          </cell>
          <cell r="BC124">
            <v>-0.89084507042253525</v>
          </cell>
          <cell r="BD124">
            <v>1.274193548387097</v>
          </cell>
          <cell r="BE124">
            <v>-0.78723404255319152</v>
          </cell>
          <cell r="BF124">
            <v>2.7666666666666666</v>
          </cell>
          <cell r="BG124">
            <v>0.41592920353982299</v>
          </cell>
          <cell r="BH124">
            <v>-0.20625000000000004</v>
          </cell>
          <cell r="BI124">
            <v>0</v>
          </cell>
          <cell r="BJ124">
            <v>0.30708661417322825</v>
          </cell>
          <cell r="BK124">
            <v>-0.22891566265060237</v>
          </cell>
          <cell r="BL124">
            <v>7.8125E-2</v>
          </cell>
          <cell r="BM124">
            <v>-0.11594202898550721</v>
          </cell>
          <cell r="BN124">
            <v>0.31147540983606548</v>
          </cell>
          <cell r="BO124">
            <v>-0.15625</v>
          </cell>
          <cell r="BP124">
            <v>0.25185185185185177</v>
          </cell>
          <cell r="BQ124">
            <v>-0.23076923076923073</v>
          </cell>
          <cell r="BR124">
            <v>0.31538461538461537</v>
          </cell>
          <cell r="BS124">
            <v>-0.33333333333333337</v>
          </cell>
          <cell r="BT124">
            <v>0.46491228070175428</v>
          </cell>
          <cell r="BU124">
            <v>5.3892215568862367E-2</v>
          </cell>
          <cell r="BV124">
            <v>-1.1363636363636354E-2</v>
          </cell>
          <cell r="BW124">
            <v>-1</v>
          </cell>
          <cell r="BX124" t="str">
            <v>NA</v>
          </cell>
          <cell r="BY124" t="str">
            <v>NA</v>
          </cell>
          <cell r="BZ124" t="str">
            <v>NA</v>
          </cell>
          <cell r="CA124" t="str">
            <v>NA</v>
          </cell>
          <cell r="CB124" t="str">
            <v>NA</v>
          </cell>
          <cell r="CC124" t="str">
            <v>NA</v>
          </cell>
          <cell r="CD124" t="str">
            <v>NA</v>
          </cell>
          <cell r="CE124" t="str">
            <v>NA</v>
          </cell>
          <cell r="CF124" t="str">
            <v>NA</v>
          </cell>
          <cell r="CG124" t="str">
            <v>NA</v>
          </cell>
          <cell r="CH124" t="str">
            <v>NA</v>
          </cell>
          <cell r="CI124" t="str">
            <v>NA</v>
          </cell>
          <cell r="CJ124" t="str">
            <v>NA</v>
          </cell>
          <cell r="CK124" t="str">
            <v>NA</v>
          </cell>
          <cell r="CL124" t="str">
            <v>NA</v>
          </cell>
          <cell r="CM124" t="str">
            <v>NA</v>
          </cell>
          <cell r="CN124" t="str">
            <v>NA</v>
          </cell>
          <cell r="CO124" t="str">
            <v>NA</v>
          </cell>
          <cell r="CP124" t="str">
            <v>NA</v>
          </cell>
          <cell r="CQ124" t="str">
            <v>NA</v>
          </cell>
          <cell r="CR124" t="str">
            <v>NA</v>
          </cell>
          <cell r="CS124" t="str">
            <v>NA</v>
          </cell>
          <cell r="CT124" t="str">
            <v>NA</v>
          </cell>
          <cell r="CU124" t="str">
            <v>NA</v>
          </cell>
          <cell r="CV124" t="str">
            <v>NA</v>
          </cell>
          <cell r="CW124" t="str">
            <v>NA</v>
          </cell>
          <cell r="CX124" t="str">
            <v>NA</v>
          </cell>
          <cell r="CY124" t="str">
            <v>NA</v>
          </cell>
          <cell r="CZ124" t="str">
            <v>NA</v>
          </cell>
          <cell r="DA124" t="str">
            <v>NA</v>
          </cell>
          <cell r="DB124" t="str">
            <v>NA</v>
          </cell>
          <cell r="DC124" t="str">
            <v>NA</v>
          </cell>
          <cell r="DD124" t="str">
            <v>NA</v>
          </cell>
          <cell r="DE124" t="str">
            <v>NA</v>
          </cell>
          <cell r="DF124" t="str">
            <v>NA</v>
          </cell>
          <cell r="DG124" t="str">
            <v>NA</v>
          </cell>
          <cell r="DH124" t="str">
            <v>NA</v>
          </cell>
          <cell r="DI124" t="str">
            <v>NA</v>
          </cell>
          <cell r="DJ124" t="str">
            <v>NA</v>
          </cell>
          <cell r="DK124" t="str">
            <v>NA</v>
          </cell>
          <cell r="DL124" t="str">
            <v>NA</v>
          </cell>
          <cell r="DM124" t="str">
            <v>NA</v>
          </cell>
          <cell r="DN124" t="str">
            <v>NA</v>
          </cell>
        </row>
        <row r="126">
          <cell r="A126" t="str">
            <v>Customers with &gt;$1M in ACV</v>
          </cell>
          <cell r="BX126">
            <v>283</v>
          </cell>
          <cell r="BY126">
            <v>314</v>
          </cell>
          <cell r="BZ126">
            <v>353</v>
          </cell>
          <cell r="CA126">
            <v>379</v>
          </cell>
          <cell r="CB126">
            <v>410</v>
          </cell>
          <cell r="CC126">
            <v>445</v>
          </cell>
          <cell r="CD126">
            <v>506</v>
          </cell>
          <cell r="CE126">
            <v>542</v>
          </cell>
          <cell r="CF126">
            <v>575</v>
          </cell>
          <cell r="DP126">
            <v>0</v>
          </cell>
          <cell r="DQ126">
            <v>0</v>
          </cell>
          <cell r="DR126">
            <v>0</v>
          </cell>
          <cell r="DS126">
            <v>0</v>
          </cell>
          <cell r="DT126">
            <v>0</v>
          </cell>
          <cell r="DU126">
            <v>0</v>
          </cell>
          <cell r="DV126">
            <v>0</v>
          </cell>
          <cell r="DW126">
            <v>0</v>
          </cell>
          <cell r="DX126">
            <v>0</v>
          </cell>
          <cell r="DY126">
            <v>0</v>
          </cell>
          <cell r="DZ126">
            <v>0</v>
          </cell>
          <cell r="EA126">
            <v>0</v>
          </cell>
          <cell r="EB126">
            <v>0</v>
          </cell>
          <cell r="EC126">
            <v>0</v>
          </cell>
          <cell r="ED126">
            <v>0</v>
          </cell>
          <cell r="EE126">
            <v>0</v>
          </cell>
          <cell r="EF126">
            <v>0</v>
          </cell>
          <cell r="EG126">
            <v>0</v>
          </cell>
          <cell r="EH126">
            <v>353</v>
          </cell>
          <cell r="EI126">
            <v>506</v>
          </cell>
          <cell r="EJ126">
            <v>0</v>
          </cell>
          <cell r="EK126">
            <v>0</v>
          </cell>
          <cell r="EL126">
            <v>0</v>
          </cell>
          <cell r="EM126">
            <v>0</v>
          </cell>
          <cell r="EN126">
            <v>0</v>
          </cell>
          <cell r="EO126">
            <v>0</v>
          </cell>
          <cell r="EP126">
            <v>0</v>
          </cell>
          <cell r="EQ126">
            <v>0</v>
          </cell>
          <cell r="ER126">
            <v>0</v>
          </cell>
        </row>
        <row r="127">
          <cell r="A127" t="str">
            <v>% growth y-o-y</v>
          </cell>
          <cell r="V127" t="str">
            <v>NA</v>
          </cell>
          <cell r="Z127" t="str">
            <v>NA</v>
          </cell>
          <cell r="AA127" t="str">
            <v>NA</v>
          </cell>
          <cell r="AB127" t="str">
            <v>NA</v>
          </cell>
          <cell r="AC127" t="str">
            <v>NA</v>
          </cell>
          <cell r="AD127" t="str">
            <v>NA</v>
          </cell>
          <cell r="AE127" t="str">
            <v>NA</v>
          </cell>
          <cell r="AF127" t="str">
            <v>NA</v>
          </cell>
          <cell r="AG127" t="str">
            <v>NA</v>
          </cell>
          <cell r="AH127" t="str">
            <v>NA</v>
          </cell>
          <cell r="AI127" t="str">
            <v>NA</v>
          </cell>
          <cell r="AJ127" t="str">
            <v>NA</v>
          </cell>
          <cell r="AK127" t="str">
            <v>NA</v>
          </cell>
          <cell r="AL127" t="str">
            <v>NA</v>
          </cell>
          <cell r="AM127" t="str">
            <v>NA</v>
          </cell>
          <cell r="AN127" t="str">
            <v>NA</v>
          </cell>
          <cell r="AO127" t="str">
            <v>NA</v>
          </cell>
          <cell r="AP127" t="str">
            <v>NA</v>
          </cell>
          <cell r="AQ127" t="str">
            <v>NA</v>
          </cell>
          <cell r="AR127" t="str">
            <v>NA</v>
          </cell>
          <cell r="AS127" t="str">
            <v>NA</v>
          </cell>
          <cell r="AT127" t="str">
            <v>NA</v>
          </cell>
          <cell r="AU127" t="str">
            <v>NA</v>
          </cell>
          <cell r="AV127" t="str">
            <v>NA</v>
          </cell>
          <cell r="AW127" t="str">
            <v>NA</v>
          </cell>
          <cell r="AX127" t="str">
            <v>NA</v>
          </cell>
          <cell r="AY127" t="str">
            <v>NA</v>
          </cell>
          <cell r="AZ127" t="str">
            <v>NA</v>
          </cell>
          <cell r="BA127" t="str">
            <v>NA</v>
          </cell>
          <cell r="BB127" t="str">
            <v>NA</v>
          </cell>
          <cell r="BC127" t="str">
            <v>NA</v>
          </cell>
          <cell r="BD127" t="str">
            <v>NA</v>
          </cell>
          <cell r="BE127" t="str">
            <v>NA</v>
          </cell>
          <cell r="BF127" t="str">
            <v>NA</v>
          </cell>
          <cell r="BG127" t="str">
            <v>NA</v>
          </cell>
          <cell r="BH127" t="str">
            <v>NA</v>
          </cell>
          <cell r="BI127" t="str">
            <v>NA</v>
          </cell>
          <cell r="BJ127" t="str">
            <v>NA</v>
          </cell>
          <cell r="BK127" t="str">
            <v>NA</v>
          </cell>
          <cell r="BL127" t="str">
            <v>NA</v>
          </cell>
          <cell r="BM127" t="str">
            <v>NA</v>
          </cell>
          <cell r="BN127" t="str">
            <v>NA</v>
          </cell>
          <cell r="BO127" t="str">
            <v>NA</v>
          </cell>
          <cell r="BP127" t="str">
            <v>NA</v>
          </cell>
          <cell r="BQ127" t="str">
            <v>NA</v>
          </cell>
          <cell r="BR127" t="str">
            <v>NA</v>
          </cell>
          <cell r="BS127" t="str">
            <v>NA</v>
          </cell>
          <cell r="BT127" t="str">
            <v>NA</v>
          </cell>
          <cell r="BU127" t="str">
            <v>NA</v>
          </cell>
          <cell r="BV127" t="str">
            <v>NA</v>
          </cell>
          <cell r="BW127" t="str">
            <v>NA</v>
          </cell>
          <cell r="BX127" t="str">
            <v>NA</v>
          </cell>
          <cell r="BY127" t="str">
            <v>NA</v>
          </cell>
          <cell r="BZ127" t="str">
            <v>NA</v>
          </cell>
          <cell r="CA127" t="str">
            <v>NA</v>
          </cell>
          <cell r="CB127">
            <v>0.44876325088339231</v>
          </cell>
          <cell r="CC127">
            <v>0.41719745222929938</v>
          </cell>
          <cell r="CD127">
            <v>0.43342776203966005</v>
          </cell>
          <cell r="CE127">
            <v>0.43007915567282318</v>
          </cell>
          <cell r="CF127">
            <v>0.40243902439024382</v>
          </cell>
          <cell r="CG127">
            <v>-1</v>
          </cell>
          <cell r="CH127">
            <v>-1</v>
          </cell>
          <cell r="CI127">
            <v>-1</v>
          </cell>
          <cell r="CJ127">
            <v>-1</v>
          </cell>
          <cell r="CK127" t="str">
            <v>NA</v>
          </cell>
          <cell r="CL127" t="str">
            <v>NA</v>
          </cell>
          <cell r="CM127" t="str">
            <v>NA</v>
          </cell>
          <cell r="CN127" t="str">
            <v>NA</v>
          </cell>
          <cell r="CO127" t="str">
            <v>NA</v>
          </cell>
          <cell r="CP127" t="str">
            <v>NA</v>
          </cell>
          <cell r="CQ127" t="str">
            <v>NA</v>
          </cell>
          <cell r="CR127" t="str">
            <v>NA</v>
          </cell>
          <cell r="CS127" t="str">
            <v>NA</v>
          </cell>
          <cell r="CT127" t="str">
            <v>NA</v>
          </cell>
          <cell r="CU127" t="str">
            <v>NA</v>
          </cell>
          <cell r="CV127" t="str">
            <v>NA</v>
          </cell>
          <cell r="CW127" t="str">
            <v>NA</v>
          </cell>
          <cell r="CX127" t="str">
            <v>NA</v>
          </cell>
          <cell r="CY127" t="str">
            <v>NA</v>
          </cell>
          <cell r="CZ127" t="str">
            <v>NA</v>
          </cell>
          <cell r="DA127" t="str">
            <v>NA</v>
          </cell>
          <cell r="DB127" t="str">
            <v>NA</v>
          </cell>
          <cell r="DC127" t="str">
            <v>NA</v>
          </cell>
          <cell r="DD127" t="str">
            <v>NA</v>
          </cell>
          <cell r="DE127" t="str">
            <v>NA</v>
          </cell>
          <cell r="DF127" t="str">
            <v>NA</v>
          </cell>
          <cell r="DG127" t="str">
            <v>NA</v>
          </cell>
          <cell r="DH127" t="str">
            <v>NA</v>
          </cell>
          <cell r="DI127" t="str">
            <v>NA</v>
          </cell>
          <cell r="DJ127" t="str">
            <v>NA</v>
          </cell>
          <cell r="DK127" t="str">
            <v>NA</v>
          </cell>
          <cell r="DL127" t="str">
            <v>NA</v>
          </cell>
          <cell r="DM127" t="str">
            <v>NA</v>
          </cell>
          <cell r="DN127" t="str">
            <v>NA</v>
          </cell>
          <cell r="DQ127" t="str">
            <v>NA</v>
          </cell>
          <cell r="DR127" t="str">
            <v>NA</v>
          </cell>
          <cell r="DS127" t="str">
            <v>NA</v>
          </cell>
          <cell r="DT127" t="str">
            <v>NA</v>
          </cell>
          <cell r="DU127" t="str">
            <v>NA</v>
          </cell>
          <cell r="DV127" t="str">
            <v>NA</v>
          </cell>
          <cell r="DW127" t="str">
            <v>NA</v>
          </cell>
          <cell r="DX127" t="str">
            <v>NA</v>
          </cell>
          <cell r="DY127" t="str">
            <v>NA</v>
          </cell>
          <cell r="DZ127" t="str">
            <v>NA</v>
          </cell>
          <cell r="EA127" t="str">
            <v>NA</v>
          </cell>
          <cell r="EB127" t="str">
            <v>NA</v>
          </cell>
          <cell r="EC127" t="str">
            <v>NA</v>
          </cell>
          <cell r="ED127" t="str">
            <v>NA</v>
          </cell>
          <cell r="EE127" t="str">
            <v>NA</v>
          </cell>
          <cell r="EF127" t="str">
            <v>NA</v>
          </cell>
          <cell r="EG127" t="str">
            <v>NA</v>
          </cell>
          <cell r="EH127" t="str">
            <v>NA</v>
          </cell>
          <cell r="EI127">
            <v>0.43342776203966005</v>
          </cell>
          <cell r="EJ127">
            <v>-1</v>
          </cell>
          <cell r="EK127" t="str">
            <v>NA</v>
          </cell>
          <cell r="EL127" t="str">
            <v>NA</v>
          </cell>
          <cell r="EM127" t="str">
            <v>NA</v>
          </cell>
          <cell r="EN127" t="str">
            <v>NA</v>
          </cell>
          <cell r="EO127" t="str">
            <v>NA</v>
          </cell>
          <cell r="EP127" t="str">
            <v>NA</v>
          </cell>
          <cell r="EQ127" t="str">
            <v>NA</v>
          </cell>
          <cell r="ER127" t="str">
            <v>NA</v>
          </cell>
        </row>
        <row r="128">
          <cell r="A128" t="str">
            <v>% growth seq</v>
          </cell>
          <cell r="V128" t="str">
            <v>NA</v>
          </cell>
          <cell r="Z128" t="str">
            <v>NA</v>
          </cell>
          <cell r="AA128" t="str">
            <v>NA</v>
          </cell>
          <cell r="AB128" t="str">
            <v>NA</v>
          </cell>
          <cell r="AC128" t="str">
            <v>NA</v>
          </cell>
          <cell r="AD128" t="str">
            <v>NA</v>
          </cell>
          <cell r="AE128" t="str">
            <v>NA</v>
          </cell>
          <cell r="AF128" t="str">
            <v>NA</v>
          </cell>
          <cell r="AG128" t="str">
            <v>NA</v>
          </cell>
          <cell r="AH128" t="str">
            <v>NA</v>
          </cell>
          <cell r="AI128" t="str">
            <v>NA</v>
          </cell>
          <cell r="AJ128" t="str">
            <v>NA</v>
          </cell>
          <cell r="AK128" t="str">
            <v>NA</v>
          </cell>
          <cell r="AL128" t="str">
            <v>NA</v>
          </cell>
          <cell r="AM128" t="str">
            <v>NA</v>
          </cell>
          <cell r="AN128" t="str">
            <v>NA</v>
          </cell>
          <cell r="AO128" t="str">
            <v>NA</v>
          </cell>
          <cell r="AP128" t="str">
            <v>NA</v>
          </cell>
          <cell r="AQ128" t="str">
            <v>NA</v>
          </cell>
          <cell r="AR128" t="str">
            <v>NA</v>
          </cell>
          <cell r="AS128" t="str">
            <v>NA</v>
          </cell>
          <cell r="AT128" t="str">
            <v>NA</v>
          </cell>
          <cell r="AU128" t="str">
            <v>NA</v>
          </cell>
          <cell r="AV128" t="str">
            <v>NA</v>
          </cell>
          <cell r="AW128" t="str">
            <v>NA</v>
          </cell>
          <cell r="AX128" t="str">
            <v>NA</v>
          </cell>
          <cell r="AY128" t="str">
            <v>NA</v>
          </cell>
          <cell r="AZ128" t="str">
            <v>NA</v>
          </cell>
          <cell r="BA128" t="str">
            <v>NA</v>
          </cell>
          <cell r="BB128" t="str">
            <v>NA</v>
          </cell>
          <cell r="BC128" t="str">
            <v>NA</v>
          </cell>
          <cell r="BD128" t="str">
            <v>NA</v>
          </cell>
          <cell r="BE128" t="str">
            <v>NA</v>
          </cell>
          <cell r="BF128" t="str">
            <v>NA</v>
          </cell>
          <cell r="BG128" t="str">
            <v>NA</v>
          </cell>
          <cell r="BH128" t="str">
            <v>NA</v>
          </cell>
          <cell r="BI128" t="str">
            <v>NA</v>
          </cell>
          <cell r="BJ128" t="str">
            <v>NA</v>
          </cell>
          <cell r="BK128" t="str">
            <v>NA</v>
          </cell>
          <cell r="BL128" t="str">
            <v>NA</v>
          </cell>
          <cell r="BM128" t="str">
            <v>NA</v>
          </cell>
          <cell r="BN128" t="str">
            <v>NA</v>
          </cell>
          <cell r="BO128" t="str">
            <v>NA</v>
          </cell>
          <cell r="BP128" t="str">
            <v>NA</v>
          </cell>
          <cell r="BQ128" t="str">
            <v>NA</v>
          </cell>
          <cell r="BR128" t="str">
            <v>NA</v>
          </cell>
          <cell r="BS128" t="str">
            <v>NA</v>
          </cell>
          <cell r="BT128" t="str">
            <v>NA</v>
          </cell>
          <cell r="BU128" t="str">
            <v>NA</v>
          </cell>
          <cell r="BV128" t="str">
            <v>NA</v>
          </cell>
          <cell r="BW128" t="str">
            <v>NA</v>
          </cell>
          <cell r="BX128" t="str">
            <v>NA</v>
          </cell>
          <cell r="BY128">
            <v>0.10954063604240272</v>
          </cell>
          <cell r="BZ128">
            <v>0.12420382165605104</v>
          </cell>
          <cell r="CA128">
            <v>7.3654390934844161E-2</v>
          </cell>
          <cell r="CB128">
            <v>8.1794195250659563E-2</v>
          </cell>
          <cell r="CC128">
            <v>8.5365853658536661E-2</v>
          </cell>
          <cell r="CD128">
            <v>0.13707865168539324</v>
          </cell>
          <cell r="CE128">
            <v>7.1146245059288571E-2</v>
          </cell>
          <cell r="CF128">
            <v>6.0885608856088513E-2</v>
          </cell>
          <cell r="CG128">
            <v>-1</v>
          </cell>
          <cell r="CH128" t="str">
            <v>NA</v>
          </cell>
          <cell r="CI128" t="str">
            <v>NA</v>
          </cell>
          <cell r="CJ128" t="str">
            <v>NA</v>
          </cell>
          <cell r="CK128" t="str">
            <v>NA</v>
          </cell>
          <cell r="CL128" t="str">
            <v>NA</v>
          </cell>
          <cell r="CM128" t="str">
            <v>NA</v>
          </cell>
          <cell r="CN128" t="str">
            <v>NA</v>
          </cell>
          <cell r="CO128" t="str">
            <v>NA</v>
          </cell>
          <cell r="CP128" t="str">
            <v>NA</v>
          </cell>
          <cell r="CQ128" t="str">
            <v>NA</v>
          </cell>
          <cell r="CR128" t="str">
            <v>NA</v>
          </cell>
          <cell r="CS128" t="str">
            <v>NA</v>
          </cell>
          <cell r="CT128" t="str">
            <v>NA</v>
          </cell>
          <cell r="CU128" t="str">
            <v>NA</v>
          </cell>
          <cell r="CV128" t="str">
            <v>NA</v>
          </cell>
          <cell r="CW128" t="str">
            <v>NA</v>
          </cell>
          <cell r="CX128" t="str">
            <v>NA</v>
          </cell>
          <cell r="CY128" t="str">
            <v>NA</v>
          </cell>
          <cell r="CZ128" t="str">
            <v>NA</v>
          </cell>
          <cell r="DA128" t="str">
            <v>NA</v>
          </cell>
          <cell r="DB128" t="str">
            <v>NA</v>
          </cell>
          <cell r="DC128" t="str">
            <v>NA</v>
          </cell>
          <cell r="DD128" t="str">
            <v>NA</v>
          </cell>
          <cell r="DE128" t="str">
            <v>NA</v>
          </cell>
          <cell r="DF128" t="str">
            <v>NA</v>
          </cell>
          <cell r="DG128" t="str">
            <v>NA</v>
          </cell>
          <cell r="DH128" t="str">
            <v>NA</v>
          </cell>
          <cell r="DI128" t="str">
            <v>NA</v>
          </cell>
          <cell r="DJ128" t="str">
            <v>NA</v>
          </cell>
          <cell r="DK128" t="str">
            <v>NA</v>
          </cell>
          <cell r="DL128" t="str">
            <v>NA</v>
          </cell>
          <cell r="DM128" t="str">
            <v>NA</v>
          </cell>
          <cell r="DN128" t="str">
            <v>NA</v>
          </cell>
        </row>
        <row r="130">
          <cell r="A130" t="str">
            <v>Customers with &gt;$1M in ACV</v>
          </cell>
          <cell r="BM130">
            <v>67</v>
          </cell>
          <cell r="BN130">
            <v>81</v>
          </cell>
          <cell r="BO130">
            <v>96</v>
          </cell>
          <cell r="BP130">
            <v>111</v>
          </cell>
          <cell r="BQ130">
            <v>127</v>
          </cell>
          <cell r="BR130">
            <v>153</v>
          </cell>
          <cell r="BS130">
            <v>169</v>
          </cell>
          <cell r="BT130">
            <v>193</v>
          </cell>
          <cell r="BU130">
            <v>209</v>
          </cell>
          <cell r="BV130">
            <v>232</v>
          </cell>
          <cell r="BW130">
            <v>252</v>
          </cell>
          <cell r="BX130">
            <v>280</v>
          </cell>
          <cell r="BY130">
            <v>308</v>
          </cell>
          <cell r="BZ130">
            <v>346</v>
          </cell>
          <cell r="CA130">
            <v>370</v>
          </cell>
          <cell r="CB130">
            <v>401</v>
          </cell>
          <cell r="CC130">
            <v>436</v>
          </cell>
          <cell r="CD130">
            <v>500</v>
          </cell>
          <cell r="CE130">
            <v>536</v>
          </cell>
          <cell r="CF130">
            <v>579</v>
          </cell>
          <cell r="CG130">
            <v>610</v>
          </cell>
          <cell r="CH130">
            <v>678</v>
          </cell>
          <cell r="CI130">
            <v>718</v>
          </cell>
          <cell r="CJ130">
            <v>764</v>
          </cell>
          <cell r="CK130">
            <v>806</v>
          </cell>
          <cell r="CL130">
            <v>890</v>
          </cell>
          <cell r="CM130">
            <v>933</v>
          </cell>
          <cell r="CN130">
            <v>964</v>
          </cell>
          <cell r="CO130">
            <v>1012</v>
          </cell>
          <cell r="CP130">
            <v>1903</v>
          </cell>
          <cell r="DP130">
            <v>0</v>
          </cell>
          <cell r="DQ130">
            <v>0</v>
          </cell>
          <cell r="DR130">
            <v>0</v>
          </cell>
          <cell r="DS130">
            <v>0</v>
          </cell>
          <cell r="DT130">
            <v>0</v>
          </cell>
          <cell r="DU130">
            <v>0</v>
          </cell>
          <cell r="DV130">
            <v>0</v>
          </cell>
          <cell r="DW130">
            <v>0</v>
          </cell>
          <cell r="DX130">
            <v>0</v>
          </cell>
          <cell r="DY130">
            <v>0</v>
          </cell>
          <cell r="DZ130">
            <v>0</v>
          </cell>
          <cell r="EA130">
            <v>0</v>
          </cell>
          <cell r="EB130">
            <v>0</v>
          </cell>
          <cell r="EC130">
            <v>0</v>
          </cell>
          <cell r="ED130">
            <v>0</v>
          </cell>
          <cell r="EE130">
            <v>81</v>
          </cell>
          <cell r="EF130">
            <v>153</v>
          </cell>
          <cell r="EG130">
            <v>232</v>
          </cell>
          <cell r="EH130">
            <v>346</v>
          </cell>
          <cell r="EI130">
            <v>500</v>
          </cell>
          <cell r="EJ130">
            <v>678</v>
          </cell>
          <cell r="EK130">
            <v>890</v>
          </cell>
          <cell r="EL130">
            <v>1903</v>
          </cell>
          <cell r="EM130">
            <v>0</v>
          </cell>
          <cell r="EN130">
            <v>0</v>
          </cell>
          <cell r="EO130">
            <v>0</v>
          </cell>
          <cell r="EP130">
            <v>0</v>
          </cell>
          <cell r="EQ130">
            <v>0</v>
          </cell>
          <cell r="ER130">
            <v>0</v>
          </cell>
        </row>
        <row r="131">
          <cell r="A131" t="str">
            <v>% growth y-o-y</v>
          </cell>
          <cell r="V131" t="str">
            <v>NA</v>
          </cell>
          <cell r="Z131" t="str">
            <v>NA</v>
          </cell>
          <cell r="AA131" t="str">
            <v>NA</v>
          </cell>
          <cell r="AB131" t="str">
            <v>NA</v>
          </cell>
          <cell r="AC131" t="str">
            <v>NA</v>
          </cell>
          <cell r="AD131" t="str">
            <v>NA</v>
          </cell>
          <cell r="AE131" t="str">
            <v>NA</v>
          </cell>
          <cell r="AF131" t="str">
            <v>NA</v>
          </cell>
          <cell r="AG131" t="str">
            <v>NA</v>
          </cell>
          <cell r="AH131" t="str">
            <v>NA</v>
          </cell>
          <cell r="AI131" t="str">
            <v>NA</v>
          </cell>
          <cell r="AJ131" t="str">
            <v>NA</v>
          </cell>
          <cell r="AK131" t="str">
            <v>NA</v>
          </cell>
          <cell r="AL131" t="str">
            <v>NA</v>
          </cell>
          <cell r="AM131" t="str">
            <v>NA</v>
          </cell>
          <cell r="AN131" t="str">
            <v>NA</v>
          </cell>
          <cell r="AO131" t="str">
            <v>NA</v>
          </cell>
          <cell r="AP131" t="str">
            <v>NA</v>
          </cell>
          <cell r="AQ131" t="str">
            <v>NA</v>
          </cell>
          <cell r="AR131" t="str">
            <v>NA</v>
          </cell>
          <cell r="AS131" t="str">
            <v>NA</v>
          </cell>
          <cell r="AT131" t="str">
            <v>NA</v>
          </cell>
          <cell r="AU131" t="str">
            <v>NA</v>
          </cell>
          <cell r="AV131" t="str">
            <v>NA</v>
          </cell>
          <cell r="AW131" t="str">
            <v>NA</v>
          </cell>
          <cell r="AX131" t="str">
            <v>NA</v>
          </cell>
          <cell r="AY131" t="str">
            <v>NA</v>
          </cell>
          <cell r="AZ131" t="str">
            <v>NA</v>
          </cell>
          <cell r="BA131" t="str">
            <v>NA</v>
          </cell>
          <cell r="BB131" t="str">
            <v>NA</v>
          </cell>
          <cell r="BC131" t="str">
            <v>NA</v>
          </cell>
          <cell r="BD131" t="str">
            <v>NA</v>
          </cell>
          <cell r="BE131" t="str">
            <v>NA</v>
          </cell>
          <cell r="BF131" t="str">
            <v>NA</v>
          </cell>
          <cell r="BG131" t="str">
            <v>NA</v>
          </cell>
          <cell r="BH131" t="str">
            <v>NA</v>
          </cell>
          <cell r="BI131" t="str">
            <v>NA</v>
          </cell>
          <cell r="BJ131" t="str">
            <v>NA</v>
          </cell>
          <cell r="BK131" t="str">
            <v>NA</v>
          </cell>
          <cell r="BL131" t="str">
            <v>NA</v>
          </cell>
          <cell r="BM131" t="str">
            <v>NA</v>
          </cell>
          <cell r="BN131" t="str">
            <v>NA</v>
          </cell>
          <cell r="BO131" t="str">
            <v>NA</v>
          </cell>
          <cell r="BP131" t="str">
            <v>NA</v>
          </cell>
          <cell r="BQ131">
            <v>0.89552238805970141</v>
          </cell>
          <cell r="BR131">
            <v>0.88888888888888884</v>
          </cell>
          <cell r="BS131">
            <v>0.76041666666666674</v>
          </cell>
          <cell r="BT131">
            <v>0.73873873873873874</v>
          </cell>
          <cell r="BU131">
            <v>0.64566929133858264</v>
          </cell>
          <cell r="BV131">
            <v>0.51633986928104569</v>
          </cell>
          <cell r="BW131">
            <v>0.49112426035502965</v>
          </cell>
          <cell r="BX131">
            <v>0.45077720207253891</v>
          </cell>
          <cell r="BY131">
            <v>0.47368421052631571</v>
          </cell>
          <cell r="BZ131">
            <v>0.49137931034482762</v>
          </cell>
          <cell r="CA131">
            <v>0.46825396825396814</v>
          </cell>
          <cell r="CB131">
            <v>0.43214285714285716</v>
          </cell>
          <cell r="CC131">
            <v>0.4155844155844155</v>
          </cell>
          <cell r="CD131">
            <v>0.44508670520231219</v>
          </cell>
          <cell r="CE131">
            <v>0.44864864864864873</v>
          </cell>
          <cell r="CF131">
            <v>0.44389027431421457</v>
          </cell>
          <cell r="CG131">
            <v>0.39908256880733939</v>
          </cell>
          <cell r="CH131">
            <v>0.35600000000000009</v>
          </cell>
          <cell r="CI131">
            <v>0.33955223880597019</v>
          </cell>
          <cell r="CJ131">
            <v>0.3195164075993091</v>
          </cell>
          <cell r="CK131">
            <v>0.32131147540983607</v>
          </cell>
          <cell r="CL131">
            <v>0.31268436578171088</v>
          </cell>
          <cell r="CM131">
            <v>0.29944289693593307</v>
          </cell>
          <cell r="CN131">
            <v>0.26178010471204183</v>
          </cell>
          <cell r="CO131">
            <v>0.25558312655086857</v>
          </cell>
          <cell r="CP131">
            <v>1.1382022471910114</v>
          </cell>
          <cell r="DQ131" t="str">
            <v>NA</v>
          </cell>
          <cell r="DR131" t="str">
            <v>NA</v>
          </cell>
          <cell r="DS131" t="str">
            <v>NA</v>
          </cell>
          <cell r="DT131" t="str">
            <v>NA</v>
          </cell>
          <cell r="DU131" t="str">
            <v>NA</v>
          </cell>
          <cell r="DV131" t="str">
            <v>NA</v>
          </cell>
          <cell r="DW131" t="str">
            <v>NA</v>
          </cell>
          <cell r="DX131" t="str">
            <v>NA</v>
          </cell>
          <cell r="DY131" t="str">
            <v>NA</v>
          </cell>
          <cell r="DZ131" t="str">
            <v>NA</v>
          </cell>
          <cell r="EA131" t="str">
            <v>NA</v>
          </cell>
          <cell r="EB131" t="str">
            <v>NA</v>
          </cell>
          <cell r="EC131" t="str">
            <v>NA</v>
          </cell>
          <cell r="ED131" t="str">
            <v>NA</v>
          </cell>
          <cell r="EE131" t="str">
            <v>NA</v>
          </cell>
          <cell r="EF131">
            <v>0.88888888888888884</v>
          </cell>
          <cell r="EG131">
            <v>0.51633986928104569</v>
          </cell>
          <cell r="EH131">
            <v>0.49137931034482762</v>
          </cell>
          <cell r="EI131">
            <v>0.44508670520231219</v>
          </cell>
          <cell r="EJ131">
            <v>0.35600000000000009</v>
          </cell>
          <cell r="EK131">
            <v>0.31268436578171088</v>
          </cell>
          <cell r="EL131">
            <v>1.1382022471910114</v>
          </cell>
          <cell r="EM131">
            <v>-1</v>
          </cell>
          <cell r="EN131" t="str">
            <v>NA</v>
          </cell>
          <cell r="EO131" t="str">
            <v>NA</v>
          </cell>
          <cell r="EP131" t="str">
            <v>NA</v>
          </cell>
          <cell r="EQ131" t="str">
            <v>NA</v>
          </cell>
          <cell r="ER131" t="str">
            <v>NA</v>
          </cell>
        </row>
        <row r="132">
          <cell r="A132" t="str">
            <v>% growth seq</v>
          </cell>
          <cell r="V132" t="str">
            <v>NA</v>
          </cell>
          <cell r="Z132" t="str">
            <v>NA</v>
          </cell>
          <cell r="AA132" t="str">
            <v>NA</v>
          </cell>
          <cell r="AB132" t="str">
            <v>NA</v>
          </cell>
          <cell r="AC132" t="str">
            <v>NA</v>
          </cell>
          <cell r="AD132" t="str">
            <v>NA</v>
          </cell>
          <cell r="AE132" t="str">
            <v>NA</v>
          </cell>
          <cell r="AF132" t="str">
            <v>NA</v>
          </cell>
          <cell r="AG132" t="str">
            <v>NA</v>
          </cell>
          <cell r="AH132" t="str">
            <v>NA</v>
          </cell>
          <cell r="AI132" t="str">
            <v>NA</v>
          </cell>
          <cell r="AJ132" t="str">
            <v>NA</v>
          </cell>
          <cell r="AK132" t="str">
            <v>NA</v>
          </cell>
          <cell r="AL132" t="str">
            <v>NA</v>
          </cell>
          <cell r="AM132" t="str">
            <v>NA</v>
          </cell>
          <cell r="AN132" t="str">
            <v>NA</v>
          </cell>
          <cell r="AO132" t="str">
            <v>NA</v>
          </cell>
          <cell r="AP132" t="str">
            <v>NA</v>
          </cell>
          <cell r="AQ132" t="str">
            <v>NA</v>
          </cell>
          <cell r="AR132" t="str">
            <v>NA</v>
          </cell>
          <cell r="AS132" t="str">
            <v>NA</v>
          </cell>
          <cell r="AT132" t="str">
            <v>NA</v>
          </cell>
          <cell r="AU132" t="str">
            <v>NA</v>
          </cell>
          <cell r="AV132" t="str">
            <v>NA</v>
          </cell>
          <cell r="AW132" t="str">
            <v>NA</v>
          </cell>
          <cell r="AX132" t="str">
            <v>NA</v>
          </cell>
          <cell r="AY132" t="str">
            <v>NA</v>
          </cell>
          <cell r="AZ132" t="str">
            <v>NA</v>
          </cell>
          <cell r="BA132" t="str">
            <v>NA</v>
          </cell>
          <cell r="BB132" t="str">
            <v>NA</v>
          </cell>
          <cell r="BC132" t="str">
            <v>NA</v>
          </cell>
          <cell r="BD132" t="str">
            <v>NA</v>
          </cell>
          <cell r="BE132" t="str">
            <v>NA</v>
          </cell>
          <cell r="BF132" t="str">
            <v>NA</v>
          </cell>
          <cell r="BG132" t="str">
            <v>NA</v>
          </cell>
          <cell r="BH132" t="str">
            <v>NA</v>
          </cell>
          <cell r="BI132" t="str">
            <v>NA</v>
          </cell>
          <cell r="BJ132" t="str">
            <v>NA</v>
          </cell>
          <cell r="BK132" t="str">
            <v>NA</v>
          </cell>
          <cell r="BL132" t="str">
            <v>NA</v>
          </cell>
          <cell r="BM132" t="str">
            <v>NA</v>
          </cell>
          <cell r="BN132">
            <v>0.20895522388059695</v>
          </cell>
          <cell r="BO132">
            <v>0.18518518518518512</v>
          </cell>
          <cell r="BP132">
            <v>0.15625</v>
          </cell>
          <cell r="BQ132">
            <v>0.14414414414414423</v>
          </cell>
          <cell r="BR132">
            <v>0.20472440944881898</v>
          </cell>
          <cell r="BS132">
            <v>0.10457516339869288</v>
          </cell>
          <cell r="BT132">
            <v>0.14201183431952669</v>
          </cell>
          <cell r="BU132">
            <v>8.290155440414515E-2</v>
          </cell>
          <cell r="BV132">
            <v>0.11004784688995217</v>
          </cell>
          <cell r="BW132">
            <v>8.6206896551724199E-2</v>
          </cell>
          <cell r="BX132">
            <v>0.11111111111111116</v>
          </cell>
          <cell r="BY132">
            <v>0.10000000000000009</v>
          </cell>
          <cell r="BZ132">
            <v>0.12337662337662336</v>
          </cell>
          <cell r="CA132">
            <v>6.9364161849710948E-2</v>
          </cell>
          <cell r="CB132">
            <v>8.3783783783783816E-2</v>
          </cell>
          <cell r="CC132">
            <v>8.7281795511221949E-2</v>
          </cell>
          <cell r="CD132">
            <v>0.14678899082568808</v>
          </cell>
          <cell r="CE132">
            <v>7.2000000000000064E-2</v>
          </cell>
          <cell r="CF132">
            <v>8.0223880597015018E-2</v>
          </cell>
          <cell r="CG132">
            <v>5.3540587219343738E-2</v>
          </cell>
          <cell r="CH132">
            <v>0.11147540983606552</v>
          </cell>
          <cell r="CI132">
            <v>5.8997050147492569E-2</v>
          </cell>
          <cell r="CJ132">
            <v>6.4066852367687943E-2</v>
          </cell>
          <cell r="CK132">
            <v>5.4973821989528826E-2</v>
          </cell>
          <cell r="CL132">
            <v>0.10421836228287851</v>
          </cell>
          <cell r="CM132">
            <v>4.8314606741572952E-2</v>
          </cell>
          <cell r="CN132">
            <v>3.3226152197213255E-2</v>
          </cell>
          <cell r="CO132">
            <v>4.9792531120331995E-2</v>
          </cell>
          <cell r="CP132">
            <v>0.88043478260869557</v>
          </cell>
        </row>
        <row r="134">
          <cell r="A134" t="str">
            <v>Deals &gt;$1M</v>
          </cell>
          <cell r="BZ134">
            <v>27</v>
          </cell>
          <cell r="CC134">
            <v>22</v>
          </cell>
          <cell r="CD134">
            <v>41</v>
          </cell>
          <cell r="CE134">
            <v>21</v>
          </cell>
          <cell r="CF134">
            <v>28</v>
          </cell>
          <cell r="CG134">
            <v>25</v>
          </cell>
          <cell r="CH134">
            <v>51</v>
          </cell>
          <cell r="CI134">
            <v>25</v>
          </cell>
          <cell r="CJ134">
            <v>39</v>
          </cell>
          <cell r="CK134">
            <v>46</v>
          </cell>
          <cell r="CL134">
            <v>76</v>
          </cell>
          <cell r="CM134">
            <v>37</v>
          </cell>
          <cell r="CN134">
            <v>40</v>
          </cell>
          <cell r="CO134">
            <v>41</v>
          </cell>
          <cell r="CP134">
            <v>89</v>
          </cell>
          <cell r="DP134">
            <v>0</v>
          </cell>
          <cell r="DQ134">
            <v>0</v>
          </cell>
          <cell r="DR134">
            <v>0</v>
          </cell>
          <cell r="DS134">
            <v>0</v>
          </cell>
          <cell r="DT134">
            <v>0</v>
          </cell>
          <cell r="DU134">
            <v>0</v>
          </cell>
          <cell r="DV134">
            <v>0</v>
          </cell>
          <cell r="DW134">
            <v>0</v>
          </cell>
          <cell r="DX134">
            <v>0</v>
          </cell>
          <cell r="DY134">
            <v>0</v>
          </cell>
          <cell r="DZ134">
            <v>0</v>
          </cell>
          <cell r="EA134">
            <v>0</v>
          </cell>
          <cell r="EB134">
            <v>0</v>
          </cell>
          <cell r="EC134">
            <v>0</v>
          </cell>
          <cell r="ED134">
            <v>0</v>
          </cell>
          <cell r="EE134">
            <v>0</v>
          </cell>
          <cell r="EF134">
            <v>0</v>
          </cell>
          <cell r="EG134">
            <v>0</v>
          </cell>
          <cell r="EH134">
            <v>27</v>
          </cell>
          <cell r="EI134">
            <v>41</v>
          </cell>
          <cell r="EJ134">
            <v>51</v>
          </cell>
          <cell r="EK134">
            <v>76</v>
          </cell>
          <cell r="EL134">
            <v>89</v>
          </cell>
          <cell r="EM134">
            <v>0</v>
          </cell>
          <cell r="EN134">
            <v>0</v>
          </cell>
          <cell r="EO134">
            <v>0</v>
          </cell>
          <cell r="EP134">
            <v>0</v>
          </cell>
          <cell r="EQ134">
            <v>0</v>
          </cell>
          <cell r="ER134">
            <v>0</v>
          </cell>
        </row>
        <row r="135">
          <cell r="A135" t="str">
            <v>% growth y-o-y</v>
          </cell>
          <cell r="V135" t="str">
            <v>NA</v>
          </cell>
          <cell r="Z135" t="str">
            <v>NA</v>
          </cell>
          <cell r="AA135" t="str">
            <v>NA</v>
          </cell>
          <cell r="AB135" t="str">
            <v>NA</v>
          </cell>
          <cell r="AC135" t="str">
            <v>NA</v>
          </cell>
          <cell r="AD135" t="str">
            <v>NA</v>
          </cell>
          <cell r="AE135" t="str">
            <v>NA</v>
          </cell>
          <cell r="AF135" t="str">
            <v>NA</v>
          </cell>
          <cell r="AG135" t="str">
            <v>NA</v>
          </cell>
          <cell r="AH135" t="str">
            <v>NA</v>
          </cell>
          <cell r="AI135" t="str">
            <v>NA</v>
          </cell>
          <cell r="AJ135" t="str">
            <v>NA</v>
          </cell>
          <cell r="AK135" t="str">
            <v>NA</v>
          </cell>
          <cell r="AL135" t="str">
            <v>NA</v>
          </cell>
          <cell r="AM135" t="str">
            <v>NA</v>
          </cell>
          <cell r="AN135" t="str">
            <v>NA</v>
          </cell>
          <cell r="AO135" t="str">
            <v>NA</v>
          </cell>
          <cell r="AP135" t="str">
            <v>NA</v>
          </cell>
          <cell r="AQ135" t="str">
            <v>NA</v>
          </cell>
          <cell r="AR135" t="str">
            <v>NA</v>
          </cell>
          <cell r="AS135" t="str">
            <v>NA</v>
          </cell>
          <cell r="AT135" t="str">
            <v>NA</v>
          </cell>
          <cell r="AU135" t="str">
            <v>NA</v>
          </cell>
          <cell r="AV135" t="str">
            <v>NA</v>
          </cell>
          <cell r="AW135" t="str">
            <v>NA</v>
          </cell>
          <cell r="AX135" t="str">
            <v>NA</v>
          </cell>
          <cell r="AY135" t="str">
            <v>NA</v>
          </cell>
          <cell r="AZ135" t="str">
            <v>NA</v>
          </cell>
          <cell r="BA135" t="str">
            <v>NA</v>
          </cell>
          <cell r="BB135" t="str">
            <v>NA</v>
          </cell>
          <cell r="BC135" t="str">
            <v>NA</v>
          </cell>
          <cell r="BD135" t="str">
            <v>NA</v>
          </cell>
          <cell r="BE135" t="str">
            <v>NA</v>
          </cell>
          <cell r="BF135" t="str">
            <v>NA</v>
          </cell>
          <cell r="BG135" t="str">
            <v>NA</v>
          </cell>
          <cell r="BH135" t="str">
            <v>NA</v>
          </cell>
          <cell r="BI135" t="str">
            <v>NA</v>
          </cell>
          <cell r="BJ135" t="str">
            <v>NA</v>
          </cell>
          <cell r="BK135" t="str">
            <v>NA</v>
          </cell>
          <cell r="BL135" t="str">
            <v>NA</v>
          </cell>
          <cell r="BM135" t="str">
            <v>NA</v>
          </cell>
          <cell r="BN135" t="str">
            <v>NA</v>
          </cell>
          <cell r="BO135" t="str">
            <v>NA</v>
          </cell>
          <cell r="BP135" t="str">
            <v>NA</v>
          </cell>
          <cell r="BQ135" t="str">
            <v>NA</v>
          </cell>
          <cell r="BR135" t="str">
            <v>NA</v>
          </cell>
          <cell r="BS135" t="str">
            <v>NA</v>
          </cell>
          <cell r="BT135" t="str">
            <v>NA</v>
          </cell>
          <cell r="BU135" t="str">
            <v>NA</v>
          </cell>
          <cell r="BV135" t="str">
            <v>NA</v>
          </cell>
          <cell r="BW135" t="str">
            <v>NA</v>
          </cell>
          <cell r="BX135" t="str">
            <v>NA</v>
          </cell>
          <cell r="BY135" t="str">
            <v>NA</v>
          </cell>
          <cell r="BZ135" t="str">
            <v>NA</v>
          </cell>
          <cell r="CA135" t="str">
            <v>NA</v>
          </cell>
          <cell r="CB135" t="str">
            <v>NA</v>
          </cell>
          <cell r="CC135" t="str">
            <v>NA</v>
          </cell>
          <cell r="CD135">
            <v>0.5185185185185186</v>
          </cell>
          <cell r="CE135" t="str">
            <v>NA</v>
          </cell>
          <cell r="CF135" t="str">
            <v>NA</v>
          </cell>
          <cell r="CG135">
            <v>0.13636363636363646</v>
          </cell>
          <cell r="CH135">
            <v>0.24390243902439024</v>
          </cell>
          <cell r="CI135">
            <v>0.19047619047619047</v>
          </cell>
          <cell r="CJ135">
            <v>0.39285714285714279</v>
          </cell>
          <cell r="CK135">
            <v>0.84000000000000008</v>
          </cell>
          <cell r="CL135">
            <v>0.49019607843137258</v>
          </cell>
          <cell r="CM135">
            <v>0.48</v>
          </cell>
          <cell r="CN135">
            <v>2.564102564102555E-2</v>
          </cell>
          <cell r="CO135">
            <v>-0.10869565217391308</v>
          </cell>
          <cell r="CP135">
            <v>0.17105263157894735</v>
          </cell>
          <cell r="CQ135">
            <v>-1</v>
          </cell>
          <cell r="CR135">
            <v>-1</v>
          </cell>
          <cell r="CS135">
            <v>-1</v>
          </cell>
          <cell r="CT135">
            <v>-1</v>
          </cell>
          <cell r="CU135" t="str">
            <v>NA</v>
          </cell>
          <cell r="CV135" t="str">
            <v>NA</v>
          </cell>
          <cell r="CW135" t="str">
            <v>NA</v>
          </cell>
          <cell r="CX135" t="str">
            <v>NA</v>
          </cell>
          <cell r="CY135" t="str">
            <v>NA</v>
          </cell>
          <cell r="CZ135" t="str">
            <v>NA</v>
          </cell>
          <cell r="DA135" t="str">
            <v>NA</v>
          </cell>
          <cell r="DB135" t="str">
            <v>NA</v>
          </cell>
          <cell r="DC135" t="str">
            <v>NA</v>
          </cell>
          <cell r="DD135" t="str">
            <v>NA</v>
          </cell>
          <cell r="DE135" t="str">
            <v>NA</v>
          </cell>
          <cell r="DF135" t="str">
            <v>NA</v>
          </cell>
          <cell r="DG135" t="str">
            <v>NA</v>
          </cell>
          <cell r="DH135" t="str">
            <v>NA</v>
          </cell>
          <cell r="DI135" t="str">
            <v>NA</v>
          </cell>
          <cell r="DJ135" t="str">
            <v>NA</v>
          </cell>
          <cell r="DK135" t="str">
            <v>NA</v>
          </cell>
          <cell r="DL135" t="str">
            <v>NA</v>
          </cell>
          <cell r="DM135" t="str">
            <v>NA</v>
          </cell>
          <cell r="DN135" t="str">
            <v>NA</v>
          </cell>
          <cell r="DQ135" t="str">
            <v>NA</v>
          </cell>
          <cell r="DR135" t="str">
            <v>NA</v>
          </cell>
          <cell r="DS135" t="str">
            <v>NA</v>
          </cell>
          <cell r="DT135" t="str">
            <v>NA</v>
          </cell>
          <cell r="DU135" t="str">
            <v>NA</v>
          </cell>
          <cell r="DV135" t="str">
            <v>NA</v>
          </cell>
          <cell r="DW135" t="str">
            <v>NA</v>
          </cell>
          <cell r="DX135" t="str">
            <v>NA</v>
          </cell>
          <cell r="DY135" t="str">
            <v>NA</v>
          </cell>
          <cell r="DZ135" t="str">
            <v>NA</v>
          </cell>
          <cell r="EA135" t="str">
            <v>NA</v>
          </cell>
          <cell r="EB135" t="str">
            <v>NA</v>
          </cell>
          <cell r="EC135" t="str">
            <v>NA</v>
          </cell>
          <cell r="ED135" t="str">
            <v>NA</v>
          </cell>
          <cell r="EE135" t="str">
            <v>NA</v>
          </cell>
          <cell r="EF135" t="str">
            <v>NA</v>
          </cell>
          <cell r="EG135" t="str">
            <v>NA</v>
          </cell>
          <cell r="EH135" t="str">
            <v>NA</v>
          </cell>
          <cell r="EI135">
            <v>0.5185185185185186</v>
          </cell>
          <cell r="EJ135">
            <v>0.24390243902439024</v>
          </cell>
          <cell r="EK135">
            <v>0.49019607843137258</v>
          </cell>
          <cell r="EL135">
            <v>0.17105263157894735</v>
          </cell>
          <cell r="EM135">
            <v>-1</v>
          </cell>
          <cell r="EN135" t="str">
            <v>NA</v>
          </cell>
          <cell r="EO135" t="str">
            <v>NA</v>
          </cell>
          <cell r="EP135" t="str">
            <v>NA</v>
          </cell>
          <cell r="EQ135" t="str">
            <v>NA</v>
          </cell>
          <cell r="ER135" t="str">
            <v>NA</v>
          </cell>
        </row>
        <row r="136">
          <cell r="A136" t="str">
            <v>% growth seq</v>
          </cell>
          <cell r="V136" t="str">
            <v>NA</v>
          </cell>
          <cell r="Z136" t="str">
            <v>NA</v>
          </cell>
          <cell r="AA136" t="str">
            <v>NA</v>
          </cell>
          <cell r="AB136" t="str">
            <v>NA</v>
          </cell>
          <cell r="AC136" t="str">
            <v>NA</v>
          </cell>
          <cell r="AD136" t="str">
            <v>NA</v>
          </cell>
          <cell r="AE136" t="str">
            <v>NA</v>
          </cell>
          <cell r="AF136" t="str">
            <v>NA</v>
          </cell>
          <cell r="AG136" t="str">
            <v>NA</v>
          </cell>
          <cell r="AH136" t="str">
            <v>NA</v>
          </cell>
          <cell r="AI136" t="str">
            <v>NA</v>
          </cell>
          <cell r="AJ136" t="str">
            <v>NA</v>
          </cell>
          <cell r="AK136" t="str">
            <v>NA</v>
          </cell>
          <cell r="AL136" t="str">
            <v>NA</v>
          </cell>
          <cell r="AM136" t="str">
            <v>NA</v>
          </cell>
          <cell r="AN136" t="str">
            <v>NA</v>
          </cell>
          <cell r="AO136" t="str">
            <v>NA</v>
          </cell>
          <cell r="AP136" t="str">
            <v>NA</v>
          </cell>
          <cell r="AQ136" t="str">
            <v>NA</v>
          </cell>
          <cell r="AR136" t="str">
            <v>NA</v>
          </cell>
          <cell r="AS136" t="str">
            <v>NA</v>
          </cell>
          <cell r="AT136" t="str">
            <v>NA</v>
          </cell>
          <cell r="AU136" t="str">
            <v>NA</v>
          </cell>
          <cell r="AV136" t="str">
            <v>NA</v>
          </cell>
          <cell r="AW136" t="str">
            <v>NA</v>
          </cell>
          <cell r="AX136" t="str">
            <v>NA</v>
          </cell>
          <cell r="AY136" t="str">
            <v>NA</v>
          </cell>
          <cell r="AZ136" t="str">
            <v>NA</v>
          </cell>
          <cell r="BA136" t="str">
            <v>NA</v>
          </cell>
          <cell r="BB136" t="str">
            <v>NA</v>
          </cell>
          <cell r="BC136" t="str">
            <v>NA</v>
          </cell>
          <cell r="BD136" t="str">
            <v>NA</v>
          </cell>
          <cell r="BE136" t="str">
            <v>NA</v>
          </cell>
          <cell r="BF136" t="str">
            <v>NA</v>
          </cell>
          <cell r="BG136" t="str">
            <v>NA</v>
          </cell>
          <cell r="BH136" t="str">
            <v>NA</v>
          </cell>
          <cell r="BI136" t="str">
            <v>NA</v>
          </cell>
          <cell r="BJ136" t="str">
            <v>NA</v>
          </cell>
          <cell r="BK136" t="str">
            <v>NA</v>
          </cell>
          <cell r="BL136" t="str">
            <v>NA</v>
          </cell>
          <cell r="BM136" t="str">
            <v>NA</v>
          </cell>
          <cell r="BN136" t="str">
            <v>NA</v>
          </cell>
          <cell r="BO136" t="str">
            <v>NA</v>
          </cell>
          <cell r="BP136" t="str">
            <v>NA</v>
          </cell>
          <cell r="BQ136" t="str">
            <v>NA</v>
          </cell>
          <cell r="BR136" t="str">
            <v>NA</v>
          </cell>
          <cell r="BS136" t="str">
            <v>NA</v>
          </cell>
          <cell r="BT136" t="str">
            <v>NA</v>
          </cell>
          <cell r="BU136" t="str">
            <v>NA</v>
          </cell>
          <cell r="BV136" t="str">
            <v>NA</v>
          </cell>
          <cell r="BW136" t="str">
            <v>NA</v>
          </cell>
          <cell r="BX136" t="str">
            <v>NA</v>
          </cell>
          <cell r="BY136" t="str">
            <v>NA</v>
          </cell>
          <cell r="BZ136" t="str">
            <v>NA</v>
          </cell>
          <cell r="CA136">
            <v>-1</v>
          </cell>
          <cell r="CB136" t="str">
            <v>NA</v>
          </cell>
          <cell r="CC136" t="str">
            <v>NA</v>
          </cell>
          <cell r="CD136">
            <v>0.86363636363636354</v>
          </cell>
          <cell r="CE136">
            <v>-0.48780487804878048</v>
          </cell>
          <cell r="CF136">
            <v>0.33333333333333326</v>
          </cell>
          <cell r="CG136">
            <v>-0.1071428571428571</v>
          </cell>
          <cell r="CH136">
            <v>1.04</v>
          </cell>
          <cell r="CI136">
            <v>-0.50980392156862742</v>
          </cell>
          <cell r="CJ136">
            <v>0.56000000000000005</v>
          </cell>
          <cell r="CK136">
            <v>0.17948717948717952</v>
          </cell>
          <cell r="CL136">
            <v>0.65217391304347827</v>
          </cell>
          <cell r="CM136">
            <v>-0.51315789473684204</v>
          </cell>
          <cell r="CN136">
            <v>8.1081081081081141E-2</v>
          </cell>
          <cell r="CO136">
            <v>2.4999999999999911E-2</v>
          </cell>
          <cell r="CP136">
            <v>1.1707317073170733</v>
          </cell>
          <cell r="CQ136">
            <v>-1</v>
          </cell>
          <cell r="CR136" t="str">
            <v>NA</v>
          </cell>
          <cell r="CS136" t="str">
            <v>NA</v>
          </cell>
          <cell r="CT136" t="str">
            <v>NA</v>
          </cell>
          <cell r="CU136" t="str">
            <v>NA</v>
          </cell>
          <cell r="CV136" t="str">
            <v>NA</v>
          </cell>
          <cell r="CW136" t="str">
            <v>NA</v>
          </cell>
          <cell r="CX136" t="str">
            <v>NA</v>
          </cell>
          <cell r="CY136" t="str">
            <v>NA</v>
          </cell>
          <cell r="CZ136" t="str">
            <v>NA</v>
          </cell>
          <cell r="DA136" t="str">
            <v>NA</v>
          </cell>
          <cell r="DB136" t="str">
            <v>NA</v>
          </cell>
          <cell r="DC136" t="str">
            <v>NA</v>
          </cell>
          <cell r="DD136" t="str">
            <v>NA</v>
          </cell>
          <cell r="DE136" t="str">
            <v>NA</v>
          </cell>
          <cell r="DF136" t="str">
            <v>NA</v>
          </cell>
          <cell r="DG136" t="str">
            <v>NA</v>
          </cell>
          <cell r="DH136" t="str">
            <v>NA</v>
          </cell>
          <cell r="DI136" t="str">
            <v>NA</v>
          </cell>
          <cell r="DJ136" t="str">
            <v>NA</v>
          </cell>
          <cell r="DK136" t="str">
            <v>NA</v>
          </cell>
          <cell r="DL136" t="str">
            <v>NA</v>
          </cell>
          <cell r="DM136" t="str">
            <v>NA</v>
          </cell>
          <cell r="DN136" t="str">
            <v>NA</v>
          </cell>
        </row>
        <row r="139">
          <cell r="C139" t="str">
            <v>Fiscal 1999 by Quarter</v>
          </cell>
          <cell r="G139" t="str">
            <v>Fiscal 2000 by Quarter</v>
          </cell>
          <cell r="K139" t="str">
            <v>Fiscal 2001 by Quarter</v>
          </cell>
          <cell r="O139" t="str">
            <v>Fiscal 2002 by Quarter</v>
          </cell>
          <cell r="S139" t="str">
            <v>Fiscal 2003 by Quarter</v>
          </cell>
          <cell r="W139" t="str">
            <v>Fiscal 2004 by Quarter</v>
          </cell>
          <cell r="AA139" t="str">
            <v>Fiscal 2005 by Quarter</v>
          </cell>
          <cell r="AE139" t="str">
            <v>Fiscal 2006 by Quarter</v>
          </cell>
          <cell r="AI139" t="str">
            <v>Fiscal 2006 by Quarter</v>
          </cell>
          <cell r="AM139" t="str">
            <v>Fiscal 2007 by Quarter</v>
          </cell>
          <cell r="AQ139" t="str">
            <v>Fiscal 2008 by Quarter</v>
          </cell>
          <cell r="AU139" t="str">
            <v>Fiscal 2009 by Quarter</v>
          </cell>
          <cell r="AY139" t="str">
            <v>Fiscal 2010 by Quarter</v>
          </cell>
          <cell r="BC139" t="str">
            <v>Fiscal 2011 by Quarter</v>
          </cell>
          <cell r="BG139" t="str">
            <v>Fiscal 2012 by Quarter</v>
          </cell>
          <cell r="BK139" t="str">
            <v>Fiscal 2013 by Quarter</v>
          </cell>
          <cell r="BO139" t="str">
            <v>Fiscal 2014 by Quarter</v>
          </cell>
          <cell r="BS139" t="str">
            <v>Fiscal 2015 by Quarter</v>
          </cell>
          <cell r="BW139" t="str">
            <v>Fiscal 2016 by Quarter</v>
          </cell>
          <cell r="CA139" t="str">
            <v>Fiscal 2017 by Quarter</v>
          </cell>
          <cell r="CE139" t="str">
            <v>Fiscal 2018 by Quarter</v>
          </cell>
          <cell r="CI139" t="str">
            <v>Fiscal 2019 by Quarter</v>
          </cell>
          <cell r="CM139" t="str">
            <v>Fiscal 2020 by Quarter</v>
          </cell>
          <cell r="CQ139" t="str">
            <v>Fiscal 2021 by Quarter</v>
          </cell>
          <cell r="CU139" t="str">
            <v>Fiscal 2022 by Quarter</v>
          </cell>
          <cell r="CY139" t="str">
            <v>Fiscal 2023 by Quarter</v>
          </cell>
          <cell r="DC139" t="str">
            <v>Fiscal 2024 by Quarter</v>
          </cell>
          <cell r="DG139" t="str">
            <v>Fiscal 2025 by Quarter</v>
          </cell>
          <cell r="DK139" t="str">
            <v>Fiscal 2026 by Quarter</v>
          </cell>
          <cell r="DP139" t="str">
            <v xml:space="preserve"> Fiscal Year Ends December</v>
          </cell>
        </row>
        <row r="140">
          <cell r="C140">
            <v>35886</v>
          </cell>
          <cell r="D140">
            <v>35977</v>
          </cell>
          <cell r="E140">
            <v>36069</v>
          </cell>
          <cell r="F140">
            <v>36161</v>
          </cell>
          <cell r="G140">
            <v>36251</v>
          </cell>
          <cell r="H140">
            <v>36342</v>
          </cell>
          <cell r="I140">
            <v>36434</v>
          </cell>
          <cell r="J140">
            <v>36526</v>
          </cell>
          <cell r="K140">
            <v>36617</v>
          </cell>
          <cell r="L140">
            <v>36708</v>
          </cell>
          <cell r="M140">
            <v>36800</v>
          </cell>
          <cell r="N140">
            <v>36892</v>
          </cell>
          <cell r="O140">
            <v>36982</v>
          </cell>
          <cell r="P140">
            <v>37073</v>
          </cell>
          <cell r="Q140">
            <v>37165</v>
          </cell>
          <cell r="R140">
            <v>37257</v>
          </cell>
          <cell r="S140">
            <v>37348</v>
          </cell>
          <cell r="T140">
            <v>37439</v>
          </cell>
          <cell r="U140">
            <v>37531</v>
          </cell>
          <cell r="V140">
            <v>37623</v>
          </cell>
          <cell r="W140">
            <v>37715</v>
          </cell>
          <cell r="X140">
            <v>37806</v>
          </cell>
          <cell r="Y140">
            <v>37898</v>
          </cell>
          <cell r="Z140">
            <v>37990</v>
          </cell>
          <cell r="AA140">
            <v>38081</v>
          </cell>
          <cell r="AB140">
            <v>38172</v>
          </cell>
          <cell r="AC140">
            <v>38264</v>
          </cell>
          <cell r="AD140">
            <v>38356</v>
          </cell>
          <cell r="AE140">
            <v>38447</v>
          </cell>
          <cell r="AF140">
            <v>38538</v>
          </cell>
          <cell r="AG140">
            <v>38630</v>
          </cell>
          <cell r="AH140">
            <v>38722</v>
          </cell>
          <cell r="AI140">
            <v>38807</v>
          </cell>
          <cell r="AJ140">
            <v>38898</v>
          </cell>
          <cell r="AK140">
            <v>38990</v>
          </cell>
          <cell r="AL140">
            <v>39082</v>
          </cell>
          <cell r="AM140">
            <v>39172</v>
          </cell>
          <cell r="AN140">
            <v>39263</v>
          </cell>
          <cell r="AO140">
            <v>39355</v>
          </cell>
          <cell r="AP140">
            <v>39447</v>
          </cell>
          <cell r="AQ140">
            <v>39538</v>
          </cell>
          <cell r="AR140">
            <v>39629</v>
          </cell>
          <cell r="AS140">
            <v>39721</v>
          </cell>
          <cell r="AT140">
            <v>39813</v>
          </cell>
          <cell r="AU140">
            <v>39903</v>
          </cell>
          <cell r="AV140">
            <v>39994</v>
          </cell>
          <cell r="AW140">
            <v>40086</v>
          </cell>
          <cell r="AX140">
            <v>40178</v>
          </cell>
          <cell r="AY140">
            <v>40268</v>
          </cell>
          <cell r="AZ140">
            <v>40359</v>
          </cell>
          <cell r="BA140">
            <v>40451</v>
          </cell>
          <cell r="BB140">
            <v>40543</v>
          </cell>
          <cell r="BC140">
            <v>40633</v>
          </cell>
          <cell r="BD140">
            <v>40724</v>
          </cell>
          <cell r="BE140">
            <v>40816</v>
          </cell>
          <cell r="BF140">
            <v>40908</v>
          </cell>
          <cell r="BG140">
            <v>40999</v>
          </cell>
          <cell r="BH140">
            <v>41072</v>
          </cell>
          <cell r="BI140">
            <v>41164</v>
          </cell>
          <cell r="BJ140">
            <v>41255</v>
          </cell>
          <cell r="BK140">
            <v>41346</v>
          </cell>
          <cell r="BL140">
            <v>41438</v>
          </cell>
          <cell r="BM140">
            <v>41529</v>
          </cell>
          <cell r="BN140">
            <v>41621</v>
          </cell>
          <cell r="BO140">
            <v>41712</v>
          </cell>
          <cell r="BP140">
            <v>41804</v>
          </cell>
          <cell r="BQ140">
            <v>41894</v>
          </cell>
          <cell r="BR140">
            <v>41987</v>
          </cell>
          <cell r="BS140">
            <v>42078</v>
          </cell>
          <cell r="BT140">
            <v>42170</v>
          </cell>
          <cell r="BU140">
            <v>42262</v>
          </cell>
          <cell r="BV140">
            <v>42353</v>
          </cell>
          <cell r="BW140">
            <v>42445</v>
          </cell>
          <cell r="BX140">
            <v>42537</v>
          </cell>
          <cell r="BY140">
            <v>42629</v>
          </cell>
          <cell r="BZ140">
            <v>42720</v>
          </cell>
          <cell r="CA140">
            <v>42811</v>
          </cell>
          <cell r="CB140">
            <v>42903</v>
          </cell>
          <cell r="CC140">
            <v>42995</v>
          </cell>
          <cell r="CD140">
            <v>43086</v>
          </cell>
          <cell r="CE140">
            <v>43177</v>
          </cell>
          <cell r="CF140">
            <v>43269</v>
          </cell>
          <cell r="CG140">
            <v>43361</v>
          </cell>
          <cell r="CH140">
            <v>43452</v>
          </cell>
          <cell r="CI140">
            <v>43543</v>
          </cell>
          <cell r="CJ140">
            <v>43635</v>
          </cell>
          <cell r="CK140">
            <v>43727</v>
          </cell>
          <cell r="CL140">
            <v>43818</v>
          </cell>
          <cell r="CM140">
            <v>43910</v>
          </cell>
          <cell r="CN140">
            <v>44002</v>
          </cell>
          <cell r="CO140">
            <v>44094</v>
          </cell>
          <cell r="CP140">
            <v>44185</v>
          </cell>
          <cell r="CQ140" t="str">
            <v>Mar-21E</v>
          </cell>
          <cell r="CR140" t="str">
            <v>Jun-21E</v>
          </cell>
          <cell r="CS140" t="str">
            <v>Sep-21E</v>
          </cell>
          <cell r="CT140" t="str">
            <v>Dec-21E</v>
          </cell>
          <cell r="CU140" t="str">
            <v>Mar-22E</v>
          </cell>
          <cell r="CV140" t="str">
            <v>Jun-22E</v>
          </cell>
          <cell r="CW140" t="str">
            <v>Sep-22E</v>
          </cell>
          <cell r="CX140" t="str">
            <v>Dec-22E</v>
          </cell>
          <cell r="CY140" t="str">
            <v>Mar-23E</v>
          </cell>
          <cell r="CZ140" t="str">
            <v>Jun-23E</v>
          </cell>
          <cell r="DA140" t="str">
            <v>Sep-23E</v>
          </cell>
          <cell r="DB140" t="str">
            <v>Dec-23E</v>
          </cell>
          <cell r="DC140" t="str">
            <v>Mar-24E</v>
          </cell>
          <cell r="DD140" t="str">
            <v>Jun-24E</v>
          </cell>
          <cell r="DE140" t="str">
            <v>Sep-24E</v>
          </cell>
          <cell r="DF140" t="str">
            <v>Dec-24E</v>
          </cell>
          <cell r="DG140" t="str">
            <v>Mar-25E</v>
          </cell>
          <cell r="DH140" t="str">
            <v>Jun-25E</v>
          </cell>
          <cell r="DI140" t="str">
            <v>Sep-25E</v>
          </cell>
          <cell r="DJ140" t="str">
            <v>Dec-25E</v>
          </cell>
          <cell r="DK140" t="str">
            <v>Mar-26E</v>
          </cell>
          <cell r="DL140" t="str">
            <v>Jun-26E</v>
          </cell>
          <cell r="DM140" t="str">
            <v>Sep-26E</v>
          </cell>
          <cell r="DN140" t="str">
            <v>Dec-26E</v>
          </cell>
          <cell r="DP140">
            <v>1998</v>
          </cell>
          <cell r="DQ140">
            <v>1999</v>
          </cell>
          <cell r="DR140">
            <v>2000</v>
          </cell>
          <cell r="DS140">
            <v>2001</v>
          </cell>
          <cell r="DT140">
            <v>2002</v>
          </cell>
          <cell r="DU140">
            <v>2003</v>
          </cell>
          <cell r="DV140">
            <v>2004</v>
          </cell>
          <cell r="DW140">
            <v>2005</v>
          </cell>
          <cell r="DX140">
            <v>2006</v>
          </cell>
          <cell r="DY140">
            <v>2007</v>
          </cell>
          <cell r="DZ140">
            <v>2008</v>
          </cell>
          <cell r="EA140">
            <v>2009</v>
          </cell>
          <cell r="EB140">
            <v>2010</v>
          </cell>
          <cell r="EC140">
            <v>2011</v>
          </cell>
          <cell r="ED140">
            <v>2012</v>
          </cell>
          <cell r="EE140">
            <v>2013</v>
          </cell>
          <cell r="EF140">
            <v>2014</v>
          </cell>
          <cell r="EG140">
            <v>2015</v>
          </cell>
          <cell r="EH140">
            <v>2016</v>
          </cell>
          <cell r="EI140">
            <v>2017</v>
          </cell>
          <cell r="EJ140">
            <v>2018</v>
          </cell>
          <cell r="EK140">
            <v>2019</v>
          </cell>
          <cell r="EL140">
            <v>2020</v>
          </cell>
          <cell r="EM140" t="str">
            <v>2021E</v>
          </cell>
          <cell r="EN140" t="str">
            <v>2022E</v>
          </cell>
          <cell r="EO140" t="str">
            <v>2023E</v>
          </cell>
          <cell r="EP140" t="str">
            <v>2024E</v>
          </cell>
          <cell r="EQ140" t="str">
            <v>2025E</v>
          </cell>
          <cell r="ER140" t="str">
            <v>2026E</v>
          </cell>
        </row>
        <row r="141">
          <cell r="A141" t="str">
            <v>G2K customers</v>
          </cell>
          <cell r="BX141">
            <v>666</v>
          </cell>
          <cell r="BY141">
            <v>688</v>
          </cell>
          <cell r="BZ141">
            <v>715</v>
          </cell>
          <cell r="CA141">
            <v>738</v>
          </cell>
          <cell r="CB141">
            <v>764</v>
          </cell>
          <cell r="CC141">
            <v>787</v>
          </cell>
          <cell r="CD141">
            <v>803</v>
          </cell>
          <cell r="CE141">
            <v>816</v>
          </cell>
          <cell r="CF141">
            <v>840</v>
          </cell>
          <cell r="CG141">
            <v>860</v>
          </cell>
          <cell r="CH141">
            <v>883</v>
          </cell>
          <cell r="CM141">
            <v>0</v>
          </cell>
          <cell r="CN141">
            <v>0</v>
          </cell>
          <cell r="CO141">
            <v>0</v>
          </cell>
          <cell r="CP141">
            <v>0</v>
          </cell>
          <cell r="CQ141">
            <v>0</v>
          </cell>
          <cell r="CR141">
            <v>0</v>
          </cell>
          <cell r="CS141">
            <v>0</v>
          </cell>
          <cell r="CT141">
            <v>0</v>
          </cell>
          <cell r="CU141">
            <v>0</v>
          </cell>
          <cell r="CV141">
            <v>0</v>
          </cell>
          <cell r="CW141">
            <v>0</v>
          </cell>
          <cell r="CX141">
            <v>0</v>
          </cell>
          <cell r="CY141">
            <v>0</v>
          </cell>
          <cell r="CZ141">
            <v>0</v>
          </cell>
          <cell r="DA141">
            <v>0</v>
          </cell>
          <cell r="DB141">
            <v>0</v>
          </cell>
          <cell r="DC141">
            <v>0</v>
          </cell>
          <cell r="DD141">
            <v>0</v>
          </cell>
          <cell r="DE141">
            <v>0</v>
          </cell>
          <cell r="DF141">
            <v>0</v>
          </cell>
          <cell r="DG141">
            <v>0</v>
          </cell>
          <cell r="DH141">
            <v>0</v>
          </cell>
          <cell r="DI141">
            <v>0</v>
          </cell>
          <cell r="DJ141">
            <v>0</v>
          </cell>
          <cell r="DK141">
            <v>0</v>
          </cell>
          <cell r="DL141">
            <v>0</v>
          </cell>
          <cell r="DM141">
            <v>0</v>
          </cell>
          <cell r="DN141">
            <v>0</v>
          </cell>
          <cell r="DP141">
            <v>0</v>
          </cell>
          <cell r="DQ141">
            <v>0</v>
          </cell>
          <cell r="DR141">
            <v>0</v>
          </cell>
          <cell r="DS141">
            <v>0</v>
          </cell>
          <cell r="DT141">
            <v>0</v>
          </cell>
          <cell r="DU141">
            <v>0</v>
          </cell>
          <cell r="DV141">
            <v>0</v>
          </cell>
          <cell r="DW141">
            <v>0</v>
          </cell>
          <cell r="DX141">
            <v>0</v>
          </cell>
          <cell r="DY141">
            <v>0</v>
          </cell>
          <cell r="DZ141">
            <v>0</v>
          </cell>
          <cell r="EA141">
            <v>0</v>
          </cell>
          <cell r="EB141">
            <v>0</v>
          </cell>
          <cell r="EC141">
            <v>0</v>
          </cell>
          <cell r="ED141">
            <v>0</v>
          </cell>
          <cell r="EE141">
            <v>0</v>
          </cell>
          <cell r="EF141">
            <v>0</v>
          </cell>
          <cell r="EG141">
            <v>0</v>
          </cell>
          <cell r="EH141">
            <v>715</v>
          </cell>
          <cell r="EI141">
            <v>803</v>
          </cell>
          <cell r="EJ141">
            <v>883</v>
          </cell>
          <cell r="EK141">
            <v>0</v>
          </cell>
          <cell r="EL141">
            <v>0</v>
          </cell>
          <cell r="EM141">
            <v>0</v>
          </cell>
          <cell r="EN141">
            <v>0</v>
          </cell>
          <cell r="EO141">
            <v>0</v>
          </cell>
          <cell r="EP141">
            <v>0</v>
          </cell>
          <cell r="EQ141">
            <v>0</v>
          </cell>
          <cell r="ER141">
            <v>0</v>
          </cell>
        </row>
        <row r="142">
          <cell r="A142" t="str">
            <v>G2K penetration</v>
          </cell>
          <cell r="BW142">
            <v>0</v>
          </cell>
          <cell r="BX142">
            <v>0.33300000000000002</v>
          </cell>
          <cell r="BY142">
            <v>0.34399999999999997</v>
          </cell>
          <cell r="BZ142">
            <v>0.35749999999999998</v>
          </cell>
          <cell r="CA142">
            <v>0.36899999999999999</v>
          </cell>
          <cell r="CB142">
            <v>0.38200000000000001</v>
          </cell>
          <cell r="CC142">
            <v>0.39350000000000002</v>
          </cell>
          <cell r="CD142">
            <v>0.40150000000000002</v>
          </cell>
          <cell r="CE142">
            <v>0.40799999999999997</v>
          </cell>
          <cell r="CF142">
            <v>0.42</v>
          </cell>
          <cell r="CG142">
            <v>0.43</v>
          </cell>
          <cell r="CH142">
            <v>0.4415</v>
          </cell>
          <cell r="CI142">
            <v>0</v>
          </cell>
          <cell r="CJ142">
            <v>0</v>
          </cell>
          <cell r="CK142">
            <v>0</v>
          </cell>
          <cell r="CL142">
            <v>0</v>
          </cell>
          <cell r="CM142">
            <v>0</v>
          </cell>
          <cell r="CN142">
            <v>0</v>
          </cell>
          <cell r="CO142">
            <v>0</v>
          </cell>
          <cell r="CP142">
            <v>0</v>
          </cell>
          <cell r="CQ142">
            <v>0</v>
          </cell>
          <cell r="CR142">
            <v>0</v>
          </cell>
          <cell r="CS142">
            <v>0</v>
          </cell>
          <cell r="CT142">
            <v>0</v>
          </cell>
          <cell r="CU142">
            <v>0</v>
          </cell>
          <cell r="CV142">
            <v>0</v>
          </cell>
          <cell r="CW142">
            <v>0</v>
          </cell>
          <cell r="CX142">
            <v>0</v>
          </cell>
          <cell r="CY142">
            <v>0</v>
          </cell>
          <cell r="CZ142">
            <v>0</v>
          </cell>
          <cell r="DA142">
            <v>0</v>
          </cell>
          <cell r="DB142">
            <v>0</v>
          </cell>
          <cell r="DC142">
            <v>0</v>
          </cell>
          <cell r="DD142">
            <v>0</v>
          </cell>
          <cell r="DE142">
            <v>0</v>
          </cell>
          <cell r="DF142">
            <v>0</v>
          </cell>
          <cell r="DG142">
            <v>0</v>
          </cell>
          <cell r="DH142">
            <v>0</v>
          </cell>
          <cell r="DI142">
            <v>0</v>
          </cell>
          <cell r="DJ142">
            <v>0</v>
          </cell>
          <cell r="DK142">
            <v>0</v>
          </cell>
          <cell r="DL142">
            <v>0</v>
          </cell>
          <cell r="DM142">
            <v>0</v>
          </cell>
          <cell r="DN142">
            <v>0</v>
          </cell>
        </row>
        <row r="143">
          <cell r="A143" t="str">
            <v>% growth y-o-y</v>
          </cell>
          <cell r="BW143" t="str">
            <v>NA</v>
          </cell>
          <cell r="BX143" t="str">
            <v>NA</v>
          </cell>
          <cell r="BY143" t="str">
            <v>NA</v>
          </cell>
          <cell r="BZ143" t="str">
            <v>NA</v>
          </cell>
          <cell r="CA143" t="str">
            <v>NA</v>
          </cell>
          <cell r="CB143">
            <v>0.14714714714714705</v>
          </cell>
          <cell r="CC143">
            <v>0.14389534883720922</v>
          </cell>
          <cell r="CD143">
            <v>0.12307692307692308</v>
          </cell>
          <cell r="CE143">
            <v>0.10569105691056913</v>
          </cell>
          <cell r="CF143">
            <v>9.9476439790575855E-2</v>
          </cell>
          <cell r="CG143">
            <v>9.2757306226175285E-2</v>
          </cell>
          <cell r="CH143">
            <v>9.9626400996263964E-2</v>
          </cell>
          <cell r="CI143">
            <v>-1</v>
          </cell>
          <cell r="CJ143">
            <v>-1</v>
          </cell>
          <cell r="CK143">
            <v>-1</v>
          </cell>
          <cell r="CL143">
            <v>-1</v>
          </cell>
          <cell r="CM143" t="str">
            <v>NA</v>
          </cell>
          <cell r="CN143" t="str">
            <v>NA</v>
          </cell>
          <cell r="CO143" t="str">
            <v>NA</v>
          </cell>
          <cell r="CP143" t="str">
            <v>NA</v>
          </cell>
          <cell r="CQ143" t="str">
            <v>NA</v>
          </cell>
          <cell r="CR143" t="str">
            <v>NA</v>
          </cell>
          <cell r="CS143" t="str">
            <v>NA</v>
          </cell>
          <cell r="CT143" t="str">
            <v>NA</v>
          </cell>
          <cell r="CU143" t="str">
            <v>NA</v>
          </cell>
          <cell r="CV143" t="str">
            <v>NA</v>
          </cell>
          <cell r="CW143" t="str">
            <v>NA</v>
          </cell>
          <cell r="CX143" t="str">
            <v>NA</v>
          </cell>
          <cell r="CY143" t="str">
            <v>NA</v>
          </cell>
          <cell r="CZ143" t="str">
            <v>NA</v>
          </cell>
          <cell r="DA143" t="str">
            <v>NA</v>
          </cell>
          <cell r="DB143" t="str">
            <v>NA</v>
          </cell>
          <cell r="DC143" t="str">
            <v>NA</v>
          </cell>
          <cell r="DD143" t="str">
            <v>NA</v>
          </cell>
          <cell r="DE143" t="str">
            <v>NA</v>
          </cell>
          <cell r="DF143" t="str">
            <v>NA</v>
          </cell>
          <cell r="DG143" t="str">
            <v>NA</v>
          </cell>
          <cell r="DH143" t="str">
            <v>NA</v>
          </cell>
          <cell r="DI143" t="str">
            <v>NA</v>
          </cell>
          <cell r="DJ143" t="str">
            <v>NA</v>
          </cell>
          <cell r="DK143" t="str">
            <v>NA</v>
          </cell>
          <cell r="DL143" t="str">
            <v>NA</v>
          </cell>
          <cell r="DM143" t="str">
            <v>NA</v>
          </cell>
          <cell r="DN143" t="str">
            <v>NA</v>
          </cell>
          <cell r="DQ143" t="str">
            <v>NA</v>
          </cell>
          <cell r="DR143" t="str">
            <v>NA</v>
          </cell>
          <cell r="DS143" t="str">
            <v>NA</v>
          </cell>
          <cell r="DT143" t="str">
            <v>NA</v>
          </cell>
          <cell r="DU143" t="str">
            <v>NA</v>
          </cell>
          <cell r="DV143" t="str">
            <v>NA</v>
          </cell>
          <cell r="DW143" t="str">
            <v>NA</v>
          </cell>
          <cell r="DX143" t="str">
            <v>NA</v>
          </cell>
          <cell r="DY143" t="str">
            <v>NA</v>
          </cell>
          <cell r="DZ143" t="str">
            <v>NA</v>
          </cell>
          <cell r="EA143" t="str">
            <v>NA</v>
          </cell>
          <cell r="EB143" t="str">
            <v>NA</v>
          </cell>
          <cell r="EC143" t="str">
            <v>NA</v>
          </cell>
          <cell r="ED143" t="str">
            <v>NA</v>
          </cell>
          <cell r="EE143" t="str">
            <v>NA</v>
          </cell>
          <cell r="EF143" t="str">
            <v>NA</v>
          </cell>
          <cell r="EG143" t="str">
            <v>NA</v>
          </cell>
          <cell r="EH143" t="str">
            <v>NA</v>
          </cell>
          <cell r="EI143">
            <v>0.12307692307692308</v>
          </cell>
          <cell r="EJ143">
            <v>9.9626400996263964E-2</v>
          </cell>
          <cell r="EK143">
            <v>-1</v>
          </cell>
          <cell r="EL143" t="str">
            <v>NA</v>
          </cell>
          <cell r="EM143" t="str">
            <v>NA</v>
          </cell>
          <cell r="EN143" t="str">
            <v>NA</v>
          </cell>
          <cell r="EO143" t="str">
            <v>NA</v>
          </cell>
          <cell r="EP143" t="str">
            <v>NA</v>
          </cell>
          <cell r="EQ143" t="str">
            <v>NA</v>
          </cell>
          <cell r="ER143" t="str">
            <v>NA</v>
          </cell>
        </row>
        <row r="144">
          <cell r="A144" t="str">
            <v>% growth seq</v>
          </cell>
          <cell r="BW144" t="str">
            <v>NA</v>
          </cell>
          <cell r="BX144" t="str">
            <v>NA</v>
          </cell>
          <cell r="BY144">
            <v>3.3033033033033066E-2</v>
          </cell>
          <cell r="BZ144">
            <v>3.9244186046511587E-2</v>
          </cell>
          <cell r="CA144">
            <v>3.2167832167832255E-2</v>
          </cell>
          <cell r="CB144">
            <v>3.5230352303523116E-2</v>
          </cell>
          <cell r="CC144">
            <v>3.0104712041884918E-2</v>
          </cell>
          <cell r="CD144">
            <v>2.0330368487928796E-2</v>
          </cell>
          <cell r="CE144">
            <v>1.6189290161892966E-2</v>
          </cell>
          <cell r="CF144">
            <v>2.9411764705882248E-2</v>
          </cell>
          <cell r="CG144">
            <v>2.3809523809523725E-2</v>
          </cell>
          <cell r="CH144">
            <v>2.6744186046511631E-2</v>
          </cell>
          <cell r="CI144">
            <v>-1</v>
          </cell>
          <cell r="CJ144" t="str">
            <v>NA</v>
          </cell>
          <cell r="CK144" t="str">
            <v>NA</v>
          </cell>
          <cell r="CL144" t="str">
            <v>NA</v>
          </cell>
          <cell r="CM144" t="str">
            <v>NA</v>
          </cell>
          <cell r="CN144" t="str">
            <v>NA</v>
          </cell>
          <cell r="CO144" t="str">
            <v>NA</v>
          </cell>
          <cell r="CP144" t="str">
            <v>NA</v>
          </cell>
          <cell r="CQ144" t="str">
            <v>NA</v>
          </cell>
          <cell r="CR144" t="str">
            <v>NA</v>
          </cell>
          <cell r="CS144" t="str">
            <v>NA</v>
          </cell>
          <cell r="CT144" t="str">
            <v>NA</v>
          </cell>
          <cell r="CU144" t="str">
            <v>NA</v>
          </cell>
          <cell r="CV144" t="str">
            <v>NA</v>
          </cell>
          <cell r="CW144" t="str">
            <v>NA</v>
          </cell>
          <cell r="CX144" t="str">
            <v>NA</v>
          </cell>
          <cell r="CY144" t="str">
            <v>NA</v>
          </cell>
          <cell r="CZ144" t="str">
            <v>NA</v>
          </cell>
          <cell r="DA144" t="str">
            <v>NA</v>
          </cell>
          <cell r="DB144" t="str">
            <v>NA</v>
          </cell>
          <cell r="DC144" t="str">
            <v>NA</v>
          </cell>
          <cell r="DD144" t="str">
            <v>NA</v>
          </cell>
          <cell r="DE144" t="str">
            <v>NA</v>
          </cell>
          <cell r="DF144" t="str">
            <v>NA</v>
          </cell>
          <cell r="DG144" t="str">
            <v>NA</v>
          </cell>
          <cell r="DH144" t="str">
            <v>NA</v>
          </cell>
          <cell r="DI144" t="str">
            <v>NA</v>
          </cell>
          <cell r="DJ144" t="str">
            <v>NA</v>
          </cell>
          <cell r="DK144" t="str">
            <v>NA</v>
          </cell>
          <cell r="DL144" t="str">
            <v>NA</v>
          </cell>
          <cell r="DM144" t="str">
            <v>NA</v>
          </cell>
          <cell r="DN144" t="str">
            <v>NA</v>
          </cell>
        </row>
        <row r="146">
          <cell r="A146" t="str">
            <v>Net G2K adds</v>
          </cell>
          <cell r="BW146">
            <v>0</v>
          </cell>
          <cell r="BX146">
            <v>666</v>
          </cell>
          <cell r="BY146">
            <v>22</v>
          </cell>
          <cell r="BZ146">
            <v>27</v>
          </cell>
          <cell r="CA146">
            <v>23</v>
          </cell>
          <cell r="CB146">
            <v>26</v>
          </cell>
          <cell r="CC146">
            <v>23</v>
          </cell>
          <cell r="CD146">
            <v>16</v>
          </cell>
          <cell r="CE146">
            <v>13</v>
          </cell>
          <cell r="CF146">
            <v>24</v>
          </cell>
          <cell r="CG146">
            <v>20</v>
          </cell>
          <cell r="CH146">
            <v>23</v>
          </cell>
          <cell r="CM146">
            <v>0</v>
          </cell>
          <cell r="CN146">
            <v>0</v>
          </cell>
          <cell r="CO146">
            <v>0</v>
          </cell>
          <cell r="CP146">
            <v>0</v>
          </cell>
          <cell r="CQ146">
            <v>0</v>
          </cell>
          <cell r="CR146">
            <v>0</v>
          </cell>
          <cell r="CS146">
            <v>0</v>
          </cell>
          <cell r="CT146">
            <v>0</v>
          </cell>
          <cell r="CU146">
            <v>0</v>
          </cell>
          <cell r="CV146">
            <v>0</v>
          </cell>
          <cell r="CW146">
            <v>0</v>
          </cell>
          <cell r="CX146">
            <v>0</v>
          </cell>
          <cell r="CY146">
            <v>0</v>
          </cell>
          <cell r="CZ146">
            <v>0</v>
          </cell>
          <cell r="DA146">
            <v>0</v>
          </cell>
          <cell r="DB146">
            <v>0</v>
          </cell>
          <cell r="DC146">
            <v>0</v>
          </cell>
          <cell r="DD146">
            <v>0</v>
          </cell>
          <cell r="DE146">
            <v>0</v>
          </cell>
          <cell r="DF146">
            <v>0</v>
          </cell>
          <cell r="DG146">
            <v>0</v>
          </cell>
          <cell r="DH146">
            <v>0</v>
          </cell>
          <cell r="DI146">
            <v>0</v>
          </cell>
          <cell r="DJ146">
            <v>0</v>
          </cell>
          <cell r="DK146">
            <v>0</v>
          </cell>
          <cell r="DL146">
            <v>0</v>
          </cell>
          <cell r="DM146">
            <v>0</v>
          </cell>
          <cell r="DN146">
            <v>0</v>
          </cell>
          <cell r="DP146">
            <v>0</v>
          </cell>
          <cell r="DQ146">
            <v>0</v>
          </cell>
          <cell r="DR146">
            <v>0</v>
          </cell>
          <cell r="DS146">
            <v>0</v>
          </cell>
          <cell r="DT146">
            <v>0</v>
          </cell>
          <cell r="DU146">
            <v>0</v>
          </cell>
          <cell r="DV146">
            <v>0</v>
          </cell>
          <cell r="DW146">
            <v>0</v>
          </cell>
          <cell r="DX146">
            <v>0</v>
          </cell>
          <cell r="DY146">
            <v>0</v>
          </cell>
          <cell r="DZ146">
            <v>0</v>
          </cell>
          <cell r="EA146">
            <v>0</v>
          </cell>
          <cell r="EB146">
            <v>0</v>
          </cell>
          <cell r="EC146">
            <v>0</v>
          </cell>
          <cell r="ED146">
            <v>0</v>
          </cell>
          <cell r="EE146">
            <v>0</v>
          </cell>
          <cell r="EF146">
            <v>0</v>
          </cell>
          <cell r="EG146">
            <v>0</v>
          </cell>
          <cell r="EH146">
            <v>715</v>
          </cell>
          <cell r="EI146">
            <v>88</v>
          </cell>
          <cell r="EJ146">
            <v>80</v>
          </cell>
          <cell r="EK146">
            <v>-883</v>
          </cell>
          <cell r="EL146">
            <v>0</v>
          </cell>
          <cell r="EM146">
            <v>0</v>
          </cell>
          <cell r="EN146">
            <v>0</v>
          </cell>
          <cell r="EO146">
            <v>0</v>
          </cell>
          <cell r="EP146">
            <v>0</v>
          </cell>
          <cell r="EQ146">
            <v>0</v>
          </cell>
          <cell r="ER146">
            <v>0</v>
          </cell>
        </row>
        <row r="147">
          <cell r="A147" t="str">
            <v>% growth y-o-y</v>
          </cell>
          <cell r="BW147" t="str">
            <v>NA</v>
          </cell>
          <cell r="BX147" t="str">
            <v>NA</v>
          </cell>
          <cell r="BY147" t="str">
            <v>NA</v>
          </cell>
          <cell r="BZ147" t="str">
            <v>NA</v>
          </cell>
          <cell r="CA147" t="str">
            <v>NA</v>
          </cell>
          <cell r="CB147">
            <v>-0.96096096096096095</v>
          </cell>
          <cell r="CC147">
            <v>4.5454545454545414E-2</v>
          </cell>
          <cell r="CD147">
            <v>-0.40740740740740744</v>
          </cell>
          <cell r="CE147">
            <v>-0.43478260869565222</v>
          </cell>
          <cell r="CF147">
            <v>-7.6923076923076872E-2</v>
          </cell>
          <cell r="CG147">
            <v>-0.13043478260869568</v>
          </cell>
          <cell r="CH147">
            <v>0.4375</v>
          </cell>
          <cell r="CI147">
            <v>-1</v>
          </cell>
          <cell r="CJ147">
            <v>-1</v>
          </cell>
          <cell r="CK147">
            <v>-1</v>
          </cell>
          <cell r="CL147">
            <v>-1</v>
          </cell>
          <cell r="CM147" t="str">
            <v>NA</v>
          </cell>
          <cell r="CN147" t="str">
            <v>NA</v>
          </cell>
          <cell r="CO147" t="str">
            <v>NA</v>
          </cell>
          <cell r="CP147" t="str">
            <v>NA</v>
          </cell>
          <cell r="CQ147" t="str">
            <v>NA</v>
          </cell>
          <cell r="CR147" t="str">
            <v>NA</v>
          </cell>
          <cell r="CS147" t="str">
            <v>NA</v>
          </cell>
          <cell r="CT147" t="str">
            <v>NA</v>
          </cell>
          <cell r="CU147" t="str">
            <v>NA</v>
          </cell>
          <cell r="CV147" t="str">
            <v>NA</v>
          </cell>
          <cell r="CW147" t="str">
            <v>NA</v>
          </cell>
          <cell r="CX147" t="str">
            <v>NA</v>
          </cell>
          <cell r="CY147" t="str">
            <v>NA</v>
          </cell>
          <cell r="CZ147" t="str">
            <v>NA</v>
          </cell>
          <cell r="DA147" t="str">
            <v>NA</v>
          </cell>
          <cell r="DB147" t="str">
            <v>NA</v>
          </cell>
          <cell r="DC147" t="str">
            <v>NA</v>
          </cell>
          <cell r="DD147" t="str">
            <v>NA</v>
          </cell>
          <cell r="DE147" t="str">
            <v>NA</v>
          </cell>
          <cell r="DF147" t="str">
            <v>NA</v>
          </cell>
          <cell r="DG147" t="str">
            <v>NA</v>
          </cell>
          <cell r="DH147" t="str">
            <v>NA</v>
          </cell>
          <cell r="DI147" t="str">
            <v>NA</v>
          </cell>
          <cell r="DJ147" t="str">
            <v>NA</v>
          </cell>
          <cell r="DK147" t="str">
            <v>NA</v>
          </cell>
          <cell r="DL147" t="str">
            <v>NA</v>
          </cell>
          <cell r="DM147" t="str">
            <v>NA</v>
          </cell>
          <cell r="DN147" t="str">
            <v>NA</v>
          </cell>
          <cell r="DQ147" t="str">
            <v>NA</v>
          </cell>
          <cell r="DR147" t="str">
            <v>NA</v>
          </cell>
          <cell r="DS147" t="str">
            <v>NA</v>
          </cell>
          <cell r="DT147" t="str">
            <v>NA</v>
          </cell>
          <cell r="DU147" t="str">
            <v>NA</v>
          </cell>
          <cell r="DV147" t="str">
            <v>NA</v>
          </cell>
          <cell r="DW147" t="str">
            <v>NA</v>
          </cell>
          <cell r="DX147" t="str">
            <v>NA</v>
          </cell>
          <cell r="DY147" t="str">
            <v>NA</v>
          </cell>
          <cell r="DZ147" t="str">
            <v>NA</v>
          </cell>
          <cell r="EA147" t="str">
            <v>NA</v>
          </cell>
          <cell r="EB147" t="str">
            <v>NA</v>
          </cell>
          <cell r="EC147" t="str">
            <v>NA</v>
          </cell>
          <cell r="ED147" t="str">
            <v>NA</v>
          </cell>
          <cell r="EE147" t="str">
            <v>NA</v>
          </cell>
          <cell r="EF147" t="str">
            <v>NA</v>
          </cell>
          <cell r="EG147" t="str">
            <v>NA</v>
          </cell>
          <cell r="EH147" t="str">
            <v>NA</v>
          </cell>
          <cell r="EI147">
            <v>-0.87692307692307692</v>
          </cell>
          <cell r="EJ147">
            <v>-9.0909090909090939E-2</v>
          </cell>
          <cell r="EK147">
            <v>-12.0375</v>
          </cell>
          <cell r="EL147">
            <v>-1</v>
          </cell>
          <cell r="EM147" t="str">
            <v>NA</v>
          </cell>
          <cell r="EN147" t="str">
            <v>NA</v>
          </cell>
          <cell r="EO147" t="str">
            <v>NA</v>
          </cell>
          <cell r="EP147" t="str">
            <v>NA</v>
          </cell>
          <cell r="EQ147" t="str">
            <v>NA</v>
          </cell>
          <cell r="ER147" t="str">
            <v>NA</v>
          </cell>
        </row>
        <row r="148">
          <cell r="A148" t="str">
            <v>% growth seq</v>
          </cell>
          <cell r="BW148" t="str">
            <v>NA</v>
          </cell>
          <cell r="BX148" t="str">
            <v>NA</v>
          </cell>
          <cell r="BY148">
            <v>-0.96696696696696693</v>
          </cell>
          <cell r="BZ148">
            <v>0.22727272727272729</v>
          </cell>
          <cell r="CA148">
            <v>-0.14814814814814814</v>
          </cell>
          <cell r="CB148">
            <v>0.13043478260869557</v>
          </cell>
          <cell r="CC148">
            <v>-0.11538461538461542</v>
          </cell>
          <cell r="CD148">
            <v>-0.30434782608695654</v>
          </cell>
          <cell r="CE148">
            <v>-0.1875</v>
          </cell>
          <cell r="CF148">
            <v>0.84615384615384626</v>
          </cell>
          <cell r="CG148">
            <v>-0.16666666666666663</v>
          </cell>
          <cell r="CH148">
            <v>0.14999999999999991</v>
          </cell>
          <cell r="CI148">
            <v>-1</v>
          </cell>
          <cell r="CJ148" t="str">
            <v>NA</v>
          </cell>
          <cell r="CK148" t="str">
            <v>NA</v>
          </cell>
          <cell r="CL148" t="str">
            <v>NA</v>
          </cell>
          <cell r="CM148" t="str">
            <v>NA</v>
          </cell>
          <cell r="CN148" t="str">
            <v>NA</v>
          </cell>
          <cell r="CO148" t="str">
            <v>NA</v>
          </cell>
          <cell r="CP148" t="str">
            <v>NA</v>
          </cell>
          <cell r="CQ148" t="str">
            <v>NA</v>
          </cell>
          <cell r="CR148" t="str">
            <v>NA</v>
          </cell>
          <cell r="CS148" t="str">
            <v>NA</v>
          </cell>
          <cell r="CT148" t="str">
            <v>NA</v>
          </cell>
          <cell r="CU148" t="str">
            <v>NA</v>
          </cell>
          <cell r="CV148" t="str">
            <v>NA</v>
          </cell>
          <cell r="CW148" t="str">
            <v>NA</v>
          </cell>
          <cell r="CX148" t="str">
            <v>NA</v>
          </cell>
          <cell r="CY148" t="str">
            <v>NA</v>
          </cell>
          <cell r="CZ148" t="str">
            <v>NA</v>
          </cell>
          <cell r="DA148" t="str">
            <v>NA</v>
          </cell>
          <cell r="DB148" t="str">
            <v>NA</v>
          </cell>
          <cell r="DC148" t="str">
            <v>NA</v>
          </cell>
          <cell r="DD148" t="str">
            <v>NA</v>
          </cell>
          <cell r="DE148" t="str">
            <v>NA</v>
          </cell>
          <cell r="DF148" t="str">
            <v>NA</v>
          </cell>
          <cell r="DG148" t="str">
            <v>NA</v>
          </cell>
          <cell r="DH148" t="str">
            <v>NA</v>
          </cell>
          <cell r="DI148" t="str">
            <v>NA</v>
          </cell>
          <cell r="DJ148" t="str">
            <v>NA</v>
          </cell>
          <cell r="DK148" t="str">
            <v>NA</v>
          </cell>
          <cell r="DL148" t="str">
            <v>NA</v>
          </cell>
          <cell r="DM148" t="str">
            <v>NA</v>
          </cell>
          <cell r="DN148" t="str">
            <v>NA</v>
          </cell>
        </row>
        <row r="150">
          <cell r="A150" t="str">
            <v>ACV/G2K</v>
          </cell>
          <cell r="BX150">
            <v>966</v>
          </cell>
          <cell r="BY150">
            <v>1026</v>
          </cell>
          <cell r="BZ150">
            <v>1128</v>
          </cell>
          <cell r="CA150">
            <v>1154</v>
          </cell>
          <cell r="CB150">
            <v>1182</v>
          </cell>
          <cell r="CC150">
            <v>1223</v>
          </cell>
          <cell r="CD150">
            <v>1352</v>
          </cell>
          <cell r="CE150">
            <v>1407</v>
          </cell>
          <cell r="CF150">
            <v>1475</v>
          </cell>
          <cell r="CG150">
            <v>1531</v>
          </cell>
          <cell r="CH150">
            <v>1676</v>
          </cell>
          <cell r="DP150">
            <v>0</v>
          </cell>
          <cell r="DQ150">
            <v>0</v>
          </cell>
          <cell r="DR150">
            <v>0</v>
          </cell>
          <cell r="DS150">
            <v>0</v>
          </cell>
          <cell r="DT150">
            <v>0</v>
          </cell>
          <cell r="DU150">
            <v>0</v>
          </cell>
          <cell r="DV150">
            <v>0</v>
          </cell>
          <cell r="DW150">
            <v>0</v>
          </cell>
          <cell r="DX150">
            <v>0</v>
          </cell>
          <cell r="DY150">
            <v>0</v>
          </cell>
          <cell r="DZ150">
            <v>0</v>
          </cell>
          <cell r="EA150">
            <v>0</v>
          </cell>
          <cell r="EB150">
            <v>0</v>
          </cell>
          <cell r="EC150">
            <v>0</v>
          </cell>
          <cell r="ED150">
            <v>0</v>
          </cell>
          <cell r="EE150">
            <v>0</v>
          </cell>
          <cell r="EF150">
            <v>0</v>
          </cell>
          <cell r="EG150">
            <v>0</v>
          </cell>
          <cell r="EH150">
            <v>1128</v>
          </cell>
          <cell r="EI150">
            <v>1352</v>
          </cell>
          <cell r="EJ150">
            <v>1676</v>
          </cell>
          <cell r="EK150">
            <v>0</v>
          </cell>
          <cell r="EL150">
            <v>0</v>
          </cell>
          <cell r="EM150">
            <v>0</v>
          </cell>
          <cell r="EN150">
            <v>0</v>
          </cell>
          <cell r="EO150">
            <v>0</v>
          </cell>
          <cell r="EP150">
            <v>0</v>
          </cell>
          <cell r="EQ150">
            <v>0</v>
          </cell>
          <cell r="ER150">
            <v>0</v>
          </cell>
        </row>
        <row r="151">
          <cell r="A151" t="str">
            <v>% growth y-o-y</v>
          </cell>
          <cell r="BW151" t="str">
            <v>NA</v>
          </cell>
          <cell r="BX151" t="str">
            <v>NA</v>
          </cell>
          <cell r="BY151" t="str">
            <v>NA</v>
          </cell>
          <cell r="BZ151" t="str">
            <v>NA</v>
          </cell>
          <cell r="CA151" t="str">
            <v>NA</v>
          </cell>
          <cell r="CB151">
            <v>0.22360248447204967</v>
          </cell>
          <cell r="CC151">
            <v>0.19200779727095507</v>
          </cell>
          <cell r="CD151">
            <v>0.19858156028368801</v>
          </cell>
          <cell r="CE151">
            <v>0.21923743500866544</v>
          </cell>
          <cell r="CF151">
            <v>0.24788494077834189</v>
          </cell>
          <cell r="CG151">
            <v>0.25183973834832374</v>
          </cell>
          <cell r="CH151">
            <v>0.23964497041420119</v>
          </cell>
          <cell r="CI151">
            <v>-1</v>
          </cell>
          <cell r="CJ151">
            <v>-1</v>
          </cell>
          <cell r="CK151">
            <v>-1</v>
          </cell>
          <cell r="CL151">
            <v>-1</v>
          </cell>
          <cell r="CM151" t="str">
            <v>NA</v>
          </cell>
          <cell r="CN151" t="str">
            <v>NA</v>
          </cell>
          <cell r="CO151" t="str">
            <v>NA</v>
          </cell>
          <cell r="CP151" t="str">
            <v>NA</v>
          </cell>
          <cell r="CQ151" t="str">
            <v>NA</v>
          </cell>
          <cell r="CR151" t="str">
            <v>NA</v>
          </cell>
          <cell r="CS151" t="str">
            <v>NA</v>
          </cell>
          <cell r="CT151" t="str">
            <v>NA</v>
          </cell>
          <cell r="CU151" t="str">
            <v>NA</v>
          </cell>
          <cell r="CV151" t="str">
            <v>NA</v>
          </cell>
          <cell r="CW151" t="str">
            <v>NA</v>
          </cell>
          <cell r="CX151" t="str">
            <v>NA</v>
          </cell>
          <cell r="CY151" t="str">
            <v>NA</v>
          </cell>
          <cell r="CZ151" t="str">
            <v>NA</v>
          </cell>
          <cell r="DA151" t="str">
            <v>NA</v>
          </cell>
          <cell r="DB151" t="str">
            <v>NA</v>
          </cell>
          <cell r="DC151" t="str">
            <v>NA</v>
          </cell>
          <cell r="DD151" t="str">
            <v>NA</v>
          </cell>
          <cell r="DE151" t="str">
            <v>NA</v>
          </cell>
          <cell r="DF151" t="str">
            <v>NA</v>
          </cell>
          <cell r="DG151" t="str">
            <v>NA</v>
          </cell>
          <cell r="DH151" t="str">
            <v>NA</v>
          </cell>
          <cell r="DI151" t="str">
            <v>NA</v>
          </cell>
          <cell r="DJ151" t="str">
            <v>NA</v>
          </cell>
          <cell r="DK151" t="str">
            <v>NA</v>
          </cell>
          <cell r="DL151" t="str">
            <v>NA</v>
          </cell>
          <cell r="DM151" t="str">
            <v>NA</v>
          </cell>
          <cell r="DN151" t="str">
            <v>NA</v>
          </cell>
          <cell r="DQ151" t="str">
            <v>NA</v>
          </cell>
          <cell r="DR151" t="str">
            <v>NA</v>
          </cell>
          <cell r="DS151" t="str">
            <v>NA</v>
          </cell>
          <cell r="DT151" t="str">
            <v>NA</v>
          </cell>
          <cell r="DU151" t="str">
            <v>NA</v>
          </cell>
          <cell r="DV151" t="str">
            <v>NA</v>
          </cell>
          <cell r="DW151" t="str">
            <v>NA</v>
          </cell>
          <cell r="DX151" t="str">
            <v>NA</v>
          </cell>
          <cell r="DY151" t="str">
            <v>NA</v>
          </cell>
          <cell r="DZ151" t="str">
            <v>NA</v>
          </cell>
          <cell r="EA151" t="str">
            <v>NA</v>
          </cell>
          <cell r="EB151" t="str">
            <v>NA</v>
          </cell>
          <cell r="EC151" t="str">
            <v>NA</v>
          </cell>
          <cell r="ED151" t="str">
            <v>NA</v>
          </cell>
          <cell r="EE151" t="str">
            <v>NA</v>
          </cell>
          <cell r="EF151" t="str">
            <v>NA</v>
          </cell>
          <cell r="EG151" t="str">
            <v>NA</v>
          </cell>
          <cell r="EH151" t="str">
            <v>NA</v>
          </cell>
          <cell r="EI151">
            <v>0.19858156028368801</v>
          </cell>
          <cell r="EJ151">
            <v>0.23964497041420119</v>
          </cell>
          <cell r="EK151">
            <v>-1</v>
          </cell>
          <cell r="EL151" t="str">
            <v>NA</v>
          </cell>
          <cell r="EM151" t="str">
            <v>NA</v>
          </cell>
          <cell r="EN151" t="str">
            <v>NA</v>
          </cell>
          <cell r="EO151" t="str">
            <v>NA</v>
          </cell>
          <cell r="EP151" t="str">
            <v>NA</v>
          </cell>
          <cell r="EQ151" t="str">
            <v>NA</v>
          </cell>
          <cell r="ER151" t="str">
            <v>NA</v>
          </cell>
        </row>
        <row r="152">
          <cell r="A152" t="str">
            <v>% growth seq</v>
          </cell>
          <cell r="BW152" t="str">
            <v>NA</v>
          </cell>
          <cell r="BX152" t="str">
            <v>NA</v>
          </cell>
          <cell r="BY152">
            <v>6.211180124223592E-2</v>
          </cell>
          <cell r="BZ152">
            <v>9.9415204678362512E-2</v>
          </cell>
          <cell r="CA152">
            <v>2.3049645390070816E-2</v>
          </cell>
          <cell r="CB152">
            <v>2.4263431542461023E-2</v>
          </cell>
          <cell r="CC152">
            <v>3.4686971235194486E-2</v>
          </cell>
          <cell r="CD152">
            <v>0.10547833197056411</v>
          </cell>
          <cell r="CE152">
            <v>4.0680473372781023E-2</v>
          </cell>
          <cell r="CF152">
            <v>4.8329779673063289E-2</v>
          </cell>
          <cell r="CG152">
            <v>3.7966101694915322E-2</v>
          </cell>
          <cell r="CH152">
            <v>9.4709340300457301E-2</v>
          </cell>
          <cell r="CI152">
            <v>-1</v>
          </cell>
          <cell r="CJ152" t="str">
            <v>NA</v>
          </cell>
          <cell r="CK152" t="str">
            <v>NA</v>
          </cell>
          <cell r="CL152" t="str">
            <v>NA</v>
          </cell>
          <cell r="CM152" t="str">
            <v>NA</v>
          </cell>
          <cell r="CN152" t="str">
            <v>NA</v>
          </cell>
          <cell r="CO152" t="str">
            <v>NA</v>
          </cell>
          <cell r="CP152" t="str">
            <v>NA</v>
          </cell>
          <cell r="CQ152" t="str">
            <v>NA</v>
          </cell>
          <cell r="CR152" t="str">
            <v>NA</v>
          </cell>
          <cell r="CS152" t="str">
            <v>NA</v>
          </cell>
          <cell r="CT152" t="str">
            <v>NA</v>
          </cell>
          <cell r="CU152" t="str">
            <v>NA</v>
          </cell>
          <cell r="CV152" t="str">
            <v>NA</v>
          </cell>
          <cell r="CW152" t="str">
            <v>NA</v>
          </cell>
          <cell r="CX152" t="str">
            <v>NA</v>
          </cell>
          <cell r="CY152" t="str">
            <v>NA</v>
          </cell>
          <cell r="CZ152" t="str">
            <v>NA</v>
          </cell>
          <cell r="DA152" t="str">
            <v>NA</v>
          </cell>
          <cell r="DB152" t="str">
            <v>NA</v>
          </cell>
          <cell r="DC152" t="str">
            <v>NA</v>
          </cell>
          <cell r="DD152" t="str">
            <v>NA</v>
          </cell>
          <cell r="DE152" t="str">
            <v>NA</v>
          </cell>
          <cell r="DF152" t="str">
            <v>NA</v>
          </cell>
          <cell r="DG152" t="str">
            <v>NA</v>
          </cell>
          <cell r="DH152" t="str">
            <v>NA</v>
          </cell>
          <cell r="DI152" t="str">
            <v>NA</v>
          </cell>
          <cell r="DJ152" t="str">
            <v>NA</v>
          </cell>
          <cell r="DK152" t="str">
            <v>NA</v>
          </cell>
          <cell r="DL152" t="str">
            <v>NA</v>
          </cell>
          <cell r="DM152" t="str">
            <v>NA</v>
          </cell>
          <cell r="DN152" t="str">
            <v>NA</v>
          </cell>
        </row>
        <row r="155">
          <cell r="C155" t="str">
            <v>Fiscal 1999 by Quarter</v>
          </cell>
          <cell r="G155" t="str">
            <v>Fiscal 2000 by Quarter</v>
          </cell>
          <cell r="K155" t="str">
            <v>Fiscal 2001 by Quarter</v>
          </cell>
          <cell r="O155" t="str">
            <v>Fiscal 2002 by Quarter</v>
          </cell>
          <cell r="S155" t="str">
            <v>Fiscal 2003 by Quarter</v>
          </cell>
          <cell r="W155" t="str">
            <v>Fiscal 2004 by Quarter</v>
          </cell>
          <cell r="AA155" t="str">
            <v>Fiscal 2005 by Quarter</v>
          </cell>
          <cell r="AE155" t="str">
            <v>Fiscal 2006 by Quarter</v>
          </cell>
          <cell r="AI155" t="str">
            <v>Fiscal 2006 by Quarter</v>
          </cell>
          <cell r="AM155" t="str">
            <v>Fiscal 2007 by Quarter</v>
          </cell>
          <cell r="AQ155" t="str">
            <v>Fiscal 2008 by Quarter</v>
          </cell>
          <cell r="AU155" t="str">
            <v>Fiscal 2009 by Quarter</v>
          </cell>
          <cell r="AY155" t="str">
            <v>Fiscal 2010 by Quarter</v>
          </cell>
          <cell r="BC155" t="str">
            <v>Fiscal 2011 by Quarter</v>
          </cell>
          <cell r="BG155" t="str">
            <v>Fiscal 2012 by Quarter</v>
          </cell>
          <cell r="BK155" t="str">
            <v>Fiscal 2013 by Quarter</v>
          </cell>
          <cell r="BO155" t="str">
            <v>Fiscal 2014 by Quarter</v>
          </cell>
          <cell r="BS155" t="str">
            <v>Fiscal 2015 by Quarter</v>
          </cell>
          <cell r="BW155" t="str">
            <v>Fiscal 2016 by Quarter</v>
          </cell>
          <cell r="CA155" t="str">
            <v>Fiscal 2017 by Quarter</v>
          </cell>
          <cell r="CE155" t="str">
            <v>Fiscal 2018 by Quarter</v>
          </cell>
          <cell r="CI155" t="str">
            <v>Fiscal 2019 by Quarter</v>
          </cell>
          <cell r="CM155" t="str">
            <v>Fiscal 2020 by Quarter</v>
          </cell>
          <cell r="CQ155" t="str">
            <v>Fiscal 2021 by Quarter</v>
          </cell>
          <cell r="CU155" t="str">
            <v>Fiscal 2022 by Quarter</v>
          </cell>
          <cell r="CY155" t="str">
            <v>Fiscal 2023 by Quarter</v>
          </cell>
          <cell r="DC155" t="str">
            <v>Fiscal 2024 by Quarter</v>
          </cell>
          <cell r="DG155" t="str">
            <v>Fiscal 2025 by Quarter</v>
          </cell>
          <cell r="DK155" t="str">
            <v>Fiscal 2026 by Quarter</v>
          </cell>
          <cell r="DP155" t="str">
            <v xml:space="preserve"> Fiscal Year Ends December</v>
          </cell>
        </row>
        <row r="156">
          <cell r="C156">
            <v>35886</v>
          </cell>
          <cell r="D156">
            <v>35977</v>
          </cell>
          <cell r="E156">
            <v>36069</v>
          </cell>
          <cell r="F156">
            <v>36161</v>
          </cell>
          <cell r="G156">
            <v>36251</v>
          </cell>
          <cell r="H156">
            <v>36342</v>
          </cell>
          <cell r="I156">
            <v>36434</v>
          </cell>
          <cell r="J156">
            <v>36526</v>
          </cell>
          <cell r="K156">
            <v>36617</v>
          </cell>
          <cell r="L156">
            <v>36708</v>
          </cell>
          <cell r="M156">
            <v>36800</v>
          </cell>
          <cell r="N156">
            <v>36892</v>
          </cell>
          <cell r="O156">
            <v>36982</v>
          </cell>
          <cell r="P156">
            <v>37073</v>
          </cell>
          <cell r="Q156">
            <v>37165</v>
          </cell>
          <cell r="R156">
            <v>37257</v>
          </cell>
          <cell r="S156">
            <v>37348</v>
          </cell>
          <cell r="T156">
            <v>37439</v>
          </cell>
          <cell r="U156">
            <v>37531</v>
          </cell>
          <cell r="V156">
            <v>37623</v>
          </cell>
          <cell r="W156">
            <v>37715</v>
          </cell>
          <cell r="X156">
            <v>37806</v>
          </cell>
          <cell r="Y156">
            <v>37898</v>
          </cell>
          <cell r="Z156">
            <v>37990</v>
          </cell>
          <cell r="AA156">
            <v>38081</v>
          </cell>
          <cell r="AB156">
            <v>38172</v>
          </cell>
          <cell r="AC156">
            <v>38264</v>
          </cell>
          <cell r="AD156">
            <v>38356</v>
          </cell>
          <cell r="AE156">
            <v>38447</v>
          </cell>
          <cell r="AF156">
            <v>38538</v>
          </cell>
          <cell r="AG156">
            <v>38630</v>
          </cell>
          <cell r="AH156">
            <v>38722</v>
          </cell>
          <cell r="AI156">
            <v>38807</v>
          </cell>
          <cell r="AJ156">
            <v>38898</v>
          </cell>
          <cell r="AK156">
            <v>38990</v>
          </cell>
          <cell r="AL156">
            <v>39082</v>
          </cell>
          <cell r="AM156">
            <v>39172</v>
          </cell>
          <cell r="AN156">
            <v>39263</v>
          </cell>
          <cell r="AO156">
            <v>39355</v>
          </cell>
          <cell r="AP156">
            <v>39447</v>
          </cell>
          <cell r="AQ156">
            <v>39538</v>
          </cell>
          <cell r="AR156">
            <v>39629</v>
          </cell>
          <cell r="AS156">
            <v>39721</v>
          </cell>
          <cell r="AT156">
            <v>39813</v>
          </cell>
          <cell r="AU156">
            <v>39903</v>
          </cell>
          <cell r="AV156">
            <v>39994</v>
          </cell>
          <cell r="AW156">
            <v>40086</v>
          </cell>
          <cell r="AX156">
            <v>40178</v>
          </cell>
          <cell r="AY156">
            <v>40268</v>
          </cell>
          <cell r="AZ156">
            <v>40359</v>
          </cell>
          <cell r="BA156">
            <v>40451</v>
          </cell>
          <cell r="BB156">
            <v>40543</v>
          </cell>
          <cell r="BC156">
            <v>40633</v>
          </cell>
          <cell r="BD156">
            <v>40724</v>
          </cell>
          <cell r="BE156">
            <v>40816</v>
          </cell>
          <cell r="BF156">
            <v>40908</v>
          </cell>
          <cell r="BG156">
            <v>40999</v>
          </cell>
          <cell r="BH156">
            <v>41072</v>
          </cell>
          <cell r="BI156">
            <v>41164</v>
          </cell>
          <cell r="BJ156">
            <v>41255</v>
          </cell>
          <cell r="BK156">
            <v>41346</v>
          </cell>
          <cell r="BL156">
            <v>41438</v>
          </cell>
          <cell r="BM156">
            <v>41529</v>
          </cell>
          <cell r="BN156">
            <v>41621</v>
          </cell>
          <cell r="BO156">
            <v>41712</v>
          </cell>
          <cell r="BP156">
            <v>41804</v>
          </cell>
          <cell r="BQ156">
            <v>41894</v>
          </cell>
          <cell r="BR156">
            <v>41987</v>
          </cell>
          <cell r="BS156">
            <v>42078</v>
          </cell>
          <cell r="BT156">
            <v>42170</v>
          </cell>
          <cell r="BU156">
            <v>42262</v>
          </cell>
          <cell r="BV156">
            <v>42353</v>
          </cell>
          <cell r="BW156">
            <v>42445</v>
          </cell>
          <cell r="BX156">
            <v>42537</v>
          </cell>
          <cell r="BY156">
            <v>42629</v>
          </cell>
          <cell r="BZ156">
            <v>42720</v>
          </cell>
          <cell r="CA156">
            <v>42811</v>
          </cell>
          <cell r="CB156">
            <v>42903</v>
          </cell>
          <cell r="CC156">
            <v>42995</v>
          </cell>
          <cell r="CD156">
            <v>43086</v>
          </cell>
          <cell r="CE156">
            <v>43177</v>
          </cell>
          <cell r="CF156">
            <v>43269</v>
          </cell>
          <cell r="CG156">
            <v>43361</v>
          </cell>
          <cell r="CH156">
            <v>43452</v>
          </cell>
          <cell r="CI156">
            <v>43543</v>
          </cell>
          <cell r="CJ156">
            <v>43635</v>
          </cell>
          <cell r="CK156">
            <v>43727</v>
          </cell>
          <cell r="CL156">
            <v>43818</v>
          </cell>
          <cell r="CM156">
            <v>43910</v>
          </cell>
          <cell r="CN156">
            <v>44002</v>
          </cell>
          <cell r="CO156">
            <v>44094</v>
          </cell>
          <cell r="CP156">
            <v>44185</v>
          </cell>
          <cell r="CQ156" t="str">
            <v>Mar-21E</v>
          </cell>
          <cell r="CR156" t="str">
            <v>Jun-21E</v>
          </cell>
          <cell r="CS156" t="str">
            <v>Sep-21E</v>
          </cell>
          <cell r="CT156" t="str">
            <v>Dec-21E</v>
          </cell>
          <cell r="CU156" t="str">
            <v>Mar-22E</v>
          </cell>
          <cell r="CV156" t="str">
            <v>Jun-22E</v>
          </cell>
          <cell r="CW156" t="str">
            <v>Sep-22E</v>
          </cell>
          <cell r="CX156" t="str">
            <v>Dec-22E</v>
          </cell>
          <cell r="CY156" t="str">
            <v>Mar-23E</v>
          </cell>
          <cell r="CZ156" t="str">
            <v>Jun-23E</v>
          </cell>
          <cell r="DA156" t="str">
            <v>Sep-23E</v>
          </cell>
          <cell r="DB156" t="str">
            <v>Dec-23E</v>
          </cell>
          <cell r="DC156" t="str">
            <v>Mar-24E</v>
          </cell>
          <cell r="DD156" t="str">
            <v>Jun-24E</v>
          </cell>
          <cell r="DE156" t="str">
            <v>Sep-24E</v>
          </cell>
          <cell r="DF156" t="str">
            <v>Dec-24E</v>
          </cell>
          <cell r="DG156" t="str">
            <v>Mar-25E</v>
          </cell>
          <cell r="DH156" t="str">
            <v>Jun-25E</v>
          </cell>
          <cell r="DI156" t="str">
            <v>Sep-25E</v>
          </cell>
          <cell r="DJ156" t="str">
            <v>Dec-25E</v>
          </cell>
          <cell r="DK156" t="str">
            <v>Mar-26E</v>
          </cell>
          <cell r="DL156" t="str">
            <v>Jun-26E</v>
          </cell>
          <cell r="DM156" t="str">
            <v>Sep-26E</v>
          </cell>
          <cell r="DN156" t="str">
            <v>Dec-26E</v>
          </cell>
          <cell r="DP156">
            <v>1998</v>
          </cell>
          <cell r="DQ156">
            <v>1999</v>
          </cell>
          <cell r="DR156">
            <v>2000</v>
          </cell>
          <cell r="DS156">
            <v>2001</v>
          </cell>
          <cell r="DT156">
            <v>2002</v>
          </cell>
          <cell r="DU156">
            <v>2003</v>
          </cell>
          <cell r="DV156">
            <v>2004</v>
          </cell>
          <cell r="DW156">
            <v>2005</v>
          </cell>
          <cell r="DX156">
            <v>2006</v>
          </cell>
          <cell r="DY156">
            <v>2007</v>
          </cell>
          <cell r="DZ156">
            <v>2008</v>
          </cell>
          <cell r="EA156">
            <v>2009</v>
          </cell>
          <cell r="EB156">
            <v>2010</v>
          </cell>
          <cell r="EC156">
            <v>2011</v>
          </cell>
          <cell r="ED156">
            <v>2012</v>
          </cell>
          <cell r="EE156">
            <v>2013</v>
          </cell>
          <cell r="EF156">
            <v>2014</v>
          </cell>
          <cell r="EG156">
            <v>2015</v>
          </cell>
          <cell r="EH156">
            <v>2016</v>
          </cell>
          <cell r="EI156">
            <v>2017</v>
          </cell>
          <cell r="EJ156">
            <v>2018</v>
          </cell>
          <cell r="EK156">
            <v>2019</v>
          </cell>
          <cell r="EL156">
            <v>2020</v>
          </cell>
          <cell r="EM156" t="str">
            <v>2021E</v>
          </cell>
          <cell r="EN156" t="str">
            <v>2022E</v>
          </cell>
          <cell r="EO156" t="str">
            <v>2023E</v>
          </cell>
          <cell r="EP156" t="str">
            <v>2024E</v>
          </cell>
          <cell r="EQ156" t="str">
            <v>2025E</v>
          </cell>
          <cell r="ER156" t="str">
            <v>2026E</v>
          </cell>
        </row>
        <row r="157">
          <cell r="A157" t="str">
            <v>G2K customers</v>
          </cell>
          <cell r="AV157">
            <v>281</v>
          </cell>
          <cell r="BR157">
            <v>533</v>
          </cell>
          <cell r="BS157">
            <v>558</v>
          </cell>
          <cell r="BT157">
            <v>581</v>
          </cell>
          <cell r="BU157">
            <v>607</v>
          </cell>
          <cell r="BV157">
            <v>637</v>
          </cell>
          <cell r="BW157">
            <v>657</v>
          </cell>
          <cell r="BX157">
            <v>683</v>
          </cell>
          <cell r="BY157">
            <v>705</v>
          </cell>
          <cell r="BZ157">
            <v>734</v>
          </cell>
          <cell r="CA157">
            <v>761</v>
          </cell>
          <cell r="CB157">
            <v>790</v>
          </cell>
          <cell r="CC157">
            <v>815</v>
          </cell>
          <cell r="CD157">
            <v>838</v>
          </cell>
          <cell r="CE157">
            <v>850</v>
          </cell>
          <cell r="DP157">
            <v>0</v>
          </cell>
          <cell r="DQ157">
            <v>0</v>
          </cell>
          <cell r="DR157">
            <v>0</v>
          </cell>
          <cell r="DS157">
            <v>0</v>
          </cell>
          <cell r="DT157">
            <v>0</v>
          </cell>
          <cell r="DU157">
            <v>0</v>
          </cell>
          <cell r="DV157">
            <v>0</v>
          </cell>
          <cell r="DW157">
            <v>0</v>
          </cell>
          <cell r="DX157">
            <v>0</v>
          </cell>
          <cell r="DY157">
            <v>0</v>
          </cell>
          <cell r="DZ157">
            <v>0</v>
          </cell>
          <cell r="EA157">
            <v>0</v>
          </cell>
          <cell r="EB157">
            <v>0</v>
          </cell>
          <cell r="EC157">
            <v>0</v>
          </cell>
          <cell r="ED157">
            <v>0</v>
          </cell>
          <cell r="EE157">
            <v>0</v>
          </cell>
          <cell r="EF157">
            <v>533</v>
          </cell>
          <cell r="EG157">
            <v>637</v>
          </cell>
          <cell r="EH157">
            <v>734</v>
          </cell>
          <cell r="EI157">
            <v>838</v>
          </cell>
          <cell r="EJ157">
            <v>0</v>
          </cell>
          <cell r="EK157">
            <v>0</v>
          </cell>
          <cell r="EL157">
            <v>0</v>
          </cell>
          <cell r="EM157">
            <v>0</v>
          </cell>
          <cell r="EN157">
            <v>0</v>
          </cell>
          <cell r="EO157">
            <v>0</v>
          </cell>
          <cell r="EP157">
            <v>0</v>
          </cell>
          <cell r="EQ157">
            <v>0</v>
          </cell>
          <cell r="ER157">
            <v>0</v>
          </cell>
        </row>
        <row r="158">
          <cell r="A158" t="str">
            <v>G2K penetration</v>
          </cell>
          <cell r="BR158">
            <v>0.26650000000000001</v>
          </cell>
          <cell r="BS158">
            <v>0.27900000000000003</v>
          </cell>
          <cell r="BT158">
            <v>0.29049999999999998</v>
          </cell>
          <cell r="BU158">
            <v>0.30349999999999999</v>
          </cell>
          <cell r="BV158">
            <v>0.31850000000000001</v>
          </cell>
          <cell r="BW158">
            <v>0.32850000000000001</v>
          </cell>
          <cell r="BX158">
            <v>0.34150000000000003</v>
          </cell>
          <cell r="BY158">
            <v>0.35249999999999998</v>
          </cell>
          <cell r="BZ158">
            <v>0.36699999999999999</v>
          </cell>
          <cell r="CA158">
            <v>0.3805</v>
          </cell>
          <cell r="CB158">
            <v>0.39500000000000002</v>
          </cell>
          <cell r="CC158">
            <v>0.40749999999999997</v>
          </cell>
          <cell r="CD158">
            <v>0.41899999999999998</v>
          </cell>
          <cell r="CE158">
            <v>0.42499999999999999</v>
          </cell>
        </row>
        <row r="159">
          <cell r="A159" t="str">
            <v>% growth y-o-y</v>
          </cell>
          <cell r="V159" t="str">
            <v>NA</v>
          </cell>
          <cell r="Z159" t="str">
            <v>NA</v>
          </cell>
          <cell r="AA159" t="str">
            <v>NA</v>
          </cell>
          <cell r="AB159" t="str">
            <v>NA</v>
          </cell>
          <cell r="AC159" t="str">
            <v>NA</v>
          </cell>
          <cell r="AD159" t="str">
            <v>NA</v>
          </cell>
          <cell r="AE159" t="str">
            <v>NA</v>
          </cell>
          <cell r="AF159" t="str">
            <v>NA</v>
          </cell>
          <cell r="AG159" t="str">
            <v>NA</v>
          </cell>
          <cell r="AH159" t="str">
            <v>NA</v>
          </cell>
          <cell r="AI159" t="str">
            <v>NA</v>
          </cell>
          <cell r="AJ159" t="str">
            <v>NA</v>
          </cell>
          <cell r="AK159" t="str">
            <v>NA</v>
          </cell>
          <cell r="AL159" t="str">
            <v>NA</v>
          </cell>
          <cell r="AM159" t="str">
            <v>NA</v>
          </cell>
          <cell r="AN159" t="str">
            <v>NA</v>
          </cell>
          <cell r="AO159" t="str">
            <v>NA</v>
          </cell>
          <cell r="AP159" t="str">
            <v>NA</v>
          </cell>
          <cell r="AQ159" t="str">
            <v>NA</v>
          </cell>
          <cell r="AR159" t="str">
            <v>NA</v>
          </cell>
          <cell r="AS159" t="str">
            <v>NA</v>
          </cell>
          <cell r="AT159" t="str">
            <v>NA</v>
          </cell>
          <cell r="AU159" t="str">
            <v>NA</v>
          </cell>
          <cell r="AV159" t="str">
            <v>NA</v>
          </cell>
          <cell r="AW159" t="str">
            <v>NA</v>
          </cell>
          <cell r="AX159" t="str">
            <v>NA</v>
          </cell>
          <cell r="AY159" t="str">
            <v>NA</v>
          </cell>
          <cell r="AZ159">
            <v>-1</v>
          </cell>
          <cell r="BA159" t="str">
            <v>NA</v>
          </cell>
          <cell r="BB159" t="str">
            <v>NA</v>
          </cell>
          <cell r="BC159" t="str">
            <v>NA</v>
          </cell>
          <cell r="BD159" t="str">
            <v>NA</v>
          </cell>
          <cell r="BE159" t="str">
            <v>NA</v>
          </cell>
          <cell r="BF159" t="str">
            <v>NA</v>
          </cell>
          <cell r="BG159" t="str">
            <v>NA</v>
          </cell>
          <cell r="BH159" t="str">
            <v>NA</v>
          </cell>
          <cell r="BI159" t="str">
            <v>NA</v>
          </cell>
          <cell r="BJ159" t="str">
            <v>NA</v>
          </cell>
          <cell r="BK159" t="str">
            <v>NA</v>
          </cell>
          <cell r="BL159" t="str">
            <v>NA</v>
          </cell>
          <cell r="BM159" t="str">
            <v>NA</v>
          </cell>
          <cell r="BN159" t="str">
            <v>NA</v>
          </cell>
          <cell r="BO159" t="str">
            <v>NA</v>
          </cell>
          <cell r="BP159" t="str">
            <v>NA</v>
          </cell>
          <cell r="BQ159" t="str">
            <v>NA</v>
          </cell>
          <cell r="BR159" t="str">
            <v>NA</v>
          </cell>
          <cell r="BS159" t="str">
            <v>NA</v>
          </cell>
          <cell r="BT159" t="str">
            <v>NA</v>
          </cell>
          <cell r="BU159" t="str">
            <v>NA</v>
          </cell>
          <cell r="BV159">
            <v>0.19512195121951215</v>
          </cell>
          <cell r="BW159">
            <v>0.17741935483870974</v>
          </cell>
          <cell r="BX159">
            <v>0.17555938037865748</v>
          </cell>
          <cell r="BY159">
            <v>0.16144975288303121</v>
          </cell>
          <cell r="BZ159">
            <v>0.15227629513343799</v>
          </cell>
          <cell r="CA159">
            <v>0.15829528158295281</v>
          </cell>
          <cell r="CB159">
            <v>0.15666178623718885</v>
          </cell>
          <cell r="CC159">
            <v>0.15602836879432624</v>
          </cell>
          <cell r="CD159">
            <v>0.14168937329700282</v>
          </cell>
          <cell r="CE159">
            <v>0.11695137976346914</v>
          </cell>
          <cell r="DQ159" t="str">
            <v>NA</v>
          </cell>
          <cell r="DR159" t="str">
            <v>NA</v>
          </cell>
          <cell r="DS159" t="str">
            <v>NA</v>
          </cell>
          <cell r="DT159" t="str">
            <v>NA</v>
          </cell>
          <cell r="DU159" t="str">
            <v>NA</v>
          </cell>
          <cell r="DV159" t="str">
            <v>NA</v>
          </cell>
          <cell r="DW159" t="str">
            <v>NA</v>
          </cell>
          <cell r="DX159" t="str">
            <v>NA</v>
          </cell>
          <cell r="DY159" t="str">
            <v>NA</v>
          </cell>
          <cell r="DZ159" t="str">
            <v>NA</v>
          </cell>
          <cell r="EA159" t="str">
            <v>NA</v>
          </cell>
          <cell r="EB159" t="str">
            <v>NA</v>
          </cell>
          <cell r="EC159" t="str">
            <v>NA</v>
          </cell>
          <cell r="ED159" t="str">
            <v>NA</v>
          </cell>
          <cell r="EE159" t="str">
            <v>NA</v>
          </cell>
          <cell r="EF159" t="str">
            <v>NA</v>
          </cell>
          <cell r="EG159">
            <v>0.19512195121951215</v>
          </cell>
          <cell r="EH159">
            <v>0.15227629513343799</v>
          </cell>
          <cell r="EI159">
            <v>0.14168937329700282</v>
          </cell>
          <cell r="EJ159">
            <v>-1</v>
          </cell>
          <cell r="EK159" t="str">
            <v>NA</v>
          </cell>
          <cell r="EL159" t="str">
            <v>NA</v>
          </cell>
          <cell r="EM159" t="str">
            <v>NA</v>
          </cell>
          <cell r="EN159" t="str">
            <v>NA</v>
          </cell>
          <cell r="EO159" t="str">
            <v>NA</v>
          </cell>
          <cell r="EP159" t="str">
            <v>NA</v>
          </cell>
          <cell r="EQ159" t="str">
            <v>NA</v>
          </cell>
          <cell r="ER159" t="str">
            <v>NA</v>
          </cell>
        </row>
        <row r="160">
          <cell r="A160" t="str">
            <v>% growth seq</v>
          </cell>
          <cell r="V160" t="str">
            <v>NA</v>
          </cell>
          <cell r="Z160" t="str">
            <v>NA</v>
          </cell>
          <cell r="AA160" t="str">
            <v>NA</v>
          </cell>
          <cell r="AB160" t="str">
            <v>NA</v>
          </cell>
          <cell r="AC160" t="str">
            <v>NA</v>
          </cell>
          <cell r="AD160" t="str">
            <v>NA</v>
          </cell>
          <cell r="AE160" t="str">
            <v>NA</v>
          </cell>
          <cell r="AF160" t="str">
            <v>NA</v>
          </cell>
          <cell r="AG160" t="str">
            <v>NA</v>
          </cell>
          <cell r="AH160" t="str">
            <v>NA</v>
          </cell>
          <cell r="AI160" t="str">
            <v>NA</v>
          </cell>
          <cell r="AJ160" t="str">
            <v>NA</v>
          </cell>
          <cell r="AK160" t="str">
            <v>NA</v>
          </cell>
          <cell r="AL160" t="str">
            <v>NA</v>
          </cell>
          <cell r="AM160" t="str">
            <v>NA</v>
          </cell>
          <cell r="AN160" t="str">
            <v>NA</v>
          </cell>
          <cell r="AO160" t="str">
            <v>NA</v>
          </cell>
          <cell r="AP160" t="str">
            <v>NA</v>
          </cell>
          <cell r="AQ160" t="str">
            <v>NA</v>
          </cell>
          <cell r="AR160" t="str">
            <v>NA</v>
          </cell>
          <cell r="AS160" t="str">
            <v>NA</v>
          </cell>
          <cell r="AT160" t="str">
            <v>NA</v>
          </cell>
          <cell r="AU160" t="str">
            <v>NA</v>
          </cell>
          <cell r="AV160" t="str">
            <v>NA</v>
          </cell>
          <cell r="AW160">
            <v>-1</v>
          </cell>
          <cell r="AX160" t="str">
            <v>NA</v>
          </cell>
          <cell r="AY160" t="str">
            <v>NA</v>
          </cell>
          <cell r="AZ160" t="str">
            <v>NA</v>
          </cell>
          <cell r="BA160" t="str">
            <v>NA</v>
          </cell>
          <cell r="BB160" t="str">
            <v>NA</v>
          </cell>
          <cell r="BC160" t="str">
            <v>NA</v>
          </cell>
          <cell r="BD160" t="str">
            <v>NA</v>
          </cell>
          <cell r="BE160" t="str">
            <v>NA</v>
          </cell>
          <cell r="BF160" t="str">
            <v>NA</v>
          </cell>
          <cell r="BG160" t="str">
            <v>NA</v>
          </cell>
          <cell r="BH160" t="str">
            <v>NA</v>
          </cell>
          <cell r="BI160" t="str">
            <v>NA</v>
          </cell>
          <cell r="BJ160" t="str">
            <v>NA</v>
          </cell>
          <cell r="BK160" t="str">
            <v>NA</v>
          </cell>
          <cell r="BL160" t="str">
            <v>NA</v>
          </cell>
          <cell r="BM160" t="str">
            <v>NA</v>
          </cell>
          <cell r="BN160" t="str">
            <v>NA</v>
          </cell>
          <cell r="BO160" t="str">
            <v>NA</v>
          </cell>
          <cell r="BP160" t="str">
            <v>NA</v>
          </cell>
          <cell r="BQ160" t="str">
            <v>NA</v>
          </cell>
          <cell r="BR160" t="str">
            <v>NA</v>
          </cell>
          <cell r="BS160">
            <v>4.6904315196998114E-2</v>
          </cell>
          <cell r="BT160">
            <v>4.1218637992831431E-2</v>
          </cell>
          <cell r="BU160">
            <v>4.4750430292598953E-2</v>
          </cell>
          <cell r="BV160">
            <v>4.9423393739703503E-2</v>
          </cell>
          <cell r="BW160">
            <v>3.1397174254317095E-2</v>
          </cell>
          <cell r="BX160">
            <v>3.9573820395738313E-2</v>
          </cell>
          <cell r="BY160">
            <v>3.2210834553440648E-2</v>
          </cell>
          <cell r="BZ160">
            <v>4.1134751773049594E-2</v>
          </cell>
          <cell r="CA160">
            <v>3.6784741144414212E-2</v>
          </cell>
          <cell r="CB160">
            <v>3.8107752956636043E-2</v>
          </cell>
          <cell r="CC160">
            <v>3.1645569620253111E-2</v>
          </cell>
          <cell r="CD160">
            <v>2.8220858895705581E-2</v>
          </cell>
          <cell r="CE160">
            <v>1.4319809069212486E-2</v>
          </cell>
        </row>
        <row r="162">
          <cell r="A162" t="str">
            <v>Net G2K adds</v>
          </cell>
          <cell r="BO162">
            <v>0</v>
          </cell>
          <cell r="BP162">
            <v>0</v>
          </cell>
          <cell r="BQ162">
            <v>0</v>
          </cell>
          <cell r="BR162">
            <v>0</v>
          </cell>
          <cell r="BS162">
            <v>25</v>
          </cell>
          <cell r="BT162">
            <v>23</v>
          </cell>
          <cell r="BU162">
            <v>26</v>
          </cell>
          <cell r="BV162">
            <v>30</v>
          </cell>
          <cell r="BW162">
            <v>20</v>
          </cell>
          <cell r="BX162">
            <v>26</v>
          </cell>
          <cell r="BY162">
            <v>22</v>
          </cell>
          <cell r="BZ162">
            <v>29</v>
          </cell>
          <cell r="CA162">
            <v>27</v>
          </cell>
          <cell r="CB162">
            <v>29</v>
          </cell>
          <cell r="CC162">
            <v>25</v>
          </cell>
          <cell r="CD162">
            <v>23</v>
          </cell>
          <cell r="CE162">
            <v>12</v>
          </cell>
          <cell r="DP162">
            <v>0</v>
          </cell>
          <cell r="DQ162">
            <v>0</v>
          </cell>
          <cell r="DR162">
            <v>0</v>
          </cell>
          <cell r="DS162">
            <v>0</v>
          </cell>
          <cell r="DT162">
            <v>0</v>
          </cell>
          <cell r="DU162">
            <v>0</v>
          </cell>
          <cell r="DV162">
            <v>0</v>
          </cell>
          <cell r="DW162">
            <v>0</v>
          </cell>
          <cell r="DX162">
            <v>0</v>
          </cell>
          <cell r="DY162">
            <v>0</v>
          </cell>
          <cell r="DZ162">
            <v>0</v>
          </cell>
          <cell r="EA162">
            <v>0</v>
          </cell>
          <cell r="EB162">
            <v>0</v>
          </cell>
          <cell r="EC162">
            <v>0</v>
          </cell>
          <cell r="ED162">
            <v>0</v>
          </cell>
          <cell r="EE162">
            <v>0</v>
          </cell>
          <cell r="EF162">
            <v>533</v>
          </cell>
          <cell r="EG162">
            <v>104</v>
          </cell>
          <cell r="EH162">
            <v>97</v>
          </cell>
          <cell r="EI162">
            <v>104</v>
          </cell>
          <cell r="EJ162">
            <v>-838</v>
          </cell>
          <cell r="EK162">
            <v>0</v>
          </cell>
          <cell r="EL162">
            <v>0</v>
          </cell>
          <cell r="EM162">
            <v>0</v>
          </cell>
          <cell r="EN162">
            <v>0</v>
          </cell>
          <cell r="EO162">
            <v>0</v>
          </cell>
          <cell r="EP162">
            <v>0</v>
          </cell>
          <cell r="EQ162">
            <v>0</v>
          </cell>
          <cell r="ER162">
            <v>0</v>
          </cell>
        </row>
        <row r="163">
          <cell r="A163" t="str">
            <v>% growth y-o-y</v>
          </cell>
          <cell r="V163" t="str">
            <v>NA</v>
          </cell>
          <cell r="Z163" t="str">
            <v>NA</v>
          </cell>
          <cell r="AA163" t="str">
            <v>NA</v>
          </cell>
          <cell r="AB163" t="str">
            <v>NA</v>
          </cell>
          <cell r="AC163" t="str">
            <v>NA</v>
          </cell>
          <cell r="AD163" t="str">
            <v>NA</v>
          </cell>
          <cell r="AE163" t="str">
            <v>NA</v>
          </cell>
          <cell r="AF163" t="str">
            <v>NA</v>
          </cell>
          <cell r="AG163" t="str">
            <v>NA</v>
          </cell>
          <cell r="AH163" t="str">
            <v>NA</v>
          </cell>
          <cell r="AI163" t="str">
            <v>NA</v>
          </cell>
          <cell r="AJ163" t="str">
            <v>NA</v>
          </cell>
          <cell r="AK163" t="str">
            <v>NA</v>
          </cell>
          <cell r="AL163" t="str">
            <v>NA</v>
          </cell>
          <cell r="AM163" t="str">
            <v>NA</v>
          </cell>
          <cell r="AN163" t="str">
            <v>NA</v>
          </cell>
          <cell r="AO163" t="str">
            <v>NA</v>
          </cell>
          <cell r="AP163" t="str">
            <v>NA</v>
          </cell>
          <cell r="AQ163" t="str">
            <v>NA</v>
          </cell>
          <cell r="AR163" t="str">
            <v>NA</v>
          </cell>
          <cell r="AS163" t="str">
            <v>NA</v>
          </cell>
          <cell r="AT163" t="str">
            <v>NA</v>
          </cell>
          <cell r="AU163" t="str">
            <v>NA</v>
          </cell>
          <cell r="AV163" t="str">
            <v>NA</v>
          </cell>
          <cell r="AW163" t="str">
            <v>NA</v>
          </cell>
          <cell r="AX163" t="str">
            <v>NA</v>
          </cell>
          <cell r="AY163" t="str">
            <v>NA</v>
          </cell>
          <cell r="AZ163" t="str">
            <v>NA</v>
          </cell>
          <cell r="BA163" t="str">
            <v>NA</v>
          </cell>
          <cell r="BB163" t="str">
            <v>NA</v>
          </cell>
          <cell r="BC163" t="str">
            <v>NA</v>
          </cell>
          <cell r="BD163" t="str">
            <v>NA</v>
          </cell>
          <cell r="BE163" t="str">
            <v>NA</v>
          </cell>
          <cell r="BF163" t="str">
            <v>NA</v>
          </cell>
          <cell r="BG163" t="str">
            <v>NA</v>
          </cell>
          <cell r="BH163" t="str">
            <v>NA</v>
          </cell>
          <cell r="BI163" t="str">
            <v>NA</v>
          </cell>
          <cell r="BJ163" t="str">
            <v>NA</v>
          </cell>
          <cell r="BK163" t="str">
            <v>NA</v>
          </cell>
          <cell r="BL163" t="str">
            <v>NA</v>
          </cell>
          <cell r="BM163" t="str">
            <v>NA</v>
          </cell>
          <cell r="BN163" t="str">
            <v>NA</v>
          </cell>
          <cell r="BO163" t="str">
            <v>NA</v>
          </cell>
          <cell r="BP163" t="str">
            <v>NA</v>
          </cell>
          <cell r="BQ163" t="str">
            <v>NA</v>
          </cell>
          <cell r="BR163" t="str">
            <v>NA</v>
          </cell>
          <cell r="BS163" t="str">
            <v>NA</v>
          </cell>
          <cell r="BT163" t="str">
            <v>NA</v>
          </cell>
          <cell r="BU163" t="str">
            <v>NA</v>
          </cell>
          <cell r="BV163" t="str">
            <v>NA</v>
          </cell>
          <cell r="BW163">
            <v>-0.19999999999999996</v>
          </cell>
          <cell r="BX163">
            <v>0.13043478260869557</v>
          </cell>
          <cell r="BY163">
            <v>-0.15384615384615385</v>
          </cell>
          <cell r="BZ163">
            <v>-3.3333333333333326E-2</v>
          </cell>
          <cell r="CA163">
            <v>0.35000000000000009</v>
          </cell>
          <cell r="CB163">
            <v>0.11538461538461542</v>
          </cell>
          <cell r="CC163">
            <v>0.13636363636363646</v>
          </cell>
          <cell r="CD163">
            <v>-0.2068965517241379</v>
          </cell>
          <cell r="CE163">
            <v>-0.55555555555555558</v>
          </cell>
          <cell r="DQ163" t="str">
            <v>NA</v>
          </cell>
          <cell r="DR163" t="str">
            <v>NA</v>
          </cell>
          <cell r="DS163" t="str">
            <v>NA</v>
          </cell>
          <cell r="DT163" t="str">
            <v>NA</v>
          </cell>
          <cell r="DU163" t="str">
            <v>NA</v>
          </cell>
          <cell r="DV163" t="str">
            <v>NA</v>
          </cell>
          <cell r="DW163" t="str">
            <v>NA</v>
          </cell>
          <cell r="DX163" t="str">
            <v>NA</v>
          </cell>
          <cell r="DY163" t="str">
            <v>NA</v>
          </cell>
          <cell r="DZ163" t="str">
            <v>NA</v>
          </cell>
          <cell r="EA163" t="str">
            <v>NA</v>
          </cell>
          <cell r="EB163" t="str">
            <v>NA</v>
          </cell>
          <cell r="EC163" t="str">
            <v>NA</v>
          </cell>
          <cell r="ED163" t="str">
            <v>NA</v>
          </cell>
          <cell r="EE163" t="str">
            <v>NA</v>
          </cell>
          <cell r="EF163" t="str">
            <v>NA</v>
          </cell>
          <cell r="EG163">
            <v>-0.80487804878048785</v>
          </cell>
          <cell r="EH163">
            <v>-6.7307692307692291E-2</v>
          </cell>
          <cell r="EI163">
            <v>7.2164948453608213E-2</v>
          </cell>
          <cell r="EJ163">
            <v>-9.0576923076923084</v>
          </cell>
          <cell r="EK163">
            <v>-1</v>
          </cell>
          <cell r="EL163" t="str">
            <v>NA</v>
          </cell>
          <cell r="EM163" t="str">
            <v>NA</v>
          </cell>
          <cell r="EN163" t="str">
            <v>NA</v>
          </cell>
          <cell r="EO163" t="str">
            <v>NA</v>
          </cell>
          <cell r="EP163" t="str">
            <v>NA</v>
          </cell>
          <cell r="EQ163" t="str">
            <v>NA</v>
          </cell>
          <cell r="ER163" t="str">
            <v>NA</v>
          </cell>
        </row>
        <row r="164">
          <cell r="A164" t="str">
            <v>% growth seq</v>
          </cell>
          <cell r="V164" t="str">
            <v>NA</v>
          </cell>
          <cell r="Z164" t="str">
            <v>NA</v>
          </cell>
          <cell r="AA164" t="str">
            <v>NA</v>
          </cell>
          <cell r="AB164" t="str">
            <v>NA</v>
          </cell>
          <cell r="AC164" t="str">
            <v>NA</v>
          </cell>
          <cell r="AD164" t="str">
            <v>NA</v>
          </cell>
          <cell r="AE164" t="str">
            <v>NA</v>
          </cell>
          <cell r="AF164" t="str">
            <v>NA</v>
          </cell>
          <cell r="AG164" t="str">
            <v>NA</v>
          </cell>
          <cell r="AH164" t="str">
            <v>NA</v>
          </cell>
          <cell r="AI164" t="str">
            <v>NA</v>
          </cell>
          <cell r="AJ164" t="str">
            <v>NA</v>
          </cell>
          <cell r="AK164" t="str">
            <v>NA</v>
          </cell>
          <cell r="AL164" t="str">
            <v>NA</v>
          </cell>
          <cell r="AM164" t="str">
            <v>NA</v>
          </cell>
          <cell r="AN164" t="str">
            <v>NA</v>
          </cell>
          <cell r="AO164" t="str">
            <v>NA</v>
          </cell>
          <cell r="AP164" t="str">
            <v>NA</v>
          </cell>
          <cell r="AQ164" t="str">
            <v>NA</v>
          </cell>
          <cell r="AR164" t="str">
            <v>NA</v>
          </cell>
          <cell r="AS164" t="str">
            <v>NA</v>
          </cell>
          <cell r="AT164" t="str">
            <v>NA</v>
          </cell>
          <cell r="AU164" t="str">
            <v>NA</v>
          </cell>
          <cell r="AV164" t="str">
            <v>NA</v>
          </cell>
          <cell r="AW164" t="str">
            <v>NA</v>
          </cell>
          <cell r="AX164" t="str">
            <v>NA</v>
          </cell>
          <cell r="AY164" t="str">
            <v>NA</v>
          </cell>
          <cell r="AZ164" t="str">
            <v>NA</v>
          </cell>
          <cell r="BA164" t="str">
            <v>NA</v>
          </cell>
          <cell r="BB164" t="str">
            <v>NA</v>
          </cell>
          <cell r="BC164" t="str">
            <v>NA</v>
          </cell>
          <cell r="BD164" t="str">
            <v>NA</v>
          </cell>
          <cell r="BE164" t="str">
            <v>NA</v>
          </cell>
          <cell r="BF164" t="str">
            <v>NA</v>
          </cell>
          <cell r="BG164" t="str">
            <v>NA</v>
          </cell>
          <cell r="BH164" t="str">
            <v>NA</v>
          </cell>
          <cell r="BI164" t="str">
            <v>NA</v>
          </cell>
          <cell r="BJ164" t="str">
            <v>NA</v>
          </cell>
          <cell r="BK164" t="str">
            <v>NA</v>
          </cell>
          <cell r="BL164" t="str">
            <v>NA</v>
          </cell>
          <cell r="BM164" t="str">
            <v>NA</v>
          </cell>
          <cell r="BN164" t="str">
            <v>NA</v>
          </cell>
          <cell r="BO164" t="str">
            <v>NA</v>
          </cell>
          <cell r="BP164" t="str">
            <v>NA</v>
          </cell>
          <cell r="BQ164" t="str">
            <v>NA</v>
          </cell>
          <cell r="BR164" t="str">
            <v>NA</v>
          </cell>
          <cell r="BS164" t="str">
            <v>NA</v>
          </cell>
          <cell r="BT164">
            <v>-7.999999999999996E-2</v>
          </cell>
          <cell r="BU164">
            <v>0.13043478260869557</v>
          </cell>
          <cell r="BV164">
            <v>0.15384615384615374</v>
          </cell>
          <cell r="BW164">
            <v>-0.33333333333333337</v>
          </cell>
          <cell r="BX164">
            <v>0.30000000000000004</v>
          </cell>
          <cell r="BY164">
            <v>-0.15384615384615385</v>
          </cell>
          <cell r="BZ164">
            <v>0.31818181818181812</v>
          </cell>
          <cell r="CA164">
            <v>-6.8965517241379337E-2</v>
          </cell>
          <cell r="CB164">
            <v>7.4074074074074181E-2</v>
          </cell>
          <cell r="CC164">
            <v>-0.13793103448275867</v>
          </cell>
          <cell r="CD164">
            <v>-7.999999999999996E-2</v>
          </cell>
          <cell r="CE164">
            <v>-0.47826086956521741</v>
          </cell>
        </row>
        <row r="166">
          <cell r="A166" t="str">
            <v>ACV/G2K</v>
          </cell>
          <cell r="BR166">
            <v>723</v>
          </cell>
          <cell r="BS166">
            <v>753</v>
          </cell>
          <cell r="BT166">
            <v>803</v>
          </cell>
          <cell r="BU166">
            <v>832</v>
          </cell>
          <cell r="BV166">
            <v>882</v>
          </cell>
          <cell r="BW166">
            <v>916</v>
          </cell>
          <cell r="BX166">
            <v>940</v>
          </cell>
          <cell r="BY166">
            <v>1001</v>
          </cell>
          <cell r="BZ166">
            <v>1101</v>
          </cell>
          <cell r="CA166">
            <v>1122</v>
          </cell>
          <cell r="CB166">
            <v>1149</v>
          </cell>
          <cell r="CC166">
            <v>1187</v>
          </cell>
          <cell r="CD166">
            <v>1309</v>
          </cell>
          <cell r="CE166">
            <v>1365</v>
          </cell>
          <cell r="DP166">
            <v>0</v>
          </cell>
          <cell r="DQ166">
            <v>0</v>
          </cell>
          <cell r="DR166">
            <v>0</v>
          </cell>
          <cell r="DS166">
            <v>0</v>
          </cell>
          <cell r="DT166">
            <v>0</v>
          </cell>
          <cell r="DU166">
            <v>0</v>
          </cell>
          <cell r="DV166">
            <v>0</v>
          </cell>
          <cell r="DW166">
            <v>0</v>
          </cell>
          <cell r="DX166">
            <v>0</v>
          </cell>
          <cell r="DY166">
            <v>0</v>
          </cell>
          <cell r="DZ166">
            <v>0</v>
          </cell>
          <cell r="EA166">
            <v>0</v>
          </cell>
          <cell r="EB166">
            <v>0</v>
          </cell>
          <cell r="EC166">
            <v>0</v>
          </cell>
          <cell r="ED166">
            <v>0</v>
          </cell>
          <cell r="EE166">
            <v>0</v>
          </cell>
          <cell r="EF166">
            <v>723</v>
          </cell>
          <cell r="EG166">
            <v>882</v>
          </cell>
          <cell r="EH166">
            <v>1101</v>
          </cell>
          <cell r="EI166">
            <v>1309</v>
          </cell>
          <cell r="EJ166">
            <v>0</v>
          </cell>
          <cell r="EK166">
            <v>0</v>
          </cell>
          <cell r="EL166">
            <v>0</v>
          </cell>
          <cell r="EM166">
            <v>0</v>
          </cell>
          <cell r="EN166">
            <v>0</v>
          </cell>
          <cell r="EO166">
            <v>0</v>
          </cell>
          <cell r="EP166">
            <v>0</v>
          </cell>
          <cell r="EQ166">
            <v>0</v>
          </cell>
          <cell r="ER166">
            <v>0</v>
          </cell>
        </row>
        <row r="167">
          <cell r="A167" t="str">
            <v>% growth y-o-y</v>
          </cell>
          <cell r="V167" t="str">
            <v>NA</v>
          </cell>
          <cell r="Z167" t="str">
            <v>NA</v>
          </cell>
          <cell r="AA167" t="str">
            <v>NA</v>
          </cell>
          <cell r="AB167" t="str">
            <v>NA</v>
          </cell>
          <cell r="AC167" t="str">
            <v>NA</v>
          </cell>
          <cell r="AD167" t="str">
            <v>NA</v>
          </cell>
          <cell r="AE167" t="str">
            <v>NA</v>
          </cell>
          <cell r="AF167" t="str">
            <v>NA</v>
          </cell>
          <cell r="AG167" t="str">
            <v>NA</v>
          </cell>
          <cell r="AH167" t="str">
            <v>NA</v>
          </cell>
          <cell r="AI167" t="str">
            <v>NA</v>
          </cell>
          <cell r="AJ167" t="str">
            <v>NA</v>
          </cell>
          <cell r="AK167" t="str">
            <v>NA</v>
          </cell>
          <cell r="AL167" t="str">
            <v>NA</v>
          </cell>
          <cell r="AM167" t="str">
            <v>NA</v>
          </cell>
          <cell r="AN167" t="str">
            <v>NA</v>
          </cell>
          <cell r="AO167" t="str">
            <v>NA</v>
          </cell>
          <cell r="AP167" t="str">
            <v>NA</v>
          </cell>
          <cell r="AQ167" t="str">
            <v>NA</v>
          </cell>
          <cell r="AR167" t="str">
            <v>NA</v>
          </cell>
          <cell r="AS167" t="str">
            <v>NA</v>
          </cell>
          <cell r="AT167" t="str">
            <v>NA</v>
          </cell>
          <cell r="AU167" t="str">
            <v>NA</v>
          </cell>
          <cell r="AV167" t="str">
            <v>NA</v>
          </cell>
          <cell r="AW167" t="str">
            <v>NA</v>
          </cell>
          <cell r="AX167" t="str">
            <v>NA</v>
          </cell>
          <cell r="AY167" t="str">
            <v>NA</v>
          </cell>
          <cell r="AZ167" t="str">
            <v>NA</v>
          </cell>
          <cell r="BA167" t="str">
            <v>NA</v>
          </cell>
          <cell r="BB167" t="str">
            <v>NA</v>
          </cell>
          <cell r="BC167" t="str">
            <v>NA</v>
          </cell>
          <cell r="BD167" t="str">
            <v>NA</v>
          </cell>
          <cell r="BE167" t="str">
            <v>NA</v>
          </cell>
          <cell r="BF167" t="str">
            <v>NA</v>
          </cell>
          <cell r="BG167" t="str">
            <v>NA</v>
          </cell>
          <cell r="BH167" t="str">
            <v>NA</v>
          </cell>
          <cell r="BI167" t="str">
            <v>NA</v>
          </cell>
          <cell r="BJ167" t="str">
            <v>NA</v>
          </cell>
          <cell r="BK167" t="str">
            <v>NA</v>
          </cell>
          <cell r="BL167" t="str">
            <v>NA</v>
          </cell>
          <cell r="BM167" t="str">
            <v>NA</v>
          </cell>
          <cell r="BN167" t="str">
            <v>NA</v>
          </cell>
          <cell r="BO167" t="str">
            <v>NA</v>
          </cell>
          <cell r="BP167" t="str">
            <v>NA</v>
          </cell>
          <cell r="BQ167" t="str">
            <v>NA</v>
          </cell>
          <cell r="BR167" t="str">
            <v>NA</v>
          </cell>
          <cell r="BS167" t="str">
            <v>NA</v>
          </cell>
          <cell r="BT167" t="str">
            <v>NA</v>
          </cell>
          <cell r="BU167" t="str">
            <v>NA</v>
          </cell>
          <cell r="BV167">
            <v>0.21991701244813289</v>
          </cell>
          <cell r="BW167">
            <v>0.2164674634794157</v>
          </cell>
          <cell r="BX167">
            <v>0.17061021170610213</v>
          </cell>
          <cell r="BY167">
            <v>0.203125</v>
          </cell>
          <cell r="BZ167">
            <v>0.2482993197278911</v>
          </cell>
          <cell r="CA167">
            <v>0.22489082969432306</v>
          </cell>
          <cell r="CB167">
            <v>0.2223404255319148</v>
          </cell>
          <cell r="CC167">
            <v>0.18581418581418574</v>
          </cell>
          <cell r="CD167">
            <v>0.18891916439600354</v>
          </cell>
          <cell r="CE167">
            <v>0.21657754010695185</v>
          </cell>
          <cell r="DQ167" t="str">
            <v>NA</v>
          </cell>
          <cell r="DR167" t="str">
            <v>NA</v>
          </cell>
          <cell r="DS167" t="str">
            <v>NA</v>
          </cell>
          <cell r="DT167" t="str">
            <v>NA</v>
          </cell>
          <cell r="DU167" t="str">
            <v>NA</v>
          </cell>
          <cell r="DV167" t="str">
            <v>NA</v>
          </cell>
          <cell r="DW167" t="str">
            <v>NA</v>
          </cell>
          <cell r="DX167" t="str">
            <v>NA</v>
          </cell>
          <cell r="DY167" t="str">
            <v>NA</v>
          </cell>
          <cell r="DZ167" t="str">
            <v>NA</v>
          </cell>
          <cell r="EA167" t="str">
            <v>NA</v>
          </cell>
          <cell r="EB167" t="str">
            <v>NA</v>
          </cell>
          <cell r="EC167" t="str">
            <v>NA</v>
          </cell>
          <cell r="ED167" t="str">
            <v>NA</v>
          </cell>
          <cell r="EE167" t="str">
            <v>NA</v>
          </cell>
          <cell r="EF167" t="str">
            <v>NA</v>
          </cell>
          <cell r="EG167">
            <v>0.21991701244813289</v>
          </cell>
          <cell r="EH167">
            <v>0.2482993197278911</v>
          </cell>
          <cell r="EI167">
            <v>0.18891916439600354</v>
          </cell>
          <cell r="EJ167">
            <v>-1</v>
          </cell>
          <cell r="EK167" t="str">
            <v>NA</v>
          </cell>
          <cell r="EL167" t="str">
            <v>NA</v>
          </cell>
          <cell r="EM167" t="str">
            <v>NA</v>
          </cell>
          <cell r="EN167" t="str">
            <v>NA</v>
          </cell>
          <cell r="EO167" t="str">
            <v>NA</v>
          </cell>
          <cell r="EP167" t="str">
            <v>NA</v>
          </cell>
          <cell r="EQ167" t="str">
            <v>NA</v>
          </cell>
          <cell r="ER167" t="str">
            <v>NA</v>
          </cell>
        </row>
        <row r="168">
          <cell r="A168" t="str">
            <v>% growth seq</v>
          </cell>
          <cell r="V168" t="str">
            <v>NA</v>
          </cell>
          <cell r="Z168" t="str">
            <v>NA</v>
          </cell>
          <cell r="AA168" t="str">
            <v>NA</v>
          </cell>
          <cell r="AB168" t="str">
            <v>NA</v>
          </cell>
          <cell r="AC168" t="str">
            <v>NA</v>
          </cell>
          <cell r="AD168" t="str">
            <v>NA</v>
          </cell>
          <cell r="AE168" t="str">
            <v>NA</v>
          </cell>
          <cell r="AF168" t="str">
            <v>NA</v>
          </cell>
          <cell r="AG168" t="str">
            <v>NA</v>
          </cell>
          <cell r="AH168" t="str">
            <v>NA</v>
          </cell>
          <cell r="AI168" t="str">
            <v>NA</v>
          </cell>
          <cell r="AJ168" t="str">
            <v>NA</v>
          </cell>
          <cell r="AK168" t="str">
            <v>NA</v>
          </cell>
          <cell r="AL168" t="str">
            <v>NA</v>
          </cell>
          <cell r="AM168" t="str">
            <v>NA</v>
          </cell>
          <cell r="AN168" t="str">
            <v>NA</v>
          </cell>
          <cell r="AO168" t="str">
            <v>NA</v>
          </cell>
          <cell r="AP168" t="str">
            <v>NA</v>
          </cell>
          <cell r="AQ168" t="str">
            <v>NA</v>
          </cell>
          <cell r="AR168" t="str">
            <v>NA</v>
          </cell>
          <cell r="AS168" t="str">
            <v>NA</v>
          </cell>
          <cell r="AT168" t="str">
            <v>NA</v>
          </cell>
          <cell r="AU168" t="str">
            <v>NA</v>
          </cell>
          <cell r="AV168" t="str">
            <v>NA</v>
          </cell>
          <cell r="AW168" t="str">
            <v>NA</v>
          </cell>
          <cell r="AX168" t="str">
            <v>NA</v>
          </cell>
          <cell r="AY168" t="str">
            <v>NA</v>
          </cell>
          <cell r="AZ168" t="str">
            <v>NA</v>
          </cell>
          <cell r="BA168" t="str">
            <v>NA</v>
          </cell>
          <cell r="BB168" t="str">
            <v>NA</v>
          </cell>
          <cell r="BC168" t="str">
            <v>NA</v>
          </cell>
          <cell r="BD168" t="str">
            <v>NA</v>
          </cell>
          <cell r="BE168" t="str">
            <v>NA</v>
          </cell>
          <cell r="BF168" t="str">
            <v>NA</v>
          </cell>
          <cell r="BG168" t="str">
            <v>NA</v>
          </cell>
          <cell r="BH168" t="str">
            <v>NA</v>
          </cell>
          <cell r="BI168" t="str">
            <v>NA</v>
          </cell>
          <cell r="BJ168" t="str">
            <v>NA</v>
          </cell>
          <cell r="BK168" t="str">
            <v>NA</v>
          </cell>
          <cell r="BL168" t="str">
            <v>NA</v>
          </cell>
          <cell r="BM168" t="str">
            <v>NA</v>
          </cell>
          <cell r="BN168" t="str">
            <v>NA</v>
          </cell>
          <cell r="BO168" t="str">
            <v>NA</v>
          </cell>
          <cell r="BP168" t="str">
            <v>NA</v>
          </cell>
          <cell r="BQ168" t="str">
            <v>NA</v>
          </cell>
          <cell r="BR168" t="str">
            <v>NA</v>
          </cell>
          <cell r="BS168">
            <v>4.1493775933610033E-2</v>
          </cell>
          <cell r="BT168">
            <v>6.6401062416998613E-2</v>
          </cell>
          <cell r="BU168">
            <v>3.6114570361145626E-2</v>
          </cell>
          <cell r="BV168">
            <v>6.0096153846153744E-2</v>
          </cell>
          <cell r="BW168">
            <v>3.8548752834467015E-2</v>
          </cell>
          <cell r="BX168">
            <v>2.6200873362445476E-2</v>
          </cell>
          <cell r="BY168">
            <v>6.4893617021276606E-2</v>
          </cell>
          <cell r="BZ168">
            <v>9.9900099900099848E-2</v>
          </cell>
          <cell r="CA168">
            <v>1.9073569482288777E-2</v>
          </cell>
          <cell r="CB168">
            <v>2.4064171122994749E-2</v>
          </cell>
          <cell r="CC168">
            <v>3.3072236727589299E-2</v>
          </cell>
          <cell r="CD168">
            <v>0.10278011794439768</v>
          </cell>
          <cell r="CE168">
            <v>4.2780748663101553E-2</v>
          </cell>
        </row>
        <row r="169">
          <cell r="EB169" t="str">
            <v>Subscription revenue/sales &amp; marketing headcount</v>
          </cell>
          <cell r="EC169">
            <v>458206.70661157026</v>
          </cell>
          <cell r="ED169">
            <v>584359.99999999988</v>
          </cell>
          <cell r="EE169">
            <v>568786.99186991877</v>
          </cell>
        </row>
        <row r="171">
          <cell r="C171" t="str">
            <v>Fiscal 1999 by Quarter</v>
          </cell>
          <cell r="G171" t="str">
            <v>Fiscal 2000 by Quarter</v>
          </cell>
          <cell r="K171" t="str">
            <v>Fiscal 2001 by Quarter</v>
          </cell>
          <cell r="O171" t="str">
            <v>Fiscal 2002 by Quarter</v>
          </cell>
          <cell r="S171" t="str">
            <v>Fiscal 2003 by Quarter</v>
          </cell>
          <cell r="W171" t="str">
            <v>Fiscal 2004 by Quarter</v>
          </cell>
          <cell r="AA171" t="str">
            <v>Fiscal 2005 by Quarter</v>
          </cell>
          <cell r="AE171" t="str">
            <v>Fiscal 2006 by Quarter</v>
          </cell>
          <cell r="AI171" t="str">
            <v>Fiscal 2006 by Quarter</v>
          </cell>
          <cell r="AM171" t="str">
            <v>Fiscal 2007 by Quarter</v>
          </cell>
          <cell r="AQ171" t="str">
            <v>Fiscal 2008 by Quarter</v>
          </cell>
          <cell r="AU171" t="str">
            <v>Fiscal 2009 by Quarter</v>
          </cell>
          <cell r="AY171" t="str">
            <v>Fiscal 2010 by Quarter</v>
          </cell>
          <cell r="BC171" t="str">
            <v>Fiscal 2011 by Quarter</v>
          </cell>
          <cell r="BG171" t="str">
            <v>Fiscal 2012 by Quarter</v>
          </cell>
          <cell r="BK171" t="str">
            <v>Fiscal 2013 by Quarter</v>
          </cell>
          <cell r="BO171" t="str">
            <v>Fiscal 2014 by Quarter</v>
          </cell>
          <cell r="BS171" t="str">
            <v>Fiscal 2015 by Quarter</v>
          </cell>
          <cell r="BW171" t="str">
            <v>Fiscal 2016 by Quarter</v>
          </cell>
          <cell r="CA171" t="str">
            <v>Fiscal 2017 by Quarter</v>
          </cell>
          <cell r="CE171" t="str">
            <v>Fiscal 2018 by Quarter</v>
          </cell>
          <cell r="CI171" t="str">
            <v>Fiscal 2019 by Quarter</v>
          </cell>
          <cell r="CM171" t="str">
            <v>Fiscal 2020 by Quarter</v>
          </cell>
          <cell r="CQ171" t="str">
            <v>Fiscal 2021 by Quarter</v>
          </cell>
          <cell r="CU171" t="str">
            <v>Fiscal 2022 by Quarter</v>
          </cell>
          <cell r="CY171" t="str">
            <v>Fiscal 2023 by Quarter</v>
          </cell>
          <cell r="DC171" t="str">
            <v>Fiscal 2024 by Quarter</v>
          </cell>
          <cell r="DG171" t="str">
            <v>Fiscal 2025 by Quarter</v>
          </cell>
          <cell r="DK171" t="str">
            <v>Fiscal 2026 by Quarter</v>
          </cell>
          <cell r="DP171" t="str">
            <v xml:space="preserve"> Fiscal Year Ends December</v>
          </cell>
        </row>
        <row r="172">
          <cell r="C172">
            <v>35886</v>
          </cell>
          <cell r="D172">
            <v>35977</v>
          </cell>
          <cell r="E172">
            <v>36069</v>
          </cell>
          <cell r="F172">
            <v>36161</v>
          </cell>
          <cell r="G172">
            <v>36251</v>
          </cell>
          <cell r="H172">
            <v>36342</v>
          </cell>
          <cell r="I172">
            <v>36434</v>
          </cell>
          <cell r="J172">
            <v>36526</v>
          </cell>
          <cell r="K172">
            <v>36617</v>
          </cell>
          <cell r="L172">
            <v>36708</v>
          </cell>
          <cell r="M172">
            <v>36800</v>
          </cell>
          <cell r="N172">
            <v>36892</v>
          </cell>
          <cell r="O172">
            <v>36982</v>
          </cell>
          <cell r="P172">
            <v>37073</v>
          </cell>
          <cell r="Q172">
            <v>37165</v>
          </cell>
          <cell r="R172">
            <v>37257</v>
          </cell>
          <cell r="S172">
            <v>37348</v>
          </cell>
          <cell r="T172">
            <v>37439</v>
          </cell>
          <cell r="U172">
            <v>37531</v>
          </cell>
          <cell r="V172">
            <v>37623</v>
          </cell>
          <cell r="W172">
            <v>37715</v>
          </cell>
          <cell r="X172">
            <v>37806</v>
          </cell>
          <cell r="Y172">
            <v>37898</v>
          </cell>
          <cell r="Z172">
            <v>37990</v>
          </cell>
          <cell r="AA172">
            <v>38081</v>
          </cell>
          <cell r="AB172">
            <v>38172</v>
          </cell>
          <cell r="AC172">
            <v>38264</v>
          </cell>
          <cell r="AD172">
            <v>38356</v>
          </cell>
          <cell r="AE172">
            <v>38447</v>
          </cell>
          <cell r="AF172">
            <v>38538</v>
          </cell>
          <cell r="AG172">
            <v>38630</v>
          </cell>
          <cell r="AH172">
            <v>38722</v>
          </cell>
          <cell r="AI172">
            <v>38807</v>
          </cell>
          <cell r="AJ172">
            <v>38898</v>
          </cell>
          <cell r="AK172">
            <v>38990</v>
          </cell>
          <cell r="AL172">
            <v>39082</v>
          </cell>
          <cell r="AM172">
            <v>39172</v>
          </cell>
          <cell r="AN172">
            <v>39263</v>
          </cell>
          <cell r="AO172">
            <v>39355</v>
          </cell>
          <cell r="AP172">
            <v>39447</v>
          </cell>
          <cell r="AQ172">
            <v>39538</v>
          </cell>
          <cell r="AR172">
            <v>39629</v>
          </cell>
          <cell r="AS172">
            <v>39721</v>
          </cell>
          <cell r="AT172">
            <v>39813</v>
          </cell>
          <cell r="AU172">
            <v>39903</v>
          </cell>
          <cell r="AV172">
            <v>39994</v>
          </cell>
          <cell r="AW172">
            <v>40086</v>
          </cell>
          <cell r="AX172">
            <v>40178</v>
          </cell>
          <cell r="AY172">
            <v>40268</v>
          </cell>
          <cell r="AZ172">
            <v>40359</v>
          </cell>
          <cell r="BA172">
            <v>40451</v>
          </cell>
          <cell r="BB172">
            <v>40543</v>
          </cell>
          <cell r="BC172">
            <v>40633</v>
          </cell>
          <cell r="BD172">
            <v>40724</v>
          </cell>
          <cell r="BE172">
            <v>40816</v>
          </cell>
          <cell r="BF172">
            <v>40908</v>
          </cell>
          <cell r="BG172">
            <v>40999</v>
          </cell>
          <cell r="BH172">
            <v>41072</v>
          </cell>
          <cell r="BI172">
            <v>41164</v>
          </cell>
          <cell r="BJ172">
            <v>41255</v>
          </cell>
          <cell r="BK172">
            <v>41346</v>
          </cell>
          <cell r="BL172">
            <v>41438</v>
          </cell>
          <cell r="BM172">
            <v>41529</v>
          </cell>
          <cell r="BN172">
            <v>41621</v>
          </cell>
          <cell r="BO172">
            <v>41712</v>
          </cell>
          <cell r="BP172">
            <v>41804</v>
          </cell>
          <cell r="BQ172">
            <v>41894</v>
          </cell>
          <cell r="BR172">
            <v>41987</v>
          </cell>
          <cell r="BS172">
            <v>42078</v>
          </cell>
          <cell r="BT172">
            <v>42170</v>
          </cell>
          <cell r="BU172">
            <v>42262</v>
          </cell>
          <cell r="BV172">
            <v>42353</v>
          </cell>
          <cell r="BW172">
            <v>42445</v>
          </cell>
          <cell r="BX172">
            <v>42537</v>
          </cell>
          <cell r="BY172">
            <v>42629</v>
          </cell>
          <cell r="BZ172">
            <v>42720</v>
          </cell>
          <cell r="CA172">
            <v>42811</v>
          </cell>
          <cell r="CB172">
            <v>42903</v>
          </cell>
          <cell r="CC172">
            <v>42995</v>
          </cell>
          <cell r="CD172">
            <v>43086</v>
          </cell>
          <cell r="CE172">
            <v>43177</v>
          </cell>
          <cell r="CF172">
            <v>43269</v>
          </cell>
          <cell r="CG172">
            <v>43361</v>
          </cell>
          <cell r="CH172">
            <v>43452</v>
          </cell>
          <cell r="CI172">
            <v>43543</v>
          </cell>
          <cell r="CJ172">
            <v>43635</v>
          </cell>
          <cell r="CK172">
            <v>43727</v>
          </cell>
          <cell r="CL172">
            <v>43818</v>
          </cell>
          <cell r="CM172">
            <v>43910</v>
          </cell>
          <cell r="CN172">
            <v>44002</v>
          </cell>
          <cell r="CO172">
            <v>44094</v>
          </cell>
          <cell r="CP172">
            <v>44185</v>
          </cell>
          <cell r="CQ172" t="str">
            <v>Mar-21E</v>
          </cell>
          <cell r="CR172" t="str">
            <v>Jun-21E</v>
          </cell>
          <cell r="CS172" t="str">
            <v>Sep-21E</v>
          </cell>
          <cell r="CT172" t="str">
            <v>Dec-21E</v>
          </cell>
          <cell r="CU172" t="str">
            <v>Mar-22E</v>
          </cell>
          <cell r="CV172" t="str">
            <v>Jun-22E</v>
          </cell>
          <cell r="CW172" t="str">
            <v>Sep-22E</v>
          </cell>
          <cell r="CX172" t="str">
            <v>Dec-22E</v>
          </cell>
          <cell r="CY172" t="str">
            <v>Mar-23E</v>
          </cell>
          <cell r="CZ172" t="str">
            <v>Jun-23E</v>
          </cell>
          <cell r="DA172" t="str">
            <v>Sep-23E</v>
          </cell>
          <cell r="DB172" t="str">
            <v>Dec-23E</v>
          </cell>
          <cell r="DC172" t="str">
            <v>Mar-24E</v>
          </cell>
          <cell r="DD172" t="str">
            <v>Jun-24E</v>
          </cell>
          <cell r="DE172" t="str">
            <v>Sep-24E</v>
          </cell>
          <cell r="DF172" t="str">
            <v>Dec-24E</v>
          </cell>
          <cell r="DG172" t="str">
            <v>Mar-25E</v>
          </cell>
          <cell r="DH172" t="str">
            <v>Jun-25E</v>
          </cell>
          <cell r="DI172" t="str">
            <v>Sep-25E</v>
          </cell>
          <cell r="DJ172" t="str">
            <v>Dec-25E</v>
          </cell>
          <cell r="DK172" t="str">
            <v>Mar-26E</v>
          </cell>
          <cell r="DL172" t="str">
            <v>Jun-26E</v>
          </cell>
          <cell r="DM172" t="str">
            <v>Sep-26E</v>
          </cell>
          <cell r="DN172" t="str">
            <v>Dec-26E</v>
          </cell>
          <cell r="DP172">
            <v>1998</v>
          </cell>
          <cell r="DQ172">
            <v>1999</v>
          </cell>
          <cell r="DR172">
            <v>2000</v>
          </cell>
          <cell r="DS172">
            <v>2001</v>
          </cell>
          <cell r="DT172">
            <v>2002</v>
          </cell>
          <cell r="DU172">
            <v>2003</v>
          </cell>
          <cell r="DV172">
            <v>2004</v>
          </cell>
          <cell r="DW172">
            <v>2005</v>
          </cell>
          <cell r="DX172">
            <v>2006</v>
          </cell>
          <cell r="DY172">
            <v>2007</v>
          </cell>
          <cell r="DZ172">
            <v>2008</v>
          </cell>
          <cell r="EA172">
            <v>2009</v>
          </cell>
          <cell r="EB172">
            <v>2010</v>
          </cell>
          <cell r="EC172">
            <v>2011</v>
          </cell>
          <cell r="ED172">
            <v>2012</v>
          </cell>
          <cell r="EE172">
            <v>2013</v>
          </cell>
          <cell r="EF172">
            <v>2014</v>
          </cell>
          <cell r="EG172">
            <v>2015</v>
          </cell>
          <cell r="EH172">
            <v>2016</v>
          </cell>
          <cell r="EI172">
            <v>2017</v>
          </cell>
          <cell r="EJ172">
            <v>2018</v>
          </cell>
          <cell r="EK172">
            <v>2019</v>
          </cell>
          <cell r="EL172">
            <v>2020</v>
          </cell>
          <cell r="EM172" t="str">
            <v>2021E</v>
          </cell>
          <cell r="EN172" t="str">
            <v>2022E</v>
          </cell>
          <cell r="EO172" t="str">
            <v>2023E</v>
          </cell>
          <cell r="EP172" t="str">
            <v>2024E</v>
          </cell>
          <cell r="EQ172" t="str">
            <v>2025E</v>
          </cell>
          <cell r="ER172" t="str">
            <v>2026E</v>
          </cell>
        </row>
        <row r="173">
          <cell r="A173" t="str">
            <v>RPO</v>
          </cell>
          <cell r="AV173">
            <v>281</v>
          </cell>
          <cell r="BZ173">
            <v>0</v>
          </cell>
          <cell r="CA173">
            <v>0</v>
          </cell>
          <cell r="CB173">
            <v>0</v>
          </cell>
          <cell r="CC173">
            <v>0</v>
          </cell>
          <cell r="CD173">
            <v>0</v>
          </cell>
          <cell r="CE173">
            <v>0</v>
          </cell>
          <cell r="CF173">
            <v>4</v>
          </cell>
          <cell r="CG173">
            <v>4.2</v>
          </cell>
          <cell r="CH173">
            <v>5</v>
          </cell>
          <cell r="CI173">
            <v>5</v>
          </cell>
          <cell r="CJ173">
            <v>5.4</v>
          </cell>
          <cell r="CK173">
            <v>5.5</v>
          </cell>
          <cell r="CL173">
            <v>6.6</v>
          </cell>
          <cell r="CM173">
            <v>6.6</v>
          </cell>
          <cell r="CN173">
            <v>7</v>
          </cell>
          <cell r="CO173">
            <v>7.3</v>
          </cell>
          <cell r="CP173">
            <v>8.9</v>
          </cell>
          <cell r="DP173">
            <v>0</v>
          </cell>
          <cell r="DQ173">
            <v>0</v>
          </cell>
          <cell r="DR173">
            <v>0</v>
          </cell>
          <cell r="DS173">
            <v>0</v>
          </cell>
          <cell r="DT173">
            <v>0</v>
          </cell>
          <cell r="DU173">
            <v>0</v>
          </cell>
          <cell r="DV173">
            <v>0</v>
          </cell>
          <cell r="DW173">
            <v>0</v>
          </cell>
          <cell r="DX173">
            <v>0</v>
          </cell>
          <cell r="DY173">
            <v>0</v>
          </cell>
          <cell r="DZ173">
            <v>0</v>
          </cell>
          <cell r="EA173">
            <v>0</v>
          </cell>
          <cell r="EB173">
            <v>0</v>
          </cell>
          <cell r="EC173">
            <v>0</v>
          </cell>
          <cell r="ED173">
            <v>0</v>
          </cell>
          <cell r="EE173">
            <v>0</v>
          </cell>
          <cell r="EF173">
            <v>0</v>
          </cell>
          <cell r="EG173">
            <v>0</v>
          </cell>
          <cell r="EH173">
            <v>0</v>
          </cell>
          <cell r="EI173">
            <v>0</v>
          </cell>
          <cell r="EJ173">
            <v>5</v>
          </cell>
          <cell r="EK173">
            <v>6.6</v>
          </cell>
          <cell r="EL173">
            <v>8.9</v>
          </cell>
          <cell r="EM173">
            <v>0</v>
          </cell>
          <cell r="EN173">
            <v>0</v>
          </cell>
          <cell r="EO173">
            <v>0</v>
          </cell>
          <cell r="EP173">
            <v>0</v>
          </cell>
          <cell r="EQ173">
            <v>0</v>
          </cell>
          <cell r="ER173">
            <v>0</v>
          </cell>
        </row>
        <row r="174">
          <cell r="A174" t="str">
            <v>% growth y-o-y</v>
          </cell>
          <cell r="V174" t="str">
            <v>NA</v>
          </cell>
          <cell r="Z174" t="str">
            <v>NA</v>
          </cell>
          <cell r="AA174" t="str">
            <v>NA</v>
          </cell>
          <cell r="AB174" t="str">
            <v>NA</v>
          </cell>
          <cell r="AC174" t="str">
            <v>NA</v>
          </cell>
          <cell r="AD174" t="str">
            <v>NA</v>
          </cell>
          <cell r="AE174" t="str">
            <v>NA</v>
          </cell>
          <cell r="AF174" t="str">
            <v>NA</v>
          </cell>
          <cell r="AG174" t="str">
            <v>NA</v>
          </cell>
          <cell r="AH174" t="str">
            <v>NA</v>
          </cell>
          <cell r="AI174" t="str">
            <v>NA</v>
          </cell>
          <cell r="AJ174" t="str">
            <v>NA</v>
          </cell>
          <cell r="AK174" t="str">
            <v>NA</v>
          </cell>
          <cell r="AL174" t="str">
            <v>NA</v>
          </cell>
          <cell r="AM174" t="str">
            <v>NA</v>
          </cell>
          <cell r="AN174" t="str">
            <v>NA</v>
          </cell>
          <cell r="AO174" t="str">
            <v>NA</v>
          </cell>
          <cell r="AP174" t="str">
            <v>NA</v>
          </cell>
          <cell r="AQ174" t="str">
            <v>NA</v>
          </cell>
          <cell r="AR174" t="str">
            <v>NA</v>
          </cell>
          <cell r="AS174" t="str">
            <v>NA</v>
          </cell>
          <cell r="AT174" t="str">
            <v>NA</v>
          </cell>
          <cell r="AU174" t="str">
            <v>NA</v>
          </cell>
          <cell r="AV174" t="str">
            <v>NA</v>
          </cell>
          <cell r="AW174" t="str">
            <v>NA</v>
          </cell>
          <cell r="AX174" t="str">
            <v>NA</v>
          </cell>
          <cell r="AY174" t="str">
            <v>NA</v>
          </cell>
          <cell r="AZ174">
            <v>-1</v>
          </cell>
          <cell r="BA174" t="str">
            <v>NA</v>
          </cell>
          <cell r="BB174" t="str">
            <v>NA</v>
          </cell>
          <cell r="BC174" t="str">
            <v>NA</v>
          </cell>
          <cell r="BD174" t="str">
            <v>NA</v>
          </cell>
          <cell r="BE174" t="str">
            <v>NA</v>
          </cell>
          <cell r="BF174" t="str">
            <v>NA</v>
          </cell>
          <cell r="BG174" t="str">
            <v>NA</v>
          </cell>
          <cell r="BH174" t="str">
            <v>NA</v>
          </cell>
          <cell r="BI174" t="str">
            <v>NA</v>
          </cell>
          <cell r="BJ174" t="str">
            <v>NA</v>
          </cell>
          <cell r="BK174" t="str">
            <v>NA</v>
          </cell>
          <cell r="BL174" t="str">
            <v>NA</v>
          </cell>
          <cell r="BM174" t="str">
            <v>NA</v>
          </cell>
          <cell r="BN174" t="str">
            <v>NA</v>
          </cell>
          <cell r="BO174" t="str">
            <v>NA</v>
          </cell>
          <cell r="BP174" t="str">
            <v>NA</v>
          </cell>
          <cell r="BQ174" t="str">
            <v>NA</v>
          </cell>
          <cell r="BR174" t="str">
            <v>NA</v>
          </cell>
          <cell r="BS174" t="str">
            <v>NA</v>
          </cell>
          <cell r="BT174" t="str">
            <v>NA</v>
          </cell>
          <cell r="BU174" t="str">
            <v>NA</v>
          </cell>
          <cell r="BV174" t="str">
            <v>NA</v>
          </cell>
          <cell r="BW174" t="str">
            <v>NA</v>
          </cell>
          <cell r="BX174" t="str">
            <v>NA</v>
          </cell>
          <cell r="BY174" t="str">
            <v>NA</v>
          </cell>
          <cell r="BZ174" t="str">
            <v>NA</v>
          </cell>
          <cell r="CA174" t="str">
            <v>NA</v>
          </cell>
          <cell r="CB174" t="str">
            <v>NA</v>
          </cell>
          <cell r="CC174" t="str">
            <v>NA</v>
          </cell>
          <cell r="CD174" t="str">
            <v>NA</v>
          </cell>
          <cell r="CE174" t="str">
            <v>NA</v>
          </cell>
          <cell r="CF174" t="str">
            <v>NA</v>
          </cell>
          <cell r="CG174" t="str">
            <v>NA</v>
          </cell>
          <cell r="CH174" t="str">
            <v>NA</v>
          </cell>
          <cell r="CI174" t="str">
            <v>NA</v>
          </cell>
          <cell r="CJ174">
            <v>0.35000000000000009</v>
          </cell>
          <cell r="CK174">
            <v>0.30952380952380953</v>
          </cell>
          <cell r="CL174">
            <v>0.31999999999999984</v>
          </cell>
          <cell r="CM174">
            <v>0.31999999999999984</v>
          </cell>
          <cell r="CN174">
            <v>0.29629629629629628</v>
          </cell>
          <cell r="CO174">
            <v>0.32727272727272716</v>
          </cell>
          <cell r="CP174">
            <v>0.34848484848484862</v>
          </cell>
          <cell r="DQ174" t="str">
            <v>NA</v>
          </cell>
          <cell r="DR174" t="str">
            <v>NA</v>
          </cell>
          <cell r="DS174" t="str">
            <v>NA</v>
          </cell>
          <cell r="DT174" t="str">
            <v>NA</v>
          </cell>
          <cell r="DU174" t="str">
            <v>NA</v>
          </cell>
          <cell r="DV174" t="str">
            <v>NA</v>
          </cell>
          <cell r="DW174" t="str">
            <v>NA</v>
          </cell>
          <cell r="DX174" t="str">
            <v>NA</v>
          </cell>
          <cell r="DY174" t="str">
            <v>NA</v>
          </cell>
          <cell r="DZ174" t="str">
            <v>NA</v>
          </cell>
          <cell r="EA174" t="str">
            <v>NA</v>
          </cell>
          <cell r="EB174" t="str">
            <v>NA</v>
          </cell>
          <cell r="EC174" t="str">
            <v>NA</v>
          </cell>
          <cell r="ED174" t="str">
            <v>NA</v>
          </cell>
          <cell r="EE174" t="str">
            <v>NA</v>
          </cell>
          <cell r="EF174" t="str">
            <v>NA</v>
          </cell>
          <cell r="EG174" t="str">
            <v>NA</v>
          </cell>
          <cell r="EH174" t="str">
            <v>NA</v>
          </cell>
          <cell r="EI174" t="str">
            <v>NA</v>
          </cell>
          <cell r="EJ174" t="str">
            <v>NA</v>
          </cell>
          <cell r="EK174">
            <v>0.31999999999999984</v>
          </cell>
          <cell r="EL174">
            <v>0.34848484848484862</v>
          </cell>
          <cell r="EM174">
            <v>-1</v>
          </cell>
          <cell r="EN174" t="str">
            <v>NA</v>
          </cell>
          <cell r="EO174" t="str">
            <v>NA</v>
          </cell>
          <cell r="EP174" t="str">
            <v>NA</v>
          </cell>
          <cell r="EQ174" t="str">
            <v>NA</v>
          </cell>
          <cell r="ER174" t="str">
            <v>NA</v>
          </cell>
        </row>
        <row r="175">
          <cell r="A175" t="str">
            <v>% growth seq</v>
          </cell>
          <cell r="V175" t="str">
            <v>NA</v>
          </cell>
          <cell r="Z175" t="str">
            <v>NA</v>
          </cell>
          <cell r="AA175" t="str">
            <v>NA</v>
          </cell>
          <cell r="AB175" t="str">
            <v>NA</v>
          </cell>
          <cell r="AC175" t="str">
            <v>NA</v>
          </cell>
          <cell r="AD175" t="str">
            <v>NA</v>
          </cell>
          <cell r="AE175" t="str">
            <v>NA</v>
          </cell>
          <cell r="AF175" t="str">
            <v>NA</v>
          </cell>
          <cell r="AG175" t="str">
            <v>NA</v>
          </cell>
          <cell r="AH175" t="str">
            <v>NA</v>
          </cell>
          <cell r="AI175" t="str">
            <v>NA</v>
          </cell>
          <cell r="AJ175" t="str">
            <v>NA</v>
          </cell>
          <cell r="AK175" t="str">
            <v>NA</v>
          </cell>
          <cell r="AL175" t="str">
            <v>NA</v>
          </cell>
          <cell r="AM175" t="str">
            <v>NA</v>
          </cell>
          <cell r="AN175" t="str">
            <v>NA</v>
          </cell>
          <cell r="AO175" t="str">
            <v>NA</v>
          </cell>
          <cell r="AP175" t="str">
            <v>NA</v>
          </cell>
          <cell r="AQ175" t="str">
            <v>NA</v>
          </cell>
          <cell r="AR175" t="str">
            <v>NA</v>
          </cell>
          <cell r="AS175" t="str">
            <v>NA</v>
          </cell>
          <cell r="AT175" t="str">
            <v>NA</v>
          </cell>
          <cell r="AU175" t="str">
            <v>NA</v>
          </cell>
          <cell r="AV175" t="str">
            <v>NA</v>
          </cell>
          <cell r="AW175">
            <v>-1</v>
          </cell>
          <cell r="AX175" t="str">
            <v>NA</v>
          </cell>
          <cell r="AY175" t="str">
            <v>NA</v>
          </cell>
          <cell r="AZ175" t="str">
            <v>NA</v>
          </cell>
          <cell r="BA175" t="str">
            <v>NA</v>
          </cell>
          <cell r="BB175" t="str">
            <v>NA</v>
          </cell>
          <cell r="BC175" t="str">
            <v>NA</v>
          </cell>
          <cell r="BD175" t="str">
            <v>NA</v>
          </cell>
          <cell r="BE175" t="str">
            <v>NA</v>
          </cell>
          <cell r="BF175" t="str">
            <v>NA</v>
          </cell>
          <cell r="BG175" t="str">
            <v>NA</v>
          </cell>
          <cell r="BH175" t="str">
            <v>NA</v>
          </cell>
          <cell r="BI175" t="str">
            <v>NA</v>
          </cell>
          <cell r="BJ175" t="str">
            <v>NA</v>
          </cell>
          <cell r="BK175" t="str">
            <v>NA</v>
          </cell>
          <cell r="BL175" t="str">
            <v>NA</v>
          </cell>
          <cell r="BM175" t="str">
            <v>NA</v>
          </cell>
          <cell r="BN175" t="str">
            <v>NA</v>
          </cell>
          <cell r="BO175" t="str">
            <v>NA</v>
          </cell>
          <cell r="BP175" t="str">
            <v>NA</v>
          </cell>
          <cell r="BQ175" t="str">
            <v>NA</v>
          </cell>
          <cell r="BR175" t="str">
            <v>NA</v>
          </cell>
          <cell r="BS175" t="str">
            <v>NA</v>
          </cell>
          <cell r="BT175" t="str">
            <v>NA</v>
          </cell>
          <cell r="BU175" t="str">
            <v>NA</v>
          </cell>
          <cell r="BV175" t="str">
            <v>NA</v>
          </cell>
          <cell r="BW175" t="str">
            <v>NA</v>
          </cell>
          <cell r="BX175" t="str">
            <v>NA</v>
          </cell>
          <cell r="BY175" t="str">
            <v>NA</v>
          </cell>
          <cell r="BZ175" t="str">
            <v>NA</v>
          </cell>
          <cell r="CA175" t="str">
            <v>NA</v>
          </cell>
          <cell r="CB175" t="str">
            <v>NA</v>
          </cell>
          <cell r="CC175" t="str">
            <v>NA</v>
          </cell>
          <cell r="CD175" t="str">
            <v>NA</v>
          </cell>
          <cell r="CE175" t="str">
            <v>NA</v>
          </cell>
          <cell r="CF175" t="str">
            <v>NA</v>
          </cell>
          <cell r="CG175">
            <v>5.0000000000000044E-2</v>
          </cell>
          <cell r="CH175">
            <v>0.19047619047619047</v>
          </cell>
          <cell r="CI175">
            <v>0</v>
          </cell>
          <cell r="CJ175">
            <v>8.0000000000000071E-2</v>
          </cell>
          <cell r="CK175">
            <v>1.8518518518518379E-2</v>
          </cell>
          <cell r="CL175">
            <v>0.19999999999999996</v>
          </cell>
          <cell r="CM175">
            <v>0</v>
          </cell>
          <cell r="CN175">
            <v>6.0606060606060552E-2</v>
          </cell>
          <cell r="CO175">
            <v>4.2857142857142927E-2</v>
          </cell>
          <cell r="CP175">
            <v>0.21917808219178081</v>
          </cell>
        </row>
        <row r="177">
          <cell r="A177" t="str">
            <v>Current RPO</v>
          </cell>
          <cell r="CF177">
            <v>2</v>
          </cell>
          <cell r="CG177">
            <v>2.1</v>
          </cell>
          <cell r="CH177">
            <v>2.5</v>
          </cell>
          <cell r="CI177">
            <v>2.5</v>
          </cell>
          <cell r="CJ177">
            <v>2.7</v>
          </cell>
          <cell r="CK177">
            <v>2.8</v>
          </cell>
          <cell r="CL177">
            <v>3.3</v>
          </cell>
          <cell r="CM177">
            <v>3.3</v>
          </cell>
          <cell r="CN177">
            <v>3.5</v>
          </cell>
          <cell r="CO177">
            <v>3.8</v>
          </cell>
          <cell r="CP177">
            <v>4.4000000000000004</v>
          </cell>
        </row>
        <row r="178">
          <cell r="A178" t="str">
            <v>% growth y-o-y</v>
          </cell>
          <cell r="BS178" t="str">
            <v>NA</v>
          </cell>
          <cell r="BT178" t="str">
            <v>NA</v>
          </cell>
          <cell r="BU178" t="str">
            <v>NA</v>
          </cell>
          <cell r="BV178" t="str">
            <v>NA</v>
          </cell>
          <cell r="BW178" t="str">
            <v>NA</v>
          </cell>
          <cell r="BX178" t="str">
            <v>NA</v>
          </cell>
          <cell r="BY178" t="str">
            <v>NA</v>
          </cell>
          <cell r="BZ178" t="str">
            <v>NA</v>
          </cell>
          <cell r="CA178" t="str">
            <v>NA</v>
          </cell>
          <cell r="CB178" t="str">
            <v>NA</v>
          </cell>
          <cell r="CC178" t="str">
            <v>NA</v>
          </cell>
          <cell r="CD178" t="str">
            <v>NA</v>
          </cell>
          <cell r="CE178" t="str">
            <v>NA</v>
          </cell>
          <cell r="CF178" t="str">
            <v>NA</v>
          </cell>
          <cell r="CG178" t="str">
            <v>NA</v>
          </cell>
          <cell r="CH178" t="str">
            <v>NA</v>
          </cell>
          <cell r="CI178" t="str">
            <v>NA</v>
          </cell>
          <cell r="CJ178">
            <v>0.35000000000000009</v>
          </cell>
          <cell r="CK178">
            <v>0.33333333333333326</v>
          </cell>
          <cell r="CL178">
            <v>0.31999999999999984</v>
          </cell>
          <cell r="CM178">
            <v>0.31999999999999984</v>
          </cell>
          <cell r="CN178">
            <v>0.29629629629629628</v>
          </cell>
          <cell r="CO178">
            <v>0.35714285714285721</v>
          </cell>
          <cell r="CP178">
            <v>0.33333333333333348</v>
          </cell>
        </row>
        <row r="179">
          <cell r="A179" t="str">
            <v>% growth seq</v>
          </cell>
          <cell r="BS179" t="str">
            <v>NA</v>
          </cell>
          <cell r="BT179" t="str">
            <v>NA</v>
          </cell>
          <cell r="BU179" t="str">
            <v>NA</v>
          </cell>
          <cell r="BV179" t="str">
            <v>NA</v>
          </cell>
          <cell r="BW179" t="str">
            <v>NA</v>
          </cell>
          <cell r="BX179" t="str">
            <v>NA</v>
          </cell>
          <cell r="BY179" t="str">
            <v>NA</v>
          </cell>
          <cell r="BZ179" t="str">
            <v>NA</v>
          </cell>
          <cell r="CA179" t="str">
            <v>NA</v>
          </cell>
          <cell r="CB179" t="str">
            <v>NA</v>
          </cell>
          <cell r="CC179" t="str">
            <v>NA</v>
          </cell>
          <cell r="CD179" t="str">
            <v>NA</v>
          </cell>
          <cell r="CE179" t="str">
            <v>NA</v>
          </cell>
          <cell r="CF179" t="str">
            <v>NA</v>
          </cell>
          <cell r="CG179">
            <v>5.0000000000000044E-2</v>
          </cell>
          <cell r="CH179">
            <v>0.19047619047619047</v>
          </cell>
          <cell r="CI179">
            <v>0</v>
          </cell>
          <cell r="CJ179">
            <v>8.0000000000000071E-2</v>
          </cell>
          <cell r="CK179">
            <v>3.7037037037036979E-2</v>
          </cell>
          <cell r="CL179">
            <v>0.1785714285714286</v>
          </cell>
          <cell r="CM179">
            <v>0</v>
          </cell>
          <cell r="CN179">
            <v>6.0606060606060552E-2</v>
          </cell>
          <cell r="CO179">
            <v>8.5714285714285632E-2</v>
          </cell>
          <cell r="CP179">
            <v>0.15789473684210531</v>
          </cell>
        </row>
        <row r="181">
          <cell r="A181" t="str">
            <v>Noncurrent RPO</v>
          </cell>
          <cell r="CF181">
            <v>2</v>
          </cell>
          <cell r="CG181">
            <v>2.1</v>
          </cell>
          <cell r="CH181">
            <v>2.5</v>
          </cell>
          <cell r="CI181">
            <v>2.5</v>
          </cell>
          <cell r="CJ181">
            <v>2.7</v>
          </cell>
          <cell r="CK181">
            <v>2.7</v>
          </cell>
          <cell r="CL181">
            <v>3.3</v>
          </cell>
          <cell r="CM181">
            <v>3.3</v>
          </cell>
          <cell r="CN181">
            <v>3.5</v>
          </cell>
          <cell r="CO181">
            <v>3.5</v>
          </cell>
          <cell r="CP181">
            <v>4.5</v>
          </cell>
        </row>
        <row r="182">
          <cell r="A182" t="str">
            <v>% growth y-o-y</v>
          </cell>
          <cell r="BS182" t="str">
            <v>NA</v>
          </cell>
          <cell r="BT182" t="str">
            <v>NA</v>
          </cell>
          <cell r="BU182" t="str">
            <v>NA</v>
          </cell>
          <cell r="BV182" t="str">
            <v>NA</v>
          </cell>
          <cell r="BW182" t="str">
            <v>NA</v>
          </cell>
          <cell r="BX182" t="str">
            <v>NA</v>
          </cell>
          <cell r="BY182" t="str">
            <v>NA</v>
          </cell>
          <cell r="BZ182" t="str">
            <v>NA</v>
          </cell>
          <cell r="CA182" t="str">
            <v>NA</v>
          </cell>
          <cell r="CB182" t="str">
            <v>NA</v>
          </cell>
          <cell r="CC182" t="str">
            <v>NA</v>
          </cell>
          <cell r="CD182" t="str">
            <v>NA</v>
          </cell>
          <cell r="CE182" t="str">
            <v>NA</v>
          </cell>
          <cell r="CF182" t="str">
            <v>NA</v>
          </cell>
          <cell r="CG182" t="str">
            <v>NA</v>
          </cell>
          <cell r="CH182" t="str">
            <v>NA</v>
          </cell>
          <cell r="CI182" t="str">
            <v>NA</v>
          </cell>
          <cell r="CJ182">
            <v>0.35000000000000009</v>
          </cell>
          <cell r="CK182">
            <v>0.28571428571428581</v>
          </cell>
          <cell r="CL182">
            <v>0.31999999999999984</v>
          </cell>
          <cell r="CM182">
            <v>0.31999999999999984</v>
          </cell>
          <cell r="CN182">
            <v>0.29629629629629628</v>
          </cell>
          <cell r="CO182">
            <v>0.29629629629629628</v>
          </cell>
          <cell r="CP182">
            <v>0.36363636363636376</v>
          </cell>
        </row>
        <row r="183">
          <cell r="A183" t="str">
            <v>% growth seq</v>
          </cell>
          <cell r="BS183" t="str">
            <v>NA</v>
          </cell>
          <cell r="BT183" t="str">
            <v>NA</v>
          </cell>
          <cell r="BU183" t="str">
            <v>NA</v>
          </cell>
          <cell r="BV183" t="str">
            <v>NA</v>
          </cell>
          <cell r="BW183" t="str">
            <v>NA</v>
          </cell>
          <cell r="BX183" t="str">
            <v>NA</v>
          </cell>
          <cell r="BY183" t="str">
            <v>NA</v>
          </cell>
          <cell r="BZ183" t="str">
            <v>NA</v>
          </cell>
          <cell r="CA183" t="str">
            <v>NA</v>
          </cell>
          <cell r="CB183" t="str">
            <v>NA</v>
          </cell>
          <cell r="CC183" t="str">
            <v>NA</v>
          </cell>
          <cell r="CD183" t="str">
            <v>NA</v>
          </cell>
          <cell r="CE183" t="str">
            <v>NA</v>
          </cell>
          <cell r="CF183" t="str">
            <v>NA</v>
          </cell>
          <cell r="CG183">
            <v>5.0000000000000044E-2</v>
          </cell>
          <cell r="CH183">
            <v>0.19047619047619047</v>
          </cell>
          <cell r="CI183">
            <v>0</v>
          </cell>
          <cell r="CJ183">
            <v>8.0000000000000071E-2</v>
          </cell>
          <cell r="CK183">
            <v>0</v>
          </cell>
          <cell r="CL183">
            <v>0.2222222222222221</v>
          </cell>
          <cell r="CM183">
            <v>0</v>
          </cell>
          <cell r="CN183">
            <v>6.0606060606060552E-2</v>
          </cell>
          <cell r="CO183">
            <v>0</v>
          </cell>
          <cell r="CP183">
            <v>0.28571428571428581</v>
          </cell>
        </row>
        <row r="187">
          <cell r="A187" t="str">
            <v>Source: Company data, Wells Fargo Securities, LLC estimates</v>
          </cell>
          <cell r="EB187" t="str">
            <v>Subscription billings/sales &amp; marketing headcount</v>
          </cell>
          <cell r="EC187">
            <v>670388.52479338844</v>
          </cell>
          <cell r="ED187">
            <v>761347.49399999983</v>
          </cell>
          <cell r="EE187">
            <v>722291.0569105692</v>
          </cell>
          <cell r="EF187">
            <v>727606.33036597411</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__FDSCACHE__"/>
      <sheetName val="Disclaimer"/>
      <sheetName val="BM"/>
      <sheetName val="Income Statement"/>
      <sheetName val="Revenue Build"/>
      <sheetName val="Balance Sheet"/>
      <sheetName val="Cash Flow"/>
      <sheetName val="Peer Comps"/>
      <sheetName val="Valuation"/>
      <sheetName val="M&amp;A"/>
      <sheetName val="L-T Targets"/>
      <sheetName val="Estimates v Consensus"/>
      <sheetName val="VA Consensus"/>
      <sheetName val="Quarterly Estimates-TENB"/>
      <sheetName val="Annual Estimates-TENB"/>
      <sheetName val="Surprise History"/>
      <sheetName val="Charts"/>
      <sheetName val="DCF"/>
      <sheetName val="EP-TENB_US"/>
      <sheetName val="RevisionAnalysis-TENB_US"/>
      <sheetName val="vsConsensus-WF"/>
      <sheetName val="__APW_ACTIVE_FIELD_RESTORE__"/>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3">
          <cell r="C13" t="str">
            <v>-</v>
          </cell>
          <cell r="D13" t="str">
            <v>-</v>
          </cell>
          <cell r="E13" t="str">
            <v>-</v>
          </cell>
          <cell r="F13" t="str">
            <v>-</v>
          </cell>
          <cell r="G13" t="str">
            <v>-</v>
          </cell>
          <cell r="H13" t="str">
            <v>-</v>
          </cell>
          <cell r="I13">
            <v>80.923611086071872</v>
          </cell>
          <cell r="J13">
            <v>93.357139731741725</v>
          </cell>
          <cell r="K13">
            <v>80.141077359129426</v>
          </cell>
          <cell r="L13">
            <v>97.339645730895739</v>
          </cell>
          <cell r="M13">
            <v>109.71805511820359</v>
          </cell>
          <cell r="N13">
            <v>122.9681303440414</v>
          </cell>
          <cell r="O13">
            <v>97.832529562296614</v>
          </cell>
          <cell r="P13">
            <v>109.6603077714195</v>
          </cell>
          <cell r="Q13">
            <v>125.29718490566869</v>
          </cell>
          <cell r="R13">
            <v>143.53824397855328</v>
          </cell>
          <cell r="S13">
            <v>114.39471519896361</v>
          </cell>
          <cell r="T13">
            <v>131.77879545156705</v>
          </cell>
          <cell r="U13">
            <v>156.2224345475739</v>
          </cell>
          <cell r="V13">
            <v>180.19864026291356</v>
          </cell>
          <cell r="W13">
            <v>146.84709358167109</v>
          </cell>
          <cell r="X13">
            <v>171.7644442195066</v>
          </cell>
          <cell r="Y13">
            <v>204.08805070047771</v>
          </cell>
          <cell r="Z13">
            <v>235.31673396472891</v>
          </cell>
          <cell r="AA13">
            <v>183.76726531233422</v>
          </cell>
          <cell r="AB13">
            <v>195.3098559851656</v>
          </cell>
          <cell r="AC13">
            <v>235.92028121703606</v>
          </cell>
          <cell r="AD13">
            <v>264.31584849057481</v>
          </cell>
          <cell r="AE13">
            <v>197.85141764344309</v>
          </cell>
          <cell r="AF13">
            <v>225.62428112451951</v>
          </cell>
          <cell r="AG13">
            <v>245.37621305112708</v>
          </cell>
          <cell r="AH13">
            <v>294.97623963770042</v>
          </cell>
          <cell r="AI13">
            <v>213.64681567955193</v>
          </cell>
          <cell r="AJ13">
            <v>239.39986205516755</v>
          </cell>
          <cell r="AK13">
            <v>266.14304265024873</v>
          </cell>
          <cell r="AL13">
            <v>320.83434412859293</v>
          </cell>
          <cell r="AM13">
            <v>236.74684800988462</v>
          </cell>
          <cell r="AN13">
            <v>257.17235547088472</v>
          </cell>
          <cell r="AO13">
            <v>284.73159890155455</v>
          </cell>
          <cell r="AP13">
            <v>348.68732041192226</v>
          </cell>
          <cell r="AQ13">
            <v>254.83032645386407</v>
          </cell>
          <cell r="AR13">
            <v>278.91231353601825</v>
          </cell>
          <cell r="AS13">
            <v>305.66625210088608</v>
          </cell>
          <cell r="AT13">
            <v>370.09809351237419</v>
          </cell>
          <cell r="AV13" t="str">
            <v>-</v>
          </cell>
          <cell r="AW13">
            <v>322.1761349677418</v>
          </cell>
          <cell r="AX13">
            <v>412.8439081218192</v>
          </cell>
          <cell r="AY13">
            <v>487.68591064521996</v>
          </cell>
          <cell r="AZ13">
            <v>604.67527662654993</v>
          </cell>
          <cell r="BA13">
            <v>773.56191578291077</v>
          </cell>
          <cell r="BB13">
            <v>865.96706277628903</v>
          </cell>
          <cell r="BC13">
            <v>962.40681106627187</v>
          </cell>
          <cell r="BD13">
            <v>1044.8351877671953</v>
          </cell>
          <cell r="BE13">
            <v>1127.3381227942461</v>
          </cell>
          <cell r="BF13">
            <v>1209.5069856031432</v>
          </cell>
        </row>
        <row r="16">
          <cell r="C16" t="str">
            <v>-</v>
          </cell>
          <cell r="D16" t="str">
            <v>-</v>
          </cell>
          <cell r="E16" t="str">
            <v>-</v>
          </cell>
          <cell r="F16" t="str">
            <v>-</v>
          </cell>
          <cell r="G16" t="str">
            <v>-</v>
          </cell>
          <cell r="H16" t="str">
            <v>-</v>
          </cell>
          <cell r="I16">
            <v>66.295101233277776</v>
          </cell>
          <cell r="J16">
            <v>72.829307313078147</v>
          </cell>
          <cell r="K16">
            <v>78.13139351816227</v>
          </cell>
          <cell r="L16">
            <v>82.660787159774316</v>
          </cell>
          <cell r="M16">
            <v>88.65547079171634</v>
          </cell>
          <cell r="N16">
            <v>94.254523027641198</v>
          </cell>
          <cell r="O16">
            <v>100.24835447712599</v>
          </cell>
          <cell r="P16">
            <v>102.394061729917</v>
          </cell>
          <cell r="Q16">
            <v>109.4510203996072</v>
          </cell>
          <cell r="R16">
            <v>114.89445418857034</v>
          </cell>
          <cell r="S16">
            <v>120.16062543063123</v>
          </cell>
          <cell r="T16">
            <v>125.48578701646908</v>
          </cell>
          <cell r="U16">
            <v>134.34398590229401</v>
          </cell>
          <cell r="V16">
            <v>144.42531670638027</v>
          </cell>
          <cell r="W16">
            <v>153.37956741261891</v>
          </cell>
          <cell r="X16">
            <v>163.41115989194191</v>
          </cell>
          <cell r="Y16">
            <v>170.08239368432118</v>
          </cell>
          <cell r="Z16">
            <v>181.47863606853986</v>
          </cell>
          <cell r="AA16">
            <v>186.97949643638154</v>
          </cell>
          <cell r="AB16">
            <v>190.08195027045599</v>
          </cell>
          <cell r="AC16">
            <v>198.2782357548316</v>
          </cell>
          <cell r="AD16">
            <v>206.53639469231041</v>
          </cell>
          <cell r="AE16">
            <v>213.54152726376014</v>
          </cell>
          <cell r="AF16">
            <v>218.48077640338587</v>
          </cell>
          <cell r="AG16">
            <v>223.13432963318249</v>
          </cell>
          <cell r="AH16">
            <v>231.55654236177338</v>
          </cell>
          <cell r="AI16">
            <v>233.57911601872561</v>
          </cell>
          <cell r="AJ16">
            <v>242.07841453355994</v>
          </cell>
          <cell r="AK16">
            <v>247.33864771095207</v>
          </cell>
          <cell r="AL16">
            <v>251.72894765121765</v>
          </cell>
          <cell r="AM16">
            <v>258.87607885397813</v>
          </cell>
          <cell r="AN16">
            <v>264.67593406709608</v>
          </cell>
          <cell r="AO16">
            <v>269.71728065946542</v>
          </cell>
          <cell r="AP16">
            <v>277.08466719842176</v>
          </cell>
          <cell r="AQ16">
            <v>277.69692422348231</v>
          </cell>
          <cell r="AR16">
            <v>283.39448073695274</v>
          </cell>
          <cell r="AS16">
            <v>288.41406316115877</v>
          </cell>
          <cell r="AT16">
            <v>296.33302819717551</v>
          </cell>
          <cell r="AV16" t="str">
            <v>-</v>
          </cell>
          <cell r="AW16">
            <v>264.96833411307819</v>
          </cell>
          <cell r="AX16">
            <v>351.79152302764135</v>
          </cell>
          <cell r="AY16">
            <v>437.03012085523699</v>
          </cell>
          <cell r="AZ16">
            <v>536.56619031418188</v>
          </cell>
          <cell r="BA16">
            <v>680.03863606853986</v>
          </cell>
          <cell r="BB16">
            <v>791.94039469231041</v>
          </cell>
          <cell r="BC16">
            <v>895.84654236177334</v>
          </cell>
          <cell r="BD16">
            <v>990.66282189281662</v>
          </cell>
          <cell r="BE16">
            <v>1070.3484052234066</v>
          </cell>
          <cell r="BF16">
            <v>1145.8384963187696</v>
          </cell>
        </row>
        <row r="18">
          <cell r="C18" t="str">
            <v>-</v>
          </cell>
          <cell r="D18" t="str">
            <v>-</v>
          </cell>
          <cell r="E18" t="str">
            <v>-</v>
          </cell>
          <cell r="F18" t="str">
            <v>-</v>
          </cell>
          <cell r="G18" t="str">
            <v>-</v>
          </cell>
          <cell r="H18" t="str">
            <v>-</v>
          </cell>
          <cell r="I18">
            <v>55.628655751143647</v>
          </cell>
          <cell r="J18">
            <v>61.298786107586253</v>
          </cell>
          <cell r="K18">
            <v>67.616153093305954</v>
          </cell>
          <cell r="L18">
            <v>71.338930191120298</v>
          </cell>
          <cell r="M18">
            <v>74.643217079868094</v>
          </cell>
          <cell r="N18">
            <v>78.543477821654136</v>
          </cell>
          <cell r="O18">
            <v>85.721487195837085</v>
          </cell>
          <cell r="P18">
            <v>87.122864885101777</v>
          </cell>
          <cell r="Q18">
            <v>94.144090107030493</v>
          </cell>
          <cell r="R18">
            <v>99.687019228688413</v>
          </cell>
          <cell r="S18">
            <v>104.65408723196558</v>
          </cell>
          <cell r="T18">
            <v>110.6172989914236</v>
          </cell>
          <cell r="U18">
            <v>118.856924896314</v>
          </cell>
          <cell r="V18">
            <v>128.21495461733451</v>
          </cell>
          <cell r="W18">
            <v>137.265383688886</v>
          </cell>
          <cell r="X18">
            <v>147.0410200088449</v>
          </cell>
          <cell r="Y18">
            <v>153.57760526390678</v>
          </cell>
          <cell r="Z18">
            <v>164.71860160334191</v>
          </cell>
          <cell r="AA18">
            <v>170.07263289425137</v>
          </cell>
          <cell r="AB18">
            <v>173.11760505296201</v>
          </cell>
          <cell r="AC18">
            <v>180.5836192357331</v>
          </cell>
          <cell r="AD18">
            <v>188.04428531658428</v>
          </cell>
          <cell r="AE18">
            <v>195.09255448940269</v>
          </cell>
          <cell r="AF18">
            <v>200.2923863602015</v>
          </cell>
          <cell r="AG18">
            <v>204.41415054476246</v>
          </cell>
          <cell r="AH18">
            <v>212.284483261177</v>
          </cell>
          <cell r="AI18">
            <v>215.57474611799333</v>
          </cell>
          <cell r="AJ18">
            <v>223.31505150052953</v>
          </cell>
          <cell r="AK18">
            <v>228.58495045872823</v>
          </cell>
          <cell r="AL18">
            <v>232.60754138756016</v>
          </cell>
          <cell r="AM18">
            <v>240.13242965546928</v>
          </cell>
          <cell r="AN18">
            <v>245.6292261340875</v>
          </cell>
          <cell r="AO18">
            <v>249.88103640743358</v>
          </cell>
          <cell r="AP18">
            <v>256.35078227599234</v>
          </cell>
          <cell r="AQ18">
            <v>258.89321511246305</v>
          </cell>
          <cell r="AR18">
            <v>264.28232534362564</v>
          </cell>
          <cell r="AS18">
            <v>268.46242978514022</v>
          </cell>
          <cell r="AT18">
            <v>275.49041488506714</v>
          </cell>
          <cell r="AV18" t="str">
            <v>-</v>
          </cell>
          <cell r="AW18">
            <v>219.33527128291999</v>
          </cell>
          <cell r="AX18">
            <v>290.64225210736845</v>
          </cell>
          <cell r="AY18">
            <v>374.87473351440258</v>
          </cell>
          <cell r="AZ18">
            <v>471.94538188207514</v>
          </cell>
          <cell r="BA18">
            <v>610.65686176367615</v>
          </cell>
          <cell r="BB18">
            <v>719.17728531658429</v>
          </cell>
          <cell r="BC18">
            <v>821.32235686627507</v>
          </cell>
          <cell r="BD18">
            <v>913.2890572884487</v>
          </cell>
          <cell r="BE18">
            <v>991.99347447298283</v>
          </cell>
          <cell r="BF18">
            <v>1067.1283851262965</v>
          </cell>
        </row>
        <row r="19">
          <cell r="C19" t="str">
            <v>-</v>
          </cell>
          <cell r="D19" t="str">
            <v>-</v>
          </cell>
          <cell r="E19" t="str">
            <v>-</v>
          </cell>
          <cell r="F19" t="str">
            <v>-</v>
          </cell>
          <cell r="G19" t="str">
            <v>-</v>
          </cell>
          <cell r="H19" t="str">
            <v>-</v>
          </cell>
          <cell r="I19">
            <v>9.0917193507355005</v>
          </cell>
          <cell r="J19">
            <v>9.7982907558715997</v>
          </cell>
          <cell r="K19">
            <v>9.5543854369992491</v>
          </cell>
          <cell r="L19">
            <v>10.130924365965001</v>
          </cell>
          <cell r="M19">
            <v>11.907465223467637</v>
          </cell>
          <cell r="N19">
            <v>13.392570244430072</v>
          </cell>
          <cell r="O19">
            <v>12.107705155493695</v>
          </cell>
          <cell r="P19">
            <v>13.350479240967317</v>
          </cell>
          <cell r="Q19">
            <v>12.466897208127472</v>
          </cell>
          <cell r="R19">
            <v>12.298035980219071</v>
          </cell>
          <cell r="S19">
            <v>12.522909810336143</v>
          </cell>
          <cell r="T19">
            <v>11.910471132894241</v>
          </cell>
          <cell r="U19">
            <v>12.366895383725723</v>
          </cell>
          <cell r="V19">
            <v>12.541843008076849</v>
          </cell>
          <cell r="W19">
            <v>12.171485537815419</v>
          </cell>
          <cell r="X19">
            <v>12.485687686684312</v>
          </cell>
          <cell r="Y19">
            <v>11.992390634047933</v>
          </cell>
          <cell r="Z19">
            <v>12.073231588280599</v>
          </cell>
          <cell r="AA19">
            <v>11.879293436091318</v>
          </cell>
          <cell r="AB19">
            <v>11.947995306216738</v>
          </cell>
          <cell r="AC19">
            <v>12.102771226460192</v>
          </cell>
          <cell r="AD19">
            <v>12.201255490421591</v>
          </cell>
          <cell r="AE19">
            <v>11.929125486906379</v>
          </cell>
          <cell r="AF19">
            <v>11.834694288249208</v>
          </cell>
          <cell r="AG19">
            <v>11.840435058260615</v>
          </cell>
          <cell r="AH19">
            <v>11.884902100625439</v>
          </cell>
          <cell r="AI19">
            <v>11.792826754838767</v>
          </cell>
          <cell r="AJ19">
            <v>11.583498440804131</v>
          </cell>
          <cell r="AK19">
            <v>11.23401717301663</v>
          </cell>
          <cell r="AL19">
            <v>10.913613935312892</v>
          </cell>
          <cell r="AM19">
            <v>10.604546968068558</v>
          </cell>
          <cell r="AN19">
            <v>10.522108685009322</v>
          </cell>
          <cell r="AO19">
            <v>10.437495062540602</v>
          </cell>
          <cell r="AP19">
            <v>9.9358064927576457</v>
          </cell>
          <cell r="AQ19">
            <v>10.096689776469677</v>
          </cell>
          <cell r="AR19">
            <v>10.094702213749674</v>
          </cell>
          <cell r="AS19">
            <v>9.979008163086748</v>
          </cell>
          <cell r="AT19">
            <v>9.5120751642245143</v>
          </cell>
          <cell r="AV19" t="str">
            <v>-</v>
          </cell>
          <cell r="AW19">
            <v>37.803338205871597</v>
          </cell>
          <cell r="AX19">
            <v>51.993046315858642</v>
          </cell>
          <cell r="AY19">
            <v>50.344035980219068</v>
          </cell>
          <cell r="AZ19">
            <v>50.285860451623869</v>
          </cell>
          <cell r="BA19">
            <v>50.22875474710866</v>
          </cell>
          <cell r="BB19">
            <v>48.736255490421591</v>
          </cell>
          <cell r="BC19">
            <v>47.807977275677558</v>
          </cell>
          <cell r="BD19">
            <v>44.979571511361975</v>
          </cell>
          <cell r="BE19">
            <v>41.499957208376131</v>
          </cell>
          <cell r="BF19">
            <v>39.682475317530617</v>
          </cell>
        </row>
        <row r="20">
          <cell r="C20" t="str">
            <v>-</v>
          </cell>
          <cell r="D20" t="str">
            <v>-</v>
          </cell>
          <cell r="E20" t="str">
            <v>-</v>
          </cell>
          <cell r="F20" t="str">
            <v>-</v>
          </cell>
          <cell r="G20" t="str">
            <v>-</v>
          </cell>
          <cell r="H20" t="str">
            <v>-</v>
          </cell>
          <cell r="I20">
            <v>1.56062574172643</v>
          </cell>
          <cell r="J20">
            <v>1.835715379351615</v>
          </cell>
          <cell r="K20">
            <v>1.6705744278424399</v>
          </cell>
          <cell r="L20">
            <v>1.9139257090748349</v>
          </cell>
          <cell r="M20">
            <v>2.5290096710024099</v>
          </cell>
          <cell r="N20">
            <v>2.5710088967687486</v>
          </cell>
          <cell r="O20">
            <v>2.2722134731348413</v>
          </cell>
          <cell r="P20">
            <v>2.0613271354729883</v>
          </cell>
          <cell r="Q20">
            <v>2.8750761128524487</v>
          </cell>
          <cell r="R20">
            <v>3.0586011763973913</v>
          </cell>
          <cell r="S20">
            <v>3.1921076542241358</v>
          </cell>
          <cell r="T20">
            <v>3.1234865970918948</v>
          </cell>
          <cell r="U20">
            <v>3.4191085896856923</v>
          </cell>
          <cell r="V20">
            <v>3.7612170958615314</v>
          </cell>
          <cell r="W20">
            <v>4.0243178697031974</v>
          </cell>
          <cell r="X20">
            <v>4.0353885048378979</v>
          </cell>
          <cell r="Y20">
            <v>4.5330115033624248</v>
          </cell>
          <cell r="Z20">
            <v>5.2304977984700374</v>
          </cell>
          <cell r="AA20">
            <v>5.0628032696819849</v>
          </cell>
          <cell r="AB20">
            <v>5.0758003876982363</v>
          </cell>
          <cell r="AC20">
            <v>5.6481673853043581</v>
          </cell>
          <cell r="AD20">
            <v>6.3139785006902045</v>
          </cell>
          <cell r="AE20">
            <v>6.4508797929551376</v>
          </cell>
          <cell r="AF20">
            <v>6.3365248060637729</v>
          </cell>
          <cell r="AG20">
            <v>6.6124952147399716</v>
          </cell>
          <cell r="AH20">
            <v>6.988013083457024</v>
          </cell>
          <cell r="AI20">
            <v>6.3595898188021218</v>
          </cell>
          <cell r="AJ20">
            <v>7.1475247563984965</v>
          </cell>
          <cell r="AK20">
            <v>7.2771503201960845</v>
          </cell>
          <cell r="AL20">
            <v>8.3138396056422952</v>
          </cell>
          <cell r="AM20">
            <v>8.1345196887196689</v>
          </cell>
          <cell r="AN20">
            <v>8.4167375528837827</v>
          </cell>
          <cell r="AO20">
            <v>9.2733111636242942</v>
          </cell>
          <cell r="AP20">
            <v>10.682862343506592</v>
          </cell>
          <cell r="AQ20">
            <v>8.5005949165444648</v>
          </cell>
          <cell r="AR20">
            <v>8.7871551115639708</v>
          </cell>
          <cell r="AS20">
            <v>9.6857890054056934</v>
          </cell>
          <cell r="AT20">
            <v>11.236805548148237</v>
          </cell>
          <cell r="AV20" t="str">
            <v>-</v>
          </cell>
          <cell r="AW20">
            <v>6.6590402040178152</v>
          </cell>
          <cell r="AX20">
            <v>9.4087585396258948</v>
          </cell>
          <cell r="AY20">
            <v>11.959601176397401</v>
          </cell>
          <cell r="AZ20">
            <v>14.426970751876922</v>
          </cell>
          <cell r="BA20">
            <v>19.264647578317039</v>
          </cell>
          <cell r="BB20">
            <v>24.049978500690209</v>
          </cell>
          <cell r="BC20">
            <v>26.584014173745107</v>
          </cell>
          <cell r="BD20">
            <v>32.510343919524985</v>
          </cell>
          <cell r="BE20">
            <v>36.507430748734343</v>
          </cell>
          <cell r="BF20">
            <v>38.210344581662362</v>
          </cell>
        </row>
        <row r="23">
          <cell r="C23" t="str">
            <v>-</v>
          </cell>
          <cell r="D23" t="str">
            <v>-</v>
          </cell>
          <cell r="E23" t="str">
            <v>-</v>
          </cell>
          <cell r="F23" t="str">
            <v>-</v>
          </cell>
          <cell r="G23" t="str">
            <v>-</v>
          </cell>
          <cell r="H23" t="str">
            <v>-</v>
          </cell>
          <cell r="I23">
            <v>54.516384766632875</v>
          </cell>
          <cell r="J23">
            <v>59.879956253033569</v>
          </cell>
          <cell r="K23">
            <v>63.150691062448423</v>
          </cell>
          <cell r="L23">
            <v>67.852195804236118</v>
          </cell>
          <cell r="M23">
            <v>73.653529405442384</v>
          </cell>
          <cell r="N23">
            <v>78.965821330960352</v>
          </cell>
          <cell r="O23">
            <v>82.192196527728754</v>
          </cell>
          <cell r="P23">
            <v>85.061613414873051</v>
          </cell>
          <cell r="Q23">
            <v>90.62110381902248</v>
          </cell>
          <cell r="R23">
            <v>95.848160498903923</v>
          </cell>
          <cell r="S23">
            <v>99.418120843553567</v>
          </cell>
          <cell r="T23">
            <v>103.67138410267208</v>
          </cell>
          <cell r="U23">
            <v>110.04589460439384</v>
          </cell>
          <cell r="V23">
            <v>118.73831705277883</v>
          </cell>
          <cell r="W23">
            <v>125.068679401712</v>
          </cell>
          <cell r="X23">
            <v>131.198605860811</v>
          </cell>
          <cell r="Y23">
            <v>137.17319401498983</v>
          </cell>
          <cell r="Z23">
            <v>146.73735999949301</v>
          </cell>
          <cell r="AA23">
            <v>145.83615416501564</v>
          </cell>
          <cell r="AB23">
            <v>150.36970922591973</v>
          </cell>
          <cell r="AC23">
            <v>158.03570362634122</v>
          </cell>
          <cell r="AD23">
            <v>163.99188326233113</v>
          </cell>
          <cell r="AE23">
            <v>169.93045969462707</v>
          </cell>
          <cell r="AF23">
            <v>175.24901834078446</v>
          </cell>
          <cell r="AG23">
            <v>179.71894779305254</v>
          </cell>
          <cell r="AH23">
            <v>187.8076227576868</v>
          </cell>
          <cell r="AI23">
            <v>188.41091607813814</v>
          </cell>
          <cell r="AJ23">
            <v>196.77297222203475</v>
          </cell>
          <cell r="AK23">
            <v>201.73730823596199</v>
          </cell>
          <cell r="AL23">
            <v>205.66161274309755</v>
          </cell>
          <cell r="AM23">
            <v>211.62556892423089</v>
          </cell>
          <cell r="AN23">
            <v>216.93941727951901</v>
          </cell>
          <cell r="AO23">
            <v>220.82546599931993</v>
          </cell>
          <cell r="AP23">
            <v>228.07747135898728</v>
          </cell>
          <cell r="AQ23">
            <v>227.56559025949389</v>
          </cell>
          <cell r="AR23">
            <v>232.68577439735441</v>
          </cell>
          <cell r="AS23">
            <v>236.78902387708706</v>
          </cell>
          <cell r="AT23">
            <v>244.19627449614401</v>
          </cell>
          <cell r="AV23" t="str">
            <v>-</v>
          </cell>
          <cell r="AW23">
            <v>222.53370505803349</v>
          </cell>
          <cell r="AX23">
            <v>296.58137688651595</v>
          </cell>
          <cell r="AY23">
            <v>364.88916049890389</v>
          </cell>
          <cell r="AZ23">
            <v>442.34026854838049</v>
          </cell>
          <cell r="BA23">
            <v>550.008359999493</v>
          </cell>
          <cell r="BB23">
            <v>632.37188326233115</v>
          </cell>
          <cell r="BC23">
            <v>727.79762275768678</v>
          </cell>
          <cell r="BD23">
            <v>810.34857345091541</v>
          </cell>
          <cell r="BE23">
            <v>877.46792356205708</v>
          </cell>
          <cell r="BF23">
            <v>941.2366630300794</v>
          </cell>
        </row>
        <row r="29">
          <cell r="C29" t="str">
            <v>-</v>
          </cell>
          <cell r="D29" t="str">
            <v>-</v>
          </cell>
          <cell r="E29" t="str">
            <v>-</v>
          </cell>
          <cell r="F29" t="str">
            <v>-</v>
          </cell>
          <cell r="G29" t="str">
            <v>-</v>
          </cell>
          <cell r="H29" t="str">
            <v>-</v>
          </cell>
          <cell r="I29">
            <v>-16.934375854631426</v>
          </cell>
          <cell r="J29">
            <v>-13.435126250079467</v>
          </cell>
          <cell r="K29">
            <v>-16.2977232270167</v>
          </cell>
          <cell r="L29">
            <v>-14.53014306741192</v>
          </cell>
          <cell r="M29">
            <v>-11.505508425583956</v>
          </cell>
          <cell r="N29">
            <v>-12.777321040696945</v>
          </cell>
          <cell r="O29">
            <v>-17.341511070106861</v>
          </cell>
          <cell r="P29">
            <v>-4.6851316306849409</v>
          </cell>
          <cell r="Q29">
            <v>3.6463872924491669</v>
          </cell>
          <cell r="R29">
            <v>8.873210929729618</v>
          </cell>
          <cell r="S29">
            <v>8.365437139833503</v>
          </cell>
          <cell r="T29">
            <v>7.5928257018884135</v>
          </cell>
          <cell r="U29">
            <v>7.673656926482213</v>
          </cell>
          <cell r="V29">
            <v>7.8056009273051332</v>
          </cell>
          <cell r="W29">
            <v>10.381384350395914</v>
          </cell>
          <cell r="X29">
            <v>6.6083138180564562</v>
          </cell>
          <cell r="Y29">
            <v>9.4967608244754036</v>
          </cell>
          <cell r="Z29">
            <v>15.618980220982584</v>
          </cell>
          <cell r="AA29">
            <v>9.4655329950458373</v>
          </cell>
          <cell r="AB29">
            <v>20.561496738339201</v>
          </cell>
          <cell r="AC29">
            <v>26.579935129160479</v>
          </cell>
          <cell r="AD29">
            <v>23.827541660648315</v>
          </cell>
          <cell r="AE29">
            <v>28.444901044837302</v>
          </cell>
          <cell r="AF29">
            <v>35.191235695586649</v>
          </cell>
          <cell r="AG29">
            <v>43.001425970834553</v>
          </cell>
          <cell r="AH29">
            <v>47.973662057637036</v>
          </cell>
          <cell r="AI29">
            <v>42.481510195483395</v>
          </cell>
          <cell r="AJ29">
            <v>43.941988777412838</v>
          </cell>
          <cell r="AK29">
            <v>52.810288502442617</v>
          </cell>
          <cell r="AL29">
            <v>58.106705293592157</v>
          </cell>
          <cell r="AM29">
            <v>55.100809626591435</v>
          </cell>
          <cell r="AN29">
            <v>59.209300620374606</v>
          </cell>
          <cell r="AO29">
            <v>65.437519713089458</v>
          </cell>
          <cell r="AP29">
            <v>71.117948842159237</v>
          </cell>
          <cell r="AQ29">
            <v>63.906594077768219</v>
          </cell>
          <cell r="AR29">
            <v>66.732426305053409</v>
          </cell>
          <cell r="AS29">
            <v>72.149253167453793</v>
          </cell>
          <cell r="AT29">
            <v>77.324023370724973</v>
          </cell>
          <cell r="AV29" t="str">
            <v>-</v>
          </cell>
          <cell r="AW29">
            <v>-51.766360431746165</v>
          </cell>
          <cell r="AX29">
            <v>-44.405321040696954</v>
          </cell>
          <cell r="AY29">
            <v>19.247210929729622</v>
          </cell>
          <cell r="AZ29">
            <v>46.924671600029697</v>
          </cell>
          <cell r="BA29">
            <v>63.352980220982602</v>
          </cell>
          <cell r="BB29">
            <v>108.76154166064826</v>
          </cell>
          <cell r="BC29">
            <v>172.682224557637</v>
          </cell>
          <cell r="BD29">
            <v>213.36316839817039</v>
          </cell>
          <cell r="BE29">
            <v>250.8655788022146</v>
          </cell>
          <cell r="BF29">
            <v>280.11229692100028</v>
          </cell>
        </row>
        <row r="31">
          <cell r="C31" t="str">
            <v>-</v>
          </cell>
          <cell r="D31" t="str">
            <v>-</v>
          </cell>
          <cell r="E31" t="str">
            <v>-</v>
          </cell>
          <cell r="F31" t="str">
            <v>-</v>
          </cell>
          <cell r="G31" t="str">
            <v>-</v>
          </cell>
          <cell r="H31" t="str">
            <v>-</v>
          </cell>
          <cell r="I31">
            <v>-16.6191076089722</v>
          </cell>
          <cell r="J31">
            <v>-13.023465519630717</v>
          </cell>
          <cell r="K31">
            <v>-17.182053465747824</v>
          </cell>
          <cell r="L31">
            <v>-13.99552183841886</v>
          </cell>
          <cell r="M31">
            <v>-11.018871568422499</v>
          </cell>
          <cell r="N31">
            <v>-12.450756142801255</v>
          </cell>
          <cell r="O31">
            <v>-18.523531613955232</v>
          </cell>
          <cell r="P31">
            <v>-5.2269677156982786</v>
          </cell>
          <cell r="Q31">
            <v>2.7772311820426512</v>
          </cell>
          <cell r="R31">
            <v>7.0732888138702634</v>
          </cell>
          <cell r="S31">
            <v>6.37520109841648</v>
          </cell>
          <cell r="T31">
            <v>5.5147642594799917</v>
          </cell>
          <cell r="U31">
            <v>2.5130656968931149</v>
          </cell>
          <cell r="V31">
            <v>2.6542441934754173</v>
          </cell>
          <cell r="W31">
            <v>5.5439541794734017</v>
          </cell>
          <cell r="X31">
            <v>1.5245378740100592</v>
          </cell>
          <cell r="Y31">
            <v>3.5568513299283349</v>
          </cell>
          <cell r="Z31">
            <v>8.0618178736581676</v>
          </cell>
          <cell r="AA31">
            <v>3.4740654313359038</v>
          </cell>
          <cell r="AB31">
            <v>15.565687127889355</v>
          </cell>
          <cell r="AC31">
            <v>22.490171203228595</v>
          </cell>
          <cell r="AD31">
            <v>16.806054489486954</v>
          </cell>
          <cell r="AE31">
            <v>21.374249915780517</v>
          </cell>
          <cell r="AF31">
            <v>29.499517257681394</v>
          </cell>
          <cell r="AG31">
            <v>36.453528718907087</v>
          </cell>
          <cell r="AH31">
            <v>43.079956298015382</v>
          </cell>
          <cell r="AI31">
            <v>35.369158242984597</v>
          </cell>
          <cell r="AJ31">
            <v>37.282332926845186</v>
          </cell>
          <cell r="AK31">
            <v>45.342372814650076</v>
          </cell>
          <cell r="AL31">
            <v>50.543081159242988</v>
          </cell>
          <cell r="AM31">
            <v>48.497351513425812</v>
          </cell>
          <cell r="AN31">
            <v>52.095499986167653</v>
          </cell>
          <cell r="AO31">
            <v>58.129108142294655</v>
          </cell>
          <cell r="AP31">
            <v>63.510457514235092</v>
          </cell>
          <cell r="AQ31">
            <v>56.345370763383414</v>
          </cell>
          <cell r="AR31">
            <v>59.006314875766115</v>
          </cell>
          <cell r="AS31">
            <v>64.176211407034927</v>
          </cell>
          <cell r="AT31">
            <v>68.638046384353828</v>
          </cell>
          <cell r="AV31" t="str">
            <v>-</v>
          </cell>
          <cell r="AW31">
            <v>-52.415810591297387</v>
          </cell>
          <cell r="AX31">
            <v>-41.748533920579042</v>
          </cell>
          <cell r="AY31">
            <v>13.48762214720359</v>
          </cell>
          <cell r="AZ31">
            <v>35.695242212352461</v>
          </cell>
          <cell r="BA31">
            <v>38.339587104427423</v>
          </cell>
          <cell r="BB31">
            <v>83.813787822820302</v>
          </cell>
          <cell r="BC31">
            <v>151.10782296468199</v>
          </cell>
          <cell r="BD31">
            <v>187.46497099652288</v>
          </cell>
          <cell r="BE31">
            <v>222.23241715612318</v>
          </cell>
          <cell r="BF31">
            <v>248.16594343053822</v>
          </cell>
        </row>
        <row r="33">
          <cell r="C33" t="str">
            <v>-</v>
          </cell>
          <cell r="D33" t="str">
            <v>-</v>
          </cell>
          <cell r="E33" t="str">
            <v>-</v>
          </cell>
          <cell r="F33" t="str">
            <v>-</v>
          </cell>
          <cell r="G33" t="str">
            <v>-</v>
          </cell>
          <cell r="H33" t="str">
            <v>-</v>
          </cell>
          <cell r="I33">
            <v>-0.187411648167329</v>
          </cell>
          <cell r="J33">
            <v>-0.14205223798945599</v>
          </cell>
          <cell r="K33">
            <v>-0.18427221834649499</v>
          </cell>
          <cell r="L33">
            <v>-0.14625604432114001</v>
          </cell>
          <cell r="M33">
            <v>-0.11372140960287599</v>
          </cell>
          <cell r="N33">
            <v>-0.127243486089267</v>
          </cell>
          <cell r="O33">
            <v>-0.187760865999124</v>
          </cell>
          <cell r="P33">
            <v>-5.2386670381702999E-2</v>
          </cell>
          <cell r="Q33">
            <v>2.5035357439273001E-2</v>
          </cell>
          <cell r="R33">
            <v>6.2598398987359999E-2</v>
          </cell>
          <cell r="S33">
            <v>5.5450939974198997E-2</v>
          </cell>
          <cell r="T33">
            <v>4.8164775624190997E-2</v>
          </cell>
          <cell r="U33">
            <v>2.1791640552216999E-2</v>
          </cell>
          <cell r="V33">
            <v>2.2781900143235001E-2</v>
          </cell>
          <cell r="W33">
            <v>4.7167386514634001E-2</v>
          </cell>
          <cell r="X33">
            <v>1.3195403410743E-2</v>
          </cell>
          <cell r="Y33">
            <v>2.9914467990462001E-2</v>
          </cell>
          <cell r="Z33">
            <v>6.7945406689634003E-2</v>
          </cell>
          <cell r="AA33">
            <v>2.8943124022482E-2</v>
          </cell>
          <cell r="AB33">
            <v>0.12910763864137201</v>
          </cell>
          <cell r="AC33">
            <v>0.18365833284204999</v>
          </cell>
          <cell r="AD33">
            <v>0.13617747794882001</v>
          </cell>
          <cell r="AE33">
            <v>0.17389464165811999</v>
          </cell>
          <cell r="AF33">
            <v>0.237274808795465</v>
          </cell>
          <cell r="AG33">
            <v>0.29591682650730999</v>
          </cell>
          <cell r="AH33">
            <v>0.34437246894177398</v>
          </cell>
          <cell r="AI33">
            <v>0.28584487554160698</v>
          </cell>
          <cell r="AJ33">
            <v>0.30301404244517299</v>
          </cell>
          <cell r="AK33">
            <v>0.36858222879471297</v>
          </cell>
          <cell r="AL33">
            <v>0.41510611652977603</v>
          </cell>
          <cell r="AM33">
            <v>0.40829006041145199</v>
          </cell>
          <cell r="AN33">
            <v>0.43843249916118399</v>
          </cell>
          <cell r="AO33">
            <v>0.48944712508417398</v>
          </cell>
          <cell r="AP33">
            <v>0.53457368660329196</v>
          </cell>
          <cell r="AQ33">
            <v>0.47179930300777001</v>
          </cell>
          <cell r="AR33">
            <v>0.49342692575748698</v>
          </cell>
          <cell r="AS33">
            <v>0.53523887097114597</v>
          </cell>
          <cell r="AT33">
            <v>0.57140588883364896</v>
          </cell>
          <cell r="AV33" t="str">
            <v>-</v>
          </cell>
          <cell r="AW33">
            <v>-0.61940889306550495</v>
          </cell>
          <cell r="AX33">
            <v>-0.43477534836880799</v>
          </cell>
          <cell r="AY33">
            <v>0.121228202529471</v>
          </cell>
          <cell r="AZ33">
            <v>0.31047976045463399</v>
          </cell>
          <cell r="BA33">
            <v>0.32387048943067098</v>
          </cell>
          <cell r="BB33">
            <v>0.69225592422731697</v>
          </cell>
          <cell r="BC33">
            <v>1.222207284106213</v>
          </cell>
          <cell r="BD33">
            <v>1.530826658045956</v>
          </cell>
          <cell r="BE33">
            <v>1.8707809073559329</v>
          </cell>
          <cell r="BF33">
            <v>2.071822447257079</v>
          </cell>
        </row>
        <row r="35">
          <cell r="C35" t="str">
            <v>-</v>
          </cell>
          <cell r="D35" t="str">
            <v>-</v>
          </cell>
          <cell r="E35" t="str">
            <v>-</v>
          </cell>
          <cell r="F35" t="str">
            <v>-</v>
          </cell>
          <cell r="G35" t="str">
            <v>-</v>
          </cell>
          <cell r="H35" t="str">
            <v>-</v>
          </cell>
          <cell r="I35">
            <v>-0.25184083280949998</v>
          </cell>
          <cell r="J35">
            <v>-0.22992843238518601</v>
          </cell>
          <cell r="K35">
            <v>-0.30233204263308699</v>
          </cell>
          <cell r="L35">
            <v>-0.26993957243956601</v>
          </cell>
          <cell r="M35">
            <v>-0.235200219957204</v>
          </cell>
          <cell r="N35">
            <v>-0.34773408471230999</v>
          </cell>
          <cell r="O35">
            <v>-0.31800802807018502</v>
          </cell>
          <cell r="P35">
            <v>-0.20713137264855799</v>
          </cell>
          <cell r="Q35">
            <v>-0.121254422147442</v>
          </cell>
          <cell r="R35">
            <v>-7.2922271897239002E-2</v>
          </cell>
          <cell r="S35">
            <v>-0.10464830729207</v>
          </cell>
          <cell r="T35">
            <v>-0.139290097547386</v>
          </cell>
          <cell r="U35">
            <v>-0.17231683791910099</v>
          </cell>
          <cell r="V35">
            <v>-0.165855546554983</v>
          </cell>
          <cell r="W35">
            <v>-0.15420615062557999</v>
          </cell>
          <cell r="X35">
            <v>-0.22616574076832199</v>
          </cell>
          <cell r="Y35">
            <v>-0.228378406111203</v>
          </cell>
          <cell r="Z35">
            <v>-0.20746990682927999</v>
          </cell>
          <cell r="AA35">
            <v>-0.244444410486125</v>
          </cell>
          <cell r="AB35">
            <v>-0.16205815102995799</v>
          </cell>
          <cell r="AC35">
            <v>-0.139232994683269</v>
          </cell>
          <cell r="AD35">
            <v>-0.23684876264163399</v>
          </cell>
          <cell r="AE35">
            <v>-0.20689899577860099</v>
          </cell>
          <cell r="AF35">
            <v>-0.144366526617839</v>
          </cell>
          <cell r="AG35">
            <v>-8.4746652176586001E-2</v>
          </cell>
          <cell r="AH35">
            <v>-3.6525601390932E-2</v>
          </cell>
          <cell r="AI35">
            <v>-0.189513489689665</v>
          </cell>
          <cell r="AJ35">
            <v>-0.13915476119981199</v>
          </cell>
          <cell r="AK35">
            <v>-5.7213293909689003E-2</v>
          </cell>
          <cell r="AL35">
            <v>-1.946708105729E-2</v>
          </cell>
          <cell r="AM35">
            <v>-5.7870224253872997E-2</v>
          </cell>
          <cell r="AN35">
            <v>-2.7188851532990001E-3</v>
          </cell>
          <cell r="AO35">
            <v>5.2351899099527997E-2</v>
          </cell>
          <cell r="AP35">
            <v>9.3502048869111995E-2</v>
          </cell>
          <cell r="AQ35">
            <v>-7.1844945799999998E-6</v>
          </cell>
          <cell r="AR35">
            <v>3.5819243058615002E-2</v>
          </cell>
          <cell r="AS35">
            <v>8.8742496428135004E-2</v>
          </cell>
          <cell r="AT35">
            <v>0.118787491524357</v>
          </cell>
          <cell r="AV35" t="str">
            <v>-</v>
          </cell>
          <cell r="AW35">
            <v>-0.86620999753788297</v>
          </cell>
          <cell r="AX35">
            <v>-0.99003801132450797</v>
          </cell>
          <cell r="AY35">
            <v>-0.46178916490904298</v>
          </cell>
          <cell r="AZ35">
            <v>-0.405361313566939</v>
          </cell>
          <cell r="BA35">
            <v>-0.70694491856872799</v>
          </cell>
          <cell r="BB35">
            <v>-0.607185209176068</v>
          </cell>
          <cell r="BC35">
            <v>-0.34700437617211399</v>
          </cell>
          <cell r="BD35">
            <v>-0.30972101525364298</v>
          </cell>
          <cell r="BE35">
            <v>8.5629387365228002E-2</v>
          </cell>
          <cell r="BF35">
            <v>0.244258018968604</v>
          </cell>
        </row>
        <row r="38">
          <cell r="C38" t="str">
            <v>-</v>
          </cell>
          <cell r="D38" t="str">
            <v>-</v>
          </cell>
          <cell r="E38" t="str">
            <v>-</v>
          </cell>
          <cell r="F38" t="str">
            <v>-</v>
          </cell>
          <cell r="G38" t="str">
            <v>-</v>
          </cell>
          <cell r="H38" t="str">
            <v>-</v>
          </cell>
          <cell r="I38" t="str">
            <v>-</v>
          </cell>
          <cell r="J38" t="str">
            <v>-</v>
          </cell>
          <cell r="K38" t="str">
            <v>-</v>
          </cell>
          <cell r="L38" t="str">
            <v>-</v>
          </cell>
          <cell r="M38" t="str">
            <v>-</v>
          </cell>
          <cell r="N38" t="str">
            <v>-</v>
          </cell>
          <cell r="O38" t="str">
            <v>-</v>
          </cell>
          <cell r="P38" t="str">
            <v>-</v>
          </cell>
          <cell r="Q38" t="str">
            <v>-</v>
          </cell>
          <cell r="R38" t="str">
            <v>-</v>
          </cell>
          <cell r="S38" t="str">
            <v>-</v>
          </cell>
          <cell r="T38" t="str">
            <v>-</v>
          </cell>
          <cell r="U38" t="str">
            <v>-</v>
          </cell>
          <cell r="V38">
            <v>13.964751610171598</v>
          </cell>
          <cell r="W38">
            <v>23.618509637394556</v>
          </cell>
          <cell r="X38">
            <v>13.377349703135881</v>
          </cell>
          <cell r="Y38">
            <v>19.743008296548535</v>
          </cell>
          <cell r="Z38">
            <v>22.26498399641099</v>
          </cell>
          <cell r="AA38">
            <v>40.164960549175703</v>
          </cell>
          <cell r="AB38">
            <v>28.457831417398335</v>
          </cell>
          <cell r="AC38">
            <v>43.781652194960685</v>
          </cell>
          <cell r="AD38">
            <v>33.295777999127537</v>
          </cell>
          <cell r="AE38">
            <v>55.475784966331574</v>
          </cell>
          <cell r="AF38">
            <v>36.010037059474648</v>
          </cell>
          <cell r="AG38">
            <v>57.870840423847177</v>
          </cell>
          <cell r="AH38">
            <v>78.94612680827025</v>
          </cell>
          <cell r="AI38">
            <v>64.220954874427591</v>
          </cell>
          <cell r="AJ38">
            <v>40.779182681098774</v>
          </cell>
          <cell r="AK38">
            <v>62.351258355393249</v>
          </cell>
          <cell r="AL38">
            <v>81.042963239708882</v>
          </cell>
          <cell r="AM38">
            <v>87.85975151344023</v>
          </cell>
          <cell r="AN38">
            <v>46.841860139663936</v>
          </cell>
          <cell r="AO38">
            <v>65.19158714864038</v>
          </cell>
          <cell r="AP38">
            <v>91.181816048150168</v>
          </cell>
          <cell r="AQ38">
            <v>92.186185868666115</v>
          </cell>
          <cell r="AR38">
            <v>61.852169810077683</v>
          </cell>
          <cell r="AS38">
            <v>72.075503481157341</v>
          </cell>
          <cell r="AT38">
            <v>101.43384967277534</v>
          </cell>
          <cell r="AV38" t="str">
            <v>-</v>
          </cell>
          <cell r="AW38" t="str">
            <v>-</v>
          </cell>
          <cell r="AX38" t="str">
            <v>-</v>
          </cell>
          <cell r="AY38" t="str">
            <v>-</v>
          </cell>
          <cell r="AZ38">
            <v>84.987115246535552</v>
          </cell>
          <cell r="BA38">
            <v>107.59352945095637</v>
          </cell>
          <cell r="BB38">
            <v>139.36408569143532</v>
          </cell>
          <cell r="BC38">
            <v>230.99967263741655</v>
          </cell>
          <cell r="BD38">
            <v>270.64549875121099</v>
          </cell>
          <cell r="BE38">
            <v>291.07501484989467</v>
          </cell>
          <cell r="BF38">
            <v>327.54770883267645</v>
          </cell>
        </row>
      </sheetData>
      <sheetData sheetId="13"/>
      <sheetData sheetId="14"/>
      <sheetData sheetId="15"/>
      <sheetData sheetId="16"/>
      <sheetData sheetId="17"/>
      <sheetData sheetId="18"/>
      <sheetData sheetId="19"/>
      <sheetData sheetId="20"/>
      <sheetData sheetId="21"/>
    </sheetDataSet>
  </externalBook>
</externalLink>
</file>

<file path=xl/persons/person.xml><?xml version="1.0" encoding="utf-8"?>
<personList xmlns="http://schemas.microsoft.com/office/spreadsheetml/2018/threadedcomments" xmlns:x="http://schemas.openxmlformats.org/spreadsheetml/2006/main">
  <person displayName="Unger, David" id="{C7DD7C6E-E068-4D3A-8CA0-D73CEE390226}" userId="S::David.Unger@wellsfargo.com::e6d0cbf0-34d4-4be6-8c5f-8d9f8e7fbd04" providerId="AD"/>
</personList>
</file>

<file path=xl/theme/theme1.xml><?xml version="1.0" encoding="utf-8"?>
<a:theme xmlns:a="http://schemas.openxmlformats.org/drawingml/2006/main" name="Theme1">
  <a:themeElements>
    <a:clrScheme name="WF CIB Full color Theme">
      <a:dk1>
        <a:srgbClr val="141414"/>
      </a:dk1>
      <a:lt1>
        <a:srgbClr val="FFFFFF"/>
      </a:lt1>
      <a:dk2>
        <a:srgbClr val="706D6B"/>
      </a:dk2>
      <a:lt2>
        <a:srgbClr val="E1E1E1"/>
      </a:lt2>
      <a:accent1>
        <a:srgbClr val="B42D19"/>
      </a:accent1>
      <a:accent2>
        <a:srgbClr val="87190A"/>
      </a:accent2>
      <a:accent3>
        <a:srgbClr val="640A4B"/>
      </a:accent3>
      <a:accent4>
        <a:srgbClr val="5A469B"/>
      </a:accent4>
      <a:accent5>
        <a:srgbClr val="352B6B"/>
      </a:accent5>
      <a:accent6>
        <a:srgbClr val="403C3A"/>
      </a:accent6>
      <a:hlink>
        <a:srgbClr val="5A469B"/>
      </a:hlink>
      <a:folHlink>
        <a:srgbClr val="5A469B"/>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K33" dT="2025-11-07T16:34:09.32" personId="{C7DD7C6E-E068-4D3A-8CA0-D73CEE390226}" id="{D86D23D4-F67A-447C-80EA-D1AE80CF228F}">
    <text>7</text>
  </threadedComment>
  <threadedComment ref="AL33" dT="2026-02-05T00:33:10.09" personId="{C7DD7C6E-E068-4D3A-8CA0-D73CEE390226}" id="{0F9C1A64-9A02-4D2F-BEC9-93D8E8854901}">
    <text>2.9</text>
  </threadedComment>
  <threadedComment ref="BD33" dT="2026-02-05T00:35:47.56" personId="{C7DD7C6E-E068-4D3A-8CA0-D73CEE390226}" id="{AAFB2272-2D2D-4CD0-BBC1-53E392E2B9CF}">
    <text>10.4</text>
  </threadedComment>
  <threadedComment ref="AK34" dT="2025-11-07T16:34:17.21" personId="{C7DD7C6E-E068-4D3A-8CA0-D73CEE390226}" id="{DB960324-0C9D-419A-A355-57E9586C753A}">
    <text>3.2</text>
  </threadedComment>
  <threadedComment ref="AL34" dT="2026-02-05T00:33:17.85" personId="{C7DD7C6E-E068-4D3A-8CA0-D73CEE390226}" id="{0DFE9202-3871-466A-BC9F-998A201635D1}">
    <text>6.4</text>
  </threadedComment>
  <threadedComment ref="BD34" dT="2026-02-05T00:35:54.81" personId="{C7DD7C6E-E068-4D3A-8CA0-D73CEE390226}" id="{1E339741-907A-405C-B0DA-BF081B6BFB5B}">
    <text>25.9</text>
  </threadedComment>
  <threadedComment ref="AK37" dT="2025-11-07T16:34:24.00" personId="{C7DD7C6E-E068-4D3A-8CA0-D73CEE390226}" id="{F2833F34-5E6D-4E9F-9DDD-397EAC0E51D0}">
    <text>3.4</text>
  </threadedComment>
  <threadedComment ref="AL37" dT="2026-02-05T00:33:27.44" personId="{C7DD7C6E-E068-4D3A-8CA0-D73CEE390226}" id="{3DE43A29-AC2F-4DEC-8707-9C268DE7E58B}">
    <text>3.1</text>
  </threadedComment>
  <threadedComment ref="BD37" dT="2026-02-05T00:36:05.83" personId="{C7DD7C6E-E068-4D3A-8CA0-D73CEE390226}" id="{3083AE7E-4755-48F1-B033-4B271D53B62B}">
    <text>13.3</text>
  </threadedComment>
  <threadedComment ref="AJ53" dT="2025-07-30T21:56:10.15" personId="{C7DD7C6E-E068-4D3A-8CA0-D73CEE390226}" id="{986704E4-D5E0-4C4D-BE51-37A1C820DA58}">
    <text>123</text>
  </threadedComment>
  <threadedComment ref="AK53" dT="2025-11-07T16:34:42.90" personId="{C7DD7C6E-E068-4D3A-8CA0-D73CEE390226}" id="{29E4F848-A61E-4666-832E-B9203BDD7A2A}">
    <text>121.5</text>
  </threadedComment>
  <threadedComment ref="AL53" dT="2026-02-05T00:33:37.41" personId="{C7DD7C6E-E068-4D3A-8CA0-D73CEE390226}" id="{BF784C76-A9EB-4843-AD30-B82655326A46}">
    <text>118</text>
  </threadedComment>
  <threadedComment ref="BD53" dT="2026-02-05T00:36:25.08" personId="{C7DD7C6E-E068-4D3A-8CA0-D73CEE390226}" id="{ABCA9D2C-DC0C-4DBB-B03D-BBEF1C81BBB5}">
    <text>118</text>
  </threadedComment>
  <threadedComment ref="AJ69" dT="2025-07-30T21:43:07.19" personId="{C7DD7C6E-E068-4D3A-8CA0-D73CEE390226}" id="{44488B96-F0C0-4124-8B4D-9B71A97F7668}">
    <text>Flat to modestly lower</text>
  </threadedComment>
  <threadedComment ref="AJ71" dT="2025-07-30T21:44:36.31" personId="{C7DD7C6E-E068-4D3A-8CA0-D73CEE390226}" id="{E3C61257-460B-4486-A2F4-CFDC303B3D2C}">
    <text xml:space="preserve">Looking ahead, we expect sales and marketing as a percent of revenue to trend somewhat lower, reflecting higher levels of sales productivity and greater efficiency in our go to market organization </text>
  </threadedComment>
</ThreadedComments>
</file>

<file path=xl/threadedComments/threadedComment2.xml><?xml version="1.0" encoding="utf-8"?>
<ThreadedComments xmlns="http://schemas.microsoft.com/office/spreadsheetml/2018/threadedcomments" xmlns:x="http://schemas.openxmlformats.org/spreadsheetml/2006/main">
  <threadedComment ref="BC41" dT="2025-07-30T21:57:23.05" personId="{C7DD7C6E-E068-4D3A-8CA0-D73CEE390226}" id="{940282A8-C743-47F5-8CD1-1A3FE877E8E1}">
    <text>1.038-1.048</text>
  </threadedComment>
  <threadedComment ref="BD41" dT="2026-02-05T01:11:48.13" personId="{C7DD7C6E-E068-4D3A-8CA0-D73CEE390226}" id="{BC82EE2E-86A3-4FEC-B57F-BC16C92D4662}">
    <text xml:space="preserve">As discussed previously, changes in billing duration due to the shift to annual installment billing is creating negative distortion in calculated current billings that fails to accurately represent our growth rate, and we have transitioned away from relying on calculated current billings to monitor performance of our business. Consequently, we will no longer provide a specific guidance range for calculated current billings in 2026 and forward. However, while we will not provide a specific guidance range, we expect full year 2026 calculated current billings will be in line with current consensus expectations, despite the anticipated billings duration headwinds. </text>
  </threadedComment>
</ThreadedComments>
</file>

<file path=xl/threadedComments/threadedComment3.xml><?xml version="1.0" encoding="utf-8"?>
<ThreadedComments xmlns="http://schemas.microsoft.com/office/spreadsheetml/2018/threadedcomments" xmlns:x="http://schemas.openxmlformats.org/spreadsheetml/2006/main">
  <threadedComment ref="BC50" dT="2025-07-30T21:58:32.02" personId="{C7DD7C6E-E068-4D3A-8CA0-D73CEE390226}" id="{A3693296-939E-48C9-B037-08F3C8F934EF}">
    <text>265-275</text>
  </threadedComment>
  <threadedComment ref="BC50" dT="2025-11-07T16:37:22.43" personId="{C7DD7C6E-E068-4D3A-8CA0-D73CEE390226}" id="{AC52FD64-A685-4E26-816C-ACE3A4CE740F}" parentId="{A3693296-939E-48C9-B037-08F3C8F934EF}">
    <text>265-275</text>
  </threadedComment>
  <threadedComment ref="BD50" dT="2026-02-05T00:36:52.20" personId="{C7DD7C6E-E068-4D3A-8CA0-D73CEE390226}" id="{0C57D4B4-AD90-4CBF-92FF-40B04C3BC372}">
    <text>285-295</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richard.d.poland@wellsfargo.com"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5DD73-3C60-48C1-91FD-58FE4E279B83}">
  <sheetPr>
    <pageSetUpPr fitToPage="1"/>
  </sheetPr>
  <dimension ref="A1:L192"/>
  <sheetViews>
    <sheetView showGridLines="0" zoomScale="85" zoomScaleNormal="85" workbookViewId="0">
      <selection activeCell="C10" sqref="C10"/>
    </sheetView>
  </sheetViews>
  <sheetFormatPr defaultColWidth="9.1328125" defaultRowHeight="12.4"/>
  <cols>
    <col min="1" max="1" width="2.86328125" style="1" customWidth="1"/>
    <col min="2" max="2" width="0.59765625" style="1" customWidth="1"/>
    <col min="3" max="3" width="29.1328125" style="1" customWidth="1"/>
    <col min="4" max="4" width="5.86328125" style="1" customWidth="1"/>
    <col min="5" max="5" width="29.1328125" style="1" customWidth="1"/>
    <col min="6" max="6" width="2.86328125" style="1" customWidth="1"/>
    <col min="7" max="7" width="29.1328125" style="1" customWidth="1"/>
    <col min="8" max="8" width="2.86328125" style="1" customWidth="1"/>
    <col min="9" max="9" width="29.1328125" style="1" customWidth="1"/>
    <col min="10" max="10" width="2.86328125" style="1" customWidth="1"/>
    <col min="11" max="11" width="29.1328125" style="1" customWidth="1"/>
    <col min="12" max="12" width="2.86328125" style="1" customWidth="1"/>
    <col min="13" max="16384" width="9.1328125" style="5"/>
  </cols>
  <sheetData>
    <row r="1" spans="2:12" s="1" customFormat="1"/>
    <row r="2" spans="2:12" s="1" customFormat="1"/>
    <row r="3" spans="2:12" s="1" customFormat="1" ht="3" customHeight="1"/>
    <row r="5" spans="2:12" ht="29.65">
      <c r="B5" s="2"/>
      <c r="C5" s="3" t="s">
        <v>0</v>
      </c>
      <c r="E5" s="4"/>
      <c r="G5" s="4"/>
      <c r="I5" s="4"/>
      <c r="K5" s="4"/>
    </row>
    <row r="6" spans="2:12" ht="48.95" customHeight="1">
      <c r="C6" s="6"/>
      <c r="E6" s="7"/>
      <c r="G6" s="7"/>
      <c r="I6" s="7"/>
      <c r="K6" s="7"/>
    </row>
    <row r="7" spans="2:12" ht="16.5">
      <c r="C7" s="8" t="s">
        <v>1</v>
      </c>
      <c r="E7" s="9"/>
      <c r="G7" s="9"/>
      <c r="I7" s="9"/>
      <c r="K7" s="9"/>
    </row>
    <row r="8" spans="2:12" ht="16.5">
      <c r="C8" s="10" t="s">
        <v>2</v>
      </c>
      <c r="E8" s="7"/>
      <c r="G8" s="7"/>
      <c r="I8" s="7"/>
      <c r="K8" s="7"/>
    </row>
    <row r="9" spans="2:12" ht="16.5">
      <c r="C9" s="11">
        <v>46083</v>
      </c>
      <c r="E9" s="7"/>
      <c r="G9" s="7"/>
      <c r="I9" s="7"/>
      <c r="K9" s="7"/>
    </row>
    <row r="10" spans="2:12" s="1" customFormat="1" ht="3" customHeight="1"/>
    <row r="11" spans="2:12" s="1" customFormat="1"/>
    <row r="12" spans="2:12" s="1" customFormat="1" ht="31.9">
      <c r="C12" s="12" t="str">
        <f>+'Income Statement'!A1</f>
        <v>Tenable Holdings, Inc. (TENB)</v>
      </c>
      <c r="E12" s="13"/>
      <c r="G12" s="13"/>
      <c r="I12" s="13"/>
      <c r="K12" s="13"/>
    </row>
    <row r="13" spans="2:12" s="1" customFormat="1">
      <c r="C13" s="14"/>
      <c r="E13" s="14"/>
      <c r="G13" s="14"/>
      <c r="I13" s="14"/>
      <c r="K13" s="14"/>
    </row>
    <row r="14" spans="2:12" s="1" customFormat="1"/>
    <row r="15" spans="2:12" ht="3" customHeight="1">
      <c r="B15" s="15"/>
      <c r="C15" s="15"/>
      <c r="D15" s="15"/>
      <c r="E15" s="15"/>
      <c r="F15" s="15"/>
      <c r="G15" s="15"/>
      <c r="H15" s="15"/>
      <c r="I15" s="15"/>
      <c r="J15" s="15"/>
      <c r="K15" s="15"/>
      <c r="L15" s="15"/>
    </row>
    <row r="16" spans="2:12" s="1" customFormat="1"/>
    <row r="17" spans="3:11" s="1" customFormat="1" ht="16.5">
      <c r="C17" s="16" t="s">
        <v>3</v>
      </c>
      <c r="E17" s="17"/>
      <c r="G17" s="17"/>
      <c r="I17" s="17"/>
      <c r="K17" s="17"/>
    </row>
    <row r="18" spans="3:11" s="1" customFormat="1"/>
    <row r="19" spans="3:11" s="1" customFormat="1" ht="13.9">
      <c r="C19" s="18" t="s">
        <v>4</v>
      </c>
      <c r="D19" s="19"/>
      <c r="E19" s="18" t="s">
        <v>5</v>
      </c>
      <c r="F19" s="19"/>
      <c r="G19" s="19"/>
    </row>
    <row r="20" spans="3:11" s="1" customFormat="1" ht="13.5">
      <c r="C20" s="20" t="s">
        <v>6</v>
      </c>
      <c r="D20" s="19"/>
      <c r="E20" s="20" t="s">
        <v>7</v>
      </c>
      <c r="F20" s="19"/>
      <c r="G20" s="19"/>
    </row>
    <row r="21" spans="3:11" s="1" customFormat="1" ht="13.5">
      <c r="C21" s="21" t="s">
        <v>8</v>
      </c>
      <c r="D21" s="19"/>
      <c r="E21" s="21" t="s">
        <v>9</v>
      </c>
      <c r="F21" s="19"/>
      <c r="G21" s="19"/>
    </row>
    <row r="22" spans="3:11" s="1" customFormat="1" ht="13.5">
      <c r="C22" s="22" t="s">
        <v>10</v>
      </c>
      <c r="D22" s="19"/>
      <c r="E22" s="22" t="s">
        <v>11</v>
      </c>
      <c r="F22" s="19"/>
      <c r="G22" s="19"/>
    </row>
    <row r="23" spans="3:11" s="1" customFormat="1"/>
    <row r="24" spans="3:11" s="1" customFormat="1" ht="13.5">
      <c r="C24" s="23" t="s">
        <v>12</v>
      </c>
      <c r="D24" s="24"/>
      <c r="E24" s="25"/>
      <c r="F24" s="24"/>
      <c r="G24" s="25"/>
      <c r="H24" s="24"/>
      <c r="I24" s="24"/>
    </row>
    <row r="25" spans="3:11" s="1" customFormat="1">
      <c r="C25" s="25"/>
      <c r="D25" s="24"/>
      <c r="E25" s="25"/>
      <c r="F25" s="24"/>
      <c r="G25" s="25"/>
      <c r="H25" s="24"/>
      <c r="I25" s="24"/>
    </row>
    <row r="26" spans="3:11" s="1" customFormat="1">
      <c r="C26" s="25"/>
      <c r="D26" s="24"/>
      <c r="E26" s="25"/>
      <c r="F26" s="24"/>
      <c r="G26" s="25"/>
      <c r="H26" s="24"/>
      <c r="I26" s="24"/>
    </row>
    <row r="27" spans="3:11" s="1" customFormat="1">
      <c r="C27" s="25"/>
      <c r="D27" s="24"/>
      <c r="E27" s="25"/>
      <c r="F27" s="24"/>
      <c r="G27" s="25"/>
      <c r="H27" s="24"/>
      <c r="I27" s="24"/>
    </row>
    <row r="28" spans="3:11" s="1" customFormat="1">
      <c r="C28" s="25"/>
      <c r="D28" s="24"/>
      <c r="E28" s="25"/>
      <c r="F28" s="24"/>
      <c r="G28" s="25"/>
      <c r="H28" s="24"/>
      <c r="I28" s="24"/>
    </row>
    <row r="29" spans="3:11" s="1" customFormat="1">
      <c r="D29" s="26"/>
      <c r="E29" s="27"/>
      <c r="F29" s="24"/>
      <c r="G29" s="25"/>
      <c r="H29" s="24"/>
      <c r="I29" s="24"/>
    </row>
    <row r="30" spans="3:11" s="1" customFormat="1">
      <c r="C30" s="25"/>
      <c r="D30" s="24"/>
      <c r="E30" s="25"/>
      <c r="F30" s="24"/>
      <c r="G30" s="25"/>
      <c r="H30" s="24"/>
      <c r="I30" s="24"/>
    </row>
    <row r="31" spans="3:11" s="1" customFormat="1">
      <c r="C31" s="25"/>
      <c r="D31" s="24"/>
      <c r="E31" s="25"/>
      <c r="F31" s="24"/>
      <c r="G31" s="25"/>
      <c r="H31" s="24"/>
      <c r="I31" s="24"/>
    </row>
    <row r="32" spans="3:11" s="1" customFormat="1">
      <c r="C32" s="25"/>
      <c r="D32" s="24"/>
      <c r="E32" s="25"/>
      <c r="F32" s="24"/>
      <c r="G32" s="25"/>
      <c r="H32" s="24"/>
      <c r="I32" s="24"/>
    </row>
    <row r="33" spans="2:12" s="1" customFormat="1">
      <c r="C33" s="25"/>
      <c r="D33" s="24"/>
      <c r="E33" s="25"/>
      <c r="F33" s="24"/>
      <c r="G33" s="25"/>
      <c r="H33" s="24"/>
      <c r="I33" s="24"/>
    </row>
    <row r="34" spans="2:12" s="1" customFormat="1">
      <c r="C34" s="25"/>
      <c r="D34" s="24"/>
      <c r="E34" s="25"/>
      <c r="F34" s="24"/>
      <c r="G34" s="25"/>
      <c r="H34" s="24"/>
      <c r="I34" s="24"/>
    </row>
    <row r="35" spans="2:12" s="1" customFormat="1">
      <c r="C35" s="25"/>
      <c r="D35" s="24"/>
      <c r="E35" s="25"/>
      <c r="F35" s="24"/>
      <c r="G35" s="25"/>
      <c r="H35" s="24"/>
      <c r="I35" s="24"/>
    </row>
    <row r="36" spans="2:12" s="1" customFormat="1">
      <c r="C36" s="25"/>
      <c r="D36" s="24"/>
      <c r="E36" s="25"/>
      <c r="F36" s="24"/>
      <c r="G36" s="25"/>
      <c r="H36" s="24"/>
      <c r="I36" s="24"/>
    </row>
    <row r="37" spans="2:12" s="1" customFormat="1">
      <c r="C37" s="25"/>
      <c r="D37" s="24"/>
      <c r="E37" s="25"/>
      <c r="F37" s="24"/>
      <c r="G37" s="25"/>
      <c r="H37" s="24"/>
      <c r="I37" s="24"/>
    </row>
    <row r="38" spans="2:12" s="1" customFormat="1">
      <c r="C38" s="25"/>
      <c r="D38" s="24"/>
      <c r="E38" s="25"/>
      <c r="F38" s="24"/>
      <c r="G38" s="25"/>
      <c r="H38" s="24"/>
      <c r="I38" s="24"/>
    </row>
    <row r="39" spans="2:12" s="1" customFormat="1">
      <c r="C39" s="25"/>
      <c r="D39" s="24"/>
      <c r="E39" s="25"/>
      <c r="F39" s="24"/>
      <c r="G39" s="25"/>
      <c r="H39" s="24"/>
      <c r="I39" s="24"/>
    </row>
    <row r="40" spans="2:12" s="1" customFormat="1">
      <c r="C40" s="25"/>
      <c r="D40" s="24"/>
      <c r="E40" s="25"/>
      <c r="F40" s="24"/>
      <c r="G40" s="25"/>
      <c r="H40" s="24"/>
      <c r="I40" s="24"/>
    </row>
    <row r="41" spans="2:12" s="1" customFormat="1">
      <c r="C41" s="25"/>
      <c r="D41" s="24"/>
      <c r="E41" s="25"/>
      <c r="F41" s="24"/>
      <c r="G41" s="25"/>
      <c r="H41" s="24"/>
      <c r="I41" s="24"/>
    </row>
    <row r="42" spans="2:12" s="1" customFormat="1"/>
    <row r="43" spans="2:12" ht="3" customHeight="1">
      <c r="B43" s="15"/>
      <c r="C43" s="15"/>
      <c r="D43" s="15"/>
      <c r="E43" s="15"/>
      <c r="F43" s="15"/>
      <c r="G43" s="15"/>
      <c r="H43" s="15"/>
      <c r="I43" s="15"/>
      <c r="J43" s="15"/>
      <c r="K43" s="15"/>
      <c r="L43" s="15"/>
    </row>
    <row r="44" spans="2:12" ht="3" customHeight="1">
      <c r="B44" s="15"/>
      <c r="C44" s="15"/>
      <c r="D44" s="15"/>
      <c r="E44" s="15"/>
      <c r="F44" s="15"/>
      <c r="G44" s="15"/>
      <c r="H44" s="15"/>
      <c r="I44" s="15"/>
      <c r="J44" s="15"/>
      <c r="K44" s="15"/>
      <c r="L44" s="15"/>
    </row>
    <row r="45" spans="2:12" s="1" customFormat="1"/>
    <row r="46" spans="2:12" s="1" customFormat="1"/>
    <row r="47" spans="2:12" s="1" customFormat="1"/>
    <row r="48" spans="2:12"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sheetData>
  <hyperlinks>
    <hyperlink ref="C22" r:id="rId1" xr:uid="{4F6DB2EF-C7D3-46DD-84F8-D7D0EEB11A5D}"/>
  </hyperlinks>
  <pageMargins left="0.7" right="0.7" top="0.75" bottom="0.75" header="0.3" footer="0.3"/>
  <pageSetup scale="69" orientation="landscape" r:id="rId2"/>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EDD6E-82A2-4FDD-870F-B8CA22D72233}">
  <sheetPr>
    <tabColor rgb="FF008000"/>
    <pageSetUpPr fitToPage="1"/>
  </sheetPr>
  <dimension ref="A1:BJ200"/>
  <sheetViews>
    <sheetView showGridLines="0" zoomScaleNormal="100" workbookViewId="0">
      <pane xSplit="1" ySplit="4" topLeftCell="AH44" activePane="bottomRight" state="frozen"/>
      <selection activeCell="N24" sqref="N24"/>
      <selection pane="topRight" activeCell="N24" sqref="N24"/>
      <selection pane="bottomLeft" activeCell="N24" sqref="N24"/>
      <selection pane="bottomRight" activeCell="N24" sqref="N24"/>
    </sheetView>
  </sheetViews>
  <sheetFormatPr defaultColWidth="6.86328125" defaultRowHeight="12.75" outlineLevelRow="1" outlineLevelCol="1"/>
  <cols>
    <col min="1" max="1" width="40" style="33" customWidth="1"/>
    <col min="2" max="5" width="7.86328125" style="33" hidden="1" customWidth="1" outlineLevel="1"/>
    <col min="6" max="7" width="8.1328125" style="33" hidden="1" customWidth="1" outlineLevel="1"/>
    <col min="8" max="8" width="8.1328125" style="31" hidden="1" customWidth="1" outlineLevel="1"/>
    <col min="9" max="9" width="7.86328125" style="33" hidden="1" customWidth="1" outlineLevel="1"/>
    <col min="10" max="17" width="8.1328125" style="33" hidden="1" customWidth="1" outlineLevel="1"/>
    <col min="18" max="18" width="8.1328125" style="33" hidden="1" customWidth="1" outlineLevel="1" collapsed="1"/>
    <col min="19" max="19" width="8.1328125" style="33" hidden="1" customWidth="1" outlineLevel="1"/>
    <col min="20" max="20" width="8.86328125" style="33" hidden="1" customWidth="1" outlineLevel="1"/>
    <col min="21" max="21" width="8.1328125" style="33" hidden="1" customWidth="1" outlineLevel="1"/>
    <col min="22" max="22" width="7.86328125" style="33" hidden="1" customWidth="1" outlineLevel="1"/>
    <col min="23" max="24" width="8.86328125" style="33" hidden="1" customWidth="1" outlineLevel="1"/>
    <col min="25" max="25" width="7.86328125" style="33" hidden="1" customWidth="1" outlineLevel="1"/>
    <col min="26" max="26" width="7.86328125" style="33" hidden="1" customWidth="1" outlineLevel="1" collapsed="1"/>
    <col min="27" max="29" width="7.86328125" style="33" hidden="1" customWidth="1" outlineLevel="1"/>
    <col min="30" max="30" width="7.86328125" style="33" customWidth="1" collapsed="1"/>
    <col min="31" max="45" width="7.86328125" style="33" customWidth="1"/>
    <col min="46" max="46" width="2.59765625" style="33" customWidth="1"/>
    <col min="47" max="47" width="9.1328125" style="33" hidden="1" customWidth="1" outlineLevel="1" collapsed="1"/>
    <col min="48" max="48" width="9.86328125" style="33" hidden="1" customWidth="1" outlineLevel="1"/>
    <col min="49" max="50" width="9.1328125" style="33" hidden="1" customWidth="1" outlineLevel="1"/>
    <col min="51" max="51" width="9.1328125" style="33" hidden="1" customWidth="1" outlineLevel="1" collapsed="1"/>
    <col min="52" max="52" width="9.1328125" style="33" hidden="1" customWidth="1" outlineLevel="1"/>
    <col min="53" max="53" width="9.1328125" style="33" hidden="1" customWidth="1" outlineLevel="1" collapsed="1"/>
    <col min="54" max="54" width="9.1328125" style="33" customWidth="1" collapsed="1"/>
    <col min="55" max="57" width="9.1328125" style="33" customWidth="1"/>
    <col min="58" max="59" width="6.86328125" style="33"/>
    <col min="61" max="16384" width="6.86328125" style="33"/>
  </cols>
  <sheetData>
    <row r="1" spans="1:57" ht="15.75">
      <c r="A1" s="28" t="s">
        <v>13</v>
      </c>
      <c r="B1" s="29"/>
      <c r="C1" s="30"/>
      <c r="D1" s="29"/>
      <c r="E1" s="29"/>
      <c r="F1" s="31"/>
      <c r="G1" s="32"/>
      <c r="H1" s="32"/>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29"/>
      <c r="AQ1" s="29"/>
      <c r="AR1" s="29"/>
      <c r="AS1" s="29"/>
      <c r="AT1" s="29"/>
      <c r="AU1" s="29"/>
      <c r="AV1" s="29"/>
      <c r="AW1" s="29"/>
      <c r="AX1" s="29"/>
      <c r="AY1" s="29"/>
      <c r="AZ1" s="29"/>
      <c r="BA1" s="29"/>
      <c r="BB1" s="29"/>
      <c r="BC1" s="29"/>
      <c r="BD1" s="29"/>
      <c r="BE1" s="29"/>
    </row>
    <row r="2" spans="1:57" s="39" customFormat="1" ht="15.75">
      <c r="A2" s="28" t="s">
        <v>14</v>
      </c>
      <c r="B2" s="34" t="s">
        <v>15</v>
      </c>
      <c r="C2" s="34" t="s">
        <v>16</v>
      </c>
      <c r="D2" s="34" t="s">
        <v>17</v>
      </c>
      <c r="E2" s="34" t="s">
        <v>18</v>
      </c>
      <c r="F2" s="34" t="s">
        <v>19</v>
      </c>
      <c r="G2" s="34" t="s">
        <v>20</v>
      </c>
      <c r="H2" s="34" t="s">
        <v>21</v>
      </c>
      <c r="I2" s="34" t="s">
        <v>22</v>
      </c>
      <c r="J2" s="34" t="s">
        <v>23</v>
      </c>
      <c r="K2" s="34" t="s">
        <v>24</v>
      </c>
      <c r="L2" s="34" t="s">
        <v>25</v>
      </c>
      <c r="M2" s="34" t="s">
        <v>26</v>
      </c>
      <c r="N2" s="34" t="s">
        <v>27</v>
      </c>
      <c r="O2" s="34" t="s">
        <v>28</v>
      </c>
      <c r="P2" s="34" t="s">
        <v>29</v>
      </c>
      <c r="Q2" s="34" t="s">
        <v>30</v>
      </c>
      <c r="R2" s="35" t="s">
        <v>31</v>
      </c>
      <c r="S2" s="35" t="s">
        <v>32</v>
      </c>
      <c r="T2" s="34" t="s">
        <v>33</v>
      </c>
      <c r="U2" s="34" t="s">
        <v>34</v>
      </c>
      <c r="V2" s="34" t="s">
        <v>35</v>
      </c>
      <c r="W2" s="34" t="s">
        <v>36</v>
      </c>
      <c r="X2" s="34" t="s">
        <v>37</v>
      </c>
      <c r="Y2" s="34" t="s">
        <v>38</v>
      </c>
      <c r="Z2" s="34" t="s">
        <v>39</v>
      </c>
      <c r="AA2" s="34" t="s">
        <v>40</v>
      </c>
      <c r="AB2" s="34" t="s">
        <v>41</v>
      </c>
      <c r="AC2" s="34" t="s">
        <v>42</v>
      </c>
      <c r="AD2" s="34" t="s">
        <v>43</v>
      </c>
      <c r="AE2" s="34" t="s">
        <v>44</v>
      </c>
      <c r="AF2" s="34" t="s">
        <v>45</v>
      </c>
      <c r="AG2" s="34" t="s">
        <v>46</v>
      </c>
      <c r="AH2" s="34" t="s">
        <v>47</v>
      </c>
      <c r="AI2" s="34" t="s">
        <v>48</v>
      </c>
      <c r="AJ2" s="34" t="s">
        <v>49</v>
      </c>
      <c r="AK2" s="34" t="s">
        <v>50</v>
      </c>
      <c r="AL2" s="34" t="s">
        <v>51</v>
      </c>
      <c r="AM2" s="34" t="s">
        <v>52</v>
      </c>
      <c r="AN2" s="34" t="s">
        <v>53</v>
      </c>
      <c r="AO2" s="34" t="s">
        <v>54</v>
      </c>
      <c r="AP2" s="34" t="s">
        <v>55</v>
      </c>
      <c r="AQ2" s="34" t="s">
        <v>56</v>
      </c>
      <c r="AR2" s="34" t="s">
        <v>57</v>
      </c>
      <c r="AS2" s="34" t="s">
        <v>58</v>
      </c>
      <c r="AT2" s="36"/>
      <c r="AU2" s="37">
        <v>2017</v>
      </c>
      <c r="AV2" s="37">
        <v>2018</v>
      </c>
      <c r="AW2" s="37">
        <v>2019</v>
      </c>
      <c r="AX2" s="37">
        <v>2020</v>
      </c>
      <c r="AY2" s="37">
        <v>2021</v>
      </c>
      <c r="AZ2" s="37">
        <v>2022</v>
      </c>
      <c r="BA2" s="37">
        <v>2023</v>
      </c>
      <c r="BB2" s="37">
        <v>2024</v>
      </c>
      <c r="BC2" s="37">
        <f>BB2+1</f>
        <v>2025</v>
      </c>
      <c r="BD2" s="37">
        <f>BC2+1</f>
        <v>2026</v>
      </c>
      <c r="BE2" s="38">
        <f>BD2+1</f>
        <v>2027</v>
      </c>
    </row>
    <row r="3" spans="1:57" s="45" customFormat="1" ht="12" customHeight="1">
      <c r="A3" s="40"/>
      <c r="B3" s="1719">
        <v>2017</v>
      </c>
      <c r="C3" s="1720"/>
      <c r="D3" s="1720"/>
      <c r="E3" s="1721"/>
      <c r="F3" s="1719">
        <v>2018</v>
      </c>
      <c r="G3" s="1720"/>
      <c r="H3" s="1720"/>
      <c r="I3" s="1721"/>
      <c r="J3" s="1719">
        <v>2019</v>
      </c>
      <c r="K3" s="1720"/>
      <c r="L3" s="1720"/>
      <c r="M3" s="1721"/>
      <c r="N3" s="1719">
        <v>2020</v>
      </c>
      <c r="O3" s="1720"/>
      <c r="P3" s="1720"/>
      <c r="Q3" s="1721"/>
      <c r="R3" s="1719">
        <v>2021</v>
      </c>
      <c r="S3" s="1720"/>
      <c r="T3" s="1720"/>
      <c r="U3" s="1721"/>
      <c r="V3" s="1732">
        <v>2022</v>
      </c>
      <c r="W3" s="1720"/>
      <c r="X3" s="1720"/>
      <c r="Y3" s="1725"/>
      <c r="Z3" s="1719">
        <v>2023</v>
      </c>
      <c r="AA3" s="1720"/>
      <c r="AB3" s="1720"/>
      <c r="AC3" s="1721"/>
      <c r="AD3" s="1719">
        <v>2024</v>
      </c>
      <c r="AE3" s="1720"/>
      <c r="AF3" s="1720"/>
      <c r="AG3" s="1721"/>
      <c r="AH3" s="1719">
        <f>AD3+1</f>
        <v>2025</v>
      </c>
      <c r="AI3" s="1720"/>
      <c r="AJ3" s="1720"/>
      <c r="AK3" s="1721"/>
      <c r="AL3" s="1719">
        <f>AH3+1</f>
        <v>2026</v>
      </c>
      <c r="AM3" s="1720"/>
      <c r="AN3" s="1720"/>
      <c r="AO3" s="1721"/>
      <c r="AP3" s="1719">
        <f>AL3+1</f>
        <v>2027</v>
      </c>
      <c r="AQ3" s="1720"/>
      <c r="AR3" s="1720"/>
      <c r="AS3" s="1721"/>
      <c r="AT3" s="41"/>
      <c r="AU3" s="42"/>
      <c r="AV3" s="42"/>
      <c r="AW3" s="42"/>
      <c r="AX3" s="42"/>
      <c r="AY3" s="42"/>
      <c r="AZ3" s="42"/>
      <c r="BA3" s="43"/>
      <c r="BB3" s="42"/>
      <c r="BC3" s="42"/>
      <c r="BD3" s="42"/>
      <c r="BE3" s="44"/>
    </row>
    <row r="4" spans="1:57" s="62" customFormat="1" ht="12" customHeight="1">
      <c r="A4" s="46" t="s">
        <v>59</v>
      </c>
      <c r="B4" s="47">
        <v>42825</v>
      </c>
      <c r="C4" s="48">
        <v>42916</v>
      </c>
      <c r="D4" s="49">
        <v>43008</v>
      </c>
      <c r="E4" s="50">
        <v>43100</v>
      </c>
      <c r="F4" s="47">
        <v>43190</v>
      </c>
      <c r="G4" s="48">
        <v>43281</v>
      </c>
      <c r="H4" s="49">
        <v>43373</v>
      </c>
      <c r="I4" s="50">
        <v>43465</v>
      </c>
      <c r="J4" s="47">
        <v>43555</v>
      </c>
      <c r="K4" s="48">
        <v>43646</v>
      </c>
      <c r="L4" s="49">
        <v>43738</v>
      </c>
      <c r="M4" s="50">
        <v>43830</v>
      </c>
      <c r="N4" s="47">
        <v>43921</v>
      </c>
      <c r="O4" s="49">
        <v>44012</v>
      </c>
      <c r="P4" s="49">
        <v>44104</v>
      </c>
      <c r="Q4" s="51">
        <v>44196</v>
      </c>
      <c r="R4" s="52">
        <v>44286</v>
      </c>
      <c r="S4" s="49">
        <v>44377</v>
      </c>
      <c r="T4" s="53">
        <v>44469</v>
      </c>
      <c r="U4" s="54">
        <v>44561</v>
      </c>
      <c r="V4" s="53">
        <v>44651</v>
      </c>
      <c r="W4" s="53">
        <v>44742</v>
      </c>
      <c r="X4" s="53">
        <v>44834</v>
      </c>
      <c r="Y4" s="53">
        <v>44926</v>
      </c>
      <c r="Z4" s="55">
        <v>45016</v>
      </c>
      <c r="AA4" s="53">
        <v>45107</v>
      </c>
      <c r="AB4" s="53">
        <v>45199</v>
      </c>
      <c r="AC4" s="54">
        <v>45291</v>
      </c>
      <c r="AD4" s="55">
        <v>45382</v>
      </c>
      <c r="AE4" s="53">
        <v>45473</v>
      </c>
      <c r="AF4" s="53" t="s">
        <v>60</v>
      </c>
      <c r="AG4" s="54" t="s">
        <v>61</v>
      </c>
      <c r="AH4" s="55" t="s">
        <v>62</v>
      </c>
      <c r="AI4" s="53" t="s">
        <v>63</v>
      </c>
      <c r="AJ4" s="53" t="s">
        <v>64</v>
      </c>
      <c r="AK4" s="54" t="s">
        <v>65</v>
      </c>
      <c r="AL4" s="55" t="s">
        <v>66</v>
      </c>
      <c r="AM4" s="53" t="s">
        <v>67</v>
      </c>
      <c r="AN4" s="53" t="s">
        <v>68</v>
      </c>
      <c r="AO4" s="54" t="s">
        <v>69</v>
      </c>
      <c r="AP4" s="55" t="s">
        <v>70</v>
      </c>
      <c r="AQ4" s="53" t="s">
        <v>71</v>
      </c>
      <c r="AR4" s="53" t="s">
        <v>72</v>
      </c>
      <c r="AS4" s="54" t="s">
        <v>73</v>
      </c>
      <c r="AT4" s="56"/>
      <c r="AU4" s="57">
        <v>2017</v>
      </c>
      <c r="AV4" s="58">
        <v>2018</v>
      </c>
      <c r="AW4" s="59">
        <v>2019</v>
      </c>
      <c r="AX4" s="60">
        <v>2020</v>
      </c>
      <c r="AY4" s="60" t="s">
        <v>74</v>
      </c>
      <c r="AZ4" s="60" t="s">
        <v>75</v>
      </c>
      <c r="BA4" s="61" t="s">
        <v>76</v>
      </c>
      <c r="BB4" s="61" t="s">
        <v>77</v>
      </c>
      <c r="BC4" s="61" t="s">
        <v>78</v>
      </c>
      <c r="BD4" s="61" t="s">
        <v>79</v>
      </c>
      <c r="BE4" s="61" t="s">
        <v>80</v>
      </c>
    </row>
    <row r="5" spans="1:57" s="62" customFormat="1" ht="12" customHeight="1">
      <c r="A5" s="63" t="s">
        <v>81</v>
      </c>
      <c r="B5" s="64"/>
      <c r="C5" s="65"/>
      <c r="D5" s="65"/>
      <c r="E5" s="66"/>
      <c r="F5" s="64"/>
      <c r="G5" s="65"/>
      <c r="H5" s="65"/>
      <c r="I5" s="66"/>
      <c r="J5" s="64"/>
      <c r="K5" s="65"/>
      <c r="L5" s="65"/>
      <c r="M5" s="66"/>
      <c r="N5" s="64"/>
      <c r="O5" s="65"/>
      <c r="P5" s="48"/>
      <c r="Q5" s="66"/>
      <c r="R5" s="64"/>
      <c r="S5" s="65"/>
      <c r="T5" s="65"/>
      <c r="U5" s="66"/>
      <c r="V5" s="65"/>
      <c r="W5" s="65"/>
      <c r="X5" s="65"/>
      <c r="Y5" s="65"/>
      <c r="Z5" s="64"/>
      <c r="AA5" s="65"/>
      <c r="AB5" s="65"/>
      <c r="AC5" s="66"/>
      <c r="AD5" s="64"/>
      <c r="AE5" s="65"/>
      <c r="AF5" s="65"/>
      <c r="AG5" s="66"/>
      <c r="AH5" s="64"/>
      <c r="AI5" s="65"/>
      <c r="AJ5" s="65"/>
      <c r="AK5" s="66"/>
      <c r="AL5" s="64"/>
      <c r="AM5" s="65"/>
      <c r="AN5" s="65"/>
      <c r="AO5" s="66"/>
      <c r="AP5" s="64"/>
      <c r="AQ5" s="65"/>
      <c r="AR5" s="65"/>
      <c r="AS5" s="66"/>
      <c r="AT5" s="56"/>
      <c r="AU5" s="67"/>
      <c r="AV5" s="67"/>
      <c r="AW5" s="67"/>
      <c r="AX5" s="67"/>
      <c r="AY5" s="67"/>
      <c r="AZ5" s="64"/>
      <c r="BA5" s="67"/>
      <c r="BB5" s="67"/>
      <c r="BC5" s="67"/>
      <c r="BD5" s="67"/>
      <c r="BE5" s="67"/>
    </row>
    <row r="6" spans="1:57" s="62" customFormat="1" ht="12" customHeight="1">
      <c r="A6" s="68" t="s">
        <v>82</v>
      </c>
      <c r="B6" s="69">
        <f>'Revenue Build'!B13</f>
        <v>27.702000000000002</v>
      </c>
      <c r="C6" s="70">
        <f>'Revenue Build'!C13</f>
        <v>30.843999999999987</v>
      </c>
      <c r="D6" s="70">
        <f>'Revenue Build'!D13</f>
        <v>34.932000000000002</v>
      </c>
      <c r="E6" s="71">
        <f>'Revenue Build'!E13</f>
        <v>39.395000000000003</v>
      </c>
      <c r="F6" s="69">
        <f>'Revenue Build'!F13</f>
        <v>44.332000000000001</v>
      </c>
      <c r="G6" s="70">
        <f>'Revenue Build'!G13</f>
        <v>48.725000000000001</v>
      </c>
      <c r="H6" s="70">
        <f>'Revenue Build'!H13</f>
        <v>53.511000000000003</v>
      </c>
      <c r="I6" s="71">
        <f>'Revenue Build'!I13</f>
        <v>59.259</v>
      </c>
      <c r="J6" s="69">
        <f>'Revenue Build'!J13</f>
        <v>64.736999999999995</v>
      </c>
      <c r="K6" s="70">
        <f>'Revenue Build'!K13</f>
        <v>69.37</v>
      </c>
      <c r="L6" s="70">
        <f>'Revenue Build'!L13</f>
        <v>75.503</v>
      </c>
      <c r="M6" s="71">
        <f>'Revenue Build'!M13</f>
        <v>80.938999999999993</v>
      </c>
      <c r="N6" s="69">
        <f>'Revenue Build'!N13</f>
        <v>86.39</v>
      </c>
      <c r="O6" s="70">
        <f>'Revenue Build'!O13</f>
        <v>92.01</v>
      </c>
      <c r="P6" s="70">
        <f>'Revenue Build'!P13</f>
        <v>96.792000000000002</v>
      </c>
      <c r="Q6" s="71">
        <f>'Revenue Build'!Q13</f>
        <v>102.16200000000001</v>
      </c>
      <c r="R6" s="69">
        <f>'Revenue Build'!R13</f>
        <v>107.402</v>
      </c>
      <c r="S6" s="70">
        <f>'Revenue Build'!S13</f>
        <v>114.167</v>
      </c>
      <c r="T6" s="70">
        <f>'Revenue Build'!T13</f>
        <v>122.15600000000001</v>
      </c>
      <c r="U6" s="71">
        <f>'Revenue Build'!U13</f>
        <v>132.298</v>
      </c>
      <c r="V6" s="69">
        <f>'Revenue Build'!V13</f>
        <v>142.68700000000001</v>
      </c>
      <c r="W6" s="70">
        <f>'Revenue Build'!W13</f>
        <v>146.80600000000001</v>
      </c>
      <c r="X6" s="70">
        <f>'Revenue Build'!X13</f>
        <v>156.76400000000001</v>
      </c>
      <c r="Y6" s="70">
        <f>'Revenue Build'!Y13</f>
        <v>166.25299999999999</v>
      </c>
      <c r="Z6" s="69">
        <f>'Revenue Build'!Z13</f>
        <v>171.09800000000001</v>
      </c>
      <c r="AA6" s="70">
        <f>'Revenue Build'!AA13</f>
        <v>176.767</v>
      </c>
      <c r="AB6" s="70">
        <f>'Revenue Build'!AB13</f>
        <v>183.268</v>
      </c>
      <c r="AC6" s="71">
        <f>'Revenue Build'!AC13</f>
        <v>193.88</v>
      </c>
      <c r="AD6" s="69">
        <f>'Revenue Build'!AD13</f>
        <v>197.63499999999999</v>
      </c>
      <c r="AE6" s="70">
        <f>'Revenue Build'!AE13</f>
        <v>202.53800000000001</v>
      </c>
      <c r="AF6" s="70">
        <f>'Revenue Build'!AF13</f>
        <v>208.554</v>
      </c>
      <c r="AG6" s="71">
        <f>'Revenue Build'!AG13</f>
        <v>215.93199999999999</v>
      </c>
      <c r="AH6" s="69">
        <f>'Revenue Build'!AH13</f>
        <v>220.44300000000001</v>
      </c>
      <c r="AI6" s="70">
        <f>'Revenue Build'!AI13</f>
        <v>228.03100000000001</v>
      </c>
      <c r="AJ6" s="70">
        <f>'Revenue Build'!AJ13</f>
        <v>232.21100000000001</v>
      </c>
      <c r="AK6" s="71">
        <f>'Revenue Build'!AK13</f>
        <v>238.88800000000001</v>
      </c>
      <c r="AL6" s="69">
        <f>'Revenue Build'!AL13</f>
        <v>241.385085</v>
      </c>
      <c r="AM6" s="70">
        <f>'Revenue Build'!AM13</f>
        <v>247.413635</v>
      </c>
      <c r="AN6" s="70">
        <f>'Revenue Build'!AN13</f>
        <v>249.626825</v>
      </c>
      <c r="AO6" s="71">
        <f>'Revenue Build'!AO13</f>
        <v>256.80459999999999</v>
      </c>
      <c r="AP6" s="69">
        <f>'Revenue Build'!AP13</f>
        <v>259.4648278665</v>
      </c>
      <c r="AQ6" s="70">
        <f>'Revenue Build'!AQ13</f>
        <v>265.92017489799997</v>
      </c>
      <c r="AR6" s="70">
        <f>'Revenue Build'!AR13</f>
        <v>268.27394882750002</v>
      </c>
      <c r="AS6" s="71">
        <f>'Revenue Build'!AS13</f>
        <v>275.96222316000001</v>
      </c>
      <c r="AT6" s="56"/>
      <c r="AU6" s="71">
        <f t="shared" ref="AU6:AU9" si="0">SUM(B6:E6)</f>
        <v>132.87299999999999</v>
      </c>
      <c r="AV6" s="71">
        <f t="shared" ref="AV6:AV9" si="1">SUM(F6:I6)</f>
        <v>205.827</v>
      </c>
      <c r="AW6" s="72">
        <f t="shared" ref="AW6:AW9" si="2">SUM(J6:M6)</f>
        <v>290.54899999999998</v>
      </c>
      <c r="AX6" s="72">
        <f t="shared" ref="AX6:AX9" si="3">SUM(N6:Q6)</f>
        <v>377.35400000000004</v>
      </c>
      <c r="AY6" s="72">
        <f t="shared" ref="AY6:AY9" si="4">SUM(R6:U6)</f>
        <v>476.02300000000002</v>
      </c>
      <c r="AZ6" s="69">
        <f t="shared" ref="AZ6:AZ9" si="5">SUM(V6:Y6)</f>
        <v>612.51</v>
      </c>
      <c r="BA6" s="72">
        <f t="shared" ref="BA6:BA9" si="6">SUM(Z6:AC6)</f>
        <v>725.01300000000003</v>
      </c>
      <c r="BB6" s="72">
        <f>SUM(AD6:AG6)</f>
        <v>824.65899999999999</v>
      </c>
      <c r="BC6" s="72">
        <f>SUM(AH6:AK6)</f>
        <v>919.57300000000009</v>
      </c>
      <c r="BD6" s="72">
        <f>SUM(AL6:AO6)</f>
        <v>995.23014499999999</v>
      </c>
      <c r="BE6" s="72">
        <f>SUM(AP6:AS6)</f>
        <v>1069.6211747520001</v>
      </c>
    </row>
    <row r="7" spans="1:57" s="62" customFormat="1" ht="12" customHeight="1">
      <c r="A7" s="68" t="s">
        <v>83</v>
      </c>
      <c r="B7" s="69">
        <f>'Revenue Build'!B18</f>
        <v>11.989000000000001</v>
      </c>
      <c r="C7" s="70">
        <f>'Revenue Build'!C18</f>
        <v>12.282999999999999</v>
      </c>
      <c r="D7" s="70">
        <f>'Revenue Build'!D18</f>
        <v>12.856999999999999</v>
      </c>
      <c r="E7" s="71">
        <f>'Revenue Build'!E18</f>
        <v>13.208</v>
      </c>
      <c r="F7" s="69">
        <f>'Revenue Build'!F18</f>
        <v>13.477</v>
      </c>
      <c r="G7" s="70">
        <f>'Revenue Build'!G18</f>
        <v>13.412000000000001</v>
      </c>
      <c r="H7" s="70">
        <f>'Revenue Build'!H18</f>
        <v>13.864000000000001</v>
      </c>
      <c r="I7" s="71">
        <f>'Revenue Build'!I18</f>
        <v>13.869</v>
      </c>
      <c r="J7" s="69">
        <f>'Revenue Build'!J18</f>
        <v>13.526999999999999</v>
      </c>
      <c r="K7" s="70">
        <f>'Revenue Build'!K18</f>
        <v>13.553000000000001</v>
      </c>
      <c r="L7" s="70">
        <f>'Revenue Build'!L18</f>
        <v>13.797000000000001</v>
      </c>
      <c r="M7" s="71">
        <f>'Revenue Build'!M18</f>
        <v>13.295999999999999</v>
      </c>
      <c r="N7" s="69">
        <f>'Revenue Build'!N18</f>
        <v>13.419</v>
      </c>
      <c r="O7" s="70">
        <f>'Revenue Build'!O18</f>
        <v>12.179</v>
      </c>
      <c r="P7" s="70">
        <f>'Revenue Build'!P18</f>
        <v>12.448</v>
      </c>
      <c r="Q7" s="71">
        <f>'Revenue Build'!Q18</f>
        <v>12.548</v>
      </c>
      <c r="R7" s="69">
        <f>'Revenue Build'!R18</f>
        <v>12.404999999999999</v>
      </c>
      <c r="S7" s="70">
        <f>'Revenue Build'!S18</f>
        <v>12.567</v>
      </c>
      <c r="T7" s="70">
        <f>'Revenue Build'!T18</f>
        <v>12.749000000000001</v>
      </c>
      <c r="U7" s="71">
        <f>'Revenue Build'!U18</f>
        <v>12.612</v>
      </c>
      <c r="V7" s="69">
        <f>'Revenue Build'!V18</f>
        <v>12.872999999999999</v>
      </c>
      <c r="W7" s="70">
        <f>'Revenue Build'!W18</f>
        <v>12.683</v>
      </c>
      <c r="X7" s="70">
        <f>'Revenue Build'!X18</f>
        <v>12.657999999999999</v>
      </c>
      <c r="Y7" s="70">
        <f>'Revenue Build'!Y18</f>
        <v>12.484999999999999</v>
      </c>
      <c r="Z7" s="69">
        <f>'Revenue Build'!Z18</f>
        <v>12.180999999999999</v>
      </c>
      <c r="AA7" s="70">
        <f>'Revenue Build'!AA18</f>
        <v>12.154</v>
      </c>
      <c r="AB7" s="70">
        <f>'Revenue Build'!AB18</f>
        <v>12.2</v>
      </c>
      <c r="AC7" s="71">
        <f>'Revenue Build'!AC18</f>
        <v>12.194000000000001</v>
      </c>
      <c r="AD7" s="69">
        <f>'Revenue Build'!AD18</f>
        <v>12.156000000000001</v>
      </c>
      <c r="AE7" s="70">
        <f>'Revenue Build'!AE18</f>
        <v>12.016</v>
      </c>
      <c r="AF7" s="70">
        <f>'Revenue Build'!AF18</f>
        <v>11.769</v>
      </c>
      <c r="AG7" s="71">
        <f>'Revenue Build'!AG18</f>
        <v>11.833</v>
      </c>
      <c r="AH7" s="69">
        <f>'Revenue Build'!AH18</f>
        <v>11.552</v>
      </c>
      <c r="AI7" s="70">
        <f>'Revenue Build'!AI18</f>
        <v>11.411</v>
      </c>
      <c r="AJ7" s="70">
        <f>'Revenue Build'!AJ18</f>
        <v>11.087999999999999</v>
      </c>
      <c r="AK7" s="71">
        <f>'Revenue Build'!AK18</f>
        <v>10.61</v>
      </c>
      <c r="AL7" s="69">
        <f>'Revenue Build'!AL18</f>
        <v>10.396800000000001</v>
      </c>
      <c r="AM7" s="70">
        <f>'Revenue Build'!AM18</f>
        <v>10.2699</v>
      </c>
      <c r="AN7" s="70">
        <f>'Revenue Build'!AN18</f>
        <v>9.9791999999999987</v>
      </c>
      <c r="AO7" s="71">
        <f>'Revenue Build'!AO18</f>
        <v>9.5489999999999995</v>
      </c>
      <c r="AP7" s="69">
        <f>'Revenue Build'!AP18</f>
        <v>9.3571200000000001</v>
      </c>
      <c r="AQ7" s="70">
        <f>'Revenue Build'!AQ18</f>
        <v>9.2429100000000002</v>
      </c>
      <c r="AR7" s="70">
        <f>'Revenue Build'!AR18</f>
        <v>8.9812799999999999</v>
      </c>
      <c r="AS7" s="71">
        <f>'Revenue Build'!AS18</f>
        <v>8.5940999999999992</v>
      </c>
      <c r="AT7" s="56"/>
      <c r="AU7" s="71">
        <f t="shared" si="0"/>
        <v>50.336999999999996</v>
      </c>
      <c r="AV7" s="71">
        <f t="shared" si="1"/>
        <v>54.622</v>
      </c>
      <c r="AW7" s="72">
        <f t="shared" si="2"/>
        <v>54.172999999999995</v>
      </c>
      <c r="AX7" s="72">
        <f t="shared" si="3"/>
        <v>50.594000000000001</v>
      </c>
      <c r="AY7" s="72">
        <f t="shared" si="4"/>
        <v>50.333000000000006</v>
      </c>
      <c r="AZ7" s="69">
        <f t="shared" si="5"/>
        <v>50.698999999999998</v>
      </c>
      <c r="BA7" s="72">
        <f t="shared" si="6"/>
        <v>48.728999999999999</v>
      </c>
      <c r="BB7" s="72">
        <f t="shared" ref="BB7:BB9" si="7">SUM(AD7:AG7)</f>
        <v>47.774000000000001</v>
      </c>
      <c r="BC7" s="72">
        <f t="shared" ref="BC7:BC9" si="8">SUM(AH7:AK7)</f>
        <v>44.661000000000001</v>
      </c>
      <c r="BD7" s="72">
        <f t="shared" ref="BD7:BD9" si="9">SUM(AL7:AO7)</f>
        <v>40.194899999999997</v>
      </c>
      <c r="BE7" s="72">
        <f>SUM(AP7:AS7)</f>
        <v>36.175409999999999</v>
      </c>
    </row>
    <row r="8" spans="1:57" s="62" customFormat="1" ht="12" customHeight="1">
      <c r="A8" s="68" t="s">
        <v>84</v>
      </c>
      <c r="B8" s="69">
        <f>'Revenue Build'!B23</f>
        <v>0.79</v>
      </c>
      <c r="C8" s="70">
        <f>'Revenue Build'!C23</f>
        <v>1.0220000000000005</v>
      </c>
      <c r="D8" s="70">
        <f>'Revenue Build'!D23</f>
        <v>1.1910000000000001</v>
      </c>
      <c r="E8" s="71">
        <f>'Revenue Build'!E23</f>
        <v>1.514</v>
      </c>
      <c r="F8" s="69">
        <f>'Revenue Build'!F23</f>
        <v>1.298</v>
      </c>
      <c r="G8" s="70">
        <f>'Revenue Build'!G23</f>
        <v>1.4550000000000001</v>
      </c>
      <c r="H8" s="70">
        <f>'Revenue Build'!H23</f>
        <v>2.0649999999999999</v>
      </c>
      <c r="I8" s="71">
        <f>'Revenue Build'!I23</f>
        <v>2.093</v>
      </c>
      <c r="J8" s="69">
        <f>'Revenue Build'!J23</f>
        <v>2.0369999999999999</v>
      </c>
      <c r="K8" s="70">
        <f>'Revenue Build'!K23</f>
        <v>2.4609999999999999</v>
      </c>
      <c r="L8" s="70">
        <f>'Revenue Build'!L23</f>
        <v>2.552</v>
      </c>
      <c r="M8" s="71">
        <f>'Revenue Build'!M23</f>
        <v>2.8140000000000001</v>
      </c>
      <c r="N8" s="69">
        <f>'Revenue Build'!N23</f>
        <v>2.839</v>
      </c>
      <c r="O8" s="70">
        <f>'Revenue Build'!O23</f>
        <v>3.02</v>
      </c>
      <c r="P8" s="70">
        <f>'Revenue Build'!P23</f>
        <v>3.0419999999999998</v>
      </c>
      <c r="Q8" s="71">
        <f>'Revenue Build'!Q23</f>
        <v>3.3719999999999999</v>
      </c>
      <c r="R8" s="69">
        <f>'Revenue Build'!R23</f>
        <v>3.3820000000000001</v>
      </c>
      <c r="S8" s="70">
        <f>'Revenue Build'!S23</f>
        <v>3.5249999999999999</v>
      </c>
      <c r="T8" s="70">
        <f>'Revenue Build'!T23</f>
        <v>3.7589999999999999</v>
      </c>
      <c r="U8" s="71">
        <f>'Revenue Build'!U23</f>
        <v>4.1079999999999997</v>
      </c>
      <c r="V8" s="69">
        <f>'Revenue Build'!V23</f>
        <v>3.8079999999999998</v>
      </c>
      <c r="W8" s="70">
        <f>'Revenue Build'!W23</f>
        <v>4.8520000000000003</v>
      </c>
      <c r="X8" s="70">
        <f>'Revenue Build'!X23</f>
        <v>5.4290000000000003</v>
      </c>
      <c r="Y8" s="70">
        <f>'Revenue Build'!Y23</f>
        <v>5.8929999999999998</v>
      </c>
      <c r="Z8" s="69">
        <f>'Revenue Build'!Z23</f>
        <v>5.56</v>
      </c>
      <c r="AA8" s="70">
        <f>'Revenue Build'!AA23</f>
        <v>6.1150000000000002</v>
      </c>
      <c r="AB8" s="70">
        <f>'Revenue Build'!AB23</f>
        <v>6.0609999999999999</v>
      </c>
      <c r="AC8" s="71">
        <f>'Revenue Build'!AC23</f>
        <v>7.2320000000000002</v>
      </c>
      <c r="AD8" s="69">
        <f>'Revenue Build'!AD23</f>
        <v>6.17</v>
      </c>
      <c r="AE8" s="70">
        <f>'Revenue Build'!AE23</f>
        <v>6.6870000000000003</v>
      </c>
      <c r="AF8" s="70">
        <f>'Revenue Build'!AF23</f>
        <v>6.7649999999999997</v>
      </c>
      <c r="AG8" s="71">
        <f>'Revenue Build'!AG23</f>
        <v>7.9660000000000002</v>
      </c>
      <c r="AH8" s="69">
        <f>'Revenue Build'!AH23</f>
        <v>7.1420000000000003</v>
      </c>
      <c r="AI8" s="70">
        <f>'Revenue Build'!AI23</f>
        <v>7.8529999999999998</v>
      </c>
      <c r="AJ8" s="70">
        <f>'Revenue Build'!AJ23</f>
        <v>9.141</v>
      </c>
      <c r="AK8" s="71">
        <f>'Revenue Build'!AK23</f>
        <v>11.035</v>
      </c>
      <c r="AL8" s="69">
        <f>'Revenue Build'!AL23</f>
        <v>6.7849000000000004</v>
      </c>
      <c r="AM8" s="70">
        <f>'Revenue Build'!AM23</f>
        <v>7.8529999999999998</v>
      </c>
      <c r="AN8" s="70">
        <f>'Revenue Build'!AN23</f>
        <v>9.141</v>
      </c>
      <c r="AO8" s="71">
        <f>'Revenue Build'!AO23</f>
        <v>11.035</v>
      </c>
      <c r="AP8" s="69">
        <f>'Revenue Build'!AP23</f>
        <v>6.7849000000000004</v>
      </c>
      <c r="AQ8" s="70">
        <f>'Revenue Build'!AQ23</f>
        <v>7.8529999999999998</v>
      </c>
      <c r="AR8" s="70">
        <f>'Revenue Build'!AR23</f>
        <v>9.141</v>
      </c>
      <c r="AS8" s="71">
        <f>'Revenue Build'!AS23</f>
        <v>11.035</v>
      </c>
      <c r="AT8" s="56"/>
      <c r="AU8" s="71">
        <f t="shared" si="0"/>
        <v>4.5170000000000003</v>
      </c>
      <c r="AV8" s="71">
        <f t="shared" si="1"/>
        <v>6.9109999999999996</v>
      </c>
      <c r="AW8" s="72">
        <f t="shared" si="2"/>
        <v>9.863999999999999</v>
      </c>
      <c r="AX8" s="72">
        <f t="shared" si="3"/>
        <v>12.273</v>
      </c>
      <c r="AY8" s="72">
        <f t="shared" si="4"/>
        <v>14.774000000000001</v>
      </c>
      <c r="AZ8" s="69">
        <f t="shared" si="5"/>
        <v>19.981999999999999</v>
      </c>
      <c r="BA8" s="72">
        <f t="shared" si="6"/>
        <v>24.968</v>
      </c>
      <c r="BB8" s="72">
        <f t="shared" si="7"/>
        <v>27.588000000000001</v>
      </c>
      <c r="BC8" s="72">
        <f t="shared" si="8"/>
        <v>35.171000000000006</v>
      </c>
      <c r="BD8" s="72">
        <f t="shared" si="9"/>
        <v>34.813900000000004</v>
      </c>
      <c r="BE8" s="72">
        <f>SUM(AP8:AS8)</f>
        <v>34.813900000000004</v>
      </c>
    </row>
    <row r="9" spans="1:57" s="80" customFormat="1" ht="12" customHeight="1">
      <c r="A9" s="73" t="s">
        <v>85</v>
      </c>
      <c r="B9" s="74">
        <f>+'Revenue Build'!B5</f>
        <v>40.481000000000002</v>
      </c>
      <c r="C9" s="75">
        <f>+'Revenue Build'!C5</f>
        <v>44.149000000000001</v>
      </c>
      <c r="D9" s="75">
        <f>+'Revenue Build'!D5</f>
        <v>48.980000000000004</v>
      </c>
      <c r="E9" s="76">
        <f>+'Revenue Build'!E5</f>
        <v>54.117000000000004</v>
      </c>
      <c r="F9" s="74">
        <f>+'Revenue Build'!F5</f>
        <v>59.106999999999999</v>
      </c>
      <c r="G9" s="75">
        <f>+'Revenue Build'!G5</f>
        <v>63.591999999999999</v>
      </c>
      <c r="H9" s="75">
        <f>+'Revenue Build'!H5</f>
        <v>69.44</v>
      </c>
      <c r="I9" s="76">
        <f>+'Revenue Build'!I5</f>
        <v>75.221000000000004</v>
      </c>
      <c r="J9" s="74">
        <f>+'Revenue Build'!J5</f>
        <v>80.301000000000002</v>
      </c>
      <c r="K9" s="75">
        <f>+'Revenue Build'!K5</f>
        <v>85.384</v>
      </c>
      <c r="L9" s="75">
        <f>+'Revenue Build'!L5</f>
        <v>91.852000000000004</v>
      </c>
      <c r="M9" s="76">
        <f>+'Revenue Build'!M5</f>
        <v>97.048999999999978</v>
      </c>
      <c r="N9" s="74">
        <f>+'Revenue Build'!N5</f>
        <v>102.648</v>
      </c>
      <c r="O9" s="75">
        <f>+'Revenue Build'!O5</f>
        <v>107.209</v>
      </c>
      <c r="P9" s="77">
        <f>+'Revenue Build'!P5</f>
        <v>112.28200000000001</v>
      </c>
      <c r="Q9" s="76">
        <f>+'Revenue Build'!Q5</f>
        <v>118.08200000000001</v>
      </c>
      <c r="R9" s="74">
        <f>+'Revenue Build'!R5</f>
        <v>123.18900000000001</v>
      </c>
      <c r="S9" s="75">
        <f>+'Revenue Build'!S5</f>
        <v>130.25900000000001</v>
      </c>
      <c r="T9" s="75">
        <f>+'Revenue Build'!T5</f>
        <v>138.66399999999999</v>
      </c>
      <c r="U9" s="76">
        <f>+'Revenue Build'!U5</f>
        <v>149.018</v>
      </c>
      <c r="V9" s="75">
        <f>+'Revenue Build'!V5</f>
        <v>159.36799999999999</v>
      </c>
      <c r="W9" s="75">
        <f>+'Revenue Build'!W5</f>
        <v>164.34100000000001</v>
      </c>
      <c r="X9" s="75">
        <f>+'Revenue Build'!X5</f>
        <v>174.851</v>
      </c>
      <c r="Y9" s="75">
        <f>+'Revenue Build'!Y5</f>
        <v>184.631</v>
      </c>
      <c r="Z9" s="74">
        <f>+'Revenue Build'!Z5</f>
        <v>188.83900000000003</v>
      </c>
      <c r="AA9" s="75">
        <f>+'Revenue Build'!AA5</f>
        <v>195.036</v>
      </c>
      <c r="AB9" s="75">
        <f>+'Revenue Build'!AB5</f>
        <v>201.529</v>
      </c>
      <c r="AC9" s="76">
        <f>+'Revenue Build'!AC5</f>
        <v>213.30599999999998</v>
      </c>
      <c r="AD9" s="74">
        <f>+'Revenue Build'!AD5</f>
        <v>215.96099999999998</v>
      </c>
      <c r="AE9" s="75">
        <f>+'Revenue Build'!AE5</f>
        <v>221.24100000000001</v>
      </c>
      <c r="AF9" s="75">
        <f>+'Revenue Build'!AF5</f>
        <v>227.08799999999999</v>
      </c>
      <c r="AG9" s="76">
        <f>+'Revenue Build'!AG5</f>
        <v>235.73099999999999</v>
      </c>
      <c r="AH9" s="74">
        <f>+'Revenue Build'!AH5</f>
        <v>239.137</v>
      </c>
      <c r="AI9" s="75">
        <f>+'Revenue Build'!AI5</f>
        <v>247.29500000000002</v>
      </c>
      <c r="AJ9" s="75">
        <f>+'Revenue Build'!AJ5</f>
        <v>252.44</v>
      </c>
      <c r="AK9" s="76">
        <f>+'Revenue Build'!AK5</f>
        <v>260.53300000000002</v>
      </c>
      <c r="AL9" s="74">
        <f>+'Revenue Build'!AL5</f>
        <v>258.56678500000004</v>
      </c>
      <c r="AM9" s="75">
        <f>+'Revenue Build'!AM5</f>
        <v>265.53653500000001</v>
      </c>
      <c r="AN9" s="75">
        <f>+'Revenue Build'!AN5</f>
        <v>268.74702500000001</v>
      </c>
      <c r="AO9" s="76">
        <f>+'Revenue Build'!AO5</f>
        <v>277.3886</v>
      </c>
      <c r="AP9" s="74">
        <f>+'Revenue Build'!AP5</f>
        <v>275.6068478665</v>
      </c>
      <c r="AQ9" s="75">
        <f>+'Revenue Build'!AQ5</f>
        <v>283.01608489799997</v>
      </c>
      <c r="AR9" s="75">
        <f>+'Revenue Build'!AR5</f>
        <v>286.39622882750007</v>
      </c>
      <c r="AS9" s="76">
        <f>+'Revenue Build'!AS5</f>
        <v>295.59132316000006</v>
      </c>
      <c r="AT9" s="78"/>
      <c r="AU9" s="74">
        <f t="shared" si="0"/>
        <v>187.72700000000003</v>
      </c>
      <c r="AV9" s="74">
        <f t="shared" si="1"/>
        <v>267.36</v>
      </c>
      <c r="AW9" s="79">
        <f t="shared" si="2"/>
        <v>354.58600000000001</v>
      </c>
      <c r="AX9" s="79">
        <f t="shared" si="3"/>
        <v>440.221</v>
      </c>
      <c r="AY9" s="79">
        <f t="shared" si="4"/>
        <v>541.13</v>
      </c>
      <c r="AZ9" s="74">
        <f t="shared" si="5"/>
        <v>683.19100000000003</v>
      </c>
      <c r="BA9" s="79">
        <f t="shared" si="6"/>
        <v>798.71</v>
      </c>
      <c r="BB9" s="79">
        <f t="shared" si="7"/>
        <v>900.02099999999996</v>
      </c>
      <c r="BC9" s="79">
        <f t="shared" si="8"/>
        <v>999.40500000000009</v>
      </c>
      <c r="BD9" s="79">
        <f t="shared" si="9"/>
        <v>1070.2389450000001</v>
      </c>
      <c r="BE9" s="79">
        <f>SUM(AP9:AS9)</f>
        <v>1140.610484752</v>
      </c>
    </row>
    <row r="10" spans="1:57" s="89" customFormat="1" ht="12" hidden="1" customHeight="1" outlineLevel="1">
      <c r="A10" s="81" t="s">
        <v>86</v>
      </c>
      <c r="B10" s="82" t="str">
        <f>'[2]VA Consensus'!C16</f>
        <v>-</v>
      </c>
      <c r="C10" s="83" t="str">
        <f>'[2]VA Consensus'!D16</f>
        <v>-</v>
      </c>
      <c r="D10" s="83" t="str">
        <f>'[2]VA Consensus'!E16</f>
        <v>-</v>
      </c>
      <c r="E10" s="84" t="str">
        <f>'[2]VA Consensus'!F16</f>
        <v>-</v>
      </c>
      <c r="F10" s="82" t="str">
        <f>'[2]VA Consensus'!G16</f>
        <v>-</v>
      </c>
      <c r="G10" s="83" t="str">
        <f>'[2]VA Consensus'!H16</f>
        <v>-</v>
      </c>
      <c r="H10" s="83">
        <f>'[2]VA Consensus'!I16</f>
        <v>66.295101233277776</v>
      </c>
      <c r="I10" s="84">
        <f>'[2]VA Consensus'!J16</f>
        <v>72.829307313078147</v>
      </c>
      <c r="J10" s="82">
        <f>'[2]VA Consensus'!K16</f>
        <v>78.13139351816227</v>
      </c>
      <c r="K10" s="83">
        <f>'[2]VA Consensus'!L16</f>
        <v>82.660787159774316</v>
      </c>
      <c r="L10" s="83">
        <f>'[2]VA Consensus'!M16</f>
        <v>88.65547079171634</v>
      </c>
      <c r="M10" s="84">
        <f>'[2]VA Consensus'!N16</f>
        <v>94.254523027641198</v>
      </c>
      <c r="N10" s="82">
        <f>'[2]VA Consensus'!O16</f>
        <v>100.24835447712599</v>
      </c>
      <c r="O10" s="83">
        <f>'[2]VA Consensus'!P16</f>
        <v>102.394061729917</v>
      </c>
      <c r="P10" s="83">
        <f>'[2]VA Consensus'!Q16</f>
        <v>109.4510203996072</v>
      </c>
      <c r="Q10" s="84">
        <f>'[2]VA Consensus'!R16</f>
        <v>114.89445418857034</v>
      </c>
      <c r="R10" s="82">
        <f>'[2]VA Consensus'!S16</f>
        <v>120.16062543063123</v>
      </c>
      <c r="S10" s="83">
        <f>'[2]VA Consensus'!T16</f>
        <v>125.48578701646908</v>
      </c>
      <c r="T10" s="83">
        <f>'[2]VA Consensus'!U16</f>
        <v>134.34398590229401</v>
      </c>
      <c r="U10" s="84">
        <f>'[2]VA Consensus'!V16</f>
        <v>144.42531670638027</v>
      </c>
      <c r="V10" s="83">
        <f>'[2]VA Consensus'!W16</f>
        <v>153.37956741261891</v>
      </c>
      <c r="W10" s="83">
        <f>'[2]VA Consensus'!X16</f>
        <v>163.41115989194191</v>
      </c>
      <c r="X10" s="83">
        <f>'[2]VA Consensus'!Y16</f>
        <v>170.08239368432118</v>
      </c>
      <c r="Y10" s="83">
        <f>'[2]VA Consensus'!Z16</f>
        <v>181.47863606853986</v>
      </c>
      <c r="Z10" s="82">
        <f>'[2]VA Consensus'!AA16</f>
        <v>186.97949643638154</v>
      </c>
      <c r="AA10" s="83">
        <f>'[2]VA Consensus'!AB16</f>
        <v>190.08195027045599</v>
      </c>
      <c r="AB10" s="83">
        <f>'[2]VA Consensus'!AC16</f>
        <v>198.2782357548316</v>
      </c>
      <c r="AC10" s="84">
        <f>'[2]VA Consensus'!AD16</f>
        <v>206.53639469231041</v>
      </c>
      <c r="AD10" s="82">
        <f>'[2]VA Consensus'!AE16</f>
        <v>213.54152726376014</v>
      </c>
      <c r="AE10" s="83">
        <f>'[2]VA Consensus'!AF16</f>
        <v>218.48077640338587</v>
      </c>
      <c r="AF10" s="83">
        <f>'[2]VA Consensus'!AG16</f>
        <v>223.13432963318249</v>
      </c>
      <c r="AG10" s="84">
        <f>'[2]VA Consensus'!AH16</f>
        <v>231.55654236177338</v>
      </c>
      <c r="AH10" s="82">
        <f>'[2]VA Consensus'!AI16</f>
        <v>233.57911601872561</v>
      </c>
      <c r="AI10" s="83">
        <f>'[2]VA Consensus'!AJ16</f>
        <v>242.07841453355994</v>
      </c>
      <c r="AJ10" s="83">
        <f>'[2]VA Consensus'!AK16</f>
        <v>247.33864771095207</v>
      </c>
      <c r="AK10" s="84">
        <f>'[2]VA Consensus'!AL16</f>
        <v>251.72894765121765</v>
      </c>
      <c r="AL10" s="82">
        <f>'[2]VA Consensus'!AM16</f>
        <v>258.87607885397813</v>
      </c>
      <c r="AM10" s="83">
        <f>'[2]VA Consensus'!AN16</f>
        <v>264.67593406709608</v>
      </c>
      <c r="AN10" s="83">
        <f>'[2]VA Consensus'!AO16</f>
        <v>269.71728065946542</v>
      </c>
      <c r="AO10" s="84">
        <f>'[2]VA Consensus'!AP16</f>
        <v>277.08466719842176</v>
      </c>
      <c r="AP10" s="82">
        <f>'[2]VA Consensus'!AQ16</f>
        <v>277.69692422348231</v>
      </c>
      <c r="AQ10" s="83">
        <f>'[2]VA Consensus'!AR16</f>
        <v>283.39448073695274</v>
      </c>
      <c r="AR10" s="83">
        <f>'[2]VA Consensus'!AS16</f>
        <v>288.41406316115877</v>
      </c>
      <c r="AS10" s="84">
        <f>'[2]VA Consensus'!AT16</f>
        <v>296.33302819717551</v>
      </c>
      <c r="AT10" s="85"/>
      <c r="AU10" s="82" t="str">
        <f>'[2]VA Consensus'!AV16</f>
        <v>-</v>
      </c>
      <c r="AV10" s="86">
        <f>'[2]VA Consensus'!AW16</f>
        <v>264.96833411307819</v>
      </c>
      <c r="AW10" s="87">
        <f>'[2]VA Consensus'!AX16</f>
        <v>351.79152302764135</v>
      </c>
      <c r="AX10" s="87">
        <f>'[2]VA Consensus'!AY16</f>
        <v>437.03012085523699</v>
      </c>
      <c r="AY10" s="88">
        <f>'[2]VA Consensus'!AZ16</f>
        <v>536.56619031418188</v>
      </c>
      <c r="AZ10" s="82">
        <f>'[2]VA Consensus'!BA16</f>
        <v>680.03863606853986</v>
      </c>
      <c r="BA10" s="88">
        <f>'[2]VA Consensus'!BB16</f>
        <v>791.94039469231041</v>
      </c>
      <c r="BB10" s="88">
        <f>'[2]VA Consensus'!BC16</f>
        <v>895.84654236177334</v>
      </c>
      <c r="BC10" s="88">
        <f>'[2]VA Consensus'!BD16</f>
        <v>990.66282189281662</v>
      </c>
      <c r="BD10" s="88">
        <f>'[2]VA Consensus'!BE16</f>
        <v>1070.3484052234066</v>
      </c>
      <c r="BE10" s="88">
        <f>'[2]VA Consensus'!BF16</f>
        <v>1145.8384963187696</v>
      </c>
    </row>
    <row r="11" spans="1:57" s="89" customFormat="1" ht="12" customHeight="1" collapsed="1" thickBot="1">
      <c r="A11" s="90" t="s">
        <v>87</v>
      </c>
      <c r="B11" s="91"/>
      <c r="C11" s="92"/>
      <c r="D11" s="92"/>
      <c r="E11" s="93"/>
      <c r="F11" s="92"/>
      <c r="G11" s="92"/>
      <c r="H11" s="92"/>
      <c r="I11" s="92"/>
      <c r="J11" s="91"/>
      <c r="K11" s="92"/>
      <c r="L11" s="92"/>
      <c r="M11" s="93"/>
      <c r="N11" s="91"/>
      <c r="O11" s="92"/>
      <c r="P11" s="92"/>
      <c r="Q11" s="93"/>
      <c r="R11" s="92"/>
      <c r="S11" s="94"/>
      <c r="T11" s="92"/>
      <c r="U11" s="92"/>
      <c r="V11" s="91"/>
      <c r="W11" s="95"/>
      <c r="X11" s="92"/>
      <c r="Y11" s="93"/>
      <c r="Z11" s="96"/>
      <c r="AA11" s="97"/>
      <c r="AB11" s="97"/>
      <c r="AC11" s="98"/>
      <c r="AD11" s="96"/>
      <c r="AE11" s="97"/>
      <c r="AF11" s="97"/>
      <c r="AG11" s="98"/>
      <c r="AH11" s="96"/>
      <c r="AI11" s="97"/>
      <c r="AJ11" s="97"/>
      <c r="AK11" s="98"/>
      <c r="AL11" s="96"/>
      <c r="AM11" s="97"/>
      <c r="AN11" s="97"/>
      <c r="AO11" s="98"/>
      <c r="AP11" s="96"/>
      <c r="AQ11" s="97"/>
      <c r="AR11" s="97"/>
      <c r="AS11" s="98"/>
      <c r="AT11" s="99"/>
      <c r="AU11" s="100"/>
      <c r="AV11" s="93"/>
      <c r="AW11" s="93"/>
      <c r="AX11" s="101"/>
      <c r="AY11" s="101"/>
      <c r="AZ11" s="102"/>
      <c r="BA11" s="101"/>
      <c r="BB11" s="101"/>
      <c r="BC11" s="93"/>
      <c r="BD11" s="93"/>
      <c r="BE11" s="93"/>
    </row>
    <row r="12" spans="1:57" s="89" customFormat="1" ht="12" customHeight="1" thickTop="1">
      <c r="A12" s="103" t="s">
        <v>88</v>
      </c>
      <c r="B12" s="82"/>
      <c r="C12" s="83"/>
      <c r="D12" s="83"/>
      <c r="E12" s="84"/>
      <c r="F12" s="83"/>
      <c r="G12" s="83"/>
      <c r="H12" s="83"/>
      <c r="I12" s="83"/>
      <c r="J12" s="82"/>
      <c r="K12" s="83"/>
      <c r="L12" s="83"/>
      <c r="M12" s="84"/>
      <c r="N12" s="104">
        <f>'Revenue Build'!N9</f>
        <v>100</v>
      </c>
      <c r="O12" s="105">
        <f>'Revenue Build'!O9</f>
        <v>101</v>
      </c>
      <c r="P12" s="105">
        <f>'Revenue Build'!P9</f>
        <v>108</v>
      </c>
      <c r="Q12" s="106">
        <f>'Revenue Build'!Q9</f>
        <v>113</v>
      </c>
      <c r="R12" s="105">
        <f>'Revenue Build'!R9</f>
        <v>118</v>
      </c>
      <c r="S12" s="107">
        <f>'Revenue Build'!S9</f>
        <v>124</v>
      </c>
      <c r="T12" s="105">
        <f>'Revenue Build'!T9</f>
        <v>133</v>
      </c>
      <c r="U12" s="105">
        <f>'Revenue Build'!U9</f>
        <v>143</v>
      </c>
      <c r="V12" s="108">
        <f>'Revenue Build'!V9</f>
        <v>152</v>
      </c>
      <c r="W12" s="105">
        <f>'Revenue Build'!W9</f>
        <v>162</v>
      </c>
      <c r="X12" s="105">
        <f>'Revenue Build'!X9</f>
        <v>169</v>
      </c>
      <c r="Y12" s="105">
        <f>'Revenue Build'!Y9</f>
        <v>180</v>
      </c>
      <c r="Z12" s="108">
        <f>'Revenue Build'!Z9</f>
        <v>186</v>
      </c>
      <c r="AA12" s="105">
        <f>'Revenue Build'!AA9</f>
        <v>189</v>
      </c>
      <c r="AB12" s="105">
        <f>'Revenue Build'!AB9</f>
        <v>197</v>
      </c>
      <c r="AC12" s="105">
        <v>204</v>
      </c>
      <c r="AD12" s="108">
        <f>'Revenue Build'!AD9</f>
        <v>212</v>
      </c>
      <c r="AE12" s="105">
        <f>'Revenue Build'!AE9</f>
        <v>217</v>
      </c>
      <c r="AF12" s="105">
        <f>'Revenue Build'!AF9</f>
        <v>222</v>
      </c>
      <c r="AG12" s="109">
        <v>229</v>
      </c>
      <c r="AH12" s="108">
        <v>233</v>
      </c>
      <c r="AI12" s="105">
        <f>'Revenue Build'!AI9</f>
        <v>241</v>
      </c>
      <c r="AJ12" s="107">
        <f>'Revenue Build'!AJ9</f>
        <v>246</v>
      </c>
      <c r="AK12" s="109">
        <f>'Revenue Build'!AK9</f>
        <v>249.1</v>
      </c>
      <c r="AL12" s="108">
        <f>'Revenue Build'!AL9</f>
        <v>257</v>
      </c>
      <c r="AM12" s="105" t="str">
        <f>'Revenue Build'!AM9</f>
        <v/>
      </c>
      <c r="AN12" s="105" t="str">
        <f>'Revenue Build'!AN9</f>
        <v/>
      </c>
      <c r="AO12" s="109" t="str">
        <f>'Revenue Build'!AO9</f>
        <v/>
      </c>
      <c r="AP12" s="108" t="str">
        <f>'Revenue Build'!AP9</f>
        <v/>
      </c>
      <c r="AQ12" s="105" t="str">
        <f>'Revenue Build'!AQ9</f>
        <v/>
      </c>
      <c r="AR12" s="105" t="str">
        <f>'Revenue Build'!AR9</f>
        <v/>
      </c>
      <c r="AS12" s="109" t="str">
        <f>'Revenue Build'!AS9</f>
        <v/>
      </c>
      <c r="AT12" s="99"/>
      <c r="AU12" s="110"/>
      <c r="AV12" s="84"/>
      <c r="AW12" s="84"/>
      <c r="AX12" s="111"/>
      <c r="AY12" s="112">
        <f>'Revenue Build'!AY9</f>
        <v>535.1</v>
      </c>
      <c r="AZ12" s="113">
        <f>'Revenue Build'!AZ9</f>
        <v>678.6</v>
      </c>
      <c r="BA12" s="112">
        <f>'Revenue Build'!BA9</f>
        <v>789.4</v>
      </c>
      <c r="BB12" s="112">
        <f>'Revenue Build'!BB9</f>
        <v>893.3</v>
      </c>
      <c r="BC12" s="114">
        <f>'Revenue Build'!BC9</f>
        <v>988</v>
      </c>
      <c r="BD12" s="114">
        <f>'Revenue Build'!BD9</f>
        <v>1065</v>
      </c>
      <c r="BE12" s="106"/>
    </row>
    <row r="13" spans="1:57" s="89" customFormat="1" ht="12" customHeight="1">
      <c r="A13" s="115" t="s">
        <v>89</v>
      </c>
      <c r="B13" s="116"/>
      <c r="C13" s="83"/>
      <c r="D13" s="83"/>
      <c r="E13" s="84"/>
      <c r="F13" s="83"/>
      <c r="G13" s="83"/>
      <c r="H13" s="83"/>
      <c r="I13" s="83"/>
      <c r="J13" s="116"/>
      <c r="K13" s="83"/>
      <c r="L13" s="83"/>
      <c r="M13" s="84"/>
      <c r="N13" s="113">
        <f>'Revenue Build'!N10</f>
        <v>100.5</v>
      </c>
      <c r="O13" s="105">
        <f>'Revenue Build'!O10</f>
        <v>102</v>
      </c>
      <c r="P13" s="105">
        <f>'Revenue Build'!P10</f>
        <v>109</v>
      </c>
      <c r="Q13" s="106">
        <f>'Revenue Build'!Q10</f>
        <v>114</v>
      </c>
      <c r="R13" s="105">
        <f>'Revenue Build'!R10</f>
        <v>119</v>
      </c>
      <c r="S13" s="107">
        <f>'Revenue Build'!S10</f>
        <v>125</v>
      </c>
      <c r="T13" s="105">
        <f>'Revenue Build'!T10</f>
        <v>134</v>
      </c>
      <c r="U13" s="105">
        <f>'Revenue Build'!U10</f>
        <v>144</v>
      </c>
      <c r="V13" s="113">
        <f>'Revenue Build'!V10</f>
        <v>153</v>
      </c>
      <c r="W13" s="105">
        <f>'Revenue Build'!W10</f>
        <v>163</v>
      </c>
      <c r="X13" s="105">
        <f>'Revenue Build'!X10</f>
        <v>170</v>
      </c>
      <c r="Y13" s="105">
        <f>'Revenue Build'!Y10</f>
        <v>181</v>
      </c>
      <c r="Z13" s="113">
        <f>'Revenue Build'!Z10</f>
        <v>187</v>
      </c>
      <c r="AA13" s="105">
        <f>'Revenue Build'!AA10</f>
        <v>190</v>
      </c>
      <c r="AB13" s="105">
        <f>'Revenue Build'!AB10</f>
        <v>198</v>
      </c>
      <c r="AC13" s="105">
        <f>'Revenue Build'!AC10</f>
        <v>206</v>
      </c>
      <c r="AD13" s="113">
        <f>'Revenue Build'!AD10</f>
        <v>213</v>
      </c>
      <c r="AE13" s="105">
        <f>'Revenue Build'!AE10</f>
        <v>218</v>
      </c>
      <c r="AF13" s="105">
        <f>'Revenue Build'!AF10</f>
        <v>223</v>
      </c>
      <c r="AG13" s="105">
        <f>'Revenue Build'!AG10</f>
        <v>231</v>
      </c>
      <c r="AH13" s="113">
        <f>'Revenue Build'!AH10</f>
        <v>234</v>
      </c>
      <c r="AI13" s="105">
        <f>'Revenue Build'!AI10</f>
        <v>242</v>
      </c>
      <c r="AJ13" s="107">
        <f>'Revenue Build'!AJ10</f>
        <v>247</v>
      </c>
      <c r="AK13" s="106">
        <f>'Revenue Build'!AK10</f>
        <v>251.1</v>
      </c>
      <c r="AL13" s="113">
        <f>'Revenue Build'!AL10</f>
        <v>258.5</v>
      </c>
      <c r="AM13" s="105" t="str">
        <f>'Revenue Build'!AM10</f>
        <v/>
      </c>
      <c r="AN13" s="105" t="str">
        <f>'Revenue Build'!AN10</f>
        <v/>
      </c>
      <c r="AO13" s="106" t="str">
        <f>'Revenue Build'!AO10</f>
        <v/>
      </c>
      <c r="AP13" s="113" t="str">
        <f>'Revenue Build'!AP10</f>
        <v/>
      </c>
      <c r="AQ13" s="105" t="str">
        <f>'Revenue Build'!AQ10</f>
        <v/>
      </c>
      <c r="AR13" s="105" t="str">
        <f>'Revenue Build'!AR10</f>
        <v/>
      </c>
      <c r="AS13" s="106" t="str">
        <f>'Revenue Build'!AS10</f>
        <v/>
      </c>
      <c r="AT13" s="99"/>
      <c r="AU13" s="117"/>
      <c r="AV13" s="84"/>
      <c r="AW13" s="84"/>
      <c r="AX13" s="118"/>
      <c r="AY13" s="119">
        <f>'Revenue Build'!AY10</f>
        <v>536.1</v>
      </c>
      <c r="AZ13" s="120">
        <f>'Revenue Build'!AZ10</f>
        <v>679.6</v>
      </c>
      <c r="BA13" s="119">
        <f>'Revenue Build'!BA10</f>
        <v>791.4</v>
      </c>
      <c r="BB13" s="119">
        <f>'Revenue Build'!BB10</f>
        <v>895.3</v>
      </c>
      <c r="BC13" s="114">
        <f>'Revenue Build'!BC10</f>
        <v>990</v>
      </c>
      <c r="BD13" s="114">
        <f>'Revenue Build'!BD10</f>
        <v>1070</v>
      </c>
      <c r="BE13" s="106"/>
    </row>
    <row r="14" spans="1:57" s="89" customFormat="1" ht="12" customHeight="1" thickBot="1">
      <c r="A14" s="121" t="s">
        <v>90</v>
      </c>
      <c r="B14" s="91"/>
      <c r="C14" s="92"/>
      <c r="D14" s="92"/>
      <c r="E14" s="93"/>
      <c r="F14" s="92"/>
      <c r="G14" s="92"/>
      <c r="H14" s="92"/>
      <c r="I14" s="92"/>
      <c r="J14" s="91"/>
      <c r="K14" s="92"/>
      <c r="L14" s="92"/>
      <c r="M14" s="93"/>
      <c r="N14" s="122">
        <f>'Revenue Build'!N11</f>
        <v>101</v>
      </c>
      <c r="O14" s="123">
        <f>'Revenue Build'!O11</f>
        <v>103</v>
      </c>
      <c r="P14" s="123">
        <f>'Revenue Build'!P11</f>
        <v>110</v>
      </c>
      <c r="Q14" s="124">
        <f>'Revenue Build'!Q11</f>
        <v>115</v>
      </c>
      <c r="R14" s="123">
        <f>'Revenue Build'!R11</f>
        <v>120</v>
      </c>
      <c r="S14" s="125">
        <f>'Revenue Build'!S11</f>
        <v>126</v>
      </c>
      <c r="T14" s="123">
        <f>'Revenue Build'!T11</f>
        <v>135</v>
      </c>
      <c r="U14" s="123">
        <f>'Revenue Build'!U11</f>
        <v>145</v>
      </c>
      <c r="V14" s="122">
        <f>'Revenue Build'!V11</f>
        <v>154</v>
      </c>
      <c r="W14" s="123">
        <f>'Revenue Build'!W11</f>
        <v>164</v>
      </c>
      <c r="X14" s="123">
        <f>'Revenue Build'!X11</f>
        <v>171</v>
      </c>
      <c r="Y14" s="123">
        <f>'Revenue Build'!Y11</f>
        <v>182</v>
      </c>
      <c r="Z14" s="122">
        <f>'Revenue Build'!Z11</f>
        <v>188</v>
      </c>
      <c r="AA14" s="123">
        <f>'Revenue Build'!AA11</f>
        <v>191</v>
      </c>
      <c r="AB14" s="123">
        <f>'Revenue Build'!AB11</f>
        <v>199</v>
      </c>
      <c r="AC14" s="123">
        <v>208</v>
      </c>
      <c r="AD14" s="122">
        <f>'Revenue Build'!AD11</f>
        <v>214</v>
      </c>
      <c r="AE14" s="123">
        <f>'Revenue Build'!AE11</f>
        <v>219</v>
      </c>
      <c r="AF14" s="123">
        <f>'Revenue Build'!AF11</f>
        <v>224</v>
      </c>
      <c r="AG14" s="124">
        <v>233</v>
      </c>
      <c r="AH14" s="122">
        <v>235</v>
      </c>
      <c r="AI14" s="123">
        <f>'Revenue Build'!AI11</f>
        <v>243</v>
      </c>
      <c r="AJ14" s="125">
        <f>'Revenue Build'!AJ11</f>
        <v>248</v>
      </c>
      <c r="AK14" s="124">
        <f>'Revenue Build'!AK11</f>
        <v>253.1</v>
      </c>
      <c r="AL14" s="122">
        <f>'Revenue Build'!AL11</f>
        <v>260</v>
      </c>
      <c r="AM14" s="123" t="str">
        <f>'Revenue Build'!AM11</f>
        <v/>
      </c>
      <c r="AN14" s="123" t="str">
        <f>'Revenue Build'!AN11</f>
        <v/>
      </c>
      <c r="AO14" s="124" t="str">
        <f>'Revenue Build'!AO11</f>
        <v/>
      </c>
      <c r="AP14" s="122" t="str">
        <f>'Revenue Build'!AP11</f>
        <v/>
      </c>
      <c r="AQ14" s="123" t="str">
        <f>'Revenue Build'!AQ11</f>
        <v/>
      </c>
      <c r="AR14" s="123" t="str">
        <f>'Revenue Build'!AR11</f>
        <v/>
      </c>
      <c r="AS14" s="124" t="str">
        <f>'Revenue Build'!AS11</f>
        <v/>
      </c>
      <c r="AT14" s="99"/>
      <c r="AU14" s="100"/>
      <c r="AV14" s="93"/>
      <c r="AW14" s="93"/>
      <c r="AX14" s="101"/>
      <c r="AY14" s="126">
        <f>'Revenue Build'!AY11</f>
        <v>537.1</v>
      </c>
      <c r="AZ14" s="122">
        <f>'Revenue Build'!AZ11</f>
        <v>680.6</v>
      </c>
      <c r="BA14" s="126">
        <f>'Revenue Build'!BA11</f>
        <v>793.4</v>
      </c>
      <c r="BB14" s="126">
        <f>'Revenue Build'!BB11</f>
        <v>897.3</v>
      </c>
      <c r="BC14" s="127">
        <f>'Revenue Build'!BC11</f>
        <v>992</v>
      </c>
      <c r="BD14" s="127">
        <f>'Revenue Build'!BD11</f>
        <v>1075</v>
      </c>
      <c r="BE14" s="124"/>
    </row>
    <row r="15" spans="1:57" s="138" customFormat="1" ht="12" customHeight="1" thickTop="1">
      <c r="A15" s="128"/>
      <c r="B15" s="69"/>
      <c r="C15" s="70"/>
      <c r="D15" s="70"/>
      <c r="E15" s="129"/>
      <c r="F15" s="130"/>
      <c r="G15" s="70"/>
      <c r="H15" s="70"/>
      <c r="I15" s="129"/>
      <c r="J15" s="130"/>
      <c r="K15" s="70"/>
      <c r="L15" s="70"/>
      <c r="M15" s="129"/>
      <c r="N15" s="130"/>
      <c r="O15" s="70"/>
      <c r="P15" s="131"/>
      <c r="Q15" s="129"/>
      <c r="R15" s="130"/>
      <c r="S15" s="132"/>
      <c r="T15" s="70"/>
      <c r="U15" s="129"/>
      <c r="V15" s="70"/>
      <c r="W15" s="70"/>
      <c r="X15" s="70"/>
      <c r="Y15" s="133"/>
      <c r="Z15" s="130"/>
      <c r="AA15" s="70"/>
      <c r="AB15" s="70"/>
      <c r="AC15" s="129"/>
      <c r="AD15" s="130"/>
      <c r="AE15" s="70"/>
      <c r="AF15" s="70"/>
      <c r="AG15" s="129"/>
      <c r="AH15" s="130"/>
      <c r="AI15" s="70"/>
      <c r="AJ15" s="70"/>
      <c r="AK15" s="129"/>
      <c r="AL15" s="130"/>
      <c r="AM15" s="70"/>
      <c r="AN15" s="70"/>
      <c r="AO15" s="129"/>
      <c r="AP15" s="130"/>
      <c r="AQ15" s="70"/>
      <c r="AR15" s="70"/>
      <c r="AS15" s="129"/>
      <c r="AT15" s="134"/>
      <c r="AU15" s="135"/>
      <c r="AV15" s="88"/>
      <c r="AW15" s="72"/>
      <c r="AX15" s="136"/>
      <c r="AY15" s="136"/>
      <c r="AZ15" s="137"/>
      <c r="BA15" s="136"/>
      <c r="BB15" s="136"/>
      <c r="BC15" s="136"/>
      <c r="BD15" s="136"/>
      <c r="BE15" s="136"/>
    </row>
    <row r="16" spans="1:57" s="138" customFormat="1" ht="12" customHeight="1">
      <c r="A16" s="139" t="s">
        <v>91</v>
      </c>
      <c r="B16" s="69">
        <f t="shared" ref="B16:AK16" si="10">B112-B83-B86</f>
        <v>4.2329999999999997</v>
      </c>
      <c r="C16" s="70">
        <f t="shared" si="10"/>
        <v>5.1470000000000002</v>
      </c>
      <c r="D16" s="70">
        <f t="shared" si="10"/>
        <v>7.2100000000000009</v>
      </c>
      <c r="E16" s="71">
        <f t="shared" si="10"/>
        <v>8.113999999999999</v>
      </c>
      <c r="F16" s="130">
        <f t="shared" si="10"/>
        <v>8.5</v>
      </c>
      <c r="G16" s="70">
        <f t="shared" si="10"/>
        <v>9.613999999999999</v>
      </c>
      <c r="H16" s="70">
        <f t="shared" si="10"/>
        <v>11.318</v>
      </c>
      <c r="I16" s="71">
        <f t="shared" si="10"/>
        <v>11.424999999999999</v>
      </c>
      <c r="J16" s="130">
        <f t="shared" si="10"/>
        <v>12.423000000000002</v>
      </c>
      <c r="K16" s="70">
        <f t="shared" si="10"/>
        <v>13.024999999999999</v>
      </c>
      <c r="L16" s="70">
        <f t="shared" si="10"/>
        <v>14.425999999999998</v>
      </c>
      <c r="M16" s="71">
        <f t="shared" si="10"/>
        <v>17.506999999999998</v>
      </c>
      <c r="N16" s="130">
        <f t="shared" si="10"/>
        <v>17.375</v>
      </c>
      <c r="O16" s="70">
        <f t="shared" si="10"/>
        <v>17.734000000000002</v>
      </c>
      <c r="P16" s="131">
        <f t="shared" si="10"/>
        <v>17.988999999999997</v>
      </c>
      <c r="Q16" s="71">
        <f t="shared" si="10"/>
        <v>18.984000000000002</v>
      </c>
      <c r="R16" s="130">
        <f t="shared" si="10"/>
        <v>20.556999999999999</v>
      </c>
      <c r="S16" s="70">
        <f t="shared" si="10"/>
        <v>23.818999999999999</v>
      </c>
      <c r="T16" s="70">
        <f t="shared" si="10"/>
        <v>24.144000000000002</v>
      </c>
      <c r="U16" s="71">
        <f t="shared" si="10"/>
        <v>26.983000000000001</v>
      </c>
      <c r="V16" s="70">
        <f t="shared" si="10"/>
        <v>30.990000000000002</v>
      </c>
      <c r="W16" s="70">
        <f t="shared" si="10"/>
        <v>31.138000000000002</v>
      </c>
      <c r="X16" s="70">
        <f t="shared" si="10"/>
        <v>33.161000000000001</v>
      </c>
      <c r="Y16" s="71">
        <f t="shared" si="10"/>
        <v>39.759</v>
      </c>
      <c r="Z16" s="70">
        <f t="shared" si="10"/>
        <v>39.801000000000002</v>
      </c>
      <c r="AA16" s="70">
        <f t="shared" si="10"/>
        <v>37.535000000000004</v>
      </c>
      <c r="AB16" s="70">
        <f t="shared" si="10"/>
        <v>39.687999999999995</v>
      </c>
      <c r="AC16" s="71">
        <f t="shared" si="10"/>
        <v>41.447000000000003</v>
      </c>
      <c r="AD16" s="70">
        <f t="shared" si="10"/>
        <v>41.281000000000006</v>
      </c>
      <c r="AE16" s="70">
        <f t="shared" si="10"/>
        <v>40.750000000000007</v>
      </c>
      <c r="AF16" s="70">
        <f t="shared" si="10"/>
        <v>42.268999999999998</v>
      </c>
      <c r="AG16" s="70">
        <f t="shared" si="10"/>
        <v>43.233999999999995</v>
      </c>
      <c r="AH16" s="130">
        <f t="shared" si="10"/>
        <v>43.281000000000006</v>
      </c>
      <c r="AI16" s="70">
        <f t="shared" si="10"/>
        <v>44.436999999999998</v>
      </c>
      <c r="AJ16" s="70">
        <f t="shared" si="10"/>
        <v>46.475999999999999</v>
      </c>
      <c r="AK16" s="70">
        <f t="shared" si="10"/>
        <v>45.063999999999993</v>
      </c>
      <c r="AL16" s="130">
        <f t="shared" ref="AL16:AS16" si="11">(1-AL69)*AL9</f>
        <v>47.056130614875777</v>
      </c>
      <c r="AM16" s="70">
        <f t="shared" si="11"/>
        <v>47.980399374099072</v>
      </c>
      <c r="AN16" s="70">
        <f t="shared" si="11"/>
        <v>47.836970450000017</v>
      </c>
      <c r="AO16" s="71">
        <f t="shared" si="11"/>
        <v>47.988227800000011</v>
      </c>
      <c r="AP16" s="130">
        <f t="shared" si="11"/>
        <v>50.432829600047214</v>
      </c>
      <c r="AQ16" s="70">
        <f t="shared" si="11"/>
        <v>51.421835015031164</v>
      </c>
      <c r="AR16" s="70">
        <f t="shared" si="11"/>
        <v>51.264924960122528</v>
      </c>
      <c r="AS16" s="71">
        <f t="shared" si="11"/>
        <v>51.432890229840027</v>
      </c>
      <c r="AT16" s="134"/>
      <c r="AU16" s="130">
        <f t="shared" ref="AU16:AU17" si="12">SUM(B16:E16)</f>
        <v>24.704000000000001</v>
      </c>
      <c r="AV16" s="130">
        <f t="shared" ref="AV16:AV17" si="13">SUM(F16:I16)</f>
        <v>40.856999999999992</v>
      </c>
      <c r="AW16" s="72">
        <f t="shared" ref="AW16:AW17" si="14">SUM(J16:M16)</f>
        <v>57.380999999999993</v>
      </c>
      <c r="AX16" s="72">
        <f t="shared" ref="AX16:AX17" si="15">SUM(N16:Q16)</f>
        <v>72.081999999999994</v>
      </c>
      <c r="AY16" s="72">
        <f t="shared" ref="AY16:AY17" si="16">SUM(R16:U16)</f>
        <v>95.503</v>
      </c>
      <c r="AZ16" s="69">
        <f t="shared" ref="AZ16:AZ17" si="17">SUM(V16:Y16)</f>
        <v>135.048</v>
      </c>
      <c r="BA16" s="72">
        <f t="shared" ref="BA16:BA17" si="18">SUM(Z16:AC16)</f>
        <v>158.471</v>
      </c>
      <c r="BB16" s="72">
        <f t="shared" ref="BB16:BB17" si="19">SUM(AD16:AG16)</f>
        <v>167.53399999999999</v>
      </c>
      <c r="BC16" s="72">
        <f>SUM(AH16:AK16)</f>
        <v>179.25800000000001</v>
      </c>
      <c r="BD16" s="72">
        <f t="shared" ref="BD16:BD17" si="20">SUM(AL16:AO16)</f>
        <v>190.86172823897488</v>
      </c>
      <c r="BE16" s="72">
        <f>SUM(AP16:AS16)</f>
        <v>204.55247980504095</v>
      </c>
    </row>
    <row r="17" spans="1:62" s="143" customFormat="1" ht="12" customHeight="1">
      <c r="A17" s="63" t="s">
        <v>92</v>
      </c>
      <c r="B17" s="74">
        <f t="shared" ref="B17:AS17" si="21">B9-B16</f>
        <v>36.248000000000005</v>
      </c>
      <c r="C17" s="75">
        <f t="shared" si="21"/>
        <v>39.002000000000002</v>
      </c>
      <c r="D17" s="75">
        <f t="shared" si="21"/>
        <v>41.77</v>
      </c>
      <c r="E17" s="76">
        <f t="shared" si="21"/>
        <v>46.003000000000007</v>
      </c>
      <c r="F17" s="140">
        <f t="shared" si="21"/>
        <v>50.606999999999999</v>
      </c>
      <c r="G17" s="75">
        <f t="shared" si="21"/>
        <v>53.978000000000002</v>
      </c>
      <c r="H17" s="75">
        <f t="shared" si="21"/>
        <v>58.122</v>
      </c>
      <c r="I17" s="76">
        <f t="shared" si="21"/>
        <v>63.796000000000006</v>
      </c>
      <c r="J17" s="140">
        <f t="shared" si="21"/>
        <v>67.878</v>
      </c>
      <c r="K17" s="75">
        <f t="shared" si="21"/>
        <v>72.359000000000009</v>
      </c>
      <c r="L17" s="75">
        <f t="shared" si="21"/>
        <v>77.426000000000002</v>
      </c>
      <c r="M17" s="76">
        <f t="shared" si="21"/>
        <v>79.541999999999973</v>
      </c>
      <c r="N17" s="140">
        <f t="shared" si="21"/>
        <v>85.272999999999996</v>
      </c>
      <c r="O17" s="75">
        <f t="shared" si="21"/>
        <v>89.474999999999994</v>
      </c>
      <c r="P17" s="77">
        <f t="shared" si="21"/>
        <v>94.293000000000006</v>
      </c>
      <c r="Q17" s="76">
        <f t="shared" si="21"/>
        <v>99.098000000000013</v>
      </c>
      <c r="R17" s="140">
        <f t="shared" si="21"/>
        <v>102.63200000000001</v>
      </c>
      <c r="S17" s="75">
        <f t="shared" si="21"/>
        <v>106.44000000000001</v>
      </c>
      <c r="T17" s="75">
        <f t="shared" si="21"/>
        <v>114.51999999999998</v>
      </c>
      <c r="U17" s="76">
        <f t="shared" si="21"/>
        <v>122.035</v>
      </c>
      <c r="V17" s="75">
        <f t="shared" si="21"/>
        <v>128.37799999999999</v>
      </c>
      <c r="W17" s="75">
        <f t="shared" si="21"/>
        <v>133.203</v>
      </c>
      <c r="X17" s="75">
        <f t="shared" si="21"/>
        <v>141.69</v>
      </c>
      <c r="Y17" s="75">
        <f t="shared" si="21"/>
        <v>144.87200000000001</v>
      </c>
      <c r="Z17" s="140">
        <f t="shared" si="21"/>
        <v>149.03800000000001</v>
      </c>
      <c r="AA17" s="75">
        <f t="shared" si="21"/>
        <v>157.501</v>
      </c>
      <c r="AB17" s="75">
        <f t="shared" si="21"/>
        <v>161.84100000000001</v>
      </c>
      <c r="AC17" s="76">
        <f t="shared" si="21"/>
        <v>171.85899999999998</v>
      </c>
      <c r="AD17" s="140">
        <f t="shared" si="21"/>
        <v>174.67999999999998</v>
      </c>
      <c r="AE17" s="141">
        <f t="shared" si="21"/>
        <v>180.49100000000001</v>
      </c>
      <c r="AF17" s="75">
        <f t="shared" si="21"/>
        <v>184.81899999999999</v>
      </c>
      <c r="AG17" s="76">
        <f t="shared" si="21"/>
        <v>192.49700000000001</v>
      </c>
      <c r="AH17" s="140">
        <f t="shared" si="21"/>
        <v>195.85599999999999</v>
      </c>
      <c r="AI17" s="75">
        <f t="shared" si="21"/>
        <v>202.858</v>
      </c>
      <c r="AJ17" s="75">
        <f t="shared" si="21"/>
        <v>205.964</v>
      </c>
      <c r="AK17" s="76">
        <f t="shared" si="21"/>
        <v>215.46900000000002</v>
      </c>
      <c r="AL17" s="140">
        <f t="shared" si="21"/>
        <v>211.51065438512427</v>
      </c>
      <c r="AM17" s="75">
        <f t="shared" si="21"/>
        <v>217.55613562590094</v>
      </c>
      <c r="AN17" s="75">
        <f t="shared" si="21"/>
        <v>220.91005454999998</v>
      </c>
      <c r="AO17" s="76">
        <f t="shared" si="21"/>
        <v>229.40037219999999</v>
      </c>
      <c r="AP17" s="140">
        <f t="shared" si="21"/>
        <v>225.17401826645278</v>
      </c>
      <c r="AQ17" s="75">
        <f t="shared" si="21"/>
        <v>231.59424988296882</v>
      </c>
      <c r="AR17" s="75">
        <f t="shared" si="21"/>
        <v>235.13130386737754</v>
      </c>
      <c r="AS17" s="76">
        <f t="shared" si="21"/>
        <v>244.15843293016002</v>
      </c>
      <c r="AT17" s="142"/>
      <c r="AU17" s="140">
        <f t="shared" si="12"/>
        <v>163.02300000000002</v>
      </c>
      <c r="AV17" s="140">
        <f t="shared" si="13"/>
        <v>226.50299999999999</v>
      </c>
      <c r="AW17" s="79">
        <f t="shared" si="14"/>
        <v>297.20499999999998</v>
      </c>
      <c r="AX17" s="79">
        <f t="shared" si="15"/>
        <v>368.13900000000001</v>
      </c>
      <c r="AY17" s="79">
        <f t="shared" si="16"/>
        <v>445.62699999999995</v>
      </c>
      <c r="AZ17" s="74">
        <f t="shared" si="17"/>
        <v>548.14300000000003</v>
      </c>
      <c r="BA17" s="79">
        <f t="shared" si="18"/>
        <v>640.23900000000003</v>
      </c>
      <c r="BB17" s="79">
        <f t="shared" si="19"/>
        <v>732.48700000000008</v>
      </c>
      <c r="BC17" s="79">
        <f>SUM(AH17:AK17)</f>
        <v>820.14700000000005</v>
      </c>
      <c r="BD17" s="79">
        <f t="shared" si="20"/>
        <v>879.37721676102524</v>
      </c>
      <c r="BE17" s="79">
        <f>SUM(AP17:AS17)</f>
        <v>936.05800494695904</v>
      </c>
    </row>
    <row r="18" spans="1:62" s="89" customFormat="1" ht="12" hidden="1" customHeight="1" outlineLevel="1">
      <c r="A18" s="144" t="s">
        <v>93</v>
      </c>
      <c r="B18" s="86" t="str">
        <f>'[2]VA Consensus'!C23</f>
        <v>-</v>
      </c>
      <c r="C18" s="145" t="str">
        <f>'[2]VA Consensus'!D23</f>
        <v>-</v>
      </c>
      <c r="D18" s="145" t="str">
        <f>'[2]VA Consensus'!E23</f>
        <v>-</v>
      </c>
      <c r="E18" s="146" t="str">
        <f>'[2]VA Consensus'!F23</f>
        <v>-</v>
      </c>
      <c r="F18" s="147" t="str">
        <f>'[2]VA Consensus'!G23</f>
        <v>-</v>
      </c>
      <c r="G18" s="145" t="str">
        <f>'[2]VA Consensus'!H23</f>
        <v>-</v>
      </c>
      <c r="H18" s="145">
        <f>'[2]VA Consensus'!I23</f>
        <v>54.516384766632875</v>
      </c>
      <c r="I18" s="146">
        <f>'[2]VA Consensus'!J23</f>
        <v>59.879956253033569</v>
      </c>
      <c r="J18" s="147">
        <f>'[2]VA Consensus'!K23</f>
        <v>63.150691062448423</v>
      </c>
      <c r="K18" s="145">
        <f>'[2]VA Consensus'!L23</f>
        <v>67.852195804236118</v>
      </c>
      <c r="L18" s="145">
        <f>'[2]VA Consensus'!M23</f>
        <v>73.653529405442384</v>
      </c>
      <c r="M18" s="146">
        <f>'[2]VA Consensus'!N23</f>
        <v>78.965821330960352</v>
      </c>
      <c r="N18" s="147">
        <f>'[2]VA Consensus'!O23</f>
        <v>82.192196527728754</v>
      </c>
      <c r="O18" s="145">
        <f>'[2]VA Consensus'!P23</f>
        <v>85.061613414873051</v>
      </c>
      <c r="P18" s="145">
        <f>'[2]VA Consensus'!Q23</f>
        <v>90.62110381902248</v>
      </c>
      <c r="Q18" s="146">
        <f>'[2]VA Consensus'!R23</f>
        <v>95.848160498903923</v>
      </c>
      <c r="R18" s="147">
        <f>'[2]VA Consensus'!S23</f>
        <v>99.418120843553567</v>
      </c>
      <c r="S18" s="145">
        <f>'[2]VA Consensus'!T23</f>
        <v>103.67138410267208</v>
      </c>
      <c r="T18" s="145">
        <f>'[2]VA Consensus'!U23</f>
        <v>110.04589460439384</v>
      </c>
      <c r="U18" s="146">
        <f>'[2]VA Consensus'!V23</f>
        <v>118.73831705277883</v>
      </c>
      <c r="V18" s="145">
        <f>'[2]VA Consensus'!W23</f>
        <v>125.068679401712</v>
      </c>
      <c r="W18" s="145">
        <f>'[2]VA Consensus'!X23</f>
        <v>131.198605860811</v>
      </c>
      <c r="X18" s="145">
        <f>'[2]VA Consensus'!Y23</f>
        <v>137.17319401498983</v>
      </c>
      <c r="Y18" s="145">
        <f>'[2]VA Consensus'!Z23</f>
        <v>146.73735999949301</v>
      </c>
      <c r="Z18" s="147">
        <f>'[2]VA Consensus'!AA23</f>
        <v>145.83615416501564</v>
      </c>
      <c r="AA18" s="145">
        <f>'[2]VA Consensus'!AB23</f>
        <v>150.36970922591973</v>
      </c>
      <c r="AB18" s="145">
        <f>'[2]VA Consensus'!AC23</f>
        <v>158.03570362634122</v>
      </c>
      <c r="AC18" s="146">
        <f>'[2]VA Consensus'!AD23</f>
        <v>163.99188326233113</v>
      </c>
      <c r="AD18" s="147">
        <f>'[2]VA Consensus'!AE23</f>
        <v>169.93045969462707</v>
      </c>
      <c r="AE18" s="145">
        <f>'[2]VA Consensus'!AF23</f>
        <v>175.24901834078446</v>
      </c>
      <c r="AF18" s="145">
        <f>'[2]VA Consensus'!AG23</f>
        <v>179.71894779305254</v>
      </c>
      <c r="AG18" s="146">
        <f>'[2]VA Consensus'!AH23</f>
        <v>187.8076227576868</v>
      </c>
      <c r="AH18" s="147">
        <f>'[2]VA Consensus'!AI23</f>
        <v>188.41091607813814</v>
      </c>
      <c r="AI18" s="145">
        <f>'[2]VA Consensus'!AJ23</f>
        <v>196.77297222203475</v>
      </c>
      <c r="AJ18" s="145">
        <f>'[2]VA Consensus'!AK23</f>
        <v>201.73730823596199</v>
      </c>
      <c r="AK18" s="146">
        <f>'[2]VA Consensus'!AL23</f>
        <v>205.66161274309755</v>
      </c>
      <c r="AL18" s="147">
        <f>'[2]VA Consensus'!AM23</f>
        <v>211.62556892423089</v>
      </c>
      <c r="AM18" s="145">
        <f>'[2]VA Consensus'!AN23</f>
        <v>216.93941727951901</v>
      </c>
      <c r="AN18" s="145">
        <f>'[2]VA Consensus'!AO23</f>
        <v>220.82546599931993</v>
      </c>
      <c r="AO18" s="146">
        <f>'[2]VA Consensus'!AP23</f>
        <v>228.07747135898728</v>
      </c>
      <c r="AP18" s="147">
        <f>'[2]VA Consensus'!AQ23</f>
        <v>227.56559025949389</v>
      </c>
      <c r="AQ18" s="145">
        <f>'[2]VA Consensus'!AR23</f>
        <v>232.68577439735441</v>
      </c>
      <c r="AR18" s="145">
        <f>'[2]VA Consensus'!AS23</f>
        <v>236.78902387708706</v>
      </c>
      <c r="AS18" s="146">
        <f>'[2]VA Consensus'!AT23</f>
        <v>244.19627449614401</v>
      </c>
      <c r="AT18" s="85"/>
      <c r="AU18" s="88" t="str">
        <f>'[2]VA Consensus'!AV23</f>
        <v>-</v>
      </c>
      <c r="AV18" s="87">
        <f>'[2]VA Consensus'!AW23</f>
        <v>222.53370505803349</v>
      </c>
      <c r="AW18" s="87">
        <f>'[2]VA Consensus'!AX23</f>
        <v>296.58137688651595</v>
      </c>
      <c r="AX18" s="87">
        <f>'[2]VA Consensus'!AY23</f>
        <v>364.88916049890389</v>
      </c>
      <c r="AY18" s="88">
        <f>'[2]VA Consensus'!AZ23</f>
        <v>442.34026854838049</v>
      </c>
      <c r="AZ18" s="82">
        <f>'[2]VA Consensus'!BA23</f>
        <v>550.008359999493</v>
      </c>
      <c r="BA18" s="88">
        <f>'[2]VA Consensus'!BB23</f>
        <v>632.37188326233115</v>
      </c>
      <c r="BB18" s="88">
        <f>'[2]VA Consensus'!BC23</f>
        <v>727.79762275768678</v>
      </c>
      <c r="BC18" s="88">
        <f>'[2]VA Consensus'!BD23</f>
        <v>810.34857345091541</v>
      </c>
      <c r="BD18" s="88">
        <f>'[2]VA Consensus'!BE23</f>
        <v>877.46792356205708</v>
      </c>
      <c r="BE18" s="88">
        <f>'[2]VA Consensus'!BF23</f>
        <v>941.2366630300794</v>
      </c>
    </row>
    <row r="19" spans="1:62" s="143" customFormat="1" ht="12" customHeight="1" collapsed="1">
      <c r="A19" s="73"/>
      <c r="B19" s="74"/>
      <c r="C19" s="75"/>
      <c r="D19" s="75"/>
      <c r="E19" s="76"/>
      <c r="F19" s="74"/>
      <c r="G19" s="75"/>
      <c r="H19" s="75"/>
      <c r="I19" s="76"/>
      <c r="J19" s="74"/>
      <c r="K19" s="75"/>
      <c r="L19" s="75"/>
      <c r="M19" s="76"/>
      <c r="N19" s="74"/>
      <c r="O19" s="75"/>
      <c r="P19" s="77"/>
      <c r="Q19" s="76"/>
      <c r="R19" s="74"/>
      <c r="S19" s="75"/>
      <c r="T19" s="75"/>
      <c r="U19" s="76"/>
      <c r="V19" s="75"/>
      <c r="W19" s="75"/>
      <c r="X19" s="75"/>
      <c r="Y19" s="75"/>
      <c r="Z19" s="74"/>
      <c r="AA19" s="75"/>
      <c r="AB19" s="75"/>
      <c r="AC19" s="76"/>
      <c r="AD19" s="74"/>
      <c r="AE19" s="75"/>
      <c r="AF19" s="75"/>
      <c r="AG19" s="75"/>
      <c r="AH19" s="74"/>
      <c r="AI19" s="75"/>
      <c r="AJ19" s="75"/>
      <c r="AK19" s="76"/>
      <c r="AL19" s="74"/>
      <c r="AM19" s="75"/>
      <c r="AN19" s="75"/>
      <c r="AO19" s="76"/>
      <c r="AP19" s="74"/>
      <c r="AQ19" s="75"/>
      <c r="AR19" s="75"/>
      <c r="AS19" s="76"/>
      <c r="AT19" s="142"/>
      <c r="AU19" s="79"/>
      <c r="AV19" s="88"/>
      <c r="AW19" s="79"/>
      <c r="AX19" s="79"/>
      <c r="AY19" s="79"/>
      <c r="AZ19" s="148"/>
      <c r="BA19" s="149"/>
      <c r="BB19" s="149"/>
      <c r="BC19" s="149"/>
      <c r="BD19" s="149"/>
      <c r="BE19" s="149"/>
    </row>
    <row r="20" spans="1:62" s="151" customFormat="1" ht="12" customHeight="1">
      <c r="A20" s="63" t="s">
        <v>94</v>
      </c>
      <c r="B20" s="69"/>
      <c r="C20" s="70"/>
      <c r="D20" s="70"/>
      <c r="E20" s="71"/>
      <c r="F20" s="69"/>
      <c r="G20" s="70"/>
      <c r="H20" s="70"/>
      <c r="I20" s="71"/>
      <c r="J20" s="69"/>
      <c r="K20" s="70"/>
      <c r="L20" s="70"/>
      <c r="M20" s="71"/>
      <c r="N20" s="69"/>
      <c r="O20" s="70"/>
      <c r="P20" s="131"/>
      <c r="Q20" s="71"/>
      <c r="R20" s="69"/>
      <c r="S20" s="70"/>
      <c r="T20" s="70"/>
      <c r="U20" s="71"/>
      <c r="V20" s="70"/>
      <c r="W20" s="70"/>
      <c r="X20" s="70"/>
      <c r="Y20" s="70"/>
      <c r="Z20" s="69"/>
      <c r="AA20" s="70"/>
      <c r="AB20" s="70"/>
      <c r="AC20" s="71"/>
      <c r="AD20" s="69"/>
      <c r="AE20" s="70"/>
      <c r="AF20" s="70"/>
      <c r="AG20" s="70"/>
      <c r="AH20" s="69"/>
      <c r="AI20" s="70"/>
      <c r="AJ20" s="70"/>
      <c r="AK20" s="71"/>
      <c r="AL20" s="69"/>
      <c r="AM20" s="70"/>
      <c r="AN20" s="70"/>
      <c r="AO20" s="71"/>
      <c r="AP20" s="69"/>
      <c r="AQ20" s="70"/>
      <c r="AR20" s="70"/>
      <c r="AS20" s="71"/>
      <c r="AT20" s="150"/>
      <c r="AU20" s="72"/>
      <c r="AV20" s="72"/>
      <c r="AW20" s="72"/>
      <c r="AX20" s="72"/>
      <c r="AY20" s="72"/>
      <c r="AZ20" s="69"/>
      <c r="BA20" s="72"/>
      <c r="BB20" s="72"/>
      <c r="BC20" s="72"/>
      <c r="BD20" s="72"/>
      <c r="BE20" s="72"/>
    </row>
    <row r="21" spans="1:62" s="151" customFormat="1" ht="12" customHeight="1">
      <c r="A21" s="152" t="s">
        <v>95</v>
      </c>
      <c r="B21" s="69">
        <f t="shared" ref="B21:AK23" si="22">B116-B143-B152-B161</f>
        <v>25.898</v>
      </c>
      <c r="C21" s="70">
        <f t="shared" si="22"/>
        <v>27.414999999999999</v>
      </c>
      <c r="D21" s="70">
        <f t="shared" si="22"/>
        <v>29.165000000000003</v>
      </c>
      <c r="E21" s="71">
        <f t="shared" si="22"/>
        <v>32.241999999999997</v>
      </c>
      <c r="F21" s="69">
        <f t="shared" si="22"/>
        <v>38.986000000000004</v>
      </c>
      <c r="G21" s="70">
        <f t="shared" si="22"/>
        <v>41.151000000000003</v>
      </c>
      <c r="H21" s="70">
        <f t="shared" si="22"/>
        <v>41.842999999999996</v>
      </c>
      <c r="I21" s="71">
        <f t="shared" si="22"/>
        <v>44.453000000000003</v>
      </c>
      <c r="J21" s="69">
        <f t="shared" si="22"/>
        <v>49.323</v>
      </c>
      <c r="K21" s="70">
        <f t="shared" si="22"/>
        <v>51.8</v>
      </c>
      <c r="L21" s="70">
        <f t="shared" si="22"/>
        <v>53.177999999999997</v>
      </c>
      <c r="M21" s="71">
        <f t="shared" si="22"/>
        <v>57.701999999999998</v>
      </c>
      <c r="N21" s="69">
        <f t="shared" si="22"/>
        <v>55.358999999999995</v>
      </c>
      <c r="O21" s="70">
        <f t="shared" si="22"/>
        <v>50.067999999999998</v>
      </c>
      <c r="P21" s="131">
        <f t="shared" si="22"/>
        <v>48.239000000000004</v>
      </c>
      <c r="Q21" s="153">
        <f t="shared" si="22"/>
        <v>50.768999999999998</v>
      </c>
      <c r="R21" s="154">
        <f t="shared" si="22"/>
        <v>52.338999999999999</v>
      </c>
      <c r="S21" s="131">
        <f t="shared" si="22"/>
        <v>58.100999999999999</v>
      </c>
      <c r="T21" s="131">
        <f t="shared" si="22"/>
        <v>60.731000000000002</v>
      </c>
      <c r="U21" s="153">
        <f t="shared" si="22"/>
        <v>69.457999999999998</v>
      </c>
      <c r="V21" s="131">
        <f t="shared" si="22"/>
        <v>71.504999999999995</v>
      </c>
      <c r="W21" s="131">
        <f t="shared" si="22"/>
        <v>75.66</v>
      </c>
      <c r="X21" s="131">
        <f t="shared" si="22"/>
        <v>74.534000000000006</v>
      </c>
      <c r="Y21" s="153">
        <f t="shared" si="22"/>
        <v>78.348000000000013</v>
      </c>
      <c r="Z21" s="131">
        <f t="shared" si="22"/>
        <v>82.796999999999997</v>
      </c>
      <c r="AA21" s="131">
        <f t="shared" si="22"/>
        <v>81.376999999999995</v>
      </c>
      <c r="AB21" s="131">
        <f t="shared" si="22"/>
        <v>78.954000000000008</v>
      </c>
      <c r="AC21" s="153">
        <f t="shared" si="22"/>
        <v>89</v>
      </c>
      <c r="AD21" s="131">
        <f t="shared" si="22"/>
        <v>84.525000000000006</v>
      </c>
      <c r="AE21" s="131">
        <f t="shared" si="22"/>
        <v>84.853000000000009</v>
      </c>
      <c r="AF21" s="131">
        <f t="shared" si="22"/>
        <v>83.141999999999996</v>
      </c>
      <c r="AG21" s="131">
        <f t="shared" si="22"/>
        <v>80.138000000000005</v>
      </c>
      <c r="AH21" s="154">
        <f t="shared" si="22"/>
        <v>85.498000000000005</v>
      </c>
      <c r="AI21" s="131">
        <f t="shared" si="22"/>
        <v>89.015000000000001</v>
      </c>
      <c r="AJ21" s="131">
        <f t="shared" si="22"/>
        <v>82.897999999999996</v>
      </c>
      <c r="AK21" s="131">
        <f t="shared" si="22"/>
        <v>89.425000000000011</v>
      </c>
      <c r="AL21" s="154">
        <f t="shared" ref="AL21:AS23" si="23">AL$9*AL71</f>
        <v>91.15184416299978</v>
      </c>
      <c r="AM21" s="131">
        <f t="shared" si="23"/>
        <v>91.598078415182783</v>
      </c>
      <c r="AN21" s="131">
        <f t="shared" si="23"/>
        <v>84.221808721220881</v>
      </c>
      <c r="AO21" s="153">
        <f t="shared" si="23"/>
        <v>91.049664699454581</v>
      </c>
      <c r="AP21" s="154">
        <f t="shared" si="23"/>
        <v>95.780896854554101</v>
      </c>
      <c r="AQ21" s="131">
        <f t="shared" si="23"/>
        <v>96.212651056019922</v>
      </c>
      <c r="AR21" s="131">
        <f t="shared" si="23"/>
        <v>88.320857618593791</v>
      </c>
      <c r="AS21" s="153">
        <f t="shared" si="23"/>
        <v>95.546545695348073</v>
      </c>
      <c r="AT21" s="150"/>
      <c r="AU21" s="72">
        <f t="shared" ref="AU21:AU25" si="24">SUM(B21:E21)</f>
        <v>114.72</v>
      </c>
      <c r="AV21" s="72">
        <f t="shared" ref="AV21:AV25" si="25">SUM(F21:I21)</f>
        <v>166.43299999999999</v>
      </c>
      <c r="AW21" s="72">
        <f t="shared" ref="AW21:AW25" si="26">SUM(J21:M21)</f>
        <v>212.00299999999999</v>
      </c>
      <c r="AX21" s="72">
        <f t="shared" ref="AX21:AX25" si="27">SUM(N21:Q21)</f>
        <v>204.435</v>
      </c>
      <c r="AY21" s="72">
        <f t="shared" ref="AY21:AY25" si="28">SUM(R21:U21)</f>
        <v>240.62899999999999</v>
      </c>
      <c r="AZ21" s="69">
        <f t="shared" ref="AZ21:AZ25" si="29">SUM(V21:Y21)</f>
        <v>300.04700000000003</v>
      </c>
      <c r="BA21" s="72">
        <f t="shared" ref="BA21:BA25" si="30">SUM(Z21:AC21)</f>
        <v>332.12799999999999</v>
      </c>
      <c r="BB21" s="72">
        <f t="shared" ref="BB21:BB25" si="31">SUM(AD21:AG21)</f>
        <v>332.65800000000002</v>
      </c>
      <c r="BC21" s="72">
        <f t="shared" ref="BC21:BC25" si="32">SUM(AH21:AK21)</f>
        <v>346.83600000000001</v>
      </c>
      <c r="BD21" s="72">
        <f t="shared" ref="BD21:BD25" si="33">SUM(AL21:AO21)</f>
        <v>358.02139599885805</v>
      </c>
      <c r="BE21" s="72">
        <f>SUM(AP21:AS21)</f>
        <v>375.86095122451587</v>
      </c>
      <c r="BF21" s="155"/>
      <c r="BG21" s="155"/>
      <c r="BI21" s="155"/>
      <c r="BJ21" s="155"/>
    </row>
    <row r="22" spans="1:62" s="157" customFormat="1" ht="12" customHeight="1">
      <c r="A22" s="152" t="s">
        <v>96</v>
      </c>
      <c r="B22" s="69">
        <f t="shared" si="22"/>
        <v>12.064</v>
      </c>
      <c r="C22" s="70">
        <f t="shared" si="22"/>
        <v>13.260999999999999</v>
      </c>
      <c r="D22" s="70">
        <f t="shared" si="22"/>
        <v>15.359</v>
      </c>
      <c r="E22" s="71">
        <f t="shared" si="22"/>
        <v>15.206999999999999</v>
      </c>
      <c r="F22" s="69">
        <f t="shared" si="22"/>
        <v>16.657999999999998</v>
      </c>
      <c r="G22" s="70">
        <f t="shared" si="22"/>
        <v>17.151</v>
      </c>
      <c r="H22" s="70">
        <f t="shared" si="22"/>
        <v>18.126000000000001</v>
      </c>
      <c r="I22" s="71">
        <f t="shared" si="22"/>
        <v>18.959</v>
      </c>
      <c r="J22" s="69">
        <f t="shared" si="22"/>
        <v>19.904999999999998</v>
      </c>
      <c r="K22" s="70">
        <f t="shared" si="22"/>
        <v>19.257000000000001</v>
      </c>
      <c r="L22" s="70">
        <f t="shared" si="22"/>
        <v>18.639000000000003</v>
      </c>
      <c r="M22" s="71">
        <f t="shared" si="22"/>
        <v>20.352</v>
      </c>
      <c r="N22" s="69">
        <f t="shared" si="22"/>
        <v>23.882999999999999</v>
      </c>
      <c r="O22" s="70">
        <f t="shared" si="22"/>
        <v>21.416999999999998</v>
      </c>
      <c r="P22" s="131">
        <f t="shared" si="22"/>
        <v>21.175000000000001</v>
      </c>
      <c r="Q22" s="153">
        <f t="shared" si="22"/>
        <v>20.417999999999999</v>
      </c>
      <c r="R22" s="154">
        <f t="shared" si="22"/>
        <v>22.682000000000002</v>
      </c>
      <c r="S22" s="131">
        <f t="shared" si="22"/>
        <v>23.024999999999999</v>
      </c>
      <c r="T22" s="131">
        <f t="shared" si="22"/>
        <v>25.088000000000001</v>
      </c>
      <c r="U22" s="153">
        <f t="shared" si="22"/>
        <v>24.905000000000001</v>
      </c>
      <c r="V22" s="131">
        <f t="shared" si="22"/>
        <v>27.826999999999998</v>
      </c>
      <c r="W22" s="131">
        <f t="shared" si="22"/>
        <v>28.151000000000003</v>
      </c>
      <c r="X22" s="131">
        <f t="shared" si="22"/>
        <v>27.377000000000002</v>
      </c>
      <c r="Y22" s="153">
        <f t="shared" si="22"/>
        <v>28.706000000000003</v>
      </c>
      <c r="Z22" s="131">
        <f t="shared" si="22"/>
        <v>29.317999999999998</v>
      </c>
      <c r="AA22" s="131">
        <f t="shared" si="22"/>
        <v>28.081</v>
      </c>
      <c r="AB22" s="131">
        <f t="shared" si="22"/>
        <v>27.81</v>
      </c>
      <c r="AC22" s="153">
        <f t="shared" si="22"/>
        <v>30.728999999999999</v>
      </c>
      <c r="AD22" s="131">
        <f t="shared" si="22"/>
        <v>32.565999999999995</v>
      </c>
      <c r="AE22" s="131">
        <f t="shared" si="22"/>
        <v>33.35</v>
      </c>
      <c r="AF22" s="131">
        <f t="shared" si="22"/>
        <v>35.585000000000001</v>
      </c>
      <c r="AG22" s="131">
        <f t="shared" si="22"/>
        <v>32.466999999999999</v>
      </c>
      <c r="AH22" s="154">
        <f t="shared" si="22"/>
        <v>39.017000000000003</v>
      </c>
      <c r="AI22" s="131">
        <f t="shared" si="22"/>
        <v>43.403999999999996</v>
      </c>
      <c r="AJ22" s="131">
        <f t="shared" si="22"/>
        <v>42.091000000000001</v>
      </c>
      <c r="AK22" s="131">
        <f t="shared" si="22"/>
        <v>40.840000000000003</v>
      </c>
      <c r="AL22" s="154">
        <f t="shared" si="23"/>
        <v>42.187115546088656</v>
      </c>
      <c r="AM22" s="131">
        <f t="shared" si="23"/>
        <v>46.605664348814159</v>
      </c>
      <c r="AN22" s="131">
        <f t="shared" si="23"/>
        <v>44.809978724746479</v>
      </c>
      <c r="AO22" s="153">
        <f t="shared" si="23"/>
        <v>43.482209255641322</v>
      </c>
      <c r="AP22" s="154">
        <f t="shared" si="23"/>
        <v>44.96732995398969</v>
      </c>
      <c r="AQ22" s="131">
        <f t="shared" si="23"/>
        <v>49.673588826756657</v>
      </c>
      <c r="AR22" s="131">
        <f t="shared" si="23"/>
        <v>47.752747851284688</v>
      </c>
      <c r="AS22" s="153">
        <f t="shared" si="23"/>
        <v>46.335587575679099</v>
      </c>
      <c r="AT22" s="156"/>
      <c r="AU22" s="72">
        <f t="shared" si="24"/>
        <v>55.890999999999998</v>
      </c>
      <c r="AV22" s="72">
        <f t="shared" si="25"/>
        <v>70.894000000000005</v>
      </c>
      <c r="AW22" s="72">
        <f t="shared" si="26"/>
        <v>78.153000000000006</v>
      </c>
      <c r="AX22" s="72">
        <f t="shared" si="27"/>
        <v>86.893000000000001</v>
      </c>
      <c r="AY22" s="72">
        <f t="shared" si="28"/>
        <v>95.7</v>
      </c>
      <c r="AZ22" s="69">
        <f t="shared" si="29"/>
        <v>112.06100000000001</v>
      </c>
      <c r="BA22" s="72">
        <f t="shared" si="30"/>
        <v>115.938</v>
      </c>
      <c r="BB22" s="72">
        <f t="shared" si="31"/>
        <v>133.96800000000002</v>
      </c>
      <c r="BC22" s="72">
        <f t="shared" si="32"/>
        <v>165.352</v>
      </c>
      <c r="BD22" s="72">
        <f t="shared" si="33"/>
        <v>177.08496787529063</v>
      </c>
      <c r="BE22" s="72">
        <f>SUM(AP22:AS22)</f>
        <v>188.72925420771014</v>
      </c>
      <c r="BF22" s="155"/>
      <c r="BG22" s="155"/>
      <c r="BI22" s="155"/>
      <c r="BJ22" s="155"/>
    </row>
    <row r="23" spans="1:62" s="157" customFormat="1" ht="12" customHeight="1">
      <c r="A23" s="152" t="s">
        <v>97</v>
      </c>
      <c r="B23" s="69">
        <f t="shared" si="22"/>
        <v>5.2549999999999999</v>
      </c>
      <c r="C23" s="70">
        <f t="shared" si="22"/>
        <v>5.5549999999999997</v>
      </c>
      <c r="D23" s="70">
        <f t="shared" si="22"/>
        <v>6.2290000000000001</v>
      </c>
      <c r="E23" s="71">
        <f t="shared" si="22"/>
        <v>7.7700000000000005</v>
      </c>
      <c r="F23" s="69">
        <f t="shared" si="22"/>
        <v>7.8620000000000001</v>
      </c>
      <c r="G23" s="70">
        <f t="shared" si="22"/>
        <v>8.9459999999999997</v>
      </c>
      <c r="H23" s="70">
        <f t="shared" si="22"/>
        <v>10.315000000000001</v>
      </c>
      <c r="I23" s="71">
        <f t="shared" si="22"/>
        <v>11.156000000000001</v>
      </c>
      <c r="J23" s="69">
        <f t="shared" si="22"/>
        <v>11.864999999999998</v>
      </c>
      <c r="K23" s="70">
        <f t="shared" si="22"/>
        <v>12.012</v>
      </c>
      <c r="L23" s="70">
        <f t="shared" si="22"/>
        <v>13.312000000000001</v>
      </c>
      <c r="M23" s="71">
        <f t="shared" si="22"/>
        <v>12.625999999999999</v>
      </c>
      <c r="N23" s="69">
        <f t="shared" si="22"/>
        <v>13.749999999999998</v>
      </c>
      <c r="O23" s="70">
        <f t="shared" si="22"/>
        <v>12.311000000000002</v>
      </c>
      <c r="P23" s="131">
        <f t="shared" si="22"/>
        <v>12.465</v>
      </c>
      <c r="Q23" s="153">
        <f t="shared" si="22"/>
        <v>12.491999999999997</v>
      </c>
      <c r="R23" s="154">
        <f t="shared" si="22"/>
        <v>13.724000000000002</v>
      </c>
      <c r="S23" s="131">
        <f t="shared" si="22"/>
        <v>13.78</v>
      </c>
      <c r="T23" s="131">
        <f t="shared" si="22"/>
        <v>15.016000000000002</v>
      </c>
      <c r="U23" s="153">
        <f t="shared" si="22"/>
        <v>15.793000000000001</v>
      </c>
      <c r="V23" s="131">
        <f t="shared" si="22"/>
        <v>16.590000000000003</v>
      </c>
      <c r="W23" s="131">
        <f t="shared" si="22"/>
        <v>17.201000000000001</v>
      </c>
      <c r="X23" s="131">
        <f t="shared" si="22"/>
        <v>16.692</v>
      </c>
      <c r="Y23" s="153">
        <f t="shared" si="22"/>
        <v>17.881999999999998</v>
      </c>
      <c r="Z23" s="131">
        <f t="shared" si="22"/>
        <v>18.781999999999996</v>
      </c>
      <c r="AA23" s="131">
        <f t="shared" si="22"/>
        <v>17.824999999999999</v>
      </c>
      <c r="AB23" s="131">
        <f t="shared" si="22"/>
        <v>18.502000000000002</v>
      </c>
      <c r="AC23" s="153">
        <f t="shared" si="22"/>
        <v>16.067</v>
      </c>
      <c r="AD23" s="131">
        <f t="shared" si="22"/>
        <v>20.581</v>
      </c>
      <c r="AE23" s="131">
        <f t="shared" si="22"/>
        <v>19.503999999999998</v>
      </c>
      <c r="AF23" s="131">
        <f t="shared" si="22"/>
        <v>21.116999999999997</v>
      </c>
      <c r="AG23" s="131">
        <f t="shared" si="22"/>
        <v>20.541</v>
      </c>
      <c r="AH23" s="154">
        <f t="shared" si="22"/>
        <v>22.663999999999998</v>
      </c>
      <c r="AI23" s="131">
        <f t="shared" si="22"/>
        <v>22.742999999999999</v>
      </c>
      <c r="AJ23" s="131">
        <f t="shared" si="22"/>
        <v>22.062000000000005</v>
      </c>
      <c r="AK23" s="131">
        <f t="shared" si="22"/>
        <v>21.510999999999999</v>
      </c>
      <c r="AL23" s="154">
        <f t="shared" si="23"/>
        <v>24.046711005000002</v>
      </c>
      <c r="AM23" s="131">
        <f t="shared" si="23"/>
        <v>23.632751615</v>
      </c>
      <c r="AN23" s="131">
        <f t="shared" si="23"/>
        <v>23.918485225000001</v>
      </c>
      <c r="AO23" s="153">
        <f t="shared" si="23"/>
        <v>22.191088000000001</v>
      </c>
      <c r="AP23" s="154">
        <f t="shared" si="23"/>
        <v>25.080223155851499</v>
      </c>
      <c r="AQ23" s="131">
        <f t="shared" si="23"/>
        <v>24.622399386125995</v>
      </c>
      <c r="AR23" s="131">
        <f t="shared" si="23"/>
        <v>24.916471907992506</v>
      </c>
      <c r="AS23" s="153">
        <f t="shared" si="23"/>
        <v>23.056123206480006</v>
      </c>
      <c r="AT23" s="156"/>
      <c r="AU23" s="72">
        <f t="shared" si="24"/>
        <v>24.808999999999997</v>
      </c>
      <c r="AV23" s="72">
        <f t="shared" si="25"/>
        <v>38.279000000000003</v>
      </c>
      <c r="AW23" s="72">
        <f t="shared" si="26"/>
        <v>49.814999999999998</v>
      </c>
      <c r="AX23" s="72">
        <f t="shared" si="27"/>
        <v>51.017999999999994</v>
      </c>
      <c r="AY23" s="72">
        <f t="shared" si="28"/>
        <v>58.313000000000002</v>
      </c>
      <c r="AZ23" s="69">
        <f t="shared" si="29"/>
        <v>68.365000000000009</v>
      </c>
      <c r="BA23" s="72">
        <f t="shared" si="30"/>
        <v>71.176000000000002</v>
      </c>
      <c r="BB23" s="72">
        <f t="shared" si="31"/>
        <v>81.742999999999995</v>
      </c>
      <c r="BC23" s="72">
        <f t="shared" si="32"/>
        <v>88.97999999999999</v>
      </c>
      <c r="BD23" s="72">
        <f t="shared" si="33"/>
        <v>93.789035845000001</v>
      </c>
      <c r="BE23" s="72">
        <f>SUM(AP23:AS23)</f>
        <v>97.675217656450002</v>
      </c>
      <c r="BF23" s="155"/>
      <c r="BG23" s="155"/>
      <c r="BI23" s="155"/>
      <c r="BJ23" s="155"/>
    </row>
    <row r="24" spans="1:62" s="159" customFormat="1" ht="12" customHeight="1">
      <c r="A24" s="158" t="s">
        <v>98</v>
      </c>
      <c r="B24" s="74">
        <f t="shared" ref="B24:P24" si="34">B21+B22+B23</f>
        <v>43.217000000000006</v>
      </c>
      <c r="C24" s="75">
        <f t="shared" si="34"/>
        <v>46.231000000000002</v>
      </c>
      <c r="D24" s="75">
        <f t="shared" si="34"/>
        <v>50.753</v>
      </c>
      <c r="E24" s="76">
        <f t="shared" si="34"/>
        <v>55.219000000000001</v>
      </c>
      <c r="F24" s="74">
        <f t="shared" si="34"/>
        <v>63.506000000000007</v>
      </c>
      <c r="G24" s="75">
        <f t="shared" si="34"/>
        <v>67.248000000000005</v>
      </c>
      <c r="H24" s="75">
        <f t="shared" si="34"/>
        <v>70.283999999999992</v>
      </c>
      <c r="I24" s="76">
        <f t="shared" si="34"/>
        <v>74.568000000000012</v>
      </c>
      <c r="J24" s="74">
        <f t="shared" si="34"/>
        <v>81.092999999999989</v>
      </c>
      <c r="K24" s="75">
        <f t="shared" si="34"/>
        <v>83.069000000000003</v>
      </c>
      <c r="L24" s="75">
        <f t="shared" si="34"/>
        <v>85.129000000000005</v>
      </c>
      <c r="M24" s="76">
        <f t="shared" si="34"/>
        <v>90.68</v>
      </c>
      <c r="N24" s="74">
        <f t="shared" si="34"/>
        <v>92.99199999999999</v>
      </c>
      <c r="O24" s="75">
        <f t="shared" si="34"/>
        <v>83.796000000000006</v>
      </c>
      <c r="P24" s="77">
        <f t="shared" si="34"/>
        <v>81.879000000000005</v>
      </c>
      <c r="Q24" s="76">
        <f>Q21+Q22+Q23</f>
        <v>83.679000000000002</v>
      </c>
      <c r="R24" s="74">
        <f t="shared" ref="R24:AS24" si="35">R21+R22+R23</f>
        <v>88.745000000000005</v>
      </c>
      <c r="S24" s="75">
        <f t="shared" si="35"/>
        <v>94.906000000000006</v>
      </c>
      <c r="T24" s="75">
        <f t="shared" si="35"/>
        <v>100.83500000000001</v>
      </c>
      <c r="U24" s="76">
        <f t="shared" si="35"/>
        <v>110.15600000000001</v>
      </c>
      <c r="V24" s="75">
        <f t="shared" si="35"/>
        <v>115.922</v>
      </c>
      <c r="W24" s="75">
        <f t="shared" si="35"/>
        <v>121.012</v>
      </c>
      <c r="X24" s="75">
        <f t="shared" si="35"/>
        <v>118.60300000000001</v>
      </c>
      <c r="Y24" s="76">
        <f t="shared" si="35"/>
        <v>124.93600000000001</v>
      </c>
      <c r="Z24" s="75">
        <f t="shared" si="35"/>
        <v>130.89699999999999</v>
      </c>
      <c r="AA24" s="75">
        <f t="shared" si="35"/>
        <v>127.283</v>
      </c>
      <c r="AB24" s="75">
        <f t="shared" si="35"/>
        <v>125.26600000000002</v>
      </c>
      <c r="AC24" s="76">
        <f t="shared" si="35"/>
        <v>135.79599999999999</v>
      </c>
      <c r="AD24" s="75">
        <f t="shared" si="35"/>
        <v>137.672</v>
      </c>
      <c r="AE24" s="75">
        <f t="shared" si="35"/>
        <v>137.70699999999999</v>
      </c>
      <c r="AF24" s="75">
        <f t="shared" si="35"/>
        <v>139.84399999999999</v>
      </c>
      <c r="AG24" s="75">
        <f t="shared" si="35"/>
        <v>133.14600000000002</v>
      </c>
      <c r="AH24" s="74">
        <f t="shared" si="35"/>
        <v>147.179</v>
      </c>
      <c r="AI24" s="75">
        <f t="shared" si="35"/>
        <v>155.16199999999998</v>
      </c>
      <c r="AJ24" s="75">
        <f t="shared" si="35"/>
        <v>147.05100000000002</v>
      </c>
      <c r="AK24" s="76">
        <f t="shared" si="35"/>
        <v>151.77600000000001</v>
      </c>
      <c r="AL24" s="74">
        <f t="shared" si="35"/>
        <v>157.38567071408843</v>
      </c>
      <c r="AM24" s="75">
        <f t="shared" si="35"/>
        <v>161.83649437899695</v>
      </c>
      <c r="AN24" s="75">
        <f t="shared" si="35"/>
        <v>152.95027267096737</v>
      </c>
      <c r="AO24" s="76">
        <f t="shared" si="35"/>
        <v>156.72296195509591</v>
      </c>
      <c r="AP24" s="74">
        <f t="shared" si="35"/>
        <v>165.8284499643953</v>
      </c>
      <c r="AQ24" s="75">
        <f t="shared" si="35"/>
        <v>170.50863926890258</v>
      </c>
      <c r="AR24" s="75">
        <f t="shared" si="35"/>
        <v>160.99007737787099</v>
      </c>
      <c r="AS24" s="76">
        <f t="shared" si="35"/>
        <v>164.93825647750717</v>
      </c>
      <c r="AT24" s="142"/>
      <c r="AU24" s="79">
        <f t="shared" si="24"/>
        <v>195.42000000000002</v>
      </c>
      <c r="AV24" s="79">
        <f t="shared" si="25"/>
        <v>275.60599999999999</v>
      </c>
      <c r="AW24" s="79">
        <f t="shared" si="26"/>
        <v>339.971</v>
      </c>
      <c r="AX24" s="79">
        <f t="shared" si="27"/>
        <v>342.346</v>
      </c>
      <c r="AY24" s="79">
        <f t="shared" si="28"/>
        <v>394.642</v>
      </c>
      <c r="AZ24" s="74">
        <f t="shared" si="29"/>
        <v>480.47300000000007</v>
      </c>
      <c r="BA24" s="79">
        <f t="shared" si="30"/>
        <v>519.24199999999996</v>
      </c>
      <c r="BB24" s="79">
        <f t="shared" si="31"/>
        <v>548.36900000000003</v>
      </c>
      <c r="BC24" s="79">
        <f t="shared" si="32"/>
        <v>601.16800000000012</v>
      </c>
      <c r="BD24" s="79">
        <f t="shared" si="33"/>
        <v>628.8953997191486</v>
      </c>
      <c r="BE24" s="79">
        <f>SUM(AP24:AS24)</f>
        <v>662.26542308867602</v>
      </c>
      <c r="BF24" s="155"/>
      <c r="BG24" s="155"/>
      <c r="BI24" s="155"/>
      <c r="BJ24" s="155"/>
    </row>
    <row r="25" spans="1:62" s="161" customFormat="1" ht="12" customHeight="1">
      <c r="A25" s="63" t="s">
        <v>99</v>
      </c>
      <c r="B25" s="74">
        <f t="shared" ref="B25:AS25" si="36">B17-B24</f>
        <v>-6.9690000000000012</v>
      </c>
      <c r="C25" s="75">
        <f t="shared" si="36"/>
        <v>-7.2289999999999992</v>
      </c>
      <c r="D25" s="75">
        <f t="shared" si="36"/>
        <v>-8.982999999999997</v>
      </c>
      <c r="E25" s="76">
        <f t="shared" si="36"/>
        <v>-9.215999999999994</v>
      </c>
      <c r="F25" s="74">
        <f t="shared" si="36"/>
        <v>-12.899000000000008</v>
      </c>
      <c r="G25" s="75">
        <f t="shared" si="36"/>
        <v>-13.270000000000003</v>
      </c>
      <c r="H25" s="75">
        <f t="shared" si="36"/>
        <v>-12.161999999999992</v>
      </c>
      <c r="I25" s="76">
        <f t="shared" si="36"/>
        <v>-10.772000000000006</v>
      </c>
      <c r="J25" s="74">
        <f t="shared" si="36"/>
        <v>-13.214999999999989</v>
      </c>
      <c r="K25" s="75">
        <f t="shared" si="36"/>
        <v>-10.709999999999994</v>
      </c>
      <c r="L25" s="75">
        <f t="shared" si="36"/>
        <v>-7.703000000000003</v>
      </c>
      <c r="M25" s="160">
        <f t="shared" si="36"/>
        <v>-11.138000000000034</v>
      </c>
      <c r="N25" s="74">
        <f t="shared" si="36"/>
        <v>-7.7189999999999941</v>
      </c>
      <c r="O25" s="75">
        <f t="shared" si="36"/>
        <v>5.6789999999999878</v>
      </c>
      <c r="P25" s="77">
        <f t="shared" si="36"/>
        <v>12.414000000000001</v>
      </c>
      <c r="Q25" s="76">
        <f t="shared" si="36"/>
        <v>15.419000000000011</v>
      </c>
      <c r="R25" s="74">
        <f t="shared" si="36"/>
        <v>13.887</v>
      </c>
      <c r="S25" s="75">
        <f t="shared" si="36"/>
        <v>11.534000000000006</v>
      </c>
      <c r="T25" s="75">
        <f t="shared" si="36"/>
        <v>13.684999999999974</v>
      </c>
      <c r="U25" s="76">
        <f t="shared" si="36"/>
        <v>11.878999999999991</v>
      </c>
      <c r="V25" s="75">
        <f t="shared" si="36"/>
        <v>12.455999999999989</v>
      </c>
      <c r="W25" s="75">
        <f t="shared" si="36"/>
        <v>12.191000000000003</v>
      </c>
      <c r="X25" s="75">
        <f t="shared" si="36"/>
        <v>23.086999999999989</v>
      </c>
      <c r="Y25" s="76">
        <f t="shared" si="36"/>
        <v>19.936000000000007</v>
      </c>
      <c r="Z25" s="75">
        <f t="shared" si="36"/>
        <v>18.14100000000002</v>
      </c>
      <c r="AA25" s="75">
        <f t="shared" si="36"/>
        <v>30.218000000000004</v>
      </c>
      <c r="AB25" s="75">
        <f t="shared" si="36"/>
        <v>36.574999999999989</v>
      </c>
      <c r="AC25" s="76">
        <f t="shared" si="36"/>
        <v>36.062999999999988</v>
      </c>
      <c r="AD25" s="75">
        <f t="shared" si="36"/>
        <v>37.007999999999981</v>
      </c>
      <c r="AE25" s="75">
        <f t="shared" si="36"/>
        <v>42.78400000000002</v>
      </c>
      <c r="AF25" s="75">
        <f t="shared" si="36"/>
        <v>44.974999999999994</v>
      </c>
      <c r="AG25" s="76">
        <f t="shared" si="36"/>
        <v>59.350999999999999</v>
      </c>
      <c r="AH25" s="74">
        <f t="shared" si="36"/>
        <v>48.676999999999992</v>
      </c>
      <c r="AI25" s="75">
        <f t="shared" si="36"/>
        <v>47.696000000000026</v>
      </c>
      <c r="AJ25" s="75">
        <f t="shared" si="36"/>
        <v>58.912999999999982</v>
      </c>
      <c r="AK25" s="76">
        <f t="shared" si="36"/>
        <v>63.693000000000012</v>
      </c>
      <c r="AL25" s="74">
        <f t="shared" si="36"/>
        <v>54.124983671035835</v>
      </c>
      <c r="AM25" s="75">
        <f t="shared" si="36"/>
        <v>55.71964124690399</v>
      </c>
      <c r="AN25" s="75">
        <f t="shared" si="36"/>
        <v>67.959781879032619</v>
      </c>
      <c r="AO25" s="76">
        <f t="shared" si="36"/>
        <v>72.677410244904081</v>
      </c>
      <c r="AP25" s="74">
        <f t="shared" si="36"/>
        <v>59.345568302057472</v>
      </c>
      <c r="AQ25" s="75">
        <f t="shared" si="36"/>
        <v>61.08561061406624</v>
      </c>
      <c r="AR25" s="75">
        <f t="shared" si="36"/>
        <v>74.14122648950655</v>
      </c>
      <c r="AS25" s="76">
        <f t="shared" si="36"/>
        <v>79.220176452652851</v>
      </c>
      <c r="AT25" s="142"/>
      <c r="AU25" s="79">
        <f t="shared" si="24"/>
        <v>-32.396999999999991</v>
      </c>
      <c r="AV25" s="79">
        <f t="shared" si="25"/>
        <v>-49.103000000000009</v>
      </c>
      <c r="AW25" s="79">
        <f t="shared" si="26"/>
        <v>-42.76600000000002</v>
      </c>
      <c r="AX25" s="79">
        <f t="shared" si="27"/>
        <v>25.793000000000006</v>
      </c>
      <c r="AY25" s="79">
        <f t="shared" si="28"/>
        <v>50.984999999999971</v>
      </c>
      <c r="AZ25" s="74">
        <f t="shared" si="29"/>
        <v>67.669999999999987</v>
      </c>
      <c r="BA25" s="79">
        <f t="shared" si="30"/>
        <v>120.997</v>
      </c>
      <c r="BB25" s="79">
        <f t="shared" si="31"/>
        <v>184.11799999999999</v>
      </c>
      <c r="BC25" s="79">
        <f t="shared" si="32"/>
        <v>218.97900000000001</v>
      </c>
      <c r="BD25" s="79">
        <f t="shared" si="33"/>
        <v>250.48181704187652</v>
      </c>
      <c r="BE25" s="79">
        <f>SUM(AP25:AS25)</f>
        <v>273.79258185828314</v>
      </c>
    </row>
    <row r="26" spans="1:62" s="165" customFormat="1" ht="12" hidden="1" customHeight="1" outlineLevel="1">
      <c r="A26" s="144" t="s">
        <v>100</v>
      </c>
      <c r="B26" s="86" t="str">
        <f>'[2]VA Consensus'!C29</f>
        <v>-</v>
      </c>
      <c r="C26" s="145" t="str">
        <f>'[2]VA Consensus'!D29</f>
        <v>-</v>
      </c>
      <c r="D26" s="145" t="str">
        <f>'[2]VA Consensus'!E29</f>
        <v>-</v>
      </c>
      <c r="E26" s="146" t="str">
        <f>'[2]VA Consensus'!F29</f>
        <v>-</v>
      </c>
      <c r="F26" s="86" t="str">
        <f>'[2]VA Consensus'!G29</f>
        <v>-</v>
      </c>
      <c r="G26" s="145" t="str">
        <f>'[2]VA Consensus'!H29</f>
        <v>-</v>
      </c>
      <c r="H26" s="145">
        <f>'[2]VA Consensus'!I29</f>
        <v>-16.934375854631426</v>
      </c>
      <c r="I26" s="146">
        <f>'[2]VA Consensus'!J29</f>
        <v>-13.435126250079467</v>
      </c>
      <c r="J26" s="86">
        <f>'[2]VA Consensus'!K29</f>
        <v>-16.2977232270167</v>
      </c>
      <c r="K26" s="145">
        <f>'[2]VA Consensus'!L29</f>
        <v>-14.53014306741192</v>
      </c>
      <c r="L26" s="145">
        <f>'[2]VA Consensus'!M29</f>
        <v>-11.505508425583956</v>
      </c>
      <c r="M26" s="146">
        <f>'[2]VA Consensus'!N29</f>
        <v>-12.777321040696945</v>
      </c>
      <c r="N26" s="86">
        <f>'[2]VA Consensus'!O29</f>
        <v>-17.341511070106861</v>
      </c>
      <c r="O26" s="145">
        <f>'[2]VA Consensus'!P29</f>
        <v>-4.6851316306849409</v>
      </c>
      <c r="P26" s="145">
        <f>'[2]VA Consensus'!Q29</f>
        <v>3.6463872924491669</v>
      </c>
      <c r="Q26" s="146">
        <f>'[2]VA Consensus'!R29</f>
        <v>8.873210929729618</v>
      </c>
      <c r="R26" s="86">
        <f>'[2]VA Consensus'!S29</f>
        <v>8.365437139833503</v>
      </c>
      <c r="S26" s="162">
        <f>'[2]VA Consensus'!T29</f>
        <v>7.5928257018884135</v>
      </c>
      <c r="T26" s="162">
        <f>'[2]VA Consensus'!U29</f>
        <v>7.673656926482213</v>
      </c>
      <c r="U26" s="163">
        <f>'[2]VA Consensus'!V29</f>
        <v>7.8056009273051332</v>
      </c>
      <c r="V26" s="162">
        <f>'[2]VA Consensus'!W29</f>
        <v>10.381384350395914</v>
      </c>
      <c r="W26" s="162">
        <f>'[2]VA Consensus'!X29</f>
        <v>6.6083138180564562</v>
      </c>
      <c r="X26" s="162">
        <f>'[2]VA Consensus'!Y29</f>
        <v>9.4967608244754036</v>
      </c>
      <c r="Y26" s="162">
        <f>'[2]VA Consensus'!Z29</f>
        <v>15.618980220982584</v>
      </c>
      <c r="Z26" s="164">
        <f>'[2]VA Consensus'!AA29</f>
        <v>9.4655329950458373</v>
      </c>
      <c r="AA26" s="162">
        <f>'[2]VA Consensus'!AB29</f>
        <v>20.561496738339201</v>
      </c>
      <c r="AB26" s="162">
        <f>'[2]VA Consensus'!AC29</f>
        <v>26.579935129160479</v>
      </c>
      <c r="AC26" s="163">
        <f>'[2]VA Consensus'!AD29</f>
        <v>23.827541660648315</v>
      </c>
      <c r="AD26" s="164">
        <f>'[2]VA Consensus'!AE29</f>
        <v>28.444901044837302</v>
      </c>
      <c r="AE26" s="162">
        <f>'[2]VA Consensus'!AF29</f>
        <v>35.191235695586649</v>
      </c>
      <c r="AF26" s="162">
        <f>'[2]VA Consensus'!AG29</f>
        <v>43.001425970834553</v>
      </c>
      <c r="AG26" s="163">
        <f>'[2]VA Consensus'!AH29</f>
        <v>47.973662057637036</v>
      </c>
      <c r="AH26" s="164">
        <f>'[2]VA Consensus'!AI29</f>
        <v>42.481510195483395</v>
      </c>
      <c r="AI26" s="162">
        <f>'[2]VA Consensus'!AJ29</f>
        <v>43.941988777412838</v>
      </c>
      <c r="AJ26" s="162">
        <f>'[2]VA Consensus'!AK29</f>
        <v>52.810288502442617</v>
      </c>
      <c r="AK26" s="163">
        <f>'[2]VA Consensus'!AL29</f>
        <v>58.106705293592157</v>
      </c>
      <c r="AL26" s="164">
        <f>'[2]VA Consensus'!AM29</f>
        <v>55.100809626591435</v>
      </c>
      <c r="AM26" s="162">
        <f>'[2]VA Consensus'!AN29</f>
        <v>59.209300620374606</v>
      </c>
      <c r="AN26" s="162">
        <f>'[2]VA Consensus'!AO29</f>
        <v>65.437519713089458</v>
      </c>
      <c r="AO26" s="163">
        <f>'[2]VA Consensus'!AP29</f>
        <v>71.117948842159237</v>
      </c>
      <c r="AP26" s="164">
        <f>'[2]VA Consensus'!AQ29</f>
        <v>63.906594077768219</v>
      </c>
      <c r="AQ26" s="162">
        <f>'[2]VA Consensus'!AR29</f>
        <v>66.732426305053409</v>
      </c>
      <c r="AR26" s="162">
        <f>'[2]VA Consensus'!AS29</f>
        <v>72.149253167453793</v>
      </c>
      <c r="AS26" s="163">
        <f>'[2]VA Consensus'!AT29</f>
        <v>77.324023370724973</v>
      </c>
      <c r="AT26" s="85"/>
      <c r="AU26" s="88" t="str">
        <f>'[2]VA Consensus'!AV29</f>
        <v>-</v>
      </c>
      <c r="AV26" s="88">
        <f>'[2]VA Consensus'!AW29</f>
        <v>-51.766360431746165</v>
      </c>
      <c r="AW26" s="88">
        <f>'[2]VA Consensus'!AX29</f>
        <v>-44.405321040696954</v>
      </c>
      <c r="AX26" s="88">
        <f>'[2]VA Consensus'!AY29</f>
        <v>19.247210929729622</v>
      </c>
      <c r="AY26" s="88">
        <f>'[2]VA Consensus'!AZ29</f>
        <v>46.924671600029697</v>
      </c>
      <c r="AZ26" s="82">
        <f>'[2]VA Consensus'!BA29</f>
        <v>63.352980220982602</v>
      </c>
      <c r="BA26" s="88">
        <f>'[2]VA Consensus'!BB29</f>
        <v>108.76154166064826</v>
      </c>
      <c r="BB26" s="88">
        <f>'[2]VA Consensus'!BC29</f>
        <v>172.682224557637</v>
      </c>
      <c r="BC26" s="88">
        <f>'[2]VA Consensus'!BD29</f>
        <v>213.36316839817039</v>
      </c>
      <c r="BD26" s="88">
        <f>'[2]VA Consensus'!BE29</f>
        <v>250.8655788022146</v>
      </c>
      <c r="BE26" s="88">
        <f>'[2]VA Consensus'!BF29</f>
        <v>280.11229692100028</v>
      </c>
    </row>
    <row r="27" spans="1:62" s="89" customFormat="1" ht="12" customHeight="1" collapsed="1" thickBot="1">
      <c r="A27" s="90" t="s">
        <v>101</v>
      </c>
      <c r="B27" s="91"/>
      <c r="C27" s="92"/>
      <c r="D27" s="92"/>
      <c r="E27" s="93"/>
      <c r="F27" s="92"/>
      <c r="G27" s="92"/>
      <c r="H27" s="92"/>
      <c r="I27" s="92"/>
      <c r="J27" s="91"/>
      <c r="K27" s="92"/>
      <c r="L27" s="92"/>
      <c r="M27" s="93"/>
      <c r="N27" s="91"/>
      <c r="O27" s="92"/>
      <c r="P27" s="92"/>
      <c r="Q27" s="93"/>
      <c r="R27" s="92"/>
      <c r="S27" s="94"/>
      <c r="T27" s="92"/>
      <c r="U27" s="92"/>
      <c r="V27" s="91"/>
      <c r="W27" s="92"/>
      <c r="X27" s="92"/>
      <c r="Y27" s="93"/>
      <c r="Z27" s="96"/>
      <c r="AA27" s="97"/>
      <c r="AB27" s="97"/>
      <c r="AC27" s="98"/>
      <c r="AD27" s="96"/>
      <c r="AE27" s="97"/>
      <c r="AF27" s="97"/>
      <c r="AG27" s="98"/>
      <c r="AH27" s="96"/>
      <c r="AI27" s="97"/>
      <c r="AJ27" s="97"/>
      <c r="AK27" s="98"/>
      <c r="AL27" s="96"/>
      <c r="AM27" s="97"/>
      <c r="AN27" s="97"/>
      <c r="AO27" s="98"/>
      <c r="AP27" s="96"/>
      <c r="AQ27" s="97"/>
      <c r="AR27" s="97"/>
      <c r="AS27" s="98"/>
      <c r="AT27" s="99"/>
      <c r="AU27" s="100"/>
      <c r="AV27" s="93"/>
      <c r="AW27" s="93"/>
      <c r="AX27" s="101"/>
      <c r="AY27" s="101"/>
      <c r="AZ27" s="91"/>
      <c r="BA27" s="101"/>
      <c r="BB27" s="101"/>
      <c r="BC27" s="93"/>
      <c r="BD27" s="93"/>
      <c r="BE27" s="93"/>
    </row>
    <row r="28" spans="1:62" s="89" customFormat="1" ht="12" customHeight="1" thickTop="1">
      <c r="A28" s="103" t="s">
        <v>88</v>
      </c>
      <c r="B28" s="82"/>
      <c r="C28" s="83"/>
      <c r="D28" s="83"/>
      <c r="E28" s="84"/>
      <c r="F28" s="83"/>
      <c r="G28" s="83"/>
      <c r="H28" s="83"/>
      <c r="I28" s="83"/>
      <c r="J28" s="82"/>
      <c r="K28" s="83"/>
      <c r="L28" s="83"/>
      <c r="M28" s="84"/>
      <c r="N28" s="105">
        <v>-18</v>
      </c>
      <c r="O28" s="107">
        <v>-5.5</v>
      </c>
      <c r="P28" s="105">
        <v>3</v>
      </c>
      <c r="Q28" s="109">
        <v>8</v>
      </c>
      <c r="R28" s="105">
        <v>7</v>
      </c>
      <c r="S28" s="107">
        <v>7</v>
      </c>
      <c r="T28" s="105">
        <v>7</v>
      </c>
      <c r="U28" s="105">
        <v>7</v>
      </c>
      <c r="V28" s="108">
        <v>10</v>
      </c>
      <c r="W28" s="105">
        <v>6</v>
      </c>
      <c r="X28" s="105">
        <v>9</v>
      </c>
      <c r="Y28" s="105">
        <v>15</v>
      </c>
      <c r="Z28" s="108">
        <v>9</v>
      </c>
      <c r="AA28" s="105">
        <v>20</v>
      </c>
      <c r="AB28" s="105">
        <v>26</v>
      </c>
      <c r="AC28" s="105">
        <v>23</v>
      </c>
      <c r="AD28" s="108">
        <v>27</v>
      </c>
      <c r="AE28" s="105">
        <v>34</v>
      </c>
      <c r="AF28" s="105">
        <v>42</v>
      </c>
      <c r="AG28" s="105">
        <v>47</v>
      </c>
      <c r="AH28" s="108">
        <v>40</v>
      </c>
      <c r="AI28" s="105">
        <v>43</v>
      </c>
      <c r="AJ28" s="105">
        <v>52</v>
      </c>
      <c r="AK28" s="105">
        <v>55.7</v>
      </c>
      <c r="AL28" s="108">
        <v>53</v>
      </c>
      <c r="AM28" s="166"/>
      <c r="AN28" s="166"/>
      <c r="AO28" s="109"/>
      <c r="AP28" s="108"/>
      <c r="AQ28" s="166"/>
      <c r="AR28" s="166"/>
      <c r="AS28" s="109"/>
      <c r="AT28" s="99"/>
      <c r="AU28" s="167"/>
      <c r="AV28" s="84"/>
      <c r="AW28" s="84"/>
      <c r="AX28" s="168"/>
      <c r="AY28" s="169">
        <v>46.1</v>
      </c>
      <c r="AZ28" s="170">
        <v>62.7</v>
      </c>
      <c r="BA28" s="169">
        <v>107.9</v>
      </c>
      <c r="BB28" s="169">
        <v>171.8</v>
      </c>
      <c r="BC28" s="106">
        <v>205</v>
      </c>
      <c r="BD28" s="106">
        <v>245</v>
      </c>
      <c r="BE28" s="106"/>
    </row>
    <row r="29" spans="1:62" s="89" customFormat="1" ht="12" customHeight="1">
      <c r="A29" s="171" t="s">
        <v>89</v>
      </c>
      <c r="B29" s="172"/>
      <c r="C29" s="83"/>
      <c r="D29" s="83"/>
      <c r="E29" s="84"/>
      <c r="F29" s="83"/>
      <c r="G29" s="83"/>
      <c r="H29" s="83"/>
      <c r="I29" s="83"/>
      <c r="J29" s="172"/>
      <c r="K29" s="83"/>
      <c r="L29" s="83"/>
      <c r="M29" s="84"/>
      <c r="N29" s="105">
        <f t="shared" ref="N29:P29" si="37">AVERAGE(N28,N30)</f>
        <v>-17.5</v>
      </c>
      <c r="O29" s="107">
        <f t="shared" si="37"/>
        <v>-4.5</v>
      </c>
      <c r="P29" s="105">
        <f t="shared" si="37"/>
        <v>3.5</v>
      </c>
      <c r="Q29" s="106">
        <f>AVERAGE(Q28,Q30)</f>
        <v>8.5</v>
      </c>
      <c r="R29" s="105">
        <f t="shared" ref="R29:T29" si="38">AVERAGE(R28,R30)</f>
        <v>8</v>
      </c>
      <c r="S29" s="107">
        <f t="shared" si="38"/>
        <v>7.5</v>
      </c>
      <c r="T29" s="105">
        <f t="shared" si="38"/>
        <v>7.5</v>
      </c>
      <c r="U29" s="105">
        <f>AVERAGE(U28,U30)</f>
        <v>7.5</v>
      </c>
      <c r="V29" s="170">
        <f t="shared" ref="V29:X29" si="39">AVERAGE(V28,V30)</f>
        <v>10.5</v>
      </c>
      <c r="W29" s="107">
        <f t="shared" si="39"/>
        <v>6.5</v>
      </c>
      <c r="X29" s="107">
        <f t="shared" si="39"/>
        <v>9.5</v>
      </c>
      <c r="Y29" s="105">
        <f>AVERAGE(Y28,Y30)</f>
        <v>15.5</v>
      </c>
      <c r="Z29" s="170">
        <f t="shared" ref="Z29:AB29" si="40">AVERAGE(Z28,Z30)</f>
        <v>9.5</v>
      </c>
      <c r="AA29" s="107">
        <f t="shared" si="40"/>
        <v>20.5</v>
      </c>
      <c r="AB29" s="107">
        <f t="shared" si="40"/>
        <v>26.5</v>
      </c>
      <c r="AC29" s="107">
        <f>AVERAGE(AC28,AC30)</f>
        <v>23.5</v>
      </c>
      <c r="AD29" s="170">
        <f t="shared" ref="AD29:AS29" si="41">IFERROR(AVERAGE(AD28,AD30),"")</f>
        <v>28</v>
      </c>
      <c r="AE29" s="107">
        <f t="shared" si="41"/>
        <v>35</v>
      </c>
      <c r="AF29" s="107">
        <f t="shared" si="41"/>
        <v>43</v>
      </c>
      <c r="AG29" s="107">
        <f t="shared" si="41"/>
        <v>48</v>
      </c>
      <c r="AH29" s="170">
        <f t="shared" si="41"/>
        <v>41</v>
      </c>
      <c r="AI29" s="107">
        <f t="shared" si="41"/>
        <v>44</v>
      </c>
      <c r="AJ29" s="107">
        <f t="shared" si="41"/>
        <v>53</v>
      </c>
      <c r="AK29" s="107">
        <f t="shared" si="41"/>
        <v>57.7</v>
      </c>
      <c r="AL29" s="170">
        <f t="shared" si="41"/>
        <v>54.5</v>
      </c>
      <c r="AM29" s="107" t="str">
        <f t="shared" si="41"/>
        <v/>
      </c>
      <c r="AN29" s="107" t="str">
        <f t="shared" si="41"/>
        <v/>
      </c>
      <c r="AO29" s="114" t="str">
        <f t="shared" si="41"/>
        <v/>
      </c>
      <c r="AP29" s="170" t="str">
        <f t="shared" si="41"/>
        <v/>
      </c>
      <c r="AQ29" s="107" t="str">
        <f t="shared" si="41"/>
        <v/>
      </c>
      <c r="AR29" s="107" t="str">
        <f t="shared" si="41"/>
        <v/>
      </c>
      <c r="AS29" s="114" t="str">
        <f t="shared" si="41"/>
        <v/>
      </c>
      <c r="AT29" s="99"/>
      <c r="AU29" s="173"/>
      <c r="AV29" s="84"/>
      <c r="AW29" s="84"/>
      <c r="AX29" s="174"/>
      <c r="AY29" s="175">
        <f>AVERAGE(AY28,AY30)</f>
        <v>46.6</v>
      </c>
      <c r="AZ29" s="176">
        <f t="shared" ref="AZ29" si="42">AVERAGE(AZ28,AZ30)</f>
        <v>63.2</v>
      </c>
      <c r="BA29" s="175">
        <f>AVERAGE(BA28,BA30)</f>
        <v>108.4</v>
      </c>
      <c r="BB29" s="175">
        <f t="shared" ref="BB29:BE29" si="43">IFERROR(AVERAGE(BB28,BB30),"")</f>
        <v>172.8</v>
      </c>
      <c r="BC29" s="106">
        <f t="shared" si="43"/>
        <v>210</v>
      </c>
      <c r="BD29" s="106">
        <f t="shared" si="43"/>
        <v>250</v>
      </c>
      <c r="BE29" s="106" t="str">
        <f t="shared" si="43"/>
        <v/>
      </c>
    </row>
    <row r="30" spans="1:62" s="89" customFormat="1" ht="12" customHeight="1" thickBot="1">
      <c r="A30" s="121" t="s">
        <v>90</v>
      </c>
      <c r="B30" s="91"/>
      <c r="C30" s="92"/>
      <c r="D30" s="92"/>
      <c r="E30" s="93"/>
      <c r="F30" s="92"/>
      <c r="G30" s="92"/>
      <c r="H30" s="92"/>
      <c r="I30" s="92"/>
      <c r="J30" s="91"/>
      <c r="K30" s="92"/>
      <c r="L30" s="92"/>
      <c r="M30" s="93"/>
      <c r="N30" s="123">
        <v>-17</v>
      </c>
      <c r="O30" s="125">
        <v>-3.5</v>
      </c>
      <c r="P30" s="123">
        <v>4</v>
      </c>
      <c r="Q30" s="124">
        <v>9</v>
      </c>
      <c r="R30" s="123">
        <v>9</v>
      </c>
      <c r="S30" s="125">
        <v>8</v>
      </c>
      <c r="T30" s="123">
        <v>8</v>
      </c>
      <c r="U30" s="123">
        <v>8</v>
      </c>
      <c r="V30" s="122">
        <v>11</v>
      </c>
      <c r="W30" s="123">
        <v>7</v>
      </c>
      <c r="X30" s="123">
        <v>10</v>
      </c>
      <c r="Y30" s="123">
        <v>16</v>
      </c>
      <c r="Z30" s="122">
        <v>10</v>
      </c>
      <c r="AA30" s="123">
        <v>21</v>
      </c>
      <c r="AB30" s="123">
        <v>27</v>
      </c>
      <c r="AC30" s="123">
        <v>24</v>
      </c>
      <c r="AD30" s="122">
        <v>29</v>
      </c>
      <c r="AE30" s="123">
        <v>36</v>
      </c>
      <c r="AF30" s="123">
        <v>44</v>
      </c>
      <c r="AG30" s="123">
        <v>49</v>
      </c>
      <c r="AH30" s="122">
        <v>42</v>
      </c>
      <c r="AI30" s="123">
        <v>45</v>
      </c>
      <c r="AJ30" s="123">
        <v>54</v>
      </c>
      <c r="AK30" s="123">
        <v>59.7</v>
      </c>
      <c r="AL30" s="122">
        <v>56</v>
      </c>
      <c r="AM30" s="123"/>
      <c r="AN30" s="123"/>
      <c r="AO30" s="124"/>
      <c r="AP30" s="122"/>
      <c r="AQ30" s="123"/>
      <c r="AR30" s="123"/>
      <c r="AS30" s="124"/>
      <c r="AT30" s="99"/>
      <c r="AU30" s="100"/>
      <c r="AV30" s="93"/>
      <c r="AW30" s="93"/>
      <c r="AX30" s="101"/>
      <c r="AY30" s="126">
        <v>47.1</v>
      </c>
      <c r="AZ30" s="122">
        <v>63.7</v>
      </c>
      <c r="BA30" s="126">
        <v>108.9</v>
      </c>
      <c r="BB30" s="126">
        <v>173.8</v>
      </c>
      <c r="BC30" s="124">
        <v>215</v>
      </c>
      <c r="BD30" s="124">
        <v>255</v>
      </c>
      <c r="BE30" s="124"/>
    </row>
    <row r="31" spans="1:62" s="161" customFormat="1" ht="12" hidden="1" customHeight="1" outlineLevel="1" collapsed="1" thickTop="1">
      <c r="A31" s="177" t="s">
        <v>102</v>
      </c>
      <c r="B31" s="178">
        <f>B25+'Cash Flow'!B8-'Income Statement'!B85</f>
        <v>-6.0840000000000014</v>
      </c>
      <c r="C31" s="179">
        <f>C25+'Cash Flow'!C8-'Income Statement'!C85</f>
        <v>-6.294999999999999</v>
      </c>
      <c r="D31" s="179">
        <f>D25+'Cash Flow'!D8-'Income Statement'!D85</f>
        <v>-7.9389999999999965</v>
      </c>
      <c r="E31" s="180">
        <f>E25+'Cash Flow'!E8-'Income Statement'!E85</f>
        <v>-7.989999999999994</v>
      </c>
      <c r="F31" s="181">
        <f>F25+'Cash Flow'!F8-'Income Statement'!F85</f>
        <v>-11.596000000000007</v>
      </c>
      <c r="G31" s="179">
        <f>G25+'Cash Flow'!G8-'Income Statement'!G85</f>
        <v>-11.881000000000002</v>
      </c>
      <c r="H31" s="179">
        <f>H25+'Cash Flow'!H8-'Income Statement'!H85</f>
        <v>-10.726999999999991</v>
      </c>
      <c r="I31" s="180">
        <f>I25+'Cash Flow'!I8-'Income Statement'!I85</f>
        <v>-9.3100000000000058</v>
      </c>
      <c r="J31" s="181">
        <f>J25+'Cash Flow'!J8-'Income Statement'!J85</f>
        <v>-11.743999999999989</v>
      </c>
      <c r="K31" s="179">
        <f>K25+'Cash Flow'!K8-'Income Statement'!K85</f>
        <v>-9.393999999999993</v>
      </c>
      <c r="L31" s="179">
        <f>L25+'Cash Flow'!L8-'Income Statement'!L85</f>
        <v>-6.3130000000000024</v>
      </c>
      <c r="M31" s="180">
        <f>M25+'Cash Flow'!M8-'Income Statement'!M85</f>
        <v>-9.0550000000000335</v>
      </c>
      <c r="N31" s="181">
        <f>N25+'Cash Flow'!N8-'Income Statement'!N85</f>
        <v>-5.6199999999999939</v>
      </c>
      <c r="O31" s="179">
        <f>O25+'Cash Flow'!O8-'Income Statement'!O85</f>
        <v>7.6909999999999874</v>
      </c>
      <c r="P31" s="182">
        <f>P25+'Cash Flow'!P8-'Income Statement'!P85</f>
        <v>14.547000000000001</v>
      </c>
      <c r="Q31" s="180">
        <f>Q25+'Cash Flow'!Q8-'Income Statement'!Q85</f>
        <v>17.49400000000001</v>
      </c>
      <c r="R31" s="183">
        <f>R25+'Cash Flow'!R8-'Income Statement'!R85</f>
        <v>16.123999999999999</v>
      </c>
      <c r="S31" s="184">
        <f>S25+'Cash Flow'!S8-'Income Statement'!S85</f>
        <v>14.121000000000006</v>
      </c>
      <c r="T31" s="184">
        <f>T25+'Cash Flow'!T8-'Income Statement'!T85</f>
        <v>16.279999999999973</v>
      </c>
      <c r="U31" s="180">
        <f>U25+'Cash Flow'!U8-'Income Statement'!U85</f>
        <v>14.182999999999995</v>
      </c>
      <c r="V31" s="179">
        <f>V25+'Cash Flow'!V8-'Income Statement'!V85</f>
        <v>14.92499999999999</v>
      </c>
      <c r="W31" s="179">
        <f>W25+'Cash Flow'!W8-'Income Statement'!W85</f>
        <v>14.651000000000003</v>
      </c>
      <c r="X31" s="179">
        <f>X25+'Cash Flow'!X8-'Income Statement'!X85</f>
        <v>25.776999999999987</v>
      </c>
      <c r="Y31" s="179">
        <f>Y25+'Cash Flow'!Y8-'Income Statement'!Y85</f>
        <v>23.13900000000001</v>
      </c>
      <c r="Z31" s="181">
        <f>Z25+'Cash Flow'!Z8-'Income Statement'!Z85</f>
        <v>21.426000000000023</v>
      </c>
      <c r="AA31" s="179">
        <f>AA25+'Cash Flow'!AA8-'Income Statement'!AA85</f>
        <v>33.404000000000003</v>
      </c>
      <c r="AB31" s="179">
        <f>AB25+'Cash Flow'!AB8-'Income Statement'!AB85</f>
        <v>39.795999999999985</v>
      </c>
      <c r="AC31" s="180">
        <f>AC25+'Cash Flow'!AC8-'Income Statement'!AC85</f>
        <v>39.61999999999999</v>
      </c>
      <c r="AD31" s="181">
        <f>AD25+'Cash Flow'!AT8-'Income Statement'!AD85</f>
        <v>32.338999999999984</v>
      </c>
      <c r="AE31" s="179">
        <f>AE25+'Cash Flow'!AU8-'Income Statement'!AE85</f>
        <v>42.716000000000022</v>
      </c>
      <c r="AF31" s="179">
        <f>AF25+'Cash Flow'!AV8-'Income Statement'!AF85</f>
        <v>46.152999999999992</v>
      </c>
      <c r="AG31" s="180">
        <f>AG25+'Cash Flow'!AW8-'Income Statement'!AG85</f>
        <v>61.216999999999992</v>
      </c>
      <c r="AH31" s="181">
        <f>AH25+'Cash Flow'!AX8-'Income Statement'!AH85</f>
        <v>53.445999999999991</v>
      </c>
      <c r="AI31" s="179">
        <f>AI25+'Cash Flow'!AY8-'Income Statement'!AI85</f>
        <v>57.329000000000029</v>
      </c>
      <c r="AJ31" s="179">
        <f>AJ25+'Cash Flow'!AZ8-'Income Statement'!AJ85</f>
        <v>74.324999999999989</v>
      </c>
      <c r="AK31" s="180">
        <f>AK25+'Cash Flow'!BA8-'Income Statement'!AK85</f>
        <v>84.01900000000002</v>
      </c>
      <c r="AL31" s="181">
        <f>AL25+'Cash Flow'!BB8-'Income Statement'!AL85</f>
        <v>80.551983671035842</v>
      </c>
      <c r="AM31" s="179">
        <f>AM25+'Cash Flow'!BC8-'Income Statement'!AM85</f>
        <v>90.892641246903992</v>
      </c>
      <c r="AN31" s="179">
        <f>AN25+'Cash Flow'!BD8-'Income Statement'!AN85</f>
        <v>106.76914190705909</v>
      </c>
      <c r="AO31" s="180">
        <f>AO25+'Cash Flow'!BF8-'Income Statement'!AO85</f>
        <v>65.895410244904085</v>
      </c>
      <c r="AP31" s="181">
        <f>AP25+'Cash Flow'!BF8-'Income Statement'!AP85</f>
        <v>52.563568302057476</v>
      </c>
      <c r="AQ31" s="179">
        <f>AQ25+'Cash Flow'!BG8-'Income Statement'!AQ85</f>
        <v>57.119610614066247</v>
      </c>
      <c r="AR31" s="179">
        <f>AR25+'Cash Flow'!BH8-'Income Statement'!AR85</f>
        <v>74.166226489506556</v>
      </c>
      <c r="AS31" s="180">
        <f>AS25+'Cash Flow'!BJ8-'Income Statement'!AS85</f>
        <v>88.608176452652856</v>
      </c>
      <c r="AT31" s="142"/>
      <c r="AU31" s="185">
        <f t="shared" ref="AU31" si="44">SUM(B31:E31)</f>
        <v>-28.307999999999993</v>
      </c>
      <c r="AV31" s="185">
        <f t="shared" ref="AV31" si="45">SUM(F31:I31)</f>
        <v>-43.51400000000001</v>
      </c>
      <c r="AW31" s="185">
        <f t="shared" ref="AW31" si="46">SUM(J31:M31)</f>
        <v>-36.506000000000022</v>
      </c>
      <c r="AX31" s="185">
        <f t="shared" ref="AX31" si="47">SUM(N31:Q31)</f>
        <v>34.112000000000009</v>
      </c>
      <c r="AY31" s="185">
        <f t="shared" ref="AY31" si="48">SUM(R31:U31)</f>
        <v>60.70799999999997</v>
      </c>
      <c r="AZ31" s="186">
        <f t="shared" ref="AZ31" si="49">SUM(V31:Y31)</f>
        <v>78.49199999999999</v>
      </c>
      <c r="BA31" s="185">
        <f t="shared" ref="BA31" si="50">SUM(Z31:AC31)</f>
        <v>134.24599999999998</v>
      </c>
      <c r="BB31" s="185">
        <f t="shared" ref="BB31" si="51">SUM(AD31:AG31)</f>
        <v>182.42499999999998</v>
      </c>
      <c r="BC31" s="185">
        <f>SUM(AH31:AK31)</f>
        <v>269.11900000000003</v>
      </c>
      <c r="BD31" s="185">
        <f>SUM(AL31:AO31)</f>
        <v>344.10917706990307</v>
      </c>
      <c r="BE31" s="185">
        <f>SUM(AP31:AS31)</f>
        <v>272.45758185828311</v>
      </c>
    </row>
    <row r="32" spans="1:62" s="197" customFormat="1" ht="12" customHeight="1" collapsed="1" thickTop="1">
      <c r="A32" s="187"/>
      <c r="B32" s="188"/>
      <c r="C32" s="184"/>
      <c r="D32" s="184"/>
      <c r="E32" s="129"/>
      <c r="F32" s="188"/>
      <c r="G32" s="184"/>
      <c r="H32" s="184"/>
      <c r="I32" s="129"/>
      <c r="J32" s="188"/>
      <c r="K32" s="184"/>
      <c r="L32" s="184"/>
      <c r="M32" s="129"/>
      <c r="N32" s="188"/>
      <c r="O32" s="184"/>
      <c r="P32" s="189"/>
      <c r="Q32" s="129"/>
      <c r="R32" s="190"/>
      <c r="S32" s="191"/>
      <c r="T32" s="184"/>
      <c r="U32" s="129"/>
      <c r="V32" s="184"/>
      <c r="W32" s="184"/>
      <c r="X32" s="184"/>
      <c r="Y32" s="192"/>
      <c r="Z32" s="188"/>
      <c r="AA32" s="184"/>
      <c r="AB32" s="184"/>
      <c r="AC32" s="129"/>
      <c r="AD32" s="188"/>
      <c r="AE32" s="184"/>
      <c r="AF32" s="184"/>
      <c r="AG32" s="129"/>
      <c r="AH32" s="188"/>
      <c r="AI32" s="184"/>
      <c r="AJ32" s="184"/>
      <c r="AK32" s="129"/>
      <c r="AL32" s="188"/>
      <c r="AM32" s="184"/>
      <c r="AN32" s="184"/>
      <c r="AO32" s="129"/>
      <c r="AP32" s="188"/>
      <c r="AQ32" s="184"/>
      <c r="AR32" s="184"/>
      <c r="AS32" s="129"/>
      <c r="AT32" s="193"/>
      <c r="AU32" s="194"/>
      <c r="AV32" s="194"/>
      <c r="AW32" s="195"/>
      <c r="AX32" s="194"/>
      <c r="AY32" s="194"/>
      <c r="AZ32" s="196"/>
      <c r="BA32" s="194"/>
      <c r="BB32" s="194"/>
      <c r="BC32" s="194"/>
      <c r="BD32" s="194"/>
      <c r="BE32" s="194"/>
    </row>
    <row r="33" spans="1:58" s="161" customFormat="1" ht="12" customHeight="1">
      <c r="A33" s="198" t="s">
        <v>103</v>
      </c>
      <c r="B33" s="199">
        <f>B123</f>
        <v>0</v>
      </c>
      <c r="C33" s="70">
        <f t="shared" ref="C33:AK35" si="52">C123</f>
        <v>0</v>
      </c>
      <c r="D33" s="70">
        <f t="shared" si="52"/>
        <v>0</v>
      </c>
      <c r="E33" s="71">
        <f t="shared" si="52"/>
        <v>0</v>
      </c>
      <c r="F33" s="199">
        <f t="shared" si="52"/>
        <v>-2.5999999999999999E-2</v>
      </c>
      <c r="G33" s="70">
        <f t="shared" si="52"/>
        <v>-2.3E-2</v>
      </c>
      <c r="H33" s="70">
        <f t="shared" si="52"/>
        <v>0.89400000000000002</v>
      </c>
      <c r="I33" s="71">
        <f t="shared" si="52"/>
        <v>1.5089999999999999</v>
      </c>
      <c r="J33" s="199">
        <f t="shared" si="52"/>
        <v>1.556</v>
      </c>
      <c r="K33" s="70">
        <f t="shared" si="52"/>
        <v>1.5940000000000001</v>
      </c>
      <c r="L33" s="70">
        <f t="shared" si="52"/>
        <v>1.5269999999999999</v>
      </c>
      <c r="M33" s="71">
        <f t="shared" si="52"/>
        <v>1.153</v>
      </c>
      <c r="N33" s="199">
        <f t="shared" si="52"/>
        <v>0.80200000000000005</v>
      </c>
      <c r="O33" s="70">
        <f t="shared" si="52"/>
        <v>0.44400000000000001</v>
      </c>
      <c r="P33" s="131">
        <f t="shared" si="52"/>
        <v>0.28100000000000003</v>
      </c>
      <c r="Q33" s="71">
        <f t="shared" si="52"/>
        <v>0.21299999999999999</v>
      </c>
      <c r="R33" s="200">
        <f t="shared" si="52"/>
        <v>0.107</v>
      </c>
      <c r="S33" s="131">
        <f t="shared" si="52"/>
        <v>0.10199999999999999</v>
      </c>
      <c r="T33" s="131">
        <f t="shared" si="52"/>
        <v>0.115</v>
      </c>
      <c r="U33" s="153">
        <f t="shared" si="52"/>
        <v>0.28199999999999997</v>
      </c>
      <c r="V33" s="131">
        <f t="shared" si="52"/>
        <v>0.25</v>
      </c>
      <c r="W33" s="131">
        <f t="shared" si="52"/>
        <v>0.69299999999999995</v>
      </c>
      <c r="X33" s="131">
        <f t="shared" si="52"/>
        <v>1.8029999999999999</v>
      </c>
      <c r="Y33" s="131">
        <f t="shared" si="52"/>
        <v>3.5379999999999998</v>
      </c>
      <c r="Z33" s="200">
        <f t="shared" si="52"/>
        <v>5.0949999999999998</v>
      </c>
      <c r="AA33" s="131">
        <f t="shared" si="52"/>
        <v>6.5659999999999998</v>
      </c>
      <c r="AB33" s="131">
        <f t="shared" si="52"/>
        <v>7.6619999999999999</v>
      </c>
      <c r="AC33" s="131">
        <f t="shared" si="52"/>
        <v>5.3769999999999998</v>
      </c>
      <c r="AD33" s="200">
        <f t="shared" si="52"/>
        <v>5.6239999999999997</v>
      </c>
      <c r="AE33" s="131">
        <f t="shared" si="52"/>
        <v>5.9740000000000002</v>
      </c>
      <c r="AF33" s="131">
        <f t="shared" si="52"/>
        <v>5.9889999999999999</v>
      </c>
      <c r="AG33" s="131">
        <f t="shared" si="52"/>
        <v>5.7380000000000004</v>
      </c>
      <c r="AH33" s="200">
        <f t="shared" si="52"/>
        <v>4.9269999999999996</v>
      </c>
      <c r="AI33" s="131">
        <f t="shared" si="52"/>
        <v>4.08</v>
      </c>
      <c r="AJ33" s="131">
        <f t="shared" si="52"/>
        <v>3.59</v>
      </c>
      <c r="AK33" s="201">
        <f t="shared" si="52"/>
        <v>3.395</v>
      </c>
      <c r="AL33" s="202">
        <f>AK33-0.5</f>
        <v>2.895</v>
      </c>
      <c r="AM33" s="203">
        <f>AL33-0.7</f>
        <v>2.1950000000000003</v>
      </c>
      <c r="AN33" s="203">
        <f t="shared" ref="AN33:AS33" si="53">AM33+0.3</f>
        <v>2.4950000000000001</v>
      </c>
      <c r="AO33" s="203">
        <f t="shared" si="53"/>
        <v>2.7949999999999999</v>
      </c>
      <c r="AP33" s="202">
        <f t="shared" si="53"/>
        <v>3.0949999999999998</v>
      </c>
      <c r="AQ33" s="203">
        <f t="shared" si="53"/>
        <v>3.3949999999999996</v>
      </c>
      <c r="AR33" s="203">
        <f t="shared" si="53"/>
        <v>3.6949999999999994</v>
      </c>
      <c r="AS33" s="203">
        <f t="shared" si="53"/>
        <v>3.9949999999999992</v>
      </c>
      <c r="AT33" s="204"/>
      <c r="AU33" s="205">
        <f t="shared" ref="AU33:AU39" si="54">SUM(B33:E33)</f>
        <v>0</v>
      </c>
      <c r="AV33" s="205">
        <f t="shared" ref="AV33:AV39" si="55">SUM(F33:I33)</f>
        <v>2.3540000000000001</v>
      </c>
      <c r="AW33" s="205">
        <f t="shared" ref="AW33:AW39" si="56">SUM(J33:M33)</f>
        <v>5.83</v>
      </c>
      <c r="AX33" s="205">
        <f t="shared" ref="AX33:AX39" si="57">SUM(N33:Q33)</f>
        <v>1.7400000000000002</v>
      </c>
      <c r="AY33" s="205">
        <f t="shared" ref="AY33:AY39" si="58">SUM(R33:U33)</f>
        <v>0.60599999999999998</v>
      </c>
      <c r="AZ33" s="199">
        <f t="shared" ref="AZ33:AZ39" si="59">SUM(V33:Y33)</f>
        <v>6.2839999999999998</v>
      </c>
      <c r="BA33" s="205">
        <f t="shared" ref="BA33:BA36" si="60">SUM(Z33:AC33)</f>
        <v>24.7</v>
      </c>
      <c r="BB33" s="205">
        <f t="shared" ref="BB33:BB37" si="61">SUM(AD33:AG33)</f>
        <v>23.324999999999999</v>
      </c>
      <c r="BC33" s="205">
        <f t="shared" ref="BC33:BC36" si="62">SUM(AH33:AK33)</f>
        <v>15.991999999999999</v>
      </c>
      <c r="BD33" s="205">
        <f t="shared" ref="BD33:BD37" si="63">SUM(AL33:AO33)</f>
        <v>10.379999999999999</v>
      </c>
      <c r="BE33" s="205">
        <f>SUM(AP33:AS33)</f>
        <v>14.179999999999998</v>
      </c>
    </row>
    <row r="34" spans="1:58" s="161" customFormat="1" ht="12" customHeight="1">
      <c r="A34" s="198" t="s">
        <v>104</v>
      </c>
      <c r="B34" s="206">
        <f t="shared" ref="B34:Q35" si="64">B124</f>
        <v>0</v>
      </c>
      <c r="C34" s="131">
        <f t="shared" si="64"/>
        <v>0</v>
      </c>
      <c r="D34" s="131">
        <f t="shared" si="64"/>
        <v>0</v>
      </c>
      <c r="E34" s="131">
        <f t="shared" si="52"/>
        <v>0</v>
      </c>
      <c r="F34" s="206">
        <f t="shared" si="52"/>
        <v>0</v>
      </c>
      <c r="G34" s="131">
        <f t="shared" si="52"/>
        <v>0</v>
      </c>
      <c r="H34" s="131">
        <f t="shared" si="52"/>
        <v>0</v>
      </c>
      <c r="I34" s="131">
        <f t="shared" si="52"/>
        <v>0</v>
      </c>
      <c r="J34" s="206">
        <f t="shared" si="52"/>
        <v>0</v>
      </c>
      <c r="K34" s="131">
        <f t="shared" si="52"/>
        <v>0</v>
      </c>
      <c r="L34" s="131">
        <f t="shared" si="52"/>
        <v>0</v>
      </c>
      <c r="M34" s="131">
        <f t="shared" si="52"/>
        <v>0</v>
      </c>
      <c r="N34" s="206">
        <f t="shared" si="52"/>
        <v>-6.8000000000000005E-2</v>
      </c>
      <c r="O34" s="131">
        <f t="shared" si="52"/>
        <v>1.0999999999999999E-2</v>
      </c>
      <c r="P34" s="131">
        <f t="shared" si="52"/>
        <v>-0.29299999999999998</v>
      </c>
      <c r="Q34" s="131">
        <f t="shared" si="52"/>
        <v>-0.14599999999999999</v>
      </c>
      <c r="R34" s="206">
        <f t="shared" si="52"/>
        <v>-0.13500000000000001</v>
      </c>
      <c r="S34" s="131">
        <f t="shared" si="52"/>
        <v>-0.14399999999999999</v>
      </c>
      <c r="T34" s="131">
        <f t="shared" si="52"/>
        <v>-3.5939999999999999</v>
      </c>
      <c r="U34" s="131">
        <f t="shared" si="52"/>
        <v>-3.629</v>
      </c>
      <c r="V34" s="206">
        <f t="shared" si="52"/>
        <v>-3.5760000000000001</v>
      </c>
      <c r="W34" s="131">
        <f t="shared" si="52"/>
        <v>-3.5880000000000001</v>
      </c>
      <c r="X34" s="131">
        <f t="shared" si="52"/>
        <v>-5.0819999999999999</v>
      </c>
      <c r="Y34" s="131">
        <f t="shared" si="52"/>
        <v>-6.7549999999999999</v>
      </c>
      <c r="Z34" s="200">
        <f t="shared" si="52"/>
        <v>-7.3390000000000004</v>
      </c>
      <c r="AA34" s="131">
        <f t="shared" si="52"/>
        <v>-7.75</v>
      </c>
      <c r="AB34" s="131">
        <f t="shared" si="52"/>
        <v>-8.1189999999999998</v>
      </c>
      <c r="AC34" s="131">
        <f t="shared" si="52"/>
        <v>-8.1310000000000002</v>
      </c>
      <c r="AD34" s="200">
        <f t="shared" si="52"/>
        <v>-8.1120000000000001</v>
      </c>
      <c r="AE34" s="131">
        <f t="shared" si="52"/>
        <v>-8.0730000000000004</v>
      </c>
      <c r="AF34" s="131">
        <f t="shared" si="52"/>
        <v>-8.1479999999999997</v>
      </c>
      <c r="AG34" s="131">
        <f t="shared" si="52"/>
        <v>-7.5869999999999997</v>
      </c>
      <c r="AH34" s="200">
        <f t="shared" si="52"/>
        <v>-7.0110000000000001</v>
      </c>
      <c r="AI34" s="131">
        <f t="shared" si="52"/>
        <v>-7.1390000000000002</v>
      </c>
      <c r="AJ34" s="131">
        <f t="shared" si="52"/>
        <v>-7.2130000000000001</v>
      </c>
      <c r="AK34" s="201">
        <f t="shared" si="52"/>
        <v>-7.056</v>
      </c>
      <c r="AL34" s="202">
        <f>AK34+0.7</f>
        <v>-6.3559999999999999</v>
      </c>
      <c r="AM34" s="203">
        <f t="shared" ref="AM34:AS34" si="65">AL34-0.025</f>
        <v>-6.3810000000000002</v>
      </c>
      <c r="AN34" s="203">
        <f t="shared" si="65"/>
        <v>-6.4060000000000006</v>
      </c>
      <c r="AO34" s="203">
        <f t="shared" si="65"/>
        <v>-6.4310000000000009</v>
      </c>
      <c r="AP34" s="202">
        <f t="shared" si="65"/>
        <v>-6.4560000000000013</v>
      </c>
      <c r="AQ34" s="203">
        <f t="shared" si="65"/>
        <v>-6.4810000000000016</v>
      </c>
      <c r="AR34" s="203">
        <f t="shared" si="65"/>
        <v>-6.506000000000002</v>
      </c>
      <c r="AS34" s="203">
        <f t="shared" si="65"/>
        <v>-6.5310000000000024</v>
      </c>
      <c r="AT34" s="204"/>
      <c r="AU34" s="205"/>
      <c r="AV34" s="205"/>
      <c r="AW34" s="205"/>
      <c r="AX34" s="205"/>
      <c r="AY34" s="205">
        <f t="shared" ref="AY34" si="66">SUM(R34:U34)</f>
        <v>-7.5019999999999998</v>
      </c>
      <c r="AZ34" s="199">
        <f t="shared" si="59"/>
        <v>-19.000999999999998</v>
      </c>
      <c r="BA34" s="205">
        <f t="shared" si="60"/>
        <v>-31.338999999999999</v>
      </c>
      <c r="BB34" s="205">
        <f t="shared" si="61"/>
        <v>-31.92</v>
      </c>
      <c r="BC34" s="205">
        <f t="shared" si="62"/>
        <v>-28.419</v>
      </c>
      <c r="BD34" s="205">
        <f t="shared" si="63"/>
        <v>-25.574000000000002</v>
      </c>
      <c r="BE34" s="205">
        <f>SUM(AP34:AS34)</f>
        <v>-25.974000000000007</v>
      </c>
    </row>
    <row r="35" spans="1:58" s="161" customFormat="1" ht="12" customHeight="1">
      <c r="A35" s="198" t="s">
        <v>105</v>
      </c>
      <c r="B35" s="199">
        <f>B125</f>
        <v>-2.9000000000000001E-2</v>
      </c>
      <c r="C35" s="70">
        <f t="shared" si="64"/>
        <v>5.6000000000000001E-2</v>
      </c>
      <c r="D35" s="70">
        <f t="shared" si="64"/>
        <v>-9.1999999999999998E-2</v>
      </c>
      <c r="E35" s="71">
        <f t="shared" si="64"/>
        <v>-2.5999999999999999E-2</v>
      </c>
      <c r="F35" s="199">
        <f t="shared" si="64"/>
        <v>1.7999999999999999E-2</v>
      </c>
      <c r="G35" s="70">
        <f t="shared" si="64"/>
        <v>-0.438</v>
      </c>
      <c r="H35" s="70">
        <f t="shared" si="64"/>
        <v>-0.185</v>
      </c>
      <c r="I35" s="71">
        <f t="shared" si="64"/>
        <v>-0.32500000000000001</v>
      </c>
      <c r="J35" s="199">
        <f t="shared" si="64"/>
        <v>-0.214</v>
      </c>
      <c r="K35" s="70">
        <f t="shared" si="64"/>
        <v>-0.122</v>
      </c>
      <c r="L35" s="70">
        <f t="shared" si="64"/>
        <v>-0.24</v>
      </c>
      <c r="M35" s="71">
        <f t="shared" si="64"/>
        <v>-0.104</v>
      </c>
      <c r="N35" s="199">
        <f t="shared" si="64"/>
        <v>-0.96</v>
      </c>
      <c r="O35" s="70">
        <f t="shared" si="64"/>
        <v>-0.29799999999999999</v>
      </c>
      <c r="P35" s="131">
        <f t="shared" si="64"/>
        <v>-0.56100000000000005</v>
      </c>
      <c r="Q35" s="71">
        <f t="shared" si="64"/>
        <v>-6.6000000000000003E-2</v>
      </c>
      <c r="R35" s="200">
        <f t="shared" si="52"/>
        <v>-6.6000000000000003E-2</v>
      </c>
      <c r="S35" s="131">
        <f t="shared" si="52"/>
        <v>-0.47099999999999997</v>
      </c>
      <c r="T35" s="131">
        <f t="shared" si="52"/>
        <v>-0.82299999999999995</v>
      </c>
      <c r="U35" s="153">
        <f t="shared" si="52"/>
        <v>-0.60499999999999998</v>
      </c>
      <c r="V35" s="131">
        <f t="shared" si="52"/>
        <v>-0.94399999999999995</v>
      </c>
      <c r="W35" s="131">
        <f t="shared" si="52"/>
        <v>-1.863</v>
      </c>
      <c r="X35" s="131">
        <f t="shared" si="52"/>
        <v>-2.073</v>
      </c>
      <c r="Y35" s="131">
        <f t="shared" si="52"/>
        <v>0.123</v>
      </c>
      <c r="Z35" s="200">
        <f t="shared" si="52"/>
        <v>-0.54700000000000004</v>
      </c>
      <c r="AA35" s="131">
        <f t="shared" si="52"/>
        <v>-0.94399999999999995</v>
      </c>
      <c r="AB35" s="131">
        <f t="shared" si="52"/>
        <v>-6.5019999999999998</v>
      </c>
      <c r="AC35" s="131">
        <f t="shared" si="52"/>
        <v>-0.60899999999999999</v>
      </c>
      <c r="AD35" s="200">
        <f t="shared" si="52"/>
        <v>-1.31</v>
      </c>
      <c r="AE35" s="131">
        <f t="shared" si="52"/>
        <v>9.2999999999999999E-2</v>
      </c>
      <c r="AF35" s="131">
        <f t="shared" si="52"/>
        <v>0.35899999999999999</v>
      </c>
      <c r="AG35" s="131">
        <f t="shared" si="52"/>
        <v>-2.577</v>
      </c>
      <c r="AH35" s="200">
        <f t="shared" si="52"/>
        <v>0.47399999999999998</v>
      </c>
      <c r="AI35" s="131">
        <f t="shared" si="52"/>
        <v>2.5000000000000001E-2</v>
      </c>
      <c r="AJ35" s="131">
        <f t="shared" si="52"/>
        <v>-0.70299999999999996</v>
      </c>
      <c r="AK35" s="201">
        <f t="shared" si="52"/>
        <v>-1.1339999999999999</v>
      </c>
      <c r="AL35" s="202">
        <f>AK35</f>
        <v>-1.1339999999999999</v>
      </c>
      <c r="AM35" s="203">
        <f t="shared" ref="AM35:AO35" si="67">AL35</f>
        <v>-1.1339999999999999</v>
      </c>
      <c r="AN35" s="203">
        <f t="shared" si="67"/>
        <v>-1.1339999999999999</v>
      </c>
      <c r="AO35" s="203">
        <f t="shared" si="67"/>
        <v>-1.1339999999999999</v>
      </c>
      <c r="AP35" s="202">
        <f>AO35</f>
        <v>-1.1339999999999999</v>
      </c>
      <c r="AQ35" s="203">
        <f t="shared" ref="AQ35:AS35" si="68">AP35</f>
        <v>-1.1339999999999999</v>
      </c>
      <c r="AR35" s="203">
        <f t="shared" si="68"/>
        <v>-1.1339999999999999</v>
      </c>
      <c r="AS35" s="203">
        <f t="shared" si="68"/>
        <v>-1.1339999999999999</v>
      </c>
      <c r="AT35" s="204"/>
      <c r="AU35" s="205">
        <f t="shared" si="54"/>
        <v>-9.0999999999999998E-2</v>
      </c>
      <c r="AV35" s="205">
        <f t="shared" si="55"/>
        <v>-0.92999999999999994</v>
      </c>
      <c r="AW35" s="205">
        <f t="shared" si="56"/>
        <v>-0.67999999999999994</v>
      </c>
      <c r="AX35" s="205">
        <f t="shared" si="57"/>
        <v>-1.885</v>
      </c>
      <c r="AY35" s="205">
        <f t="shared" si="58"/>
        <v>-1.9649999999999999</v>
      </c>
      <c r="AZ35" s="199">
        <f t="shared" si="59"/>
        <v>-4.7569999999999997</v>
      </c>
      <c r="BA35" s="205">
        <f>SUM(Z35:AC35)</f>
        <v>-8.6020000000000003</v>
      </c>
      <c r="BB35" s="205">
        <f t="shared" si="61"/>
        <v>-3.4350000000000001</v>
      </c>
      <c r="BC35" s="205">
        <f t="shared" si="62"/>
        <v>-1.3379999999999999</v>
      </c>
      <c r="BD35" s="205">
        <f t="shared" si="63"/>
        <v>-4.5359999999999996</v>
      </c>
      <c r="BE35" s="205">
        <f>SUM(AP35:AS35)</f>
        <v>-4.5359999999999996</v>
      </c>
    </row>
    <row r="36" spans="1:58" s="215" customFormat="1" ht="12" customHeight="1">
      <c r="A36" s="207" t="s">
        <v>106</v>
      </c>
      <c r="B36" s="186">
        <f t="shared" ref="B36:AI36" si="69">B25+SUM(B33:B35)</f>
        <v>-6.9980000000000011</v>
      </c>
      <c r="C36" s="75">
        <f t="shared" si="69"/>
        <v>-7.1729999999999992</v>
      </c>
      <c r="D36" s="75">
        <f t="shared" si="69"/>
        <v>-9.0749999999999975</v>
      </c>
      <c r="E36" s="76">
        <f t="shared" si="69"/>
        <v>-9.2419999999999938</v>
      </c>
      <c r="F36" s="186">
        <f t="shared" si="69"/>
        <v>-12.907000000000007</v>
      </c>
      <c r="G36" s="75">
        <f t="shared" si="69"/>
        <v>-13.731000000000003</v>
      </c>
      <c r="H36" s="75">
        <f t="shared" si="69"/>
        <v>-11.452999999999992</v>
      </c>
      <c r="I36" s="76">
        <f t="shared" si="69"/>
        <v>-9.5880000000000063</v>
      </c>
      <c r="J36" s="186">
        <f t="shared" si="69"/>
        <v>-11.872999999999989</v>
      </c>
      <c r="K36" s="75">
        <f t="shared" si="69"/>
        <v>-9.2379999999999942</v>
      </c>
      <c r="L36" s="75">
        <f t="shared" si="69"/>
        <v>-6.416000000000003</v>
      </c>
      <c r="M36" s="76">
        <f t="shared" si="69"/>
        <v>-10.089000000000034</v>
      </c>
      <c r="N36" s="186">
        <f t="shared" si="69"/>
        <v>-7.9449999999999941</v>
      </c>
      <c r="O36" s="75">
        <f t="shared" si="69"/>
        <v>5.8359999999999879</v>
      </c>
      <c r="P36" s="75">
        <f t="shared" si="69"/>
        <v>11.841000000000001</v>
      </c>
      <c r="Q36" s="76">
        <f t="shared" si="69"/>
        <v>15.420000000000011</v>
      </c>
      <c r="R36" s="208">
        <f t="shared" si="69"/>
        <v>13.793000000000001</v>
      </c>
      <c r="S36" s="77">
        <f t="shared" si="69"/>
        <v>11.021000000000006</v>
      </c>
      <c r="T36" s="209">
        <f t="shared" si="69"/>
        <v>9.3829999999999742</v>
      </c>
      <c r="U36" s="210">
        <f t="shared" si="69"/>
        <v>7.9269999999999907</v>
      </c>
      <c r="V36" s="211">
        <f t="shared" si="69"/>
        <v>8.1859999999999893</v>
      </c>
      <c r="W36" s="211">
        <f t="shared" si="69"/>
        <v>7.4330000000000025</v>
      </c>
      <c r="X36" s="211">
        <f t="shared" si="69"/>
        <v>17.734999999999989</v>
      </c>
      <c r="Y36" s="211">
        <f t="shared" si="69"/>
        <v>16.842000000000006</v>
      </c>
      <c r="Z36" s="212">
        <f t="shared" si="69"/>
        <v>15.350000000000019</v>
      </c>
      <c r="AA36" s="211">
        <f t="shared" si="69"/>
        <v>28.090000000000003</v>
      </c>
      <c r="AB36" s="211">
        <f t="shared" si="69"/>
        <v>29.615999999999989</v>
      </c>
      <c r="AC36" s="211">
        <f t="shared" si="69"/>
        <v>32.699999999999989</v>
      </c>
      <c r="AD36" s="212">
        <f t="shared" si="69"/>
        <v>33.20999999999998</v>
      </c>
      <c r="AE36" s="211">
        <f t="shared" si="69"/>
        <v>40.77800000000002</v>
      </c>
      <c r="AF36" s="211">
        <f t="shared" si="69"/>
        <v>43.174999999999997</v>
      </c>
      <c r="AG36" s="213">
        <f t="shared" si="69"/>
        <v>54.924999999999997</v>
      </c>
      <c r="AH36" s="212">
        <f t="shared" ref="AH36" si="70">AH25+SUM(AH33:AH35)</f>
        <v>47.066999999999993</v>
      </c>
      <c r="AI36" s="211">
        <f t="shared" si="69"/>
        <v>44.662000000000027</v>
      </c>
      <c r="AJ36" s="211">
        <f t="shared" ref="AJ36:AS36" si="71">AJ25+SUM(AJ33:AJ35)</f>
        <v>54.586999999999982</v>
      </c>
      <c r="AK36" s="214">
        <f t="shared" si="71"/>
        <v>58.89800000000001</v>
      </c>
      <c r="AL36" s="212">
        <f t="shared" si="71"/>
        <v>49.529983671035836</v>
      </c>
      <c r="AM36" s="211">
        <f t="shared" si="71"/>
        <v>50.39964124690399</v>
      </c>
      <c r="AN36" s="211">
        <f t="shared" si="71"/>
        <v>62.914781879032617</v>
      </c>
      <c r="AO36" s="213">
        <f t="shared" si="71"/>
        <v>67.907410244904085</v>
      </c>
      <c r="AP36" s="212">
        <f t="shared" si="71"/>
        <v>54.850568302057468</v>
      </c>
      <c r="AQ36" s="211">
        <f t="shared" si="71"/>
        <v>56.865610614066242</v>
      </c>
      <c r="AR36" s="211">
        <f t="shared" si="71"/>
        <v>70.196226489506543</v>
      </c>
      <c r="AS36" s="213">
        <f t="shared" si="71"/>
        <v>75.550176452652849</v>
      </c>
      <c r="AT36" s="210"/>
      <c r="AU36" s="185">
        <f t="shared" si="54"/>
        <v>-32.487999999999985</v>
      </c>
      <c r="AV36" s="185">
        <f t="shared" si="55"/>
        <v>-47.679000000000016</v>
      </c>
      <c r="AW36" s="185">
        <f t="shared" si="56"/>
        <v>-37.616000000000021</v>
      </c>
      <c r="AX36" s="185">
        <f t="shared" si="57"/>
        <v>25.152000000000008</v>
      </c>
      <c r="AY36" s="185">
        <f t="shared" si="58"/>
        <v>42.123999999999974</v>
      </c>
      <c r="AZ36" s="186">
        <f t="shared" si="59"/>
        <v>50.195999999999991</v>
      </c>
      <c r="BA36" s="185">
        <f t="shared" si="60"/>
        <v>105.756</v>
      </c>
      <c r="BB36" s="185">
        <f t="shared" si="61"/>
        <v>172.08799999999999</v>
      </c>
      <c r="BC36" s="185">
        <f t="shared" si="62"/>
        <v>205.214</v>
      </c>
      <c r="BD36" s="185">
        <f t="shared" si="63"/>
        <v>230.75181704187656</v>
      </c>
      <c r="BE36" s="185">
        <f>SUM(AP36:AS36)</f>
        <v>257.4625818582831</v>
      </c>
    </row>
    <row r="37" spans="1:58" s="215" customFormat="1" ht="12" customHeight="1">
      <c r="A37" s="198" t="s">
        <v>107</v>
      </c>
      <c r="B37" s="200">
        <f t="shared" ref="B37:AK37" si="72">B128-B169-B170-B171</f>
        <v>6.0999999999999999E-2</v>
      </c>
      <c r="C37" s="131">
        <f t="shared" si="72"/>
        <v>5.3000000000000005E-2</v>
      </c>
      <c r="D37" s="131">
        <f t="shared" si="72"/>
        <v>7.1999999999999995E-2</v>
      </c>
      <c r="E37" s="131">
        <f t="shared" si="72"/>
        <v>3.9E-2</v>
      </c>
      <c r="F37" s="199">
        <f t="shared" si="72"/>
        <v>0.45400000000000001</v>
      </c>
      <c r="G37" s="70">
        <f t="shared" si="72"/>
        <v>0.26900000000000002</v>
      </c>
      <c r="H37" s="70">
        <f t="shared" si="72"/>
        <v>0.57199999999999995</v>
      </c>
      <c r="I37" s="70">
        <f t="shared" si="72"/>
        <v>1.2870000000000001</v>
      </c>
      <c r="J37" s="199">
        <f t="shared" si="72"/>
        <v>0.746</v>
      </c>
      <c r="K37" s="70">
        <f t="shared" si="72"/>
        <v>0.745</v>
      </c>
      <c r="L37" s="70">
        <f t="shared" si="72"/>
        <v>0.32699999999999996</v>
      </c>
      <c r="M37" s="71">
        <f t="shared" si="72"/>
        <v>1.0589999999999993</v>
      </c>
      <c r="N37" s="199">
        <f t="shared" si="72"/>
        <v>0.88100000000000001</v>
      </c>
      <c r="O37" s="70">
        <f t="shared" si="72"/>
        <v>1.115</v>
      </c>
      <c r="P37" s="131">
        <f t="shared" si="72"/>
        <v>1.323</v>
      </c>
      <c r="Q37" s="153">
        <f t="shared" si="72"/>
        <v>1.0389999999999999</v>
      </c>
      <c r="R37" s="200">
        <f t="shared" si="72"/>
        <v>-0.95199999999999974</v>
      </c>
      <c r="S37" s="131">
        <f t="shared" si="72"/>
        <v>0.86099999999999999</v>
      </c>
      <c r="T37" s="131">
        <f t="shared" si="72"/>
        <v>1.2869999999999999</v>
      </c>
      <c r="U37" s="153">
        <f t="shared" si="72"/>
        <v>1.9870000000000001</v>
      </c>
      <c r="V37" s="131">
        <f t="shared" si="72"/>
        <v>1.2210000000000001</v>
      </c>
      <c r="W37" s="131">
        <f t="shared" si="72"/>
        <v>1.4700000000000002</v>
      </c>
      <c r="X37" s="131">
        <f t="shared" si="72"/>
        <v>0.55200000000000005</v>
      </c>
      <c r="Y37" s="131">
        <f t="shared" si="72"/>
        <v>2.6379999999999999</v>
      </c>
      <c r="Z37" s="200">
        <f t="shared" si="72"/>
        <v>2.2869999999999995</v>
      </c>
      <c r="AA37" s="131">
        <f t="shared" si="72"/>
        <v>1.8239999999999998</v>
      </c>
      <c r="AB37" s="131">
        <f t="shared" si="72"/>
        <v>1.948</v>
      </c>
      <c r="AC37" s="131">
        <f t="shared" si="72"/>
        <v>2.5419999999999998</v>
      </c>
      <c r="AD37" s="200">
        <f t="shared" si="72"/>
        <v>2.77</v>
      </c>
      <c r="AE37" s="131">
        <f t="shared" si="72"/>
        <v>2.6160000000000005</v>
      </c>
      <c r="AF37" s="131">
        <f t="shared" si="72"/>
        <v>3.8520000000000003</v>
      </c>
      <c r="AG37" s="131">
        <f t="shared" si="72"/>
        <v>4.2609999999999992</v>
      </c>
      <c r="AH37" s="200">
        <f t="shared" si="72"/>
        <v>2.8169999999999997</v>
      </c>
      <c r="AI37" s="131">
        <f t="shared" si="72"/>
        <v>3.2250000000000001</v>
      </c>
      <c r="AJ37" s="131">
        <f t="shared" si="72"/>
        <v>3.1490000000000005</v>
      </c>
      <c r="AK37" s="201">
        <f t="shared" si="72"/>
        <v>1.5929999999999997</v>
      </c>
      <c r="AL37" s="202">
        <f t="shared" ref="AL37" si="73">AK37+0.075</f>
        <v>1.6679999999999997</v>
      </c>
      <c r="AM37" s="203">
        <f>AL37+2</f>
        <v>3.6679999999999997</v>
      </c>
      <c r="AN37" s="203">
        <f t="shared" ref="AN37:AS37" si="74">AM37+0.075</f>
        <v>3.7429999999999999</v>
      </c>
      <c r="AO37" s="203">
        <f t="shared" si="74"/>
        <v>3.8180000000000001</v>
      </c>
      <c r="AP37" s="202">
        <f t="shared" si="74"/>
        <v>3.8930000000000002</v>
      </c>
      <c r="AQ37" s="203">
        <f t="shared" si="74"/>
        <v>3.9680000000000004</v>
      </c>
      <c r="AR37" s="203">
        <f t="shared" si="74"/>
        <v>4.0430000000000001</v>
      </c>
      <c r="AS37" s="203">
        <f t="shared" si="74"/>
        <v>4.1180000000000003</v>
      </c>
      <c r="AT37" s="216"/>
      <c r="AU37" s="205">
        <f t="shared" si="54"/>
        <v>0.22500000000000001</v>
      </c>
      <c r="AV37" s="205">
        <f t="shared" si="55"/>
        <v>2.5819999999999999</v>
      </c>
      <c r="AW37" s="205">
        <f t="shared" si="56"/>
        <v>2.8769999999999993</v>
      </c>
      <c r="AX37" s="205">
        <f t="shared" si="57"/>
        <v>4.3579999999999997</v>
      </c>
      <c r="AY37" s="205">
        <f t="shared" si="58"/>
        <v>3.1830000000000003</v>
      </c>
      <c r="AZ37" s="199">
        <f t="shared" si="59"/>
        <v>5.8810000000000002</v>
      </c>
      <c r="BA37" s="205">
        <f>SUM(Z37:AC37)</f>
        <v>8.6009999999999991</v>
      </c>
      <c r="BB37" s="205">
        <f t="shared" si="61"/>
        <v>13.499000000000001</v>
      </c>
      <c r="BC37" s="205">
        <f>SUM(AH37:AK37)</f>
        <v>10.784000000000001</v>
      </c>
      <c r="BD37" s="205">
        <f t="shared" si="63"/>
        <v>12.896999999999998</v>
      </c>
      <c r="BE37" s="205">
        <f>SUM(AP37:AS37)</f>
        <v>16.021999999999998</v>
      </c>
    </row>
    <row r="38" spans="1:58" s="227" customFormat="1" ht="12" customHeight="1">
      <c r="A38" s="217" t="s">
        <v>108</v>
      </c>
      <c r="B38" s="218">
        <f t="shared" ref="B38:F38" si="75">+B37/B36</f>
        <v>-8.7167762217776491E-3</v>
      </c>
      <c r="C38" s="219">
        <f t="shared" si="75"/>
        <v>-7.3888191830475411E-3</v>
      </c>
      <c r="D38" s="219">
        <f t="shared" si="75"/>
        <v>-7.933884297520663E-3</v>
      </c>
      <c r="E38" s="220">
        <f t="shared" si="75"/>
        <v>-4.2198658299069493E-3</v>
      </c>
      <c r="F38" s="218">
        <f t="shared" si="75"/>
        <v>-3.5174711396916386E-2</v>
      </c>
      <c r="G38" s="219">
        <f>+G37/G36</f>
        <v>-1.9590707158983318E-2</v>
      </c>
      <c r="H38" s="219">
        <f>+H37/H36</f>
        <v>-4.9943246311010242E-2</v>
      </c>
      <c r="I38" s="220">
        <f>+I37/I36</f>
        <v>-0.13423028785982472</v>
      </c>
      <c r="J38" s="218">
        <f t="shared" ref="J38" si="76">+J37/J36</f>
        <v>-6.2831634801650868E-2</v>
      </c>
      <c r="K38" s="219">
        <f>+K37/K36</f>
        <v>-8.0645161290322634E-2</v>
      </c>
      <c r="L38" s="219">
        <f>+L37/L36</f>
        <v>-5.0966334164588498E-2</v>
      </c>
      <c r="M38" s="220">
        <f>+M37/M36</f>
        <v>-0.10496580434136145</v>
      </c>
      <c r="N38" s="218">
        <f t="shared" ref="N38" si="77">+N37/N36</f>
        <v>-0.11088735053492771</v>
      </c>
      <c r="O38" s="219">
        <f>+O37/O36</f>
        <v>0.19105551747772487</v>
      </c>
      <c r="P38" s="221">
        <f t="shared" ref="P38:S38" si="78">+P37/P36</f>
        <v>0.11173042817329616</v>
      </c>
      <c r="Q38" s="220">
        <f t="shared" si="78"/>
        <v>6.7380025940337179E-2</v>
      </c>
      <c r="R38" s="222">
        <f t="shared" si="78"/>
        <v>-6.9020517653882382E-2</v>
      </c>
      <c r="S38" s="221">
        <f t="shared" si="78"/>
        <v>7.81235822520642E-2</v>
      </c>
      <c r="T38" s="221">
        <f>+T37/T36</f>
        <v>0.13716295427901562</v>
      </c>
      <c r="U38" s="223">
        <f t="shared" ref="U38:AS38" si="79">+U37/U36</f>
        <v>0.25066229342752649</v>
      </c>
      <c r="V38" s="221">
        <f t="shared" si="79"/>
        <v>0.14915709748350864</v>
      </c>
      <c r="W38" s="221">
        <f t="shared" si="79"/>
        <v>0.19776671599623297</v>
      </c>
      <c r="X38" s="221">
        <f t="shared" si="79"/>
        <v>3.11248942768537E-2</v>
      </c>
      <c r="Y38" s="221">
        <f t="shared" si="79"/>
        <v>0.15663222895143089</v>
      </c>
      <c r="Z38" s="222">
        <f t="shared" si="79"/>
        <v>0.14899022801302911</v>
      </c>
      <c r="AA38" s="221">
        <f t="shared" si="79"/>
        <v>6.4934140263438939E-2</v>
      </c>
      <c r="AB38" s="221">
        <f t="shared" si="79"/>
        <v>6.5775256618044328E-2</v>
      </c>
      <c r="AC38" s="223">
        <f t="shared" si="79"/>
        <v>7.7737003058103993E-2</v>
      </c>
      <c r="AD38" s="222">
        <f t="shared" si="79"/>
        <v>8.3408611863896462E-2</v>
      </c>
      <c r="AE38" s="221">
        <f t="shared" si="79"/>
        <v>6.4152238952376262E-2</v>
      </c>
      <c r="AF38" s="221">
        <f t="shared" si="79"/>
        <v>8.9218297625940954E-2</v>
      </c>
      <c r="AG38" s="223">
        <f t="shared" si="79"/>
        <v>7.7578516158397809E-2</v>
      </c>
      <c r="AH38" s="222">
        <f t="shared" si="79"/>
        <v>5.9850850914653579E-2</v>
      </c>
      <c r="AI38" s="221">
        <f t="shared" si="79"/>
        <v>7.2209036765035109E-2</v>
      </c>
      <c r="AJ38" s="221">
        <f t="shared" si="79"/>
        <v>5.7687727847289677E-2</v>
      </c>
      <c r="AK38" s="224">
        <f t="shared" si="79"/>
        <v>2.7046758803354942E-2</v>
      </c>
      <c r="AL38" s="222">
        <f t="shared" si="79"/>
        <v>3.3676570763244838E-2</v>
      </c>
      <c r="AM38" s="221">
        <f t="shared" si="79"/>
        <v>7.2778295822201355E-2</v>
      </c>
      <c r="AN38" s="221">
        <f t="shared" si="79"/>
        <v>5.9493172958888001E-2</v>
      </c>
      <c r="AO38" s="223">
        <f t="shared" si="79"/>
        <v>5.6223613685614092E-2</v>
      </c>
      <c r="AP38" s="222">
        <f t="shared" si="79"/>
        <v>7.097465205030469E-2</v>
      </c>
      <c r="AQ38" s="221">
        <f t="shared" si="79"/>
        <v>6.977855257600063E-2</v>
      </c>
      <c r="AR38" s="221">
        <f t="shared" si="79"/>
        <v>5.7595688574575699E-2</v>
      </c>
      <c r="AS38" s="223">
        <f t="shared" si="79"/>
        <v>5.4506821735628153E-2</v>
      </c>
      <c r="AT38" s="225"/>
      <c r="AU38" s="223">
        <f>AU37/AU36</f>
        <v>-6.9256340802757973E-3</v>
      </c>
      <c r="AV38" s="223">
        <f t="shared" ref="AV38:BE38" si="80">AV37/AV36</f>
        <v>-5.4153820340191679E-2</v>
      </c>
      <c r="AW38" s="223">
        <f t="shared" si="80"/>
        <v>-7.6483411314334268E-2</v>
      </c>
      <c r="AX38" s="223">
        <f t="shared" si="80"/>
        <v>0.17326653944020348</v>
      </c>
      <c r="AY38" s="223">
        <f t="shared" si="80"/>
        <v>7.5562624632038791E-2</v>
      </c>
      <c r="AZ38" s="222">
        <f t="shared" si="80"/>
        <v>0.11716072993864056</v>
      </c>
      <c r="BA38" s="226">
        <f t="shared" si="80"/>
        <v>8.1328718937932587E-2</v>
      </c>
      <c r="BB38" s="226">
        <f t="shared" si="80"/>
        <v>7.8442424805913263E-2</v>
      </c>
      <c r="BC38" s="226">
        <f t="shared" si="80"/>
        <v>5.2550020953736107E-2</v>
      </c>
      <c r="BD38" s="226">
        <f t="shared" si="80"/>
        <v>5.5891217522501528E-2</v>
      </c>
      <c r="BE38" s="226">
        <f t="shared" si="80"/>
        <v>6.2230402120410248E-2</v>
      </c>
    </row>
    <row r="39" spans="1:58" s="215" customFormat="1" ht="12" customHeight="1">
      <c r="A39" s="228" t="s">
        <v>109</v>
      </c>
      <c r="B39" s="186">
        <f t="shared" ref="B39:S39" si="81">B36-B37</f>
        <v>-7.0590000000000011</v>
      </c>
      <c r="C39" s="75">
        <f t="shared" si="81"/>
        <v>-7.2259999999999991</v>
      </c>
      <c r="D39" s="75">
        <f t="shared" si="81"/>
        <v>-9.1469999999999967</v>
      </c>
      <c r="E39" s="76">
        <f t="shared" si="81"/>
        <v>-9.2809999999999935</v>
      </c>
      <c r="F39" s="186">
        <f t="shared" si="81"/>
        <v>-13.361000000000008</v>
      </c>
      <c r="G39" s="75">
        <f t="shared" si="81"/>
        <v>-14.000000000000004</v>
      </c>
      <c r="H39" s="77">
        <f t="shared" si="81"/>
        <v>-12.024999999999991</v>
      </c>
      <c r="I39" s="76">
        <f t="shared" si="81"/>
        <v>-10.875000000000007</v>
      </c>
      <c r="J39" s="208">
        <f t="shared" si="81"/>
        <v>-12.618999999999989</v>
      </c>
      <c r="K39" s="77">
        <f t="shared" si="81"/>
        <v>-9.9829999999999934</v>
      </c>
      <c r="L39" s="77">
        <f t="shared" si="81"/>
        <v>-6.743000000000003</v>
      </c>
      <c r="M39" s="160">
        <f t="shared" si="81"/>
        <v>-11.148000000000033</v>
      </c>
      <c r="N39" s="208">
        <f t="shared" si="81"/>
        <v>-8.8259999999999934</v>
      </c>
      <c r="O39" s="77">
        <f t="shared" si="81"/>
        <v>4.7209999999999877</v>
      </c>
      <c r="P39" s="77">
        <f t="shared" si="81"/>
        <v>10.518000000000001</v>
      </c>
      <c r="Q39" s="160">
        <f t="shared" si="81"/>
        <v>14.381000000000011</v>
      </c>
      <c r="R39" s="186">
        <f t="shared" si="81"/>
        <v>14.745000000000001</v>
      </c>
      <c r="S39" s="75">
        <f t="shared" si="81"/>
        <v>10.160000000000005</v>
      </c>
      <c r="T39" s="211">
        <f>T36-T37</f>
        <v>8.0959999999999752</v>
      </c>
      <c r="U39" s="213">
        <f t="shared" ref="U39" si="82">U36-U37</f>
        <v>5.9399999999999906</v>
      </c>
      <c r="V39" s="211">
        <f>V36-V37</f>
        <v>6.9649999999999892</v>
      </c>
      <c r="W39" s="75">
        <f t="shared" ref="W39:Y39" si="83">W36-W37</f>
        <v>5.9630000000000027</v>
      </c>
      <c r="X39" s="75">
        <f t="shared" si="83"/>
        <v>17.182999999999989</v>
      </c>
      <c r="Y39" s="211">
        <f t="shared" si="83"/>
        <v>14.204000000000006</v>
      </c>
      <c r="Z39" s="212">
        <f>Z36-Z37</f>
        <v>13.06300000000002</v>
      </c>
      <c r="AA39" s="211">
        <f t="shared" ref="AA39:AC39" si="84">AA36-AA37</f>
        <v>26.266000000000005</v>
      </c>
      <c r="AB39" s="211">
        <f t="shared" si="84"/>
        <v>27.667999999999989</v>
      </c>
      <c r="AC39" s="213">
        <f t="shared" si="84"/>
        <v>30.157999999999987</v>
      </c>
      <c r="AD39" s="212">
        <f>AD36-AD37</f>
        <v>30.43999999999998</v>
      </c>
      <c r="AE39" s="229">
        <f t="shared" ref="AE39:AG39" si="85">AE36-AE37</f>
        <v>38.16200000000002</v>
      </c>
      <c r="AF39" s="211">
        <f t="shared" si="85"/>
        <v>39.322999999999993</v>
      </c>
      <c r="AG39" s="213">
        <f t="shared" si="85"/>
        <v>50.664000000000001</v>
      </c>
      <c r="AH39" s="212">
        <f>AH36-AH37</f>
        <v>44.249999999999993</v>
      </c>
      <c r="AI39" s="211">
        <f t="shared" ref="AI39:AS39" si="86">AI36-AI37</f>
        <v>41.437000000000026</v>
      </c>
      <c r="AJ39" s="211">
        <f t="shared" si="86"/>
        <v>51.437999999999981</v>
      </c>
      <c r="AK39" s="214">
        <f t="shared" si="86"/>
        <v>57.305000000000014</v>
      </c>
      <c r="AL39" s="212">
        <f t="shared" si="86"/>
        <v>47.861983671035837</v>
      </c>
      <c r="AM39" s="211">
        <f t="shared" si="86"/>
        <v>46.73164124690399</v>
      </c>
      <c r="AN39" s="211">
        <f t="shared" si="86"/>
        <v>59.171781879032615</v>
      </c>
      <c r="AO39" s="213">
        <f t="shared" si="86"/>
        <v>64.089410244904087</v>
      </c>
      <c r="AP39" s="212">
        <f t="shared" si="86"/>
        <v>50.957568302057467</v>
      </c>
      <c r="AQ39" s="211">
        <f t="shared" si="86"/>
        <v>52.897610614066238</v>
      </c>
      <c r="AR39" s="211">
        <f t="shared" si="86"/>
        <v>66.153226489506537</v>
      </c>
      <c r="AS39" s="213">
        <f t="shared" si="86"/>
        <v>71.432176452652854</v>
      </c>
      <c r="AT39" s="230"/>
      <c r="AU39" s="185">
        <f t="shared" si="54"/>
        <v>-32.712999999999987</v>
      </c>
      <c r="AV39" s="185">
        <f t="shared" si="55"/>
        <v>-50.26100000000001</v>
      </c>
      <c r="AW39" s="185">
        <f t="shared" si="56"/>
        <v>-40.493000000000016</v>
      </c>
      <c r="AX39" s="185">
        <f t="shared" si="57"/>
        <v>20.794000000000004</v>
      </c>
      <c r="AY39" s="185">
        <f t="shared" si="58"/>
        <v>38.940999999999974</v>
      </c>
      <c r="AZ39" s="186">
        <f t="shared" si="59"/>
        <v>44.314999999999991</v>
      </c>
      <c r="BA39" s="185">
        <f>SUM(Z39:AC39)</f>
        <v>97.155000000000001</v>
      </c>
      <c r="BB39" s="185">
        <f t="shared" ref="BB39" si="87">SUM(AD39:AG39)</f>
        <v>158.589</v>
      </c>
      <c r="BC39" s="185">
        <f>SUM(AH39:AK39)</f>
        <v>194.43</v>
      </c>
      <c r="BD39" s="185">
        <f>SUM(AL39:AO39)</f>
        <v>217.85481704187652</v>
      </c>
      <c r="BE39" s="185">
        <f>SUM(AP39:AS39)</f>
        <v>241.44058185828311</v>
      </c>
    </row>
    <row r="40" spans="1:58" s="215" customFormat="1" ht="12" hidden="1" customHeight="1" outlineLevel="1">
      <c r="A40" s="231" t="s">
        <v>110</v>
      </c>
      <c r="B40" s="232" t="str">
        <f>'[2]VA Consensus'!C31</f>
        <v>-</v>
      </c>
      <c r="C40" s="232" t="str">
        <f>'[2]VA Consensus'!D31</f>
        <v>-</v>
      </c>
      <c r="D40" s="232" t="str">
        <f>'[2]VA Consensus'!E31</f>
        <v>-</v>
      </c>
      <c r="E40" s="232" t="str">
        <f>'[2]VA Consensus'!F31</f>
        <v>-</v>
      </c>
      <c r="F40" s="233" t="str">
        <f>'[2]VA Consensus'!G31</f>
        <v>-</v>
      </c>
      <c r="G40" s="145" t="str">
        <f>'[2]VA Consensus'!H31</f>
        <v>-</v>
      </c>
      <c r="H40" s="145">
        <f>'[2]VA Consensus'!I31</f>
        <v>-16.6191076089722</v>
      </c>
      <c r="I40" s="146">
        <f>'[2]VA Consensus'!J31</f>
        <v>-13.023465519630717</v>
      </c>
      <c r="J40" s="233">
        <f>'[2]VA Consensus'!K31</f>
        <v>-17.182053465747824</v>
      </c>
      <c r="K40" s="145">
        <f>'[2]VA Consensus'!L31</f>
        <v>-13.99552183841886</v>
      </c>
      <c r="L40" s="145">
        <f>'[2]VA Consensus'!M31</f>
        <v>-11.018871568422499</v>
      </c>
      <c r="M40" s="146">
        <f>'[2]VA Consensus'!N31</f>
        <v>-12.450756142801255</v>
      </c>
      <c r="N40" s="233">
        <f>'[2]VA Consensus'!O31</f>
        <v>-18.523531613955232</v>
      </c>
      <c r="O40" s="145">
        <f>'[2]VA Consensus'!P31</f>
        <v>-5.2269677156982786</v>
      </c>
      <c r="P40" s="145">
        <f>'[2]VA Consensus'!Q31</f>
        <v>2.7772311820426512</v>
      </c>
      <c r="Q40" s="146">
        <f>'[2]VA Consensus'!R31</f>
        <v>7.0732888138702634</v>
      </c>
      <c r="R40" s="233">
        <f>'[2]VA Consensus'!S31</f>
        <v>6.37520109841648</v>
      </c>
      <c r="S40" s="145">
        <f>'[2]VA Consensus'!T31</f>
        <v>5.5147642594799917</v>
      </c>
      <c r="T40" s="145">
        <f>'[2]VA Consensus'!U31</f>
        <v>2.5130656968931149</v>
      </c>
      <c r="U40" s="146">
        <f>'[2]VA Consensus'!V31</f>
        <v>2.6542441934754173</v>
      </c>
      <c r="V40" s="233">
        <f>'[2]VA Consensus'!W31</f>
        <v>5.5439541794734017</v>
      </c>
      <c r="W40" s="145">
        <f>'[2]VA Consensus'!X31</f>
        <v>1.5245378740100592</v>
      </c>
      <c r="X40" s="145">
        <f>'[2]VA Consensus'!Y31</f>
        <v>3.5568513299283349</v>
      </c>
      <c r="Y40" s="146">
        <f>'[2]VA Consensus'!Z31</f>
        <v>8.0618178736581676</v>
      </c>
      <c r="Z40" s="233">
        <f>'[2]VA Consensus'!AA31</f>
        <v>3.4740654313359038</v>
      </c>
      <c r="AA40" s="145">
        <f>'[2]VA Consensus'!AB31</f>
        <v>15.565687127889355</v>
      </c>
      <c r="AB40" s="145">
        <f>'[2]VA Consensus'!AC31</f>
        <v>22.490171203228595</v>
      </c>
      <c r="AC40" s="146">
        <f>'[2]VA Consensus'!AD31</f>
        <v>16.806054489486954</v>
      </c>
      <c r="AD40" s="233">
        <f>'[2]VA Consensus'!AE31</f>
        <v>21.374249915780517</v>
      </c>
      <c r="AE40" s="145">
        <f>'[2]VA Consensus'!AF31</f>
        <v>29.499517257681394</v>
      </c>
      <c r="AF40" s="145">
        <f>'[2]VA Consensus'!AG31</f>
        <v>36.453528718907087</v>
      </c>
      <c r="AG40" s="146">
        <f>'[2]VA Consensus'!AH31</f>
        <v>43.079956298015382</v>
      </c>
      <c r="AH40" s="233">
        <f>'[2]VA Consensus'!AI31</f>
        <v>35.369158242984597</v>
      </c>
      <c r="AI40" s="145">
        <f>'[2]VA Consensus'!AJ31</f>
        <v>37.282332926845186</v>
      </c>
      <c r="AJ40" s="145">
        <f>'[2]VA Consensus'!AK31</f>
        <v>45.342372814650076</v>
      </c>
      <c r="AK40" s="146">
        <f>'[2]VA Consensus'!AL31</f>
        <v>50.543081159242988</v>
      </c>
      <c r="AL40" s="233">
        <f>'[2]VA Consensus'!AM31</f>
        <v>48.497351513425812</v>
      </c>
      <c r="AM40" s="145">
        <f>'[2]VA Consensus'!AN31</f>
        <v>52.095499986167653</v>
      </c>
      <c r="AN40" s="145">
        <f>'[2]VA Consensus'!AO31</f>
        <v>58.129108142294655</v>
      </c>
      <c r="AO40" s="146">
        <f>'[2]VA Consensus'!AP31</f>
        <v>63.510457514235092</v>
      </c>
      <c r="AP40" s="233">
        <f>'[2]VA Consensus'!AQ31</f>
        <v>56.345370763383414</v>
      </c>
      <c r="AQ40" s="145">
        <f>'[2]VA Consensus'!AR31</f>
        <v>59.006314875766115</v>
      </c>
      <c r="AR40" s="145">
        <f>'[2]VA Consensus'!AS31</f>
        <v>64.176211407034927</v>
      </c>
      <c r="AS40" s="146">
        <f>'[2]VA Consensus'!AT31</f>
        <v>68.638046384353828</v>
      </c>
      <c r="AT40" s="85"/>
      <c r="AU40" s="174" t="str">
        <f>'[2]VA Consensus'!AV31</f>
        <v>-</v>
      </c>
      <c r="AV40" s="234">
        <f>'[2]VA Consensus'!AW31</f>
        <v>-52.415810591297387</v>
      </c>
      <c r="AW40" s="234">
        <f>'[2]VA Consensus'!AX31</f>
        <v>-41.748533920579042</v>
      </c>
      <c r="AX40" s="234">
        <f>'[2]VA Consensus'!AY31</f>
        <v>13.48762214720359</v>
      </c>
      <c r="AY40" s="174">
        <f>'[2]VA Consensus'!AZ31</f>
        <v>35.695242212352461</v>
      </c>
      <c r="AZ40" s="235">
        <f>'[2]VA Consensus'!BA31</f>
        <v>38.339587104427423</v>
      </c>
      <c r="BA40" s="174">
        <f>'[2]VA Consensus'!BB31</f>
        <v>83.813787822820302</v>
      </c>
      <c r="BB40" s="174">
        <f>'[2]VA Consensus'!BC31</f>
        <v>151.10782296468199</v>
      </c>
      <c r="BC40" s="174">
        <f>'[2]VA Consensus'!BD31</f>
        <v>187.46497099652288</v>
      </c>
      <c r="BD40" s="174">
        <f>'[2]VA Consensus'!BE31</f>
        <v>222.23241715612318</v>
      </c>
      <c r="BE40" s="174">
        <f>'[2]VA Consensus'!BF31</f>
        <v>248.16594343053822</v>
      </c>
    </row>
    <row r="41" spans="1:58" s="89" customFormat="1" ht="12" customHeight="1" collapsed="1" thickBot="1">
      <c r="A41" s="90" t="s">
        <v>111</v>
      </c>
      <c r="B41" s="91"/>
      <c r="C41" s="92"/>
      <c r="D41" s="92"/>
      <c r="E41" s="93"/>
      <c r="F41" s="92"/>
      <c r="G41" s="92"/>
      <c r="H41" s="92"/>
      <c r="I41" s="92"/>
      <c r="J41" s="91"/>
      <c r="K41" s="92"/>
      <c r="L41" s="92"/>
      <c r="M41" s="93"/>
      <c r="N41" s="91"/>
      <c r="O41" s="92"/>
      <c r="P41" s="92"/>
      <c r="Q41" s="93"/>
      <c r="R41" s="92"/>
      <c r="S41" s="94"/>
      <c r="T41" s="92"/>
      <c r="U41" s="92"/>
      <c r="V41" s="91"/>
      <c r="W41" s="92"/>
      <c r="X41" s="92"/>
      <c r="Y41" s="93"/>
      <c r="Z41" s="96"/>
      <c r="AA41" s="97"/>
      <c r="AB41" s="97"/>
      <c r="AC41" s="98"/>
      <c r="AD41" s="96"/>
      <c r="AE41" s="97"/>
      <c r="AF41" s="97"/>
      <c r="AG41" s="98"/>
      <c r="AH41" s="96"/>
      <c r="AI41" s="97"/>
      <c r="AJ41" s="97"/>
      <c r="AK41" s="98"/>
      <c r="AL41" s="96"/>
      <c r="AM41" s="97"/>
      <c r="AN41" s="97"/>
      <c r="AO41" s="98"/>
      <c r="AP41" s="96"/>
      <c r="AQ41" s="97"/>
      <c r="AR41" s="97"/>
      <c r="AS41" s="98"/>
      <c r="AT41" s="99"/>
      <c r="AU41" s="100"/>
      <c r="AV41" s="93"/>
      <c r="AW41" s="93"/>
      <c r="AX41" s="101"/>
      <c r="AY41" s="101"/>
      <c r="AZ41" s="91"/>
      <c r="BA41" s="101"/>
      <c r="BB41" s="101"/>
      <c r="BC41" s="93"/>
      <c r="BD41" s="93"/>
      <c r="BE41" s="93"/>
    </row>
    <row r="42" spans="1:58" s="89" customFormat="1" ht="12" customHeight="1" thickTop="1">
      <c r="A42" s="236" t="s">
        <v>88</v>
      </c>
      <c r="B42" s="235"/>
      <c r="C42" s="83"/>
      <c r="D42" s="83"/>
      <c r="E42" s="84"/>
      <c r="F42" s="83"/>
      <c r="G42" s="83"/>
      <c r="H42" s="83"/>
      <c r="I42" s="83"/>
      <c r="J42" s="235"/>
      <c r="K42" s="83"/>
      <c r="L42" s="83"/>
      <c r="M42" s="84"/>
      <c r="N42" s="105">
        <v>-19</v>
      </c>
      <c r="O42" s="107">
        <v>-6</v>
      </c>
      <c r="P42" s="105">
        <v>2</v>
      </c>
      <c r="Q42" s="109">
        <v>6</v>
      </c>
      <c r="R42" s="105">
        <v>5</v>
      </c>
      <c r="S42" s="107">
        <v>5</v>
      </c>
      <c r="T42" s="105">
        <v>1</v>
      </c>
      <c r="U42" s="105">
        <v>2</v>
      </c>
      <c r="V42" s="108">
        <v>5.2</v>
      </c>
      <c r="W42" s="105">
        <v>1</v>
      </c>
      <c r="X42" s="105">
        <v>3.2</v>
      </c>
      <c r="Y42" s="105">
        <v>7.5</v>
      </c>
      <c r="Z42" s="108">
        <v>3</v>
      </c>
      <c r="AA42" s="105">
        <v>15</v>
      </c>
      <c r="AB42" s="105">
        <v>22</v>
      </c>
      <c r="AC42" s="105">
        <v>16</v>
      </c>
      <c r="AD42" s="108">
        <v>20</v>
      </c>
      <c r="AE42" s="105">
        <v>28</v>
      </c>
      <c r="AF42" s="105">
        <v>35</v>
      </c>
      <c r="AG42" s="105">
        <v>42</v>
      </c>
      <c r="AH42" s="108">
        <v>32</v>
      </c>
      <c r="AI42" s="105">
        <v>36</v>
      </c>
      <c r="AJ42" s="105">
        <v>44</v>
      </c>
      <c r="AK42" s="105">
        <v>47.9</v>
      </c>
      <c r="AL42" s="108">
        <v>46</v>
      </c>
      <c r="AM42" s="166"/>
      <c r="AN42" s="166"/>
      <c r="AO42" s="109"/>
      <c r="AP42" s="108"/>
      <c r="AQ42" s="166"/>
      <c r="AR42" s="166"/>
      <c r="AS42" s="109"/>
      <c r="AT42" s="99"/>
      <c r="AU42" s="237"/>
      <c r="AV42" s="84"/>
      <c r="AW42" s="84"/>
      <c r="AX42" s="238"/>
      <c r="AY42" s="239">
        <v>35</v>
      </c>
      <c r="AZ42" s="240">
        <v>37.6</v>
      </c>
      <c r="BA42" s="239">
        <v>83</v>
      </c>
      <c r="BB42" s="239">
        <v>149.9</v>
      </c>
      <c r="BC42" s="106">
        <v>185</v>
      </c>
      <c r="BD42" s="106">
        <v>214</v>
      </c>
      <c r="BE42" s="106"/>
    </row>
    <row r="43" spans="1:58" s="89" customFormat="1" ht="12" customHeight="1">
      <c r="A43" s="241" t="s">
        <v>89</v>
      </c>
      <c r="B43" s="242"/>
      <c r="C43" s="83"/>
      <c r="D43" s="83"/>
      <c r="E43" s="84"/>
      <c r="F43" s="83"/>
      <c r="G43" s="83"/>
      <c r="H43" s="83"/>
      <c r="I43" s="83"/>
      <c r="J43" s="242"/>
      <c r="K43" s="83"/>
      <c r="L43" s="83"/>
      <c r="M43" s="84"/>
      <c r="N43" s="105">
        <f t="shared" ref="N43:P43" si="88">AVERAGE(N42,N44)</f>
        <v>-18.5</v>
      </c>
      <c r="O43" s="107">
        <f t="shared" si="88"/>
        <v>-5</v>
      </c>
      <c r="P43" s="105">
        <f t="shared" si="88"/>
        <v>2.5</v>
      </c>
      <c r="Q43" s="106">
        <f>AVERAGE(Q42,Q44)</f>
        <v>6.5</v>
      </c>
      <c r="R43" s="105">
        <f t="shared" ref="R43:T43" si="89">AVERAGE(R42,R44)</f>
        <v>6</v>
      </c>
      <c r="S43" s="107">
        <f t="shared" si="89"/>
        <v>5.5</v>
      </c>
      <c r="T43" s="105">
        <f t="shared" si="89"/>
        <v>2</v>
      </c>
      <c r="U43" s="105">
        <f>AVERAGE(U42,U44)</f>
        <v>2.5</v>
      </c>
      <c r="V43" s="240">
        <f t="shared" ref="V43:X43" si="90">AVERAGE(V42,V44)</f>
        <v>5.7</v>
      </c>
      <c r="W43" s="105">
        <f t="shared" si="90"/>
        <v>1.5</v>
      </c>
      <c r="X43" s="105">
        <f t="shared" si="90"/>
        <v>3.7</v>
      </c>
      <c r="Y43" s="105">
        <f>AVERAGE(Y42,Y44)</f>
        <v>8</v>
      </c>
      <c r="Z43" s="240">
        <f t="shared" ref="Z43:AA43" si="91">AVERAGE(Z42,Z44)</f>
        <v>3.5</v>
      </c>
      <c r="AA43" s="105">
        <f t="shared" si="91"/>
        <v>15.5</v>
      </c>
      <c r="AB43" s="105">
        <f>AVERAGE(AB42,AB44)</f>
        <v>22.5</v>
      </c>
      <c r="AC43" s="105">
        <f>AVERAGE(AC42,AC44)</f>
        <v>16.5</v>
      </c>
      <c r="AD43" s="240">
        <f t="shared" ref="AD43:AE43" si="92">IFERROR(AVERAGE(AD42,AD44),"")</f>
        <v>21</v>
      </c>
      <c r="AE43" s="105">
        <f t="shared" si="92"/>
        <v>29</v>
      </c>
      <c r="AF43" s="105">
        <f>IFERROR(AVERAGE(AF42,AF44),"")</f>
        <v>36</v>
      </c>
      <c r="AG43" s="105">
        <f>IFERROR(AVERAGE(AG42,AG44),"")</f>
        <v>43</v>
      </c>
      <c r="AH43" s="240">
        <f t="shared" ref="AH43:AI43" si="93">IFERROR(AVERAGE(AH42,AH44),"")</f>
        <v>33</v>
      </c>
      <c r="AI43" s="105">
        <f t="shared" si="93"/>
        <v>37</v>
      </c>
      <c r="AJ43" s="105">
        <f>IFERROR(AVERAGE(AJ42,AJ44),"")</f>
        <v>45</v>
      </c>
      <c r="AK43" s="105">
        <f>IFERROR(AVERAGE(AK42,AK44),"")</f>
        <v>49.9</v>
      </c>
      <c r="AL43" s="240">
        <f t="shared" ref="AL43:AS43" si="94">IFERROR(AVERAGE(AL42,AL44),"")</f>
        <v>47.5</v>
      </c>
      <c r="AM43" s="105" t="str">
        <f t="shared" si="94"/>
        <v/>
      </c>
      <c r="AN43" s="105" t="str">
        <f t="shared" si="94"/>
        <v/>
      </c>
      <c r="AO43" s="106" t="str">
        <f t="shared" si="94"/>
        <v/>
      </c>
      <c r="AP43" s="240" t="str">
        <f t="shared" si="94"/>
        <v/>
      </c>
      <c r="AQ43" s="105" t="str">
        <f t="shared" si="94"/>
        <v/>
      </c>
      <c r="AR43" s="105" t="str">
        <f t="shared" si="94"/>
        <v/>
      </c>
      <c r="AS43" s="106" t="str">
        <f t="shared" si="94"/>
        <v/>
      </c>
      <c r="AT43" s="99"/>
      <c r="AU43" s="243"/>
      <c r="AV43" s="84"/>
      <c r="AW43" s="84"/>
      <c r="AX43" s="244"/>
      <c r="AY43" s="245">
        <f>AVERAGE(AY42,AY44)</f>
        <v>35.5</v>
      </c>
      <c r="AZ43" s="246">
        <f t="shared" ref="AZ43:BA43" si="95">AVERAGE(AZ42,AZ44)</f>
        <v>38.1</v>
      </c>
      <c r="BA43" s="245">
        <f t="shared" si="95"/>
        <v>83.5</v>
      </c>
      <c r="BB43" s="245">
        <f t="shared" ref="BB43:BF43" si="96">IFERROR(AVERAGE(BB42,BB44),"")</f>
        <v>150.9</v>
      </c>
      <c r="BC43" s="106">
        <f t="shared" si="96"/>
        <v>187</v>
      </c>
      <c r="BD43" s="106">
        <f t="shared" si="96"/>
        <v>219</v>
      </c>
      <c r="BE43" s="106" t="str">
        <f t="shared" si="96"/>
        <v/>
      </c>
      <c r="BF43" s="89" t="str">
        <f t="shared" si="96"/>
        <v/>
      </c>
    </row>
    <row r="44" spans="1:58" s="89" customFormat="1" ht="12" customHeight="1" thickBot="1">
      <c r="A44" s="121" t="s">
        <v>90</v>
      </c>
      <c r="B44" s="91"/>
      <c r="C44" s="92"/>
      <c r="D44" s="92"/>
      <c r="E44" s="93"/>
      <c r="F44" s="92"/>
      <c r="G44" s="92"/>
      <c r="H44" s="92"/>
      <c r="I44" s="92"/>
      <c r="J44" s="91"/>
      <c r="K44" s="92"/>
      <c r="L44" s="92"/>
      <c r="M44" s="93"/>
      <c r="N44" s="123">
        <v>-18</v>
      </c>
      <c r="O44" s="125">
        <v>-4</v>
      </c>
      <c r="P44" s="123">
        <v>3</v>
      </c>
      <c r="Q44" s="124">
        <v>7</v>
      </c>
      <c r="R44" s="123">
        <v>7</v>
      </c>
      <c r="S44" s="125">
        <v>6</v>
      </c>
      <c r="T44" s="123">
        <v>3</v>
      </c>
      <c r="U44" s="123">
        <v>3</v>
      </c>
      <c r="V44" s="122">
        <v>6.2</v>
      </c>
      <c r="W44" s="123">
        <v>2</v>
      </c>
      <c r="X44" s="123">
        <v>4.2</v>
      </c>
      <c r="Y44" s="123">
        <v>8.5</v>
      </c>
      <c r="Z44" s="122">
        <v>4</v>
      </c>
      <c r="AA44" s="123">
        <v>16</v>
      </c>
      <c r="AB44" s="123">
        <v>23</v>
      </c>
      <c r="AC44" s="123">
        <v>17</v>
      </c>
      <c r="AD44" s="122">
        <v>22</v>
      </c>
      <c r="AE44" s="123">
        <v>30</v>
      </c>
      <c r="AF44" s="123">
        <v>37</v>
      </c>
      <c r="AG44" s="123">
        <v>44</v>
      </c>
      <c r="AH44" s="122">
        <v>34</v>
      </c>
      <c r="AI44" s="123">
        <v>38</v>
      </c>
      <c r="AJ44" s="123">
        <v>46</v>
      </c>
      <c r="AK44" s="123">
        <v>51.9</v>
      </c>
      <c r="AL44" s="122">
        <v>49</v>
      </c>
      <c r="AM44" s="123"/>
      <c r="AN44" s="123"/>
      <c r="AO44" s="124"/>
      <c r="AP44" s="122"/>
      <c r="AQ44" s="123"/>
      <c r="AR44" s="123"/>
      <c r="AS44" s="124"/>
      <c r="AT44" s="99"/>
      <c r="AU44" s="100"/>
      <c r="AV44" s="93"/>
      <c r="AW44" s="93"/>
      <c r="AX44" s="101"/>
      <c r="AY44" s="126">
        <v>36</v>
      </c>
      <c r="AZ44" s="122">
        <v>38.6</v>
      </c>
      <c r="BA44" s="126">
        <v>84</v>
      </c>
      <c r="BB44" s="126">
        <v>151.9</v>
      </c>
      <c r="BC44" s="124">
        <v>189</v>
      </c>
      <c r="BD44" s="124">
        <v>224</v>
      </c>
      <c r="BE44" s="124"/>
    </row>
    <row r="45" spans="1:58" s="215" customFormat="1" ht="12" customHeight="1" thickTop="1">
      <c r="A45" s="247"/>
      <c r="B45" s="248"/>
      <c r="C45" s="249"/>
      <c r="D45" s="249"/>
      <c r="E45" s="250"/>
      <c r="F45" s="248"/>
      <c r="G45" s="249"/>
      <c r="H45" s="249"/>
      <c r="I45" s="250"/>
      <c r="J45" s="248"/>
      <c r="K45" s="249"/>
      <c r="L45" s="249"/>
      <c r="M45" s="250"/>
      <c r="N45" s="248"/>
      <c r="O45" s="249"/>
      <c r="P45" s="251"/>
      <c r="Q45" s="250"/>
      <c r="R45" s="248"/>
      <c r="S45" s="249"/>
      <c r="T45" s="249"/>
      <c r="U45" s="250"/>
      <c r="V45" s="249"/>
      <c r="W45" s="249"/>
      <c r="X45" s="249"/>
      <c r="Y45" s="249"/>
      <c r="Z45" s="248"/>
      <c r="AA45" s="249"/>
      <c r="AB45" s="249"/>
      <c r="AC45" s="250"/>
      <c r="AD45" s="248"/>
      <c r="AE45" s="249"/>
      <c r="AF45" s="249"/>
      <c r="AG45" s="250"/>
      <c r="AH45" s="248"/>
      <c r="AI45" s="249"/>
      <c r="AJ45" s="249"/>
      <c r="AK45" s="250"/>
      <c r="AL45" s="248"/>
      <c r="AM45" s="249"/>
      <c r="AN45" s="249"/>
      <c r="AO45" s="250"/>
      <c r="AP45" s="248"/>
      <c r="AQ45" s="249"/>
      <c r="AR45" s="249"/>
      <c r="AS45" s="250"/>
      <c r="AT45" s="230"/>
      <c r="AU45" s="252"/>
      <c r="AV45" s="252"/>
      <c r="AW45" s="253"/>
      <c r="AX45" s="252"/>
      <c r="AY45" s="252"/>
      <c r="AZ45" s="248"/>
      <c r="BA45" s="252"/>
      <c r="BB45" s="252"/>
      <c r="BC45" s="252"/>
      <c r="BD45" s="252"/>
      <c r="BE45" s="252"/>
    </row>
    <row r="46" spans="1:58" s="161" customFormat="1" ht="12" customHeight="1">
      <c r="A46" s="254" t="s">
        <v>112</v>
      </c>
      <c r="B46" s="255">
        <v>-0.33</v>
      </c>
      <c r="C46" s="256">
        <f t="shared" ref="C46:AS46" si="97">IF(C39&lt;0,C39/C52,C39/C53)</f>
        <v>-0.32756119673617407</v>
      </c>
      <c r="D46" s="256">
        <f t="shared" si="97"/>
        <v>-0.40332466158119834</v>
      </c>
      <c r="E46" s="257">
        <f t="shared" si="97"/>
        <v>-0.40657992727909897</v>
      </c>
      <c r="F46" s="255">
        <f t="shared" si="97"/>
        <v>-0.56867418599702091</v>
      </c>
      <c r="G46" s="256">
        <f t="shared" si="97"/>
        <v>-0.58947368421052648</v>
      </c>
      <c r="H46" s="256">
        <f t="shared" si="97"/>
        <v>-0.16192887249027069</v>
      </c>
      <c r="I46" s="257">
        <f t="shared" si="97"/>
        <v>-0.11796674151453033</v>
      </c>
      <c r="J46" s="255">
        <f t="shared" si="97"/>
        <v>-0.13461989801361229</v>
      </c>
      <c r="K46" s="256">
        <f t="shared" si="97"/>
        <v>-0.10418493007722808</v>
      </c>
      <c r="L46" s="256">
        <f t="shared" si="97"/>
        <v>-6.9724637831018857E-2</v>
      </c>
      <c r="M46" s="257">
        <f t="shared" si="97"/>
        <v>-0.11406003806093877</v>
      </c>
      <c r="N46" s="255">
        <f t="shared" si="97"/>
        <v>-8.9282282130392923E-2</v>
      </c>
      <c r="O46" s="256">
        <f t="shared" si="97"/>
        <v>4.3476659268604785E-2</v>
      </c>
      <c r="P46" s="258">
        <f t="shared" si="97"/>
        <v>9.4565921024239372E-2</v>
      </c>
      <c r="Q46" s="257">
        <f t="shared" si="97"/>
        <v>0.12761445013355113</v>
      </c>
      <c r="R46" s="255">
        <f t="shared" si="97"/>
        <v>0.12941703091263365</v>
      </c>
      <c r="S46" s="256">
        <f t="shared" si="97"/>
        <v>8.9225337888275177E-2</v>
      </c>
      <c r="T46" s="256">
        <f t="shared" si="97"/>
        <v>7.0410408495168636E-2</v>
      </c>
      <c r="U46" s="257">
        <f t="shared" si="97"/>
        <v>5.1002009170058135E-2</v>
      </c>
      <c r="V46" s="256">
        <f t="shared" si="97"/>
        <v>5.945115445350168E-2</v>
      </c>
      <c r="W46" s="256">
        <f t="shared" si="97"/>
        <v>5.0509499648474912E-2</v>
      </c>
      <c r="X46" s="256">
        <f t="shared" si="97"/>
        <v>0.14644519065232575</v>
      </c>
      <c r="Y46" s="256">
        <f t="shared" si="97"/>
        <v>0.12083779966991651</v>
      </c>
      <c r="Z46" s="255">
        <f t="shared" si="97"/>
        <v>0.10953011805741901</v>
      </c>
      <c r="AA46" s="256">
        <f t="shared" si="97"/>
        <v>0.21877941311210514</v>
      </c>
      <c r="AB46" s="256">
        <f t="shared" si="97"/>
        <v>0.22586122448979581</v>
      </c>
      <c r="AC46" s="257">
        <f t="shared" si="97"/>
        <v>0.24715012743499168</v>
      </c>
      <c r="AD46" s="255">
        <f t="shared" si="97"/>
        <v>0.24694562977625606</v>
      </c>
      <c r="AE46" s="256">
        <f t="shared" si="97"/>
        <v>0.3101189702249384</v>
      </c>
      <c r="AF46" s="256">
        <f t="shared" si="97"/>
        <v>0.31895237168256435</v>
      </c>
      <c r="AG46" s="257">
        <f t="shared" si="97"/>
        <v>0.40906558581544256</v>
      </c>
      <c r="AH46" s="255">
        <f t="shared" si="97"/>
        <v>0.35641793930021259</v>
      </c>
      <c r="AI46" s="256">
        <f t="shared" si="97"/>
        <v>0.33722889114954241</v>
      </c>
      <c r="AJ46" s="256">
        <f t="shared" si="97"/>
        <v>0.42178544193254763</v>
      </c>
      <c r="AK46" s="257">
        <f t="shared" si="97"/>
        <v>0.48175704077343434</v>
      </c>
      <c r="AL46" s="255">
        <f t="shared" si="97"/>
        <v>0.40578197262429705</v>
      </c>
      <c r="AM46" s="256">
        <f t="shared" si="97"/>
        <v>0.39619873884615509</v>
      </c>
      <c r="AN46" s="256">
        <f t="shared" si="97"/>
        <v>0.50166834997060294</v>
      </c>
      <c r="AO46" s="257">
        <f t="shared" si="97"/>
        <v>0.54336083293687232</v>
      </c>
      <c r="AP46" s="255">
        <f t="shared" si="97"/>
        <v>0.43082151083917369</v>
      </c>
      <c r="AQ46" s="256">
        <f t="shared" si="97"/>
        <v>0.44597934924598465</v>
      </c>
      <c r="AR46" s="256">
        <f t="shared" si="97"/>
        <v>0.55618989817980946</v>
      </c>
      <c r="AS46" s="257">
        <f t="shared" si="97"/>
        <v>0.59891151549134614</v>
      </c>
      <c r="AT46" s="257"/>
      <c r="AU46" s="259">
        <f t="shared" ref="AU46" si="98">SUM(B46:E46)</f>
        <v>-1.4674657855964712</v>
      </c>
      <c r="AV46" s="259">
        <f t="shared" ref="AV46:BC46" si="99">IF(AV39&lt;0,AV39/AV52,AV39/AV53)</f>
        <v>-0.93649965529449053</v>
      </c>
      <c r="AW46" s="259">
        <f t="shared" si="99"/>
        <v>-0.42174057949882326</v>
      </c>
      <c r="AX46" s="259">
        <f t="shared" si="99"/>
        <v>0.18910168967461491</v>
      </c>
      <c r="AY46" s="259">
        <f t="shared" si="99"/>
        <v>0.33913346396690591</v>
      </c>
      <c r="AZ46" s="255">
        <f t="shared" si="99"/>
        <v>0.37703983528170559</v>
      </c>
      <c r="BA46" s="260">
        <f t="shared" si="99"/>
        <v>0.80319276461008082</v>
      </c>
      <c r="BB46" s="260">
        <f t="shared" si="99"/>
        <v>1.285518873755479</v>
      </c>
      <c r="BC46" s="260">
        <f t="shared" si="99"/>
        <v>1.5939171602483964</v>
      </c>
      <c r="BD46" s="260">
        <f>IF(BD39&lt;0,BD39/BD52,BD39/BD53)</f>
        <v>1.8470098943779272</v>
      </c>
      <c r="BE46" s="260">
        <f>IF(BE39&lt;0,BE39/BE52,BE39/BE53)</f>
        <v>2.0327558986174123</v>
      </c>
    </row>
    <row r="47" spans="1:58" s="165" customFormat="1" ht="12" hidden="1" customHeight="1" outlineLevel="1">
      <c r="A47" s="261" t="s">
        <v>113</v>
      </c>
      <c r="B47" s="232" t="str">
        <f>'[2]VA Consensus'!C33</f>
        <v>-</v>
      </c>
      <c r="C47" s="232" t="str">
        <f>'[2]VA Consensus'!D33</f>
        <v>-</v>
      </c>
      <c r="D47" s="232" t="str">
        <f>'[2]VA Consensus'!E33</f>
        <v>-</v>
      </c>
      <c r="E47" s="232" t="str">
        <f>'[2]VA Consensus'!F33</f>
        <v>-</v>
      </c>
      <c r="F47" s="262" t="str">
        <f>'[2]VA Consensus'!G33</f>
        <v>-</v>
      </c>
      <c r="G47" s="232" t="str">
        <f>'[2]VA Consensus'!H33</f>
        <v>-</v>
      </c>
      <c r="H47" s="232">
        <f>'[2]VA Consensus'!I33</f>
        <v>-0.187411648167329</v>
      </c>
      <c r="I47" s="232">
        <f>'[2]VA Consensus'!J33</f>
        <v>-0.14205223798945599</v>
      </c>
      <c r="J47" s="262">
        <f>'[2]VA Consensus'!K33</f>
        <v>-0.18427221834649499</v>
      </c>
      <c r="K47" s="232">
        <f>'[2]VA Consensus'!L33</f>
        <v>-0.14625604432114001</v>
      </c>
      <c r="L47" s="232">
        <f>'[2]VA Consensus'!M33</f>
        <v>-0.11372140960287599</v>
      </c>
      <c r="M47" s="263">
        <f>'[2]VA Consensus'!N33</f>
        <v>-0.127243486089267</v>
      </c>
      <c r="N47" s="262">
        <f>'[2]VA Consensus'!O33</f>
        <v>-0.187760865999124</v>
      </c>
      <c r="O47" s="232">
        <f>'[2]VA Consensus'!P33</f>
        <v>-5.2386670381702999E-2</v>
      </c>
      <c r="P47" s="232">
        <f>'[2]VA Consensus'!Q33</f>
        <v>2.5035357439273001E-2</v>
      </c>
      <c r="Q47" s="263">
        <f>'[2]VA Consensus'!R33</f>
        <v>6.2598398987359999E-2</v>
      </c>
      <c r="R47" s="262">
        <f>'[2]VA Consensus'!S33</f>
        <v>5.5450939974198997E-2</v>
      </c>
      <c r="S47" s="232">
        <f>'[2]VA Consensus'!T33</f>
        <v>4.8164775624190997E-2</v>
      </c>
      <c r="T47" s="232">
        <f>'[2]VA Consensus'!U33</f>
        <v>2.1791640552216999E-2</v>
      </c>
      <c r="U47" s="263">
        <f>'[2]VA Consensus'!V33</f>
        <v>2.2781900143235001E-2</v>
      </c>
      <c r="V47" s="232">
        <f>'[2]VA Consensus'!W33</f>
        <v>4.7167386514634001E-2</v>
      </c>
      <c r="W47" s="232">
        <f>'[2]VA Consensus'!X33</f>
        <v>1.3195403410743E-2</v>
      </c>
      <c r="X47" s="232">
        <f>'[2]VA Consensus'!Y33</f>
        <v>2.9914467990462001E-2</v>
      </c>
      <c r="Y47" s="232">
        <f>'[2]VA Consensus'!Z33</f>
        <v>6.7945406689634003E-2</v>
      </c>
      <c r="Z47" s="262">
        <f>'[2]VA Consensus'!AA33</f>
        <v>2.8943124022482E-2</v>
      </c>
      <c r="AA47" s="232">
        <f>'[2]VA Consensus'!AB33</f>
        <v>0.12910763864137201</v>
      </c>
      <c r="AB47" s="232">
        <f>'[2]VA Consensus'!AC33</f>
        <v>0.18365833284204999</v>
      </c>
      <c r="AC47" s="263">
        <f>'[2]VA Consensus'!AD33</f>
        <v>0.13617747794882001</v>
      </c>
      <c r="AD47" s="262">
        <f>'[2]VA Consensus'!AE33</f>
        <v>0.17389464165811999</v>
      </c>
      <c r="AE47" s="232">
        <f>'[2]VA Consensus'!AF33</f>
        <v>0.237274808795465</v>
      </c>
      <c r="AF47" s="232">
        <f>'[2]VA Consensus'!AG33</f>
        <v>0.29591682650730999</v>
      </c>
      <c r="AG47" s="263">
        <f>'[2]VA Consensus'!AH33</f>
        <v>0.34437246894177398</v>
      </c>
      <c r="AH47" s="262">
        <f>'[2]VA Consensus'!AI33</f>
        <v>0.28584487554160698</v>
      </c>
      <c r="AI47" s="232">
        <f>'[2]VA Consensus'!AJ33</f>
        <v>0.30301404244517299</v>
      </c>
      <c r="AJ47" s="232">
        <f>'[2]VA Consensus'!AK33</f>
        <v>0.36858222879471297</v>
      </c>
      <c r="AK47" s="263">
        <f>'[2]VA Consensus'!AL33</f>
        <v>0.41510611652977603</v>
      </c>
      <c r="AL47" s="262">
        <f>'[2]VA Consensus'!AM33</f>
        <v>0.40829006041145199</v>
      </c>
      <c r="AM47" s="232">
        <f>'[2]VA Consensus'!AN33</f>
        <v>0.43843249916118399</v>
      </c>
      <c r="AN47" s="232">
        <f>'[2]VA Consensus'!AO33</f>
        <v>0.48944712508417398</v>
      </c>
      <c r="AO47" s="263">
        <f>'[2]VA Consensus'!AP33</f>
        <v>0.53457368660329196</v>
      </c>
      <c r="AP47" s="262">
        <f>'[2]VA Consensus'!AQ33</f>
        <v>0.47179930300777001</v>
      </c>
      <c r="AQ47" s="232">
        <f>'[2]VA Consensus'!AR33</f>
        <v>0.49342692575748698</v>
      </c>
      <c r="AR47" s="232">
        <f>'[2]VA Consensus'!AS33</f>
        <v>0.53523887097114597</v>
      </c>
      <c r="AS47" s="263">
        <f>'[2]VA Consensus'!AT33</f>
        <v>0.57140588883364896</v>
      </c>
      <c r="AT47" s="263"/>
      <c r="AU47" s="264" t="str">
        <f>'[2]VA Consensus'!AV33</f>
        <v>-</v>
      </c>
      <c r="AV47" s="265">
        <f>'[2]VA Consensus'!AW33</f>
        <v>-0.61940889306550495</v>
      </c>
      <c r="AW47" s="266">
        <f>'[2]VA Consensus'!AX33</f>
        <v>-0.43477534836880799</v>
      </c>
      <c r="AX47" s="267">
        <f>'[2]VA Consensus'!AY33</f>
        <v>0.121228202529471</v>
      </c>
      <c r="AY47" s="267">
        <f>'[2]VA Consensus'!AZ33</f>
        <v>0.31047976045463399</v>
      </c>
      <c r="AZ47" s="266">
        <f>'[2]VA Consensus'!BA33</f>
        <v>0.32387048943067098</v>
      </c>
      <c r="BA47" s="267">
        <f>'[2]VA Consensus'!BB33</f>
        <v>0.69225592422731697</v>
      </c>
      <c r="BB47" s="267">
        <f>'[2]VA Consensus'!BC33</f>
        <v>1.222207284106213</v>
      </c>
      <c r="BC47" s="267">
        <f>'[2]VA Consensus'!BD33</f>
        <v>1.530826658045956</v>
      </c>
      <c r="BD47" s="267">
        <f>'[2]VA Consensus'!BE33</f>
        <v>1.8707809073559329</v>
      </c>
      <c r="BE47" s="267">
        <f>'[2]VA Consensus'!BF33</f>
        <v>2.071822447257079</v>
      </c>
    </row>
    <row r="48" spans="1:58" s="89" customFormat="1" ht="12" customHeight="1" collapsed="1" thickBot="1">
      <c r="A48" s="90" t="s">
        <v>114</v>
      </c>
      <c r="B48" s="91"/>
      <c r="C48" s="92"/>
      <c r="D48" s="92"/>
      <c r="E48" s="93"/>
      <c r="F48" s="92"/>
      <c r="G48" s="92"/>
      <c r="H48" s="92"/>
      <c r="I48" s="92"/>
      <c r="J48" s="91"/>
      <c r="K48" s="92"/>
      <c r="L48" s="92"/>
      <c r="M48" s="93"/>
      <c r="N48" s="91"/>
      <c r="O48" s="92"/>
      <c r="P48" s="92"/>
      <c r="Q48" s="93"/>
      <c r="R48" s="92"/>
      <c r="S48" s="94"/>
      <c r="T48" s="92"/>
      <c r="U48" s="92"/>
      <c r="V48" s="91"/>
      <c r="W48" s="92"/>
      <c r="X48" s="92"/>
      <c r="Y48" s="93"/>
      <c r="Z48" s="96"/>
      <c r="AA48" s="97"/>
      <c r="AB48" s="97"/>
      <c r="AC48" s="98"/>
      <c r="AD48" s="96"/>
      <c r="AE48" s="97"/>
      <c r="AF48" s="97"/>
      <c r="AG48" s="98"/>
      <c r="AH48" s="96"/>
      <c r="AI48" s="97"/>
      <c r="AJ48" s="97"/>
      <c r="AK48" s="98"/>
      <c r="AL48" s="96"/>
      <c r="AM48" s="97"/>
      <c r="AN48" s="97"/>
      <c r="AO48" s="98"/>
      <c r="AP48" s="96"/>
      <c r="AQ48" s="97"/>
      <c r="AR48" s="97"/>
      <c r="AS48" s="98"/>
      <c r="AT48" s="99"/>
      <c r="AU48" s="100"/>
      <c r="AV48" s="93"/>
      <c r="AW48" s="93"/>
      <c r="AX48" s="101"/>
      <c r="AY48" s="101"/>
      <c r="AZ48" s="91"/>
      <c r="BA48" s="101"/>
      <c r="BB48" s="101"/>
      <c r="BC48" s="93"/>
      <c r="BD48" s="93"/>
      <c r="BE48" s="93"/>
    </row>
    <row r="49" spans="1:57" s="89" customFormat="1" ht="12" customHeight="1" thickTop="1">
      <c r="A49" s="241" t="s">
        <v>88</v>
      </c>
      <c r="B49" s="268"/>
      <c r="C49" s="83"/>
      <c r="D49" s="83"/>
      <c r="E49" s="84"/>
      <c r="F49" s="83"/>
      <c r="G49" s="83"/>
      <c r="H49" s="83"/>
      <c r="I49" s="83"/>
      <c r="J49" s="268"/>
      <c r="K49" s="83"/>
      <c r="L49" s="83"/>
      <c r="M49" s="84"/>
      <c r="N49" s="269">
        <v>-0.19</v>
      </c>
      <c r="O49" s="270">
        <v>-0.06</v>
      </c>
      <c r="P49" s="270">
        <v>0.02</v>
      </c>
      <c r="Q49" s="271">
        <v>0.05</v>
      </c>
      <c r="R49" s="270">
        <v>0.04</v>
      </c>
      <c r="S49" s="272">
        <v>0.04</v>
      </c>
      <c r="T49" s="270">
        <v>0.01</v>
      </c>
      <c r="U49" s="270">
        <v>0.02</v>
      </c>
      <c r="V49" s="273">
        <v>0.04</v>
      </c>
      <c r="W49" s="272">
        <v>0.01</v>
      </c>
      <c r="X49" s="272">
        <v>0.03</v>
      </c>
      <c r="Y49" s="270">
        <v>0.06</v>
      </c>
      <c r="Z49" s="273">
        <v>0.02</v>
      </c>
      <c r="AA49" s="272">
        <v>0.12</v>
      </c>
      <c r="AB49" s="272">
        <v>0.18</v>
      </c>
      <c r="AC49" s="272">
        <v>0.13</v>
      </c>
      <c r="AD49" s="273">
        <v>0.16</v>
      </c>
      <c r="AE49" s="272">
        <v>0.22</v>
      </c>
      <c r="AF49" s="272">
        <v>0.28000000000000003</v>
      </c>
      <c r="AG49" s="272">
        <v>0.33</v>
      </c>
      <c r="AH49" s="273">
        <v>0.26</v>
      </c>
      <c r="AI49" s="272">
        <v>0.28999999999999998</v>
      </c>
      <c r="AJ49" s="272">
        <v>0.36</v>
      </c>
      <c r="AK49" s="272">
        <v>0.39</v>
      </c>
      <c r="AL49" s="273">
        <v>0.39</v>
      </c>
      <c r="AM49" s="274"/>
      <c r="AN49" s="274"/>
      <c r="AO49" s="275"/>
      <c r="AP49" s="273"/>
      <c r="AQ49" s="274"/>
      <c r="AR49" s="274"/>
      <c r="AS49" s="275"/>
      <c r="AT49" s="99"/>
      <c r="AU49" s="237"/>
      <c r="AV49" s="84"/>
      <c r="AW49" s="84"/>
      <c r="AX49" s="238"/>
      <c r="AY49" s="276">
        <v>0.3</v>
      </c>
      <c r="AZ49" s="269">
        <v>0.32</v>
      </c>
      <c r="BA49" s="276">
        <v>0.68</v>
      </c>
      <c r="BB49" s="276">
        <v>1.21</v>
      </c>
      <c r="BC49" s="271">
        <v>1.51</v>
      </c>
      <c r="BD49" s="271">
        <v>1.81</v>
      </c>
      <c r="BE49" s="271"/>
    </row>
    <row r="50" spans="1:57" s="89" customFormat="1" ht="12" customHeight="1">
      <c r="A50" s="241" t="s">
        <v>89</v>
      </c>
      <c r="B50" s="268"/>
      <c r="C50" s="83"/>
      <c r="D50" s="83"/>
      <c r="E50" s="84"/>
      <c r="F50" s="83"/>
      <c r="G50" s="83"/>
      <c r="H50" s="83"/>
      <c r="I50" s="83"/>
      <c r="J50" s="268"/>
      <c r="K50" s="83"/>
      <c r="L50" s="83"/>
      <c r="M50" s="84"/>
      <c r="N50" s="269">
        <f t="shared" ref="N50:Q50" si="100">AVERAGE(N49,N51)</f>
        <v>-0.185</v>
      </c>
      <c r="O50" s="270">
        <f t="shared" si="100"/>
        <v>-0.05</v>
      </c>
      <c r="P50" s="270">
        <f t="shared" si="100"/>
        <v>2.5000000000000001E-2</v>
      </c>
      <c r="Q50" s="271">
        <f t="shared" si="100"/>
        <v>5.5E-2</v>
      </c>
      <c r="R50" s="270">
        <f>AVERAGE(R49,R51)</f>
        <v>0.05</v>
      </c>
      <c r="S50" s="272">
        <f t="shared" ref="S50:T50" si="101">AVERAGE(S49,S51)</f>
        <v>4.4999999999999998E-2</v>
      </c>
      <c r="T50" s="270">
        <f t="shared" si="101"/>
        <v>0.02</v>
      </c>
      <c r="U50" s="270">
        <f>AVERAGE(U49,U51)</f>
        <v>2.5000000000000001E-2</v>
      </c>
      <c r="V50" s="269">
        <f>AVERAGE(V49,V51)</f>
        <v>4.4999999999999998E-2</v>
      </c>
      <c r="W50" s="272">
        <f>AVERAGE(W49,W51)</f>
        <v>1.4999999999999999E-2</v>
      </c>
      <c r="X50" s="272">
        <f t="shared" ref="X50" si="102">AVERAGE(X49,X51)</f>
        <v>3.5000000000000003E-2</v>
      </c>
      <c r="Y50" s="270">
        <f>AVERAGE(Y49,Y51)</f>
        <v>6.5000000000000002E-2</v>
      </c>
      <c r="Z50" s="269">
        <f>AVERAGE(Z49,Z51)</f>
        <v>2.5000000000000001E-2</v>
      </c>
      <c r="AA50" s="272">
        <f>AVERAGE(AA49,AA51)</f>
        <v>0.125</v>
      </c>
      <c r="AB50" s="272">
        <f t="shared" ref="AB50:AC50" si="103">AVERAGE(AB49,AB51)</f>
        <v>0.185</v>
      </c>
      <c r="AC50" s="272">
        <f t="shared" si="103"/>
        <v>0.13500000000000001</v>
      </c>
      <c r="AD50" s="269">
        <f t="shared" ref="AD50:AS50" si="104">IFERROR(AVERAGE(AD49,AD51),"")</f>
        <v>0.16999999999999998</v>
      </c>
      <c r="AE50" s="272">
        <f t="shared" si="104"/>
        <v>0.22999999999999998</v>
      </c>
      <c r="AF50" s="272">
        <f t="shared" si="104"/>
        <v>0.29000000000000004</v>
      </c>
      <c r="AG50" s="272">
        <f t="shared" si="104"/>
        <v>0.33999999999999997</v>
      </c>
      <c r="AH50" s="269">
        <f t="shared" si="104"/>
        <v>0.26500000000000001</v>
      </c>
      <c r="AI50" s="272">
        <f t="shared" si="104"/>
        <v>0.3</v>
      </c>
      <c r="AJ50" s="272">
        <f t="shared" si="104"/>
        <v>0.36499999999999999</v>
      </c>
      <c r="AK50" s="272">
        <f t="shared" si="104"/>
        <v>0.41000000000000003</v>
      </c>
      <c r="AL50" s="269">
        <f t="shared" si="104"/>
        <v>0.40500000000000003</v>
      </c>
      <c r="AM50" s="272" t="str">
        <f t="shared" si="104"/>
        <v/>
      </c>
      <c r="AN50" s="272" t="str">
        <f t="shared" si="104"/>
        <v/>
      </c>
      <c r="AO50" s="277" t="str">
        <f t="shared" si="104"/>
        <v/>
      </c>
      <c r="AP50" s="269" t="str">
        <f t="shared" si="104"/>
        <v/>
      </c>
      <c r="AQ50" s="272" t="str">
        <f t="shared" si="104"/>
        <v/>
      </c>
      <c r="AR50" s="272" t="str">
        <f t="shared" si="104"/>
        <v/>
      </c>
      <c r="AS50" s="277" t="str">
        <f t="shared" si="104"/>
        <v/>
      </c>
      <c r="AT50" s="99"/>
      <c r="AU50" s="278"/>
      <c r="AV50" s="84"/>
      <c r="AW50" s="84"/>
      <c r="AX50" s="279"/>
      <c r="AY50" s="280">
        <f>AVERAGE(AY49,AY51)</f>
        <v>0.30499999999999999</v>
      </c>
      <c r="AZ50" s="281">
        <f t="shared" ref="AZ50:BA50" si="105">AVERAGE(AZ49,AZ51)</f>
        <v>0.32500000000000001</v>
      </c>
      <c r="BA50" s="280">
        <f t="shared" si="105"/>
        <v>0.68500000000000005</v>
      </c>
      <c r="BB50" s="280">
        <f>IFERROR(AVERAGE(BB49,BB51),"")</f>
        <v>1.22</v>
      </c>
      <c r="BC50" s="271">
        <f>IFERROR(AVERAGE(BC49,BC51),"")</f>
        <v>1.5249999999999999</v>
      </c>
      <c r="BD50" s="271">
        <f>IFERROR(AVERAGE(BD49,BD51),"")</f>
        <v>1.855</v>
      </c>
      <c r="BE50" s="271" t="str">
        <f t="shared" ref="BE50" si="106">IFERROR(AVERAGE(BE49,BE51),"")</f>
        <v/>
      </c>
    </row>
    <row r="51" spans="1:57" s="89" customFormat="1" ht="12" customHeight="1" thickBot="1">
      <c r="A51" s="121" t="s">
        <v>90</v>
      </c>
      <c r="B51" s="91"/>
      <c r="C51" s="92"/>
      <c r="D51" s="92"/>
      <c r="E51" s="93"/>
      <c r="F51" s="92"/>
      <c r="G51" s="92"/>
      <c r="H51" s="92"/>
      <c r="I51" s="92"/>
      <c r="J51" s="91"/>
      <c r="K51" s="92"/>
      <c r="L51" s="92"/>
      <c r="M51" s="93"/>
      <c r="N51" s="282">
        <v>-0.18</v>
      </c>
      <c r="O51" s="283">
        <v>-0.04</v>
      </c>
      <c r="P51" s="283">
        <v>0.03</v>
      </c>
      <c r="Q51" s="284">
        <v>0.06</v>
      </c>
      <c r="R51" s="283">
        <v>0.06</v>
      </c>
      <c r="S51" s="285">
        <v>0.05</v>
      </c>
      <c r="T51" s="283">
        <v>0.03</v>
      </c>
      <c r="U51" s="283">
        <v>0.03</v>
      </c>
      <c r="V51" s="282">
        <v>0.05</v>
      </c>
      <c r="W51" s="285">
        <v>0.02</v>
      </c>
      <c r="X51" s="285">
        <v>0.04</v>
      </c>
      <c r="Y51" s="283">
        <v>7.0000000000000007E-2</v>
      </c>
      <c r="Z51" s="282">
        <v>0.03</v>
      </c>
      <c r="AA51" s="285">
        <v>0.13</v>
      </c>
      <c r="AB51" s="285">
        <v>0.19</v>
      </c>
      <c r="AC51" s="285">
        <v>0.14000000000000001</v>
      </c>
      <c r="AD51" s="282">
        <v>0.18</v>
      </c>
      <c r="AE51" s="285">
        <v>0.24</v>
      </c>
      <c r="AF51" s="285">
        <v>0.3</v>
      </c>
      <c r="AG51" s="285">
        <v>0.35</v>
      </c>
      <c r="AH51" s="282">
        <v>0.27</v>
      </c>
      <c r="AI51" s="285">
        <v>0.31</v>
      </c>
      <c r="AJ51" s="285">
        <v>0.37</v>
      </c>
      <c r="AK51" s="285">
        <v>0.43</v>
      </c>
      <c r="AL51" s="282">
        <v>0.42</v>
      </c>
      <c r="AM51" s="285"/>
      <c r="AN51" s="285"/>
      <c r="AO51" s="286"/>
      <c r="AP51" s="282"/>
      <c r="AQ51" s="285"/>
      <c r="AR51" s="285"/>
      <c r="AS51" s="286"/>
      <c r="AT51" s="99"/>
      <c r="AU51" s="100"/>
      <c r="AV51" s="93"/>
      <c r="AW51" s="93"/>
      <c r="AX51" s="101"/>
      <c r="AY51" s="287">
        <v>0.31</v>
      </c>
      <c r="AZ51" s="282">
        <v>0.33</v>
      </c>
      <c r="BA51" s="287">
        <v>0.69</v>
      </c>
      <c r="BB51" s="287">
        <v>1.23</v>
      </c>
      <c r="BC51" s="284">
        <v>1.54</v>
      </c>
      <c r="BD51" s="284">
        <v>1.9</v>
      </c>
      <c r="BE51" s="284"/>
    </row>
    <row r="52" spans="1:57" s="165" customFormat="1" ht="12" customHeight="1" thickTop="1">
      <c r="A52" s="288" t="s">
        <v>115</v>
      </c>
      <c r="B52" s="289"/>
      <c r="C52" s="70">
        <f>C136</f>
        <v>22.06</v>
      </c>
      <c r="D52" s="70">
        <f t="shared" ref="D52:S53" si="107">D136</f>
        <v>22.678999999999998</v>
      </c>
      <c r="E52" s="71">
        <f t="shared" si="107"/>
        <v>22.827000000000002</v>
      </c>
      <c r="F52" s="289">
        <f t="shared" si="107"/>
        <v>23.495000000000001</v>
      </c>
      <c r="G52" s="70">
        <f t="shared" si="107"/>
        <v>23.75</v>
      </c>
      <c r="H52" s="70">
        <f t="shared" si="107"/>
        <v>74.260999999999996</v>
      </c>
      <c r="I52" s="71">
        <f t="shared" si="107"/>
        <v>92.186999999999998</v>
      </c>
      <c r="J52" s="289">
        <f t="shared" si="107"/>
        <v>93.738</v>
      </c>
      <c r="K52" s="70">
        <f t="shared" si="107"/>
        <v>95.82</v>
      </c>
      <c r="L52" s="70">
        <f t="shared" si="107"/>
        <v>96.709000000000003</v>
      </c>
      <c r="M52" s="71">
        <f t="shared" si="107"/>
        <v>97.738</v>
      </c>
      <c r="N52" s="289">
        <f t="shared" si="107"/>
        <v>98.855000000000004</v>
      </c>
      <c r="O52" s="70">
        <f t="shared" si="107"/>
        <v>100.209</v>
      </c>
      <c r="P52" s="70">
        <f t="shared" si="107"/>
        <v>101.736</v>
      </c>
      <c r="Q52" s="71">
        <f t="shared" si="107"/>
        <v>103.203</v>
      </c>
      <c r="R52" s="289">
        <f t="shared" si="107"/>
        <v>104.53100000000001</v>
      </c>
      <c r="S52" s="70">
        <f t="shared" si="107"/>
        <v>105.869</v>
      </c>
      <c r="T52" s="70">
        <f>T136</f>
        <v>106.869</v>
      </c>
      <c r="U52" s="290">
        <f t="shared" ref="U52:AH53" si="108">U136</f>
        <v>108.235</v>
      </c>
      <c r="V52" s="291">
        <f t="shared" si="108"/>
        <v>109.524</v>
      </c>
      <c r="W52" s="291">
        <f t="shared" si="108"/>
        <v>111.041</v>
      </c>
      <c r="X52" s="291">
        <f t="shared" si="108"/>
        <v>111.937</v>
      </c>
      <c r="Y52" s="291">
        <f t="shared" si="108"/>
        <v>112.742</v>
      </c>
      <c r="Z52" s="292">
        <f t="shared" si="108"/>
        <v>113.794</v>
      </c>
      <c r="AA52" s="291">
        <f t="shared" si="108"/>
        <v>115.131</v>
      </c>
      <c r="AB52" s="291">
        <f t="shared" si="108"/>
        <v>115.95399999999999</v>
      </c>
      <c r="AC52" s="291">
        <f t="shared" si="108"/>
        <v>116.717</v>
      </c>
      <c r="AD52" s="293">
        <f t="shared" si="108"/>
        <v>117.542</v>
      </c>
      <c r="AE52" s="291">
        <f t="shared" si="108"/>
        <v>118.681</v>
      </c>
      <c r="AF52" s="291">
        <f t="shared" si="108"/>
        <v>119.169</v>
      </c>
      <c r="AG52" s="291">
        <f t="shared" si="108"/>
        <v>119.748</v>
      </c>
      <c r="AH52" s="293">
        <f t="shared" si="108"/>
        <v>120.083</v>
      </c>
      <c r="AI52" s="131">
        <v>120.979</v>
      </c>
      <c r="AJ52" s="291">
        <f t="shared" ref="AJ52:AK53" si="109">AJ136</f>
        <v>120.483</v>
      </c>
      <c r="AK52" s="294">
        <f t="shared" si="109"/>
        <v>118.95</v>
      </c>
      <c r="AL52" s="295">
        <f>AK52+0.2</f>
        <v>119.15</v>
      </c>
      <c r="AM52" s="296">
        <f t="shared" ref="AM52:AS52" si="110">AL52+0.2</f>
        <v>119.35000000000001</v>
      </c>
      <c r="AN52" s="296">
        <f t="shared" si="110"/>
        <v>119.55000000000001</v>
      </c>
      <c r="AO52" s="296">
        <f t="shared" si="110"/>
        <v>119.75000000000001</v>
      </c>
      <c r="AP52" s="295">
        <f t="shared" si="110"/>
        <v>119.95000000000002</v>
      </c>
      <c r="AQ52" s="296">
        <f t="shared" si="110"/>
        <v>120.15000000000002</v>
      </c>
      <c r="AR52" s="296">
        <f t="shared" si="110"/>
        <v>120.35000000000002</v>
      </c>
      <c r="AS52" s="296">
        <f t="shared" si="110"/>
        <v>120.55000000000003</v>
      </c>
      <c r="AT52" s="264"/>
      <c r="AU52" s="297"/>
      <c r="AV52" s="297">
        <f>AV136</f>
        <v>53.668999999999997</v>
      </c>
      <c r="AW52" s="289">
        <f t="shared" ref="AW52:AZ53" si="111">AW136</f>
        <v>96.013999999999996</v>
      </c>
      <c r="AX52" s="297">
        <f t="shared" si="111"/>
        <v>101.009</v>
      </c>
      <c r="AY52" s="297">
        <f t="shared" si="111"/>
        <v>106.387</v>
      </c>
      <c r="AZ52" s="289">
        <f t="shared" si="111"/>
        <v>111.321</v>
      </c>
      <c r="BA52" s="297">
        <f t="shared" ref="BA52" si="112">+AVERAGE(Z52:AC52)</f>
        <v>115.399</v>
      </c>
      <c r="BB52" s="297">
        <f>AVERAGE(AD52:AG52)</f>
        <v>118.785</v>
      </c>
      <c r="BC52" s="297">
        <f>AVERAGE(AH52:AK52)</f>
        <v>120.12375</v>
      </c>
      <c r="BD52" s="297">
        <f>AVERAGE(AL52:AO52)</f>
        <v>119.45</v>
      </c>
      <c r="BE52" s="297">
        <f>AVERAGE(AP52:AS52)</f>
        <v>120.25000000000001</v>
      </c>
    </row>
    <row r="53" spans="1:57" s="151" customFormat="1" ht="12" customHeight="1">
      <c r="A53" s="298" t="s">
        <v>116</v>
      </c>
      <c r="B53" s="299"/>
      <c r="C53" s="300">
        <f>C137</f>
        <v>77.445999999999998</v>
      </c>
      <c r="D53" s="300">
        <f t="shared" si="107"/>
        <v>78.064999999999998</v>
      </c>
      <c r="E53" s="301">
        <f t="shared" si="107"/>
        <v>78.213000000000008</v>
      </c>
      <c r="F53" s="299">
        <f t="shared" si="107"/>
        <v>78.881</v>
      </c>
      <c r="G53" s="300">
        <f t="shared" si="107"/>
        <v>79.135999999999996</v>
      </c>
      <c r="H53" s="300">
        <f t="shared" si="107"/>
        <v>88.71</v>
      </c>
      <c r="I53" s="301">
        <f t="shared" si="107"/>
        <v>92.186999999999998</v>
      </c>
      <c r="J53" s="299">
        <f t="shared" si="107"/>
        <v>93.738</v>
      </c>
      <c r="K53" s="300">
        <f t="shared" si="107"/>
        <v>95.82</v>
      </c>
      <c r="L53" s="300">
        <f t="shared" si="107"/>
        <v>96.709000000000003</v>
      </c>
      <c r="M53" s="301">
        <f t="shared" si="107"/>
        <v>97.738</v>
      </c>
      <c r="N53" s="299">
        <f t="shared" si="107"/>
        <v>98.855000000000004</v>
      </c>
      <c r="O53" s="300">
        <f t="shared" si="107"/>
        <v>108.587</v>
      </c>
      <c r="P53" s="300">
        <f t="shared" si="107"/>
        <v>111.224</v>
      </c>
      <c r="Q53" s="300">
        <f t="shared" si="107"/>
        <v>112.691</v>
      </c>
      <c r="R53" s="302">
        <f t="shared" si="107"/>
        <v>113.934</v>
      </c>
      <c r="S53" s="300">
        <f t="shared" si="107"/>
        <v>113.869</v>
      </c>
      <c r="T53" s="300">
        <f t="shared" ref="T53:U53" si="113">T137</f>
        <v>114.983</v>
      </c>
      <c r="U53" s="301">
        <f t="shared" si="113"/>
        <v>116.46599999999999</v>
      </c>
      <c r="V53" s="300">
        <f t="shared" si="108"/>
        <v>117.155</v>
      </c>
      <c r="W53" s="300">
        <f t="shared" si="108"/>
        <v>118.057</v>
      </c>
      <c r="X53" s="300">
        <f t="shared" si="108"/>
        <v>117.334</v>
      </c>
      <c r="Y53" s="300">
        <f t="shared" si="108"/>
        <v>117.54600000000001</v>
      </c>
      <c r="Z53" s="299">
        <f t="shared" si="108"/>
        <v>119.264</v>
      </c>
      <c r="AA53" s="300">
        <f t="shared" si="108"/>
        <v>120.057</v>
      </c>
      <c r="AB53" s="300">
        <f t="shared" si="108"/>
        <v>122.5</v>
      </c>
      <c r="AC53" s="300">
        <f>AC137</f>
        <v>122.023</v>
      </c>
      <c r="AD53" s="299">
        <f t="shared" si="108"/>
        <v>123.26600000000001</v>
      </c>
      <c r="AE53" s="300">
        <f t="shared" si="108"/>
        <v>123.056</v>
      </c>
      <c r="AF53" s="300">
        <f t="shared" si="108"/>
        <v>123.288</v>
      </c>
      <c r="AG53" s="300">
        <f t="shared" si="108"/>
        <v>123.85299999999999</v>
      </c>
      <c r="AH53" s="299">
        <f t="shared" si="108"/>
        <v>124.152</v>
      </c>
      <c r="AI53" s="303">
        <v>122.875</v>
      </c>
      <c r="AJ53" s="300">
        <f t="shared" si="109"/>
        <v>121.953</v>
      </c>
      <c r="AK53" s="304">
        <f t="shared" si="109"/>
        <v>118.95</v>
      </c>
      <c r="AL53" s="305">
        <f>AK53-1</f>
        <v>117.95</v>
      </c>
      <c r="AM53" s="306">
        <f>AL53+0</f>
        <v>117.95</v>
      </c>
      <c r="AN53" s="306">
        <f>AM53+0</f>
        <v>117.95</v>
      </c>
      <c r="AO53" s="306">
        <f>AN53+0</f>
        <v>117.95</v>
      </c>
      <c r="AP53" s="305">
        <f t="shared" ref="AP53:AS53" si="114">AO53+0.33</f>
        <v>118.28</v>
      </c>
      <c r="AQ53" s="306">
        <f t="shared" si="114"/>
        <v>118.61</v>
      </c>
      <c r="AR53" s="306">
        <f t="shared" si="114"/>
        <v>118.94</v>
      </c>
      <c r="AS53" s="306">
        <f t="shared" si="114"/>
        <v>119.27</v>
      </c>
      <c r="AT53" s="307"/>
      <c r="AU53" s="72">
        <f>AU137</f>
        <v>22.210999999999999</v>
      </c>
      <c r="AV53" s="72">
        <f>AV137</f>
        <v>84.774000000000001</v>
      </c>
      <c r="AW53" s="308">
        <f t="shared" si="111"/>
        <v>96.013999999999996</v>
      </c>
      <c r="AX53" s="72">
        <f t="shared" si="111"/>
        <v>109.962</v>
      </c>
      <c r="AY53" s="308">
        <f t="shared" si="111"/>
        <v>114.825</v>
      </c>
      <c r="AZ53" s="299">
        <f t="shared" si="111"/>
        <v>117.53400000000001</v>
      </c>
      <c r="BA53" s="308">
        <f>+AVERAGE(Z53:AC53)</f>
        <v>120.96100000000001</v>
      </c>
      <c r="BB53" s="308">
        <f>AVERAGE(AD53:AG53)</f>
        <v>123.36575000000001</v>
      </c>
      <c r="BC53" s="308">
        <f>AVERAGE(AH53:AK53)</f>
        <v>121.9825</v>
      </c>
      <c r="BD53" s="308">
        <f>AVERAGE(AL53:AO53)</f>
        <v>117.95</v>
      </c>
      <c r="BE53" s="308">
        <f>AVERAGE(AP53:AS53)</f>
        <v>118.77499999999999</v>
      </c>
    </row>
    <row r="54" spans="1:57" s="215" customFormat="1" ht="12" customHeight="1">
      <c r="A54" s="309"/>
      <c r="B54" s="70"/>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310"/>
      <c r="AU54" s="311"/>
      <c r="AV54" s="311"/>
      <c r="AW54" s="311"/>
      <c r="AX54" s="311"/>
      <c r="AY54" s="311"/>
      <c r="AZ54" s="311"/>
      <c r="BA54" s="312"/>
      <c r="BB54" s="312"/>
      <c r="BC54" s="312"/>
      <c r="BD54" s="312"/>
      <c r="BE54" s="312"/>
    </row>
    <row r="55" spans="1:57" s="45" customFormat="1" ht="12" customHeight="1">
      <c r="A55" s="313"/>
      <c r="B55" s="1728">
        <f>B3</f>
        <v>2017</v>
      </c>
      <c r="C55" s="1728"/>
      <c r="D55" s="1728"/>
      <c r="E55" s="1730"/>
      <c r="F55" s="1731">
        <f>F3</f>
        <v>2018</v>
      </c>
      <c r="G55" s="1728"/>
      <c r="H55" s="1728"/>
      <c r="I55" s="1729"/>
      <c r="J55" s="1725">
        <f>J3</f>
        <v>2019</v>
      </c>
      <c r="K55" s="1728"/>
      <c r="L55" s="1728"/>
      <c r="M55" s="1730"/>
      <c r="N55" s="1731">
        <f>N3</f>
        <v>2020</v>
      </c>
      <c r="O55" s="1728"/>
      <c r="P55" s="1728"/>
      <c r="Q55" s="1729"/>
      <c r="R55" s="1725">
        <f>R3</f>
        <v>2021</v>
      </c>
      <c r="S55" s="1728"/>
      <c r="T55" s="1728"/>
      <c r="U55" s="1729"/>
      <c r="V55" s="1725">
        <f>V3</f>
        <v>2022</v>
      </c>
      <c r="W55" s="1728"/>
      <c r="X55" s="1728"/>
      <c r="Y55" s="1729"/>
      <c r="Z55" s="1725">
        <f>Z3</f>
        <v>2023</v>
      </c>
      <c r="AA55" s="1728"/>
      <c r="AB55" s="1728"/>
      <c r="AC55" s="1730"/>
      <c r="AD55" s="1731">
        <f>AD3</f>
        <v>2024</v>
      </c>
      <c r="AE55" s="1728"/>
      <c r="AF55" s="1728"/>
      <c r="AG55" s="1729"/>
      <c r="AH55" s="1725">
        <f>AH3</f>
        <v>2025</v>
      </c>
      <c r="AI55" s="1728"/>
      <c r="AJ55" s="1728"/>
      <c r="AK55" s="1729"/>
      <c r="AL55" s="1725">
        <f>AL3</f>
        <v>2026</v>
      </c>
      <c r="AM55" s="1728"/>
      <c r="AN55" s="1728"/>
      <c r="AO55" s="1729"/>
      <c r="AP55" s="1725">
        <f>AP3</f>
        <v>2027</v>
      </c>
      <c r="AQ55" s="1728"/>
      <c r="AR55" s="1728"/>
      <c r="AS55" s="1729"/>
      <c r="AT55" s="314"/>
      <c r="AU55" s="42"/>
      <c r="AV55" s="42"/>
      <c r="AW55" s="42"/>
      <c r="AX55" s="42"/>
      <c r="AY55" s="42"/>
      <c r="AZ55" s="42"/>
      <c r="BA55" s="315"/>
      <c r="BB55" s="42"/>
      <c r="BC55" s="42"/>
      <c r="BD55" s="42"/>
      <c r="BE55" s="44"/>
    </row>
    <row r="56" spans="1:57" s="62" customFormat="1" ht="12" hidden="1" customHeight="1" outlineLevel="1">
      <c r="A56" s="316" t="s">
        <v>117</v>
      </c>
      <c r="B56" s="317">
        <f>B4</f>
        <v>42825</v>
      </c>
      <c r="C56" s="48">
        <f>C4</f>
        <v>42916</v>
      </c>
      <c r="D56" s="48">
        <f>D4</f>
        <v>43008</v>
      </c>
      <c r="E56" s="50">
        <f>E4</f>
        <v>43100</v>
      </c>
      <c r="F56" s="317">
        <f>F4</f>
        <v>43190</v>
      </c>
      <c r="G56" s="48">
        <f>G4</f>
        <v>43281</v>
      </c>
      <c r="H56" s="65">
        <f>H4</f>
        <v>43373</v>
      </c>
      <c r="I56" s="318">
        <f>I4</f>
        <v>43465</v>
      </c>
      <c r="J56" s="319">
        <f>J4</f>
        <v>43555</v>
      </c>
      <c r="K56" s="48">
        <f>K4</f>
        <v>43646</v>
      </c>
      <c r="L56" s="48">
        <f>L4</f>
        <v>43738</v>
      </c>
      <c r="M56" s="320">
        <f>M4</f>
        <v>43830</v>
      </c>
      <c r="N56" s="319">
        <f>N4</f>
        <v>43921</v>
      </c>
      <c r="O56" s="48">
        <f>O4</f>
        <v>44012</v>
      </c>
      <c r="P56" s="48">
        <f>P4</f>
        <v>44104</v>
      </c>
      <c r="Q56" s="320">
        <f>Q4</f>
        <v>44196</v>
      </c>
      <c r="R56" s="319">
        <f>R4</f>
        <v>44286</v>
      </c>
      <c r="S56" s="48">
        <f>S4</f>
        <v>44377</v>
      </c>
      <c r="T56" s="48">
        <f>T4</f>
        <v>44469</v>
      </c>
      <c r="U56" s="320">
        <f>U4</f>
        <v>44561</v>
      </c>
      <c r="V56" s="319">
        <f>V4</f>
        <v>44651</v>
      </c>
      <c r="W56" s="48">
        <f>W4</f>
        <v>44742</v>
      </c>
      <c r="X56" s="48">
        <f>X4</f>
        <v>44834</v>
      </c>
      <c r="Y56" s="320">
        <f>Y4</f>
        <v>44926</v>
      </c>
      <c r="Z56" s="319">
        <f>Z4</f>
        <v>45016</v>
      </c>
      <c r="AA56" s="48">
        <f>AA4</f>
        <v>45107</v>
      </c>
      <c r="AB56" s="48">
        <f>AB4</f>
        <v>45199</v>
      </c>
      <c r="AC56" s="320">
        <f>AC4</f>
        <v>45291</v>
      </c>
      <c r="AD56" s="319">
        <f>AD4</f>
        <v>45382</v>
      </c>
      <c r="AE56" s="48">
        <f>AE4</f>
        <v>45473</v>
      </c>
      <c r="AF56" s="48" t="str">
        <f>AF4</f>
        <v>Sep-24</v>
      </c>
      <c r="AG56" s="320" t="str">
        <f>AG4</f>
        <v>Dec-24</v>
      </c>
      <c r="AH56" s="319" t="str">
        <f>AH4</f>
        <v>Mar-25</v>
      </c>
      <c r="AI56" s="48" t="str">
        <f>AI4</f>
        <v>Jun-25</v>
      </c>
      <c r="AJ56" s="48" t="str">
        <f>AJ4</f>
        <v>Sep-25</v>
      </c>
      <c r="AK56" s="320" t="str">
        <f>AK4</f>
        <v>Dec-25</v>
      </c>
      <c r="AL56" s="319" t="str">
        <f>AL4</f>
        <v>Mar-26E</v>
      </c>
      <c r="AM56" s="48" t="str">
        <f>AM4</f>
        <v>Jun-26E</v>
      </c>
      <c r="AN56" s="48" t="str">
        <f>AN4</f>
        <v>Sep-26E</v>
      </c>
      <c r="AO56" s="320" t="str">
        <f>AO4</f>
        <v>Dec-26E</v>
      </c>
      <c r="AP56" s="319" t="str">
        <f>AP4</f>
        <v>Mar-27E</v>
      </c>
      <c r="AQ56" s="48" t="str">
        <f>AQ4</f>
        <v>Jun-27E</v>
      </c>
      <c r="AR56" s="48" t="str">
        <f>AR4</f>
        <v>Sep-27E</v>
      </c>
      <c r="AS56" s="320" t="str">
        <f>AS4</f>
        <v>Dec-27E</v>
      </c>
      <c r="AT56" s="321"/>
      <c r="AU56" s="322">
        <f t="shared" ref="AU56:BE56" si="115">AU4</f>
        <v>2017</v>
      </c>
      <c r="AV56" s="322">
        <f t="shared" si="115"/>
        <v>2018</v>
      </c>
      <c r="AW56" s="322">
        <f t="shared" si="115"/>
        <v>2019</v>
      </c>
      <c r="AX56" s="322">
        <f t="shared" si="115"/>
        <v>2020</v>
      </c>
      <c r="AY56" s="322" t="str">
        <f t="shared" si="115"/>
        <v>CY21</v>
      </c>
      <c r="AZ56" s="323" t="str">
        <f t="shared" si="115"/>
        <v>CY22</v>
      </c>
      <c r="BA56" s="61" t="str">
        <f t="shared" si="115"/>
        <v>CY23</v>
      </c>
      <c r="BB56" s="322" t="str">
        <f t="shared" si="115"/>
        <v>CY24</v>
      </c>
      <c r="BC56" s="322" t="str">
        <f t="shared" si="115"/>
        <v>CY25</v>
      </c>
      <c r="BD56" s="322" t="str">
        <f t="shared" si="115"/>
        <v>CY26E</v>
      </c>
      <c r="BE56" s="322" t="str">
        <f t="shared" si="115"/>
        <v>CY27E</v>
      </c>
    </row>
    <row r="57" spans="1:57" s="45" customFormat="1" ht="12" hidden="1" customHeight="1" outlineLevel="1">
      <c r="A57" s="324" t="s">
        <v>118</v>
      </c>
      <c r="B57" s="325"/>
      <c r="C57" s="326"/>
      <c r="D57" s="326"/>
      <c r="E57" s="327"/>
      <c r="F57" s="325">
        <f t="shared" ref="F57:AS57" si="116">IF(OR(B9&lt;=0,F9&lt;=0),"NM",(F9-B9)/B9)</f>
        <v>0.46011709196907186</v>
      </c>
      <c r="G57" s="326">
        <f t="shared" si="116"/>
        <v>0.44039502593490221</v>
      </c>
      <c r="H57" s="326">
        <f t="shared" si="116"/>
        <v>0.41772151898734161</v>
      </c>
      <c r="I57" s="327">
        <f t="shared" si="116"/>
        <v>0.389969880074653</v>
      </c>
      <c r="J57" s="325">
        <f t="shared" si="116"/>
        <v>0.35857005092459443</v>
      </c>
      <c r="K57" s="326">
        <f t="shared" si="116"/>
        <v>0.34268461441690784</v>
      </c>
      <c r="L57" s="326">
        <f t="shared" si="116"/>
        <v>0.32275345622119828</v>
      </c>
      <c r="M57" s="327">
        <f t="shared" si="116"/>
        <v>0.29018492176386879</v>
      </c>
      <c r="N57" s="325">
        <f t="shared" si="116"/>
        <v>0.27829043224866434</v>
      </c>
      <c r="O57" s="326">
        <f t="shared" si="116"/>
        <v>0.25560995034198447</v>
      </c>
      <c r="P57" s="328">
        <f t="shared" si="116"/>
        <v>0.22242302834995434</v>
      </c>
      <c r="Q57" s="327">
        <f t="shared" si="116"/>
        <v>0.21672557161846112</v>
      </c>
      <c r="R57" s="325">
        <f t="shared" si="116"/>
        <v>0.20011105915361246</v>
      </c>
      <c r="S57" s="326">
        <f t="shared" si="116"/>
        <v>0.21500060629238227</v>
      </c>
      <c r="T57" s="326">
        <f t="shared" si="116"/>
        <v>0.23496197075221295</v>
      </c>
      <c r="U57" s="327">
        <f t="shared" si="116"/>
        <v>0.2619874324621872</v>
      </c>
      <c r="V57" s="325">
        <f t="shared" si="116"/>
        <v>0.2936869363336011</v>
      </c>
      <c r="W57" s="326">
        <f t="shared" si="116"/>
        <v>0.26164794755064902</v>
      </c>
      <c r="X57" s="326">
        <f t="shared" si="116"/>
        <v>0.26096896094155669</v>
      </c>
      <c r="Y57" s="327">
        <f t="shared" si="116"/>
        <v>0.23898455220174744</v>
      </c>
      <c r="Z57" s="325">
        <f t="shared" si="116"/>
        <v>0.18492420059233994</v>
      </c>
      <c r="AA57" s="326">
        <f t="shared" si="116"/>
        <v>0.18677627615750172</v>
      </c>
      <c r="AB57" s="326">
        <f t="shared" si="116"/>
        <v>0.15257562152918769</v>
      </c>
      <c r="AC57" s="327">
        <f t="shared" si="116"/>
        <v>0.15530978004777088</v>
      </c>
      <c r="AD57" s="325">
        <f t="shared" si="116"/>
        <v>0.14362499271866486</v>
      </c>
      <c r="AE57" s="326">
        <f t="shared" si="116"/>
        <v>0.13435981049652379</v>
      </c>
      <c r="AF57" s="326">
        <f t="shared" si="116"/>
        <v>0.12682541966664845</v>
      </c>
      <c r="AG57" s="327">
        <f t="shared" si="116"/>
        <v>0.10513065736547501</v>
      </c>
      <c r="AH57" s="325">
        <f t="shared" si="116"/>
        <v>0.10731567273720727</v>
      </c>
      <c r="AI57" s="326">
        <f t="shared" si="116"/>
        <v>0.11776298244900357</v>
      </c>
      <c r="AJ57" s="326">
        <f t="shared" si="116"/>
        <v>0.11163954061861484</v>
      </c>
      <c r="AK57" s="327">
        <f t="shared" si="116"/>
        <v>0.10521314549210763</v>
      </c>
      <c r="AL57" s="325">
        <f t="shared" si="116"/>
        <v>8.1249597511050306E-2</v>
      </c>
      <c r="AM57" s="326">
        <f t="shared" si="116"/>
        <v>7.3764269394852297E-2</v>
      </c>
      <c r="AN57" s="326">
        <f t="shared" si="116"/>
        <v>6.4597627158928889E-2</v>
      </c>
      <c r="AO57" s="327">
        <f t="shared" si="116"/>
        <v>6.4696602733626762E-2</v>
      </c>
      <c r="AP57" s="325">
        <f t="shared" si="116"/>
        <v>6.5901979121177387E-2</v>
      </c>
      <c r="AQ57" s="326">
        <f t="shared" si="116"/>
        <v>6.5827287751570457E-2</v>
      </c>
      <c r="AR57" s="326">
        <f t="shared" si="116"/>
        <v>6.5672183078119881E-2</v>
      </c>
      <c r="AS57" s="327">
        <f t="shared" si="116"/>
        <v>6.5621742061498067E-2</v>
      </c>
      <c r="AT57" s="329"/>
      <c r="AU57" s="330"/>
      <c r="AV57" s="330">
        <f t="shared" ref="AV57:BE57" si="117">IF(OR(AU9&lt;=0,AV9&lt;=0),"NM",(AV9-AU9)/AU9)</f>
        <v>0.42419577365003419</v>
      </c>
      <c r="AW57" s="330">
        <f t="shared" si="117"/>
        <v>0.32624925194494314</v>
      </c>
      <c r="AX57" s="330">
        <f t="shared" si="117"/>
        <v>0.24150699689215024</v>
      </c>
      <c r="AY57" s="330">
        <f t="shared" si="117"/>
        <v>0.22922350364930338</v>
      </c>
      <c r="AZ57" s="325">
        <f t="shared" si="117"/>
        <v>0.26252656478110625</v>
      </c>
      <c r="BA57" s="331">
        <f t="shared" si="117"/>
        <v>0.16908741479322767</v>
      </c>
      <c r="BB57" s="330">
        <f t="shared" si="117"/>
        <v>0.12684328479673462</v>
      </c>
      <c r="BC57" s="330">
        <f t="shared" si="117"/>
        <v>0.11042409010456437</v>
      </c>
      <c r="BD57" s="330">
        <f t="shared" si="117"/>
        <v>7.0876116289192034E-2</v>
      </c>
      <c r="BE57" s="330">
        <f t="shared" si="117"/>
        <v>6.5753110630822717E-2</v>
      </c>
    </row>
    <row r="58" spans="1:57" s="33" customFormat="1" ht="12" hidden="1" customHeight="1" outlineLevel="1">
      <c r="A58" s="332" t="s">
        <v>119</v>
      </c>
      <c r="B58" s="333"/>
      <c r="C58" s="334"/>
      <c r="D58" s="334"/>
      <c r="E58" s="335"/>
      <c r="F58" s="333">
        <f t="shared" ref="F58:AS59" si="118">IF(OR(B16&lt;=0,F16&lt;=0),"NM",(F16-B16)/B16)</f>
        <v>1.0080321285140563</v>
      </c>
      <c r="G58" s="334">
        <f t="shared" si="118"/>
        <v>0.86788420439090708</v>
      </c>
      <c r="H58" s="334">
        <f t="shared" si="118"/>
        <v>0.56976421636615793</v>
      </c>
      <c r="I58" s="335">
        <f t="shared" si="118"/>
        <v>0.40806014296278043</v>
      </c>
      <c r="J58" s="333">
        <f t="shared" si="118"/>
        <v>0.46152941176470608</v>
      </c>
      <c r="K58" s="334">
        <f t="shared" si="118"/>
        <v>0.35479509049303098</v>
      </c>
      <c r="L58" s="334">
        <f t="shared" si="118"/>
        <v>0.27460682099310824</v>
      </c>
      <c r="M58" s="335">
        <f t="shared" si="118"/>
        <v>0.53234135667396054</v>
      </c>
      <c r="N58" s="333">
        <f t="shared" si="118"/>
        <v>0.39861547130322766</v>
      </c>
      <c r="O58" s="334">
        <f t="shared" si="118"/>
        <v>0.36153550863723638</v>
      </c>
      <c r="P58" s="336">
        <f t="shared" si="118"/>
        <v>0.2469846111188132</v>
      </c>
      <c r="Q58" s="335">
        <f t="shared" si="118"/>
        <v>8.4366253498600788E-2</v>
      </c>
      <c r="R58" s="333">
        <f t="shared" si="118"/>
        <v>0.18313669064748195</v>
      </c>
      <c r="S58" s="334">
        <f t="shared" si="118"/>
        <v>0.34312619826322299</v>
      </c>
      <c r="T58" s="334">
        <f t="shared" si="118"/>
        <v>0.34215353827338962</v>
      </c>
      <c r="U58" s="335">
        <f t="shared" si="118"/>
        <v>0.42135482511588696</v>
      </c>
      <c r="V58" s="333">
        <f t="shared" si="118"/>
        <v>0.50751568808678327</v>
      </c>
      <c r="W58" s="334">
        <f t="shared" si="118"/>
        <v>0.3072757042697008</v>
      </c>
      <c r="X58" s="334">
        <f t="shared" si="118"/>
        <v>0.3734675281643472</v>
      </c>
      <c r="Y58" s="335">
        <f t="shared" si="118"/>
        <v>0.47348330430270907</v>
      </c>
      <c r="Z58" s="333">
        <f t="shared" si="118"/>
        <v>0.28431752178121972</v>
      </c>
      <c r="AA58" s="334">
        <f t="shared" si="118"/>
        <v>0.20544029802813288</v>
      </c>
      <c r="AB58" s="334">
        <f t="shared" si="118"/>
        <v>0.1968275986852023</v>
      </c>
      <c r="AC58" s="335">
        <f t="shared" si="118"/>
        <v>4.2455796171935976E-2</v>
      </c>
      <c r="AD58" s="333">
        <f t="shared" si="118"/>
        <v>3.718499535187568E-2</v>
      </c>
      <c r="AE58" s="334">
        <f t="shared" si="118"/>
        <v>8.5653390169175517E-2</v>
      </c>
      <c r="AF58" s="334">
        <f t="shared" si="118"/>
        <v>6.5032251562185131E-2</v>
      </c>
      <c r="AG58" s="335">
        <f t="shared" si="118"/>
        <v>4.3115303882066053E-2</v>
      </c>
      <c r="AH58" s="333">
        <f t="shared" si="118"/>
        <v>4.8448438749061302E-2</v>
      </c>
      <c r="AI58" s="334">
        <f t="shared" si="118"/>
        <v>9.047852760736172E-2</v>
      </c>
      <c r="AJ58" s="334">
        <f t="shared" si="118"/>
        <v>9.9529205800941614E-2</v>
      </c>
      <c r="AK58" s="335">
        <f t="shared" si="118"/>
        <v>4.2327797566729851E-2</v>
      </c>
      <c r="AL58" s="333">
        <f t="shared" si="118"/>
        <v>8.7223738242549156E-2</v>
      </c>
      <c r="AM58" s="334">
        <f t="shared" si="118"/>
        <v>7.9739842340821265E-2</v>
      </c>
      <c r="AN58" s="334">
        <f t="shared" si="118"/>
        <v>2.9283295679490871E-2</v>
      </c>
      <c r="AO58" s="335">
        <f t="shared" si="118"/>
        <v>6.4890551216048711E-2</v>
      </c>
      <c r="AP58" s="333">
        <f t="shared" si="118"/>
        <v>7.1758959800744149E-2</v>
      </c>
      <c r="AQ58" s="334">
        <f t="shared" si="118"/>
        <v>7.1725864849508908E-2</v>
      </c>
      <c r="AR58" s="334">
        <f t="shared" si="118"/>
        <v>7.1659105454963234E-2</v>
      </c>
      <c r="AS58" s="335">
        <f t="shared" si="118"/>
        <v>7.1781405310408539E-2</v>
      </c>
      <c r="AT58" s="337"/>
      <c r="AU58" s="338"/>
      <c r="AV58" s="338">
        <f t="shared" ref="AV58:BE59" si="119">IF(OR(AU16&lt;=0,AV16&lt;=0),"NM",(AV16-AU16)/AU16)</f>
        <v>0.65386172279792709</v>
      </c>
      <c r="AW58" s="338">
        <f t="shared" si="119"/>
        <v>0.40443498054189009</v>
      </c>
      <c r="AX58" s="338">
        <f t="shared" si="119"/>
        <v>0.25619978738606858</v>
      </c>
      <c r="AY58" s="338">
        <f t="shared" si="119"/>
        <v>0.32492161704725186</v>
      </c>
      <c r="AZ58" s="333">
        <f t="shared" si="119"/>
        <v>0.41407076217501021</v>
      </c>
      <c r="BA58" s="339">
        <f t="shared" si="119"/>
        <v>0.1734420354244417</v>
      </c>
      <c r="BB58" s="338">
        <f t="shared" si="119"/>
        <v>5.7190274561276122E-2</v>
      </c>
      <c r="BC58" s="338">
        <f t="shared" si="119"/>
        <v>6.9979824990748257E-2</v>
      </c>
      <c r="BD58" s="338">
        <f t="shared" si="119"/>
        <v>6.4731996557893468E-2</v>
      </c>
      <c r="BE58" s="338">
        <f t="shared" si="119"/>
        <v>7.1731256404238886E-2</v>
      </c>
    </row>
    <row r="59" spans="1:57" s="33" customFormat="1" ht="12" hidden="1" customHeight="1" outlineLevel="1">
      <c r="A59" s="332" t="s">
        <v>92</v>
      </c>
      <c r="B59" s="333"/>
      <c r="C59" s="334"/>
      <c r="D59" s="334"/>
      <c r="E59" s="335"/>
      <c r="F59" s="333">
        <f t="shared" si="118"/>
        <v>0.3961322003972631</v>
      </c>
      <c r="G59" s="334">
        <f t="shared" si="118"/>
        <v>0.3839803087021178</v>
      </c>
      <c r="H59" s="334">
        <f t="shared" si="118"/>
        <v>0.39147713670098144</v>
      </c>
      <c r="I59" s="335">
        <f t="shared" si="118"/>
        <v>0.38677912310066725</v>
      </c>
      <c r="J59" s="333">
        <f t="shared" si="118"/>
        <v>0.34127689845278325</v>
      </c>
      <c r="K59" s="334">
        <f t="shared" si="118"/>
        <v>0.34052762236466722</v>
      </c>
      <c r="L59" s="334">
        <f t="shared" si="118"/>
        <v>0.3321289700973814</v>
      </c>
      <c r="M59" s="335">
        <f t="shared" si="118"/>
        <v>0.24681798231864013</v>
      </c>
      <c r="N59" s="333">
        <f t="shared" si="118"/>
        <v>0.25626859954624465</v>
      </c>
      <c r="O59" s="334">
        <f t="shared" si="118"/>
        <v>0.23654279357094465</v>
      </c>
      <c r="P59" s="336">
        <f t="shared" si="118"/>
        <v>0.2178467181566916</v>
      </c>
      <c r="Q59" s="335">
        <f t="shared" si="118"/>
        <v>0.24585753438435098</v>
      </c>
      <c r="R59" s="333">
        <f t="shared" si="118"/>
        <v>0.20356971139751162</v>
      </c>
      <c r="S59" s="334">
        <f t="shared" si="118"/>
        <v>0.18960603520536484</v>
      </c>
      <c r="T59" s="334">
        <f t="shared" si="118"/>
        <v>0.21451221193513806</v>
      </c>
      <c r="U59" s="335">
        <f t="shared" si="118"/>
        <v>0.23145774889503301</v>
      </c>
      <c r="V59" s="333">
        <f t="shared" si="118"/>
        <v>0.25085743237976438</v>
      </c>
      <c r="W59" s="334">
        <f t="shared" si="118"/>
        <v>0.25143742953776765</v>
      </c>
      <c r="X59" s="334">
        <f t="shared" si="118"/>
        <v>0.23725113517289573</v>
      </c>
      <c r="Y59" s="335">
        <f t="shared" si="118"/>
        <v>0.18713483836604267</v>
      </c>
      <c r="Z59" s="333">
        <f t="shared" si="118"/>
        <v>0.16093100063873894</v>
      </c>
      <c r="AA59" s="334">
        <f t="shared" si="118"/>
        <v>0.18241330900955685</v>
      </c>
      <c r="AB59" s="334">
        <f t="shared" si="118"/>
        <v>0.14221892864704644</v>
      </c>
      <c r="AC59" s="335">
        <f t="shared" si="118"/>
        <v>0.18628168314097937</v>
      </c>
      <c r="AD59" s="333">
        <f t="shared" si="118"/>
        <v>0.17205008118734796</v>
      </c>
      <c r="AE59" s="334">
        <f t="shared" si="118"/>
        <v>0.14596732719157343</v>
      </c>
      <c r="AF59" s="334">
        <f t="shared" si="118"/>
        <v>0.14197885579055974</v>
      </c>
      <c r="AG59" s="335">
        <f t="shared" si="118"/>
        <v>0.12008681535444775</v>
      </c>
      <c r="AH59" s="333">
        <f t="shared" si="118"/>
        <v>0.12122738722234955</v>
      </c>
      <c r="AI59" s="334">
        <f t="shared" si="118"/>
        <v>0.12392307649688898</v>
      </c>
      <c r="AJ59" s="334">
        <f t="shared" si="118"/>
        <v>0.11440923281697234</v>
      </c>
      <c r="AK59" s="335">
        <f t="shared" si="118"/>
        <v>0.11933692473129455</v>
      </c>
      <c r="AL59" s="333">
        <f t="shared" si="118"/>
        <v>7.9929409286027875E-2</v>
      </c>
      <c r="AM59" s="334">
        <f t="shared" si="118"/>
        <v>7.2455292006728511E-2</v>
      </c>
      <c r="AN59" s="334">
        <f t="shared" si="118"/>
        <v>7.256634436115042E-2</v>
      </c>
      <c r="AO59" s="335">
        <f t="shared" si="118"/>
        <v>6.4656039615907476E-2</v>
      </c>
      <c r="AP59" s="333">
        <f t="shared" si="118"/>
        <v>6.4598939098594474E-2</v>
      </c>
      <c r="AQ59" s="334">
        <f t="shared" si="118"/>
        <v>6.4526400125102218E-2</v>
      </c>
      <c r="AR59" s="334">
        <f t="shared" si="118"/>
        <v>6.4375744899192761E-2</v>
      </c>
      <c r="AS59" s="335">
        <f t="shared" si="118"/>
        <v>6.4333203074724676E-2</v>
      </c>
      <c r="AT59" s="337"/>
      <c r="AU59" s="338"/>
      <c r="AV59" s="338">
        <f t="shared" si="119"/>
        <v>0.38939290774921298</v>
      </c>
      <c r="AW59" s="338">
        <f t="shared" si="119"/>
        <v>0.31214597599148797</v>
      </c>
      <c r="AX59" s="338">
        <f t="shared" si="119"/>
        <v>0.23867027809088012</v>
      </c>
      <c r="AY59" s="338">
        <f t="shared" si="119"/>
        <v>0.21048571327677845</v>
      </c>
      <c r="AZ59" s="333">
        <f t="shared" si="119"/>
        <v>0.23004889739625312</v>
      </c>
      <c r="BA59" s="339">
        <f t="shared" si="119"/>
        <v>0.16801455094747172</v>
      </c>
      <c r="BB59" s="338">
        <f t="shared" si="119"/>
        <v>0.14408369374561694</v>
      </c>
      <c r="BC59" s="338">
        <f t="shared" si="119"/>
        <v>0.11967447886447126</v>
      </c>
      <c r="BD59" s="338">
        <f t="shared" si="119"/>
        <v>7.2219025078461771E-2</v>
      </c>
      <c r="BE59" s="338">
        <f t="shared" si="119"/>
        <v>6.4455602334915929E-2</v>
      </c>
    </row>
    <row r="60" spans="1:57" s="33" customFormat="1" ht="12" hidden="1" customHeight="1" outlineLevel="1">
      <c r="A60" s="340" t="s">
        <v>95</v>
      </c>
      <c r="B60" s="341"/>
      <c r="C60" s="342"/>
      <c r="D60" s="342"/>
      <c r="E60" s="343"/>
      <c r="F60" s="341">
        <f t="shared" ref="F60:AS64" si="120">IF(OR(B21&lt;=0,F21&lt;=0),"NM",(F21-B21)/B21)</f>
        <v>0.50536720982315253</v>
      </c>
      <c r="G60" s="342">
        <f t="shared" si="120"/>
        <v>0.50103957687397427</v>
      </c>
      <c r="H60" s="342">
        <f t="shared" si="120"/>
        <v>0.43469912566432339</v>
      </c>
      <c r="I60" s="343">
        <f t="shared" si="120"/>
        <v>0.37872960734445776</v>
      </c>
      <c r="J60" s="341">
        <f t="shared" si="120"/>
        <v>0.26514646283281162</v>
      </c>
      <c r="K60" s="342">
        <f t="shared" si="120"/>
        <v>0.25877864450438609</v>
      </c>
      <c r="L60" s="342">
        <f t="shared" si="120"/>
        <v>0.27089357837631151</v>
      </c>
      <c r="M60" s="343">
        <f t="shared" si="120"/>
        <v>0.29804512631318458</v>
      </c>
      <c r="N60" s="341">
        <f t="shared" si="120"/>
        <v>0.12237698436834731</v>
      </c>
      <c r="O60" s="342">
        <f t="shared" si="120"/>
        <v>-3.3436293436293424E-2</v>
      </c>
      <c r="P60" s="342">
        <f t="shared" si="120"/>
        <v>-9.2876753544698806E-2</v>
      </c>
      <c r="Q60" s="343">
        <f t="shared" si="120"/>
        <v>-0.12015181449516481</v>
      </c>
      <c r="R60" s="341">
        <f t="shared" si="120"/>
        <v>-5.4553008544229419E-2</v>
      </c>
      <c r="S60" s="342">
        <f t="shared" si="120"/>
        <v>0.16044179915315174</v>
      </c>
      <c r="T60" s="342">
        <f t="shared" si="120"/>
        <v>0.25896059205207395</v>
      </c>
      <c r="U60" s="343">
        <f t="shared" si="120"/>
        <v>0.36811833993184817</v>
      </c>
      <c r="V60" s="341">
        <f t="shared" si="120"/>
        <v>0.36618964825464756</v>
      </c>
      <c r="W60" s="342">
        <f t="shared" si="120"/>
        <v>0.30221510817369751</v>
      </c>
      <c r="X60" s="342">
        <f t="shared" si="120"/>
        <v>0.22728096030034092</v>
      </c>
      <c r="Y60" s="343">
        <f t="shared" si="120"/>
        <v>0.12799101615364702</v>
      </c>
      <c r="Z60" s="341">
        <f t="shared" si="120"/>
        <v>0.15791902664149363</v>
      </c>
      <c r="AA60" s="342">
        <f t="shared" si="120"/>
        <v>7.5561723499867811E-2</v>
      </c>
      <c r="AB60" s="342">
        <f t="shared" si="120"/>
        <v>5.9301795153889517E-2</v>
      </c>
      <c r="AC60" s="343">
        <f t="shared" si="120"/>
        <v>0.13595752284678594</v>
      </c>
      <c r="AD60" s="341">
        <f t="shared" si="120"/>
        <v>2.0870321388456209E-2</v>
      </c>
      <c r="AE60" s="342">
        <f t="shared" si="120"/>
        <v>4.2714771987170989E-2</v>
      </c>
      <c r="AF60" s="342">
        <f t="shared" si="120"/>
        <v>5.3043544342275095E-2</v>
      </c>
      <c r="AG60" s="343">
        <f t="shared" si="120"/>
        <v>-9.9573033707865105E-2</v>
      </c>
      <c r="AH60" s="341">
        <f t="shared" si="120"/>
        <v>1.1511387163561064E-2</v>
      </c>
      <c r="AI60" s="342">
        <f t="shared" si="120"/>
        <v>4.9049532721294371E-2</v>
      </c>
      <c r="AJ60" s="342">
        <f t="shared" si="120"/>
        <v>-2.9347381588126311E-3</v>
      </c>
      <c r="AK60" s="343">
        <f t="shared" si="120"/>
        <v>0.11588759390052167</v>
      </c>
      <c r="AL60" s="341">
        <f t="shared" si="120"/>
        <v>6.612837917845768E-2</v>
      </c>
      <c r="AM60" s="342">
        <f t="shared" si="120"/>
        <v>2.9018462227521011E-2</v>
      </c>
      <c r="AN60" s="342">
        <f t="shared" si="120"/>
        <v>1.596912737606318E-2</v>
      </c>
      <c r="AO60" s="343">
        <f t="shared" si="120"/>
        <v>1.8167902705670334E-2</v>
      </c>
      <c r="AP60" s="341">
        <f t="shared" si="120"/>
        <v>5.0783971888451809E-2</v>
      </c>
      <c r="AQ60" s="342">
        <f t="shared" si="120"/>
        <v>5.0378487416743153E-2</v>
      </c>
      <c r="AR60" s="342">
        <f t="shared" si="120"/>
        <v>4.8669684961777558E-2</v>
      </c>
      <c r="AS60" s="343">
        <f t="shared" si="120"/>
        <v>4.9389319672260464E-2</v>
      </c>
      <c r="AT60" s="337"/>
      <c r="AU60" s="344"/>
      <c r="AV60" s="344">
        <f t="shared" ref="AV60:BE64" si="121">IF(OR(AU21&lt;=0,AV21&lt;=0),"NM",(AV21-AU21)/AU21)</f>
        <v>0.45077580195258016</v>
      </c>
      <c r="AW60" s="344">
        <f t="shared" si="121"/>
        <v>0.27380387302998799</v>
      </c>
      <c r="AX60" s="344">
        <f t="shared" si="121"/>
        <v>-3.5697608052716163E-2</v>
      </c>
      <c r="AY60" s="344">
        <f t="shared" si="121"/>
        <v>0.17704404823048886</v>
      </c>
      <c r="AZ60" s="341">
        <f t="shared" si="121"/>
        <v>0.2469278432774106</v>
      </c>
      <c r="BA60" s="345">
        <f t="shared" si="121"/>
        <v>0.10691991587984535</v>
      </c>
      <c r="BB60" s="344">
        <f t="shared" si="121"/>
        <v>1.5957703054245037E-3</v>
      </c>
      <c r="BC60" s="344">
        <f t="shared" si="121"/>
        <v>4.2620348826722929E-2</v>
      </c>
      <c r="BD60" s="344">
        <f t="shared" si="121"/>
        <v>3.224981258824932E-2</v>
      </c>
      <c r="BE60" s="344">
        <f t="shared" si="121"/>
        <v>4.9828181848982904E-2</v>
      </c>
    </row>
    <row r="61" spans="1:57" s="33" customFormat="1" ht="12" hidden="1" customHeight="1" outlineLevel="1">
      <c r="A61" s="340" t="s">
        <v>96</v>
      </c>
      <c r="B61" s="341"/>
      <c r="C61" s="342"/>
      <c r="D61" s="342"/>
      <c r="E61" s="343"/>
      <c r="F61" s="341">
        <f t="shared" si="120"/>
        <v>0.38080238726790433</v>
      </c>
      <c r="G61" s="342">
        <f t="shared" si="120"/>
        <v>0.29334137697006263</v>
      </c>
      <c r="H61" s="342">
        <f t="shared" si="120"/>
        <v>0.18015495800507852</v>
      </c>
      <c r="I61" s="343">
        <f t="shared" si="120"/>
        <v>0.2467284803051227</v>
      </c>
      <c r="J61" s="341">
        <f t="shared" si="120"/>
        <v>0.19492135910673553</v>
      </c>
      <c r="K61" s="342">
        <f t="shared" si="120"/>
        <v>0.12279167395487153</v>
      </c>
      <c r="L61" s="342">
        <f t="shared" si="120"/>
        <v>2.8301886792452921E-2</v>
      </c>
      <c r="M61" s="343">
        <f t="shared" si="120"/>
        <v>7.3474339363890542E-2</v>
      </c>
      <c r="N61" s="341">
        <f t="shared" si="120"/>
        <v>0.19984928409947258</v>
      </c>
      <c r="O61" s="342">
        <f t="shared" si="120"/>
        <v>0.11216700420626247</v>
      </c>
      <c r="P61" s="342">
        <f t="shared" si="120"/>
        <v>0.13605880143784524</v>
      </c>
      <c r="Q61" s="343">
        <f t="shared" si="120"/>
        <v>3.2429245283018349E-3</v>
      </c>
      <c r="R61" s="341">
        <f t="shared" si="120"/>
        <v>-5.0286814889251644E-2</v>
      </c>
      <c r="S61" s="342">
        <f t="shared" si="120"/>
        <v>7.5080543493486515E-2</v>
      </c>
      <c r="T61" s="342">
        <f t="shared" si="120"/>
        <v>0.18479338842975207</v>
      </c>
      <c r="U61" s="343">
        <f t="shared" si="120"/>
        <v>0.21975707708884329</v>
      </c>
      <c r="V61" s="341">
        <f t="shared" si="120"/>
        <v>0.22683184904329404</v>
      </c>
      <c r="W61" s="342">
        <f t="shared" si="120"/>
        <v>0.22262757871878416</v>
      </c>
      <c r="X61" s="342">
        <f t="shared" si="120"/>
        <v>9.1238839285714343E-2</v>
      </c>
      <c r="Y61" s="343">
        <f t="shared" si="120"/>
        <v>0.15261995583216229</v>
      </c>
      <c r="Z61" s="341">
        <f t="shared" si="120"/>
        <v>5.3581054371653419E-2</v>
      </c>
      <c r="AA61" s="342">
        <f t="shared" si="120"/>
        <v>-2.4865901744166754E-3</v>
      </c>
      <c r="AB61" s="342">
        <f t="shared" si="120"/>
        <v>1.5816196076998804E-2</v>
      </c>
      <c r="AC61" s="343">
        <f t="shared" si="120"/>
        <v>7.0473071831672673E-2</v>
      </c>
      <c r="AD61" s="341">
        <f t="shared" si="120"/>
        <v>0.11078518316392652</v>
      </c>
      <c r="AE61" s="342">
        <f t="shared" si="120"/>
        <v>0.18763576795698167</v>
      </c>
      <c r="AF61" s="342">
        <f t="shared" si="120"/>
        <v>0.27957569219705153</v>
      </c>
      <c r="AG61" s="343">
        <f t="shared" si="120"/>
        <v>5.6558950828207867E-2</v>
      </c>
      <c r="AH61" s="341">
        <f t="shared" si="120"/>
        <v>0.19809003254928478</v>
      </c>
      <c r="AI61" s="342">
        <f t="shared" si="120"/>
        <v>0.30146926536731616</v>
      </c>
      <c r="AJ61" s="342">
        <f t="shared" si="120"/>
        <v>0.18282984403540817</v>
      </c>
      <c r="AK61" s="343">
        <f t="shared" si="120"/>
        <v>0.25789262943912294</v>
      </c>
      <c r="AL61" s="341">
        <f t="shared" si="120"/>
        <v>8.1249597511050375E-2</v>
      </c>
      <c r="AM61" s="342">
        <f t="shared" si="120"/>
        <v>7.3764269394852144E-2</v>
      </c>
      <c r="AN61" s="342">
        <f t="shared" si="120"/>
        <v>6.459762715892893E-2</v>
      </c>
      <c r="AO61" s="343">
        <f t="shared" si="120"/>
        <v>6.4696602733626804E-2</v>
      </c>
      <c r="AP61" s="341">
        <f t="shared" si="120"/>
        <v>6.5901979121177442E-2</v>
      </c>
      <c r="AQ61" s="342">
        <f t="shared" si="120"/>
        <v>6.5827287751570443E-2</v>
      </c>
      <c r="AR61" s="342">
        <f t="shared" si="120"/>
        <v>6.5672183078119922E-2</v>
      </c>
      <c r="AS61" s="343">
        <f t="shared" si="120"/>
        <v>6.5621742061498026E-2</v>
      </c>
      <c r="AT61" s="337"/>
      <c r="AU61" s="344"/>
      <c r="AV61" s="344">
        <f t="shared" si="121"/>
        <v>0.26843320033636914</v>
      </c>
      <c r="AW61" s="344">
        <f t="shared" si="121"/>
        <v>0.10239230400315964</v>
      </c>
      <c r="AX61" s="344">
        <f t="shared" si="121"/>
        <v>0.11183191944007261</v>
      </c>
      <c r="AY61" s="344">
        <f t="shared" si="121"/>
        <v>0.10135453949109827</v>
      </c>
      <c r="AZ61" s="341">
        <f t="shared" si="121"/>
        <v>0.1709613375130617</v>
      </c>
      <c r="BA61" s="345">
        <f t="shared" si="121"/>
        <v>3.4597228295303407E-2</v>
      </c>
      <c r="BB61" s="344">
        <f t="shared" si="121"/>
        <v>0.15551415411685568</v>
      </c>
      <c r="BC61" s="344">
        <f t="shared" si="121"/>
        <v>0.23426489908037726</v>
      </c>
      <c r="BD61" s="344">
        <f t="shared" si="121"/>
        <v>7.0957520170851426E-2</v>
      </c>
      <c r="BE61" s="344">
        <f t="shared" si="121"/>
        <v>6.5755362931876976E-2</v>
      </c>
    </row>
    <row r="62" spans="1:57" s="33" customFormat="1" ht="12" hidden="1" customHeight="1" outlineLevel="1">
      <c r="A62" s="340" t="s">
        <v>97</v>
      </c>
      <c r="B62" s="341"/>
      <c r="C62" s="342"/>
      <c r="D62" s="342"/>
      <c r="E62" s="343"/>
      <c r="F62" s="341">
        <f t="shared" si="120"/>
        <v>0.49609895337773552</v>
      </c>
      <c r="G62" s="342">
        <f t="shared" si="120"/>
        <v>0.61044104410441047</v>
      </c>
      <c r="H62" s="342">
        <f t="shared" si="120"/>
        <v>0.65596403917161683</v>
      </c>
      <c r="I62" s="343">
        <f t="shared" si="120"/>
        <v>0.43577863577863579</v>
      </c>
      <c r="J62" s="341">
        <f t="shared" si="120"/>
        <v>0.50915797506995653</v>
      </c>
      <c r="K62" s="342">
        <f t="shared" si="120"/>
        <v>0.3427230046948358</v>
      </c>
      <c r="L62" s="342">
        <f t="shared" si="120"/>
        <v>0.29054774600096944</v>
      </c>
      <c r="M62" s="343">
        <f t="shared" si="120"/>
        <v>0.13176765865901746</v>
      </c>
      <c r="N62" s="341">
        <f t="shared" si="120"/>
        <v>0.15887062789717657</v>
      </c>
      <c r="O62" s="342">
        <f t="shared" si="120"/>
        <v>2.4891774891774996E-2</v>
      </c>
      <c r="P62" s="342">
        <f t="shared" si="120"/>
        <v>-6.3626802884615474E-2</v>
      </c>
      <c r="Q62" s="343">
        <f t="shared" si="120"/>
        <v>-1.0613020750831785E-2</v>
      </c>
      <c r="R62" s="341">
        <f t="shared" si="120"/>
        <v>-1.8909090909088183E-3</v>
      </c>
      <c r="S62" s="342">
        <f t="shared" si="120"/>
        <v>0.11932418162618776</v>
      </c>
      <c r="T62" s="342">
        <f t="shared" si="120"/>
        <v>0.20465302847974343</v>
      </c>
      <c r="U62" s="343">
        <f t="shared" si="120"/>
        <v>0.26424911943643969</v>
      </c>
      <c r="V62" s="341">
        <f t="shared" si="120"/>
        <v>0.20883124453512103</v>
      </c>
      <c r="W62" s="342">
        <f t="shared" si="120"/>
        <v>0.24825834542815683</v>
      </c>
      <c r="X62" s="342">
        <f t="shared" si="120"/>
        <v>0.11161427810335629</v>
      </c>
      <c r="Y62" s="343">
        <f t="shared" si="120"/>
        <v>0.1322737921864115</v>
      </c>
      <c r="Z62" s="341">
        <f t="shared" si="120"/>
        <v>0.1321277878239899</v>
      </c>
      <c r="AA62" s="342">
        <f t="shared" si="120"/>
        <v>3.6276960641823078E-2</v>
      </c>
      <c r="AB62" s="342">
        <f t="shared" si="120"/>
        <v>0.10843517852863661</v>
      </c>
      <c r="AC62" s="343">
        <f t="shared" si="120"/>
        <v>-0.10149871379040365</v>
      </c>
      <c r="AD62" s="341">
        <f t="shared" si="120"/>
        <v>9.5783196677670296E-2</v>
      </c>
      <c r="AE62" s="342">
        <f t="shared" si="120"/>
        <v>9.419354838709669E-2</v>
      </c>
      <c r="AF62" s="342">
        <f t="shared" si="120"/>
        <v>0.14133607177602392</v>
      </c>
      <c r="AG62" s="343">
        <f t="shared" si="120"/>
        <v>0.27845895313375241</v>
      </c>
      <c r="AH62" s="341">
        <f t="shared" si="120"/>
        <v>0.101209853748603</v>
      </c>
      <c r="AI62" s="342">
        <f t="shared" si="120"/>
        <v>0.16606849876948324</v>
      </c>
      <c r="AJ62" s="342">
        <f t="shared" si="120"/>
        <v>4.475067481176339E-2</v>
      </c>
      <c r="AK62" s="343">
        <f t="shared" si="120"/>
        <v>4.7222627914901845E-2</v>
      </c>
      <c r="AL62" s="341">
        <f t="shared" si="120"/>
        <v>6.1009133648076447E-2</v>
      </c>
      <c r="AM62" s="342">
        <f t="shared" si="120"/>
        <v>3.9121998636943309E-2</v>
      </c>
      <c r="AN62" s="342">
        <f t="shared" si="120"/>
        <v>8.4148546142688616E-2</v>
      </c>
      <c r="AO62" s="343">
        <f t="shared" si="120"/>
        <v>3.1615824461903273E-2</v>
      </c>
      <c r="AP62" s="341">
        <f t="shared" si="120"/>
        <v>4.2979355914270344E-2</v>
      </c>
      <c r="AQ62" s="342">
        <f t="shared" si="120"/>
        <v>4.1876112745917113E-2</v>
      </c>
      <c r="AR62" s="342">
        <f t="shared" si="120"/>
        <v>4.1724493570746361E-2</v>
      </c>
      <c r="AS62" s="343">
        <f t="shared" si="120"/>
        <v>3.8981198509960631E-2</v>
      </c>
      <c r="AT62" s="337"/>
      <c r="AU62" s="344"/>
      <c r="AV62" s="344">
        <f t="shared" si="121"/>
        <v>0.54294812366479939</v>
      </c>
      <c r="AW62" s="344">
        <f t="shared" si="121"/>
        <v>0.30136628438569435</v>
      </c>
      <c r="AX62" s="344">
        <f t="shared" si="121"/>
        <v>2.4149352604637075E-2</v>
      </c>
      <c r="AY62" s="344">
        <f t="shared" si="121"/>
        <v>0.14298874906895626</v>
      </c>
      <c r="AZ62" s="341">
        <f t="shared" si="121"/>
        <v>0.17238008677310387</v>
      </c>
      <c r="BA62" s="345">
        <f t="shared" si="121"/>
        <v>4.1117530900314378E-2</v>
      </c>
      <c r="BB62" s="344">
        <f t="shared" si="121"/>
        <v>0.14846296504439688</v>
      </c>
      <c r="BC62" s="344">
        <f t="shared" si="121"/>
        <v>8.8533574740344678E-2</v>
      </c>
      <c r="BD62" s="344">
        <f t="shared" si="121"/>
        <v>5.4046255844010023E-2</v>
      </c>
      <c r="BE62" s="344">
        <f t="shared" si="121"/>
        <v>4.1435353039266556E-2</v>
      </c>
    </row>
    <row r="63" spans="1:57" s="33" customFormat="1" ht="12" hidden="1" customHeight="1" outlineLevel="1">
      <c r="A63" s="332" t="s">
        <v>98</v>
      </c>
      <c r="B63" s="333"/>
      <c r="C63" s="334"/>
      <c r="D63" s="334"/>
      <c r="E63" s="335"/>
      <c r="F63" s="333">
        <f t="shared" si="120"/>
        <v>0.46946803341277737</v>
      </c>
      <c r="G63" s="334">
        <f t="shared" si="120"/>
        <v>0.45460837965867062</v>
      </c>
      <c r="H63" s="334">
        <f t="shared" si="120"/>
        <v>0.38482454239158259</v>
      </c>
      <c r="I63" s="335">
        <f t="shared" si="120"/>
        <v>0.35040475198754073</v>
      </c>
      <c r="J63" s="333">
        <f t="shared" si="120"/>
        <v>0.27693446288539636</v>
      </c>
      <c r="K63" s="334">
        <f t="shared" si="120"/>
        <v>0.23526350226029022</v>
      </c>
      <c r="L63" s="334">
        <f t="shared" si="120"/>
        <v>0.21121450116669532</v>
      </c>
      <c r="M63" s="335">
        <f t="shared" si="120"/>
        <v>0.21607123699173897</v>
      </c>
      <c r="N63" s="333">
        <f t="shared" si="120"/>
        <v>0.14673276361708165</v>
      </c>
      <c r="O63" s="334">
        <f t="shared" si="120"/>
        <v>8.7517605845743151E-3</v>
      </c>
      <c r="P63" s="336">
        <f t="shared" si="120"/>
        <v>-3.8177354368076684E-2</v>
      </c>
      <c r="Q63" s="335">
        <f t="shared" si="120"/>
        <v>-7.7205558006175609E-2</v>
      </c>
      <c r="R63" s="333">
        <f t="shared" si="120"/>
        <v>-4.5670595320027381E-2</v>
      </c>
      <c r="S63" s="334">
        <f t="shared" si="120"/>
        <v>0.13258389421929445</v>
      </c>
      <c r="T63" s="334">
        <f t="shared" si="120"/>
        <v>0.23151235359493891</v>
      </c>
      <c r="U63" s="335">
        <f t="shared" si="120"/>
        <v>0.31641152499432357</v>
      </c>
      <c r="V63" s="333">
        <f t="shared" si="120"/>
        <v>0.30623697109696313</v>
      </c>
      <c r="W63" s="334">
        <f t="shared" si="120"/>
        <v>0.27507217668008338</v>
      </c>
      <c r="X63" s="334">
        <f t="shared" si="120"/>
        <v>0.17620865770813704</v>
      </c>
      <c r="Y63" s="335">
        <f t="shared" si="120"/>
        <v>0.13417335415229312</v>
      </c>
      <c r="Z63" s="333">
        <f t="shared" si="120"/>
        <v>0.12918169113714389</v>
      </c>
      <c r="AA63" s="334">
        <f t="shared" si="120"/>
        <v>5.1821306977820385E-2</v>
      </c>
      <c r="AB63" s="334">
        <f t="shared" si="120"/>
        <v>5.617901739416381E-2</v>
      </c>
      <c r="AC63" s="335">
        <f t="shared" si="120"/>
        <v>8.6924505346737402E-2</v>
      </c>
      <c r="AD63" s="333">
        <f t="shared" si="120"/>
        <v>5.1758252671948217E-2</v>
      </c>
      <c r="AE63" s="334">
        <f t="shared" si="120"/>
        <v>8.1896246945782167E-2</v>
      </c>
      <c r="AF63" s="334">
        <f t="shared" si="120"/>
        <v>0.1163763511248062</v>
      </c>
      <c r="AG63" s="335">
        <f t="shared" si="120"/>
        <v>-1.9514565966596786E-2</v>
      </c>
      <c r="AH63" s="333">
        <f t="shared" si="120"/>
        <v>6.9055436109012769E-2</v>
      </c>
      <c r="AI63" s="334">
        <f t="shared" si="120"/>
        <v>0.12675463120974231</v>
      </c>
      <c r="AJ63" s="334">
        <f t="shared" si="120"/>
        <v>5.1535997254083282E-2</v>
      </c>
      <c r="AK63" s="335">
        <f t="shared" si="120"/>
        <v>0.13992158983371633</v>
      </c>
      <c r="AL63" s="333">
        <f t="shared" si="120"/>
        <v>6.9348689107063044E-2</v>
      </c>
      <c r="AM63" s="334">
        <f t="shared" si="120"/>
        <v>4.3016295091562171E-2</v>
      </c>
      <c r="AN63" s="334">
        <f t="shared" si="120"/>
        <v>4.0117188397000687E-2</v>
      </c>
      <c r="AO63" s="335">
        <f t="shared" si="120"/>
        <v>3.2593835356682879E-2</v>
      </c>
      <c r="AP63" s="333">
        <f t="shared" si="120"/>
        <v>5.3643887731331517E-2</v>
      </c>
      <c r="AQ63" s="334">
        <f t="shared" si="120"/>
        <v>5.3585842446616322E-2</v>
      </c>
      <c r="AR63" s="334">
        <f t="shared" si="120"/>
        <v>5.2564827551495559E-2</v>
      </c>
      <c r="AS63" s="335">
        <f t="shared" si="120"/>
        <v>5.241921426143728E-2</v>
      </c>
      <c r="AT63" s="337"/>
      <c r="AU63" s="338"/>
      <c r="AV63" s="338">
        <f t="shared" si="121"/>
        <v>0.41032647630744024</v>
      </c>
      <c r="AW63" s="338">
        <f t="shared" si="121"/>
        <v>0.23353990841999089</v>
      </c>
      <c r="AX63" s="338">
        <f t="shared" si="121"/>
        <v>6.9858899729682827E-3</v>
      </c>
      <c r="AY63" s="338">
        <f t="shared" si="121"/>
        <v>0.15275773632523817</v>
      </c>
      <c r="AZ63" s="333">
        <f t="shared" si="121"/>
        <v>0.21749078912026615</v>
      </c>
      <c r="BA63" s="339">
        <f t="shared" si="121"/>
        <v>8.0689237480565792E-2</v>
      </c>
      <c r="BB63" s="338">
        <f t="shared" si="121"/>
        <v>5.6095231125371348E-2</v>
      </c>
      <c r="BC63" s="338">
        <f t="shared" si="121"/>
        <v>9.6283706774088415E-2</v>
      </c>
      <c r="BD63" s="338">
        <f t="shared" si="121"/>
        <v>4.6122547639176524E-2</v>
      </c>
      <c r="BE63" s="338">
        <f t="shared" si="121"/>
        <v>5.3061325276714956E-2</v>
      </c>
    </row>
    <row r="64" spans="1:57" s="45" customFormat="1" ht="12" hidden="1" customHeight="1" outlineLevel="1">
      <c r="A64" s="324" t="s">
        <v>120</v>
      </c>
      <c r="B64" s="325"/>
      <c r="C64" s="326"/>
      <c r="D64" s="326"/>
      <c r="E64" s="327"/>
      <c r="F64" s="325" t="str">
        <f t="shared" si="120"/>
        <v>NM</v>
      </c>
      <c r="G64" s="326" t="str">
        <f t="shared" si="120"/>
        <v>NM</v>
      </c>
      <c r="H64" s="326" t="str">
        <f t="shared" si="120"/>
        <v>NM</v>
      </c>
      <c r="I64" s="327" t="str">
        <f t="shared" si="120"/>
        <v>NM</v>
      </c>
      <c r="J64" s="325" t="str">
        <f t="shared" si="120"/>
        <v>NM</v>
      </c>
      <c r="K64" s="326" t="str">
        <f t="shared" si="120"/>
        <v>NM</v>
      </c>
      <c r="L64" s="326" t="str">
        <f t="shared" si="120"/>
        <v>NM</v>
      </c>
      <c r="M64" s="327" t="str">
        <f t="shared" si="120"/>
        <v>NM</v>
      </c>
      <c r="N64" s="325" t="str">
        <f t="shared" si="120"/>
        <v>NM</v>
      </c>
      <c r="O64" s="326" t="str">
        <f t="shared" si="120"/>
        <v>NM</v>
      </c>
      <c r="P64" s="328" t="str">
        <f t="shared" si="120"/>
        <v>NM</v>
      </c>
      <c r="Q64" s="327" t="str">
        <f t="shared" si="120"/>
        <v>NM</v>
      </c>
      <c r="R64" s="325" t="str">
        <f t="shared" si="120"/>
        <v>NM</v>
      </c>
      <c r="S64" s="326">
        <f t="shared" si="120"/>
        <v>1.0309913717203787</v>
      </c>
      <c r="T64" s="326">
        <f t="shared" si="120"/>
        <v>0.1023844047043638</v>
      </c>
      <c r="U64" s="327">
        <f t="shared" si="120"/>
        <v>-0.22958687333809052</v>
      </c>
      <c r="V64" s="325">
        <f t="shared" si="120"/>
        <v>-0.10304601425793991</v>
      </c>
      <c r="W64" s="326">
        <f t="shared" si="120"/>
        <v>5.6962025316455361E-2</v>
      </c>
      <c r="X64" s="326">
        <f t="shared" si="120"/>
        <v>0.68702959444647671</v>
      </c>
      <c r="Y64" s="327">
        <f t="shared" si="120"/>
        <v>0.67825574543311917</v>
      </c>
      <c r="Z64" s="325">
        <f t="shared" si="120"/>
        <v>0.4564065510597331</v>
      </c>
      <c r="AA64" s="326">
        <f t="shared" si="120"/>
        <v>1.4787138052661797</v>
      </c>
      <c r="AB64" s="326">
        <f t="shared" si="120"/>
        <v>0.58422488846537035</v>
      </c>
      <c r="AC64" s="327">
        <f t="shared" si="120"/>
        <v>0.80893860353129898</v>
      </c>
      <c r="AD64" s="325">
        <f t="shared" si="120"/>
        <v>1.0400198445510138</v>
      </c>
      <c r="AE64" s="326">
        <f t="shared" si="120"/>
        <v>0.41584486067906595</v>
      </c>
      <c r="AF64" s="326">
        <f t="shared" si="120"/>
        <v>0.22966507177033516</v>
      </c>
      <c r="AG64" s="327">
        <f t="shared" si="120"/>
        <v>0.64575881096969245</v>
      </c>
      <c r="AH64" s="325">
        <f t="shared" si="120"/>
        <v>0.31531020319930869</v>
      </c>
      <c r="AI64" s="326">
        <f t="shared" si="120"/>
        <v>0.11480927449513846</v>
      </c>
      <c r="AJ64" s="326">
        <f t="shared" si="120"/>
        <v>0.30990550305725378</v>
      </c>
      <c r="AK64" s="327">
        <f t="shared" si="120"/>
        <v>7.315799228319679E-2</v>
      </c>
      <c r="AL64" s="325">
        <f t="shared" si="120"/>
        <v>0.11192110588236423</v>
      </c>
      <c r="AM64" s="326">
        <f t="shared" si="120"/>
        <v>0.16822461520680893</v>
      </c>
      <c r="AN64" s="326">
        <f t="shared" si="120"/>
        <v>0.15356172456049835</v>
      </c>
      <c r="AO64" s="327">
        <f t="shared" si="120"/>
        <v>0.14105804790014706</v>
      </c>
      <c r="AP64" s="325">
        <f t="shared" si="120"/>
        <v>9.6454248610062007E-2</v>
      </c>
      <c r="AQ64" s="326">
        <f t="shared" si="120"/>
        <v>9.6303013570827781E-2</v>
      </c>
      <c r="AR64" s="326">
        <f t="shared" si="120"/>
        <v>9.095739332237425E-2</v>
      </c>
      <c r="AS64" s="327">
        <f t="shared" si="120"/>
        <v>9.0024757152206425E-2</v>
      </c>
      <c r="AT64" s="329"/>
      <c r="AU64" s="330"/>
      <c r="AV64" s="330" t="str">
        <f t="shared" si="121"/>
        <v>NM</v>
      </c>
      <c r="AW64" s="330" t="str">
        <f t="shared" si="121"/>
        <v>NM</v>
      </c>
      <c r="AX64" s="330" t="str">
        <f t="shared" si="121"/>
        <v>NM</v>
      </c>
      <c r="AY64" s="330">
        <f t="shared" si="121"/>
        <v>0.9766991044081712</v>
      </c>
      <c r="AZ64" s="325">
        <f t="shared" si="121"/>
        <v>0.32725311366088117</v>
      </c>
      <c r="BA64" s="331">
        <f t="shared" si="121"/>
        <v>0.78804492389537495</v>
      </c>
      <c r="BB64" s="330">
        <f t="shared" si="121"/>
        <v>0.52167409109316754</v>
      </c>
      <c r="BC64" s="330">
        <f t="shared" si="121"/>
        <v>0.18934053161559444</v>
      </c>
      <c r="BD64" s="330">
        <f t="shared" si="121"/>
        <v>0.14386227465590998</v>
      </c>
      <c r="BE64" s="330">
        <f t="shared" si="121"/>
        <v>9.3063700557990736E-2</v>
      </c>
    </row>
    <row r="65" spans="1:57" s="33" customFormat="1" ht="12" hidden="1" customHeight="1" outlineLevel="1">
      <c r="A65" s="332" t="s">
        <v>121</v>
      </c>
      <c r="B65" s="333"/>
      <c r="C65" s="334"/>
      <c r="D65" s="334"/>
      <c r="E65" s="346"/>
      <c r="F65" s="333" t="str">
        <f t="shared" ref="F65:AS65" si="122">IF(OR(B39&lt;=0,F39&lt;=0),"NM",(F39-B39)/B39)</f>
        <v>NM</v>
      </c>
      <c r="G65" s="334" t="str">
        <f t="shared" si="122"/>
        <v>NM</v>
      </c>
      <c r="H65" s="334" t="str">
        <f t="shared" si="122"/>
        <v>NM</v>
      </c>
      <c r="I65" s="335" t="str">
        <f t="shared" si="122"/>
        <v>NM</v>
      </c>
      <c r="J65" s="333" t="str">
        <f t="shared" si="122"/>
        <v>NM</v>
      </c>
      <c r="K65" s="334" t="str">
        <f t="shared" si="122"/>
        <v>NM</v>
      </c>
      <c r="L65" s="334" t="str">
        <f t="shared" si="122"/>
        <v>NM</v>
      </c>
      <c r="M65" s="335" t="str">
        <f t="shared" si="122"/>
        <v>NM</v>
      </c>
      <c r="N65" s="333" t="str">
        <f t="shared" si="122"/>
        <v>NM</v>
      </c>
      <c r="O65" s="334" t="str">
        <f t="shared" si="122"/>
        <v>NM</v>
      </c>
      <c r="P65" s="336" t="str">
        <f t="shared" si="122"/>
        <v>NM</v>
      </c>
      <c r="Q65" s="335" t="str">
        <f t="shared" si="122"/>
        <v>NM</v>
      </c>
      <c r="R65" s="333" t="str">
        <f t="shared" si="122"/>
        <v>NM</v>
      </c>
      <c r="S65" s="334">
        <f t="shared" si="122"/>
        <v>1.1520864223681491</v>
      </c>
      <c r="T65" s="334">
        <f t="shared" si="122"/>
        <v>-0.23027191481270445</v>
      </c>
      <c r="U65" s="335">
        <f t="shared" si="122"/>
        <v>-0.58695501008274908</v>
      </c>
      <c r="V65" s="333">
        <f t="shared" si="122"/>
        <v>-0.52763648694472776</v>
      </c>
      <c r="W65" s="334">
        <f t="shared" si="122"/>
        <v>-0.41309055118110238</v>
      </c>
      <c r="X65" s="334">
        <f t="shared" si="122"/>
        <v>1.1224061264822185</v>
      </c>
      <c r="Y65" s="335">
        <f t="shared" si="122"/>
        <v>1.3912457912457961</v>
      </c>
      <c r="Z65" s="333">
        <f t="shared" si="122"/>
        <v>0.87552045944006318</v>
      </c>
      <c r="AA65" s="334">
        <f t="shared" si="122"/>
        <v>3.4048297836659391</v>
      </c>
      <c r="AB65" s="334">
        <f t="shared" si="122"/>
        <v>0.61019612407612212</v>
      </c>
      <c r="AC65" s="335">
        <f t="shared" si="122"/>
        <v>1.1232047310616711</v>
      </c>
      <c r="AD65" s="333">
        <f t="shared" si="122"/>
        <v>1.330245732220771</v>
      </c>
      <c r="AE65" s="334">
        <f t="shared" si="122"/>
        <v>0.45290489606335232</v>
      </c>
      <c r="AF65" s="334">
        <f t="shared" si="122"/>
        <v>0.4212447592887093</v>
      </c>
      <c r="AG65" s="335">
        <f t="shared" si="122"/>
        <v>0.67995225147556282</v>
      </c>
      <c r="AH65" s="333">
        <f t="shared" si="122"/>
        <v>0.45367936925098629</v>
      </c>
      <c r="AI65" s="334">
        <f t="shared" si="122"/>
        <v>8.5818353335779154E-2</v>
      </c>
      <c r="AJ65" s="334">
        <f t="shared" si="122"/>
        <v>0.30808941332044831</v>
      </c>
      <c r="AK65" s="335">
        <f t="shared" si="122"/>
        <v>0.13107926732985969</v>
      </c>
      <c r="AL65" s="333">
        <f t="shared" si="122"/>
        <v>8.1626749627928694E-2</v>
      </c>
      <c r="AM65" s="334">
        <f t="shared" si="122"/>
        <v>0.12777568952636439</v>
      </c>
      <c r="AN65" s="334">
        <f t="shared" si="122"/>
        <v>0.15035152764556625</v>
      </c>
      <c r="AO65" s="335">
        <f t="shared" si="122"/>
        <v>0.11839124413060068</v>
      </c>
      <c r="AP65" s="333">
        <f t="shared" si="122"/>
        <v>6.4677315764807189E-2</v>
      </c>
      <c r="AQ65" s="334">
        <f t="shared" si="122"/>
        <v>0.1319442074500379</v>
      </c>
      <c r="AR65" s="334">
        <f t="shared" si="122"/>
        <v>0.11798604653729011</v>
      </c>
      <c r="AS65" s="335">
        <f t="shared" si="122"/>
        <v>0.11457066276144441</v>
      </c>
      <c r="AT65" s="337"/>
      <c r="AU65" s="338"/>
      <c r="AV65" s="338" t="str">
        <f t="shared" ref="AV65:BE65" si="123">IF(OR(AU39&lt;=0,AV39&lt;=0),"NM",(AV39-AU39)/AU39)</f>
        <v>NM</v>
      </c>
      <c r="AW65" s="338" t="str">
        <f t="shared" si="123"/>
        <v>NM</v>
      </c>
      <c r="AX65" s="338" t="str">
        <f t="shared" si="123"/>
        <v>NM</v>
      </c>
      <c r="AY65" s="338">
        <f t="shared" si="123"/>
        <v>0.87270366451860948</v>
      </c>
      <c r="AZ65" s="333">
        <f t="shared" si="123"/>
        <v>0.1380036465422054</v>
      </c>
      <c r="BA65" s="339">
        <f t="shared" si="123"/>
        <v>1.1923727857384638</v>
      </c>
      <c r="BB65" s="338">
        <f t="shared" si="123"/>
        <v>0.6323297823066234</v>
      </c>
      <c r="BC65" s="338">
        <f t="shared" si="123"/>
        <v>0.22599928116073631</v>
      </c>
      <c r="BD65" s="338">
        <f t="shared" si="123"/>
        <v>0.1204794375450111</v>
      </c>
      <c r="BE65" s="338">
        <f t="shared" si="123"/>
        <v>0.1082636828354954</v>
      </c>
    </row>
    <row r="66" spans="1:57" s="33" customFormat="1" ht="12" hidden="1" customHeight="1" outlineLevel="1">
      <c r="A66" s="347" t="s">
        <v>122</v>
      </c>
      <c r="B66" s="348"/>
      <c r="C66" s="349"/>
      <c r="D66" s="349"/>
      <c r="E66" s="350"/>
      <c r="F66" s="348" t="str">
        <f t="shared" ref="F66:AS66" si="124">IF(OR(B46&lt;=0,F46&lt;=0),"NM",(F46-B46)/B46)</f>
        <v>NM</v>
      </c>
      <c r="G66" s="349" t="str">
        <f t="shared" si="124"/>
        <v>NM</v>
      </c>
      <c r="H66" s="349" t="str">
        <f t="shared" si="124"/>
        <v>NM</v>
      </c>
      <c r="I66" s="351" t="str">
        <f t="shared" si="124"/>
        <v>NM</v>
      </c>
      <c r="J66" s="348" t="str">
        <f t="shared" si="124"/>
        <v>NM</v>
      </c>
      <c r="K66" s="349" t="str">
        <f t="shared" si="124"/>
        <v>NM</v>
      </c>
      <c r="L66" s="349" t="str">
        <f t="shared" si="124"/>
        <v>NM</v>
      </c>
      <c r="M66" s="351" t="str">
        <f t="shared" si="124"/>
        <v>NM</v>
      </c>
      <c r="N66" s="348" t="str">
        <f t="shared" si="124"/>
        <v>NM</v>
      </c>
      <c r="O66" s="349" t="str">
        <f t="shared" si="124"/>
        <v>NM</v>
      </c>
      <c r="P66" s="352" t="str">
        <f t="shared" si="124"/>
        <v>NM</v>
      </c>
      <c r="Q66" s="351" t="str">
        <f t="shared" si="124"/>
        <v>NM</v>
      </c>
      <c r="R66" s="348" t="str">
        <f t="shared" si="124"/>
        <v>NM</v>
      </c>
      <c r="S66" s="349">
        <f t="shared" si="124"/>
        <v>1.0522583701067914</v>
      </c>
      <c r="T66" s="349">
        <f t="shared" si="124"/>
        <v>-0.25543570313114317</v>
      </c>
      <c r="U66" s="351">
        <f t="shared" si="124"/>
        <v>-0.60034299315881945</v>
      </c>
      <c r="V66" s="348">
        <f t="shared" si="124"/>
        <v>-0.54062340918919904</v>
      </c>
      <c r="W66" s="349">
        <f t="shared" si="124"/>
        <v>-0.43391080556376121</v>
      </c>
      <c r="X66" s="349">
        <f t="shared" si="124"/>
        <v>1.07987986126191</v>
      </c>
      <c r="Y66" s="351">
        <f t="shared" si="124"/>
        <v>1.3692752822149019</v>
      </c>
      <c r="Z66" s="348">
        <f t="shared" si="124"/>
        <v>0.84235477114385415</v>
      </c>
      <c r="AA66" s="349">
        <f t="shared" si="124"/>
        <v>3.3314508089511632</v>
      </c>
      <c r="AB66" s="349">
        <f t="shared" si="124"/>
        <v>0.5422918532436547</v>
      </c>
      <c r="AC66" s="351">
        <f t="shared" si="124"/>
        <v>1.0453047648179048</v>
      </c>
      <c r="AD66" s="348">
        <f t="shared" si="124"/>
        <v>1.2545911038532767</v>
      </c>
      <c r="AE66" s="349">
        <f t="shared" si="124"/>
        <v>0.41749612458293689</v>
      </c>
      <c r="AF66" s="349">
        <f t="shared" si="124"/>
        <v>0.41216081867551507</v>
      </c>
      <c r="AG66" s="351">
        <f t="shared" si="124"/>
        <v>0.6551299813634115</v>
      </c>
      <c r="AH66" s="348">
        <f t="shared" si="124"/>
        <v>0.44330531227923903</v>
      </c>
      <c r="AI66" s="349">
        <f t="shared" si="124"/>
        <v>8.7417809058698961E-2</v>
      </c>
      <c r="AJ66" s="349">
        <f t="shared" si="124"/>
        <v>0.32240885906415945</v>
      </c>
      <c r="AK66" s="351">
        <f t="shared" si="124"/>
        <v>0.17770122317448594</v>
      </c>
      <c r="AL66" s="348">
        <f t="shared" si="124"/>
        <v>0.13850041729382451</v>
      </c>
      <c r="AM66" s="349">
        <f t="shared" si="124"/>
        <v>0.17486594192922456</v>
      </c>
      <c r="AN66" s="349">
        <f t="shared" si="124"/>
        <v>0.18939228360288041</v>
      </c>
      <c r="AO66" s="351">
        <f t="shared" si="124"/>
        <v>0.12787315378834213</v>
      </c>
      <c r="AP66" s="348">
        <f t="shared" si="124"/>
        <v>6.1706876855419354E-2</v>
      </c>
      <c r="AQ66" s="349">
        <f t="shared" si="124"/>
        <v>0.12564555491722423</v>
      </c>
      <c r="AR66" s="349">
        <f t="shared" si="124"/>
        <v>0.10868046232615911</v>
      </c>
      <c r="AS66" s="351">
        <f t="shared" si="124"/>
        <v>0.10223534562515606</v>
      </c>
      <c r="AT66" s="337"/>
      <c r="AU66" s="353"/>
      <c r="AV66" s="353" t="str">
        <f t="shared" ref="AV66:BE66" si="125">IF(OR(AU46&lt;=0,AV46&lt;=0),"NM",(AV46-AU46)/AU46)</f>
        <v>NM</v>
      </c>
      <c r="AW66" s="353" t="str">
        <f t="shared" si="125"/>
        <v>NM</v>
      </c>
      <c r="AX66" s="353" t="str">
        <f t="shared" si="125"/>
        <v>NM</v>
      </c>
      <c r="AY66" s="353">
        <f t="shared" si="125"/>
        <v>0.79339203446806283</v>
      </c>
      <c r="AZ66" s="348">
        <f t="shared" si="125"/>
        <v>0.11177419907608629</v>
      </c>
      <c r="BA66" s="354">
        <f t="shared" si="125"/>
        <v>1.1302596952652888</v>
      </c>
      <c r="BB66" s="353">
        <f t="shared" si="125"/>
        <v>0.60051102350199703</v>
      </c>
      <c r="BC66" s="353">
        <f t="shared" si="125"/>
        <v>0.23990179591216049</v>
      </c>
      <c r="BD66" s="353">
        <f t="shared" si="125"/>
        <v>0.15878662984598824</v>
      </c>
      <c r="BE66" s="353">
        <f t="shared" si="125"/>
        <v>0.10056578733274432</v>
      </c>
    </row>
    <row r="67" spans="1:57" s="33" customFormat="1" ht="12" hidden="1" customHeight="1" outlineLevel="1">
      <c r="A67" s="355"/>
      <c r="B67" s="334"/>
      <c r="C67" s="334"/>
      <c r="D67" s="334"/>
      <c r="E67" s="356"/>
      <c r="F67" s="334"/>
      <c r="G67" s="334"/>
      <c r="H67" s="334"/>
      <c r="I67" s="334"/>
      <c r="J67" s="334"/>
      <c r="K67" s="334"/>
      <c r="L67" s="334"/>
      <c r="M67" s="334"/>
      <c r="N67" s="334"/>
      <c r="O67" s="334"/>
      <c r="P67" s="336"/>
      <c r="Q67" s="334"/>
      <c r="R67" s="334"/>
      <c r="S67" s="334"/>
      <c r="T67" s="334"/>
      <c r="U67" s="334"/>
      <c r="V67" s="334"/>
      <c r="W67" s="334"/>
      <c r="X67" s="334"/>
      <c r="Y67" s="334"/>
      <c r="Z67" s="334"/>
      <c r="AA67" s="334"/>
      <c r="AB67" s="334"/>
      <c r="AC67" s="357"/>
      <c r="AD67" s="334"/>
      <c r="AE67" s="334"/>
      <c r="AF67" s="334"/>
      <c r="AG67" s="334"/>
      <c r="AH67" s="334"/>
      <c r="AI67" s="334"/>
      <c r="AJ67" s="334"/>
      <c r="AK67" s="334"/>
      <c r="AL67" s="334"/>
      <c r="AM67" s="334"/>
      <c r="AN67" s="334"/>
      <c r="AO67" s="334"/>
      <c r="AP67" s="334"/>
      <c r="AQ67" s="334"/>
      <c r="AR67" s="334"/>
      <c r="AS67" s="334"/>
      <c r="AT67" s="337"/>
      <c r="AU67" s="334"/>
      <c r="AV67" s="334"/>
      <c r="AW67" s="334"/>
      <c r="AX67" s="334"/>
      <c r="AY67" s="334"/>
      <c r="AZ67" s="334"/>
      <c r="BA67" s="334"/>
      <c r="BB67" s="334"/>
      <c r="BC67" s="334"/>
      <c r="BD67" s="334"/>
      <c r="BE67" s="334"/>
    </row>
    <row r="68" spans="1:57" s="62" customFormat="1" ht="12" customHeight="1" collapsed="1">
      <c r="A68" s="358" t="s">
        <v>123</v>
      </c>
      <c r="B68" s="359">
        <f t="shared" ref="B68:AS68" si="126">B4</f>
        <v>42825</v>
      </c>
      <c r="C68" s="359">
        <f t="shared" si="126"/>
        <v>42916</v>
      </c>
      <c r="D68" s="359">
        <f t="shared" si="126"/>
        <v>43008</v>
      </c>
      <c r="E68" s="359">
        <f t="shared" si="126"/>
        <v>43100</v>
      </c>
      <c r="F68" s="360">
        <f t="shared" si="126"/>
        <v>43190</v>
      </c>
      <c r="G68" s="359">
        <f t="shared" si="126"/>
        <v>43281</v>
      </c>
      <c r="H68" s="359">
        <f t="shared" si="126"/>
        <v>43373</v>
      </c>
      <c r="I68" s="359">
        <f t="shared" si="126"/>
        <v>43465</v>
      </c>
      <c r="J68" s="360">
        <f t="shared" si="126"/>
        <v>43555</v>
      </c>
      <c r="K68" s="359">
        <f t="shared" si="126"/>
        <v>43646</v>
      </c>
      <c r="L68" s="359">
        <f t="shared" si="126"/>
        <v>43738</v>
      </c>
      <c r="M68" s="359">
        <f t="shared" si="126"/>
        <v>43830</v>
      </c>
      <c r="N68" s="360">
        <f t="shared" si="126"/>
        <v>43921</v>
      </c>
      <c r="O68" s="359">
        <f t="shared" si="126"/>
        <v>44012</v>
      </c>
      <c r="P68" s="359">
        <f t="shared" si="126"/>
        <v>44104</v>
      </c>
      <c r="Q68" s="359">
        <f t="shared" si="126"/>
        <v>44196</v>
      </c>
      <c r="R68" s="360">
        <f t="shared" si="126"/>
        <v>44286</v>
      </c>
      <c r="S68" s="359">
        <f t="shared" si="126"/>
        <v>44377</v>
      </c>
      <c r="T68" s="359">
        <f t="shared" si="126"/>
        <v>44469</v>
      </c>
      <c r="U68" s="359">
        <f t="shared" si="126"/>
        <v>44561</v>
      </c>
      <c r="V68" s="360">
        <f t="shared" si="126"/>
        <v>44651</v>
      </c>
      <c r="W68" s="359">
        <f t="shared" si="126"/>
        <v>44742</v>
      </c>
      <c r="X68" s="359">
        <f t="shared" si="126"/>
        <v>44834</v>
      </c>
      <c r="Y68" s="359">
        <f t="shared" si="126"/>
        <v>44926</v>
      </c>
      <c r="Z68" s="360">
        <f t="shared" si="126"/>
        <v>45016</v>
      </c>
      <c r="AA68" s="359">
        <f t="shared" si="126"/>
        <v>45107</v>
      </c>
      <c r="AB68" s="359">
        <f t="shared" si="126"/>
        <v>45199</v>
      </c>
      <c r="AC68" s="361">
        <f t="shared" si="126"/>
        <v>45291</v>
      </c>
      <c r="AD68" s="360">
        <f t="shared" si="126"/>
        <v>45382</v>
      </c>
      <c r="AE68" s="359">
        <f t="shared" si="126"/>
        <v>45473</v>
      </c>
      <c r="AF68" s="359" t="str">
        <f t="shared" si="126"/>
        <v>Sep-24</v>
      </c>
      <c r="AG68" s="361" t="str">
        <f t="shared" si="126"/>
        <v>Dec-24</v>
      </c>
      <c r="AH68" s="360" t="str">
        <f t="shared" si="126"/>
        <v>Mar-25</v>
      </c>
      <c r="AI68" s="359" t="str">
        <f t="shared" si="126"/>
        <v>Jun-25</v>
      </c>
      <c r="AJ68" s="359" t="str">
        <f t="shared" si="126"/>
        <v>Sep-25</v>
      </c>
      <c r="AK68" s="361" t="str">
        <f t="shared" si="126"/>
        <v>Dec-25</v>
      </c>
      <c r="AL68" s="360" t="str">
        <f t="shared" si="126"/>
        <v>Mar-26E</v>
      </c>
      <c r="AM68" s="359" t="str">
        <f t="shared" si="126"/>
        <v>Jun-26E</v>
      </c>
      <c r="AN68" s="359" t="str">
        <f t="shared" si="126"/>
        <v>Sep-26E</v>
      </c>
      <c r="AO68" s="361" t="str">
        <f t="shared" si="126"/>
        <v>Dec-26E</v>
      </c>
      <c r="AP68" s="360" t="str">
        <f t="shared" si="126"/>
        <v>Mar-27E</v>
      </c>
      <c r="AQ68" s="359" t="str">
        <f t="shared" si="126"/>
        <v>Jun-27E</v>
      </c>
      <c r="AR68" s="359" t="str">
        <f t="shared" si="126"/>
        <v>Sep-27E</v>
      </c>
      <c r="AS68" s="361" t="str">
        <f t="shared" si="126"/>
        <v>Dec-27E</v>
      </c>
      <c r="AT68" s="61"/>
      <c r="AU68" s="362">
        <f t="shared" ref="AU68:BE68" si="127">AU56</f>
        <v>2017</v>
      </c>
      <c r="AV68" s="363">
        <f t="shared" si="127"/>
        <v>2018</v>
      </c>
      <c r="AW68" s="362">
        <f t="shared" si="127"/>
        <v>2019</v>
      </c>
      <c r="AX68" s="362">
        <f t="shared" si="127"/>
        <v>2020</v>
      </c>
      <c r="AY68" s="364" t="str">
        <f t="shared" si="127"/>
        <v>CY21</v>
      </c>
      <c r="AZ68" s="362" t="str">
        <f t="shared" si="127"/>
        <v>CY22</v>
      </c>
      <c r="BA68" s="363" t="str">
        <f t="shared" si="127"/>
        <v>CY23</v>
      </c>
      <c r="BB68" s="363" t="str">
        <f t="shared" si="127"/>
        <v>CY24</v>
      </c>
      <c r="BC68" s="363" t="str">
        <f t="shared" si="127"/>
        <v>CY25</v>
      </c>
      <c r="BD68" s="363" t="str">
        <f t="shared" si="127"/>
        <v>CY26E</v>
      </c>
      <c r="BE68" s="363" t="str">
        <f t="shared" si="127"/>
        <v>CY27E</v>
      </c>
    </row>
    <row r="69" spans="1:57" s="62" customFormat="1" ht="11.45" customHeight="1">
      <c r="A69" s="324" t="s">
        <v>124</v>
      </c>
      <c r="B69" s="325">
        <f t="shared" ref="B69:AK69" si="128">+B17/B$9</f>
        <v>0.89543242508831311</v>
      </c>
      <c r="C69" s="326">
        <f t="shared" si="128"/>
        <v>0.88341751795057655</v>
      </c>
      <c r="D69" s="326">
        <f t="shared" si="128"/>
        <v>0.85279706002449984</v>
      </c>
      <c r="E69" s="327">
        <f t="shared" si="128"/>
        <v>0.85006559861041819</v>
      </c>
      <c r="F69" s="325">
        <f t="shared" si="128"/>
        <v>0.85619300590454595</v>
      </c>
      <c r="G69" s="326">
        <f t="shared" si="128"/>
        <v>0.84881746131588887</v>
      </c>
      <c r="H69" s="326">
        <f t="shared" si="128"/>
        <v>0.83701036866359446</v>
      </c>
      <c r="I69" s="326">
        <f t="shared" si="128"/>
        <v>0.84811422342165088</v>
      </c>
      <c r="J69" s="365">
        <f t="shared" si="128"/>
        <v>0.84529457914596329</v>
      </c>
      <c r="K69" s="326">
        <f t="shared" si="128"/>
        <v>0.84745385552328312</v>
      </c>
      <c r="L69" s="326">
        <f t="shared" si="128"/>
        <v>0.84294299525323346</v>
      </c>
      <c r="M69" s="327">
        <f t="shared" si="128"/>
        <v>0.81960659048521867</v>
      </c>
      <c r="N69" s="365">
        <f t="shared" si="128"/>
        <v>0.83073221105135997</v>
      </c>
      <c r="O69" s="326">
        <f t="shared" si="128"/>
        <v>0.83458478299396499</v>
      </c>
      <c r="P69" s="326">
        <f t="shared" si="128"/>
        <v>0.83978732120909849</v>
      </c>
      <c r="Q69" s="327">
        <f t="shared" si="128"/>
        <v>0.83923036533934048</v>
      </c>
      <c r="R69" s="326">
        <f t="shared" si="128"/>
        <v>0.83312633433179906</v>
      </c>
      <c r="S69" s="326">
        <f t="shared" si="128"/>
        <v>0.81714123400302474</v>
      </c>
      <c r="T69" s="326">
        <f t="shared" si="128"/>
        <v>0.82588126694744124</v>
      </c>
      <c r="U69" s="326">
        <f t="shared" si="128"/>
        <v>0.81892791474855386</v>
      </c>
      <c r="V69" s="365">
        <f t="shared" si="128"/>
        <v>0.80554440038150688</v>
      </c>
      <c r="W69" s="326">
        <f t="shared" si="128"/>
        <v>0.81052810923628305</v>
      </c>
      <c r="X69" s="326">
        <f t="shared" si="128"/>
        <v>0.81034709552704876</v>
      </c>
      <c r="Y69" s="327">
        <f t="shared" si="128"/>
        <v>0.78465696443175859</v>
      </c>
      <c r="Z69" s="365">
        <f t="shared" si="128"/>
        <v>0.78923315628657209</v>
      </c>
      <c r="AA69" s="326">
        <f t="shared" si="128"/>
        <v>0.80754835004819625</v>
      </c>
      <c r="AB69" s="326">
        <f t="shared" si="128"/>
        <v>0.80306556376501648</v>
      </c>
      <c r="AC69" s="326">
        <f t="shared" si="128"/>
        <v>0.80569229182488999</v>
      </c>
      <c r="AD69" s="365">
        <f t="shared" si="128"/>
        <v>0.80884974601895709</v>
      </c>
      <c r="AE69" s="326">
        <f t="shared" si="128"/>
        <v>0.81581171663480101</v>
      </c>
      <c r="AF69" s="326">
        <f t="shared" si="128"/>
        <v>0.81386510956105118</v>
      </c>
      <c r="AG69" s="326">
        <f t="shared" si="128"/>
        <v>0.81659603531143554</v>
      </c>
      <c r="AH69" s="365">
        <f t="shared" si="128"/>
        <v>0.81901169622434</v>
      </c>
      <c r="AI69" s="326">
        <f t="shared" si="128"/>
        <v>0.82030772963464682</v>
      </c>
      <c r="AJ69" s="326">
        <f t="shared" si="128"/>
        <v>0.81589288543812388</v>
      </c>
      <c r="AK69" s="326">
        <f t="shared" si="128"/>
        <v>0.82703150848452978</v>
      </c>
      <c r="AL69" s="366">
        <f>AH69-0.001</f>
        <v>0.81801169622434</v>
      </c>
      <c r="AM69" s="367">
        <f t="shared" ref="AM69" si="129">AI69-0.001</f>
        <v>0.81930772963464682</v>
      </c>
      <c r="AN69" s="367">
        <v>0.82199999999999995</v>
      </c>
      <c r="AO69" s="368">
        <v>0.82699999999999996</v>
      </c>
      <c r="AP69" s="367">
        <f t="shared" ref="AP69:AS69" si="130">AL69-0.001</f>
        <v>0.81701169622434</v>
      </c>
      <c r="AQ69" s="367">
        <f t="shared" si="130"/>
        <v>0.81830772963464682</v>
      </c>
      <c r="AR69" s="367">
        <f t="shared" si="130"/>
        <v>0.82099999999999995</v>
      </c>
      <c r="AS69" s="367">
        <f t="shared" si="130"/>
        <v>0.82599999999999996</v>
      </c>
      <c r="AT69" s="369"/>
      <c r="AU69" s="370">
        <f t="shared" ref="AU69:BE69" si="131">+AU17/AU$9</f>
        <v>0.86840465143532897</v>
      </c>
      <c r="AV69" s="326">
        <f t="shared" si="131"/>
        <v>0.84718357271095146</v>
      </c>
      <c r="AW69" s="370">
        <f t="shared" si="131"/>
        <v>0.83817466002605845</v>
      </c>
      <c r="AX69" s="370">
        <f t="shared" si="131"/>
        <v>0.83625951510718477</v>
      </c>
      <c r="AY69" s="326">
        <f t="shared" si="131"/>
        <v>0.82351191026185933</v>
      </c>
      <c r="AZ69" s="370">
        <f t="shared" si="131"/>
        <v>0.8023276067746794</v>
      </c>
      <c r="BA69" s="327">
        <f t="shared" si="131"/>
        <v>0.80159131599704525</v>
      </c>
      <c r="BB69" s="327">
        <f t="shared" si="131"/>
        <v>0.81385545448384</v>
      </c>
      <c r="BC69" s="327">
        <f t="shared" si="131"/>
        <v>0.82063527799040425</v>
      </c>
      <c r="BD69" s="327">
        <f t="shared" si="131"/>
        <v>0.82166437772550427</v>
      </c>
      <c r="BE69" s="327">
        <f t="shared" si="131"/>
        <v>0.82066403689992706</v>
      </c>
    </row>
    <row r="70" spans="1:57" s="62" customFormat="1" ht="12" hidden="1" customHeight="1" outlineLevel="1">
      <c r="A70" s="371" t="s">
        <v>125</v>
      </c>
      <c r="B70" s="325"/>
      <c r="C70" s="326"/>
      <c r="D70" s="326"/>
      <c r="E70" s="327"/>
      <c r="F70" s="372"/>
      <c r="G70" s="373"/>
      <c r="H70" s="373">
        <f t="shared" ref="H70:AS70" si="132">H18/H10</f>
        <v>0.82232900700764888</v>
      </c>
      <c r="I70" s="374">
        <f t="shared" si="132"/>
        <v>0.82219587776143477</v>
      </c>
      <c r="J70" s="372">
        <f t="shared" si="132"/>
        <v>0.80826269977852805</v>
      </c>
      <c r="K70" s="373">
        <f t="shared" si="132"/>
        <v>0.82085107262631307</v>
      </c>
      <c r="L70" s="373">
        <f t="shared" si="132"/>
        <v>0.83078380553052478</v>
      </c>
      <c r="M70" s="374">
        <f t="shared" si="132"/>
        <v>0.83779344263195454</v>
      </c>
      <c r="N70" s="372">
        <f t="shared" si="132"/>
        <v>0.81988574232889611</v>
      </c>
      <c r="O70" s="373">
        <f t="shared" si="132"/>
        <v>0.8307279931842001</v>
      </c>
      <c r="P70" s="373">
        <f t="shared" si="132"/>
        <v>0.82796033776719091</v>
      </c>
      <c r="Q70" s="374">
        <f t="shared" si="132"/>
        <v>0.83422791096246718</v>
      </c>
      <c r="R70" s="373">
        <f t="shared" si="132"/>
        <v>0.8273768589940278</v>
      </c>
      <c r="S70" s="373">
        <f t="shared" si="132"/>
        <v>0.82616036897522094</v>
      </c>
      <c r="T70" s="373">
        <f t="shared" si="132"/>
        <v>0.81913525094028594</v>
      </c>
      <c r="U70" s="373">
        <f t="shared" si="132"/>
        <v>0.8221433732021951</v>
      </c>
      <c r="V70" s="372">
        <f t="shared" si="132"/>
        <v>0.81541942979441662</v>
      </c>
      <c r="W70" s="373">
        <f t="shared" si="132"/>
        <v>0.80287420973921275</v>
      </c>
      <c r="X70" s="373">
        <f t="shared" si="132"/>
        <v>0.80651025096452977</v>
      </c>
      <c r="Y70" s="374">
        <f t="shared" si="132"/>
        <v>0.80856547733846784</v>
      </c>
      <c r="Z70" s="372">
        <f t="shared" si="132"/>
        <v>0.77995800044651087</v>
      </c>
      <c r="AA70" s="373">
        <f t="shared" si="132"/>
        <v>0.79107831654698335</v>
      </c>
      <c r="AB70" s="373">
        <f t="shared" si="132"/>
        <v>0.79704009380913732</v>
      </c>
      <c r="AC70" s="374">
        <f t="shared" si="132"/>
        <v>0.79400961514138768</v>
      </c>
      <c r="AD70" s="372">
        <f t="shared" si="132"/>
        <v>0.79577242830493589</v>
      </c>
      <c r="AE70" s="373">
        <f t="shared" si="132"/>
        <v>0.80212557473348745</v>
      </c>
      <c r="AF70" s="373">
        <f t="shared" si="132"/>
        <v>0.80542939353392251</v>
      </c>
      <c r="AG70" s="373">
        <f t="shared" si="132"/>
        <v>0.81106593163869556</v>
      </c>
      <c r="AH70" s="372">
        <f t="shared" si="132"/>
        <v>0.8066256919263004</v>
      </c>
      <c r="AI70" s="373">
        <f t="shared" si="132"/>
        <v>0.81284807074261312</v>
      </c>
      <c r="AJ70" s="334">
        <f t="shared" si="132"/>
        <v>0.81563196897445123</v>
      </c>
      <c r="AK70" s="373">
        <f t="shared" si="132"/>
        <v>0.81699627580397083</v>
      </c>
      <c r="AL70" s="372">
        <f t="shared" si="132"/>
        <v>0.81747826937536627</v>
      </c>
      <c r="AM70" s="373">
        <f t="shared" si="132"/>
        <v>0.81964164231314007</v>
      </c>
      <c r="AN70" s="373">
        <f t="shared" si="132"/>
        <v>0.81872939494049546</v>
      </c>
      <c r="AO70" s="374">
        <f t="shared" si="132"/>
        <v>0.82313277621983982</v>
      </c>
      <c r="AP70" s="372">
        <f t="shared" si="132"/>
        <v>0.8194746517118634</v>
      </c>
      <c r="AQ70" s="373">
        <f t="shared" si="132"/>
        <v>0.82106671164613731</v>
      </c>
      <c r="AR70" s="373">
        <f t="shared" si="132"/>
        <v>0.82100373775731983</v>
      </c>
      <c r="AS70" s="374">
        <f t="shared" si="132"/>
        <v>0.82406026753676442</v>
      </c>
      <c r="AT70" s="61"/>
      <c r="AU70" s="331"/>
      <c r="AV70" s="326"/>
      <c r="AW70" s="331"/>
      <c r="AX70" s="375">
        <f t="shared" ref="AX70:BE70" si="133">AX18/AX10</f>
        <v>0.83492908860570447</v>
      </c>
      <c r="AY70" s="373">
        <f t="shared" si="133"/>
        <v>0.82439087019137713</v>
      </c>
      <c r="AZ70" s="375">
        <f t="shared" si="133"/>
        <v>0.80878986990977175</v>
      </c>
      <c r="BA70" s="374">
        <f t="shared" si="133"/>
        <v>0.79850944275676727</v>
      </c>
      <c r="BB70" s="374">
        <f t="shared" si="133"/>
        <v>0.81241327430806487</v>
      </c>
      <c r="BC70" s="374">
        <f t="shared" si="133"/>
        <v>0.81798625682007264</v>
      </c>
      <c r="BD70" s="374">
        <f t="shared" si="133"/>
        <v>0.81979654407847613</v>
      </c>
      <c r="BE70" s="374">
        <f t="shared" si="133"/>
        <v>0.82143920461215647</v>
      </c>
    </row>
    <row r="71" spans="1:57" s="62" customFormat="1" ht="12" customHeight="1" collapsed="1">
      <c r="A71" s="376" t="s">
        <v>126</v>
      </c>
      <c r="B71" s="333">
        <f t="shared" ref="B71:AK75" si="134">+B21/B$9</f>
        <v>0.63975692300091402</v>
      </c>
      <c r="C71" s="334">
        <f t="shared" si="134"/>
        <v>0.62096536727898699</v>
      </c>
      <c r="D71" s="334">
        <f t="shared" si="134"/>
        <v>0.59544712127398935</v>
      </c>
      <c r="E71" s="335">
        <f t="shared" si="134"/>
        <v>0.59578321045142923</v>
      </c>
      <c r="F71" s="333">
        <f t="shared" si="134"/>
        <v>0.65958346727122008</v>
      </c>
      <c r="G71" s="334">
        <f t="shared" si="134"/>
        <v>0.64710969933324958</v>
      </c>
      <c r="H71" s="334">
        <f t="shared" si="134"/>
        <v>0.60257776497695847</v>
      </c>
      <c r="I71" s="334">
        <f t="shared" si="134"/>
        <v>0.59096528894856493</v>
      </c>
      <c r="J71" s="377">
        <f t="shared" si="134"/>
        <v>0.61422647289572985</v>
      </c>
      <c r="K71" s="334">
        <f t="shared" si="134"/>
        <v>0.60667103907055187</v>
      </c>
      <c r="L71" s="334">
        <f t="shared" si="134"/>
        <v>0.57895309846274434</v>
      </c>
      <c r="M71" s="335">
        <f t="shared" si="134"/>
        <v>0.59456563179424837</v>
      </c>
      <c r="N71" s="377">
        <f t="shared" si="134"/>
        <v>0.53930909516015901</v>
      </c>
      <c r="O71" s="334">
        <f t="shared" si="134"/>
        <v>0.46701303062242905</v>
      </c>
      <c r="P71" s="336">
        <f t="shared" si="134"/>
        <v>0.42962362622682176</v>
      </c>
      <c r="Q71" s="335">
        <f t="shared" si="134"/>
        <v>0.42994698599278464</v>
      </c>
      <c r="R71" s="334">
        <f t="shared" si="134"/>
        <v>0.42486748005097852</v>
      </c>
      <c r="S71" s="334">
        <f t="shared" si="134"/>
        <v>0.44604211609178629</v>
      </c>
      <c r="T71" s="334">
        <f t="shared" si="134"/>
        <v>0.43797236485317032</v>
      </c>
      <c r="U71" s="334">
        <f t="shared" si="134"/>
        <v>0.46610476586721067</v>
      </c>
      <c r="V71" s="377">
        <f t="shared" si="134"/>
        <v>0.44867853019426734</v>
      </c>
      <c r="W71" s="334">
        <f t="shared" si="134"/>
        <v>0.46038420114274581</v>
      </c>
      <c r="X71" s="334">
        <f t="shared" si="134"/>
        <v>0.42627151117236967</v>
      </c>
      <c r="Y71" s="334">
        <f t="shared" si="134"/>
        <v>0.42434910713802132</v>
      </c>
      <c r="Z71" s="377">
        <f t="shared" si="134"/>
        <v>0.43845286196177691</v>
      </c>
      <c r="AA71" s="334">
        <f t="shared" si="134"/>
        <v>0.41724091962509485</v>
      </c>
      <c r="AB71" s="334">
        <f t="shared" si="134"/>
        <v>0.39177488103449137</v>
      </c>
      <c r="AC71" s="335">
        <f t="shared" si="134"/>
        <v>0.41724095899787161</v>
      </c>
      <c r="AD71" s="377">
        <f t="shared" si="134"/>
        <v>0.39139011210357433</v>
      </c>
      <c r="AE71" s="334">
        <f t="shared" si="134"/>
        <v>0.38353198548189532</v>
      </c>
      <c r="AF71" s="334">
        <f t="shared" si="134"/>
        <v>0.36612238427393784</v>
      </c>
      <c r="AG71" s="334">
        <f t="shared" si="134"/>
        <v>0.33995528801897079</v>
      </c>
      <c r="AH71" s="377">
        <f t="shared" si="134"/>
        <v>0.35752727516026378</v>
      </c>
      <c r="AI71" s="334">
        <f t="shared" si="134"/>
        <v>0.35995470996178652</v>
      </c>
      <c r="AJ71" s="336">
        <f t="shared" si="134"/>
        <v>0.32838694343210267</v>
      </c>
      <c r="AK71" s="334">
        <f t="shared" si="134"/>
        <v>0.34323866842204254</v>
      </c>
      <c r="AL71" s="378">
        <f>+AH71-0.005</f>
        <v>0.35252727516026378</v>
      </c>
      <c r="AM71" s="379">
        <f>+AI71-0.015</f>
        <v>0.34495470996178651</v>
      </c>
      <c r="AN71" s="379">
        <f t="shared" ref="AN71:AO71" si="135">+AJ71-0.015</f>
        <v>0.31338694343210266</v>
      </c>
      <c r="AO71" s="380">
        <f t="shared" si="135"/>
        <v>0.32823866842204252</v>
      </c>
      <c r="AP71" s="378">
        <f>+AL71-0.005</f>
        <v>0.34752727516026377</v>
      </c>
      <c r="AQ71" s="379">
        <f t="shared" ref="AQ71:AS71" si="136">+AM71-0.005</f>
        <v>0.33995470996178651</v>
      </c>
      <c r="AR71" s="379">
        <f t="shared" si="136"/>
        <v>0.30838694343210266</v>
      </c>
      <c r="AS71" s="380">
        <f t="shared" si="136"/>
        <v>0.32323866842204252</v>
      </c>
      <c r="AT71" s="61"/>
      <c r="AU71" s="339">
        <f t="shared" ref="AU71:BE75" si="137">+AU21/AU$9</f>
        <v>0.61110016140459278</v>
      </c>
      <c r="AV71" s="334">
        <f t="shared" si="137"/>
        <v>0.6225052363853979</v>
      </c>
      <c r="AW71" s="339">
        <f t="shared" si="137"/>
        <v>0.59788880553659751</v>
      </c>
      <c r="AX71" s="339">
        <f t="shared" si="137"/>
        <v>0.4643917486898626</v>
      </c>
      <c r="AY71" s="334">
        <f t="shared" si="137"/>
        <v>0.44467872784728252</v>
      </c>
      <c r="AZ71" s="339">
        <f t="shared" si="137"/>
        <v>0.4391846496806896</v>
      </c>
      <c r="BA71" s="335">
        <f t="shared" si="137"/>
        <v>0.41583052672434295</v>
      </c>
      <c r="BB71" s="335">
        <f t="shared" si="137"/>
        <v>0.36961137573456621</v>
      </c>
      <c r="BC71" s="335">
        <f t="shared" si="137"/>
        <v>0.34704249028171763</v>
      </c>
      <c r="BD71" s="335">
        <f t="shared" si="137"/>
        <v>0.33452473176338954</v>
      </c>
      <c r="BE71" s="335">
        <f t="shared" si="137"/>
        <v>0.3295261232902294</v>
      </c>
    </row>
    <row r="72" spans="1:57" s="62" customFormat="1" ht="12" customHeight="1">
      <c r="A72" s="376" t="s">
        <v>127</v>
      </c>
      <c r="B72" s="333">
        <f t="shared" si="134"/>
        <v>0.29801635335095478</v>
      </c>
      <c r="C72" s="334">
        <f t="shared" si="134"/>
        <v>0.30036920428548775</v>
      </c>
      <c r="D72" s="334">
        <f t="shared" si="134"/>
        <v>0.31357697019191505</v>
      </c>
      <c r="E72" s="335">
        <f t="shared" si="134"/>
        <v>0.28100227285326235</v>
      </c>
      <c r="F72" s="333">
        <f t="shared" si="134"/>
        <v>0.28182787148730265</v>
      </c>
      <c r="G72" s="334">
        <f t="shared" si="134"/>
        <v>0.26970373631903383</v>
      </c>
      <c r="H72" s="334">
        <f t="shared" si="134"/>
        <v>0.26103110599078344</v>
      </c>
      <c r="I72" s="334">
        <f t="shared" si="134"/>
        <v>0.25204397708086834</v>
      </c>
      <c r="J72" s="377">
        <f t="shared" si="134"/>
        <v>0.24787985205663687</v>
      </c>
      <c r="K72" s="334">
        <f t="shared" si="134"/>
        <v>0.22553405790312003</v>
      </c>
      <c r="L72" s="334">
        <f t="shared" si="134"/>
        <v>0.20292426947698475</v>
      </c>
      <c r="M72" s="335">
        <f t="shared" si="134"/>
        <v>0.2097084977691682</v>
      </c>
      <c r="N72" s="377">
        <f t="shared" si="134"/>
        <v>0.232668926817863</v>
      </c>
      <c r="O72" s="334">
        <f t="shared" si="134"/>
        <v>0.19976867613726457</v>
      </c>
      <c r="P72" s="336">
        <f t="shared" si="134"/>
        <v>0.18858766320514417</v>
      </c>
      <c r="Q72" s="335">
        <f t="shared" si="134"/>
        <v>0.17291373791094322</v>
      </c>
      <c r="R72" s="334">
        <f t="shared" si="134"/>
        <v>0.1841235824627199</v>
      </c>
      <c r="S72" s="334">
        <f t="shared" si="134"/>
        <v>0.17676321789665203</v>
      </c>
      <c r="T72" s="334">
        <f t="shared" si="134"/>
        <v>0.18092655627992849</v>
      </c>
      <c r="U72" s="334">
        <f t="shared" si="134"/>
        <v>0.16712746111208043</v>
      </c>
      <c r="V72" s="377">
        <f t="shared" si="134"/>
        <v>0.17460845339089404</v>
      </c>
      <c r="W72" s="334">
        <f t="shared" si="134"/>
        <v>0.17129626812542215</v>
      </c>
      <c r="X72" s="334">
        <f t="shared" si="134"/>
        <v>0.15657331099050051</v>
      </c>
      <c r="Y72" s="334">
        <f t="shared" si="134"/>
        <v>0.15547768251268748</v>
      </c>
      <c r="Z72" s="377">
        <f t="shared" si="134"/>
        <v>0.15525394648351237</v>
      </c>
      <c r="AA72" s="334">
        <f t="shared" si="134"/>
        <v>0.14397854755019585</v>
      </c>
      <c r="AB72" s="334">
        <f t="shared" si="134"/>
        <v>0.137995028010857</v>
      </c>
      <c r="AC72" s="335">
        <f t="shared" si="134"/>
        <v>0.14406064527017526</v>
      </c>
      <c r="AD72" s="377">
        <f t="shared" si="134"/>
        <v>0.15079574552812774</v>
      </c>
      <c r="AE72" s="334">
        <f t="shared" si="134"/>
        <v>0.1507405950976537</v>
      </c>
      <c r="AF72" s="334">
        <f t="shared" si="134"/>
        <v>0.15670136687099276</v>
      </c>
      <c r="AG72" s="334">
        <f t="shared" si="134"/>
        <v>0.13772902163907166</v>
      </c>
      <c r="AH72" s="377">
        <f t="shared" si="134"/>
        <v>0.16315752058443489</v>
      </c>
      <c r="AI72" s="334">
        <f t="shared" si="134"/>
        <v>0.17551507309084288</v>
      </c>
      <c r="AJ72" s="334">
        <f t="shared" si="134"/>
        <v>0.16673665029313897</v>
      </c>
      <c r="AK72" s="334">
        <f t="shared" si="134"/>
        <v>0.15675557414991576</v>
      </c>
      <c r="AL72" s="381">
        <f>+AH72</f>
        <v>0.16315752058443489</v>
      </c>
      <c r="AM72" s="382">
        <f t="shared" ref="AM72:AS72" si="138">+AI72</f>
        <v>0.17551507309084288</v>
      </c>
      <c r="AN72" s="382">
        <f t="shared" si="138"/>
        <v>0.16673665029313897</v>
      </c>
      <c r="AO72" s="383">
        <f t="shared" si="138"/>
        <v>0.15675557414991576</v>
      </c>
      <c r="AP72" s="381">
        <f t="shared" si="138"/>
        <v>0.16315752058443489</v>
      </c>
      <c r="AQ72" s="382">
        <f t="shared" si="138"/>
        <v>0.17551507309084288</v>
      </c>
      <c r="AR72" s="382">
        <f t="shared" si="138"/>
        <v>0.16673665029313897</v>
      </c>
      <c r="AS72" s="383">
        <f t="shared" si="138"/>
        <v>0.15675557414991576</v>
      </c>
      <c r="AT72" s="61"/>
      <c r="AU72" s="339">
        <f t="shared" si="137"/>
        <v>0.29772488773591432</v>
      </c>
      <c r="AV72" s="334">
        <f t="shared" si="137"/>
        <v>0.2651630760023938</v>
      </c>
      <c r="AW72" s="339">
        <f t="shared" si="137"/>
        <v>0.22040633301935214</v>
      </c>
      <c r="AX72" s="339">
        <f t="shared" si="137"/>
        <v>0.19738494983201618</v>
      </c>
      <c r="AY72" s="334">
        <f t="shared" si="137"/>
        <v>0.17685214273834385</v>
      </c>
      <c r="AZ72" s="339">
        <f t="shared" si="137"/>
        <v>0.16402587270616856</v>
      </c>
      <c r="BA72" s="335">
        <f t="shared" si="137"/>
        <v>0.1451565649609996</v>
      </c>
      <c r="BB72" s="335">
        <f t="shared" si="137"/>
        <v>0.1488498601699294</v>
      </c>
      <c r="BC72" s="335">
        <f t="shared" si="137"/>
        <v>0.16545044301359307</v>
      </c>
      <c r="BD72" s="335">
        <f t="shared" si="137"/>
        <v>0.16546301991962237</v>
      </c>
      <c r="BE72" s="335">
        <f t="shared" si="137"/>
        <v>0.16546336959960967</v>
      </c>
    </row>
    <row r="73" spans="1:57" s="62" customFormat="1" ht="12" customHeight="1">
      <c r="A73" s="376" t="s">
        <v>97</v>
      </c>
      <c r="B73" s="333">
        <f t="shared" si="134"/>
        <v>0.12981398680862627</v>
      </c>
      <c r="C73" s="334">
        <f t="shared" si="134"/>
        <v>0.12582391447144894</v>
      </c>
      <c r="D73" s="334">
        <f t="shared" si="134"/>
        <v>0.12717435688035933</v>
      </c>
      <c r="E73" s="335">
        <f t="shared" si="134"/>
        <v>0.1435778036476523</v>
      </c>
      <c r="F73" s="333">
        <f t="shared" si="134"/>
        <v>0.13301301030334817</v>
      </c>
      <c r="G73" s="334">
        <f t="shared" si="134"/>
        <v>0.14067807271354887</v>
      </c>
      <c r="H73" s="334">
        <f t="shared" si="134"/>
        <v>0.14854550691244242</v>
      </c>
      <c r="I73" s="334">
        <f t="shared" si="134"/>
        <v>0.14830964757182169</v>
      </c>
      <c r="J73" s="377">
        <f t="shared" si="134"/>
        <v>0.14775656592072325</v>
      </c>
      <c r="K73" s="334">
        <f t="shared" si="134"/>
        <v>0.14068209500609014</v>
      </c>
      <c r="L73" s="334">
        <f t="shared" si="134"/>
        <v>0.14492879850193791</v>
      </c>
      <c r="M73" s="335">
        <f t="shared" si="134"/>
        <v>0.13009922822491735</v>
      </c>
      <c r="N73" s="377">
        <f t="shared" si="134"/>
        <v>0.13395292650611798</v>
      </c>
      <c r="O73" s="334">
        <f t="shared" si="134"/>
        <v>0.11483177718288577</v>
      </c>
      <c r="P73" s="336">
        <f t="shared" si="134"/>
        <v>0.11101512263764449</v>
      </c>
      <c r="Q73" s="335">
        <f t="shared" si="134"/>
        <v>0.10579089107569313</v>
      </c>
      <c r="R73" s="334">
        <f t="shared" si="134"/>
        <v>0.11140605086493113</v>
      </c>
      <c r="S73" s="334">
        <f t="shared" si="134"/>
        <v>0.10578923529276286</v>
      </c>
      <c r="T73" s="334">
        <f t="shared" si="134"/>
        <v>0.10829054404892403</v>
      </c>
      <c r="U73" s="334">
        <f t="shared" si="134"/>
        <v>0.10598048557892335</v>
      </c>
      <c r="V73" s="377">
        <f t="shared" si="134"/>
        <v>0.10409868982480802</v>
      </c>
      <c r="W73" s="334">
        <f t="shared" si="134"/>
        <v>0.10466651657224917</v>
      </c>
      <c r="X73" s="334">
        <f t="shared" si="134"/>
        <v>9.5464138037529095E-2</v>
      </c>
      <c r="Y73" s="334">
        <f t="shared" si="134"/>
        <v>9.6852641214097299E-2</v>
      </c>
      <c r="Z73" s="377">
        <f t="shared" si="134"/>
        <v>9.9460386890419847E-2</v>
      </c>
      <c r="AA73" s="334">
        <f t="shared" si="134"/>
        <v>9.139338378555753E-2</v>
      </c>
      <c r="AB73" s="334">
        <f t="shared" si="134"/>
        <v>9.1808126870078263E-2</v>
      </c>
      <c r="AC73" s="335">
        <f t="shared" si="134"/>
        <v>7.5323713350773078E-2</v>
      </c>
      <c r="AD73" s="377">
        <f t="shared" si="134"/>
        <v>9.5299614282208372E-2</v>
      </c>
      <c r="AE73" s="334">
        <f t="shared" si="134"/>
        <v>8.8157258374351941E-2</v>
      </c>
      <c r="AF73" s="334">
        <f t="shared" si="134"/>
        <v>9.2990382582963424E-2</v>
      </c>
      <c r="AG73" s="334">
        <f t="shared" si="134"/>
        <v>8.7137457525739093E-2</v>
      </c>
      <c r="AH73" s="377">
        <f t="shared" si="134"/>
        <v>9.4774125292196518E-2</v>
      </c>
      <c r="AI73" s="334">
        <f t="shared" si="134"/>
        <v>9.1967083847226988E-2</v>
      </c>
      <c r="AJ73" s="334">
        <f t="shared" si="134"/>
        <v>8.7395024560291579E-2</v>
      </c>
      <c r="AK73" s="334">
        <f t="shared" si="134"/>
        <v>8.2565356403987197E-2</v>
      </c>
      <c r="AL73" s="381">
        <v>9.2999999999999999E-2</v>
      </c>
      <c r="AM73" s="382">
        <v>8.8999999999999996E-2</v>
      </c>
      <c r="AN73" s="382">
        <v>8.8999999999999996E-2</v>
      </c>
      <c r="AO73" s="383">
        <v>0.08</v>
      </c>
      <c r="AP73" s="381">
        <f>+AL73-0.002</f>
        <v>9.0999999999999998E-2</v>
      </c>
      <c r="AQ73" s="382">
        <f t="shared" ref="AQ73:AS73" si="139">+AM73-0.002</f>
        <v>8.6999999999999994E-2</v>
      </c>
      <c r="AR73" s="382">
        <f t="shared" si="139"/>
        <v>8.6999999999999994E-2</v>
      </c>
      <c r="AS73" s="383">
        <f t="shared" si="139"/>
        <v>7.8E-2</v>
      </c>
      <c r="AT73" s="61"/>
      <c r="AU73" s="339">
        <f t="shared" si="137"/>
        <v>0.13215467141114487</v>
      </c>
      <c r="AV73" s="334">
        <f t="shared" si="137"/>
        <v>0.14317399760622382</v>
      </c>
      <c r="AW73" s="339">
        <f t="shared" si="137"/>
        <v>0.14048778011540217</v>
      </c>
      <c r="AX73" s="339">
        <f t="shared" si="137"/>
        <v>0.11589179071420944</v>
      </c>
      <c r="AY73" s="334">
        <f t="shared" si="137"/>
        <v>0.107761536044943</v>
      </c>
      <c r="AZ73" s="339">
        <f t="shared" si="137"/>
        <v>0.10006718472579411</v>
      </c>
      <c r="BA73" s="335">
        <f t="shared" si="137"/>
        <v>8.9113695834533185E-2</v>
      </c>
      <c r="BB73" s="335">
        <f t="shared" si="137"/>
        <v>9.0823436342040903E-2</v>
      </c>
      <c r="BC73" s="335">
        <f t="shared" si="137"/>
        <v>8.9032974619898828E-2</v>
      </c>
      <c r="BD73" s="335">
        <f t="shared" si="137"/>
        <v>8.7633734768453972E-2</v>
      </c>
      <c r="BE73" s="335">
        <f t="shared" si="137"/>
        <v>8.563415728874986E-2</v>
      </c>
    </row>
    <row r="74" spans="1:57" s="62" customFormat="1" ht="12" customHeight="1">
      <c r="A74" s="332" t="s">
        <v>98</v>
      </c>
      <c r="B74" s="333">
        <f t="shared" si="134"/>
        <v>1.0675872631604952</v>
      </c>
      <c r="C74" s="334">
        <f t="shared" si="134"/>
        <v>1.0471584860359238</v>
      </c>
      <c r="D74" s="334">
        <f t="shared" si="134"/>
        <v>1.0361984483462636</v>
      </c>
      <c r="E74" s="335">
        <f t="shared" si="134"/>
        <v>1.020363286952344</v>
      </c>
      <c r="F74" s="333">
        <f t="shared" si="134"/>
        <v>1.074424349061871</v>
      </c>
      <c r="G74" s="334">
        <f t="shared" si="134"/>
        <v>1.0574915083658323</v>
      </c>
      <c r="H74" s="334">
        <f t="shared" si="134"/>
        <v>1.0121543778801843</v>
      </c>
      <c r="I74" s="334">
        <f t="shared" si="134"/>
        <v>0.99131891360125513</v>
      </c>
      <c r="J74" s="377">
        <f t="shared" si="134"/>
        <v>1.0098628908730898</v>
      </c>
      <c r="K74" s="334">
        <f t="shared" si="134"/>
        <v>0.97288719197976203</v>
      </c>
      <c r="L74" s="334">
        <f t="shared" si="134"/>
        <v>0.92680616644166702</v>
      </c>
      <c r="M74" s="335">
        <f t="shared" si="134"/>
        <v>0.93437335778833397</v>
      </c>
      <c r="N74" s="377">
        <f t="shared" si="134"/>
        <v>0.90593094848413991</v>
      </c>
      <c r="O74" s="334">
        <f t="shared" si="134"/>
        <v>0.78161348394257946</v>
      </c>
      <c r="P74" s="336">
        <f t="shared" si="134"/>
        <v>0.72922641206961047</v>
      </c>
      <c r="Q74" s="335">
        <f t="shared" si="134"/>
        <v>0.70865161497942109</v>
      </c>
      <c r="R74" s="334">
        <f t="shared" si="134"/>
        <v>0.72039711337862955</v>
      </c>
      <c r="S74" s="334">
        <f t="shared" si="134"/>
        <v>0.72859456928120125</v>
      </c>
      <c r="T74" s="334">
        <f t="shared" si="134"/>
        <v>0.72718946518202288</v>
      </c>
      <c r="U74" s="334">
        <f t="shared" si="134"/>
        <v>0.73921271255821452</v>
      </c>
      <c r="V74" s="377">
        <f t="shared" si="134"/>
        <v>0.7273856734099694</v>
      </c>
      <c r="W74" s="334">
        <f t="shared" si="134"/>
        <v>0.73634698584041713</v>
      </c>
      <c r="X74" s="334">
        <f t="shared" si="134"/>
        <v>0.67830896020039921</v>
      </c>
      <c r="Y74" s="334">
        <f t="shared" si="134"/>
        <v>0.67667943086480609</v>
      </c>
      <c r="Z74" s="377">
        <f t="shared" si="134"/>
        <v>0.69316719533570914</v>
      </c>
      <c r="AA74" s="334">
        <f t="shared" si="134"/>
        <v>0.6526128509608482</v>
      </c>
      <c r="AB74" s="334">
        <f t="shared" si="134"/>
        <v>0.62157803591542671</v>
      </c>
      <c r="AC74" s="335">
        <f t="shared" si="134"/>
        <v>0.63662531761881991</v>
      </c>
      <c r="AD74" s="377">
        <f t="shared" si="134"/>
        <v>0.63748547191391036</v>
      </c>
      <c r="AE74" s="334">
        <f t="shared" si="134"/>
        <v>0.62242983895390092</v>
      </c>
      <c r="AF74" s="334">
        <f t="shared" si="134"/>
        <v>0.61581413372789406</v>
      </c>
      <c r="AG74" s="334">
        <f t="shared" si="134"/>
        <v>0.56482176718378163</v>
      </c>
      <c r="AH74" s="377">
        <f t="shared" si="134"/>
        <v>0.61545892103689515</v>
      </c>
      <c r="AI74" s="334">
        <f t="shared" si="134"/>
        <v>0.62743686689985634</v>
      </c>
      <c r="AJ74" s="334">
        <f t="shared" si="134"/>
        <v>0.58251861828553331</v>
      </c>
      <c r="AK74" s="334">
        <f t="shared" si="134"/>
        <v>0.58255959897594545</v>
      </c>
      <c r="AL74" s="377">
        <f t="shared" ref="AL74:AS75" si="140">+AL24/AL$9</f>
        <v>0.60868479574469869</v>
      </c>
      <c r="AM74" s="334">
        <f t="shared" si="140"/>
        <v>0.60946978305262944</v>
      </c>
      <c r="AN74" s="334">
        <f t="shared" si="140"/>
        <v>0.56912359372524168</v>
      </c>
      <c r="AO74" s="335">
        <f t="shared" si="140"/>
        <v>0.56499424257195829</v>
      </c>
      <c r="AP74" s="377">
        <f t="shared" si="140"/>
        <v>0.60168479574469869</v>
      </c>
      <c r="AQ74" s="334">
        <f t="shared" si="140"/>
        <v>0.60246978305262944</v>
      </c>
      <c r="AR74" s="334">
        <f t="shared" si="140"/>
        <v>0.56212359372524168</v>
      </c>
      <c r="AS74" s="335">
        <f t="shared" si="140"/>
        <v>0.55799424257195818</v>
      </c>
      <c r="AT74" s="61"/>
      <c r="AU74" s="339">
        <f t="shared" si="137"/>
        <v>1.040979720551652</v>
      </c>
      <c r="AV74" s="334">
        <f t="shared" si="137"/>
        <v>1.0308423099940154</v>
      </c>
      <c r="AW74" s="339">
        <f t="shared" si="137"/>
        <v>0.9587829186713519</v>
      </c>
      <c r="AX74" s="339">
        <f t="shared" si="137"/>
        <v>0.77766848923608822</v>
      </c>
      <c r="AY74" s="334">
        <f t="shared" si="137"/>
        <v>0.72929240663056938</v>
      </c>
      <c r="AZ74" s="339">
        <f t="shared" si="137"/>
        <v>0.70327770711265236</v>
      </c>
      <c r="BA74" s="335">
        <f t="shared" si="137"/>
        <v>0.65010078751987577</v>
      </c>
      <c r="BB74" s="335">
        <f t="shared" si="137"/>
        <v>0.60928467224653649</v>
      </c>
      <c r="BC74" s="335">
        <f t="shared" si="137"/>
        <v>0.60152590791520966</v>
      </c>
      <c r="BD74" s="335">
        <f t="shared" si="137"/>
        <v>0.58762148645146584</v>
      </c>
      <c r="BE74" s="335">
        <f t="shared" si="137"/>
        <v>0.58062365017858897</v>
      </c>
    </row>
    <row r="75" spans="1:57" s="62" customFormat="1" ht="12" customHeight="1">
      <c r="A75" s="324" t="s">
        <v>128</v>
      </c>
      <c r="B75" s="325">
        <f t="shared" si="134"/>
        <v>-0.17215483807218204</v>
      </c>
      <c r="C75" s="326">
        <f t="shared" si="134"/>
        <v>-0.16374096808534733</v>
      </c>
      <c r="D75" s="326">
        <f t="shared" si="134"/>
        <v>-0.18340138832176392</v>
      </c>
      <c r="E75" s="327">
        <f t="shared" si="134"/>
        <v>-0.17029768834192571</v>
      </c>
      <c r="F75" s="325">
        <f t="shared" si="134"/>
        <v>-0.21823134315732498</v>
      </c>
      <c r="G75" s="326">
        <f t="shared" si="134"/>
        <v>-0.20867404704994344</v>
      </c>
      <c r="H75" s="326">
        <f t="shared" si="134"/>
        <v>-0.17514400921658976</v>
      </c>
      <c r="I75" s="326">
        <f t="shared" si="134"/>
        <v>-0.14320469017960416</v>
      </c>
      <c r="J75" s="384">
        <f t="shared" si="134"/>
        <v>-0.16456831172712655</v>
      </c>
      <c r="K75" s="326">
        <f t="shared" si="134"/>
        <v>-0.12543333645647889</v>
      </c>
      <c r="L75" s="326">
        <f t="shared" si="134"/>
        <v>-8.3863171188433602E-2</v>
      </c>
      <c r="M75" s="327">
        <f t="shared" si="134"/>
        <v>-0.11476676730311529</v>
      </c>
      <c r="N75" s="384">
        <f t="shared" si="134"/>
        <v>-7.5198737432779925E-2</v>
      </c>
      <c r="O75" s="326">
        <f t="shared" si="134"/>
        <v>5.2971299051385499E-2</v>
      </c>
      <c r="P75" s="328">
        <f t="shared" si="134"/>
        <v>0.11056090913948807</v>
      </c>
      <c r="Q75" s="327">
        <f t="shared" si="134"/>
        <v>0.13057875035991948</v>
      </c>
      <c r="R75" s="326">
        <f t="shared" si="134"/>
        <v>0.11272922095316952</v>
      </c>
      <c r="S75" s="326">
        <f t="shared" si="134"/>
        <v>8.8546664721823487E-2</v>
      </c>
      <c r="T75" s="326">
        <f t="shared" si="134"/>
        <v>9.8691801765418391E-2</v>
      </c>
      <c r="U75" s="326">
        <f t="shared" si="134"/>
        <v>7.9715202190339354E-2</v>
      </c>
      <c r="V75" s="384">
        <f t="shared" si="134"/>
        <v>7.8158726971537501E-2</v>
      </c>
      <c r="W75" s="326">
        <f t="shared" si="134"/>
        <v>7.4181123395865925E-2</v>
      </c>
      <c r="X75" s="326">
        <f t="shared" si="134"/>
        <v>0.13203813532664949</v>
      </c>
      <c r="Y75" s="326">
        <f t="shared" si="134"/>
        <v>0.1079775335669525</v>
      </c>
      <c r="Z75" s="384">
        <f t="shared" si="134"/>
        <v>9.6065960950862991E-2</v>
      </c>
      <c r="AA75" s="326">
        <f t="shared" si="134"/>
        <v>0.15493549908734799</v>
      </c>
      <c r="AB75" s="326">
        <f t="shared" si="134"/>
        <v>0.18148752784958982</v>
      </c>
      <c r="AC75" s="327">
        <f t="shared" si="134"/>
        <v>0.16906697420607011</v>
      </c>
      <c r="AD75" s="384">
        <f t="shared" si="134"/>
        <v>0.17136427410504668</v>
      </c>
      <c r="AE75" s="326">
        <f t="shared" si="134"/>
        <v>0.19338187768090009</v>
      </c>
      <c r="AF75" s="326">
        <f t="shared" si="134"/>
        <v>0.19805097583315717</v>
      </c>
      <c r="AG75" s="327">
        <f t="shared" si="134"/>
        <v>0.25177426812765397</v>
      </c>
      <c r="AH75" s="384">
        <f t="shared" si="134"/>
        <v>0.20355277518744483</v>
      </c>
      <c r="AI75" s="326">
        <f t="shared" si="134"/>
        <v>0.19287086273479054</v>
      </c>
      <c r="AJ75" s="326">
        <f t="shared" si="134"/>
        <v>0.23337426715259066</v>
      </c>
      <c r="AK75" s="327">
        <f t="shared" si="134"/>
        <v>0.24447190950858436</v>
      </c>
      <c r="AL75" s="384">
        <f t="shared" si="140"/>
        <v>0.20932690047964136</v>
      </c>
      <c r="AM75" s="326">
        <f t="shared" si="140"/>
        <v>0.20983794658201738</v>
      </c>
      <c r="AN75" s="326">
        <f t="shared" si="140"/>
        <v>0.25287640627475827</v>
      </c>
      <c r="AO75" s="327">
        <f t="shared" si="140"/>
        <v>0.26200575742804166</v>
      </c>
      <c r="AP75" s="384">
        <f t="shared" si="140"/>
        <v>0.21532690047964126</v>
      </c>
      <c r="AQ75" s="326">
        <f t="shared" si="140"/>
        <v>0.21583794658201746</v>
      </c>
      <c r="AR75" s="326">
        <f t="shared" si="140"/>
        <v>0.25887640627475828</v>
      </c>
      <c r="AS75" s="327">
        <f t="shared" si="140"/>
        <v>0.26800575742804167</v>
      </c>
      <c r="AT75" s="61"/>
      <c r="AU75" s="331">
        <f t="shared" si="137"/>
        <v>-0.17257506911632309</v>
      </c>
      <c r="AV75" s="326">
        <f t="shared" si="137"/>
        <v>-0.18365873728306406</v>
      </c>
      <c r="AW75" s="331">
        <f t="shared" si="137"/>
        <v>-0.12060825864529344</v>
      </c>
      <c r="AX75" s="331">
        <f t="shared" si="137"/>
        <v>5.8591025871096575E-2</v>
      </c>
      <c r="AY75" s="326">
        <f t="shared" si="137"/>
        <v>9.421950363129003E-2</v>
      </c>
      <c r="AZ75" s="331">
        <f t="shared" si="137"/>
        <v>9.9049899662027138E-2</v>
      </c>
      <c r="BA75" s="327">
        <f t="shared" si="137"/>
        <v>0.15149052847716943</v>
      </c>
      <c r="BB75" s="327">
        <f t="shared" si="137"/>
        <v>0.20457078223730335</v>
      </c>
      <c r="BC75" s="327">
        <f t="shared" si="137"/>
        <v>0.21910937007519474</v>
      </c>
      <c r="BD75" s="327">
        <f t="shared" si="137"/>
        <v>0.23404289127403835</v>
      </c>
      <c r="BE75" s="327">
        <f t="shared" si="137"/>
        <v>0.24004038672133823</v>
      </c>
    </row>
    <row r="76" spans="1:57" s="62" customFormat="1" ht="12" hidden="1" customHeight="1" outlineLevel="1">
      <c r="A76" s="144" t="s">
        <v>129</v>
      </c>
      <c r="B76" s="325"/>
      <c r="C76" s="326"/>
      <c r="D76" s="326"/>
      <c r="E76" s="327"/>
      <c r="F76" s="372"/>
      <c r="G76" s="373"/>
      <c r="H76" s="373">
        <f t="shared" ref="H76:AS76" si="141">H26/H10</f>
        <v>-0.25543932416730325</v>
      </c>
      <c r="I76" s="374">
        <f t="shared" si="141"/>
        <v>-0.18447417318312029</v>
      </c>
      <c r="J76" s="372">
        <f t="shared" si="141"/>
        <v>-0.20859378660932451</v>
      </c>
      <c r="K76" s="373">
        <f t="shared" si="141"/>
        <v>-0.17578036172492204</v>
      </c>
      <c r="L76" s="373">
        <f t="shared" si="141"/>
        <v>-0.12977776016343698</v>
      </c>
      <c r="M76" s="374">
        <f t="shared" si="141"/>
        <v>-0.1355618874327108</v>
      </c>
      <c r="N76" s="372">
        <f t="shared" si="141"/>
        <v>-0.17298549348322453</v>
      </c>
      <c r="O76" s="373">
        <f t="shared" si="141"/>
        <v>-4.5755892007124689E-2</v>
      </c>
      <c r="P76" s="373">
        <f t="shared" si="141"/>
        <v>3.3315242554488353E-2</v>
      </c>
      <c r="Q76" s="374">
        <f t="shared" si="141"/>
        <v>7.7229236105395255E-2</v>
      </c>
      <c r="R76" s="373">
        <f t="shared" si="141"/>
        <v>6.9618788266568005E-2</v>
      </c>
      <c r="S76" s="373">
        <f t="shared" si="141"/>
        <v>6.0507455723984992E-2</v>
      </c>
      <c r="T76" s="373">
        <f t="shared" si="141"/>
        <v>5.7119467424936517E-2</v>
      </c>
      <c r="U76" s="373">
        <f t="shared" si="141"/>
        <v>5.4045932564399948E-2</v>
      </c>
      <c r="V76" s="372">
        <f t="shared" si="141"/>
        <v>6.7684271937396345E-2</v>
      </c>
      <c r="W76" s="373">
        <f t="shared" si="141"/>
        <v>4.0439795069237033E-2</v>
      </c>
      <c r="X76" s="373">
        <f t="shared" si="141"/>
        <v>5.5836236889408558E-2</v>
      </c>
      <c r="Y76" s="374">
        <f t="shared" si="141"/>
        <v>8.6065117962886239E-2</v>
      </c>
      <c r="Z76" s="372">
        <f t="shared" si="141"/>
        <v>5.062337408886123E-2</v>
      </c>
      <c r="AA76" s="373">
        <f t="shared" si="141"/>
        <v>0.10817174754932546</v>
      </c>
      <c r="AB76" s="373">
        <f t="shared" si="141"/>
        <v>0.13405372015729561</v>
      </c>
      <c r="AC76" s="374">
        <f t="shared" si="141"/>
        <v>0.11536727798577885</v>
      </c>
      <c r="AD76" s="372">
        <f t="shared" si="141"/>
        <v>0.13320547721709888</v>
      </c>
      <c r="AE76" s="373">
        <f t="shared" si="141"/>
        <v>0.16107245806657283</v>
      </c>
      <c r="AF76" s="373">
        <f t="shared" si="141"/>
        <v>0.19271541963769512</v>
      </c>
      <c r="AG76" s="374">
        <f t="shared" si="141"/>
        <v>0.2071790395914842</v>
      </c>
      <c r="AH76" s="372">
        <f t="shared" si="141"/>
        <v>0.18187203941673333</v>
      </c>
      <c r="AI76" s="373">
        <f t="shared" si="141"/>
        <v>0.18151964875546989</v>
      </c>
      <c r="AJ76" s="334">
        <f t="shared" si="141"/>
        <v>0.21351409895374873</v>
      </c>
      <c r="AK76" s="374">
        <f t="shared" si="141"/>
        <v>0.23083044614361056</v>
      </c>
      <c r="AL76" s="372">
        <f t="shared" si="141"/>
        <v>0.21284627714742096</v>
      </c>
      <c r="AM76" s="373">
        <f t="shared" si="141"/>
        <v>0.22370488963822788</v>
      </c>
      <c r="AN76" s="373">
        <f t="shared" si="141"/>
        <v>0.24261522863159937</v>
      </c>
      <c r="AO76" s="374">
        <f t="shared" si="141"/>
        <v>0.25666504596312184</v>
      </c>
      <c r="AP76" s="372">
        <f t="shared" si="141"/>
        <v>0.23013072347296895</v>
      </c>
      <c r="AQ76" s="373">
        <f t="shared" si="141"/>
        <v>0.23547539151616212</v>
      </c>
      <c r="AR76" s="373">
        <f t="shared" si="141"/>
        <v>0.25015858234048227</v>
      </c>
      <c r="AS76" s="374">
        <f t="shared" si="141"/>
        <v>0.26093623056851678</v>
      </c>
      <c r="AT76" s="61"/>
      <c r="AU76" s="331"/>
      <c r="AV76" s="326"/>
      <c r="AW76" s="331"/>
      <c r="AX76" s="375">
        <f t="shared" ref="AX76:BE76" si="142">AX26/AX10</f>
        <v>4.4040925353301036E-2</v>
      </c>
      <c r="AY76" s="373">
        <f t="shared" si="142"/>
        <v>8.7453649609479392E-2</v>
      </c>
      <c r="AZ76" s="375">
        <f t="shared" si="142"/>
        <v>9.3160854193874612E-2</v>
      </c>
      <c r="BA76" s="374">
        <f t="shared" si="142"/>
        <v>0.13733551462910915</v>
      </c>
      <c r="BB76" s="374">
        <f t="shared" si="142"/>
        <v>0.19275871077470993</v>
      </c>
      <c r="BC76" s="374">
        <f t="shared" si="142"/>
        <v>0.21537415524538067</v>
      </c>
      <c r="BD76" s="374">
        <f t="shared" si="142"/>
        <v>0.2343774957555555</v>
      </c>
      <c r="BE76" s="374">
        <f t="shared" si="142"/>
        <v>0.24446053943982146</v>
      </c>
    </row>
    <row r="77" spans="1:57" s="62" customFormat="1" ht="12" customHeight="1" collapsed="1">
      <c r="A77" s="385" t="s">
        <v>121</v>
      </c>
      <c r="B77" s="386">
        <f t="shared" ref="B77:AS77" si="143">+B39/B$9</f>
        <v>-0.17437810330772463</v>
      </c>
      <c r="C77" s="387">
        <f t="shared" si="143"/>
        <v>-0.16367301637636184</v>
      </c>
      <c r="D77" s="387">
        <f t="shared" si="143"/>
        <v>-0.18674969375255199</v>
      </c>
      <c r="E77" s="351">
        <f t="shared" si="143"/>
        <v>-0.17149878965944146</v>
      </c>
      <c r="F77" s="386">
        <f t="shared" si="143"/>
        <v>-0.22604767624816025</v>
      </c>
      <c r="G77" s="387">
        <f t="shared" si="143"/>
        <v>-0.22015347842495916</v>
      </c>
      <c r="H77" s="387">
        <f t="shared" si="143"/>
        <v>-0.17317108294930864</v>
      </c>
      <c r="I77" s="349">
        <f t="shared" si="143"/>
        <v>-0.14457398864678755</v>
      </c>
      <c r="J77" s="388">
        <f t="shared" si="143"/>
        <v>-0.15714623728222549</v>
      </c>
      <c r="K77" s="349">
        <f t="shared" si="143"/>
        <v>-0.11691886067647327</v>
      </c>
      <c r="L77" s="349">
        <f t="shared" si="143"/>
        <v>-7.3411575142620769E-2</v>
      </c>
      <c r="M77" s="351">
        <f t="shared" si="143"/>
        <v>-0.11486980803511665</v>
      </c>
      <c r="N77" s="388">
        <f t="shared" si="143"/>
        <v>-8.5983165770399758E-2</v>
      </c>
      <c r="O77" s="349">
        <f t="shared" si="143"/>
        <v>4.4035482095719461E-2</v>
      </c>
      <c r="P77" s="352">
        <f t="shared" si="143"/>
        <v>9.3674854384496173E-2</v>
      </c>
      <c r="Q77" s="351">
        <f t="shared" si="143"/>
        <v>0.12178824884402373</v>
      </c>
      <c r="R77" s="349">
        <f t="shared" si="143"/>
        <v>0.11969412853420354</v>
      </c>
      <c r="S77" s="349">
        <f t="shared" si="143"/>
        <v>7.7998449243430426E-2</v>
      </c>
      <c r="T77" s="349">
        <f t="shared" si="143"/>
        <v>5.8385738187272662E-2</v>
      </c>
      <c r="U77" s="349">
        <f t="shared" si="143"/>
        <v>3.9860956394529454E-2</v>
      </c>
      <c r="V77" s="388">
        <f t="shared" si="143"/>
        <v>4.3703880327292742E-2</v>
      </c>
      <c r="W77" s="349">
        <f t="shared" si="143"/>
        <v>3.6284311279595492E-2</v>
      </c>
      <c r="X77" s="349">
        <f t="shared" si="143"/>
        <v>9.8272243224230851E-2</v>
      </c>
      <c r="Y77" s="351">
        <f t="shared" si="143"/>
        <v>7.6931826183035387E-2</v>
      </c>
      <c r="Z77" s="388">
        <f t="shared" si="143"/>
        <v>6.9175329248725201E-2</v>
      </c>
      <c r="AA77" s="349">
        <f t="shared" si="143"/>
        <v>0.1346725732685248</v>
      </c>
      <c r="AB77" s="349">
        <f t="shared" si="143"/>
        <v>0.13729041477901438</v>
      </c>
      <c r="AC77" s="351">
        <f t="shared" si="143"/>
        <v>0.14138373979166075</v>
      </c>
      <c r="AD77" s="388">
        <f t="shared" si="143"/>
        <v>0.14095137547983191</v>
      </c>
      <c r="AE77" s="349">
        <f t="shared" si="143"/>
        <v>0.17249063238730622</v>
      </c>
      <c r="AF77" s="349">
        <f t="shared" si="143"/>
        <v>0.17316194602973295</v>
      </c>
      <c r="AG77" s="351">
        <f t="shared" si="143"/>
        <v>0.21492294182776131</v>
      </c>
      <c r="AH77" s="388">
        <f t="shared" si="143"/>
        <v>0.18504037434608611</v>
      </c>
      <c r="AI77" s="349">
        <f t="shared" si="143"/>
        <v>0.16756101012960239</v>
      </c>
      <c r="AJ77" s="349">
        <f t="shared" si="143"/>
        <v>0.203763270480114</v>
      </c>
      <c r="AK77" s="351">
        <f t="shared" si="143"/>
        <v>0.21995294262147216</v>
      </c>
      <c r="AL77" s="388">
        <f t="shared" si="143"/>
        <v>0.18510491852631353</v>
      </c>
      <c r="AM77" s="349">
        <f t="shared" si="143"/>
        <v>0.175989497064515</v>
      </c>
      <c r="AN77" s="349">
        <f t="shared" si="143"/>
        <v>0.22017650941078368</v>
      </c>
      <c r="AO77" s="351">
        <f t="shared" si="143"/>
        <v>0.23104558098243436</v>
      </c>
      <c r="AP77" s="388">
        <f t="shared" si="143"/>
        <v>0.18489224305029089</v>
      </c>
      <c r="AQ77" s="349">
        <f t="shared" si="143"/>
        <v>0.18690672875759246</v>
      </c>
      <c r="AR77" s="349">
        <f t="shared" si="143"/>
        <v>0.23098497756180802</v>
      </c>
      <c r="AS77" s="351">
        <f t="shared" si="143"/>
        <v>0.24165856997766971</v>
      </c>
      <c r="AT77" s="61"/>
      <c r="AU77" s="354">
        <f t="shared" ref="AU77:BE77" si="144">+AU39/AU$9</f>
        <v>-0.1742583645399968</v>
      </c>
      <c r="AV77" s="349">
        <f t="shared" si="144"/>
        <v>-0.18798997606223822</v>
      </c>
      <c r="AW77" s="354">
        <f t="shared" si="144"/>
        <v>-0.11419796607875103</v>
      </c>
      <c r="AX77" s="354">
        <f t="shared" si="144"/>
        <v>4.7235365873050134E-2</v>
      </c>
      <c r="AY77" s="349">
        <f t="shared" si="144"/>
        <v>7.196237503002971E-2</v>
      </c>
      <c r="AZ77" s="354">
        <f t="shared" si="144"/>
        <v>6.4864730360909298E-2</v>
      </c>
      <c r="BA77" s="351">
        <f t="shared" si="144"/>
        <v>0.12163989432960649</v>
      </c>
      <c r="BB77" s="351">
        <f t="shared" si="144"/>
        <v>0.17620588852926766</v>
      </c>
      <c r="BC77" s="351">
        <f t="shared" si="144"/>
        <v>0.1945457547240608</v>
      </c>
      <c r="BD77" s="351">
        <f t="shared" si="144"/>
        <v>0.20355717576870322</v>
      </c>
      <c r="BE77" s="351">
        <f t="shared" si="144"/>
        <v>0.21167662851247496</v>
      </c>
    </row>
    <row r="78" spans="1:57" ht="12" customHeight="1">
      <c r="A78" s="389" t="s">
        <v>130</v>
      </c>
      <c r="B78" s="390"/>
      <c r="C78" s="390"/>
      <c r="D78" s="390"/>
      <c r="E78" s="390"/>
      <c r="F78" s="390"/>
      <c r="G78" s="390"/>
      <c r="H78" s="391"/>
      <c r="I78" s="390"/>
      <c r="J78" s="390"/>
      <c r="K78" s="390"/>
      <c r="L78" s="390"/>
      <c r="M78" s="390"/>
      <c r="N78" s="390"/>
      <c r="O78" s="390"/>
      <c r="P78" s="390"/>
      <c r="Q78" s="390"/>
      <c r="R78" s="390"/>
      <c r="S78" s="390"/>
      <c r="T78" s="390"/>
      <c r="U78" s="390"/>
      <c r="V78" s="392"/>
      <c r="W78" s="390"/>
      <c r="X78" s="390"/>
      <c r="Y78" s="390"/>
      <c r="Z78" s="390"/>
      <c r="AA78" s="390"/>
      <c r="AB78" s="390"/>
      <c r="AC78" s="390"/>
      <c r="AD78" s="390"/>
      <c r="AE78" s="390"/>
      <c r="AF78" s="390"/>
      <c r="AG78" s="390"/>
      <c r="AH78" s="390"/>
      <c r="AI78" s="390"/>
      <c r="AJ78" s="390"/>
      <c r="AK78" s="390"/>
      <c r="AL78" s="390"/>
      <c r="AM78" s="390"/>
      <c r="AN78" s="390"/>
      <c r="AO78" s="390"/>
      <c r="AP78" s="390"/>
      <c r="AQ78" s="390"/>
      <c r="AR78" s="390"/>
      <c r="AS78" s="390"/>
      <c r="AT78" s="393"/>
      <c r="AU78" s="393"/>
      <c r="AV78" s="393"/>
      <c r="AW78" s="393"/>
      <c r="AX78" s="393"/>
      <c r="AY78" s="394"/>
      <c r="AZ78" s="392"/>
      <c r="BA78" s="393"/>
      <c r="BB78" s="395"/>
      <c r="BC78" s="395"/>
      <c r="BD78" s="395"/>
      <c r="BE78" s="395"/>
    </row>
    <row r="79" spans="1:57" s="33" customFormat="1" ht="12" customHeight="1">
      <c r="A79" s="396"/>
      <c r="B79" s="337"/>
      <c r="C79" s="337"/>
      <c r="D79" s="337"/>
      <c r="E79" s="337"/>
      <c r="F79" s="337"/>
      <c r="G79" s="337"/>
      <c r="H79" s="397"/>
      <c r="I79" s="337"/>
      <c r="J79" s="337"/>
      <c r="K79" s="337"/>
      <c r="L79" s="337"/>
      <c r="M79" s="337"/>
      <c r="N79" s="337"/>
      <c r="O79" s="337"/>
      <c r="P79" s="337"/>
      <c r="Q79" s="337"/>
      <c r="R79" s="337"/>
      <c r="S79" s="337"/>
      <c r="T79" s="337"/>
      <c r="U79" s="337"/>
      <c r="V79" s="256"/>
      <c r="W79" s="256"/>
      <c r="X79" s="256"/>
      <c r="Y79" s="256"/>
      <c r="Z79" s="256"/>
      <c r="AA79" s="256"/>
      <c r="AB79" s="256"/>
      <c r="AC79" s="256"/>
      <c r="AD79" s="256"/>
      <c r="AE79" s="256"/>
      <c r="AF79" s="256"/>
      <c r="AG79" s="256"/>
      <c r="AH79" s="256"/>
      <c r="AI79" s="256"/>
      <c r="AJ79" s="256"/>
      <c r="AK79" s="256"/>
      <c r="AL79" s="256"/>
      <c r="AM79" s="256"/>
      <c r="AN79" s="256"/>
      <c r="AO79" s="256"/>
      <c r="AP79" s="256"/>
      <c r="AQ79" s="256"/>
      <c r="AR79" s="256"/>
      <c r="AS79" s="256"/>
      <c r="AT79" s="256"/>
      <c r="AU79" s="256"/>
      <c r="AV79" s="256"/>
      <c r="AW79" s="256"/>
      <c r="AX79" s="256"/>
      <c r="AY79" s="256"/>
      <c r="AZ79" s="256"/>
      <c r="BA79" s="256"/>
      <c r="BB79" s="256"/>
      <c r="BC79" s="256"/>
      <c r="BD79" s="256"/>
      <c r="BE79" s="256"/>
    </row>
    <row r="80" spans="1:57" s="161" customFormat="1" ht="12" customHeight="1">
      <c r="A80" s="398" t="s">
        <v>131</v>
      </c>
      <c r="B80" s="1722">
        <f>B3</f>
        <v>2017</v>
      </c>
      <c r="C80" s="1723"/>
      <c r="D80" s="1723"/>
      <c r="E80" s="1724"/>
      <c r="F80" s="1726">
        <f>F3</f>
        <v>2018</v>
      </c>
      <c r="G80" s="1723"/>
      <c r="H80" s="1723"/>
      <c r="I80" s="1727"/>
      <c r="J80" s="1722">
        <f>J3</f>
        <v>2019</v>
      </c>
      <c r="K80" s="1723"/>
      <c r="L80" s="1723"/>
      <c r="M80" s="1724"/>
      <c r="N80" s="1722">
        <f>N3</f>
        <v>2020</v>
      </c>
      <c r="O80" s="1723"/>
      <c r="P80" s="1723"/>
      <c r="Q80" s="1727"/>
      <c r="R80" s="1722">
        <f>R3</f>
        <v>2021</v>
      </c>
      <c r="S80" s="1723"/>
      <c r="T80" s="1723"/>
      <c r="U80" s="1724"/>
      <c r="V80" s="1722">
        <f>V3</f>
        <v>2022</v>
      </c>
      <c r="W80" s="1723"/>
      <c r="X80" s="1723"/>
      <c r="Y80" s="1724"/>
      <c r="Z80" s="1722">
        <f>Z3</f>
        <v>2023</v>
      </c>
      <c r="AA80" s="1723"/>
      <c r="AB80" s="1723"/>
      <c r="AC80" s="1724"/>
      <c r="AD80" s="1722">
        <f>AD3</f>
        <v>2024</v>
      </c>
      <c r="AE80" s="1723"/>
      <c r="AF80" s="1723"/>
      <c r="AG80" s="1724"/>
      <c r="AH80" s="1722">
        <f>AH3</f>
        <v>2025</v>
      </c>
      <c r="AI80" s="1723"/>
      <c r="AJ80" s="1723"/>
      <c r="AK80" s="1724"/>
      <c r="AL80" s="1722">
        <f>AL3</f>
        <v>2026</v>
      </c>
      <c r="AM80" s="1723"/>
      <c r="AN80" s="1723"/>
      <c r="AO80" s="1724"/>
      <c r="AP80" s="1722">
        <f>AP3</f>
        <v>2027</v>
      </c>
      <c r="AQ80" s="1723"/>
      <c r="AR80" s="1723"/>
      <c r="AS80" s="1724"/>
      <c r="AT80" s="399"/>
      <c r="AU80" s="400"/>
      <c r="AV80" s="401"/>
      <c r="AW80" s="400"/>
      <c r="AX80" s="402"/>
      <c r="AY80" s="402"/>
      <c r="AZ80" s="402"/>
      <c r="BA80" s="403"/>
      <c r="BB80" s="42"/>
      <c r="BC80" s="42"/>
      <c r="BD80" s="404"/>
      <c r="BE80" s="404"/>
    </row>
    <row r="81" spans="1:57" s="161" customFormat="1" ht="12" customHeight="1">
      <c r="A81" s="405" t="s">
        <v>132</v>
      </c>
      <c r="B81" s="406"/>
      <c r="C81" s="407"/>
      <c r="D81" s="407"/>
      <c r="E81" s="408"/>
      <c r="F81" s="407"/>
      <c r="G81" s="407"/>
      <c r="H81" s="407"/>
      <c r="I81" s="407"/>
      <c r="J81" s="406"/>
      <c r="K81" s="407"/>
      <c r="L81" s="407"/>
      <c r="M81" s="408"/>
      <c r="N81" s="406"/>
      <c r="O81" s="407"/>
      <c r="P81" s="407"/>
      <c r="Q81" s="407"/>
      <c r="R81" s="406"/>
      <c r="S81" s="407"/>
      <c r="T81" s="407"/>
      <c r="U81" s="408"/>
      <c r="V81" s="406"/>
      <c r="W81" s="407"/>
      <c r="X81" s="407"/>
      <c r="Y81" s="408"/>
      <c r="Z81" s="406"/>
      <c r="AA81" s="407"/>
      <c r="AB81" s="407"/>
      <c r="AC81" s="408"/>
      <c r="AD81" s="409"/>
      <c r="AE81" s="321"/>
      <c r="AF81" s="321"/>
      <c r="AG81" s="410"/>
      <c r="AH81" s="409"/>
      <c r="AI81" s="321"/>
      <c r="AJ81" s="321"/>
      <c r="AK81" s="410"/>
      <c r="AL81" s="409"/>
      <c r="AM81" s="321"/>
      <c r="AN81" s="321"/>
      <c r="AO81" s="410"/>
      <c r="AP81" s="409"/>
      <c r="AQ81" s="321"/>
      <c r="AR81" s="321"/>
      <c r="AS81" s="410"/>
      <c r="AT81" s="411"/>
      <c r="AU81" s="61">
        <f t="shared" ref="AU81:BE81" si="145">AU4</f>
        <v>2017</v>
      </c>
      <c r="AV81" s="61">
        <f t="shared" si="145"/>
        <v>2018</v>
      </c>
      <c r="AW81" s="61">
        <f t="shared" si="145"/>
        <v>2019</v>
      </c>
      <c r="AX81" s="61">
        <f t="shared" si="145"/>
        <v>2020</v>
      </c>
      <c r="AY81" s="61" t="str">
        <f t="shared" si="145"/>
        <v>CY21</v>
      </c>
      <c r="AZ81" s="61" t="str">
        <f t="shared" si="145"/>
        <v>CY22</v>
      </c>
      <c r="BA81" s="61" t="str">
        <f t="shared" si="145"/>
        <v>CY23</v>
      </c>
      <c r="BB81" s="61" t="str">
        <f t="shared" si="145"/>
        <v>CY24</v>
      </c>
      <c r="BC81" s="61" t="str">
        <f t="shared" si="145"/>
        <v>CY25</v>
      </c>
      <c r="BD81" s="61" t="str">
        <f t="shared" si="145"/>
        <v>CY26E</v>
      </c>
      <c r="BE81" s="61" t="str">
        <f t="shared" si="145"/>
        <v>CY27E</v>
      </c>
    </row>
    <row r="82" spans="1:57" s="161" customFormat="1" ht="12" customHeight="1">
      <c r="A82" s="412" t="s">
        <v>133</v>
      </c>
      <c r="B82" s="413">
        <f t="shared" ref="B82:AS82" si="146">B83+B84</f>
        <v>1.6260000000000001</v>
      </c>
      <c r="C82" s="414">
        <f t="shared" si="146"/>
        <v>1.849</v>
      </c>
      <c r="D82" s="414">
        <f t="shared" si="146"/>
        <v>2.028</v>
      </c>
      <c r="E82" s="415">
        <f t="shared" si="146"/>
        <v>2.2569999999999997</v>
      </c>
      <c r="F82" s="413">
        <f t="shared" si="146"/>
        <v>2.399</v>
      </c>
      <c r="G82" s="414">
        <f t="shared" si="146"/>
        <v>3.024</v>
      </c>
      <c r="H82" s="414">
        <f t="shared" si="146"/>
        <v>8.7830000000000013</v>
      </c>
      <c r="I82" s="415">
        <f t="shared" si="146"/>
        <v>8.6690000000000005</v>
      </c>
      <c r="J82" s="414">
        <f t="shared" si="146"/>
        <v>9.3189999999999991</v>
      </c>
      <c r="K82" s="414">
        <f t="shared" si="146"/>
        <v>11.373000000000001</v>
      </c>
      <c r="L82" s="414">
        <f t="shared" si="146"/>
        <v>10.498999999999999</v>
      </c>
      <c r="M82" s="414">
        <f t="shared" si="146"/>
        <v>12.251999999999999</v>
      </c>
      <c r="N82" s="413">
        <f t="shared" si="146"/>
        <v>13.035</v>
      </c>
      <c r="O82" s="414">
        <f t="shared" si="146"/>
        <v>15.666</v>
      </c>
      <c r="P82" s="416">
        <f t="shared" si="146"/>
        <v>15.3</v>
      </c>
      <c r="Q82" s="417">
        <f t="shared" si="146"/>
        <v>15.572000000000001</v>
      </c>
      <c r="R82" s="416">
        <f t="shared" si="146"/>
        <v>16.952000000000002</v>
      </c>
      <c r="S82" s="414">
        <f t="shared" si="146"/>
        <v>20.469000000000001</v>
      </c>
      <c r="T82" s="414">
        <f t="shared" si="146"/>
        <v>20.911999999999999</v>
      </c>
      <c r="U82" s="414">
        <f t="shared" si="146"/>
        <v>21.071999999999999</v>
      </c>
      <c r="V82" s="413">
        <f t="shared" si="146"/>
        <v>25.397999999999996</v>
      </c>
      <c r="W82" s="414">
        <f t="shared" si="146"/>
        <v>31.913</v>
      </c>
      <c r="X82" s="414">
        <f t="shared" si="146"/>
        <v>32.643000000000001</v>
      </c>
      <c r="Y82" s="415">
        <f t="shared" si="146"/>
        <v>30.678999999999998</v>
      </c>
      <c r="Z82" s="413">
        <f t="shared" si="146"/>
        <v>34.117000000000004</v>
      </c>
      <c r="AA82" s="414">
        <f t="shared" si="146"/>
        <v>37.859999999999992</v>
      </c>
      <c r="AB82" s="414">
        <f t="shared" si="146"/>
        <v>36.835000000000001</v>
      </c>
      <c r="AC82" s="415">
        <f t="shared" si="146"/>
        <v>36.515000000000001</v>
      </c>
      <c r="AD82" s="413">
        <f t="shared" si="146"/>
        <v>39.718999999999994</v>
      </c>
      <c r="AE82" s="414">
        <f t="shared" si="146"/>
        <v>41.397999999999996</v>
      </c>
      <c r="AF82" s="414">
        <f t="shared" si="146"/>
        <v>41.684000000000005</v>
      </c>
      <c r="AG82" s="415">
        <f t="shared" si="146"/>
        <v>40.713999999999999</v>
      </c>
      <c r="AH82" s="413">
        <f t="shared" si="146"/>
        <v>55.902999999999999</v>
      </c>
      <c r="AI82" s="414">
        <f t="shared" si="146"/>
        <v>46.526000000000003</v>
      </c>
      <c r="AJ82" s="414">
        <f t="shared" si="146"/>
        <v>44.881999999999998</v>
      </c>
      <c r="AK82" s="415">
        <f t="shared" si="146"/>
        <v>44.502000000000002</v>
      </c>
      <c r="AL82" s="413">
        <f t="shared" si="146"/>
        <v>54.299024850000002</v>
      </c>
      <c r="AM82" s="414">
        <f t="shared" si="146"/>
        <v>47.796576299999998</v>
      </c>
      <c r="AN82" s="414">
        <f t="shared" si="146"/>
        <v>48.374464500000002</v>
      </c>
      <c r="AO82" s="415">
        <f t="shared" si="146"/>
        <v>49.929947999999989</v>
      </c>
      <c r="AP82" s="413">
        <f t="shared" si="146"/>
        <v>57.877438051965001</v>
      </c>
      <c r="AQ82" s="414">
        <f>AQ83+AQ84</f>
        <v>50.942895281639991</v>
      </c>
      <c r="AR82" s="414">
        <f t="shared" si="146"/>
        <v>51.551321188950013</v>
      </c>
      <c r="AS82" s="415">
        <f t="shared" si="146"/>
        <v>53.206438168800005</v>
      </c>
      <c r="AT82" s="418"/>
      <c r="AU82" s="79">
        <f t="shared" ref="AU82" si="147">SUM(B82:E82)</f>
        <v>7.76</v>
      </c>
      <c r="AV82" s="79">
        <f t="shared" ref="AV82:AV95" si="148">SUM(F82:I82)</f>
        <v>22.875</v>
      </c>
      <c r="AW82" s="79">
        <f t="shared" ref="AW82:AW95" si="149">SUM(J82:M82)</f>
        <v>43.442999999999998</v>
      </c>
      <c r="AX82" s="79">
        <f>SUM(N82:Q82)</f>
        <v>59.573000000000008</v>
      </c>
      <c r="AY82" s="79">
        <f>SUM(R82:U82)</f>
        <v>79.405000000000001</v>
      </c>
      <c r="AZ82" s="79">
        <f>SUM(V82:Y82)</f>
        <v>120.633</v>
      </c>
      <c r="BA82" s="79">
        <f>SUM(Z82:AC82)</f>
        <v>145.327</v>
      </c>
      <c r="BB82" s="79">
        <f>SUM(AD82:AG82)</f>
        <v>163.51499999999999</v>
      </c>
      <c r="BC82" s="79">
        <f t="shared" ref="BC82:BC99" si="150">SUM(AH82:AK82)</f>
        <v>191.81300000000002</v>
      </c>
      <c r="BD82" s="79">
        <f>SUM(AL82:AO82)</f>
        <v>200.40001364999998</v>
      </c>
      <c r="BE82" s="79">
        <f t="shared" ref="BE82:BE95" si="151">SUM(AP82:AS82)</f>
        <v>213.57809269135498</v>
      </c>
    </row>
    <row r="83" spans="1:57" s="161" customFormat="1" ht="12" customHeight="1">
      <c r="A83" s="419" t="s">
        <v>134</v>
      </c>
      <c r="B83" s="420">
        <f t="shared" ref="B83:S83" si="152">+B142</f>
        <v>5.3999999999999999E-2</v>
      </c>
      <c r="C83" s="421">
        <f t="shared" si="152"/>
        <v>0.05</v>
      </c>
      <c r="D83" s="421">
        <f t="shared" si="152"/>
        <v>6.3E-2</v>
      </c>
      <c r="E83" s="422">
        <f t="shared" si="152"/>
        <v>0.114</v>
      </c>
      <c r="F83" s="420">
        <f t="shared" si="152"/>
        <v>7.6999999999999999E-2</v>
      </c>
      <c r="G83" s="421">
        <f t="shared" si="152"/>
        <v>0.114</v>
      </c>
      <c r="H83" s="421">
        <f t="shared" si="152"/>
        <v>0.69199999999999995</v>
      </c>
      <c r="I83" s="422">
        <f t="shared" si="152"/>
        <v>0.82399999999999995</v>
      </c>
      <c r="J83" s="421">
        <f t="shared" si="152"/>
        <v>0.65200000000000002</v>
      </c>
      <c r="K83" s="421">
        <f t="shared" si="152"/>
        <v>0.74199999999999999</v>
      </c>
      <c r="L83" s="421">
        <f t="shared" si="152"/>
        <v>0.69399999999999995</v>
      </c>
      <c r="M83" s="421">
        <f t="shared" si="152"/>
        <v>0.72899999999999998</v>
      </c>
      <c r="N83" s="420">
        <f t="shared" si="152"/>
        <v>0.747</v>
      </c>
      <c r="O83" s="421">
        <f t="shared" si="152"/>
        <v>0.83</v>
      </c>
      <c r="P83" s="423">
        <f t="shared" si="152"/>
        <v>0.82599999999999996</v>
      </c>
      <c r="Q83" s="424">
        <f t="shared" si="152"/>
        <v>0.755</v>
      </c>
      <c r="R83" s="423">
        <f t="shared" si="152"/>
        <v>0.93700000000000006</v>
      </c>
      <c r="S83" s="421">
        <f t="shared" si="152"/>
        <v>1.202</v>
      </c>
      <c r="T83" s="421">
        <f t="shared" ref="T83:AS83" si="153">T142</f>
        <v>1.1970000000000001</v>
      </c>
      <c r="U83" s="421">
        <f t="shared" si="153"/>
        <v>1.1100000000000001</v>
      </c>
      <c r="V83" s="420">
        <f t="shared" si="153"/>
        <v>1.5129999999999999</v>
      </c>
      <c r="W83" s="421">
        <f t="shared" si="153"/>
        <v>2.1139999999999999</v>
      </c>
      <c r="X83" s="421">
        <f t="shared" si="153"/>
        <v>2.3410000000000002</v>
      </c>
      <c r="Y83" s="421">
        <f t="shared" si="153"/>
        <v>2.4009999999999998</v>
      </c>
      <c r="Z83" s="420">
        <f t="shared" si="153"/>
        <v>2.625</v>
      </c>
      <c r="AA83" s="421">
        <f t="shared" si="153"/>
        <v>2.9060000000000001</v>
      </c>
      <c r="AB83" s="421">
        <f t="shared" si="153"/>
        <v>3.0110000000000001</v>
      </c>
      <c r="AC83" s="422">
        <f t="shared" si="153"/>
        <v>2.7050000000000001</v>
      </c>
      <c r="AD83" s="420">
        <f t="shared" si="153"/>
        <v>2.9820000000000002</v>
      </c>
      <c r="AE83" s="421">
        <f t="shared" si="153"/>
        <v>3.2879999999999998</v>
      </c>
      <c r="AF83" s="421">
        <f t="shared" si="153"/>
        <v>3.2160000000000002</v>
      </c>
      <c r="AG83" s="422">
        <f t="shared" si="153"/>
        <v>3.1909999999999998</v>
      </c>
      <c r="AH83" s="420">
        <f t="shared" si="153"/>
        <v>3.3149999999999999</v>
      </c>
      <c r="AI83" s="421">
        <f t="shared" si="153"/>
        <v>3.46</v>
      </c>
      <c r="AJ83" s="421">
        <f t="shared" si="153"/>
        <v>3.4950000000000001</v>
      </c>
      <c r="AK83" s="422">
        <f t="shared" si="153"/>
        <v>3.444</v>
      </c>
      <c r="AL83" s="420">
        <f t="shared" si="153"/>
        <v>4.2021896000943784</v>
      </c>
      <c r="AM83" s="421">
        <f t="shared" si="153"/>
        <v>3.698966535823109</v>
      </c>
      <c r="AN83" s="421">
        <f t="shared" si="153"/>
        <v>3.7436891766212756</v>
      </c>
      <c r="AO83" s="422">
        <f t="shared" si="153"/>
        <v>3.8640677028448156</v>
      </c>
      <c r="AP83" s="420">
        <f t="shared" si="153"/>
        <v>4.4791222113830269</v>
      </c>
      <c r="AQ83" s="421">
        <f t="shared" si="153"/>
        <v>3.9424594703601663</v>
      </c>
      <c r="AR83" s="421">
        <f t="shared" si="153"/>
        <v>3.9895454176159237</v>
      </c>
      <c r="AS83" s="422">
        <f t="shared" si="153"/>
        <v>4.1176345569490636</v>
      </c>
      <c r="AT83" s="425"/>
      <c r="AU83" s="72">
        <f t="shared" ref="AU83:AU95" si="154">SUM(B83:E83)</f>
        <v>0.28100000000000003</v>
      </c>
      <c r="AV83" s="72">
        <f t="shared" si="148"/>
        <v>1.7069999999999999</v>
      </c>
      <c r="AW83" s="72">
        <f t="shared" si="149"/>
        <v>2.8170000000000002</v>
      </c>
      <c r="AX83" s="72">
        <f t="shared" ref="AX83:AX91" si="155">SUM(N83:Q83)</f>
        <v>3.1579999999999999</v>
      </c>
      <c r="AY83" s="72">
        <f t="shared" ref="AY83:AY91" si="156">SUM(R83:U83)</f>
        <v>4.4460000000000006</v>
      </c>
      <c r="AZ83" s="72">
        <f t="shared" ref="AZ83:AZ91" si="157">SUM(V83:Y83)</f>
        <v>8.3689999999999998</v>
      </c>
      <c r="BA83" s="72">
        <f t="shared" ref="BA83:BA91" si="158">SUM(Z83:AC83)</f>
        <v>11.247000000000002</v>
      </c>
      <c r="BB83" s="72">
        <f t="shared" ref="BB83:BB99" si="159">SUM(AD83:AG83)</f>
        <v>12.677</v>
      </c>
      <c r="BC83" s="72">
        <f t="shared" si="150"/>
        <v>13.713999999999999</v>
      </c>
      <c r="BD83" s="72">
        <f t="shared" ref="BD83:BD99" si="160">SUM(AL83:AO83)</f>
        <v>15.508913015383579</v>
      </c>
      <c r="BE83" s="72">
        <f t="shared" si="151"/>
        <v>16.528761656308181</v>
      </c>
    </row>
    <row r="84" spans="1:57" s="161" customFormat="1" ht="12" customHeight="1">
      <c r="A84" s="419" t="s">
        <v>135</v>
      </c>
      <c r="B84" s="420">
        <f t="shared" ref="B84:S84" si="161">+B146</f>
        <v>1.5720000000000001</v>
      </c>
      <c r="C84" s="421">
        <f t="shared" si="161"/>
        <v>1.7989999999999999</v>
      </c>
      <c r="D84" s="421">
        <f t="shared" si="161"/>
        <v>1.9650000000000001</v>
      </c>
      <c r="E84" s="422">
        <f t="shared" si="161"/>
        <v>2.1429999999999998</v>
      </c>
      <c r="F84" s="420">
        <f t="shared" si="161"/>
        <v>2.3220000000000001</v>
      </c>
      <c r="G84" s="421">
        <f t="shared" si="161"/>
        <v>2.91</v>
      </c>
      <c r="H84" s="421">
        <f t="shared" si="161"/>
        <v>8.0910000000000011</v>
      </c>
      <c r="I84" s="422">
        <f t="shared" si="161"/>
        <v>7.8450000000000006</v>
      </c>
      <c r="J84" s="421">
        <f t="shared" si="161"/>
        <v>8.6669999999999998</v>
      </c>
      <c r="K84" s="421">
        <f t="shared" si="161"/>
        <v>10.631</v>
      </c>
      <c r="L84" s="421">
        <f t="shared" si="161"/>
        <v>9.8049999999999997</v>
      </c>
      <c r="M84" s="421">
        <f t="shared" si="161"/>
        <v>11.523</v>
      </c>
      <c r="N84" s="420">
        <f t="shared" si="161"/>
        <v>12.288</v>
      </c>
      <c r="O84" s="421">
        <f t="shared" si="161"/>
        <v>14.836</v>
      </c>
      <c r="P84" s="423">
        <f t="shared" si="161"/>
        <v>14.474</v>
      </c>
      <c r="Q84" s="424">
        <f t="shared" si="161"/>
        <v>14.817</v>
      </c>
      <c r="R84" s="423">
        <f t="shared" si="161"/>
        <v>16.015000000000001</v>
      </c>
      <c r="S84" s="421">
        <f t="shared" si="161"/>
        <v>19.266999999999999</v>
      </c>
      <c r="T84" s="421">
        <f t="shared" ref="T84:AS84" si="162">T146</f>
        <v>19.715</v>
      </c>
      <c r="U84" s="421">
        <f t="shared" si="162"/>
        <v>19.962</v>
      </c>
      <c r="V84" s="420">
        <f t="shared" si="162"/>
        <v>23.884999999999998</v>
      </c>
      <c r="W84" s="421">
        <f t="shared" si="162"/>
        <v>29.798999999999999</v>
      </c>
      <c r="X84" s="421">
        <f t="shared" si="162"/>
        <v>30.302</v>
      </c>
      <c r="Y84" s="421">
        <f t="shared" si="162"/>
        <v>28.277999999999999</v>
      </c>
      <c r="Z84" s="420">
        <f t="shared" si="162"/>
        <v>31.492000000000001</v>
      </c>
      <c r="AA84" s="421">
        <f t="shared" si="162"/>
        <v>34.953999999999994</v>
      </c>
      <c r="AB84" s="421">
        <f t="shared" si="162"/>
        <v>33.823999999999998</v>
      </c>
      <c r="AC84" s="422">
        <f t="shared" si="162"/>
        <v>33.81</v>
      </c>
      <c r="AD84" s="420">
        <f t="shared" si="162"/>
        <v>36.736999999999995</v>
      </c>
      <c r="AE84" s="421">
        <f t="shared" si="162"/>
        <v>38.11</v>
      </c>
      <c r="AF84" s="421">
        <f t="shared" si="162"/>
        <v>38.468000000000004</v>
      </c>
      <c r="AG84" s="422">
        <f t="shared" si="162"/>
        <v>37.522999999999996</v>
      </c>
      <c r="AH84" s="420">
        <f t="shared" si="162"/>
        <v>52.588000000000001</v>
      </c>
      <c r="AI84" s="421">
        <f t="shared" si="162"/>
        <v>43.066000000000003</v>
      </c>
      <c r="AJ84" s="421">
        <f t="shared" si="162"/>
        <v>41.387</v>
      </c>
      <c r="AK84" s="422">
        <f t="shared" si="162"/>
        <v>41.058</v>
      </c>
      <c r="AL84" s="420">
        <f t="shared" si="162"/>
        <v>50.096835249905624</v>
      </c>
      <c r="AM84" s="421">
        <f t="shared" si="162"/>
        <v>44.097609764176887</v>
      </c>
      <c r="AN84" s="421">
        <f t="shared" si="162"/>
        <v>44.630775323378728</v>
      </c>
      <c r="AO84" s="422">
        <f t="shared" si="162"/>
        <v>46.065880297155175</v>
      </c>
      <c r="AP84" s="420">
        <f t="shared" si="162"/>
        <v>53.398315840581972</v>
      </c>
      <c r="AQ84" s="421">
        <f t="shared" si="162"/>
        <v>47.000435811279822</v>
      </c>
      <c r="AR84" s="421">
        <f t="shared" si="162"/>
        <v>47.561775771334091</v>
      </c>
      <c r="AS84" s="422">
        <f t="shared" si="162"/>
        <v>49.088803611850942</v>
      </c>
      <c r="AT84" s="425"/>
      <c r="AU84" s="72">
        <f t="shared" si="154"/>
        <v>7.4790000000000001</v>
      </c>
      <c r="AV84" s="72">
        <f t="shared" si="148"/>
        <v>21.167999999999999</v>
      </c>
      <c r="AW84" s="72">
        <f t="shared" si="149"/>
        <v>40.626000000000005</v>
      </c>
      <c r="AX84" s="72">
        <f t="shared" si="155"/>
        <v>56.414999999999999</v>
      </c>
      <c r="AY84" s="72">
        <f t="shared" si="156"/>
        <v>74.959000000000003</v>
      </c>
      <c r="AZ84" s="72">
        <f t="shared" si="157"/>
        <v>112.26399999999998</v>
      </c>
      <c r="BA84" s="72">
        <f t="shared" si="158"/>
        <v>134.07999999999998</v>
      </c>
      <c r="BB84" s="72">
        <f t="shared" si="159"/>
        <v>150.83799999999999</v>
      </c>
      <c r="BC84" s="72">
        <f t="shared" si="150"/>
        <v>178.09899999999999</v>
      </c>
      <c r="BD84" s="72">
        <f t="shared" si="160"/>
        <v>184.89110063461641</v>
      </c>
      <c r="BE84" s="72">
        <f t="shared" si="151"/>
        <v>197.04933103504683</v>
      </c>
    </row>
    <row r="85" spans="1:57" s="161" customFormat="1" ht="12" customHeight="1">
      <c r="A85" s="412" t="s">
        <v>136</v>
      </c>
      <c r="B85" s="413">
        <f>B86+B87</f>
        <v>0.15100000000000002</v>
      </c>
      <c r="C85" s="414">
        <f t="shared" ref="C85:AS85" si="163">C86+C87</f>
        <v>0.151</v>
      </c>
      <c r="D85" s="414">
        <f t="shared" si="163"/>
        <v>0.151</v>
      </c>
      <c r="E85" s="415">
        <f t="shared" si="163"/>
        <v>0.15</v>
      </c>
      <c r="F85" s="413">
        <f t="shared" si="163"/>
        <v>0.151</v>
      </c>
      <c r="G85" s="414">
        <f t="shared" si="163"/>
        <v>0.151</v>
      </c>
      <c r="H85" s="414">
        <f t="shared" si="163"/>
        <v>0.151</v>
      </c>
      <c r="I85" s="415">
        <f t="shared" si="163"/>
        <v>0.15</v>
      </c>
      <c r="J85" s="414">
        <f t="shared" si="163"/>
        <v>0.151</v>
      </c>
      <c r="K85" s="414">
        <f t="shared" si="163"/>
        <v>0.151</v>
      </c>
      <c r="L85" s="414">
        <f t="shared" si="163"/>
        <v>0.125</v>
      </c>
      <c r="M85" s="414">
        <f t="shared" si="163"/>
        <v>0.193</v>
      </c>
      <c r="N85" s="413">
        <f t="shared" si="163"/>
        <v>0.57899999999999996</v>
      </c>
      <c r="O85" s="414">
        <f t="shared" si="163"/>
        <v>0.57799999999999996</v>
      </c>
      <c r="P85" s="416">
        <f t="shared" si="163"/>
        <v>0.57899999999999996</v>
      </c>
      <c r="Q85" s="417">
        <f t="shared" si="163"/>
        <v>0.57799999999999996</v>
      </c>
      <c r="R85" s="416">
        <f t="shared" si="163"/>
        <v>0.57899999999999996</v>
      </c>
      <c r="S85" s="414">
        <f t="shared" si="163"/>
        <v>1.4039999999999999</v>
      </c>
      <c r="T85" s="414">
        <f t="shared" si="163"/>
        <v>1.7210000000000001</v>
      </c>
      <c r="U85" s="414">
        <f t="shared" si="163"/>
        <v>2.7429999999999999</v>
      </c>
      <c r="V85" s="413">
        <f t="shared" si="163"/>
        <v>2.427</v>
      </c>
      <c r="W85" s="414">
        <f t="shared" si="163"/>
        <v>2.7850000000000001</v>
      </c>
      <c r="X85" s="414">
        <f t="shared" si="163"/>
        <v>3.08</v>
      </c>
      <c r="Y85" s="415">
        <f t="shared" si="163"/>
        <v>3.08</v>
      </c>
      <c r="Z85" s="413">
        <f t="shared" si="163"/>
        <v>3.08</v>
      </c>
      <c r="AA85" s="414">
        <f t="shared" si="163"/>
        <v>3.073</v>
      </c>
      <c r="AB85" s="414">
        <f t="shared" si="163"/>
        <v>3.0550000000000002</v>
      </c>
      <c r="AC85" s="415">
        <f t="shared" si="163"/>
        <v>4.6509999999999998</v>
      </c>
      <c r="AD85" s="413">
        <f t="shared" si="163"/>
        <v>4.6689999999999996</v>
      </c>
      <c r="AE85" s="414">
        <f t="shared" si="163"/>
        <v>4.76</v>
      </c>
      <c r="AF85" s="414">
        <f t="shared" si="163"/>
        <v>5.0140000000000002</v>
      </c>
      <c r="AG85" s="415">
        <f t="shared" si="163"/>
        <v>5.0140000000000002</v>
      </c>
      <c r="AH85" s="413">
        <f t="shared" si="163"/>
        <v>5.8639999999999999</v>
      </c>
      <c r="AI85" s="414">
        <f t="shared" si="163"/>
        <v>6.5369999999999999</v>
      </c>
      <c r="AJ85" s="414">
        <f t="shared" si="163"/>
        <v>6.782</v>
      </c>
      <c r="AK85" s="415">
        <f t="shared" si="163"/>
        <v>6.782</v>
      </c>
      <c r="AL85" s="413">
        <f t="shared" si="163"/>
        <v>6.782</v>
      </c>
      <c r="AM85" s="414">
        <f t="shared" si="163"/>
        <v>6.782</v>
      </c>
      <c r="AN85" s="414">
        <f t="shared" si="163"/>
        <v>6.782</v>
      </c>
      <c r="AO85" s="415">
        <f t="shared" si="163"/>
        <v>6.782</v>
      </c>
      <c r="AP85" s="413">
        <f t="shared" si="163"/>
        <v>6.782</v>
      </c>
      <c r="AQ85" s="414">
        <f t="shared" si="163"/>
        <v>6.782</v>
      </c>
      <c r="AR85" s="414">
        <f t="shared" si="163"/>
        <v>6.782</v>
      </c>
      <c r="AS85" s="415">
        <f t="shared" si="163"/>
        <v>6.782</v>
      </c>
      <c r="AT85" s="426"/>
      <c r="AU85" s="79">
        <f t="shared" si="154"/>
        <v>0.60300000000000009</v>
      </c>
      <c r="AV85" s="79">
        <f t="shared" si="148"/>
        <v>0.60299999999999998</v>
      </c>
      <c r="AW85" s="79">
        <f t="shared" si="149"/>
        <v>0.62</v>
      </c>
      <c r="AX85" s="79">
        <f t="shared" si="155"/>
        <v>2.3140000000000001</v>
      </c>
      <c r="AY85" s="79">
        <f t="shared" si="156"/>
        <v>6.4469999999999992</v>
      </c>
      <c r="AZ85" s="79">
        <f t="shared" si="157"/>
        <v>11.372</v>
      </c>
      <c r="BA85" s="79">
        <f t="shared" si="158"/>
        <v>13.859</v>
      </c>
      <c r="BB85" s="79">
        <f t="shared" si="159"/>
        <v>19.456999999999997</v>
      </c>
      <c r="BC85" s="79">
        <f t="shared" si="150"/>
        <v>25.965</v>
      </c>
      <c r="BD85" s="79">
        <f t="shared" si="160"/>
        <v>27.128</v>
      </c>
      <c r="BE85" s="79">
        <f t="shared" si="151"/>
        <v>27.128</v>
      </c>
    </row>
    <row r="86" spans="1:57" s="161" customFormat="1" ht="12" customHeight="1">
      <c r="A86" s="419" t="s">
        <v>134</v>
      </c>
      <c r="B86" s="420">
        <f t="shared" ref="B86:AS86" si="164">B151</f>
        <v>0.15100000000000002</v>
      </c>
      <c r="C86" s="421">
        <f t="shared" si="164"/>
        <v>0.151</v>
      </c>
      <c r="D86" s="421">
        <f t="shared" si="164"/>
        <v>0.151</v>
      </c>
      <c r="E86" s="422">
        <f t="shared" si="164"/>
        <v>0.15</v>
      </c>
      <c r="F86" s="420">
        <f t="shared" si="164"/>
        <v>0.151</v>
      </c>
      <c r="G86" s="421">
        <f t="shared" si="164"/>
        <v>0.151</v>
      </c>
      <c r="H86" s="421">
        <f t="shared" si="164"/>
        <v>0.151</v>
      </c>
      <c r="I86" s="422">
        <f t="shared" si="164"/>
        <v>0.15</v>
      </c>
      <c r="J86" s="421">
        <f t="shared" si="164"/>
        <v>0.151</v>
      </c>
      <c r="K86" s="421">
        <f t="shared" si="164"/>
        <v>0.151</v>
      </c>
      <c r="L86" s="421">
        <f t="shared" si="164"/>
        <v>0.125</v>
      </c>
      <c r="M86" s="421">
        <f t="shared" si="164"/>
        <v>0.193</v>
      </c>
      <c r="N86" s="420">
        <f t="shared" si="164"/>
        <v>0.57899999999999996</v>
      </c>
      <c r="O86" s="421">
        <f t="shared" si="164"/>
        <v>0.57799999999999996</v>
      </c>
      <c r="P86" s="423">
        <f t="shared" si="164"/>
        <v>0.57899999999999996</v>
      </c>
      <c r="Q86" s="424">
        <f t="shared" si="164"/>
        <v>0.57799999999999996</v>
      </c>
      <c r="R86" s="423">
        <f t="shared" si="164"/>
        <v>0.57899999999999996</v>
      </c>
      <c r="S86" s="421">
        <f t="shared" si="164"/>
        <v>1.4039999999999999</v>
      </c>
      <c r="T86" s="421">
        <f t="shared" si="164"/>
        <v>1.7210000000000001</v>
      </c>
      <c r="U86" s="421">
        <f t="shared" si="164"/>
        <v>2.7429999999999999</v>
      </c>
      <c r="V86" s="420">
        <f t="shared" si="164"/>
        <v>2.427</v>
      </c>
      <c r="W86" s="421">
        <f t="shared" si="164"/>
        <v>2.7850000000000001</v>
      </c>
      <c r="X86" s="421">
        <f t="shared" si="164"/>
        <v>3.08</v>
      </c>
      <c r="Y86" s="422">
        <f t="shared" si="164"/>
        <v>3.08</v>
      </c>
      <c r="Z86" s="420">
        <f t="shared" si="164"/>
        <v>3.08</v>
      </c>
      <c r="AA86" s="421">
        <f t="shared" si="164"/>
        <v>3.073</v>
      </c>
      <c r="AB86" s="421">
        <f t="shared" si="164"/>
        <v>3.0550000000000002</v>
      </c>
      <c r="AC86" s="422">
        <f t="shared" si="164"/>
        <v>4.6509999999999998</v>
      </c>
      <c r="AD86" s="420">
        <f t="shared" si="164"/>
        <v>4.6689999999999996</v>
      </c>
      <c r="AE86" s="421">
        <f t="shared" si="164"/>
        <v>4.76</v>
      </c>
      <c r="AF86" s="421">
        <f t="shared" si="164"/>
        <v>5.0140000000000002</v>
      </c>
      <c r="AG86" s="422">
        <f t="shared" si="164"/>
        <v>5.0140000000000002</v>
      </c>
      <c r="AH86" s="420">
        <f t="shared" si="164"/>
        <v>5.8639999999999999</v>
      </c>
      <c r="AI86" s="421">
        <f t="shared" si="164"/>
        <v>6.5369999999999999</v>
      </c>
      <c r="AJ86" s="421">
        <f t="shared" si="164"/>
        <v>6.782</v>
      </c>
      <c r="AK86" s="422">
        <f t="shared" si="164"/>
        <v>6.782</v>
      </c>
      <c r="AL86" s="420">
        <f t="shared" si="164"/>
        <v>6.782</v>
      </c>
      <c r="AM86" s="421">
        <f t="shared" si="164"/>
        <v>6.782</v>
      </c>
      <c r="AN86" s="421">
        <f t="shared" si="164"/>
        <v>6.782</v>
      </c>
      <c r="AO86" s="422">
        <f t="shared" si="164"/>
        <v>6.782</v>
      </c>
      <c r="AP86" s="420">
        <f t="shared" si="164"/>
        <v>6.782</v>
      </c>
      <c r="AQ86" s="421">
        <f t="shared" si="164"/>
        <v>6.782</v>
      </c>
      <c r="AR86" s="421">
        <f t="shared" si="164"/>
        <v>6.782</v>
      </c>
      <c r="AS86" s="422">
        <f t="shared" si="164"/>
        <v>6.782</v>
      </c>
      <c r="AT86" s="425"/>
      <c r="AU86" s="72">
        <f t="shared" si="154"/>
        <v>0.60300000000000009</v>
      </c>
      <c r="AV86" s="72">
        <f t="shared" si="148"/>
        <v>0.60299999999999998</v>
      </c>
      <c r="AW86" s="72">
        <f t="shared" si="149"/>
        <v>0.62</v>
      </c>
      <c r="AX86" s="72">
        <f t="shared" si="155"/>
        <v>2.3140000000000001</v>
      </c>
      <c r="AY86" s="72">
        <f t="shared" si="156"/>
        <v>6.4469999999999992</v>
      </c>
      <c r="AZ86" s="72">
        <f t="shared" si="157"/>
        <v>11.372</v>
      </c>
      <c r="BA86" s="72">
        <f t="shared" si="158"/>
        <v>13.859</v>
      </c>
      <c r="BB86" s="72">
        <f t="shared" si="159"/>
        <v>19.456999999999997</v>
      </c>
      <c r="BC86" s="72">
        <f t="shared" si="150"/>
        <v>25.965</v>
      </c>
      <c r="BD86" s="72">
        <f t="shared" si="160"/>
        <v>27.128</v>
      </c>
      <c r="BE86" s="72">
        <f t="shared" si="151"/>
        <v>27.128</v>
      </c>
    </row>
    <row r="87" spans="1:57" s="161" customFormat="1" ht="12" customHeight="1">
      <c r="A87" s="419" t="s">
        <v>135</v>
      </c>
      <c r="B87" s="420">
        <f t="shared" ref="B87:S87" si="165">+B155</f>
        <v>0</v>
      </c>
      <c r="C87" s="421">
        <f t="shared" si="165"/>
        <v>0</v>
      </c>
      <c r="D87" s="421">
        <f t="shared" si="165"/>
        <v>0</v>
      </c>
      <c r="E87" s="422">
        <f t="shared" si="165"/>
        <v>0</v>
      </c>
      <c r="F87" s="420">
        <f t="shared" si="165"/>
        <v>0</v>
      </c>
      <c r="G87" s="421">
        <f t="shared" si="165"/>
        <v>0</v>
      </c>
      <c r="H87" s="421">
        <f t="shared" si="165"/>
        <v>0</v>
      </c>
      <c r="I87" s="422">
        <f t="shared" si="165"/>
        <v>0</v>
      </c>
      <c r="J87" s="421">
        <f t="shared" si="165"/>
        <v>0</v>
      </c>
      <c r="K87" s="421">
        <f t="shared" si="165"/>
        <v>0</v>
      </c>
      <c r="L87" s="421">
        <f t="shared" si="165"/>
        <v>0</v>
      </c>
      <c r="M87" s="421">
        <f t="shared" si="165"/>
        <v>0</v>
      </c>
      <c r="N87" s="420">
        <f t="shared" si="165"/>
        <v>0</v>
      </c>
      <c r="O87" s="421">
        <f t="shared" si="165"/>
        <v>0</v>
      </c>
      <c r="P87" s="423">
        <f t="shared" si="165"/>
        <v>0</v>
      </c>
      <c r="Q87" s="424">
        <f t="shared" si="165"/>
        <v>0</v>
      </c>
      <c r="R87" s="423">
        <f t="shared" si="165"/>
        <v>0</v>
      </c>
      <c r="S87" s="421">
        <f t="shared" si="165"/>
        <v>0</v>
      </c>
      <c r="T87" s="421">
        <f t="shared" ref="T87:AS87" si="166">T155</f>
        <v>0</v>
      </c>
      <c r="U87" s="421">
        <f t="shared" si="166"/>
        <v>0</v>
      </c>
      <c r="V87" s="420">
        <f t="shared" si="166"/>
        <v>0</v>
      </c>
      <c r="W87" s="421">
        <f t="shared" si="166"/>
        <v>0</v>
      </c>
      <c r="X87" s="421">
        <f t="shared" si="166"/>
        <v>0</v>
      </c>
      <c r="Y87" s="422">
        <f t="shared" si="166"/>
        <v>0</v>
      </c>
      <c r="Z87" s="420">
        <f t="shared" si="166"/>
        <v>0</v>
      </c>
      <c r="AA87" s="421">
        <f t="shared" si="166"/>
        <v>0</v>
      </c>
      <c r="AB87" s="421">
        <f t="shared" si="166"/>
        <v>0</v>
      </c>
      <c r="AC87" s="422">
        <f t="shared" si="166"/>
        <v>0</v>
      </c>
      <c r="AD87" s="420">
        <f t="shared" si="166"/>
        <v>0</v>
      </c>
      <c r="AE87" s="421">
        <f t="shared" si="166"/>
        <v>0</v>
      </c>
      <c r="AF87" s="421">
        <f t="shared" si="166"/>
        <v>0</v>
      </c>
      <c r="AG87" s="422">
        <f t="shared" si="166"/>
        <v>0</v>
      </c>
      <c r="AH87" s="420">
        <f t="shared" si="166"/>
        <v>0</v>
      </c>
      <c r="AI87" s="421">
        <f t="shared" si="166"/>
        <v>0</v>
      </c>
      <c r="AJ87" s="421">
        <f t="shared" si="166"/>
        <v>0</v>
      </c>
      <c r="AK87" s="422">
        <f t="shared" si="166"/>
        <v>0</v>
      </c>
      <c r="AL87" s="420">
        <f t="shared" si="166"/>
        <v>0</v>
      </c>
      <c r="AM87" s="421">
        <f t="shared" si="166"/>
        <v>0</v>
      </c>
      <c r="AN87" s="421">
        <f t="shared" si="166"/>
        <v>0</v>
      </c>
      <c r="AO87" s="422">
        <f t="shared" si="166"/>
        <v>0</v>
      </c>
      <c r="AP87" s="420">
        <f t="shared" si="166"/>
        <v>0</v>
      </c>
      <c r="AQ87" s="421">
        <f t="shared" si="166"/>
        <v>0</v>
      </c>
      <c r="AR87" s="421">
        <f t="shared" si="166"/>
        <v>0</v>
      </c>
      <c r="AS87" s="422">
        <f t="shared" si="166"/>
        <v>0</v>
      </c>
      <c r="AT87" s="425"/>
      <c r="AU87" s="72">
        <f t="shared" si="154"/>
        <v>0</v>
      </c>
      <c r="AV87" s="72">
        <f t="shared" si="148"/>
        <v>0</v>
      </c>
      <c r="AW87" s="72">
        <f t="shared" si="149"/>
        <v>0</v>
      </c>
      <c r="AX87" s="72">
        <f t="shared" si="155"/>
        <v>0</v>
      </c>
      <c r="AY87" s="72">
        <f t="shared" si="156"/>
        <v>0</v>
      </c>
      <c r="AZ87" s="72">
        <f t="shared" si="157"/>
        <v>0</v>
      </c>
      <c r="BA87" s="72">
        <f t="shared" si="158"/>
        <v>0</v>
      </c>
      <c r="BB87" s="72">
        <f t="shared" si="159"/>
        <v>0</v>
      </c>
      <c r="BC87" s="72">
        <f t="shared" si="150"/>
        <v>0</v>
      </c>
      <c r="BD87" s="72">
        <f t="shared" si="160"/>
        <v>0</v>
      </c>
      <c r="BE87" s="72">
        <f t="shared" si="151"/>
        <v>0</v>
      </c>
    </row>
    <row r="88" spans="1:57" s="161" customFormat="1" ht="12" customHeight="1">
      <c r="A88" s="412" t="s">
        <v>137</v>
      </c>
      <c r="B88" s="413">
        <f>B89+B90</f>
        <v>0</v>
      </c>
      <c r="C88" s="414">
        <f t="shared" ref="C88:AS88" si="167">C89+C90</f>
        <v>0</v>
      </c>
      <c r="D88" s="414">
        <f t="shared" si="167"/>
        <v>0</v>
      </c>
      <c r="E88" s="415">
        <f t="shared" si="167"/>
        <v>0</v>
      </c>
      <c r="F88" s="413">
        <f t="shared" si="167"/>
        <v>0</v>
      </c>
      <c r="G88" s="414">
        <f t="shared" si="167"/>
        <v>0</v>
      </c>
      <c r="H88" s="414">
        <f t="shared" si="167"/>
        <v>0</v>
      </c>
      <c r="I88" s="415">
        <f t="shared" si="167"/>
        <v>0</v>
      </c>
      <c r="J88" s="414">
        <f t="shared" si="167"/>
        <v>0</v>
      </c>
      <c r="K88" s="414">
        <f t="shared" si="167"/>
        <v>0</v>
      </c>
      <c r="L88" s="414">
        <f t="shared" si="167"/>
        <v>0</v>
      </c>
      <c r="M88" s="414">
        <f t="shared" si="167"/>
        <v>3.97</v>
      </c>
      <c r="N88" s="413">
        <f t="shared" si="167"/>
        <v>0.33900000000000002</v>
      </c>
      <c r="O88" s="414">
        <f t="shared" si="167"/>
        <v>0</v>
      </c>
      <c r="P88" s="416">
        <f t="shared" si="167"/>
        <v>0</v>
      </c>
      <c r="Q88" s="417">
        <f t="shared" si="167"/>
        <v>0</v>
      </c>
      <c r="R88" s="416">
        <f t="shared" si="167"/>
        <v>2.1579999999999999</v>
      </c>
      <c r="S88" s="414">
        <f t="shared" si="167"/>
        <v>1.542</v>
      </c>
      <c r="T88" s="414">
        <f t="shared" si="167"/>
        <v>2.27</v>
      </c>
      <c r="U88" s="414">
        <f t="shared" si="167"/>
        <v>0.93100000000000005</v>
      </c>
      <c r="V88" s="413">
        <f t="shared" si="167"/>
        <v>2.1789999999999998</v>
      </c>
      <c r="W88" s="414">
        <f t="shared" si="167"/>
        <v>0.71299999999999997</v>
      </c>
      <c r="X88" s="414">
        <f t="shared" si="167"/>
        <v>0.32200000000000001</v>
      </c>
      <c r="Y88" s="415">
        <f t="shared" si="167"/>
        <v>0.26600000000000001</v>
      </c>
      <c r="Z88" s="413">
        <f t="shared" si="167"/>
        <v>0.1</v>
      </c>
      <c r="AA88" s="414">
        <f t="shared" si="167"/>
        <v>0.03</v>
      </c>
      <c r="AB88" s="414">
        <f t="shared" si="167"/>
        <v>4.5979999999999999</v>
      </c>
      <c r="AC88" s="415">
        <f t="shared" si="167"/>
        <v>4.7439999999999998</v>
      </c>
      <c r="AD88" s="413">
        <f t="shared" si="167"/>
        <v>0.161</v>
      </c>
      <c r="AE88" s="414">
        <f t="shared" si="167"/>
        <v>0.76300000000000001</v>
      </c>
      <c r="AF88" s="414">
        <f t="shared" si="167"/>
        <v>0.36</v>
      </c>
      <c r="AG88" s="415">
        <f t="shared" si="167"/>
        <v>0.64800000000000002</v>
      </c>
      <c r="AH88" s="413">
        <f t="shared" si="167"/>
        <v>4.6210000000000004</v>
      </c>
      <c r="AI88" s="414">
        <f t="shared" si="167"/>
        <v>2.081</v>
      </c>
      <c r="AJ88" s="414">
        <f t="shared" si="167"/>
        <v>0.113</v>
      </c>
      <c r="AK88" s="415">
        <f t="shared" si="167"/>
        <v>0.441</v>
      </c>
      <c r="AL88" s="413">
        <f t="shared" si="167"/>
        <v>0.441</v>
      </c>
      <c r="AM88" s="414">
        <f t="shared" si="167"/>
        <v>0.441</v>
      </c>
      <c r="AN88" s="414">
        <f t="shared" si="167"/>
        <v>0.441</v>
      </c>
      <c r="AO88" s="415">
        <f t="shared" si="167"/>
        <v>0.441</v>
      </c>
      <c r="AP88" s="413">
        <f t="shared" si="167"/>
        <v>0.441</v>
      </c>
      <c r="AQ88" s="414">
        <f t="shared" si="167"/>
        <v>0.441</v>
      </c>
      <c r="AR88" s="414">
        <f t="shared" si="167"/>
        <v>0.441</v>
      </c>
      <c r="AS88" s="415">
        <f t="shared" si="167"/>
        <v>0.441</v>
      </c>
      <c r="AT88" s="426"/>
      <c r="AU88" s="79">
        <f t="shared" si="154"/>
        <v>0</v>
      </c>
      <c r="AV88" s="79">
        <f t="shared" si="148"/>
        <v>0</v>
      </c>
      <c r="AW88" s="79">
        <f t="shared" si="149"/>
        <v>3.97</v>
      </c>
      <c r="AX88" s="79">
        <f t="shared" si="155"/>
        <v>0.33900000000000002</v>
      </c>
      <c r="AY88" s="79">
        <f t="shared" si="156"/>
        <v>6.9010000000000007</v>
      </c>
      <c r="AZ88" s="79">
        <f t="shared" si="157"/>
        <v>3.48</v>
      </c>
      <c r="BA88" s="79">
        <f t="shared" si="158"/>
        <v>9.4719999999999995</v>
      </c>
      <c r="BB88" s="79">
        <f t="shared" si="159"/>
        <v>1.9319999999999999</v>
      </c>
      <c r="BC88" s="79">
        <f t="shared" si="150"/>
        <v>7.2560000000000002</v>
      </c>
      <c r="BD88" s="79">
        <f t="shared" si="160"/>
        <v>1.764</v>
      </c>
      <c r="BE88" s="79">
        <f t="shared" si="151"/>
        <v>1.764</v>
      </c>
    </row>
    <row r="89" spans="1:57" s="161" customFormat="1" ht="12" customHeight="1">
      <c r="A89" s="419" t="s">
        <v>134</v>
      </c>
      <c r="B89" s="420">
        <f t="shared" ref="B89:AS89" si="168">B160</f>
        <v>0</v>
      </c>
      <c r="C89" s="421">
        <f t="shared" si="168"/>
        <v>0</v>
      </c>
      <c r="D89" s="421">
        <f t="shared" si="168"/>
        <v>0</v>
      </c>
      <c r="E89" s="422">
        <f t="shared" si="168"/>
        <v>0</v>
      </c>
      <c r="F89" s="420">
        <f t="shared" si="168"/>
        <v>0</v>
      </c>
      <c r="G89" s="421">
        <f t="shared" si="168"/>
        <v>0</v>
      </c>
      <c r="H89" s="421">
        <f t="shared" si="168"/>
        <v>0</v>
      </c>
      <c r="I89" s="422">
        <f t="shared" si="168"/>
        <v>0</v>
      </c>
      <c r="J89" s="421">
        <f t="shared" si="168"/>
        <v>0</v>
      </c>
      <c r="K89" s="421">
        <f t="shared" si="168"/>
        <v>0</v>
      </c>
      <c r="L89" s="421">
        <f t="shared" si="168"/>
        <v>0</v>
      </c>
      <c r="M89" s="421">
        <f t="shared" si="168"/>
        <v>0</v>
      </c>
      <c r="N89" s="420">
        <f t="shared" si="168"/>
        <v>0</v>
      </c>
      <c r="O89" s="421">
        <f t="shared" si="168"/>
        <v>0</v>
      </c>
      <c r="P89" s="423">
        <f t="shared" si="168"/>
        <v>0</v>
      </c>
      <c r="Q89" s="424">
        <f t="shared" si="168"/>
        <v>0</v>
      </c>
      <c r="R89" s="423">
        <f t="shared" si="168"/>
        <v>0</v>
      </c>
      <c r="S89" s="421">
        <f t="shared" si="168"/>
        <v>0</v>
      </c>
      <c r="T89" s="421">
        <f t="shared" si="168"/>
        <v>0</v>
      </c>
      <c r="U89" s="421">
        <f t="shared" si="168"/>
        <v>0</v>
      </c>
      <c r="V89" s="420">
        <f t="shared" si="168"/>
        <v>0</v>
      </c>
      <c r="W89" s="421">
        <f t="shared" si="168"/>
        <v>0</v>
      </c>
      <c r="X89" s="421">
        <f t="shared" si="168"/>
        <v>0</v>
      </c>
      <c r="Y89" s="422">
        <f t="shared" si="168"/>
        <v>0</v>
      </c>
      <c r="Z89" s="420">
        <f t="shared" si="168"/>
        <v>0</v>
      </c>
      <c r="AA89" s="421">
        <f t="shared" si="168"/>
        <v>0</v>
      </c>
      <c r="AB89" s="421">
        <f t="shared" si="168"/>
        <v>0</v>
      </c>
      <c r="AC89" s="422">
        <f t="shared" si="168"/>
        <v>0</v>
      </c>
      <c r="AD89" s="420">
        <f t="shared" si="168"/>
        <v>0</v>
      </c>
      <c r="AE89" s="421">
        <f t="shared" si="168"/>
        <v>0</v>
      </c>
      <c r="AF89" s="421">
        <f t="shared" si="168"/>
        <v>0</v>
      </c>
      <c r="AG89" s="422">
        <f t="shared" si="168"/>
        <v>0</v>
      </c>
      <c r="AH89" s="420">
        <f t="shared" si="168"/>
        <v>0</v>
      </c>
      <c r="AI89" s="421">
        <f t="shared" si="168"/>
        <v>0</v>
      </c>
      <c r="AJ89" s="421">
        <f t="shared" si="168"/>
        <v>0</v>
      </c>
      <c r="AK89" s="422">
        <f t="shared" si="168"/>
        <v>0</v>
      </c>
      <c r="AL89" s="420">
        <f t="shared" si="168"/>
        <v>0</v>
      </c>
      <c r="AM89" s="421">
        <f t="shared" si="168"/>
        <v>0</v>
      </c>
      <c r="AN89" s="421">
        <f t="shared" si="168"/>
        <v>0</v>
      </c>
      <c r="AO89" s="422">
        <f t="shared" si="168"/>
        <v>0</v>
      </c>
      <c r="AP89" s="420">
        <f t="shared" si="168"/>
        <v>0</v>
      </c>
      <c r="AQ89" s="421">
        <f t="shared" si="168"/>
        <v>0</v>
      </c>
      <c r="AR89" s="421">
        <f t="shared" si="168"/>
        <v>0</v>
      </c>
      <c r="AS89" s="422">
        <f t="shared" si="168"/>
        <v>0</v>
      </c>
      <c r="AT89" s="425"/>
      <c r="AU89" s="72">
        <f t="shared" si="154"/>
        <v>0</v>
      </c>
      <c r="AV89" s="72">
        <f t="shared" si="148"/>
        <v>0</v>
      </c>
      <c r="AW89" s="72">
        <f t="shared" si="149"/>
        <v>0</v>
      </c>
      <c r="AX89" s="72">
        <f t="shared" si="155"/>
        <v>0</v>
      </c>
      <c r="AY89" s="72">
        <f t="shared" si="156"/>
        <v>0</v>
      </c>
      <c r="AZ89" s="72">
        <f t="shared" si="157"/>
        <v>0</v>
      </c>
      <c r="BA89" s="72">
        <f t="shared" si="158"/>
        <v>0</v>
      </c>
      <c r="BB89" s="72">
        <f t="shared" si="159"/>
        <v>0</v>
      </c>
      <c r="BC89" s="72">
        <f t="shared" si="150"/>
        <v>0</v>
      </c>
      <c r="BD89" s="72">
        <f t="shared" si="160"/>
        <v>0</v>
      </c>
      <c r="BE89" s="72">
        <f t="shared" si="151"/>
        <v>0</v>
      </c>
    </row>
    <row r="90" spans="1:57" s="161" customFormat="1" ht="12" customHeight="1">
      <c r="A90" s="419" t="s">
        <v>135</v>
      </c>
      <c r="B90" s="420">
        <f t="shared" ref="B90:S90" si="169">+B164</f>
        <v>0</v>
      </c>
      <c r="C90" s="421">
        <f t="shared" si="169"/>
        <v>0</v>
      </c>
      <c r="D90" s="421">
        <f t="shared" si="169"/>
        <v>0</v>
      </c>
      <c r="E90" s="422">
        <f t="shared" si="169"/>
        <v>0</v>
      </c>
      <c r="F90" s="420">
        <f t="shared" si="169"/>
        <v>0</v>
      </c>
      <c r="G90" s="421">
        <f t="shared" si="169"/>
        <v>0</v>
      </c>
      <c r="H90" s="421">
        <f t="shared" si="169"/>
        <v>0</v>
      </c>
      <c r="I90" s="422">
        <f t="shared" si="169"/>
        <v>0</v>
      </c>
      <c r="J90" s="421">
        <f t="shared" si="169"/>
        <v>0</v>
      </c>
      <c r="K90" s="421">
        <f t="shared" si="169"/>
        <v>0</v>
      </c>
      <c r="L90" s="421">
        <f t="shared" si="169"/>
        <v>0</v>
      </c>
      <c r="M90" s="421">
        <f t="shared" si="169"/>
        <v>3.97</v>
      </c>
      <c r="N90" s="420">
        <f t="shared" si="169"/>
        <v>0.33900000000000002</v>
      </c>
      <c r="O90" s="421">
        <f t="shared" si="169"/>
        <v>0</v>
      </c>
      <c r="P90" s="423">
        <f t="shared" si="169"/>
        <v>0</v>
      </c>
      <c r="Q90" s="424">
        <f t="shared" si="169"/>
        <v>0</v>
      </c>
      <c r="R90" s="423">
        <f t="shared" si="169"/>
        <v>2.1579999999999999</v>
      </c>
      <c r="S90" s="421">
        <f t="shared" si="169"/>
        <v>1.542</v>
      </c>
      <c r="T90" s="421">
        <f t="shared" ref="T90:AS90" si="170">T164</f>
        <v>2.27</v>
      </c>
      <c r="U90" s="421">
        <f t="shared" si="170"/>
        <v>0.93100000000000005</v>
      </c>
      <c r="V90" s="420">
        <f t="shared" si="170"/>
        <v>2.1789999999999998</v>
      </c>
      <c r="W90" s="421">
        <f t="shared" si="170"/>
        <v>0.71299999999999997</v>
      </c>
      <c r="X90" s="421">
        <f t="shared" si="170"/>
        <v>0.32200000000000001</v>
      </c>
      <c r="Y90" s="422">
        <f t="shared" si="170"/>
        <v>0.26600000000000001</v>
      </c>
      <c r="Z90" s="420">
        <f t="shared" si="170"/>
        <v>0.1</v>
      </c>
      <c r="AA90" s="421">
        <f t="shared" si="170"/>
        <v>0.03</v>
      </c>
      <c r="AB90" s="421">
        <f t="shared" si="170"/>
        <v>4.5979999999999999</v>
      </c>
      <c r="AC90" s="422">
        <f t="shared" si="170"/>
        <v>4.7439999999999998</v>
      </c>
      <c r="AD90" s="420">
        <f t="shared" si="170"/>
        <v>0.161</v>
      </c>
      <c r="AE90" s="421">
        <f t="shared" si="170"/>
        <v>0.76300000000000001</v>
      </c>
      <c r="AF90" s="421">
        <f t="shared" si="170"/>
        <v>0.36</v>
      </c>
      <c r="AG90" s="422">
        <f t="shared" si="170"/>
        <v>0.64800000000000002</v>
      </c>
      <c r="AH90" s="420">
        <f t="shared" si="170"/>
        <v>4.6210000000000004</v>
      </c>
      <c r="AI90" s="421">
        <f t="shared" si="170"/>
        <v>2.081</v>
      </c>
      <c r="AJ90" s="421">
        <f t="shared" si="170"/>
        <v>0.113</v>
      </c>
      <c r="AK90" s="422">
        <f t="shared" si="170"/>
        <v>0.441</v>
      </c>
      <c r="AL90" s="420">
        <f t="shared" si="170"/>
        <v>0.441</v>
      </c>
      <c r="AM90" s="421">
        <f t="shared" si="170"/>
        <v>0.441</v>
      </c>
      <c r="AN90" s="421">
        <f t="shared" si="170"/>
        <v>0.441</v>
      </c>
      <c r="AO90" s="422">
        <f t="shared" si="170"/>
        <v>0.441</v>
      </c>
      <c r="AP90" s="420">
        <f t="shared" si="170"/>
        <v>0.441</v>
      </c>
      <c r="AQ90" s="421">
        <f t="shared" si="170"/>
        <v>0.441</v>
      </c>
      <c r="AR90" s="421">
        <f t="shared" si="170"/>
        <v>0.441</v>
      </c>
      <c r="AS90" s="422">
        <f t="shared" si="170"/>
        <v>0.441</v>
      </c>
      <c r="AT90" s="425"/>
      <c r="AU90" s="72">
        <f t="shared" si="154"/>
        <v>0</v>
      </c>
      <c r="AV90" s="72">
        <f t="shared" si="148"/>
        <v>0</v>
      </c>
      <c r="AW90" s="72">
        <f t="shared" si="149"/>
        <v>3.97</v>
      </c>
      <c r="AX90" s="72">
        <f t="shared" si="155"/>
        <v>0.33900000000000002</v>
      </c>
      <c r="AY90" s="72">
        <f t="shared" si="156"/>
        <v>6.9010000000000007</v>
      </c>
      <c r="AZ90" s="72">
        <f t="shared" si="157"/>
        <v>3.48</v>
      </c>
      <c r="BA90" s="72">
        <f t="shared" si="158"/>
        <v>9.4719999999999995</v>
      </c>
      <c r="BB90" s="72">
        <f t="shared" si="159"/>
        <v>1.9319999999999999</v>
      </c>
      <c r="BC90" s="72">
        <f t="shared" si="150"/>
        <v>7.2560000000000002</v>
      </c>
      <c r="BD90" s="72">
        <f t="shared" si="160"/>
        <v>1.764</v>
      </c>
      <c r="BE90" s="72">
        <f t="shared" si="151"/>
        <v>1.764</v>
      </c>
    </row>
    <row r="91" spans="1:57" s="161" customFormat="1" ht="12" customHeight="1">
      <c r="A91" s="412" t="s">
        <v>138</v>
      </c>
      <c r="B91" s="427">
        <f>SUM(B92:B95)</f>
        <v>0.17699999999999994</v>
      </c>
      <c r="C91" s="416">
        <f t="shared" ref="C91:AS91" si="171">SUM(C92:C95)</f>
        <v>0.17899999999999999</v>
      </c>
      <c r="D91" s="416">
        <f t="shared" si="171"/>
        <v>0.17899999999999999</v>
      </c>
      <c r="E91" s="417">
        <f t="shared" si="171"/>
        <v>0.17400000000000002</v>
      </c>
      <c r="F91" s="427">
        <f t="shared" si="171"/>
        <v>0.16500000000000001</v>
      </c>
      <c r="G91" s="416">
        <f t="shared" si="171"/>
        <v>0.16600000000000001</v>
      </c>
      <c r="H91" s="416">
        <f t="shared" si="171"/>
        <v>-3.4999999999999996E-2</v>
      </c>
      <c r="I91" s="417">
        <f t="shared" si="171"/>
        <v>-0.08</v>
      </c>
      <c r="J91" s="416">
        <f t="shared" si="171"/>
        <v>-0.64900000000000002</v>
      </c>
      <c r="K91" s="416">
        <f t="shared" si="171"/>
        <v>0.121</v>
      </c>
      <c r="L91" s="416">
        <f t="shared" si="171"/>
        <v>0.27300000000000002</v>
      </c>
      <c r="M91" s="416">
        <f t="shared" si="171"/>
        <v>10.742000000000001</v>
      </c>
      <c r="N91" s="427">
        <f t="shared" si="171"/>
        <v>0.19800000000000001</v>
      </c>
      <c r="O91" s="416">
        <f t="shared" si="171"/>
        <v>0.437</v>
      </c>
      <c r="P91" s="416">
        <f t="shared" si="171"/>
        <v>0.497</v>
      </c>
      <c r="Q91" s="417">
        <f t="shared" si="171"/>
        <v>0.16700000000000001</v>
      </c>
      <c r="R91" s="416">
        <f t="shared" si="171"/>
        <v>2.8039999999999998</v>
      </c>
      <c r="S91" s="416">
        <f t="shared" si="171"/>
        <v>-1.617</v>
      </c>
      <c r="T91" s="416">
        <f t="shared" si="171"/>
        <v>-0.56100000000000005</v>
      </c>
      <c r="U91" s="416">
        <f t="shared" si="171"/>
        <v>-7.761000000000001</v>
      </c>
      <c r="V91" s="427">
        <f t="shared" si="171"/>
        <v>1.4670000000000001</v>
      </c>
      <c r="W91" s="416">
        <f t="shared" si="171"/>
        <v>-1.9489999999999998</v>
      </c>
      <c r="X91" s="416">
        <f t="shared" si="171"/>
        <v>-0.1319999999999999</v>
      </c>
      <c r="Y91" s="417">
        <f t="shared" si="171"/>
        <v>1.6659999999999999</v>
      </c>
      <c r="Z91" s="427">
        <f t="shared" si="171"/>
        <v>0.86299999999999999</v>
      </c>
      <c r="AA91" s="416">
        <f t="shared" si="171"/>
        <v>1.2770000000000001</v>
      </c>
      <c r="AB91" s="416">
        <f t="shared" si="171"/>
        <v>-1.2550000000000001</v>
      </c>
      <c r="AC91" s="417">
        <f t="shared" si="171"/>
        <v>1.397</v>
      </c>
      <c r="AD91" s="427">
        <f t="shared" si="171"/>
        <v>-1.1119999999999999</v>
      </c>
      <c r="AE91" s="416">
        <f t="shared" si="171"/>
        <v>1.1320000000000001</v>
      </c>
      <c r="AF91" s="416">
        <f t="shared" si="171"/>
        <v>1.476</v>
      </c>
      <c r="AG91" s="417">
        <f t="shared" si="171"/>
        <v>2.42</v>
      </c>
      <c r="AH91" s="427">
        <f t="shared" si="171"/>
        <v>0.79699999999999993</v>
      </c>
      <c r="AI91" s="416">
        <f t="shared" si="171"/>
        <v>0.99899999999999989</v>
      </c>
      <c r="AJ91" s="416">
        <f t="shared" si="171"/>
        <v>-2.5990000000000002</v>
      </c>
      <c r="AK91" s="417">
        <f t="shared" si="171"/>
        <v>3.2040000000000002</v>
      </c>
      <c r="AL91" s="427">
        <f t="shared" si="171"/>
        <v>3.3040000000000003</v>
      </c>
      <c r="AM91" s="416">
        <f t="shared" si="171"/>
        <v>3.4040000000000004</v>
      </c>
      <c r="AN91" s="416">
        <f t="shared" si="171"/>
        <v>3.5040000000000004</v>
      </c>
      <c r="AO91" s="417">
        <f t="shared" si="171"/>
        <v>3.6040000000000005</v>
      </c>
      <c r="AP91" s="427">
        <f t="shared" si="171"/>
        <v>3.7040000000000006</v>
      </c>
      <c r="AQ91" s="416">
        <f t="shared" si="171"/>
        <v>3.8040000000000007</v>
      </c>
      <c r="AR91" s="416">
        <f t="shared" si="171"/>
        <v>3.9040000000000008</v>
      </c>
      <c r="AS91" s="417">
        <f t="shared" si="171"/>
        <v>4.0040000000000004</v>
      </c>
      <c r="AT91" s="425"/>
      <c r="AU91" s="79">
        <f t="shared" si="154"/>
        <v>0.70899999999999996</v>
      </c>
      <c r="AV91" s="79">
        <f t="shared" si="148"/>
        <v>0.21600000000000003</v>
      </c>
      <c r="AW91" s="79">
        <f t="shared" si="149"/>
        <v>10.487</v>
      </c>
      <c r="AX91" s="79">
        <f t="shared" si="155"/>
        <v>1.2990000000000002</v>
      </c>
      <c r="AY91" s="79">
        <f t="shared" si="156"/>
        <v>-7.1350000000000016</v>
      </c>
      <c r="AZ91" s="79">
        <f t="shared" si="157"/>
        <v>1.0520000000000003</v>
      </c>
      <c r="BA91" s="79">
        <f t="shared" si="158"/>
        <v>2.282</v>
      </c>
      <c r="BB91" s="79">
        <f t="shared" si="159"/>
        <v>3.9160000000000004</v>
      </c>
      <c r="BC91" s="79">
        <f t="shared" si="150"/>
        <v>2.4009999999999998</v>
      </c>
      <c r="BD91" s="79">
        <f t="shared" si="160"/>
        <v>13.816000000000001</v>
      </c>
      <c r="BE91" s="79">
        <f t="shared" si="151"/>
        <v>15.416000000000004</v>
      </c>
    </row>
    <row r="92" spans="1:57" s="161" customFormat="1" ht="12" customHeight="1">
      <c r="A92" s="428" t="s">
        <v>139</v>
      </c>
      <c r="B92" s="420">
        <f t="shared" ref="B92:AS94" si="172">B169</f>
        <v>-0.01</v>
      </c>
      <c r="C92" s="421">
        <f t="shared" si="172"/>
        <v>-1.2E-2</v>
      </c>
      <c r="D92" s="421">
        <f t="shared" si="172"/>
        <v>-1.2999999999999999E-2</v>
      </c>
      <c r="E92" s="422">
        <f t="shared" si="172"/>
        <v>-1.9E-2</v>
      </c>
      <c r="F92" s="420">
        <f t="shared" si="172"/>
        <v>-2.3E-2</v>
      </c>
      <c r="G92" s="421">
        <f t="shared" si="172"/>
        <v>-2.5000000000000001E-2</v>
      </c>
      <c r="H92" s="421">
        <f t="shared" si="172"/>
        <v>-0.09</v>
      </c>
      <c r="I92" s="422">
        <f t="shared" si="172"/>
        <v>-0.08</v>
      </c>
      <c r="J92" s="421">
        <f t="shared" si="172"/>
        <v>-0.64900000000000002</v>
      </c>
      <c r="K92" s="421">
        <f t="shared" si="172"/>
        <v>0.121</v>
      </c>
      <c r="L92" s="421">
        <f t="shared" si="172"/>
        <v>0.27300000000000002</v>
      </c>
      <c r="M92" s="421">
        <f t="shared" si="172"/>
        <v>0.16</v>
      </c>
      <c r="N92" s="420">
        <f t="shared" si="172"/>
        <v>0.19800000000000001</v>
      </c>
      <c r="O92" s="421">
        <f t="shared" si="172"/>
        <v>0.437</v>
      </c>
      <c r="P92" s="421">
        <f t="shared" si="172"/>
        <v>0.497</v>
      </c>
      <c r="Q92" s="422">
        <f t="shared" si="172"/>
        <v>0.16700000000000001</v>
      </c>
      <c r="R92" s="421">
        <f t="shared" si="172"/>
        <v>-4.0000000000000001E-3</v>
      </c>
      <c r="S92" s="421">
        <f t="shared" si="172"/>
        <v>-0.48</v>
      </c>
      <c r="T92" s="423">
        <f t="shared" si="172"/>
        <v>-1.4999999999999999E-2</v>
      </c>
      <c r="U92" s="423">
        <f t="shared" si="172"/>
        <v>1.1160000000000001</v>
      </c>
      <c r="V92" s="429">
        <f t="shared" si="172"/>
        <v>1.0660000000000001</v>
      </c>
      <c r="W92" s="423">
        <f t="shared" si="172"/>
        <v>0.188</v>
      </c>
      <c r="X92" s="423">
        <f t="shared" si="172"/>
        <v>0.318</v>
      </c>
      <c r="Y92" s="424">
        <f t="shared" si="172"/>
        <v>0.53100000000000003</v>
      </c>
      <c r="Z92" s="429">
        <f t="shared" si="172"/>
        <v>0.91700000000000004</v>
      </c>
      <c r="AA92" s="423">
        <f t="shared" si="172"/>
        <v>1.3360000000000001</v>
      </c>
      <c r="AB92" s="423">
        <f t="shared" si="172"/>
        <v>-1.2070000000000001</v>
      </c>
      <c r="AC92" s="424">
        <f t="shared" si="172"/>
        <v>0.97099999999999997</v>
      </c>
      <c r="AD92" s="429">
        <f t="shared" si="172"/>
        <v>-1.077</v>
      </c>
      <c r="AE92" s="423">
        <f t="shared" si="172"/>
        <v>1.175</v>
      </c>
      <c r="AF92" s="423">
        <f t="shared" si="172"/>
        <v>1.528</v>
      </c>
      <c r="AG92" s="424">
        <f t="shared" si="172"/>
        <v>1.2190000000000001</v>
      </c>
      <c r="AH92" s="429">
        <f t="shared" si="172"/>
        <v>0.85499999999999998</v>
      </c>
      <c r="AI92" s="423">
        <f t="shared" si="172"/>
        <v>1.0569999999999999</v>
      </c>
      <c r="AJ92" s="423">
        <f t="shared" si="172"/>
        <v>-2.552</v>
      </c>
      <c r="AK92" s="424">
        <f t="shared" si="172"/>
        <v>3.363</v>
      </c>
      <c r="AL92" s="429">
        <f t="shared" si="172"/>
        <v>3.4630000000000001</v>
      </c>
      <c r="AM92" s="423">
        <f t="shared" si="172"/>
        <v>3.5630000000000002</v>
      </c>
      <c r="AN92" s="423">
        <f t="shared" si="172"/>
        <v>3.6630000000000003</v>
      </c>
      <c r="AO92" s="424">
        <f t="shared" si="172"/>
        <v>3.7630000000000003</v>
      </c>
      <c r="AP92" s="429">
        <f t="shared" si="172"/>
        <v>3.8630000000000004</v>
      </c>
      <c r="AQ92" s="423">
        <f t="shared" si="172"/>
        <v>3.9630000000000005</v>
      </c>
      <c r="AR92" s="423">
        <f t="shared" si="172"/>
        <v>4.0630000000000006</v>
      </c>
      <c r="AS92" s="424">
        <f t="shared" si="172"/>
        <v>4.1630000000000003</v>
      </c>
      <c r="AT92" s="425"/>
      <c r="AU92" s="72">
        <f t="shared" si="154"/>
        <v>-5.3999999999999992E-2</v>
      </c>
      <c r="AV92" s="72">
        <f t="shared" si="148"/>
        <v>-0.21800000000000003</v>
      </c>
      <c r="AW92" s="72">
        <f t="shared" si="149"/>
        <v>-9.5000000000000001E-2</v>
      </c>
      <c r="AX92" s="72">
        <f>SUM(N92:Q92)</f>
        <v>1.2990000000000002</v>
      </c>
      <c r="AY92" s="72">
        <f>SUM(R92:U92)</f>
        <v>0.6170000000000001</v>
      </c>
      <c r="AZ92" s="72">
        <f>SUM(V92:Y92)</f>
        <v>2.1030000000000002</v>
      </c>
      <c r="BA92" s="72">
        <f>SUM(Z92:AC92)</f>
        <v>2.0169999999999999</v>
      </c>
      <c r="BB92" s="72">
        <f t="shared" si="159"/>
        <v>2.8450000000000002</v>
      </c>
      <c r="BC92" s="72">
        <f t="shared" si="150"/>
        <v>2.7229999999999999</v>
      </c>
      <c r="BD92" s="72">
        <f t="shared" si="160"/>
        <v>14.452</v>
      </c>
      <c r="BE92" s="72">
        <f t="shared" si="151"/>
        <v>16.052</v>
      </c>
    </row>
    <row r="93" spans="1:57" s="161" customFormat="1" ht="12" customHeight="1">
      <c r="A93" s="428" t="s">
        <v>140</v>
      </c>
      <c r="B93" s="430">
        <f t="shared" si="172"/>
        <v>0</v>
      </c>
      <c r="C93" s="431">
        <f t="shared" si="172"/>
        <v>0</v>
      </c>
      <c r="D93" s="431">
        <f t="shared" si="172"/>
        <v>0</v>
      </c>
      <c r="E93" s="432">
        <f t="shared" si="172"/>
        <v>0</v>
      </c>
      <c r="F93" s="420">
        <f t="shared" si="172"/>
        <v>0</v>
      </c>
      <c r="G93" s="421">
        <f t="shared" si="172"/>
        <v>0</v>
      </c>
      <c r="H93" s="421">
        <f t="shared" si="172"/>
        <v>0</v>
      </c>
      <c r="I93" s="422">
        <f t="shared" si="172"/>
        <v>0</v>
      </c>
      <c r="J93" s="421">
        <f t="shared" si="172"/>
        <v>0</v>
      </c>
      <c r="K93" s="421">
        <f t="shared" si="172"/>
        <v>0</v>
      </c>
      <c r="L93" s="421">
        <f t="shared" si="172"/>
        <v>0</v>
      </c>
      <c r="M93" s="421">
        <f t="shared" si="172"/>
        <v>10.582000000000001</v>
      </c>
      <c r="N93" s="420">
        <f t="shared" si="172"/>
        <v>0</v>
      </c>
      <c r="O93" s="421">
        <f t="shared" si="172"/>
        <v>0</v>
      </c>
      <c r="P93" s="421">
        <f t="shared" si="172"/>
        <v>0</v>
      </c>
      <c r="Q93" s="422">
        <f t="shared" si="172"/>
        <v>0</v>
      </c>
      <c r="R93" s="420">
        <f t="shared" si="172"/>
        <v>0</v>
      </c>
      <c r="S93" s="421">
        <f t="shared" si="172"/>
        <v>-1.137</v>
      </c>
      <c r="T93" s="421">
        <f t="shared" si="172"/>
        <v>-0.54600000000000004</v>
      </c>
      <c r="U93" s="422">
        <f t="shared" si="172"/>
        <v>-8.8770000000000007</v>
      </c>
      <c r="V93" s="420">
        <f t="shared" si="172"/>
        <v>-0.442</v>
      </c>
      <c r="W93" s="421">
        <f t="shared" si="172"/>
        <v>-2.907</v>
      </c>
      <c r="X93" s="421">
        <f t="shared" si="172"/>
        <v>-0.95799999999999996</v>
      </c>
      <c r="Y93" s="422">
        <f t="shared" si="172"/>
        <v>0.60399999999999998</v>
      </c>
      <c r="Z93" s="420">
        <f t="shared" si="172"/>
        <v>-5.3999999999999999E-2</v>
      </c>
      <c r="AA93" s="421">
        <f t="shared" si="172"/>
        <v>-5.8999999999999997E-2</v>
      </c>
      <c r="AB93" s="421">
        <f t="shared" si="172"/>
        <v>-4.8000000000000001E-2</v>
      </c>
      <c r="AC93" s="422">
        <f t="shared" si="172"/>
        <v>0.42599999999999999</v>
      </c>
      <c r="AD93" s="420">
        <f t="shared" si="172"/>
        <v>-3.5000000000000003E-2</v>
      </c>
      <c r="AE93" s="421">
        <f t="shared" si="172"/>
        <v>-4.2999999999999997E-2</v>
      </c>
      <c r="AF93" s="421">
        <f t="shared" si="172"/>
        <v>-5.1999999999999998E-2</v>
      </c>
      <c r="AG93" s="422">
        <f t="shared" si="172"/>
        <v>-3.1E-2</v>
      </c>
      <c r="AH93" s="420">
        <f t="shared" si="172"/>
        <v>-5.8000000000000003E-2</v>
      </c>
      <c r="AI93" s="421">
        <f t="shared" si="172"/>
        <v>-5.8000000000000003E-2</v>
      </c>
      <c r="AJ93" s="421">
        <f t="shared" si="172"/>
        <v>-4.7E-2</v>
      </c>
      <c r="AK93" s="422">
        <f t="shared" si="172"/>
        <v>-0.159</v>
      </c>
      <c r="AL93" s="420">
        <f t="shared" si="172"/>
        <v>-0.159</v>
      </c>
      <c r="AM93" s="421">
        <f t="shared" si="172"/>
        <v>-0.159</v>
      </c>
      <c r="AN93" s="421">
        <f t="shared" si="172"/>
        <v>-0.159</v>
      </c>
      <c r="AO93" s="422">
        <f t="shared" si="172"/>
        <v>-0.159</v>
      </c>
      <c r="AP93" s="420">
        <f t="shared" si="172"/>
        <v>-0.159</v>
      </c>
      <c r="AQ93" s="421">
        <f t="shared" si="172"/>
        <v>-0.159</v>
      </c>
      <c r="AR93" s="421">
        <f t="shared" si="172"/>
        <v>-0.159</v>
      </c>
      <c r="AS93" s="422">
        <f t="shared" si="172"/>
        <v>-0.159</v>
      </c>
      <c r="AT93" s="425"/>
      <c r="AU93" s="72">
        <f t="shared" si="154"/>
        <v>0</v>
      </c>
      <c r="AV93" s="72">
        <f t="shared" si="148"/>
        <v>0</v>
      </c>
      <c r="AW93" s="72">
        <f t="shared" si="149"/>
        <v>10.582000000000001</v>
      </c>
      <c r="AX93" s="72">
        <f t="shared" ref="AX93:AX95" si="173">SUM(N93:Q93)</f>
        <v>0</v>
      </c>
      <c r="AY93" s="72">
        <f t="shared" ref="AY93:AY95" si="174">SUM(R93:U93)</f>
        <v>-10.56</v>
      </c>
      <c r="AZ93" s="72">
        <f t="shared" ref="AZ93:AZ95" si="175">SUM(V93:Y93)</f>
        <v>-3.7030000000000003</v>
      </c>
      <c r="BA93" s="72">
        <f t="shared" ref="BA93:BA95" si="176">SUM(Z93:AC93)</f>
        <v>0.26500000000000001</v>
      </c>
      <c r="BB93" s="72">
        <f t="shared" si="159"/>
        <v>-0.161</v>
      </c>
      <c r="BC93" s="72">
        <f t="shared" si="150"/>
        <v>-0.32200000000000001</v>
      </c>
      <c r="BD93" s="72">
        <f t="shared" si="160"/>
        <v>-0.63600000000000001</v>
      </c>
      <c r="BE93" s="72">
        <f t="shared" si="151"/>
        <v>-0.63600000000000001</v>
      </c>
    </row>
    <row r="94" spans="1:57" s="161" customFormat="1" ht="12" customHeight="1">
      <c r="A94" s="419" t="s">
        <v>141</v>
      </c>
      <c r="B94" s="430">
        <f t="shared" si="172"/>
        <v>0</v>
      </c>
      <c r="C94" s="431">
        <f t="shared" si="172"/>
        <v>0</v>
      </c>
      <c r="D94" s="431">
        <f t="shared" si="172"/>
        <v>0</v>
      </c>
      <c r="E94" s="432">
        <f t="shared" si="172"/>
        <v>0</v>
      </c>
      <c r="F94" s="420">
        <f t="shared" si="172"/>
        <v>0</v>
      </c>
      <c r="G94" s="421">
        <f t="shared" si="172"/>
        <v>0</v>
      </c>
      <c r="H94" s="421">
        <f t="shared" si="172"/>
        <v>0</v>
      </c>
      <c r="I94" s="422">
        <f t="shared" si="172"/>
        <v>0</v>
      </c>
      <c r="J94" s="421">
        <f t="shared" si="172"/>
        <v>0</v>
      </c>
      <c r="K94" s="421">
        <f t="shared" si="172"/>
        <v>0</v>
      </c>
      <c r="L94" s="421">
        <f t="shared" si="172"/>
        <v>0</v>
      </c>
      <c r="M94" s="421">
        <f t="shared" si="172"/>
        <v>0</v>
      </c>
      <c r="N94" s="420">
        <f t="shared" si="172"/>
        <v>0</v>
      </c>
      <c r="O94" s="421">
        <f t="shared" si="172"/>
        <v>0</v>
      </c>
      <c r="P94" s="421">
        <f t="shared" si="172"/>
        <v>0</v>
      </c>
      <c r="Q94" s="422">
        <f t="shared" si="172"/>
        <v>0</v>
      </c>
      <c r="R94" s="420">
        <f t="shared" si="172"/>
        <v>2.8079999999999998</v>
      </c>
      <c r="S94" s="421">
        <f t="shared" si="172"/>
        <v>0</v>
      </c>
      <c r="T94" s="421">
        <f t="shared" si="172"/>
        <v>0</v>
      </c>
      <c r="U94" s="422">
        <f t="shared" si="172"/>
        <v>0</v>
      </c>
      <c r="V94" s="420">
        <f t="shared" si="172"/>
        <v>0.84299999999999997</v>
      </c>
      <c r="W94" s="421">
        <f t="shared" si="172"/>
        <v>0.77</v>
      </c>
      <c r="X94" s="421">
        <f t="shared" si="172"/>
        <v>0.50800000000000001</v>
      </c>
      <c r="Y94" s="422">
        <f t="shared" si="172"/>
        <v>0.53100000000000003</v>
      </c>
      <c r="Z94" s="420">
        <f t="shared" si="172"/>
        <v>0</v>
      </c>
      <c r="AA94" s="421">
        <f t="shared" si="172"/>
        <v>0</v>
      </c>
      <c r="AB94" s="421">
        <f t="shared" si="172"/>
        <v>0</v>
      </c>
      <c r="AC94" s="422">
        <f t="shared" si="172"/>
        <v>0</v>
      </c>
      <c r="AD94" s="420">
        <f t="shared" si="172"/>
        <v>0</v>
      </c>
      <c r="AE94" s="421">
        <f t="shared" si="172"/>
        <v>0</v>
      </c>
      <c r="AF94" s="421">
        <f t="shared" si="172"/>
        <v>0</v>
      </c>
      <c r="AG94" s="422">
        <f t="shared" si="172"/>
        <v>1.232</v>
      </c>
      <c r="AH94" s="420">
        <f t="shared" si="172"/>
        <v>0</v>
      </c>
      <c r="AI94" s="421">
        <f t="shared" si="172"/>
        <v>0</v>
      </c>
      <c r="AJ94" s="421">
        <f t="shared" si="172"/>
        <v>0</v>
      </c>
      <c r="AK94" s="422">
        <f t="shared" si="172"/>
        <v>0</v>
      </c>
      <c r="AL94" s="420">
        <f t="shared" si="172"/>
        <v>0</v>
      </c>
      <c r="AM94" s="421">
        <f t="shared" si="172"/>
        <v>0</v>
      </c>
      <c r="AN94" s="421">
        <f t="shared" si="172"/>
        <v>0</v>
      </c>
      <c r="AO94" s="422">
        <f t="shared" si="172"/>
        <v>0</v>
      </c>
      <c r="AP94" s="420">
        <f t="shared" si="172"/>
        <v>0</v>
      </c>
      <c r="AQ94" s="421">
        <f t="shared" si="172"/>
        <v>0</v>
      </c>
      <c r="AR94" s="421">
        <f t="shared" si="172"/>
        <v>0</v>
      </c>
      <c r="AS94" s="422">
        <f t="shared" si="172"/>
        <v>0</v>
      </c>
      <c r="AT94" s="425"/>
      <c r="AU94" s="72">
        <f t="shared" si="154"/>
        <v>0</v>
      </c>
      <c r="AV94" s="72">
        <f t="shared" si="148"/>
        <v>0</v>
      </c>
      <c r="AW94" s="72">
        <f t="shared" si="149"/>
        <v>0</v>
      </c>
      <c r="AX94" s="72">
        <f t="shared" si="173"/>
        <v>0</v>
      </c>
      <c r="AY94" s="72">
        <f t="shared" si="174"/>
        <v>2.8079999999999998</v>
      </c>
      <c r="AZ94" s="72">
        <f t="shared" si="175"/>
        <v>2.6520000000000001</v>
      </c>
      <c r="BA94" s="72">
        <f t="shared" si="176"/>
        <v>0</v>
      </c>
      <c r="BB94" s="72">
        <f t="shared" si="159"/>
        <v>1.232</v>
      </c>
      <c r="BC94" s="72">
        <f t="shared" si="150"/>
        <v>0</v>
      </c>
      <c r="BD94" s="72">
        <f t="shared" si="160"/>
        <v>0</v>
      </c>
      <c r="BE94" s="72">
        <f t="shared" si="151"/>
        <v>0</v>
      </c>
    </row>
    <row r="95" spans="1:57" s="161" customFormat="1" ht="12" customHeight="1">
      <c r="A95" s="419" t="s">
        <v>142</v>
      </c>
      <c r="B95" s="420">
        <f t="shared" ref="B95:AS95" si="177">-B130</f>
        <v>0.18699999999999994</v>
      </c>
      <c r="C95" s="421">
        <f t="shared" si="177"/>
        <v>0.191</v>
      </c>
      <c r="D95" s="421">
        <f t="shared" si="177"/>
        <v>0.192</v>
      </c>
      <c r="E95" s="422">
        <f t="shared" si="177"/>
        <v>0.193</v>
      </c>
      <c r="F95" s="420">
        <f t="shared" si="177"/>
        <v>0.188</v>
      </c>
      <c r="G95" s="421">
        <f t="shared" si="177"/>
        <v>0.191</v>
      </c>
      <c r="H95" s="423">
        <f t="shared" si="177"/>
        <v>5.5E-2</v>
      </c>
      <c r="I95" s="424">
        <f t="shared" si="177"/>
        <v>0</v>
      </c>
      <c r="J95" s="423">
        <f t="shared" si="177"/>
        <v>0</v>
      </c>
      <c r="K95" s="423">
        <f t="shared" si="177"/>
        <v>0</v>
      </c>
      <c r="L95" s="423">
        <f t="shared" si="177"/>
        <v>0</v>
      </c>
      <c r="M95" s="423">
        <f t="shared" si="177"/>
        <v>0</v>
      </c>
      <c r="N95" s="429">
        <f t="shared" si="177"/>
        <v>0</v>
      </c>
      <c r="O95" s="423">
        <f t="shared" si="177"/>
        <v>0</v>
      </c>
      <c r="P95" s="423">
        <f t="shared" si="177"/>
        <v>0</v>
      </c>
      <c r="Q95" s="424">
        <f t="shared" si="177"/>
        <v>0</v>
      </c>
      <c r="R95" s="429">
        <f t="shared" si="177"/>
        <v>0</v>
      </c>
      <c r="S95" s="423">
        <f t="shared" si="177"/>
        <v>0</v>
      </c>
      <c r="T95" s="433">
        <f t="shared" si="177"/>
        <v>0</v>
      </c>
      <c r="U95" s="434">
        <f t="shared" si="177"/>
        <v>0</v>
      </c>
      <c r="V95" s="435">
        <f t="shared" si="177"/>
        <v>0</v>
      </c>
      <c r="W95" s="433">
        <f t="shared" si="177"/>
        <v>0</v>
      </c>
      <c r="X95" s="433">
        <f t="shared" si="177"/>
        <v>0</v>
      </c>
      <c r="Y95" s="434">
        <f t="shared" si="177"/>
        <v>0</v>
      </c>
      <c r="Z95" s="435">
        <f t="shared" si="177"/>
        <v>0</v>
      </c>
      <c r="AA95" s="433">
        <f t="shared" si="177"/>
        <v>0</v>
      </c>
      <c r="AB95" s="433">
        <f t="shared" si="177"/>
        <v>0</v>
      </c>
      <c r="AC95" s="434">
        <f t="shared" si="177"/>
        <v>0</v>
      </c>
      <c r="AD95" s="435">
        <f t="shared" si="177"/>
        <v>0</v>
      </c>
      <c r="AE95" s="433">
        <f t="shared" si="177"/>
        <v>0</v>
      </c>
      <c r="AF95" s="433">
        <f t="shared" si="177"/>
        <v>0</v>
      </c>
      <c r="AG95" s="434">
        <f t="shared" si="177"/>
        <v>0</v>
      </c>
      <c r="AH95" s="435">
        <f t="shared" si="177"/>
        <v>0</v>
      </c>
      <c r="AI95" s="433">
        <f t="shared" si="177"/>
        <v>0</v>
      </c>
      <c r="AJ95" s="433">
        <f t="shared" si="177"/>
        <v>0</v>
      </c>
      <c r="AK95" s="434">
        <f t="shared" si="177"/>
        <v>0</v>
      </c>
      <c r="AL95" s="435">
        <f t="shared" si="177"/>
        <v>0</v>
      </c>
      <c r="AM95" s="433">
        <f t="shared" si="177"/>
        <v>0</v>
      </c>
      <c r="AN95" s="433">
        <f t="shared" si="177"/>
        <v>0</v>
      </c>
      <c r="AO95" s="434">
        <f t="shared" si="177"/>
        <v>0</v>
      </c>
      <c r="AP95" s="435">
        <f t="shared" si="177"/>
        <v>0</v>
      </c>
      <c r="AQ95" s="433">
        <f t="shared" si="177"/>
        <v>0</v>
      </c>
      <c r="AR95" s="433">
        <f t="shared" si="177"/>
        <v>0</v>
      </c>
      <c r="AS95" s="434">
        <f t="shared" si="177"/>
        <v>0</v>
      </c>
      <c r="AT95" s="425"/>
      <c r="AU95" s="72">
        <f t="shared" si="154"/>
        <v>0.7629999999999999</v>
      </c>
      <c r="AV95" s="72">
        <f t="shared" si="148"/>
        <v>0.434</v>
      </c>
      <c r="AW95" s="72">
        <f t="shared" si="149"/>
        <v>0</v>
      </c>
      <c r="AX95" s="72">
        <f t="shared" si="173"/>
        <v>0</v>
      </c>
      <c r="AY95" s="72">
        <f t="shared" si="174"/>
        <v>0</v>
      </c>
      <c r="AZ95" s="72">
        <f t="shared" si="175"/>
        <v>0</v>
      </c>
      <c r="BA95" s="72">
        <f t="shared" si="176"/>
        <v>0</v>
      </c>
      <c r="BB95" s="72">
        <f t="shared" si="159"/>
        <v>0</v>
      </c>
      <c r="BC95" s="72">
        <f t="shared" si="150"/>
        <v>0</v>
      </c>
      <c r="BD95" s="72">
        <f t="shared" si="160"/>
        <v>0</v>
      </c>
      <c r="BE95" s="72">
        <f t="shared" si="151"/>
        <v>0</v>
      </c>
    </row>
    <row r="96" spans="1:57" s="448" customFormat="1" ht="12" customHeight="1">
      <c r="A96" s="436"/>
      <c r="B96" s="437"/>
      <c r="C96" s="438"/>
      <c r="D96" s="438"/>
      <c r="E96" s="439"/>
      <c r="F96" s="437"/>
      <c r="G96" s="438"/>
      <c r="H96" s="440"/>
      <c r="I96" s="441"/>
      <c r="J96" s="440"/>
      <c r="K96" s="440"/>
      <c r="L96" s="440"/>
      <c r="M96" s="440"/>
      <c r="N96" s="442"/>
      <c r="O96" s="440"/>
      <c r="P96" s="440"/>
      <c r="Q96" s="441"/>
      <c r="R96" s="440"/>
      <c r="S96" s="443"/>
      <c r="T96" s="443"/>
      <c r="U96" s="443"/>
      <c r="V96" s="444"/>
      <c r="W96" s="443"/>
      <c r="X96" s="443"/>
      <c r="Y96" s="445"/>
      <c r="Z96" s="444"/>
      <c r="AA96" s="443"/>
      <c r="AB96" s="443"/>
      <c r="AC96" s="445"/>
      <c r="AD96" s="444"/>
      <c r="AE96" s="443"/>
      <c r="AF96" s="443"/>
      <c r="AG96" s="445"/>
      <c r="AH96" s="444"/>
      <c r="AI96" s="443"/>
      <c r="AJ96" s="443"/>
      <c r="AK96" s="445"/>
      <c r="AL96" s="444"/>
      <c r="AM96" s="443"/>
      <c r="AN96" s="443"/>
      <c r="AO96" s="445"/>
      <c r="AP96" s="444"/>
      <c r="AQ96" s="443"/>
      <c r="AR96" s="443"/>
      <c r="AS96" s="445"/>
      <c r="AT96" s="446"/>
      <c r="AU96" s="447"/>
      <c r="AV96" s="447"/>
      <c r="AW96" s="447"/>
      <c r="AX96" s="447"/>
      <c r="AY96" s="447"/>
      <c r="AZ96" s="447"/>
      <c r="BA96" s="447"/>
      <c r="BB96" s="447"/>
      <c r="BC96" s="447"/>
      <c r="BD96" s="447"/>
      <c r="BE96" s="447"/>
    </row>
    <row r="97" spans="1:57" s="453" customFormat="1" ht="12" customHeight="1">
      <c r="A97" s="376" t="s">
        <v>143</v>
      </c>
      <c r="B97" s="289">
        <f t="shared" ref="B97:AS97" si="178">+B17-B83-B86-B89</f>
        <v>36.042999999999999</v>
      </c>
      <c r="C97" s="70">
        <f t="shared" si="178"/>
        <v>38.801000000000002</v>
      </c>
      <c r="D97" s="70">
        <f t="shared" si="178"/>
        <v>41.555999999999997</v>
      </c>
      <c r="E97" s="449">
        <f t="shared" si="178"/>
        <v>45.739000000000011</v>
      </c>
      <c r="F97" s="289">
        <f t="shared" si="178"/>
        <v>50.378999999999998</v>
      </c>
      <c r="G97" s="70">
        <f t="shared" si="178"/>
        <v>53.713000000000001</v>
      </c>
      <c r="H97" s="70">
        <f t="shared" si="178"/>
        <v>57.278999999999996</v>
      </c>
      <c r="I97" s="449">
        <f t="shared" si="178"/>
        <v>62.82200000000001</v>
      </c>
      <c r="J97" s="289">
        <f t="shared" si="178"/>
        <v>67.075000000000003</v>
      </c>
      <c r="K97" s="70">
        <f t="shared" si="178"/>
        <v>71.466000000000008</v>
      </c>
      <c r="L97" s="70">
        <f t="shared" si="178"/>
        <v>76.606999999999999</v>
      </c>
      <c r="M97" s="449">
        <f t="shared" si="178"/>
        <v>78.619999999999976</v>
      </c>
      <c r="N97" s="70">
        <f t="shared" si="178"/>
        <v>83.947000000000003</v>
      </c>
      <c r="O97" s="70">
        <f t="shared" si="178"/>
        <v>88.066999999999993</v>
      </c>
      <c r="P97" s="131">
        <f t="shared" si="178"/>
        <v>92.888000000000019</v>
      </c>
      <c r="Q97" s="450">
        <f t="shared" si="178"/>
        <v>97.765000000000015</v>
      </c>
      <c r="R97" s="451">
        <f t="shared" si="178"/>
        <v>101.11600000000001</v>
      </c>
      <c r="S97" s="131">
        <f t="shared" si="178"/>
        <v>103.83400000000002</v>
      </c>
      <c r="T97" s="131">
        <f t="shared" si="178"/>
        <v>111.60199999999998</v>
      </c>
      <c r="U97" s="450">
        <f t="shared" si="178"/>
        <v>118.182</v>
      </c>
      <c r="V97" s="451">
        <f t="shared" si="178"/>
        <v>124.43799999999997</v>
      </c>
      <c r="W97" s="131">
        <f t="shared" si="178"/>
        <v>128.304</v>
      </c>
      <c r="X97" s="131">
        <f t="shared" si="178"/>
        <v>136.26899999999998</v>
      </c>
      <c r="Y97" s="450">
        <f t="shared" si="178"/>
        <v>139.39099999999999</v>
      </c>
      <c r="Z97" s="451">
        <f t="shared" si="178"/>
        <v>143.333</v>
      </c>
      <c r="AA97" s="131">
        <f t="shared" si="178"/>
        <v>151.52199999999999</v>
      </c>
      <c r="AB97" s="131">
        <f t="shared" si="178"/>
        <v>155.77500000000001</v>
      </c>
      <c r="AC97" s="450">
        <f t="shared" si="178"/>
        <v>164.50299999999996</v>
      </c>
      <c r="AD97" s="451">
        <f t="shared" si="178"/>
        <v>167.02899999999997</v>
      </c>
      <c r="AE97" s="131">
        <f t="shared" si="178"/>
        <v>172.44300000000001</v>
      </c>
      <c r="AF97" s="131">
        <f t="shared" si="178"/>
        <v>176.58899999999997</v>
      </c>
      <c r="AG97" s="450">
        <f t="shared" si="178"/>
        <v>184.292</v>
      </c>
      <c r="AH97" s="451">
        <f t="shared" si="178"/>
        <v>186.67699999999999</v>
      </c>
      <c r="AI97" s="131">
        <f t="shared" si="178"/>
        <v>192.86099999999999</v>
      </c>
      <c r="AJ97" s="131">
        <f t="shared" si="178"/>
        <v>195.68699999999998</v>
      </c>
      <c r="AK97" s="450">
        <f t="shared" si="178"/>
        <v>205.24300000000002</v>
      </c>
      <c r="AL97" s="451">
        <f t="shared" si="178"/>
        <v>200.52646478502987</v>
      </c>
      <c r="AM97" s="131">
        <f t="shared" si="178"/>
        <v>207.07516909007782</v>
      </c>
      <c r="AN97" s="131">
        <f t="shared" si="178"/>
        <v>210.3843653733787</v>
      </c>
      <c r="AO97" s="450">
        <f t="shared" si="178"/>
        <v>218.75430449715518</v>
      </c>
      <c r="AP97" s="451">
        <f t="shared" si="178"/>
        <v>213.91289605506975</v>
      </c>
      <c r="AQ97" s="131">
        <f t="shared" si="178"/>
        <v>220.86979041260864</v>
      </c>
      <c r="AR97" s="131">
        <f t="shared" si="178"/>
        <v>224.35975844976161</v>
      </c>
      <c r="AS97" s="450">
        <f t="shared" si="178"/>
        <v>233.25879837321094</v>
      </c>
      <c r="AT97" s="452"/>
      <c r="AU97" s="72">
        <f t="shared" ref="AU97:AU100" si="179">SUM(B97:E97)</f>
        <v>162.13900000000001</v>
      </c>
      <c r="AV97" s="72">
        <f t="shared" ref="AV97:AV100" si="180">SUM(F97:I97)</f>
        <v>224.19299999999998</v>
      </c>
      <c r="AW97" s="72">
        <f t="shared" ref="AW97:AW99" si="181">SUM(J97:M97)</f>
        <v>293.76799999999997</v>
      </c>
      <c r="AX97" s="72">
        <f t="shared" ref="AX97:AX99" si="182">SUM(N97:Q97)</f>
        <v>362.66700000000003</v>
      </c>
      <c r="AY97" s="72">
        <f t="shared" ref="AY97:AY99" si="183">SUM(R97:U97)</f>
        <v>434.73400000000004</v>
      </c>
      <c r="AZ97" s="72">
        <f t="shared" ref="AZ97:AZ99" si="184">SUM(V97:Y97)</f>
        <v>528.40199999999993</v>
      </c>
      <c r="BA97" s="72">
        <f t="shared" ref="BA97:BA99" si="185">SUM(Z97:AC97)</f>
        <v>615.13299999999992</v>
      </c>
      <c r="BB97" s="447">
        <f t="shared" si="159"/>
        <v>700.35299999999995</v>
      </c>
      <c r="BC97" s="447">
        <f t="shared" si="150"/>
        <v>780.46800000000007</v>
      </c>
      <c r="BD97" s="447">
        <f t="shared" si="160"/>
        <v>836.74030374564165</v>
      </c>
      <c r="BE97" s="447">
        <f>SUM(AP97:AS97)</f>
        <v>892.40124329065088</v>
      </c>
    </row>
    <row r="98" spans="1:57" s="454" customFormat="1" ht="12" customHeight="1">
      <c r="A98" s="376" t="s">
        <v>144</v>
      </c>
      <c r="B98" s="289">
        <f t="shared" ref="B98:AS98" si="186">+B25-B82-B85-B88</f>
        <v>-8.7460000000000004</v>
      </c>
      <c r="C98" s="70">
        <f t="shared" si="186"/>
        <v>-9.2289999999999992</v>
      </c>
      <c r="D98" s="70">
        <f t="shared" si="186"/>
        <v>-11.161999999999997</v>
      </c>
      <c r="E98" s="449">
        <f t="shared" si="186"/>
        <v>-11.622999999999994</v>
      </c>
      <c r="F98" s="289">
        <f t="shared" si="186"/>
        <v>-15.449000000000009</v>
      </c>
      <c r="G98" s="70">
        <f t="shared" si="186"/>
        <v>-16.445000000000004</v>
      </c>
      <c r="H98" s="70">
        <f t="shared" si="186"/>
        <v>-21.095999999999993</v>
      </c>
      <c r="I98" s="449">
        <f t="shared" si="186"/>
        <v>-19.591000000000005</v>
      </c>
      <c r="J98" s="289">
        <f t="shared" si="186"/>
        <v>-22.684999999999988</v>
      </c>
      <c r="K98" s="70">
        <f t="shared" si="186"/>
        <v>-22.233999999999995</v>
      </c>
      <c r="L98" s="70">
        <f t="shared" si="186"/>
        <v>-18.327000000000002</v>
      </c>
      <c r="M98" s="449">
        <f t="shared" si="186"/>
        <v>-27.553000000000033</v>
      </c>
      <c r="N98" s="70">
        <f t="shared" si="186"/>
        <v>-21.671999999999993</v>
      </c>
      <c r="O98" s="70">
        <f t="shared" si="186"/>
        <v>-10.565000000000012</v>
      </c>
      <c r="P98" s="131">
        <f t="shared" si="186"/>
        <v>-3.464999999999999</v>
      </c>
      <c r="Q98" s="450">
        <f t="shared" si="186"/>
        <v>-0.73099999999998977</v>
      </c>
      <c r="R98" s="451">
        <f t="shared" si="186"/>
        <v>-5.8020000000000014</v>
      </c>
      <c r="S98" s="131">
        <f t="shared" si="186"/>
        <v>-11.880999999999995</v>
      </c>
      <c r="T98" s="131">
        <f t="shared" si="186"/>
        <v>-11.218000000000025</v>
      </c>
      <c r="U98" s="450">
        <f t="shared" si="186"/>
        <v>-12.867000000000008</v>
      </c>
      <c r="V98" s="451">
        <f t="shared" si="186"/>
        <v>-17.548000000000005</v>
      </c>
      <c r="W98" s="131">
        <f t="shared" si="186"/>
        <v>-23.22</v>
      </c>
      <c r="X98" s="131">
        <f t="shared" si="186"/>
        <v>-12.958000000000011</v>
      </c>
      <c r="Y98" s="450">
        <f t="shared" si="186"/>
        <v>-14.088999999999992</v>
      </c>
      <c r="Z98" s="451">
        <f t="shared" si="186"/>
        <v>-19.155999999999985</v>
      </c>
      <c r="AA98" s="131">
        <f t="shared" si="186"/>
        <v>-10.744999999999989</v>
      </c>
      <c r="AB98" s="131">
        <f t="shared" si="186"/>
        <v>-7.9130000000000127</v>
      </c>
      <c r="AC98" s="450">
        <f t="shared" si="186"/>
        <v>-9.847000000000012</v>
      </c>
      <c r="AD98" s="451">
        <f t="shared" si="186"/>
        <v>-7.5410000000000119</v>
      </c>
      <c r="AE98" s="131">
        <f t="shared" si="186"/>
        <v>-4.1369999999999756</v>
      </c>
      <c r="AF98" s="131">
        <f t="shared" si="186"/>
        <v>-2.0830000000000104</v>
      </c>
      <c r="AG98" s="450">
        <f t="shared" si="186"/>
        <v>12.975000000000001</v>
      </c>
      <c r="AH98" s="451">
        <f t="shared" si="186"/>
        <v>-17.711000000000006</v>
      </c>
      <c r="AI98" s="131">
        <f t="shared" si="186"/>
        <v>-7.4479999999999773</v>
      </c>
      <c r="AJ98" s="131">
        <f t="shared" si="186"/>
        <v>7.1359999999999841</v>
      </c>
      <c r="AK98" s="450">
        <f>+AK25-AK82-AK85-AK88-AK168</f>
        <v>8.8550000000000093</v>
      </c>
      <c r="AL98" s="451">
        <f t="shared" si="186"/>
        <v>-7.3970411789641668</v>
      </c>
      <c r="AM98" s="131">
        <f t="shared" si="186"/>
        <v>0.70006494690399168</v>
      </c>
      <c r="AN98" s="131">
        <f t="shared" si="186"/>
        <v>12.362317379032616</v>
      </c>
      <c r="AO98" s="450">
        <f t="shared" si="186"/>
        <v>15.524462244904091</v>
      </c>
      <c r="AP98" s="451">
        <f t="shared" si="186"/>
        <v>-5.7548697499075283</v>
      </c>
      <c r="AQ98" s="131">
        <f t="shared" si="186"/>
        <v>2.9197153324262493</v>
      </c>
      <c r="AR98" s="131">
        <f t="shared" si="186"/>
        <v>15.366905300556537</v>
      </c>
      <c r="AS98" s="450">
        <f t="shared" si="186"/>
        <v>18.790738283852846</v>
      </c>
      <c r="AT98" s="452"/>
      <c r="AU98" s="72">
        <f t="shared" si="179"/>
        <v>-40.759999999999991</v>
      </c>
      <c r="AV98" s="72">
        <f t="shared" si="180"/>
        <v>-72.581000000000017</v>
      </c>
      <c r="AW98" s="72">
        <f t="shared" si="181"/>
        <v>-90.799000000000007</v>
      </c>
      <c r="AX98" s="72">
        <f t="shared" si="182"/>
        <v>-36.432999999999993</v>
      </c>
      <c r="AY98" s="72">
        <f t="shared" si="183"/>
        <v>-41.768000000000029</v>
      </c>
      <c r="AZ98" s="72">
        <f t="shared" si="184"/>
        <v>-67.814999999999998</v>
      </c>
      <c r="BA98" s="72">
        <f t="shared" si="185"/>
        <v>-47.661000000000001</v>
      </c>
      <c r="BB98" s="447">
        <f t="shared" si="159"/>
        <v>-0.78599999999999604</v>
      </c>
      <c r="BC98" s="447">
        <f t="shared" si="150"/>
        <v>-9.1679999999999904</v>
      </c>
      <c r="BD98" s="447">
        <f t="shared" si="160"/>
        <v>21.189803391876531</v>
      </c>
      <c r="BE98" s="447">
        <f>SUM(AP98:AS98)</f>
        <v>31.322489166928104</v>
      </c>
    </row>
    <row r="99" spans="1:57" s="454" customFormat="1" ht="12" customHeight="1">
      <c r="A99" s="376" t="s">
        <v>145</v>
      </c>
      <c r="B99" s="289">
        <f t="shared" ref="B99:AS99" si="187">+B39-B82-B85-B88-B91</f>
        <v>-9.0129999999999999</v>
      </c>
      <c r="C99" s="70">
        <f t="shared" si="187"/>
        <v>-9.4049999999999994</v>
      </c>
      <c r="D99" s="70">
        <f t="shared" si="187"/>
        <v>-11.504999999999997</v>
      </c>
      <c r="E99" s="449">
        <f t="shared" si="187"/>
        <v>-11.861999999999993</v>
      </c>
      <c r="F99" s="289">
        <f t="shared" si="187"/>
        <v>-16.076000000000008</v>
      </c>
      <c r="G99" s="70">
        <f t="shared" si="187"/>
        <v>-17.341000000000005</v>
      </c>
      <c r="H99" s="70">
        <f t="shared" si="187"/>
        <v>-20.923999999999992</v>
      </c>
      <c r="I99" s="449">
        <f t="shared" si="187"/>
        <v>-19.614000000000008</v>
      </c>
      <c r="J99" s="289">
        <f t="shared" si="187"/>
        <v>-21.439999999999987</v>
      </c>
      <c r="K99" s="70">
        <f t="shared" si="187"/>
        <v>-21.627999999999993</v>
      </c>
      <c r="L99" s="70">
        <f t="shared" si="187"/>
        <v>-17.64</v>
      </c>
      <c r="M99" s="449">
        <f t="shared" si="187"/>
        <v>-38.305000000000035</v>
      </c>
      <c r="N99" s="70">
        <f t="shared" si="187"/>
        <v>-22.976999999999993</v>
      </c>
      <c r="O99" s="70">
        <f t="shared" si="187"/>
        <v>-11.960000000000012</v>
      </c>
      <c r="P99" s="131">
        <f t="shared" si="187"/>
        <v>-5.8579999999999997</v>
      </c>
      <c r="Q99" s="450">
        <f t="shared" si="187"/>
        <v>-1.93599999999999</v>
      </c>
      <c r="R99" s="451">
        <f t="shared" si="187"/>
        <v>-7.7480000000000011</v>
      </c>
      <c r="S99" s="131">
        <f t="shared" si="187"/>
        <v>-11.637999999999995</v>
      </c>
      <c r="T99" s="131">
        <f t="shared" si="187"/>
        <v>-16.246000000000024</v>
      </c>
      <c r="U99" s="450">
        <f t="shared" si="187"/>
        <v>-11.045000000000007</v>
      </c>
      <c r="V99" s="451">
        <f t="shared" si="187"/>
        <v>-24.506000000000004</v>
      </c>
      <c r="W99" s="131">
        <f t="shared" si="187"/>
        <v>-27.498999999999995</v>
      </c>
      <c r="X99" s="131">
        <f t="shared" si="187"/>
        <v>-18.730000000000011</v>
      </c>
      <c r="Y99" s="450">
        <f t="shared" si="187"/>
        <v>-21.486999999999991</v>
      </c>
      <c r="Z99" s="451">
        <f t="shared" si="187"/>
        <v>-25.096999999999987</v>
      </c>
      <c r="AA99" s="131">
        <f t="shared" si="187"/>
        <v>-15.973999999999986</v>
      </c>
      <c r="AB99" s="131">
        <f t="shared" si="187"/>
        <v>-15.56500000000001</v>
      </c>
      <c r="AC99" s="450">
        <f t="shared" si="187"/>
        <v>-17.149000000000012</v>
      </c>
      <c r="AD99" s="451">
        <f t="shared" si="187"/>
        <v>-12.997000000000014</v>
      </c>
      <c r="AE99" s="131">
        <f t="shared" si="187"/>
        <v>-9.8909999999999751</v>
      </c>
      <c r="AF99" s="131">
        <f t="shared" si="187"/>
        <v>-9.2110000000000127</v>
      </c>
      <c r="AG99" s="450">
        <f t="shared" si="187"/>
        <v>1.868000000000003</v>
      </c>
      <c r="AH99" s="451">
        <f t="shared" si="187"/>
        <v>-22.935000000000006</v>
      </c>
      <c r="AI99" s="455">
        <f t="shared" si="187"/>
        <v>-14.705999999999976</v>
      </c>
      <c r="AJ99" s="131">
        <f t="shared" si="187"/>
        <v>2.2599999999999834</v>
      </c>
      <c r="AK99" s="450">
        <f>+AK39-AK82-AK85-AK88-AK91-AK168</f>
        <v>-0.73699999999998855</v>
      </c>
      <c r="AL99" s="451">
        <f t="shared" si="187"/>
        <v>-16.964041178964166</v>
      </c>
      <c r="AM99" s="131">
        <f t="shared" si="187"/>
        <v>-11.691935053096008</v>
      </c>
      <c r="AN99" s="131">
        <f t="shared" si="187"/>
        <v>7.0317379032612592E-2</v>
      </c>
      <c r="AO99" s="450">
        <f t="shared" si="187"/>
        <v>3.3324622449040979</v>
      </c>
      <c r="AP99" s="451">
        <f t="shared" si="187"/>
        <v>-17.846869749907533</v>
      </c>
      <c r="AQ99" s="131">
        <f t="shared" si="187"/>
        <v>-9.0722846675737543</v>
      </c>
      <c r="AR99" s="131">
        <f t="shared" si="187"/>
        <v>3.4749053005565234</v>
      </c>
      <c r="AS99" s="450">
        <f t="shared" si="187"/>
        <v>6.9987382838528474</v>
      </c>
      <c r="AT99" s="452"/>
      <c r="AU99" s="72">
        <f t="shared" si="179"/>
        <v>-41.784999999999989</v>
      </c>
      <c r="AV99" s="456">
        <f t="shared" si="180"/>
        <v>-73.955000000000013</v>
      </c>
      <c r="AW99" s="456">
        <f t="shared" si="181"/>
        <v>-99.013000000000019</v>
      </c>
      <c r="AX99" s="456">
        <f t="shared" si="182"/>
        <v>-42.730999999999995</v>
      </c>
      <c r="AY99" s="72">
        <f t="shared" si="183"/>
        <v>-46.677000000000028</v>
      </c>
      <c r="AZ99" s="72">
        <f t="shared" si="184"/>
        <v>-92.222000000000008</v>
      </c>
      <c r="BA99" s="72">
        <f t="shared" si="185"/>
        <v>-73.784999999999997</v>
      </c>
      <c r="BB99" s="447">
        <f t="shared" si="159"/>
        <v>-30.231000000000002</v>
      </c>
      <c r="BC99" s="447">
        <f t="shared" si="150"/>
        <v>-36.117999999999988</v>
      </c>
      <c r="BD99" s="447">
        <f t="shared" si="160"/>
        <v>-25.253196608123467</v>
      </c>
      <c r="BE99" s="447">
        <f>SUM(AP99:AS99)</f>
        <v>-16.445510833071918</v>
      </c>
    </row>
    <row r="100" spans="1:57" s="161" customFormat="1" ht="12" customHeight="1">
      <c r="A100" s="457" t="s">
        <v>146</v>
      </c>
      <c r="B100" s="458">
        <v>-0.4267174525803914</v>
      </c>
      <c r="C100" s="459">
        <f t="shared" ref="C100:AS100" si="188">IF(C99&lt;0,C99/C102,C99/C103)</f>
        <v>-0.42633726201269267</v>
      </c>
      <c r="D100" s="459">
        <f t="shared" si="188"/>
        <v>-0.5072974998897658</v>
      </c>
      <c r="E100" s="460">
        <f t="shared" si="188"/>
        <v>-0.51964778551715041</v>
      </c>
      <c r="F100" s="458">
        <f t="shared" si="188"/>
        <v>-0.68423068738029402</v>
      </c>
      <c r="G100" s="459">
        <f t="shared" si="188"/>
        <v>-0.73014736842105288</v>
      </c>
      <c r="H100" s="461">
        <f t="shared" si="188"/>
        <v>-0.28176297114232224</v>
      </c>
      <c r="I100" s="462">
        <f t="shared" si="188"/>
        <v>-0.21276318786813769</v>
      </c>
      <c r="J100" s="461">
        <f t="shared" si="188"/>
        <v>-0.22872260982739109</v>
      </c>
      <c r="K100" s="461">
        <f t="shared" si="188"/>
        <v>-0.22571488207054888</v>
      </c>
      <c r="L100" s="461">
        <f t="shared" si="188"/>
        <v>-0.18240287873931071</v>
      </c>
      <c r="M100" s="461">
        <f t="shared" si="188"/>
        <v>-0.39191512001473361</v>
      </c>
      <c r="N100" s="463">
        <f t="shared" si="188"/>
        <v>-0.23243133882959882</v>
      </c>
      <c r="O100" s="461">
        <f t="shared" si="188"/>
        <v>-0.11935055733516961</v>
      </c>
      <c r="P100" s="461">
        <f t="shared" si="188"/>
        <v>-5.758040418337658E-2</v>
      </c>
      <c r="Q100" s="462">
        <f t="shared" si="188"/>
        <v>-1.8759144598509636E-2</v>
      </c>
      <c r="R100" s="459">
        <f t="shared" si="188"/>
        <v>-7.4121552458122478E-2</v>
      </c>
      <c r="S100" s="256">
        <f t="shared" si="188"/>
        <v>-0.1099283076254616</v>
      </c>
      <c r="T100" s="459">
        <f t="shared" si="188"/>
        <v>-0.15201789106289029</v>
      </c>
      <c r="U100" s="459">
        <f t="shared" si="188"/>
        <v>-0.10204647295237222</v>
      </c>
      <c r="V100" s="458">
        <f t="shared" si="188"/>
        <v>-0.22375004565209455</v>
      </c>
      <c r="W100" s="459">
        <f t="shared" si="188"/>
        <v>-0.24764726542448282</v>
      </c>
      <c r="X100" s="459">
        <f t="shared" si="188"/>
        <v>-0.16732626388057578</v>
      </c>
      <c r="Y100" s="460">
        <f t="shared" si="188"/>
        <v>-0.19058558478650361</v>
      </c>
      <c r="Z100" s="458">
        <f t="shared" si="188"/>
        <v>-0.22054765629119275</v>
      </c>
      <c r="AA100" s="459">
        <f t="shared" si="188"/>
        <v>-0.13874629769566829</v>
      </c>
      <c r="AB100" s="459">
        <f t="shared" si="188"/>
        <v>-0.13423426531210661</v>
      </c>
      <c r="AC100" s="460">
        <f t="shared" si="188"/>
        <v>-0.14692803961719383</v>
      </c>
      <c r="AD100" s="458">
        <f t="shared" si="188"/>
        <v>-0.1105732419050213</v>
      </c>
      <c r="AE100" s="459">
        <f t="shared" si="188"/>
        <v>-8.3341057119505027E-2</v>
      </c>
      <c r="AF100" s="459">
        <f t="shared" si="188"/>
        <v>-7.729359145415346E-2</v>
      </c>
      <c r="AG100" s="460">
        <f t="shared" si="188"/>
        <v>1.5082396066304434E-2</v>
      </c>
      <c r="AH100" s="458">
        <f t="shared" si="188"/>
        <v>-0.19099289657986565</v>
      </c>
      <c r="AI100" s="459">
        <f t="shared" si="188"/>
        <v>-0.1215582869754253</v>
      </c>
      <c r="AJ100" s="459">
        <f t="shared" si="188"/>
        <v>1.8531729436750088E-2</v>
      </c>
      <c r="AK100" s="460">
        <f t="shared" si="188"/>
        <v>-6.1958806221100336E-3</v>
      </c>
      <c r="AL100" s="458">
        <f t="shared" si="188"/>
        <v>-0.14237550297074414</v>
      </c>
      <c r="AM100" s="459">
        <f t="shared" si="188"/>
        <v>-9.7963427340561432E-2</v>
      </c>
      <c r="AN100" s="459">
        <f t="shared" si="188"/>
        <v>5.9616260307429072E-4</v>
      </c>
      <c r="AO100" s="460">
        <f t="shared" si="188"/>
        <v>2.8253177150522238E-2</v>
      </c>
      <c r="AP100" s="458">
        <f t="shared" si="188"/>
        <v>-0.14878590871119243</v>
      </c>
      <c r="AQ100" s="459">
        <f t="shared" si="188"/>
        <v>-7.550798724572412E-2</v>
      </c>
      <c r="AR100" s="459">
        <f t="shared" si="188"/>
        <v>2.9215615441033491E-2</v>
      </c>
      <c r="AS100" s="460">
        <f t="shared" si="188"/>
        <v>5.8679787740863985E-2</v>
      </c>
      <c r="AT100" s="258"/>
      <c r="AU100" s="464">
        <f t="shared" si="179"/>
        <v>-1.8800000000000003</v>
      </c>
      <c r="AV100" s="465">
        <f t="shared" si="180"/>
        <v>-1.9089042148118067</v>
      </c>
      <c r="AW100" s="465">
        <f t="shared" ref="AW100:BC100" si="189">IF(AW99&lt;0,AW99/AW102,AW99/AW103)</f>
        <v>-1.0312350282250509</v>
      </c>
      <c r="AX100" s="465">
        <f t="shared" si="189"/>
        <v>-0.42304151115247152</v>
      </c>
      <c r="AY100" s="465">
        <f t="shared" si="189"/>
        <v>-0.43874721535525985</v>
      </c>
      <c r="AZ100" s="465">
        <f t="shared" si="189"/>
        <v>-0.82843308989319187</v>
      </c>
      <c r="BA100" s="465">
        <f t="shared" si="189"/>
        <v>-0.63939028934392839</v>
      </c>
      <c r="BB100" s="465">
        <f t="shared" si="189"/>
        <v>-0.25450183103927265</v>
      </c>
      <c r="BC100" s="465">
        <f t="shared" si="189"/>
        <v>-0.30067326402980249</v>
      </c>
      <c r="BD100" s="465">
        <f>IF(BD99&lt;0,BD99/BD102,BD99/BD103)</f>
        <v>-0.21141227800856816</v>
      </c>
      <c r="BE100" s="465">
        <f>IF(BE99&lt;0,BE99/BE102,BE99/BE103)</f>
        <v>-0.13676100484883091</v>
      </c>
    </row>
    <row r="101" spans="1:57" s="165" customFormat="1" ht="12" hidden="1" customHeight="1" outlineLevel="1">
      <c r="A101" s="466" t="s">
        <v>147</v>
      </c>
      <c r="B101" s="232" t="str">
        <f>'[2]VA Consensus'!C35</f>
        <v>-</v>
      </c>
      <c r="C101" s="232" t="str">
        <f>'[2]VA Consensus'!D35</f>
        <v>-</v>
      </c>
      <c r="D101" s="232" t="str">
        <f>'[2]VA Consensus'!E35</f>
        <v>-</v>
      </c>
      <c r="E101" s="232" t="str">
        <f>'[2]VA Consensus'!F35</f>
        <v>-</v>
      </c>
      <c r="F101" s="467" t="str">
        <f>'[2]VA Consensus'!G35</f>
        <v>-</v>
      </c>
      <c r="G101" s="232" t="str">
        <f>'[2]VA Consensus'!H35</f>
        <v>-</v>
      </c>
      <c r="H101" s="232">
        <f>'[2]VA Consensus'!I35</f>
        <v>-0.25184083280949998</v>
      </c>
      <c r="I101" s="232">
        <f>'[2]VA Consensus'!J35</f>
        <v>-0.22992843238518601</v>
      </c>
      <c r="J101" s="467">
        <f>'[2]VA Consensus'!K35</f>
        <v>-0.30233204263308699</v>
      </c>
      <c r="K101" s="232">
        <f>'[2]VA Consensus'!L35</f>
        <v>-0.26993957243956601</v>
      </c>
      <c r="L101" s="232">
        <f>'[2]VA Consensus'!M35</f>
        <v>-0.235200219957204</v>
      </c>
      <c r="M101" s="468">
        <f>'[2]VA Consensus'!N35</f>
        <v>-0.34773408471230999</v>
      </c>
      <c r="N101" s="467">
        <f>'[2]VA Consensus'!O35</f>
        <v>-0.31800802807018502</v>
      </c>
      <c r="O101" s="232">
        <f>'[2]VA Consensus'!P35</f>
        <v>-0.20713137264855799</v>
      </c>
      <c r="P101" s="232">
        <f>'[2]VA Consensus'!Q35</f>
        <v>-0.121254422147442</v>
      </c>
      <c r="Q101" s="468">
        <f>'[2]VA Consensus'!R35</f>
        <v>-7.2922271897239002E-2</v>
      </c>
      <c r="R101" s="467">
        <f>'[2]VA Consensus'!S35</f>
        <v>-0.10464830729207</v>
      </c>
      <c r="S101" s="232">
        <f>'[2]VA Consensus'!T35</f>
        <v>-0.139290097547386</v>
      </c>
      <c r="T101" s="232">
        <f>'[2]VA Consensus'!U35</f>
        <v>-0.17231683791910099</v>
      </c>
      <c r="U101" s="468">
        <f>'[2]VA Consensus'!V35</f>
        <v>-0.165855546554983</v>
      </c>
      <c r="V101" s="232">
        <f>'[2]VA Consensus'!W35</f>
        <v>-0.15420615062557999</v>
      </c>
      <c r="W101" s="232">
        <f>'[2]VA Consensus'!X35</f>
        <v>-0.22616574076832199</v>
      </c>
      <c r="X101" s="232">
        <f>'[2]VA Consensus'!Y35</f>
        <v>-0.228378406111203</v>
      </c>
      <c r="Y101" s="232">
        <f>'[2]VA Consensus'!Z35</f>
        <v>-0.20746990682927999</v>
      </c>
      <c r="Z101" s="467">
        <f>'[2]VA Consensus'!AA35</f>
        <v>-0.244444410486125</v>
      </c>
      <c r="AA101" s="232">
        <f>'[2]VA Consensus'!AB35</f>
        <v>-0.16205815102995799</v>
      </c>
      <c r="AB101" s="232">
        <f>'[2]VA Consensus'!AC35</f>
        <v>-0.139232994683269</v>
      </c>
      <c r="AC101" s="468">
        <f>'[2]VA Consensus'!AD35</f>
        <v>-0.23684876264163399</v>
      </c>
      <c r="AD101" s="467">
        <f>'[2]VA Consensus'!AE35</f>
        <v>-0.20689899577860099</v>
      </c>
      <c r="AE101" s="232">
        <f>'[2]VA Consensus'!AF35</f>
        <v>-0.144366526617839</v>
      </c>
      <c r="AF101" s="232">
        <f>'[2]VA Consensus'!AG35</f>
        <v>-8.4746652176586001E-2</v>
      </c>
      <c r="AG101" s="468">
        <f>'[2]VA Consensus'!AH35</f>
        <v>-3.6525601390932E-2</v>
      </c>
      <c r="AH101" s="467">
        <f>'[2]VA Consensus'!AI35</f>
        <v>-0.189513489689665</v>
      </c>
      <c r="AI101" s="232">
        <f>'[2]VA Consensus'!AJ35</f>
        <v>-0.13915476119981199</v>
      </c>
      <c r="AJ101" s="232">
        <f>'[2]VA Consensus'!AK35</f>
        <v>-5.7213293909689003E-2</v>
      </c>
      <c r="AK101" s="468">
        <f>'[2]VA Consensus'!AL35</f>
        <v>-1.946708105729E-2</v>
      </c>
      <c r="AL101" s="467">
        <f>'[2]VA Consensus'!AM35</f>
        <v>-5.7870224253872997E-2</v>
      </c>
      <c r="AM101" s="232">
        <f>'[2]VA Consensus'!AN35</f>
        <v>-2.7188851532990001E-3</v>
      </c>
      <c r="AN101" s="232">
        <f>'[2]VA Consensus'!AO35</f>
        <v>5.2351899099527997E-2</v>
      </c>
      <c r="AO101" s="468">
        <f>'[2]VA Consensus'!AP35</f>
        <v>9.3502048869111995E-2</v>
      </c>
      <c r="AP101" s="467">
        <f>'[2]VA Consensus'!AQ35</f>
        <v>-7.1844945799999998E-6</v>
      </c>
      <c r="AQ101" s="232">
        <f>'[2]VA Consensus'!AR35</f>
        <v>3.5819243058615002E-2</v>
      </c>
      <c r="AR101" s="232">
        <f>'[2]VA Consensus'!AS35</f>
        <v>8.8742496428135004E-2</v>
      </c>
      <c r="AS101" s="468">
        <f>'[2]VA Consensus'!AT35</f>
        <v>0.118787491524357</v>
      </c>
      <c r="AT101" s="468"/>
      <c r="AU101" s="469" t="str">
        <f>'[2]VA Consensus'!AV35</f>
        <v>-</v>
      </c>
      <c r="AV101" s="470">
        <f>'[2]VA Consensus'!AW35</f>
        <v>-0.86620999753788297</v>
      </c>
      <c r="AW101" s="471">
        <f>'[2]VA Consensus'!AX35</f>
        <v>-0.99003801132450797</v>
      </c>
      <c r="AX101" s="472">
        <f>'[2]VA Consensus'!AY35</f>
        <v>-0.46178916490904298</v>
      </c>
      <c r="AY101" s="472">
        <f>'[2]VA Consensus'!AZ35</f>
        <v>-0.405361313566939</v>
      </c>
      <c r="AZ101" s="471">
        <f>'[2]VA Consensus'!BA35</f>
        <v>-0.70694491856872799</v>
      </c>
      <c r="BA101" s="472">
        <f>'[2]VA Consensus'!BB35</f>
        <v>-0.607185209176068</v>
      </c>
      <c r="BB101" s="472">
        <f>'[2]VA Consensus'!BC35</f>
        <v>-0.34700437617211399</v>
      </c>
      <c r="BC101" s="472">
        <f>'[2]VA Consensus'!BD35</f>
        <v>-0.30972101525364298</v>
      </c>
      <c r="BD101" s="472">
        <f>'[2]VA Consensus'!BE35</f>
        <v>8.5629387365228002E-2</v>
      </c>
      <c r="BE101" s="472">
        <f>'[2]VA Consensus'!BF35</f>
        <v>0.244258018968604</v>
      </c>
    </row>
    <row r="102" spans="1:57" s="165" customFormat="1" ht="12" customHeight="1" collapsed="1">
      <c r="A102" s="473" t="s">
        <v>115</v>
      </c>
      <c r="B102" s="289">
        <f t="shared" ref="B102:AS103" si="190">B52</f>
        <v>0</v>
      </c>
      <c r="C102" s="70">
        <f t="shared" si="190"/>
        <v>22.06</v>
      </c>
      <c r="D102" s="70">
        <f t="shared" si="190"/>
        <v>22.678999999999998</v>
      </c>
      <c r="E102" s="449">
        <f t="shared" si="190"/>
        <v>22.827000000000002</v>
      </c>
      <c r="F102" s="289">
        <f t="shared" si="190"/>
        <v>23.495000000000001</v>
      </c>
      <c r="G102" s="70">
        <f t="shared" si="190"/>
        <v>23.75</v>
      </c>
      <c r="H102" s="70">
        <f t="shared" si="190"/>
        <v>74.260999999999996</v>
      </c>
      <c r="I102" s="449">
        <f t="shared" si="190"/>
        <v>92.186999999999998</v>
      </c>
      <c r="J102" s="70">
        <f t="shared" si="190"/>
        <v>93.738</v>
      </c>
      <c r="K102" s="70">
        <f t="shared" si="190"/>
        <v>95.82</v>
      </c>
      <c r="L102" s="70">
        <f t="shared" si="190"/>
        <v>96.709000000000003</v>
      </c>
      <c r="M102" s="70">
        <f t="shared" si="190"/>
        <v>97.738</v>
      </c>
      <c r="N102" s="289">
        <f t="shared" si="190"/>
        <v>98.855000000000004</v>
      </c>
      <c r="O102" s="70">
        <f t="shared" si="190"/>
        <v>100.209</v>
      </c>
      <c r="P102" s="131">
        <f t="shared" si="190"/>
        <v>101.736</v>
      </c>
      <c r="Q102" s="474">
        <f t="shared" si="190"/>
        <v>103.203</v>
      </c>
      <c r="R102" s="70">
        <f t="shared" si="190"/>
        <v>104.53100000000001</v>
      </c>
      <c r="S102" s="70">
        <f t="shared" si="190"/>
        <v>105.869</v>
      </c>
      <c r="T102" s="291">
        <f t="shared" si="190"/>
        <v>106.869</v>
      </c>
      <c r="U102" s="291">
        <f t="shared" si="190"/>
        <v>108.235</v>
      </c>
      <c r="V102" s="289">
        <f t="shared" si="190"/>
        <v>109.524</v>
      </c>
      <c r="W102" s="70">
        <f t="shared" si="190"/>
        <v>111.041</v>
      </c>
      <c r="X102" s="291">
        <f t="shared" si="190"/>
        <v>111.937</v>
      </c>
      <c r="Y102" s="474">
        <f t="shared" si="190"/>
        <v>112.742</v>
      </c>
      <c r="Z102" s="289">
        <f t="shared" si="190"/>
        <v>113.794</v>
      </c>
      <c r="AA102" s="70">
        <f t="shared" si="190"/>
        <v>115.131</v>
      </c>
      <c r="AB102" s="291">
        <f t="shared" si="190"/>
        <v>115.95399999999999</v>
      </c>
      <c r="AC102" s="474">
        <f t="shared" si="190"/>
        <v>116.717</v>
      </c>
      <c r="AD102" s="289">
        <f t="shared" si="190"/>
        <v>117.542</v>
      </c>
      <c r="AE102" s="70">
        <f t="shared" si="190"/>
        <v>118.681</v>
      </c>
      <c r="AF102" s="291">
        <f t="shared" si="190"/>
        <v>119.169</v>
      </c>
      <c r="AG102" s="474">
        <f t="shared" si="190"/>
        <v>119.748</v>
      </c>
      <c r="AH102" s="289">
        <f t="shared" si="190"/>
        <v>120.083</v>
      </c>
      <c r="AI102" s="70">
        <f t="shared" si="190"/>
        <v>120.979</v>
      </c>
      <c r="AJ102" s="291">
        <f t="shared" si="190"/>
        <v>120.483</v>
      </c>
      <c r="AK102" s="474">
        <f t="shared" si="190"/>
        <v>118.95</v>
      </c>
      <c r="AL102" s="289">
        <f t="shared" si="190"/>
        <v>119.15</v>
      </c>
      <c r="AM102" s="70">
        <f t="shared" si="190"/>
        <v>119.35000000000001</v>
      </c>
      <c r="AN102" s="291">
        <f t="shared" si="190"/>
        <v>119.55000000000001</v>
      </c>
      <c r="AO102" s="474">
        <f t="shared" si="190"/>
        <v>119.75000000000001</v>
      </c>
      <c r="AP102" s="289">
        <f t="shared" si="190"/>
        <v>119.95000000000002</v>
      </c>
      <c r="AQ102" s="70">
        <f t="shared" si="190"/>
        <v>120.15000000000002</v>
      </c>
      <c r="AR102" s="291">
        <f t="shared" si="190"/>
        <v>120.35000000000002</v>
      </c>
      <c r="AS102" s="474">
        <f t="shared" si="190"/>
        <v>120.55000000000003</v>
      </c>
      <c r="AT102" s="232"/>
      <c r="AU102" s="289"/>
      <c r="AV102" s="289">
        <f t="shared" ref="AV102:BE103" si="191">AV52</f>
        <v>53.668999999999997</v>
      </c>
      <c r="AW102" s="289">
        <f t="shared" si="191"/>
        <v>96.013999999999996</v>
      </c>
      <c r="AX102" s="72">
        <f t="shared" si="191"/>
        <v>101.009</v>
      </c>
      <c r="AY102" s="72">
        <f t="shared" si="191"/>
        <v>106.387</v>
      </c>
      <c r="AZ102" s="72">
        <f t="shared" si="191"/>
        <v>111.321</v>
      </c>
      <c r="BA102" s="72">
        <f t="shared" si="191"/>
        <v>115.399</v>
      </c>
      <c r="BB102" s="72">
        <f t="shared" si="191"/>
        <v>118.785</v>
      </c>
      <c r="BC102" s="72">
        <f t="shared" si="191"/>
        <v>120.12375</v>
      </c>
      <c r="BD102" s="72">
        <f t="shared" si="191"/>
        <v>119.45</v>
      </c>
      <c r="BE102" s="72">
        <f t="shared" si="191"/>
        <v>120.25000000000001</v>
      </c>
    </row>
    <row r="103" spans="1:57" s="151" customFormat="1" ht="12" customHeight="1">
      <c r="A103" s="475" t="s">
        <v>148</v>
      </c>
      <c r="B103" s="299">
        <f t="shared" si="190"/>
        <v>0</v>
      </c>
      <c r="C103" s="300">
        <f t="shared" si="190"/>
        <v>77.445999999999998</v>
      </c>
      <c r="D103" s="300">
        <f t="shared" si="190"/>
        <v>78.064999999999998</v>
      </c>
      <c r="E103" s="301">
        <f t="shared" si="190"/>
        <v>78.213000000000008</v>
      </c>
      <c r="F103" s="299">
        <f t="shared" si="190"/>
        <v>78.881</v>
      </c>
      <c r="G103" s="300">
        <f t="shared" si="190"/>
        <v>79.135999999999996</v>
      </c>
      <c r="H103" s="300">
        <f t="shared" si="190"/>
        <v>88.71</v>
      </c>
      <c r="I103" s="301">
        <f t="shared" si="190"/>
        <v>92.186999999999998</v>
      </c>
      <c r="J103" s="300">
        <f t="shared" si="190"/>
        <v>93.738</v>
      </c>
      <c r="K103" s="300">
        <f t="shared" si="190"/>
        <v>95.82</v>
      </c>
      <c r="L103" s="300">
        <f t="shared" si="190"/>
        <v>96.709000000000003</v>
      </c>
      <c r="M103" s="300">
        <f t="shared" si="190"/>
        <v>97.738</v>
      </c>
      <c r="N103" s="299">
        <f t="shared" si="190"/>
        <v>98.855000000000004</v>
      </c>
      <c r="O103" s="300">
        <f t="shared" si="190"/>
        <v>108.587</v>
      </c>
      <c r="P103" s="303">
        <f t="shared" si="190"/>
        <v>111.224</v>
      </c>
      <c r="Q103" s="476">
        <f t="shared" si="190"/>
        <v>112.691</v>
      </c>
      <c r="R103" s="303">
        <f t="shared" si="190"/>
        <v>113.934</v>
      </c>
      <c r="S103" s="303">
        <f t="shared" si="190"/>
        <v>113.869</v>
      </c>
      <c r="T103" s="303">
        <f t="shared" si="190"/>
        <v>114.983</v>
      </c>
      <c r="U103" s="303">
        <f t="shared" si="190"/>
        <v>116.46599999999999</v>
      </c>
      <c r="V103" s="302">
        <f t="shared" si="190"/>
        <v>117.155</v>
      </c>
      <c r="W103" s="303">
        <f t="shared" si="190"/>
        <v>118.057</v>
      </c>
      <c r="X103" s="303">
        <f t="shared" si="190"/>
        <v>117.334</v>
      </c>
      <c r="Y103" s="476">
        <f t="shared" si="190"/>
        <v>117.54600000000001</v>
      </c>
      <c r="Z103" s="302">
        <f t="shared" si="190"/>
        <v>119.264</v>
      </c>
      <c r="AA103" s="303">
        <f t="shared" si="190"/>
        <v>120.057</v>
      </c>
      <c r="AB103" s="303">
        <f t="shared" si="190"/>
        <v>122.5</v>
      </c>
      <c r="AC103" s="476">
        <f t="shared" si="190"/>
        <v>122.023</v>
      </c>
      <c r="AD103" s="302">
        <f t="shared" si="190"/>
        <v>123.26600000000001</v>
      </c>
      <c r="AE103" s="303">
        <f t="shared" si="190"/>
        <v>123.056</v>
      </c>
      <c r="AF103" s="303">
        <f t="shared" si="190"/>
        <v>123.288</v>
      </c>
      <c r="AG103" s="476">
        <f t="shared" si="190"/>
        <v>123.85299999999999</v>
      </c>
      <c r="AH103" s="302">
        <f t="shared" si="190"/>
        <v>124.152</v>
      </c>
      <c r="AI103" s="303">
        <f t="shared" si="190"/>
        <v>122.875</v>
      </c>
      <c r="AJ103" s="303">
        <f t="shared" si="190"/>
        <v>121.953</v>
      </c>
      <c r="AK103" s="476">
        <f t="shared" si="190"/>
        <v>118.95</v>
      </c>
      <c r="AL103" s="302">
        <f t="shared" si="190"/>
        <v>117.95</v>
      </c>
      <c r="AM103" s="303">
        <f t="shared" si="190"/>
        <v>117.95</v>
      </c>
      <c r="AN103" s="303">
        <f t="shared" si="190"/>
        <v>117.95</v>
      </c>
      <c r="AO103" s="476">
        <f t="shared" si="190"/>
        <v>117.95</v>
      </c>
      <c r="AP103" s="302">
        <f t="shared" si="190"/>
        <v>118.28</v>
      </c>
      <c r="AQ103" s="303">
        <f t="shared" si="190"/>
        <v>118.61</v>
      </c>
      <c r="AR103" s="303">
        <f t="shared" si="190"/>
        <v>118.94</v>
      </c>
      <c r="AS103" s="476">
        <f t="shared" si="190"/>
        <v>119.27</v>
      </c>
      <c r="AT103" s="477"/>
      <c r="AU103" s="308"/>
      <c r="AV103" s="308">
        <f t="shared" si="191"/>
        <v>84.774000000000001</v>
      </c>
      <c r="AW103" s="308">
        <f t="shared" si="191"/>
        <v>96.013999999999996</v>
      </c>
      <c r="AX103" s="72">
        <f t="shared" si="191"/>
        <v>109.962</v>
      </c>
      <c r="AY103" s="72">
        <f t="shared" si="191"/>
        <v>114.825</v>
      </c>
      <c r="AZ103" s="72">
        <f t="shared" si="191"/>
        <v>117.53400000000001</v>
      </c>
      <c r="BA103" s="72">
        <f t="shared" si="191"/>
        <v>120.96100000000001</v>
      </c>
      <c r="BB103" s="72">
        <f t="shared" si="191"/>
        <v>123.36575000000001</v>
      </c>
      <c r="BC103" s="72">
        <f t="shared" si="191"/>
        <v>121.9825</v>
      </c>
      <c r="BD103" s="72">
        <f t="shared" si="191"/>
        <v>117.95</v>
      </c>
      <c r="BE103" s="72">
        <f t="shared" si="191"/>
        <v>118.77499999999999</v>
      </c>
    </row>
    <row r="104" spans="1:57" s="483" customFormat="1" ht="12" customHeight="1">
      <c r="A104" s="478"/>
      <c r="B104" s="479"/>
      <c r="C104" s="479"/>
      <c r="D104" s="479"/>
      <c r="E104" s="479"/>
      <c r="F104" s="480"/>
      <c r="G104" s="480"/>
      <c r="H104" s="480"/>
      <c r="I104" s="480"/>
      <c r="J104" s="480"/>
      <c r="K104" s="480"/>
      <c r="L104" s="480"/>
      <c r="M104" s="480"/>
      <c r="N104" s="479"/>
      <c r="O104" s="479"/>
      <c r="P104" s="479"/>
      <c r="Q104" s="479"/>
      <c r="R104" s="479"/>
      <c r="S104" s="479"/>
      <c r="T104" s="479"/>
      <c r="U104" s="479"/>
      <c r="V104" s="479"/>
      <c r="W104" s="479"/>
      <c r="X104" s="479"/>
      <c r="Y104" s="479"/>
      <c r="Z104" s="479"/>
      <c r="AA104" s="479"/>
      <c r="AB104" s="479"/>
      <c r="AC104" s="479"/>
      <c r="AD104" s="479"/>
      <c r="AE104" s="479"/>
      <c r="AF104" s="479"/>
      <c r="AG104" s="479"/>
      <c r="AH104" s="479"/>
      <c r="AI104" s="479"/>
      <c r="AJ104" s="479"/>
      <c r="AK104" s="479"/>
      <c r="AL104" s="479"/>
      <c r="AM104" s="479"/>
      <c r="AN104" s="479"/>
      <c r="AO104" s="479"/>
      <c r="AP104" s="479"/>
      <c r="AQ104" s="479"/>
      <c r="AR104" s="479"/>
      <c r="AS104" s="479"/>
      <c r="AT104" s="481"/>
      <c r="AU104" s="482"/>
      <c r="AV104" s="482"/>
      <c r="AW104" s="482"/>
      <c r="AX104" s="482"/>
      <c r="AY104" s="482"/>
      <c r="AZ104" s="482"/>
      <c r="BA104" s="482"/>
      <c r="BB104" s="482"/>
      <c r="BC104" s="482"/>
      <c r="BD104" s="482"/>
      <c r="BE104" s="482"/>
    </row>
    <row r="105" spans="1:57" ht="12" customHeight="1">
      <c r="A105" s="484" t="s">
        <v>149</v>
      </c>
      <c r="B105" s="1719">
        <f>B3</f>
        <v>2017</v>
      </c>
      <c r="C105" s="1720"/>
      <c r="D105" s="1720"/>
      <c r="E105" s="1721"/>
      <c r="F105" s="1719">
        <f>F3</f>
        <v>2018</v>
      </c>
      <c r="G105" s="1720"/>
      <c r="H105" s="1720"/>
      <c r="I105" s="1721"/>
      <c r="J105" s="1719">
        <f>J3</f>
        <v>2019</v>
      </c>
      <c r="K105" s="1720"/>
      <c r="L105" s="1720"/>
      <c r="M105" s="1725"/>
      <c r="N105" s="1719">
        <f>N3</f>
        <v>2020</v>
      </c>
      <c r="O105" s="1720"/>
      <c r="P105" s="1720"/>
      <c r="Q105" s="1725"/>
      <c r="R105" s="1719">
        <f>R3</f>
        <v>2021</v>
      </c>
      <c r="S105" s="1720"/>
      <c r="T105" s="1720"/>
      <c r="U105" s="1721"/>
      <c r="V105" s="1719">
        <f>V3</f>
        <v>2022</v>
      </c>
      <c r="W105" s="1720"/>
      <c r="X105" s="1720"/>
      <c r="Y105" s="1721"/>
      <c r="Z105" s="1719">
        <f>Z3</f>
        <v>2023</v>
      </c>
      <c r="AA105" s="1720"/>
      <c r="AB105" s="1720"/>
      <c r="AC105" s="1721"/>
      <c r="AD105" s="1719">
        <f>AD3</f>
        <v>2024</v>
      </c>
      <c r="AE105" s="1720"/>
      <c r="AF105" s="1720"/>
      <c r="AG105" s="1721"/>
      <c r="AH105" s="1719">
        <f>AH3</f>
        <v>2025</v>
      </c>
      <c r="AI105" s="1720"/>
      <c r="AJ105" s="1720"/>
      <c r="AK105" s="1721"/>
      <c r="AL105" s="1719">
        <f>AL3</f>
        <v>2026</v>
      </c>
      <c r="AM105" s="1720"/>
      <c r="AN105" s="1720"/>
      <c r="AO105" s="1721"/>
      <c r="AP105" s="1719">
        <f>AP3</f>
        <v>2027</v>
      </c>
      <c r="AQ105" s="1720"/>
      <c r="AR105" s="1720"/>
      <c r="AS105" s="1721"/>
      <c r="AT105" s="393"/>
      <c r="AU105" s="42"/>
      <c r="AV105" s="42"/>
      <c r="AW105" s="42"/>
      <c r="AX105" s="42"/>
      <c r="AY105" s="42"/>
      <c r="AZ105" s="42"/>
      <c r="BA105" s="315"/>
      <c r="BB105" s="42"/>
      <c r="BC105" s="42"/>
      <c r="BD105" s="42"/>
      <c r="BE105" s="404"/>
    </row>
    <row r="106" spans="1:57" ht="12" customHeight="1">
      <c r="A106" s="485" t="s">
        <v>81</v>
      </c>
      <c r="B106" s="486"/>
      <c r="C106" s="486"/>
      <c r="D106" s="486"/>
      <c r="E106" s="486"/>
      <c r="F106" s="487"/>
      <c r="G106" s="486"/>
      <c r="H106" s="486"/>
      <c r="I106" s="488"/>
      <c r="J106" s="486"/>
      <c r="K106" s="486"/>
      <c r="L106" s="486"/>
      <c r="M106" s="486"/>
      <c r="N106" s="487"/>
      <c r="O106" s="486"/>
      <c r="P106" s="489"/>
      <c r="Q106" s="486"/>
      <c r="R106" s="487"/>
      <c r="S106" s="486"/>
      <c r="T106" s="486"/>
      <c r="U106" s="488"/>
      <c r="V106" s="487"/>
      <c r="W106" s="486"/>
      <c r="X106" s="486"/>
      <c r="Y106" s="488"/>
      <c r="Z106" s="487"/>
      <c r="AA106" s="486"/>
      <c r="AB106" s="486"/>
      <c r="AC106" s="488"/>
      <c r="AD106" s="487"/>
      <c r="AE106" s="486"/>
      <c r="AF106" s="486"/>
      <c r="AG106" s="488"/>
      <c r="AH106" s="487"/>
      <c r="AI106" s="486"/>
      <c r="AJ106" s="486"/>
      <c r="AK106" s="488"/>
      <c r="AL106" s="487"/>
      <c r="AM106" s="486"/>
      <c r="AN106" s="486"/>
      <c r="AO106" s="488"/>
      <c r="AP106" s="487"/>
      <c r="AQ106" s="486"/>
      <c r="AR106" s="486"/>
      <c r="AS106" s="488"/>
      <c r="AU106" s="61">
        <f t="shared" ref="AU106:AZ106" si="192">AU81</f>
        <v>2017</v>
      </c>
      <c r="AV106" s="61">
        <f t="shared" si="192"/>
        <v>2018</v>
      </c>
      <c r="AW106" s="61">
        <f t="shared" si="192"/>
        <v>2019</v>
      </c>
      <c r="AX106" s="61">
        <f t="shared" si="192"/>
        <v>2020</v>
      </c>
      <c r="AY106" s="61" t="str">
        <f t="shared" si="192"/>
        <v>CY21</v>
      </c>
      <c r="AZ106" s="61" t="str">
        <f t="shared" si="192"/>
        <v>CY22</v>
      </c>
      <c r="BA106" s="61" t="str">
        <f>BA81</f>
        <v>CY23</v>
      </c>
      <c r="BB106" s="61" t="str">
        <f t="shared" ref="BB106:BE106" si="193">BB81</f>
        <v>CY24</v>
      </c>
      <c r="BC106" s="61" t="str">
        <f t="shared" si="193"/>
        <v>CY25</v>
      </c>
      <c r="BD106" s="61" t="str">
        <f t="shared" si="193"/>
        <v>CY26E</v>
      </c>
      <c r="BE106" s="61" t="str">
        <f t="shared" si="193"/>
        <v>CY27E</v>
      </c>
    </row>
    <row r="107" spans="1:57" s="33" customFormat="1" ht="12" customHeight="1">
      <c r="A107" s="490" t="s">
        <v>82</v>
      </c>
      <c r="B107" s="289">
        <f>'Revenue Build'!B13</f>
        <v>27.702000000000002</v>
      </c>
      <c r="C107" s="70">
        <f>'Revenue Build'!C13</f>
        <v>30.843999999999987</v>
      </c>
      <c r="D107" s="70">
        <f>'Revenue Build'!D13</f>
        <v>34.932000000000002</v>
      </c>
      <c r="E107" s="449">
        <f>'Revenue Build'!E13</f>
        <v>39.395000000000003</v>
      </c>
      <c r="F107" s="289">
        <f>'Revenue Build'!F13</f>
        <v>44.332000000000001</v>
      </c>
      <c r="G107" s="70">
        <f>'Revenue Build'!G13</f>
        <v>48.725000000000001</v>
      </c>
      <c r="H107" s="70">
        <f>'Revenue Build'!H13</f>
        <v>53.511000000000003</v>
      </c>
      <c r="I107" s="449">
        <f>'Revenue Build'!I13</f>
        <v>59.259</v>
      </c>
      <c r="J107" s="289">
        <f>'Revenue Build'!J13</f>
        <v>64.736999999999995</v>
      </c>
      <c r="K107" s="70">
        <f>'Revenue Build'!K13</f>
        <v>69.37</v>
      </c>
      <c r="L107" s="70">
        <f>'Revenue Build'!L13</f>
        <v>75.503</v>
      </c>
      <c r="M107" s="449">
        <f>'Revenue Build'!M13</f>
        <v>80.938999999999993</v>
      </c>
      <c r="N107" s="289">
        <f>'Revenue Build'!N13</f>
        <v>86.39</v>
      </c>
      <c r="O107" s="70">
        <f>'Revenue Build'!O13</f>
        <v>92.01</v>
      </c>
      <c r="P107" s="70">
        <f>'Revenue Build'!P13</f>
        <v>96.792000000000002</v>
      </c>
      <c r="Q107" s="70">
        <f>'Revenue Build'!Q13</f>
        <v>102.16200000000001</v>
      </c>
      <c r="R107" s="289">
        <f>'Revenue Build'!R13</f>
        <v>107.402</v>
      </c>
      <c r="S107" s="70">
        <f>'Revenue Build'!S13</f>
        <v>114.167</v>
      </c>
      <c r="T107" s="70">
        <f>'Revenue Build'!T13</f>
        <v>122.15600000000001</v>
      </c>
      <c r="U107" s="449">
        <f>'Revenue Build'!U13</f>
        <v>132.298</v>
      </c>
      <c r="V107" s="289">
        <f>'Revenue Build'!V13</f>
        <v>142.68700000000001</v>
      </c>
      <c r="W107" s="70">
        <f>'Revenue Build'!W13</f>
        <v>146.80600000000001</v>
      </c>
      <c r="X107" s="70">
        <f>'Revenue Build'!X13</f>
        <v>156.76400000000001</v>
      </c>
      <c r="Y107" s="449">
        <f>'Revenue Build'!Y13</f>
        <v>166.25299999999999</v>
      </c>
      <c r="Z107" s="289">
        <f>'Revenue Build'!Z13</f>
        <v>171.09800000000001</v>
      </c>
      <c r="AA107" s="70">
        <f>'Revenue Build'!AA13</f>
        <v>176.767</v>
      </c>
      <c r="AB107" s="70">
        <f>'Revenue Build'!AB13</f>
        <v>183.268</v>
      </c>
      <c r="AC107" s="449">
        <f>'Revenue Build'!AC13</f>
        <v>193.88</v>
      </c>
      <c r="AD107" s="289">
        <f>'Revenue Build'!AD13</f>
        <v>197.63499999999999</v>
      </c>
      <c r="AE107" s="70">
        <f>'Revenue Build'!AE13</f>
        <v>202.53800000000001</v>
      </c>
      <c r="AF107" s="70">
        <f>'Revenue Build'!AF13</f>
        <v>208.554</v>
      </c>
      <c r="AG107" s="449">
        <f>'Revenue Build'!AG13</f>
        <v>215.93199999999999</v>
      </c>
      <c r="AH107" s="289">
        <f>'Revenue Build'!AH13</f>
        <v>220.44300000000001</v>
      </c>
      <c r="AI107" s="70">
        <f>'Revenue Build'!AI13</f>
        <v>228.03100000000001</v>
      </c>
      <c r="AJ107" s="70">
        <f>'Revenue Build'!AJ13</f>
        <v>232.21100000000001</v>
      </c>
      <c r="AK107" s="449">
        <f>'Revenue Build'!AK13</f>
        <v>238.88800000000001</v>
      </c>
      <c r="AL107" s="289">
        <f>'Revenue Build'!AL13</f>
        <v>241.385085</v>
      </c>
      <c r="AM107" s="70">
        <f>'Revenue Build'!AM13</f>
        <v>247.413635</v>
      </c>
      <c r="AN107" s="70">
        <f>'Revenue Build'!AN13</f>
        <v>249.626825</v>
      </c>
      <c r="AO107" s="449">
        <f>'Revenue Build'!AO13</f>
        <v>256.80459999999999</v>
      </c>
      <c r="AP107" s="289">
        <f>'Revenue Build'!AP13</f>
        <v>259.4648278665</v>
      </c>
      <c r="AQ107" s="70">
        <f>'Revenue Build'!AQ13</f>
        <v>265.92017489799997</v>
      </c>
      <c r="AR107" s="70">
        <f>'Revenue Build'!AR13</f>
        <v>268.27394882750002</v>
      </c>
      <c r="AS107" s="449">
        <f>'Revenue Build'!AS13</f>
        <v>275.96222316000001</v>
      </c>
      <c r="AU107" s="289">
        <f>+SUM(B107:E107)</f>
        <v>132.87299999999999</v>
      </c>
      <c r="AV107" s="289">
        <f>+SUM(F107:I107)</f>
        <v>205.827</v>
      </c>
      <c r="AW107" s="72">
        <f>SUM(J107:M107)</f>
        <v>290.54899999999998</v>
      </c>
      <c r="AX107" s="72">
        <f>+SUM(N107:Q107)</f>
        <v>377.35400000000004</v>
      </c>
      <c r="AY107" s="72">
        <f>+SUM(R107:U107)</f>
        <v>476.02300000000002</v>
      </c>
      <c r="AZ107" s="72">
        <f>+SUM(V107:Y107)</f>
        <v>612.51</v>
      </c>
      <c r="BA107" s="72">
        <f>+SUM(Z107:AC107)</f>
        <v>725.01300000000003</v>
      </c>
      <c r="BB107" s="72">
        <f>SUM(AD107:AG107)</f>
        <v>824.65899999999999</v>
      </c>
      <c r="BC107" s="72">
        <f t="shared" ref="BC107:BC110" si="194">SUM(AH107:AK107)</f>
        <v>919.57300000000009</v>
      </c>
      <c r="BD107" s="72">
        <f>SUM(AL107:AO107)</f>
        <v>995.23014499999999</v>
      </c>
      <c r="BE107" s="72">
        <f>SUM(AP107:AS107)</f>
        <v>1069.6211747520001</v>
      </c>
    </row>
    <row r="108" spans="1:57" s="33" customFormat="1" ht="12" customHeight="1">
      <c r="A108" s="490" t="s">
        <v>83</v>
      </c>
      <c r="B108" s="289">
        <f>'Revenue Build'!B18</f>
        <v>11.989000000000001</v>
      </c>
      <c r="C108" s="70">
        <f>'Revenue Build'!C18</f>
        <v>12.282999999999999</v>
      </c>
      <c r="D108" s="70">
        <f>'Revenue Build'!D18</f>
        <v>12.856999999999999</v>
      </c>
      <c r="E108" s="449">
        <f>'Revenue Build'!E18</f>
        <v>13.208</v>
      </c>
      <c r="F108" s="289">
        <f>'Revenue Build'!F18</f>
        <v>13.477</v>
      </c>
      <c r="G108" s="70">
        <f>'Revenue Build'!G18</f>
        <v>13.412000000000001</v>
      </c>
      <c r="H108" s="70">
        <f>'Revenue Build'!H18</f>
        <v>13.864000000000001</v>
      </c>
      <c r="I108" s="449">
        <f>'Revenue Build'!I18</f>
        <v>13.869</v>
      </c>
      <c r="J108" s="289">
        <f>'Revenue Build'!J18</f>
        <v>13.526999999999999</v>
      </c>
      <c r="K108" s="70">
        <f>'Revenue Build'!K18</f>
        <v>13.553000000000001</v>
      </c>
      <c r="L108" s="70">
        <f>'Revenue Build'!L18</f>
        <v>13.797000000000001</v>
      </c>
      <c r="M108" s="449">
        <f>'Revenue Build'!M18</f>
        <v>13.295999999999999</v>
      </c>
      <c r="N108" s="289">
        <f>'Revenue Build'!N18</f>
        <v>13.419</v>
      </c>
      <c r="O108" s="70">
        <f>'Revenue Build'!O18</f>
        <v>12.179</v>
      </c>
      <c r="P108" s="70">
        <f>'Revenue Build'!P18</f>
        <v>12.448</v>
      </c>
      <c r="Q108" s="70">
        <f>'Revenue Build'!Q18</f>
        <v>12.548</v>
      </c>
      <c r="R108" s="289">
        <f>'Revenue Build'!R18</f>
        <v>12.404999999999999</v>
      </c>
      <c r="S108" s="70">
        <f>'Revenue Build'!S18</f>
        <v>12.567</v>
      </c>
      <c r="T108" s="70">
        <f>'Revenue Build'!T18</f>
        <v>12.749000000000001</v>
      </c>
      <c r="U108" s="449">
        <f>'Revenue Build'!U18</f>
        <v>12.612</v>
      </c>
      <c r="V108" s="289">
        <f>'Revenue Build'!V18</f>
        <v>12.872999999999999</v>
      </c>
      <c r="W108" s="70">
        <f>'Revenue Build'!W18</f>
        <v>12.683</v>
      </c>
      <c r="X108" s="70">
        <f>'Revenue Build'!X18</f>
        <v>12.657999999999999</v>
      </c>
      <c r="Y108" s="449">
        <f>'Revenue Build'!Y18</f>
        <v>12.484999999999999</v>
      </c>
      <c r="Z108" s="289">
        <f>'Revenue Build'!Z18</f>
        <v>12.180999999999999</v>
      </c>
      <c r="AA108" s="70">
        <f>'Revenue Build'!AA18</f>
        <v>12.154</v>
      </c>
      <c r="AB108" s="70">
        <f>'Revenue Build'!AB18</f>
        <v>12.2</v>
      </c>
      <c r="AC108" s="449">
        <f>'Revenue Build'!AC18</f>
        <v>12.194000000000001</v>
      </c>
      <c r="AD108" s="289">
        <f>'Revenue Build'!AD18</f>
        <v>12.156000000000001</v>
      </c>
      <c r="AE108" s="70">
        <f>'Revenue Build'!AE18</f>
        <v>12.016</v>
      </c>
      <c r="AF108" s="70">
        <f>'Revenue Build'!AF18</f>
        <v>11.769</v>
      </c>
      <c r="AG108" s="449">
        <f>'Revenue Build'!AG18</f>
        <v>11.833</v>
      </c>
      <c r="AH108" s="289">
        <f>'Revenue Build'!AH18</f>
        <v>11.552</v>
      </c>
      <c r="AI108" s="70">
        <f>'Revenue Build'!AI18</f>
        <v>11.411</v>
      </c>
      <c r="AJ108" s="70">
        <f>'Revenue Build'!AJ18</f>
        <v>11.087999999999999</v>
      </c>
      <c r="AK108" s="449">
        <f>'Revenue Build'!AK18</f>
        <v>10.61</v>
      </c>
      <c r="AL108" s="289">
        <f>'Revenue Build'!AL18</f>
        <v>10.396800000000001</v>
      </c>
      <c r="AM108" s="70">
        <f>'Revenue Build'!AM18</f>
        <v>10.2699</v>
      </c>
      <c r="AN108" s="70">
        <f>'Revenue Build'!AN18</f>
        <v>9.9791999999999987</v>
      </c>
      <c r="AO108" s="449">
        <f>'Revenue Build'!AO18</f>
        <v>9.5489999999999995</v>
      </c>
      <c r="AP108" s="289">
        <f>'Revenue Build'!AP18</f>
        <v>9.3571200000000001</v>
      </c>
      <c r="AQ108" s="70">
        <f>'Revenue Build'!AQ18</f>
        <v>9.2429100000000002</v>
      </c>
      <c r="AR108" s="70">
        <f>'Revenue Build'!AR18</f>
        <v>8.9812799999999999</v>
      </c>
      <c r="AS108" s="449">
        <f>'Revenue Build'!AS18</f>
        <v>8.5940999999999992</v>
      </c>
      <c r="AU108" s="289">
        <f t="shared" ref="AU108:AU110" si="195">+SUM(B108:E108)</f>
        <v>50.336999999999996</v>
      </c>
      <c r="AV108" s="289">
        <f>+SUM(F108:I108)</f>
        <v>54.622</v>
      </c>
      <c r="AW108" s="72">
        <f>SUM(J108:M108)</f>
        <v>54.172999999999995</v>
      </c>
      <c r="AX108" s="72">
        <f>+SUM(N108:Q108)</f>
        <v>50.594000000000001</v>
      </c>
      <c r="AY108" s="72">
        <f>+SUM(R108:U108)</f>
        <v>50.333000000000006</v>
      </c>
      <c r="AZ108" s="72">
        <f>+SUM(V108:Y108)</f>
        <v>50.698999999999998</v>
      </c>
      <c r="BA108" s="72">
        <f>+SUM(Z108:AC108)</f>
        <v>48.728999999999999</v>
      </c>
      <c r="BB108" s="72">
        <f t="shared" ref="BB108:BB110" si="196">SUM(AD108:AG108)</f>
        <v>47.774000000000001</v>
      </c>
      <c r="BC108" s="72">
        <f t="shared" si="194"/>
        <v>44.661000000000001</v>
      </c>
      <c r="BD108" s="72">
        <f t="shared" ref="BD108:BD110" si="197">SUM(AL108:AO108)</f>
        <v>40.194899999999997</v>
      </c>
      <c r="BE108" s="72">
        <f>SUM(AP108:AS108)</f>
        <v>36.175409999999999</v>
      </c>
    </row>
    <row r="109" spans="1:57" s="33" customFormat="1" ht="12" customHeight="1">
      <c r="A109" s="490" t="s">
        <v>84</v>
      </c>
      <c r="B109" s="289">
        <f>'Revenue Build'!B23</f>
        <v>0.79</v>
      </c>
      <c r="C109" s="70">
        <f>'Revenue Build'!C23</f>
        <v>1.0220000000000005</v>
      </c>
      <c r="D109" s="70">
        <f>'Revenue Build'!D23</f>
        <v>1.1910000000000001</v>
      </c>
      <c r="E109" s="449">
        <f>'Revenue Build'!E23</f>
        <v>1.514</v>
      </c>
      <c r="F109" s="289">
        <f>'Revenue Build'!F23</f>
        <v>1.298</v>
      </c>
      <c r="G109" s="70">
        <f>'Revenue Build'!G23</f>
        <v>1.4550000000000001</v>
      </c>
      <c r="H109" s="70">
        <f>'Revenue Build'!H23</f>
        <v>2.0649999999999999</v>
      </c>
      <c r="I109" s="449">
        <f>'Revenue Build'!I23</f>
        <v>2.093</v>
      </c>
      <c r="J109" s="289">
        <f>'Revenue Build'!J23</f>
        <v>2.0369999999999999</v>
      </c>
      <c r="K109" s="70">
        <f>'Revenue Build'!K23</f>
        <v>2.4609999999999999</v>
      </c>
      <c r="L109" s="70">
        <f>'Revenue Build'!L23</f>
        <v>2.552</v>
      </c>
      <c r="M109" s="449">
        <f>'Revenue Build'!M23</f>
        <v>2.8140000000000001</v>
      </c>
      <c r="N109" s="289">
        <f>'Revenue Build'!N23</f>
        <v>2.839</v>
      </c>
      <c r="O109" s="70">
        <f>'Revenue Build'!O23</f>
        <v>3.02</v>
      </c>
      <c r="P109" s="70">
        <f>'Revenue Build'!P23</f>
        <v>3.0419999999999998</v>
      </c>
      <c r="Q109" s="70">
        <f>'Revenue Build'!Q23</f>
        <v>3.3719999999999999</v>
      </c>
      <c r="R109" s="289">
        <f>'Revenue Build'!R23</f>
        <v>3.3820000000000001</v>
      </c>
      <c r="S109" s="70">
        <f>'Revenue Build'!S23</f>
        <v>3.5249999999999999</v>
      </c>
      <c r="T109" s="70">
        <f>'Revenue Build'!T23</f>
        <v>3.7589999999999999</v>
      </c>
      <c r="U109" s="449">
        <f>'Revenue Build'!U23</f>
        <v>4.1079999999999997</v>
      </c>
      <c r="V109" s="289">
        <f>'Revenue Build'!V23</f>
        <v>3.8079999999999998</v>
      </c>
      <c r="W109" s="70">
        <f>'Revenue Build'!W23</f>
        <v>4.8520000000000003</v>
      </c>
      <c r="X109" s="70">
        <f>'Revenue Build'!X23</f>
        <v>5.4290000000000003</v>
      </c>
      <c r="Y109" s="449">
        <f>'Revenue Build'!Y23</f>
        <v>5.8929999999999998</v>
      </c>
      <c r="Z109" s="289">
        <f>'Revenue Build'!Z23</f>
        <v>5.56</v>
      </c>
      <c r="AA109" s="70">
        <f>'Revenue Build'!AA23</f>
        <v>6.1150000000000002</v>
      </c>
      <c r="AB109" s="70">
        <f>'Revenue Build'!AB23</f>
        <v>6.0609999999999999</v>
      </c>
      <c r="AC109" s="449">
        <f>'Revenue Build'!AC23</f>
        <v>7.2320000000000002</v>
      </c>
      <c r="AD109" s="289">
        <f>'Revenue Build'!AD23</f>
        <v>6.17</v>
      </c>
      <c r="AE109" s="70">
        <f>'Revenue Build'!AE23</f>
        <v>6.6870000000000003</v>
      </c>
      <c r="AF109" s="70">
        <f>'Revenue Build'!AF23</f>
        <v>6.7649999999999997</v>
      </c>
      <c r="AG109" s="449">
        <f>'Revenue Build'!AG23</f>
        <v>7.9660000000000002</v>
      </c>
      <c r="AH109" s="289">
        <f>'Revenue Build'!AH23</f>
        <v>7.1420000000000003</v>
      </c>
      <c r="AI109" s="70">
        <f>'Revenue Build'!AI23</f>
        <v>7.8529999999999998</v>
      </c>
      <c r="AJ109" s="70">
        <f>'Revenue Build'!AJ23</f>
        <v>9.141</v>
      </c>
      <c r="AK109" s="449">
        <f>'Revenue Build'!AK23</f>
        <v>11.035</v>
      </c>
      <c r="AL109" s="289">
        <f>'Revenue Build'!AL23</f>
        <v>6.7849000000000004</v>
      </c>
      <c r="AM109" s="70">
        <f>'Revenue Build'!AM23</f>
        <v>7.8529999999999998</v>
      </c>
      <c r="AN109" s="70">
        <f>'Revenue Build'!AN23</f>
        <v>9.141</v>
      </c>
      <c r="AO109" s="449">
        <f>'Revenue Build'!AO23</f>
        <v>11.035</v>
      </c>
      <c r="AP109" s="289">
        <f>'Revenue Build'!AP23</f>
        <v>6.7849000000000004</v>
      </c>
      <c r="AQ109" s="70">
        <f>'Revenue Build'!AQ23</f>
        <v>7.8529999999999998</v>
      </c>
      <c r="AR109" s="70">
        <f>'Revenue Build'!AR23</f>
        <v>9.141</v>
      </c>
      <c r="AS109" s="449">
        <f>'Revenue Build'!AS23</f>
        <v>11.035</v>
      </c>
      <c r="AU109" s="289">
        <f t="shared" si="195"/>
        <v>4.5170000000000003</v>
      </c>
      <c r="AV109" s="289">
        <f t="shared" ref="AV109" si="198">+SUM(F109:I109)</f>
        <v>6.9109999999999996</v>
      </c>
      <c r="AW109" s="72">
        <f t="shared" ref="AW109" si="199">SUM(J109:M109)</f>
        <v>9.863999999999999</v>
      </c>
      <c r="AX109" s="72">
        <f t="shared" ref="AX109" si="200">+SUM(N109:Q109)</f>
        <v>12.273</v>
      </c>
      <c r="AY109" s="72">
        <f t="shared" ref="AY109" si="201">+SUM(R109:U109)</f>
        <v>14.774000000000001</v>
      </c>
      <c r="AZ109" s="72">
        <f t="shared" ref="AZ109" si="202">+SUM(V109:Y109)</f>
        <v>19.981999999999999</v>
      </c>
      <c r="BA109" s="72">
        <f t="shared" ref="BA109" si="203">+SUM(Z109:AC109)</f>
        <v>24.968</v>
      </c>
      <c r="BB109" s="72">
        <f t="shared" si="196"/>
        <v>27.588000000000001</v>
      </c>
      <c r="BC109" s="72">
        <f t="shared" si="194"/>
        <v>35.171000000000006</v>
      </c>
      <c r="BD109" s="72">
        <f t="shared" si="197"/>
        <v>34.813900000000004</v>
      </c>
      <c r="BE109" s="72">
        <f>SUM(AP109:AS109)</f>
        <v>34.813900000000004</v>
      </c>
    </row>
    <row r="110" spans="1:57" s="33" customFormat="1" ht="12" customHeight="1">
      <c r="A110" s="491" t="s">
        <v>118</v>
      </c>
      <c r="B110" s="75">
        <f>+'Revenue Build'!B5</f>
        <v>40.481000000000002</v>
      </c>
      <c r="C110" s="75">
        <f>+'Revenue Build'!C5</f>
        <v>44.149000000000001</v>
      </c>
      <c r="D110" s="75">
        <f>+'Revenue Build'!D5</f>
        <v>48.980000000000004</v>
      </c>
      <c r="E110" s="75">
        <f>+'Revenue Build'!E5</f>
        <v>54.117000000000004</v>
      </c>
      <c r="F110" s="492">
        <f>+'Revenue Build'!F5</f>
        <v>59.106999999999999</v>
      </c>
      <c r="G110" s="75">
        <f>+'Revenue Build'!G5</f>
        <v>63.591999999999999</v>
      </c>
      <c r="H110" s="75">
        <f>+'Revenue Build'!H5</f>
        <v>69.44</v>
      </c>
      <c r="I110" s="493">
        <f>+'Revenue Build'!I5</f>
        <v>75.221000000000004</v>
      </c>
      <c r="J110" s="75">
        <f>+'Revenue Build'!J5</f>
        <v>80.301000000000002</v>
      </c>
      <c r="K110" s="75">
        <f>+'Revenue Build'!K5</f>
        <v>85.384</v>
      </c>
      <c r="L110" s="75">
        <f>+'Revenue Build'!L5</f>
        <v>91.852000000000004</v>
      </c>
      <c r="M110" s="75">
        <f>+'Revenue Build'!M5</f>
        <v>97.048999999999978</v>
      </c>
      <c r="N110" s="492">
        <f>+'Revenue Build'!N5</f>
        <v>102.648</v>
      </c>
      <c r="O110" s="75">
        <f>+'Revenue Build'!O5</f>
        <v>107.209</v>
      </c>
      <c r="P110" s="77">
        <f>+'Revenue Build'!P5</f>
        <v>112.28200000000001</v>
      </c>
      <c r="Q110" s="75">
        <f>+'Revenue Build'!Q5</f>
        <v>118.08200000000001</v>
      </c>
      <c r="R110" s="492">
        <f>+'Revenue Build'!R5</f>
        <v>123.18900000000001</v>
      </c>
      <c r="S110" s="75">
        <f>+'Revenue Build'!S5</f>
        <v>130.25900000000001</v>
      </c>
      <c r="T110" s="75">
        <f>+'Revenue Build'!T5</f>
        <v>138.66399999999999</v>
      </c>
      <c r="U110" s="493">
        <f>+'Revenue Build'!U5</f>
        <v>149.018</v>
      </c>
      <c r="V110" s="492">
        <f>+'Revenue Build'!V5</f>
        <v>159.36799999999999</v>
      </c>
      <c r="W110" s="75">
        <f>+'Revenue Build'!W5</f>
        <v>164.34100000000001</v>
      </c>
      <c r="X110" s="75">
        <f>+'Revenue Build'!X5</f>
        <v>174.851</v>
      </c>
      <c r="Y110" s="493">
        <f>+'Revenue Build'!Y5</f>
        <v>184.631</v>
      </c>
      <c r="Z110" s="492">
        <f>+'Revenue Build'!Z5</f>
        <v>188.83900000000003</v>
      </c>
      <c r="AA110" s="75">
        <f>+'Revenue Build'!AA5</f>
        <v>195.036</v>
      </c>
      <c r="AB110" s="75">
        <f>+'Revenue Build'!AB5</f>
        <v>201.529</v>
      </c>
      <c r="AC110" s="493">
        <f>+'Revenue Build'!AC5</f>
        <v>213.30599999999998</v>
      </c>
      <c r="AD110" s="492">
        <f>+'Revenue Build'!AD5</f>
        <v>215.96099999999998</v>
      </c>
      <c r="AE110" s="75">
        <f>+'Revenue Build'!AE5</f>
        <v>221.24100000000001</v>
      </c>
      <c r="AF110" s="75">
        <f>+'Revenue Build'!AF5</f>
        <v>227.08799999999999</v>
      </c>
      <c r="AG110" s="493">
        <f>+'Revenue Build'!AG5</f>
        <v>235.73099999999999</v>
      </c>
      <c r="AH110" s="492">
        <f>+'Revenue Build'!AH5</f>
        <v>239.137</v>
      </c>
      <c r="AI110" s="75">
        <f>+'Revenue Build'!AI5</f>
        <v>247.29500000000002</v>
      </c>
      <c r="AJ110" s="75">
        <f>+'Revenue Build'!AJ5</f>
        <v>252.44</v>
      </c>
      <c r="AK110" s="493">
        <f>+'Revenue Build'!AK5</f>
        <v>260.53300000000002</v>
      </c>
      <c r="AL110" s="492">
        <f>+'Revenue Build'!AL5</f>
        <v>258.56678500000004</v>
      </c>
      <c r="AM110" s="75">
        <f>+'Revenue Build'!AM5</f>
        <v>265.53653500000001</v>
      </c>
      <c r="AN110" s="75">
        <f>+'Revenue Build'!AN5</f>
        <v>268.74702500000001</v>
      </c>
      <c r="AO110" s="493">
        <f>+'Revenue Build'!AO5</f>
        <v>277.3886</v>
      </c>
      <c r="AP110" s="492">
        <f>+'Revenue Build'!AP5</f>
        <v>275.6068478665</v>
      </c>
      <c r="AQ110" s="75">
        <f>+'Revenue Build'!AQ5</f>
        <v>283.01608489799997</v>
      </c>
      <c r="AR110" s="75">
        <f>+'Revenue Build'!AR5</f>
        <v>286.39622882750007</v>
      </c>
      <c r="AS110" s="493">
        <f>+'Revenue Build'!AS5</f>
        <v>295.59132316000006</v>
      </c>
      <c r="AU110" s="79">
        <f t="shared" si="195"/>
        <v>187.72700000000003</v>
      </c>
      <c r="AV110" s="492">
        <f>+SUM(F110:I110)</f>
        <v>267.36</v>
      </c>
      <c r="AW110" s="79">
        <f>SUM(J110:M110)</f>
        <v>354.58600000000001</v>
      </c>
      <c r="AX110" s="79">
        <f>+SUM(N110:Q110)</f>
        <v>440.221</v>
      </c>
      <c r="AY110" s="79">
        <f>+SUM(R110:U110)</f>
        <v>541.13</v>
      </c>
      <c r="AZ110" s="79">
        <f>+SUM(V110:Y110)</f>
        <v>683.19100000000003</v>
      </c>
      <c r="BA110" s="79">
        <f>+SUM(Z110:AC110)</f>
        <v>798.71</v>
      </c>
      <c r="BB110" s="79">
        <f t="shared" si="196"/>
        <v>900.02099999999996</v>
      </c>
      <c r="BC110" s="79">
        <f t="shared" si="194"/>
        <v>999.40500000000009</v>
      </c>
      <c r="BD110" s="79">
        <f t="shared" si="197"/>
        <v>1070.2389450000001</v>
      </c>
      <c r="BE110" s="79">
        <f>SUM(AP110:AS110)</f>
        <v>1140.610484752</v>
      </c>
    </row>
    <row r="111" spans="1:57" s="33" customFormat="1" ht="12" customHeight="1">
      <c r="A111" s="491"/>
      <c r="B111" s="494"/>
      <c r="C111" s="494"/>
      <c r="D111" s="494"/>
      <c r="E111" s="494"/>
      <c r="F111" s="495"/>
      <c r="G111" s="494"/>
      <c r="H111" s="494"/>
      <c r="I111" s="496"/>
      <c r="J111" s="494"/>
      <c r="K111" s="494"/>
      <c r="L111" s="494"/>
      <c r="M111" s="494"/>
      <c r="N111" s="497"/>
      <c r="O111" s="498"/>
      <c r="P111" s="499"/>
      <c r="Q111" s="498"/>
      <c r="R111" s="495"/>
      <c r="S111" s="494"/>
      <c r="T111" s="498"/>
      <c r="U111" s="493"/>
      <c r="V111" s="497"/>
      <c r="W111" s="498"/>
      <c r="X111" s="498"/>
      <c r="Y111" s="500"/>
      <c r="Z111" s="497"/>
      <c r="AA111" s="498"/>
      <c r="AB111" s="498"/>
      <c r="AC111" s="500"/>
      <c r="AD111" s="497"/>
      <c r="AE111" s="498"/>
      <c r="AF111" s="499"/>
      <c r="AG111" s="501"/>
      <c r="AH111" s="497"/>
      <c r="AI111" s="498"/>
      <c r="AJ111" s="498"/>
      <c r="AK111" s="501"/>
      <c r="AL111" s="497"/>
      <c r="AM111" s="498"/>
      <c r="AN111" s="498"/>
      <c r="AO111" s="500"/>
      <c r="AP111" s="497"/>
      <c r="AQ111" s="498"/>
      <c r="AR111" s="498"/>
      <c r="AS111" s="500"/>
      <c r="AU111" s="502"/>
      <c r="AV111" s="497"/>
      <c r="AW111" s="502"/>
      <c r="AX111" s="502"/>
      <c r="AY111" s="502"/>
      <c r="AZ111" s="502"/>
      <c r="BA111" s="502"/>
      <c r="BB111" s="502"/>
      <c r="BC111" s="502"/>
      <c r="BD111" s="502"/>
      <c r="BE111" s="502"/>
    </row>
    <row r="112" spans="1:57" s="33" customFormat="1" ht="12" customHeight="1">
      <c r="A112" s="503" t="s">
        <v>134</v>
      </c>
      <c r="B112" s="131">
        <v>4.4379999999999997</v>
      </c>
      <c r="C112" s="131">
        <v>5.3479999999999999</v>
      </c>
      <c r="D112" s="131">
        <v>7.4240000000000004</v>
      </c>
      <c r="E112" s="131">
        <v>8.3780000000000001</v>
      </c>
      <c r="F112" s="451">
        <v>8.7279999999999998</v>
      </c>
      <c r="G112" s="131">
        <v>9.8789999999999996</v>
      </c>
      <c r="H112" s="131">
        <v>12.161</v>
      </c>
      <c r="I112" s="450">
        <v>12.398999999999999</v>
      </c>
      <c r="J112" s="131">
        <v>13.226000000000001</v>
      </c>
      <c r="K112" s="131">
        <v>13.917999999999999</v>
      </c>
      <c r="L112" s="131">
        <v>15.244999999999999</v>
      </c>
      <c r="M112" s="131">
        <v>18.428999999999998</v>
      </c>
      <c r="N112" s="451">
        <v>18.701000000000001</v>
      </c>
      <c r="O112" s="131">
        <v>19.141999999999999</v>
      </c>
      <c r="P112" s="131">
        <v>19.393999999999998</v>
      </c>
      <c r="Q112" s="131">
        <v>20.317</v>
      </c>
      <c r="R112" s="451">
        <v>22.073</v>
      </c>
      <c r="S112" s="131">
        <v>26.425000000000001</v>
      </c>
      <c r="T112" s="131">
        <v>27.062000000000001</v>
      </c>
      <c r="U112" s="131">
        <v>30.835999999999999</v>
      </c>
      <c r="V112" s="451">
        <v>34.93</v>
      </c>
      <c r="W112" s="131">
        <v>36.036999999999999</v>
      </c>
      <c r="X112" s="131">
        <v>38.582000000000001</v>
      </c>
      <c r="Y112" s="450">
        <v>45.24</v>
      </c>
      <c r="Z112" s="451">
        <v>45.506</v>
      </c>
      <c r="AA112" s="131">
        <v>43.514000000000003</v>
      </c>
      <c r="AB112" s="131">
        <v>45.753999999999998</v>
      </c>
      <c r="AC112" s="450">
        <v>48.802999999999997</v>
      </c>
      <c r="AD112" s="451">
        <v>48.932000000000002</v>
      </c>
      <c r="AE112" s="131">
        <v>48.798000000000002</v>
      </c>
      <c r="AF112" s="131">
        <v>50.499000000000002</v>
      </c>
      <c r="AG112" s="450">
        <v>51.439</v>
      </c>
      <c r="AH112" s="451">
        <v>52.46</v>
      </c>
      <c r="AI112" s="131">
        <v>54.433999999999997</v>
      </c>
      <c r="AJ112" s="131">
        <v>56.753</v>
      </c>
      <c r="AK112" s="450">
        <v>55.29</v>
      </c>
      <c r="AL112" s="451">
        <f t="shared" ref="AL112:AS112" si="204">AL16+AL142+AL151+AL160</f>
        <v>58.040320214970151</v>
      </c>
      <c r="AM112" s="131">
        <f t="shared" si="204"/>
        <v>58.461365909922179</v>
      </c>
      <c r="AN112" s="131">
        <f t="shared" si="204"/>
        <v>58.362659626621294</v>
      </c>
      <c r="AO112" s="450">
        <f t="shared" si="204"/>
        <v>58.634295502844822</v>
      </c>
      <c r="AP112" s="451">
        <f t="shared" si="204"/>
        <v>61.693951811430239</v>
      </c>
      <c r="AQ112" s="131">
        <f t="shared" si="204"/>
        <v>62.146294485391323</v>
      </c>
      <c r="AR112" s="131">
        <f t="shared" si="204"/>
        <v>62.036470377738453</v>
      </c>
      <c r="AS112" s="450">
        <f t="shared" si="204"/>
        <v>62.332524786789094</v>
      </c>
      <c r="AU112" s="72">
        <f t="shared" ref="AU112:AU113" si="205">+SUM(B112:E112)</f>
        <v>25.588000000000001</v>
      </c>
      <c r="AV112" s="289">
        <f>+SUM(F112:I112)</f>
        <v>43.167000000000002</v>
      </c>
      <c r="AW112" s="72">
        <f>SUM(J112:M112)</f>
        <v>60.817999999999998</v>
      </c>
      <c r="AX112" s="72">
        <f>+SUM(N112:Q112)</f>
        <v>77.554000000000002</v>
      </c>
      <c r="AY112" s="72">
        <f t="shared" ref="AY112:AY113" si="206">+SUM(R112:U112)</f>
        <v>106.396</v>
      </c>
      <c r="AZ112" s="72">
        <f t="shared" ref="AZ112:AZ113" si="207">+SUM(V112:Y112)</f>
        <v>154.78900000000002</v>
      </c>
      <c r="BA112" s="72">
        <f t="shared" ref="BA112:BA113" si="208">+SUM(Z112:AC112)</f>
        <v>183.577</v>
      </c>
      <c r="BB112" s="72">
        <f t="shared" ref="BB112:BB113" si="209">SUM(AD112:AG112)</f>
        <v>199.66800000000001</v>
      </c>
      <c r="BC112" s="72">
        <f t="shared" ref="BC112:BC113" si="210">SUM(AH112:AK112)</f>
        <v>218.93699999999998</v>
      </c>
      <c r="BD112" s="72">
        <f t="shared" ref="BD112:BD113" si="211">SUM(AL112:AO112)</f>
        <v>233.49864125435843</v>
      </c>
      <c r="BE112" s="72">
        <f>SUM(AP112:AS112)</f>
        <v>248.20924146134911</v>
      </c>
    </row>
    <row r="113" spans="1:57" s="45" customFormat="1" ht="12" customHeight="1">
      <c r="A113" s="504" t="s">
        <v>92</v>
      </c>
      <c r="B113" s="75">
        <f t="shared" ref="B113:AS113" si="212">B110-B112</f>
        <v>36.042999999999999</v>
      </c>
      <c r="C113" s="75">
        <f t="shared" si="212"/>
        <v>38.801000000000002</v>
      </c>
      <c r="D113" s="75">
        <f t="shared" si="212"/>
        <v>41.556000000000004</v>
      </c>
      <c r="E113" s="75">
        <f t="shared" si="212"/>
        <v>45.739000000000004</v>
      </c>
      <c r="F113" s="492">
        <f t="shared" si="212"/>
        <v>50.378999999999998</v>
      </c>
      <c r="G113" s="75">
        <f t="shared" si="212"/>
        <v>53.713000000000001</v>
      </c>
      <c r="H113" s="75">
        <f t="shared" si="212"/>
        <v>57.278999999999996</v>
      </c>
      <c r="I113" s="493">
        <f t="shared" si="212"/>
        <v>62.822000000000003</v>
      </c>
      <c r="J113" s="75">
        <f t="shared" si="212"/>
        <v>67.075000000000003</v>
      </c>
      <c r="K113" s="75">
        <f t="shared" si="212"/>
        <v>71.466000000000008</v>
      </c>
      <c r="L113" s="75">
        <f t="shared" si="212"/>
        <v>76.606999999999999</v>
      </c>
      <c r="M113" s="75">
        <f t="shared" si="212"/>
        <v>78.619999999999976</v>
      </c>
      <c r="N113" s="492">
        <f t="shared" si="212"/>
        <v>83.947000000000003</v>
      </c>
      <c r="O113" s="75">
        <f t="shared" si="212"/>
        <v>88.067000000000007</v>
      </c>
      <c r="P113" s="77">
        <f t="shared" si="212"/>
        <v>92.888000000000005</v>
      </c>
      <c r="Q113" s="75">
        <f t="shared" si="212"/>
        <v>97.765000000000015</v>
      </c>
      <c r="R113" s="492">
        <f t="shared" si="212"/>
        <v>101.11600000000001</v>
      </c>
      <c r="S113" s="75">
        <f t="shared" si="212"/>
        <v>103.83400000000002</v>
      </c>
      <c r="T113" s="75">
        <f t="shared" si="212"/>
        <v>111.60199999999999</v>
      </c>
      <c r="U113" s="75">
        <f t="shared" si="212"/>
        <v>118.182</v>
      </c>
      <c r="V113" s="492">
        <f t="shared" si="212"/>
        <v>124.43799999999999</v>
      </c>
      <c r="W113" s="75">
        <f t="shared" si="212"/>
        <v>128.304</v>
      </c>
      <c r="X113" s="75">
        <f t="shared" si="212"/>
        <v>136.26900000000001</v>
      </c>
      <c r="Y113" s="75">
        <f t="shared" si="212"/>
        <v>139.39099999999999</v>
      </c>
      <c r="Z113" s="492">
        <f t="shared" si="212"/>
        <v>143.33300000000003</v>
      </c>
      <c r="AA113" s="75">
        <f t="shared" si="212"/>
        <v>151.52199999999999</v>
      </c>
      <c r="AB113" s="75">
        <f t="shared" si="212"/>
        <v>155.77500000000001</v>
      </c>
      <c r="AC113" s="493">
        <f t="shared" si="212"/>
        <v>164.50299999999999</v>
      </c>
      <c r="AD113" s="492">
        <f t="shared" si="212"/>
        <v>167.029</v>
      </c>
      <c r="AE113" s="75">
        <f t="shared" si="212"/>
        <v>172.44300000000001</v>
      </c>
      <c r="AF113" s="77">
        <f t="shared" si="212"/>
        <v>176.589</v>
      </c>
      <c r="AG113" s="505">
        <f t="shared" si="212"/>
        <v>184.292</v>
      </c>
      <c r="AH113" s="492">
        <f t="shared" si="212"/>
        <v>186.67699999999999</v>
      </c>
      <c r="AI113" s="75">
        <f t="shared" si="212"/>
        <v>192.86100000000002</v>
      </c>
      <c r="AJ113" s="75">
        <f t="shared" si="212"/>
        <v>195.68700000000001</v>
      </c>
      <c r="AK113" s="505">
        <f t="shared" si="212"/>
        <v>205.24300000000002</v>
      </c>
      <c r="AL113" s="492">
        <f t="shared" si="212"/>
        <v>200.52646478502987</v>
      </c>
      <c r="AM113" s="75">
        <f t="shared" si="212"/>
        <v>207.07516909007785</v>
      </c>
      <c r="AN113" s="75">
        <f t="shared" si="212"/>
        <v>210.38436537337873</v>
      </c>
      <c r="AO113" s="493">
        <f t="shared" si="212"/>
        <v>218.75430449715518</v>
      </c>
      <c r="AP113" s="492">
        <f t="shared" si="212"/>
        <v>213.91289605506978</v>
      </c>
      <c r="AQ113" s="75">
        <f t="shared" si="212"/>
        <v>220.86979041260867</v>
      </c>
      <c r="AR113" s="75">
        <f t="shared" si="212"/>
        <v>224.35975844976161</v>
      </c>
      <c r="AS113" s="493">
        <f t="shared" si="212"/>
        <v>233.25879837321096</v>
      </c>
      <c r="AU113" s="79">
        <f t="shared" si="205"/>
        <v>162.13900000000001</v>
      </c>
      <c r="AV113" s="492">
        <f>+SUM(F113:I113)</f>
        <v>224.19299999999998</v>
      </c>
      <c r="AW113" s="79">
        <f>SUM(J113:M113)</f>
        <v>293.76799999999997</v>
      </c>
      <c r="AX113" s="79">
        <f>+SUM(N113:Q113)</f>
        <v>362.66700000000003</v>
      </c>
      <c r="AY113" s="79">
        <f t="shared" si="206"/>
        <v>434.73400000000004</v>
      </c>
      <c r="AZ113" s="79">
        <f t="shared" si="207"/>
        <v>528.40199999999993</v>
      </c>
      <c r="BA113" s="79">
        <f t="shared" si="208"/>
        <v>615.13300000000004</v>
      </c>
      <c r="BB113" s="79">
        <f t="shared" si="209"/>
        <v>700.35299999999995</v>
      </c>
      <c r="BC113" s="79">
        <f t="shared" si="210"/>
        <v>780.46800000000007</v>
      </c>
      <c r="BD113" s="79">
        <f t="shared" si="211"/>
        <v>836.74030374564165</v>
      </c>
      <c r="BE113" s="79">
        <f>SUM(AP113:AS113)</f>
        <v>892.40124329065111</v>
      </c>
    </row>
    <row r="114" spans="1:57" s="33" customFormat="1" ht="12" customHeight="1">
      <c r="A114" s="490"/>
      <c r="B114" s="506"/>
      <c r="C114" s="506"/>
      <c r="D114" s="506"/>
      <c r="E114" s="506"/>
      <c r="F114" s="507"/>
      <c r="G114" s="506"/>
      <c r="H114" s="506"/>
      <c r="I114" s="508"/>
      <c r="J114" s="506"/>
      <c r="K114" s="506"/>
      <c r="L114" s="506"/>
      <c r="M114" s="506"/>
      <c r="N114" s="507"/>
      <c r="O114" s="506"/>
      <c r="P114" s="509"/>
      <c r="Q114" s="70"/>
      <c r="R114" s="289"/>
      <c r="S114" s="70"/>
      <c r="T114" s="70"/>
      <c r="U114" s="70"/>
      <c r="V114" s="289"/>
      <c r="W114" s="70"/>
      <c r="X114" s="70"/>
      <c r="Y114" s="449"/>
      <c r="Z114" s="289"/>
      <c r="AA114" s="70"/>
      <c r="AB114" s="70"/>
      <c r="AC114" s="449"/>
      <c r="AD114" s="289"/>
      <c r="AE114" s="70"/>
      <c r="AF114" s="131"/>
      <c r="AG114" s="450"/>
      <c r="AH114" s="289"/>
      <c r="AI114" s="70"/>
      <c r="AJ114" s="70"/>
      <c r="AK114" s="450"/>
      <c r="AL114" s="289"/>
      <c r="AM114" s="70"/>
      <c r="AN114" s="70"/>
      <c r="AO114" s="449"/>
      <c r="AP114" s="289"/>
      <c r="AQ114" s="70"/>
      <c r="AR114" s="70"/>
      <c r="AS114" s="449"/>
      <c r="AU114" s="72"/>
      <c r="AV114" s="289"/>
      <c r="AW114" s="72"/>
      <c r="AX114" s="72"/>
      <c r="AY114" s="72"/>
      <c r="AZ114" s="72"/>
      <c r="BA114" s="72"/>
      <c r="BB114" s="72"/>
      <c r="BC114" s="72"/>
      <c r="BD114" s="72"/>
      <c r="BE114" s="72"/>
    </row>
    <row r="115" spans="1:57" s="33" customFormat="1" ht="12" customHeight="1">
      <c r="A115" s="510" t="s">
        <v>94</v>
      </c>
      <c r="B115" s="506"/>
      <c r="C115" s="506"/>
      <c r="D115" s="506"/>
      <c r="E115" s="506"/>
      <c r="F115" s="507"/>
      <c r="G115" s="506"/>
      <c r="H115" s="506"/>
      <c r="I115" s="508"/>
      <c r="J115" s="506"/>
      <c r="K115" s="506"/>
      <c r="L115" s="506"/>
      <c r="M115" s="506"/>
      <c r="N115" s="507"/>
      <c r="O115" s="506"/>
      <c r="P115" s="509"/>
      <c r="Q115" s="70"/>
      <c r="R115" s="289"/>
      <c r="S115" s="70"/>
      <c r="T115" s="70"/>
      <c r="U115" s="70"/>
      <c r="V115" s="289"/>
      <c r="W115" s="70"/>
      <c r="X115" s="70"/>
      <c r="Y115" s="449"/>
      <c r="Z115" s="289"/>
      <c r="AA115" s="70"/>
      <c r="AB115" s="70"/>
      <c r="AC115" s="449"/>
      <c r="AD115" s="289"/>
      <c r="AE115" s="70"/>
      <c r="AF115" s="131"/>
      <c r="AG115" s="450"/>
      <c r="AH115" s="289"/>
      <c r="AI115" s="70"/>
      <c r="AJ115" s="70"/>
      <c r="AK115" s="450"/>
      <c r="AL115" s="289"/>
      <c r="AM115" s="70"/>
      <c r="AN115" s="70"/>
      <c r="AO115" s="449"/>
      <c r="AP115" s="289"/>
      <c r="AQ115" s="70"/>
      <c r="AR115" s="70"/>
      <c r="AS115" s="449"/>
      <c r="AU115" s="72"/>
      <c r="AV115" s="289"/>
      <c r="AW115" s="72"/>
      <c r="AX115" s="72"/>
      <c r="AY115" s="72"/>
      <c r="AZ115" s="72"/>
      <c r="BA115" s="72"/>
      <c r="BB115" s="72"/>
      <c r="BC115" s="72"/>
      <c r="BD115" s="72"/>
      <c r="BE115" s="72"/>
    </row>
    <row r="116" spans="1:57" s="33" customFormat="1" ht="12" customHeight="1">
      <c r="A116" s="152" t="s">
        <v>95</v>
      </c>
      <c r="B116" s="131">
        <v>26.167999999999999</v>
      </c>
      <c r="C116" s="131">
        <v>27.773</v>
      </c>
      <c r="D116" s="131">
        <v>29.574000000000002</v>
      </c>
      <c r="E116" s="131">
        <v>32.783999999999999</v>
      </c>
      <c r="F116" s="451">
        <v>39.588000000000001</v>
      </c>
      <c r="G116" s="131">
        <v>41.826000000000001</v>
      </c>
      <c r="H116" s="131">
        <v>44.55</v>
      </c>
      <c r="I116" s="450">
        <v>47.38</v>
      </c>
      <c r="J116" s="131">
        <v>52.689</v>
      </c>
      <c r="K116" s="131">
        <v>56.015000000000001</v>
      </c>
      <c r="L116" s="131">
        <v>56.698999999999998</v>
      </c>
      <c r="M116" s="131">
        <v>62.631999999999998</v>
      </c>
      <c r="N116" s="451">
        <v>59.854999999999997</v>
      </c>
      <c r="O116" s="131">
        <v>55.442999999999998</v>
      </c>
      <c r="P116" s="131">
        <v>53.045000000000002</v>
      </c>
      <c r="Q116" s="131">
        <v>55.933999999999997</v>
      </c>
      <c r="R116" s="289">
        <v>58.634999999999998</v>
      </c>
      <c r="S116" s="70">
        <v>65.677999999999997</v>
      </c>
      <c r="T116" s="70">
        <v>68.36</v>
      </c>
      <c r="U116" s="70">
        <v>77.484999999999999</v>
      </c>
      <c r="V116" s="289">
        <v>81.569999999999993</v>
      </c>
      <c r="W116" s="70">
        <v>88.426000000000002</v>
      </c>
      <c r="X116" s="70">
        <v>88.123000000000005</v>
      </c>
      <c r="Y116" s="449">
        <v>91.311000000000007</v>
      </c>
      <c r="Z116" s="289">
        <v>97.191000000000003</v>
      </c>
      <c r="AA116" s="70">
        <v>97.8</v>
      </c>
      <c r="AB116" s="70">
        <v>94.759</v>
      </c>
      <c r="AC116" s="449">
        <v>103.7</v>
      </c>
      <c r="AD116" s="289">
        <v>99.825000000000003</v>
      </c>
      <c r="AE116" s="131">
        <v>101.129</v>
      </c>
      <c r="AF116" s="131">
        <v>99.082999999999998</v>
      </c>
      <c r="AG116" s="450">
        <v>95.347999999999999</v>
      </c>
      <c r="AH116" s="451">
        <v>103.182</v>
      </c>
      <c r="AI116" s="131">
        <v>107.09099999999999</v>
      </c>
      <c r="AJ116" s="70">
        <v>99.948999999999998</v>
      </c>
      <c r="AK116" s="450">
        <v>106.727</v>
      </c>
      <c r="AL116" s="289">
        <f t="shared" ref="AL116:AS118" si="213">AL21+AL143+AL152+AL161</f>
        <v>112.26284429680726</v>
      </c>
      <c r="AM116" s="70">
        <f t="shared" si="213"/>
        <v>110.18098172610364</v>
      </c>
      <c r="AN116" s="70">
        <f t="shared" si="213"/>
        <v>103.02939006091347</v>
      </c>
      <c r="AO116" s="449">
        <f t="shared" si="213"/>
        <v>110.46200482565115</v>
      </c>
      <c r="AP116" s="289">
        <f t="shared" si="213"/>
        <v>118.28315367840693</v>
      </c>
      <c r="AQ116" s="70">
        <f t="shared" si="213"/>
        <v>116.01881649044837</v>
      </c>
      <c r="AR116" s="70">
        <f t="shared" si="213"/>
        <v>108.36357388328331</v>
      </c>
      <c r="AS116" s="449">
        <f t="shared" si="213"/>
        <v>116.23275739811598</v>
      </c>
      <c r="AU116" s="72">
        <f t="shared" ref="AU116:AU121" si="214">+SUM(B116:E116)</f>
        <v>116.29900000000001</v>
      </c>
      <c r="AV116" s="289">
        <f t="shared" ref="AV116:AV121" si="215">+SUM(F116:I116)</f>
        <v>173.34399999999999</v>
      </c>
      <c r="AW116" s="72">
        <f t="shared" ref="AW116:AW121" si="216">SUM(J116:M116)</f>
        <v>228.03500000000003</v>
      </c>
      <c r="AX116" s="72">
        <f t="shared" ref="AX116:AX121" si="217">+SUM(N116:Q116)</f>
        <v>224.27700000000002</v>
      </c>
      <c r="AY116" s="72">
        <f t="shared" ref="AY116:AY121" si="218">+SUM(R116:U116)</f>
        <v>270.15800000000002</v>
      </c>
      <c r="AZ116" s="72">
        <f t="shared" ref="AZ116:AZ121" si="219">+SUM(V116:Y116)</f>
        <v>349.42999999999995</v>
      </c>
      <c r="BA116" s="72">
        <f t="shared" ref="BA116:BA121" si="220">+SUM(Z116:AC116)</f>
        <v>393.45</v>
      </c>
      <c r="BB116" s="72">
        <f t="shared" ref="BB116:BB121" si="221">SUM(AD116:AG116)</f>
        <v>395.38500000000005</v>
      </c>
      <c r="BC116" s="72">
        <f t="shared" ref="BC116:BC121" si="222">SUM(AH116:AK116)</f>
        <v>416.94899999999996</v>
      </c>
      <c r="BD116" s="72">
        <f t="shared" ref="BD116:BD131" si="223">SUM(AL116:AO116)</f>
        <v>435.9352209094755</v>
      </c>
      <c r="BE116" s="72">
        <f t="shared" ref="BE116:BE121" si="224">SUM(AP116:AS116)</f>
        <v>458.89830145025462</v>
      </c>
    </row>
    <row r="117" spans="1:57" s="33" customFormat="1" ht="12" customHeight="1">
      <c r="A117" s="152" t="s">
        <v>96</v>
      </c>
      <c r="B117" s="131">
        <v>12.458</v>
      </c>
      <c r="C117" s="131">
        <v>13.712999999999999</v>
      </c>
      <c r="D117" s="131">
        <v>15.869</v>
      </c>
      <c r="E117" s="131">
        <v>15.632999999999999</v>
      </c>
      <c r="F117" s="451">
        <v>17.184999999999999</v>
      </c>
      <c r="G117" s="131">
        <v>17.791</v>
      </c>
      <c r="H117" s="131">
        <v>20.553000000000001</v>
      </c>
      <c r="I117" s="450">
        <v>21.169</v>
      </c>
      <c r="J117" s="131">
        <v>21.934999999999999</v>
      </c>
      <c r="K117" s="131">
        <v>21.698</v>
      </c>
      <c r="L117" s="131">
        <v>20.763000000000002</v>
      </c>
      <c r="M117" s="131">
        <v>22.667999999999999</v>
      </c>
      <c r="N117" s="451">
        <v>26.831</v>
      </c>
      <c r="O117" s="131">
        <v>25.31</v>
      </c>
      <c r="P117" s="131">
        <v>25.128</v>
      </c>
      <c r="Q117" s="131">
        <v>24.417999999999999</v>
      </c>
      <c r="R117" s="289">
        <v>26.838000000000001</v>
      </c>
      <c r="S117" s="70">
        <v>28.201000000000001</v>
      </c>
      <c r="T117" s="70">
        <v>30.675000000000001</v>
      </c>
      <c r="U117" s="70">
        <v>30.718</v>
      </c>
      <c r="V117" s="289">
        <v>34.29</v>
      </c>
      <c r="W117" s="70">
        <v>36.228000000000002</v>
      </c>
      <c r="X117" s="70">
        <v>36.131</v>
      </c>
      <c r="Y117" s="449">
        <v>36.911000000000001</v>
      </c>
      <c r="Z117" s="289">
        <v>38.183</v>
      </c>
      <c r="AA117" s="70">
        <v>37.844999999999999</v>
      </c>
      <c r="AB117" s="70">
        <v>37.052</v>
      </c>
      <c r="AC117" s="449">
        <v>40.082999999999998</v>
      </c>
      <c r="AD117" s="289">
        <v>43.726999999999997</v>
      </c>
      <c r="AE117" s="131">
        <v>45.149000000000001</v>
      </c>
      <c r="AF117" s="131">
        <v>48.02</v>
      </c>
      <c r="AG117" s="450">
        <v>44.728000000000002</v>
      </c>
      <c r="AH117" s="451">
        <v>53.222999999999999</v>
      </c>
      <c r="AI117" s="131">
        <v>59.235999999999997</v>
      </c>
      <c r="AJ117" s="70">
        <v>56.265000000000001</v>
      </c>
      <c r="AK117" s="450">
        <v>54.945</v>
      </c>
      <c r="AL117" s="289">
        <f t="shared" si="213"/>
        <v>59.396422035905964</v>
      </c>
      <c r="AM117" s="70">
        <f t="shared" si="213"/>
        <v>61.754590923042279</v>
      </c>
      <c r="AN117" s="70">
        <f t="shared" si="213"/>
        <v>60.142016204286726</v>
      </c>
      <c r="AO117" s="449">
        <f t="shared" si="213"/>
        <v>59.307120602277429</v>
      </c>
      <c r="AP117" s="289">
        <f t="shared" si="213"/>
        <v>63.310500192872404</v>
      </c>
      <c r="AQ117" s="70">
        <f t="shared" si="213"/>
        <v>65.819464840562901</v>
      </c>
      <c r="AR117" s="70">
        <f t="shared" si="213"/>
        <v>64.091411014409587</v>
      </c>
      <c r="AS117" s="449">
        <f t="shared" si="213"/>
        <v>63.198694685881982</v>
      </c>
      <c r="AU117" s="72">
        <f t="shared" si="214"/>
        <v>57.673000000000002</v>
      </c>
      <c r="AV117" s="289">
        <f t="shared" si="215"/>
        <v>76.697999999999993</v>
      </c>
      <c r="AW117" s="72">
        <f t="shared" si="216"/>
        <v>87.063999999999993</v>
      </c>
      <c r="AX117" s="72">
        <f t="shared" si="217"/>
        <v>101.68700000000001</v>
      </c>
      <c r="AY117" s="72">
        <f t="shared" si="218"/>
        <v>116.432</v>
      </c>
      <c r="AZ117" s="72">
        <f t="shared" si="219"/>
        <v>143.56</v>
      </c>
      <c r="BA117" s="72">
        <f t="shared" si="220"/>
        <v>153.16299999999998</v>
      </c>
      <c r="BB117" s="72">
        <f t="shared" si="221"/>
        <v>181.62400000000002</v>
      </c>
      <c r="BC117" s="72">
        <f t="shared" si="222"/>
        <v>223.66899999999998</v>
      </c>
      <c r="BD117" s="72">
        <f t="shared" si="223"/>
        <v>240.60014976551238</v>
      </c>
      <c r="BE117" s="72">
        <f t="shared" si="224"/>
        <v>256.4200707337269</v>
      </c>
    </row>
    <row r="118" spans="1:57" s="33" customFormat="1" ht="12" customHeight="1">
      <c r="A118" s="152" t="s">
        <v>97</v>
      </c>
      <c r="B118" s="131">
        <v>6.1630000000000003</v>
      </c>
      <c r="C118" s="131">
        <v>6.5439999999999996</v>
      </c>
      <c r="D118" s="131">
        <v>7.2750000000000004</v>
      </c>
      <c r="E118" s="131">
        <v>8.9450000000000003</v>
      </c>
      <c r="F118" s="451">
        <v>9.0549999999999997</v>
      </c>
      <c r="G118" s="131">
        <v>10.541</v>
      </c>
      <c r="H118" s="131">
        <v>13.272</v>
      </c>
      <c r="I118" s="450">
        <v>13.864000000000001</v>
      </c>
      <c r="J118" s="131">
        <v>15.135999999999999</v>
      </c>
      <c r="K118" s="131">
        <v>15.987</v>
      </c>
      <c r="L118" s="131">
        <v>17.472000000000001</v>
      </c>
      <c r="M118" s="131">
        <v>20.873000000000001</v>
      </c>
      <c r="N118" s="451">
        <v>18.933</v>
      </c>
      <c r="O118" s="131">
        <v>17.879000000000001</v>
      </c>
      <c r="P118" s="131">
        <v>18.18</v>
      </c>
      <c r="Q118" s="131">
        <v>18.143999999999998</v>
      </c>
      <c r="R118" s="289">
        <v>21.445</v>
      </c>
      <c r="S118" s="70">
        <v>21.835999999999999</v>
      </c>
      <c r="T118" s="70">
        <v>23.785</v>
      </c>
      <c r="U118" s="70">
        <v>22.846</v>
      </c>
      <c r="V118" s="289">
        <v>26.126000000000001</v>
      </c>
      <c r="W118" s="70">
        <v>26.87</v>
      </c>
      <c r="X118" s="70">
        <v>24.972999999999999</v>
      </c>
      <c r="Y118" s="449">
        <v>25.257999999999999</v>
      </c>
      <c r="Z118" s="289">
        <v>27.114999999999998</v>
      </c>
      <c r="AA118" s="70">
        <v>26.622</v>
      </c>
      <c r="AB118" s="70">
        <v>31.876999999999999</v>
      </c>
      <c r="AC118" s="449">
        <v>30.567</v>
      </c>
      <c r="AD118" s="289">
        <v>31.018000000000001</v>
      </c>
      <c r="AE118" s="131">
        <v>30.302</v>
      </c>
      <c r="AF118" s="131">
        <v>31.568999999999999</v>
      </c>
      <c r="AG118" s="450">
        <v>31.241</v>
      </c>
      <c r="AH118" s="451">
        <v>47.982999999999997</v>
      </c>
      <c r="AI118" s="131">
        <v>33.981999999999999</v>
      </c>
      <c r="AJ118" s="70">
        <v>32.337000000000003</v>
      </c>
      <c r="AK118" s="450">
        <v>31.603000000000002</v>
      </c>
      <c r="AL118" s="289">
        <f t="shared" si="213"/>
        <v>36.264239631280844</v>
      </c>
      <c r="AM118" s="70">
        <f t="shared" si="213"/>
        <v>34.439531494027904</v>
      </c>
      <c r="AN118" s="70">
        <f t="shared" si="213"/>
        <v>34.850641729145877</v>
      </c>
      <c r="AO118" s="449">
        <f t="shared" si="213"/>
        <v>33.460716824322503</v>
      </c>
      <c r="AP118" s="289">
        <f t="shared" si="213"/>
        <v>38.074111933697935</v>
      </c>
      <c r="AQ118" s="70">
        <f t="shared" si="213"/>
        <v>36.111793749171113</v>
      </c>
      <c r="AR118" s="70">
        <f t="shared" si="213"/>
        <v>36.537868251512172</v>
      </c>
      <c r="AS118" s="449">
        <f t="shared" si="213"/>
        <v>35.036608005360144</v>
      </c>
      <c r="AU118" s="72">
        <f t="shared" si="214"/>
        <v>28.927</v>
      </c>
      <c r="AV118" s="289">
        <f t="shared" si="215"/>
        <v>46.731999999999999</v>
      </c>
      <c r="AW118" s="72">
        <f t="shared" si="216"/>
        <v>69.468000000000004</v>
      </c>
      <c r="AX118" s="72">
        <f t="shared" si="217"/>
        <v>73.135999999999996</v>
      </c>
      <c r="AY118" s="72">
        <f t="shared" si="218"/>
        <v>89.912000000000006</v>
      </c>
      <c r="AZ118" s="72">
        <f t="shared" si="219"/>
        <v>103.22699999999999</v>
      </c>
      <c r="BA118" s="72">
        <f t="shared" si="220"/>
        <v>116.18099999999998</v>
      </c>
      <c r="BB118" s="72">
        <f t="shared" si="221"/>
        <v>124.13</v>
      </c>
      <c r="BC118" s="72">
        <f t="shared" si="222"/>
        <v>145.905</v>
      </c>
      <c r="BD118" s="72">
        <f t="shared" si="223"/>
        <v>139.01512967877713</v>
      </c>
      <c r="BE118" s="72">
        <f t="shared" si="224"/>
        <v>145.76038193974136</v>
      </c>
    </row>
    <row r="119" spans="1:57" s="33" customFormat="1" ht="12" customHeight="1">
      <c r="A119" s="511" t="s">
        <v>150</v>
      </c>
      <c r="B119" s="131">
        <v>0</v>
      </c>
      <c r="C119" s="131">
        <v>0</v>
      </c>
      <c r="D119" s="131">
        <v>0</v>
      </c>
      <c r="E119" s="131">
        <v>0</v>
      </c>
      <c r="F119" s="451">
        <v>0</v>
      </c>
      <c r="G119" s="131">
        <v>0</v>
      </c>
      <c r="H119" s="131">
        <v>0</v>
      </c>
      <c r="I119" s="450">
        <v>0</v>
      </c>
      <c r="J119" s="131">
        <v>0</v>
      </c>
      <c r="K119" s="131">
        <v>0</v>
      </c>
      <c r="L119" s="131">
        <v>0</v>
      </c>
      <c r="M119" s="131">
        <v>0</v>
      </c>
      <c r="N119" s="451">
        <v>0</v>
      </c>
      <c r="O119" s="131">
        <v>0</v>
      </c>
      <c r="P119" s="131">
        <v>0</v>
      </c>
      <c r="Q119" s="131">
        <v>0</v>
      </c>
      <c r="R119" s="289">
        <v>0</v>
      </c>
      <c r="S119" s="70">
        <v>0</v>
      </c>
      <c r="T119" s="70">
        <v>0</v>
      </c>
      <c r="U119" s="70">
        <v>0</v>
      </c>
      <c r="V119" s="289">
        <v>0</v>
      </c>
      <c r="W119" s="70">
        <v>0</v>
      </c>
      <c r="X119" s="70">
        <v>0</v>
      </c>
      <c r="Y119" s="70">
        <v>0</v>
      </c>
      <c r="Z119" s="289">
        <v>0</v>
      </c>
      <c r="AA119" s="70">
        <v>0</v>
      </c>
      <c r="AB119" s="70">
        <v>0</v>
      </c>
      <c r="AC119" s="449">
        <v>4.4989999999999997</v>
      </c>
      <c r="AD119" s="289">
        <v>1.389</v>
      </c>
      <c r="AE119" s="131">
        <v>4.681</v>
      </c>
      <c r="AF119" s="131">
        <v>0</v>
      </c>
      <c r="AG119" s="450">
        <v>0</v>
      </c>
      <c r="AH119" s="451">
        <v>0</v>
      </c>
      <c r="AI119" s="131">
        <v>0</v>
      </c>
      <c r="AJ119" s="70">
        <f t="shared" ref="AJ119" si="225">AJ168</f>
        <v>0</v>
      </c>
      <c r="AK119" s="450">
        <v>3.113</v>
      </c>
      <c r="AL119" s="289">
        <f t="shared" ref="AL119:AS119" si="226">AL168</f>
        <v>0</v>
      </c>
      <c r="AM119" s="70">
        <f t="shared" si="226"/>
        <v>0</v>
      </c>
      <c r="AN119" s="70">
        <f t="shared" si="226"/>
        <v>0</v>
      </c>
      <c r="AO119" s="449">
        <f t="shared" si="226"/>
        <v>0</v>
      </c>
      <c r="AP119" s="289">
        <f t="shared" si="226"/>
        <v>0</v>
      </c>
      <c r="AQ119" s="70">
        <f t="shared" si="226"/>
        <v>0</v>
      </c>
      <c r="AR119" s="70">
        <f t="shared" si="226"/>
        <v>0</v>
      </c>
      <c r="AS119" s="449">
        <f t="shared" si="226"/>
        <v>0</v>
      </c>
      <c r="AU119" s="72">
        <f t="shared" si="214"/>
        <v>0</v>
      </c>
      <c r="AV119" s="289">
        <f t="shared" si="215"/>
        <v>0</v>
      </c>
      <c r="AW119" s="72">
        <f t="shared" si="216"/>
        <v>0</v>
      </c>
      <c r="AX119" s="72">
        <f t="shared" si="217"/>
        <v>0</v>
      </c>
      <c r="AY119" s="72">
        <f t="shared" si="218"/>
        <v>0</v>
      </c>
      <c r="AZ119" s="72">
        <f t="shared" si="219"/>
        <v>0</v>
      </c>
      <c r="BA119" s="72">
        <f t="shared" si="220"/>
        <v>4.4989999999999997</v>
      </c>
      <c r="BB119" s="72">
        <f t="shared" si="221"/>
        <v>6.07</v>
      </c>
      <c r="BC119" s="72">
        <f t="shared" si="222"/>
        <v>3.113</v>
      </c>
      <c r="BD119" s="72">
        <f t="shared" si="223"/>
        <v>0</v>
      </c>
      <c r="BE119" s="72">
        <f t="shared" si="224"/>
        <v>0</v>
      </c>
    </row>
    <row r="120" spans="1:57" s="45" customFormat="1" ht="12" customHeight="1">
      <c r="A120" s="491" t="s">
        <v>98</v>
      </c>
      <c r="B120" s="75">
        <f>SUM(B116:B118)</f>
        <v>44.789000000000001</v>
      </c>
      <c r="C120" s="75">
        <f t="shared" ref="C120:AA120" si="227">SUM(C116:C118)</f>
        <v>48.029999999999994</v>
      </c>
      <c r="D120" s="75">
        <f t="shared" si="227"/>
        <v>52.717999999999996</v>
      </c>
      <c r="E120" s="75">
        <f t="shared" si="227"/>
        <v>57.362000000000002</v>
      </c>
      <c r="F120" s="492">
        <f t="shared" si="227"/>
        <v>65.828000000000003</v>
      </c>
      <c r="G120" s="75">
        <f t="shared" si="227"/>
        <v>70.158000000000001</v>
      </c>
      <c r="H120" s="75">
        <f t="shared" si="227"/>
        <v>78.375</v>
      </c>
      <c r="I120" s="493">
        <f t="shared" si="227"/>
        <v>82.413000000000011</v>
      </c>
      <c r="J120" s="75">
        <f t="shared" si="227"/>
        <v>89.759999999999991</v>
      </c>
      <c r="K120" s="75">
        <f t="shared" si="227"/>
        <v>93.699999999999989</v>
      </c>
      <c r="L120" s="75">
        <f t="shared" si="227"/>
        <v>94.933999999999997</v>
      </c>
      <c r="M120" s="75">
        <f t="shared" si="227"/>
        <v>106.173</v>
      </c>
      <c r="N120" s="492">
        <f t="shared" si="227"/>
        <v>105.619</v>
      </c>
      <c r="O120" s="75">
        <f t="shared" si="227"/>
        <v>98.632000000000005</v>
      </c>
      <c r="P120" s="77">
        <f t="shared" si="227"/>
        <v>96.353000000000009</v>
      </c>
      <c r="Q120" s="75">
        <f t="shared" si="227"/>
        <v>98.496000000000009</v>
      </c>
      <c r="R120" s="492">
        <f t="shared" si="227"/>
        <v>106.91800000000001</v>
      </c>
      <c r="S120" s="75">
        <f t="shared" si="227"/>
        <v>115.71499999999999</v>
      </c>
      <c r="T120" s="75">
        <f t="shared" si="227"/>
        <v>122.82</v>
      </c>
      <c r="U120" s="75">
        <f t="shared" si="227"/>
        <v>131.04900000000001</v>
      </c>
      <c r="V120" s="492">
        <f t="shared" si="227"/>
        <v>141.98599999999999</v>
      </c>
      <c r="W120" s="75">
        <f t="shared" si="227"/>
        <v>151.524</v>
      </c>
      <c r="X120" s="75">
        <f t="shared" si="227"/>
        <v>149.227</v>
      </c>
      <c r="Y120" s="75">
        <f t="shared" si="227"/>
        <v>153.48000000000002</v>
      </c>
      <c r="Z120" s="492">
        <f t="shared" si="227"/>
        <v>162.489</v>
      </c>
      <c r="AA120" s="75">
        <f t="shared" si="227"/>
        <v>162.267</v>
      </c>
      <c r="AB120" s="75">
        <f>SUM(AB116:AB119)</f>
        <v>163.68800000000002</v>
      </c>
      <c r="AC120" s="493">
        <f>SUM(AC116:AC119)</f>
        <v>178.84900000000002</v>
      </c>
      <c r="AD120" s="492">
        <f>SUM(AD116:AD119)</f>
        <v>175.959</v>
      </c>
      <c r="AE120" s="75">
        <f t="shared" ref="AE120:AS120" si="228">SUM(AE116:AE119)</f>
        <v>181.26100000000002</v>
      </c>
      <c r="AF120" s="77">
        <f t="shared" si="228"/>
        <v>178.672</v>
      </c>
      <c r="AG120" s="75">
        <f t="shared" si="228"/>
        <v>171.31700000000001</v>
      </c>
      <c r="AH120" s="492">
        <f t="shared" si="228"/>
        <v>204.38800000000001</v>
      </c>
      <c r="AI120" s="75">
        <f t="shared" si="228"/>
        <v>200.309</v>
      </c>
      <c r="AJ120" s="75">
        <f t="shared" si="228"/>
        <v>188.55099999999999</v>
      </c>
      <c r="AK120" s="75">
        <f t="shared" si="228"/>
        <v>196.38800000000001</v>
      </c>
      <c r="AL120" s="492">
        <f t="shared" si="228"/>
        <v>207.92350596399407</v>
      </c>
      <c r="AM120" s="75">
        <f t="shared" si="228"/>
        <v>206.37510414317381</v>
      </c>
      <c r="AN120" s="75">
        <f t="shared" si="228"/>
        <v>198.02204799434608</v>
      </c>
      <c r="AO120" s="75">
        <f t="shared" si="228"/>
        <v>203.22984225225107</v>
      </c>
      <c r="AP120" s="492">
        <f t="shared" si="228"/>
        <v>219.66776580497728</v>
      </c>
      <c r="AQ120" s="75">
        <f t="shared" si="228"/>
        <v>217.95007508018239</v>
      </c>
      <c r="AR120" s="75">
        <f t="shared" si="228"/>
        <v>208.99285314920508</v>
      </c>
      <c r="AS120" s="75">
        <f t="shared" si="228"/>
        <v>214.46806008935809</v>
      </c>
      <c r="AT120" s="512"/>
      <c r="AU120" s="79">
        <f t="shared" si="214"/>
        <v>202.89899999999997</v>
      </c>
      <c r="AV120" s="492">
        <f t="shared" si="215"/>
        <v>296.774</v>
      </c>
      <c r="AW120" s="79">
        <f t="shared" si="216"/>
        <v>384.56700000000001</v>
      </c>
      <c r="AX120" s="79">
        <f t="shared" si="217"/>
        <v>399.1</v>
      </c>
      <c r="AY120" s="79">
        <f t="shared" si="218"/>
        <v>476.50199999999995</v>
      </c>
      <c r="AZ120" s="79">
        <f t="shared" si="219"/>
        <v>596.21699999999998</v>
      </c>
      <c r="BA120" s="79">
        <f t="shared" si="220"/>
        <v>667.29300000000001</v>
      </c>
      <c r="BB120" s="79">
        <f t="shared" si="221"/>
        <v>707.20900000000006</v>
      </c>
      <c r="BC120" s="79">
        <f t="shared" si="222"/>
        <v>789.63600000000008</v>
      </c>
      <c r="BD120" s="79">
        <f>SUM(AL120:AO120)</f>
        <v>815.55050035376496</v>
      </c>
      <c r="BE120" s="79">
        <f t="shared" si="224"/>
        <v>861.07875412372289</v>
      </c>
    </row>
    <row r="121" spans="1:57" s="33" customFormat="1" ht="12" customHeight="1">
      <c r="A121" s="490" t="s">
        <v>120</v>
      </c>
      <c r="B121" s="70">
        <f t="shared" ref="B121:AS121" si="229">+B113-B120</f>
        <v>-8.7460000000000022</v>
      </c>
      <c r="C121" s="70">
        <f t="shared" si="229"/>
        <v>-9.2289999999999921</v>
      </c>
      <c r="D121" s="70">
        <f t="shared" si="229"/>
        <v>-11.161999999999992</v>
      </c>
      <c r="E121" s="70">
        <f t="shared" si="229"/>
        <v>-11.622999999999998</v>
      </c>
      <c r="F121" s="289">
        <f t="shared" si="229"/>
        <v>-15.449000000000005</v>
      </c>
      <c r="G121" s="70">
        <f t="shared" si="229"/>
        <v>-16.445</v>
      </c>
      <c r="H121" s="70">
        <f t="shared" si="229"/>
        <v>-21.096000000000004</v>
      </c>
      <c r="I121" s="449">
        <f t="shared" si="229"/>
        <v>-19.591000000000008</v>
      </c>
      <c r="J121" s="70">
        <f t="shared" si="229"/>
        <v>-22.684999999999988</v>
      </c>
      <c r="K121" s="70">
        <f t="shared" si="229"/>
        <v>-22.23399999999998</v>
      </c>
      <c r="L121" s="70">
        <f t="shared" si="229"/>
        <v>-18.326999999999998</v>
      </c>
      <c r="M121" s="70">
        <f t="shared" si="229"/>
        <v>-27.553000000000026</v>
      </c>
      <c r="N121" s="289">
        <f t="shared" si="229"/>
        <v>-21.671999999999997</v>
      </c>
      <c r="O121" s="70">
        <f t="shared" si="229"/>
        <v>-10.564999999999998</v>
      </c>
      <c r="P121" s="131">
        <f t="shared" si="229"/>
        <v>-3.4650000000000034</v>
      </c>
      <c r="Q121" s="70">
        <f t="shared" si="229"/>
        <v>-0.73099999999999454</v>
      </c>
      <c r="R121" s="289">
        <f t="shared" si="229"/>
        <v>-5.8019999999999925</v>
      </c>
      <c r="S121" s="70">
        <f t="shared" si="229"/>
        <v>-11.880999999999972</v>
      </c>
      <c r="T121" s="70">
        <f t="shared" si="229"/>
        <v>-11.218000000000004</v>
      </c>
      <c r="U121" s="70">
        <f t="shared" si="229"/>
        <v>-12.867000000000004</v>
      </c>
      <c r="V121" s="289">
        <f t="shared" si="229"/>
        <v>-17.548000000000002</v>
      </c>
      <c r="W121" s="70">
        <f t="shared" si="229"/>
        <v>-23.22</v>
      </c>
      <c r="X121" s="70">
        <f t="shared" si="229"/>
        <v>-12.957999999999998</v>
      </c>
      <c r="Y121" s="70">
        <f t="shared" si="229"/>
        <v>-14.089000000000027</v>
      </c>
      <c r="Z121" s="289">
        <f t="shared" si="229"/>
        <v>-19.155999999999977</v>
      </c>
      <c r="AA121" s="70">
        <f t="shared" si="229"/>
        <v>-10.745000000000005</v>
      </c>
      <c r="AB121" s="70">
        <f t="shared" si="229"/>
        <v>-7.9130000000000109</v>
      </c>
      <c r="AC121" s="449">
        <f t="shared" si="229"/>
        <v>-14.346000000000032</v>
      </c>
      <c r="AD121" s="289">
        <f>+AD113-AD120</f>
        <v>-8.9300000000000068</v>
      </c>
      <c r="AE121" s="70">
        <f t="shared" si="229"/>
        <v>-8.8180000000000121</v>
      </c>
      <c r="AF121" s="131">
        <f t="shared" si="229"/>
        <v>-2.0829999999999984</v>
      </c>
      <c r="AG121" s="449">
        <f t="shared" si="229"/>
        <v>12.974999999999994</v>
      </c>
      <c r="AH121" s="289">
        <f t="shared" si="229"/>
        <v>-17.711000000000013</v>
      </c>
      <c r="AI121" s="70">
        <f t="shared" si="229"/>
        <v>-7.4479999999999791</v>
      </c>
      <c r="AJ121" s="70">
        <f t="shared" si="229"/>
        <v>7.1360000000000241</v>
      </c>
      <c r="AK121" s="449">
        <f t="shared" si="229"/>
        <v>8.8550000000000182</v>
      </c>
      <c r="AL121" s="289">
        <f t="shared" si="229"/>
        <v>-7.3970411789642014</v>
      </c>
      <c r="AM121" s="70">
        <f t="shared" si="229"/>
        <v>0.70006494690403542</v>
      </c>
      <c r="AN121" s="70">
        <f t="shared" si="229"/>
        <v>12.362317379032646</v>
      </c>
      <c r="AO121" s="449">
        <f t="shared" si="229"/>
        <v>15.5244622449041</v>
      </c>
      <c r="AP121" s="289">
        <f t="shared" si="229"/>
        <v>-5.754869749907499</v>
      </c>
      <c r="AQ121" s="70">
        <f t="shared" si="229"/>
        <v>2.9197153324262786</v>
      </c>
      <c r="AR121" s="70">
        <f t="shared" si="229"/>
        <v>15.366905300556539</v>
      </c>
      <c r="AS121" s="449">
        <f t="shared" si="229"/>
        <v>18.790738283852875</v>
      </c>
      <c r="AU121" s="72">
        <f t="shared" si="214"/>
        <v>-40.759999999999984</v>
      </c>
      <c r="AV121" s="289">
        <f t="shared" si="215"/>
        <v>-72.581000000000017</v>
      </c>
      <c r="AW121" s="72">
        <f t="shared" si="216"/>
        <v>-90.798999999999992</v>
      </c>
      <c r="AX121" s="72">
        <f t="shared" si="217"/>
        <v>-36.432999999999993</v>
      </c>
      <c r="AY121" s="72">
        <f t="shared" si="218"/>
        <v>-41.767999999999972</v>
      </c>
      <c r="AZ121" s="72">
        <f t="shared" si="219"/>
        <v>-67.815000000000026</v>
      </c>
      <c r="BA121" s="72">
        <f t="shared" si="220"/>
        <v>-52.160000000000025</v>
      </c>
      <c r="BB121" s="72">
        <f t="shared" si="221"/>
        <v>-6.856000000000023</v>
      </c>
      <c r="BC121" s="72">
        <f t="shared" si="222"/>
        <v>-9.1679999999999495</v>
      </c>
      <c r="BD121" s="72">
        <f t="shared" si="223"/>
        <v>21.18980339187658</v>
      </c>
      <c r="BE121" s="72">
        <f t="shared" si="224"/>
        <v>31.322489166928193</v>
      </c>
    </row>
    <row r="122" spans="1:57" s="45" customFormat="1" ht="12" customHeight="1">
      <c r="A122" s="491"/>
      <c r="B122" s="494"/>
      <c r="C122" s="494"/>
      <c r="D122" s="494"/>
      <c r="E122" s="494"/>
      <c r="F122" s="495"/>
      <c r="G122" s="494"/>
      <c r="H122" s="494"/>
      <c r="I122" s="496"/>
      <c r="J122" s="494"/>
      <c r="K122" s="494"/>
      <c r="L122" s="494"/>
      <c r="M122" s="494"/>
      <c r="N122" s="492"/>
      <c r="O122" s="75"/>
      <c r="P122" s="77"/>
      <c r="Q122" s="75"/>
      <c r="R122" s="492"/>
      <c r="S122" s="75"/>
      <c r="T122" s="75"/>
      <c r="U122" s="75"/>
      <c r="V122" s="492"/>
      <c r="W122" s="75"/>
      <c r="X122" s="75"/>
      <c r="Y122" s="493"/>
      <c r="Z122" s="492"/>
      <c r="AA122" s="75"/>
      <c r="AB122" s="75"/>
      <c r="AC122" s="493"/>
      <c r="AD122" s="492"/>
      <c r="AE122" s="75"/>
      <c r="AF122" s="75"/>
      <c r="AG122" s="493"/>
      <c r="AH122" s="492"/>
      <c r="AI122" s="75"/>
      <c r="AJ122" s="75"/>
      <c r="AK122" s="493"/>
      <c r="AL122" s="492"/>
      <c r="AM122" s="75"/>
      <c r="AN122" s="75"/>
      <c r="AO122" s="493"/>
      <c r="AP122" s="492"/>
      <c r="AQ122" s="75"/>
      <c r="AR122" s="75"/>
      <c r="AS122" s="493"/>
      <c r="AU122" s="79"/>
      <c r="AV122" s="492"/>
      <c r="AW122" s="79"/>
      <c r="AX122" s="79"/>
      <c r="AY122" s="79"/>
      <c r="AZ122" s="79"/>
      <c r="BA122" s="79"/>
      <c r="BB122" s="79"/>
      <c r="BC122" s="79"/>
      <c r="BD122" s="79"/>
      <c r="BE122" s="79"/>
    </row>
    <row r="123" spans="1:57" s="33" customFormat="1" ht="12" customHeight="1">
      <c r="A123" s="503" t="s">
        <v>103</v>
      </c>
      <c r="B123" s="70">
        <v>0</v>
      </c>
      <c r="C123" s="70">
        <v>0</v>
      </c>
      <c r="D123" s="70">
        <v>0</v>
      </c>
      <c r="E123" s="70">
        <v>0</v>
      </c>
      <c r="F123" s="289">
        <v>-2.5999999999999999E-2</v>
      </c>
      <c r="G123" s="70">
        <v>-2.3E-2</v>
      </c>
      <c r="H123" s="70">
        <v>0.89400000000000002</v>
      </c>
      <c r="I123" s="449">
        <v>1.5089999999999999</v>
      </c>
      <c r="J123" s="70">
        <v>1.556</v>
      </c>
      <c r="K123" s="70">
        <v>1.5940000000000001</v>
      </c>
      <c r="L123" s="70">
        <v>1.5269999999999999</v>
      </c>
      <c r="M123" s="70">
        <v>1.153</v>
      </c>
      <c r="N123" s="289">
        <v>0.80200000000000005</v>
      </c>
      <c r="O123" s="70">
        <v>0.44400000000000001</v>
      </c>
      <c r="P123" s="131">
        <v>0.28100000000000003</v>
      </c>
      <c r="Q123" s="70">
        <v>0.21299999999999999</v>
      </c>
      <c r="R123" s="289">
        <v>0.107</v>
      </c>
      <c r="S123" s="70">
        <v>0.10199999999999999</v>
      </c>
      <c r="T123" s="70">
        <v>0.115</v>
      </c>
      <c r="U123" s="70">
        <v>0.28199999999999997</v>
      </c>
      <c r="V123" s="289">
        <v>0.25</v>
      </c>
      <c r="W123" s="70">
        <v>0.69299999999999995</v>
      </c>
      <c r="X123" s="70">
        <v>1.8029999999999999</v>
      </c>
      <c r="Y123" s="449">
        <f>3.538</f>
        <v>3.5379999999999998</v>
      </c>
      <c r="Z123" s="289">
        <f>5.095</f>
        <v>5.0949999999999998</v>
      </c>
      <c r="AA123" s="70">
        <v>6.5659999999999998</v>
      </c>
      <c r="AB123" s="70">
        <v>7.6619999999999999</v>
      </c>
      <c r="AC123" s="449">
        <v>5.3769999999999998</v>
      </c>
      <c r="AD123" s="289">
        <v>5.6239999999999997</v>
      </c>
      <c r="AE123" s="131">
        <v>5.9740000000000002</v>
      </c>
      <c r="AF123" s="131">
        <v>5.9889999999999999</v>
      </c>
      <c r="AG123" s="450">
        <v>5.7380000000000004</v>
      </c>
      <c r="AH123" s="451">
        <v>4.9269999999999996</v>
      </c>
      <c r="AI123" s="131">
        <v>4.08</v>
      </c>
      <c r="AJ123" s="70">
        <v>3.59</v>
      </c>
      <c r="AK123" s="450">
        <v>3.395</v>
      </c>
      <c r="AL123" s="289">
        <f t="shared" ref="AL123:AS125" si="230">AL33</f>
        <v>2.895</v>
      </c>
      <c r="AM123" s="70">
        <f t="shared" si="230"/>
        <v>2.1950000000000003</v>
      </c>
      <c r="AN123" s="70">
        <f t="shared" si="230"/>
        <v>2.4950000000000001</v>
      </c>
      <c r="AO123" s="449">
        <f t="shared" si="230"/>
        <v>2.7949999999999999</v>
      </c>
      <c r="AP123" s="289">
        <f t="shared" si="230"/>
        <v>3.0949999999999998</v>
      </c>
      <c r="AQ123" s="70">
        <f t="shared" si="230"/>
        <v>3.3949999999999996</v>
      </c>
      <c r="AR123" s="70">
        <f t="shared" si="230"/>
        <v>3.6949999999999994</v>
      </c>
      <c r="AS123" s="449">
        <f t="shared" si="230"/>
        <v>3.9949999999999992</v>
      </c>
      <c r="AU123" s="72">
        <f t="shared" ref="AU123:AU126" si="231">+SUM(B123:E123)</f>
        <v>0</v>
      </c>
      <c r="AV123" s="289">
        <f t="shared" ref="AV123:AV126" si="232">+SUM(F123:I123)</f>
        <v>2.3540000000000001</v>
      </c>
      <c r="AW123" s="72">
        <f t="shared" ref="AW123:AW126" si="233">SUM(J123:M123)</f>
        <v>5.83</v>
      </c>
      <c r="AX123" s="72">
        <f t="shared" ref="AX123:AX126" si="234">+SUM(N123:Q123)</f>
        <v>1.7400000000000002</v>
      </c>
      <c r="AY123" s="72">
        <f t="shared" ref="AY123:AY126" si="235">+SUM(R123:U123)</f>
        <v>0.60599999999999998</v>
      </c>
      <c r="AZ123" s="72">
        <f t="shared" ref="AZ123:AZ126" si="236">+SUM(V123:Y123)</f>
        <v>6.2839999999999998</v>
      </c>
      <c r="BA123" s="72">
        <f t="shared" ref="BA123:BA126" si="237">+SUM(Z123:AC123)</f>
        <v>24.7</v>
      </c>
      <c r="BB123" s="72">
        <f t="shared" ref="BB123:BB126" si="238">SUM(AD123:AG123)</f>
        <v>23.324999999999999</v>
      </c>
      <c r="BC123" s="72">
        <f t="shared" ref="BC123:BC126" si="239">SUM(AH123:AK123)</f>
        <v>15.991999999999999</v>
      </c>
      <c r="BD123" s="72">
        <f t="shared" si="223"/>
        <v>10.379999999999999</v>
      </c>
      <c r="BE123" s="72">
        <f>SUM(AP123:AS123)</f>
        <v>14.179999999999998</v>
      </c>
    </row>
    <row r="124" spans="1:57" s="33" customFormat="1" ht="12" customHeight="1">
      <c r="A124" s="503" t="s">
        <v>104</v>
      </c>
      <c r="B124" s="131">
        <v>0</v>
      </c>
      <c r="C124" s="131">
        <v>0</v>
      </c>
      <c r="D124" s="131">
        <v>0</v>
      </c>
      <c r="E124" s="131">
        <v>0</v>
      </c>
      <c r="F124" s="451">
        <v>0</v>
      </c>
      <c r="G124" s="131">
        <v>0</v>
      </c>
      <c r="H124" s="131">
        <v>0</v>
      </c>
      <c r="I124" s="450">
        <v>0</v>
      </c>
      <c r="J124" s="131">
        <v>0</v>
      </c>
      <c r="K124" s="131">
        <v>0</v>
      </c>
      <c r="L124" s="131">
        <v>0</v>
      </c>
      <c r="M124" s="131">
        <v>0</v>
      </c>
      <c r="N124" s="451">
        <v>-6.8000000000000005E-2</v>
      </c>
      <c r="O124" s="131">
        <v>1.0999999999999999E-2</v>
      </c>
      <c r="P124" s="131">
        <v>-0.29299999999999998</v>
      </c>
      <c r="Q124" s="131">
        <v>-0.14599999999999999</v>
      </c>
      <c r="R124" s="451">
        <v>-0.13500000000000001</v>
      </c>
      <c r="S124" s="131">
        <v>-0.14399999999999999</v>
      </c>
      <c r="T124" s="131">
        <v>-3.5939999999999999</v>
      </c>
      <c r="U124" s="131">
        <v>-3.629</v>
      </c>
      <c r="V124" s="289">
        <v>-3.5760000000000001</v>
      </c>
      <c r="W124" s="70">
        <v>-3.5880000000000001</v>
      </c>
      <c r="X124" s="70">
        <v>-5.0819999999999999</v>
      </c>
      <c r="Y124" s="449">
        <v>-6.7549999999999999</v>
      </c>
      <c r="Z124" s="289">
        <v>-7.3390000000000004</v>
      </c>
      <c r="AA124" s="70">
        <v>-7.75</v>
      </c>
      <c r="AB124" s="70">
        <v>-8.1189999999999998</v>
      </c>
      <c r="AC124" s="449">
        <v>-8.1310000000000002</v>
      </c>
      <c r="AD124" s="289">
        <v>-8.1120000000000001</v>
      </c>
      <c r="AE124" s="131">
        <v>-8.0730000000000004</v>
      </c>
      <c r="AF124" s="131">
        <v>-8.1479999999999997</v>
      </c>
      <c r="AG124" s="450">
        <v>-7.5869999999999997</v>
      </c>
      <c r="AH124" s="451">
        <v>-7.0110000000000001</v>
      </c>
      <c r="AI124" s="131">
        <v>-7.1390000000000002</v>
      </c>
      <c r="AJ124" s="70">
        <v>-7.2130000000000001</v>
      </c>
      <c r="AK124" s="450">
        <v>-7.056</v>
      </c>
      <c r="AL124" s="289">
        <f t="shared" si="230"/>
        <v>-6.3559999999999999</v>
      </c>
      <c r="AM124" s="70">
        <f t="shared" si="230"/>
        <v>-6.3810000000000002</v>
      </c>
      <c r="AN124" s="70">
        <f t="shared" si="230"/>
        <v>-6.4060000000000006</v>
      </c>
      <c r="AO124" s="449">
        <f t="shared" si="230"/>
        <v>-6.4310000000000009</v>
      </c>
      <c r="AP124" s="289">
        <f t="shared" si="230"/>
        <v>-6.4560000000000013</v>
      </c>
      <c r="AQ124" s="70">
        <f t="shared" si="230"/>
        <v>-6.4810000000000016</v>
      </c>
      <c r="AR124" s="70">
        <f t="shared" si="230"/>
        <v>-6.506000000000002</v>
      </c>
      <c r="AS124" s="449">
        <f t="shared" si="230"/>
        <v>-6.5310000000000024</v>
      </c>
      <c r="AU124" s="72"/>
      <c r="AV124" s="289"/>
      <c r="AW124" s="72"/>
      <c r="AX124" s="72"/>
      <c r="AY124" s="72">
        <f t="shared" si="235"/>
        <v>-7.5019999999999998</v>
      </c>
      <c r="AZ124" s="72">
        <f t="shared" si="236"/>
        <v>-19.000999999999998</v>
      </c>
      <c r="BA124" s="72">
        <f t="shared" si="237"/>
        <v>-31.338999999999999</v>
      </c>
      <c r="BB124" s="72">
        <f t="shared" si="238"/>
        <v>-31.92</v>
      </c>
      <c r="BC124" s="72">
        <f t="shared" si="239"/>
        <v>-28.419</v>
      </c>
      <c r="BD124" s="72">
        <f t="shared" si="223"/>
        <v>-25.574000000000002</v>
      </c>
      <c r="BE124" s="72">
        <f>SUM(AP124:AS124)</f>
        <v>-25.974000000000007</v>
      </c>
    </row>
    <row r="125" spans="1:57" s="33" customFormat="1" ht="12" customHeight="1">
      <c r="A125" s="503" t="s">
        <v>151</v>
      </c>
      <c r="B125" s="70">
        <v>-2.9000000000000001E-2</v>
      </c>
      <c r="C125" s="70">
        <v>5.6000000000000001E-2</v>
      </c>
      <c r="D125" s="70">
        <v>-9.1999999999999998E-2</v>
      </c>
      <c r="E125" s="70">
        <v>-2.5999999999999999E-2</v>
      </c>
      <c r="F125" s="289">
        <v>1.7999999999999999E-2</v>
      </c>
      <c r="G125" s="70">
        <v>-0.438</v>
      </c>
      <c r="H125" s="70">
        <v>-0.185</v>
      </c>
      <c r="I125" s="449">
        <v>-0.32500000000000001</v>
      </c>
      <c r="J125" s="70">
        <v>-0.214</v>
      </c>
      <c r="K125" s="70">
        <v>-0.122</v>
      </c>
      <c r="L125" s="70">
        <v>-0.24</v>
      </c>
      <c r="M125" s="70">
        <v>-0.104</v>
      </c>
      <c r="N125" s="289">
        <v>-0.96</v>
      </c>
      <c r="O125" s="70">
        <v>-0.29799999999999999</v>
      </c>
      <c r="P125" s="131">
        <v>-0.56100000000000005</v>
      </c>
      <c r="Q125" s="70">
        <v>-6.6000000000000003E-2</v>
      </c>
      <c r="R125" s="289">
        <v>-6.6000000000000003E-2</v>
      </c>
      <c r="S125" s="70">
        <v>-0.47099999999999997</v>
      </c>
      <c r="T125" s="70">
        <v>-0.82299999999999995</v>
      </c>
      <c r="U125" s="70">
        <v>-0.60499999999999998</v>
      </c>
      <c r="V125" s="289">
        <v>-0.94399999999999995</v>
      </c>
      <c r="W125" s="70">
        <v>-1.863</v>
      </c>
      <c r="X125" s="70">
        <v>-2.073</v>
      </c>
      <c r="Y125" s="449">
        <v>0.123</v>
      </c>
      <c r="Z125" s="289">
        <v>-0.54700000000000004</v>
      </c>
      <c r="AA125" s="70">
        <v>-0.94399999999999995</v>
      </c>
      <c r="AB125" s="70">
        <v>-6.5019999999999998</v>
      </c>
      <c r="AC125" s="449">
        <v>-0.60899999999999999</v>
      </c>
      <c r="AD125" s="289">
        <v>-1.31</v>
      </c>
      <c r="AE125" s="131">
        <v>9.2999999999999999E-2</v>
      </c>
      <c r="AF125" s="131">
        <v>0.35899999999999999</v>
      </c>
      <c r="AG125" s="450">
        <v>-2.577</v>
      </c>
      <c r="AH125" s="451">
        <v>0.47399999999999998</v>
      </c>
      <c r="AI125" s="131">
        <v>2.5000000000000001E-2</v>
      </c>
      <c r="AJ125" s="70">
        <v>-0.70299999999999996</v>
      </c>
      <c r="AK125" s="450">
        <v>-1.1339999999999999</v>
      </c>
      <c r="AL125" s="289">
        <f t="shared" si="230"/>
        <v>-1.1339999999999999</v>
      </c>
      <c r="AM125" s="70">
        <f t="shared" si="230"/>
        <v>-1.1339999999999999</v>
      </c>
      <c r="AN125" s="70">
        <f t="shared" si="230"/>
        <v>-1.1339999999999999</v>
      </c>
      <c r="AO125" s="449">
        <f t="shared" si="230"/>
        <v>-1.1339999999999999</v>
      </c>
      <c r="AP125" s="289">
        <f t="shared" si="230"/>
        <v>-1.1339999999999999</v>
      </c>
      <c r="AQ125" s="70">
        <f t="shared" si="230"/>
        <v>-1.1339999999999999</v>
      </c>
      <c r="AR125" s="70">
        <f t="shared" si="230"/>
        <v>-1.1339999999999999</v>
      </c>
      <c r="AS125" s="449">
        <f t="shared" si="230"/>
        <v>-1.1339999999999999</v>
      </c>
      <c r="AU125" s="72">
        <f t="shared" si="231"/>
        <v>-9.0999999999999998E-2</v>
      </c>
      <c r="AV125" s="289">
        <f t="shared" si="232"/>
        <v>-0.92999999999999994</v>
      </c>
      <c r="AW125" s="72">
        <f t="shared" si="233"/>
        <v>-0.67999999999999994</v>
      </c>
      <c r="AX125" s="72">
        <f t="shared" si="234"/>
        <v>-1.885</v>
      </c>
      <c r="AY125" s="72">
        <f t="shared" si="235"/>
        <v>-1.9649999999999999</v>
      </c>
      <c r="AZ125" s="72">
        <f t="shared" si="236"/>
        <v>-4.7569999999999997</v>
      </c>
      <c r="BA125" s="72">
        <f t="shared" si="237"/>
        <v>-8.6020000000000003</v>
      </c>
      <c r="BB125" s="72">
        <f t="shared" si="238"/>
        <v>-3.4350000000000001</v>
      </c>
      <c r="BC125" s="72">
        <f t="shared" si="239"/>
        <v>-1.3379999999999999</v>
      </c>
      <c r="BD125" s="72">
        <f t="shared" si="223"/>
        <v>-4.5359999999999996</v>
      </c>
      <c r="BE125" s="72">
        <f>SUM(AP125:AS125)</f>
        <v>-4.5359999999999996</v>
      </c>
    </row>
    <row r="126" spans="1:57" s="45" customFormat="1" ht="12" customHeight="1">
      <c r="A126" s="491" t="s">
        <v>152</v>
      </c>
      <c r="B126" s="75">
        <f t="shared" ref="B126:O126" si="240">B121+SUM(B123:B125)</f>
        <v>-8.7750000000000021</v>
      </c>
      <c r="C126" s="75">
        <f t="shared" si="240"/>
        <v>-9.1729999999999929</v>
      </c>
      <c r="D126" s="75">
        <f t="shared" si="240"/>
        <v>-11.253999999999992</v>
      </c>
      <c r="E126" s="75">
        <f t="shared" si="240"/>
        <v>-11.648999999999997</v>
      </c>
      <c r="F126" s="492">
        <f t="shared" si="240"/>
        <v>-15.457000000000004</v>
      </c>
      <c r="G126" s="75">
        <f t="shared" si="240"/>
        <v>-16.905999999999999</v>
      </c>
      <c r="H126" s="75">
        <f t="shared" si="240"/>
        <v>-20.387000000000004</v>
      </c>
      <c r="I126" s="493">
        <f t="shared" si="240"/>
        <v>-18.407000000000007</v>
      </c>
      <c r="J126" s="75">
        <f t="shared" si="240"/>
        <v>-21.342999999999989</v>
      </c>
      <c r="K126" s="75">
        <f t="shared" si="240"/>
        <v>-20.761999999999979</v>
      </c>
      <c r="L126" s="75">
        <f t="shared" si="240"/>
        <v>-17.04</v>
      </c>
      <c r="M126" s="75">
        <f t="shared" si="240"/>
        <v>-26.504000000000026</v>
      </c>
      <c r="N126" s="492">
        <f t="shared" si="240"/>
        <v>-21.897999999999996</v>
      </c>
      <c r="O126" s="75">
        <f t="shared" si="240"/>
        <v>-10.407999999999998</v>
      </c>
      <c r="P126" s="77">
        <f t="shared" ref="P126:W126" si="241">P121+SUM(P123:P125)</f>
        <v>-4.0380000000000038</v>
      </c>
      <c r="Q126" s="75">
        <f t="shared" si="241"/>
        <v>-0.72999999999999454</v>
      </c>
      <c r="R126" s="492">
        <f t="shared" si="241"/>
        <v>-5.8959999999999928</v>
      </c>
      <c r="S126" s="75">
        <f t="shared" si="241"/>
        <v>-12.393999999999972</v>
      </c>
      <c r="T126" s="75">
        <f t="shared" si="241"/>
        <v>-15.520000000000003</v>
      </c>
      <c r="U126" s="75">
        <f t="shared" si="241"/>
        <v>-16.819000000000003</v>
      </c>
      <c r="V126" s="492">
        <f t="shared" si="241"/>
        <v>-21.818000000000001</v>
      </c>
      <c r="W126" s="75">
        <f t="shared" si="241"/>
        <v>-27.977999999999998</v>
      </c>
      <c r="X126" s="75">
        <f t="shared" ref="X126:AS126" si="242">X121+SUM(X123:X125)</f>
        <v>-18.309999999999999</v>
      </c>
      <c r="Y126" s="75">
        <f t="shared" si="242"/>
        <v>-17.183000000000028</v>
      </c>
      <c r="Z126" s="492">
        <f t="shared" si="242"/>
        <v>-21.946999999999978</v>
      </c>
      <c r="AA126" s="75">
        <f t="shared" si="242"/>
        <v>-12.873000000000005</v>
      </c>
      <c r="AB126" s="75">
        <f t="shared" si="242"/>
        <v>-14.872000000000011</v>
      </c>
      <c r="AC126" s="493">
        <f>AC121+SUM(AC123:AC125)</f>
        <v>-17.709000000000032</v>
      </c>
      <c r="AD126" s="492">
        <f t="shared" si="242"/>
        <v>-12.728000000000007</v>
      </c>
      <c r="AE126" s="75">
        <f>AE121+SUM(AE123:AE125)</f>
        <v>-10.824000000000012</v>
      </c>
      <c r="AF126" s="77">
        <f t="shared" si="242"/>
        <v>-3.8829999999999982</v>
      </c>
      <c r="AG126" s="493">
        <f t="shared" si="242"/>
        <v>8.5489999999999959</v>
      </c>
      <c r="AH126" s="513">
        <f t="shared" si="242"/>
        <v>-19.321000000000012</v>
      </c>
      <c r="AI126" s="75">
        <f t="shared" si="242"/>
        <v>-10.48199999999998</v>
      </c>
      <c r="AJ126" s="75">
        <f t="shared" si="242"/>
        <v>2.8100000000000236</v>
      </c>
      <c r="AK126" s="493">
        <f t="shared" si="242"/>
        <v>4.0600000000000183</v>
      </c>
      <c r="AL126" s="492">
        <f t="shared" si="242"/>
        <v>-11.9920411789642</v>
      </c>
      <c r="AM126" s="75">
        <f t="shared" si="242"/>
        <v>-4.6199350530959649</v>
      </c>
      <c r="AN126" s="75">
        <f t="shared" si="242"/>
        <v>7.3173173790326462</v>
      </c>
      <c r="AO126" s="493">
        <f t="shared" si="242"/>
        <v>10.754462244904099</v>
      </c>
      <c r="AP126" s="492">
        <f t="shared" si="242"/>
        <v>-10.2498697499075</v>
      </c>
      <c r="AQ126" s="75">
        <f t="shared" si="242"/>
        <v>-1.3002846675737239</v>
      </c>
      <c r="AR126" s="75">
        <f t="shared" si="242"/>
        <v>11.421905300556537</v>
      </c>
      <c r="AS126" s="493">
        <f t="shared" si="242"/>
        <v>15.120738283852871</v>
      </c>
      <c r="AU126" s="79">
        <f t="shared" si="231"/>
        <v>-40.850999999999985</v>
      </c>
      <c r="AV126" s="492">
        <f t="shared" si="232"/>
        <v>-71.157000000000011</v>
      </c>
      <c r="AW126" s="79">
        <f t="shared" si="233"/>
        <v>-85.649000000000001</v>
      </c>
      <c r="AX126" s="79">
        <f t="shared" si="234"/>
        <v>-37.073999999999998</v>
      </c>
      <c r="AY126" s="79">
        <f t="shared" si="235"/>
        <v>-50.628999999999969</v>
      </c>
      <c r="AZ126" s="79">
        <f t="shared" si="236"/>
        <v>-85.289000000000016</v>
      </c>
      <c r="BA126" s="79">
        <f t="shared" si="237"/>
        <v>-67.401000000000025</v>
      </c>
      <c r="BB126" s="79">
        <f t="shared" si="238"/>
        <v>-18.886000000000024</v>
      </c>
      <c r="BC126" s="79">
        <f t="shared" si="239"/>
        <v>-22.93299999999995</v>
      </c>
      <c r="BD126" s="79">
        <f t="shared" si="223"/>
        <v>1.45980339187658</v>
      </c>
      <c r="BE126" s="79">
        <f>SUM(AP126:AS126)</f>
        <v>14.992489166928184</v>
      </c>
    </row>
    <row r="127" spans="1:57" s="33" customFormat="1" ht="12" customHeight="1">
      <c r="A127" s="490"/>
      <c r="B127" s="132"/>
      <c r="C127" s="132"/>
      <c r="D127" s="132"/>
      <c r="E127" s="132"/>
      <c r="F127" s="514"/>
      <c r="G127" s="132"/>
      <c r="H127" s="132"/>
      <c r="I127" s="515"/>
      <c r="J127" s="132"/>
      <c r="K127" s="132"/>
      <c r="L127" s="132"/>
      <c r="M127" s="132"/>
      <c r="N127" s="514"/>
      <c r="O127" s="132"/>
      <c r="P127" s="455"/>
      <c r="Q127" s="132"/>
      <c r="R127" s="289"/>
      <c r="S127" s="70"/>
      <c r="T127" s="516"/>
      <c r="U127" s="70"/>
      <c r="V127" s="517"/>
      <c r="W127" s="516"/>
      <c r="X127" s="516"/>
      <c r="Y127" s="518"/>
      <c r="Z127" s="517"/>
      <c r="AA127" s="516"/>
      <c r="AB127" s="516"/>
      <c r="AC127" s="518"/>
      <c r="AD127" s="517"/>
      <c r="AE127" s="516"/>
      <c r="AF127" s="516"/>
      <c r="AG127" s="518"/>
      <c r="AH127" s="517"/>
      <c r="AI127" s="516"/>
      <c r="AJ127" s="516"/>
      <c r="AK127" s="518"/>
      <c r="AL127" s="517"/>
      <c r="AM127" s="516"/>
      <c r="AN127" s="516"/>
      <c r="AO127" s="518"/>
      <c r="AP127" s="517"/>
      <c r="AQ127" s="516"/>
      <c r="AR127" s="516"/>
      <c r="AS127" s="518"/>
      <c r="AU127" s="519"/>
      <c r="AV127" s="517"/>
      <c r="AW127" s="519"/>
      <c r="AX127" s="519"/>
      <c r="AY127" s="519"/>
      <c r="AZ127" s="519"/>
      <c r="BA127" s="519"/>
      <c r="BB127" s="519"/>
      <c r="BC127" s="519"/>
      <c r="BD127" s="519"/>
      <c r="BE127" s="519"/>
    </row>
    <row r="128" spans="1:57" s="33" customFormat="1" ht="12" customHeight="1">
      <c r="A128" s="503" t="s">
        <v>107</v>
      </c>
      <c r="B128" s="70">
        <v>5.0999999999999997E-2</v>
      </c>
      <c r="C128" s="70">
        <v>4.1000000000000002E-2</v>
      </c>
      <c r="D128" s="70">
        <v>5.8999999999999997E-2</v>
      </c>
      <c r="E128" s="70">
        <v>0.02</v>
      </c>
      <c r="F128" s="289">
        <v>0.43099999999999999</v>
      </c>
      <c r="G128" s="70">
        <v>0.24399999999999999</v>
      </c>
      <c r="H128" s="70">
        <v>0.48199999999999998</v>
      </c>
      <c r="I128" s="449">
        <v>1.2070000000000001</v>
      </c>
      <c r="J128" s="70">
        <v>9.7000000000000003E-2</v>
      </c>
      <c r="K128" s="70">
        <v>0.86599999999999999</v>
      </c>
      <c r="L128" s="70">
        <v>0.6</v>
      </c>
      <c r="M128" s="70">
        <v>11.801</v>
      </c>
      <c r="N128" s="289">
        <v>1.079</v>
      </c>
      <c r="O128" s="70">
        <v>1.552</v>
      </c>
      <c r="P128" s="131">
        <v>1.82</v>
      </c>
      <c r="Q128" s="70">
        <v>1.206</v>
      </c>
      <c r="R128" s="289">
        <v>1.8520000000000001</v>
      </c>
      <c r="S128" s="70">
        <v>-0.75600000000000001</v>
      </c>
      <c r="T128" s="70">
        <v>0.72599999999999998</v>
      </c>
      <c r="U128" s="70">
        <v>-5.774</v>
      </c>
      <c r="V128" s="289">
        <v>2.6880000000000002</v>
      </c>
      <c r="W128" s="70">
        <v>-0.47899999999999998</v>
      </c>
      <c r="X128" s="70">
        <v>0.42</v>
      </c>
      <c r="Y128" s="449">
        <v>4.3040000000000003</v>
      </c>
      <c r="Z128" s="289">
        <v>3.15</v>
      </c>
      <c r="AA128" s="70">
        <v>3.101</v>
      </c>
      <c r="AB128" s="70">
        <v>0.69299999999999995</v>
      </c>
      <c r="AC128" s="449">
        <v>3.9390000000000001</v>
      </c>
      <c r="AD128" s="289">
        <v>1.6579999999999999</v>
      </c>
      <c r="AE128" s="131">
        <v>3.7480000000000002</v>
      </c>
      <c r="AF128" s="131">
        <v>5.3280000000000003</v>
      </c>
      <c r="AG128" s="450">
        <v>6.681</v>
      </c>
      <c r="AH128" s="451">
        <v>3.6139999999999999</v>
      </c>
      <c r="AI128" s="70">
        <v>4.2240000000000002</v>
      </c>
      <c r="AJ128" s="70">
        <v>0.55000000000000004</v>
      </c>
      <c r="AK128" s="450">
        <v>4.7969999999999997</v>
      </c>
      <c r="AL128" s="289">
        <f t="shared" ref="AL128:AS128" si="243">AL37+AL169+AL170+AL171</f>
        <v>4.9720000000000004</v>
      </c>
      <c r="AM128" s="70">
        <f t="shared" si="243"/>
        <v>7.0720000000000001</v>
      </c>
      <c r="AN128" s="70">
        <f t="shared" si="243"/>
        <v>7.2470000000000008</v>
      </c>
      <c r="AO128" s="449">
        <f t="shared" si="243"/>
        <v>7.4220000000000006</v>
      </c>
      <c r="AP128" s="289">
        <f t="shared" si="243"/>
        <v>7.5970000000000004</v>
      </c>
      <c r="AQ128" s="70">
        <f t="shared" si="243"/>
        <v>7.7720000000000011</v>
      </c>
      <c r="AR128" s="70">
        <f t="shared" si="243"/>
        <v>7.9470000000000018</v>
      </c>
      <c r="AS128" s="449">
        <f t="shared" si="243"/>
        <v>8.1219999999999999</v>
      </c>
      <c r="AU128" s="72">
        <f t="shared" ref="AU128:AU131" si="244">+SUM(B128:E128)</f>
        <v>0.17099999999999999</v>
      </c>
      <c r="AV128" s="289">
        <f t="shared" ref="AV128:AV131" si="245">+SUM(F128:I128)</f>
        <v>2.3639999999999999</v>
      </c>
      <c r="AW128" s="72">
        <f t="shared" ref="AW128:AW131" si="246">SUM(J128:M128)</f>
        <v>13.364000000000001</v>
      </c>
      <c r="AX128" s="72">
        <f t="shared" ref="AX128:AX131" si="247">+SUM(N128:Q128)</f>
        <v>5.657</v>
      </c>
      <c r="AY128" s="72">
        <f t="shared" ref="AY128:AY131" si="248">+SUM(R128:U128)</f>
        <v>-3.952</v>
      </c>
      <c r="AZ128" s="72">
        <f t="shared" ref="AZ128:AZ131" si="249">+SUM(V128:Y128)</f>
        <v>6.9329999999999998</v>
      </c>
      <c r="BA128" s="72">
        <f t="shared" ref="BA128:BA131" si="250">+SUM(Z128:AC128)</f>
        <v>10.882999999999999</v>
      </c>
      <c r="BB128" s="72">
        <f t="shared" ref="BB128:BB131" si="251">SUM(AD128:AG128)</f>
        <v>17.415000000000003</v>
      </c>
      <c r="BC128" s="72">
        <f t="shared" ref="BC128:BC131" si="252">SUM(AH128:AK128)</f>
        <v>13.184999999999999</v>
      </c>
      <c r="BD128" s="72">
        <f t="shared" si="223"/>
        <v>26.713000000000001</v>
      </c>
      <c r="BE128" s="72">
        <f>SUM(AP128:AS128)</f>
        <v>31.438000000000002</v>
      </c>
    </row>
    <row r="129" spans="1:57" s="45" customFormat="1" ht="12" customHeight="1">
      <c r="A129" s="491" t="s">
        <v>153</v>
      </c>
      <c r="B129" s="75">
        <f t="shared" ref="B129:H129" si="253">+B126-B128</f>
        <v>-8.8260000000000023</v>
      </c>
      <c r="C129" s="75">
        <f t="shared" si="253"/>
        <v>-9.2139999999999933</v>
      </c>
      <c r="D129" s="75">
        <f t="shared" si="253"/>
        <v>-11.312999999999992</v>
      </c>
      <c r="E129" s="75">
        <f t="shared" si="253"/>
        <v>-11.668999999999997</v>
      </c>
      <c r="F129" s="492">
        <f t="shared" si="253"/>
        <v>-15.888000000000003</v>
      </c>
      <c r="G129" s="75">
        <f t="shared" si="253"/>
        <v>-17.149999999999999</v>
      </c>
      <c r="H129" s="75">
        <f t="shared" si="253"/>
        <v>-20.869000000000003</v>
      </c>
      <c r="I129" s="493">
        <f>+I126-I128</f>
        <v>-19.614000000000008</v>
      </c>
      <c r="J129" s="75">
        <f t="shared" ref="J129:AS129" si="254">+J126-J128</f>
        <v>-21.439999999999991</v>
      </c>
      <c r="K129" s="75">
        <f t="shared" si="254"/>
        <v>-21.627999999999979</v>
      </c>
      <c r="L129" s="75">
        <f t="shared" si="254"/>
        <v>-17.64</v>
      </c>
      <c r="M129" s="75">
        <f t="shared" si="254"/>
        <v>-38.305000000000028</v>
      </c>
      <c r="N129" s="492">
        <f t="shared" si="254"/>
        <v>-22.976999999999997</v>
      </c>
      <c r="O129" s="75">
        <f t="shared" si="254"/>
        <v>-11.959999999999997</v>
      </c>
      <c r="P129" s="77">
        <f t="shared" si="254"/>
        <v>-5.8580000000000041</v>
      </c>
      <c r="Q129" s="75">
        <f t="shared" si="254"/>
        <v>-1.9359999999999946</v>
      </c>
      <c r="R129" s="492">
        <f t="shared" si="254"/>
        <v>-7.7479999999999931</v>
      </c>
      <c r="S129" s="75">
        <f t="shared" si="254"/>
        <v>-11.637999999999971</v>
      </c>
      <c r="T129" s="75">
        <f t="shared" si="254"/>
        <v>-16.246000000000002</v>
      </c>
      <c r="U129" s="75">
        <f t="shared" si="254"/>
        <v>-11.045000000000002</v>
      </c>
      <c r="V129" s="492">
        <f t="shared" si="254"/>
        <v>-24.506</v>
      </c>
      <c r="W129" s="75">
        <f t="shared" si="254"/>
        <v>-27.498999999999999</v>
      </c>
      <c r="X129" s="75">
        <f t="shared" si="254"/>
        <v>-18.73</v>
      </c>
      <c r="Y129" s="75">
        <f t="shared" si="254"/>
        <v>-21.48700000000003</v>
      </c>
      <c r="Z129" s="492">
        <f t="shared" si="254"/>
        <v>-25.096999999999976</v>
      </c>
      <c r="AA129" s="75">
        <f t="shared" si="254"/>
        <v>-15.974000000000004</v>
      </c>
      <c r="AB129" s="75">
        <f t="shared" si="254"/>
        <v>-15.56500000000001</v>
      </c>
      <c r="AC129" s="493">
        <f t="shared" si="254"/>
        <v>-21.648000000000032</v>
      </c>
      <c r="AD129" s="492">
        <f t="shared" si="254"/>
        <v>-14.386000000000006</v>
      </c>
      <c r="AE129" s="75">
        <f t="shared" si="254"/>
        <v>-14.572000000000013</v>
      </c>
      <c r="AF129" s="75">
        <f t="shared" si="254"/>
        <v>-9.2109999999999985</v>
      </c>
      <c r="AG129" s="493">
        <f t="shared" si="254"/>
        <v>1.8679999999999959</v>
      </c>
      <c r="AH129" s="492">
        <f t="shared" si="254"/>
        <v>-22.935000000000013</v>
      </c>
      <c r="AI129" s="75">
        <f t="shared" si="254"/>
        <v>-14.70599999999998</v>
      </c>
      <c r="AJ129" s="75">
        <f t="shared" si="254"/>
        <v>2.2600000000000238</v>
      </c>
      <c r="AK129" s="493">
        <f t="shared" si="254"/>
        <v>-0.73699999999998145</v>
      </c>
      <c r="AL129" s="492">
        <f t="shared" si="254"/>
        <v>-16.964041178964202</v>
      </c>
      <c r="AM129" s="75">
        <f t="shared" si="254"/>
        <v>-11.691935053095964</v>
      </c>
      <c r="AN129" s="75">
        <f t="shared" si="254"/>
        <v>7.0317379032645455E-2</v>
      </c>
      <c r="AO129" s="493">
        <f t="shared" si="254"/>
        <v>3.3324622449040984</v>
      </c>
      <c r="AP129" s="492">
        <f t="shared" si="254"/>
        <v>-17.846869749907501</v>
      </c>
      <c r="AQ129" s="75">
        <f t="shared" si="254"/>
        <v>-9.0722846675737259</v>
      </c>
      <c r="AR129" s="75">
        <f t="shared" si="254"/>
        <v>3.4749053005565349</v>
      </c>
      <c r="AS129" s="493">
        <f t="shared" si="254"/>
        <v>6.9987382838528713</v>
      </c>
      <c r="AU129" s="79">
        <f t="shared" si="244"/>
        <v>-41.021999999999984</v>
      </c>
      <c r="AV129" s="492">
        <f t="shared" si="245"/>
        <v>-73.521000000000015</v>
      </c>
      <c r="AW129" s="79">
        <f t="shared" si="246"/>
        <v>-99.013000000000005</v>
      </c>
      <c r="AX129" s="79">
        <f t="shared" si="247"/>
        <v>-42.730999999999995</v>
      </c>
      <c r="AY129" s="79">
        <f t="shared" si="248"/>
        <v>-46.676999999999964</v>
      </c>
      <c r="AZ129" s="79">
        <f t="shared" si="249"/>
        <v>-92.222000000000037</v>
      </c>
      <c r="BA129" s="79">
        <f t="shared" si="250"/>
        <v>-78.28400000000002</v>
      </c>
      <c r="BB129" s="79">
        <f t="shared" si="251"/>
        <v>-36.301000000000023</v>
      </c>
      <c r="BC129" s="79">
        <f t="shared" si="252"/>
        <v>-36.117999999999945</v>
      </c>
      <c r="BD129" s="79">
        <f t="shared" si="223"/>
        <v>-25.253196608123424</v>
      </c>
      <c r="BE129" s="79">
        <f>SUM(AP129:AS129)</f>
        <v>-16.445510833071822</v>
      </c>
    </row>
    <row r="130" spans="1:57" s="45" customFormat="1" ht="12" customHeight="1">
      <c r="A130" s="396" t="s">
        <v>154</v>
      </c>
      <c r="B130" s="70">
        <v>-0.18699999999999994</v>
      </c>
      <c r="C130" s="70">
        <v>-0.191</v>
      </c>
      <c r="D130" s="70">
        <v>-0.192</v>
      </c>
      <c r="E130" s="70">
        <v>-0.193</v>
      </c>
      <c r="F130" s="289">
        <v>-0.188</v>
      </c>
      <c r="G130" s="70">
        <v>-0.191</v>
      </c>
      <c r="H130" s="70">
        <v>-5.5E-2</v>
      </c>
      <c r="I130" s="449">
        <v>0</v>
      </c>
      <c r="J130" s="70">
        <v>0</v>
      </c>
      <c r="K130" s="70">
        <v>0</v>
      </c>
      <c r="L130" s="70">
        <v>0</v>
      </c>
      <c r="M130" s="70">
        <v>0</v>
      </c>
      <c r="N130" s="289">
        <v>0</v>
      </c>
      <c r="O130" s="70">
        <v>0</v>
      </c>
      <c r="P130" s="131">
        <v>0</v>
      </c>
      <c r="Q130" s="70">
        <v>0</v>
      </c>
      <c r="R130" s="289">
        <v>0</v>
      </c>
      <c r="S130" s="75">
        <v>0</v>
      </c>
      <c r="T130" s="75">
        <v>0</v>
      </c>
      <c r="U130" s="75">
        <v>0</v>
      </c>
      <c r="V130" s="492">
        <v>0</v>
      </c>
      <c r="W130" s="75">
        <v>0</v>
      </c>
      <c r="X130" s="75">
        <v>0</v>
      </c>
      <c r="Y130" s="75">
        <v>0</v>
      </c>
      <c r="Z130" s="492">
        <v>0</v>
      </c>
      <c r="AA130" s="75">
        <v>0</v>
      </c>
      <c r="AB130" s="70">
        <v>0</v>
      </c>
      <c r="AC130" s="493">
        <v>0</v>
      </c>
      <c r="AD130" s="492">
        <v>0</v>
      </c>
      <c r="AE130" s="77">
        <v>0</v>
      </c>
      <c r="AF130" s="75">
        <v>0</v>
      </c>
      <c r="AG130" s="493">
        <v>0</v>
      </c>
      <c r="AH130" s="492">
        <v>0</v>
      </c>
      <c r="AI130" s="75">
        <v>0</v>
      </c>
      <c r="AJ130" s="75">
        <v>0</v>
      </c>
      <c r="AK130" s="493">
        <v>0</v>
      </c>
      <c r="AL130" s="492">
        <v>0</v>
      </c>
      <c r="AM130" s="75">
        <v>0</v>
      </c>
      <c r="AN130" s="75">
        <v>0</v>
      </c>
      <c r="AO130" s="493">
        <v>0</v>
      </c>
      <c r="AP130" s="492">
        <v>0</v>
      </c>
      <c r="AQ130" s="75">
        <v>0</v>
      </c>
      <c r="AR130" s="75">
        <v>0</v>
      </c>
      <c r="AS130" s="493">
        <v>0</v>
      </c>
      <c r="AU130" s="79">
        <f t="shared" si="244"/>
        <v>-0.7629999999999999</v>
      </c>
      <c r="AV130" s="289">
        <f t="shared" si="245"/>
        <v>-0.434</v>
      </c>
      <c r="AW130" s="72">
        <f t="shared" si="246"/>
        <v>0</v>
      </c>
      <c r="AX130" s="72">
        <f t="shared" si="247"/>
        <v>0</v>
      </c>
      <c r="AY130" s="79">
        <f t="shared" si="248"/>
        <v>0</v>
      </c>
      <c r="AZ130" s="79">
        <f t="shared" si="249"/>
        <v>0</v>
      </c>
      <c r="BA130" s="79">
        <f t="shared" si="250"/>
        <v>0</v>
      </c>
      <c r="BB130" s="79">
        <f t="shared" si="251"/>
        <v>0</v>
      </c>
      <c r="BC130" s="79">
        <f t="shared" si="252"/>
        <v>0</v>
      </c>
      <c r="BD130" s="79">
        <f t="shared" si="223"/>
        <v>0</v>
      </c>
      <c r="BE130" s="79">
        <f>SUM(AP130:AS130)</f>
        <v>0</v>
      </c>
    </row>
    <row r="131" spans="1:57" s="45" customFormat="1" ht="12" customHeight="1">
      <c r="A131" s="520" t="s">
        <v>155</v>
      </c>
      <c r="B131" s="75">
        <f>B129+B130</f>
        <v>-9.0130000000000017</v>
      </c>
      <c r="C131" s="75">
        <f t="shared" ref="C131:AS131" si="255">C129+C130</f>
        <v>-9.404999999999994</v>
      </c>
      <c r="D131" s="75">
        <f t="shared" si="255"/>
        <v>-11.504999999999992</v>
      </c>
      <c r="E131" s="75">
        <f t="shared" si="255"/>
        <v>-11.861999999999997</v>
      </c>
      <c r="F131" s="492">
        <f t="shared" si="255"/>
        <v>-16.076000000000004</v>
      </c>
      <c r="G131" s="75">
        <f t="shared" si="255"/>
        <v>-17.340999999999998</v>
      </c>
      <c r="H131" s="75">
        <f t="shared" si="255"/>
        <v>-20.924000000000003</v>
      </c>
      <c r="I131" s="493">
        <f t="shared" si="255"/>
        <v>-19.614000000000008</v>
      </c>
      <c r="J131" s="75">
        <f t="shared" si="255"/>
        <v>-21.439999999999991</v>
      </c>
      <c r="K131" s="75">
        <f t="shared" si="255"/>
        <v>-21.627999999999979</v>
      </c>
      <c r="L131" s="75">
        <f t="shared" si="255"/>
        <v>-17.64</v>
      </c>
      <c r="M131" s="75">
        <f t="shared" si="255"/>
        <v>-38.305000000000028</v>
      </c>
      <c r="N131" s="492">
        <f t="shared" si="255"/>
        <v>-22.976999999999997</v>
      </c>
      <c r="O131" s="75">
        <f t="shared" si="255"/>
        <v>-11.959999999999997</v>
      </c>
      <c r="P131" s="77">
        <f t="shared" si="255"/>
        <v>-5.8580000000000041</v>
      </c>
      <c r="Q131" s="75">
        <f t="shared" si="255"/>
        <v>-1.9359999999999946</v>
      </c>
      <c r="R131" s="492">
        <f t="shared" si="255"/>
        <v>-7.7479999999999931</v>
      </c>
      <c r="S131" s="75">
        <f t="shared" si="255"/>
        <v>-11.637999999999971</v>
      </c>
      <c r="T131" s="75">
        <f t="shared" si="255"/>
        <v>-16.246000000000002</v>
      </c>
      <c r="U131" s="75">
        <f t="shared" si="255"/>
        <v>-11.045000000000002</v>
      </c>
      <c r="V131" s="492">
        <f t="shared" si="255"/>
        <v>-24.506</v>
      </c>
      <c r="W131" s="75">
        <f t="shared" si="255"/>
        <v>-27.498999999999999</v>
      </c>
      <c r="X131" s="75">
        <f t="shared" si="255"/>
        <v>-18.73</v>
      </c>
      <c r="Y131" s="75">
        <f t="shared" si="255"/>
        <v>-21.48700000000003</v>
      </c>
      <c r="Z131" s="492">
        <f t="shared" si="255"/>
        <v>-25.096999999999976</v>
      </c>
      <c r="AA131" s="75">
        <f t="shared" si="255"/>
        <v>-15.974000000000004</v>
      </c>
      <c r="AB131" s="75">
        <f t="shared" si="255"/>
        <v>-15.56500000000001</v>
      </c>
      <c r="AC131" s="493">
        <f t="shared" si="255"/>
        <v>-21.648000000000032</v>
      </c>
      <c r="AD131" s="492">
        <f t="shared" si="255"/>
        <v>-14.386000000000006</v>
      </c>
      <c r="AE131" s="75">
        <f t="shared" si="255"/>
        <v>-14.572000000000013</v>
      </c>
      <c r="AF131" s="75">
        <f>AF129+AF130</f>
        <v>-9.2109999999999985</v>
      </c>
      <c r="AG131" s="493">
        <f t="shared" si="255"/>
        <v>1.8679999999999959</v>
      </c>
      <c r="AH131" s="492">
        <f t="shared" si="255"/>
        <v>-22.935000000000013</v>
      </c>
      <c r="AI131" s="75">
        <f t="shared" si="255"/>
        <v>-14.70599999999998</v>
      </c>
      <c r="AJ131" s="75">
        <f t="shared" si="255"/>
        <v>2.2600000000000238</v>
      </c>
      <c r="AK131" s="493">
        <f t="shared" si="255"/>
        <v>-0.73699999999998145</v>
      </c>
      <c r="AL131" s="492">
        <f t="shared" si="255"/>
        <v>-16.964041178964202</v>
      </c>
      <c r="AM131" s="75">
        <f t="shared" si="255"/>
        <v>-11.691935053095964</v>
      </c>
      <c r="AN131" s="75">
        <f t="shared" si="255"/>
        <v>7.0317379032645455E-2</v>
      </c>
      <c r="AO131" s="493">
        <f t="shared" si="255"/>
        <v>3.3324622449040984</v>
      </c>
      <c r="AP131" s="492">
        <f t="shared" si="255"/>
        <v>-17.846869749907501</v>
      </c>
      <c r="AQ131" s="75">
        <f t="shared" si="255"/>
        <v>-9.0722846675737259</v>
      </c>
      <c r="AR131" s="75">
        <f t="shared" si="255"/>
        <v>3.4749053005565349</v>
      </c>
      <c r="AS131" s="493">
        <f t="shared" si="255"/>
        <v>6.9987382838528713</v>
      </c>
      <c r="AU131" s="79">
        <f t="shared" si="244"/>
        <v>-41.784999999999982</v>
      </c>
      <c r="AV131" s="492">
        <f t="shared" si="245"/>
        <v>-73.955000000000013</v>
      </c>
      <c r="AW131" s="79">
        <f t="shared" si="246"/>
        <v>-99.013000000000005</v>
      </c>
      <c r="AX131" s="79">
        <f t="shared" si="247"/>
        <v>-42.730999999999995</v>
      </c>
      <c r="AY131" s="79">
        <f t="shared" si="248"/>
        <v>-46.676999999999964</v>
      </c>
      <c r="AZ131" s="79">
        <f t="shared" si="249"/>
        <v>-92.222000000000037</v>
      </c>
      <c r="BA131" s="79">
        <f t="shared" si="250"/>
        <v>-78.28400000000002</v>
      </c>
      <c r="BB131" s="79">
        <f t="shared" si="251"/>
        <v>-36.301000000000023</v>
      </c>
      <c r="BC131" s="79">
        <f t="shared" si="252"/>
        <v>-36.117999999999945</v>
      </c>
      <c r="BD131" s="79">
        <f t="shared" si="223"/>
        <v>-25.253196608123424</v>
      </c>
      <c r="BE131" s="79">
        <f>SUM(AP131:AS131)</f>
        <v>-16.445510833071822</v>
      </c>
    </row>
    <row r="132" spans="1:57" s="33" customFormat="1" ht="12" customHeight="1">
      <c r="A132" s="521"/>
      <c r="B132" s="498"/>
      <c r="C132" s="498"/>
      <c r="D132" s="498"/>
      <c r="E132" s="498"/>
      <c r="F132" s="497"/>
      <c r="G132" s="498"/>
      <c r="H132" s="498"/>
      <c r="I132" s="500"/>
      <c r="J132" s="498"/>
      <c r="K132" s="498"/>
      <c r="L132" s="498"/>
      <c r="M132" s="498"/>
      <c r="N132" s="497"/>
      <c r="O132" s="498"/>
      <c r="P132" s="499"/>
      <c r="Q132" s="498"/>
      <c r="R132" s="497"/>
      <c r="S132" s="498"/>
      <c r="T132" s="498"/>
      <c r="U132" s="75"/>
      <c r="V132" s="497"/>
      <c r="W132" s="498"/>
      <c r="X132" s="498"/>
      <c r="Y132" s="75"/>
      <c r="Z132" s="492"/>
      <c r="AA132" s="75"/>
      <c r="AB132" s="75"/>
      <c r="AC132" s="493"/>
      <c r="AD132" s="492"/>
      <c r="AE132" s="75"/>
      <c r="AF132" s="75"/>
      <c r="AG132" s="493"/>
      <c r="AH132" s="492"/>
      <c r="AI132" s="75"/>
      <c r="AJ132" s="75"/>
      <c r="AK132" s="493"/>
      <c r="AL132" s="492"/>
      <c r="AM132" s="75"/>
      <c r="AN132" s="75"/>
      <c r="AO132" s="493"/>
      <c r="AP132" s="492"/>
      <c r="AQ132" s="75"/>
      <c r="AR132" s="75"/>
      <c r="AS132" s="493"/>
      <c r="AU132" s="502"/>
      <c r="AV132" s="497"/>
      <c r="AW132" s="502"/>
      <c r="AX132" s="502"/>
      <c r="AY132" s="502"/>
      <c r="AZ132" s="502"/>
      <c r="BA132" s="502"/>
      <c r="BB132" s="502"/>
      <c r="BC132" s="502"/>
      <c r="BD132" s="502"/>
      <c r="BE132" s="502"/>
    </row>
    <row r="133" spans="1:57" s="33" customFormat="1" ht="12" customHeight="1">
      <c r="A133" s="288" t="s">
        <v>156</v>
      </c>
      <c r="B133" s="522">
        <v>-0.4267174525803914</v>
      </c>
      <c r="C133" s="522">
        <f t="shared" ref="C133:AS133" si="256">IF(C131&lt;0,C131/C136,C131/C137)</f>
        <v>-0.4263372620126924</v>
      </c>
      <c r="D133" s="522">
        <f t="shared" si="256"/>
        <v>-0.50729749988976558</v>
      </c>
      <c r="E133" s="522">
        <f t="shared" si="256"/>
        <v>-0.51964778551715052</v>
      </c>
      <c r="F133" s="523">
        <f t="shared" si="256"/>
        <v>-0.6842306873802938</v>
      </c>
      <c r="G133" s="522">
        <f t="shared" si="256"/>
        <v>-0.73014736842105254</v>
      </c>
      <c r="H133" s="522">
        <f t="shared" si="256"/>
        <v>-0.2817629711423224</v>
      </c>
      <c r="I133" s="524">
        <f t="shared" si="256"/>
        <v>-0.21276318786813769</v>
      </c>
      <c r="J133" s="522">
        <f t="shared" si="256"/>
        <v>-0.22872260982739115</v>
      </c>
      <c r="K133" s="522">
        <f t="shared" si="256"/>
        <v>-0.22571488207054874</v>
      </c>
      <c r="L133" s="522">
        <f t="shared" si="256"/>
        <v>-0.18240287873931071</v>
      </c>
      <c r="M133" s="522">
        <f t="shared" si="256"/>
        <v>-0.39191512001473355</v>
      </c>
      <c r="N133" s="523">
        <f t="shared" si="256"/>
        <v>-0.23243133882959888</v>
      </c>
      <c r="O133" s="522">
        <f t="shared" si="256"/>
        <v>-0.11935055733516947</v>
      </c>
      <c r="P133" s="525">
        <f t="shared" si="256"/>
        <v>-5.7580404183376621E-2</v>
      </c>
      <c r="Q133" s="522">
        <f t="shared" si="256"/>
        <v>-1.8759144598509681E-2</v>
      </c>
      <c r="R133" s="523">
        <f t="shared" si="256"/>
        <v>-7.4121552458122394E-2</v>
      </c>
      <c r="S133" s="522">
        <f t="shared" si="256"/>
        <v>-0.10992830762546138</v>
      </c>
      <c r="T133" s="522">
        <f t="shared" si="256"/>
        <v>-0.1520178910628901</v>
      </c>
      <c r="U133" s="522">
        <f t="shared" si="256"/>
        <v>-0.10204647295237217</v>
      </c>
      <c r="V133" s="523">
        <f t="shared" si="256"/>
        <v>-0.22375004565209453</v>
      </c>
      <c r="W133" s="522">
        <f t="shared" si="256"/>
        <v>-0.24764726542448284</v>
      </c>
      <c r="X133" s="522">
        <f t="shared" si="256"/>
        <v>-0.1673262638805757</v>
      </c>
      <c r="Y133" s="522">
        <f t="shared" si="256"/>
        <v>-0.19058558478650395</v>
      </c>
      <c r="Z133" s="523">
        <f t="shared" si="256"/>
        <v>-0.22054765629119266</v>
      </c>
      <c r="AA133" s="522">
        <f t="shared" si="256"/>
        <v>-0.13874629769566846</v>
      </c>
      <c r="AB133" s="522">
        <f t="shared" si="256"/>
        <v>-0.13423426531210661</v>
      </c>
      <c r="AC133" s="524">
        <f t="shared" si="256"/>
        <v>-0.18547426681631665</v>
      </c>
      <c r="AD133" s="523">
        <f t="shared" si="256"/>
        <v>-0.12239029453301804</v>
      </c>
      <c r="AE133" s="522">
        <f t="shared" si="256"/>
        <v>-0.12278292228747663</v>
      </c>
      <c r="AF133" s="522">
        <f t="shared" si="256"/>
        <v>-7.7293591454153335E-2</v>
      </c>
      <c r="AG133" s="524">
        <f t="shared" si="256"/>
        <v>1.5082396066304377E-2</v>
      </c>
      <c r="AH133" s="523">
        <f t="shared" si="256"/>
        <v>-0.19099289657986571</v>
      </c>
      <c r="AI133" s="522">
        <f t="shared" si="256"/>
        <v>-0.12155828697542533</v>
      </c>
      <c r="AJ133" s="522">
        <f t="shared" si="256"/>
        <v>1.8531729436750417E-2</v>
      </c>
      <c r="AK133" s="524">
        <f t="shared" si="256"/>
        <v>-6.1958806221099746E-3</v>
      </c>
      <c r="AL133" s="523">
        <f t="shared" si="256"/>
        <v>-0.14237550297074444</v>
      </c>
      <c r="AM133" s="522">
        <f t="shared" si="256"/>
        <v>-9.7963427340561071E-2</v>
      </c>
      <c r="AN133" s="522">
        <f t="shared" si="256"/>
        <v>5.9616260307456936E-4</v>
      </c>
      <c r="AO133" s="524">
        <f t="shared" si="256"/>
        <v>2.8253177150522241E-2</v>
      </c>
      <c r="AP133" s="523">
        <f t="shared" si="256"/>
        <v>-0.14878590871119216</v>
      </c>
      <c r="AQ133" s="522">
        <f t="shared" si="256"/>
        <v>-7.5507987245723884E-2</v>
      </c>
      <c r="AR133" s="522">
        <f t="shared" si="256"/>
        <v>2.9215615441033588E-2</v>
      </c>
      <c r="AS133" s="524">
        <f t="shared" si="256"/>
        <v>5.8679787740864187E-2</v>
      </c>
      <c r="AU133" s="526">
        <f t="shared" ref="AU133:BE133" si="257">IF(AU131&lt;0,AU131/AU136,AU131/AU137)</f>
        <v>-1.8812750438971675</v>
      </c>
      <c r="AV133" s="526">
        <f t="shared" si="257"/>
        <v>-1.3779835659319164</v>
      </c>
      <c r="AW133" s="526">
        <f t="shared" si="257"/>
        <v>-1.0312350282250506</v>
      </c>
      <c r="AX133" s="526">
        <f t="shared" si="257"/>
        <v>-0.42304151115247152</v>
      </c>
      <c r="AY133" s="526">
        <f t="shared" si="257"/>
        <v>-0.43874721535525923</v>
      </c>
      <c r="AZ133" s="526">
        <f t="shared" si="257"/>
        <v>-0.82843308989319209</v>
      </c>
      <c r="BA133" s="526">
        <f t="shared" si="257"/>
        <v>-0.67837676236362554</v>
      </c>
      <c r="BB133" s="526">
        <f t="shared" si="257"/>
        <v>-0.30560255924569624</v>
      </c>
      <c r="BC133" s="526">
        <f t="shared" si="257"/>
        <v>-0.30067326402980216</v>
      </c>
      <c r="BD133" s="526">
        <f t="shared" si="257"/>
        <v>-0.21141227800856779</v>
      </c>
      <c r="BE133" s="526">
        <f t="shared" si="257"/>
        <v>-0.13676100484883011</v>
      </c>
    </row>
    <row r="134" spans="1:57" s="33" customFormat="1" ht="12" customHeight="1">
      <c r="A134" s="521" t="s">
        <v>157</v>
      </c>
      <c r="B134" s="258"/>
      <c r="C134" s="258"/>
      <c r="D134" s="258"/>
      <c r="E134" s="258"/>
      <c r="F134" s="463"/>
      <c r="G134" s="461"/>
      <c r="H134" s="461"/>
      <c r="I134" s="462"/>
      <c r="J134" s="461"/>
      <c r="K134" s="461"/>
      <c r="L134" s="461"/>
      <c r="M134" s="461"/>
      <c r="N134" s="463"/>
      <c r="O134" s="461"/>
      <c r="P134" s="461"/>
      <c r="Q134" s="461"/>
      <c r="R134" s="527"/>
      <c r="S134" s="256"/>
      <c r="T134" s="256"/>
      <c r="U134" s="75"/>
      <c r="V134" s="528"/>
      <c r="W134" s="256"/>
      <c r="X134" s="256"/>
      <c r="Y134" s="75"/>
      <c r="Z134" s="492"/>
      <c r="AA134" s="75"/>
      <c r="AB134" s="75"/>
      <c r="AC134" s="493"/>
      <c r="AD134" s="492"/>
      <c r="AE134" s="75"/>
      <c r="AF134" s="75"/>
      <c r="AG134" s="493"/>
      <c r="AH134" s="492"/>
      <c r="AI134" s="75"/>
      <c r="AJ134" s="75"/>
      <c r="AK134" s="493"/>
      <c r="AL134" s="492"/>
      <c r="AM134" s="75"/>
      <c r="AN134" s="75"/>
      <c r="AO134" s="493"/>
      <c r="AP134" s="492"/>
      <c r="AQ134" s="75"/>
      <c r="AR134" s="75"/>
      <c r="AS134" s="493"/>
      <c r="AU134" s="464"/>
      <c r="AV134" s="528"/>
      <c r="AW134" s="528"/>
      <c r="AX134" s="464"/>
      <c r="AY134" s="464"/>
      <c r="AZ134" s="464"/>
      <c r="BA134" s="464"/>
      <c r="BB134" s="464"/>
      <c r="BC134" s="464"/>
      <c r="BD134" s="464"/>
      <c r="BE134" s="464"/>
    </row>
    <row r="135" spans="1:57" s="33" customFormat="1" ht="12" customHeight="1">
      <c r="A135" s="521"/>
      <c r="B135" s="256"/>
      <c r="C135" s="256"/>
      <c r="D135" s="256"/>
      <c r="E135" s="256"/>
      <c r="F135" s="528"/>
      <c r="G135" s="256"/>
      <c r="H135" s="256"/>
      <c r="I135" s="529"/>
      <c r="J135" s="256"/>
      <c r="K135" s="256"/>
      <c r="L135" s="256"/>
      <c r="M135" s="256"/>
      <c r="N135" s="528"/>
      <c r="O135" s="256"/>
      <c r="P135" s="258"/>
      <c r="Q135" s="256"/>
      <c r="R135" s="528"/>
      <c r="S135" s="256"/>
      <c r="T135" s="256"/>
      <c r="U135" s="75"/>
      <c r="V135" s="528"/>
      <c r="W135" s="256"/>
      <c r="X135" s="256"/>
      <c r="Y135" s="75"/>
      <c r="Z135" s="492"/>
      <c r="AA135" s="75"/>
      <c r="AB135" s="75"/>
      <c r="AC135" s="493"/>
      <c r="AD135" s="492"/>
      <c r="AE135" s="75"/>
      <c r="AF135" s="75"/>
      <c r="AG135" s="493"/>
      <c r="AH135" s="492"/>
      <c r="AI135" s="75"/>
      <c r="AJ135" s="75"/>
      <c r="AK135" s="493"/>
      <c r="AL135" s="492"/>
      <c r="AM135" s="75"/>
      <c r="AN135" s="75"/>
      <c r="AO135" s="493"/>
      <c r="AP135" s="492"/>
      <c r="AQ135" s="75"/>
      <c r="AR135" s="75"/>
      <c r="AS135" s="493"/>
      <c r="AU135" s="464"/>
      <c r="AV135" s="528"/>
      <c r="AW135" s="530"/>
      <c r="AX135" s="530"/>
      <c r="AY135" s="464"/>
      <c r="AZ135" s="464"/>
      <c r="BA135" s="464"/>
      <c r="BB135" s="464"/>
      <c r="BC135" s="464"/>
      <c r="BD135" s="464"/>
      <c r="BE135" s="464"/>
    </row>
    <row r="136" spans="1:57" s="33" customFormat="1" ht="12" customHeight="1">
      <c r="A136" s="288" t="s">
        <v>115</v>
      </c>
      <c r="B136" s="531"/>
      <c r="C136" s="531">
        <v>22.06</v>
      </c>
      <c r="D136" s="531">
        <v>22.678999999999998</v>
      </c>
      <c r="E136" s="531">
        <v>22.827000000000002</v>
      </c>
      <c r="F136" s="532">
        <v>23.495000000000001</v>
      </c>
      <c r="G136" s="531">
        <v>23.75</v>
      </c>
      <c r="H136" s="531">
        <v>74.260999999999996</v>
      </c>
      <c r="I136" s="533">
        <v>92.186999999999998</v>
      </c>
      <c r="J136" s="531">
        <v>93.738</v>
      </c>
      <c r="K136" s="531">
        <v>95.82</v>
      </c>
      <c r="L136" s="531">
        <v>96.709000000000003</v>
      </c>
      <c r="M136" s="531">
        <v>97.738</v>
      </c>
      <c r="N136" s="532">
        <v>98.855000000000004</v>
      </c>
      <c r="O136" s="531">
        <v>100.209</v>
      </c>
      <c r="P136" s="531">
        <v>101.736</v>
      </c>
      <c r="Q136" s="531">
        <v>103.203</v>
      </c>
      <c r="R136" s="532">
        <v>104.53100000000001</v>
      </c>
      <c r="S136" s="531">
        <v>105.869</v>
      </c>
      <c r="T136" s="531">
        <v>106.869</v>
      </c>
      <c r="U136" s="131">
        <v>108.235</v>
      </c>
      <c r="V136" s="532">
        <v>109.524</v>
      </c>
      <c r="W136" s="531">
        <v>111.041</v>
      </c>
      <c r="X136" s="531">
        <v>111.937</v>
      </c>
      <c r="Y136" s="131">
        <v>112.742</v>
      </c>
      <c r="Z136" s="451">
        <v>113.794</v>
      </c>
      <c r="AA136" s="131">
        <v>115.131</v>
      </c>
      <c r="AB136" s="131">
        <v>115.95399999999999</v>
      </c>
      <c r="AC136" s="450">
        <v>116.717</v>
      </c>
      <c r="AD136" s="451">
        <v>117.542</v>
      </c>
      <c r="AE136" s="131">
        <v>118.681</v>
      </c>
      <c r="AF136" s="131">
        <v>119.169</v>
      </c>
      <c r="AG136" s="450">
        <v>119.748</v>
      </c>
      <c r="AH136" s="451">
        <v>120.083</v>
      </c>
      <c r="AI136" s="131">
        <v>120.979</v>
      </c>
      <c r="AJ136" s="131">
        <v>120.483</v>
      </c>
      <c r="AK136" s="450">
        <f>+AK137</f>
        <v>118.95</v>
      </c>
      <c r="AL136" s="451">
        <f t="shared" ref="AL136:AS137" si="258">AL52</f>
        <v>119.15</v>
      </c>
      <c r="AM136" s="131">
        <f t="shared" si="258"/>
        <v>119.35000000000001</v>
      </c>
      <c r="AN136" s="131">
        <f t="shared" si="258"/>
        <v>119.55000000000001</v>
      </c>
      <c r="AO136" s="450">
        <f t="shared" si="258"/>
        <v>119.75000000000001</v>
      </c>
      <c r="AP136" s="451">
        <f t="shared" si="258"/>
        <v>119.95000000000002</v>
      </c>
      <c r="AQ136" s="131">
        <f t="shared" si="258"/>
        <v>120.15000000000002</v>
      </c>
      <c r="AR136" s="131">
        <f t="shared" si="258"/>
        <v>120.35000000000002</v>
      </c>
      <c r="AS136" s="450">
        <f t="shared" si="258"/>
        <v>120.55000000000003</v>
      </c>
      <c r="AU136" s="534">
        <v>22.210999999999999</v>
      </c>
      <c r="AV136" s="532">
        <v>53.668999999999997</v>
      </c>
      <c r="AW136" s="532">
        <v>96.013999999999996</v>
      </c>
      <c r="AX136" s="534">
        <v>101.009</v>
      </c>
      <c r="AY136" s="534">
        <v>106.387</v>
      </c>
      <c r="AZ136" s="534">
        <v>111.321</v>
      </c>
      <c r="BA136" s="535">
        <f t="shared" ref="BA136:BE137" si="259">BA52</f>
        <v>115.399</v>
      </c>
      <c r="BB136" s="535">
        <f t="shared" si="259"/>
        <v>118.785</v>
      </c>
      <c r="BC136" s="535">
        <f t="shared" si="259"/>
        <v>120.12375</v>
      </c>
      <c r="BD136" s="535">
        <f t="shared" si="259"/>
        <v>119.45</v>
      </c>
      <c r="BE136" s="535">
        <f t="shared" si="259"/>
        <v>120.25000000000001</v>
      </c>
    </row>
    <row r="137" spans="1:57" s="45" customFormat="1" ht="12" customHeight="1">
      <c r="A137" s="536" t="s">
        <v>148</v>
      </c>
      <c r="B137" s="537"/>
      <c r="C137" s="537">
        <v>77.445999999999998</v>
      </c>
      <c r="D137" s="537">
        <v>78.064999999999998</v>
      </c>
      <c r="E137" s="537">
        <v>78.213000000000008</v>
      </c>
      <c r="F137" s="538">
        <v>78.881</v>
      </c>
      <c r="G137" s="537">
        <v>79.135999999999996</v>
      </c>
      <c r="H137" s="537">
        <v>88.71</v>
      </c>
      <c r="I137" s="539">
        <v>92.186999999999998</v>
      </c>
      <c r="J137" s="537">
        <v>93.738</v>
      </c>
      <c r="K137" s="537">
        <v>95.82</v>
      </c>
      <c r="L137" s="537">
        <v>96.709000000000003</v>
      </c>
      <c r="M137" s="537">
        <v>97.738</v>
      </c>
      <c r="N137" s="538">
        <v>98.855000000000004</v>
      </c>
      <c r="O137" s="537">
        <v>108.587</v>
      </c>
      <c r="P137" s="537">
        <v>111.224</v>
      </c>
      <c r="Q137" s="537">
        <v>112.691</v>
      </c>
      <c r="R137" s="538">
        <v>113.934</v>
      </c>
      <c r="S137" s="537">
        <v>113.869</v>
      </c>
      <c r="T137" s="537">
        <v>114.983</v>
      </c>
      <c r="U137" s="540">
        <v>116.46599999999999</v>
      </c>
      <c r="V137" s="538">
        <v>117.155</v>
      </c>
      <c r="W137" s="541">
        <v>118.057</v>
      </c>
      <c r="X137" s="541">
        <v>117.334</v>
      </c>
      <c r="Y137" s="540">
        <v>117.54600000000001</v>
      </c>
      <c r="Z137" s="542">
        <v>119.264</v>
      </c>
      <c r="AA137" s="540">
        <v>120.057</v>
      </c>
      <c r="AB137" s="540">
        <v>122.5</v>
      </c>
      <c r="AC137" s="543">
        <v>122.023</v>
      </c>
      <c r="AD137" s="542">
        <v>123.26600000000001</v>
      </c>
      <c r="AE137" s="540">
        <v>123.056</v>
      </c>
      <c r="AF137" s="540">
        <v>123.288</v>
      </c>
      <c r="AG137" s="543">
        <v>123.85299999999999</v>
      </c>
      <c r="AH137" s="542">
        <v>124.152</v>
      </c>
      <c r="AI137" s="540">
        <v>122.875</v>
      </c>
      <c r="AJ137" s="540">
        <v>121.953</v>
      </c>
      <c r="AK137" s="543">
        <v>118.95</v>
      </c>
      <c r="AL137" s="542">
        <f t="shared" si="258"/>
        <v>117.95</v>
      </c>
      <c r="AM137" s="540">
        <f t="shared" si="258"/>
        <v>117.95</v>
      </c>
      <c r="AN137" s="540">
        <f t="shared" si="258"/>
        <v>117.95</v>
      </c>
      <c r="AO137" s="543">
        <f t="shared" si="258"/>
        <v>117.95</v>
      </c>
      <c r="AP137" s="542">
        <f t="shared" si="258"/>
        <v>118.28</v>
      </c>
      <c r="AQ137" s="540">
        <f t="shared" si="258"/>
        <v>118.61</v>
      </c>
      <c r="AR137" s="540">
        <f t="shared" si="258"/>
        <v>118.94</v>
      </c>
      <c r="AS137" s="543">
        <f t="shared" si="258"/>
        <v>119.27</v>
      </c>
      <c r="AU137" s="544">
        <v>22.210999999999999</v>
      </c>
      <c r="AV137" s="538">
        <v>84.774000000000001</v>
      </c>
      <c r="AW137" s="538">
        <v>96.013999999999996</v>
      </c>
      <c r="AX137" s="544">
        <v>109.962</v>
      </c>
      <c r="AY137" s="544">
        <v>114.825</v>
      </c>
      <c r="AZ137" s="544">
        <v>117.53400000000001</v>
      </c>
      <c r="BA137" s="545">
        <f t="shared" si="259"/>
        <v>120.96100000000001</v>
      </c>
      <c r="BB137" s="545">
        <f t="shared" si="259"/>
        <v>123.36575000000001</v>
      </c>
      <c r="BC137" s="545">
        <f t="shared" si="259"/>
        <v>121.9825</v>
      </c>
      <c r="BD137" s="545">
        <f t="shared" si="259"/>
        <v>117.95</v>
      </c>
      <c r="BE137" s="545">
        <f t="shared" si="259"/>
        <v>118.77499999999999</v>
      </c>
    </row>
    <row r="138" spans="1:57" ht="12" customHeight="1">
      <c r="A138" s="288"/>
      <c r="B138" s="546"/>
      <c r="C138" s="546"/>
      <c r="D138" s="54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6"/>
      <c r="AQ138" s="546"/>
      <c r="AR138" s="546"/>
      <c r="AS138" s="546"/>
    </row>
    <row r="139" spans="1:57" ht="12" customHeight="1">
      <c r="A139" s="521" t="s">
        <v>158</v>
      </c>
      <c r="B139" s="547"/>
      <c r="C139" s="547"/>
      <c r="D139" s="547"/>
      <c r="E139" s="547"/>
      <c r="F139" s="547"/>
      <c r="G139" s="547"/>
      <c r="H139" s="548"/>
      <c r="I139" s="547"/>
      <c r="J139" s="547"/>
      <c r="K139" s="547"/>
      <c r="L139" s="547"/>
      <c r="M139" s="547"/>
      <c r="N139" s="547"/>
      <c r="O139" s="547"/>
      <c r="P139" s="547"/>
      <c r="Q139" s="547"/>
      <c r="R139" s="547"/>
      <c r="S139" s="547"/>
      <c r="T139" s="547"/>
      <c r="U139" s="547"/>
      <c r="V139" s="547"/>
      <c r="W139" s="547"/>
      <c r="X139" s="547"/>
      <c r="Y139" s="547"/>
      <c r="Z139" s="547"/>
      <c r="AA139" s="547"/>
      <c r="AB139" s="547"/>
      <c r="AC139" s="547"/>
      <c r="AD139" s="547"/>
      <c r="AE139" s="547"/>
      <c r="AF139" s="547"/>
      <c r="AG139" s="547"/>
      <c r="AH139" s="547"/>
      <c r="AI139" s="547"/>
      <c r="AJ139" s="547"/>
      <c r="AK139" s="547"/>
      <c r="AL139" s="547"/>
      <c r="AM139" s="547"/>
      <c r="AN139" s="547"/>
      <c r="AO139" s="547"/>
      <c r="AP139" s="547"/>
      <c r="AQ139" s="547"/>
      <c r="AR139" s="547"/>
      <c r="AS139" s="547"/>
    </row>
    <row r="140" spans="1:57" ht="12" customHeight="1">
      <c r="A140" s="549" t="s">
        <v>159</v>
      </c>
      <c r="B140" s="550">
        <f t="shared" ref="B140:BD140" si="260">B$4</f>
        <v>42825</v>
      </c>
      <c r="C140" s="551">
        <f t="shared" si="260"/>
        <v>42916</v>
      </c>
      <c r="D140" s="551">
        <f t="shared" si="260"/>
        <v>43008</v>
      </c>
      <c r="E140" s="552">
        <f t="shared" si="260"/>
        <v>43100</v>
      </c>
      <c r="F140" s="551">
        <f t="shared" si="260"/>
        <v>43190</v>
      </c>
      <c r="G140" s="551">
        <f t="shared" si="260"/>
        <v>43281</v>
      </c>
      <c r="H140" s="551">
        <f t="shared" si="260"/>
        <v>43373</v>
      </c>
      <c r="I140" s="551">
        <f t="shared" si="260"/>
        <v>43465</v>
      </c>
      <c r="J140" s="550">
        <f t="shared" si="260"/>
        <v>43555</v>
      </c>
      <c r="K140" s="551">
        <f t="shared" si="260"/>
        <v>43646</v>
      </c>
      <c r="L140" s="551">
        <f t="shared" si="260"/>
        <v>43738</v>
      </c>
      <c r="M140" s="552">
        <f t="shared" si="260"/>
        <v>43830</v>
      </c>
      <c r="N140" s="550">
        <f t="shared" si="260"/>
        <v>43921</v>
      </c>
      <c r="O140" s="551">
        <f t="shared" si="260"/>
        <v>44012</v>
      </c>
      <c r="P140" s="551">
        <f t="shared" si="260"/>
        <v>44104</v>
      </c>
      <c r="Q140" s="552">
        <f t="shared" si="260"/>
        <v>44196</v>
      </c>
      <c r="R140" s="550">
        <f t="shared" si="260"/>
        <v>44286</v>
      </c>
      <c r="S140" s="551">
        <f t="shared" si="260"/>
        <v>44377</v>
      </c>
      <c r="T140" s="551">
        <f t="shared" si="260"/>
        <v>44469</v>
      </c>
      <c r="U140" s="552">
        <f t="shared" si="260"/>
        <v>44561</v>
      </c>
      <c r="V140" s="551">
        <f t="shared" si="260"/>
        <v>44651</v>
      </c>
      <c r="W140" s="551">
        <f t="shared" si="260"/>
        <v>44742</v>
      </c>
      <c r="X140" s="551">
        <f t="shared" si="260"/>
        <v>44834</v>
      </c>
      <c r="Y140" s="551">
        <f t="shared" si="260"/>
        <v>44926</v>
      </c>
      <c r="Z140" s="550">
        <f t="shared" si="260"/>
        <v>45016</v>
      </c>
      <c r="AA140" s="551">
        <f t="shared" si="260"/>
        <v>45107</v>
      </c>
      <c r="AB140" s="551">
        <f t="shared" si="260"/>
        <v>45199</v>
      </c>
      <c r="AC140" s="552">
        <f t="shared" si="260"/>
        <v>45291</v>
      </c>
      <c r="AD140" s="550">
        <f t="shared" si="260"/>
        <v>45382</v>
      </c>
      <c r="AE140" s="551">
        <f t="shared" si="260"/>
        <v>45473</v>
      </c>
      <c r="AF140" s="553" t="str">
        <f t="shared" si="260"/>
        <v>Sep-24</v>
      </c>
      <c r="AG140" s="552" t="str">
        <f t="shared" si="260"/>
        <v>Dec-24</v>
      </c>
      <c r="AH140" s="550" t="str">
        <f t="shared" si="260"/>
        <v>Mar-25</v>
      </c>
      <c r="AI140" s="551" t="str">
        <f t="shared" si="260"/>
        <v>Jun-25</v>
      </c>
      <c r="AJ140" s="551" t="str">
        <f t="shared" si="260"/>
        <v>Sep-25</v>
      </c>
      <c r="AK140" s="552" t="str">
        <f t="shared" si="260"/>
        <v>Dec-25</v>
      </c>
      <c r="AL140" s="550" t="str">
        <f t="shared" si="260"/>
        <v>Mar-26E</v>
      </c>
      <c r="AM140" s="551" t="str">
        <f t="shared" si="260"/>
        <v>Jun-26E</v>
      </c>
      <c r="AN140" s="551" t="str">
        <f t="shared" si="260"/>
        <v>Sep-26E</v>
      </c>
      <c r="AO140" s="552" t="str">
        <f t="shared" si="260"/>
        <v>Dec-26E</v>
      </c>
      <c r="AP140" s="550" t="str">
        <f t="shared" si="260"/>
        <v>Mar-27E</v>
      </c>
      <c r="AQ140" s="551" t="str">
        <f t="shared" si="260"/>
        <v>Jun-27E</v>
      </c>
      <c r="AR140" s="551" t="str">
        <f t="shared" si="260"/>
        <v>Sep-27E</v>
      </c>
      <c r="AS140" s="552" t="str">
        <f t="shared" si="260"/>
        <v>Dec-27E</v>
      </c>
      <c r="AT140" s="288"/>
      <c r="AU140" s="554">
        <f t="shared" si="260"/>
        <v>2017</v>
      </c>
      <c r="AV140" s="555">
        <f t="shared" si="260"/>
        <v>2018</v>
      </c>
      <c r="AW140" s="555">
        <f t="shared" si="260"/>
        <v>2019</v>
      </c>
      <c r="AX140" s="555">
        <f t="shared" si="260"/>
        <v>2020</v>
      </c>
      <c r="AY140" s="554" t="str">
        <f>AY4</f>
        <v>CY21</v>
      </c>
      <c r="AZ140" s="556" t="str">
        <f t="shared" si="260"/>
        <v>CY22</v>
      </c>
      <c r="BA140" s="556" t="str">
        <f t="shared" si="260"/>
        <v>CY23</v>
      </c>
      <c r="BB140" s="552" t="str">
        <f t="shared" si="260"/>
        <v>CY24</v>
      </c>
      <c r="BC140" s="552" t="str">
        <f t="shared" si="260"/>
        <v>CY25</v>
      </c>
      <c r="BD140" s="552" t="str">
        <f t="shared" si="260"/>
        <v>CY26E</v>
      </c>
      <c r="BE140" s="552" t="str">
        <f>BE$4</f>
        <v>CY27E</v>
      </c>
    </row>
    <row r="141" spans="1:57" s="33" customFormat="1" ht="12" customHeight="1">
      <c r="A141" s="557" t="s">
        <v>133</v>
      </c>
      <c r="B141" s="558"/>
      <c r="C141" s="559"/>
      <c r="D141" s="559"/>
      <c r="E141" s="560"/>
      <c r="F141" s="559"/>
      <c r="G141" s="559"/>
      <c r="H141" s="559"/>
      <c r="I141" s="559"/>
      <c r="J141" s="558"/>
      <c r="K141" s="559"/>
      <c r="L141" s="559"/>
      <c r="M141" s="560"/>
      <c r="N141" s="558"/>
      <c r="O141" s="559"/>
      <c r="P141" s="288"/>
      <c r="Q141" s="560"/>
      <c r="R141" s="558"/>
      <c r="S141" s="559"/>
      <c r="T141" s="559"/>
      <c r="U141" s="560"/>
      <c r="V141" s="559"/>
      <c r="W141" s="559"/>
      <c r="X141" s="559"/>
      <c r="Y141" s="559"/>
      <c r="Z141" s="558"/>
      <c r="AA141" s="559"/>
      <c r="AB141" s="559"/>
      <c r="AC141" s="560"/>
      <c r="AD141" s="558"/>
      <c r="AE141" s="559"/>
      <c r="AF141" s="288"/>
      <c r="AG141" s="560"/>
      <c r="AH141" s="558"/>
      <c r="AI141" s="559"/>
      <c r="AJ141" s="559"/>
      <c r="AK141" s="560"/>
      <c r="AL141" s="558"/>
      <c r="AM141" s="559"/>
      <c r="AN141" s="559"/>
      <c r="AO141" s="560"/>
      <c r="AP141" s="558"/>
      <c r="AQ141" s="559"/>
      <c r="AR141" s="559"/>
      <c r="AS141" s="560"/>
      <c r="AU141" s="139"/>
      <c r="AV141" s="139"/>
      <c r="AW141" s="139"/>
      <c r="AX141" s="139"/>
      <c r="AY141" s="139"/>
      <c r="AZ141" s="139"/>
      <c r="BA141" s="139"/>
      <c r="BB141" s="139"/>
      <c r="BC141" s="139"/>
      <c r="BD141" s="139"/>
      <c r="BE141" s="139"/>
    </row>
    <row r="142" spans="1:57" s="45" customFormat="1" ht="12" customHeight="1">
      <c r="A142" s="490" t="s">
        <v>134</v>
      </c>
      <c r="B142" s="420">
        <v>5.3999999999999999E-2</v>
      </c>
      <c r="C142" s="421">
        <v>0.05</v>
      </c>
      <c r="D142" s="421">
        <v>6.3E-2</v>
      </c>
      <c r="E142" s="422">
        <v>0.114</v>
      </c>
      <c r="F142" s="420">
        <v>7.6999999999999999E-2</v>
      </c>
      <c r="G142" s="421">
        <v>0.114</v>
      </c>
      <c r="H142" s="421">
        <v>0.69199999999999995</v>
      </c>
      <c r="I142" s="422">
        <v>0.82399999999999995</v>
      </c>
      <c r="J142" s="420">
        <v>0.65200000000000002</v>
      </c>
      <c r="K142" s="421">
        <v>0.74199999999999999</v>
      </c>
      <c r="L142" s="421">
        <v>0.69399999999999995</v>
      </c>
      <c r="M142" s="422">
        <v>0.72899999999999998</v>
      </c>
      <c r="N142" s="420">
        <v>0.747</v>
      </c>
      <c r="O142" s="421">
        <v>0.83</v>
      </c>
      <c r="P142" s="423">
        <v>0.82599999999999996</v>
      </c>
      <c r="Q142" s="422">
        <v>0.755</v>
      </c>
      <c r="R142" s="289">
        <v>0.93700000000000006</v>
      </c>
      <c r="S142" s="70">
        <v>1.202</v>
      </c>
      <c r="T142" s="421">
        <v>1.1970000000000001</v>
      </c>
      <c r="U142" s="422">
        <v>1.1100000000000001</v>
      </c>
      <c r="V142" s="421">
        <v>1.5129999999999999</v>
      </c>
      <c r="W142" s="421">
        <v>2.1139999999999999</v>
      </c>
      <c r="X142" s="421">
        <v>2.3410000000000002</v>
      </c>
      <c r="Y142" s="421">
        <v>2.4009999999999998</v>
      </c>
      <c r="Z142" s="420">
        <v>2.625</v>
      </c>
      <c r="AA142" s="421">
        <v>2.9060000000000001</v>
      </c>
      <c r="AB142" s="421">
        <v>3.0110000000000001</v>
      </c>
      <c r="AC142" s="422">
        <v>2.7050000000000001</v>
      </c>
      <c r="AD142" s="420">
        <v>2.9820000000000002</v>
      </c>
      <c r="AE142" s="423">
        <v>3.2879999999999998</v>
      </c>
      <c r="AF142" s="423">
        <v>3.2160000000000002</v>
      </c>
      <c r="AG142" s="424">
        <v>3.1909999999999998</v>
      </c>
      <c r="AH142" s="429">
        <v>3.3149999999999999</v>
      </c>
      <c r="AI142" s="423">
        <v>3.46</v>
      </c>
      <c r="AJ142" s="423">
        <v>3.4950000000000001</v>
      </c>
      <c r="AK142" s="424">
        <v>3.444</v>
      </c>
      <c r="AL142" s="420">
        <f t="shared" ref="AL142:AS145" si="261">(AK142/AK$147)*AL$147</f>
        <v>4.2021896000943784</v>
      </c>
      <c r="AM142" s="421">
        <f t="shared" si="261"/>
        <v>3.698966535823109</v>
      </c>
      <c r="AN142" s="421">
        <f t="shared" si="261"/>
        <v>3.7436891766212756</v>
      </c>
      <c r="AO142" s="422">
        <f t="shared" si="261"/>
        <v>3.8640677028448156</v>
      </c>
      <c r="AP142" s="420">
        <f t="shared" si="261"/>
        <v>4.4791222113830269</v>
      </c>
      <c r="AQ142" s="421">
        <f t="shared" si="261"/>
        <v>3.9424594703601663</v>
      </c>
      <c r="AR142" s="421">
        <f t="shared" si="261"/>
        <v>3.9895454176159237</v>
      </c>
      <c r="AS142" s="422">
        <f t="shared" si="261"/>
        <v>4.1176345569490636</v>
      </c>
      <c r="AU142" s="561">
        <f>SUM(B142:E142)</f>
        <v>0.28100000000000003</v>
      </c>
      <c r="AV142" s="561">
        <f t="shared" ref="AV142:AV147" si="262">+SUM(F142:I142)</f>
        <v>1.7069999999999999</v>
      </c>
      <c r="AW142" s="561">
        <f t="shared" ref="AW142:AW147" si="263">SUM(J142:M142)</f>
        <v>2.8170000000000002</v>
      </c>
      <c r="AX142" s="561">
        <f t="shared" ref="AX142:AX147" si="264">+SUM(N142:Q142)</f>
        <v>3.1579999999999999</v>
      </c>
      <c r="AY142" s="72">
        <f t="shared" ref="AY142:AY147" si="265">SUM(R142:U142)</f>
        <v>4.4460000000000006</v>
      </c>
      <c r="AZ142" s="72">
        <f t="shared" ref="AZ142:AZ147" si="266">SUM(V142:Y142)</f>
        <v>8.3689999999999998</v>
      </c>
      <c r="BA142" s="72">
        <f t="shared" ref="BA142:BA146" si="267">SUM(Z142:AC142)</f>
        <v>11.247000000000002</v>
      </c>
      <c r="BB142" s="72">
        <f>SUM(AD142:AG142)</f>
        <v>12.677</v>
      </c>
      <c r="BC142" s="72">
        <f t="shared" ref="BC142:BC147" si="268">SUM(AH142:AK142)</f>
        <v>13.713999999999999</v>
      </c>
      <c r="BD142" s="72">
        <f t="shared" ref="BD142:BD147" si="269">SUM(AL142:AO142)</f>
        <v>15.508913015383579</v>
      </c>
      <c r="BE142" s="72">
        <f t="shared" ref="BE142:BE147" si="270">SUM(AP142:AS142)</f>
        <v>16.528761656308181</v>
      </c>
    </row>
    <row r="143" spans="1:57" s="33" customFormat="1" ht="12" customHeight="1">
      <c r="A143" s="152" t="s">
        <v>95</v>
      </c>
      <c r="B143" s="429">
        <v>0.27</v>
      </c>
      <c r="C143" s="423">
        <v>0.35799999999999998</v>
      </c>
      <c r="D143" s="423">
        <v>0.40899999999999997</v>
      </c>
      <c r="E143" s="424">
        <v>0.54200000000000004</v>
      </c>
      <c r="F143" s="420">
        <v>0.60199999999999998</v>
      </c>
      <c r="G143" s="421">
        <v>0.67500000000000004</v>
      </c>
      <c r="H143" s="421">
        <v>2.7069999999999999</v>
      </c>
      <c r="I143" s="422">
        <v>2.927</v>
      </c>
      <c r="J143" s="420">
        <v>3.3660000000000001</v>
      </c>
      <c r="K143" s="421">
        <v>4.2149999999999999</v>
      </c>
      <c r="L143" s="421">
        <v>3.5209999999999999</v>
      </c>
      <c r="M143" s="422">
        <v>4.93</v>
      </c>
      <c r="N143" s="420">
        <v>4.4960000000000004</v>
      </c>
      <c r="O143" s="421">
        <v>5.375</v>
      </c>
      <c r="P143" s="423">
        <v>4.806</v>
      </c>
      <c r="Q143" s="422">
        <v>5.165</v>
      </c>
      <c r="R143" s="289">
        <v>6.2960000000000003</v>
      </c>
      <c r="S143" s="70">
        <v>7.577</v>
      </c>
      <c r="T143" s="421">
        <v>7.6289999999999996</v>
      </c>
      <c r="U143" s="422">
        <v>7.9080000000000004</v>
      </c>
      <c r="V143" s="421">
        <v>10.065</v>
      </c>
      <c r="W143" s="421">
        <v>12.766</v>
      </c>
      <c r="X143" s="421">
        <v>13.589</v>
      </c>
      <c r="Y143" s="421">
        <v>12.962999999999999</v>
      </c>
      <c r="Z143" s="420">
        <v>14.394</v>
      </c>
      <c r="AA143" s="421">
        <v>16.422999999999998</v>
      </c>
      <c r="AB143" s="421">
        <v>15.805</v>
      </c>
      <c r="AC143" s="422">
        <v>14.7</v>
      </c>
      <c r="AD143" s="420">
        <v>15.3</v>
      </c>
      <c r="AE143" s="423">
        <v>16.276</v>
      </c>
      <c r="AF143" s="423">
        <v>15.941000000000001</v>
      </c>
      <c r="AG143" s="424">
        <v>15.21</v>
      </c>
      <c r="AH143" s="429">
        <v>16.63</v>
      </c>
      <c r="AI143" s="423">
        <v>17.818000000000001</v>
      </c>
      <c r="AJ143" s="423">
        <v>17.050999999999998</v>
      </c>
      <c r="AK143" s="424">
        <v>17.302</v>
      </c>
      <c r="AL143" s="420">
        <f t="shared" si="261"/>
        <v>21.111000133807472</v>
      </c>
      <c r="AM143" s="421">
        <f t="shared" si="261"/>
        <v>18.582903310920855</v>
      </c>
      <c r="AN143" s="421">
        <f t="shared" si="261"/>
        <v>18.807581339692597</v>
      </c>
      <c r="AO143" s="422">
        <f t="shared" si="261"/>
        <v>19.412340126196572</v>
      </c>
      <c r="AP143" s="420">
        <f t="shared" si="261"/>
        <v>22.502256823852825</v>
      </c>
      <c r="AQ143" s="421">
        <f t="shared" si="261"/>
        <v>19.806165434428454</v>
      </c>
      <c r="AR143" s="421">
        <f t="shared" si="261"/>
        <v>20.042716264689521</v>
      </c>
      <c r="AS143" s="422">
        <f t="shared" si="261"/>
        <v>20.686211702767913</v>
      </c>
      <c r="AU143" s="561">
        <f t="shared" ref="AU143:AU147" si="271">SUM(B143:E143)</f>
        <v>1.579</v>
      </c>
      <c r="AV143" s="561">
        <f t="shared" si="262"/>
        <v>6.9109999999999996</v>
      </c>
      <c r="AW143" s="561">
        <f t="shared" si="263"/>
        <v>16.032</v>
      </c>
      <c r="AX143" s="561">
        <f t="shared" si="264"/>
        <v>19.841999999999999</v>
      </c>
      <c r="AY143" s="72">
        <f t="shared" si="265"/>
        <v>29.410000000000004</v>
      </c>
      <c r="AZ143" s="72">
        <f t="shared" si="266"/>
        <v>49.383000000000003</v>
      </c>
      <c r="BA143" s="72">
        <f t="shared" si="267"/>
        <v>61.322000000000003</v>
      </c>
      <c r="BB143" s="72">
        <f t="shared" ref="BB143:BB147" si="272">SUM(AD143:AG143)</f>
        <v>62.727000000000004</v>
      </c>
      <c r="BC143" s="72">
        <f t="shared" si="268"/>
        <v>68.800999999999988</v>
      </c>
      <c r="BD143" s="72">
        <f t="shared" si="269"/>
        <v>77.913824910617492</v>
      </c>
      <c r="BE143" s="72">
        <f t="shared" si="270"/>
        <v>83.03735022573872</v>
      </c>
    </row>
    <row r="144" spans="1:57" s="33" customFormat="1" ht="12" customHeight="1">
      <c r="A144" s="152" t="s">
        <v>96</v>
      </c>
      <c r="B144" s="429">
        <v>0.39400000000000002</v>
      </c>
      <c r="C144" s="423">
        <v>0.45200000000000001</v>
      </c>
      <c r="D144" s="423">
        <v>0.51</v>
      </c>
      <c r="E144" s="424">
        <v>0.42599999999999999</v>
      </c>
      <c r="F144" s="420">
        <v>0.52700000000000002</v>
      </c>
      <c r="G144" s="421">
        <v>0.64</v>
      </c>
      <c r="H144" s="421">
        <v>2.427</v>
      </c>
      <c r="I144" s="422">
        <v>2.21</v>
      </c>
      <c r="J144" s="420">
        <v>2.0299999999999998</v>
      </c>
      <c r="K144" s="421">
        <v>2.4409999999999998</v>
      </c>
      <c r="L144" s="421">
        <v>2.1240000000000001</v>
      </c>
      <c r="M144" s="422">
        <v>2.3159999999999998</v>
      </c>
      <c r="N144" s="420">
        <v>2.948</v>
      </c>
      <c r="O144" s="421">
        <v>3.8929999999999998</v>
      </c>
      <c r="P144" s="423">
        <v>3.9529999999999998</v>
      </c>
      <c r="Q144" s="422">
        <v>4</v>
      </c>
      <c r="R144" s="289">
        <v>4.1559999999999997</v>
      </c>
      <c r="S144" s="70">
        <v>5.1760000000000002</v>
      </c>
      <c r="T144" s="421">
        <v>5.5869999999999997</v>
      </c>
      <c r="U144" s="422">
        <v>5.6740000000000004</v>
      </c>
      <c r="V144" s="421">
        <v>6.4630000000000001</v>
      </c>
      <c r="W144" s="421">
        <v>8.077</v>
      </c>
      <c r="X144" s="421">
        <v>8.7539999999999996</v>
      </c>
      <c r="Y144" s="421">
        <v>8.2050000000000001</v>
      </c>
      <c r="Z144" s="420">
        <v>8.8650000000000002</v>
      </c>
      <c r="AA144" s="421">
        <v>9.7639999999999993</v>
      </c>
      <c r="AB144" s="421">
        <v>9.2420000000000009</v>
      </c>
      <c r="AC144" s="422">
        <v>9.3539999999999992</v>
      </c>
      <c r="AD144" s="420">
        <v>11.161</v>
      </c>
      <c r="AE144" s="423">
        <v>11.798999999999999</v>
      </c>
      <c r="AF144" s="423">
        <v>12.435</v>
      </c>
      <c r="AG144" s="424">
        <v>12.260999999999999</v>
      </c>
      <c r="AH144" s="429">
        <v>12.967000000000001</v>
      </c>
      <c r="AI144" s="423">
        <v>15.3</v>
      </c>
      <c r="AJ144" s="423">
        <v>14.173999999999999</v>
      </c>
      <c r="AK144" s="424">
        <v>14.101000000000001</v>
      </c>
      <c r="AL144" s="420">
        <f t="shared" si="261"/>
        <v>17.205306489817314</v>
      </c>
      <c r="AM144" s="421">
        <f t="shared" si="261"/>
        <v>15.144926574228124</v>
      </c>
      <c r="AN144" s="421">
        <f t="shared" si="261"/>
        <v>15.328037479540246</v>
      </c>
      <c r="AO144" s="422">
        <f t="shared" si="261"/>
        <v>15.820911346636105</v>
      </c>
      <c r="AP144" s="420">
        <f t="shared" si="261"/>
        <v>18.339170238882712</v>
      </c>
      <c r="AQ144" s="421">
        <f t="shared" si="261"/>
        <v>16.141876013806243</v>
      </c>
      <c r="AR144" s="421">
        <f t="shared" si="261"/>
        <v>16.334663163124894</v>
      </c>
      <c r="AS144" s="422">
        <f t="shared" si="261"/>
        <v>16.859107110202885</v>
      </c>
      <c r="AU144" s="561">
        <f t="shared" si="271"/>
        <v>1.782</v>
      </c>
      <c r="AV144" s="561">
        <f t="shared" si="262"/>
        <v>5.8040000000000003</v>
      </c>
      <c r="AW144" s="561">
        <f t="shared" si="263"/>
        <v>8.9110000000000014</v>
      </c>
      <c r="AX144" s="561">
        <f t="shared" si="264"/>
        <v>14.793999999999999</v>
      </c>
      <c r="AY144" s="72">
        <f t="shared" si="265"/>
        <v>20.593</v>
      </c>
      <c r="AZ144" s="72">
        <f t="shared" si="266"/>
        <v>31.498999999999995</v>
      </c>
      <c r="BA144" s="72">
        <f t="shared" si="267"/>
        <v>37.224999999999994</v>
      </c>
      <c r="BB144" s="72">
        <f t="shared" si="272"/>
        <v>47.656000000000006</v>
      </c>
      <c r="BC144" s="72">
        <f t="shared" si="268"/>
        <v>56.542000000000002</v>
      </c>
      <c r="BD144" s="72">
        <f t="shared" si="269"/>
        <v>63.499181890221791</v>
      </c>
      <c r="BE144" s="72">
        <f t="shared" si="270"/>
        <v>67.674816526016741</v>
      </c>
    </row>
    <row r="145" spans="1:57" s="33" customFormat="1" ht="12" customHeight="1">
      <c r="A145" s="152" t="s">
        <v>97</v>
      </c>
      <c r="B145" s="429">
        <v>0.90800000000000003</v>
      </c>
      <c r="C145" s="423">
        <v>0.98899999999999999</v>
      </c>
      <c r="D145" s="423">
        <v>1.046</v>
      </c>
      <c r="E145" s="424">
        <v>1.175</v>
      </c>
      <c r="F145" s="420">
        <v>1.1930000000000001</v>
      </c>
      <c r="G145" s="421">
        <v>1.595</v>
      </c>
      <c r="H145" s="421">
        <v>2.9569999999999999</v>
      </c>
      <c r="I145" s="422">
        <v>2.7080000000000002</v>
      </c>
      <c r="J145" s="420">
        <v>3.2709999999999999</v>
      </c>
      <c r="K145" s="421">
        <v>3.9750000000000001</v>
      </c>
      <c r="L145" s="421">
        <v>4.16</v>
      </c>
      <c r="M145" s="422">
        <v>4.2770000000000001</v>
      </c>
      <c r="N145" s="420">
        <v>4.8440000000000003</v>
      </c>
      <c r="O145" s="421">
        <v>5.5679999999999996</v>
      </c>
      <c r="P145" s="423">
        <v>5.7149999999999999</v>
      </c>
      <c r="Q145" s="422">
        <v>5.6520000000000001</v>
      </c>
      <c r="R145" s="289">
        <v>5.5629999999999997</v>
      </c>
      <c r="S145" s="70">
        <v>6.5140000000000002</v>
      </c>
      <c r="T145" s="421">
        <v>6.4989999999999997</v>
      </c>
      <c r="U145" s="422">
        <v>6.38</v>
      </c>
      <c r="V145" s="421">
        <v>7.3570000000000002</v>
      </c>
      <c r="W145" s="421">
        <v>8.9559999999999995</v>
      </c>
      <c r="X145" s="421">
        <v>7.9589999999999996</v>
      </c>
      <c r="Y145" s="421">
        <v>7.11</v>
      </c>
      <c r="Z145" s="420">
        <v>8.2330000000000005</v>
      </c>
      <c r="AA145" s="421">
        <v>8.7669999999999995</v>
      </c>
      <c r="AB145" s="421">
        <v>8.7769999999999992</v>
      </c>
      <c r="AC145" s="422">
        <v>9.7560000000000002</v>
      </c>
      <c r="AD145" s="420">
        <v>10.276</v>
      </c>
      <c r="AE145" s="423">
        <v>10.035</v>
      </c>
      <c r="AF145" s="423">
        <v>10.092000000000001</v>
      </c>
      <c r="AG145" s="424">
        <v>10.052</v>
      </c>
      <c r="AH145" s="429">
        <v>22.991</v>
      </c>
      <c r="AI145" s="423">
        <v>9.9480000000000004</v>
      </c>
      <c r="AJ145" s="423">
        <v>10.162000000000001</v>
      </c>
      <c r="AK145" s="424">
        <v>9.6549999999999994</v>
      </c>
      <c r="AL145" s="420">
        <f t="shared" si="261"/>
        <v>11.780528626280843</v>
      </c>
      <c r="AM145" s="421">
        <f t="shared" si="261"/>
        <v>10.369779879027908</v>
      </c>
      <c r="AN145" s="421">
        <f t="shared" si="261"/>
        <v>10.49515650414588</v>
      </c>
      <c r="AO145" s="422">
        <f t="shared" si="261"/>
        <v>10.832628824322502</v>
      </c>
      <c r="AP145" s="420">
        <f t="shared" si="261"/>
        <v>12.556888777846437</v>
      </c>
      <c r="AQ145" s="421">
        <f t="shared" si="261"/>
        <v>11.052394363045124</v>
      </c>
      <c r="AR145" s="421">
        <f t="shared" si="261"/>
        <v>11.184396343519671</v>
      </c>
      <c r="AS145" s="422">
        <f t="shared" si="261"/>
        <v>11.543484798880142</v>
      </c>
      <c r="AU145" s="561">
        <f t="shared" si="271"/>
        <v>4.1180000000000003</v>
      </c>
      <c r="AV145" s="561">
        <f t="shared" si="262"/>
        <v>8.4529999999999994</v>
      </c>
      <c r="AW145" s="561">
        <f t="shared" si="263"/>
        <v>15.683</v>
      </c>
      <c r="AX145" s="561">
        <f t="shared" si="264"/>
        <v>21.779</v>
      </c>
      <c r="AY145" s="72">
        <f t="shared" si="265"/>
        <v>24.956</v>
      </c>
      <c r="AZ145" s="72">
        <f t="shared" si="266"/>
        <v>31.381999999999998</v>
      </c>
      <c r="BA145" s="72">
        <f t="shared" si="267"/>
        <v>35.533000000000001</v>
      </c>
      <c r="BB145" s="72">
        <f t="shared" si="272"/>
        <v>40.454999999999998</v>
      </c>
      <c r="BC145" s="72">
        <f t="shared" si="268"/>
        <v>52.756</v>
      </c>
      <c r="BD145" s="72">
        <f t="shared" si="269"/>
        <v>43.478093833777137</v>
      </c>
      <c r="BE145" s="72">
        <f t="shared" si="270"/>
        <v>46.337164283291379</v>
      </c>
    </row>
    <row r="146" spans="1:57" s="45" customFormat="1" ht="12" customHeight="1">
      <c r="A146" s="562" t="s">
        <v>160</v>
      </c>
      <c r="B146" s="563">
        <f t="shared" ref="B146:S146" si="273">+SUM(B143:B145)</f>
        <v>1.5720000000000001</v>
      </c>
      <c r="C146" s="564">
        <f t="shared" si="273"/>
        <v>1.7989999999999999</v>
      </c>
      <c r="D146" s="564">
        <f t="shared" si="273"/>
        <v>1.9650000000000001</v>
      </c>
      <c r="E146" s="565">
        <f t="shared" si="273"/>
        <v>2.1429999999999998</v>
      </c>
      <c r="F146" s="566">
        <f t="shared" si="273"/>
        <v>2.3220000000000001</v>
      </c>
      <c r="G146" s="567">
        <f t="shared" si="273"/>
        <v>2.91</v>
      </c>
      <c r="H146" s="567">
        <f t="shared" si="273"/>
        <v>8.0910000000000011</v>
      </c>
      <c r="I146" s="568">
        <f t="shared" si="273"/>
        <v>7.8450000000000006</v>
      </c>
      <c r="J146" s="566">
        <f t="shared" si="273"/>
        <v>8.6669999999999998</v>
      </c>
      <c r="K146" s="567">
        <f t="shared" si="273"/>
        <v>10.631</v>
      </c>
      <c r="L146" s="567">
        <f t="shared" si="273"/>
        <v>9.8049999999999997</v>
      </c>
      <c r="M146" s="568">
        <f t="shared" si="273"/>
        <v>11.523</v>
      </c>
      <c r="N146" s="566">
        <f t="shared" si="273"/>
        <v>12.288</v>
      </c>
      <c r="O146" s="567">
        <f t="shared" si="273"/>
        <v>14.836</v>
      </c>
      <c r="P146" s="564">
        <f t="shared" si="273"/>
        <v>14.474</v>
      </c>
      <c r="Q146" s="568">
        <f t="shared" si="273"/>
        <v>14.817</v>
      </c>
      <c r="R146" s="569">
        <f t="shared" si="273"/>
        <v>16.015000000000001</v>
      </c>
      <c r="S146" s="570">
        <f t="shared" si="273"/>
        <v>19.266999999999999</v>
      </c>
      <c r="T146" s="570">
        <f>+SUM(T143:T145)</f>
        <v>19.715</v>
      </c>
      <c r="U146" s="571">
        <f t="shared" ref="U146:AA146" si="274">+SUM(U143:U145)</f>
        <v>19.962</v>
      </c>
      <c r="V146" s="570">
        <f t="shared" si="274"/>
        <v>23.884999999999998</v>
      </c>
      <c r="W146" s="570">
        <f t="shared" si="274"/>
        <v>29.798999999999999</v>
      </c>
      <c r="X146" s="570">
        <f t="shared" si="274"/>
        <v>30.302</v>
      </c>
      <c r="Y146" s="570">
        <f t="shared" si="274"/>
        <v>28.277999999999999</v>
      </c>
      <c r="Z146" s="569">
        <f t="shared" si="274"/>
        <v>31.492000000000001</v>
      </c>
      <c r="AA146" s="570">
        <f t="shared" si="274"/>
        <v>34.953999999999994</v>
      </c>
      <c r="AB146" s="570">
        <f>+SUM(AB143:AB145)</f>
        <v>33.823999999999998</v>
      </c>
      <c r="AC146" s="570">
        <f t="shared" ref="AC146:AS146" si="275">+SUM(AC143:AC145)</f>
        <v>33.81</v>
      </c>
      <c r="AD146" s="569">
        <f t="shared" si="275"/>
        <v>36.736999999999995</v>
      </c>
      <c r="AE146" s="570">
        <f t="shared" si="275"/>
        <v>38.11</v>
      </c>
      <c r="AF146" s="540">
        <f t="shared" si="275"/>
        <v>38.468000000000004</v>
      </c>
      <c r="AG146" s="543">
        <f t="shared" si="275"/>
        <v>37.522999999999996</v>
      </c>
      <c r="AH146" s="572">
        <f t="shared" si="275"/>
        <v>52.588000000000001</v>
      </c>
      <c r="AI146" s="570">
        <f t="shared" si="275"/>
        <v>43.066000000000003</v>
      </c>
      <c r="AJ146" s="540">
        <f t="shared" si="275"/>
        <v>41.387</v>
      </c>
      <c r="AK146" s="543">
        <f t="shared" si="275"/>
        <v>41.058</v>
      </c>
      <c r="AL146" s="569">
        <f t="shared" si="275"/>
        <v>50.096835249905624</v>
      </c>
      <c r="AM146" s="570">
        <f t="shared" si="275"/>
        <v>44.097609764176887</v>
      </c>
      <c r="AN146" s="570">
        <f t="shared" si="275"/>
        <v>44.630775323378728</v>
      </c>
      <c r="AO146" s="571">
        <f t="shared" si="275"/>
        <v>46.065880297155175</v>
      </c>
      <c r="AP146" s="569">
        <f t="shared" si="275"/>
        <v>53.398315840581972</v>
      </c>
      <c r="AQ146" s="570">
        <f t="shared" si="275"/>
        <v>47.000435811279822</v>
      </c>
      <c r="AR146" s="570">
        <f t="shared" si="275"/>
        <v>47.561775771334091</v>
      </c>
      <c r="AS146" s="571">
        <f t="shared" si="275"/>
        <v>49.088803611850942</v>
      </c>
      <c r="AU146" s="573">
        <f t="shared" si="271"/>
        <v>7.4790000000000001</v>
      </c>
      <c r="AV146" s="573">
        <f t="shared" si="262"/>
        <v>21.167999999999999</v>
      </c>
      <c r="AW146" s="573">
        <f t="shared" si="263"/>
        <v>40.626000000000005</v>
      </c>
      <c r="AX146" s="573">
        <f t="shared" si="264"/>
        <v>56.414999999999999</v>
      </c>
      <c r="AY146" s="574">
        <f t="shared" si="265"/>
        <v>74.959000000000003</v>
      </c>
      <c r="AZ146" s="574">
        <f t="shared" si="266"/>
        <v>112.26399999999998</v>
      </c>
      <c r="BA146" s="574">
        <f t="shared" si="267"/>
        <v>134.07999999999998</v>
      </c>
      <c r="BB146" s="574">
        <f t="shared" si="272"/>
        <v>150.83799999999999</v>
      </c>
      <c r="BC146" s="574">
        <f t="shared" si="268"/>
        <v>178.09899999999999</v>
      </c>
      <c r="BD146" s="574">
        <f t="shared" si="269"/>
        <v>184.89110063461641</v>
      </c>
      <c r="BE146" s="574">
        <f t="shared" si="270"/>
        <v>197.04933103504683</v>
      </c>
    </row>
    <row r="147" spans="1:57" s="33" customFormat="1" ht="12" customHeight="1">
      <c r="A147" s="575" t="s">
        <v>161</v>
      </c>
      <c r="B147" s="576">
        <f>+B146+B142</f>
        <v>1.6260000000000001</v>
      </c>
      <c r="C147" s="577">
        <f t="shared" ref="C147:AK147" si="276">+C146+C142</f>
        <v>1.849</v>
      </c>
      <c r="D147" s="577">
        <f t="shared" si="276"/>
        <v>2.028</v>
      </c>
      <c r="E147" s="578">
        <f t="shared" si="276"/>
        <v>2.2569999999999997</v>
      </c>
      <c r="F147" s="413">
        <f t="shared" si="276"/>
        <v>2.399</v>
      </c>
      <c r="G147" s="414">
        <f t="shared" si="276"/>
        <v>3.024</v>
      </c>
      <c r="H147" s="414">
        <f t="shared" si="276"/>
        <v>8.7830000000000013</v>
      </c>
      <c r="I147" s="415">
        <f t="shared" si="276"/>
        <v>8.6690000000000005</v>
      </c>
      <c r="J147" s="413">
        <f t="shared" si="276"/>
        <v>9.3189999999999991</v>
      </c>
      <c r="K147" s="414">
        <f t="shared" si="276"/>
        <v>11.373000000000001</v>
      </c>
      <c r="L147" s="414">
        <f t="shared" si="276"/>
        <v>10.498999999999999</v>
      </c>
      <c r="M147" s="415">
        <f t="shared" si="276"/>
        <v>12.251999999999999</v>
      </c>
      <c r="N147" s="579">
        <f t="shared" si="276"/>
        <v>13.035</v>
      </c>
      <c r="O147" s="580">
        <f t="shared" si="276"/>
        <v>15.666</v>
      </c>
      <c r="P147" s="581">
        <f t="shared" si="276"/>
        <v>15.3</v>
      </c>
      <c r="Q147" s="582">
        <f t="shared" si="276"/>
        <v>15.572000000000001</v>
      </c>
      <c r="R147" s="492">
        <f t="shared" si="276"/>
        <v>16.952000000000002</v>
      </c>
      <c r="S147" s="75">
        <f t="shared" si="276"/>
        <v>20.469000000000001</v>
      </c>
      <c r="T147" s="75">
        <f t="shared" si="276"/>
        <v>20.911999999999999</v>
      </c>
      <c r="U147" s="493">
        <f t="shared" si="276"/>
        <v>21.071999999999999</v>
      </c>
      <c r="V147" s="414">
        <f t="shared" si="276"/>
        <v>25.397999999999996</v>
      </c>
      <c r="W147" s="75">
        <f t="shared" si="276"/>
        <v>31.913</v>
      </c>
      <c r="X147" s="414">
        <f t="shared" si="276"/>
        <v>32.643000000000001</v>
      </c>
      <c r="Y147" s="493">
        <f t="shared" si="276"/>
        <v>30.678999999999998</v>
      </c>
      <c r="Z147" s="414">
        <f t="shared" si="276"/>
        <v>34.117000000000004</v>
      </c>
      <c r="AA147" s="414">
        <f t="shared" si="276"/>
        <v>37.859999999999992</v>
      </c>
      <c r="AB147" s="414">
        <f t="shared" si="276"/>
        <v>36.835000000000001</v>
      </c>
      <c r="AC147" s="493">
        <f t="shared" si="276"/>
        <v>36.515000000000001</v>
      </c>
      <c r="AD147" s="413">
        <f t="shared" si="276"/>
        <v>39.718999999999994</v>
      </c>
      <c r="AE147" s="414">
        <f t="shared" si="276"/>
        <v>41.397999999999996</v>
      </c>
      <c r="AF147" s="414">
        <f t="shared" si="276"/>
        <v>41.684000000000005</v>
      </c>
      <c r="AG147" s="415">
        <f t="shared" si="276"/>
        <v>40.713999999999999</v>
      </c>
      <c r="AH147" s="583">
        <f t="shared" si="276"/>
        <v>55.902999999999999</v>
      </c>
      <c r="AI147" s="414">
        <f t="shared" si="276"/>
        <v>46.526000000000003</v>
      </c>
      <c r="AJ147" s="414">
        <f t="shared" si="276"/>
        <v>44.881999999999998</v>
      </c>
      <c r="AK147" s="415">
        <f t="shared" si="276"/>
        <v>44.502000000000002</v>
      </c>
      <c r="AL147" s="413">
        <f t="shared" ref="AL147:AS147" si="277">AL$9*AL148</f>
        <v>54.299024850000009</v>
      </c>
      <c r="AM147" s="414">
        <f t="shared" si="277"/>
        <v>47.796576299999998</v>
      </c>
      <c r="AN147" s="414">
        <f t="shared" si="277"/>
        <v>48.374464500000002</v>
      </c>
      <c r="AO147" s="415">
        <f t="shared" si="277"/>
        <v>49.929947999999996</v>
      </c>
      <c r="AP147" s="413">
        <f t="shared" si="277"/>
        <v>57.877438051965001</v>
      </c>
      <c r="AQ147" s="414">
        <f t="shared" si="277"/>
        <v>50.942895281639991</v>
      </c>
      <c r="AR147" s="414">
        <f t="shared" si="277"/>
        <v>51.551321188950013</v>
      </c>
      <c r="AS147" s="415">
        <f t="shared" si="277"/>
        <v>53.206438168800005</v>
      </c>
      <c r="AU147" s="584">
        <f t="shared" si="271"/>
        <v>7.76</v>
      </c>
      <c r="AV147" s="584">
        <f t="shared" si="262"/>
        <v>22.875</v>
      </c>
      <c r="AW147" s="584">
        <f t="shared" si="263"/>
        <v>43.442999999999998</v>
      </c>
      <c r="AX147" s="584">
        <f t="shared" si="264"/>
        <v>59.573000000000008</v>
      </c>
      <c r="AY147" s="79">
        <f t="shared" si="265"/>
        <v>79.405000000000001</v>
      </c>
      <c r="AZ147" s="79">
        <f t="shared" si="266"/>
        <v>120.633</v>
      </c>
      <c r="BA147" s="79">
        <f>SUM(Z147:AC147)</f>
        <v>145.327</v>
      </c>
      <c r="BB147" s="79">
        <f t="shared" si="272"/>
        <v>163.51499999999999</v>
      </c>
      <c r="BC147" s="79">
        <f t="shared" si="268"/>
        <v>191.81300000000002</v>
      </c>
      <c r="BD147" s="79">
        <f t="shared" si="269"/>
        <v>200.40001365000001</v>
      </c>
      <c r="BE147" s="79">
        <f t="shared" si="270"/>
        <v>213.57809269135498</v>
      </c>
    </row>
    <row r="148" spans="1:57" s="33" customFormat="1" ht="12" customHeight="1">
      <c r="A148" s="490" t="s">
        <v>162</v>
      </c>
      <c r="B148" s="333">
        <f t="shared" ref="B148:AK148" si="278">B147/B$110</f>
        <v>4.0166991922136311E-2</v>
      </c>
      <c r="C148" s="397">
        <f t="shared" si="278"/>
        <v>4.1880903304718109E-2</v>
      </c>
      <c r="D148" s="397">
        <f t="shared" si="278"/>
        <v>4.1404654961208653E-2</v>
      </c>
      <c r="E148" s="585">
        <f t="shared" si="278"/>
        <v>4.1705933440508519E-2</v>
      </c>
      <c r="F148" s="586">
        <f t="shared" si="278"/>
        <v>4.0587409274705194E-2</v>
      </c>
      <c r="G148" s="397">
        <f t="shared" si="278"/>
        <v>4.7553151339791169E-2</v>
      </c>
      <c r="H148" s="397">
        <f t="shared" si="278"/>
        <v>0.12648329493087559</v>
      </c>
      <c r="I148" s="585">
        <f t="shared" si="278"/>
        <v>0.1152470719612874</v>
      </c>
      <c r="J148" s="586">
        <f t="shared" si="278"/>
        <v>0.11605085864435062</v>
      </c>
      <c r="K148" s="397">
        <f t="shared" si="278"/>
        <v>0.13319825728473719</v>
      </c>
      <c r="L148" s="397">
        <f t="shared" si="278"/>
        <v>0.11430344467186342</v>
      </c>
      <c r="M148" s="585">
        <f t="shared" si="278"/>
        <v>0.12624550484806646</v>
      </c>
      <c r="N148" s="586">
        <f t="shared" si="278"/>
        <v>0.12698737432779986</v>
      </c>
      <c r="O148" s="397">
        <f t="shared" si="278"/>
        <v>0.14612579167793749</v>
      </c>
      <c r="P148" s="337">
        <f t="shared" si="278"/>
        <v>0.13626404944692827</v>
      </c>
      <c r="Q148" s="585">
        <f t="shared" si="278"/>
        <v>0.1318744601209329</v>
      </c>
      <c r="R148" s="586">
        <f t="shared" si="278"/>
        <v>0.13760968917679339</v>
      </c>
      <c r="S148" s="397">
        <f t="shared" si="278"/>
        <v>0.15714077338226148</v>
      </c>
      <c r="T148" s="397">
        <f t="shared" si="278"/>
        <v>0.15081059251139445</v>
      </c>
      <c r="U148" s="585">
        <f t="shared" si="278"/>
        <v>0.14140573621978553</v>
      </c>
      <c r="V148" s="397">
        <f t="shared" si="278"/>
        <v>0.15936699964861201</v>
      </c>
      <c r="W148" s="397">
        <f t="shared" si="278"/>
        <v>0.19418769509738895</v>
      </c>
      <c r="X148" s="397">
        <f t="shared" si="278"/>
        <v>0.18669038209675667</v>
      </c>
      <c r="Y148" s="585">
        <f t="shared" si="278"/>
        <v>0.1661638619733414</v>
      </c>
      <c r="Z148" s="397">
        <f t="shared" si="278"/>
        <v>0.18066712914175567</v>
      </c>
      <c r="AA148" s="397">
        <f t="shared" si="278"/>
        <v>0.19411800898295695</v>
      </c>
      <c r="AB148" s="397">
        <f t="shared" si="278"/>
        <v>0.18277766475296361</v>
      </c>
      <c r="AC148" s="585">
        <f t="shared" si="278"/>
        <v>0.17118599570569981</v>
      </c>
      <c r="AD148" s="587">
        <f t="shared" si="278"/>
        <v>0.18391746657961389</v>
      </c>
      <c r="AE148" s="588">
        <f t="shared" si="278"/>
        <v>0.18711721606754622</v>
      </c>
      <c r="AF148" s="588">
        <f t="shared" si="278"/>
        <v>0.18355879658986826</v>
      </c>
      <c r="AG148" s="588">
        <f t="shared" si="278"/>
        <v>0.17271381362654889</v>
      </c>
      <c r="AH148" s="589">
        <f t="shared" si="278"/>
        <v>0.23376976377557634</v>
      </c>
      <c r="AI148" s="588">
        <f t="shared" si="278"/>
        <v>0.18813967124284761</v>
      </c>
      <c r="AJ148" s="588">
        <f t="shared" si="278"/>
        <v>0.17779274282997939</v>
      </c>
      <c r="AK148" s="588">
        <f t="shared" si="278"/>
        <v>0.17081137514249634</v>
      </c>
      <c r="AL148" s="590">
        <v>0.21</v>
      </c>
      <c r="AM148" s="591">
        <v>0.18</v>
      </c>
      <c r="AN148" s="591">
        <v>0.18</v>
      </c>
      <c r="AO148" s="591">
        <v>0.18</v>
      </c>
      <c r="AP148" s="590">
        <v>0.21</v>
      </c>
      <c r="AQ148" s="591">
        <v>0.18</v>
      </c>
      <c r="AR148" s="591">
        <v>0.18</v>
      </c>
      <c r="AS148" s="591">
        <v>0.18</v>
      </c>
      <c r="AT148" s="592"/>
      <c r="AU148" s="593">
        <f t="shared" ref="AU148:BD148" si="279">AU147/AU$110</f>
        <v>4.1336621796544973E-2</v>
      </c>
      <c r="AV148" s="593">
        <f t="shared" si="279"/>
        <v>8.5558797127468583E-2</v>
      </c>
      <c r="AW148" s="593">
        <f t="shared" si="279"/>
        <v>0.12251752748275453</v>
      </c>
      <c r="AX148" s="593">
        <f t="shared" si="279"/>
        <v>0.13532521165505509</v>
      </c>
      <c r="AY148" s="593">
        <f t="shared" si="279"/>
        <v>0.14673923086873764</v>
      </c>
      <c r="AZ148" s="593">
        <f t="shared" si="279"/>
        <v>0.17657287639913288</v>
      </c>
      <c r="BA148" s="593">
        <f t="shared" si="279"/>
        <v>0.18195214783838939</v>
      </c>
      <c r="BB148" s="593">
        <f t="shared" si="279"/>
        <v>0.18167909415446973</v>
      </c>
      <c r="BC148" s="593">
        <f t="shared" si="279"/>
        <v>0.19192719668202582</v>
      </c>
      <c r="BD148" s="593">
        <f t="shared" si="279"/>
        <v>0.18724791747323305</v>
      </c>
      <c r="BE148" s="593">
        <f>BE147/BE$110</f>
        <v>0.18724892989020062</v>
      </c>
    </row>
    <row r="149" spans="1:57" s="33" customFormat="1" ht="12" customHeight="1">
      <c r="A149" s="557"/>
      <c r="B149" s="420"/>
      <c r="C149" s="421"/>
      <c r="D149" s="421"/>
      <c r="E149" s="422"/>
      <c r="F149" s="420"/>
      <c r="G149" s="421"/>
      <c r="H149" s="421"/>
      <c r="I149" s="422"/>
      <c r="J149" s="420"/>
      <c r="K149" s="421"/>
      <c r="L149" s="421"/>
      <c r="M149" s="422"/>
      <c r="N149" s="420"/>
      <c r="O149" s="421"/>
      <c r="P149" s="423"/>
      <c r="Q149" s="422"/>
      <c r="R149" s="420"/>
      <c r="S149" s="559"/>
      <c r="T149" s="559"/>
      <c r="U149" s="560"/>
      <c r="V149" s="559"/>
      <c r="W149" s="559"/>
      <c r="X149" s="559"/>
      <c r="Y149" s="559"/>
      <c r="Z149" s="558"/>
      <c r="AA149" s="559"/>
      <c r="AB149" s="559"/>
      <c r="AC149" s="560"/>
      <c r="AD149" s="558"/>
      <c r="AE149" s="559"/>
      <c r="AF149" s="559"/>
      <c r="AG149" s="560"/>
      <c r="AH149" s="558"/>
      <c r="AI149" s="559"/>
      <c r="AJ149" s="559"/>
      <c r="AK149" s="560"/>
      <c r="AL149" s="558"/>
      <c r="AM149" s="559"/>
      <c r="AN149" s="559"/>
      <c r="AO149" s="560"/>
      <c r="AP149" s="558"/>
      <c r="AQ149" s="559"/>
      <c r="AR149" s="559"/>
      <c r="AS149" s="560"/>
      <c r="AU149" s="139"/>
      <c r="AV149" s="561"/>
      <c r="AW149" s="561"/>
      <c r="AX149" s="561"/>
      <c r="AY149" s="139"/>
      <c r="AZ149" s="139"/>
      <c r="BA149" s="139"/>
      <c r="BB149" s="139"/>
      <c r="BC149" s="139"/>
      <c r="BD149" s="139"/>
      <c r="BE149" s="139"/>
    </row>
    <row r="150" spans="1:57" s="33" customFormat="1" ht="12" customHeight="1">
      <c r="A150" s="557" t="s">
        <v>136</v>
      </c>
      <c r="B150" s="420"/>
      <c r="C150" s="421"/>
      <c r="D150" s="421"/>
      <c r="E150" s="422"/>
      <c r="F150" s="420"/>
      <c r="G150" s="421"/>
      <c r="H150" s="421"/>
      <c r="I150" s="422"/>
      <c r="J150" s="420"/>
      <c r="K150" s="421"/>
      <c r="L150" s="421"/>
      <c r="M150" s="422"/>
      <c r="N150" s="420"/>
      <c r="O150" s="421"/>
      <c r="P150" s="423"/>
      <c r="Q150" s="422"/>
      <c r="R150" s="289"/>
      <c r="S150" s="70"/>
      <c r="T150" s="559"/>
      <c r="U150" s="560"/>
      <c r="V150" s="559"/>
      <c r="W150" s="559"/>
      <c r="X150" s="559"/>
      <c r="Y150" s="559"/>
      <c r="Z150" s="558"/>
      <c r="AA150" s="559"/>
      <c r="AB150" s="559"/>
      <c r="AC150" s="559"/>
      <c r="AD150" s="558"/>
      <c r="AE150" s="559"/>
      <c r="AF150" s="559"/>
      <c r="AG150" s="594"/>
      <c r="AH150" s="558"/>
      <c r="AI150" s="559"/>
      <c r="AJ150" s="559"/>
      <c r="AK150" s="594"/>
      <c r="AL150" s="558"/>
      <c r="AM150" s="559"/>
      <c r="AN150" s="559"/>
      <c r="AO150" s="560"/>
      <c r="AP150" s="558"/>
      <c r="AQ150" s="559"/>
      <c r="AR150" s="559"/>
      <c r="AS150" s="560"/>
      <c r="AU150" s="139"/>
      <c r="AV150" s="561"/>
      <c r="AW150" s="561"/>
      <c r="AX150" s="561"/>
      <c r="AY150" s="139"/>
      <c r="AZ150" s="139"/>
      <c r="BA150" s="139"/>
      <c r="BB150" s="139"/>
      <c r="BC150" s="139"/>
      <c r="BD150" s="139"/>
      <c r="BE150" s="139"/>
    </row>
    <row r="151" spans="1:57" s="45" customFormat="1" ht="12" customHeight="1">
      <c r="A151" s="490" t="s">
        <v>134</v>
      </c>
      <c r="B151" s="420">
        <v>0.15100000000000002</v>
      </c>
      <c r="C151" s="421">
        <v>0.151</v>
      </c>
      <c r="D151" s="421">
        <v>0.151</v>
      </c>
      <c r="E151" s="422">
        <v>0.15</v>
      </c>
      <c r="F151" s="420">
        <v>0.151</v>
      </c>
      <c r="G151" s="421">
        <v>0.151</v>
      </c>
      <c r="H151" s="421">
        <v>0.151</v>
      </c>
      <c r="I151" s="422">
        <v>0.15</v>
      </c>
      <c r="J151" s="420">
        <v>0.151</v>
      </c>
      <c r="K151" s="421">
        <v>0.151</v>
      </c>
      <c r="L151" s="421">
        <v>0.125</v>
      </c>
      <c r="M151" s="422">
        <v>0.193</v>
      </c>
      <c r="N151" s="420">
        <v>0.57899999999999996</v>
      </c>
      <c r="O151" s="421">
        <v>0.57799999999999996</v>
      </c>
      <c r="P151" s="421">
        <v>0.57899999999999996</v>
      </c>
      <c r="Q151" s="422">
        <v>0.57799999999999996</v>
      </c>
      <c r="R151" s="420">
        <v>0.57899999999999996</v>
      </c>
      <c r="S151" s="421">
        <v>1.4039999999999999</v>
      </c>
      <c r="T151" s="421">
        <v>1.7210000000000001</v>
      </c>
      <c r="U151" s="422">
        <v>2.7429999999999999</v>
      </c>
      <c r="V151" s="421">
        <v>2.427</v>
      </c>
      <c r="W151" s="421">
        <v>2.7850000000000001</v>
      </c>
      <c r="X151" s="421">
        <v>3.08</v>
      </c>
      <c r="Y151" s="422">
        <v>3.08</v>
      </c>
      <c r="Z151" s="421">
        <v>3.08</v>
      </c>
      <c r="AA151" s="421">
        <v>3.073</v>
      </c>
      <c r="AB151" s="421">
        <v>3.0550000000000002</v>
      </c>
      <c r="AC151" s="422">
        <v>4.6509999999999998</v>
      </c>
      <c r="AD151" s="420">
        <v>4.6689999999999996</v>
      </c>
      <c r="AE151" s="423">
        <v>4.76</v>
      </c>
      <c r="AF151" s="423">
        <v>5.0140000000000002</v>
      </c>
      <c r="AG151" s="423">
        <v>5.0140000000000002</v>
      </c>
      <c r="AH151" s="429">
        <v>5.8639999999999999</v>
      </c>
      <c r="AI151" s="423">
        <v>6.5369999999999999</v>
      </c>
      <c r="AJ151" s="423">
        <v>6.782</v>
      </c>
      <c r="AK151" s="423">
        <v>6.782</v>
      </c>
      <c r="AL151" s="595">
        <f t="shared" ref="AL151:AS154" si="280">AK151</f>
        <v>6.782</v>
      </c>
      <c r="AM151" s="596">
        <f t="shared" si="280"/>
        <v>6.782</v>
      </c>
      <c r="AN151" s="596">
        <f t="shared" si="280"/>
        <v>6.782</v>
      </c>
      <c r="AO151" s="596">
        <f t="shared" si="280"/>
        <v>6.782</v>
      </c>
      <c r="AP151" s="595">
        <f t="shared" si="280"/>
        <v>6.782</v>
      </c>
      <c r="AQ151" s="596">
        <f t="shared" si="280"/>
        <v>6.782</v>
      </c>
      <c r="AR151" s="596">
        <f t="shared" si="280"/>
        <v>6.782</v>
      </c>
      <c r="AS151" s="596">
        <f t="shared" si="280"/>
        <v>6.782</v>
      </c>
      <c r="AT151" s="512"/>
      <c r="AU151" s="561">
        <f t="shared" ref="AU151:AU156" si="281">SUM(B151:E151)</f>
        <v>0.60300000000000009</v>
      </c>
      <c r="AV151" s="561"/>
      <c r="AW151" s="561"/>
      <c r="AX151" s="561">
        <f>+SUM(N151:Q151)</f>
        <v>2.3140000000000001</v>
      </c>
      <c r="AY151" s="561">
        <f>SUM(R151:U151)</f>
        <v>6.4469999999999992</v>
      </c>
      <c r="AZ151" s="561">
        <f>SUM(V151:Y151)</f>
        <v>11.372</v>
      </c>
      <c r="BA151" s="561">
        <f>SUM(Z151:AC151)</f>
        <v>13.859</v>
      </c>
      <c r="BB151" s="561">
        <f t="shared" ref="BB151:BB156" si="282">SUM(AD151:AG151)</f>
        <v>19.456999999999997</v>
      </c>
      <c r="BC151" s="561">
        <f t="shared" ref="BC151:BC156" si="283">SUM(AH151:AK151)</f>
        <v>25.965</v>
      </c>
      <c r="BD151" s="561">
        <f t="shared" ref="BD151:BD156" si="284">SUM(AL151:AO151)</f>
        <v>27.128</v>
      </c>
      <c r="BE151" s="561">
        <f t="shared" ref="BE151:BE156" si="285">SUM(AP151:AS151)</f>
        <v>27.128</v>
      </c>
    </row>
    <row r="152" spans="1:57" s="33" customFormat="1" ht="12" customHeight="1">
      <c r="A152" s="152" t="s">
        <v>95</v>
      </c>
      <c r="B152" s="420">
        <v>0</v>
      </c>
      <c r="C152" s="421">
        <v>0</v>
      </c>
      <c r="D152" s="421">
        <v>0</v>
      </c>
      <c r="E152" s="422">
        <v>0</v>
      </c>
      <c r="F152" s="420">
        <f t="shared" ref="F152:S154" si="286">E152</f>
        <v>0</v>
      </c>
      <c r="G152" s="421">
        <f t="shared" si="286"/>
        <v>0</v>
      </c>
      <c r="H152" s="421">
        <f t="shared" si="286"/>
        <v>0</v>
      </c>
      <c r="I152" s="422">
        <f t="shared" si="286"/>
        <v>0</v>
      </c>
      <c r="J152" s="420">
        <f t="shared" si="286"/>
        <v>0</v>
      </c>
      <c r="K152" s="421">
        <f t="shared" si="286"/>
        <v>0</v>
      </c>
      <c r="L152" s="421">
        <f t="shared" si="286"/>
        <v>0</v>
      </c>
      <c r="M152" s="422">
        <f t="shared" si="286"/>
        <v>0</v>
      </c>
      <c r="N152" s="420">
        <f t="shared" si="286"/>
        <v>0</v>
      </c>
      <c r="O152" s="421">
        <f t="shared" si="286"/>
        <v>0</v>
      </c>
      <c r="P152" s="421">
        <f t="shared" si="286"/>
        <v>0</v>
      </c>
      <c r="Q152" s="422">
        <f t="shared" si="286"/>
        <v>0</v>
      </c>
      <c r="R152" s="289">
        <f t="shared" si="286"/>
        <v>0</v>
      </c>
      <c r="S152" s="70">
        <f t="shared" si="286"/>
        <v>0</v>
      </c>
      <c r="T152" s="421">
        <v>0</v>
      </c>
      <c r="U152" s="422">
        <v>0</v>
      </c>
      <c r="V152" s="421">
        <v>0</v>
      </c>
      <c r="W152" s="421">
        <v>0</v>
      </c>
      <c r="X152" s="421">
        <v>0</v>
      </c>
      <c r="Y152" s="422">
        <v>0</v>
      </c>
      <c r="Z152" s="421">
        <v>0</v>
      </c>
      <c r="AA152" s="421">
        <v>0</v>
      </c>
      <c r="AB152" s="421">
        <v>0</v>
      </c>
      <c r="AC152" s="422">
        <v>0</v>
      </c>
      <c r="AD152" s="420">
        <v>0</v>
      </c>
      <c r="AE152" s="423">
        <v>0</v>
      </c>
      <c r="AF152" s="423">
        <v>0</v>
      </c>
      <c r="AG152" s="424">
        <v>0</v>
      </c>
      <c r="AH152" s="429">
        <v>0</v>
      </c>
      <c r="AI152" s="596">
        <f t="shared" ref="AI152:AI154" si="287">AH152</f>
        <v>0</v>
      </c>
      <c r="AJ152" s="423">
        <v>0</v>
      </c>
      <c r="AK152" s="424">
        <v>0</v>
      </c>
      <c r="AL152" s="595">
        <f t="shared" si="280"/>
        <v>0</v>
      </c>
      <c r="AM152" s="596">
        <f t="shared" si="280"/>
        <v>0</v>
      </c>
      <c r="AN152" s="596">
        <f t="shared" si="280"/>
        <v>0</v>
      </c>
      <c r="AO152" s="597">
        <f t="shared" si="280"/>
        <v>0</v>
      </c>
      <c r="AP152" s="595">
        <f t="shared" si="280"/>
        <v>0</v>
      </c>
      <c r="AQ152" s="596">
        <f t="shared" si="280"/>
        <v>0</v>
      </c>
      <c r="AR152" s="596">
        <f t="shared" si="280"/>
        <v>0</v>
      </c>
      <c r="AS152" s="597">
        <f t="shared" si="280"/>
        <v>0</v>
      </c>
      <c r="AU152" s="561">
        <f t="shared" si="281"/>
        <v>0</v>
      </c>
      <c r="AV152" s="561">
        <f t="shared" ref="AV152:AV156" si="288">+SUM(F152:I152)</f>
        <v>0</v>
      </c>
      <c r="AW152" s="561">
        <f t="shared" ref="AW152:AW156" si="289">SUM(J152:M152)</f>
        <v>0</v>
      </c>
      <c r="AX152" s="561">
        <f>+SUM(N152:Q152)</f>
        <v>0</v>
      </c>
      <c r="AY152" s="561">
        <f>SUM(R152:U152)</f>
        <v>0</v>
      </c>
      <c r="AZ152" s="561">
        <f>SUM(V152:Y152)</f>
        <v>0</v>
      </c>
      <c r="BA152" s="561">
        <f>SUM(Z152:AC152)</f>
        <v>0</v>
      </c>
      <c r="BB152" s="561">
        <f t="shared" si="282"/>
        <v>0</v>
      </c>
      <c r="BC152" s="561">
        <f t="shared" si="283"/>
        <v>0</v>
      </c>
      <c r="BD152" s="561">
        <f t="shared" si="284"/>
        <v>0</v>
      </c>
      <c r="BE152" s="561">
        <f t="shared" si="285"/>
        <v>0</v>
      </c>
    </row>
    <row r="153" spans="1:57" s="33" customFormat="1" ht="12" customHeight="1">
      <c r="A153" s="152" t="s">
        <v>96</v>
      </c>
      <c r="B153" s="420">
        <v>0</v>
      </c>
      <c r="C153" s="421">
        <v>0</v>
      </c>
      <c r="D153" s="421">
        <v>0</v>
      </c>
      <c r="E153" s="422">
        <v>0</v>
      </c>
      <c r="F153" s="420">
        <f t="shared" si="286"/>
        <v>0</v>
      </c>
      <c r="G153" s="421">
        <f t="shared" si="286"/>
        <v>0</v>
      </c>
      <c r="H153" s="421">
        <f t="shared" si="286"/>
        <v>0</v>
      </c>
      <c r="I153" s="422">
        <f t="shared" si="286"/>
        <v>0</v>
      </c>
      <c r="J153" s="420">
        <f t="shared" si="286"/>
        <v>0</v>
      </c>
      <c r="K153" s="421">
        <f t="shared" si="286"/>
        <v>0</v>
      </c>
      <c r="L153" s="421">
        <f t="shared" si="286"/>
        <v>0</v>
      </c>
      <c r="M153" s="422">
        <f t="shared" si="286"/>
        <v>0</v>
      </c>
      <c r="N153" s="420">
        <f t="shared" si="286"/>
        <v>0</v>
      </c>
      <c r="O153" s="421">
        <f t="shared" si="286"/>
        <v>0</v>
      </c>
      <c r="P153" s="421">
        <f t="shared" si="286"/>
        <v>0</v>
      </c>
      <c r="Q153" s="422">
        <f t="shared" si="286"/>
        <v>0</v>
      </c>
      <c r="R153" s="289">
        <f t="shared" si="286"/>
        <v>0</v>
      </c>
      <c r="S153" s="70">
        <f t="shared" si="286"/>
        <v>0</v>
      </c>
      <c r="T153" s="421">
        <v>0</v>
      </c>
      <c r="U153" s="422">
        <v>0</v>
      </c>
      <c r="V153" s="421">
        <v>0</v>
      </c>
      <c r="W153" s="421">
        <v>0</v>
      </c>
      <c r="X153" s="421">
        <v>0</v>
      </c>
      <c r="Y153" s="422">
        <v>0</v>
      </c>
      <c r="Z153" s="421">
        <v>0</v>
      </c>
      <c r="AA153" s="421">
        <v>0</v>
      </c>
      <c r="AB153" s="421">
        <v>0</v>
      </c>
      <c r="AC153" s="422">
        <v>0</v>
      </c>
      <c r="AD153" s="420">
        <v>0</v>
      </c>
      <c r="AE153" s="423">
        <v>0</v>
      </c>
      <c r="AF153" s="423">
        <v>0</v>
      </c>
      <c r="AG153" s="424">
        <v>0</v>
      </c>
      <c r="AH153" s="429">
        <v>0</v>
      </c>
      <c r="AI153" s="596">
        <f t="shared" si="287"/>
        <v>0</v>
      </c>
      <c r="AJ153" s="423">
        <v>0</v>
      </c>
      <c r="AK153" s="424">
        <v>0</v>
      </c>
      <c r="AL153" s="595">
        <f t="shared" si="280"/>
        <v>0</v>
      </c>
      <c r="AM153" s="596">
        <f t="shared" si="280"/>
        <v>0</v>
      </c>
      <c r="AN153" s="596">
        <f t="shared" si="280"/>
        <v>0</v>
      </c>
      <c r="AO153" s="597">
        <f t="shared" si="280"/>
        <v>0</v>
      </c>
      <c r="AP153" s="595">
        <f t="shared" si="280"/>
        <v>0</v>
      </c>
      <c r="AQ153" s="596">
        <f t="shared" si="280"/>
        <v>0</v>
      </c>
      <c r="AR153" s="596">
        <f t="shared" si="280"/>
        <v>0</v>
      </c>
      <c r="AS153" s="597">
        <f t="shared" si="280"/>
        <v>0</v>
      </c>
      <c r="AU153" s="561">
        <f t="shared" si="281"/>
        <v>0</v>
      </c>
      <c r="AV153" s="561">
        <f t="shared" si="288"/>
        <v>0</v>
      </c>
      <c r="AW153" s="561">
        <f t="shared" si="289"/>
        <v>0</v>
      </c>
      <c r="AX153" s="561">
        <f t="shared" ref="AX153:AX155" si="290">+SUM(N153:Q153)</f>
        <v>0</v>
      </c>
      <c r="AY153" s="561">
        <f t="shared" ref="AY153:AY156" si="291">SUM(R153:U153)</f>
        <v>0</v>
      </c>
      <c r="AZ153" s="561">
        <f t="shared" ref="AZ153:AZ156" si="292">SUM(V153:Y153)</f>
        <v>0</v>
      </c>
      <c r="BA153" s="561">
        <f t="shared" ref="BA153:BA156" si="293">SUM(Z153:AC153)</f>
        <v>0</v>
      </c>
      <c r="BB153" s="561">
        <f t="shared" si="282"/>
        <v>0</v>
      </c>
      <c r="BC153" s="561">
        <f t="shared" si="283"/>
        <v>0</v>
      </c>
      <c r="BD153" s="561">
        <f t="shared" si="284"/>
        <v>0</v>
      </c>
      <c r="BE153" s="561">
        <f t="shared" si="285"/>
        <v>0</v>
      </c>
    </row>
    <row r="154" spans="1:57" s="33" customFormat="1" ht="12" customHeight="1">
      <c r="A154" s="152" t="s">
        <v>97</v>
      </c>
      <c r="B154" s="420">
        <v>0</v>
      </c>
      <c r="C154" s="421">
        <v>0</v>
      </c>
      <c r="D154" s="421">
        <v>0</v>
      </c>
      <c r="E154" s="422">
        <v>0</v>
      </c>
      <c r="F154" s="420">
        <f t="shared" si="286"/>
        <v>0</v>
      </c>
      <c r="G154" s="421">
        <f t="shared" si="286"/>
        <v>0</v>
      </c>
      <c r="H154" s="421">
        <f t="shared" si="286"/>
        <v>0</v>
      </c>
      <c r="I154" s="422">
        <f t="shared" si="286"/>
        <v>0</v>
      </c>
      <c r="J154" s="420">
        <f t="shared" si="286"/>
        <v>0</v>
      </c>
      <c r="K154" s="421">
        <f t="shared" si="286"/>
        <v>0</v>
      </c>
      <c r="L154" s="421">
        <f t="shared" si="286"/>
        <v>0</v>
      </c>
      <c r="M154" s="422">
        <f t="shared" si="286"/>
        <v>0</v>
      </c>
      <c r="N154" s="420">
        <f t="shared" si="286"/>
        <v>0</v>
      </c>
      <c r="O154" s="421">
        <f t="shared" si="286"/>
        <v>0</v>
      </c>
      <c r="P154" s="421">
        <f t="shared" si="286"/>
        <v>0</v>
      </c>
      <c r="Q154" s="422">
        <f t="shared" si="286"/>
        <v>0</v>
      </c>
      <c r="R154" s="289">
        <f t="shared" si="286"/>
        <v>0</v>
      </c>
      <c r="S154" s="70">
        <f t="shared" si="286"/>
        <v>0</v>
      </c>
      <c r="T154" s="421">
        <v>0</v>
      </c>
      <c r="U154" s="422">
        <v>0</v>
      </c>
      <c r="V154" s="421">
        <v>0</v>
      </c>
      <c r="W154" s="421">
        <v>0</v>
      </c>
      <c r="X154" s="421">
        <v>0</v>
      </c>
      <c r="Y154" s="422">
        <v>0</v>
      </c>
      <c r="Z154" s="421">
        <v>0</v>
      </c>
      <c r="AA154" s="421">
        <v>0</v>
      </c>
      <c r="AB154" s="421">
        <v>0</v>
      </c>
      <c r="AC154" s="422">
        <v>0</v>
      </c>
      <c r="AD154" s="420">
        <v>0</v>
      </c>
      <c r="AE154" s="423">
        <v>0</v>
      </c>
      <c r="AF154" s="423">
        <v>0</v>
      </c>
      <c r="AG154" s="424">
        <v>0</v>
      </c>
      <c r="AH154" s="429">
        <v>0</v>
      </c>
      <c r="AI154" s="596">
        <f t="shared" si="287"/>
        <v>0</v>
      </c>
      <c r="AJ154" s="423">
        <v>0</v>
      </c>
      <c r="AK154" s="424">
        <v>0</v>
      </c>
      <c r="AL154" s="595">
        <f t="shared" si="280"/>
        <v>0</v>
      </c>
      <c r="AM154" s="596">
        <f t="shared" si="280"/>
        <v>0</v>
      </c>
      <c r="AN154" s="596">
        <f t="shared" si="280"/>
        <v>0</v>
      </c>
      <c r="AO154" s="597">
        <f t="shared" si="280"/>
        <v>0</v>
      </c>
      <c r="AP154" s="595">
        <f t="shared" si="280"/>
        <v>0</v>
      </c>
      <c r="AQ154" s="596">
        <f t="shared" si="280"/>
        <v>0</v>
      </c>
      <c r="AR154" s="596">
        <f t="shared" si="280"/>
        <v>0</v>
      </c>
      <c r="AS154" s="597">
        <f t="shared" si="280"/>
        <v>0</v>
      </c>
      <c r="AU154" s="561">
        <f t="shared" si="281"/>
        <v>0</v>
      </c>
      <c r="AV154" s="561">
        <f t="shared" si="288"/>
        <v>0</v>
      </c>
      <c r="AW154" s="561">
        <f t="shared" si="289"/>
        <v>0</v>
      </c>
      <c r="AX154" s="561">
        <f t="shared" si="290"/>
        <v>0</v>
      </c>
      <c r="AY154" s="561">
        <f t="shared" si="291"/>
        <v>0</v>
      </c>
      <c r="AZ154" s="561">
        <f t="shared" si="292"/>
        <v>0</v>
      </c>
      <c r="BA154" s="561">
        <f t="shared" si="293"/>
        <v>0</v>
      </c>
      <c r="BB154" s="561">
        <f t="shared" si="282"/>
        <v>0</v>
      </c>
      <c r="BC154" s="561">
        <f t="shared" si="283"/>
        <v>0</v>
      </c>
      <c r="BD154" s="561">
        <f t="shared" si="284"/>
        <v>0</v>
      </c>
      <c r="BE154" s="561">
        <f t="shared" si="285"/>
        <v>0</v>
      </c>
    </row>
    <row r="155" spans="1:57" s="45" customFormat="1" ht="12" customHeight="1">
      <c r="A155" s="562" t="s">
        <v>163</v>
      </c>
      <c r="B155" s="566">
        <f>+SUM(B152:B154)</f>
        <v>0</v>
      </c>
      <c r="C155" s="567">
        <f t="shared" ref="C155:E155" si="294">+SUM(C152:C154)</f>
        <v>0</v>
      </c>
      <c r="D155" s="567">
        <f t="shared" si="294"/>
        <v>0</v>
      </c>
      <c r="E155" s="568">
        <f t="shared" si="294"/>
        <v>0</v>
      </c>
      <c r="F155" s="566">
        <f>+SUM(F152:F154)</f>
        <v>0</v>
      </c>
      <c r="G155" s="567">
        <f t="shared" ref="G155:I155" si="295">+SUM(G152:G154)</f>
        <v>0</v>
      </c>
      <c r="H155" s="567">
        <f t="shared" si="295"/>
        <v>0</v>
      </c>
      <c r="I155" s="568">
        <f t="shared" si="295"/>
        <v>0</v>
      </c>
      <c r="J155" s="566">
        <f>+SUM(J152:J154)</f>
        <v>0</v>
      </c>
      <c r="K155" s="567">
        <f t="shared" ref="K155:M155" si="296">+SUM(K152:K154)</f>
        <v>0</v>
      </c>
      <c r="L155" s="567">
        <f t="shared" si="296"/>
        <v>0</v>
      </c>
      <c r="M155" s="568">
        <f t="shared" si="296"/>
        <v>0</v>
      </c>
      <c r="N155" s="566">
        <f>+SUM(N152:N154)</f>
        <v>0</v>
      </c>
      <c r="O155" s="567">
        <f t="shared" ref="O155:S155" si="297">+SUM(O152:O154)</f>
        <v>0</v>
      </c>
      <c r="P155" s="567">
        <f t="shared" si="297"/>
        <v>0</v>
      </c>
      <c r="Q155" s="568">
        <f t="shared" si="297"/>
        <v>0</v>
      </c>
      <c r="R155" s="569">
        <f t="shared" si="297"/>
        <v>0</v>
      </c>
      <c r="S155" s="570">
        <f t="shared" si="297"/>
        <v>0</v>
      </c>
      <c r="T155" s="570">
        <v>0</v>
      </c>
      <c r="U155" s="571">
        <f t="shared" ref="U155:AS155" si="298">+SUM(U152:U154)</f>
        <v>0</v>
      </c>
      <c r="V155" s="570">
        <f t="shared" si="298"/>
        <v>0</v>
      </c>
      <c r="W155" s="300">
        <f t="shared" si="298"/>
        <v>0</v>
      </c>
      <c r="X155" s="300">
        <f t="shared" si="298"/>
        <v>0</v>
      </c>
      <c r="Y155" s="571">
        <f t="shared" si="298"/>
        <v>0</v>
      </c>
      <c r="Z155" s="570">
        <f>+SUM(Z152:Z154)</f>
        <v>0</v>
      </c>
      <c r="AA155" s="570">
        <f t="shared" si="298"/>
        <v>0</v>
      </c>
      <c r="AB155" s="570">
        <f t="shared" si="298"/>
        <v>0</v>
      </c>
      <c r="AC155" s="571">
        <f t="shared" si="298"/>
        <v>0</v>
      </c>
      <c r="AD155" s="569">
        <f t="shared" si="298"/>
        <v>0</v>
      </c>
      <c r="AE155" s="540">
        <f t="shared" si="298"/>
        <v>0</v>
      </c>
      <c r="AF155" s="540">
        <f t="shared" si="298"/>
        <v>0</v>
      </c>
      <c r="AG155" s="543">
        <f t="shared" si="298"/>
        <v>0</v>
      </c>
      <c r="AH155" s="569">
        <f t="shared" si="298"/>
        <v>0</v>
      </c>
      <c r="AI155" s="570">
        <f t="shared" si="298"/>
        <v>0</v>
      </c>
      <c r="AJ155" s="540">
        <f t="shared" si="298"/>
        <v>0</v>
      </c>
      <c r="AK155" s="543">
        <f t="shared" si="298"/>
        <v>0</v>
      </c>
      <c r="AL155" s="569">
        <f t="shared" si="298"/>
        <v>0</v>
      </c>
      <c r="AM155" s="570">
        <f t="shared" si="298"/>
        <v>0</v>
      </c>
      <c r="AN155" s="570">
        <f t="shared" si="298"/>
        <v>0</v>
      </c>
      <c r="AO155" s="571">
        <f t="shared" si="298"/>
        <v>0</v>
      </c>
      <c r="AP155" s="569">
        <f t="shared" si="298"/>
        <v>0</v>
      </c>
      <c r="AQ155" s="570">
        <f t="shared" si="298"/>
        <v>0</v>
      </c>
      <c r="AR155" s="570">
        <f t="shared" si="298"/>
        <v>0</v>
      </c>
      <c r="AS155" s="571">
        <f t="shared" si="298"/>
        <v>0</v>
      </c>
      <c r="AU155" s="573">
        <f t="shared" si="281"/>
        <v>0</v>
      </c>
      <c r="AV155" s="573">
        <f t="shared" si="288"/>
        <v>0</v>
      </c>
      <c r="AW155" s="573">
        <f t="shared" si="289"/>
        <v>0</v>
      </c>
      <c r="AX155" s="573">
        <f t="shared" si="290"/>
        <v>0</v>
      </c>
      <c r="AY155" s="573">
        <f t="shared" si="291"/>
        <v>0</v>
      </c>
      <c r="AZ155" s="573">
        <f t="shared" si="292"/>
        <v>0</v>
      </c>
      <c r="BA155" s="573">
        <f t="shared" si="293"/>
        <v>0</v>
      </c>
      <c r="BB155" s="573">
        <f t="shared" si="282"/>
        <v>0</v>
      </c>
      <c r="BC155" s="573">
        <f t="shared" si="283"/>
        <v>0</v>
      </c>
      <c r="BD155" s="573">
        <f t="shared" si="284"/>
        <v>0</v>
      </c>
      <c r="BE155" s="573">
        <f t="shared" si="285"/>
        <v>0</v>
      </c>
    </row>
    <row r="156" spans="1:57" s="45" customFormat="1" ht="12" customHeight="1">
      <c r="A156" s="575" t="s">
        <v>164</v>
      </c>
      <c r="B156" s="413">
        <f>+B155+B151</f>
        <v>0.15100000000000002</v>
      </c>
      <c r="C156" s="414">
        <f t="shared" ref="C156:Y156" si="299">+C155+C151</f>
        <v>0.151</v>
      </c>
      <c r="D156" s="414">
        <f t="shared" si="299"/>
        <v>0.151</v>
      </c>
      <c r="E156" s="415">
        <f t="shared" si="299"/>
        <v>0.15</v>
      </c>
      <c r="F156" s="413">
        <f t="shared" si="299"/>
        <v>0.151</v>
      </c>
      <c r="G156" s="414">
        <f t="shared" si="299"/>
        <v>0.151</v>
      </c>
      <c r="H156" s="414">
        <f t="shared" si="299"/>
        <v>0.151</v>
      </c>
      <c r="I156" s="415">
        <f t="shared" si="299"/>
        <v>0.15</v>
      </c>
      <c r="J156" s="413">
        <f t="shared" si="299"/>
        <v>0.151</v>
      </c>
      <c r="K156" s="414">
        <f t="shared" si="299"/>
        <v>0.151</v>
      </c>
      <c r="L156" s="414">
        <f t="shared" si="299"/>
        <v>0.125</v>
      </c>
      <c r="M156" s="415">
        <f t="shared" si="299"/>
        <v>0.193</v>
      </c>
      <c r="N156" s="413">
        <f t="shared" si="299"/>
        <v>0.57899999999999996</v>
      </c>
      <c r="O156" s="414">
        <f t="shared" si="299"/>
        <v>0.57799999999999996</v>
      </c>
      <c r="P156" s="416">
        <f t="shared" si="299"/>
        <v>0.57899999999999996</v>
      </c>
      <c r="Q156" s="414">
        <f t="shared" si="299"/>
        <v>0.57799999999999996</v>
      </c>
      <c r="R156" s="492">
        <f t="shared" si="299"/>
        <v>0.57899999999999996</v>
      </c>
      <c r="S156" s="598">
        <f t="shared" si="299"/>
        <v>1.4039999999999999</v>
      </c>
      <c r="T156" s="598">
        <f t="shared" si="299"/>
        <v>1.7210000000000001</v>
      </c>
      <c r="U156" s="599">
        <f t="shared" si="299"/>
        <v>2.7429999999999999</v>
      </c>
      <c r="V156" s="598">
        <f t="shared" si="299"/>
        <v>2.427</v>
      </c>
      <c r="W156" s="598">
        <f t="shared" si="299"/>
        <v>2.7850000000000001</v>
      </c>
      <c r="X156" s="598">
        <f t="shared" si="299"/>
        <v>3.08</v>
      </c>
      <c r="Y156" s="599">
        <f t="shared" si="299"/>
        <v>3.08</v>
      </c>
      <c r="Z156" s="598">
        <f>Z151+Z155</f>
        <v>3.08</v>
      </c>
      <c r="AA156" s="75">
        <f t="shared" ref="AA156:AS156" si="300">AA151+AA155</f>
        <v>3.073</v>
      </c>
      <c r="AB156" s="75">
        <f t="shared" si="300"/>
        <v>3.0550000000000002</v>
      </c>
      <c r="AC156" s="75">
        <f>AC151+AC155</f>
        <v>4.6509999999999998</v>
      </c>
      <c r="AD156" s="600">
        <f t="shared" si="300"/>
        <v>4.6689999999999996</v>
      </c>
      <c r="AE156" s="77">
        <f t="shared" si="300"/>
        <v>4.76</v>
      </c>
      <c r="AF156" s="75">
        <f t="shared" si="300"/>
        <v>5.0140000000000002</v>
      </c>
      <c r="AG156" s="75">
        <f t="shared" si="300"/>
        <v>5.0140000000000002</v>
      </c>
      <c r="AH156" s="600">
        <f t="shared" si="300"/>
        <v>5.8639999999999999</v>
      </c>
      <c r="AI156" s="75">
        <f t="shared" si="300"/>
        <v>6.5369999999999999</v>
      </c>
      <c r="AJ156" s="75">
        <f t="shared" si="300"/>
        <v>6.782</v>
      </c>
      <c r="AK156" s="75">
        <f t="shared" si="300"/>
        <v>6.782</v>
      </c>
      <c r="AL156" s="600">
        <f t="shared" si="300"/>
        <v>6.782</v>
      </c>
      <c r="AM156" s="75">
        <f t="shared" si="300"/>
        <v>6.782</v>
      </c>
      <c r="AN156" s="75">
        <f t="shared" si="300"/>
        <v>6.782</v>
      </c>
      <c r="AO156" s="75">
        <f t="shared" si="300"/>
        <v>6.782</v>
      </c>
      <c r="AP156" s="600">
        <f t="shared" si="300"/>
        <v>6.782</v>
      </c>
      <c r="AQ156" s="75">
        <f t="shared" si="300"/>
        <v>6.782</v>
      </c>
      <c r="AR156" s="75">
        <f t="shared" si="300"/>
        <v>6.782</v>
      </c>
      <c r="AS156" s="75">
        <f t="shared" si="300"/>
        <v>6.782</v>
      </c>
      <c r="AT156" s="512"/>
      <c r="AU156" s="584">
        <f t="shared" si="281"/>
        <v>0.60300000000000009</v>
      </c>
      <c r="AV156" s="584">
        <f t="shared" si="288"/>
        <v>0.60299999999999998</v>
      </c>
      <c r="AW156" s="584">
        <f t="shared" si="289"/>
        <v>0.62</v>
      </c>
      <c r="AX156" s="584">
        <f>+SUM(N156:Q156)</f>
        <v>2.3140000000000001</v>
      </c>
      <c r="AY156" s="584">
        <f t="shared" si="291"/>
        <v>6.4469999999999992</v>
      </c>
      <c r="AZ156" s="584">
        <f t="shared" si="292"/>
        <v>11.372</v>
      </c>
      <c r="BA156" s="584">
        <f t="shared" si="293"/>
        <v>13.859</v>
      </c>
      <c r="BB156" s="584">
        <f t="shared" si="282"/>
        <v>19.456999999999997</v>
      </c>
      <c r="BC156" s="584">
        <f t="shared" si="283"/>
        <v>25.965</v>
      </c>
      <c r="BD156" s="584">
        <f t="shared" si="284"/>
        <v>27.128</v>
      </c>
      <c r="BE156" s="584">
        <f t="shared" si="285"/>
        <v>27.128</v>
      </c>
    </row>
    <row r="157" spans="1:57" s="45" customFormat="1" ht="12" customHeight="1">
      <c r="A157" s="490" t="s">
        <v>162</v>
      </c>
      <c r="B157" s="414"/>
      <c r="C157" s="414"/>
      <c r="D157" s="414"/>
      <c r="E157" s="415"/>
      <c r="F157" s="414"/>
      <c r="G157" s="414"/>
      <c r="H157" s="414"/>
      <c r="I157" s="414"/>
      <c r="J157" s="601">
        <f t="shared" ref="J157:Y157" si="301">J156/J110</f>
        <v>1.8804249013088254E-3</v>
      </c>
      <c r="K157" s="602">
        <f t="shared" si="301"/>
        <v>1.7684812142790217E-3</v>
      </c>
      <c r="L157" s="602">
        <f t="shared" si="301"/>
        <v>1.3608849017985455E-3</v>
      </c>
      <c r="M157" s="602">
        <f t="shared" si="301"/>
        <v>1.9886861276262511E-3</v>
      </c>
      <c r="N157" s="601">
        <f t="shared" si="301"/>
        <v>5.6406359597848954E-3</v>
      </c>
      <c r="O157" s="602">
        <f t="shared" si="301"/>
        <v>5.3913384137525763E-3</v>
      </c>
      <c r="P157" s="602">
        <f t="shared" si="301"/>
        <v>5.1566591261288531E-3</v>
      </c>
      <c r="Q157" s="602">
        <f t="shared" si="301"/>
        <v>4.8949035416066796E-3</v>
      </c>
      <c r="R157" s="601">
        <f t="shared" si="301"/>
        <v>4.700094976012468E-3</v>
      </c>
      <c r="S157" s="602">
        <f t="shared" si="301"/>
        <v>1.0778525860017348E-2</v>
      </c>
      <c r="T157" s="602">
        <f t="shared" si="301"/>
        <v>1.2411296371084062E-2</v>
      </c>
      <c r="U157" s="585">
        <f t="shared" si="301"/>
        <v>1.8407172287911527E-2</v>
      </c>
      <c r="V157" s="397">
        <f t="shared" si="301"/>
        <v>1.5228904171477336E-2</v>
      </c>
      <c r="W157" s="397">
        <f t="shared" si="301"/>
        <v>1.6946471057131211E-2</v>
      </c>
      <c r="X157" s="397">
        <f t="shared" si="301"/>
        <v>1.7614997912508364E-2</v>
      </c>
      <c r="Y157" s="585">
        <f t="shared" si="301"/>
        <v>1.6681922320737039E-2</v>
      </c>
      <c r="Z157" s="397">
        <f t="shared" ref="Z157:AS157" si="302">Z156/Z9</f>
        <v>1.631019016198984E-2</v>
      </c>
      <c r="AA157" s="397">
        <f t="shared" si="302"/>
        <v>1.5756065546873397E-2</v>
      </c>
      <c r="AB157" s="397">
        <f t="shared" si="302"/>
        <v>1.515910861464107E-2</v>
      </c>
      <c r="AC157" s="397">
        <f t="shared" si="302"/>
        <v>2.1804356183135965E-2</v>
      </c>
      <c r="AD157" s="586">
        <f t="shared" si="302"/>
        <v>2.1619644287626007E-2</v>
      </c>
      <c r="AE157" s="337">
        <f t="shared" si="302"/>
        <v>2.1514999480204841E-2</v>
      </c>
      <c r="AF157" s="397">
        <f t="shared" si="302"/>
        <v>2.2079546255196224E-2</v>
      </c>
      <c r="AG157" s="397">
        <f t="shared" si="302"/>
        <v>2.1270006914661205E-2</v>
      </c>
      <c r="AH157" s="586">
        <f t="shared" si="302"/>
        <v>2.4521508591309582E-2</v>
      </c>
      <c r="AI157" s="397">
        <f t="shared" si="302"/>
        <v>2.6434016053701045E-2</v>
      </c>
      <c r="AJ157" s="397">
        <f t="shared" si="302"/>
        <v>2.686578989066709E-2</v>
      </c>
      <c r="AK157" s="397">
        <f t="shared" si="302"/>
        <v>2.603125131941059E-2</v>
      </c>
      <c r="AL157" s="586">
        <f t="shared" si="302"/>
        <v>2.6229200320528404E-2</v>
      </c>
      <c r="AM157" s="397">
        <f t="shared" si="302"/>
        <v>2.5540741502859482E-2</v>
      </c>
      <c r="AN157" s="397">
        <f t="shared" si="302"/>
        <v>2.5235628189744612E-2</v>
      </c>
      <c r="AO157" s="397">
        <f t="shared" si="302"/>
        <v>2.4449454663962398E-2</v>
      </c>
      <c r="AP157" s="586">
        <f t="shared" si="302"/>
        <v>2.4607516295404617E-2</v>
      </c>
      <c r="AQ157" s="397">
        <f t="shared" si="302"/>
        <v>2.3963302306454621E-2</v>
      </c>
      <c r="AR157" s="397">
        <f t="shared" si="302"/>
        <v>2.3680479410519338E-2</v>
      </c>
      <c r="AS157" s="397">
        <f t="shared" si="302"/>
        <v>2.294383991890379E-2</v>
      </c>
      <c r="AT157" s="512"/>
      <c r="AU157" s="584"/>
      <c r="AV157" s="584"/>
      <c r="AW157" s="584"/>
      <c r="AX157" s="584"/>
      <c r="AY157" s="584"/>
      <c r="AZ157" s="584"/>
      <c r="BA157" s="584"/>
      <c r="BB157" s="584"/>
      <c r="BC157" s="584"/>
      <c r="BD157" s="584"/>
      <c r="BE157" s="584"/>
    </row>
    <row r="158" spans="1:57" s="33" customFormat="1" ht="12" customHeight="1">
      <c r="A158" s="491"/>
      <c r="B158" s="414"/>
      <c r="C158" s="414"/>
      <c r="D158" s="414"/>
      <c r="E158" s="415"/>
      <c r="F158" s="414"/>
      <c r="G158" s="414"/>
      <c r="H158" s="414"/>
      <c r="I158" s="414"/>
      <c r="J158" s="413"/>
      <c r="K158" s="414"/>
      <c r="L158" s="414"/>
      <c r="M158" s="415"/>
      <c r="N158" s="413"/>
      <c r="O158" s="414"/>
      <c r="P158" s="416"/>
      <c r="Q158" s="415"/>
      <c r="R158" s="413"/>
      <c r="S158" s="603"/>
      <c r="T158" s="603"/>
      <c r="U158" s="604"/>
      <c r="V158" s="603"/>
      <c r="W158" s="603"/>
      <c r="X158" s="603"/>
      <c r="Y158" s="603"/>
      <c r="Z158" s="605"/>
      <c r="AA158" s="603"/>
      <c r="AB158" s="603"/>
      <c r="AC158" s="604"/>
      <c r="AD158" s="605"/>
      <c r="AE158" s="521"/>
      <c r="AF158" s="603"/>
      <c r="AG158" s="604"/>
      <c r="AH158" s="605"/>
      <c r="AI158" s="603"/>
      <c r="AJ158" s="603"/>
      <c r="AK158" s="604"/>
      <c r="AL158" s="605"/>
      <c r="AM158" s="603"/>
      <c r="AN158" s="603"/>
      <c r="AO158" s="604"/>
      <c r="AP158" s="605"/>
      <c r="AQ158" s="603"/>
      <c r="AR158" s="603"/>
      <c r="AS158" s="604"/>
      <c r="AU158" s="63"/>
      <c r="AV158" s="584"/>
      <c r="AW158" s="584"/>
      <c r="AX158" s="584"/>
      <c r="AY158" s="63"/>
      <c r="AZ158" s="63"/>
      <c r="BA158" s="63"/>
      <c r="BB158" s="63"/>
      <c r="BC158" s="63"/>
      <c r="BD158" s="63"/>
      <c r="BE158" s="63"/>
    </row>
    <row r="159" spans="1:57" s="33" customFormat="1" ht="12" customHeight="1">
      <c r="A159" s="557" t="s">
        <v>165</v>
      </c>
      <c r="B159" s="421"/>
      <c r="C159" s="421"/>
      <c r="D159" s="421"/>
      <c r="E159" s="422"/>
      <c r="F159" s="421"/>
      <c r="G159" s="421"/>
      <c r="H159" s="421"/>
      <c r="I159" s="421"/>
      <c r="J159" s="420"/>
      <c r="K159" s="421"/>
      <c r="L159" s="421"/>
      <c r="M159" s="422"/>
      <c r="N159" s="420"/>
      <c r="O159" s="421"/>
      <c r="P159" s="423"/>
      <c r="Q159" s="422"/>
      <c r="R159" s="420"/>
      <c r="S159" s="559"/>
      <c r="T159" s="559"/>
      <c r="U159" s="560"/>
      <c r="V159" s="559"/>
      <c r="W159" s="559"/>
      <c r="X159" s="559"/>
      <c r="Y159" s="559"/>
      <c r="Z159" s="558"/>
      <c r="AA159" s="559"/>
      <c r="AB159" s="559"/>
      <c r="AC159" s="560"/>
      <c r="AD159" s="558"/>
      <c r="AE159" s="288"/>
      <c r="AF159" s="288"/>
      <c r="AG159" s="560"/>
      <c r="AH159" s="558"/>
      <c r="AI159" s="559"/>
      <c r="AJ159" s="559"/>
      <c r="AK159" s="560"/>
      <c r="AL159" s="558"/>
      <c r="AM159" s="559"/>
      <c r="AN159" s="559"/>
      <c r="AO159" s="560"/>
      <c r="AP159" s="558"/>
      <c r="AQ159" s="559"/>
      <c r="AR159" s="559"/>
      <c r="AS159" s="560"/>
      <c r="AU159" s="139"/>
      <c r="AV159" s="561"/>
      <c r="AW159" s="561"/>
      <c r="AX159" s="561"/>
      <c r="AY159" s="139"/>
      <c r="AZ159" s="139"/>
      <c r="BA159" s="139"/>
      <c r="BB159" s="139"/>
      <c r="BC159" s="139"/>
      <c r="BD159" s="139"/>
      <c r="BE159" s="139"/>
    </row>
    <row r="160" spans="1:57" s="33" customFormat="1" ht="12" customHeight="1">
      <c r="A160" s="490" t="s">
        <v>134</v>
      </c>
      <c r="B160" s="420">
        <v>0</v>
      </c>
      <c r="C160" s="421">
        <v>0</v>
      </c>
      <c r="D160" s="421">
        <v>0</v>
      </c>
      <c r="E160" s="422">
        <v>0</v>
      </c>
      <c r="F160" s="420">
        <v>0</v>
      </c>
      <c r="G160" s="421">
        <v>0</v>
      </c>
      <c r="H160" s="421">
        <v>0</v>
      </c>
      <c r="I160" s="422">
        <v>0</v>
      </c>
      <c r="J160" s="420">
        <v>0</v>
      </c>
      <c r="K160" s="421">
        <v>0</v>
      </c>
      <c r="L160" s="421">
        <v>0</v>
      </c>
      <c r="M160" s="422">
        <v>0</v>
      </c>
      <c r="N160" s="420">
        <v>0</v>
      </c>
      <c r="O160" s="421">
        <v>0</v>
      </c>
      <c r="P160" s="423">
        <v>0</v>
      </c>
      <c r="Q160" s="422">
        <v>0</v>
      </c>
      <c r="R160" s="420">
        <v>0</v>
      </c>
      <c r="S160" s="431">
        <v>0</v>
      </c>
      <c r="T160" s="431">
        <v>0</v>
      </c>
      <c r="U160" s="422">
        <v>0</v>
      </c>
      <c r="V160" s="431">
        <v>0</v>
      </c>
      <c r="W160" s="431">
        <v>0</v>
      </c>
      <c r="X160" s="431">
        <v>0</v>
      </c>
      <c r="Y160" s="422">
        <v>0</v>
      </c>
      <c r="Z160" s="431">
        <f t="shared" ref="Z160:Z162" si="303">Y160</f>
        <v>0</v>
      </c>
      <c r="AA160" s="431">
        <v>0</v>
      </c>
      <c r="AB160" s="431">
        <v>0</v>
      </c>
      <c r="AC160" s="432">
        <v>0</v>
      </c>
      <c r="AD160" s="430">
        <v>0</v>
      </c>
      <c r="AE160" s="431">
        <v>0</v>
      </c>
      <c r="AF160" s="606">
        <v>0</v>
      </c>
      <c r="AG160" s="607">
        <v>0</v>
      </c>
      <c r="AH160" s="430">
        <v>0</v>
      </c>
      <c r="AI160" s="608">
        <f t="shared" ref="AI160" si="304">AH160</f>
        <v>0</v>
      </c>
      <c r="AJ160" s="606">
        <v>0</v>
      </c>
      <c r="AK160" s="607">
        <v>0</v>
      </c>
      <c r="AL160" s="609">
        <f t="shared" ref="AL160:AS163" si="305">AK160</f>
        <v>0</v>
      </c>
      <c r="AM160" s="608">
        <f t="shared" si="305"/>
        <v>0</v>
      </c>
      <c r="AN160" s="608">
        <f t="shared" si="305"/>
        <v>0</v>
      </c>
      <c r="AO160" s="610">
        <f t="shared" si="305"/>
        <v>0</v>
      </c>
      <c r="AP160" s="609">
        <f t="shared" si="305"/>
        <v>0</v>
      </c>
      <c r="AQ160" s="608">
        <f t="shared" si="305"/>
        <v>0</v>
      </c>
      <c r="AR160" s="608">
        <f t="shared" si="305"/>
        <v>0</v>
      </c>
      <c r="AS160" s="610">
        <f t="shared" si="305"/>
        <v>0</v>
      </c>
      <c r="AU160" s="611">
        <f t="shared" ref="AU160:AU165" si="306">SUM(B160:E160)</f>
        <v>0</v>
      </c>
      <c r="AV160" s="561">
        <f t="shared" ref="AV160:AV165" si="307">+SUM(F160:I160)</f>
        <v>0</v>
      </c>
      <c r="AW160" s="561">
        <f t="shared" ref="AW160:AW165" si="308">SUM(J160:M160)</f>
        <v>0</v>
      </c>
      <c r="AX160" s="561">
        <f t="shared" ref="AX160:AX165" si="309">+SUM(N160:Q160)</f>
        <v>0</v>
      </c>
      <c r="AY160" s="561">
        <f t="shared" ref="AY160:AY165" si="310">SUM(R160:U160)</f>
        <v>0</v>
      </c>
      <c r="AZ160" s="561">
        <f t="shared" ref="AZ160:AZ165" si="311">SUM(V160:Y160)</f>
        <v>0</v>
      </c>
      <c r="BA160" s="561">
        <f t="shared" ref="BA160:BA165" si="312">SUM(Z160:AC160)</f>
        <v>0</v>
      </c>
      <c r="BB160" s="561">
        <f t="shared" ref="BB160:BB165" si="313">SUM(AD160:AG160)</f>
        <v>0</v>
      </c>
      <c r="BC160" s="561">
        <f t="shared" ref="BC160:BC165" si="314">SUM(AH160:AK160)</f>
        <v>0</v>
      </c>
      <c r="BD160" s="561">
        <f t="shared" ref="BD160:BD165" si="315">SUM(AL160:AO160)</f>
        <v>0</v>
      </c>
      <c r="BE160" s="561">
        <f t="shared" ref="BE160:BE165" si="316">SUM(AP160:AS160)</f>
        <v>0</v>
      </c>
    </row>
    <row r="161" spans="1:57" s="33" customFormat="1" ht="12" customHeight="1">
      <c r="A161" s="152" t="s">
        <v>95</v>
      </c>
      <c r="B161" s="420">
        <v>0</v>
      </c>
      <c r="C161" s="421">
        <v>0</v>
      </c>
      <c r="D161" s="421">
        <v>0</v>
      </c>
      <c r="E161" s="422">
        <v>0</v>
      </c>
      <c r="F161" s="420">
        <v>0</v>
      </c>
      <c r="G161" s="421">
        <v>0</v>
      </c>
      <c r="H161" s="421">
        <v>0</v>
      </c>
      <c r="I161" s="422">
        <v>0</v>
      </c>
      <c r="J161" s="420">
        <v>0</v>
      </c>
      <c r="K161" s="421">
        <v>0</v>
      </c>
      <c r="L161" s="421">
        <v>0</v>
      </c>
      <c r="M161" s="422">
        <v>0</v>
      </c>
      <c r="N161" s="420">
        <v>0</v>
      </c>
      <c r="O161" s="421">
        <v>0</v>
      </c>
      <c r="P161" s="423">
        <v>0</v>
      </c>
      <c r="Q161" s="422">
        <v>0</v>
      </c>
      <c r="R161" s="420">
        <v>0</v>
      </c>
      <c r="S161" s="431">
        <v>0</v>
      </c>
      <c r="T161" s="431">
        <v>0</v>
      </c>
      <c r="U161" s="422">
        <v>0.11899999999999999</v>
      </c>
      <c r="V161" s="421">
        <v>0</v>
      </c>
      <c r="W161" s="421">
        <v>0</v>
      </c>
      <c r="X161" s="421">
        <v>0</v>
      </c>
      <c r="Y161" s="422">
        <v>0</v>
      </c>
      <c r="Z161" s="421">
        <f t="shared" si="303"/>
        <v>0</v>
      </c>
      <c r="AA161" s="421">
        <v>0</v>
      </c>
      <c r="AB161" s="421">
        <v>0</v>
      </c>
      <c r="AC161" s="422">
        <v>0</v>
      </c>
      <c r="AD161" s="420">
        <v>0</v>
      </c>
      <c r="AE161" s="421">
        <v>0</v>
      </c>
      <c r="AF161" s="423">
        <v>0</v>
      </c>
      <c r="AG161" s="424">
        <v>0</v>
      </c>
      <c r="AH161" s="420">
        <v>1.054</v>
      </c>
      <c r="AI161" s="421">
        <v>0.25800000000000001</v>
      </c>
      <c r="AJ161" s="423">
        <v>0</v>
      </c>
      <c r="AK161" s="424">
        <v>0</v>
      </c>
      <c r="AL161" s="595">
        <f t="shared" si="305"/>
        <v>0</v>
      </c>
      <c r="AM161" s="596">
        <f t="shared" si="305"/>
        <v>0</v>
      </c>
      <c r="AN161" s="596">
        <f t="shared" si="305"/>
        <v>0</v>
      </c>
      <c r="AO161" s="597">
        <f t="shared" si="305"/>
        <v>0</v>
      </c>
      <c r="AP161" s="595">
        <f t="shared" si="305"/>
        <v>0</v>
      </c>
      <c r="AQ161" s="596">
        <f t="shared" si="305"/>
        <v>0</v>
      </c>
      <c r="AR161" s="596">
        <f t="shared" si="305"/>
        <v>0</v>
      </c>
      <c r="AS161" s="597">
        <f t="shared" si="305"/>
        <v>0</v>
      </c>
      <c r="AU161" s="611">
        <f t="shared" si="306"/>
        <v>0</v>
      </c>
      <c r="AV161" s="561">
        <f t="shared" si="307"/>
        <v>0</v>
      </c>
      <c r="AW161" s="561">
        <f t="shared" si="308"/>
        <v>0</v>
      </c>
      <c r="AX161" s="561">
        <f t="shared" si="309"/>
        <v>0</v>
      </c>
      <c r="AY161" s="561">
        <f t="shared" si="310"/>
        <v>0.11899999999999999</v>
      </c>
      <c r="AZ161" s="561">
        <f t="shared" si="311"/>
        <v>0</v>
      </c>
      <c r="BA161" s="561">
        <f t="shared" si="312"/>
        <v>0</v>
      </c>
      <c r="BB161" s="561">
        <f t="shared" si="313"/>
        <v>0</v>
      </c>
      <c r="BC161" s="561">
        <f t="shared" si="314"/>
        <v>1.3120000000000001</v>
      </c>
      <c r="BD161" s="561">
        <f t="shared" si="315"/>
        <v>0</v>
      </c>
      <c r="BE161" s="561">
        <f t="shared" si="316"/>
        <v>0</v>
      </c>
    </row>
    <row r="162" spans="1:57" s="33" customFormat="1" ht="12" customHeight="1">
      <c r="A162" s="152" t="s">
        <v>96</v>
      </c>
      <c r="B162" s="420">
        <v>0</v>
      </c>
      <c r="C162" s="421">
        <v>0</v>
      </c>
      <c r="D162" s="421">
        <v>0</v>
      </c>
      <c r="E162" s="422">
        <v>0</v>
      </c>
      <c r="F162" s="420">
        <v>0</v>
      </c>
      <c r="G162" s="421">
        <v>0</v>
      </c>
      <c r="H162" s="421">
        <v>0</v>
      </c>
      <c r="I162" s="422">
        <v>0</v>
      </c>
      <c r="J162" s="420">
        <v>0</v>
      </c>
      <c r="K162" s="421">
        <v>0</v>
      </c>
      <c r="L162" s="421">
        <v>0</v>
      </c>
      <c r="M162" s="422">
        <v>0</v>
      </c>
      <c r="N162" s="420">
        <v>0</v>
      </c>
      <c r="O162" s="421">
        <v>0</v>
      </c>
      <c r="P162" s="423">
        <v>0</v>
      </c>
      <c r="Q162" s="422">
        <v>0</v>
      </c>
      <c r="R162" s="420">
        <v>0</v>
      </c>
      <c r="S162" s="431">
        <v>0</v>
      </c>
      <c r="T162" s="431">
        <v>0</v>
      </c>
      <c r="U162" s="422">
        <v>0.13900000000000001</v>
      </c>
      <c r="V162" s="421">
        <v>0</v>
      </c>
      <c r="W162" s="421">
        <v>0</v>
      </c>
      <c r="X162" s="421">
        <v>0</v>
      </c>
      <c r="Y162" s="422">
        <v>0</v>
      </c>
      <c r="Z162" s="421">
        <f t="shared" si="303"/>
        <v>0</v>
      </c>
      <c r="AA162" s="421">
        <v>0</v>
      </c>
      <c r="AB162" s="421">
        <v>0</v>
      </c>
      <c r="AC162" s="422">
        <v>0</v>
      </c>
      <c r="AD162" s="420">
        <v>0</v>
      </c>
      <c r="AE162" s="421">
        <v>0</v>
      </c>
      <c r="AF162" s="423">
        <v>0</v>
      </c>
      <c r="AG162" s="424">
        <v>0</v>
      </c>
      <c r="AH162" s="420">
        <v>1.2390000000000001</v>
      </c>
      <c r="AI162" s="421">
        <v>0.53200000000000003</v>
      </c>
      <c r="AJ162" s="423">
        <v>0</v>
      </c>
      <c r="AK162" s="424">
        <v>4.0000000000000001E-3</v>
      </c>
      <c r="AL162" s="595">
        <f t="shared" si="305"/>
        <v>4.0000000000000001E-3</v>
      </c>
      <c r="AM162" s="596">
        <f t="shared" si="305"/>
        <v>4.0000000000000001E-3</v>
      </c>
      <c r="AN162" s="596">
        <f t="shared" si="305"/>
        <v>4.0000000000000001E-3</v>
      </c>
      <c r="AO162" s="597">
        <f t="shared" si="305"/>
        <v>4.0000000000000001E-3</v>
      </c>
      <c r="AP162" s="595">
        <f t="shared" si="305"/>
        <v>4.0000000000000001E-3</v>
      </c>
      <c r="AQ162" s="596">
        <f t="shared" si="305"/>
        <v>4.0000000000000001E-3</v>
      </c>
      <c r="AR162" s="596">
        <f t="shared" si="305"/>
        <v>4.0000000000000001E-3</v>
      </c>
      <c r="AS162" s="597">
        <f t="shared" si="305"/>
        <v>4.0000000000000001E-3</v>
      </c>
      <c r="AU162" s="611">
        <f t="shared" si="306"/>
        <v>0</v>
      </c>
      <c r="AV162" s="561">
        <f t="shared" si="307"/>
        <v>0</v>
      </c>
      <c r="AW162" s="561">
        <f t="shared" si="308"/>
        <v>0</v>
      </c>
      <c r="AX162" s="561">
        <f t="shared" si="309"/>
        <v>0</v>
      </c>
      <c r="AY162" s="561">
        <f t="shared" si="310"/>
        <v>0.13900000000000001</v>
      </c>
      <c r="AZ162" s="561">
        <f t="shared" si="311"/>
        <v>0</v>
      </c>
      <c r="BA162" s="561">
        <f t="shared" si="312"/>
        <v>0</v>
      </c>
      <c r="BB162" s="561">
        <f t="shared" si="313"/>
        <v>0</v>
      </c>
      <c r="BC162" s="561">
        <f t="shared" si="314"/>
        <v>1.7750000000000001</v>
      </c>
      <c r="BD162" s="561">
        <f t="shared" si="315"/>
        <v>1.6E-2</v>
      </c>
      <c r="BE162" s="561">
        <f t="shared" si="316"/>
        <v>1.6E-2</v>
      </c>
    </row>
    <row r="163" spans="1:57" s="33" customFormat="1" ht="12" customHeight="1">
      <c r="A163" s="152" t="s">
        <v>97</v>
      </c>
      <c r="B163" s="420">
        <v>0</v>
      </c>
      <c r="C163" s="421">
        <v>0</v>
      </c>
      <c r="D163" s="421">
        <v>0</v>
      </c>
      <c r="E163" s="422">
        <v>0</v>
      </c>
      <c r="F163" s="420">
        <v>0</v>
      </c>
      <c r="G163" s="421">
        <v>0</v>
      </c>
      <c r="H163" s="421">
        <v>0</v>
      </c>
      <c r="I163" s="422">
        <v>0</v>
      </c>
      <c r="J163" s="420">
        <v>0</v>
      </c>
      <c r="K163" s="421">
        <v>0</v>
      </c>
      <c r="L163" s="421">
        <v>0</v>
      </c>
      <c r="M163" s="422">
        <v>3.97</v>
      </c>
      <c r="N163" s="420">
        <v>0.33900000000000002</v>
      </c>
      <c r="O163" s="421"/>
      <c r="P163" s="423">
        <v>0</v>
      </c>
      <c r="Q163" s="422">
        <v>0</v>
      </c>
      <c r="R163" s="420">
        <v>2.1579999999999999</v>
      </c>
      <c r="S163" s="421">
        <v>1.542</v>
      </c>
      <c r="T163" s="421">
        <v>2.27</v>
      </c>
      <c r="U163" s="422">
        <v>0.67300000000000004</v>
      </c>
      <c r="V163" s="421">
        <f>1.341+0.838</f>
        <v>2.1789999999999998</v>
      </c>
      <c r="W163" s="421">
        <v>0.71299999999999997</v>
      </c>
      <c r="X163" s="421">
        <v>0.32200000000000001</v>
      </c>
      <c r="Y163" s="422">
        <v>0.26600000000000001</v>
      </c>
      <c r="Z163" s="421">
        <v>0.1</v>
      </c>
      <c r="AA163" s="421">
        <v>0.03</v>
      </c>
      <c r="AB163" s="421">
        <v>4.5979999999999999</v>
      </c>
      <c r="AC163" s="421">
        <v>4.7439999999999998</v>
      </c>
      <c r="AD163" s="420">
        <v>0.161</v>
      </c>
      <c r="AE163" s="421">
        <v>0.76300000000000001</v>
      </c>
      <c r="AF163" s="423">
        <v>0.36</v>
      </c>
      <c r="AG163" s="423">
        <v>0.64800000000000002</v>
      </c>
      <c r="AH163" s="420">
        <v>2.3279999999999998</v>
      </c>
      <c r="AI163" s="421">
        <v>1.2909999999999999</v>
      </c>
      <c r="AJ163" s="423">
        <v>0.113</v>
      </c>
      <c r="AK163" s="423">
        <v>0.437</v>
      </c>
      <c r="AL163" s="595">
        <f>AK163</f>
        <v>0.437</v>
      </c>
      <c r="AM163" s="596">
        <f>AL163</f>
        <v>0.437</v>
      </c>
      <c r="AN163" s="596">
        <f t="shared" si="305"/>
        <v>0.437</v>
      </c>
      <c r="AO163" s="596">
        <f t="shared" si="305"/>
        <v>0.437</v>
      </c>
      <c r="AP163" s="595">
        <f>AO163</f>
        <v>0.437</v>
      </c>
      <c r="AQ163" s="596">
        <f>AP163</f>
        <v>0.437</v>
      </c>
      <c r="AR163" s="596">
        <f t="shared" si="305"/>
        <v>0.437</v>
      </c>
      <c r="AS163" s="596">
        <f t="shared" si="305"/>
        <v>0.437</v>
      </c>
      <c r="AT163" s="592"/>
      <c r="AU163" s="611">
        <f t="shared" si="306"/>
        <v>0</v>
      </c>
      <c r="AV163" s="561">
        <f t="shared" si="307"/>
        <v>0</v>
      </c>
      <c r="AW163" s="561">
        <f t="shared" si="308"/>
        <v>3.97</v>
      </c>
      <c r="AX163" s="561">
        <f t="shared" si="309"/>
        <v>0.33900000000000002</v>
      </c>
      <c r="AY163" s="561">
        <f t="shared" si="310"/>
        <v>6.6430000000000007</v>
      </c>
      <c r="AZ163" s="561">
        <f t="shared" si="311"/>
        <v>3.48</v>
      </c>
      <c r="BA163" s="561">
        <f t="shared" si="312"/>
        <v>9.4719999999999995</v>
      </c>
      <c r="BB163" s="561">
        <f t="shared" si="313"/>
        <v>1.9319999999999999</v>
      </c>
      <c r="BC163" s="561">
        <f t="shared" si="314"/>
        <v>4.1689999999999996</v>
      </c>
      <c r="BD163" s="561">
        <f t="shared" si="315"/>
        <v>1.748</v>
      </c>
      <c r="BE163" s="561">
        <f t="shared" si="316"/>
        <v>1.748</v>
      </c>
    </row>
    <row r="164" spans="1:57" s="45" customFormat="1" ht="12" customHeight="1">
      <c r="A164" s="562" t="s">
        <v>166</v>
      </c>
      <c r="B164" s="566">
        <f>+SUM(B161:B163)</f>
        <v>0</v>
      </c>
      <c r="C164" s="567">
        <f>+SUM(C161:C163)</f>
        <v>0</v>
      </c>
      <c r="D164" s="567">
        <f t="shared" ref="D164:E164" si="317">+SUM(D161:D163)</f>
        <v>0</v>
      </c>
      <c r="E164" s="568">
        <f t="shared" si="317"/>
        <v>0</v>
      </c>
      <c r="F164" s="566">
        <f>+SUM(F161:F163)</f>
        <v>0</v>
      </c>
      <c r="G164" s="567">
        <f>+SUM(G161:G163)</f>
        <v>0</v>
      </c>
      <c r="H164" s="567">
        <f t="shared" ref="H164:I164" si="318">+SUM(H161:H163)</f>
        <v>0</v>
      </c>
      <c r="I164" s="568">
        <f t="shared" si="318"/>
        <v>0</v>
      </c>
      <c r="J164" s="566">
        <f>+SUM(J161:J163)</f>
        <v>0</v>
      </c>
      <c r="K164" s="567">
        <f>+SUM(K161:K163)</f>
        <v>0</v>
      </c>
      <c r="L164" s="567">
        <f t="shared" ref="L164:M164" si="319">+SUM(L161:L163)</f>
        <v>0</v>
      </c>
      <c r="M164" s="568">
        <f t="shared" si="319"/>
        <v>3.97</v>
      </c>
      <c r="N164" s="566">
        <f>+SUM(N161:N163)</f>
        <v>0.33900000000000002</v>
      </c>
      <c r="O164" s="567">
        <f>+SUM(O161:O163)</f>
        <v>0</v>
      </c>
      <c r="P164" s="564">
        <f t="shared" ref="P164:Q164" si="320">+SUM(P161:P163)</f>
        <v>0</v>
      </c>
      <c r="Q164" s="568">
        <f t="shared" si="320"/>
        <v>0</v>
      </c>
      <c r="R164" s="566">
        <f>+SUM(R161:R163)</f>
        <v>2.1579999999999999</v>
      </c>
      <c r="S164" s="567">
        <f>+SUM(S161:S163)</f>
        <v>1.542</v>
      </c>
      <c r="T164" s="612">
        <f t="shared" ref="T164:AS164" si="321">+SUM(T161:T163)</f>
        <v>2.27</v>
      </c>
      <c r="U164" s="568">
        <f t="shared" si="321"/>
        <v>0.93100000000000005</v>
      </c>
      <c r="V164" s="567">
        <f t="shared" si="321"/>
        <v>2.1789999999999998</v>
      </c>
      <c r="W164" s="567">
        <f t="shared" si="321"/>
        <v>0.71299999999999997</v>
      </c>
      <c r="X164" s="567">
        <f t="shared" si="321"/>
        <v>0.32200000000000001</v>
      </c>
      <c r="Y164" s="568">
        <f t="shared" si="321"/>
        <v>0.26600000000000001</v>
      </c>
      <c r="Z164" s="567">
        <f t="shared" si="321"/>
        <v>0.1</v>
      </c>
      <c r="AA164" s="567">
        <f t="shared" si="321"/>
        <v>0.03</v>
      </c>
      <c r="AB164" s="567">
        <f t="shared" si="321"/>
        <v>4.5979999999999999</v>
      </c>
      <c r="AC164" s="568">
        <f t="shared" si="321"/>
        <v>4.7439999999999998</v>
      </c>
      <c r="AD164" s="567">
        <f t="shared" si="321"/>
        <v>0.161</v>
      </c>
      <c r="AE164" s="567">
        <f t="shared" si="321"/>
        <v>0.76300000000000001</v>
      </c>
      <c r="AF164" s="567">
        <f t="shared" si="321"/>
        <v>0.36</v>
      </c>
      <c r="AG164" s="568">
        <f t="shared" si="321"/>
        <v>0.64800000000000002</v>
      </c>
      <c r="AH164" s="567">
        <f t="shared" si="321"/>
        <v>4.6210000000000004</v>
      </c>
      <c r="AI164" s="567">
        <f t="shared" si="321"/>
        <v>2.081</v>
      </c>
      <c r="AJ164" s="567">
        <f t="shared" si="321"/>
        <v>0.113</v>
      </c>
      <c r="AK164" s="568">
        <f t="shared" si="321"/>
        <v>0.441</v>
      </c>
      <c r="AL164" s="566">
        <f t="shared" si="321"/>
        <v>0.441</v>
      </c>
      <c r="AM164" s="567">
        <f t="shared" si="321"/>
        <v>0.441</v>
      </c>
      <c r="AN164" s="567">
        <f t="shared" si="321"/>
        <v>0.441</v>
      </c>
      <c r="AO164" s="568">
        <f t="shared" si="321"/>
        <v>0.441</v>
      </c>
      <c r="AP164" s="566">
        <f t="shared" si="321"/>
        <v>0.441</v>
      </c>
      <c r="AQ164" s="567">
        <f t="shared" si="321"/>
        <v>0.441</v>
      </c>
      <c r="AR164" s="567">
        <f t="shared" si="321"/>
        <v>0.441</v>
      </c>
      <c r="AS164" s="568">
        <f t="shared" si="321"/>
        <v>0.441</v>
      </c>
      <c r="AU164" s="613">
        <f t="shared" si="306"/>
        <v>0</v>
      </c>
      <c r="AV164" s="573">
        <f t="shared" si="307"/>
        <v>0</v>
      </c>
      <c r="AW164" s="573">
        <f t="shared" si="308"/>
        <v>3.97</v>
      </c>
      <c r="AX164" s="573">
        <f t="shared" si="309"/>
        <v>0.33900000000000002</v>
      </c>
      <c r="AY164" s="573">
        <f t="shared" si="310"/>
        <v>6.9010000000000007</v>
      </c>
      <c r="AZ164" s="573">
        <f t="shared" si="311"/>
        <v>3.48</v>
      </c>
      <c r="BA164" s="573">
        <f t="shared" si="312"/>
        <v>9.4719999999999995</v>
      </c>
      <c r="BB164" s="573">
        <f t="shared" si="313"/>
        <v>1.9319999999999999</v>
      </c>
      <c r="BC164" s="573">
        <f t="shared" si="314"/>
        <v>7.2560000000000002</v>
      </c>
      <c r="BD164" s="573">
        <f t="shared" si="315"/>
        <v>1.764</v>
      </c>
      <c r="BE164" s="573">
        <f t="shared" si="316"/>
        <v>1.764</v>
      </c>
    </row>
    <row r="165" spans="1:57" s="45" customFormat="1" ht="12" customHeight="1">
      <c r="A165" s="575" t="s">
        <v>167</v>
      </c>
      <c r="B165" s="413">
        <f>+B164+B160</f>
        <v>0</v>
      </c>
      <c r="C165" s="414">
        <f t="shared" ref="C165:AS165" si="322">+C164+C160</f>
        <v>0</v>
      </c>
      <c r="D165" s="414">
        <f t="shared" si="322"/>
        <v>0</v>
      </c>
      <c r="E165" s="414">
        <f t="shared" si="322"/>
        <v>0</v>
      </c>
      <c r="F165" s="579">
        <f t="shared" si="322"/>
        <v>0</v>
      </c>
      <c r="G165" s="580">
        <f t="shared" si="322"/>
        <v>0</v>
      </c>
      <c r="H165" s="580">
        <f t="shared" si="322"/>
        <v>0</v>
      </c>
      <c r="I165" s="582">
        <f t="shared" si="322"/>
        <v>0</v>
      </c>
      <c r="J165" s="579">
        <f t="shared" si="322"/>
        <v>0</v>
      </c>
      <c r="K165" s="580">
        <f t="shared" si="322"/>
        <v>0</v>
      </c>
      <c r="L165" s="580">
        <f t="shared" si="322"/>
        <v>0</v>
      </c>
      <c r="M165" s="582">
        <f t="shared" si="322"/>
        <v>3.97</v>
      </c>
      <c r="N165" s="579">
        <f t="shared" si="322"/>
        <v>0.33900000000000002</v>
      </c>
      <c r="O165" s="580">
        <f t="shared" si="322"/>
        <v>0</v>
      </c>
      <c r="P165" s="614">
        <f t="shared" si="322"/>
        <v>0</v>
      </c>
      <c r="Q165" s="582">
        <f t="shared" si="322"/>
        <v>0</v>
      </c>
      <c r="R165" s="413">
        <f t="shared" si="322"/>
        <v>2.1579999999999999</v>
      </c>
      <c r="S165" s="414">
        <f t="shared" si="322"/>
        <v>1.542</v>
      </c>
      <c r="T165" s="414">
        <f t="shared" si="322"/>
        <v>2.27</v>
      </c>
      <c r="U165" s="415">
        <f t="shared" si="322"/>
        <v>0.93100000000000005</v>
      </c>
      <c r="V165" s="414">
        <f t="shared" si="322"/>
        <v>2.1789999999999998</v>
      </c>
      <c r="W165" s="75">
        <f t="shared" si="322"/>
        <v>0.71299999999999997</v>
      </c>
      <c r="X165" s="414">
        <f t="shared" si="322"/>
        <v>0.32200000000000001</v>
      </c>
      <c r="Y165" s="415">
        <f t="shared" si="322"/>
        <v>0.26600000000000001</v>
      </c>
      <c r="Z165" s="414">
        <f t="shared" si="322"/>
        <v>0.1</v>
      </c>
      <c r="AA165" s="414">
        <f t="shared" si="322"/>
        <v>0.03</v>
      </c>
      <c r="AB165" s="414">
        <f t="shared" si="322"/>
        <v>4.5979999999999999</v>
      </c>
      <c r="AC165" s="415">
        <f t="shared" si="322"/>
        <v>4.7439999999999998</v>
      </c>
      <c r="AD165" s="414">
        <f t="shared" si="322"/>
        <v>0.161</v>
      </c>
      <c r="AE165" s="414">
        <f t="shared" si="322"/>
        <v>0.76300000000000001</v>
      </c>
      <c r="AF165" s="414">
        <f t="shared" si="322"/>
        <v>0.36</v>
      </c>
      <c r="AG165" s="415">
        <f t="shared" si="322"/>
        <v>0.64800000000000002</v>
      </c>
      <c r="AH165" s="414">
        <f t="shared" si="322"/>
        <v>4.6210000000000004</v>
      </c>
      <c r="AI165" s="414">
        <f t="shared" si="322"/>
        <v>2.081</v>
      </c>
      <c r="AJ165" s="414">
        <f t="shared" si="322"/>
        <v>0.113</v>
      </c>
      <c r="AK165" s="415">
        <f t="shared" si="322"/>
        <v>0.441</v>
      </c>
      <c r="AL165" s="413">
        <f t="shared" si="322"/>
        <v>0.441</v>
      </c>
      <c r="AM165" s="414">
        <f t="shared" si="322"/>
        <v>0.441</v>
      </c>
      <c r="AN165" s="414">
        <f t="shared" si="322"/>
        <v>0.441</v>
      </c>
      <c r="AO165" s="415">
        <f t="shared" si="322"/>
        <v>0.441</v>
      </c>
      <c r="AP165" s="413">
        <f t="shared" si="322"/>
        <v>0.441</v>
      </c>
      <c r="AQ165" s="414">
        <f t="shared" si="322"/>
        <v>0.441</v>
      </c>
      <c r="AR165" s="414">
        <f t="shared" si="322"/>
        <v>0.441</v>
      </c>
      <c r="AS165" s="415">
        <f t="shared" si="322"/>
        <v>0.441</v>
      </c>
      <c r="AU165" s="615">
        <f t="shared" si="306"/>
        <v>0</v>
      </c>
      <c r="AV165" s="584">
        <f t="shared" si="307"/>
        <v>0</v>
      </c>
      <c r="AW165" s="584">
        <f t="shared" si="308"/>
        <v>3.97</v>
      </c>
      <c r="AX165" s="584">
        <f t="shared" si="309"/>
        <v>0.33900000000000002</v>
      </c>
      <c r="AY165" s="584">
        <f t="shared" si="310"/>
        <v>6.9010000000000007</v>
      </c>
      <c r="AZ165" s="584">
        <f t="shared" si="311"/>
        <v>3.48</v>
      </c>
      <c r="BA165" s="584">
        <f t="shared" si="312"/>
        <v>9.4719999999999995</v>
      </c>
      <c r="BB165" s="584">
        <f t="shared" si="313"/>
        <v>1.9319999999999999</v>
      </c>
      <c r="BC165" s="584">
        <f t="shared" si="314"/>
        <v>7.2560000000000002</v>
      </c>
      <c r="BD165" s="584">
        <f t="shared" si="315"/>
        <v>1.764</v>
      </c>
      <c r="BE165" s="584">
        <f t="shared" si="316"/>
        <v>1.764</v>
      </c>
    </row>
    <row r="166" spans="1:57" s="45" customFormat="1" ht="12" customHeight="1">
      <c r="A166" s="491"/>
      <c r="B166" s="414"/>
      <c r="C166" s="414"/>
      <c r="D166" s="414"/>
      <c r="E166" s="414"/>
      <c r="F166" s="413"/>
      <c r="G166" s="414"/>
      <c r="H166" s="414"/>
      <c r="I166" s="415"/>
      <c r="J166" s="413"/>
      <c r="K166" s="414"/>
      <c r="L166" s="414"/>
      <c r="M166" s="415"/>
      <c r="N166" s="413"/>
      <c r="O166" s="414"/>
      <c r="P166" s="416"/>
      <c r="Q166" s="415"/>
      <c r="R166" s="413"/>
      <c r="S166" s="577"/>
      <c r="T166" s="577"/>
      <c r="U166" s="578"/>
      <c r="V166" s="577"/>
      <c r="W166" s="577"/>
      <c r="X166" s="577"/>
      <c r="Y166" s="577"/>
      <c r="Z166" s="576"/>
      <c r="AA166" s="577"/>
      <c r="AB166" s="577"/>
      <c r="AC166" s="578"/>
      <c r="AD166" s="576"/>
      <c r="AE166" s="616"/>
      <c r="AF166" s="577"/>
      <c r="AG166" s="578"/>
      <c r="AH166" s="576"/>
      <c r="AI166" s="577"/>
      <c r="AJ166" s="577"/>
      <c r="AK166" s="578"/>
      <c r="AL166" s="576"/>
      <c r="AM166" s="577"/>
      <c r="AN166" s="577"/>
      <c r="AO166" s="578"/>
      <c r="AP166" s="576"/>
      <c r="AQ166" s="577"/>
      <c r="AR166" s="577"/>
      <c r="AS166" s="578"/>
      <c r="AU166" s="615"/>
      <c r="AV166" s="615"/>
      <c r="AW166" s="615"/>
      <c r="AX166" s="615"/>
      <c r="AY166" s="615"/>
      <c r="AZ166" s="615"/>
      <c r="BA166" s="615"/>
      <c r="BB166" s="615"/>
      <c r="BC166" s="615"/>
      <c r="BD166" s="615"/>
      <c r="BE166" s="615"/>
    </row>
    <row r="167" spans="1:57" s="45" customFormat="1" ht="12" customHeight="1">
      <c r="A167" s="491" t="s">
        <v>138</v>
      </c>
      <c r="B167" s="414"/>
      <c r="C167" s="414"/>
      <c r="D167" s="414"/>
      <c r="E167" s="414"/>
      <c r="F167" s="413"/>
      <c r="G167" s="617"/>
      <c r="H167" s="617"/>
      <c r="I167" s="618"/>
      <c r="J167" s="619"/>
      <c r="K167" s="617"/>
      <c r="L167" s="617"/>
      <c r="M167" s="618"/>
      <c r="N167" s="619"/>
      <c r="O167" s="617"/>
      <c r="P167" s="617"/>
      <c r="Q167" s="618"/>
      <c r="R167" s="413"/>
      <c r="S167" s="577"/>
      <c r="T167" s="577"/>
      <c r="U167" s="578"/>
      <c r="V167" s="577"/>
      <c r="W167" s="577"/>
      <c r="X167" s="577"/>
      <c r="Y167" s="577"/>
      <c r="Z167" s="576"/>
      <c r="AA167" s="577"/>
      <c r="AB167" s="577"/>
      <c r="AC167" s="578"/>
      <c r="AD167" s="576"/>
      <c r="AE167" s="616"/>
      <c r="AF167" s="577"/>
      <c r="AG167" s="578"/>
      <c r="AH167" s="576"/>
      <c r="AI167" s="577"/>
      <c r="AJ167" s="577"/>
      <c r="AK167" s="578"/>
      <c r="AL167" s="576"/>
      <c r="AM167" s="577"/>
      <c r="AN167" s="577"/>
      <c r="AO167" s="578"/>
      <c r="AP167" s="576"/>
      <c r="AQ167" s="577"/>
      <c r="AR167" s="577"/>
      <c r="AS167" s="578"/>
      <c r="AU167" s="615"/>
      <c r="AV167" s="615"/>
      <c r="AW167" s="615"/>
      <c r="AX167" s="615"/>
      <c r="AY167" s="615"/>
      <c r="AZ167" s="615"/>
      <c r="BA167" s="615"/>
      <c r="BB167" s="615"/>
      <c r="BC167" s="615"/>
      <c r="BD167" s="615"/>
      <c r="BE167" s="615"/>
    </row>
    <row r="168" spans="1:57" s="45" customFormat="1" ht="12" customHeight="1">
      <c r="A168" s="490" t="s">
        <v>150</v>
      </c>
      <c r="B168" s="414">
        <v>0</v>
      </c>
      <c r="C168" s="414">
        <v>0</v>
      </c>
      <c r="D168" s="414">
        <v>0</v>
      </c>
      <c r="E168" s="414">
        <v>0</v>
      </c>
      <c r="F168" s="413">
        <v>0</v>
      </c>
      <c r="G168" s="617">
        <v>0</v>
      </c>
      <c r="H168" s="617">
        <v>0</v>
      </c>
      <c r="I168" s="618">
        <v>0</v>
      </c>
      <c r="J168" s="619">
        <v>0</v>
      </c>
      <c r="K168" s="617">
        <v>0</v>
      </c>
      <c r="L168" s="617">
        <v>0</v>
      </c>
      <c r="M168" s="618">
        <v>0</v>
      </c>
      <c r="N168" s="619">
        <v>0</v>
      </c>
      <c r="O168" s="617">
        <v>0</v>
      </c>
      <c r="P168" s="617">
        <v>0</v>
      </c>
      <c r="Q168" s="618">
        <v>0</v>
      </c>
      <c r="R168" s="413">
        <v>0</v>
      </c>
      <c r="S168" s="577">
        <v>0</v>
      </c>
      <c r="T168" s="577">
        <v>0</v>
      </c>
      <c r="U168" s="578">
        <v>0</v>
      </c>
      <c r="V168" s="577">
        <v>0</v>
      </c>
      <c r="W168" s="577">
        <v>0</v>
      </c>
      <c r="X168" s="577">
        <v>0</v>
      </c>
      <c r="Y168" s="577">
        <v>0</v>
      </c>
      <c r="Z168" s="420">
        <v>0</v>
      </c>
      <c r="AA168" s="421">
        <v>0</v>
      </c>
      <c r="AB168" s="421">
        <v>0</v>
      </c>
      <c r="AC168" s="421">
        <f>AC119</f>
        <v>4.4989999999999997</v>
      </c>
      <c r="AD168" s="420">
        <v>1.389</v>
      </c>
      <c r="AE168" s="423">
        <f>AE119</f>
        <v>4.681</v>
      </c>
      <c r="AF168" s="423">
        <v>0</v>
      </c>
      <c r="AG168" s="423">
        <v>0</v>
      </c>
      <c r="AH168" s="420">
        <v>0</v>
      </c>
      <c r="AI168" s="596">
        <v>0</v>
      </c>
      <c r="AJ168" s="423">
        <v>0</v>
      </c>
      <c r="AK168" s="423">
        <v>3.113</v>
      </c>
      <c r="AL168" s="595">
        <v>0</v>
      </c>
      <c r="AM168" s="596">
        <v>0</v>
      </c>
      <c r="AN168" s="596">
        <v>0</v>
      </c>
      <c r="AO168" s="597">
        <v>0</v>
      </c>
      <c r="AP168" s="595">
        <v>0</v>
      </c>
      <c r="AQ168" s="596">
        <v>0</v>
      </c>
      <c r="AR168" s="596">
        <v>0</v>
      </c>
      <c r="AS168" s="597">
        <v>0</v>
      </c>
      <c r="AU168" s="561">
        <f t="shared" ref="AU168" si="323">SUM(B168:E168)</f>
        <v>0</v>
      </c>
      <c r="AV168" s="561">
        <f t="shared" ref="AV168" si="324">+SUM(F168:I168)</f>
        <v>0</v>
      </c>
      <c r="AW168" s="561">
        <f t="shared" ref="AW168" si="325">SUM(J168:M168)</f>
        <v>0</v>
      </c>
      <c r="AX168" s="561">
        <f t="shared" ref="AX168:AX173" si="326">+SUM(N168:Q168)</f>
        <v>0</v>
      </c>
      <c r="AY168" s="561">
        <f t="shared" ref="AY168:AY173" si="327">SUM(R168:U168)</f>
        <v>0</v>
      </c>
      <c r="AZ168" s="561">
        <f t="shared" ref="AZ168:AZ173" si="328">SUM(V168:Y168)</f>
        <v>0</v>
      </c>
      <c r="BA168" s="561">
        <f t="shared" ref="BA168:BA173" si="329">SUM(Z168:AC168)</f>
        <v>4.4989999999999997</v>
      </c>
      <c r="BB168" s="561">
        <f t="shared" ref="BB168:BB173" si="330">SUM(AD168:AG168)</f>
        <v>6.07</v>
      </c>
      <c r="BC168" s="561">
        <f t="shared" ref="BC168:BC173" si="331">SUM(AH168:AK168)</f>
        <v>3.113</v>
      </c>
      <c r="BD168" s="561">
        <f t="shared" ref="BD168:BD173" si="332">SUM(AL168:AO168)</f>
        <v>0</v>
      </c>
      <c r="BE168" s="561">
        <f t="shared" ref="BE168:BE173" si="333">SUM(AP168:AS168)</f>
        <v>0</v>
      </c>
    </row>
    <row r="169" spans="1:57" s="45" customFormat="1" ht="12" customHeight="1">
      <c r="A169" s="490" t="s">
        <v>168</v>
      </c>
      <c r="B169" s="429">
        <v>-0.01</v>
      </c>
      <c r="C169" s="423">
        <v>-1.2E-2</v>
      </c>
      <c r="D169" s="423">
        <v>-1.2999999999999999E-2</v>
      </c>
      <c r="E169" s="424">
        <v>-1.9E-2</v>
      </c>
      <c r="F169" s="429">
        <v>-2.3E-2</v>
      </c>
      <c r="G169" s="423">
        <v>-2.5000000000000001E-2</v>
      </c>
      <c r="H169" s="423">
        <v>-0.09</v>
      </c>
      <c r="I169" s="424">
        <v>-0.08</v>
      </c>
      <c r="J169" s="429">
        <v>-0.64900000000000002</v>
      </c>
      <c r="K169" s="423">
        <v>0.121</v>
      </c>
      <c r="L169" s="423">
        <v>0.27300000000000002</v>
      </c>
      <c r="M169" s="424">
        <v>0.16</v>
      </c>
      <c r="N169" s="429">
        <v>0.19800000000000001</v>
      </c>
      <c r="O169" s="423">
        <v>0.437</v>
      </c>
      <c r="P169" s="423">
        <v>0.497</v>
      </c>
      <c r="Q169" s="424">
        <v>0.16700000000000001</v>
      </c>
      <c r="R169" s="420">
        <v>-4.0000000000000001E-3</v>
      </c>
      <c r="S169" s="421">
        <v>-0.48</v>
      </c>
      <c r="T169" s="421">
        <v>-1.4999999999999999E-2</v>
      </c>
      <c r="U169" s="422">
        <v>1.1160000000000001</v>
      </c>
      <c r="V169" s="421">
        <v>1.0660000000000001</v>
      </c>
      <c r="W169" s="70">
        <v>0.188</v>
      </c>
      <c r="X169" s="70">
        <v>0.318</v>
      </c>
      <c r="Y169" s="422">
        <v>0.53100000000000003</v>
      </c>
      <c r="Z169" s="421">
        <v>0.91700000000000004</v>
      </c>
      <c r="AA169" s="421">
        <v>1.3360000000000001</v>
      </c>
      <c r="AB169" s="421">
        <v>-1.2070000000000001</v>
      </c>
      <c r="AC169" s="421">
        <v>0.97099999999999997</v>
      </c>
      <c r="AD169" s="420">
        <v>-1.077</v>
      </c>
      <c r="AE169" s="423">
        <v>1.175</v>
      </c>
      <c r="AF169" s="423">
        <v>1.528</v>
      </c>
      <c r="AG169" s="423">
        <v>1.2190000000000001</v>
      </c>
      <c r="AH169" s="420">
        <v>0.85499999999999998</v>
      </c>
      <c r="AI169" s="421">
        <f>AH169+0.175+0.027</f>
        <v>1.0569999999999999</v>
      </c>
      <c r="AJ169" s="423">
        <v>-2.552</v>
      </c>
      <c r="AK169" s="423">
        <v>3.363</v>
      </c>
      <c r="AL169" s="595">
        <f>AK169+0.1</f>
        <v>3.4630000000000001</v>
      </c>
      <c r="AM169" s="596">
        <f t="shared" ref="AM169:AO169" si="334">AL169+0.1</f>
        <v>3.5630000000000002</v>
      </c>
      <c r="AN169" s="596">
        <f t="shared" si="334"/>
        <v>3.6630000000000003</v>
      </c>
      <c r="AO169" s="596">
        <f t="shared" si="334"/>
        <v>3.7630000000000003</v>
      </c>
      <c r="AP169" s="595">
        <f>AO169+0.1</f>
        <v>3.8630000000000004</v>
      </c>
      <c r="AQ169" s="596">
        <f t="shared" ref="AQ169:AS169" si="335">AP169+0.1</f>
        <v>3.9630000000000005</v>
      </c>
      <c r="AR169" s="596">
        <f t="shared" si="335"/>
        <v>4.0630000000000006</v>
      </c>
      <c r="AS169" s="596">
        <f t="shared" si="335"/>
        <v>4.1630000000000003</v>
      </c>
      <c r="AT169" s="512"/>
      <c r="AU169" s="561">
        <f t="shared" ref="AU169:AU173" si="336">SUM(B169:E169)</f>
        <v>-5.3999999999999992E-2</v>
      </c>
      <c r="AV169" s="561">
        <f t="shared" ref="AV169:AV171" si="337">+SUM(F169:I169)</f>
        <v>-0.21800000000000003</v>
      </c>
      <c r="AW169" s="561">
        <f t="shared" ref="AW169:AW171" si="338">SUM(J169:M169)</f>
        <v>-9.5000000000000001E-2</v>
      </c>
      <c r="AX169" s="561">
        <f t="shared" si="326"/>
        <v>1.2990000000000002</v>
      </c>
      <c r="AY169" s="561">
        <f t="shared" si="327"/>
        <v>0.6170000000000001</v>
      </c>
      <c r="AZ169" s="561">
        <f t="shared" si="328"/>
        <v>2.1030000000000002</v>
      </c>
      <c r="BA169" s="561">
        <f t="shared" si="329"/>
        <v>2.0169999999999999</v>
      </c>
      <c r="BB169" s="561">
        <f t="shared" si="330"/>
        <v>2.8450000000000002</v>
      </c>
      <c r="BC169" s="561">
        <f t="shared" si="331"/>
        <v>2.7229999999999999</v>
      </c>
      <c r="BD169" s="561">
        <f t="shared" si="332"/>
        <v>14.452</v>
      </c>
      <c r="BE169" s="561">
        <f t="shared" si="333"/>
        <v>16.052</v>
      </c>
    </row>
    <row r="170" spans="1:57" s="45" customFormat="1" ht="12" customHeight="1">
      <c r="A170" s="490" t="s">
        <v>169</v>
      </c>
      <c r="B170" s="429">
        <v>0</v>
      </c>
      <c r="C170" s="423">
        <v>0</v>
      </c>
      <c r="D170" s="423">
        <v>0</v>
      </c>
      <c r="E170" s="424">
        <v>0</v>
      </c>
      <c r="F170" s="429">
        <v>0</v>
      </c>
      <c r="G170" s="423">
        <v>0</v>
      </c>
      <c r="H170" s="423">
        <v>0</v>
      </c>
      <c r="I170" s="424">
        <v>0</v>
      </c>
      <c r="J170" s="429">
        <v>0</v>
      </c>
      <c r="K170" s="423">
        <v>0</v>
      </c>
      <c r="L170" s="423">
        <v>0</v>
      </c>
      <c r="M170" s="424">
        <v>10.582000000000001</v>
      </c>
      <c r="N170" s="429">
        <v>0</v>
      </c>
      <c r="O170" s="423">
        <v>0</v>
      </c>
      <c r="P170" s="423">
        <v>0</v>
      </c>
      <c r="Q170" s="424">
        <v>0</v>
      </c>
      <c r="R170" s="420">
        <v>0</v>
      </c>
      <c r="S170" s="421">
        <v>-1.137</v>
      </c>
      <c r="T170" s="421">
        <v>-0.54600000000000004</v>
      </c>
      <c r="U170" s="422">
        <v>-8.8770000000000007</v>
      </c>
      <c r="V170" s="421">
        <v>-0.442</v>
      </c>
      <c r="W170" s="70">
        <v>-2.907</v>
      </c>
      <c r="X170" s="70">
        <v>-0.95799999999999996</v>
      </c>
      <c r="Y170" s="422">
        <v>0.60399999999999998</v>
      </c>
      <c r="Z170" s="421">
        <v>-5.3999999999999999E-2</v>
      </c>
      <c r="AA170" s="421">
        <v>-5.8999999999999997E-2</v>
      </c>
      <c r="AB170" s="421">
        <v>-4.8000000000000001E-2</v>
      </c>
      <c r="AC170" s="421">
        <v>0.42599999999999999</v>
      </c>
      <c r="AD170" s="420">
        <v>-3.5000000000000003E-2</v>
      </c>
      <c r="AE170" s="423">
        <v>-4.2999999999999997E-2</v>
      </c>
      <c r="AF170" s="423">
        <v>-5.1999999999999998E-2</v>
      </c>
      <c r="AG170" s="423">
        <v>-3.1E-2</v>
      </c>
      <c r="AH170" s="420">
        <v>-5.8000000000000003E-2</v>
      </c>
      <c r="AI170" s="421">
        <f t="shared" ref="AI170" si="339">AH170</f>
        <v>-5.8000000000000003E-2</v>
      </c>
      <c r="AJ170" s="423">
        <v>-4.7E-2</v>
      </c>
      <c r="AK170" s="423">
        <v>-0.159</v>
      </c>
      <c r="AL170" s="595">
        <f>AK170</f>
        <v>-0.159</v>
      </c>
      <c r="AM170" s="596">
        <f t="shared" ref="AM170:AO170" si="340">AL170</f>
        <v>-0.159</v>
      </c>
      <c r="AN170" s="596">
        <f t="shared" si="340"/>
        <v>-0.159</v>
      </c>
      <c r="AO170" s="596">
        <f t="shared" si="340"/>
        <v>-0.159</v>
      </c>
      <c r="AP170" s="595">
        <f>AO170</f>
        <v>-0.159</v>
      </c>
      <c r="AQ170" s="596">
        <f t="shared" ref="AQ170:AS170" si="341">AP170</f>
        <v>-0.159</v>
      </c>
      <c r="AR170" s="596">
        <f t="shared" si="341"/>
        <v>-0.159</v>
      </c>
      <c r="AS170" s="596">
        <f t="shared" si="341"/>
        <v>-0.159</v>
      </c>
      <c r="AT170" s="512"/>
      <c r="AU170" s="561">
        <f t="shared" si="336"/>
        <v>0</v>
      </c>
      <c r="AV170" s="561">
        <f t="shared" si="337"/>
        <v>0</v>
      </c>
      <c r="AW170" s="561">
        <f t="shared" si="338"/>
        <v>10.582000000000001</v>
      </c>
      <c r="AX170" s="561">
        <f t="shared" si="326"/>
        <v>0</v>
      </c>
      <c r="AY170" s="561">
        <f t="shared" si="327"/>
        <v>-10.56</v>
      </c>
      <c r="AZ170" s="561">
        <f t="shared" si="328"/>
        <v>-3.7030000000000003</v>
      </c>
      <c r="BA170" s="561">
        <f>SUM(Z170:AC170)</f>
        <v>0.26500000000000001</v>
      </c>
      <c r="BB170" s="561">
        <f t="shared" si="330"/>
        <v>-0.161</v>
      </c>
      <c r="BC170" s="561">
        <f t="shared" si="331"/>
        <v>-0.32200000000000001</v>
      </c>
      <c r="BD170" s="561">
        <f t="shared" si="332"/>
        <v>-0.63600000000000001</v>
      </c>
      <c r="BE170" s="561">
        <f t="shared" si="333"/>
        <v>-0.63600000000000001</v>
      </c>
    </row>
    <row r="171" spans="1:57" s="45" customFormat="1" ht="12" customHeight="1">
      <c r="A171" s="490" t="s">
        <v>170</v>
      </c>
      <c r="B171" s="429">
        <v>0</v>
      </c>
      <c r="C171" s="423">
        <v>0</v>
      </c>
      <c r="D171" s="423">
        <v>0</v>
      </c>
      <c r="E171" s="424">
        <v>0</v>
      </c>
      <c r="F171" s="429">
        <v>0</v>
      </c>
      <c r="G171" s="423">
        <v>0</v>
      </c>
      <c r="H171" s="423">
        <v>0</v>
      </c>
      <c r="I171" s="424">
        <v>0</v>
      </c>
      <c r="J171" s="429">
        <v>0</v>
      </c>
      <c r="K171" s="423">
        <v>0</v>
      </c>
      <c r="L171" s="423">
        <v>0</v>
      </c>
      <c r="M171" s="424">
        <v>0</v>
      </c>
      <c r="N171" s="429">
        <v>0</v>
      </c>
      <c r="O171" s="423">
        <v>0</v>
      </c>
      <c r="P171" s="423">
        <v>0</v>
      </c>
      <c r="Q171" s="424">
        <v>0</v>
      </c>
      <c r="R171" s="420">
        <v>2.8079999999999998</v>
      </c>
      <c r="S171" s="431">
        <v>0</v>
      </c>
      <c r="T171" s="431">
        <v>0</v>
      </c>
      <c r="U171" s="432">
        <v>0</v>
      </c>
      <c r="V171" s="421">
        <v>0.84299999999999997</v>
      </c>
      <c r="W171" s="70">
        <v>0.77</v>
      </c>
      <c r="X171" s="70">
        <v>0.50800000000000001</v>
      </c>
      <c r="Y171" s="432">
        <v>0.53100000000000003</v>
      </c>
      <c r="Z171" s="421">
        <v>0</v>
      </c>
      <c r="AA171" s="431">
        <v>0</v>
      </c>
      <c r="AB171" s="431">
        <v>0</v>
      </c>
      <c r="AC171" s="431">
        <v>0</v>
      </c>
      <c r="AD171" s="430">
        <v>0</v>
      </c>
      <c r="AE171" s="606">
        <v>0</v>
      </c>
      <c r="AF171" s="606">
        <v>0</v>
      </c>
      <c r="AG171" s="423">
        <v>1.232</v>
      </c>
      <c r="AH171" s="430">
        <v>0</v>
      </c>
      <c r="AI171" s="431">
        <v>0</v>
      </c>
      <c r="AJ171" s="606">
        <v>0</v>
      </c>
      <c r="AK171" s="423">
        <v>0</v>
      </c>
      <c r="AL171" s="609">
        <v>0</v>
      </c>
      <c r="AM171" s="608">
        <v>0</v>
      </c>
      <c r="AN171" s="608">
        <v>0</v>
      </c>
      <c r="AO171" s="608">
        <v>0</v>
      </c>
      <c r="AP171" s="609">
        <v>0</v>
      </c>
      <c r="AQ171" s="608">
        <v>0</v>
      </c>
      <c r="AR171" s="608">
        <v>0</v>
      </c>
      <c r="AS171" s="608">
        <v>0</v>
      </c>
      <c r="AT171" s="512"/>
      <c r="AU171" s="561">
        <f t="shared" si="336"/>
        <v>0</v>
      </c>
      <c r="AV171" s="561">
        <f t="shared" si="337"/>
        <v>0</v>
      </c>
      <c r="AW171" s="561">
        <f t="shared" si="338"/>
        <v>0</v>
      </c>
      <c r="AX171" s="561">
        <f t="shared" si="326"/>
        <v>0</v>
      </c>
      <c r="AY171" s="561">
        <f t="shared" si="327"/>
        <v>2.8079999999999998</v>
      </c>
      <c r="AZ171" s="561">
        <f t="shared" si="328"/>
        <v>2.6520000000000001</v>
      </c>
      <c r="BA171" s="561">
        <f t="shared" si="329"/>
        <v>0</v>
      </c>
      <c r="BB171" s="561">
        <f t="shared" si="330"/>
        <v>1.232</v>
      </c>
      <c r="BC171" s="561">
        <f t="shared" si="331"/>
        <v>0</v>
      </c>
      <c r="BD171" s="561">
        <f t="shared" si="332"/>
        <v>0</v>
      </c>
      <c r="BE171" s="561">
        <f t="shared" si="333"/>
        <v>0</v>
      </c>
    </row>
    <row r="172" spans="1:57" s="45" customFormat="1" ht="12" customHeight="1">
      <c r="A172" s="620" t="s">
        <v>142</v>
      </c>
      <c r="B172" s="621">
        <f t="shared" ref="B172:X172" si="342">-B130</f>
        <v>0.18699999999999994</v>
      </c>
      <c r="C172" s="622">
        <f t="shared" si="342"/>
        <v>0.191</v>
      </c>
      <c r="D172" s="622">
        <f t="shared" si="342"/>
        <v>0.192</v>
      </c>
      <c r="E172" s="622">
        <f t="shared" si="342"/>
        <v>0.193</v>
      </c>
      <c r="F172" s="621">
        <f t="shared" si="342"/>
        <v>0.188</v>
      </c>
      <c r="G172" s="622">
        <f t="shared" si="342"/>
        <v>0.191</v>
      </c>
      <c r="H172" s="622">
        <f t="shared" si="342"/>
        <v>5.5E-2</v>
      </c>
      <c r="I172" s="623">
        <f t="shared" si="342"/>
        <v>0</v>
      </c>
      <c r="J172" s="621">
        <f t="shared" si="342"/>
        <v>0</v>
      </c>
      <c r="K172" s="622">
        <f t="shared" si="342"/>
        <v>0</v>
      </c>
      <c r="L172" s="622">
        <f t="shared" si="342"/>
        <v>0</v>
      </c>
      <c r="M172" s="623">
        <f t="shared" si="342"/>
        <v>0</v>
      </c>
      <c r="N172" s="621">
        <f t="shared" si="342"/>
        <v>0</v>
      </c>
      <c r="O172" s="622">
        <f t="shared" si="342"/>
        <v>0</v>
      </c>
      <c r="P172" s="622">
        <f t="shared" si="342"/>
        <v>0</v>
      </c>
      <c r="Q172" s="623">
        <f t="shared" si="342"/>
        <v>0</v>
      </c>
      <c r="R172" s="624">
        <f t="shared" si="342"/>
        <v>0</v>
      </c>
      <c r="S172" s="625">
        <f t="shared" si="342"/>
        <v>0</v>
      </c>
      <c r="T172" s="625">
        <f t="shared" si="342"/>
        <v>0</v>
      </c>
      <c r="U172" s="626">
        <f t="shared" si="342"/>
        <v>0</v>
      </c>
      <c r="V172" s="612">
        <f t="shared" si="342"/>
        <v>0</v>
      </c>
      <c r="W172" s="625">
        <f t="shared" si="342"/>
        <v>0</v>
      </c>
      <c r="X172" s="625">
        <f t="shared" si="342"/>
        <v>0</v>
      </c>
      <c r="Y172" s="626">
        <v>0</v>
      </c>
      <c r="Z172" s="612">
        <f>-Z130</f>
        <v>0</v>
      </c>
      <c r="AA172" s="625">
        <f>-AA130</f>
        <v>0</v>
      </c>
      <c r="AB172" s="625">
        <v>0</v>
      </c>
      <c r="AC172" s="625">
        <v>0</v>
      </c>
      <c r="AD172" s="627">
        <v>0</v>
      </c>
      <c r="AE172" s="628">
        <v>0</v>
      </c>
      <c r="AF172" s="628">
        <v>0</v>
      </c>
      <c r="AG172" s="628">
        <v>0</v>
      </c>
      <c r="AH172" s="627">
        <v>0</v>
      </c>
      <c r="AI172" s="629">
        <f t="shared" ref="AI172:AS172" si="343">-AI130</f>
        <v>0</v>
      </c>
      <c r="AJ172" s="628">
        <v>0</v>
      </c>
      <c r="AK172" s="628">
        <v>0</v>
      </c>
      <c r="AL172" s="630">
        <f t="shared" si="343"/>
        <v>0</v>
      </c>
      <c r="AM172" s="629">
        <f t="shared" si="343"/>
        <v>0</v>
      </c>
      <c r="AN172" s="629">
        <f t="shared" si="343"/>
        <v>0</v>
      </c>
      <c r="AO172" s="629">
        <f t="shared" si="343"/>
        <v>0</v>
      </c>
      <c r="AP172" s="630">
        <f t="shared" si="343"/>
        <v>0</v>
      </c>
      <c r="AQ172" s="629">
        <f t="shared" si="343"/>
        <v>0</v>
      </c>
      <c r="AR172" s="629">
        <f t="shared" si="343"/>
        <v>0</v>
      </c>
      <c r="AS172" s="629">
        <f t="shared" si="343"/>
        <v>0</v>
      </c>
      <c r="AT172" s="512"/>
      <c r="AU172" s="631">
        <f t="shared" si="336"/>
        <v>0.7629999999999999</v>
      </c>
      <c r="AV172" s="631">
        <f t="shared" ref="AV172:AV173" si="344">+SUM(F172:I172)</f>
        <v>0.434</v>
      </c>
      <c r="AW172" s="631">
        <f t="shared" ref="AW172:AW173" si="345">SUM(J172:M172)</f>
        <v>0</v>
      </c>
      <c r="AX172" s="631">
        <f t="shared" si="326"/>
        <v>0</v>
      </c>
      <c r="AY172" s="631">
        <f t="shared" si="327"/>
        <v>0</v>
      </c>
      <c r="AZ172" s="631">
        <f t="shared" si="328"/>
        <v>0</v>
      </c>
      <c r="BA172" s="631">
        <f t="shared" si="329"/>
        <v>0</v>
      </c>
      <c r="BB172" s="631">
        <f t="shared" si="330"/>
        <v>0</v>
      </c>
      <c r="BC172" s="631">
        <f t="shared" si="331"/>
        <v>0</v>
      </c>
      <c r="BD172" s="631">
        <f t="shared" si="332"/>
        <v>0</v>
      </c>
      <c r="BE172" s="631">
        <f t="shared" si="333"/>
        <v>0</v>
      </c>
    </row>
    <row r="173" spans="1:57" s="45" customFormat="1" ht="12" customHeight="1">
      <c r="A173" s="575" t="s">
        <v>171</v>
      </c>
      <c r="B173" s="413">
        <f>SUM(B168:B172)</f>
        <v>0.17699999999999994</v>
      </c>
      <c r="C173" s="414">
        <f t="shared" ref="C173:AS173" si="346">SUM(C168:C172)</f>
        <v>0.17899999999999999</v>
      </c>
      <c r="D173" s="414">
        <f t="shared" si="346"/>
        <v>0.17899999999999999</v>
      </c>
      <c r="E173" s="414">
        <f t="shared" si="346"/>
        <v>0.17400000000000002</v>
      </c>
      <c r="F173" s="413">
        <f t="shared" si="346"/>
        <v>0.16500000000000001</v>
      </c>
      <c r="G173" s="414">
        <f t="shared" si="346"/>
        <v>0.16600000000000001</v>
      </c>
      <c r="H173" s="414">
        <f t="shared" si="346"/>
        <v>-3.4999999999999996E-2</v>
      </c>
      <c r="I173" s="415">
        <f t="shared" si="346"/>
        <v>-0.08</v>
      </c>
      <c r="J173" s="413">
        <f t="shared" si="346"/>
        <v>-0.64900000000000002</v>
      </c>
      <c r="K173" s="414">
        <f t="shared" si="346"/>
        <v>0.121</v>
      </c>
      <c r="L173" s="414">
        <f t="shared" si="346"/>
        <v>0.27300000000000002</v>
      </c>
      <c r="M173" s="415">
        <f t="shared" si="346"/>
        <v>10.742000000000001</v>
      </c>
      <c r="N173" s="413">
        <f t="shared" si="346"/>
        <v>0.19800000000000001</v>
      </c>
      <c r="O173" s="414">
        <f t="shared" si="346"/>
        <v>0.437</v>
      </c>
      <c r="P173" s="416">
        <f t="shared" si="346"/>
        <v>0.497</v>
      </c>
      <c r="Q173" s="415">
        <f t="shared" si="346"/>
        <v>0.16700000000000001</v>
      </c>
      <c r="R173" s="413">
        <f t="shared" si="346"/>
        <v>2.8039999999999998</v>
      </c>
      <c r="S173" s="414">
        <f t="shared" si="346"/>
        <v>-1.617</v>
      </c>
      <c r="T173" s="414">
        <f t="shared" si="346"/>
        <v>-0.56100000000000005</v>
      </c>
      <c r="U173" s="415">
        <f t="shared" si="346"/>
        <v>-7.761000000000001</v>
      </c>
      <c r="V173" s="414">
        <f t="shared" si="346"/>
        <v>1.4670000000000001</v>
      </c>
      <c r="W173" s="414">
        <f t="shared" si="346"/>
        <v>-1.9489999999999998</v>
      </c>
      <c r="X173" s="414">
        <f t="shared" si="346"/>
        <v>-0.1319999999999999</v>
      </c>
      <c r="Y173" s="415">
        <f t="shared" si="346"/>
        <v>1.6659999999999999</v>
      </c>
      <c r="Z173" s="414">
        <f t="shared" si="346"/>
        <v>0.86299999999999999</v>
      </c>
      <c r="AA173" s="414">
        <f t="shared" si="346"/>
        <v>1.2770000000000001</v>
      </c>
      <c r="AB173" s="414">
        <f t="shared" si="346"/>
        <v>-1.2550000000000001</v>
      </c>
      <c r="AC173" s="414">
        <f t="shared" si="346"/>
        <v>5.8959999999999999</v>
      </c>
      <c r="AD173" s="413">
        <f t="shared" si="346"/>
        <v>0.27700000000000002</v>
      </c>
      <c r="AE173" s="414">
        <f t="shared" si="346"/>
        <v>5.8129999999999997</v>
      </c>
      <c r="AF173" s="414">
        <f t="shared" si="346"/>
        <v>1.476</v>
      </c>
      <c r="AG173" s="414">
        <f t="shared" si="346"/>
        <v>2.42</v>
      </c>
      <c r="AH173" s="413">
        <f t="shared" si="346"/>
        <v>0.79699999999999993</v>
      </c>
      <c r="AI173" s="414">
        <f t="shared" si="346"/>
        <v>0.99899999999999989</v>
      </c>
      <c r="AJ173" s="414">
        <f t="shared" si="346"/>
        <v>-2.5990000000000002</v>
      </c>
      <c r="AK173" s="414">
        <f t="shared" si="346"/>
        <v>6.3170000000000002</v>
      </c>
      <c r="AL173" s="413">
        <f t="shared" si="346"/>
        <v>3.3040000000000003</v>
      </c>
      <c r="AM173" s="414">
        <f t="shared" si="346"/>
        <v>3.4040000000000004</v>
      </c>
      <c r="AN173" s="414">
        <f t="shared" si="346"/>
        <v>3.5040000000000004</v>
      </c>
      <c r="AO173" s="414">
        <f t="shared" si="346"/>
        <v>3.6040000000000005</v>
      </c>
      <c r="AP173" s="413">
        <f t="shared" si="346"/>
        <v>3.7040000000000006</v>
      </c>
      <c r="AQ173" s="414">
        <f t="shared" si="346"/>
        <v>3.8040000000000007</v>
      </c>
      <c r="AR173" s="414">
        <f t="shared" si="346"/>
        <v>3.9040000000000008</v>
      </c>
      <c r="AS173" s="414">
        <f t="shared" si="346"/>
        <v>4.0040000000000004</v>
      </c>
      <c r="AT173" s="512"/>
      <c r="AU173" s="584">
        <f t="shared" si="336"/>
        <v>0.70899999999999996</v>
      </c>
      <c r="AV173" s="584">
        <f t="shared" si="344"/>
        <v>0.21600000000000003</v>
      </c>
      <c r="AW173" s="584">
        <f t="shared" si="345"/>
        <v>10.487</v>
      </c>
      <c r="AX173" s="584">
        <f t="shared" si="326"/>
        <v>1.2990000000000002</v>
      </c>
      <c r="AY173" s="584">
        <f t="shared" si="327"/>
        <v>-7.1350000000000016</v>
      </c>
      <c r="AZ173" s="584">
        <f t="shared" si="328"/>
        <v>1.0520000000000003</v>
      </c>
      <c r="BA173" s="584">
        <f t="shared" si="329"/>
        <v>6.7809999999999997</v>
      </c>
      <c r="BB173" s="584">
        <f t="shared" si="330"/>
        <v>9.9860000000000007</v>
      </c>
      <c r="BC173" s="584">
        <f t="shared" si="331"/>
        <v>5.5139999999999993</v>
      </c>
      <c r="BD173" s="584">
        <f t="shared" si="332"/>
        <v>13.816000000000001</v>
      </c>
      <c r="BE173" s="584">
        <f t="shared" si="333"/>
        <v>15.416000000000004</v>
      </c>
    </row>
    <row r="174" spans="1:57" s="45" customFormat="1" ht="12" customHeight="1">
      <c r="A174" s="490"/>
      <c r="B174" s="423"/>
      <c r="C174" s="423"/>
      <c r="D174" s="423"/>
      <c r="E174" s="423"/>
      <c r="F174" s="429"/>
      <c r="G174" s="423"/>
      <c r="H174" s="423"/>
      <c r="I174" s="424"/>
      <c r="J174" s="429"/>
      <c r="K174" s="423"/>
      <c r="L174" s="423"/>
      <c r="M174" s="424"/>
      <c r="N174" s="429"/>
      <c r="O174" s="423"/>
      <c r="P174" s="423"/>
      <c r="Q174" s="424"/>
      <c r="R174" s="420"/>
      <c r="S174" s="431"/>
      <c r="T174" s="577"/>
      <c r="U174" s="578"/>
      <c r="V174" s="577"/>
      <c r="W174" s="577"/>
      <c r="X174" s="577"/>
      <c r="Y174" s="577"/>
      <c r="Z174" s="576"/>
      <c r="AA174" s="577"/>
      <c r="AB174" s="577"/>
      <c r="AC174" s="577"/>
      <c r="AD174" s="576"/>
      <c r="AE174" s="577"/>
      <c r="AF174" s="577"/>
      <c r="AG174" s="577"/>
      <c r="AH174" s="576"/>
      <c r="AI174" s="577"/>
      <c r="AJ174" s="577"/>
      <c r="AK174" s="577"/>
      <c r="AL174" s="576"/>
      <c r="AM174" s="577"/>
      <c r="AN174" s="577"/>
      <c r="AO174" s="577"/>
      <c r="AP174" s="576"/>
      <c r="AQ174" s="577"/>
      <c r="AR174" s="577"/>
      <c r="AS174" s="577"/>
      <c r="AT174" s="512"/>
      <c r="AU174" s="615"/>
      <c r="AV174" s="615"/>
      <c r="AW174" s="615"/>
      <c r="AX174" s="615"/>
      <c r="AY174" s="615"/>
      <c r="AZ174" s="615"/>
      <c r="BA174" s="615"/>
      <c r="BB174" s="615"/>
      <c r="BC174" s="615"/>
      <c r="BD174" s="615"/>
      <c r="BE174" s="615"/>
    </row>
    <row r="175" spans="1:57" s="45" customFormat="1" ht="12" customHeight="1">
      <c r="A175" s="490" t="s">
        <v>172</v>
      </c>
      <c r="B175" s="333">
        <f>B169/B147</f>
        <v>-6.1500615006150061E-3</v>
      </c>
      <c r="C175" s="337">
        <f t="shared" ref="C175:X175" si="347">C169/C147</f>
        <v>-6.4899945916711737E-3</v>
      </c>
      <c r="D175" s="337">
        <f t="shared" si="347"/>
        <v>-6.41025641025641E-3</v>
      </c>
      <c r="E175" s="337">
        <f t="shared" si="347"/>
        <v>-8.4182543198936654E-3</v>
      </c>
      <c r="F175" s="632">
        <f t="shared" si="347"/>
        <v>-9.5873280533555639E-3</v>
      </c>
      <c r="G175" s="337">
        <f t="shared" si="347"/>
        <v>-8.2671957671957667E-3</v>
      </c>
      <c r="H175" s="337">
        <f t="shared" si="347"/>
        <v>-1.0247068199931684E-2</v>
      </c>
      <c r="I175" s="633">
        <f t="shared" si="347"/>
        <v>-9.2282846925827652E-3</v>
      </c>
      <c r="J175" s="632">
        <f t="shared" si="347"/>
        <v>-6.9642665522051728E-2</v>
      </c>
      <c r="K175" s="337">
        <f t="shared" si="347"/>
        <v>1.0639233271784048E-2</v>
      </c>
      <c r="L175" s="337">
        <f t="shared" si="347"/>
        <v>2.6002476426326322E-2</v>
      </c>
      <c r="M175" s="633">
        <f t="shared" si="347"/>
        <v>1.3059092393078682E-2</v>
      </c>
      <c r="N175" s="632">
        <f t="shared" si="347"/>
        <v>1.518987341772152E-2</v>
      </c>
      <c r="O175" s="337">
        <f t="shared" si="347"/>
        <v>2.789480403421422E-2</v>
      </c>
      <c r="P175" s="337">
        <f t="shared" si="347"/>
        <v>3.2483660130718954E-2</v>
      </c>
      <c r="Q175" s="633">
        <f t="shared" si="347"/>
        <v>1.0724377087079373E-2</v>
      </c>
      <c r="R175" s="586">
        <f t="shared" si="347"/>
        <v>-2.3596035865974514E-4</v>
      </c>
      <c r="S175" s="397">
        <f t="shared" si="347"/>
        <v>-2.3450095266012015E-2</v>
      </c>
      <c r="T175" s="397">
        <f t="shared" si="347"/>
        <v>-7.1729150726855399E-4</v>
      </c>
      <c r="U175" s="585">
        <f t="shared" si="347"/>
        <v>5.29612756264237E-2</v>
      </c>
      <c r="V175" s="397">
        <f t="shared" si="347"/>
        <v>4.1971808803842832E-2</v>
      </c>
      <c r="W175" s="397">
        <f t="shared" si="347"/>
        <v>5.8910162002945507E-3</v>
      </c>
      <c r="X175" s="397">
        <f t="shared" si="347"/>
        <v>9.7417516772355488E-3</v>
      </c>
      <c r="Y175" s="337">
        <f>Y169/Y147</f>
        <v>1.7308256462075036E-2</v>
      </c>
      <c r="Z175" s="586">
        <f t="shared" ref="Z175:AS175" si="348">Z169/Z147</f>
        <v>2.6878095963888966E-2</v>
      </c>
      <c r="AA175" s="397">
        <f t="shared" si="348"/>
        <v>3.5287902799788703E-2</v>
      </c>
      <c r="AB175" s="337">
        <f t="shared" si="348"/>
        <v>-3.2767748065698384E-2</v>
      </c>
      <c r="AC175" s="337">
        <f t="shared" si="348"/>
        <v>2.6591811584280433E-2</v>
      </c>
      <c r="AD175" s="632">
        <f t="shared" si="348"/>
        <v>-2.7115486291195652E-2</v>
      </c>
      <c r="AE175" s="337">
        <f t="shared" si="348"/>
        <v>2.8383013672158078E-2</v>
      </c>
      <c r="AF175" s="337">
        <f t="shared" si="348"/>
        <v>3.6656750791670661E-2</v>
      </c>
      <c r="AG175" s="337">
        <f t="shared" si="348"/>
        <v>2.9940560986392889E-2</v>
      </c>
      <c r="AH175" s="632">
        <f t="shared" si="348"/>
        <v>1.5294349140475467E-2</v>
      </c>
      <c r="AI175" s="337">
        <f t="shared" si="348"/>
        <v>2.2718479989683186E-2</v>
      </c>
      <c r="AJ175" s="337">
        <f t="shared" si="348"/>
        <v>-5.6860211220533849E-2</v>
      </c>
      <c r="AK175" s="337">
        <f t="shared" si="348"/>
        <v>7.5569637319671021E-2</v>
      </c>
      <c r="AL175" s="632">
        <f t="shared" si="348"/>
        <v>6.3776467617355365E-2</v>
      </c>
      <c r="AM175" s="337">
        <f t="shared" si="348"/>
        <v>7.4545088284911326E-2</v>
      </c>
      <c r="AN175" s="337">
        <f t="shared" si="348"/>
        <v>7.5721768454925217E-2</v>
      </c>
      <c r="AO175" s="337">
        <f t="shared" si="348"/>
        <v>7.5365590206502936E-2</v>
      </c>
      <c r="AP175" s="632">
        <f t="shared" si="348"/>
        <v>6.6744488526455217E-2</v>
      </c>
      <c r="AQ175" s="337">
        <f t="shared" si="348"/>
        <v>7.7792987188701868E-2</v>
      </c>
      <c r="AR175" s="337">
        <f t="shared" si="348"/>
        <v>7.8814662869802488E-2</v>
      </c>
      <c r="AS175" s="337">
        <f t="shared" si="348"/>
        <v>7.8242410942688564E-2</v>
      </c>
      <c r="AT175" s="512"/>
      <c r="AU175" s="615"/>
      <c r="AV175" s="615"/>
      <c r="AW175" s="615"/>
      <c r="AX175" s="615"/>
      <c r="AY175" s="634">
        <f t="shared" ref="AY175:BE175" si="349">AY169/AY9</f>
        <v>1.1402066046975775E-3</v>
      </c>
      <c r="AZ175" s="634">
        <f t="shared" si="349"/>
        <v>3.0782021425926282E-3</v>
      </c>
      <c r="BA175" s="634">
        <f t="shared" si="349"/>
        <v>2.5253220818569943E-3</v>
      </c>
      <c r="BB175" s="634">
        <f t="shared" si="349"/>
        <v>3.1610373535728613E-3</v>
      </c>
      <c r="BC175" s="634">
        <f t="shared" si="349"/>
        <v>2.7246211495840023E-3</v>
      </c>
      <c r="BD175" s="634">
        <f t="shared" si="349"/>
        <v>1.35035265419163E-2</v>
      </c>
      <c r="BE175" s="634">
        <f t="shared" si="349"/>
        <v>1.407316539220674E-2</v>
      </c>
    </row>
    <row r="176" spans="1:57" s="45" customFormat="1" ht="12" customHeight="1">
      <c r="A176" s="490" t="s">
        <v>173</v>
      </c>
      <c r="B176" s="333"/>
      <c r="C176" s="337"/>
      <c r="D176" s="337"/>
      <c r="E176" s="337"/>
      <c r="F176" s="632"/>
      <c r="G176" s="337"/>
      <c r="H176" s="337"/>
      <c r="I176" s="633"/>
      <c r="J176" s="632"/>
      <c r="K176" s="337"/>
      <c r="L176" s="337"/>
      <c r="M176" s="633">
        <f t="shared" ref="M176:X176" si="350">M170/M165</f>
        <v>2.6654911838790931</v>
      </c>
      <c r="N176" s="632">
        <f t="shared" si="350"/>
        <v>0</v>
      </c>
      <c r="O176" s="337"/>
      <c r="P176" s="337"/>
      <c r="Q176" s="633"/>
      <c r="R176" s="586"/>
      <c r="S176" s="635">
        <f t="shared" si="350"/>
        <v>-0.73735408560311277</v>
      </c>
      <c r="T176" s="635">
        <f t="shared" si="350"/>
        <v>-0.24052863436123351</v>
      </c>
      <c r="U176" s="636">
        <f t="shared" si="350"/>
        <v>-9.5349087003222337</v>
      </c>
      <c r="V176" s="635">
        <f t="shared" si="350"/>
        <v>-0.20284534189995412</v>
      </c>
      <c r="W176" s="635">
        <f t="shared" si="350"/>
        <v>-4.0771388499298737</v>
      </c>
      <c r="X176" s="635">
        <f t="shared" si="350"/>
        <v>-2.9751552795031055</v>
      </c>
      <c r="Y176" s="337">
        <f>Y170/Y165</f>
        <v>2.2706766917293231</v>
      </c>
      <c r="Z176" s="637">
        <f t="shared" ref="Z176:AK176" si="351">Z170/Z165</f>
        <v>-0.53999999999999992</v>
      </c>
      <c r="AA176" s="635">
        <f t="shared" si="351"/>
        <v>-1.9666666666666666</v>
      </c>
      <c r="AB176" s="635">
        <f t="shared" si="351"/>
        <v>-1.0439321444106133E-2</v>
      </c>
      <c r="AC176" s="585">
        <f t="shared" si="351"/>
        <v>8.9797639123102874E-2</v>
      </c>
      <c r="AD176" s="586">
        <f>AD170/AD165</f>
        <v>-0.21739130434782611</v>
      </c>
      <c r="AE176" s="635">
        <f t="shared" si="351"/>
        <v>-5.6356487549148092E-2</v>
      </c>
      <c r="AF176" s="635">
        <f t="shared" si="351"/>
        <v>-0.14444444444444443</v>
      </c>
      <c r="AG176" s="635">
        <f t="shared" si="351"/>
        <v>-4.7839506172839504E-2</v>
      </c>
      <c r="AH176" s="586">
        <f>AH170/AH165</f>
        <v>-1.2551395801774508E-2</v>
      </c>
      <c r="AI176" s="635">
        <f t="shared" si="351"/>
        <v>-2.7871215761653054E-2</v>
      </c>
      <c r="AJ176" s="635">
        <f t="shared" si="351"/>
        <v>-0.41592920353982299</v>
      </c>
      <c r="AK176" s="635">
        <f t="shared" si="351"/>
        <v>-0.36054421768707484</v>
      </c>
      <c r="AL176" s="586"/>
      <c r="AM176" s="397"/>
      <c r="AN176" s="397"/>
      <c r="AO176" s="397"/>
      <c r="AP176" s="586"/>
      <c r="AQ176" s="397"/>
      <c r="AR176" s="397"/>
      <c r="AS176" s="397"/>
      <c r="AT176" s="512"/>
      <c r="AU176" s="615"/>
      <c r="AV176" s="615"/>
      <c r="AW176" s="615"/>
      <c r="AX176" s="615"/>
      <c r="AY176" s="615"/>
      <c r="AZ176" s="615"/>
      <c r="BA176" s="615"/>
      <c r="BB176" s="615"/>
      <c r="BC176" s="615"/>
      <c r="BD176" s="615"/>
      <c r="BE176" s="615"/>
    </row>
    <row r="177" spans="1:57" s="33" customFormat="1" ht="12" customHeight="1">
      <c r="A177" s="638"/>
      <c r="B177" s="639"/>
      <c r="C177" s="639"/>
      <c r="D177" s="639"/>
      <c r="E177" s="639"/>
      <c r="F177" s="640"/>
      <c r="G177" s="639"/>
      <c r="H177" s="639"/>
      <c r="I177" s="641"/>
      <c r="J177" s="640"/>
      <c r="K177" s="639"/>
      <c r="L177" s="639"/>
      <c r="M177" s="641"/>
      <c r="N177" s="640"/>
      <c r="O177" s="639"/>
      <c r="P177" s="536"/>
      <c r="Q177" s="641"/>
      <c r="R177" s="640"/>
      <c r="S177" s="639"/>
      <c r="T177" s="639"/>
      <c r="U177" s="641"/>
      <c r="V177" s="639"/>
      <c r="W177" s="639"/>
      <c r="X177" s="639"/>
      <c r="Y177" s="639"/>
      <c r="Z177" s="640"/>
      <c r="AA177" s="639"/>
      <c r="AB177" s="639"/>
      <c r="AC177" s="641"/>
      <c r="AD177" s="640"/>
      <c r="AE177" s="639"/>
      <c r="AF177" s="639"/>
      <c r="AG177" s="639"/>
      <c r="AH177" s="640"/>
      <c r="AI177" s="639"/>
      <c r="AJ177" s="639"/>
      <c r="AK177" s="639"/>
      <c r="AL177" s="640"/>
      <c r="AM177" s="639"/>
      <c r="AN177" s="639"/>
      <c r="AO177" s="639"/>
      <c r="AP177" s="640"/>
      <c r="AQ177" s="639"/>
      <c r="AR177" s="639"/>
      <c r="AS177" s="639"/>
      <c r="AT177" s="592"/>
      <c r="AU177" s="642"/>
      <c r="AV177" s="642"/>
      <c r="AW177" s="642"/>
      <c r="AX177" s="642"/>
      <c r="AY177" s="642"/>
      <c r="AZ177" s="642"/>
      <c r="BA177" s="642"/>
      <c r="BB177" s="642"/>
      <c r="BC177" s="642"/>
      <c r="BD177" s="642"/>
      <c r="BE177" s="642"/>
    </row>
    <row r="178" spans="1:57" ht="12" customHeight="1">
      <c r="A178" s="643" t="s">
        <v>130</v>
      </c>
    </row>
    <row r="179" spans="1:57" ht="12" customHeight="1">
      <c r="T179" s="644"/>
      <c r="U179" s="644"/>
      <c r="V179" s="644"/>
      <c r="W179" s="644"/>
      <c r="X179" s="644"/>
      <c r="Y179" s="644"/>
      <c r="Z179" s="644"/>
      <c r="AA179" s="644"/>
      <c r="AB179" s="644"/>
      <c r="AC179" s="644"/>
      <c r="AD179" s="644"/>
      <c r="AE179" s="644"/>
      <c r="AF179" s="644"/>
      <c r="AG179" s="644"/>
      <c r="AH179" s="644"/>
      <c r="AI179" s="644"/>
      <c r="AJ179" s="644"/>
      <c r="AK179" s="644"/>
      <c r="AL179" s="644"/>
      <c r="AM179" s="644"/>
      <c r="AN179" s="644"/>
      <c r="AO179" s="644"/>
      <c r="AP179" s="644"/>
      <c r="AQ179" s="644"/>
      <c r="AR179" s="644"/>
      <c r="AS179" s="644"/>
      <c r="AT179" s="644"/>
      <c r="AU179" s="644"/>
      <c r="AV179" s="644"/>
      <c r="AW179" s="644"/>
      <c r="AX179" s="644"/>
      <c r="AY179" s="644"/>
      <c r="AZ179" s="644"/>
      <c r="BA179" s="644"/>
      <c r="BB179" s="644"/>
      <c r="BC179" s="644"/>
      <c r="BD179" s="644"/>
      <c r="BE179" s="644"/>
    </row>
    <row r="180" spans="1:57" ht="12" customHeight="1">
      <c r="T180" s="645"/>
      <c r="U180" s="645"/>
      <c r="V180" s="645"/>
      <c r="W180" s="645"/>
      <c r="X180" s="645"/>
      <c r="Y180" s="645"/>
      <c r="Z180" s="645"/>
      <c r="AA180" s="645"/>
      <c r="AB180" s="645"/>
      <c r="AC180" s="645"/>
      <c r="AD180" s="645"/>
      <c r="AE180" s="645"/>
      <c r="AF180" s="645"/>
      <c r="AG180" s="645"/>
      <c r="AH180" s="645"/>
      <c r="AI180" s="645"/>
      <c r="AJ180" s="645"/>
      <c r="AK180" s="645"/>
      <c r="AL180" s="645"/>
      <c r="AM180" s="645"/>
      <c r="AN180" s="645"/>
      <c r="AO180" s="645"/>
      <c r="AP180" s="645"/>
      <c r="AQ180" s="645"/>
      <c r="AR180" s="645"/>
      <c r="AS180" s="645"/>
      <c r="AT180" s="645"/>
      <c r="AU180" s="645"/>
      <c r="AV180" s="645"/>
      <c r="AW180" s="645"/>
      <c r="AX180" s="645"/>
      <c r="AY180" s="645"/>
      <c r="AZ180" s="645"/>
      <c r="BA180" s="645"/>
      <c r="BB180" s="645"/>
      <c r="BC180" s="645"/>
      <c r="BD180" s="645"/>
      <c r="BE180" s="645"/>
    </row>
    <row r="181" spans="1:57" ht="12" customHeight="1"/>
    <row r="182" spans="1:57" ht="12" customHeight="1"/>
    <row r="183" spans="1:57" ht="12" customHeight="1"/>
    <row r="184" spans="1:57" ht="12" customHeight="1"/>
    <row r="185" spans="1:57" ht="12" customHeight="1"/>
    <row r="186" spans="1:57" ht="12" customHeight="1"/>
    <row r="187" spans="1:57" ht="12" customHeight="1"/>
    <row r="188" spans="1:57" ht="12" customHeight="1"/>
    <row r="189" spans="1:57" ht="12" customHeight="1"/>
    <row r="190" spans="1:57" ht="12" customHeight="1"/>
    <row r="191" spans="1:57" ht="12" customHeight="1"/>
    <row r="192" spans="1:57" ht="12" customHeight="1"/>
    <row r="193" ht="12" customHeight="1"/>
    <row r="194" ht="12" customHeight="1"/>
    <row r="195" ht="12" customHeight="1"/>
    <row r="196" ht="12" customHeight="1"/>
    <row r="197" ht="12" customHeight="1"/>
    <row r="198" ht="12" customHeight="1"/>
    <row r="199" ht="12" customHeight="1"/>
    <row r="200" ht="12" customHeight="1"/>
  </sheetData>
  <mergeCells count="44">
    <mergeCell ref="V3:Y3"/>
    <mergeCell ref="B3:E3"/>
    <mergeCell ref="F3:I3"/>
    <mergeCell ref="J3:M3"/>
    <mergeCell ref="N3:Q3"/>
    <mergeCell ref="R3:U3"/>
    <mergeCell ref="B55:E55"/>
    <mergeCell ref="F55:I55"/>
    <mergeCell ref="J55:M55"/>
    <mergeCell ref="N55:Q55"/>
    <mergeCell ref="R55:U55"/>
    <mergeCell ref="AL55:AO55"/>
    <mergeCell ref="AP55:AS55"/>
    <mergeCell ref="Z3:AC3"/>
    <mergeCell ref="AD3:AG3"/>
    <mergeCell ref="AH3:AK3"/>
    <mergeCell ref="AL3:AO3"/>
    <mergeCell ref="AP3:AS3"/>
    <mergeCell ref="V80:Y80"/>
    <mergeCell ref="V55:Y55"/>
    <mergeCell ref="Z55:AC55"/>
    <mergeCell ref="AD55:AG55"/>
    <mergeCell ref="AH55:AK55"/>
    <mergeCell ref="B80:E80"/>
    <mergeCell ref="F80:I80"/>
    <mergeCell ref="J80:M80"/>
    <mergeCell ref="N80:Q80"/>
    <mergeCell ref="R80:U80"/>
    <mergeCell ref="B105:E105"/>
    <mergeCell ref="F105:I105"/>
    <mergeCell ref="J105:M105"/>
    <mergeCell ref="N105:Q105"/>
    <mergeCell ref="R105:U105"/>
    <mergeCell ref="AP105:AS105"/>
    <mergeCell ref="Z80:AC80"/>
    <mergeCell ref="AD80:AG80"/>
    <mergeCell ref="AH80:AK80"/>
    <mergeCell ref="AL80:AO80"/>
    <mergeCell ref="AP80:AS80"/>
    <mergeCell ref="V105:Y105"/>
    <mergeCell ref="Z105:AC105"/>
    <mergeCell ref="AD105:AG105"/>
    <mergeCell ref="AH105:AK105"/>
    <mergeCell ref="AL105:AO105"/>
  </mergeCells>
  <pageMargins left="0.7" right="0.7" top="0.75" bottom="0.75" header="0.3" footer="0.3"/>
  <pageSetup scale="54"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FC0C1-EE63-4084-B994-53FB1A5862E5}">
  <sheetPr>
    <tabColor rgb="FF008000"/>
    <pageSetUpPr fitToPage="1"/>
  </sheetPr>
  <dimension ref="A1:BH1912"/>
  <sheetViews>
    <sheetView showGridLines="0" tabSelected="1" zoomScaleNormal="100" workbookViewId="0">
      <pane xSplit="1" ySplit="4" topLeftCell="U65" activePane="bottomRight" state="frozen"/>
      <selection activeCell="N24" sqref="N24"/>
      <selection pane="topRight" activeCell="N24" sqref="N24"/>
      <selection pane="bottomLeft" activeCell="N24" sqref="N24"/>
      <selection pane="bottomRight" activeCell="Z76" sqref="Z76:AK76"/>
    </sheetView>
  </sheetViews>
  <sheetFormatPr defaultColWidth="9.1328125" defaultRowHeight="12.75" customHeight="1" outlineLevelRow="1" outlineLevelCol="1"/>
  <cols>
    <col min="1" max="1" width="42.86328125" style="1217" customWidth="1"/>
    <col min="2" max="16" width="7.86328125" style="1217" customWidth="1" outlineLevel="1"/>
    <col min="17" max="17" width="8.1328125" style="1217" customWidth="1" outlineLevel="1"/>
    <col min="18" max="18" width="7.86328125" style="1217" customWidth="1" outlineLevel="1" collapsed="1"/>
    <col min="19" max="20" width="7.86328125" style="1217" customWidth="1" outlineLevel="1"/>
    <col min="21" max="21" width="8.59765625" style="1217" customWidth="1" outlineLevel="1"/>
    <col min="22" max="22" width="7.86328125" style="1217" customWidth="1" outlineLevel="1"/>
    <col min="23" max="23" width="8.1328125" style="1217" customWidth="1" outlineLevel="1"/>
    <col min="24" max="25" width="7.86328125" style="1217" customWidth="1" outlineLevel="1"/>
    <col min="26" max="26" width="7.86328125" style="1217" customWidth="1" outlineLevel="1" collapsed="1"/>
    <col min="27" max="29" width="7.86328125" style="1217" customWidth="1" outlineLevel="1"/>
    <col min="30" max="31" width="8.59765625" style="1217" bestFit="1" customWidth="1"/>
    <col min="32" max="45" width="7.86328125" style="1217" customWidth="1"/>
    <col min="46" max="46" width="2.59765625" style="1217" customWidth="1"/>
    <col min="47" max="47" width="9.1328125" style="1218" hidden="1" customWidth="1" outlineLevel="1" collapsed="1"/>
    <col min="48" max="48" width="9.1328125" style="1218" hidden="1" customWidth="1" outlineLevel="1"/>
    <col min="49" max="49" width="8.86328125" style="1218" hidden="1" customWidth="1" outlineLevel="1"/>
    <col min="50" max="50" width="9.1328125" style="1218" hidden="1" customWidth="1" outlineLevel="1"/>
    <col min="51" max="51" width="9.1328125" style="1218" hidden="1" customWidth="1" outlineLevel="1" collapsed="1"/>
    <col min="52" max="52" width="9.1328125" style="1218" hidden="1" customWidth="1" outlineLevel="1"/>
    <col min="53" max="53" width="9.1328125" style="1218" hidden="1" customWidth="1" outlineLevel="1" collapsed="1"/>
    <col min="54" max="54" width="9.1328125" style="1218" customWidth="1" collapsed="1"/>
    <col min="55" max="55" width="9.1328125" style="1218" customWidth="1"/>
    <col min="56" max="59" width="9.1328125" style="1218"/>
    <col min="61" max="16384" width="9.1328125" style="1218"/>
  </cols>
  <sheetData>
    <row r="1" spans="1:57" s="33" customFormat="1" ht="15.75">
      <c r="A1" s="28" t="str">
        <f>+'Income Statement'!A1</f>
        <v>Tenable Holdings, Inc. (TENB)</v>
      </c>
      <c r="Z1" s="646"/>
      <c r="AA1" s="646"/>
      <c r="AB1" s="646"/>
      <c r="AC1" s="646"/>
      <c r="AD1" s="647"/>
      <c r="AE1" s="647"/>
      <c r="AF1" s="647"/>
      <c r="AG1" s="647"/>
      <c r="AH1" s="647"/>
      <c r="AI1" s="647"/>
      <c r="AJ1" s="647"/>
      <c r="AK1" s="647"/>
    </row>
    <row r="2" spans="1:57" s="39" customFormat="1" ht="15.75">
      <c r="A2" s="28" t="s">
        <v>174</v>
      </c>
      <c r="B2" s="35"/>
      <c r="C2" s="35"/>
      <c r="D2" s="35"/>
      <c r="E2" s="35"/>
      <c r="F2" s="35"/>
      <c r="G2" s="35"/>
      <c r="H2" s="35"/>
      <c r="I2" s="35"/>
      <c r="J2" s="35"/>
      <c r="K2" s="35"/>
      <c r="L2" s="35"/>
      <c r="M2" s="35"/>
      <c r="N2" s="35"/>
      <c r="O2" s="35"/>
      <c r="P2" s="648"/>
      <c r="Q2" s="35"/>
      <c r="R2" s="35" t="str">
        <f>'Income Statement'!R2</f>
        <v>2021/1F</v>
      </c>
      <c r="S2" s="35" t="str">
        <f>'Income Statement'!S2</f>
        <v>2021/2F</v>
      </c>
      <c r="T2" s="35" t="str">
        <f>'Income Statement'!T2</f>
        <v>2021/3F</v>
      </c>
      <c r="U2" s="35" t="str">
        <f>'Income Statement'!U2</f>
        <v>2021/4F</v>
      </c>
      <c r="V2" s="35" t="str">
        <f>'Income Statement'!V2</f>
        <v>2022/1F</v>
      </c>
      <c r="W2" s="35" t="str">
        <f>'Income Statement'!W2</f>
        <v>2022/2F</v>
      </c>
      <c r="X2" s="35" t="str">
        <f>'Income Statement'!X2</f>
        <v>2022/3F</v>
      </c>
      <c r="Y2" s="35" t="str">
        <f>'Income Statement'!Y2</f>
        <v>2022/4F</v>
      </c>
      <c r="Z2" s="35" t="str">
        <f>'Income Statement'!Z2</f>
        <v>2023/1F</v>
      </c>
      <c r="AA2" s="35" t="str">
        <f>'Income Statement'!AA2</f>
        <v>2023/2F</v>
      </c>
      <c r="AB2" s="35" t="str">
        <f>'Income Statement'!AB2</f>
        <v>2023/3F</v>
      </c>
      <c r="AC2" s="35" t="str">
        <f>'Income Statement'!AC2</f>
        <v>2023/4F</v>
      </c>
      <c r="AD2" s="35" t="str">
        <f>'Income Statement'!AD2</f>
        <v>2024/1F</v>
      </c>
      <c r="AE2" s="35" t="str">
        <f>'Income Statement'!AE2</f>
        <v>2024/2F</v>
      </c>
      <c r="AF2" s="35" t="str">
        <f>'Income Statement'!AF2</f>
        <v>2024/3F</v>
      </c>
      <c r="AG2" s="35" t="str">
        <f>'Income Statement'!AG2</f>
        <v>2024/4F</v>
      </c>
      <c r="AH2" s="35" t="str">
        <f>'Income Statement'!AH2</f>
        <v>2025/1F</v>
      </c>
      <c r="AI2" s="35" t="str">
        <f>'Income Statement'!AI2</f>
        <v>2025/2F</v>
      </c>
      <c r="AJ2" s="35" t="str">
        <f>'Income Statement'!AJ2</f>
        <v>2025/3F</v>
      </c>
      <c r="AK2" s="35" t="str">
        <f>'Income Statement'!AK2</f>
        <v>2025/4F</v>
      </c>
      <c r="AL2" s="35" t="str">
        <f>'Income Statement'!AL2</f>
        <v>2026/1F</v>
      </c>
      <c r="AM2" s="35" t="str">
        <f>'Income Statement'!AM2</f>
        <v>2026/2F</v>
      </c>
      <c r="AN2" s="35" t="str">
        <f>'Income Statement'!AN2</f>
        <v>2026/3F</v>
      </c>
      <c r="AO2" s="35" t="str">
        <f>'Income Statement'!AO2</f>
        <v>2026/4F</v>
      </c>
      <c r="AP2" s="35" t="str">
        <f>'Income Statement'!AP2</f>
        <v>2027/1F</v>
      </c>
      <c r="AQ2" s="35" t="str">
        <f>'Income Statement'!AQ2</f>
        <v>2027/2F</v>
      </c>
      <c r="AR2" s="35" t="str">
        <f>'Income Statement'!AR2</f>
        <v>2027/3F</v>
      </c>
      <c r="AS2" s="35" t="str">
        <f>'Income Statement'!AS2</f>
        <v>2027/4F</v>
      </c>
      <c r="AX2" s="35">
        <f>'Income Statement'!AX2</f>
        <v>2020</v>
      </c>
      <c r="AY2" s="35">
        <f>'Income Statement'!AY2</f>
        <v>2021</v>
      </c>
      <c r="AZ2" s="35">
        <f>'Income Statement'!AZ2</f>
        <v>2022</v>
      </c>
      <c r="BA2" s="35">
        <f>'Income Statement'!BA2</f>
        <v>2023</v>
      </c>
      <c r="BB2" s="35">
        <f>'Income Statement'!BB2</f>
        <v>2024</v>
      </c>
      <c r="BC2" s="35">
        <f>'Income Statement'!BC2</f>
        <v>2025</v>
      </c>
      <c r="BD2" s="35">
        <f>'Income Statement'!BD2</f>
        <v>2026</v>
      </c>
      <c r="BE2" s="35">
        <f>'Income Statement'!BE2</f>
        <v>2027</v>
      </c>
    </row>
    <row r="3" spans="1:57" s="45" customFormat="1" ht="12" customHeight="1">
      <c r="A3" s="649"/>
      <c r="B3" s="1731">
        <f>'Income Statement'!B$3</f>
        <v>2017</v>
      </c>
      <c r="C3" s="1733"/>
      <c r="D3" s="1733"/>
      <c r="E3" s="1734"/>
      <c r="F3" s="1733">
        <f>'Income Statement'!F$3</f>
        <v>2018</v>
      </c>
      <c r="G3" s="1733"/>
      <c r="H3" s="1733"/>
      <c r="I3" s="1733"/>
      <c r="J3" s="1731">
        <f>'Income Statement'!J$3</f>
        <v>2019</v>
      </c>
      <c r="K3" s="1733"/>
      <c r="L3" s="1733"/>
      <c r="M3" s="1734"/>
      <c r="N3" s="1731">
        <f>'Income Statement'!N$3</f>
        <v>2020</v>
      </c>
      <c r="O3" s="1733"/>
      <c r="P3" s="1733"/>
      <c r="Q3" s="1734"/>
      <c r="R3" s="1733">
        <f>'Income Statement'!R$3</f>
        <v>2021</v>
      </c>
      <c r="S3" s="1733"/>
      <c r="T3" s="1733"/>
      <c r="U3" s="1733"/>
      <c r="V3" s="1731">
        <f>'Income Statement'!V$3</f>
        <v>2022</v>
      </c>
      <c r="W3" s="1733"/>
      <c r="X3" s="1733"/>
      <c r="Y3" s="1734"/>
      <c r="Z3" s="1731">
        <f>'Income Statement'!Z$3</f>
        <v>2023</v>
      </c>
      <c r="AA3" s="1733"/>
      <c r="AB3" s="1733"/>
      <c r="AC3" s="1734"/>
      <c r="AD3" s="1731">
        <f>'Income Statement'!AD$3</f>
        <v>2024</v>
      </c>
      <c r="AE3" s="1733"/>
      <c r="AF3" s="1733"/>
      <c r="AG3" s="1734"/>
      <c r="AH3" s="1731">
        <f>'Income Statement'!AH$3</f>
        <v>2025</v>
      </c>
      <c r="AI3" s="1733"/>
      <c r="AJ3" s="1733"/>
      <c r="AK3" s="1734"/>
      <c r="AL3" s="1731">
        <f>'Income Statement'!AL$3</f>
        <v>2026</v>
      </c>
      <c r="AM3" s="1733"/>
      <c r="AN3" s="1733"/>
      <c r="AO3" s="1734"/>
      <c r="AP3" s="1731">
        <f>'Income Statement'!AP$3</f>
        <v>2027</v>
      </c>
      <c r="AQ3" s="1733"/>
      <c r="AR3" s="1733"/>
      <c r="AS3" s="1734"/>
      <c r="AT3" s="650"/>
      <c r="AU3" s="651"/>
      <c r="AV3" s="651"/>
      <c r="AW3" s="651"/>
      <c r="AX3" s="651"/>
      <c r="AY3" s="651"/>
      <c r="AZ3" s="651"/>
      <c r="BA3" s="652"/>
      <c r="BB3" s="651"/>
      <c r="BC3" s="651"/>
      <c r="BD3" s="651"/>
      <c r="BE3" s="653"/>
    </row>
    <row r="4" spans="1:57" s="62" customFormat="1" ht="12" customHeight="1">
      <c r="A4" s="654" t="str">
        <f>'Income Statement'!A4</f>
        <v>($ in millions, unless otherwise stated)</v>
      </c>
      <c r="B4" s="655">
        <f>'Income Statement'!B$4</f>
        <v>42825</v>
      </c>
      <c r="C4" s="48">
        <f>'Income Statement'!C$4</f>
        <v>42916</v>
      </c>
      <c r="D4" s="48">
        <f>'Income Statement'!D$4</f>
        <v>43008</v>
      </c>
      <c r="E4" s="320">
        <f>'Income Statement'!E$4</f>
        <v>43100</v>
      </c>
      <c r="F4" s="48">
        <f>'Income Statement'!F$4</f>
        <v>43190</v>
      </c>
      <c r="G4" s="48">
        <f>'Income Statement'!G$4</f>
        <v>43281</v>
      </c>
      <c r="H4" s="48">
        <f>'Income Statement'!H$4</f>
        <v>43373</v>
      </c>
      <c r="I4" s="48">
        <f>'Income Statement'!I$4</f>
        <v>43465</v>
      </c>
      <c r="J4" s="655">
        <f>'Income Statement'!J$4</f>
        <v>43555</v>
      </c>
      <c r="K4" s="48">
        <f>'Income Statement'!K$4</f>
        <v>43646</v>
      </c>
      <c r="L4" s="48">
        <f>'Income Statement'!L$4</f>
        <v>43738</v>
      </c>
      <c r="M4" s="320">
        <f>'Income Statement'!M$4</f>
        <v>43830</v>
      </c>
      <c r="N4" s="655">
        <f>'Income Statement'!N$4</f>
        <v>43921</v>
      </c>
      <c r="O4" s="48">
        <f>'Income Statement'!O$4</f>
        <v>44012</v>
      </c>
      <c r="P4" s="48">
        <f>'Income Statement'!P$4</f>
        <v>44104</v>
      </c>
      <c r="Q4" s="320">
        <f>'Income Statement'!Q$4</f>
        <v>44196</v>
      </c>
      <c r="R4" s="48">
        <f>'Income Statement'!R$4</f>
        <v>44286</v>
      </c>
      <c r="S4" s="48">
        <f>'Income Statement'!S$4</f>
        <v>44377</v>
      </c>
      <c r="T4" s="48">
        <f>'Income Statement'!T$4</f>
        <v>44469</v>
      </c>
      <c r="U4" s="48">
        <f>'Income Statement'!U$4</f>
        <v>44561</v>
      </c>
      <c r="V4" s="655">
        <f>'Income Statement'!V$4</f>
        <v>44651</v>
      </c>
      <c r="W4" s="48">
        <f>'Income Statement'!W$4</f>
        <v>44742</v>
      </c>
      <c r="X4" s="48">
        <f>'Income Statement'!X$4</f>
        <v>44834</v>
      </c>
      <c r="Y4" s="320">
        <f>'Income Statement'!Y$4</f>
        <v>44926</v>
      </c>
      <c r="Z4" s="655">
        <f>'Income Statement'!Z$4</f>
        <v>45016</v>
      </c>
      <c r="AA4" s="48">
        <f>'Income Statement'!AA$4</f>
        <v>45107</v>
      </c>
      <c r="AB4" s="48">
        <f>'Income Statement'!AB$4</f>
        <v>45199</v>
      </c>
      <c r="AC4" s="320">
        <f>'Income Statement'!AC$4</f>
        <v>45291</v>
      </c>
      <c r="AD4" s="655">
        <f>'Income Statement'!AD$4</f>
        <v>45382</v>
      </c>
      <c r="AE4" s="48">
        <f>'Income Statement'!AE$4</f>
        <v>45473</v>
      </c>
      <c r="AF4" s="48" t="str">
        <f>'Income Statement'!AF$4</f>
        <v>Sep-24</v>
      </c>
      <c r="AG4" s="320" t="str">
        <f>'Income Statement'!AG$4</f>
        <v>Dec-24</v>
      </c>
      <c r="AH4" s="655" t="str">
        <f>'Income Statement'!AH$4</f>
        <v>Mar-25</v>
      </c>
      <c r="AI4" s="48" t="str">
        <f>'Income Statement'!AI$4</f>
        <v>Jun-25</v>
      </c>
      <c r="AJ4" s="48" t="str">
        <f>'Income Statement'!AJ$4</f>
        <v>Sep-25</v>
      </c>
      <c r="AK4" s="320" t="str">
        <f>'Income Statement'!AK$4</f>
        <v>Dec-25</v>
      </c>
      <c r="AL4" s="655" t="str">
        <f>'Income Statement'!AL$4</f>
        <v>Mar-26E</v>
      </c>
      <c r="AM4" s="48" t="str">
        <f>'Income Statement'!AM$4</f>
        <v>Jun-26E</v>
      </c>
      <c r="AN4" s="48" t="str">
        <f>'Income Statement'!AN$4</f>
        <v>Sep-26E</v>
      </c>
      <c r="AO4" s="320" t="str">
        <f>'Income Statement'!AO$4</f>
        <v>Dec-26E</v>
      </c>
      <c r="AP4" s="655" t="str">
        <f>'Income Statement'!AP$4</f>
        <v>Mar-27E</v>
      </c>
      <c r="AQ4" s="48" t="str">
        <f>'Income Statement'!AQ$4</f>
        <v>Jun-27E</v>
      </c>
      <c r="AR4" s="48" t="str">
        <f>'Income Statement'!AR$4</f>
        <v>Sep-27E</v>
      </c>
      <c r="AS4" s="320" t="str">
        <f>'Income Statement'!AS$4</f>
        <v>Dec-27E</v>
      </c>
      <c r="AT4" s="48"/>
      <c r="AU4" s="322">
        <f>'Income Statement'!AU$4</f>
        <v>2017</v>
      </c>
      <c r="AV4" s="322">
        <f>'Income Statement'!AV$4</f>
        <v>2018</v>
      </c>
      <c r="AW4" s="322">
        <f>'Income Statement'!AW$4</f>
        <v>2019</v>
      </c>
      <c r="AX4" s="322">
        <f>'Income Statement'!AX$4</f>
        <v>2020</v>
      </c>
      <c r="AY4" s="61" t="str">
        <f>'Income Statement'!AY$4</f>
        <v>CY21</v>
      </c>
      <c r="AZ4" s="323" t="str">
        <f>'Income Statement'!AZ$4</f>
        <v>CY22</v>
      </c>
      <c r="BA4" s="61" t="str">
        <f>'Income Statement'!BA$4</f>
        <v>CY23</v>
      </c>
      <c r="BB4" s="322" t="str">
        <f>'Income Statement'!BB$4</f>
        <v>CY24</v>
      </c>
      <c r="BC4" s="322" t="str">
        <f>'Income Statement'!BC$4</f>
        <v>CY25</v>
      </c>
      <c r="BD4" s="322" t="str">
        <f>'Income Statement'!BD$4</f>
        <v>CY26E</v>
      </c>
      <c r="BE4" s="322" t="str">
        <f>'Income Statement'!BE$4</f>
        <v>CY27E</v>
      </c>
    </row>
    <row r="5" spans="1:57" s="662" customFormat="1" ht="12" customHeight="1">
      <c r="A5" s="656" t="s">
        <v>118</v>
      </c>
      <c r="B5" s="513">
        <f>B13+B18+B23</f>
        <v>40.481000000000002</v>
      </c>
      <c r="C5" s="657">
        <v>44.149000000000001</v>
      </c>
      <c r="D5" s="77">
        <f t="shared" ref="D5:AS5" si="0">D13+D18+D23</f>
        <v>48.980000000000004</v>
      </c>
      <c r="E5" s="505">
        <f t="shared" si="0"/>
        <v>54.117000000000004</v>
      </c>
      <c r="F5" s="77">
        <f t="shared" si="0"/>
        <v>59.106999999999999</v>
      </c>
      <c r="G5" s="77">
        <f t="shared" si="0"/>
        <v>63.591999999999999</v>
      </c>
      <c r="H5" s="77">
        <f t="shared" si="0"/>
        <v>69.44</v>
      </c>
      <c r="I5" s="77">
        <f t="shared" si="0"/>
        <v>75.221000000000004</v>
      </c>
      <c r="J5" s="513">
        <f t="shared" si="0"/>
        <v>80.301000000000002</v>
      </c>
      <c r="K5" s="77">
        <f t="shared" si="0"/>
        <v>85.384</v>
      </c>
      <c r="L5" s="77">
        <f t="shared" si="0"/>
        <v>91.852000000000004</v>
      </c>
      <c r="M5" s="505">
        <f t="shared" si="0"/>
        <v>97.048999999999978</v>
      </c>
      <c r="N5" s="513">
        <f t="shared" si="0"/>
        <v>102.648</v>
      </c>
      <c r="O5" s="77">
        <f t="shared" si="0"/>
        <v>107.209</v>
      </c>
      <c r="P5" s="77">
        <f t="shared" si="0"/>
        <v>112.28200000000001</v>
      </c>
      <c r="Q5" s="505">
        <f t="shared" si="0"/>
        <v>118.08200000000001</v>
      </c>
      <c r="R5" s="77">
        <f t="shared" si="0"/>
        <v>123.18900000000001</v>
      </c>
      <c r="S5" s="77">
        <f t="shared" si="0"/>
        <v>130.25900000000001</v>
      </c>
      <c r="T5" s="77">
        <f t="shared" si="0"/>
        <v>138.66399999999999</v>
      </c>
      <c r="U5" s="75">
        <f t="shared" si="0"/>
        <v>149.018</v>
      </c>
      <c r="V5" s="492">
        <f t="shared" si="0"/>
        <v>159.36799999999999</v>
      </c>
      <c r="W5" s="77">
        <f t="shared" si="0"/>
        <v>164.34100000000001</v>
      </c>
      <c r="X5" s="77">
        <f t="shared" si="0"/>
        <v>174.851</v>
      </c>
      <c r="Y5" s="77">
        <f t="shared" si="0"/>
        <v>184.631</v>
      </c>
      <c r="Z5" s="513">
        <f t="shared" si="0"/>
        <v>188.83900000000003</v>
      </c>
      <c r="AA5" s="77">
        <f t="shared" si="0"/>
        <v>195.036</v>
      </c>
      <c r="AB5" s="77">
        <f t="shared" si="0"/>
        <v>201.529</v>
      </c>
      <c r="AC5" s="77">
        <f t="shared" si="0"/>
        <v>213.30599999999998</v>
      </c>
      <c r="AD5" s="513">
        <f t="shared" si="0"/>
        <v>215.96099999999998</v>
      </c>
      <c r="AE5" s="77">
        <f t="shared" si="0"/>
        <v>221.24100000000001</v>
      </c>
      <c r="AF5" s="77">
        <f>AF13+AF18+AF23</f>
        <v>227.08799999999999</v>
      </c>
      <c r="AG5" s="77">
        <f t="shared" si="0"/>
        <v>235.73099999999999</v>
      </c>
      <c r="AH5" s="513">
        <f t="shared" si="0"/>
        <v>239.137</v>
      </c>
      <c r="AI5" s="77">
        <f t="shared" si="0"/>
        <v>247.29500000000002</v>
      </c>
      <c r="AJ5" s="77">
        <f t="shared" si="0"/>
        <v>252.44</v>
      </c>
      <c r="AK5" s="77">
        <f t="shared" si="0"/>
        <v>260.53300000000002</v>
      </c>
      <c r="AL5" s="513">
        <f t="shared" si="0"/>
        <v>258.56678500000004</v>
      </c>
      <c r="AM5" s="77">
        <f t="shared" si="0"/>
        <v>265.53653500000001</v>
      </c>
      <c r="AN5" s="77">
        <f t="shared" si="0"/>
        <v>268.74702500000001</v>
      </c>
      <c r="AO5" s="77">
        <f t="shared" si="0"/>
        <v>277.3886</v>
      </c>
      <c r="AP5" s="513">
        <f t="shared" si="0"/>
        <v>275.6068478665</v>
      </c>
      <c r="AQ5" s="77">
        <f t="shared" si="0"/>
        <v>283.01608489799997</v>
      </c>
      <c r="AR5" s="77">
        <f t="shared" si="0"/>
        <v>286.39622882750007</v>
      </c>
      <c r="AS5" s="77">
        <f t="shared" si="0"/>
        <v>295.59132316000006</v>
      </c>
      <c r="AT5" s="658"/>
      <c r="AU5" s="659">
        <f>SUM(B5:E5)</f>
        <v>187.72700000000003</v>
      </c>
      <c r="AV5" s="659">
        <f>SUM(F5:I5)</f>
        <v>267.36</v>
      </c>
      <c r="AW5" s="659">
        <f>SUM(J5:M5)</f>
        <v>354.58600000000001</v>
      </c>
      <c r="AX5" s="659">
        <f>SUM(N5:Q5)</f>
        <v>440.221</v>
      </c>
      <c r="AY5" s="660">
        <f>SUM(R5:U5)</f>
        <v>541.13</v>
      </c>
      <c r="AZ5" s="661">
        <f>SUM(V5:Y5)</f>
        <v>683.19100000000003</v>
      </c>
      <c r="BA5" s="660">
        <f>SUM(Z5:AC5)</f>
        <v>798.71</v>
      </c>
      <c r="BB5" s="659">
        <f>SUM(AD5:AG5)</f>
        <v>900.02099999999996</v>
      </c>
      <c r="BC5" s="659">
        <f>SUM(AH5:AK5)</f>
        <v>999.40500000000009</v>
      </c>
      <c r="BD5" s="659">
        <f>SUM(AL5:AO5)</f>
        <v>1070.2389450000001</v>
      </c>
      <c r="BE5" s="659">
        <f>SUM(AP5:AS5)</f>
        <v>1140.610484752</v>
      </c>
    </row>
    <row r="6" spans="1:57" s="89" customFormat="1" ht="12" hidden="1" customHeight="1" outlineLevel="1">
      <c r="A6" s="663" t="s">
        <v>86</v>
      </c>
      <c r="B6" s="664" t="str">
        <f>'Income Statement'!B10</f>
        <v>-</v>
      </c>
      <c r="C6" s="83" t="str">
        <f>'Income Statement'!C10</f>
        <v>-</v>
      </c>
      <c r="D6" s="83" t="str">
        <f>'Income Statement'!D10</f>
        <v>-</v>
      </c>
      <c r="E6" s="665" t="str">
        <f>'Income Statement'!E10</f>
        <v>-</v>
      </c>
      <c r="F6" s="83" t="str">
        <f>'Income Statement'!F10</f>
        <v>-</v>
      </c>
      <c r="G6" s="83" t="str">
        <f>'Income Statement'!G10</f>
        <v>-</v>
      </c>
      <c r="H6" s="83">
        <f>'Income Statement'!H10</f>
        <v>66.295101233277776</v>
      </c>
      <c r="I6" s="83">
        <f>'Income Statement'!I10</f>
        <v>72.829307313078147</v>
      </c>
      <c r="J6" s="664">
        <f>'Income Statement'!J10</f>
        <v>78.13139351816227</v>
      </c>
      <c r="K6" s="83">
        <f>'Income Statement'!K10</f>
        <v>82.660787159774316</v>
      </c>
      <c r="L6" s="83">
        <f>'Income Statement'!L10</f>
        <v>88.65547079171634</v>
      </c>
      <c r="M6" s="665">
        <f>'Income Statement'!M10</f>
        <v>94.254523027641198</v>
      </c>
      <c r="N6" s="664">
        <f>'Income Statement'!N10</f>
        <v>100.24835447712599</v>
      </c>
      <c r="O6" s="83">
        <f>'Income Statement'!O10</f>
        <v>102.394061729917</v>
      </c>
      <c r="P6" s="83">
        <f>'Income Statement'!P10</f>
        <v>109.4510203996072</v>
      </c>
      <c r="Q6" s="665">
        <f>'Income Statement'!Q10</f>
        <v>114.89445418857034</v>
      </c>
      <c r="R6" s="83">
        <f>'Income Statement'!R10</f>
        <v>120.16062543063123</v>
      </c>
      <c r="S6" s="145">
        <f>'Income Statement'!S10</f>
        <v>125.48578701646908</v>
      </c>
      <c r="T6" s="83">
        <f>'Income Statement'!T10</f>
        <v>134.34398590229401</v>
      </c>
      <c r="U6" s="83">
        <f>'Income Statement'!U10</f>
        <v>144.42531670638027</v>
      </c>
      <c r="V6" s="664">
        <f>'Income Statement'!V10</f>
        <v>153.37956741261891</v>
      </c>
      <c r="W6" s="83">
        <f>'Income Statement'!W10</f>
        <v>163.41115989194191</v>
      </c>
      <c r="X6" s="83">
        <f>'Income Statement'!X10</f>
        <v>170.08239368432118</v>
      </c>
      <c r="Y6" s="665">
        <f>'Income Statement'!Y10</f>
        <v>181.47863606853986</v>
      </c>
      <c r="Z6" s="666">
        <f>'Income Statement'!Z10</f>
        <v>186.97949643638154</v>
      </c>
      <c r="AA6" s="667">
        <f>'Income Statement'!AA10</f>
        <v>190.08195027045599</v>
      </c>
      <c r="AB6" s="667">
        <f>'Income Statement'!AB10</f>
        <v>198.2782357548316</v>
      </c>
      <c r="AC6" s="668">
        <f>'Income Statement'!AC10</f>
        <v>206.53639469231041</v>
      </c>
      <c r="AD6" s="666">
        <f>'Income Statement'!AD10</f>
        <v>213.54152726376014</v>
      </c>
      <c r="AE6" s="667">
        <v>218.54245</v>
      </c>
      <c r="AF6" s="667">
        <v>223.26996</v>
      </c>
      <c r="AG6" s="668">
        <f>'Income Statement'!AG10</f>
        <v>231.55654236177338</v>
      </c>
      <c r="AH6" s="666">
        <f>'Income Statement'!AH10</f>
        <v>233.57911601872561</v>
      </c>
      <c r="AI6" s="667">
        <f>'Income Statement'!AI10</f>
        <v>242.07841453355994</v>
      </c>
      <c r="AJ6" s="667">
        <f>'Income Statement'!AJ10</f>
        <v>247.33864771095207</v>
      </c>
      <c r="AK6" s="668">
        <f>'Income Statement'!AK10</f>
        <v>251.72894765121765</v>
      </c>
      <c r="AL6" s="666">
        <f>'Income Statement'!AL10</f>
        <v>258.87607885397813</v>
      </c>
      <c r="AM6" s="667">
        <f>'Income Statement'!AM10</f>
        <v>264.67593406709608</v>
      </c>
      <c r="AN6" s="667">
        <f>'Income Statement'!AN10</f>
        <v>269.71728065946542</v>
      </c>
      <c r="AO6" s="668">
        <f>'Income Statement'!AO10</f>
        <v>277.08466719842176</v>
      </c>
      <c r="AP6" s="666">
        <f>'Income Statement'!AP10</f>
        <v>277.69692422348231</v>
      </c>
      <c r="AQ6" s="667">
        <f>'Income Statement'!AQ10</f>
        <v>283.39448073695274</v>
      </c>
      <c r="AR6" s="667">
        <f>'Income Statement'!AR10</f>
        <v>288.41406316115877</v>
      </c>
      <c r="AS6" s="668">
        <f>'Income Statement'!AS10</f>
        <v>296.33302819717551</v>
      </c>
      <c r="AT6" s="99"/>
      <c r="AU6" s="669"/>
      <c r="AV6" s="669"/>
      <c r="AW6" s="669"/>
      <c r="AX6" s="669">
        <f>'Income Statement'!AX10</f>
        <v>437.03012085523699</v>
      </c>
      <c r="AY6" s="669">
        <f>'Income Statement'!AY10</f>
        <v>536.56619031418188</v>
      </c>
      <c r="AZ6" s="664">
        <f>'Income Statement'!AZ10</f>
        <v>680.03863606853986</v>
      </c>
      <c r="BA6" s="669">
        <f>'Income Statement'!BA10</f>
        <v>791.94039469231041</v>
      </c>
      <c r="BB6" s="669">
        <f>'Income Statement'!BB10</f>
        <v>895.84654236177334</v>
      </c>
      <c r="BC6" s="669">
        <f>'Income Statement'!BC10</f>
        <v>990.66282189281662</v>
      </c>
      <c r="BD6" s="669">
        <f>'Income Statement'!BD10</f>
        <v>1070.3484052234066</v>
      </c>
      <c r="BE6" s="669">
        <f>'Income Statement'!BE10</f>
        <v>1145.8384963187696</v>
      </c>
    </row>
    <row r="7" spans="1:57" s="674" customFormat="1" ht="12" customHeight="1" collapsed="1">
      <c r="A7" s="670" t="s">
        <v>117</v>
      </c>
      <c r="B7" s="671" t="str">
        <f>IF(ISERROR(B5/#REF!-1),"NA",B5/#REF!-1)</f>
        <v>NA</v>
      </c>
      <c r="C7" s="672" t="str">
        <f>IF(ISERROR(C5/#REF!-1),"NA",C5/#REF!-1)</f>
        <v>NA</v>
      </c>
      <c r="D7" s="672" t="str">
        <f>IF(ISERROR(D5/#REF!-1),"NA",D5/#REF!-1)</f>
        <v>NA</v>
      </c>
      <c r="E7" s="673" t="str">
        <f>IF(ISERROR(E5/#REF!-1),"NA",E5/#REF!-1)</f>
        <v>NA</v>
      </c>
      <c r="F7" s="672">
        <f t="shared" ref="F7:AS7" si="1">IF(ISERROR(F5/B5-1),"NA",F5/B5-1)</f>
        <v>0.4601170919690718</v>
      </c>
      <c r="G7" s="672">
        <f t="shared" si="1"/>
        <v>0.4403950259349021</v>
      </c>
      <c r="H7" s="672">
        <f t="shared" si="1"/>
        <v>0.41772151898734156</v>
      </c>
      <c r="I7" s="672">
        <f t="shared" si="1"/>
        <v>0.38996988007465294</v>
      </c>
      <c r="J7" s="671">
        <f t="shared" si="1"/>
        <v>0.35857005092459437</v>
      </c>
      <c r="K7" s="672">
        <f t="shared" si="1"/>
        <v>0.34268461441690778</v>
      </c>
      <c r="L7" s="672">
        <f t="shared" si="1"/>
        <v>0.32275345622119822</v>
      </c>
      <c r="M7" s="673">
        <f t="shared" si="1"/>
        <v>0.29018492176386879</v>
      </c>
      <c r="N7" s="671">
        <f t="shared" si="1"/>
        <v>0.27829043224866434</v>
      </c>
      <c r="O7" s="672">
        <f t="shared" si="1"/>
        <v>0.25560995034198442</v>
      </c>
      <c r="P7" s="672">
        <f t="shared" si="1"/>
        <v>0.22242302834995442</v>
      </c>
      <c r="Q7" s="673">
        <f t="shared" si="1"/>
        <v>0.21672557161846107</v>
      </c>
      <c r="R7" s="672">
        <f t="shared" si="1"/>
        <v>0.20011105915361238</v>
      </c>
      <c r="S7" s="672">
        <f t="shared" si="1"/>
        <v>0.21500060629238238</v>
      </c>
      <c r="T7" s="672">
        <f t="shared" si="1"/>
        <v>0.23496197075221303</v>
      </c>
      <c r="U7" s="672">
        <f t="shared" si="1"/>
        <v>0.26198743246218714</v>
      </c>
      <c r="V7" s="671">
        <f t="shared" si="1"/>
        <v>0.29368693633360099</v>
      </c>
      <c r="W7" s="672">
        <f t="shared" si="1"/>
        <v>0.26164794755064902</v>
      </c>
      <c r="X7" s="672">
        <f t="shared" si="1"/>
        <v>0.26096896094155664</v>
      </c>
      <c r="Y7" s="673">
        <f t="shared" si="1"/>
        <v>0.23898455220174752</v>
      </c>
      <c r="Z7" s="671">
        <f t="shared" si="1"/>
        <v>0.18492420059233994</v>
      </c>
      <c r="AA7" s="672">
        <f t="shared" si="1"/>
        <v>0.18677627615750181</v>
      </c>
      <c r="AB7" s="672">
        <f t="shared" si="1"/>
        <v>0.1525756215291878</v>
      </c>
      <c r="AC7" s="673">
        <f t="shared" si="1"/>
        <v>0.15530978004777096</v>
      </c>
      <c r="AD7" s="671">
        <f t="shared" si="1"/>
        <v>0.1436249927186648</v>
      </c>
      <c r="AE7" s="672">
        <f t="shared" si="1"/>
        <v>0.13435981049652379</v>
      </c>
      <c r="AF7" s="672">
        <f t="shared" si="1"/>
        <v>0.12682541966664851</v>
      </c>
      <c r="AG7" s="673">
        <f t="shared" si="1"/>
        <v>0.10513065736547511</v>
      </c>
      <c r="AH7" s="671">
        <f t="shared" si="1"/>
        <v>0.10731567273720732</v>
      </c>
      <c r="AI7" s="672">
        <f t="shared" si="1"/>
        <v>0.11776298244900363</v>
      </c>
      <c r="AJ7" s="672">
        <f t="shared" si="1"/>
        <v>0.11163954061861481</v>
      </c>
      <c r="AK7" s="673">
        <f t="shared" si="1"/>
        <v>0.1052131454921077</v>
      </c>
      <c r="AL7" s="671">
        <f t="shared" si="1"/>
        <v>8.124959751105032E-2</v>
      </c>
      <c r="AM7" s="672">
        <f t="shared" si="1"/>
        <v>7.3764269394852366E-2</v>
      </c>
      <c r="AN7" s="672">
        <f t="shared" si="1"/>
        <v>6.4597627158928805E-2</v>
      </c>
      <c r="AO7" s="673">
        <f t="shared" si="1"/>
        <v>6.4696602733626651E-2</v>
      </c>
      <c r="AP7" s="671">
        <f t="shared" si="1"/>
        <v>6.5901979121177456E-2</v>
      </c>
      <c r="AQ7" s="672">
        <f t="shared" si="1"/>
        <v>6.5827287751570429E-2</v>
      </c>
      <c r="AR7" s="672">
        <f t="shared" si="1"/>
        <v>6.567218307811995E-2</v>
      </c>
      <c r="AS7" s="673">
        <f t="shared" si="1"/>
        <v>6.5621742061497956E-2</v>
      </c>
      <c r="AU7" s="675" t="str">
        <f>IF(ISERROR(AU5/#REF!-1),"NA",AU5/#REF!-1)</f>
        <v>NA</v>
      </c>
      <c r="AV7" s="675">
        <f t="shared" ref="AV7:BE7" si="2">IF(ISERROR(AV5/AU5-1),"NA",AV5/AU5-1)</f>
        <v>0.42419577365003414</v>
      </c>
      <c r="AW7" s="675">
        <f t="shared" si="2"/>
        <v>0.32624925194494314</v>
      </c>
      <c r="AX7" s="675">
        <f t="shared" si="2"/>
        <v>0.24150699689215016</v>
      </c>
      <c r="AY7" s="676">
        <f t="shared" si="2"/>
        <v>0.22922350364930333</v>
      </c>
      <c r="AZ7" s="671">
        <f t="shared" si="2"/>
        <v>0.26252656478110636</v>
      </c>
      <c r="BA7" s="676">
        <f t="shared" si="2"/>
        <v>0.16908741479322775</v>
      </c>
      <c r="BB7" s="676">
        <f t="shared" si="2"/>
        <v>0.12684328479673468</v>
      </c>
      <c r="BC7" s="675">
        <f t="shared" si="2"/>
        <v>0.11042409010456433</v>
      </c>
      <c r="BD7" s="675">
        <f t="shared" si="2"/>
        <v>7.0876116289191993E-2</v>
      </c>
      <c r="BE7" s="675">
        <f t="shared" si="2"/>
        <v>6.5753110630822675E-2</v>
      </c>
    </row>
    <row r="8" spans="1:57" s="89" customFormat="1" ht="12" customHeight="1" thickBot="1">
      <c r="A8" s="90" t="s">
        <v>87</v>
      </c>
      <c r="B8" s="91"/>
      <c r="C8" s="92"/>
      <c r="D8" s="92"/>
      <c r="E8" s="93"/>
      <c r="F8" s="92"/>
      <c r="G8" s="92"/>
      <c r="H8" s="92"/>
      <c r="I8" s="92"/>
      <c r="J8" s="91"/>
      <c r="K8" s="92"/>
      <c r="L8" s="92"/>
      <c r="M8" s="93"/>
      <c r="N8" s="91"/>
      <c r="O8" s="92"/>
      <c r="P8" s="92"/>
      <c r="Q8" s="93"/>
      <c r="R8" s="92"/>
      <c r="S8" s="94"/>
      <c r="T8" s="92"/>
      <c r="U8" s="92"/>
      <c r="V8" s="91"/>
      <c r="W8" s="95"/>
      <c r="X8" s="92"/>
      <c r="Y8" s="93"/>
      <c r="Z8" s="96"/>
      <c r="AA8" s="97"/>
      <c r="AB8" s="97"/>
      <c r="AC8" s="98"/>
      <c r="AD8" s="96"/>
      <c r="AE8" s="97"/>
      <c r="AF8" s="97"/>
      <c r="AG8" s="98"/>
      <c r="AH8" s="96"/>
      <c r="AI8" s="97"/>
      <c r="AJ8" s="97"/>
      <c r="AK8" s="98"/>
      <c r="AL8" s="96"/>
      <c r="AM8" s="97"/>
      <c r="AN8" s="97"/>
      <c r="AO8" s="98"/>
      <c r="AP8" s="96"/>
      <c r="AQ8" s="97"/>
      <c r="AR8" s="97"/>
      <c r="AS8" s="98"/>
      <c r="AT8" s="99"/>
      <c r="AU8" s="100"/>
      <c r="AV8" s="93"/>
      <c r="AW8" s="93"/>
      <c r="AX8" s="101"/>
      <c r="AY8" s="101"/>
      <c r="AZ8" s="102"/>
      <c r="BA8" s="101"/>
      <c r="BB8" s="101"/>
      <c r="BC8" s="93"/>
      <c r="BD8" s="93"/>
      <c r="BE8" s="93"/>
    </row>
    <row r="9" spans="1:57" s="89" customFormat="1" ht="12" customHeight="1" thickTop="1">
      <c r="A9" s="103" t="s">
        <v>88</v>
      </c>
      <c r="B9" s="677"/>
      <c r="C9" s="83"/>
      <c r="D9" s="83"/>
      <c r="E9" s="665"/>
      <c r="F9" s="83"/>
      <c r="G9" s="83"/>
      <c r="H9" s="83"/>
      <c r="I9" s="83"/>
      <c r="J9" s="677"/>
      <c r="K9" s="83"/>
      <c r="L9" s="83"/>
      <c r="M9" s="665"/>
      <c r="N9" s="678">
        <v>100</v>
      </c>
      <c r="O9" s="105">
        <v>101</v>
      </c>
      <c r="P9" s="105">
        <v>108</v>
      </c>
      <c r="Q9" s="679">
        <v>113</v>
      </c>
      <c r="R9" s="105">
        <v>118</v>
      </c>
      <c r="S9" s="107">
        <v>124</v>
      </c>
      <c r="T9" s="105">
        <v>133</v>
      </c>
      <c r="U9" s="105">
        <v>143</v>
      </c>
      <c r="V9" s="108">
        <v>152</v>
      </c>
      <c r="W9" s="105">
        <v>162</v>
      </c>
      <c r="X9" s="105">
        <v>169</v>
      </c>
      <c r="Y9" s="105">
        <v>180</v>
      </c>
      <c r="Z9" s="108">
        <v>186</v>
      </c>
      <c r="AA9" s="105">
        <v>189</v>
      </c>
      <c r="AB9" s="105">
        <v>197</v>
      </c>
      <c r="AC9" s="105">
        <v>204</v>
      </c>
      <c r="AD9" s="108">
        <v>212</v>
      </c>
      <c r="AE9" s="105">
        <v>217</v>
      </c>
      <c r="AF9" s="105">
        <v>222</v>
      </c>
      <c r="AG9" s="105">
        <v>229</v>
      </c>
      <c r="AH9" s="108">
        <v>233</v>
      </c>
      <c r="AI9" s="105">
        <v>241</v>
      </c>
      <c r="AJ9" s="107">
        <v>246</v>
      </c>
      <c r="AK9" s="105">
        <v>249.1</v>
      </c>
      <c r="AL9" s="108">
        <v>257</v>
      </c>
      <c r="AM9" s="105" t="s">
        <v>175</v>
      </c>
      <c r="AN9" s="105" t="s">
        <v>175</v>
      </c>
      <c r="AO9" s="109" t="s">
        <v>175</v>
      </c>
      <c r="AP9" s="108" t="s">
        <v>175</v>
      </c>
      <c r="AQ9" s="105" t="s">
        <v>175</v>
      </c>
      <c r="AR9" s="105" t="s">
        <v>175</v>
      </c>
      <c r="AS9" s="109" t="s">
        <v>175</v>
      </c>
      <c r="AT9" s="99"/>
      <c r="AU9" s="659"/>
      <c r="AV9" s="665"/>
      <c r="AW9" s="665"/>
      <c r="AX9" s="669"/>
      <c r="AY9" s="680">
        <v>535.1</v>
      </c>
      <c r="AZ9" s="681">
        <v>678.6</v>
      </c>
      <c r="BA9" s="680">
        <v>789.4</v>
      </c>
      <c r="BB9" s="680">
        <v>893.3</v>
      </c>
      <c r="BC9" s="682">
        <v>988</v>
      </c>
      <c r="BD9" s="682">
        <v>1065</v>
      </c>
      <c r="BE9" s="679" t="s">
        <v>175</v>
      </c>
    </row>
    <row r="10" spans="1:57" s="89" customFormat="1" ht="12" customHeight="1">
      <c r="A10" s="683" t="s">
        <v>89</v>
      </c>
      <c r="B10" s="664"/>
      <c r="C10" s="83"/>
      <c r="D10" s="83"/>
      <c r="E10" s="665"/>
      <c r="F10" s="83"/>
      <c r="G10" s="83"/>
      <c r="H10" s="83"/>
      <c r="I10" s="83"/>
      <c r="J10" s="664"/>
      <c r="K10" s="83"/>
      <c r="L10" s="83"/>
      <c r="M10" s="665"/>
      <c r="N10" s="681">
        <f t="shared" ref="N10:T10" si="3">AVERAGE(N9,N11)</f>
        <v>100.5</v>
      </c>
      <c r="O10" s="105">
        <f t="shared" si="3"/>
        <v>102</v>
      </c>
      <c r="P10" s="105">
        <f t="shared" si="3"/>
        <v>109</v>
      </c>
      <c r="Q10" s="679">
        <f t="shared" si="3"/>
        <v>114</v>
      </c>
      <c r="R10" s="105">
        <f t="shared" si="3"/>
        <v>119</v>
      </c>
      <c r="S10" s="107">
        <f t="shared" si="3"/>
        <v>125</v>
      </c>
      <c r="T10" s="105">
        <f t="shared" si="3"/>
        <v>134</v>
      </c>
      <c r="U10" s="105">
        <f>AVERAGE(U9,U11)</f>
        <v>144</v>
      </c>
      <c r="V10" s="681">
        <f t="shared" ref="V10:X10" si="4">AVERAGE(V9,V11)</f>
        <v>153</v>
      </c>
      <c r="W10" s="105">
        <f t="shared" si="4"/>
        <v>163</v>
      </c>
      <c r="X10" s="105">
        <f t="shared" si="4"/>
        <v>170</v>
      </c>
      <c r="Y10" s="105">
        <f>AVERAGE(Y9,Y11)</f>
        <v>181</v>
      </c>
      <c r="Z10" s="681">
        <f t="shared" ref="Z10:AB10" si="5">AVERAGE(Z9,Z11)</f>
        <v>187</v>
      </c>
      <c r="AA10" s="105">
        <f t="shared" si="5"/>
        <v>190</v>
      </c>
      <c r="AB10" s="105">
        <f t="shared" si="5"/>
        <v>198</v>
      </c>
      <c r="AC10" s="105">
        <f t="shared" ref="AC10:AE10" si="6">IFERROR(AVERAGE(AC9,AC11),"")</f>
        <v>206</v>
      </c>
      <c r="AD10" s="681">
        <f t="shared" si="6"/>
        <v>213</v>
      </c>
      <c r="AE10" s="105">
        <f t="shared" si="6"/>
        <v>218</v>
      </c>
      <c r="AF10" s="105">
        <f>IFERROR(AVERAGE(AF9,AF11),"")</f>
        <v>223</v>
      </c>
      <c r="AG10" s="105">
        <f>IFERROR(AVERAGE(AG9,AG11),"")</f>
        <v>231</v>
      </c>
      <c r="AH10" s="681">
        <f t="shared" ref="AH10:AI10" si="7">IFERROR(AVERAGE(AH9,AH11),"")</f>
        <v>234</v>
      </c>
      <c r="AI10" s="105">
        <f t="shared" si="7"/>
        <v>242</v>
      </c>
      <c r="AJ10" s="107">
        <f>IFERROR(AVERAGE(AJ9,AJ11),"")</f>
        <v>247</v>
      </c>
      <c r="AK10" s="105">
        <f>IFERROR(AVERAGE(AK9,AK11),"")</f>
        <v>251.1</v>
      </c>
      <c r="AL10" s="681">
        <f t="shared" ref="AL10:AS10" si="8">IFERROR(AVERAGE(AL9,AL11),"")</f>
        <v>258.5</v>
      </c>
      <c r="AM10" s="105" t="str">
        <f t="shared" si="8"/>
        <v/>
      </c>
      <c r="AN10" s="105" t="str">
        <f t="shared" si="8"/>
        <v/>
      </c>
      <c r="AO10" s="679" t="str">
        <f t="shared" si="8"/>
        <v/>
      </c>
      <c r="AP10" s="681" t="str">
        <f t="shared" si="8"/>
        <v/>
      </c>
      <c r="AQ10" s="105" t="str">
        <f t="shared" si="8"/>
        <v/>
      </c>
      <c r="AR10" s="105" t="str">
        <f t="shared" si="8"/>
        <v/>
      </c>
      <c r="AS10" s="679" t="str">
        <f t="shared" si="8"/>
        <v/>
      </c>
      <c r="AT10" s="99"/>
      <c r="AU10" s="659"/>
      <c r="AV10" s="665"/>
      <c r="AW10" s="665"/>
      <c r="AX10" s="669"/>
      <c r="AY10" s="680">
        <f>AVERAGE(AY9,AY11)</f>
        <v>536.1</v>
      </c>
      <c r="AZ10" s="681">
        <f t="shared" ref="AZ10" si="9">AVERAGE(AZ9,AZ11)</f>
        <v>679.6</v>
      </c>
      <c r="BA10" s="680">
        <f>AVERAGE(BA9,BA11)</f>
        <v>791.4</v>
      </c>
      <c r="BB10" s="680">
        <f t="shared" ref="BB10:BE10" si="10">IFERROR(AVERAGE(BB9,BB11),"")</f>
        <v>895.3</v>
      </c>
      <c r="BC10" s="682">
        <f t="shared" si="10"/>
        <v>990</v>
      </c>
      <c r="BD10" s="682">
        <f t="shared" si="10"/>
        <v>1070</v>
      </c>
      <c r="BE10" s="679" t="str">
        <f t="shared" si="10"/>
        <v/>
      </c>
    </row>
    <row r="11" spans="1:57" s="89" customFormat="1" ht="12" customHeight="1" thickBot="1">
      <c r="A11" s="121" t="s">
        <v>90</v>
      </c>
      <c r="B11" s="91"/>
      <c r="C11" s="92"/>
      <c r="D11" s="92"/>
      <c r="E11" s="93"/>
      <c r="F11" s="92"/>
      <c r="G11" s="92"/>
      <c r="H11" s="92"/>
      <c r="I11" s="92"/>
      <c r="J11" s="91"/>
      <c r="K11" s="92"/>
      <c r="L11" s="92"/>
      <c r="M11" s="93"/>
      <c r="N11" s="122">
        <v>101</v>
      </c>
      <c r="O11" s="123">
        <v>103</v>
      </c>
      <c r="P11" s="123">
        <v>110</v>
      </c>
      <c r="Q11" s="124">
        <v>115</v>
      </c>
      <c r="R11" s="123">
        <v>120</v>
      </c>
      <c r="S11" s="125">
        <v>126</v>
      </c>
      <c r="T11" s="123">
        <v>135</v>
      </c>
      <c r="U11" s="123">
        <v>145</v>
      </c>
      <c r="V11" s="122">
        <v>154</v>
      </c>
      <c r="W11" s="123">
        <v>164</v>
      </c>
      <c r="X11" s="123">
        <v>171</v>
      </c>
      <c r="Y11" s="123">
        <v>182</v>
      </c>
      <c r="Z11" s="122">
        <v>188</v>
      </c>
      <c r="AA11" s="123">
        <v>191</v>
      </c>
      <c r="AB11" s="123">
        <v>199</v>
      </c>
      <c r="AC11" s="123">
        <v>208</v>
      </c>
      <c r="AD11" s="122">
        <v>214</v>
      </c>
      <c r="AE11" s="123">
        <v>219</v>
      </c>
      <c r="AF11" s="123">
        <v>224</v>
      </c>
      <c r="AG11" s="125">
        <v>233</v>
      </c>
      <c r="AH11" s="122">
        <v>235</v>
      </c>
      <c r="AI11" s="123">
        <v>243</v>
      </c>
      <c r="AJ11" s="125">
        <v>248</v>
      </c>
      <c r="AK11" s="125">
        <v>253.1</v>
      </c>
      <c r="AL11" s="122">
        <v>260</v>
      </c>
      <c r="AM11" s="123" t="s">
        <v>175</v>
      </c>
      <c r="AN11" s="123" t="s">
        <v>175</v>
      </c>
      <c r="AO11" s="124" t="s">
        <v>175</v>
      </c>
      <c r="AP11" s="122" t="s">
        <v>175</v>
      </c>
      <c r="AQ11" s="123" t="s">
        <v>175</v>
      </c>
      <c r="AR11" s="123" t="s">
        <v>175</v>
      </c>
      <c r="AS11" s="124" t="s">
        <v>175</v>
      </c>
      <c r="AT11" s="99"/>
      <c r="AU11" s="100"/>
      <c r="AV11" s="93"/>
      <c r="AW11" s="93"/>
      <c r="AX11" s="101"/>
      <c r="AY11" s="126">
        <v>537.1</v>
      </c>
      <c r="AZ11" s="122">
        <v>680.6</v>
      </c>
      <c r="BA11" s="126">
        <v>793.4</v>
      </c>
      <c r="BB11" s="126">
        <v>897.3</v>
      </c>
      <c r="BC11" s="127">
        <v>992</v>
      </c>
      <c r="BD11" s="127">
        <v>1075</v>
      </c>
      <c r="BE11" s="124" t="s">
        <v>175</v>
      </c>
    </row>
    <row r="12" spans="1:57" s="674" customFormat="1" ht="12" customHeight="1" thickTop="1">
      <c r="A12" s="684" t="s">
        <v>176</v>
      </c>
      <c r="B12" s="671"/>
      <c r="C12" s="672"/>
      <c r="D12" s="672"/>
      <c r="E12" s="673"/>
      <c r="F12" s="685"/>
      <c r="G12" s="685"/>
      <c r="H12" s="685"/>
      <c r="I12" s="685"/>
      <c r="J12" s="686"/>
      <c r="K12" s="687"/>
      <c r="L12" s="687"/>
      <c r="M12" s="688"/>
      <c r="N12" s="686"/>
      <c r="O12" s="687"/>
      <c r="P12" s="687"/>
      <c r="Q12" s="688"/>
      <c r="R12" s="685"/>
      <c r="S12" s="672"/>
      <c r="T12" s="685"/>
      <c r="U12" s="685"/>
      <c r="V12" s="689"/>
      <c r="W12" s="685"/>
      <c r="X12" s="685"/>
      <c r="Y12" s="690"/>
      <c r="Z12" s="689"/>
      <c r="AA12" s="685"/>
      <c r="AB12" s="685"/>
      <c r="AC12" s="690"/>
      <c r="AD12" s="689"/>
      <c r="AE12" s="685"/>
      <c r="AF12" s="685"/>
      <c r="AG12" s="672"/>
      <c r="AH12" s="691"/>
      <c r="AI12" s="685"/>
      <c r="AJ12" s="685"/>
      <c r="AK12" s="690"/>
      <c r="AL12" s="689"/>
      <c r="AM12" s="685"/>
      <c r="AN12" s="685"/>
      <c r="AO12" s="690"/>
      <c r="AP12" s="689"/>
      <c r="AQ12" s="685"/>
      <c r="AR12" s="685"/>
      <c r="AS12" s="690"/>
      <c r="AU12" s="675"/>
      <c r="AV12" s="675"/>
      <c r="AW12" s="675"/>
      <c r="AX12" s="675"/>
      <c r="AY12" s="676"/>
      <c r="AZ12" s="671"/>
      <c r="BA12" s="676"/>
      <c r="BB12" s="676"/>
      <c r="BC12" s="675"/>
      <c r="BD12" s="675"/>
      <c r="BE12" s="675"/>
    </row>
    <row r="13" spans="1:57" s="674" customFormat="1" ht="12" customHeight="1">
      <c r="A13" s="692" t="s">
        <v>177</v>
      </c>
      <c r="B13" s="693">
        <v>27.702000000000002</v>
      </c>
      <c r="C13" s="657">
        <f>132.873-B13-D13-E13</f>
        <v>30.843999999999987</v>
      </c>
      <c r="D13" s="657">
        <v>34.932000000000002</v>
      </c>
      <c r="E13" s="694">
        <v>39.395000000000003</v>
      </c>
      <c r="F13" s="657">
        <v>44.332000000000001</v>
      </c>
      <c r="G13" s="657">
        <v>48.725000000000001</v>
      </c>
      <c r="H13" s="657">
        <v>53.511000000000003</v>
      </c>
      <c r="I13" s="657">
        <v>59.259</v>
      </c>
      <c r="J13" s="693">
        <v>64.736999999999995</v>
      </c>
      <c r="K13" s="657">
        <v>69.37</v>
      </c>
      <c r="L13" s="657">
        <v>75.503</v>
      </c>
      <c r="M13" s="694">
        <v>80.938999999999993</v>
      </c>
      <c r="N13" s="693">
        <v>86.39</v>
      </c>
      <c r="O13" s="657">
        <v>92.01</v>
      </c>
      <c r="P13" s="657">
        <v>96.792000000000002</v>
      </c>
      <c r="Q13" s="694">
        <v>102.16200000000001</v>
      </c>
      <c r="R13" s="657">
        <v>107.402</v>
      </c>
      <c r="S13" s="657">
        <v>114.167</v>
      </c>
      <c r="T13" s="657">
        <v>122.15600000000001</v>
      </c>
      <c r="U13" s="657">
        <v>132.298</v>
      </c>
      <c r="V13" s="693">
        <v>142.68700000000001</v>
      </c>
      <c r="W13" s="657">
        <v>146.80600000000001</v>
      </c>
      <c r="X13" s="657">
        <v>156.76400000000001</v>
      </c>
      <c r="Y13" s="694">
        <v>166.25299999999999</v>
      </c>
      <c r="Z13" s="693">
        <v>171.09800000000001</v>
      </c>
      <c r="AA13" s="657">
        <v>176.767</v>
      </c>
      <c r="AB13" s="657">
        <v>183.268</v>
      </c>
      <c r="AC13" s="694">
        <v>193.88</v>
      </c>
      <c r="AD13" s="693">
        <v>197.63499999999999</v>
      </c>
      <c r="AE13" s="657">
        <v>202.53800000000001</v>
      </c>
      <c r="AF13" s="657">
        <v>208.554</v>
      </c>
      <c r="AG13" s="657">
        <v>215.93199999999999</v>
      </c>
      <c r="AH13" s="693">
        <v>220.44300000000001</v>
      </c>
      <c r="AI13" s="657">
        <v>228.03100000000001</v>
      </c>
      <c r="AJ13" s="657">
        <v>232.21100000000001</v>
      </c>
      <c r="AK13" s="657">
        <v>238.88800000000001</v>
      </c>
      <c r="AL13" s="693">
        <f t="shared" ref="AL13:AS13" si="11">AH13*(1+AL15)</f>
        <v>241.385085</v>
      </c>
      <c r="AM13" s="657">
        <f t="shared" si="11"/>
        <v>247.413635</v>
      </c>
      <c r="AN13" s="657">
        <f t="shared" si="11"/>
        <v>249.626825</v>
      </c>
      <c r="AO13" s="694">
        <f t="shared" si="11"/>
        <v>256.80459999999999</v>
      </c>
      <c r="AP13" s="693">
        <f t="shared" si="11"/>
        <v>259.4648278665</v>
      </c>
      <c r="AQ13" s="657">
        <f t="shared" si="11"/>
        <v>265.92017489799997</v>
      </c>
      <c r="AR13" s="657">
        <f t="shared" si="11"/>
        <v>268.27394882750002</v>
      </c>
      <c r="AS13" s="694">
        <f t="shared" si="11"/>
        <v>275.96222316000001</v>
      </c>
      <c r="AU13" s="659">
        <f>SUM(B13:E13)</f>
        <v>132.87299999999999</v>
      </c>
      <c r="AV13" s="659">
        <f>SUM(F13:I13)</f>
        <v>205.827</v>
      </c>
      <c r="AW13" s="659">
        <f>SUM(J13:M13)</f>
        <v>290.54899999999998</v>
      </c>
      <c r="AX13" s="659">
        <f>SUM(N13:Q13)</f>
        <v>377.35400000000004</v>
      </c>
      <c r="AY13" s="660">
        <f>SUM(R13:U13)</f>
        <v>476.02300000000002</v>
      </c>
      <c r="AZ13" s="695">
        <f>SUM(V13:Y13)</f>
        <v>612.51</v>
      </c>
      <c r="BA13" s="660">
        <f>SUM(Z13:AC13)</f>
        <v>725.01300000000003</v>
      </c>
      <c r="BB13" s="660">
        <f>SUM(AD13:AG13)</f>
        <v>824.65899999999999</v>
      </c>
      <c r="BC13" s="659">
        <f>SUM(AH13:AK13)</f>
        <v>919.57300000000009</v>
      </c>
      <c r="BD13" s="659">
        <f>SUM(AL13:AO13)</f>
        <v>995.23014499999999</v>
      </c>
      <c r="BE13" s="659">
        <f>SUM(AP13:AS13)</f>
        <v>1069.6211747520001</v>
      </c>
    </row>
    <row r="14" spans="1:57" s="674" customFormat="1" ht="12" hidden="1" customHeight="1" outlineLevel="1">
      <c r="A14" s="696" t="s">
        <v>178</v>
      </c>
      <c r="B14" s="697" t="str">
        <f>'[2]VA Consensus'!C18</f>
        <v>-</v>
      </c>
      <c r="C14" s="698" t="str">
        <f>'[2]VA Consensus'!D18</f>
        <v>-</v>
      </c>
      <c r="D14" s="698" t="str">
        <f>'[2]VA Consensus'!E18</f>
        <v>-</v>
      </c>
      <c r="E14" s="699" t="str">
        <f>'[2]VA Consensus'!F18</f>
        <v>-</v>
      </c>
      <c r="F14" s="145" t="str">
        <f>'[2]VA Consensus'!G18</f>
        <v>-</v>
      </c>
      <c r="G14" s="145" t="str">
        <f>'[2]VA Consensus'!H18</f>
        <v>-</v>
      </c>
      <c r="H14" s="145">
        <f>'[2]VA Consensus'!I18</f>
        <v>55.628655751143647</v>
      </c>
      <c r="I14" s="145">
        <f>'[2]VA Consensus'!J18</f>
        <v>61.298786107586253</v>
      </c>
      <c r="J14" s="700">
        <f>'[2]VA Consensus'!K18</f>
        <v>67.616153093305954</v>
      </c>
      <c r="K14" s="145">
        <f>'[2]VA Consensus'!L18</f>
        <v>71.338930191120298</v>
      </c>
      <c r="L14" s="145">
        <f>'[2]VA Consensus'!M18</f>
        <v>74.643217079868094</v>
      </c>
      <c r="M14" s="701">
        <f>'[2]VA Consensus'!N18</f>
        <v>78.543477821654136</v>
      </c>
      <c r="N14" s="700">
        <f>'[2]VA Consensus'!O18</f>
        <v>85.721487195837085</v>
      </c>
      <c r="O14" s="145">
        <f>'[2]VA Consensus'!P18</f>
        <v>87.122864885101777</v>
      </c>
      <c r="P14" s="145">
        <f>'[2]VA Consensus'!Q18</f>
        <v>94.144090107030493</v>
      </c>
      <c r="Q14" s="701">
        <f>'[2]VA Consensus'!R18</f>
        <v>99.687019228688413</v>
      </c>
      <c r="R14" s="145">
        <f>'[2]VA Consensus'!S18</f>
        <v>104.65408723196558</v>
      </c>
      <c r="S14" s="145">
        <f>'[2]VA Consensus'!T18</f>
        <v>110.6172989914236</v>
      </c>
      <c r="T14" s="83">
        <f>'[2]VA Consensus'!U18</f>
        <v>118.856924896314</v>
      </c>
      <c r="U14" s="83">
        <f>'[2]VA Consensus'!V18</f>
        <v>128.21495461733451</v>
      </c>
      <c r="V14" s="664">
        <f>'[2]VA Consensus'!W18</f>
        <v>137.265383688886</v>
      </c>
      <c r="W14" s="83">
        <f>'[2]VA Consensus'!X18</f>
        <v>147.0410200088449</v>
      </c>
      <c r="X14" s="83">
        <f>'[2]VA Consensus'!Y18</f>
        <v>153.57760526390678</v>
      </c>
      <c r="Y14" s="665">
        <f>'[2]VA Consensus'!Z18</f>
        <v>164.71860160334191</v>
      </c>
      <c r="Z14" s="83">
        <f>'[2]VA Consensus'!AA18</f>
        <v>170.07263289425137</v>
      </c>
      <c r="AA14" s="83">
        <f>'[2]VA Consensus'!AB18</f>
        <v>173.11760505296201</v>
      </c>
      <c r="AB14" s="83">
        <f>'[2]VA Consensus'!AC18</f>
        <v>180.5836192357331</v>
      </c>
      <c r="AC14" s="665">
        <f>'[2]VA Consensus'!AD18</f>
        <v>188.04428531658428</v>
      </c>
      <c r="AD14" s="83">
        <f>'[2]VA Consensus'!AE18</f>
        <v>195.09255448940269</v>
      </c>
      <c r="AE14" s="83">
        <f>'[2]VA Consensus'!AF18</f>
        <v>200.2923863602015</v>
      </c>
      <c r="AF14" s="145">
        <f>'[2]VA Consensus'!AG18</f>
        <v>204.41415054476246</v>
      </c>
      <c r="AG14" s="145">
        <f>'[2]VA Consensus'!AH18</f>
        <v>212.284483261177</v>
      </c>
      <c r="AH14" s="700">
        <f>'[2]VA Consensus'!AI18</f>
        <v>215.57474611799333</v>
      </c>
      <c r="AI14" s="83">
        <f>'[2]VA Consensus'!AJ18</f>
        <v>223.31505150052953</v>
      </c>
      <c r="AJ14" s="145">
        <f>'[2]VA Consensus'!AK18</f>
        <v>228.58495045872823</v>
      </c>
      <c r="AK14" s="145">
        <f>'[2]VA Consensus'!AL18</f>
        <v>232.60754138756016</v>
      </c>
      <c r="AL14" s="83">
        <f>'[2]VA Consensus'!AM18</f>
        <v>240.13242965546928</v>
      </c>
      <c r="AM14" s="83">
        <f>'[2]VA Consensus'!AN18</f>
        <v>245.6292261340875</v>
      </c>
      <c r="AN14" s="83">
        <f>'[2]VA Consensus'!AO18</f>
        <v>249.88103640743358</v>
      </c>
      <c r="AO14" s="665">
        <f>'[2]VA Consensus'!AP18</f>
        <v>256.35078227599234</v>
      </c>
      <c r="AP14" s="83">
        <f>'[2]VA Consensus'!AQ18</f>
        <v>258.89321511246305</v>
      </c>
      <c r="AQ14" s="83">
        <f>'[2]VA Consensus'!AR18</f>
        <v>264.28232534362564</v>
      </c>
      <c r="AR14" s="83">
        <f>'[2]VA Consensus'!AS18</f>
        <v>268.46242978514022</v>
      </c>
      <c r="AS14" s="665">
        <f>'[2]VA Consensus'!AT18</f>
        <v>275.49041488506714</v>
      </c>
      <c r="AU14" s="659" t="str">
        <f>'[2]VA Consensus'!AV18</f>
        <v>-</v>
      </c>
      <c r="AV14" s="88">
        <f>'[2]VA Consensus'!AW18</f>
        <v>219.33527128291999</v>
      </c>
      <c r="AW14" s="88">
        <f>'[2]VA Consensus'!AX18</f>
        <v>290.64225210736845</v>
      </c>
      <c r="AX14" s="88">
        <f>'[2]VA Consensus'!AY18</f>
        <v>374.87473351440258</v>
      </c>
      <c r="AY14" s="88">
        <f>'[2]VA Consensus'!AZ18</f>
        <v>471.94538188207514</v>
      </c>
      <c r="AZ14" s="664">
        <f>'[2]VA Consensus'!BA18</f>
        <v>610.65686176367615</v>
      </c>
      <c r="BA14" s="88">
        <f>'[2]VA Consensus'!BB18</f>
        <v>719.17728531658429</v>
      </c>
      <c r="BB14" s="88">
        <f>'[2]VA Consensus'!BC18</f>
        <v>821.32235686627507</v>
      </c>
      <c r="BC14" s="88">
        <f>'[2]VA Consensus'!BD18</f>
        <v>913.2890572884487</v>
      </c>
      <c r="BD14" s="88">
        <f>'[2]VA Consensus'!BE18</f>
        <v>991.99347447298283</v>
      </c>
      <c r="BE14" s="88">
        <f>'[2]VA Consensus'!BF18</f>
        <v>1067.1283851262965</v>
      </c>
    </row>
    <row r="15" spans="1:57" s="674" customFormat="1" ht="12" customHeight="1" collapsed="1">
      <c r="A15" s="702" t="s">
        <v>117</v>
      </c>
      <c r="B15" s="703"/>
      <c r="C15" s="685"/>
      <c r="D15" s="685"/>
      <c r="E15" s="690"/>
      <c r="F15" s="685">
        <f t="shared" ref="F15:AK15" si="12">F13/B13-1</f>
        <v>0.60031766659446961</v>
      </c>
      <c r="G15" s="685">
        <f t="shared" si="12"/>
        <v>0.57972377123589758</v>
      </c>
      <c r="H15" s="685">
        <f t="shared" si="12"/>
        <v>0.5318619031260734</v>
      </c>
      <c r="I15" s="685">
        <f t="shared" si="12"/>
        <v>0.50422642467318179</v>
      </c>
      <c r="J15" s="703">
        <f t="shared" si="12"/>
        <v>0.46027700081205425</v>
      </c>
      <c r="K15" s="685">
        <f t="shared" si="12"/>
        <v>0.42370446382760396</v>
      </c>
      <c r="L15" s="685">
        <f t="shared" si="12"/>
        <v>0.41098091981088003</v>
      </c>
      <c r="M15" s="690">
        <f t="shared" si="12"/>
        <v>0.36585160060075239</v>
      </c>
      <c r="N15" s="703">
        <f t="shared" si="12"/>
        <v>0.33447641997621158</v>
      </c>
      <c r="O15" s="672">
        <f t="shared" si="12"/>
        <v>0.32636586420642932</v>
      </c>
      <c r="P15" s="672">
        <f t="shared" si="12"/>
        <v>0.28196230613353124</v>
      </c>
      <c r="Q15" s="673">
        <f t="shared" si="12"/>
        <v>0.26220981232780249</v>
      </c>
      <c r="R15" s="703">
        <f t="shared" si="12"/>
        <v>0.24322259520777867</v>
      </c>
      <c r="S15" s="672">
        <f t="shared" si="12"/>
        <v>0.24081078143680035</v>
      </c>
      <c r="T15" s="672">
        <f t="shared" si="12"/>
        <v>0.26204645011984473</v>
      </c>
      <c r="U15" s="690">
        <f t="shared" si="12"/>
        <v>0.29498247880816741</v>
      </c>
      <c r="V15" s="703">
        <f t="shared" si="12"/>
        <v>0.3285320571311523</v>
      </c>
      <c r="W15" s="685">
        <f t="shared" si="12"/>
        <v>0.2858882163847698</v>
      </c>
      <c r="X15" s="685">
        <f t="shared" si="12"/>
        <v>0.28330986607289033</v>
      </c>
      <c r="Y15" s="690">
        <f t="shared" si="12"/>
        <v>0.25665542940936348</v>
      </c>
      <c r="Z15" s="703">
        <f t="shared" si="12"/>
        <v>0.19911414494663138</v>
      </c>
      <c r="AA15" s="685">
        <f t="shared" si="12"/>
        <v>0.20408566407367523</v>
      </c>
      <c r="AB15" s="685">
        <f t="shared" si="12"/>
        <v>0.16906942920568491</v>
      </c>
      <c r="AC15" s="690">
        <f t="shared" si="12"/>
        <v>0.16617444497242162</v>
      </c>
      <c r="AD15" s="703">
        <f t="shared" si="12"/>
        <v>0.15509824778781733</v>
      </c>
      <c r="AE15" s="685">
        <f t="shared" si="12"/>
        <v>0.14579078674186929</v>
      </c>
      <c r="AF15" s="672">
        <f t="shared" si="12"/>
        <v>0.13797280485409336</v>
      </c>
      <c r="AG15" s="672">
        <f t="shared" si="12"/>
        <v>0.11374045801526722</v>
      </c>
      <c r="AH15" s="704">
        <f t="shared" si="12"/>
        <v>0.11540466010575057</v>
      </c>
      <c r="AI15" s="685">
        <f t="shared" si="12"/>
        <v>0.12586773839970777</v>
      </c>
      <c r="AJ15" s="672">
        <f t="shared" si="12"/>
        <v>0.11343345128839544</v>
      </c>
      <c r="AK15" s="672">
        <f t="shared" si="12"/>
        <v>0.10631124613304199</v>
      </c>
      <c r="AL15" s="705">
        <v>9.5000000000000001E-2</v>
      </c>
      <c r="AM15" s="706">
        <v>8.5000000000000006E-2</v>
      </c>
      <c r="AN15" s="706">
        <v>7.4999999999999997E-2</v>
      </c>
      <c r="AO15" s="707">
        <v>7.4999999999999997E-2</v>
      </c>
      <c r="AP15" s="705">
        <f>+AO15-0.0001</f>
        <v>7.4899999999999994E-2</v>
      </c>
      <c r="AQ15" s="706">
        <f t="shared" ref="AQ15:AS15" si="13">+AP15-0.0001</f>
        <v>7.4799999999999991E-2</v>
      </c>
      <c r="AR15" s="706">
        <f t="shared" si="13"/>
        <v>7.4699999999999989E-2</v>
      </c>
      <c r="AS15" s="707">
        <f t="shared" si="13"/>
        <v>7.4599999999999986E-2</v>
      </c>
      <c r="AU15" s="675" t="str">
        <f>IF(ISERROR(AU13/#REF!-1),"NA",AU13/#REF!-1)</f>
        <v>NA</v>
      </c>
      <c r="AV15" s="675">
        <f t="shared" ref="AV15:BE15" si="14">IF(ISERROR(AV13/AU13-1),"NA",AV13/AU13-1)</f>
        <v>0.54905059718678739</v>
      </c>
      <c r="AW15" s="675">
        <f t="shared" si="14"/>
        <v>0.4116175234541628</v>
      </c>
      <c r="AX15" s="675">
        <f t="shared" si="14"/>
        <v>0.29876199883668519</v>
      </c>
      <c r="AY15" s="708">
        <f t="shared" si="14"/>
        <v>0.26147596156394259</v>
      </c>
      <c r="AZ15" s="709">
        <f t="shared" si="14"/>
        <v>0.28672354066925321</v>
      </c>
      <c r="BA15" s="676">
        <f t="shared" si="14"/>
        <v>0.18367536856541133</v>
      </c>
      <c r="BB15" s="675">
        <f t="shared" si="14"/>
        <v>0.13744029417403536</v>
      </c>
      <c r="BC15" s="675">
        <f t="shared" si="14"/>
        <v>0.11509484526331493</v>
      </c>
      <c r="BD15" s="675">
        <f t="shared" si="14"/>
        <v>8.2274213140229202E-2</v>
      </c>
      <c r="BE15" s="675">
        <f t="shared" si="14"/>
        <v>7.4747564797688293E-2</v>
      </c>
    </row>
    <row r="16" spans="1:57" s="674" customFormat="1" ht="12" customHeight="1">
      <c r="A16" s="710" t="s">
        <v>179</v>
      </c>
      <c r="B16" s="689">
        <f t="shared" ref="B16:AS16" si="15">B13/B$5</f>
        <v>0.68432103950001233</v>
      </c>
      <c r="C16" s="685">
        <f t="shared" si="15"/>
        <v>0.69863417064939148</v>
      </c>
      <c r="D16" s="685">
        <f t="shared" si="15"/>
        <v>0.71318905675786037</v>
      </c>
      <c r="E16" s="690">
        <f t="shared" si="15"/>
        <v>0.72795979082358597</v>
      </c>
      <c r="F16" s="685">
        <f t="shared" si="15"/>
        <v>0.75002960732231383</v>
      </c>
      <c r="G16" s="685">
        <f t="shared" si="15"/>
        <v>0.7662127311611524</v>
      </c>
      <c r="H16" s="685">
        <f t="shared" si="15"/>
        <v>0.77060771889400925</v>
      </c>
      <c r="I16" s="685">
        <f t="shared" si="15"/>
        <v>0.78779862006620494</v>
      </c>
      <c r="J16" s="689">
        <f t="shared" si="15"/>
        <v>0.80617925056973128</v>
      </c>
      <c r="K16" s="685">
        <f t="shared" si="15"/>
        <v>0.81244729691745532</v>
      </c>
      <c r="L16" s="685">
        <f t="shared" si="15"/>
        <v>0.82200714192396462</v>
      </c>
      <c r="M16" s="690">
        <f t="shared" si="15"/>
        <v>0.83400138074580898</v>
      </c>
      <c r="N16" s="689">
        <f t="shared" si="15"/>
        <v>0.84161405969916614</v>
      </c>
      <c r="O16" s="672">
        <f t="shared" si="15"/>
        <v>0.85823018589857192</v>
      </c>
      <c r="P16" s="672">
        <f t="shared" si="15"/>
        <v>0.86204378261876335</v>
      </c>
      <c r="Q16" s="673">
        <f t="shared" si="15"/>
        <v>0.86517843532460492</v>
      </c>
      <c r="R16" s="672">
        <f t="shared" si="15"/>
        <v>0.87184732403055465</v>
      </c>
      <c r="S16" s="672">
        <f t="shared" si="15"/>
        <v>0.87646151129672412</v>
      </c>
      <c r="T16" s="672">
        <f t="shared" si="15"/>
        <v>0.88094963364680101</v>
      </c>
      <c r="U16" s="685">
        <f t="shared" si="15"/>
        <v>0.88779878940799095</v>
      </c>
      <c r="V16" s="689">
        <f t="shared" si="15"/>
        <v>0.89533030470357922</v>
      </c>
      <c r="W16" s="685">
        <f t="shared" si="15"/>
        <v>0.8933011238826587</v>
      </c>
      <c r="X16" s="685">
        <f t="shared" si="15"/>
        <v>0.89655764050534459</v>
      </c>
      <c r="Y16" s="685">
        <f t="shared" si="15"/>
        <v>0.90046091934723849</v>
      </c>
      <c r="Z16" s="689">
        <f t="shared" si="15"/>
        <v>0.90605224556368114</v>
      </c>
      <c r="AA16" s="685">
        <f t="shared" si="15"/>
        <v>0.90633011341495928</v>
      </c>
      <c r="AB16" s="685">
        <f t="shared" si="15"/>
        <v>0.90938773079804891</v>
      </c>
      <c r="AC16" s="690">
        <f t="shared" si="15"/>
        <v>0.90892895652255445</v>
      </c>
      <c r="AD16" s="689">
        <f t="shared" si="15"/>
        <v>0.91514208583957291</v>
      </c>
      <c r="AE16" s="685">
        <f t="shared" si="15"/>
        <v>0.91546322788271617</v>
      </c>
      <c r="AF16" s="672">
        <f t="shared" si="15"/>
        <v>0.91838406256605376</v>
      </c>
      <c r="AG16" s="672">
        <f t="shared" si="15"/>
        <v>0.91601019806474326</v>
      </c>
      <c r="AH16" s="671">
        <f t="shared" si="15"/>
        <v>0.92182723710676306</v>
      </c>
      <c r="AI16" s="685">
        <f t="shared" si="15"/>
        <v>0.92210113427283202</v>
      </c>
      <c r="AJ16" s="672">
        <f t="shared" si="15"/>
        <v>0.9198661067976549</v>
      </c>
      <c r="AK16" s="672">
        <f t="shared" si="15"/>
        <v>0.91692031335761681</v>
      </c>
      <c r="AL16" s="689">
        <f t="shared" si="15"/>
        <v>0.93355024312190749</v>
      </c>
      <c r="AM16" s="685">
        <f t="shared" si="15"/>
        <v>0.93174988142403825</v>
      </c>
      <c r="AN16" s="685">
        <f t="shared" si="15"/>
        <v>0.92885428220089128</v>
      </c>
      <c r="AO16" s="690">
        <f t="shared" si="15"/>
        <v>0.92579363391285729</v>
      </c>
      <c r="AP16" s="689">
        <f t="shared" si="15"/>
        <v>0.94143099083002846</v>
      </c>
      <c r="AQ16" s="685">
        <f t="shared" si="15"/>
        <v>0.93959385733796219</v>
      </c>
      <c r="AR16" s="685">
        <f t="shared" si="15"/>
        <v>0.93672304948220764</v>
      </c>
      <c r="AS16" s="690">
        <f t="shared" si="15"/>
        <v>0.93359378824061401</v>
      </c>
      <c r="AU16" s="675">
        <f t="shared" ref="AU16:BD16" si="16">AU13/AU$5</f>
        <v>0.70779909123354645</v>
      </c>
      <c r="AV16" s="675">
        <f t="shared" si="16"/>
        <v>0.76984964093357267</v>
      </c>
      <c r="AW16" s="675">
        <f t="shared" si="16"/>
        <v>0.81940347334638131</v>
      </c>
      <c r="AX16" s="675">
        <f t="shared" si="16"/>
        <v>0.85719218301716649</v>
      </c>
      <c r="AY16" s="676">
        <f t="shared" si="16"/>
        <v>0.8796832554099755</v>
      </c>
      <c r="AZ16" s="709">
        <f t="shared" si="16"/>
        <v>0.89654284087466019</v>
      </c>
      <c r="BA16" s="676">
        <f t="shared" si="16"/>
        <v>0.9077299645678657</v>
      </c>
      <c r="BB16" s="675">
        <f t="shared" si="16"/>
        <v>0.91626639822848577</v>
      </c>
      <c r="BC16" s="675">
        <f t="shared" si="16"/>
        <v>0.92012047168065003</v>
      </c>
      <c r="BD16" s="675">
        <f t="shared" si="16"/>
        <v>0.92991396888477085</v>
      </c>
      <c r="BE16" s="675">
        <f>BE13/BE$5</f>
        <v>0.93776200469046633</v>
      </c>
    </row>
    <row r="17" spans="1:57" s="674" customFormat="1" ht="12" customHeight="1">
      <c r="A17" s="670"/>
      <c r="B17" s="711"/>
      <c r="C17" s="712"/>
      <c r="D17" s="712"/>
      <c r="E17" s="713"/>
      <c r="F17" s="712"/>
      <c r="G17" s="712"/>
      <c r="H17" s="712"/>
      <c r="I17" s="712"/>
      <c r="J17" s="686"/>
      <c r="K17" s="687"/>
      <c r="L17" s="687"/>
      <c r="M17" s="688"/>
      <c r="N17" s="686"/>
      <c r="O17" s="687"/>
      <c r="P17" s="687"/>
      <c r="Q17" s="688"/>
      <c r="R17" s="672"/>
      <c r="S17" s="672"/>
      <c r="T17" s="685"/>
      <c r="U17" s="690"/>
      <c r="V17" s="685"/>
      <c r="W17" s="685"/>
      <c r="X17" s="685"/>
      <c r="Y17" s="690"/>
      <c r="Z17" s="689"/>
      <c r="AA17" s="685"/>
      <c r="AB17" s="685"/>
      <c r="AC17" s="690"/>
      <c r="AD17" s="689"/>
      <c r="AE17" s="685"/>
      <c r="AF17" s="672"/>
      <c r="AG17" s="672"/>
      <c r="AH17" s="671"/>
      <c r="AI17" s="685"/>
      <c r="AJ17" s="672"/>
      <c r="AK17" s="672"/>
      <c r="AL17" s="689"/>
      <c r="AM17" s="685"/>
      <c r="AN17" s="685"/>
      <c r="AO17" s="690"/>
      <c r="AP17" s="689"/>
      <c r="AQ17" s="685"/>
      <c r="AR17" s="685"/>
      <c r="AS17" s="690"/>
      <c r="AU17" s="675"/>
      <c r="AV17" s="675"/>
      <c r="AW17" s="675"/>
      <c r="AX17" s="675"/>
      <c r="AY17" s="676"/>
      <c r="AZ17" s="709"/>
      <c r="BA17" s="676"/>
      <c r="BB17" s="675"/>
      <c r="BC17" s="675"/>
      <c r="BD17" s="675"/>
      <c r="BE17" s="675"/>
    </row>
    <row r="18" spans="1:57" s="674" customFormat="1" ht="12" customHeight="1">
      <c r="A18" s="692" t="s">
        <v>180</v>
      </c>
      <c r="B18" s="693">
        <v>11.989000000000001</v>
      </c>
      <c r="C18" s="657">
        <f>50.337-B18-D18-E18</f>
        <v>12.282999999999999</v>
      </c>
      <c r="D18" s="657">
        <v>12.856999999999999</v>
      </c>
      <c r="E18" s="694">
        <v>13.208</v>
      </c>
      <c r="F18" s="657">
        <v>13.477</v>
      </c>
      <c r="G18" s="657">
        <v>13.412000000000001</v>
      </c>
      <c r="H18" s="657">
        <v>13.864000000000001</v>
      </c>
      <c r="I18" s="657">
        <v>13.869</v>
      </c>
      <c r="J18" s="693">
        <v>13.526999999999999</v>
      </c>
      <c r="K18" s="657">
        <v>13.553000000000001</v>
      </c>
      <c r="L18" s="657">
        <v>13.797000000000001</v>
      </c>
      <c r="M18" s="694">
        <v>13.295999999999999</v>
      </c>
      <c r="N18" s="693">
        <v>13.419</v>
      </c>
      <c r="O18" s="657">
        <v>12.179</v>
      </c>
      <c r="P18" s="657">
        <v>12.448</v>
      </c>
      <c r="Q18" s="694">
        <v>12.548</v>
      </c>
      <c r="R18" s="657">
        <v>12.404999999999999</v>
      </c>
      <c r="S18" s="657">
        <v>12.567</v>
      </c>
      <c r="T18" s="714">
        <v>12.749000000000001</v>
      </c>
      <c r="U18" s="715">
        <v>12.612</v>
      </c>
      <c r="V18" s="714">
        <v>12.872999999999999</v>
      </c>
      <c r="W18" s="714">
        <v>12.683</v>
      </c>
      <c r="X18" s="714">
        <v>12.657999999999999</v>
      </c>
      <c r="Y18" s="715">
        <v>12.484999999999999</v>
      </c>
      <c r="Z18" s="716">
        <v>12.180999999999999</v>
      </c>
      <c r="AA18" s="714">
        <v>12.154</v>
      </c>
      <c r="AB18" s="714">
        <v>12.2</v>
      </c>
      <c r="AC18" s="715">
        <v>12.194000000000001</v>
      </c>
      <c r="AD18" s="716">
        <v>12.156000000000001</v>
      </c>
      <c r="AE18" s="657">
        <v>12.016</v>
      </c>
      <c r="AF18" s="657">
        <v>11.769</v>
      </c>
      <c r="AG18" s="657">
        <v>11.833</v>
      </c>
      <c r="AH18" s="693">
        <v>11.552</v>
      </c>
      <c r="AI18" s="714">
        <v>11.411</v>
      </c>
      <c r="AJ18" s="657">
        <v>11.087999999999999</v>
      </c>
      <c r="AK18" s="657">
        <v>10.61</v>
      </c>
      <c r="AL18" s="716">
        <f t="shared" ref="AL18:AS18" si="17">AH18*(1+AL20)</f>
        <v>10.396800000000001</v>
      </c>
      <c r="AM18" s="714">
        <f t="shared" si="17"/>
        <v>10.2699</v>
      </c>
      <c r="AN18" s="714">
        <f t="shared" si="17"/>
        <v>9.9791999999999987</v>
      </c>
      <c r="AO18" s="715">
        <f t="shared" si="17"/>
        <v>9.5489999999999995</v>
      </c>
      <c r="AP18" s="716">
        <f t="shared" si="17"/>
        <v>9.3571200000000001</v>
      </c>
      <c r="AQ18" s="714">
        <f t="shared" si="17"/>
        <v>9.2429100000000002</v>
      </c>
      <c r="AR18" s="714">
        <f t="shared" si="17"/>
        <v>8.9812799999999999</v>
      </c>
      <c r="AS18" s="715">
        <f t="shared" si="17"/>
        <v>8.5940999999999992</v>
      </c>
      <c r="AU18" s="659">
        <f>SUM(B18:E18)</f>
        <v>50.336999999999996</v>
      </c>
      <c r="AV18" s="659">
        <f>SUM(F18:I18)</f>
        <v>54.622</v>
      </c>
      <c r="AW18" s="659">
        <f>SUM(J18:M18)</f>
        <v>54.172999999999995</v>
      </c>
      <c r="AX18" s="659">
        <f>SUM(N18:Q18)</f>
        <v>50.594000000000001</v>
      </c>
      <c r="AY18" s="660">
        <f>SUM(R18:U18)</f>
        <v>50.333000000000006</v>
      </c>
      <c r="AZ18" s="661">
        <f>SUM(V18:Y18)</f>
        <v>50.698999999999998</v>
      </c>
      <c r="BA18" s="660">
        <f>SUM(Z18:AC18)</f>
        <v>48.728999999999999</v>
      </c>
      <c r="BB18" s="659">
        <f>SUM(AD18:AG18)</f>
        <v>47.774000000000001</v>
      </c>
      <c r="BC18" s="659">
        <f>SUM(AH18:AK18)</f>
        <v>44.661000000000001</v>
      </c>
      <c r="BD18" s="659">
        <f>SUM(AL18:AO18)</f>
        <v>40.194899999999997</v>
      </c>
      <c r="BE18" s="659">
        <f>SUM(AP18:AS18)</f>
        <v>36.175409999999999</v>
      </c>
    </row>
    <row r="19" spans="1:57" s="674" customFormat="1" ht="12" hidden="1" customHeight="1" outlineLevel="1">
      <c r="A19" s="696" t="s">
        <v>181</v>
      </c>
      <c r="B19" s="717" t="str">
        <f>'[2]VA Consensus'!C19</f>
        <v>-</v>
      </c>
      <c r="C19" s="718" t="str">
        <f>'[2]VA Consensus'!D19</f>
        <v>-</v>
      </c>
      <c r="D19" s="718" t="str">
        <f>'[2]VA Consensus'!E19</f>
        <v>-</v>
      </c>
      <c r="E19" s="719" t="str">
        <f>'[2]VA Consensus'!F19</f>
        <v>-</v>
      </c>
      <c r="F19" s="145" t="str">
        <f>'[2]VA Consensus'!G19</f>
        <v>-</v>
      </c>
      <c r="G19" s="145" t="str">
        <f>'[2]VA Consensus'!H19</f>
        <v>-</v>
      </c>
      <c r="H19" s="145">
        <f>'[2]VA Consensus'!I19</f>
        <v>9.0917193507355005</v>
      </c>
      <c r="I19" s="145">
        <f>'[2]VA Consensus'!J19</f>
        <v>9.7982907558715997</v>
      </c>
      <c r="J19" s="700">
        <f>'[2]VA Consensus'!K19</f>
        <v>9.5543854369992491</v>
      </c>
      <c r="K19" s="145">
        <f>'[2]VA Consensus'!L19</f>
        <v>10.130924365965001</v>
      </c>
      <c r="L19" s="145">
        <f>'[2]VA Consensus'!M19</f>
        <v>11.907465223467637</v>
      </c>
      <c r="M19" s="701">
        <f>'[2]VA Consensus'!N19</f>
        <v>13.392570244430072</v>
      </c>
      <c r="N19" s="700">
        <f>'[2]VA Consensus'!O19</f>
        <v>12.107705155493695</v>
      </c>
      <c r="O19" s="145">
        <f>'[2]VA Consensus'!P19</f>
        <v>13.350479240967317</v>
      </c>
      <c r="P19" s="145">
        <f>'[2]VA Consensus'!Q19</f>
        <v>12.466897208127472</v>
      </c>
      <c r="Q19" s="701">
        <f>'[2]VA Consensus'!R19</f>
        <v>12.298035980219071</v>
      </c>
      <c r="R19" s="145">
        <f>'[2]VA Consensus'!S19</f>
        <v>12.522909810336143</v>
      </c>
      <c r="S19" s="145">
        <f>'[2]VA Consensus'!T19</f>
        <v>11.910471132894241</v>
      </c>
      <c r="T19" s="83">
        <f>'[2]VA Consensus'!U19</f>
        <v>12.366895383725723</v>
      </c>
      <c r="U19" s="665">
        <f>'[2]VA Consensus'!V19</f>
        <v>12.541843008076849</v>
      </c>
      <c r="V19" s="83">
        <f>'[2]VA Consensus'!W19</f>
        <v>12.171485537815419</v>
      </c>
      <c r="W19" s="83">
        <f>'[2]VA Consensus'!X19</f>
        <v>12.485687686684312</v>
      </c>
      <c r="X19" s="83">
        <f>'[2]VA Consensus'!Y19</f>
        <v>11.992390634047933</v>
      </c>
      <c r="Y19" s="665">
        <f>'[2]VA Consensus'!Z19</f>
        <v>12.073231588280599</v>
      </c>
      <c r="Z19" s="83">
        <f>'[2]VA Consensus'!AA19</f>
        <v>11.879293436091318</v>
      </c>
      <c r="AA19" s="83">
        <f>'[2]VA Consensus'!AB19</f>
        <v>11.947995306216738</v>
      </c>
      <c r="AB19" s="83">
        <f>'[2]VA Consensus'!AC19</f>
        <v>12.102771226460192</v>
      </c>
      <c r="AC19" s="665">
        <f>'[2]VA Consensus'!AD19</f>
        <v>12.201255490421591</v>
      </c>
      <c r="AD19" s="83">
        <f>'[2]VA Consensus'!AE19</f>
        <v>11.929125486906379</v>
      </c>
      <c r="AE19" s="83">
        <f>'[2]VA Consensus'!AF19</f>
        <v>11.834694288249208</v>
      </c>
      <c r="AF19" s="145">
        <f>'[2]VA Consensus'!AG19</f>
        <v>11.840435058260615</v>
      </c>
      <c r="AG19" s="145">
        <f>'[2]VA Consensus'!AH19</f>
        <v>11.884902100625439</v>
      </c>
      <c r="AH19" s="700">
        <f>'[2]VA Consensus'!AI19</f>
        <v>11.792826754838767</v>
      </c>
      <c r="AI19" s="83">
        <f>'[2]VA Consensus'!AJ19</f>
        <v>11.583498440804131</v>
      </c>
      <c r="AJ19" s="145">
        <f>'[2]VA Consensus'!AK19</f>
        <v>11.23401717301663</v>
      </c>
      <c r="AK19" s="145">
        <f>'[2]VA Consensus'!AL19</f>
        <v>10.913613935312892</v>
      </c>
      <c r="AL19" s="83">
        <f>'[2]VA Consensus'!AM19</f>
        <v>10.604546968068558</v>
      </c>
      <c r="AM19" s="83">
        <f>'[2]VA Consensus'!AN19</f>
        <v>10.522108685009322</v>
      </c>
      <c r="AN19" s="83">
        <f>'[2]VA Consensus'!AO19</f>
        <v>10.437495062540602</v>
      </c>
      <c r="AO19" s="665">
        <f>'[2]VA Consensus'!AP19</f>
        <v>9.9358064927576457</v>
      </c>
      <c r="AP19" s="83">
        <f>'[2]VA Consensus'!AQ19</f>
        <v>10.096689776469677</v>
      </c>
      <c r="AQ19" s="83">
        <f>'[2]VA Consensus'!AR19</f>
        <v>10.094702213749674</v>
      </c>
      <c r="AR19" s="83">
        <f>'[2]VA Consensus'!AS19</f>
        <v>9.979008163086748</v>
      </c>
      <c r="AS19" s="665">
        <f>'[2]VA Consensus'!AT19</f>
        <v>9.5120751642245143</v>
      </c>
      <c r="AU19" s="669" t="str">
        <f>'[2]VA Consensus'!AV19</f>
        <v>-</v>
      </c>
      <c r="AV19" s="669">
        <f>'[2]VA Consensus'!AW19</f>
        <v>37.803338205871597</v>
      </c>
      <c r="AW19" s="669">
        <f>'[2]VA Consensus'!AX19</f>
        <v>51.993046315858642</v>
      </c>
      <c r="AX19" s="669">
        <f>'[2]VA Consensus'!AY19</f>
        <v>50.344035980219068</v>
      </c>
      <c r="AY19" s="720">
        <f>'[2]VA Consensus'!AZ19</f>
        <v>50.285860451623869</v>
      </c>
      <c r="AZ19" s="666">
        <f>'[2]VA Consensus'!BA19</f>
        <v>50.22875474710866</v>
      </c>
      <c r="BA19" s="720">
        <f>'[2]VA Consensus'!BB19</f>
        <v>48.736255490421591</v>
      </c>
      <c r="BB19" s="720">
        <f>'[2]VA Consensus'!BC19</f>
        <v>47.807977275677558</v>
      </c>
      <c r="BC19" s="720">
        <f>'[2]VA Consensus'!BD19</f>
        <v>44.979571511361975</v>
      </c>
      <c r="BD19" s="720">
        <f>'[2]VA Consensus'!BE19</f>
        <v>41.499957208376131</v>
      </c>
      <c r="BE19" s="720">
        <f>'[2]VA Consensus'!BF19</f>
        <v>39.682475317530617</v>
      </c>
    </row>
    <row r="20" spans="1:57" s="674" customFormat="1" ht="12" customHeight="1" collapsed="1">
      <c r="A20" s="710" t="s">
        <v>117</v>
      </c>
      <c r="B20" s="689"/>
      <c r="C20" s="685"/>
      <c r="D20" s="685"/>
      <c r="E20" s="690"/>
      <c r="F20" s="685">
        <f t="shared" ref="F20:AK20" si="18">F18/B18-1</f>
        <v>0.12411377095671017</v>
      </c>
      <c r="G20" s="685">
        <f t="shared" si="18"/>
        <v>9.1915655784417627E-2</v>
      </c>
      <c r="H20" s="685">
        <f t="shared" si="18"/>
        <v>7.8323092478805423E-2</v>
      </c>
      <c r="I20" s="685">
        <f t="shared" si="18"/>
        <v>5.0045427013930999E-2</v>
      </c>
      <c r="J20" s="689">
        <f t="shared" si="18"/>
        <v>3.7100244861614229E-3</v>
      </c>
      <c r="K20" s="685">
        <f t="shared" si="18"/>
        <v>1.0512973456606067E-2</v>
      </c>
      <c r="L20" s="685">
        <f t="shared" si="18"/>
        <v>-4.8326601269474967E-3</v>
      </c>
      <c r="M20" s="690">
        <f t="shared" si="18"/>
        <v>-4.1315163313865533E-2</v>
      </c>
      <c r="N20" s="689">
        <f t="shared" si="18"/>
        <v>-7.9840319361276224E-3</v>
      </c>
      <c r="O20" s="685">
        <f t="shared" si="18"/>
        <v>-0.10137976831697781</v>
      </c>
      <c r="P20" s="685">
        <f t="shared" si="18"/>
        <v>-9.7774878596796455E-2</v>
      </c>
      <c r="Q20" s="690">
        <f t="shared" si="18"/>
        <v>-5.6257521058965088E-2</v>
      </c>
      <c r="R20" s="685">
        <f t="shared" si="18"/>
        <v>-7.5564498099709443E-2</v>
      </c>
      <c r="S20" s="672">
        <f t="shared" si="18"/>
        <v>3.1858116429920313E-2</v>
      </c>
      <c r="T20" s="672">
        <f t="shared" si="18"/>
        <v>2.4180591259640005E-2</v>
      </c>
      <c r="U20" s="690">
        <f t="shared" si="18"/>
        <v>5.100414408670817E-3</v>
      </c>
      <c r="V20" s="685">
        <f t="shared" si="18"/>
        <v>3.7726723095526049E-2</v>
      </c>
      <c r="W20" s="685">
        <f t="shared" si="18"/>
        <v>9.230524389273409E-3</v>
      </c>
      <c r="X20" s="685">
        <f t="shared" si="18"/>
        <v>-7.1378147305671824E-3</v>
      </c>
      <c r="Y20" s="690">
        <f t="shared" si="18"/>
        <v>-1.0069774817634047E-2</v>
      </c>
      <c r="Z20" s="685">
        <f t="shared" si="18"/>
        <v>-5.3755923250213611E-2</v>
      </c>
      <c r="AA20" s="685">
        <f t="shared" si="18"/>
        <v>-4.1709374753607142E-2</v>
      </c>
      <c r="AB20" s="685">
        <f t="shared" si="18"/>
        <v>-3.6182651287723244E-2</v>
      </c>
      <c r="AC20" s="690">
        <f t="shared" si="18"/>
        <v>-2.3307969563476028E-2</v>
      </c>
      <c r="AD20" s="685">
        <f t="shared" si="18"/>
        <v>-2.0523766521630682E-3</v>
      </c>
      <c r="AE20" s="685">
        <f t="shared" si="18"/>
        <v>-1.1354286654599255E-2</v>
      </c>
      <c r="AF20" s="672">
        <f t="shared" si="18"/>
        <v>-3.5327868852458977E-2</v>
      </c>
      <c r="AG20" s="672">
        <f t="shared" si="18"/>
        <v>-2.9604723634574448E-2</v>
      </c>
      <c r="AH20" s="671">
        <f t="shared" si="18"/>
        <v>-4.9687397170121828E-2</v>
      </c>
      <c r="AI20" s="685">
        <f t="shared" si="18"/>
        <v>-5.0349533954727077E-2</v>
      </c>
      <c r="AJ20" s="672">
        <f t="shared" si="18"/>
        <v>-5.7863879683915487E-2</v>
      </c>
      <c r="AK20" s="672">
        <f t="shared" si="18"/>
        <v>-0.1033550240851856</v>
      </c>
      <c r="AL20" s="721">
        <v>-0.1</v>
      </c>
      <c r="AM20" s="706">
        <f>AL20</f>
        <v>-0.1</v>
      </c>
      <c r="AN20" s="706">
        <f t="shared" ref="AN20:AO20" si="19">AM20</f>
        <v>-0.1</v>
      </c>
      <c r="AO20" s="706">
        <f t="shared" si="19"/>
        <v>-0.1</v>
      </c>
      <c r="AP20" s="721">
        <f>AO20</f>
        <v>-0.1</v>
      </c>
      <c r="AQ20" s="706">
        <f>AP20</f>
        <v>-0.1</v>
      </c>
      <c r="AR20" s="706">
        <f t="shared" ref="AR20:AS20" si="20">AQ20</f>
        <v>-0.1</v>
      </c>
      <c r="AS20" s="706">
        <f t="shared" si="20"/>
        <v>-0.1</v>
      </c>
      <c r="AT20" s="722"/>
      <c r="AU20" s="723" t="str">
        <f>IF(ISERROR(AU18/#REF!-1),"NA",AU18/#REF!-1)</f>
        <v>NA</v>
      </c>
      <c r="AV20" s="723">
        <f t="shared" ref="AV20:BE20" si="21">IF(ISERROR(AV18/AU18-1),"NA",AV18/AU18-1)</f>
        <v>8.5126249081192817E-2</v>
      </c>
      <c r="AW20" s="723">
        <f t="shared" si="21"/>
        <v>-8.2201310827140217E-3</v>
      </c>
      <c r="AX20" s="723">
        <f t="shared" si="21"/>
        <v>-6.6066121499639974E-2</v>
      </c>
      <c r="AY20" s="724">
        <f t="shared" si="21"/>
        <v>-5.1587144720717237E-3</v>
      </c>
      <c r="AZ20" s="709">
        <f t="shared" si="21"/>
        <v>7.2715713349094102E-3</v>
      </c>
      <c r="BA20" s="676">
        <f t="shared" si="21"/>
        <v>-3.8856782185052952E-2</v>
      </c>
      <c r="BB20" s="675">
        <f t="shared" si="21"/>
        <v>-1.9598185885201791E-2</v>
      </c>
      <c r="BC20" s="675">
        <f t="shared" si="21"/>
        <v>-6.5160966215933369E-2</v>
      </c>
      <c r="BD20" s="675">
        <f t="shared" si="21"/>
        <v>-0.10000000000000009</v>
      </c>
      <c r="BE20" s="675">
        <f t="shared" si="21"/>
        <v>-9.9999999999999978E-2</v>
      </c>
    </row>
    <row r="21" spans="1:57" s="674" customFormat="1" ht="12" customHeight="1">
      <c r="A21" s="710" t="s">
        <v>179</v>
      </c>
      <c r="B21" s="725">
        <f t="shared" ref="B21:AS21" si="22">B18/B$5</f>
        <v>0.29616363232133597</v>
      </c>
      <c r="C21" s="685">
        <f t="shared" si="22"/>
        <v>0.27821694715622097</v>
      </c>
      <c r="D21" s="685">
        <f t="shared" si="22"/>
        <v>0.26249489587586766</v>
      </c>
      <c r="E21" s="690">
        <f t="shared" si="22"/>
        <v>0.24406378771920098</v>
      </c>
      <c r="F21" s="685">
        <f t="shared" si="22"/>
        <v>0.22801021875581573</v>
      </c>
      <c r="G21" s="685">
        <f t="shared" si="22"/>
        <v>0.21090703233111086</v>
      </c>
      <c r="H21" s="685">
        <f t="shared" si="22"/>
        <v>0.19965437788018434</v>
      </c>
      <c r="I21" s="685">
        <f t="shared" si="22"/>
        <v>0.18437670331423406</v>
      </c>
      <c r="J21" s="725">
        <f t="shared" si="22"/>
        <v>0.16845369298016213</v>
      </c>
      <c r="K21" s="685">
        <f t="shared" si="22"/>
        <v>0.15872997282863302</v>
      </c>
      <c r="L21" s="685">
        <f t="shared" si="22"/>
        <v>0.15020903192091625</v>
      </c>
      <c r="M21" s="690">
        <f t="shared" si="22"/>
        <v>0.13700295726900846</v>
      </c>
      <c r="N21" s="725">
        <f t="shared" si="22"/>
        <v>0.13072831423895254</v>
      </c>
      <c r="O21" s="672">
        <f t="shared" si="22"/>
        <v>0.11360053726832635</v>
      </c>
      <c r="P21" s="672">
        <f t="shared" si="22"/>
        <v>0.11086371813825902</v>
      </c>
      <c r="Q21" s="673">
        <f t="shared" si="22"/>
        <v>0.1062651377856066</v>
      </c>
      <c r="R21" s="672">
        <f t="shared" si="22"/>
        <v>0.10069892604047438</v>
      </c>
      <c r="S21" s="672">
        <f t="shared" si="22"/>
        <v>9.6477018862420244E-2</v>
      </c>
      <c r="T21" s="672">
        <f t="shared" si="22"/>
        <v>9.1941671955229926E-2</v>
      </c>
      <c r="U21" s="685">
        <f t="shared" si="22"/>
        <v>8.4634071051819248E-2</v>
      </c>
      <c r="V21" s="725">
        <f t="shared" si="22"/>
        <v>8.0775312484313036E-2</v>
      </c>
      <c r="W21" s="685">
        <f t="shared" si="22"/>
        <v>7.7174898534145456E-2</v>
      </c>
      <c r="X21" s="685">
        <f t="shared" si="22"/>
        <v>7.2393066096276257E-2</v>
      </c>
      <c r="Y21" s="685">
        <f t="shared" si="22"/>
        <v>6.7621363692987629E-2</v>
      </c>
      <c r="Z21" s="725">
        <f t="shared" si="22"/>
        <v>6.450468388415527E-2</v>
      </c>
      <c r="AA21" s="685">
        <f t="shared" si="22"/>
        <v>6.2316700506573147E-2</v>
      </c>
      <c r="AB21" s="685">
        <f t="shared" si="22"/>
        <v>6.0537193158304754E-2</v>
      </c>
      <c r="AC21" s="690">
        <f t="shared" si="22"/>
        <v>5.7166699483371317E-2</v>
      </c>
      <c r="AD21" s="725">
        <f t="shared" si="22"/>
        <v>5.6287940878214128E-2</v>
      </c>
      <c r="AE21" s="685">
        <f t="shared" si="22"/>
        <v>5.431181381389525E-2</v>
      </c>
      <c r="AF21" s="672">
        <f t="shared" si="22"/>
        <v>5.182572394842528E-2</v>
      </c>
      <c r="AG21" s="672">
        <f t="shared" si="22"/>
        <v>5.0197046633662951E-2</v>
      </c>
      <c r="AH21" s="726">
        <f t="shared" si="22"/>
        <v>4.8307037388609878E-2</v>
      </c>
      <c r="AI21" s="685">
        <f t="shared" si="22"/>
        <v>4.6143270183384211E-2</v>
      </c>
      <c r="AJ21" s="672">
        <f t="shared" si="22"/>
        <v>4.3923308508952617E-2</v>
      </c>
      <c r="AK21" s="672">
        <f t="shared" si="22"/>
        <v>4.0724207681944319E-2</v>
      </c>
      <c r="AL21" s="725">
        <f t="shared" si="22"/>
        <v>4.0209340886533433E-2</v>
      </c>
      <c r="AM21" s="685">
        <f t="shared" si="22"/>
        <v>3.8676033789474581E-2</v>
      </c>
      <c r="AN21" s="685">
        <f t="shared" si="22"/>
        <v>3.7132318022869273E-2</v>
      </c>
      <c r="AO21" s="690">
        <f t="shared" si="22"/>
        <v>3.4424630284013109E-2</v>
      </c>
      <c r="AP21" s="725">
        <f t="shared" si="22"/>
        <v>3.3950970639642648E-2</v>
      </c>
      <c r="AQ21" s="685">
        <f t="shared" si="22"/>
        <v>3.2658603143814878E-2</v>
      </c>
      <c r="AR21" s="685">
        <f t="shared" si="22"/>
        <v>3.1359630805088336E-2</v>
      </c>
      <c r="AS21" s="690">
        <f t="shared" si="22"/>
        <v>2.9074263439553383E-2</v>
      </c>
      <c r="AU21" s="723">
        <f t="shared" ref="AU21:BD21" si="23">AU18/AU$5</f>
        <v>0.26813937259957271</v>
      </c>
      <c r="AV21" s="723">
        <f t="shared" si="23"/>
        <v>0.20430131657690004</v>
      </c>
      <c r="AW21" s="723">
        <f t="shared" si="23"/>
        <v>0.15277816947087589</v>
      </c>
      <c r="AX21" s="723">
        <f t="shared" si="23"/>
        <v>0.11492863811585545</v>
      </c>
      <c r="AY21" s="724">
        <f t="shared" si="23"/>
        <v>9.3014617559551316E-2</v>
      </c>
      <c r="AZ21" s="709">
        <f t="shared" si="23"/>
        <v>7.4209115752403049E-2</v>
      </c>
      <c r="BA21" s="676">
        <f t="shared" si="23"/>
        <v>6.1009628025190617E-2</v>
      </c>
      <c r="BB21" s="675">
        <f t="shared" si="23"/>
        <v>5.3080983665936686E-2</v>
      </c>
      <c r="BC21" s="675">
        <f t="shared" si="23"/>
        <v>4.4687589115523736E-2</v>
      </c>
      <c r="BD21" s="675">
        <f t="shared" si="23"/>
        <v>3.7556940146669764E-2</v>
      </c>
      <c r="BE21" s="675">
        <f>BE18/BE$5</f>
        <v>3.1715831551263993E-2</v>
      </c>
    </row>
    <row r="22" spans="1:57" s="674" customFormat="1" ht="12" customHeight="1">
      <c r="A22" s="702"/>
      <c r="B22" s="703"/>
      <c r="C22" s="685"/>
      <c r="D22" s="685"/>
      <c r="E22" s="690"/>
      <c r="F22" s="685"/>
      <c r="G22" s="685"/>
      <c r="H22" s="685"/>
      <c r="I22" s="685"/>
      <c r="J22" s="703"/>
      <c r="K22" s="685"/>
      <c r="L22" s="685"/>
      <c r="M22" s="690"/>
      <c r="N22" s="703"/>
      <c r="O22" s="685"/>
      <c r="P22" s="685"/>
      <c r="Q22" s="690"/>
      <c r="R22" s="685"/>
      <c r="S22" s="672"/>
      <c r="T22" s="685"/>
      <c r="U22" s="690"/>
      <c r="V22" s="685"/>
      <c r="W22" s="685"/>
      <c r="X22" s="685"/>
      <c r="Y22" s="690"/>
      <c r="Z22" s="703"/>
      <c r="AA22" s="685"/>
      <c r="AB22" s="685"/>
      <c r="AC22" s="690"/>
      <c r="AD22" s="703"/>
      <c r="AE22" s="685"/>
      <c r="AF22" s="672"/>
      <c r="AG22" s="672"/>
      <c r="AH22" s="704"/>
      <c r="AI22" s="685"/>
      <c r="AJ22" s="672"/>
      <c r="AK22" s="672"/>
      <c r="AL22" s="703"/>
      <c r="AM22" s="685"/>
      <c r="AN22" s="685"/>
      <c r="AO22" s="690"/>
      <c r="AP22" s="703"/>
      <c r="AQ22" s="685"/>
      <c r="AR22" s="685"/>
      <c r="AS22" s="690"/>
      <c r="AU22" s="675"/>
      <c r="AV22" s="675"/>
      <c r="AW22" s="675"/>
      <c r="AX22" s="675"/>
      <c r="AY22" s="676"/>
      <c r="AZ22" s="709"/>
      <c r="BA22" s="676"/>
      <c r="BB22" s="675"/>
      <c r="BC22" s="675"/>
      <c r="BD22" s="675"/>
      <c r="BE22" s="675"/>
    </row>
    <row r="23" spans="1:57" s="674" customFormat="1" ht="12" customHeight="1">
      <c r="A23" s="727" t="s">
        <v>182</v>
      </c>
      <c r="B23" s="693">
        <v>0.79</v>
      </c>
      <c r="C23" s="657">
        <f>4.517-B23-D23-E23</f>
        <v>1.0220000000000005</v>
      </c>
      <c r="D23" s="657">
        <v>1.1910000000000001</v>
      </c>
      <c r="E23" s="694">
        <v>1.514</v>
      </c>
      <c r="F23" s="657">
        <v>1.298</v>
      </c>
      <c r="G23" s="657">
        <v>1.4550000000000001</v>
      </c>
      <c r="H23" s="657">
        <v>2.0649999999999999</v>
      </c>
      <c r="I23" s="657">
        <v>2.093</v>
      </c>
      <c r="J23" s="693">
        <v>2.0369999999999999</v>
      </c>
      <c r="K23" s="657">
        <v>2.4609999999999999</v>
      </c>
      <c r="L23" s="657">
        <v>2.552</v>
      </c>
      <c r="M23" s="694">
        <v>2.8140000000000001</v>
      </c>
      <c r="N23" s="693">
        <v>2.839</v>
      </c>
      <c r="O23" s="657">
        <v>3.02</v>
      </c>
      <c r="P23" s="657">
        <v>3.0419999999999998</v>
      </c>
      <c r="Q23" s="694">
        <v>3.3719999999999999</v>
      </c>
      <c r="R23" s="657">
        <v>3.3820000000000001</v>
      </c>
      <c r="S23" s="657">
        <v>3.5249999999999999</v>
      </c>
      <c r="T23" s="714">
        <v>3.7589999999999999</v>
      </c>
      <c r="U23" s="715">
        <v>4.1079999999999997</v>
      </c>
      <c r="V23" s="714">
        <v>3.8079999999999998</v>
      </c>
      <c r="W23" s="714">
        <v>4.8520000000000003</v>
      </c>
      <c r="X23" s="714">
        <v>5.4290000000000003</v>
      </c>
      <c r="Y23" s="715">
        <v>5.8929999999999998</v>
      </c>
      <c r="Z23" s="716">
        <v>5.56</v>
      </c>
      <c r="AA23" s="714">
        <v>6.1150000000000002</v>
      </c>
      <c r="AB23" s="714">
        <v>6.0609999999999999</v>
      </c>
      <c r="AC23" s="715">
        <v>7.2320000000000002</v>
      </c>
      <c r="AD23" s="716">
        <v>6.17</v>
      </c>
      <c r="AE23" s="657">
        <v>6.6870000000000003</v>
      </c>
      <c r="AF23" s="657">
        <v>6.7649999999999997</v>
      </c>
      <c r="AG23" s="657">
        <v>7.9660000000000002</v>
      </c>
      <c r="AH23" s="693">
        <v>7.1420000000000003</v>
      </c>
      <c r="AI23" s="714">
        <v>7.8529999999999998</v>
      </c>
      <c r="AJ23" s="657">
        <v>9.141</v>
      </c>
      <c r="AK23" s="657">
        <v>11.035</v>
      </c>
      <c r="AL23" s="716">
        <f t="shared" ref="AL23:AS23" si="24">AH23*(1+AL25)</f>
        <v>6.7849000000000004</v>
      </c>
      <c r="AM23" s="714">
        <f t="shared" si="24"/>
        <v>7.8529999999999998</v>
      </c>
      <c r="AN23" s="714">
        <f t="shared" si="24"/>
        <v>9.141</v>
      </c>
      <c r="AO23" s="715">
        <f t="shared" si="24"/>
        <v>11.035</v>
      </c>
      <c r="AP23" s="716">
        <f t="shared" si="24"/>
        <v>6.7849000000000004</v>
      </c>
      <c r="AQ23" s="714">
        <f t="shared" si="24"/>
        <v>7.8529999999999998</v>
      </c>
      <c r="AR23" s="714">
        <f t="shared" si="24"/>
        <v>9.141</v>
      </c>
      <c r="AS23" s="715">
        <f t="shared" si="24"/>
        <v>11.035</v>
      </c>
      <c r="AU23" s="728">
        <f>SUM(B23:E23)</f>
        <v>4.5170000000000003</v>
      </c>
      <c r="AV23" s="728">
        <f>SUM(F23:I23)</f>
        <v>6.9109999999999996</v>
      </c>
      <c r="AW23" s="728">
        <f>SUM(J23:M23)</f>
        <v>9.863999999999999</v>
      </c>
      <c r="AX23" s="728">
        <f>SUM(N23:Q23)</f>
        <v>12.273</v>
      </c>
      <c r="AY23" s="660">
        <f>SUM(R23:U23)</f>
        <v>14.774000000000001</v>
      </c>
      <c r="AZ23" s="729">
        <f>SUM(V23:Y23)</f>
        <v>19.981999999999999</v>
      </c>
      <c r="BA23" s="660">
        <f t="shared" ref="BA23" si="25">SUM(Z23:AC23)</f>
        <v>24.968</v>
      </c>
      <c r="BB23" s="728">
        <f>SUM(AD23:AG23)</f>
        <v>27.588000000000001</v>
      </c>
      <c r="BC23" s="728">
        <f>SUM(AH23:AK23)</f>
        <v>35.171000000000006</v>
      </c>
      <c r="BD23" s="728">
        <f>SUM(AL23:AO23)</f>
        <v>34.813900000000004</v>
      </c>
      <c r="BE23" s="728">
        <f>SUM(AP23:AS23)</f>
        <v>34.813900000000004</v>
      </c>
    </row>
    <row r="24" spans="1:57" s="674" customFormat="1" ht="12" hidden="1" customHeight="1" outlineLevel="1">
      <c r="A24" s="730" t="s">
        <v>183</v>
      </c>
      <c r="B24" s="731" t="str">
        <f>'[2]VA Consensus'!C20</f>
        <v>-</v>
      </c>
      <c r="C24" s="732" t="str">
        <f>'[2]VA Consensus'!D20</f>
        <v>-</v>
      </c>
      <c r="D24" s="732" t="str">
        <f>'[2]VA Consensus'!E20</f>
        <v>-</v>
      </c>
      <c r="E24" s="733" t="str">
        <f>'[2]VA Consensus'!F20</f>
        <v>-</v>
      </c>
      <c r="F24" s="145" t="str">
        <f>'[2]VA Consensus'!G20</f>
        <v>-</v>
      </c>
      <c r="G24" s="145" t="str">
        <f>'[2]VA Consensus'!H20</f>
        <v>-</v>
      </c>
      <c r="H24" s="145">
        <f>'[2]VA Consensus'!I20</f>
        <v>1.56062574172643</v>
      </c>
      <c r="I24" s="145">
        <f>'[2]VA Consensus'!J20</f>
        <v>1.835715379351615</v>
      </c>
      <c r="J24" s="700">
        <f>'[2]VA Consensus'!K20</f>
        <v>1.6705744278424399</v>
      </c>
      <c r="K24" s="145">
        <f>'[2]VA Consensus'!L20</f>
        <v>1.9139257090748349</v>
      </c>
      <c r="L24" s="145">
        <f>'[2]VA Consensus'!M20</f>
        <v>2.5290096710024099</v>
      </c>
      <c r="M24" s="145">
        <f>'[2]VA Consensus'!N20</f>
        <v>2.5710088967687486</v>
      </c>
      <c r="N24" s="700">
        <f>'[2]VA Consensus'!O20</f>
        <v>2.2722134731348413</v>
      </c>
      <c r="O24" s="145">
        <f>'[2]VA Consensus'!P20</f>
        <v>2.0613271354729883</v>
      </c>
      <c r="P24" s="145">
        <f>'[2]VA Consensus'!Q20</f>
        <v>2.8750761128524487</v>
      </c>
      <c r="Q24" s="145">
        <f>'[2]VA Consensus'!R20</f>
        <v>3.0586011763973913</v>
      </c>
      <c r="R24" s="700">
        <f>'[2]VA Consensus'!S20</f>
        <v>3.1921076542241358</v>
      </c>
      <c r="S24" s="145">
        <f>'[2]VA Consensus'!T20</f>
        <v>3.1234865970918948</v>
      </c>
      <c r="T24" s="83">
        <f>'[2]VA Consensus'!U20</f>
        <v>3.4191085896856923</v>
      </c>
      <c r="U24" s="665">
        <f>'[2]VA Consensus'!V20</f>
        <v>3.7612170958615314</v>
      </c>
      <c r="V24" s="83">
        <f>'[2]VA Consensus'!W20</f>
        <v>4.0243178697031974</v>
      </c>
      <c r="W24" s="83">
        <f>'[2]VA Consensus'!X20</f>
        <v>4.0353885048378979</v>
      </c>
      <c r="X24" s="83">
        <f>'[2]VA Consensus'!Y20</f>
        <v>4.5330115033624248</v>
      </c>
      <c r="Y24" s="665">
        <f>'[2]VA Consensus'!Z20</f>
        <v>5.2304977984700374</v>
      </c>
      <c r="Z24" s="83">
        <f>'[2]VA Consensus'!AA20</f>
        <v>5.0628032696819849</v>
      </c>
      <c r="AA24" s="83">
        <f>'[2]VA Consensus'!AB20</f>
        <v>5.0758003876982363</v>
      </c>
      <c r="AB24" s="83">
        <f>'[2]VA Consensus'!AC20</f>
        <v>5.6481673853043581</v>
      </c>
      <c r="AC24" s="665">
        <f>'[2]VA Consensus'!AD20</f>
        <v>6.3139785006902045</v>
      </c>
      <c r="AD24" s="83">
        <f>'[2]VA Consensus'!AE20</f>
        <v>6.4508797929551376</v>
      </c>
      <c r="AE24" s="83">
        <f>'[2]VA Consensus'!AF20</f>
        <v>6.3365248060637729</v>
      </c>
      <c r="AF24" s="83">
        <f>'[2]VA Consensus'!AG20</f>
        <v>6.6124952147399716</v>
      </c>
      <c r="AG24" s="145">
        <f>'[2]VA Consensus'!AH20</f>
        <v>6.988013083457024</v>
      </c>
      <c r="AH24" s="700">
        <f>'[2]VA Consensus'!AI20</f>
        <v>6.3595898188021218</v>
      </c>
      <c r="AI24" s="83">
        <f>'[2]VA Consensus'!AJ20</f>
        <v>7.1475247563984965</v>
      </c>
      <c r="AJ24" s="83">
        <f>'[2]VA Consensus'!AK20</f>
        <v>7.2771503201960845</v>
      </c>
      <c r="AK24" s="145">
        <f>'[2]VA Consensus'!AL20</f>
        <v>8.3138396056422952</v>
      </c>
      <c r="AL24" s="83">
        <f>'[2]VA Consensus'!AM20</f>
        <v>8.1345196887196689</v>
      </c>
      <c r="AM24" s="83">
        <f>'[2]VA Consensus'!AN20</f>
        <v>8.4167375528837827</v>
      </c>
      <c r="AN24" s="83">
        <f>'[2]VA Consensus'!AO20</f>
        <v>9.2733111636242942</v>
      </c>
      <c r="AO24" s="665">
        <f>'[2]VA Consensus'!AP20</f>
        <v>10.682862343506592</v>
      </c>
      <c r="AP24" s="83">
        <f>'[2]VA Consensus'!AQ20</f>
        <v>8.5005949165444648</v>
      </c>
      <c r="AQ24" s="83">
        <f>'[2]VA Consensus'!AR20</f>
        <v>8.7871551115639708</v>
      </c>
      <c r="AR24" s="83">
        <f>'[2]VA Consensus'!AS20</f>
        <v>9.6857890054056934</v>
      </c>
      <c r="AS24" s="665">
        <f>'[2]VA Consensus'!AT20</f>
        <v>11.236805548148237</v>
      </c>
      <c r="AU24" s="734" t="str">
        <f>'[2]VA Consensus'!AV20</f>
        <v>-</v>
      </c>
      <c r="AV24" s="734">
        <f>'[2]VA Consensus'!AW20</f>
        <v>6.6590402040178152</v>
      </c>
      <c r="AW24" s="734">
        <f>'[2]VA Consensus'!AX20</f>
        <v>9.4087585396258948</v>
      </c>
      <c r="AX24" s="734">
        <f>'[2]VA Consensus'!AY20</f>
        <v>11.959601176397401</v>
      </c>
      <c r="AY24" s="735">
        <f>'[2]VA Consensus'!AZ20</f>
        <v>14.426970751876922</v>
      </c>
      <c r="AZ24" s="666">
        <f>'[2]VA Consensus'!BA20</f>
        <v>19.264647578317039</v>
      </c>
      <c r="BA24" s="735">
        <f>'[2]VA Consensus'!BB20</f>
        <v>24.049978500690209</v>
      </c>
      <c r="BB24" s="735">
        <f>'[2]VA Consensus'!BC20</f>
        <v>26.584014173745107</v>
      </c>
      <c r="BC24" s="735">
        <f>'[2]VA Consensus'!BD20</f>
        <v>32.510343919524985</v>
      </c>
      <c r="BD24" s="735">
        <f>'[2]VA Consensus'!BE20</f>
        <v>36.507430748734343</v>
      </c>
      <c r="BE24" s="735">
        <f>'[2]VA Consensus'!BF20</f>
        <v>38.210344581662362</v>
      </c>
    </row>
    <row r="25" spans="1:57" s="674" customFormat="1" ht="12" customHeight="1" collapsed="1">
      <c r="A25" s="736" t="s">
        <v>117</v>
      </c>
      <c r="B25" s="689"/>
      <c r="C25" s="685"/>
      <c r="D25" s="685"/>
      <c r="E25" s="690"/>
      <c r="F25" s="685">
        <f t="shared" ref="F25:AK25" si="26">F23/B23-1</f>
        <v>0.64303797468354418</v>
      </c>
      <c r="G25" s="685">
        <f t="shared" si="26"/>
        <v>0.42367906066536154</v>
      </c>
      <c r="H25" s="685">
        <f t="shared" si="26"/>
        <v>0.73383711167086463</v>
      </c>
      <c r="I25" s="685">
        <f t="shared" si="26"/>
        <v>0.38243064729194187</v>
      </c>
      <c r="J25" s="689">
        <f t="shared" si="26"/>
        <v>0.56933744221879801</v>
      </c>
      <c r="K25" s="685">
        <f t="shared" si="26"/>
        <v>0.69140893470790354</v>
      </c>
      <c r="L25" s="685">
        <f t="shared" si="26"/>
        <v>0.23583535108958853</v>
      </c>
      <c r="M25" s="690">
        <f t="shared" si="26"/>
        <v>0.34448160535117056</v>
      </c>
      <c r="N25" s="689">
        <f t="shared" si="26"/>
        <v>0.39371624938635241</v>
      </c>
      <c r="O25" s="685">
        <f t="shared" si="26"/>
        <v>0.22714343762698097</v>
      </c>
      <c r="P25" s="685">
        <f t="shared" si="26"/>
        <v>0.19200626959247646</v>
      </c>
      <c r="Q25" s="690">
        <f t="shared" si="26"/>
        <v>0.19829424307036247</v>
      </c>
      <c r="R25" s="685">
        <f t="shared" si="26"/>
        <v>0.19126452976400143</v>
      </c>
      <c r="S25" s="672">
        <f t="shared" si="26"/>
        <v>0.16721854304635753</v>
      </c>
      <c r="T25" s="672">
        <f t="shared" si="26"/>
        <v>0.23570019723865876</v>
      </c>
      <c r="U25" s="690">
        <f t="shared" si="26"/>
        <v>0.21826809015421111</v>
      </c>
      <c r="V25" s="685">
        <f t="shared" si="26"/>
        <v>0.12596096984033101</v>
      </c>
      <c r="W25" s="685">
        <f t="shared" si="26"/>
        <v>0.37645390070922002</v>
      </c>
      <c r="X25" s="685">
        <f t="shared" si="26"/>
        <v>0.44426709231178507</v>
      </c>
      <c r="Y25" s="690">
        <f t="shared" si="26"/>
        <v>0.43451801363193776</v>
      </c>
      <c r="Z25" s="685">
        <f t="shared" si="26"/>
        <v>0.4600840336134453</v>
      </c>
      <c r="AA25" s="685">
        <f t="shared" si="26"/>
        <v>0.26030502885408069</v>
      </c>
      <c r="AB25" s="685">
        <f t="shared" si="26"/>
        <v>0.11641186222140343</v>
      </c>
      <c r="AC25" s="690">
        <f t="shared" si="26"/>
        <v>0.22721873409129478</v>
      </c>
      <c r="AD25" s="685">
        <f t="shared" si="26"/>
        <v>0.10971223021582732</v>
      </c>
      <c r="AE25" s="685">
        <f t="shared" si="26"/>
        <v>9.3540474243663185E-2</v>
      </c>
      <c r="AF25" s="685">
        <f t="shared" si="26"/>
        <v>0.11615245009074404</v>
      </c>
      <c r="AG25" s="685">
        <f t="shared" si="26"/>
        <v>0.10149336283185839</v>
      </c>
      <c r="AH25" s="689">
        <f t="shared" si="26"/>
        <v>0.15753646677471633</v>
      </c>
      <c r="AI25" s="685">
        <f t="shared" si="26"/>
        <v>0.17436817705996699</v>
      </c>
      <c r="AJ25" s="685">
        <f t="shared" si="26"/>
        <v>0.35121951219512204</v>
      </c>
      <c r="AK25" s="685">
        <f t="shared" si="26"/>
        <v>0.38526236505146882</v>
      </c>
      <c r="AL25" s="721">
        <v>-0.05</v>
      </c>
      <c r="AM25" s="706">
        <v>0</v>
      </c>
      <c r="AN25" s="706">
        <v>0</v>
      </c>
      <c r="AO25" s="707">
        <v>0</v>
      </c>
      <c r="AP25" s="721">
        <v>0</v>
      </c>
      <c r="AQ25" s="706">
        <v>0</v>
      </c>
      <c r="AR25" s="706">
        <v>0</v>
      </c>
      <c r="AS25" s="707">
        <v>0</v>
      </c>
      <c r="AU25" s="723" t="str">
        <f>IF(ISERROR(AU23/#REF!-1),"NA",AU23/#REF!-1)</f>
        <v>NA</v>
      </c>
      <c r="AV25" s="723">
        <f t="shared" ref="AV25:BE25" si="27">IF(ISERROR(AV23/AU23-1),"NA",AV23/AU23-1)</f>
        <v>0.52999778614124393</v>
      </c>
      <c r="AW25" s="723">
        <f t="shared" si="27"/>
        <v>0.42728982781073643</v>
      </c>
      <c r="AX25" s="723">
        <f t="shared" si="27"/>
        <v>0.2442214111922143</v>
      </c>
      <c r="AY25" s="676">
        <f t="shared" si="27"/>
        <v>0.20378065672614687</v>
      </c>
      <c r="AZ25" s="737">
        <f t="shared" si="27"/>
        <v>0.35251116826857976</v>
      </c>
      <c r="BA25" s="676">
        <f t="shared" si="27"/>
        <v>0.24952457211490353</v>
      </c>
      <c r="BB25" s="723">
        <f t="shared" si="27"/>
        <v>0.10493431592438318</v>
      </c>
      <c r="BC25" s="723">
        <f t="shared" si="27"/>
        <v>0.2748658837175586</v>
      </c>
      <c r="BD25" s="723">
        <f t="shared" si="27"/>
        <v>-1.0153251258138929E-2</v>
      </c>
      <c r="BE25" s="723">
        <f t="shared" si="27"/>
        <v>0</v>
      </c>
    </row>
    <row r="26" spans="1:57" s="674" customFormat="1" ht="12" customHeight="1">
      <c r="A26" s="736" t="s">
        <v>179</v>
      </c>
      <c r="B26" s="689">
        <f t="shared" ref="B26:AS26" si="28">B23/B$5</f>
        <v>1.9515328178651713E-2</v>
      </c>
      <c r="C26" s="685">
        <f t="shared" si="28"/>
        <v>2.31488821943872E-2</v>
      </c>
      <c r="D26" s="685">
        <f t="shared" si="28"/>
        <v>2.4316047366271947E-2</v>
      </c>
      <c r="E26" s="690">
        <f t="shared" si="28"/>
        <v>2.7976421457213074E-2</v>
      </c>
      <c r="F26" s="685">
        <f t="shared" si="28"/>
        <v>2.1960173921870507E-2</v>
      </c>
      <c r="G26" s="685">
        <f t="shared" si="28"/>
        <v>2.2880236507736823E-2</v>
      </c>
      <c r="H26" s="685">
        <f t="shared" si="28"/>
        <v>2.9737903225806453E-2</v>
      </c>
      <c r="I26" s="685">
        <f t="shared" si="28"/>
        <v>2.7824676619561024E-2</v>
      </c>
      <c r="J26" s="738">
        <f t="shared" si="28"/>
        <v>2.5367056450106472E-2</v>
      </c>
      <c r="K26" s="739">
        <f t="shared" si="28"/>
        <v>2.8822730253911737E-2</v>
      </c>
      <c r="L26" s="739">
        <f t="shared" si="28"/>
        <v>2.7783826155119103E-2</v>
      </c>
      <c r="M26" s="740">
        <f t="shared" si="28"/>
        <v>2.899566198518275E-2</v>
      </c>
      <c r="N26" s="738">
        <f t="shared" si="28"/>
        <v>2.7657626061881383E-2</v>
      </c>
      <c r="O26" s="685">
        <f t="shared" si="28"/>
        <v>2.8169276833101699E-2</v>
      </c>
      <c r="P26" s="685">
        <f t="shared" si="28"/>
        <v>2.7092499242977498E-2</v>
      </c>
      <c r="Q26" s="690">
        <f t="shared" si="28"/>
        <v>2.8556426889788451E-2</v>
      </c>
      <c r="R26" s="685">
        <f t="shared" si="28"/>
        <v>2.7453749928970931E-2</v>
      </c>
      <c r="S26" s="672">
        <f t="shared" si="28"/>
        <v>2.7061469840855522E-2</v>
      </c>
      <c r="T26" s="672">
        <f t="shared" si="28"/>
        <v>2.7108694397969195E-2</v>
      </c>
      <c r="U26" s="685">
        <f t="shared" si="28"/>
        <v>2.7567139540189772E-2</v>
      </c>
      <c r="V26" s="689">
        <f t="shared" si="28"/>
        <v>2.3894382812107824E-2</v>
      </c>
      <c r="W26" s="685">
        <f t="shared" si="28"/>
        <v>2.9523977583195915E-2</v>
      </c>
      <c r="X26" s="685">
        <f t="shared" si="28"/>
        <v>3.1049293398379193E-2</v>
      </c>
      <c r="Y26" s="685">
        <f t="shared" si="28"/>
        <v>3.1917716959773815E-2</v>
      </c>
      <c r="Z26" s="689">
        <f t="shared" si="28"/>
        <v>2.9443070552163476E-2</v>
      </c>
      <c r="AA26" s="685">
        <f t="shared" si="28"/>
        <v>3.1353186078467564E-2</v>
      </c>
      <c r="AB26" s="685">
        <f t="shared" si="28"/>
        <v>3.0075076043646325E-2</v>
      </c>
      <c r="AC26" s="690">
        <f t="shared" si="28"/>
        <v>3.3904343994074243E-2</v>
      </c>
      <c r="AD26" s="689">
        <f t="shared" si="28"/>
        <v>2.8569973282212995E-2</v>
      </c>
      <c r="AE26" s="685">
        <f t="shared" si="28"/>
        <v>3.0224958303388613E-2</v>
      </c>
      <c r="AF26" s="685">
        <f t="shared" si="28"/>
        <v>2.9790213485521033E-2</v>
      </c>
      <c r="AG26" s="690">
        <f t="shared" si="28"/>
        <v>3.3792755301593765E-2</v>
      </c>
      <c r="AH26" s="689">
        <f t="shared" si="28"/>
        <v>2.9865725504627055E-2</v>
      </c>
      <c r="AI26" s="685">
        <f t="shared" si="28"/>
        <v>3.1755595543783738E-2</v>
      </c>
      <c r="AJ26" s="685">
        <f t="shared" si="28"/>
        <v>3.6210584693392486E-2</v>
      </c>
      <c r="AK26" s="690">
        <f t="shared" si="28"/>
        <v>4.2355478960438793E-2</v>
      </c>
      <c r="AL26" s="689">
        <f t="shared" si="28"/>
        <v>2.6240415991559005E-2</v>
      </c>
      <c r="AM26" s="685">
        <f t="shared" si="28"/>
        <v>2.9574084786487098E-2</v>
      </c>
      <c r="AN26" s="685">
        <f t="shared" si="28"/>
        <v>3.4013399776239385E-2</v>
      </c>
      <c r="AO26" s="690">
        <f t="shared" si="28"/>
        <v>3.9781735803129617E-2</v>
      </c>
      <c r="AP26" s="689">
        <f t="shared" si="28"/>
        <v>2.4618038530328928E-2</v>
      </c>
      <c r="AQ26" s="685">
        <f t="shared" si="28"/>
        <v>2.7747539518222963E-2</v>
      </c>
      <c r="AR26" s="685">
        <f t="shared" si="28"/>
        <v>3.1917319712703812E-2</v>
      </c>
      <c r="AS26" s="690">
        <f t="shared" si="28"/>
        <v>3.73319483198324E-2</v>
      </c>
      <c r="AU26" s="741">
        <f t="shared" ref="AU26:BD26" si="29">AU23/AU$5</f>
        <v>2.4061536166880629E-2</v>
      </c>
      <c r="AV26" s="741">
        <f t="shared" si="29"/>
        <v>2.5849042489527227E-2</v>
      </c>
      <c r="AW26" s="741">
        <f t="shared" si="29"/>
        <v>2.7818357182742687E-2</v>
      </c>
      <c r="AX26" s="741">
        <f t="shared" si="29"/>
        <v>2.7879178866978174E-2</v>
      </c>
      <c r="AY26" s="742">
        <f t="shared" si="29"/>
        <v>2.7302127030473272E-2</v>
      </c>
      <c r="AZ26" s="743">
        <f t="shared" si="29"/>
        <v>2.9248043372936704E-2</v>
      </c>
      <c r="BA26" s="742">
        <f t="shared" si="29"/>
        <v>3.1260407406943698E-2</v>
      </c>
      <c r="BB26" s="741">
        <f t="shared" si="29"/>
        <v>3.0652618105577539E-2</v>
      </c>
      <c r="BC26" s="741">
        <f t="shared" si="29"/>
        <v>3.5191939203826281E-2</v>
      </c>
      <c r="BD26" s="741">
        <f t="shared" si="29"/>
        <v>3.2529090968559361E-2</v>
      </c>
      <c r="BE26" s="741">
        <f>BE23/BE$5</f>
        <v>3.0522163758269764E-2</v>
      </c>
    </row>
    <row r="27" spans="1:57" s="288" customFormat="1" ht="12" customHeight="1">
      <c r="A27" s="744"/>
      <c r="B27" s="745"/>
      <c r="C27" s="745"/>
      <c r="D27" s="746"/>
      <c r="E27" s="746"/>
      <c r="F27" s="746"/>
      <c r="G27" s="746"/>
      <c r="H27" s="746"/>
      <c r="I27" s="746"/>
      <c r="J27" s="747"/>
      <c r="K27" s="747"/>
      <c r="L27" s="747"/>
      <c r="M27" s="747"/>
      <c r="N27" s="747"/>
      <c r="O27" s="746"/>
      <c r="P27" s="746"/>
      <c r="Q27" s="746"/>
      <c r="R27" s="746"/>
      <c r="S27" s="746"/>
      <c r="T27" s="746"/>
      <c r="U27" s="746"/>
      <c r="V27" s="746"/>
      <c r="W27" s="746"/>
      <c r="X27" s="746"/>
      <c r="Y27" s="746"/>
      <c r="Z27" s="746"/>
      <c r="AA27" s="746"/>
      <c r="AB27" s="746"/>
      <c r="AC27" s="746"/>
      <c r="AD27" s="746"/>
      <c r="AE27" s="746"/>
      <c r="AF27" s="746"/>
      <c r="AG27" s="746"/>
      <c r="AH27" s="746"/>
      <c r="AI27" s="746"/>
      <c r="AJ27" s="746"/>
      <c r="AK27" s="746"/>
      <c r="AL27" s="746"/>
      <c r="AM27" s="746"/>
      <c r="AN27" s="746"/>
      <c r="AO27" s="746"/>
      <c r="AP27" s="746"/>
      <c r="AQ27" s="746"/>
      <c r="AR27" s="746"/>
      <c r="AS27" s="746"/>
      <c r="AT27" s="748"/>
      <c r="AU27" s="748"/>
      <c r="AV27" s="748"/>
      <c r="AW27" s="748"/>
      <c r="AX27" s="748"/>
      <c r="AY27" s="748"/>
      <c r="AZ27" s="748"/>
      <c r="BA27" s="748"/>
      <c r="BB27" s="748"/>
      <c r="BC27" s="748"/>
      <c r="BD27" s="748"/>
      <c r="BE27" s="748"/>
    </row>
    <row r="28" spans="1:57" s="45" customFormat="1" ht="12" customHeight="1">
      <c r="A28" s="649"/>
      <c r="B28" s="1733">
        <f>'Income Statement'!B$3</f>
        <v>2017</v>
      </c>
      <c r="C28" s="1733"/>
      <c r="D28" s="1733"/>
      <c r="E28" s="1734"/>
      <c r="F28" s="1731">
        <f>'Income Statement'!F$3</f>
        <v>2018</v>
      </c>
      <c r="G28" s="1733"/>
      <c r="H28" s="1733"/>
      <c r="I28" s="1733"/>
      <c r="J28" s="1731">
        <f>'Income Statement'!J$3</f>
        <v>2019</v>
      </c>
      <c r="K28" s="1733"/>
      <c r="L28" s="1733"/>
      <c r="M28" s="1734"/>
      <c r="N28" s="1733">
        <f>'Income Statement'!N$3</f>
        <v>2020</v>
      </c>
      <c r="O28" s="1733"/>
      <c r="P28" s="1733"/>
      <c r="Q28" s="1734"/>
      <c r="R28" s="1731">
        <f>'Income Statement'!R$3</f>
        <v>2021</v>
      </c>
      <c r="S28" s="1733"/>
      <c r="T28" s="1733"/>
      <c r="U28" s="1734"/>
      <c r="V28" s="1733">
        <f>'Income Statement'!V$3</f>
        <v>2022</v>
      </c>
      <c r="W28" s="1733"/>
      <c r="X28" s="1733"/>
      <c r="Y28" s="1733"/>
      <c r="Z28" s="1731">
        <f>'Income Statement'!Z$3</f>
        <v>2023</v>
      </c>
      <c r="AA28" s="1733"/>
      <c r="AB28" s="1733"/>
      <c r="AC28" s="1734"/>
      <c r="AD28" s="1731">
        <f>'Income Statement'!AD$3</f>
        <v>2024</v>
      </c>
      <c r="AE28" s="1733"/>
      <c r="AF28" s="1733"/>
      <c r="AG28" s="1734"/>
      <c r="AH28" s="1731">
        <f>'Income Statement'!AH$3</f>
        <v>2025</v>
      </c>
      <c r="AI28" s="1733"/>
      <c r="AJ28" s="1733"/>
      <c r="AK28" s="1734"/>
      <c r="AL28" s="1731">
        <f>'Income Statement'!AL$3</f>
        <v>2026</v>
      </c>
      <c r="AM28" s="1733"/>
      <c r="AN28" s="1733"/>
      <c r="AO28" s="1734"/>
      <c r="AP28" s="1731">
        <f>'Income Statement'!AP$3</f>
        <v>2027</v>
      </c>
      <c r="AQ28" s="1733"/>
      <c r="AR28" s="1733"/>
      <c r="AS28" s="1734"/>
      <c r="AT28" s="749"/>
      <c r="AU28" s="750"/>
      <c r="AV28" s="750"/>
      <c r="AW28" s="750"/>
      <c r="AX28" s="750"/>
      <c r="AY28" s="750"/>
      <c r="AZ28" s="750"/>
      <c r="BA28" s="652"/>
      <c r="BB28" s="750"/>
      <c r="BC28" s="750"/>
      <c r="BD28" s="653"/>
      <c r="BE28" s="653"/>
    </row>
    <row r="29" spans="1:57" s="62" customFormat="1" ht="12" customHeight="1">
      <c r="A29" s="751" t="s">
        <v>184</v>
      </c>
      <c r="B29" s="65">
        <f>'Income Statement'!B$4</f>
        <v>42825</v>
      </c>
      <c r="C29" s="65">
        <f>'Income Statement'!C$4</f>
        <v>42916</v>
      </c>
      <c r="D29" s="65">
        <f>'Income Statement'!D$4</f>
        <v>43008</v>
      </c>
      <c r="E29" s="752">
        <f>'Income Statement'!E$4</f>
        <v>43100</v>
      </c>
      <c r="F29" s="753">
        <f>'Income Statement'!F$4</f>
        <v>43190</v>
      </c>
      <c r="G29" s="65">
        <f>'Income Statement'!G$4</f>
        <v>43281</v>
      </c>
      <c r="H29" s="65">
        <f>'Income Statement'!H$4</f>
        <v>43373</v>
      </c>
      <c r="I29" s="65">
        <f>'Income Statement'!I$4</f>
        <v>43465</v>
      </c>
      <c r="J29" s="753">
        <f>'Income Statement'!J$4</f>
        <v>43555</v>
      </c>
      <c r="K29" s="65">
        <f>'Income Statement'!K$4</f>
        <v>43646</v>
      </c>
      <c r="L29" s="65">
        <f>'Income Statement'!L$4</f>
        <v>43738</v>
      </c>
      <c r="M29" s="752">
        <f>'Income Statement'!M$4</f>
        <v>43830</v>
      </c>
      <c r="N29" s="65">
        <f>'Income Statement'!N$4</f>
        <v>43921</v>
      </c>
      <c r="O29" s="65">
        <f>'Income Statement'!O$4</f>
        <v>44012</v>
      </c>
      <c r="P29" s="65">
        <f>'Income Statement'!P$4</f>
        <v>44104</v>
      </c>
      <c r="Q29" s="752">
        <f>'Income Statement'!Q$4</f>
        <v>44196</v>
      </c>
      <c r="R29" s="754">
        <f>'Income Statement'!R$4</f>
        <v>44286</v>
      </c>
      <c r="S29" s="65">
        <f>'Income Statement'!S$4</f>
        <v>44377</v>
      </c>
      <c r="T29" s="48">
        <f>'Income Statement'!T$4</f>
        <v>44469</v>
      </c>
      <c r="U29" s="320">
        <f>'Income Statement'!U$4</f>
        <v>44561</v>
      </c>
      <c r="V29" s="48">
        <f>'Income Statement'!V$4</f>
        <v>44651</v>
      </c>
      <c r="W29" s="48">
        <f>'Income Statement'!W$4</f>
        <v>44742</v>
      </c>
      <c r="X29" s="48">
        <f>'Income Statement'!X$4</f>
        <v>44834</v>
      </c>
      <c r="Y29" s="48">
        <f>'Income Statement'!Y$4</f>
        <v>44926</v>
      </c>
      <c r="Z29" s="754">
        <f>'Income Statement'!Z$4</f>
        <v>45016</v>
      </c>
      <c r="AA29" s="48">
        <f>'Income Statement'!AA$4</f>
        <v>45107</v>
      </c>
      <c r="AB29" s="48">
        <f>'Income Statement'!AB$4</f>
        <v>45199</v>
      </c>
      <c r="AC29" s="320">
        <f>'Income Statement'!AC$4</f>
        <v>45291</v>
      </c>
      <c r="AD29" s="754">
        <f>'Income Statement'!AD$4</f>
        <v>45382</v>
      </c>
      <c r="AE29" s="48">
        <f>'Income Statement'!AE$4</f>
        <v>45473</v>
      </c>
      <c r="AF29" s="48" t="str">
        <f>'Income Statement'!AF$4</f>
        <v>Sep-24</v>
      </c>
      <c r="AG29" s="320" t="str">
        <f>'Income Statement'!AG$4</f>
        <v>Dec-24</v>
      </c>
      <c r="AH29" s="754" t="str">
        <f>'Income Statement'!AH$4</f>
        <v>Mar-25</v>
      </c>
      <c r="AI29" s="48" t="str">
        <f>'Income Statement'!AI$4</f>
        <v>Jun-25</v>
      </c>
      <c r="AJ29" s="48" t="str">
        <f>'Income Statement'!AJ$4</f>
        <v>Sep-25</v>
      </c>
      <c r="AK29" s="320" t="str">
        <f>'Income Statement'!AK$4</f>
        <v>Dec-25</v>
      </c>
      <c r="AL29" s="754" t="str">
        <f>'Income Statement'!AL$4</f>
        <v>Mar-26E</v>
      </c>
      <c r="AM29" s="48" t="str">
        <f>'Income Statement'!AM$4</f>
        <v>Jun-26E</v>
      </c>
      <c r="AN29" s="48" t="str">
        <f>'Income Statement'!AN$4</f>
        <v>Sep-26E</v>
      </c>
      <c r="AO29" s="320" t="str">
        <f>'Income Statement'!AO$4</f>
        <v>Dec-26E</v>
      </c>
      <c r="AP29" s="754" t="str">
        <f>'Income Statement'!AP$4</f>
        <v>Mar-27E</v>
      </c>
      <c r="AQ29" s="48" t="str">
        <f>'Income Statement'!AQ$4</f>
        <v>Jun-27E</v>
      </c>
      <c r="AR29" s="48" t="str">
        <f>'Income Statement'!AR$4</f>
        <v>Sep-27E</v>
      </c>
      <c r="AS29" s="320" t="str">
        <f>'Income Statement'!AS$4</f>
        <v>Dec-27E</v>
      </c>
      <c r="AT29" s="48"/>
      <c r="AU29" s="755">
        <f>'Income Statement'!AU$4</f>
        <v>2017</v>
      </c>
      <c r="AV29" s="755">
        <f>'Income Statement'!AV$4</f>
        <v>2018</v>
      </c>
      <c r="AW29" s="755">
        <f>'Income Statement'!AW$4</f>
        <v>2019</v>
      </c>
      <c r="AX29" s="755">
        <f>'Income Statement'!AX$4</f>
        <v>2020</v>
      </c>
      <c r="AY29" s="755" t="str">
        <f>'Income Statement'!AY$4</f>
        <v>CY21</v>
      </c>
      <c r="AZ29" s="756" t="str">
        <f>'Income Statement'!AZ$4</f>
        <v>CY22</v>
      </c>
      <c r="BA29" s="61" t="str">
        <f>'Income Statement'!BA$4</f>
        <v>CY23</v>
      </c>
      <c r="BB29" s="755" t="str">
        <f>'Income Statement'!BB$4</f>
        <v>CY24</v>
      </c>
      <c r="BC29" s="755" t="str">
        <f>'Income Statement'!BC$4</f>
        <v>CY25</v>
      </c>
      <c r="BD29" s="755" t="str">
        <f>'Income Statement'!BD$4</f>
        <v>CY26E</v>
      </c>
      <c r="BE29" s="755" t="str">
        <f>'Income Statement'!BE$4</f>
        <v>CY27E</v>
      </c>
    </row>
    <row r="30" spans="1:57" s="762" customFormat="1" ht="12" customHeight="1">
      <c r="A30" s="757" t="s">
        <v>81</v>
      </c>
      <c r="B30" s="758">
        <f t="shared" ref="B30:AS30" si="30">B5</f>
        <v>40.481000000000002</v>
      </c>
      <c r="C30" s="758">
        <f t="shared" si="30"/>
        <v>44.149000000000001</v>
      </c>
      <c r="D30" s="758">
        <f t="shared" si="30"/>
        <v>48.980000000000004</v>
      </c>
      <c r="E30" s="759">
        <f t="shared" si="30"/>
        <v>54.117000000000004</v>
      </c>
      <c r="F30" s="760">
        <f t="shared" si="30"/>
        <v>59.106999999999999</v>
      </c>
      <c r="G30" s="758">
        <f t="shared" si="30"/>
        <v>63.591999999999999</v>
      </c>
      <c r="H30" s="758">
        <f t="shared" si="30"/>
        <v>69.44</v>
      </c>
      <c r="I30" s="758">
        <f t="shared" si="30"/>
        <v>75.221000000000004</v>
      </c>
      <c r="J30" s="760">
        <f t="shared" si="30"/>
        <v>80.301000000000002</v>
      </c>
      <c r="K30" s="758">
        <f t="shared" si="30"/>
        <v>85.384</v>
      </c>
      <c r="L30" s="758">
        <f t="shared" si="30"/>
        <v>91.852000000000004</v>
      </c>
      <c r="M30" s="759">
        <f t="shared" si="30"/>
        <v>97.048999999999978</v>
      </c>
      <c r="N30" s="758">
        <f t="shared" si="30"/>
        <v>102.648</v>
      </c>
      <c r="O30" s="758">
        <f t="shared" si="30"/>
        <v>107.209</v>
      </c>
      <c r="P30" s="758">
        <f t="shared" si="30"/>
        <v>112.28200000000001</v>
      </c>
      <c r="Q30" s="759">
        <f t="shared" si="30"/>
        <v>118.08200000000001</v>
      </c>
      <c r="R30" s="760">
        <f t="shared" si="30"/>
        <v>123.18900000000001</v>
      </c>
      <c r="S30" s="758">
        <f t="shared" si="30"/>
        <v>130.25900000000001</v>
      </c>
      <c r="T30" s="758">
        <f t="shared" si="30"/>
        <v>138.66399999999999</v>
      </c>
      <c r="U30" s="759">
        <f t="shared" si="30"/>
        <v>149.018</v>
      </c>
      <c r="V30" s="760">
        <f t="shared" si="30"/>
        <v>159.36799999999999</v>
      </c>
      <c r="W30" s="758">
        <f t="shared" si="30"/>
        <v>164.34100000000001</v>
      </c>
      <c r="X30" s="758">
        <f t="shared" si="30"/>
        <v>174.851</v>
      </c>
      <c r="Y30" s="759">
        <f t="shared" si="30"/>
        <v>184.631</v>
      </c>
      <c r="Z30" s="760">
        <f t="shared" si="30"/>
        <v>188.83900000000003</v>
      </c>
      <c r="AA30" s="758">
        <f t="shared" si="30"/>
        <v>195.036</v>
      </c>
      <c r="AB30" s="758">
        <f t="shared" si="30"/>
        <v>201.529</v>
      </c>
      <c r="AC30" s="759">
        <f t="shared" si="30"/>
        <v>213.30599999999998</v>
      </c>
      <c r="AD30" s="760">
        <f t="shared" si="30"/>
        <v>215.96099999999998</v>
      </c>
      <c r="AE30" s="758">
        <f t="shared" si="30"/>
        <v>221.24100000000001</v>
      </c>
      <c r="AF30" s="758">
        <f t="shared" si="30"/>
        <v>227.08799999999999</v>
      </c>
      <c r="AG30" s="758">
        <f t="shared" si="30"/>
        <v>235.73099999999999</v>
      </c>
      <c r="AH30" s="760">
        <f t="shared" si="30"/>
        <v>239.137</v>
      </c>
      <c r="AI30" s="758">
        <f t="shared" si="30"/>
        <v>247.29500000000002</v>
      </c>
      <c r="AJ30" s="758">
        <f t="shared" si="30"/>
        <v>252.44</v>
      </c>
      <c r="AK30" s="758">
        <f t="shared" si="30"/>
        <v>260.53300000000002</v>
      </c>
      <c r="AL30" s="760">
        <f t="shared" si="30"/>
        <v>258.56678500000004</v>
      </c>
      <c r="AM30" s="758">
        <f t="shared" si="30"/>
        <v>265.53653500000001</v>
      </c>
      <c r="AN30" s="758">
        <f t="shared" si="30"/>
        <v>268.74702500000001</v>
      </c>
      <c r="AO30" s="759">
        <f t="shared" si="30"/>
        <v>277.3886</v>
      </c>
      <c r="AP30" s="760">
        <f t="shared" si="30"/>
        <v>275.6068478665</v>
      </c>
      <c r="AQ30" s="758">
        <f t="shared" si="30"/>
        <v>283.01608489799997</v>
      </c>
      <c r="AR30" s="758">
        <f t="shared" si="30"/>
        <v>286.39622882750007</v>
      </c>
      <c r="AS30" s="759">
        <f t="shared" si="30"/>
        <v>295.59132316000006</v>
      </c>
      <c r="AT30" s="761"/>
      <c r="AU30" s="728">
        <f>SUM(B30:E30)</f>
        <v>187.72700000000003</v>
      </c>
      <c r="AV30" s="728">
        <f>SUM(F30:I30)</f>
        <v>267.36</v>
      </c>
      <c r="AW30" s="728">
        <f>SUM(J30:M30)</f>
        <v>354.58600000000001</v>
      </c>
      <c r="AX30" s="728">
        <f>SUM(N30:Q30)</f>
        <v>440.221</v>
      </c>
      <c r="AY30" s="728">
        <f>SUM(R30:U30)</f>
        <v>541.13</v>
      </c>
      <c r="AZ30" s="729">
        <f>SUM(V30:Y30)</f>
        <v>683.19100000000003</v>
      </c>
      <c r="BA30" s="660">
        <f t="shared" ref="BA30:BA34" si="31">SUM(Z30:AC30)</f>
        <v>798.71</v>
      </c>
      <c r="BB30" s="728">
        <f t="shared" ref="BB30:BB34" si="32">SUM(AD30:AG30)</f>
        <v>900.02099999999996</v>
      </c>
      <c r="BC30" s="728">
        <f t="shared" ref="BC30:BC34" si="33">SUM(AH30:AK30)</f>
        <v>999.40500000000009</v>
      </c>
      <c r="BD30" s="728">
        <f t="shared" ref="BD30:BD34" si="34">SUM(AL30:AO30)</f>
        <v>1070.2389450000001</v>
      </c>
      <c r="BE30" s="728">
        <f>SUM(AP30:AS30)</f>
        <v>1140.610484752</v>
      </c>
    </row>
    <row r="31" spans="1:57" s="771" customFormat="1" ht="12" customHeight="1">
      <c r="A31" s="128" t="s">
        <v>185</v>
      </c>
      <c r="B31" s="763"/>
      <c r="C31" s="764"/>
      <c r="D31" s="764"/>
      <c r="E31" s="765">
        <v>107.447</v>
      </c>
      <c r="F31" s="766">
        <f t="shared" ref="F31:AS31" si="35">E32</f>
        <v>225.81799999999998</v>
      </c>
      <c r="G31" s="764">
        <f t="shared" si="35"/>
        <v>230.61399999999998</v>
      </c>
      <c r="H31" s="764">
        <f t="shared" si="35"/>
        <v>247.137</v>
      </c>
      <c r="I31" s="764">
        <f t="shared" si="35"/>
        <v>265.69799999999998</v>
      </c>
      <c r="J31" s="766">
        <f t="shared" si="35"/>
        <v>289.90300000000002</v>
      </c>
      <c r="K31" s="764">
        <f t="shared" si="35"/>
        <v>291.90500000000003</v>
      </c>
      <c r="L31" s="764">
        <f t="shared" si="35"/>
        <v>307.33299999999997</v>
      </c>
      <c r="M31" s="765">
        <f t="shared" si="35"/>
        <v>329.375</v>
      </c>
      <c r="N31" s="764">
        <f t="shared" si="35"/>
        <v>363.12700000000001</v>
      </c>
      <c r="O31" s="764">
        <f t="shared" si="35"/>
        <v>358.09100000000001</v>
      </c>
      <c r="P31" s="764">
        <f t="shared" si="35"/>
        <v>365.30899999999997</v>
      </c>
      <c r="Q31" s="765">
        <f t="shared" si="35"/>
        <v>390.202</v>
      </c>
      <c r="R31" s="766">
        <f t="shared" si="35"/>
        <v>434.51</v>
      </c>
      <c r="S31" s="764">
        <f t="shared" si="35"/>
        <v>428.86199999999997</v>
      </c>
      <c r="T31" s="764">
        <f t="shared" si="35"/>
        <v>444.87400000000002</v>
      </c>
      <c r="U31" s="765">
        <f t="shared" si="35"/>
        <v>476.95699999999999</v>
      </c>
      <c r="V31" s="766">
        <f t="shared" si="35"/>
        <v>530.88499999999999</v>
      </c>
      <c r="W31" s="764">
        <f t="shared" si="35"/>
        <v>527.50800000000004</v>
      </c>
      <c r="X31" s="764">
        <f t="shared" si="35"/>
        <v>548.05499999999995</v>
      </c>
      <c r="Y31" s="765">
        <f t="shared" si="35"/>
        <v>593.71199999999999</v>
      </c>
      <c r="Z31" s="766">
        <f t="shared" si="35"/>
        <v>664.60199999999998</v>
      </c>
      <c r="AA31" s="764">
        <f t="shared" si="35"/>
        <v>642.06799999999998</v>
      </c>
      <c r="AB31" s="764">
        <f t="shared" si="35"/>
        <v>650.19399999999996</v>
      </c>
      <c r="AC31" s="765">
        <f t="shared" si="35"/>
        <v>681.45799999999997</v>
      </c>
      <c r="AD31" s="766">
        <f t="shared" si="35"/>
        <v>750.49699999999996</v>
      </c>
      <c r="AE31" s="764">
        <f t="shared" si="35"/>
        <v>722.70800000000008</v>
      </c>
      <c r="AF31" s="764">
        <f t="shared" si="35"/>
        <v>725.798</v>
      </c>
      <c r="AG31" s="764">
        <f t="shared" si="35"/>
        <v>747.452</v>
      </c>
      <c r="AH31" s="766">
        <f t="shared" si="35"/>
        <v>833.1869999999999</v>
      </c>
      <c r="AI31" s="764">
        <f t="shared" si="35"/>
        <v>808.375</v>
      </c>
      <c r="AJ31" s="764">
        <f t="shared" si="35"/>
        <v>797.80899999999997</v>
      </c>
      <c r="AK31" s="764">
        <f t="shared" si="35"/>
        <v>810.50300000000004</v>
      </c>
      <c r="AL31" s="766">
        <f t="shared" si="35"/>
        <v>899.27599999999995</v>
      </c>
      <c r="AM31" s="764">
        <f t="shared" si="35"/>
        <v>872.44803498655585</v>
      </c>
      <c r="AN31" s="764">
        <f t="shared" si="35"/>
        <v>861.10264171612982</v>
      </c>
      <c r="AO31" s="765">
        <f t="shared" si="35"/>
        <v>874.61664399528536</v>
      </c>
      <c r="AP31" s="766">
        <f t="shared" si="35"/>
        <v>969.13295550975749</v>
      </c>
      <c r="AQ31" s="764">
        <f t="shared" si="35"/>
        <v>940.53697450613379</v>
      </c>
      <c r="AR31" s="764">
        <f t="shared" si="35"/>
        <v>928.44474476824075</v>
      </c>
      <c r="AS31" s="765">
        <f t="shared" si="35"/>
        <v>942.84624107919103</v>
      </c>
      <c r="AT31" s="767"/>
      <c r="AU31" s="768">
        <f t="shared" ref="AU31:AU34" si="36">SUM(B31:E31)</f>
        <v>107.447</v>
      </c>
      <c r="AV31" s="768">
        <f t="shared" ref="AV31:AV34" si="37">SUM(F31:I31)</f>
        <v>969.26699999999994</v>
      </c>
      <c r="AW31" s="768">
        <f t="shared" ref="AW31:AW34" si="38">SUM(J31:M31)</f>
        <v>1218.5160000000001</v>
      </c>
      <c r="AX31" s="768">
        <f t="shared" ref="AX31:AX34" si="39">SUM(N31:Q31)</f>
        <v>1476.729</v>
      </c>
      <c r="AY31" s="768">
        <f t="shared" ref="AY31:AY33" si="40">SUM(R31:U31)</f>
        <v>1785.203</v>
      </c>
      <c r="AZ31" s="769">
        <f t="shared" ref="AZ31:AZ34" si="41">SUM(V31:Y31)</f>
        <v>2200.16</v>
      </c>
      <c r="BA31" s="770">
        <f t="shared" si="31"/>
        <v>2638.3220000000001</v>
      </c>
      <c r="BB31" s="768">
        <f t="shared" si="32"/>
        <v>2946.4549999999999</v>
      </c>
      <c r="BC31" s="768">
        <f t="shared" si="33"/>
        <v>3249.8740000000003</v>
      </c>
      <c r="BD31" s="768">
        <f t="shared" si="34"/>
        <v>3507.4433206979711</v>
      </c>
      <c r="BE31" s="768">
        <f>SUM(AP31:AS31)</f>
        <v>3780.960915863323</v>
      </c>
    </row>
    <row r="32" spans="1:57" s="771" customFormat="1" ht="12" customHeight="1">
      <c r="A32" s="128" t="s">
        <v>186</v>
      </c>
      <c r="B32" s="772"/>
      <c r="C32" s="764"/>
      <c r="D32" s="764"/>
      <c r="E32" s="765">
        <f>'Balance Sheet'!E25+'Balance Sheet'!E32</f>
        <v>225.81799999999998</v>
      </c>
      <c r="F32" s="766">
        <f>'Balance Sheet'!F25+'Balance Sheet'!F32</f>
        <v>230.61399999999998</v>
      </c>
      <c r="G32" s="764">
        <f>'Balance Sheet'!G25+'Balance Sheet'!G32</f>
        <v>247.137</v>
      </c>
      <c r="H32" s="764">
        <f>'Balance Sheet'!H25+'Balance Sheet'!H32</f>
        <v>265.69799999999998</v>
      </c>
      <c r="I32" s="773">
        <f>'Balance Sheet'!I25+'Balance Sheet'!I32</f>
        <v>289.90300000000002</v>
      </c>
      <c r="J32" s="766">
        <f>'Balance Sheet'!J25+'Balance Sheet'!J32</f>
        <v>291.90500000000003</v>
      </c>
      <c r="K32" s="764">
        <f>'Balance Sheet'!K25+'Balance Sheet'!K32</f>
        <v>307.33299999999997</v>
      </c>
      <c r="L32" s="764">
        <f>'Balance Sheet'!L25+'Balance Sheet'!L32</f>
        <v>329.375</v>
      </c>
      <c r="M32" s="765">
        <f>'Balance Sheet'!M25+'Balance Sheet'!M32</f>
        <v>363.12700000000001</v>
      </c>
      <c r="N32" s="764">
        <f>'Balance Sheet'!N25+'Balance Sheet'!N32</f>
        <v>358.09100000000001</v>
      </c>
      <c r="O32" s="764">
        <f>'Balance Sheet'!O25+'Balance Sheet'!O32</f>
        <v>365.30899999999997</v>
      </c>
      <c r="P32" s="764">
        <f>'Balance Sheet'!P25+'Balance Sheet'!P32</f>
        <v>390.202</v>
      </c>
      <c r="Q32" s="774">
        <f>'Balance Sheet'!Q25+'Balance Sheet'!Q32</f>
        <v>434.51</v>
      </c>
      <c r="R32" s="766">
        <f>'Balance Sheet'!R25+'Balance Sheet'!R32</f>
        <v>428.86199999999997</v>
      </c>
      <c r="S32" s="764">
        <f>'Balance Sheet'!S25+'Balance Sheet'!S32</f>
        <v>444.87400000000002</v>
      </c>
      <c r="T32" s="764">
        <f>'Balance Sheet'!T25+'Balance Sheet'!T32</f>
        <v>476.95699999999999</v>
      </c>
      <c r="U32" s="765">
        <f>'Balance Sheet'!U25+'Balance Sheet'!U32</f>
        <v>530.88499999999999</v>
      </c>
      <c r="V32" s="766">
        <f>'Balance Sheet'!V25+'Balance Sheet'!V32</f>
        <v>527.50800000000004</v>
      </c>
      <c r="W32" s="764">
        <f>'Balance Sheet'!W25+'Balance Sheet'!W32</f>
        <v>548.05499999999995</v>
      </c>
      <c r="X32" s="764">
        <f>'Balance Sheet'!X25+'Balance Sheet'!X32</f>
        <v>593.71199999999999</v>
      </c>
      <c r="Y32" s="765">
        <f>'Balance Sheet'!Y25+'Balance Sheet'!Y32</f>
        <v>664.60199999999998</v>
      </c>
      <c r="Z32" s="766">
        <f>'Balance Sheet'!Z25+'Balance Sheet'!Z32</f>
        <v>642.06799999999998</v>
      </c>
      <c r="AA32" s="764">
        <f>'Balance Sheet'!AA25+'Balance Sheet'!AA32</f>
        <v>650.19399999999996</v>
      </c>
      <c r="AB32" s="764">
        <f>'Balance Sheet'!AB25+'Balance Sheet'!AB32</f>
        <v>681.45799999999997</v>
      </c>
      <c r="AC32" s="765">
        <f>'Balance Sheet'!AC25+'Balance Sheet'!AC32</f>
        <v>750.49699999999996</v>
      </c>
      <c r="AD32" s="766">
        <f>'Balance Sheet'!AD25+'Balance Sheet'!AD32</f>
        <v>722.70800000000008</v>
      </c>
      <c r="AE32" s="764">
        <f>'Balance Sheet'!AE25+'Balance Sheet'!AE32</f>
        <v>725.798</v>
      </c>
      <c r="AF32" s="764">
        <f>'Balance Sheet'!AF25+'Balance Sheet'!AF32</f>
        <v>747.452</v>
      </c>
      <c r="AG32" s="764">
        <f>'Balance Sheet'!AG25+'Balance Sheet'!AG32</f>
        <v>833.1869999999999</v>
      </c>
      <c r="AH32" s="766">
        <f>'Balance Sheet'!AH25+'Balance Sheet'!AH32</f>
        <v>808.375</v>
      </c>
      <c r="AI32" s="764">
        <f>'Balance Sheet'!AI25+'Balance Sheet'!AI32</f>
        <v>797.80899999999997</v>
      </c>
      <c r="AJ32" s="764">
        <f>'Balance Sheet'!AJ25+'Balance Sheet'!AJ32</f>
        <v>810.50300000000004</v>
      </c>
      <c r="AK32" s="764">
        <f>'Balance Sheet'!AK25+'Balance Sheet'!AK32</f>
        <v>899.27599999999995</v>
      </c>
      <c r="AL32" s="766">
        <f t="shared" ref="AL32:AS32" si="42">AL31+AL33</f>
        <v>872.44803498655585</v>
      </c>
      <c r="AM32" s="764">
        <f t="shared" si="42"/>
        <v>861.10264171612982</v>
      </c>
      <c r="AN32" s="764">
        <f t="shared" si="42"/>
        <v>874.61664399528536</v>
      </c>
      <c r="AO32" s="765">
        <f t="shared" si="42"/>
        <v>969.13295550975749</v>
      </c>
      <c r="AP32" s="766">
        <f t="shared" si="42"/>
        <v>940.53697450613379</v>
      </c>
      <c r="AQ32" s="764">
        <f t="shared" si="42"/>
        <v>928.44474476824075</v>
      </c>
      <c r="AR32" s="764">
        <f t="shared" si="42"/>
        <v>942.84624107919103</v>
      </c>
      <c r="AS32" s="765">
        <f t="shared" si="42"/>
        <v>1043.5648776084699</v>
      </c>
      <c r="AT32" s="767"/>
      <c r="AU32" s="768">
        <f t="shared" si="36"/>
        <v>225.81799999999998</v>
      </c>
      <c r="AV32" s="768">
        <f t="shared" si="37"/>
        <v>1033.3519999999999</v>
      </c>
      <c r="AW32" s="768">
        <f t="shared" si="38"/>
        <v>1291.74</v>
      </c>
      <c r="AX32" s="768">
        <f t="shared" si="39"/>
        <v>1548.1119999999999</v>
      </c>
      <c r="AY32" s="768">
        <f t="shared" si="40"/>
        <v>1881.578</v>
      </c>
      <c r="AZ32" s="769">
        <f t="shared" si="41"/>
        <v>2333.877</v>
      </c>
      <c r="BA32" s="770">
        <f t="shared" si="31"/>
        <v>2724.2169999999996</v>
      </c>
      <c r="BB32" s="768">
        <f t="shared" si="32"/>
        <v>3029.145</v>
      </c>
      <c r="BC32" s="768">
        <f t="shared" si="33"/>
        <v>3315.9629999999997</v>
      </c>
      <c r="BD32" s="768">
        <f t="shared" si="34"/>
        <v>3577.3002762077285</v>
      </c>
      <c r="BE32" s="768">
        <f>SUM(AP32:AS32)</f>
        <v>3855.3928379620356</v>
      </c>
    </row>
    <row r="33" spans="1:59" s="771" customFormat="1" ht="12" customHeight="1">
      <c r="A33" s="128" t="s">
        <v>187</v>
      </c>
      <c r="B33" s="775"/>
      <c r="C33" s="747"/>
      <c r="D33" s="747"/>
      <c r="E33" s="776">
        <f t="shared" ref="E33:AK33" si="43">E32-E31</f>
        <v>118.37099999999998</v>
      </c>
      <c r="F33" s="777">
        <f t="shared" si="43"/>
        <v>4.7959999999999923</v>
      </c>
      <c r="G33" s="778">
        <f t="shared" si="43"/>
        <v>16.523000000000025</v>
      </c>
      <c r="H33" s="778">
        <f t="shared" si="43"/>
        <v>18.560999999999979</v>
      </c>
      <c r="I33" s="778">
        <f t="shared" si="43"/>
        <v>24.205000000000041</v>
      </c>
      <c r="J33" s="777">
        <f t="shared" si="43"/>
        <v>2.0020000000000095</v>
      </c>
      <c r="K33" s="778">
        <f t="shared" si="43"/>
        <v>15.42799999999994</v>
      </c>
      <c r="L33" s="778">
        <f t="shared" si="43"/>
        <v>22.04200000000003</v>
      </c>
      <c r="M33" s="776">
        <f t="shared" si="43"/>
        <v>33.75200000000001</v>
      </c>
      <c r="N33" s="778">
        <f t="shared" si="43"/>
        <v>-5.0360000000000014</v>
      </c>
      <c r="O33" s="778">
        <f t="shared" si="43"/>
        <v>7.2179999999999609</v>
      </c>
      <c r="P33" s="778">
        <f t="shared" si="43"/>
        <v>24.893000000000029</v>
      </c>
      <c r="Q33" s="776">
        <f t="shared" si="43"/>
        <v>44.307999999999993</v>
      </c>
      <c r="R33" s="777">
        <f t="shared" si="43"/>
        <v>-5.6480000000000246</v>
      </c>
      <c r="S33" s="778">
        <f t="shared" si="43"/>
        <v>16.012000000000057</v>
      </c>
      <c r="T33" s="778">
        <f t="shared" si="43"/>
        <v>32.08299999999997</v>
      </c>
      <c r="U33" s="776">
        <f t="shared" si="43"/>
        <v>53.927999999999997</v>
      </c>
      <c r="V33" s="777">
        <f t="shared" si="43"/>
        <v>-3.3769999999999527</v>
      </c>
      <c r="W33" s="778">
        <f t="shared" si="43"/>
        <v>20.546999999999912</v>
      </c>
      <c r="X33" s="778">
        <f t="shared" si="43"/>
        <v>45.657000000000039</v>
      </c>
      <c r="Y33" s="776">
        <f t="shared" si="43"/>
        <v>70.889999999999986</v>
      </c>
      <c r="Z33" s="777">
        <f t="shared" si="43"/>
        <v>-22.533999999999992</v>
      </c>
      <c r="AA33" s="778">
        <f t="shared" si="43"/>
        <v>8.1259999999999764</v>
      </c>
      <c r="AB33" s="778">
        <f t="shared" si="43"/>
        <v>31.26400000000001</v>
      </c>
      <c r="AC33" s="776">
        <f t="shared" si="43"/>
        <v>69.038999999999987</v>
      </c>
      <c r="AD33" s="777">
        <f t="shared" si="43"/>
        <v>-27.788999999999874</v>
      </c>
      <c r="AE33" s="778">
        <f t="shared" si="43"/>
        <v>3.0899999999999181</v>
      </c>
      <c r="AF33" s="778">
        <f t="shared" si="43"/>
        <v>21.653999999999996</v>
      </c>
      <c r="AG33" s="778">
        <f t="shared" si="43"/>
        <v>85.7349999999999</v>
      </c>
      <c r="AH33" s="777">
        <f t="shared" si="43"/>
        <v>-24.811999999999898</v>
      </c>
      <c r="AI33" s="778">
        <f t="shared" si="43"/>
        <v>-10.566000000000031</v>
      </c>
      <c r="AJ33" s="778">
        <f t="shared" si="43"/>
        <v>12.694000000000074</v>
      </c>
      <c r="AK33" s="778">
        <f t="shared" si="43"/>
        <v>88.772999999999911</v>
      </c>
      <c r="AL33" s="777">
        <f t="shared" ref="AL33:AS33" si="44">AL34-AL30</f>
        <v>-26.827965013444071</v>
      </c>
      <c r="AM33" s="778">
        <f t="shared" si="44"/>
        <v>-11.34539327042603</v>
      </c>
      <c r="AN33" s="778">
        <f t="shared" si="44"/>
        <v>13.514002279155477</v>
      </c>
      <c r="AO33" s="776">
        <f t="shared" si="44"/>
        <v>94.516311514472136</v>
      </c>
      <c r="AP33" s="777">
        <f t="shared" si="44"/>
        <v>-28.595981003623734</v>
      </c>
      <c r="AQ33" s="778">
        <f t="shared" si="44"/>
        <v>-12.092229737893092</v>
      </c>
      <c r="AR33" s="778">
        <f t="shared" si="44"/>
        <v>14.401496310950336</v>
      </c>
      <c r="AS33" s="776">
        <f t="shared" si="44"/>
        <v>100.71863652927897</v>
      </c>
      <c r="AT33" s="767"/>
      <c r="AU33" s="768">
        <f t="shared" si="36"/>
        <v>118.37099999999998</v>
      </c>
      <c r="AV33" s="779">
        <f t="shared" si="37"/>
        <v>64.085000000000036</v>
      </c>
      <c r="AW33" s="780">
        <f t="shared" si="38"/>
        <v>73.22399999999999</v>
      </c>
      <c r="AX33" s="768">
        <f t="shared" si="39"/>
        <v>71.382999999999981</v>
      </c>
      <c r="AY33" s="768">
        <f t="shared" si="40"/>
        <v>96.375</v>
      </c>
      <c r="AZ33" s="769">
        <f>SUM(V33:Y33)</f>
        <v>133.71699999999998</v>
      </c>
      <c r="BA33" s="770">
        <f t="shared" si="31"/>
        <v>85.894999999999982</v>
      </c>
      <c r="BB33" s="768">
        <f t="shared" si="32"/>
        <v>82.689999999999941</v>
      </c>
      <c r="BC33" s="768">
        <f t="shared" si="33"/>
        <v>66.089000000000055</v>
      </c>
      <c r="BD33" s="768">
        <f t="shared" si="34"/>
        <v>69.856955509757512</v>
      </c>
      <c r="BE33" s="768">
        <f>SUM(AP33:AS33)</f>
        <v>74.431922098712477</v>
      </c>
    </row>
    <row r="34" spans="1:59" s="62" customFormat="1" ht="12" customHeight="1">
      <c r="A34" s="781" t="s">
        <v>188</v>
      </c>
      <c r="B34" s="782"/>
      <c r="C34" s="783"/>
      <c r="D34" s="783"/>
      <c r="E34" s="784"/>
      <c r="F34" s="785">
        <f t="shared" ref="F34:AK34" si="45">F30+F33</f>
        <v>63.902999999999992</v>
      </c>
      <c r="G34" s="786">
        <f t="shared" si="45"/>
        <v>80.115000000000023</v>
      </c>
      <c r="H34" s="786">
        <f t="shared" si="45"/>
        <v>88.000999999999976</v>
      </c>
      <c r="I34" s="786">
        <f t="shared" si="45"/>
        <v>99.426000000000045</v>
      </c>
      <c r="J34" s="785">
        <f t="shared" si="45"/>
        <v>82.303000000000011</v>
      </c>
      <c r="K34" s="786">
        <f t="shared" si="45"/>
        <v>100.81199999999994</v>
      </c>
      <c r="L34" s="786">
        <f t="shared" si="45"/>
        <v>113.89400000000003</v>
      </c>
      <c r="M34" s="784">
        <f t="shared" si="45"/>
        <v>130.80099999999999</v>
      </c>
      <c r="N34" s="786">
        <f t="shared" si="45"/>
        <v>97.611999999999995</v>
      </c>
      <c r="O34" s="786">
        <f t="shared" si="45"/>
        <v>114.42699999999996</v>
      </c>
      <c r="P34" s="786">
        <f t="shared" si="45"/>
        <v>137.17500000000004</v>
      </c>
      <c r="Q34" s="784">
        <f t="shared" si="45"/>
        <v>162.38999999999999</v>
      </c>
      <c r="R34" s="785">
        <f t="shared" si="45"/>
        <v>117.54099999999998</v>
      </c>
      <c r="S34" s="786">
        <f t="shared" si="45"/>
        <v>146.27100000000007</v>
      </c>
      <c r="T34" s="786">
        <f t="shared" si="45"/>
        <v>170.74699999999996</v>
      </c>
      <c r="U34" s="784">
        <f t="shared" si="45"/>
        <v>202.946</v>
      </c>
      <c r="V34" s="785">
        <f t="shared" si="45"/>
        <v>155.99100000000004</v>
      </c>
      <c r="W34" s="786">
        <f t="shared" si="45"/>
        <v>184.88799999999992</v>
      </c>
      <c r="X34" s="786">
        <f t="shared" si="45"/>
        <v>220.50800000000004</v>
      </c>
      <c r="Y34" s="784">
        <f t="shared" si="45"/>
        <v>255.52099999999999</v>
      </c>
      <c r="Z34" s="785">
        <f t="shared" si="45"/>
        <v>166.30500000000004</v>
      </c>
      <c r="AA34" s="786">
        <f t="shared" si="45"/>
        <v>203.16199999999998</v>
      </c>
      <c r="AB34" s="786">
        <f t="shared" si="45"/>
        <v>232.79300000000001</v>
      </c>
      <c r="AC34" s="784">
        <f t="shared" si="45"/>
        <v>282.34499999999997</v>
      </c>
      <c r="AD34" s="785">
        <f t="shared" si="45"/>
        <v>188.17200000000011</v>
      </c>
      <c r="AE34" s="786">
        <f t="shared" si="45"/>
        <v>224.33099999999993</v>
      </c>
      <c r="AF34" s="786">
        <f t="shared" si="45"/>
        <v>248.74199999999999</v>
      </c>
      <c r="AG34" s="786">
        <f t="shared" si="45"/>
        <v>321.46599999999989</v>
      </c>
      <c r="AH34" s="785">
        <f t="shared" si="45"/>
        <v>214.3250000000001</v>
      </c>
      <c r="AI34" s="786">
        <f t="shared" si="45"/>
        <v>236.72899999999998</v>
      </c>
      <c r="AJ34" s="786">
        <f t="shared" si="45"/>
        <v>265.13400000000007</v>
      </c>
      <c r="AK34" s="786">
        <f t="shared" si="45"/>
        <v>349.30599999999993</v>
      </c>
      <c r="AL34" s="785">
        <f t="shared" ref="AL34:AS34" si="46">AH34*(1+AL35)</f>
        <v>231.73881998655597</v>
      </c>
      <c r="AM34" s="786">
        <f t="shared" si="46"/>
        <v>254.19114172957399</v>
      </c>
      <c r="AN34" s="786">
        <f t="shared" si="46"/>
        <v>282.26102727915548</v>
      </c>
      <c r="AO34" s="784">
        <f t="shared" si="46"/>
        <v>371.90491151447213</v>
      </c>
      <c r="AP34" s="785">
        <f t="shared" si="46"/>
        <v>247.01086686287627</v>
      </c>
      <c r="AQ34" s="786">
        <f t="shared" si="46"/>
        <v>270.92385516010688</v>
      </c>
      <c r="AR34" s="786">
        <f t="shared" si="46"/>
        <v>300.7977251384504</v>
      </c>
      <c r="AS34" s="784">
        <f t="shared" si="46"/>
        <v>396.30995968927903</v>
      </c>
      <c r="AT34" s="787"/>
      <c r="AU34" s="788">
        <f t="shared" si="36"/>
        <v>0</v>
      </c>
      <c r="AV34" s="788">
        <f t="shared" si="37"/>
        <v>331.44500000000005</v>
      </c>
      <c r="AW34" s="789">
        <f t="shared" si="38"/>
        <v>427.81</v>
      </c>
      <c r="AX34" s="788">
        <f t="shared" si="39"/>
        <v>511.60399999999998</v>
      </c>
      <c r="AY34" s="790">
        <f>SUM(R34:U34)</f>
        <v>637.505</v>
      </c>
      <c r="AZ34" s="791">
        <f t="shared" si="41"/>
        <v>816.9079999999999</v>
      </c>
      <c r="BA34" s="788">
        <f t="shared" si="31"/>
        <v>884.60500000000002</v>
      </c>
      <c r="BB34" s="790">
        <f t="shared" si="32"/>
        <v>982.7109999999999</v>
      </c>
      <c r="BC34" s="790">
        <f t="shared" si="33"/>
        <v>1065.4940000000001</v>
      </c>
      <c r="BD34" s="790">
        <f t="shared" si="34"/>
        <v>1140.0959005097575</v>
      </c>
      <c r="BE34" s="790">
        <f>SUM(AP34:AS34)</f>
        <v>1215.0424068507127</v>
      </c>
    </row>
    <row r="35" spans="1:59" s="62" customFormat="1" ht="12" customHeight="1">
      <c r="A35" s="792" t="s">
        <v>117</v>
      </c>
      <c r="B35" s="672"/>
      <c r="C35" s="672"/>
      <c r="D35" s="672"/>
      <c r="E35" s="673"/>
      <c r="F35" s="672"/>
      <c r="G35" s="672"/>
      <c r="H35" s="672"/>
      <c r="I35" s="672"/>
      <c r="J35" s="671">
        <f t="shared" ref="J35:AK35" si="47">J34/F34-1</f>
        <v>0.28793640361172446</v>
      </c>
      <c r="K35" s="672">
        <f t="shared" si="47"/>
        <v>0.25834113461898411</v>
      </c>
      <c r="L35" s="672">
        <f t="shared" si="47"/>
        <v>0.29423529278076455</v>
      </c>
      <c r="M35" s="673">
        <f t="shared" si="47"/>
        <v>0.31556132198821163</v>
      </c>
      <c r="N35" s="672">
        <f t="shared" si="47"/>
        <v>0.18600780044469811</v>
      </c>
      <c r="O35" s="672">
        <f t="shared" si="47"/>
        <v>0.13505336666269918</v>
      </c>
      <c r="P35" s="672">
        <f t="shared" si="47"/>
        <v>0.20440936309199786</v>
      </c>
      <c r="Q35" s="673">
        <f t="shared" si="47"/>
        <v>0.24150426984503182</v>
      </c>
      <c r="R35" s="671">
        <f t="shared" si="47"/>
        <v>0.20416547145842712</v>
      </c>
      <c r="S35" s="672">
        <f t="shared" si="47"/>
        <v>0.27829096279724297</v>
      </c>
      <c r="T35" s="672">
        <f t="shared" si="47"/>
        <v>0.24473847275378091</v>
      </c>
      <c r="U35" s="673">
        <f t="shared" si="47"/>
        <v>0.24974444239177296</v>
      </c>
      <c r="V35" s="671">
        <f t="shared" si="47"/>
        <v>0.32711989858857815</v>
      </c>
      <c r="W35" s="672">
        <f t="shared" si="47"/>
        <v>0.26400995412624395</v>
      </c>
      <c r="X35" s="672">
        <f t="shared" si="47"/>
        <v>0.29143118180700145</v>
      </c>
      <c r="Y35" s="672">
        <f t="shared" si="47"/>
        <v>0.25905906004552937</v>
      </c>
      <c r="Z35" s="671">
        <f t="shared" si="47"/>
        <v>6.6119199184568211E-2</v>
      </c>
      <c r="AA35" s="672">
        <f t="shared" si="47"/>
        <v>9.883821556834449E-2</v>
      </c>
      <c r="AB35" s="672">
        <f t="shared" si="47"/>
        <v>5.5712264407640433E-2</v>
      </c>
      <c r="AC35" s="672">
        <f t="shared" si="47"/>
        <v>0.10497767306796701</v>
      </c>
      <c r="AD35" s="671">
        <f t="shared" si="47"/>
        <v>0.13148732750067693</v>
      </c>
      <c r="AE35" s="672">
        <f t="shared" si="47"/>
        <v>0.10419763538456972</v>
      </c>
      <c r="AF35" s="672">
        <f t="shared" si="47"/>
        <v>6.8511510225822914E-2</v>
      </c>
      <c r="AG35" s="672">
        <f t="shared" si="47"/>
        <v>0.13855743859462688</v>
      </c>
      <c r="AH35" s="671">
        <f t="shared" si="47"/>
        <v>0.13898454605361032</v>
      </c>
      <c r="AI35" s="672">
        <f t="shared" si="47"/>
        <v>5.5266548091882362E-2</v>
      </c>
      <c r="AJ35" s="672">
        <f t="shared" si="47"/>
        <v>6.5899606821526291E-2</v>
      </c>
      <c r="AK35" s="672">
        <f t="shared" si="47"/>
        <v>8.6603248866132132E-2</v>
      </c>
      <c r="AL35" s="793">
        <f>+AL7</f>
        <v>8.124959751105032E-2</v>
      </c>
      <c r="AM35" s="794">
        <f t="shared" ref="AM35:AS35" si="48">+AM7</f>
        <v>7.3764269394852366E-2</v>
      </c>
      <c r="AN35" s="794">
        <f t="shared" si="48"/>
        <v>6.4597627158928805E-2</v>
      </c>
      <c r="AO35" s="795">
        <f t="shared" si="48"/>
        <v>6.4696602733626651E-2</v>
      </c>
      <c r="AP35" s="793">
        <f t="shared" si="48"/>
        <v>6.5901979121177456E-2</v>
      </c>
      <c r="AQ35" s="794">
        <f t="shared" si="48"/>
        <v>6.5827287751570429E-2</v>
      </c>
      <c r="AR35" s="794">
        <f t="shared" si="48"/>
        <v>6.567218307811995E-2</v>
      </c>
      <c r="AS35" s="795">
        <f t="shared" si="48"/>
        <v>6.5621742061497956E-2</v>
      </c>
      <c r="AT35" s="787"/>
      <c r="AU35" s="796"/>
      <c r="AV35" s="796" t="str">
        <f t="shared" ref="AV35:BE35" si="49">IF(ISERROR(AV34/AU34-1),"NA",AV34/AU34-1)</f>
        <v>NA</v>
      </c>
      <c r="AW35" s="673">
        <f t="shared" si="49"/>
        <v>0.2907420537344052</v>
      </c>
      <c r="AX35" s="723">
        <f t="shared" si="49"/>
        <v>0.19586732427946973</v>
      </c>
      <c r="AY35" s="723">
        <f t="shared" si="49"/>
        <v>0.24609072642121643</v>
      </c>
      <c r="AZ35" s="737">
        <f t="shared" si="49"/>
        <v>0.28141426341754161</v>
      </c>
      <c r="BA35" s="676">
        <f t="shared" si="49"/>
        <v>8.2869796843708432E-2</v>
      </c>
      <c r="BB35" s="723">
        <f t="shared" si="49"/>
        <v>0.11090373669603926</v>
      </c>
      <c r="BC35" s="723">
        <f t="shared" si="49"/>
        <v>8.4239415250262129E-2</v>
      </c>
      <c r="BD35" s="723">
        <f t="shared" si="49"/>
        <v>7.0016255849171705E-2</v>
      </c>
      <c r="BE35" s="723">
        <f t="shared" si="49"/>
        <v>6.5737019409898068E-2</v>
      </c>
    </row>
    <row r="36" spans="1:59" s="62" customFormat="1" ht="12" customHeight="1">
      <c r="A36" s="797"/>
      <c r="B36" s="798"/>
      <c r="C36" s="798"/>
      <c r="D36" s="798"/>
      <c r="E36" s="799"/>
      <c r="F36" s="800"/>
      <c r="G36" s="798"/>
      <c r="H36" s="798"/>
      <c r="I36" s="798"/>
      <c r="J36" s="801"/>
      <c r="K36" s="802"/>
      <c r="L36" s="802"/>
      <c r="M36" s="802"/>
      <c r="N36" s="801"/>
      <c r="O36" s="802"/>
      <c r="P36" s="802"/>
      <c r="Q36" s="799"/>
      <c r="R36" s="801"/>
      <c r="S36" s="802"/>
      <c r="T36" s="798"/>
      <c r="U36" s="799"/>
      <c r="V36" s="798"/>
      <c r="W36" s="798"/>
      <c r="X36" s="798"/>
      <c r="Y36" s="799"/>
      <c r="Z36" s="800"/>
      <c r="AA36" s="798"/>
      <c r="AB36" s="798"/>
      <c r="AC36" s="799"/>
      <c r="AD36" s="800"/>
      <c r="AE36" s="798"/>
      <c r="AF36" s="798"/>
      <c r="AG36" s="799"/>
      <c r="AH36" s="800"/>
      <c r="AI36" s="798"/>
      <c r="AJ36" s="798"/>
      <c r="AK36" s="799"/>
      <c r="AL36" s="800"/>
      <c r="AM36" s="798"/>
      <c r="AN36" s="798"/>
      <c r="AO36" s="799"/>
      <c r="AP36" s="800"/>
      <c r="AQ36" s="798"/>
      <c r="AR36" s="798"/>
      <c r="AS36" s="799"/>
      <c r="AT36" s="803"/>
      <c r="AU36" s="410"/>
      <c r="AV36" s="755"/>
      <c r="AW36" s="755"/>
      <c r="AX36" s="755"/>
      <c r="AY36" s="755"/>
      <c r="AZ36" s="756"/>
      <c r="BA36" s="61"/>
      <c r="BB36" s="61"/>
      <c r="BC36" s="61"/>
      <c r="BD36" s="61"/>
      <c r="BE36" s="61"/>
    </row>
    <row r="37" spans="1:59" s="62" customFormat="1" ht="12" customHeight="1">
      <c r="A37" s="757" t="s">
        <v>81</v>
      </c>
      <c r="B37" s="804">
        <f t="shared" ref="B37:AS37" si="50">B30</f>
        <v>40.481000000000002</v>
      </c>
      <c r="C37" s="804">
        <f t="shared" si="50"/>
        <v>44.149000000000001</v>
      </c>
      <c r="D37" s="804">
        <f t="shared" si="50"/>
        <v>48.980000000000004</v>
      </c>
      <c r="E37" s="805">
        <f t="shared" si="50"/>
        <v>54.117000000000004</v>
      </c>
      <c r="F37" s="760">
        <f t="shared" si="50"/>
        <v>59.106999999999999</v>
      </c>
      <c r="G37" s="758">
        <f t="shared" si="50"/>
        <v>63.591999999999999</v>
      </c>
      <c r="H37" s="758">
        <f t="shared" si="50"/>
        <v>69.44</v>
      </c>
      <c r="I37" s="758">
        <f t="shared" si="50"/>
        <v>75.221000000000004</v>
      </c>
      <c r="J37" s="760">
        <f t="shared" si="50"/>
        <v>80.301000000000002</v>
      </c>
      <c r="K37" s="758">
        <f t="shared" si="50"/>
        <v>85.384</v>
      </c>
      <c r="L37" s="758">
        <f t="shared" si="50"/>
        <v>91.852000000000004</v>
      </c>
      <c r="M37" s="759">
        <f t="shared" si="50"/>
        <v>97.048999999999978</v>
      </c>
      <c r="N37" s="758">
        <f t="shared" si="50"/>
        <v>102.648</v>
      </c>
      <c r="O37" s="758">
        <f t="shared" si="50"/>
        <v>107.209</v>
      </c>
      <c r="P37" s="758">
        <f t="shared" si="50"/>
        <v>112.28200000000001</v>
      </c>
      <c r="Q37" s="759">
        <f t="shared" si="50"/>
        <v>118.08200000000001</v>
      </c>
      <c r="R37" s="760">
        <f t="shared" si="50"/>
        <v>123.18900000000001</v>
      </c>
      <c r="S37" s="758">
        <f t="shared" si="50"/>
        <v>130.25900000000001</v>
      </c>
      <c r="T37" s="758">
        <f t="shared" si="50"/>
        <v>138.66399999999999</v>
      </c>
      <c r="U37" s="759">
        <f t="shared" si="50"/>
        <v>149.018</v>
      </c>
      <c r="V37" s="758">
        <f t="shared" si="50"/>
        <v>159.36799999999999</v>
      </c>
      <c r="W37" s="758">
        <f t="shared" si="50"/>
        <v>164.34100000000001</v>
      </c>
      <c r="X37" s="758">
        <f t="shared" si="50"/>
        <v>174.851</v>
      </c>
      <c r="Y37" s="759">
        <f t="shared" si="50"/>
        <v>184.631</v>
      </c>
      <c r="Z37" s="760">
        <f t="shared" si="50"/>
        <v>188.83900000000003</v>
      </c>
      <c r="AA37" s="758">
        <f t="shared" si="50"/>
        <v>195.036</v>
      </c>
      <c r="AB37" s="758">
        <f t="shared" si="50"/>
        <v>201.529</v>
      </c>
      <c r="AC37" s="759">
        <f t="shared" si="50"/>
        <v>213.30599999999998</v>
      </c>
      <c r="AD37" s="760">
        <f t="shared" si="50"/>
        <v>215.96099999999998</v>
      </c>
      <c r="AE37" s="758">
        <f t="shared" si="50"/>
        <v>221.24100000000001</v>
      </c>
      <c r="AF37" s="758">
        <f t="shared" si="50"/>
        <v>227.08799999999999</v>
      </c>
      <c r="AG37" s="759">
        <f t="shared" si="50"/>
        <v>235.73099999999999</v>
      </c>
      <c r="AH37" s="760">
        <f t="shared" si="50"/>
        <v>239.137</v>
      </c>
      <c r="AI37" s="758">
        <f t="shared" si="50"/>
        <v>247.29500000000002</v>
      </c>
      <c r="AJ37" s="758">
        <f t="shared" si="50"/>
        <v>252.44</v>
      </c>
      <c r="AK37" s="759">
        <f t="shared" si="50"/>
        <v>260.53300000000002</v>
      </c>
      <c r="AL37" s="760">
        <f t="shared" si="50"/>
        <v>258.56678500000004</v>
      </c>
      <c r="AM37" s="758">
        <f t="shared" si="50"/>
        <v>265.53653500000001</v>
      </c>
      <c r="AN37" s="758">
        <f t="shared" si="50"/>
        <v>268.74702500000001</v>
      </c>
      <c r="AO37" s="759">
        <f t="shared" si="50"/>
        <v>277.3886</v>
      </c>
      <c r="AP37" s="760">
        <f t="shared" si="50"/>
        <v>275.6068478665</v>
      </c>
      <c r="AQ37" s="758">
        <f t="shared" si="50"/>
        <v>283.01608489799997</v>
      </c>
      <c r="AR37" s="758">
        <f t="shared" si="50"/>
        <v>286.39622882750007</v>
      </c>
      <c r="AS37" s="759">
        <f t="shared" si="50"/>
        <v>295.59132316000006</v>
      </c>
      <c r="AT37" s="803"/>
      <c r="AU37" s="61"/>
      <c r="AV37" s="505">
        <f t="shared" ref="AV37" si="51">SUM(F37:I37)</f>
        <v>267.36</v>
      </c>
      <c r="AW37" s="505">
        <f t="shared" ref="AW37:AW41" si="52">SUM(J37:M37)</f>
        <v>354.58600000000001</v>
      </c>
      <c r="AX37" s="660">
        <f t="shared" ref="AX37:AX41" si="53">SUM(N37:Q37)</f>
        <v>440.221</v>
      </c>
      <c r="AY37" s="728">
        <f t="shared" ref="AY37:AY41" si="54">SUM(R37:U37)</f>
        <v>541.13</v>
      </c>
      <c r="AZ37" s="729">
        <f t="shared" ref="AZ37:AZ39" si="55">SUM(V37:Y37)</f>
        <v>683.19100000000003</v>
      </c>
      <c r="BA37" s="660">
        <f t="shared" ref="BA37:BA39" si="56">SUM(Z37:AC37)</f>
        <v>798.71</v>
      </c>
      <c r="BB37" s="660">
        <f t="shared" ref="BB37:BB41" si="57">SUM(AD37:AG37)</f>
        <v>900.02099999999996</v>
      </c>
      <c r="BC37" s="660">
        <f t="shared" ref="BC37:BC41" si="58">SUM(AH37:AK37)</f>
        <v>999.40500000000009</v>
      </c>
      <c r="BD37" s="660">
        <f>SUM(AL37:AO37)</f>
        <v>1070.2389450000001</v>
      </c>
      <c r="BE37" s="660">
        <f>SUM(AP37:AS37)</f>
        <v>1140.610484752</v>
      </c>
    </row>
    <row r="38" spans="1:59" s="62" customFormat="1" ht="12.6" customHeight="1">
      <c r="A38" s="128" t="s">
        <v>189</v>
      </c>
      <c r="B38" s="763"/>
      <c r="C38" s="764"/>
      <c r="D38" s="764"/>
      <c r="E38" s="765"/>
      <c r="F38" s="777">
        <f t="shared" ref="F38:Q38" si="59">E39</f>
        <v>154.898</v>
      </c>
      <c r="G38" s="778">
        <f t="shared" si="59"/>
        <v>160.50299999999999</v>
      </c>
      <c r="H38" s="778">
        <f t="shared" si="59"/>
        <v>174.27699999999999</v>
      </c>
      <c r="I38" s="778">
        <f t="shared" si="59"/>
        <v>191.578</v>
      </c>
      <c r="J38" s="777">
        <f t="shared" si="59"/>
        <v>213.64400000000001</v>
      </c>
      <c r="K38" s="778">
        <f t="shared" si="59"/>
        <v>214.50800000000001</v>
      </c>
      <c r="L38" s="778">
        <f t="shared" si="59"/>
        <v>227.227</v>
      </c>
      <c r="M38" s="776">
        <f t="shared" si="59"/>
        <v>245.98500000000001</v>
      </c>
      <c r="N38" s="778">
        <f t="shared" si="59"/>
        <v>274.34800000000001</v>
      </c>
      <c r="O38" s="778">
        <f t="shared" si="59"/>
        <v>270.916</v>
      </c>
      <c r="P38" s="778">
        <f t="shared" si="59"/>
        <v>274.95299999999997</v>
      </c>
      <c r="Q38" s="776">
        <f t="shared" si="59"/>
        <v>296.36</v>
      </c>
      <c r="R38" s="777">
        <f>Q39</f>
        <v>328.81900000000002</v>
      </c>
      <c r="S38" s="778">
        <f t="shared" ref="S38:T38" si="60">R39</f>
        <v>325.113</v>
      </c>
      <c r="T38" s="778">
        <f t="shared" si="60"/>
        <v>334.10599999999999</v>
      </c>
      <c r="U38" s="776">
        <f>T39</f>
        <v>362.30799999999999</v>
      </c>
      <c r="V38" s="778">
        <f>U39+0.137</f>
        <v>407.63499999999999</v>
      </c>
      <c r="W38" s="778">
        <f>V39+0.808</f>
        <v>405.59399999999999</v>
      </c>
      <c r="X38" s="778">
        <f>W39</f>
        <v>415.37799999999999</v>
      </c>
      <c r="Y38" s="776">
        <f>X39</f>
        <v>447.863</v>
      </c>
      <c r="Z38" s="777">
        <f t="shared" ref="Z38:AB38" si="61">Y39</f>
        <v>502.11500000000001</v>
      </c>
      <c r="AA38" s="778">
        <f t="shared" si="61"/>
        <v>490.07600000000002</v>
      </c>
      <c r="AB38" s="778">
        <f t="shared" si="61"/>
        <v>495.19900000000001</v>
      </c>
      <c r="AC38" s="776">
        <f>AB39+4.1</f>
        <v>522.47199999999998</v>
      </c>
      <c r="AD38" s="777">
        <f>AC39</f>
        <v>580.779</v>
      </c>
      <c r="AE38" s="778">
        <f>AD39</f>
        <v>562.57500000000005</v>
      </c>
      <c r="AF38" s="778">
        <f t="shared" ref="AF38:AG38" si="62">AE39</f>
        <v>562.58699999999999</v>
      </c>
      <c r="AG38" s="776">
        <f t="shared" si="62"/>
        <v>583.94000000000005</v>
      </c>
      <c r="AH38" s="777">
        <f>AG39+6.629</f>
        <v>657.00099999999998</v>
      </c>
      <c r="AI38" s="778">
        <f t="shared" ref="AI38:AS38" si="63">AH39</f>
        <v>633.22400000000005</v>
      </c>
      <c r="AJ38" s="778">
        <f t="shared" si="63"/>
        <v>624.548</v>
      </c>
      <c r="AK38" s="776">
        <f t="shared" si="63"/>
        <v>639.61400000000003</v>
      </c>
      <c r="AL38" s="777">
        <f t="shared" si="63"/>
        <v>706.86599999999999</v>
      </c>
      <c r="AM38" s="778">
        <f t="shared" si="63"/>
        <v>685.77817344041966</v>
      </c>
      <c r="AN38" s="778">
        <f t="shared" si="63"/>
        <v>676.86025195747891</v>
      </c>
      <c r="AO38" s="776">
        <f t="shared" si="63"/>
        <v>687.48278467830949</v>
      </c>
      <c r="AP38" s="777">
        <f t="shared" si="63"/>
        <v>761.77629084881642</v>
      </c>
      <c r="AQ38" s="778">
        <f t="shared" si="63"/>
        <v>739.29873478359571</v>
      </c>
      <c r="AR38" s="778">
        <f t="shared" si="63"/>
        <v>729.79377071705164</v>
      </c>
      <c r="AS38" s="776">
        <f t="shared" si="63"/>
        <v>741.11390835147768</v>
      </c>
      <c r="AT38" s="803"/>
      <c r="AU38" s="61"/>
      <c r="AV38" s="806">
        <f t="shared" ref="AV38:AV39" si="64">SUM(F38:I38)</f>
        <v>681.25599999999997</v>
      </c>
      <c r="AW38" s="807">
        <f t="shared" si="52"/>
        <v>901.36400000000003</v>
      </c>
      <c r="AX38" s="807">
        <f t="shared" si="53"/>
        <v>1116.577</v>
      </c>
      <c r="AY38" s="768">
        <f t="shared" si="54"/>
        <v>1350.346</v>
      </c>
      <c r="AZ38" s="769">
        <f t="shared" si="55"/>
        <v>1676.47</v>
      </c>
      <c r="BA38" s="770">
        <f t="shared" si="56"/>
        <v>2009.8620000000001</v>
      </c>
      <c r="BB38" s="768">
        <f t="shared" si="57"/>
        <v>2289.8810000000003</v>
      </c>
      <c r="BC38" s="768">
        <f t="shared" si="58"/>
        <v>2554.3869999999997</v>
      </c>
      <c r="BD38" s="768">
        <f t="shared" ref="BD38:BD41" si="65">SUM(AL38:AO38)</f>
        <v>2756.9872100762082</v>
      </c>
      <c r="BE38" s="768">
        <f>SUM(AP38:AS38)</f>
        <v>2971.9827047009417</v>
      </c>
    </row>
    <row r="39" spans="1:59" s="62" customFormat="1" ht="12" customHeight="1">
      <c r="A39" s="128" t="s">
        <v>190</v>
      </c>
      <c r="B39" s="772"/>
      <c r="C39" s="772"/>
      <c r="D39" s="772"/>
      <c r="E39" s="765">
        <f>'Balance Sheet'!E25</f>
        <v>154.898</v>
      </c>
      <c r="F39" s="777">
        <f>'Balance Sheet'!F25</f>
        <v>160.50299999999999</v>
      </c>
      <c r="G39" s="778">
        <f>'Balance Sheet'!G25</f>
        <v>174.27699999999999</v>
      </c>
      <c r="H39" s="778">
        <f>'Balance Sheet'!H25</f>
        <v>191.578</v>
      </c>
      <c r="I39" s="778">
        <f>'Balance Sheet'!I25</f>
        <v>213.64400000000001</v>
      </c>
      <c r="J39" s="777">
        <f>'Balance Sheet'!J25</f>
        <v>214.50800000000001</v>
      </c>
      <c r="K39" s="778">
        <f>'Balance Sheet'!K25</f>
        <v>227.227</v>
      </c>
      <c r="L39" s="778">
        <f>'Balance Sheet'!L25</f>
        <v>245.98500000000001</v>
      </c>
      <c r="M39" s="776">
        <f>'Balance Sheet'!M25</f>
        <v>274.34800000000001</v>
      </c>
      <c r="N39" s="778">
        <f>'Balance Sheet'!N25</f>
        <v>270.916</v>
      </c>
      <c r="O39" s="778">
        <f>'Balance Sheet'!O25</f>
        <v>274.95299999999997</v>
      </c>
      <c r="P39" s="778">
        <f>'Balance Sheet'!P25</f>
        <v>296.36</v>
      </c>
      <c r="Q39" s="776">
        <f>'Balance Sheet'!Q25</f>
        <v>328.81900000000002</v>
      </c>
      <c r="R39" s="777">
        <f>'Balance Sheet'!R25</f>
        <v>325.113</v>
      </c>
      <c r="S39" s="778">
        <f>'Balance Sheet'!S25</f>
        <v>334.10599999999999</v>
      </c>
      <c r="T39" s="778">
        <f>'Balance Sheet'!T25</f>
        <v>362.30799999999999</v>
      </c>
      <c r="U39" s="776">
        <f>'Balance Sheet'!U25</f>
        <v>407.49799999999999</v>
      </c>
      <c r="V39" s="778">
        <f>'Balance Sheet'!V25</f>
        <v>404.786</v>
      </c>
      <c r="W39" s="778">
        <f>'Balance Sheet'!W25</f>
        <v>415.37799999999999</v>
      </c>
      <c r="X39" s="778">
        <f>'Balance Sheet'!X25</f>
        <v>447.863</v>
      </c>
      <c r="Y39" s="776">
        <f>'Balance Sheet'!Y25</f>
        <v>502.11500000000001</v>
      </c>
      <c r="Z39" s="777">
        <f>'Balance Sheet'!Z25</f>
        <v>490.07600000000002</v>
      </c>
      <c r="AA39" s="778">
        <f>'Balance Sheet'!AA25</f>
        <v>495.19900000000001</v>
      </c>
      <c r="AB39" s="778">
        <f>'Balance Sheet'!AB25</f>
        <v>518.37199999999996</v>
      </c>
      <c r="AC39" s="776">
        <f>'Balance Sheet'!AC25</f>
        <v>580.779</v>
      </c>
      <c r="AD39" s="777">
        <f>'Balance Sheet'!AD25</f>
        <v>562.57500000000005</v>
      </c>
      <c r="AE39" s="778">
        <f>'Balance Sheet'!AE25</f>
        <v>562.58699999999999</v>
      </c>
      <c r="AF39" s="778">
        <f>'Balance Sheet'!AF25</f>
        <v>583.94000000000005</v>
      </c>
      <c r="AG39" s="776">
        <f>'Balance Sheet'!AG25</f>
        <v>650.37199999999996</v>
      </c>
      <c r="AH39" s="777">
        <f>'Balance Sheet'!AH25</f>
        <v>633.22400000000005</v>
      </c>
      <c r="AI39" s="778">
        <f>'Balance Sheet'!AI25</f>
        <v>624.548</v>
      </c>
      <c r="AJ39" s="778">
        <f>'Balance Sheet'!AJ25</f>
        <v>639.61400000000003</v>
      </c>
      <c r="AK39" s="776">
        <f>'Balance Sheet'!AK25</f>
        <v>706.86599999999999</v>
      </c>
      <c r="AL39" s="777">
        <f>'Balance Sheet'!AL25</f>
        <v>685.77817344041966</v>
      </c>
      <c r="AM39" s="778">
        <f>'Balance Sheet'!AM25</f>
        <v>676.86025195747891</v>
      </c>
      <c r="AN39" s="778">
        <f>'Balance Sheet'!AN25</f>
        <v>687.48278467830949</v>
      </c>
      <c r="AO39" s="776">
        <f>'Balance Sheet'!AO25</f>
        <v>761.77629084881642</v>
      </c>
      <c r="AP39" s="777">
        <f>'Balance Sheet'!AP25</f>
        <v>739.29873478359571</v>
      </c>
      <c r="AQ39" s="778">
        <f>'Balance Sheet'!AQ25</f>
        <v>729.79377071705164</v>
      </c>
      <c r="AR39" s="778">
        <f>'Balance Sheet'!AR25</f>
        <v>741.11390835147768</v>
      </c>
      <c r="AS39" s="776">
        <f>'Balance Sheet'!AS25</f>
        <v>820.28268382074998</v>
      </c>
      <c r="AT39" s="803"/>
      <c r="AU39" s="61"/>
      <c r="AV39" s="808">
        <f t="shared" si="64"/>
        <v>740.00199999999995</v>
      </c>
      <c r="AW39" s="807">
        <f t="shared" si="52"/>
        <v>962.06799999999998</v>
      </c>
      <c r="AX39" s="807">
        <f t="shared" si="53"/>
        <v>1171.048</v>
      </c>
      <c r="AY39" s="768">
        <f t="shared" si="54"/>
        <v>1429.0250000000001</v>
      </c>
      <c r="AZ39" s="769">
        <f t="shared" si="55"/>
        <v>1770.1420000000001</v>
      </c>
      <c r="BA39" s="770">
        <f t="shared" si="56"/>
        <v>2084.4259999999999</v>
      </c>
      <c r="BB39" s="770">
        <f t="shared" si="57"/>
        <v>2359.4740000000002</v>
      </c>
      <c r="BC39" s="768">
        <f t="shared" si="58"/>
        <v>2604.252</v>
      </c>
      <c r="BD39" s="768">
        <f t="shared" si="65"/>
        <v>2811.8975009250244</v>
      </c>
      <c r="BE39" s="768">
        <f>SUM(AP39:AS39)</f>
        <v>3030.4890976728748</v>
      </c>
    </row>
    <row r="40" spans="1:59" s="62" customFormat="1" ht="12" customHeight="1">
      <c r="A40" s="128" t="s">
        <v>191</v>
      </c>
      <c r="B40" s="775"/>
      <c r="C40" s="747"/>
      <c r="D40" s="747"/>
      <c r="E40" s="809"/>
      <c r="F40" s="777">
        <f t="shared" ref="F40:Y40" si="66">F39-F38</f>
        <v>5.6049999999999898</v>
      </c>
      <c r="G40" s="778">
        <f t="shared" si="66"/>
        <v>13.774000000000001</v>
      </c>
      <c r="H40" s="778">
        <f t="shared" si="66"/>
        <v>17.301000000000016</v>
      </c>
      <c r="I40" s="778">
        <f t="shared" si="66"/>
        <v>22.066000000000003</v>
      </c>
      <c r="J40" s="777">
        <f t="shared" si="66"/>
        <v>0.86400000000000432</v>
      </c>
      <c r="K40" s="778">
        <f t="shared" si="66"/>
        <v>12.718999999999994</v>
      </c>
      <c r="L40" s="810">
        <f t="shared" si="66"/>
        <v>18.75800000000001</v>
      </c>
      <c r="M40" s="778">
        <f t="shared" si="66"/>
        <v>28.363</v>
      </c>
      <c r="N40" s="777">
        <f t="shared" si="66"/>
        <v>-3.4320000000000164</v>
      </c>
      <c r="O40" s="778">
        <f t="shared" si="66"/>
        <v>4.0369999999999777</v>
      </c>
      <c r="P40" s="810">
        <f t="shared" si="66"/>
        <v>21.407000000000039</v>
      </c>
      <c r="Q40" s="778">
        <f t="shared" si="66"/>
        <v>32.459000000000003</v>
      </c>
      <c r="R40" s="777">
        <f t="shared" si="66"/>
        <v>-3.7060000000000173</v>
      </c>
      <c r="S40" s="778">
        <f t="shared" si="66"/>
        <v>8.992999999999995</v>
      </c>
      <c r="T40" s="810">
        <f t="shared" si="66"/>
        <v>28.201999999999998</v>
      </c>
      <c r="U40" s="778">
        <f t="shared" si="66"/>
        <v>45.19</v>
      </c>
      <c r="V40" s="777">
        <f t="shared" si="66"/>
        <v>-2.8489999999999895</v>
      </c>
      <c r="W40" s="810">
        <f t="shared" si="66"/>
        <v>9.7839999999999918</v>
      </c>
      <c r="X40" s="810">
        <f t="shared" si="66"/>
        <v>32.485000000000014</v>
      </c>
      <c r="Y40" s="778">
        <f t="shared" si="66"/>
        <v>54.25200000000001</v>
      </c>
      <c r="Z40" s="777">
        <f>Z39-Z38</f>
        <v>-12.038999999999987</v>
      </c>
      <c r="AA40" s="778">
        <f>AA39-AA38</f>
        <v>5.1229999999999905</v>
      </c>
      <c r="AB40" s="778">
        <f>AB39-AB38</f>
        <v>23.172999999999945</v>
      </c>
      <c r="AC40" s="778">
        <f>AC39-AC38</f>
        <v>58.307000000000016</v>
      </c>
      <c r="AD40" s="811">
        <f t="shared" ref="AD40:AS40" si="67">AD39-AD38</f>
        <v>-18.203999999999951</v>
      </c>
      <c r="AE40" s="778">
        <f t="shared" si="67"/>
        <v>1.1999999999943611E-2</v>
      </c>
      <c r="AF40" s="778">
        <f t="shared" si="67"/>
        <v>21.353000000000065</v>
      </c>
      <c r="AG40" s="778">
        <f t="shared" si="67"/>
        <v>66.431999999999903</v>
      </c>
      <c r="AH40" s="811">
        <f t="shared" si="67"/>
        <v>-23.77699999999993</v>
      </c>
      <c r="AI40" s="778">
        <f t="shared" si="67"/>
        <v>-8.6760000000000446</v>
      </c>
      <c r="AJ40" s="778">
        <f t="shared" si="67"/>
        <v>15.066000000000031</v>
      </c>
      <c r="AK40" s="778">
        <f t="shared" si="67"/>
        <v>67.251999999999953</v>
      </c>
      <c r="AL40" s="811">
        <f t="shared" si="67"/>
        <v>-21.087826559580321</v>
      </c>
      <c r="AM40" s="778">
        <f t="shared" si="67"/>
        <v>-8.9179214829407556</v>
      </c>
      <c r="AN40" s="778">
        <f t="shared" si="67"/>
        <v>10.622532720830577</v>
      </c>
      <c r="AO40" s="778">
        <f t="shared" si="67"/>
        <v>74.29350617050693</v>
      </c>
      <c r="AP40" s="811">
        <f t="shared" si="67"/>
        <v>-22.47755606522071</v>
      </c>
      <c r="AQ40" s="778">
        <f t="shared" si="67"/>
        <v>-9.504964066544062</v>
      </c>
      <c r="AR40" s="778">
        <f t="shared" si="67"/>
        <v>11.320137634426032</v>
      </c>
      <c r="AS40" s="778">
        <f t="shared" si="67"/>
        <v>79.168775469272305</v>
      </c>
      <c r="AT40" s="803"/>
      <c r="AU40" s="768"/>
      <c r="AV40" s="779">
        <f t="shared" ref="AV40:AV41" si="68">SUM(F40:I40)</f>
        <v>58.746000000000009</v>
      </c>
      <c r="AW40" s="780">
        <f t="shared" si="52"/>
        <v>60.704000000000008</v>
      </c>
      <c r="AX40" s="768">
        <f t="shared" si="53"/>
        <v>54.471000000000004</v>
      </c>
      <c r="AY40" s="768">
        <f t="shared" si="54"/>
        <v>78.678999999999974</v>
      </c>
      <c r="AZ40" s="769">
        <f>SUM(V40:Y40)</f>
        <v>93.672000000000025</v>
      </c>
      <c r="BA40" s="770">
        <f>SUM(Z40:AC40)</f>
        <v>74.563999999999965</v>
      </c>
      <c r="BB40" s="770">
        <f t="shared" si="57"/>
        <v>69.592999999999961</v>
      </c>
      <c r="BC40" s="768">
        <f t="shared" si="58"/>
        <v>49.865000000000009</v>
      </c>
      <c r="BD40" s="768">
        <f t="shared" si="65"/>
        <v>54.91029084881643</v>
      </c>
      <c r="BE40" s="768">
        <f>SUM(AP40:AS40)</f>
        <v>58.506392971933565</v>
      </c>
    </row>
    <row r="41" spans="1:59" s="62" customFormat="1" ht="12" customHeight="1">
      <c r="A41" s="781" t="s">
        <v>192</v>
      </c>
      <c r="B41" s="782"/>
      <c r="C41" s="783"/>
      <c r="D41" s="783"/>
      <c r="E41" s="812"/>
      <c r="F41" s="785">
        <f t="shared" ref="F41:AS41" si="69">F37+F40</f>
        <v>64.711999999999989</v>
      </c>
      <c r="G41" s="786">
        <f t="shared" si="69"/>
        <v>77.366</v>
      </c>
      <c r="H41" s="786">
        <f t="shared" si="69"/>
        <v>86.741000000000014</v>
      </c>
      <c r="I41" s="786">
        <f t="shared" si="69"/>
        <v>97.287000000000006</v>
      </c>
      <c r="J41" s="785">
        <f t="shared" si="69"/>
        <v>81.165000000000006</v>
      </c>
      <c r="K41" s="786">
        <f t="shared" si="69"/>
        <v>98.102999999999994</v>
      </c>
      <c r="L41" s="813">
        <f t="shared" si="69"/>
        <v>110.61000000000001</v>
      </c>
      <c r="M41" s="784">
        <f t="shared" si="69"/>
        <v>125.41199999999998</v>
      </c>
      <c r="N41" s="786">
        <f t="shared" si="69"/>
        <v>99.21599999999998</v>
      </c>
      <c r="O41" s="786">
        <f t="shared" si="69"/>
        <v>111.24599999999998</v>
      </c>
      <c r="P41" s="786">
        <f t="shared" si="69"/>
        <v>133.68900000000005</v>
      </c>
      <c r="Q41" s="784">
        <f t="shared" si="69"/>
        <v>150.541</v>
      </c>
      <c r="R41" s="785">
        <f t="shared" si="69"/>
        <v>119.48299999999999</v>
      </c>
      <c r="S41" s="786">
        <f t="shared" si="69"/>
        <v>139.25200000000001</v>
      </c>
      <c r="T41" s="786">
        <f t="shared" si="69"/>
        <v>166.86599999999999</v>
      </c>
      <c r="U41" s="784">
        <f t="shared" si="69"/>
        <v>194.208</v>
      </c>
      <c r="V41" s="786">
        <f t="shared" si="69"/>
        <v>156.51900000000001</v>
      </c>
      <c r="W41" s="813">
        <f t="shared" si="69"/>
        <v>174.125</v>
      </c>
      <c r="X41" s="786">
        <f t="shared" si="69"/>
        <v>207.33600000000001</v>
      </c>
      <c r="Y41" s="786">
        <f t="shared" si="69"/>
        <v>238.88300000000001</v>
      </c>
      <c r="Z41" s="785">
        <f t="shared" si="69"/>
        <v>176.80000000000004</v>
      </c>
      <c r="AA41" s="786">
        <f t="shared" si="69"/>
        <v>200.15899999999999</v>
      </c>
      <c r="AB41" s="786">
        <f t="shared" si="69"/>
        <v>224.70199999999994</v>
      </c>
      <c r="AC41" s="784">
        <f t="shared" si="69"/>
        <v>271.613</v>
      </c>
      <c r="AD41" s="785">
        <f t="shared" si="69"/>
        <v>197.75700000000003</v>
      </c>
      <c r="AE41" s="786">
        <f t="shared" si="69"/>
        <v>221.25299999999996</v>
      </c>
      <c r="AF41" s="786">
        <f t="shared" si="69"/>
        <v>248.44100000000006</v>
      </c>
      <c r="AG41" s="784">
        <f t="shared" si="69"/>
        <v>302.1629999999999</v>
      </c>
      <c r="AH41" s="785">
        <f t="shared" si="69"/>
        <v>215.36000000000007</v>
      </c>
      <c r="AI41" s="786">
        <f t="shared" si="69"/>
        <v>238.61899999999997</v>
      </c>
      <c r="AJ41" s="786">
        <f t="shared" si="69"/>
        <v>267.50600000000003</v>
      </c>
      <c r="AK41" s="784">
        <f t="shared" si="69"/>
        <v>327.78499999999997</v>
      </c>
      <c r="AL41" s="785">
        <f t="shared" si="69"/>
        <v>237.47895844041972</v>
      </c>
      <c r="AM41" s="786">
        <f t="shared" si="69"/>
        <v>256.61861351705926</v>
      </c>
      <c r="AN41" s="786">
        <f t="shared" si="69"/>
        <v>279.36955772083058</v>
      </c>
      <c r="AO41" s="784">
        <f t="shared" si="69"/>
        <v>351.68210617050693</v>
      </c>
      <c r="AP41" s="785">
        <f t="shared" si="69"/>
        <v>253.12929180127929</v>
      </c>
      <c r="AQ41" s="786">
        <f t="shared" si="69"/>
        <v>273.51112083145591</v>
      </c>
      <c r="AR41" s="786">
        <f t="shared" si="69"/>
        <v>297.7163664619261</v>
      </c>
      <c r="AS41" s="784">
        <f t="shared" si="69"/>
        <v>374.76009862927236</v>
      </c>
      <c r="AT41" s="803"/>
      <c r="AU41" s="814"/>
      <c r="AV41" s="788">
        <f t="shared" si="68"/>
        <v>326.10599999999999</v>
      </c>
      <c r="AW41" s="789">
        <f t="shared" si="52"/>
        <v>415.29</v>
      </c>
      <c r="AX41" s="788">
        <f t="shared" si="53"/>
        <v>494.69200000000001</v>
      </c>
      <c r="AY41" s="788">
        <f t="shared" si="54"/>
        <v>619.80899999999997</v>
      </c>
      <c r="AZ41" s="815">
        <f t="shared" ref="AZ41" si="70">SUM(V41:Y41)</f>
        <v>776.86300000000006</v>
      </c>
      <c r="BA41" s="788">
        <f t="shared" ref="BA41" si="71">SUM(Z41:AC41)</f>
        <v>873.27400000000011</v>
      </c>
      <c r="BB41" s="788">
        <f t="shared" si="57"/>
        <v>969.61399999999992</v>
      </c>
      <c r="BC41" s="790">
        <f t="shared" si="58"/>
        <v>1049.27</v>
      </c>
      <c r="BD41" s="790">
        <f t="shared" si="65"/>
        <v>1125.1492358488165</v>
      </c>
      <c r="BE41" s="790">
        <f>SUM(AP41:AS41)</f>
        <v>1199.1168777239336</v>
      </c>
    </row>
    <row r="42" spans="1:59" s="62" customFormat="1" ht="12" hidden="1" customHeight="1" outlineLevel="1">
      <c r="A42" s="816" t="s">
        <v>193</v>
      </c>
      <c r="B42" s="817" t="str">
        <f>'[2]VA Consensus'!C13</f>
        <v>-</v>
      </c>
      <c r="C42" s="804" t="str">
        <f>'[2]VA Consensus'!D13</f>
        <v>-</v>
      </c>
      <c r="D42" s="804" t="str">
        <f>'[2]VA Consensus'!E13</f>
        <v>-</v>
      </c>
      <c r="E42" s="805" t="str">
        <f>'[2]VA Consensus'!F13</f>
        <v>-</v>
      </c>
      <c r="F42" s="817" t="str">
        <f>'[2]VA Consensus'!G13</f>
        <v>-</v>
      </c>
      <c r="G42" s="145" t="str">
        <f>'[2]VA Consensus'!H13</f>
        <v>-</v>
      </c>
      <c r="H42" s="145">
        <f>'[2]VA Consensus'!I13</f>
        <v>80.923611086071872</v>
      </c>
      <c r="I42" s="145">
        <f>'[2]VA Consensus'!J13</f>
        <v>93.357139731741725</v>
      </c>
      <c r="J42" s="818">
        <f>'[2]VA Consensus'!K13</f>
        <v>80.141077359129426</v>
      </c>
      <c r="K42" s="145">
        <f>'[2]VA Consensus'!L13</f>
        <v>97.339645730895739</v>
      </c>
      <c r="L42" s="145">
        <f>'[2]VA Consensus'!M13</f>
        <v>109.71805511820359</v>
      </c>
      <c r="M42" s="701">
        <f>'[2]VA Consensus'!N13</f>
        <v>122.9681303440414</v>
      </c>
      <c r="N42" s="145">
        <f>'[2]VA Consensus'!O13</f>
        <v>97.832529562296614</v>
      </c>
      <c r="O42" s="145">
        <f>'[2]VA Consensus'!P13</f>
        <v>109.6603077714195</v>
      </c>
      <c r="P42" s="145">
        <f>'[2]VA Consensus'!Q13</f>
        <v>125.29718490566869</v>
      </c>
      <c r="Q42" s="701">
        <f>'[2]VA Consensus'!R13</f>
        <v>143.53824397855328</v>
      </c>
      <c r="R42" s="818">
        <f>'[2]VA Consensus'!S13</f>
        <v>114.39471519896361</v>
      </c>
      <c r="S42" s="145">
        <f>'[2]VA Consensus'!T13</f>
        <v>131.77879545156705</v>
      </c>
      <c r="T42" s="145">
        <f>'[2]VA Consensus'!U13</f>
        <v>156.2224345475739</v>
      </c>
      <c r="U42" s="701">
        <f>'[2]VA Consensus'!V13</f>
        <v>180.19864026291356</v>
      </c>
      <c r="V42" s="145">
        <f>'[2]VA Consensus'!W13</f>
        <v>146.84709358167109</v>
      </c>
      <c r="W42" s="145">
        <f>'[2]VA Consensus'!X13</f>
        <v>171.7644442195066</v>
      </c>
      <c r="X42" s="145">
        <f>'[2]VA Consensus'!Y13</f>
        <v>204.08805070047771</v>
      </c>
      <c r="Y42" s="145">
        <f>'[2]VA Consensus'!Z13</f>
        <v>235.31673396472891</v>
      </c>
      <c r="Z42" s="818">
        <f>'[2]VA Consensus'!AA13</f>
        <v>183.76726531233422</v>
      </c>
      <c r="AA42" s="145">
        <f>'[2]VA Consensus'!AB13</f>
        <v>195.3098559851656</v>
      </c>
      <c r="AB42" s="145">
        <f>'[2]VA Consensus'!AC13</f>
        <v>235.92028121703606</v>
      </c>
      <c r="AC42" s="701">
        <f>'[2]VA Consensus'!AD13</f>
        <v>264.31584849057481</v>
      </c>
      <c r="AD42" s="818">
        <f>'[2]VA Consensus'!AE13</f>
        <v>197.85141764344309</v>
      </c>
      <c r="AE42" s="145">
        <f>'[2]VA Consensus'!AF13</f>
        <v>225.62428112451951</v>
      </c>
      <c r="AF42" s="145">
        <f>'[2]VA Consensus'!AG13</f>
        <v>245.37621305112708</v>
      </c>
      <c r="AG42" s="701">
        <f>'[2]VA Consensus'!AH13</f>
        <v>294.97623963770042</v>
      </c>
      <c r="AH42" s="818">
        <f>'[2]VA Consensus'!AI13</f>
        <v>213.64681567955193</v>
      </c>
      <c r="AI42" s="145">
        <f>'[2]VA Consensus'!AJ13</f>
        <v>239.39986205516755</v>
      </c>
      <c r="AJ42" s="145">
        <f>'[2]VA Consensus'!AK13</f>
        <v>266.14304265024873</v>
      </c>
      <c r="AK42" s="701">
        <f>'[2]VA Consensus'!AL13</f>
        <v>320.83434412859293</v>
      </c>
      <c r="AL42" s="818">
        <f>'[2]VA Consensus'!AM13</f>
        <v>236.74684800988462</v>
      </c>
      <c r="AM42" s="145">
        <f>'[2]VA Consensus'!AN13</f>
        <v>257.17235547088472</v>
      </c>
      <c r="AN42" s="145">
        <f>'[2]VA Consensus'!AO13</f>
        <v>284.73159890155455</v>
      </c>
      <c r="AO42" s="701">
        <f>'[2]VA Consensus'!AP13</f>
        <v>348.68732041192226</v>
      </c>
      <c r="AP42" s="818">
        <f>'[2]VA Consensus'!AQ13</f>
        <v>254.83032645386407</v>
      </c>
      <c r="AQ42" s="145">
        <f>'[2]VA Consensus'!AR13</f>
        <v>278.91231353601825</v>
      </c>
      <c r="AR42" s="145">
        <f>'[2]VA Consensus'!AS13</f>
        <v>305.66625210088608</v>
      </c>
      <c r="AS42" s="701">
        <f>'[2]VA Consensus'!AT13</f>
        <v>370.09809351237419</v>
      </c>
      <c r="AT42" s="48"/>
      <c r="AU42" s="728" t="str">
        <f>'[2]VA Consensus'!AV13</f>
        <v>-</v>
      </c>
      <c r="AV42" s="728">
        <f>'[2]VA Consensus'!AW13</f>
        <v>322.1761349677418</v>
      </c>
      <c r="AW42" s="88">
        <f>'[2]VA Consensus'!AX13</f>
        <v>412.8439081218192</v>
      </c>
      <c r="AX42" s="88">
        <f>'[2]VA Consensus'!AY13</f>
        <v>487.68591064521996</v>
      </c>
      <c r="AY42" s="87">
        <f>'[2]VA Consensus'!AZ13</f>
        <v>604.67527662654993</v>
      </c>
      <c r="AZ42" s="818">
        <f>'[2]VA Consensus'!BA13</f>
        <v>773.56191578291077</v>
      </c>
      <c r="BA42" s="87">
        <f>'[2]VA Consensus'!BB13</f>
        <v>865.96706277628903</v>
      </c>
      <c r="BB42" s="87">
        <f>'[2]VA Consensus'!BC13</f>
        <v>962.40681106627187</v>
      </c>
      <c r="BC42" s="87">
        <f>'[2]VA Consensus'!BD13</f>
        <v>1044.8351877671953</v>
      </c>
      <c r="BD42" s="87">
        <f>'[2]VA Consensus'!BE13</f>
        <v>1127.3381227942461</v>
      </c>
      <c r="BE42" s="87">
        <f>'[2]VA Consensus'!BF13</f>
        <v>1209.5069856031432</v>
      </c>
    </row>
    <row r="43" spans="1:59" s="62" customFormat="1" ht="12" customHeight="1" collapsed="1">
      <c r="A43" s="797" t="s">
        <v>117</v>
      </c>
      <c r="B43" s="817"/>
      <c r="C43" s="804"/>
      <c r="D43" s="804"/>
      <c r="E43" s="805"/>
      <c r="F43" s="760"/>
      <c r="G43" s="758"/>
      <c r="H43" s="758"/>
      <c r="I43" s="758"/>
      <c r="J43" s="819">
        <f t="shared" ref="J43:AI43" si="72">J41/F41-1</f>
        <v>0.25424959821980497</v>
      </c>
      <c r="K43" s="820">
        <f t="shared" si="72"/>
        <v>0.26803763927306568</v>
      </c>
      <c r="L43" s="820">
        <f t="shared" si="72"/>
        <v>0.27517552253259692</v>
      </c>
      <c r="M43" s="821">
        <f t="shared" si="72"/>
        <v>0.28909309568595987</v>
      </c>
      <c r="N43" s="820">
        <f t="shared" si="72"/>
        <v>0.22239881722417265</v>
      </c>
      <c r="O43" s="820">
        <f t="shared" si="72"/>
        <v>0.13397143818231849</v>
      </c>
      <c r="P43" s="820">
        <f t="shared" si="72"/>
        <v>0.20865202061296473</v>
      </c>
      <c r="Q43" s="821">
        <f t="shared" si="72"/>
        <v>0.20037157528785143</v>
      </c>
      <c r="R43" s="820">
        <f t="shared" si="72"/>
        <v>0.20427148846960175</v>
      </c>
      <c r="S43" s="820">
        <f t="shared" si="72"/>
        <v>0.25174837746975198</v>
      </c>
      <c r="T43" s="820">
        <f t="shared" si="72"/>
        <v>0.24816551847945556</v>
      </c>
      <c r="U43" s="821">
        <f t="shared" si="72"/>
        <v>0.29006715778425818</v>
      </c>
      <c r="V43" s="820">
        <f t="shared" si="72"/>
        <v>0.30996878216984869</v>
      </c>
      <c r="W43" s="820">
        <f t="shared" si="72"/>
        <v>0.25043087352425819</v>
      </c>
      <c r="X43" s="820">
        <f t="shared" si="72"/>
        <v>0.24252993419869862</v>
      </c>
      <c r="Y43" s="821">
        <f t="shared" si="72"/>
        <v>0.23003686768825182</v>
      </c>
      <c r="Z43" s="820">
        <f t="shared" si="72"/>
        <v>0.12957532312371045</v>
      </c>
      <c r="AA43" s="820">
        <f t="shared" si="72"/>
        <v>0.14951328068916014</v>
      </c>
      <c r="AB43" s="820">
        <f t="shared" si="72"/>
        <v>8.3757765173438026E-2</v>
      </c>
      <c r="AC43" s="821">
        <f t="shared" si="72"/>
        <v>0.13701267984745669</v>
      </c>
      <c r="AD43" s="820">
        <f t="shared" si="72"/>
        <v>0.11853506787330303</v>
      </c>
      <c r="AE43" s="820">
        <f t="shared" si="72"/>
        <v>0.1053862179567242</v>
      </c>
      <c r="AF43" s="820">
        <f>AF41/AB41-1</f>
        <v>0.10564658970547725</v>
      </c>
      <c r="AG43" s="821">
        <f>AG41/AC41-1</f>
        <v>0.1124762069562204</v>
      </c>
      <c r="AH43" s="820">
        <f t="shared" si="72"/>
        <v>8.9013283979834101E-2</v>
      </c>
      <c r="AI43" s="820">
        <f t="shared" si="72"/>
        <v>7.8489331218107861E-2</v>
      </c>
      <c r="AJ43" s="820">
        <f>AJ41/AF41-1</f>
        <v>7.6738541545074979E-2</v>
      </c>
      <c r="AK43" s="821">
        <f>AK41/AG41-1</f>
        <v>8.4795292606970607E-2</v>
      </c>
      <c r="AL43" s="820">
        <f t="shared" ref="AL43:AS43" si="73">AL41/AH41-1</f>
        <v>0.10270690211933342</v>
      </c>
      <c r="AM43" s="820">
        <f t="shared" si="73"/>
        <v>7.543244048906117E-2</v>
      </c>
      <c r="AN43" s="820">
        <f t="shared" si="73"/>
        <v>4.4348753750684367E-2</v>
      </c>
      <c r="AO43" s="821">
        <f t="shared" si="73"/>
        <v>7.2904819227563644E-2</v>
      </c>
      <c r="AP43" s="820">
        <f t="shared" si="73"/>
        <v>6.5901979121177678E-2</v>
      </c>
      <c r="AQ43" s="820">
        <f t="shared" si="73"/>
        <v>6.5827287751571095E-2</v>
      </c>
      <c r="AR43" s="820">
        <f t="shared" si="73"/>
        <v>6.5672183078119062E-2</v>
      </c>
      <c r="AS43" s="821">
        <f t="shared" si="73"/>
        <v>6.5621742061498178E-2</v>
      </c>
      <c r="AT43" s="822"/>
      <c r="AU43" s="823"/>
      <c r="AV43" s="824"/>
      <c r="AW43" s="825">
        <f t="shared" ref="AW43:BE43" si="74">AW41/AV41-1</f>
        <v>0.27348162867288561</v>
      </c>
      <c r="AX43" s="826">
        <f t="shared" si="74"/>
        <v>0.19119651327987675</v>
      </c>
      <c r="AY43" s="826">
        <f t="shared" si="74"/>
        <v>0.25291898797635692</v>
      </c>
      <c r="AZ43" s="827">
        <f t="shared" si="74"/>
        <v>0.25339096399051986</v>
      </c>
      <c r="BA43" s="826">
        <f t="shared" si="74"/>
        <v>0.12410296281326305</v>
      </c>
      <c r="BB43" s="826">
        <f t="shared" si="74"/>
        <v>0.11032047215421481</v>
      </c>
      <c r="BC43" s="825">
        <f t="shared" si="74"/>
        <v>8.2152279154385166E-2</v>
      </c>
      <c r="BD43" s="825">
        <f t="shared" si="74"/>
        <v>7.2316215891826241E-2</v>
      </c>
      <c r="BE43" s="825">
        <f t="shared" si="74"/>
        <v>6.5740294281332101E-2</v>
      </c>
    </row>
    <row r="44" spans="1:59" s="89" customFormat="1" ht="12" customHeight="1" thickBot="1">
      <c r="A44" s="90" t="s">
        <v>194</v>
      </c>
      <c r="B44" s="91"/>
      <c r="C44" s="92"/>
      <c r="D44" s="92"/>
      <c r="E44" s="93"/>
      <c r="F44" s="92"/>
      <c r="G44" s="92"/>
      <c r="H44" s="92"/>
      <c r="I44" s="92"/>
      <c r="J44" s="91"/>
      <c r="K44" s="92"/>
      <c r="L44" s="92"/>
      <c r="M44" s="93"/>
      <c r="N44" s="91"/>
      <c r="O44" s="92"/>
      <c r="P44" s="92"/>
      <c r="Q44" s="93"/>
      <c r="R44" s="92"/>
      <c r="S44" s="94"/>
      <c r="T44" s="92"/>
      <c r="U44" s="95"/>
      <c r="V44" s="91"/>
      <c r="W44" s="92"/>
      <c r="X44" s="92"/>
      <c r="Y44" s="93"/>
      <c r="Z44" s="828"/>
      <c r="AA44" s="97"/>
      <c r="AB44" s="97"/>
      <c r="AC44" s="98"/>
      <c r="AD44" s="96"/>
      <c r="AE44" s="97"/>
      <c r="AF44" s="97"/>
      <c r="AG44" s="98"/>
      <c r="AH44" s="96"/>
      <c r="AI44" s="97"/>
      <c r="AJ44" s="97"/>
      <c r="AK44" s="98"/>
      <c r="AL44" s="96"/>
      <c r="AM44" s="97"/>
      <c r="AN44" s="97"/>
      <c r="AO44" s="98"/>
      <c r="AP44" s="96"/>
      <c r="AQ44" s="97"/>
      <c r="AR44" s="97"/>
      <c r="AS44" s="98"/>
      <c r="AT44" s="99"/>
      <c r="AU44" s="100"/>
      <c r="AV44" s="93"/>
      <c r="AW44" s="93"/>
      <c r="AX44" s="101"/>
      <c r="AY44" s="101"/>
      <c r="AZ44" s="102"/>
      <c r="BA44" s="101"/>
      <c r="BB44" s="101"/>
      <c r="BC44" s="93"/>
      <c r="BD44" s="93"/>
      <c r="BE44" s="93"/>
    </row>
    <row r="45" spans="1:59" s="89" customFormat="1" ht="12" customHeight="1" thickTop="1">
      <c r="A45" s="103" t="s">
        <v>88</v>
      </c>
      <c r="B45" s="677"/>
      <c r="C45" s="83"/>
      <c r="D45" s="83"/>
      <c r="E45" s="665"/>
      <c r="F45" s="83"/>
      <c r="G45" s="83"/>
      <c r="H45" s="83"/>
      <c r="I45" s="83"/>
      <c r="J45" s="829"/>
      <c r="K45" s="830"/>
      <c r="L45" s="830"/>
      <c r="M45" s="831"/>
      <c r="N45" s="832"/>
      <c r="O45" s="830"/>
      <c r="P45" s="830"/>
      <c r="Q45" s="833"/>
      <c r="R45" s="830"/>
      <c r="S45" s="834"/>
      <c r="T45" s="830"/>
      <c r="U45" s="105"/>
      <c r="V45" s="677"/>
      <c r="W45" s="83"/>
      <c r="X45" s="83"/>
      <c r="Y45" s="105">
        <f>AZ45-X41-W41-V41</f>
        <v>230.01999999999998</v>
      </c>
      <c r="Z45" s="835"/>
      <c r="AA45" s="836"/>
      <c r="AB45" s="667"/>
      <c r="AC45" s="105">
        <f>BA45-AB41-AA41-Z41</f>
        <v>260.33899999999994</v>
      </c>
      <c r="AD45" s="835"/>
      <c r="AE45" s="667"/>
      <c r="AF45" s="667"/>
      <c r="AG45" s="105">
        <f>BB45-AF41-AE41-AD41</f>
        <v>289.54899999999998</v>
      </c>
      <c r="AH45" s="835"/>
      <c r="AI45" s="667"/>
      <c r="AJ45" s="667"/>
      <c r="AK45" s="668"/>
      <c r="AL45" s="835"/>
      <c r="AM45" s="667"/>
      <c r="AN45" s="667"/>
      <c r="AO45" s="668"/>
      <c r="AP45" s="835"/>
      <c r="AQ45" s="667"/>
      <c r="AR45" s="667"/>
      <c r="AS45" s="668"/>
      <c r="AT45" s="99"/>
      <c r="AU45" s="728"/>
      <c r="AV45" s="665"/>
      <c r="AW45" s="665"/>
      <c r="AX45" s="734"/>
      <c r="AY45" s="837">
        <v>602</v>
      </c>
      <c r="AZ45" s="681">
        <v>768</v>
      </c>
      <c r="BA45" s="837">
        <v>862</v>
      </c>
      <c r="BB45" s="837">
        <v>957</v>
      </c>
      <c r="BC45" s="679">
        <v>1040</v>
      </c>
      <c r="BD45" s="679"/>
      <c r="BE45" s="679"/>
    </row>
    <row r="46" spans="1:59" s="89" customFormat="1" ht="12" customHeight="1">
      <c r="A46" s="838" t="s">
        <v>89</v>
      </c>
      <c r="B46" s="664"/>
      <c r="C46" s="83"/>
      <c r="D46" s="83"/>
      <c r="E46" s="665"/>
      <c r="F46" s="83"/>
      <c r="G46" s="83"/>
      <c r="H46" s="83"/>
      <c r="I46" s="83"/>
      <c r="J46" s="664"/>
      <c r="K46" s="83"/>
      <c r="L46" s="83"/>
      <c r="M46" s="665"/>
      <c r="N46" s="664"/>
      <c r="O46" s="83"/>
      <c r="P46" s="83"/>
      <c r="Q46" s="665"/>
      <c r="R46" s="83"/>
      <c r="S46" s="145"/>
      <c r="T46" s="83"/>
      <c r="U46" s="105"/>
      <c r="V46" s="664"/>
      <c r="W46" s="83"/>
      <c r="X46" s="83"/>
      <c r="Y46" s="105">
        <f>AZ46-X41-W41-V41</f>
        <v>234.01999999999998</v>
      </c>
      <c r="Z46" s="666"/>
      <c r="AA46" s="667"/>
      <c r="AB46" s="667"/>
      <c r="AC46" s="105">
        <f>BA46-AB41-AA41-Z41</f>
        <v>264.33899999999994</v>
      </c>
      <c r="AD46" s="666"/>
      <c r="AE46" s="667"/>
      <c r="AF46" s="667"/>
      <c r="AG46" s="105">
        <f>BB46-AF41-AE41-AD41</f>
        <v>294.54899999999998</v>
      </c>
      <c r="AH46" s="666"/>
      <c r="AI46" s="667"/>
      <c r="AJ46" s="667"/>
      <c r="AK46" s="668"/>
      <c r="AL46" s="666"/>
      <c r="AM46" s="667"/>
      <c r="AN46" s="667"/>
      <c r="AO46" s="668"/>
      <c r="AP46" s="666"/>
      <c r="AQ46" s="667"/>
      <c r="AR46" s="667"/>
      <c r="AS46" s="668"/>
      <c r="AT46" s="99"/>
      <c r="AU46" s="728"/>
      <c r="AV46" s="665"/>
      <c r="AW46" s="665"/>
      <c r="AX46" s="734"/>
      <c r="AY46" s="837">
        <f>AVERAGE(AY45,AY47)</f>
        <v>603.5</v>
      </c>
      <c r="AZ46" s="681">
        <f t="shared" ref="AZ46:BC46" si="75">AVERAGE(AZ45,AZ47)</f>
        <v>772</v>
      </c>
      <c r="BA46" s="837">
        <f t="shared" si="75"/>
        <v>866</v>
      </c>
      <c r="BB46" s="837">
        <f t="shared" si="75"/>
        <v>962</v>
      </c>
      <c r="BC46" s="679">
        <f t="shared" si="75"/>
        <v>1044</v>
      </c>
      <c r="BD46" s="679"/>
      <c r="BE46" s="679"/>
      <c r="BF46" s="839"/>
    </row>
    <row r="47" spans="1:59" s="89" customFormat="1" ht="12" customHeight="1" thickBot="1">
      <c r="A47" s="121" t="s">
        <v>90</v>
      </c>
      <c r="B47" s="91"/>
      <c r="C47" s="92"/>
      <c r="D47" s="92"/>
      <c r="E47" s="93"/>
      <c r="F47" s="92"/>
      <c r="G47" s="92"/>
      <c r="H47" s="92"/>
      <c r="I47" s="92"/>
      <c r="J47" s="91"/>
      <c r="K47" s="92"/>
      <c r="L47" s="92"/>
      <c r="M47" s="93"/>
      <c r="N47" s="91"/>
      <c r="O47" s="92"/>
      <c r="P47" s="92"/>
      <c r="Q47" s="93"/>
      <c r="R47" s="92"/>
      <c r="S47" s="94"/>
      <c r="T47" s="92"/>
      <c r="U47" s="123"/>
      <c r="V47" s="91"/>
      <c r="W47" s="92"/>
      <c r="X47" s="92"/>
      <c r="Y47" s="123">
        <f>AZ47-X41-W41-V41</f>
        <v>238.01999999999998</v>
      </c>
      <c r="Z47" s="96"/>
      <c r="AA47" s="97"/>
      <c r="AB47" s="97"/>
      <c r="AC47" s="123">
        <f>BA47-AB41-AA41-Z41</f>
        <v>268.33899999999994</v>
      </c>
      <c r="AD47" s="96"/>
      <c r="AE47" s="97"/>
      <c r="AF47" s="97"/>
      <c r="AG47" s="123">
        <f>BB47-AF41-AE41-AD41</f>
        <v>299.54899999999998</v>
      </c>
      <c r="AH47" s="96"/>
      <c r="AI47" s="97"/>
      <c r="AJ47" s="97"/>
      <c r="AK47" s="98"/>
      <c r="AL47" s="96"/>
      <c r="AM47" s="97"/>
      <c r="AN47" s="97"/>
      <c r="AO47" s="98"/>
      <c r="AP47" s="96"/>
      <c r="AQ47" s="97"/>
      <c r="AR47" s="97"/>
      <c r="AS47" s="98"/>
      <c r="AT47" s="99"/>
      <c r="AU47" s="100"/>
      <c r="AV47" s="93"/>
      <c r="AW47" s="93"/>
      <c r="AX47" s="101"/>
      <c r="AY47" s="126">
        <v>605</v>
      </c>
      <c r="AZ47" s="122">
        <v>776</v>
      </c>
      <c r="BA47" s="126">
        <v>870</v>
      </c>
      <c r="BB47" s="126">
        <v>967</v>
      </c>
      <c r="BC47" s="124">
        <v>1048</v>
      </c>
      <c r="BD47" s="124"/>
      <c r="BE47" s="124"/>
      <c r="BG47" s="840"/>
    </row>
    <row r="48" spans="1:59" s="62" customFormat="1" ht="12" customHeight="1" thickTop="1">
      <c r="A48" s="792"/>
      <c r="B48" s="672"/>
      <c r="C48" s="672"/>
      <c r="D48" s="672"/>
      <c r="E48" s="673"/>
      <c r="F48" s="671"/>
      <c r="G48" s="672"/>
      <c r="H48" s="672"/>
      <c r="I48" s="673">
        <f>I41/H41-1</f>
        <v>0.12158033686491954</v>
      </c>
      <c r="J48" s="671"/>
      <c r="K48" s="672"/>
      <c r="L48" s="672"/>
      <c r="M48" s="673">
        <f>M41/L41-1</f>
        <v>0.13382153512340622</v>
      </c>
      <c r="N48" s="672"/>
      <c r="O48" s="672"/>
      <c r="P48" s="672"/>
      <c r="Q48" s="673">
        <f>Q41/P41-1</f>
        <v>0.12605375161755972</v>
      </c>
      <c r="R48" s="671"/>
      <c r="S48" s="672"/>
      <c r="T48" s="672"/>
      <c r="U48" s="673">
        <f>U41/T41-1</f>
        <v>0.16385602819028455</v>
      </c>
      <c r="V48" s="672"/>
      <c r="W48" s="672"/>
      <c r="X48" s="672"/>
      <c r="Y48" s="673"/>
      <c r="Z48" s="671"/>
      <c r="AA48" s="672"/>
      <c r="AB48" s="672"/>
      <c r="AC48" s="673"/>
      <c r="AD48" s="671"/>
      <c r="AE48" s="672"/>
      <c r="AF48" s="672"/>
      <c r="AG48" s="673"/>
      <c r="AH48" s="671"/>
      <c r="AI48" s="672"/>
      <c r="AJ48" s="672"/>
      <c r="AK48" s="673"/>
      <c r="AL48" s="671"/>
      <c r="AM48" s="672"/>
      <c r="AN48" s="672"/>
      <c r="AO48" s="673"/>
      <c r="AP48" s="671"/>
      <c r="AQ48" s="672"/>
      <c r="AR48" s="672"/>
      <c r="AS48" s="673"/>
      <c r="AT48" s="787"/>
      <c r="AU48" s="841"/>
      <c r="AV48" s="841"/>
      <c r="AW48" s="321"/>
      <c r="AX48" s="755"/>
      <c r="AY48" s="61"/>
      <c r="AZ48" s="842"/>
      <c r="BA48" s="61"/>
      <c r="BB48" s="61"/>
      <c r="BC48" s="755"/>
      <c r="BD48" s="755"/>
      <c r="BE48" s="755"/>
    </row>
    <row r="49" spans="1:57" s="62" customFormat="1" ht="12" customHeight="1">
      <c r="A49" s="757" t="s">
        <v>195</v>
      </c>
      <c r="B49" s="843"/>
      <c r="C49" s="843"/>
      <c r="D49" s="843"/>
      <c r="E49" s="844"/>
      <c r="F49" s="845"/>
      <c r="G49" s="846">
        <v>252</v>
      </c>
      <c r="H49" s="846">
        <v>267.89999999999998</v>
      </c>
      <c r="I49" s="846">
        <v>293.2</v>
      </c>
      <c r="J49" s="847">
        <v>295.3</v>
      </c>
      <c r="K49" s="846">
        <v>313</v>
      </c>
      <c r="L49" s="846">
        <v>333.4</v>
      </c>
      <c r="M49" s="848">
        <v>367.3</v>
      </c>
      <c r="N49" s="846">
        <v>363.9</v>
      </c>
      <c r="O49" s="846">
        <v>378.2</v>
      </c>
      <c r="P49" s="846">
        <v>399.7</v>
      </c>
      <c r="Q49" s="848">
        <v>443.2</v>
      </c>
      <c r="R49" s="847">
        <v>441.1</v>
      </c>
      <c r="S49" s="846">
        <v>461.6</v>
      </c>
      <c r="T49" s="843">
        <v>491.9</v>
      </c>
      <c r="U49" s="844">
        <v>559</v>
      </c>
      <c r="V49" s="847">
        <v>555.70000000000005</v>
      </c>
      <c r="W49" s="843">
        <v>567.70000000000005</v>
      </c>
      <c r="X49" s="843">
        <v>612.79999999999995</v>
      </c>
      <c r="Y49" s="844">
        <v>680.4</v>
      </c>
      <c r="Z49" s="847">
        <v>654.70000000000005</v>
      </c>
      <c r="AA49" s="843">
        <v>662.7</v>
      </c>
      <c r="AB49" s="843">
        <v>697.18399999999997</v>
      </c>
      <c r="AC49" s="844">
        <v>775.00800000000004</v>
      </c>
      <c r="AD49" s="847">
        <v>742.41099999999994</v>
      </c>
      <c r="AE49" s="843">
        <v>747.54100000000005</v>
      </c>
      <c r="AF49" s="804">
        <v>771.56100000000004</v>
      </c>
      <c r="AG49" s="804">
        <v>867.52599999999995</v>
      </c>
      <c r="AH49" s="849">
        <v>882.245</v>
      </c>
      <c r="AI49" s="843">
        <v>889.14300000000003</v>
      </c>
      <c r="AJ49" s="804">
        <v>928.86400000000003</v>
      </c>
      <c r="AK49" s="804">
        <v>1061.0650000000001</v>
      </c>
      <c r="AL49" s="754"/>
      <c r="AM49" s="48"/>
      <c r="AN49" s="48"/>
      <c r="AO49" s="320"/>
      <c r="AP49" s="754"/>
      <c r="AQ49" s="48"/>
      <c r="AR49" s="48"/>
      <c r="AS49" s="320"/>
      <c r="AT49" s="787"/>
      <c r="AU49" s="850"/>
      <c r="AV49" s="851">
        <f>I49</f>
        <v>293.2</v>
      </c>
      <c r="AW49" s="851">
        <f>M49</f>
        <v>367.3</v>
      </c>
      <c r="AX49" s="852">
        <f>Q49</f>
        <v>443.2</v>
      </c>
      <c r="AY49" s="853">
        <f>U49</f>
        <v>559</v>
      </c>
      <c r="AZ49" s="854">
        <f>Y49</f>
        <v>680.4</v>
      </c>
      <c r="BA49" s="853">
        <f>AC49</f>
        <v>775.00800000000004</v>
      </c>
      <c r="BB49" s="853">
        <f>AG49</f>
        <v>867.52599999999995</v>
      </c>
      <c r="BC49" s="755"/>
      <c r="BD49" s="755"/>
      <c r="BE49" s="755"/>
    </row>
    <row r="50" spans="1:57" s="62" customFormat="1" ht="12" customHeight="1">
      <c r="A50" s="797" t="s">
        <v>117</v>
      </c>
      <c r="B50" s="855"/>
      <c r="C50" s="855"/>
      <c r="D50" s="855"/>
      <c r="E50" s="856"/>
      <c r="F50" s="857"/>
      <c r="G50" s="855"/>
      <c r="H50" s="855"/>
      <c r="I50" s="858"/>
      <c r="J50" s="859"/>
      <c r="K50" s="858">
        <f t="shared" ref="K50:S50" si="76">K49/G49-1</f>
        <v>0.24206349206349209</v>
      </c>
      <c r="L50" s="858">
        <f t="shared" si="76"/>
        <v>0.24449421425905182</v>
      </c>
      <c r="M50" s="858">
        <f t="shared" si="76"/>
        <v>0.25272851296043664</v>
      </c>
      <c r="N50" s="859">
        <f t="shared" si="76"/>
        <v>0.23230612935997286</v>
      </c>
      <c r="O50" s="858">
        <f t="shared" si="76"/>
        <v>0.20830670926517558</v>
      </c>
      <c r="P50" s="858">
        <f t="shared" si="76"/>
        <v>0.19886022795440916</v>
      </c>
      <c r="Q50" s="858">
        <f t="shared" si="76"/>
        <v>0.20664307105907964</v>
      </c>
      <c r="R50" s="859">
        <f t="shared" si="76"/>
        <v>0.21214619400934343</v>
      </c>
      <c r="S50" s="858">
        <f t="shared" si="76"/>
        <v>0.22051824431517719</v>
      </c>
      <c r="T50" s="858">
        <f>T49/P49-1</f>
        <v>0.23067300475356523</v>
      </c>
      <c r="U50" s="860">
        <f t="shared" ref="U50:V50" si="77">U49/Q49-1</f>
        <v>0.26128158844765337</v>
      </c>
      <c r="V50" s="859">
        <f t="shared" si="77"/>
        <v>0.25980503287236467</v>
      </c>
      <c r="W50" s="858">
        <f>W49/S49-1</f>
        <v>0.2298526863084922</v>
      </c>
      <c r="X50" s="858">
        <f>X49/T49-1</f>
        <v>0.24578166293962189</v>
      </c>
      <c r="Y50" s="860">
        <f t="shared" ref="Y50:Z50" si="78">Y49/U49-1</f>
        <v>0.21717352415026836</v>
      </c>
      <c r="Z50" s="859">
        <f t="shared" si="78"/>
        <v>0.17815368004318866</v>
      </c>
      <c r="AA50" s="858">
        <f>AA49/W49-1</f>
        <v>0.16734190593623399</v>
      </c>
      <c r="AB50" s="858">
        <f>AB49/X49-1</f>
        <v>0.13770234986945162</v>
      </c>
      <c r="AC50" s="860">
        <f t="shared" ref="AC50:AK50" si="79">AC49/Y49-1</f>
        <v>0.13904761904761909</v>
      </c>
      <c r="AD50" s="859">
        <f t="shared" si="79"/>
        <v>0.13397128455781249</v>
      </c>
      <c r="AE50" s="858">
        <f t="shared" si="79"/>
        <v>0.12802323826769268</v>
      </c>
      <c r="AF50" s="820">
        <f t="shared" si="79"/>
        <v>0.10668202368384816</v>
      </c>
      <c r="AG50" s="820">
        <f t="shared" si="79"/>
        <v>0.11937683223915085</v>
      </c>
      <c r="AH50" s="861">
        <f t="shared" si="79"/>
        <v>0.18835119630501174</v>
      </c>
      <c r="AI50" s="858">
        <f t="shared" si="79"/>
        <v>0.18942372391614626</v>
      </c>
      <c r="AJ50" s="820">
        <f t="shared" si="79"/>
        <v>0.20387629753188663</v>
      </c>
      <c r="AK50" s="820">
        <f t="shared" si="79"/>
        <v>0.22309302545399223</v>
      </c>
      <c r="AL50" s="862"/>
      <c r="AM50" s="822"/>
      <c r="AN50" s="822"/>
      <c r="AO50" s="863"/>
      <c r="AP50" s="862"/>
      <c r="AQ50" s="822"/>
      <c r="AR50" s="822"/>
      <c r="AS50" s="863"/>
      <c r="AT50" s="822"/>
      <c r="AU50" s="864"/>
      <c r="AV50" s="865"/>
      <c r="AW50" s="866">
        <f t="shared" ref="AW50:BB50" si="80">AW49/AV49-1</f>
        <v>0.25272851296043664</v>
      </c>
      <c r="AX50" s="866">
        <f t="shared" si="80"/>
        <v>0.20664307105907964</v>
      </c>
      <c r="AY50" s="867">
        <f t="shared" si="80"/>
        <v>0.26128158844765337</v>
      </c>
      <c r="AZ50" s="868">
        <f t="shared" si="80"/>
        <v>0.21717352415026836</v>
      </c>
      <c r="BA50" s="867">
        <f t="shared" si="80"/>
        <v>0.13904761904761909</v>
      </c>
      <c r="BB50" s="867">
        <f t="shared" si="80"/>
        <v>0.11937683223915085</v>
      </c>
      <c r="BC50" s="869"/>
      <c r="BD50" s="869"/>
      <c r="BE50" s="869"/>
    </row>
    <row r="51" spans="1:57" s="885" customFormat="1" ht="12" customHeight="1">
      <c r="A51" s="757" t="s">
        <v>196</v>
      </c>
      <c r="B51" s="870"/>
      <c r="C51" s="870"/>
      <c r="D51" s="870"/>
      <c r="E51" s="871"/>
      <c r="F51" s="872"/>
      <c r="G51" s="873">
        <f t="shared" ref="G51:Q51" si="81">G49*G53</f>
        <v>178.92</v>
      </c>
      <c r="H51" s="873">
        <f t="shared" si="81"/>
        <v>192.88799999999998</v>
      </c>
      <c r="I51" s="873">
        <f t="shared" si="81"/>
        <v>214.03599999999997</v>
      </c>
      <c r="J51" s="874">
        <f t="shared" si="81"/>
        <v>215.56900000000002</v>
      </c>
      <c r="K51" s="873">
        <f t="shared" si="81"/>
        <v>231.62</v>
      </c>
      <c r="L51" s="873">
        <f t="shared" si="81"/>
        <v>246.71599999999998</v>
      </c>
      <c r="M51" s="875">
        <f t="shared" si="81"/>
        <v>275.47500000000002</v>
      </c>
      <c r="N51" s="873">
        <f t="shared" si="81"/>
        <v>272.92499999999995</v>
      </c>
      <c r="O51" s="873">
        <f t="shared" si="81"/>
        <v>279.86799999999999</v>
      </c>
      <c r="P51" s="873">
        <f t="shared" si="81"/>
        <v>303.77199999999999</v>
      </c>
      <c r="Q51" s="873">
        <f t="shared" si="81"/>
        <v>336.83199999999999</v>
      </c>
      <c r="R51" s="874">
        <f>R49*R53</f>
        <v>330.82500000000005</v>
      </c>
      <c r="S51" s="873">
        <f>S49*S53</f>
        <v>346.20000000000005</v>
      </c>
      <c r="T51" s="873">
        <f>T49*T53</f>
        <v>373.84399999999999</v>
      </c>
      <c r="U51" s="875">
        <f t="shared" ref="U51" si="82">U49*U53</f>
        <v>424.84000000000003</v>
      </c>
      <c r="V51" s="874">
        <f>V49*V53</f>
        <v>422.33200000000005</v>
      </c>
      <c r="W51" s="873">
        <f>W49*W53</f>
        <v>425.77500000000003</v>
      </c>
      <c r="X51" s="873">
        <f>X49*X53</f>
        <v>459.59999999999997</v>
      </c>
      <c r="Y51" s="875">
        <f t="shared" ref="Y51" si="83">Y49*Y53</f>
        <v>510.29999999999995</v>
      </c>
      <c r="Z51" s="874">
        <f>Z49*Z53</f>
        <v>497.57200000000006</v>
      </c>
      <c r="AA51" s="873">
        <f>AA49*AA53</f>
        <v>503.65200000000004</v>
      </c>
      <c r="AB51" s="873">
        <v>528.36699999999996</v>
      </c>
      <c r="AC51" s="875">
        <v>595.053</v>
      </c>
      <c r="AD51" s="874">
        <v>572.851</v>
      </c>
      <c r="AE51" s="873">
        <v>572.01499999999999</v>
      </c>
      <c r="AF51" s="876">
        <v>592.351</v>
      </c>
      <c r="AG51" s="876">
        <v>660.64700000000005</v>
      </c>
      <c r="AH51" s="877">
        <v>647.64700000000005</v>
      </c>
      <c r="AI51" s="873">
        <v>641.91800000000001</v>
      </c>
      <c r="AJ51" s="876">
        <v>669.01499999999999</v>
      </c>
      <c r="AK51" s="876">
        <v>748.61599999999999</v>
      </c>
      <c r="AL51" s="878"/>
      <c r="AM51" s="879"/>
      <c r="AN51" s="879"/>
      <c r="AO51" s="880"/>
      <c r="AP51" s="878"/>
      <c r="AQ51" s="879"/>
      <c r="AR51" s="879"/>
      <c r="AS51" s="880"/>
      <c r="AT51" s="879"/>
      <c r="AU51" s="881"/>
      <c r="AV51" s="882">
        <f>I51</f>
        <v>214.03599999999997</v>
      </c>
      <c r="AW51" s="882">
        <f>M51</f>
        <v>275.47500000000002</v>
      </c>
      <c r="AX51" s="852">
        <f>Q51</f>
        <v>336.83199999999999</v>
      </c>
      <c r="AY51" s="883">
        <f>U51</f>
        <v>424.84000000000003</v>
      </c>
      <c r="AZ51" s="884">
        <f>Y51</f>
        <v>510.29999999999995</v>
      </c>
      <c r="BA51" s="883">
        <f>AC51</f>
        <v>595.053</v>
      </c>
      <c r="BB51" s="883">
        <f>AG51</f>
        <v>660.64700000000005</v>
      </c>
      <c r="BC51" s="881"/>
      <c r="BD51" s="881"/>
      <c r="BE51" s="881"/>
    </row>
    <row r="52" spans="1:57" s="885" customFormat="1" ht="12" customHeight="1">
      <c r="A52" s="797" t="s">
        <v>117</v>
      </c>
      <c r="B52" s="858"/>
      <c r="C52" s="858"/>
      <c r="D52" s="858"/>
      <c r="E52" s="886"/>
      <c r="F52" s="887"/>
      <c r="G52" s="888"/>
      <c r="H52" s="858"/>
      <c r="I52" s="798"/>
      <c r="J52" s="800"/>
      <c r="K52" s="798">
        <f t="shared" ref="K52:R52" si="84">K51/G51-1</f>
        <v>0.29454504806617487</v>
      </c>
      <c r="L52" s="798">
        <f t="shared" si="84"/>
        <v>0.27906349798847008</v>
      </c>
      <c r="M52" s="889">
        <f t="shared" si="84"/>
        <v>0.28704984208264062</v>
      </c>
      <c r="N52" s="798">
        <f t="shared" si="84"/>
        <v>0.2660679411232596</v>
      </c>
      <c r="O52" s="798">
        <f t="shared" si="84"/>
        <v>0.20830670926517558</v>
      </c>
      <c r="P52" s="798">
        <f t="shared" si="84"/>
        <v>0.23126185573696079</v>
      </c>
      <c r="Q52" s="890">
        <f t="shared" si="84"/>
        <v>0.22273164533986733</v>
      </c>
      <c r="R52" s="800">
        <f t="shared" si="84"/>
        <v>0.21214619400934365</v>
      </c>
      <c r="S52" s="798">
        <f>S51/O51-1</f>
        <v>0.2370117341032203</v>
      </c>
      <c r="T52" s="798">
        <f>T51/P51-1</f>
        <v>0.23067300475356523</v>
      </c>
      <c r="U52" s="886">
        <f t="shared" ref="U52:V52" si="85">U51/Q51-1</f>
        <v>0.26128158844765359</v>
      </c>
      <c r="V52" s="800">
        <f t="shared" si="85"/>
        <v>0.2766024333106627</v>
      </c>
      <c r="W52" s="798">
        <f>W51/S51-1</f>
        <v>0.2298526863084922</v>
      </c>
      <c r="X52" s="798">
        <f>X51/T51-1</f>
        <v>0.22938979895357425</v>
      </c>
      <c r="Y52" s="886">
        <f t="shared" ref="Y52:Z52" si="86">Y51/U51-1</f>
        <v>0.20115808304302774</v>
      </c>
      <c r="Z52" s="800">
        <f t="shared" si="86"/>
        <v>0.17815368004318888</v>
      </c>
      <c r="AA52" s="798">
        <f>AA51/W51-1</f>
        <v>0.18290646468205041</v>
      </c>
      <c r="AB52" s="798">
        <f>AB51/X51-1</f>
        <v>0.14962358572671897</v>
      </c>
      <c r="AC52" s="886">
        <f>AC51/Y51-1</f>
        <v>0.16608465608465628</v>
      </c>
      <c r="AD52" s="800">
        <f t="shared" ref="AD52:AK52" si="87">AD51/Z51-1</f>
        <v>0.15129267724068063</v>
      </c>
      <c r="AE52" s="798">
        <f t="shared" si="87"/>
        <v>0.13573459452161396</v>
      </c>
      <c r="AF52" s="798">
        <f t="shared" si="87"/>
        <v>0.12109764614368435</v>
      </c>
      <c r="AG52" s="798">
        <f t="shared" si="87"/>
        <v>0.11023219780422933</v>
      </c>
      <c r="AH52" s="800">
        <f t="shared" si="87"/>
        <v>0.13056798364670752</v>
      </c>
      <c r="AI52" s="798">
        <f t="shared" si="87"/>
        <v>0.12220483728573561</v>
      </c>
      <c r="AJ52" s="798">
        <f t="shared" si="87"/>
        <v>0.12942326424704276</v>
      </c>
      <c r="AK52" s="798">
        <f t="shared" si="87"/>
        <v>0.13315583057215119</v>
      </c>
      <c r="AL52" s="891"/>
      <c r="AM52" s="892"/>
      <c r="AN52" s="892"/>
      <c r="AO52" s="893"/>
      <c r="AP52" s="891"/>
      <c r="AQ52" s="892"/>
      <c r="AR52" s="892"/>
      <c r="AS52" s="893"/>
      <c r="AT52" s="879"/>
      <c r="AU52" s="881"/>
      <c r="AV52" s="894"/>
      <c r="AW52" s="866">
        <f t="shared" ref="AW52:BB52" si="88">AW51/AV51-1</f>
        <v>0.28704984208264062</v>
      </c>
      <c r="AX52" s="866">
        <f t="shared" si="88"/>
        <v>0.22273164533986733</v>
      </c>
      <c r="AY52" s="895">
        <f t="shared" si="88"/>
        <v>0.26128158844765359</v>
      </c>
      <c r="AZ52" s="896">
        <f t="shared" si="88"/>
        <v>0.20115808304302774</v>
      </c>
      <c r="BA52" s="895">
        <f t="shared" si="88"/>
        <v>0.16608465608465628</v>
      </c>
      <c r="BB52" s="895">
        <f t="shared" si="88"/>
        <v>0.11023219780422933</v>
      </c>
      <c r="BC52" s="881"/>
      <c r="BD52" s="881"/>
      <c r="BE52" s="881"/>
    </row>
    <row r="53" spans="1:57" s="885" customFormat="1" ht="12" customHeight="1">
      <c r="A53" s="797" t="s">
        <v>197</v>
      </c>
      <c r="B53" s="858"/>
      <c r="C53" s="858"/>
      <c r="D53" s="858"/>
      <c r="E53" s="886"/>
      <c r="F53" s="887"/>
      <c r="G53" s="897">
        <v>0.71</v>
      </c>
      <c r="H53" s="897">
        <v>0.72</v>
      </c>
      <c r="I53" s="897">
        <v>0.73</v>
      </c>
      <c r="J53" s="898">
        <v>0.73</v>
      </c>
      <c r="K53" s="897">
        <v>0.74</v>
      </c>
      <c r="L53" s="897">
        <v>0.74</v>
      </c>
      <c r="M53" s="899">
        <v>0.75</v>
      </c>
      <c r="N53" s="897">
        <v>0.75</v>
      </c>
      <c r="O53" s="897">
        <v>0.74</v>
      </c>
      <c r="P53" s="897">
        <v>0.76</v>
      </c>
      <c r="Q53" s="899">
        <v>0.76</v>
      </c>
      <c r="R53" s="898">
        <v>0.75</v>
      </c>
      <c r="S53" s="897">
        <v>0.75</v>
      </c>
      <c r="T53" s="897">
        <v>0.76</v>
      </c>
      <c r="U53" s="899">
        <v>0.76</v>
      </c>
      <c r="V53" s="898">
        <v>0.76</v>
      </c>
      <c r="W53" s="897">
        <v>0.75</v>
      </c>
      <c r="X53" s="897">
        <v>0.75</v>
      </c>
      <c r="Y53" s="899">
        <v>0.75</v>
      </c>
      <c r="Z53" s="898">
        <v>0.76</v>
      </c>
      <c r="AA53" s="897">
        <v>0.76</v>
      </c>
      <c r="AB53" s="798">
        <f t="shared" ref="AB53:AK53" si="89">AB51/AB49</f>
        <v>0.75785875751594989</v>
      </c>
      <c r="AC53" s="890">
        <f t="shared" si="89"/>
        <v>0.76780239687848384</v>
      </c>
      <c r="AD53" s="800">
        <f t="shared" si="89"/>
        <v>0.77160898747459294</v>
      </c>
      <c r="AE53" s="798">
        <f t="shared" si="89"/>
        <v>0.76519548760536205</v>
      </c>
      <c r="AF53" s="798">
        <f t="shared" si="89"/>
        <v>0.76773061365206374</v>
      </c>
      <c r="AG53" s="798">
        <f t="shared" si="89"/>
        <v>0.76152991380085444</v>
      </c>
      <c r="AH53" s="800">
        <f t="shared" si="89"/>
        <v>0.73408973697782365</v>
      </c>
      <c r="AI53" s="798">
        <f t="shared" si="89"/>
        <v>0.72195136215434408</v>
      </c>
      <c r="AJ53" s="798">
        <f t="shared" si="89"/>
        <v>0.72025075791504456</v>
      </c>
      <c r="AK53" s="798">
        <f t="shared" si="89"/>
        <v>0.70553264880096878</v>
      </c>
      <c r="AL53" s="891"/>
      <c r="AM53" s="892"/>
      <c r="AN53" s="892"/>
      <c r="AO53" s="893"/>
      <c r="AP53" s="891"/>
      <c r="AQ53" s="892"/>
      <c r="AR53" s="892"/>
      <c r="AS53" s="893"/>
      <c r="AT53" s="879"/>
      <c r="AU53" s="881"/>
      <c r="AV53" s="866">
        <f t="shared" ref="AV53:BA53" si="90">AV51/AV49</f>
        <v>0.73</v>
      </c>
      <c r="AW53" s="866">
        <f t="shared" si="90"/>
        <v>0.75</v>
      </c>
      <c r="AX53" s="866">
        <f t="shared" si="90"/>
        <v>0.76</v>
      </c>
      <c r="AY53" s="895">
        <f t="shared" si="90"/>
        <v>0.76</v>
      </c>
      <c r="AZ53" s="896">
        <f t="shared" si="90"/>
        <v>0.75</v>
      </c>
      <c r="BA53" s="895">
        <f t="shared" si="90"/>
        <v>0.76780239687848384</v>
      </c>
      <c r="BB53" s="895">
        <f>BB51/BB49</f>
        <v>0.76152991380085444</v>
      </c>
      <c r="BC53" s="881"/>
      <c r="BD53" s="881"/>
      <c r="BE53" s="881"/>
    </row>
    <row r="54" spans="1:57" s="62" customFormat="1" ht="12" customHeight="1">
      <c r="A54" s="757" t="s">
        <v>198</v>
      </c>
      <c r="B54" s="798"/>
      <c r="C54" s="798"/>
      <c r="D54" s="798"/>
      <c r="E54" s="900"/>
      <c r="F54" s="901"/>
      <c r="G54" s="902">
        <f t="shared" ref="G54:AK54" si="91">G49-G32</f>
        <v>4.8629999999999995</v>
      </c>
      <c r="H54" s="902">
        <f t="shared" si="91"/>
        <v>2.2019999999999982</v>
      </c>
      <c r="I54" s="846">
        <f t="shared" si="91"/>
        <v>3.2969999999999686</v>
      </c>
      <c r="J54" s="903">
        <f t="shared" si="91"/>
        <v>3.3949999999999818</v>
      </c>
      <c r="K54" s="846">
        <f t="shared" si="91"/>
        <v>5.66700000000003</v>
      </c>
      <c r="L54" s="846">
        <f t="shared" si="91"/>
        <v>4.0249999999999773</v>
      </c>
      <c r="M54" s="904">
        <f t="shared" si="91"/>
        <v>4.1730000000000018</v>
      </c>
      <c r="N54" s="846">
        <f t="shared" si="91"/>
        <v>5.8089999999999691</v>
      </c>
      <c r="O54" s="846">
        <f t="shared" si="91"/>
        <v>12.89100000000002</v>
      </c>
      <c r="P54" s="846">
        <f t="shared" si="91"/>
        <v>9.4979999999999905</v>
      </c>
      <c r="Q54" s="904">
        <f t="shared" si="91"/>
        <v>8.6899999999999977</v>
      </c>
      <c r="R54" s="905">
        <f t="shared" si="91"/>
        <v>12.238000000000056</v>
      </c>
      <c r="S54" s="902">
        <f t="shared" si="91"/>
        <v>16.725999999999999</v>
      </c>
      <c r="T54" s="846">
        <f t="shared" si="91"/>
        <v>14.942999999999984</v>
      </c>
      <c r="U54" s="904">
        <f t="shared" si="91"/>
        <v>28.115000000000009</v>
      </c>
      <c r="V54" s="905">
        <f t="shared" si="91"/>
        <v>28.192000000000007</v>
      </c>
      <c r="W54" s="846">
        <f t="shared" si="91"/>
        <v>19.645000000000095</v>
      </c>
      <c r="X54" s="846">
        <f t="shared" si="91"/>
        <v>19.087999999999965</v>
      </c>
      <c r="Y54" s="904">
        <f t="shared" si="91"/>
        <v>15.798000000000002</v>
      </c>
      <c r="Z54" s="905">
        <f t="shared" si="91"/>
        <v>12.632000000000062</v>
      </c>
      <c r="AA54" s="846">
        <f t="shared" si="91"/>
        <v>12.506000000000085</v>
      </c>
      <c r="AB54" s="846">
        <f t="shared" si="91"/>
        <v>15.725999999999999</v>
      </c>
      <c r="AC54" s="904">
        <f t="shared" si="91"/>
        <v>24.511000000000081</v>
      </c>
      <c r="AD54" s="905">
        <f t="shared" si="91"/>
        <v>19.702999999999861</v>
      </c>
      <c r="AE54" s="846">
        <f t="shared" si="91"/>
        <v>21.743000000000052</v>
      </c>
      <c r="AF54" s="846">
        <f t="shared" si="91"/>
        <v>24.109000000000037</v>
      </c>
      <c r="AG54" s="846">
        <f t="shared" si="91"/>
        <v>34.339000000000055</v>
      </c>
      <c r="AH54" s="905">
        <f t="shared" si="91"/>
        <v>73.87</v>
      </c>
      <c r="AI54" s="846">
        <f t="shared" si="91"/>
        <v>91.33400000000006</v>
      </c>
      <c r="AJ54" s="846">
        <f t="shared" si="91"/>
        <v>118.36099999999999</v>
      </c>
      <c r="AK54" s="758">
        <f t="shared" si="91"/>
        <v>161.7890000000001</v>
      </c>
      <c r="AL54" s="655"/>
      <c r="AM54" s="48"/>
      <c r="AN54" s="48"/>
      <c r="AO54" s="50"/>
      <c r="AP54" s="655"/>
      <c r="AQ54" s="48"/>
      <c r="AR54" s="48"/>
      <c r="AS54" s="50"/>
      <c r="AT54" s="48"/>
      <c r="AU54" s="906"/>
      <c r="AV54" s="882">
        <f>I54</f>
        <v>3.2969999999999686</v>
      </c>
      <c r="AW54" s="882">
        <f>M54</f>
        <v>4.1730000000000018</v>
      </c>
      <c r="AX54" s="852">
        <f>Q54</f>
        <v>8.6899999999999977</v>
      </c>
      <c r="AY54" s="883">
        <f>U54</f>
        <v>28.115000000000009</v>
      </c>
      <c r="AZ54" s="884">
        <f>Y54</f>
        <v>15.798000000000002</v>
      </c>
      <c r="BA54" s="883">
        <f>AC54</f>
        <v>24.511000000000081</v>
      </c>
      <c r="BB54" s="883">
        <f>AG54</f>
        <v>34.339000000000055</v>
      </c>
      <c r="BC54" s="907"/>
      <c r="BD54" s="907"/>
      <c r="BE54" s="907"/>
    </row>
    <row r="55" spans="1:57" s="62" customFormat="1" ht="12" customHeight="1">
      <c r="A55" s="797" t="s">
        <v>117</v>
      </c>
      <c r="B55" s="855"/>
      <c r="C55" s="855"/>
      <c r="D55" s="855"/>
      <c r="E55" s="856"/>
      <c r="F55" s="908"/>
      <c r="G55" s="855"/>
      <c r="H55" s="855"/>
      <c r="I55" s="858"/>
      <c r="J55" s="887"/>
      <c r="K55" s="858">
        <f t="shared" ref="K55:V55" si="92">K54/G54-1</f>
        <v>0.16533004318322653</v>
      </c>
      <c r="L55" s="858">
        <f t="shared" si="92"/>
        <v>0.82788374205267057</v>
      </c>
      <c r="M55" s="858">
        <f t="shared" si="92"/>
        <v>0.265696087352151</v>
      </c>
      <c r="N55" s="887">
        <f t="shared" si="92"/>
        <v>0.71104565537555242</v>
      </c>
      <c r="O55" s="858">
        <f t="shared" si="92"/>
        <v>1.2747485442032738</v>
      </c>
      <c r="P55" s="858">
        <f t="shared" si="92"/>
        <v>1.3597515527950419</v>
      </c>
      <c r="Q55" s="858">
        <f t="shared" si="92"/>
        <v>1.0824346992571279</v>
      </c>
      <c r="R55" s="887">
        <f t="shared" si="92"/>
        <v>1.1067309347564334</v>
      </c>
      <c r="S55" s="858">
        <f t="shared" si="92"/>
        <v>0.29749437592118322</v>
      </c>
      <c r="T55" s="858">
        <f>T54/P54-1</f>
        <v>0.57327858496525574</v>
      </c>
      <c r="U55" s="886">
        <f t="shared" si="92"/>
        <v>2.2353279631760663</v>
      </c>
      <c r="V55" s="887">
        <f t="shared" si="92"/>
        <v>1.303644386337627</v>
      </c>
      <c r="W55" s="858">
        <f>W54/S54-1</f>
        <v>0.17451871338037162</v>
      </c>
      <c r="X55" s="858">
        <f>X54/T54-1</f>
        <v>0.2773874054741341</v>
      </c>
      <c r="Y55" s="886">
        <f t="shared" ref="Y55:Z55" si="93">Y54/U54-1</f>
        <v>-0.43809354437133219</v>
      </c>
      <c r="Z55" s="887">
        <f t="shared" si="93"/>
        <v>-0.55192962542565061</v>
      </c>
      <c r="AA55" s="858">
        <f>AA54/W54-1</f>
        <v>-0.36340035632476331</v>
      </c>
      <c r="AB55" s="858">
        <f>AB54/X54-1</f>
        <v>-0.17613160100586611</v>
      </c>
      <c r="AC55" s="886">
        <f t="shared" ref="AC55:AK55" si="94">AC54/Y54-1</f>
        <v>0.55152550955817681</v>
      </c>
      <c r="AD55" s="887">
        <f t="shared" si="94"/>
        <v>0.55976884103861346</v>
      </c>
      <c r="AE55" s="858">
        <f t="shared" si="94"/>
        <v>0.7386054693746924</v>
      </c>
      <c r="AF55" s="858">
        <f t="shared" si="94"/>
        <v>0.53306625969731902</v>
      </c>
      <c r="AG55" s="858">
        <f t="shared" si="94"/>
        <v>0.40096283301374647</v>
      </c>
      <c r="AH55" s="887">
        <f t="shared" si="94"/>
        <v>2.7491752524996462</v>
      </c>
      <c r="AI55" s="858">
        <f t="shared" si="94"/>
        <v>3.200616290300319</v>
      </c>
      <c r="AJ55" s="858">
        <f t="shared" si="94"/>
        <v>3.9094114231199883</v>
      </c>
      <c r="AK55" s="820">
        <f t="shared" si="94"/>
        <v>3.7115233408078234</v>
      </c>
      <c r="AL55" s="909"/>
      <c r="AM55" s="822"/>
      <c r="AN55" s="822"/>
      <c r="AO55" s="863"/>
      <c r="AP55" s="909"/>
      <c r="AQ55" s="822"/>
      <c r="AR55" s="822"/>
      <c r="AS55" s="863"/>
      <c r="AT55" s="822"/>
      <c r="AU55" s="910"/>
      <c r="AV55" s="910"/>
      <c r="AW55" s="866">
        <f t="shared" ref="AW55:BB55" si="95">AW54/AV54-1</f>
        <v>0.265696087352151</v>
      </c>
      <c r="AX55" s="866">
        <f t="shared" si="95"/>
        <v>1.0824346992571279</v>
      </c>
      <c r="AY55" s="895">
        <f t="shared" si="95"/>
        <v>2.2353279631760663</v>
      </c>
      <c r="AZ55" s="896">
        <f t="shared" si="95"/>
        <v>-0.43809354437133219</v>
      </c>
      <c r="BA55" s="895">
        <f t="shared" si="95"/>
        <v>0.55152550955817681</v>
      </c>
      <c r="BB55" s="895">
        <f t="shared" si="95"/>
        <v>0.40096283301374647</v>
      </c>
      <c r="BC55" s="910"/>
      <c r="BD55" s="910"/>
      <c r="BE55" s="910"/>
    </row>
    <row r="56" spans="1:57" s="62" customFormat="1" ht="12" customHeight="1">
      <c r="A56" s="757"/>
      <c r="B56" s="843"/>
      <c r="C56" s="843"/>
      <c r="D56" s="843"/>
      <c r="E56" s="911"/>
      <c r="F56" s="912"/>
      <c r="G56" s="843"/>
      <c r="H56" s="843"/>
      <c r="I56" s="843"/>
      <c r="J56" s="912"/>
      <c r="K56" s="843"/>
      <c r="L56" s="843"/>
      <c r="M56" s="911"/>
      <c r="N56" s="843"/>
      <c r="O56" s="843"/>
      <c r="P56" s="843"/>
      <c r="Q56" s="911"/>
      <c r="R56" s="912"/>
      <c r="S56" s="843"/>
      <c r="T56" s="843"/>
      <c r="U56" s="911"/>
      <c r="V56" s="48"/>
      <c r="W56" s="48"/>
      <c r="X56" s="48"/>
      <c r="Y56" s="50"/>
      <c r="Z56" s="48"/>
      <c r="AA56" s="48"/>
      <c r="AB56" s="48"/>
      <c r="AC56" s="50"/>
      <c r="AD56" s="48"/>
      <c r="AE56" s="48"/>
      <c r="AF56" s="48"/>
      <c r="AG56" s="48"/>
      <c r="AH56" s="655"/>
      <c r="AI56" s="48"/>
      <c r="AJ56" s="48"/>
      <c r="AK56" s="48"/>
      <c r="AL56" s="655"/>
      <c r="AM56" s="48"/>
      <c r="AN56" s="48"/>
      <c r="AO56" s="50"/>
      <c r="AP56" s="655"/>
      <c r="AQ56" s="48"/>
      <c r="AR56" s="48"/>
      <c r="AS56" s="50"/>
      <c r="AT56" s="48"/>
      <c r="AU56" s="907"/>
      <c r="AV56" s="907"/>
      <c r="AW56" s="907"/>
      <c r="AX56" s="907"/>
      <c r="AY56" s="61"/>
      <c r="AZ56" s="906"/>
      <c r="BA56" s="61"/>
      <c r="BB56" s="907"/>
      <c r="BC56" s="907"/>
      <c r="BD56" s="907"/>
      <c r="BE56" s="907"/>
    </row>
    <row r="57" spans="1:57" s="62" customFormat="1" ht="12" customHeight="1">
      <c r="A57" s="751" t="s">
        <v>199</v>
      </c>
      <c r="B57" s="843"/>
      <c r="C57" s="843"/>
      <c r="D57" s="843"/>
      <c r="E57" s="911"/>
      <c r="F57" s="912"/>
      <c r="G57" s="843"/>
      <c r="H57" s="843"/>
      <c r="I57" s="843"/>
      <c r="J57" s="912"/>
      <c r="K57" s="843"/>
      <c r="L57" s="843"/>
      <c r="M57" s="911"/>
      <c r="N57" s="843"/>
      <c r="O57" s="843"/>
      <c r="P57" s="843"/>
      <c r="Q57" s="911"/>
      <c r="R57" s="912"/>
      <c r="S57" s="843"/>
      <c r="T57" s="843"/>
      <c r="U57" s="911"/>
      <c r="V57" s="48"/>
      <c r="W57" s="48"/>
      <c r="X57" s="48"/>
      <c r="Y57" s="50"/>
      <c r="Z57" s="48"/>
      <c r="AA57" s="48"/>
      <c r="AB57" s="48"/>
      <c r="AC57" s="50"/>
      <c r="AD57" s="48"/>
      <c r="AE57" s="48"/>
      <c r="AF57" s="48"/>
      <c r="AG57" s="48"/>
      <c r="AH57" s="655"/>
      <c r="AI57" s="48"/>
      <c r="AJ57" s="48"/>
      <c r="AK57" s="48"/>
      <c r="AL57" s="655"/>
      <c r="AM57" s="48"/>
      <c r="AN57" s="48"/>
      <c r="AO57" s="50"/>
      <c r="AP57" s="655"/>
      <c r="AQ57" s="48"/>
      <c r="AR57" s="48"/>
      <c r="AS57" s="50"/>
      <c r="AT57" s="48"/>
      <c r="AU57" s="907"/>
      <c r="AV57" s="907"/>
      <c r="AW57" s="913"/>
      <c r="AX57" s="913"/>
      <c r="AY57" s="913"/>
      <c r="AZ57" s="914"/>
      <c r="BA57" s="61"/>
      <c r="BB57" s="907"/>
      <c r="BC57" s="907"/>
      <c r="BD57" s="907"/>
      <c r="BE57" s="907"/>
    </row>
    <row r="58" spans="1:57" s="771" customFormat="1" ht="11.65">
      <c r="A58" s="915" t="s">
        <v>118</v>
      </c>
      <c r="B58" s="192"/>
      <c r="C58" s="192"/>
      <c r="D58" s="192"/>
      <c r="E58" s="916"/>
      <c r="F58" s="917"/>
      <c r="G58" s="192"/>
      <c r="H58" s="192">
        <f t="shared" ref="H58:AK58" si="96">H5</f>
        <v>69.44</v>
      </c>
      <c r="I58" s="192">
        <f t="shared" si="96"/>
        <v>75.221000000000004</v>
      </c>
      <c r="J58" s="917">
        <f t="shared" si="96"/>
        <v>80.301000000000002</v>
      </c>
      <c r="K58" s="192">
        <f t="shared" si="96"/>
        <v>85.384</v>
      </c>
      <c r="L58" s="192">
        <f t="shared" si="96"/>
        <v>91.852000000000004</v>
      </c>
      <c r="M58" s="916">
        <f t="shared" si="96"/>
        <v>97.048999999999978</v>
      </c>
      <c r="N58" s="192">
        <f t="shared" si="96"/>
        <v>102.648</v>
      </c>
      <c r="O58" s="192">
        <f t="shared" si="96"/>
        <v>107.209</v>
      </c>
      <c r="P58" s="192">
        <f t="shared" si="96"/>
        <v>112.28200000000001</v>
      </c>
      <c r="Q58" s="916">
        <f t="shared" si="96"/>
        <v>118.08200000000001</v>
      </c>
      <c r="R58" s="917">
        <f t="shared" si="96"/>
        <v>123.18900000000001</v>
      </c>
      <c r="S58" s="192">
        <f t="shared" si="96"/>
        <v>130.25900000000001</v>
      </c>
      <c r="T58" s="192">
        <f t="shared" si="96"/>
        <v>138.66399999999999</v>
      </c>
      <c r="U58" s="916">
        <f t="shared" si="96"/>
        <v>149.018</v>
      </c>
      <c r="V58" s="917">
        <f t="shared" si="96"/>
        <v>159.36799999999999</v>
      </c>
      <c r="W58" s="192">
        <f t="shared" si="96"/>
        <v>164.34100000000001</v>
      </c>
      <c r="X58" s="192">
        <f t="shared" si="96"/>
        <v>174.851</v>
      </c>
      <c r="Y58" s="916">
        <f t="shared" si="96"/>
        <v>184.631</v>
      </c>
      <c r="Z58" s="917">
        <f t="shared" si="96"/>
        <v>188.83900000000003</v>
      </c>
      <c r="AA58" s="192">
        <f t="shared" si="96"/>
        <v>195.036</v>
      </c>
      <c r="AB58" s="192">
        <f t="shared" si="96"/>
        <v>201.529</v>
      </c>
      <c r="AC58" s="916">
        <f t="shared" si="96"/>
        <v>213.30599999999998</v>
      </c>
      <c r="AD58" s="917">
        <f t="shared" si="96"/>
        <v>215.96099999999998</v>
      </c>
      <c r="AE58" s="192">
        <f t="shared" si="96"/>
        <v>221.24100000000001</v>
      </c>
      <c r="AF58" s="192">
        <f t="shared" si="96"/>
        <v>227.08799999999999</v>
      </c>
      <c r="AG58" s="192">
        <f t="shared" si="96"/>
        <v>235.73099999999999</v>
      </c>
      <c r="AH58" s="917">
        <f t="shared" si="96"/>
        <v>239.137</v>
      </c>
      <c r="AI58" s="192">
        <f t="shared" si="96"/>
        <v>247.29500000000002</v>
      </c>
      <c r="AJ58" s="192">
        <f t="shared" si="96"/>
        <v>252.44</v>
      </c>
      <c r="AK58" s="192">
        <f t="shared" si="96"/>
        <v>260.53300000000002</v>
      </c>
      <c r="AL58" s="918"/>
      <c r="AM58" s="767"/>
      <c r="AN58" s="767"/>
      <c r="AO58" s="919"/>
      <c r="AP58" s="918"/>
      <c r="AQ58" s="767"/>
      <c r="AR58" s="767"/>
      <c r="AS58" s="919"/>
      <c r="AT58" s="767"/>
      <c r="AU58" s="920"/>
      <c r="AV58" s="808"/>
      <c r="AW58" s="921"/>
      <c r="AX58" s="921"/>
      <c r="AY58" s="922"/>
      <c r="AZ58" s="923"/>
      <c r="BA58" s="924">
        <f>SUM(Z58:AC58)</f>
        <v>798.71</v>
      </c>
      <c r="BB58" s="924">
        <f>SUM(AD58:AG58)</f>
        <v>900.02099999999996</v>
      </c>
      <c r="BC58" s="920"/>
      <c r="BD58" s="920"/>
      <c r="BE58" s="920"/>
    </row>
    <row r="59" spans="1:57" s="938" customFormat="1" ht="13.9">
      <c r="A59" s="925" t="s">
        <v>200</v>
      </c>
      <c r="B59" s="926"/>
      <c r="C59" s="926"/>
      <c r="D59" s="926"/>
      <c r="E59" s="927"/>
      <c r="F59" s="928"/>
      <c r="G59" s="926"/>
      <c r="H59" s="926">
        <f>H51-G51</f>
        <v>13.967999999999989</v>
      </c>
      <c r="I59" s="926">
        <f t="shared" ref="I59:AK59" si="97">I51-H51</f>
        <v>21.147999999999996</v>
      </c>
      <c r="J59" s="928">
        <f t="shared" si="97"/>
        <v>1.5330000000000439</v>
      </c>
      <c r="K59" s="926">
        <f t="shared" si="97"/>
        <v>16.050999999999988</v>
      </c>
      <c r="L59" s="926">
        <f t="shared" si="97"/>
        <v>15.095999999999975</v>
      </c>
      <c r="M59" s="927">
        <f t="shared" si="97"/>
        <v>28.759000000000043</v>
      </c>
      <c r="N59" s="926">
        <f t="shared" si="97"/>
        <v>-2.5500000000000682</v>
      </c>
      <c r="O59" s="926">
        <f t="shared" si="97"/>
        <v>6.9430000000000405</v>
      </c>
      <c r="P59" s="926">
        <f t="shared" si="97"/>
        <v>23.903999999999996</v>
      </c>
      <c r="Q59" s="927">
        <f t="shared" si="97"/>
        <v>33.06</v>
      </c>
      <c r="R59" s="928">
        <f t="shared" si="97"/>
        <v>-6.0069999999999482</v>
      </c>
      <c r="S59" s="926">
        <f t="shared" si="97"/>
        <v>15.375</v>
      </c>
      <c r="T59" s="926">
        <f t="shared" si="97"/>
        <v>27.643999999999949</v>
      </c>
      <c r="U59" s="927">
        <f t="shared" si="97"/>
        <v>50.996000000000038</v>
      </c>
      <c r="V59" s="928">
        <f t="shared" si="97"/>
        <v>-2.5079999999999814</v>
      </c>
      <c r="W59" s="926">
        <f t="shared" si="97"/>
        <v>3.4429999999999836</v>
      </c>
      <c r="X59" s="926">
        <f t="shared" si="97"/>
        <v>33.824999999999932</v>
      </c>
      <c r="Y59" s="929">
        <f t="shared" si="97"/>
        <v>50.699999999999989</v>
      </c>
      <c r="Z59" s="928">
        <f t="shared" si="97"/>
        <v>-12.727999999999895</v>
      </c>
      <c r="AA59" s="926">
        <f t="shared" si="97"/>
        <v>6.0799999999999841</v>
      </c>
      <c r="AB59" s="926">
        <f t="shared" si="97"/>
        <v>24.714999999999918</v>
      </c>
      <c r="AC59" s="929">
        <f t="shared" si="97"/>
        <v>66.686000000000035</v>
      </c>
      <c r="AD59" s="928">
        <f t="shared" si="97"/>
        <v>-22.201999999999998</v>
      </c>
      <c r="AE59" s="926">
        <f t="shared" si="97"/>
        <v>-0.83600000000001273</v>
      </c>
      <c r="AF59" s="926">
        <f t="shared" si="97"/>
        <v>20.336000000000013</v>
      </c>
      <c r="AG59" s="926">
        <f t="shared" si="97"/>
        <v>68.296000000000049</v>
      </c>
      <c r="AH59" s="928">
        <f t="shared" si="97"/>
        <v>-13</v>
      </c>
      <c r="AI59" s="926">
        <f t="shared" si="97"/>
        <v>-5.7290000000000418</v>
      </c>
      <c r="AJ59" s="926">
        <f t="shared" si="97"/>
        <v>27.09699999999998</v>
      </c>
      <c r="AK59" s="926">
        <f t="shared" si="97"/>
        <v>79.600999999999999</v>
      </c>
      <c r="AL59" s="930"/>
      <c r="AM59" s="931"/>
      <c r="AN59" s="931"/>
      <c r="AO59" s="932"/>
      <c r="AP59" s="930"/>
      <c r="AQ59" s="931"/>
      <c r="AR59" s="931"/>
      <c r="AS59" s="932"/>
      <c r="AT59" s="931"/>
      <c r="AU59" s="933"/>
      <c r="AV59" s="808"/>
      <c r="AW59" s="934">
        <f t="shared" ref="AW59:AW60" si="98">SUM(J59:M59)</f>
        <v>61.43900000000005</v>
      </c>
      <c r="AX59" s="934">
        <f t="shared" ref="AX59:AX60" si="99">SUM(N59:Q59)</f>
        <v>61.356999999999971</v>
      </c>
      <c r="AY59" s="935">
        <f t="shared" ref="AY59:AY60" si="100">SUM(R59:U59)</f>
        <v>88.008000000000038</v>
      </c>
      <c r="AZ59" s="936">
        <f t="shared" ref="AZ59:AZ60" si="101">SUM(V59:Y59)</f>
        <v>85.459999999999923</v>
      </c>
      <c r="BA59" s="937">
        <f>SUM(Z59:AC59)</f>
        <v>84.753000000000043</v>
      </c>
      <c r="BB59" s="937">
        <f>SUM(AD59:AG59)</f>
        <v>65.594000000000051</v>
      </c>
      <c r="BC59" s="933"/>
      <c r="BD59" s="933"/>
      <c r="BE59" s="933"/>
    </row>
    <row r="60" spans="1:57" s="62" customFormat="1" ht="12" customHeight="1">
      <c r="A60" s="757" t="s">
        <v>201</v>
      </c>
      <c r="B60" s="843"/>
      <c r="C60" s="843"/>
      <c r="D60" s="843"/>
      <c r="E60" s="911"/>
      <c r="F60" s="912"/>
      <c r="G60" s="843"/>
      <c r="H60" s="846">
        <f>H58+H59</f>
        <v>83.407999999999987</v>
      </c>
      <c r="I60" s="846">
        <f t="shared" ref="I60:AK60" si="102">I58+I59</f>
        <v>96.369</v>
      </c>
      <c r="J60" s="903">
        <f t="shared" si="102"/>
        <v>81.834000000000046</v>
      </c>
      <c r="K60" s="846">
        <f t="shared" si="102"/>
        <v>101.43499999999999</v>
      </c>
      <c r="L60" s="846">
        <f t="shared" si="102"/>
        <v>106.94799999999998</v>
      </c>
      <c r="M60" s="904">
        <f t="shared" si="102"/>
        <v>125.80800000000002</v>
      </c>
      <c r="N60" s="846">
        <f t="shared" si="102"/>
        <v>100.09799999999993</v>
      </c>
      <c r="O60" s="846">
        <f t="shared" si="102"/>
        <v>114.15200000000004</v>
      </c>
      <c r="P60" s="846">
        <f t="shared" si="102"/>
        <v>136.18600000000001</v>
      </c>
      <c r="Q60" s="904">
        <f t="shared" si="102"/>
        <v>151.142</v>
      </c>
      <c r="R60" s="903">
        <f t="shared" si="102"/>
        <v>117.18200000000006</v>
      </c>
      <c r="S60" s="846">
        <f t="shared" si="102"/>
        <v>145.63400000000001</v>
      </c>
      <c r="T60" s="846">
        <f t="shared" si="102"/>
        <v>166.30799999999994</v>
      </c>
      <c r="U60" s="904">
        <f t="shared" si="102"/>
        <v>200.01400000000004</v>
      </c>
      <c r="V60" s="903">
        <f t="shared" si="102"/>
        <v>156.86000000000001</v>
      </c>
      <c r="W60" s="846">
        <f t="shared" si="102"/>
        <v>167.78399999999999</v>
      </c>
      <c r="X60" s="846">
        <f t="shared" si="102"/>
        <v>208.67599999999993</v>
      </c>
      <c r="Y60" s="904">
        <f t="shared" si="102"/>
        <v>235.33099999999999</v>
      </c>
      <c r="Z60" s="903">
        <f t="shared" si="102"/>
        <v>176.11100000000013</v>
      </c>
      <c r="AA60" s="846">
        <f t="shared" si="102"/>
        <v>201.11599999999999</v>
      </c>
      <c r="AB60" s="846">
        <f t="shared" si="102"/>
        <v>226.24399999999991</v>
      </c>
      <c r="AC60" s="904">
        <f t="shared" si="102"/>
        <v>279.99200000000002</v>
      </c>
      <c r="AD60" s="903">
        <f t="shared" si="102"/>
        <v>193.75899999999999</v>
      </c>
      <c r="AE60" s="846">
        <f t="shared" si="102"/>
        <v>220.405</v>
      </c>
      <c r="AF60" s="846">
        <f t="shared" si="102"/>
        <v>247.42400000000001</v>
      </c>
      <c r="AG60" s="846">
        <f t="shared" si="102"/>
        <v>304.02700000000004</v>
      </c>
      <c r="AH60" s="903">
        <f t="shared" si="102"/>
        <v>226.137</v>
      </c>
      <c r="AI60" s="846">
        <f t="shared" si="102"/>
        <v>241.56599999999997</v>
      </c>
      <c r="AJ60" s="846">
        <f t="shared" si="102"/>
        <v>279.53699999999998</v>
      </c>
      <c r="AK60" s="846">
        <f t="shared" si="102"/>
        <v>340.13400000000001</v>
      </c>
      <c r="AL60" s="655"/>
      <c r="AM60" s="48"/>
      <c r="AN60" s="48"/>
      <c r="AO60" s="50"/>
      <c r="AP60" s="655"/>
      <c r="AQ60" s="48"/>
      <c r="AR60" s="48"/>
      <c r="AS60" s="50"/>
      <c r="AT60" s="48"/>
      <c r="AU60" s="907"/>
      <c r="AV60" s="907"/>
      <c r="AW60" s="939">
        <f t="shared" si="98"/>
        <v>416.02499999999998</v>
      </c>
      <c r="AX60" s="939">
        <f t="shared" si="99"/>
        <v>501.57799999999997</v>
      </c>
      <c r="AY60" s="940">
        <f t="shared" si="100"/>
        <v>629.13800000000003</v>
      </c>
      <c r="AZ60" s="941">
        <f t="shared" si="101"/>
        <v>768.65099999999995</v>
      </c>
      <c r="BA60" s="940">
        <f>SUM(Z60:AC60)</f>
        <v>883.46299999999997</v>
      </c>
      <c r="BB60" s="940">
        <f>SUM(AD60:AG60)</f>
        <v>965.61500000000001</v>
      </c>
      <c r="BC60" s="907"/>
      <c r="BD60" s="907"/>
      <c r="BE60" s="907"/>
    </row>
    <row r="61" spans="1:57" s="62" customFormat="1" ht="12" customHeight="1">
      <c r="A61" s="797" t="s">
        <v>117</v>
      </c>
      <c r="B61" s="798"/>
      <c r="C61" s="798"/>
      <c r="D61" s="798"/>
      <c r="E61" s="890"/>
      <c r="F61" s="800"/>
      <c r="G61" s="798"/>
      <c r="H61" s="798"/>
      <c r="I61" s="798"/>
      <c r="J61" s="800"/>
      <c r="K61" s="798"/>
      <c r="L61" s="798">
        <f t="shared" ref="L61:R61" si="103">L60/H60-1</f>
        <v>0.28222712449645115</v>
      </c>
      <c r="M61" s="890">
        <f t="shared" si="103"/>
        <v>0.30548205335740763</v>
      </c>
      <c r="N61" s="798">
        <f t="shared" si="103"/>
        <v>0.22318351785321355</v>
      </c>
      <c r="O61" s="798">
        <f t="shared" si="103"/>
        <v>0.12537092719475584</v>
      </c>
      <c r="P61" s="798">
        <f t="shared" si="103"/>
        <v>0.27338519654411519</v>
      </c>
      <c r="Q61" s="890">
        <f t="shared" si="103"/>
        <v>0.20137034210860971</v>
      </c>
      <c r="R61" s="800">
        <f t="shared" si="103"/>
        <v>0.17067274071410155</v>
      </c>
      <c r="S61" s="798">
        <f>S60/O60-1</f>
        <v>0.27579017450416954</v>
      </c>
      <c r="T61" s="798">
        <f>T60/P60-1</f>
        <v>0.22118279411980613</v>
      </c>
      <c r="U61" s="890">
        <f t="shared" ref="U61:V61" si="104">U60/Q60-1</f>
        <v>0.32335155019782746</v>
      </c>
      <c r="V61" s="800">
        <f t="shared" si="104"/>
        <v>0.33860149169667642</v>
      </c>
      <c r="W61" s="798">
        <f>W60/S60-1</f>
        <v>0.15209360451542886</v>
      </c>
      <c r="X61" s="798">
        <f>X60/T60-1</f>
        <v>0.25475623541862102</v>
      </c>
      <c r="Y61" s="890">
        <f t="shared" ref="Y61:Z61" si="105">Y60/U60-1</f>
        <v>0.17657263991520566</v>
      </c>
      <c r="Z61" s="800">
        <f t="shared" si="105"/>
        <v>0.12272727272727346</v>
      </c>
      <c r="AA61" s="798">
        <f>AA60/W60-1</f>
        <v>0.19866018213894043</v>
      </c>
      <c r="AB61" s="798">
        <f>AB60/X60-1</f>
        <v>8.4187927696524723E-2</v>
      </c>
      <c r="AC61" s="890">
        <f t="shared" ref="AC61:AK61" si="106">AC60/Y60-1</f>
        <v>0.18977950206305172</v>
      </c>
      <c r="AD61" s="800">
        <f t="shared" si="106"/>
        <v>0.10020952694607277</v>
      </c>
      <c r="AE61" s="798">
        <f t="shared" si="106"/>
        <v>9.590982318661867E-2</v>
      </c>
      <c r="AF61" s="798">
        <f t="shared" si="106"/>
        <v>9.3615742295928728E-2</v>
      </c>
      <c r="AG61" s="798">
        <f t="shared" si="106"/>
        <v>8.5841738335381113E-2</v>
      </c>
      <c r="AH61" s="800">
        <f t="shared" si="106"/>
        <v>0.16710449579116338</v>
      </c>
      <c r="AI61" s="798">
        <f t="shared" si="106"/>
        <v>9.6009618656563989E-2</v>
      </c>
      <c r="AJ61" s="798">
        <f t="shared" si="106"/>
        <v>0.12978934945680276</v>
      </c>
      <c r="AK61" s="798">
        <f t="shared" si="106"/>
        <v>0.1187624783325163</v>
      </c>
      <c r="AL61" s="909"/>
      <c r="AM61" s="822"/>
      <c r="AN61" s="822"/>
      <c r="AO61" s="863"/>
      <c r="AP61" s="909"/>
      <c r="AQ61" s="822"/>
      <c r="AR61" s="822"/>
      <c r="AS61" s="863"/>
      <c r="AT61" s="822"/>
      <c r="AU61" s="910"/>
      <c r="AV61" s="910"/>
      <c r="AW61" s="910"/>
      <c r="AX61" s="826">
        <f>AX60/AW60-1</f>
        <v>0.20564389159305341</v>
      </c>
      <c r="AY61" s="942">
        <f>AY60/AX60-1</f>
        <v>0.25431737436649948</v>
      </c>
      <c r="AZ61" s="943">
        <f>AZ60/AY60-1</f>
        <v>0.22175262025183651</v>
      </c>
      <c r="BA61" s="942">
        <f>BA60/AZ60-1</f>
        <v>0.14936817879635877</v>
      </c>
      <c r="BB61" s="942">
        <f>BB60/BA60-1</f>
        <v>9.2988614124190905E-2</v>
      </c>
      <c r="BC61" s="944"/>
      <c r="BD61" s="944"/>
      <c r="BE61" s="944"/>
    </row>
    <row r="62" spans="1:57" s="62" customFormat="1" ht="12" customHeight="1">
      <c r="A62" s="945" t="s">
        <v>130</v>
      </c>
      <c r="B62" s="946"/>
      <c r="C62" s="946"/>
      <c r="D62" s="946"/>
      <c r="E62" s="947"/>
      <c r="F62" s="946"/>
      <c r="G62" s="946"/>
      <c r="H62" s="946"/>
      <c r="I62" s="947"/>
      <c r="J62" s="946"/>
      <c r="K62" s="946"/>
      <c r="L62" s="946"/>
      <c r="M62" s="946"/>
      <c r="N62" s="948"/>
      <c r="O62" s="948"/>
      <c r="P62" s="948"/>
      <c r="Q62" s="948"/>
      <c r="R62" s="948"/>
      <c r="S62" s="948"/>
      <c r="T62" s="948"/>
      <c r="U62" s="948"/>
      <c r="V62" s="948"/>
      <c r="W62" s="948"/>
      <c r="X62" s="948"/>
      <c r="Y62" s="948"/>
      <c r="Z62" s="948"/>
      <c r="AA62" s="948"/>
      <c r="AB62" s="948"/>
      <c r="AC62" s="948"/>
      <c r="AD62" s="948"/>
      <c r="AE62" s="948"/>
      <c r="AF62" s="948"/>
      <c r="AG62" s="948"/>
      <c r="AH62" s="948"/>
      <c r="AI62" s="948"/>
      <c r="AJ62" s="948"/>
      <c r="AK62" s="948"/>
      <c r="AL62" s="948"/>
      <c r="AM62" s="948"/>
      <c r="AN62" s="948"/>
      <c r="AO62" s="948"/>
      <c r="AP62" s="948"/>
      <c r="AQ62" s="948"/>
      <c r="AR62" s="948"/>
      <c r="AS62" s="948"/>
      <c r="AT62" s="949"/>
      <c r="AU62" s="950"/>
      <c r="AV62" s="950"/>
      <c r="AW62" s="948"/>
      <c r="AX62" s="948"/>
      <c r="AY62" s="948"/>
      <c r="AZ62" s="948"/>
      <c r="BA62" s="948"/>
      <c r="BB62" s="948"/>
      <c r="BC62" s="948"/>
      <c r="BD62" s="948"/>
      <c r="BE62" s="948"/>
    </row>
    <row r="63" spans="1:57" s="62" customFormat="1" ht="12" customHeight="1">
      <c r="A63" s="951"/>
      <c r="B63" s="952"/>
      <c r="C63" s="952"/>
      <c r="D63" s="952"/>
      <c r="E63" s="798"/>
      <c r="F63" s="952"/>
      <c r="G63" s="952"/>
      <c r="H63" s="952"/>
      <c r="I63" s="798"/>
      <c r="J63" s="952"/>
      <c r="K63" s="952"/>
      <c r="L63" s="952"/>
      <c r="M63" s="952"/>
      <c r="N63" s="953"/>
      <c r="O63" s="953"/>
      <c r="P63" s="953"/>
      <c r="Q63" s="953"/>
      <c r="R63" s="953"/>
      <c r="S63" s="953"/>
      <c r="T63" s="953"/>
      <c r="U63" s="953"/>
      <c r="V63" s="953"/>
      <c r="W63" s="953"/>
      <c r="X63" s="953"/>
      <c r="Y63" s="953"/>
      <c r="Z63" s="953"/>
      <c r="AA63" s="953"/>
      <c r="AB63" s="953"/>
      <c r="AC63" s="953"/>
      <c r="AD63" s="953"/>
      <c r="AE63" s="953"/>
      <c r="AF63" s="953"/>
      <c r="AG63" s="953"/>
      <c r="AH63" s="953"/>
      <c r="AI63" s="953"/>
      <c r="AJ63" s="953"/>
      <c r="AK63" s="953"/>
      <c r="AL63" s="953"/>
      <c r="AM63" s="953"/>
      <c r="AN63" s="953"/>
      <c r="AO63" s="953"/>
      <c r="AP63" s="953"/>
      <c r="AQ63" s="953"/>
      <c r="AR63" s="953"/>
      <c r="AS63" s="953"/>
      <c r="AT63" s="949"/>
      <c r="AU63" s="954"/>
      <c r="AV63" s="954"/>
      <c r="AW63" s="953"/>
      <c r="AX63" s="953"/>
      <c r="AY63" s="953"/>
      <c r="AZ63" s="953"/>
      <c r="BA63" s="953"/>
      <c r="BB63" s="953"/>
      <c r="BC63" s="953"/>
      <c r="BD63" s="953"/>
      <c r="BE63" s="953"/>
    </row>
    <row r="64" spans="1:57" s="45" customFormat="1" ht="12" customHeight="1">
      <c r="A64" s="649"/>
      <c r="B64" s="1733">
        <f>'Income Statement'!B$3</f>
        <v>2017</v>
      </c>
      <c r="C64" s="1733"/>
      <c r="D64" s="1733"/>
      <c r="E64" s="1734"/>
      <c r="F64" s="1733">
        <f>'Income Statement'!F$3</f>
        <v>2018</v>
      </c>
      <c r="G64" s="1733"/>
      <c r="H64" s="1733"/>
      <c r="I64" s="1735"/>
      <c r="J64" s="1725">
        <f>'Income Statement'!J$3</f>
        <v>2019</v>
      </c>
      <c r="K64" s="1733"/>
      <c r="L64" s="1733"/>
      <c r="M64" s="1735"/>
      <c r="N64" s="1725">
        <f>'Income Statement'!N$3</f>
        <v>2020</v>
      </c>
      <c r="O64" s="1733"/>
      <c r="P64" s="1733"/>
      <c r="Q64" s="1735"/>
      <c r="R64" s="1725">
        <f>'Income Statement'!R$3</f>
        <v>2021</v>
      </c>
      <c r="S64" s="1733"/>
      <c r="T64" s="1733"/>
      <c r="U64" s="1735"/>
      <c r="V64" s="1725">
        <f>'Income Statement'!V$3</f>
        <v>2022</v>
      </c>
      <c r="W64" s="1733"/>
      <c r="X64" s="1733"/>
      <c r="Y64" s="1735"/>
      <c r="Z64" s="1725">
        <f>'Income Statement'!Z$3</f>
        <v>2023</v>
      </c>
      <c r="AA64" s="1733"/>
      <c r="AB64" s="1733"/>
      <c r="AC64" s="1735"/>
      <c r="AD64" s="1725">
        <f>'Income Statement'!AD$3</f>
        <v>2024</v>
      </c>
      <c r="AE64" s="1733"/>
      <c r="AF64" s="1733"/>
      <c r="AG64" s="1735"/>
      <c r="AH64" s="1725">
        <f>'Income Statement'!AH$3</f>
        <v>2025</v>
      </c>
      <c r="AI64" s="1733"/>
      <c r="AJ64" s="1733"/>
      <c r="AK64" s="1735"/>
      <c r="AL64" s="1725">
        <f>'Income Statement'!AL$3</f>
        <v>2026</v>
      </c>
      <c r="AM64" s="1733"/>
      <c r="AN64" s="1733"/>
      <c r="AO64" s="1735"/>
      <c r="AP64" s="1725">
        <f>'Income Statement'!AP$3</f>
        <v>2027</v>
      </c>
      <c r="AQ64" s="1733"/>
      <c r="AR64" s="1733"/>
      <c r="AS64" s="1735"/>
      <c r="AT64" s="955"/>
      <c r="AU64" s="652"/>
      <c r="AV64" s="750"/>
      <c r="AW64" s="750"/>
      <c r="AX64" s="750"/>
      <c r="AY64" s="750"/>
      <c r="AZ64" s="750"/>
      <c r="BA64" s="652"/>
      <c r="BB64" s="750"/>
      <c r="BC64" s="750"/>
      <c r="BD64" s="750"/>
      <c r="BE64" s="653"/>
    </row>
    <row r="65" spans="1:57" s="62" customFormat="1" ht="12" customHeight="1">
      <c r="A65" s="751" t="s">
        <v>202</v>
      </c>
      <c r="B65" s="65">
        <f>'Income Statement'!B$4</f>
        <v>42825</v>
      </c>
      <c r="C65" s="65">
        <f>'Income Statement'!C$4</f>
        <v>42916</v>
      </c>
      <c r="D65" s="65">
        <f>'Income Statement'!D$4</f>
        <v>43008</v>
      </c>
      <c r="E65" s="66">
        <f>'Income Statement'!E$4</f>
        <v>43100</v>
      </c>
      <c r="F65" s="65">
        <f>'Income Statement'!F$4</f>
        <v>43190</v>
      </c>
      <c r="G65" s="65">
        <f>'Income Statement'!G$4</f>
        <v>43281</v>
      </c>
      <c r="H65" s="65">
        <f>'Income Statement'!H$4</f>
        <v>43373</v>
      </c>
      <c r="I65" s="956">
        <f>'Income Statement'!I$4</f>
        <v>43465</v>
      </c>
      <c r="J65" s="957">
        <f>'Income Statement'!J$4</f>
        <v>43555</v>
      </c>
      <c r="K65" s="65">
        <f>'Income Statement'!K$4</f>
        <v>43646</v>
      </c>
      <c r="L65" s="65">
        <f>'Income Statement'!L$4</f>
        <v>43738</v>
      </c>
      <c r="M65" s="956">
        <f>'Income Statement'!M$4</f>
        <v>43830</v>
      </c>
      <c r="N65" s="957">
        <f>'Income Statement'!N$4</f>
        <v>43921</v>
      </c>
      <c r="O65" s="65">
        <f>'Income Statement'!O$4</f>
        <v>44012</v>
      </c>
      <c r="P65" s="65">
        <f>'Income Statement'!P$4</f>
        <v>44104</v>
      </c>
      <c r="Q65" s="956">
        <f>'Income Statement'!Q$4</f>
        <v>44196</v>
      </c>
      <c r="R65" s="958">
        <f>'Income Statement'!R$4</f>
        <v>44286</v>
      </c>
      <c r="S65" s="65">
        <f>'Income Statement'!S$4</f>
        <v>44377</v>
      </c>
      <c r="T65" s="48">
        <f>'Income Statement'!T$4</f>
        <v>44469</v>
      </c>
      <c r="U65" s="318">
        <f>'Income Statement'!U$4</f>
        <v>44561</v>
      </c>
      <c r="V65" s="958">
        <f>'Income Statement'!V$4</f>
        <v>44651</v>
      </c>
      <c r="W65" s="48">
        <f>'Income Statement'!W$4</f>
        <v>44742</v>
      </c>
      <c r="X65" s="48">
        <f>'Income Statement'!X$4</f>
        <v>44834</v>
      </c>
      <c r="Y65" s="318">
        <f>'Income Statement'!Y$4</f>
        <v>44926</v>
      </c>
      <c r="Z65" s="958">
        <f>'Income Statement'!Z$4</f>
        <v>45016</v>
      </c>
      <c r="AA65" s="48">
        <f>'Income Statement'!AA$4</f>
        <v>45107</v>
      </c>
      <c r="AB65" s="48">
        <f>'Income Statement'!AB$4</f>
        <v>45199</v>
      </c>
      <c r="AC65" s="318">
        <f>'Income Statement'!AC$4</f>
        <v>45291</v>
      </c>
      <c r="AD65" s="958">
        <f>'Income Statement'!AD$4</f>
        <v>45382</v>
      </c>
      <c r="AE65" s="48">
        <f>'Income Statement'!AE$4</f>
        <v>45473</v>
      </c>
      <c r="AF65" s="48" t="str">
        <f>'Income Statement'!AF$4</f>
        <v>Sep-24</v>
      </c>
      <c r="AG65" s="318" t="str">
        <f>'Income Statement'!AG$4</f>
        <v>Dec-24</v>
      </c>
      <c r="AH65" s="958" t="str">
        <f>'Income Statement'!AH$4</f>
        <v>Mar-25</v>
      </c>
      <c r="AI65" s="48" t="str">
        <f>'Income Statement'!AI$4</f>
        <v>Jun-25</v>
      </c>
      <c r="AJ65" s="48" t="str">
        <f>'Income Statement'!AJ$4</f>
        <v>Sep-25</v>
      </c>
      <c r="AK65" s="318" t="str">
        <f>'Income Statement'!AK$4</f>
        <v>Dec-25</v>
      </c>
      <c r="AL65" s="958" t="str">
        <f>'Income Statement'!AL$4</f>
        <v>Mar-26E</v>
      </c>
      <c r="AM65" s="48" t="str">
        <f>'Income Statement'!AM$4</f>
        <v>Jun-26E</v>
      </c>
      <c r="AN65" s="48" t="str">
        <f>'Income Statement'!AN$4</f>
        <v>Sep-26E</v>
      </c>
      <c r="AO65" s="318" t="str">
        <f>'Income Statement'!AO$4</f>
        <v>Dec-26E</v>
      </c>
      <c r="AP65" s="958" t="str">
        <f>'Income Statement'!AP$4</f>
        <v>Mar-27E</v>
      </c>
      <c r="AQ65" s="48" t="str">
        <f>'Income Statement'!AQ$4</f>
        <v>Jun-27E</v>
      </c>
      <c r="AR65" s="48" t="str">
        <f>'Income Statement'!AR$4</f>
        <v>Sep-27E</v>
      </c>
      <c r="AS65" s="318" t="str">
        <f>'Income Statement'!AS$4</f>
        <v>Dec-27E</v>
      </c>
      <c r="AT65" s="958"/>
      <c r="AU65" s="959">
        <f>'Income Statement'!AU$4</f>
        <v>2017</v>
      </c>
      <c r="AV65" s="907">
        <f>'Income Statement'!AV$4</f>
        <v>2018</v>
      </c>
      <c r="AW65" s="906">
        <f>'Income Statement'!AW$4</f>
        <v>2019</v>
      </c>
      <c r="AX65" s="842">
        <f>'Income Statement'!AX$4</f>
        <v>2020</v>
      </c>
      <c r="AY65" s="61" t="str">
        <f>'Income Statement'!AY$4</f>
        <v>CY21</v>
      </c>
      <c r="AZ65" s="906" t="str">
        <f>'Income Statement'!AZ$4</f>
        <v>CY22</v>
      </c>
      <c r="BA65" s="61" t="str">
        <f>'Income Statement'!BA$4</f>
        <v>CY23</v>
      </c>
      <c r="BB65" s="907" t="str">
        <f>'Income Statement'!BB$4</f>
        <v>CY24</v>
      </c>
      <c r="BC65" s="907" t="str">
        <f>'Income Statement'!BC$4</f>
        <v>CY25</v>
      </c>
      <c r="BD65" s="907" t="str">
        <f>'Income Statement'!BD$4</f>
        <v>CY26E</v>
      </c>
      <c r="BE65" s="907" t="str">
        <f>'Income Statement'!BE$4</f>
        <v>CY27E</v>
      </c>
    </row>
    <row r="66" spans="1:57" s="62" customFormat="1" ht="12" customHeight="1">
      <c r="A66" s="960" t="s">
        <v>203</v>
      </c>
      <c r="B66" s="961"/>
      <c r="C66" s="961"/>
      <c r="D66" s="961"/>
      <c r="E66" s="962">
        <v>24000</v>
      </c>
      <c r="F66" s="963">
        <v>25000</v>
      </c>
      <c r="G66" s="963"/>
      <c r="H66" s="963"/>
      <c r="I66" s="962">
        <v>27000</v>
      </c>
      <c r="J66" s="964"/>
      <c r="K66" s="963"/>
      <c r="L66" s="963"/>
      <c r="M66" s="962">
        <v>30000</v>
      </c>
      <c r="N66" s="964"/>
      <c r="O66" s="963"/>
      <c r="P66" s="963"/>
      <c r="Q66" s="965">
        <v>30000</v>
      </c>
      <c r="R66" s="966"/>
      <c r="S66" s="961"/>
      <c r="T66" s="967" t="s">
        <v>204</v>
      </c>
      <c r="U66" s="968">
        <v>40000</v>
      </c>
      <c r="V66" s="969">
        <v>40000</v>
      </c>
      <c r="W66" s="967"/>
      <c r="X66" s="967"/>
      <c r="Y66" s="968">
        <v>43000</v>
      </c>
      <c r="Z66" s="967">
        <v>43000</v>
      </c>
      <c r="AA66" s="967">
        <v>43000</v>
      </c>
      <c r="AB66" s="967">
        <v>43000</v>
      </c>
      <c r="AC66" s="968">
        <v>44000</v>
      </c>
      <c r="AD66" s="970">
        <v>44000</v>
      </c>
      <c r="AE66" s="967">
        <v>44000</v>
      </c>
      <c r="AF66" s="967">
        <v>44000</v>
      </c>
      <c r="AG66" s="967">
        <v>44000</v>
      </c>
      <c r="AH66" s="971">
        <v>44000</v>
      </c>
      <c r="AI66" s="967">
        <v>44000</v>
      </c>
      <c r="AJ66" s="967">
        <v>44000</v>
      </c>
      <c r="AK66" s="967">
        <v>44000</v>
      </c>
      <c r="AL66" s="970"/>
      <c r="AM66" s="967"/>
      <c r="AN66" s="967"/>
      <c r="AO66" s="968"/>
      <c r="AP66" s="970"/>
      <c r="AQ66" s="967"/>
      <c r="AR66" s="967"/>
      <c r="AS66" s="968"/>
      <c r="AT66" s="972"/>
      <c r="AU66" s="973">
        <f>E66</f>
        <v>24000</v>
      </c>
      <c r="AV66" s="974">
        <f>I66</f>
        <v>27000</v>
      </c>
      <c r="AW66" s="974">
        <f>M66</f>
        <v>30000</v>
      </c>
      <c r="AX66" s="974">
        <f>Q66</f>
        <v>30000</v>
      </c>
      <c r="AY66" s="975">
        <f>U66</f>
        <v>40000</v>
      </c>
      <c r="AZ66" s="976">
        <f>Y66</f>
        <v>43000</v>
      </c>
      <c r="BA66" s="975">
        <f>AC66</f>
        <v>44000</v>
      </c>
      <c r="BB66" s="975">
        <f>AG66</f>
        <v>44000</v>
      </c>
      <c r="BC66" s="977"/>
      <c r="BD66" s="977"/>
      <c r="BE66" s="977"/>
    </row>
    <row r="67" spans="1:57" s="987" customFormat="1" ht="12" customHeight="1">
      <c r="A67" s="797" t="s">
        <v>117</v>
      </c>
      <c r="B67" s="978"/>
      <c r="C67" s="978"/>
      <c r="D67" s="978"/>
      <c r="E67" s="889">
        <f>E66/21000-1</f>
        <v>0.14285714285714279</v>
      </c>
      <c r="F67" s="978"/>
      <c r="G67" s="978"/>
      <c r="H67" s="978"/>
      <c r="I67" s="889">
        <f>I66/E66-1</f>
        <v>0.125</v>
      </c>
      <c r="J67" s="978"/>
      <c r="K67" s="978"/>
      <c r="L67" s="978"/>
      <c r="M67" s="889">
        <f>M66/I66-1</f>
        <v>0.11111111111111116</v>
      </c>
      <c r="N67" s="978"/>
      <c r="O67" s="978"/>
      <c r="P67" s="978"/>
      <c r="Q67" s="889"/>
      <c r="R67" s="978"/>
      <c r="S67" s="978"/>
      <c r="T67" s="798"/>
      <c r="U67" s="979">
        <f>U66/Q66-1</f>
        <v>0.33333333333333326</v>
      </c>
      <c r="V67" s="980"/>
      <c r="W67" s="981"/>
      <c r="X67" s="981"/>
      <c r="Y67" s="979">
        <f>Y66/U66-1</f>
        <v>7.4999999999999956E-2</v>
      </c>
      <c r="Z67" s="980">
        <f>Z66/V66-1</f>
        <v>7.4999999999999956E-2</v>
      </c>
      <c r="AA67" s="981"/>
      <c r="AB67" s="981"/>
      <c r="AC67" s="979"/>
      <c r="AD67" s="980"/>
      <c r="AE67" s="981"/>
      <c r="AF67" s="981"/>
      <c r="AG67" s="982"/>
      <c r="AH67" s="980"/>
      <c r="AI67" s="981"/>
      <c r="AJ67" s="981"/>
      <c r="AK67" s="982"/>
      <c r="AL67" s="980"/>
      <c r="AM67" s="981"/>
      <c r="AN67" s="981"/>
      <c r="AO67" s="979"/>
      <c r="AP67" s="980"/>
      <c r="AQ67" s="981"/>
      <c r="AR67" s="981"/>
      <c r="AS67" s="979"/>
      <c r="AT67" s="983"/>
      <c r="AU67" s="889">
        <f>AU66/21000-1</f>
        <v>0.14285714285714279</v>
      </c>
      <c r="AV67" s="984">
        <f t="shared" ref="AV67:BB67" si="107">AV66/AU66-1</f>
        <v>0.125</v>
      </c>
      <c r="AW67" s="984">
        <f t="shared" si="107"/>
        <v>0.11111111111111116</v>
      </c>
      <c r="AX67" s="984">
        <f t="shared" si="107"/>
        <v>0</v>
      </c>
      <c r="AY67" s="984">
        <f t="shared" si="107"/>
        <v>0.33333333333333326</v>
      </c>
      <c r="AZ67" s="985">
        <f t="shared" si="107"/>
        <v>7.4999999999999956E-2</v>
      </c>
      <c r="BA67" s="984">
        <f t="shared" si="107"/>
        <v>2.3255813953488413E-2</v>
      </c>
      <c r="BB67" s="984">
        <f t="shared" si="107"/>
        <v>0</v>
      </c>
      <c r="BC67" s="986"/>
      <c r="BD67" s="986"/>
      <c r="BE67" s="986"/>
    </row>
    <row r="68" spans="1:57" s="938" customFormat="1" ht="12" customHeight="1">
      <c r="A68" s="988" t="s">
        <v>205</v>
      </c>
      <c r="B68" s="989"/>
      <c r="C68" s="989"/>
      <c r="D68" s="989"/>
      <c r="E68" s="889">
        <v>0.53</v>
      </c>
      <c r="F68" s="989"/>
      <c r="G68" s="989"/>
      <c r="H68" s="989"/>
      <c r="I68" s="889">
        <v>0.57999999999999996</v>
      </c>
      <c r="J68" s="989"/>
      <c r="K68" s="989"/>
      <c r="L68" s="989"/>
      <c r="M68" s="990" t="s">
        <v>206</v>
      </c>
      <c r="N68" s="989"/>
      <c r="O68" s="989"/>
      <c r="P68" s="989"/>
      <c r="Q68" s="990" t="s">
        <v>206</v>
      </c>
      <c r="R68" s="989"/>
      <c r="S68" s="989"/>
      <c r="T68" s="989"/>
      <c r="U68" s="990" t="s">
        <v>207</v>
      </c>
      <c r="V68" s="989"/>
      <c r="W68" s="989"/>
      <c r="X68" s="989"/>
      <c r="Y68" s="990" t="s">
        <v>207</v>
      </c>
      <c r="Z68" s="989" t="s">
        <v>207</v>
      </c>
      <c r="AA68" s="989" t="s">
        <v>207</v>
      </c>
      <c r="AB68" s="989" t="s">
        <v>207</v>
      </c>
      <c r="AC68" s="991">
        <v>0.65</v>
      </c>
      <c r="AD68" s="992">
        <v>0.65</v>
      </c>
      <c r="AE68" s="992">
        <v>0.65</v>
      </c>
      <c r="AF68" s="992">
        <v>0.65</v>
      </c>
      <c r="AG68" s="993">
        <v>0.65</v>
      </c>
      <c r="AH68" s="992"/>
      <c r="AI68" s="992"/>
      <c r="AJ68" s="989"/>
      <c r="AK68" s="993"/>
      <c r="AL68" s="989"/>
      <c r="AM68" s="989"/>
      <c r="AN68" s="989"/>
      <c r="AO68" s="990"/>
      <c r="AP68" s="989"/>
      <c r="AQ68" s="989"/>
      <c r="AR68" s="989"/>
      <c r="AS68" s="990"/>
      <c r="AT68" s="994"/>
      <c r="AU68" s="995">
        <f>E68</f>
        <v>0.53</v>
      </c>
      <c r="AV68" s="984">
        <f>I68</f>
        <v>0.57999999999999996</v>
      </c>
      <c r="AW68" s="984" t="str">
        <f t="shared" ref="AW68:AW69" si="108">M68</f>
        <v>&gt;50%</v>
      </c>
      <c r="AX68" s="984" t="str">
        <f t="shared" ref="AX68:AX69" si="109">Q68</f>
        <v>&gt;50%</v>
      </c>
      <c r="AY68" s="984" t="str">
        <f t="shared" ref="AY68:AY69" si="110">U68</f>
        <v>~60%</v>
      </c>
      <c r="AZ68" s="985" t="str">
        <f t="shared" ref="AZ68:AZ69" si="111">Y68</f>
        <v>~60%</v>
      </c>
      <c r="BA68" s="996">
        <f t="shared" ref="BA68:BA69" si="112">AC68</f>
        <v>0.65</v>
      </c>
      <c r="BB68" s="996">
        <f>AG68</f>
        <v>0.65</v>
      </c>
      <c r="BC68" s="997"/>
      <c r="BD68" s="997"/>
      <c r="BE68" s="997"/>
    </row>
    <row r="69" spans="1:57" s="62" customFormat="1" ht="12" customHeight="1">
      <c r="A69" s="998" t="s">
        <v>208</v>
      </c>
      <c r="B69" s="978"/>
      <c r="C69" s="978"/>
      <c r="D69" s="978"/>
      <c r="E69" s="889">
        <v>0.28999999999999998</v>
      </c>
      <c r="F69" s="978"/>
      <c r="G69" s="978"/>
      <c r="H69" s="978"/>
      <c r="I69" s="889">
        <v>0.32</v>
      </c>
      <c r="J69" s="978"/>
      <c r="K69" s="978"/>
      <c r="L69" s="978"/>
      <c r="M69" s="889" t="s">
        <v>209</v>
      </c>
      <c r="N69" s="978"/>
      <c r="O69" s="978"/>
      <c r="P69" s="978"/>
      <c r="Q69" s="889" t="s">
        <v>209</v>
      </c>
      <c r="R69" s="978"/>
      <c r="S69" s="978"/>
      <c r="T69" s="798"/>
      <c r="U69" s="890" t="s">
        <v>210</v>
      </c>
      <c r="V69" s="999"/>
      <c r="W69" s="48"/>
      <c r="X69" s="48"/>
      <c r="Y69" s="890" t="s">
        <v>210</v>
      </c>
      <c r="Z69" s="798" t="s">
        <v>210</v>
      </c>
      <c r="AA69" s="767" t="s">
        <v>210</v>
      </c>
      <c r="AB69" s="767" t="s">
        <v>210</v>
      </c>
      <c r="AC69" s="991">
        <v>0.5</v>
      </c>
      <c r="AD69" s="992">
        <v>0.5</v>
      </c>
      <c r="AE69" s="992">
        <v>0.5</v>
      </c>
      <c r="AF69" s="992">
        <v>0.5</v>
      </c>
      <c r="AG69" s="993">
        <v>0.5</v>
      </c>
      <c r="AH69" s="992"/>
      <c r="AI69" s="992"/>
      <c r="AJ69" s="48"/>
      <c r="AK69" s="993"/>
      <c r="AL69" s="48"/>
      <c r="AM69" s="48"/>
      <c r="AN69" s="48"/>
      <c r="AO69" s="50"/>
      <c r="AP69" s="48"/>
      <c r="AQ69" s="48"/>
      <c r="AR69" s="48"/>
      <c r="AS69" s="50"/>
      <c r="AT69" s="50"/>
      <c r="AU69" s="995">
        <f>E69</f>
        <v>0.28999999999999998</v>
      </c>
      <c r="AV69" s="984">
        <f>I69</f>
        <v>0.32</v>
      </c>
      <c r="AW69" s="984" t="str">
        <f t="shared" si="108"/>
        <v>&gt;30%</v>
      </c>
      <c r="AX69" s="984" t="str">
        <f t="shared" si="109"/>
        <v>&gt;30%</v>
      </c>
      <c r="AY69" s="984" t="str">
        <f t="shared" si="110"/>
        <v>~40%</v>
      </c>
      <c r="AZ69" s="985" t="str">
        <f t="shared" si="111"/>
        <v>~40%</v>
      </c>
      <c r="BA69" s="996">
        <f t="shared" si="112"/>
        <v>0.5</v>
      </c>
      <c r="BB69" s="996">
        <f>AG69</f>
        <v>0.5</v>
      </c>
      <c r="BC69" s="907"/>
      <c r="BD69" s="907"/>
      <c r="BE69" s="907"/>
    </row>
    <row r="70" spans="1:57" s="62" customFormat="1" ht="12" customHeight="1">
      <c r="A70" s="998"/>
      <c r="B70" s="978"/>
      <c r="C70" s="978"/>
      <c r="D70" s="978"/>
      <c r="E70" s="889"/>
      <c r="F70" s="978"/>
      <c r="G70" s="978"/>
      <c r="H70" s="978"/>
      <c r="I70" s="889"/>
      <c r="J70" s="978"/>
      <c r="K70" s="978"/>
      <c r="L70" s="978"/>
      <c r="M70" s="889"/>
      <c r="N70" s="978"/>
      <c r="O70" s="978"/>
      <c r="P70" s="978"/>
      <c r="Q70" s="889"/>
      <c r="R70" s="978"/>
      <c r="S70" s="978"/>
      <c r="T70" s="798"/>
      <c r="U70" s="890"/>
      <c r="V70" s="999"/>
      <c r="W70" s="48"/>
      <c r="X70" s="48"/>
      <c r="Y70" s="890"/>
      <c r="Z70" s="48"/>
      <c r="AA70" s="48"/>
      <c r="AB70" s="48"/>
      <c r="AC70" s="50"/>
      <c r="AD70" s="48"/>
      <c r="AE70" s="48"/>
      <c r="AF70" s="48"/>
      <c r="AG70" s="50"/>
      <c r="AH70" s="48"/>
      <c r="AI70" s="48"/>
      <c r="AJ70" s="48"/>
      <c r="AK70" s="50"/>
      <c r="AL70" s="48"/>
      <c r="AM70" s="48"/>
      <c r="AN70" s="48"/>
      <c r="AO70" s="50"/>
      <c r="AP70" s="48"/>
      <c r="AQ70" s="48"/>
      <c r="AR70" s="48"/>
      <c r="AS70" s="50"/>
      <c r="AT70" s="50"/>
      <c r="AU70" s="984"/>
      <c r="AV70" s="995"/>
      <c r="AW70" s="999"/>
      <c r="AX70" s="985"/>
      <c r="AY70" s="984"/>
      <c r="AZ70" s="999"/>
      <c r="BA70" s="61"/>
      <c r="BB70" s="61"/>
      <c r="BC70" s="56"/>
      <c r="BD70" s="56"/>
      <c r="BE70" s="56"/>
    </row>
    <row r="71" spans="1:57" s="62" customFormat="1" ht="12" customHeight="1">
      <c r="A71" s="960" t="s">
        <v>211</v>
      </c>
      <c r="B71" s="978"/>
      <c r="C71" s="978"/>
      <c r="D71" s="978"/>
      <c r="E71" s="1000">
        <v>4400</v>
      </c>
      <c r="F71" s="1001">
        <f t="shared" ref="F71:AK71" si="113">E71+F73</f>
        <v>4701</v>
      </c>
      <c r="G71" s="1000">
        <f t="shared" si="113"/>
        <v>4983</v>
      </c>
      <c r="H71" s="1000">
        <f t="shared" si="113"/>
        <v>5241</v>
      </c>
      <c r="I71" s="1000">
        <f t="shared" si="113"/>
        <v>5578</v>
      </c>
      <c r="J71" s="1001">
        <f t="shared" si="113"/>
        <v>5889</v>
      </c>
      <c r="K71" s="1000">
        <f t="shared" si="113"/>
        <v>6241</v>
      </c>
      <c r="L71" s="1000">
        <f t="shared" si="113"/>
        <v>6628</v>
      </c>
      <c r="M71" s="1000">
        <f t="shared" si="113"/>
        <v>7089</v>
      </c>
      <c r="N71" s="1001">
        <f t="shared" si="113"/>
        <v>7408</v>
      </c>
      <c r="O71" s="1000">
        <f t="shared" si="113"/>
        <v>7749</v>
      </c>
      <c r="P71" s="1000">
        <f t="shared" si="113"/>
        <v>8084</v>
      </c>
      <c r="Q71" s="1000">
        <f t="shared" si="113"/>
        <v>8544</v>
      </c>
      <c r="R71" s="1001">
        <f t="shared" si="113"/>
        <v>8875</v>
      </c>
      <c r="S71" s="1000">
        <f t="shared" si="113"/>
        <v>9365</v>
      </c>
      <c r="T71" s="1000">
        <f t="shared" si="113"/>
        <v>9864</v>
      </c>
      <c r="U71" s="1002">
        <f t="shared" si="113"/>
        <v>10426</v>
      </c>
      <c r="V71" s="1001">
        <f t="shared" si="113"/>
        <v>10885</v>
      </c>
      <c r="W71" s="1000">
        <f t="shared" si="113"/>
        <v>11425</v>
      </c>
      <c r="X71" s="1000">
        <f t="shared" si="113"/>
        <v>11933</v>
      </c>
      <c r="Y71" s="1002">
        <f t="shared" si="113"/>
        <v>12504</v>
      </c>
      <c r="Z71" s="1001">
        <f t="shared" si="113"/>
        <v>12883</v>
      </c>
      <c r="AA71" s="1000">
        <f t="shared" si="113"/>
        <v>13309</v>
      </c>
      <c r="AB71" s="1000">
        <f t="shared" si="113"/>
        <v>13695</v>
      </c>
      <c r="AC71" s="1002">
        <f t="shared" si="113"/>
        <v>14292</v>
      </c>
      <c r="AD71" s="1003">
        <f t="shared" si="113"/>
        <v>14702</v>
      </c>
      <c r="AE71" s="1004">
        <f t="shared" si="113"/>
        <v>15110</v>
      </c>
      <c r="AF71" s="1004">
        <f t="shared" si="113"/>
        <v>15496</v>
      </c>
      <c r="AG71" s="1005">
        <f t="shared" si="113"/>
        <v>15981</v>
      </c>
      <c r="AH71" s="1003">
        <f t="shared" si="113"/>
        <v>16342</v>
      </c>
      <c r="AI71" s="1004">
        <f t="shared" si="113"/>
        <v>16709</v>
      </c>
      <c r="AJ71" s="1004">
        <f t="shared" si="113"/>
        <v>17146</v>
      </c>
      <c r="AK71" s="1005">
        <f t="shared" si="113"/>
        <v>17631</v>
      </c>
      <c r="AL71" s="48"/>
      <c r="AM71" s="48"/>
      <c r="AN71" s="48"/>
      <c r="AO71" s="50"/>
      <c r="AP71" s="48"/>
      <c r="AQ71" s="48"/>
      <c r="AR71" s="48"/>
      <c r="AS71" s="50"/>
      <c r="AT71" s="50"/>
      <c r="AU71" s="1006">
        <f>E71</f>
        <v>4400</v>
      </c>
      <c r="AV71" s="1007">
        <f>I71</f>
        <v>5578</v>
      </c>
      <c r="AW71" s="1007">
        <f>M71</f>
        <v>7089</v>
      </c>
      <c r="AX71" s="1007">
        <f>Q71</f>
        <v>8544</v>
      </c>
      <c r="AY71" s="1007">
        <f>U71</f>
        <v>10426</v>
      </c>
      <c r="AZ71" s="1008">
        <f>Y71</f>
        <v>12504</v>
      </c>
      <c r="BA71" s="1009">
        <f>AC71</f>
        <v>14292</v>
      </c>
      <c r="BB71" s="1009">
        <f>AG71</f>
        <v>15981</v>
      </c>
      <c r="BC71" s="56"/>
      <c r="BD71" s="56"/>
      <c r="BE71" s="56"/>
    </row>
    <row r="72" spans="1:57" s="987" customFormat="1" ht="12" customHeight="1">
      <c r="A72" s="797" t="s">
        <v>117</v>
      </c>
      <c r="B72" s="798"/>
      <c r="C72" s="798"/>
      <c r="D72" s="798"/>
      <c r="E72" s="889">
        <f>E71/3100-1</f>
        <v>0.41935483870967749</v>
      </c>
      <c r="F72" s="798"/>
      <c r="G72" s="798"/>
      <c r="H72" s="798"/>
      <c r="I72" s="889">
        <f>I71/E71-1</f>
        <v>0.26772727272727281</v>
      </c>
      <c r="J72" s="798">
        <f t="shared" ref="J72:AK72" si="114">J71/F71-1</f>
        <v>0.25271218889597957</v>
      </c>
      <c r="K72" s="798">
        <f t="shared" si="114"/>
        <v>0.2524583584186233</v>
      </c>
      <c r="L72" s="798">
        <f t="shared" si="114"/>
        <v>0.26464415187941226</v>
      </c>
      <c r="M72" s="890">
        <f t="shared" si="114"/>
        <v>0.27088562208676947</v>
      </c>
      <c r="N72" s="798">
        <f t="shared" si="114"/>
        <v>0.25793852946170825</v>
      </c>
      <c r="O72" s="798">
        <f t="shared" si="114"/>
        <v>0.24162794423970513</v>
      </c>
      <c r="P72" s="798">
        <f t="shared" si="114"/>
        <v>0.21967410983705493</v>
      </c>
      <c r="Q72" s="890">
        <f t="shared" si="114"/>
        <v>0.20524756665256039</v>
      </c>
      <c r="R72" s="798">
        <f t="shared" si="114"/>
        <v>0.19802915766738671</v>
      </c>
      <c r="S72" s="978">
        <f t="shared" si="114"/>
        <v>0.20854303781133043</v>
      </c>
      <c r="T72" s="978">
        <f t="shared" si="114"/>
        <v>0.22018802572983676</v>
      </c>
      <c r="U72" s="890">
        <f t="shared" si="114"/>
        <v>0.22027153558052426</v>
      </c>
      <c r="V72" s="798">
        <f t="shared" si="114"/>
        <v>0.22647887323943672</v>
      </c>
      <c r="W72" s="978">
        <f t="shared" si="114"/>
        <v>0.21996796583021894</v>
      </c>
      <c r="X72" s="978">
        <f t="shared" si="114"/>
        <v>0.20975263584752635</v>
      </c>
      <c r="Y72" s="890">
        <f t="shared" si="114"/>
        <v>0.19930941876079022</v>
      </c>
      <c r="Z72" s="798">
        <f t="shared" si="114"/>
        <v>0.18355535140101065</v>
      </c>
      <c r="AA72" s="978">
        <f t="shared" si="114"/>
        <v>0.16490153172866528</v>
      </c>
      <c r="AB72" s="978">
        <f t="shared" si="114"/>
        <v>0.14765775580323481</v>
      </c>
      <c r="AC72" s="890">
        <f t="shared" si="114"/>
        <v>0.14299424184261045</v>
      </c>
      <c r="AD72" s="798">
        <f t="shared" si="114"/>
        <v>0.14119382131491109</v>
      </c>
      <c r="AE72" s="798">
        <f t="shared" si="114"/>
        <v>0.1353219625817117</v>
      </c>
      <c r="AF72" s="798">
        <f t="shared" si="114"/>
        <v>0.13150784958013872</v>
      </c>
      <c r="AG72" s="890">
        <f t="shared" si="114"/>
        <v>0.11817800167926107</v>
      </c>
      <c r="AH72" s="798">
        <f t="shared" si="114"/>
        <v>0.11154944905455033</v>
      </c>
      <c r="AI72" s="798">
        <f t="shared" si="114"/>
        <v>0.10582395764394437</v>
      </c>
      <c r="AJ72" s="798">
        <f t="shared" si="114"/>
        <v>0.10647909137842015</v>
      </c>
      <c r="AK72" s="890">
        <f t="shared" si="114"/>
        <v>0.10324760653275766</v>
      </c>
      <c r="AL72" s="1010"/>
      <c r="AM72" s="1010"/>
      <c r="AN72" s="1010"/>
      <c r="AO72" s="1011"/>
      <c r="AP72" s="1010"/>
      <c r="AQ72" s="1010"/>
      <c r="AR72" s="1010"/>
      <c r="AS72" s="1011"/>
      <c r="AT72" s="1011"/>
      <c r="AU72" s="889">
        <f>AU71/3100-1</f>
        <v>0.41935483870967749</v>
      </c>
      <c r="AV72" s="1012">
        <f>AV71/AU71-1</f>
        <v>0.26772727272727281</v>
      </c>
      <c r="AW72" s="1013">
        <f t="shared" ref="AW72:BA72" si="115">AW71/AV71-1</f>
        <v>0.27088562208676947</v>
      </c>
      <c r="AX72" s="985">
        <f t="shared" si="115"/>
        <v>0.20524756665256039</v>
      </c>
      <c r="AY72" s="984">
        <f t="shared" si="115"/>
        <v>0.22027153558052426</v>
      </c>
      <c r="AZ72" s="985">
        <f t="shared" si="115"/>
        <v>0.19930941876079022</v>
      </c>
      <c r="BA72" s="984">
        <f t="shared" si="115"/>
        <v>0.14299424184261045</v>
      </c>
      <c r="BB72" s="984">
        <f>BB71/BA71-1</f>
        <v>0.11817800167926107</v>
      </c>
      <c r="BC72" s="1014"/>
      <c r="BD72" s="1014"/>
      <c r="BE72" s="1014"/>
    </row>
    <row r="73" spans="1:57" s="62" customFormat="1" ht="12" customHeight="1">
      <c r="A73" s="1015" t="s">
        <v>212</v>
      </c>
      <c r="B73" s="798"/>
      <c r="C73" s="798"/>
      <c r="D73" s="798"/>
      <c r="E73" s="890"/>
      <c r="F73" s="1016">
        <v>301</v>
      </c>
      <c r="G73" s="1016">
        <v>282</v>
      </c>
      <c r="H73" s="1016">
        <v>258</v>
      </c>
      <c r="I73" s="1017">
        <v>337</v>
      </c>
      <c r="J73" s="1016">
        <v>311</v>
      </c>
      <c r="K73" s="1016">
        <v>352</v>
      </c>
      <c r="L73" s="1016">
        <v>387</v>
      </c>
      <c r="M73" s="1017">
        <v>461</v>
      </c>
      <c r="N73" s="1016">
        <v>319</v>
      </c>
      <c r="O73" s="1018">
        <v>341</v>
      </c>
      <c r="P73" s="1016">
        <v>335</v>
      </c>
      <c r="Q73" s="1017">
        <v>460</v>
      </c>
      <c r="R73" s="1016">
        <v>331</v>
      </c>
      <c r="S73" s="1018">
        <v>490</v>
      </c>
      <c r="T73" s="1018">
        <v>499</v>
      </c>
      <c r="U73" s="1017">
        <v>562</v>
      </c>
      <c r="V73" s="1016">
        <v>459</v>
      </c>
      <c r="W73" s="1018">
        <v>540</v>
      </c>
      <c r="X73" s="1018">
        <v>508</v>
      </c>
      <c r="Y73" s="1017">
        <v>571</v>
      </c>
      <c r="Z73" s="1016">
        <v>379</v>
      </c>
      <c r="AA73" s="1018">
        <v>426</v>
      </c>
      <c r="AB73" s="1018">
        <v>386</v>
      </c>
      <c r="AC73" s="1017">
        <v>597</v>
      </c>
      <c r="AD73" s="1016">
        <v>410</v>
      </c>
      <c r="AE73" s="1016">
        <v>408</v>
      </c>
      <c r="AF73" s="1016">
        <v>386</v>
      </c>
      <c r="AG73" s="1017">
        <v>485</v>
      </c>
      <c r="AH73" s="1016">
        <v>361</v>
      </c>
      <c r="AI73" s="1016">
        <v>367</v>
      </c>
      <c r="AJ73" s="1016">
        <v>437</v>
      </c>
      <c r="AK73" s="1017">
        <v>485</v>
      </c>
      <c r="AL73" s="48"/>
      <c r="AM73" s="48"/>
      <c r="AN73" s="48"/>
      <c r="AO73" s="50"/>
      <c r="AP73" s="48"/>
      <c r="AQ73" s="48"/>
      <c r="AR73" s="48"/>
      <c r="AS73" s="50"/>
      <c r="AT73" s="50"/>
      <c r="AU73" s="1019">
        <v>1017</v>
      </c>
      <c r="AV73" s="1020">
        <f>AV71-AU71</f>
        <v>1178</v>
      </c>
      <c r="AW73" s="1020">
        <f t="shared" ref="AW73:AY73" si="116">AW71-AV71</f>
        <v>1511</v>
      </c>
      <c r="AX73" s="1020">
        <f t="shared" si="116"/>
        <v>1455</v>
      </c>
      <c r="AY73" s="1020">
        <f t="shared" si="116"/>
        <v>1882</v>
      </c>
      <c r="AZ73" s="1021">
        <f>AZ71-AY71</f>
        <v>2078</v>
      </c>
      <c r="BA73" s="1022">
        <f>BA71-AZ71</f>
        <v>1788</v>
      </c>
      <c r="BB73" s="1022">
        <f>BB71-BA71</f>
        <v>1689</v>
      </c>
      <c r="BC73" s="56"/>
      <c r="BD73" s="56"/>
      <c r="BE73" s="56"/>
    </row>
    <row r="74" spans="1:57" s="987" customFormat="1" ht="12" customHeight="1">
      <c r="A74" s="1023" t="s">
        <v>117</v>
      </c>
      <c r="B74" s="978"/>
      <c r="C74" s="978"/>
      <c r="D74" s="978"/>
      <c r="E74" s="889"/>
      <c r="F74" s="978"/>
      <c r="G74" s="978"/>
      <c r="H74" s="978"/>
      <c r="I74" s="889"/>
      <c r="J74" s="978">
        <f t="shared" ref="J74:L74" si="117">J73/F73-1</f>
        <v>3.3222591362126241E-2</v>
      </c>
      <c r="K74" s="978">
        <f t="shared" si="117"/>
        <v>0.24822695035460995</v>
      </c>
      <c r="L74" s="978">
        <f t="shared" si="117"/>
        <v>0.5</v>
      </c>
      <c r="M74" s="889">
        <f>M73/I73-1</f>
        <v>0.36795252225519293</v>
      </c>
      <c r="N74" s="978">
        <f t="shared" ref="N74:AK74" si="118">N73/J73-1</f>
        <v>2.5723472668810254E-2</v>
      </c>
      <c r="O74" s="978">
        <f t="shared" si="118"/>
        <v>-3.125E-2</v>
      </c>
      <c r="P74" s="978">
        <f t="shared" si="118"/>
        <v>-0.13436692506459946</v>
      </c>
      <c r="Q74" s="889">
        <f t="shared" si="118"/>
        <v>-2.1691973969630851E-3</v>
      </c>
      <c r="R74" s="978">
        <f t="shared" si="118"/>
        <v>3.7617554858934144E-2</v>
      </c>
      <c r="S74" s="978">
        <f t="shared" si="118"/>
        <v>0.43695014662756604</v>
      </c>
      <c r="T74" s="978">
        <f t="shared" si="118"/>
        <v>0.4895522388059701</v>
      </c>
      <c r="U74" s="890">
        <f t="shared" si="118"/>
        <v>0.22173913043478266</v>
      </c>
      <c r="V74" s="978">
        <f t="shared" si="118"/>
        <v>0.38670694864048349</v>
      </c>
      <c r="W74" s="978">
        <f t="shared" si="118"/>
        <v>0.1020408163265305</v>
      </c>
      <c r="X74" s="978">
        <f t="shared" si="118"/>
        <v>1.8036072144288484E-2</v>
      </c>
      <c r="Y74" s="890">
        <f t="shared" si="118"/>
        <v>1.6014234875444844E-2</v>
      </c>
      <c r="Z74" s="978">
        <f t="shared" si="118"/>
        <v>-0.17429193899782136</v>
      </c>
      <c r="AA74" s="978">
        <f t="shared" si="118"/>
        <v>-0.21111111111111114</v>
      </c>
      <c r="AB74" s="978">
        <f t="shared" si="118"/>
        <v>-0.24015748031496065</v>
      </c>
      <c r="AC74" s="890">
        <f t="shared" si="118"/>
        <v>4.5534150612959623E-2</v>
      </c>
      <c r="AD74" s="798">
        <f t="shared" si="118"/>
        <v>8.1794195250659563E-2</v>
      </c>
      <c r="AE74" s="798">
        <f t="shared" si="118"/>
        <v>-4.2253521126760618E-2</v>
      </c>
      <c r="AF74" s="798">
        <f t="shared" si="118"/>
        <v>0</v>
      </c>
      <c r="AG74" s="890">
        <f t="shared" si="118"/>
        <v>-0.18760469011725289</v>
      </c>
      <c r="AH74" s="798">
        <f t="shared" si="118"/>
        <v>-0.11951219512195121</v>
      </c>
      <c r="AI74" s="798">
        <f t="shared" si="118"/>
        <v>-0.10049019607843135</v>
      </c>
      <c r="AJ74" s="798">
        <f t="shared" si="118"/>
        <v>0.13212435233160624</v>
      </c>
      <c r="AK74" s="890">
        <f t="shared" si="118"/>
        <v>0</v>
      </c>
      <c r="AL74" s="1024"/>
      <c r="AM74" s="981"/>
      <c r="AN74" s="981"/>
      <c r="AO74" s="979"/>
      <c r="AP74" s="1024"/>
      <c r="AQ74" s="981"/>
      <c r="AR74" s="981"/>
      <c r="AS74" s="979"/>
      <c r="AT74" s="983"/>
      <c r="AU74" s="1025">
        <f>(AU73/786)-1</f>
        <v>0.29389312977099236</v>
      </c>
      <c r="AV74" s="1012">
        <f>AV73/AU73-1</f>
        <v>0.15830875122910526</v>
      </c>
      <c r="AW74" s="1013">
        <f t="shared" ref="AW74:BA74" si="119">AW73/AV73-1</f>
        <v>0.28268251273344647</v>
      </c>
      <c r="AX74" s="985">
        <f t="shared" si="119"/>
        <v>-3.7061548643282594E-2</v>
      </c>
      <c r="AY74" s="984">
        <f t="shared" si="119"/>
        <v>0.29347079037800694</v>
      </c>
      <c r="AZ74" s="985">
        <f t="shared" si="119"/>
        <v>0.10414452709883104</v>
      </c>
      <c r="BA74" s="984">
        <f t="shared" si="119"/>
        <v>-0.13955726660250245</v>
      </c>
      <c r="BB74" s="984">
        <f>BB73/BA73-1</f>
        <v>-5.5369127516778471E-2</v>
      </c>
      <c r="BC74" s="986"/>
      <c r="BD74" s="986"/>
      <c r="BE74" s="986"/>
    </row>
    <row r="75" spans="1:57" s="987" customFormat="1" ht="12" customHeight="1">
      <c r="A75" s="1023"/>
      <c r="B75" s="978"/>
      <c r="C75" s="978"/>
      <c r="D75" s="978"/>
      <c r="E75" s="889"/>
      <c r="F75" s="978"/>
      <c r="G75" s="978"/>
      <c r="H75" s="978"/>
      <c r="I75" s="889"/>
      <c r="J75" s="978"/>
      <c r="K75" s="978"/>
      <c r="L75" s="978"/>
      <c r="M75" s="889"/>
      <c r="N75" s="978"/>
      <c r="O75" s="978"/>
      <c r="P75" s="978"/>
      <c r="Q75" s="889"/>
      <c r="R75" s="978"/>
      <c r="S75" s="978"/>
      <c r="T75" s="978"/>
      <c r="U75" s="890"/>
      <c r="V75" s="978"/>
      <c r="W75" s="978"/>
      <c r="X75" s="978"/>
      <c r="Y75" s="890"/>
      <c r="Z75" s="978"/>
      <c r="AA75" s="978"/>
      <c r="AB75" s="978"/>
      <c r="AC75" s="890"/>
      <c r="AD75" s="1024"/>
      <c r="AE75" s="981"/>
      <c r="AF75" s="981"/>
      <c r="AG75" s="981"/>
      <c r="AH75" s="1024"/>
      <c r="AI75" s="981"/>
      <c r="AJ75" s="981"/>
      <c r="AK75" s="981"/>
      <c r="AL75" s="1024"/>
      <c r="AM75" s="981"/>
      <c r="AN75" s="981"/>
      <c r="AO75" s="981"/>
      <c r="AP75" s="1024"/>
      <c r="AQ75" s="981"/>
      <c r="AR75" s="981"/>
      <c r="AS75" s="981"/>
      <c r="AT75" s="983"/>
      <c r="AU75" s="1025"/>
      <c r="AV75" s="995"/>
      <c r="AW75" s="999"/>
      <c r="AX75" s="985"/>
      <c r="AY75" s="984"/>
      <c r="AZ75" s="999"/>
      <c r="BA75" s="676"/>
      <c r="BB75" s="676"/>
      <c r="BC75" s="1025"/>
      <c r="BD75" s="1025"/>
      <c r="BE75" s="1025"/>
    </row>
    <row r="76" spans="1:57" s="987" customFormat="1" ht="12" customHeight="1">
      <c r="A76" s="1026" t="s">
        <v>213</v>
      </c>
      <c r="B76" s="978"/>
      <c r="C76" s="978"/>
      <c r="D76" s="978"/>
      <c r="E76" s="1017">
        <v>265</v>
      </c>
      <c r="F76" s="1001">
        <v>307</v>
      </c>
      <c r="G76" s="1018">
        <v>340</v>
      </c>
      <c r="H76" s="1018">
        <v>387</v>
      </c>
      <c r="I76" s="1017">
        <v>453</v>
      </c>
      <c r="J76" s="1001">
        <v>494</v>
      </c>
      <c r="K76" s="1018">
        <v>538</v>
      </c>
      <c r="L76" s="1018">
        <v>589</v>
      </c>
      <c r="M76" s="1017">
        <v>641</v>
      </c>
      <c r="N76" s="1001">
        <v>665</v>
      </c>
      <c r="O76" s="1018">
        <v>715</v>
      </c>
      <c r="P76" s="1018">
        <v>771</v>
      </c>
      <c r="Q76" s="1017">
        <v>837</v>
      </c>
      <c r="R76" s="1001">
        <v>866</v>
      </c>
      <c r="S76" s="1018">
        <v>933</v>
      </c>
      <c r="T76" s="1018">
        <v>995</v>
      </c>
      <c r="U76" s="1017">
        <v>1095</v>
      </c>
      <c r="V76" s="1001">
        <f>U76+17</f>
        <v>1112</v>
      </c>
      <c r="W76" s="1018">
        <f>V76+79</f>
        <v>1191</v>
      </c>
      <c r="X76" s="1018">
        <f>W76+89</f>
        <v>1280</v>
      </c>
      <c r="Y76" s="1017">
        <f>X76+140</f>
        <v>1420</v>
      </c>
      <c r="Z76" s="1001">
        <f>Y76+24</f>
        <v>1444</v>
      </c>
      <c r="AA76" s="1018">
        <f>Z76+63</f>
        <v>1507</v>
      </c>
      <c r="AB76" s="1018">
        <v>1565</v>
      </c>
      <c r="AC76" s="1017">
        <f>AB76+156</f>
        <v>1721</v>
      </c>
      <c r="AD76" s="1003">
        <v>1717</v>
      </c>
      <c r="AE76" s="1004">
        <v>1793</v>
      </c>
      <c r="AF76" s="1004">
        <v>1853</v>
      </c>
      <c r="AG76" s="1004">
        <f>AF76+AG78</f>
        <v>1988</v>
      </c>
      <c r="AH76" s="1003">
        <f>AG76+AH78</f>
        <v>2042</v>
      </c>
      <c r="AI76" s="1004">
        <v>2118</v>
      </c>
      <c r="AJ76" s="1004">
        <v>2156</v>
      </c>
      <c r="AK76" s="1004">
        <v>2161</v>
      </c>
      <c r="AL76" s="1024"/>
      <c r="AM76" s="981"/>
      <c r="AN76" s="981"/>
      <c r="AO76" s="981"/>
      <c r="AP76" s="1024"/>
      <c r="AQ76" s="981"/>
      <c r="AR76" s="981"/>
      <c r="AS76" s="981"/>
      <c r="AT76" s="983"/>
      <c r="AU76" s="1027">
        <f>E76</f>
        <v>265</v>
      </c>
      <c r="AV76" s="1022">
        <f>I76</f>
        <v>453</v>
      </c>
      <c r="AW76" s="1022">
        <f>M76</f>
        <v>641</v>
      </c>
      <c r="AX76" s="1028">
        <f>Q76</f>
        <v>837</v>
      </c>
      <c r="AY76" s="1022">
        <f>U76</f>
        <v>1095</v>
      </c>
      <c r="AZ76" s="1008">
        <f>Y76</f>
        <v>1420</v>
      </c>
      <c r="BA76" s="1009">
        <f>AC76</f>
        <v>1721</v>
      </c>
      <c r="BB76" s="1009">
        <f>AG76</f>
        <v>1988</v>
      </c>
      <c r="BC76" s="1025"/>
      <c r="BD76" s="1025"/>
      <c r="BE76" s="1025"/>
    </row>
    <row r="77" spans="1:57" s="987" customFormat="1" ht="12" customHeight="1">
      <c r="A77" s="797" t="s">
        <v>117</v>
      </c>
      <c r="B77" s="978"/>
      <c r="C77" s="978"/>
      <c r="D77" s="978"/>
      <c r="E77" s="889">
        <f>E76/124-1</f>
        <v>1.1370967741935485</v>
      </c>
      <c r="F77" s="978"/>
      <c r="G77" s="978"/>
      <c r="H77" s="978"/>
      <c r="I77" s="889">
        <f t="shared" ref="I77:AK77" si="120">I76/E76-1</f>
        <v>0.70943396226415101</v>
      </c>
      <c r="J77" s="978">
        <f t="shared" si="120"/>
        <v>0.60912052117263848</v>
      </c>
      <c r="K77" s="978">
        <f t="shared" si="120"/>
        <v>0.58235294117647052</v>
      </c>
      <c r="L77" s="978">
        <f t="shared" si="120"/>
        <v>0.52196382428940558</v>
      </c>
      <c r="M77" s="889">
        <f t="shared" si="120"/>
        <v>0.41501103752759372</v>
      </c>
      <c r="N77" s="978">
        <f t="shared" si="120"/>
        <v>0.34615384615384626</v>
      </c>
      <c r="O77" s="978">
        <f t="shared" si="120"/>
        <v>0.32899628252788093</v>
      </c>
      <c r="P77" s="978">
        <f t="shared" si="120"/>
        <v>0.30899830220713076</v>
      </c>
      <c r="Q77" s="889">
        <f t="shared" si="120"/>
        <v>0.30577223088923566</v>
      </c>
      <c r="R77" s="1029">
        <f t="shared" si="120"/>
        <v>0.30225563909774444</v>
      </c>
      <c r="S77" s="1030">
        <f t="shared" si="120"/>
        <v>0.30489510489510496</v>
      </c>
      <c r="T77" s="1030">
        <f t="shared" si="120"/>
        <v>0.29053177691309995</v>
      </c>
      <c r="U77" s="889">
        <f t="shared" si="120"/>
        <v>0.30824372759856633</v>
      </c>
      <c r="V77" s="1029">
        <f t="shared" si="120"/>
        <v>0.28406466512702089</v>
      </c>
      <c r="W77" s="1030">
        <f t="shared" si="120"/>
        <v>0.27652733118971051</v>
      </c>
      <c r="X77" s="1030">
        <f t="shared" si="120"/>
        <v>0.28643216080402012</v>
      </c>
      <c r="Y77" s="889">
        <f t="shared" si="120"/>
        <v>0.29680365296803646</v>
      </c>
      <c r="Z77" s="1029">
        <f t="shared" si="120"/>
        <v>0.29856115107913661</v>
      </c>
      <c r="AA77" s="1030">
        <f t="shared" si="120"/>
        <v>0.26532325776658272</v>
      </c>
      <c r="AB77" s="1030">
        <f t="shared" si="120"/>
        <v>0.22265625</v>
      </c>
      <c r="AC77" s="889">
        <f t="shared" si="120"/>
        <v>0.21197183098591554</v>
      </c>
      <c r="AD77" s="800">
        <f t="shared" si="120"/>
        <v>0.18905817174515227</v>
      </c>
      <c r="AE77" s="798">
        <f t="shared" si="120"/>
        <v>0.18978102189781021</v>
      </c>
      <c r="AF77" s="798">
        <f t="shared" si="120"/>
        <v>0.18402555910543139</v>
      </c>
      <c r="AG77" s="798">
        <f t="shared" si="120"/>
        <v>0.15514235909355034</v>
      </c>
      <c r="AH77" s="800">
        <f t="shared" si="120"/>
        <v>0.18928363424577754</v>
      </c>
      <c r="AI77" s="798">
        <f t="shared" si="120"/>
        <v>0.18126045733407703</v>
      </c>
      <c r="AJ77" s="798">
        <f t="shared" si="120"/>
        <v>0.16351861845655691</v>
      </c>
      <c r="AK77" s="798">
        <f t="shared" si="120"/>
        <v>8.7022132796780616E-2</v>
      </c>
      <c r="AL77" s="1024"/>
      <c r="AM77" s="981"/>
      <c r="AN77" s="981"/>
      <c r="AO77" s="981"/>
      <c r="AP77" s="1024"/>
      <c r="AQ77" s="981"/>
      <c r="AR77" s="981"/>
      <c r="AS77" s="981"/>
      <c r="AT77" s="983"/>
      <c r="AU77" s="889">
        <f>AU76/124-1</f>
        <v>1.1370967741935485</v>
      </c>
      <c r="AV77" s="1012">
        <f>AV76/AU76-1</f>
        <v>0.70943396226415101</v>
      </c>
      <c r="AW77" s="1013">
        <f t="shared" ref="AW77:BB77" si="121">AW76/AV76-1</f>
        <v>0.41501103752759372</v>
      </c>
      <c r="AX77" s="985">
        <f t="shared" si="121"/>
        <v>0.30577223088923566</v>
      </c>
      <c r="AY77" s="984">
        <f t="shared" si="121"/>
        <v>0.30824372759856633</v>
      </c>
      <c r="AZ77" s="985">
        <f t="shared" si="121"/>
        <v>0.29680365296803646</v>
      </c>
      <c r="BA77" s="984">
        <f t="shared" si="121"/>
        <v>0.21197183098591554</v>
      </c>
      <c r="BB77" s="984">
        <f t="shared" si="121"/>
        <v>0.15514235909355034</v>
      </c>
      <c r="BC77" s="1025"/>
      <c r="BD77" s="1025"/>
      <c r="BE77" s="1025"/>
    </row>
    <row r="78" spans="1:57" s="62" customFormat="1" ht="12" customHeight="1">
      <c r="A78" s="1015" t="s">
        <v>212</v>
      </c>
      <c r="B78" s="798"/>
      <c r="C78" s="798"/>
      <c r="D78" s="798"/>
      <c r="E78" s="890"/>
      <c r="F78" s="1016">
        <f>F76-E76</f>
        <v>42</v>
      </c>
      <c r="G78" s="1016">
        <f t="shared" ref="G78:AC78" si="122">G76-F76</f>
        <v>33</v>
      </c>
      <c r="H78" s="1016">
        <f t="shared" si="122"/>
        <v>47</v>
      </c>
      <c r="I78" s="1017">
        <f t="shared" si="122"/>
        <v>66</v>
      </c>
      <c r="J78" s="1016">
        <f t="shared" si="122"/>
        <v>41</v>
      </c>
      <c r="K78" s="1016">
        <f t="shared" si="122"/>
        <v>44</v>
      </c>
      <c r="L78" s="1016">
        <f t="shared" si="122"/>
        <v>51</v>
      </c>
      <c r="M78" s="1017">
        <f t="shared" si="122"/>
        <v>52</v>
      </c>
      <c r="N78" s="1016">
        <f t="shared" si="122"/>
        <v>24</v>
      </c>
      <c r="O78" s="1018">
        <f t="shared" si="122"/>
        <v>50</v>
      </c>
      <c r="P78" s="1016">
        <f t="shared" si="122"/>
        <v>56</v>
      </c>
      <c r="Q78" s="1017">
        <f t="shared" si="122"/>
        <v>66</v>
      </c>
      <c r="R78" s="1016">
        <f t="shared" si="122"/>
        <v>29</v>
      </c>
      <c r="S78" s="1018">
        <f t="shared" si="122"/>
        <v>67</v>
      </c>
      <c r="T78" s="1018">
        <f t="shared" si="122"/>
        <v>62</v>
      </c>
      <c r="U78" s="1017">
        <f t="shared" si="122"/>
        <v>100</v>
      </c>
      <c r="V78" s="1016">
        <f t="shared" si="122"/>
        <v>17</v>
      </c>
      <c r="W78" s="1018">
        <f t="shared" si="122"/>
        <v>79</v>
      </c>
      <c r="X78" s="1018">
        <f t="shared" si="122"/>
        <v>89</v>
      </c>
      <c r="Y78" s="1017">
        <f t="shared" si="122"/>
        <v>140</v>
      </c>
      <c r="Z78" s="1016">
        <f t="shared" si="122"/>
        <v>24</v>
      </c>
      <c r="AA78" s="1018">
        <f t="shared" si="122"/>
        <v>63</v>
      </c>
      <c r="AB78" s="1018">
        <f t="shared" si="122"/>
        <v>58</v>
      </c>
      <c r="AC78" s="1017">
        <f t="shared" si="122"/>
        <v>156</v>
      </c>
      <c r="AD78" s="1016">
        <f>AD76-AC76</f>
        <v>-4</v>
      </c>
      <c r="AE78" s="1016">
        <f>AE76-AD76</f>
        <v>76</v>
      </c>
      <c r="AF78" s="1016">
        <f>AF76-AE76</f>
        <v>60</v>
      </c>
      <c r="AG78" s="1016">
        <v>135</v>
      </c>
      <c r="AH78" s="1031">
        <v>54</v>
      </c>
      <c r="AI78" s="1016">
        <f>AI76-AH76</f>
        <v>76</v>
      </c>
      <c r="AJ78" s="1016">
        <f>AJ76-AI76</f>
        <v>38</v>
      </c>
      <c r="AK78" s="1016">
        <f>AK76-AJ76</f>
        <v>5</v>
      </c>
      <c r="AL78" s="655"/>
      <c r="AM78" s="48"/>
      <c r="AN78" s="48"/>
      <c r="AO78" s="50"/>
      <c r="AP78" s="655"/>
      <c r="AQ78" s="48"/>
      <c r="AR78" s="48"/>
      <c r="AS78" s="50"/>
      <c r="AT78" s="50"/>
      <c r="AU78" s="1019"/>
      <c r="AV78" s="1020">
        <f>AV76-AU76</f>
        <v>188</v>
      </c>
      <c r="AW78" s="1020">
        <f t="shared" ref="AW78:AY78" si="123">AW76-AV76</f>
        <v>188</v>
      </c>
      <c r="AX78" s="1020">
        <f t="shared" si="123"/>
        <v>196</v>
      </c>
      <c r="AY78" s="1020">
        <f t="shared" si="123"/>
        <v>258</v>
      </c>
      <c r="AZ78" s="1021">
        <f>AZ76-AY76</f>
        <v>325</v>
      </c>
      <c r="BA78" s="1022">
        <f>BA76-AZ76</f>
        <v>301</v>
      </c>
      <c r="BB78" s="1022">
        <f>AG78</f>
        <v>135</v>
      </c>
      <c r="BC78" s="56"/>
      <c r="BD78" s="56"/>
      <c r="BE78" s="56"/>
    </row>
    <row r="79" spans="1:57" s="987" customFormat="1" ht="12" customHeight="1">
      <c r="A79" s="1023" t="s">
        <v>117</v>
      </c>
      <c r="B79" s="978"/>
      <c r="C79" s="978"/>
      <c r="D79" s="978"/>
      <c r="E79" s="889"/>
      <c r="F79" s="1029"/>
      <c r="G79" s="978"/>
      <c r="H79" s="978"/>
      <c r="I79" s="889"/>
      <c r="J79" s="1029">
        <f t="shared" ref="J79:L79" si="124">J78/F78-1</f>
        <v>-2.3809523809523836E-2</v>
      </c>
      <c r="K79" s="978">
        <f t="shared" si="124"/>
        <v>0.33333333333333326</v>
      </c>
      <c r="L79" s="978">
        <f t="shared" si="124"/>
        <v>8.5106382978723305E-2</v>
      </c>
      <c r="M79" s="889">
        <f>M78/I78-1</f>
        <v>-0.21212121212121215</v>
      </c>
      <c r="N79" s="1029">
        <f t="shared" ref="N79:AC79" si="125">N78/J78-1</f>
        <v>-0.41463414634146345</v>
      </c>
      <c r="O79" s="978">
        <f t="shared" si="125"/>
        <v>0.13636363636363646</v>
      </c>
      <c r="P79" s="978">
        <f t="shared" si="125"/>
        <v>9.8039215686274606E-2</v>
      </c>
      <c r="Q79" s="889">
        <f t="shared" si="125"/>
        <v>0.26923076923076916</v>
      </c>
      <c r="R79" s="1029">
        <f t="shared" si="125"/>
        <v>0.20833333333333326</v>
      </c>
      <c r="S79" s="978">
        <f t="shared" si="125"/>
        <v>0.34000000000000008</v>
      </c>
      <c r="T79" s="978">
        <f t="shared" si="125"/>
        <v>0.10714285714285721</v>
      </c>
      <c r="U79" s="890">
        <f t="shared" si="125"/>
        <v>0.51515151515151514</v>
      </c>
      <c r="V79" s="1029">
        <f t="shared" si="125"/>
        <v>-0.41379310344827591</v>
      </c>
      <c r="W79" s="978">
        <f t="shared" si="125"/>
        <v>0.17910447761194037</v>
      </c>
      <c r="X79" s="978">
        <f t="shared" si="125"/>
        <v>0.43548387096774199</v>
      </c>
      <c r="Y79" s="890">
        <f t="shared" si="125"/>
        <v>0.39999999999999991</v>
      </c>
      <c r="Z79" s="978">
        <f t="shared" si="125"/>
        <v>0.41176470588235303</v>
      </c>
      <c r="AA79" s="978">
        <f t="shared" si="125"/>
        <v>-0.20253164556962022</v>
      </c>
      <c r="AB79" s="978">
        <f t="shared" si="125"/>
        <v>-0.348314606741573</v>
      </c>
      <c r="AC79" s="890">
        <f t="shared" si="125"/>
        <v>0.11428571428571432</v>
      </c>
      <c r="AD79" s="798">
        <f>AD78/Z78-1</f>
        <v>-1.1666666666666667</v>
      </c>
      <c r="AE79" s="798">
        <f>AE78/AA78-1</f>
        <v>0.20634920634920628</v>
      </c>
      <c r="AF79" s="798">
        <f>AF78/AB78-1</f>
        <v>3.4482758620689724E-2</v>
      </c>
      <c r="AG79" s="798">
        <f>AG78/AC78-1</f>
        <v>-0.13461538461538458</v>
      </c>
      <c r="AH79" s="800" t="s">
        <v>214</v>
      </c>
      <c r="AI79" s="798">
        <f>AI78/AE78-1</f>
        <v>0</v>
      </c>
      <c r="AJ79" s="798">
        <f>AJ78/AF78-1</f>
        <v>-0.3666666666666667</v>
      </c>
      <c r="AK79" s="798">
        <f>AK78/AG78-1</f>
        <v>-0.96296296296296302</v>
      </c>
      <c r="AL79" s="1024"/>
      <c r="AM79" s="981"/>
      <c r="AN79" s="981"/>
      <c r="AO79" s="979"/>
      <c r="AP79" s="1024"/>
      <c r="AQ79" s="981"/>
      <c r="AR79" s="981"/>
      <c r="AS79" s="979"/>
      <c r="AT79" s="1032"/>
      <c r="AU79" s="1033"/>
      <c r="AV79" s="1034"/>
      <c r="AW79" s="1034">
        <f t="shared" ref="AW79:BB79" si="126">AW78/AV78-1</f>
        <v>0</v>
      </c>
      <c r="AX79" s="1034">
        <f t="shared" si="126"/>
        <v>4.2553191489361764E-2</v>
      </c>
      <c r="AY79" s="1034">
        <f t="shared" si="126"/>
        <v>0.31632653061224492</v>
      </c>
      <c r="AZ79" s="1035">
        <f t="shared" si="126"/>
        <v>0.25968992248062017</v>
      </c>
      <c r="BA79" s="1034">
        <f t="shared" si="126"/>
        <v>-7.3846153846153895E-2</v>
      </c>
      <c r="BB79" s="1034">
        <f t="shared" si="126"/>
        <v>-0.55149501661129574</v>
      </c>
      <c r="BC79" s="1033"/>
      <c r="BD79" s="1033"/>
      <c r="BE79" s="1033"/>
    </row>
    <row r="80" spans="1:57" s="987" customFormat="1" ht="12" customHeight="1">
      <c r="A80" s="1036"/>
      <c r="B80" s="978"/>
      <c r="C80" s="978"/>
      <c r="D80" s="978"/>
      <c r="E80" s="889"/>
      <c r="F80" s="1037"/>
      <c r="G80" s="978"/>
      <c r="H80" s="978"/>
      <c r="I80" s="889"/>
      <c r="J80" s="1037"/>
      <c r="K80" s="978"/>
      <c r="L80" s="978"/>
      <c r="M80" s="889"/>
      <c r="N80" s="1037"/>
      <c r="O80" s="978"/>
      <c r="P80" s="978"/>
      <c r="Q80" s="889"/>
      <c r="R80" s="1037"/>
      <c r="S80" s="978"/>
      <c r="T80" s="978"/>
      <c r="U80" s="890"/>
      <c r="V80" s="1037"/>
      <c r="W80" s="978"/>
      <c r="X80" s="978"/>
      <c r="Y80" s="890"/>
      <c r="Z80" s="1037"/>
      <c r="AA80" s="978"/>
      <c r="AB80" s="978"/>
      <c r="AC80" s="890"/>
      <c r="AD80" s="1038"/>
      <c r="AE80" s="981"/>
      <c r="AF80" s="981"/>
      <c r="AG80" s="981"/>
      <c r="AH80" s="1038"/>
      <c r="AI80" s="981"/>
      <c r="AJ80" s="981"/>
      <c r="AK80" s="981"/>
      <c r="AL80" s="1038"/>
      <c r="AM80" s="981"/>
      <c r="AN80" s="981"/>
      <c r="AO80" s="982"/>
      <c r="AP80" s="1038"/>
      <c r="AQ80" s="981"/>
      <c r="AR80" s="981"/>
      <c r="AS80" s="982"/>
      <c r="AT80" s="1039"/>
      <c r="AU80" s="1033"/>
      <c r="AV80" s="1034"/>
      <c r="AW80" s="1034"/>
      <c r="AX80" s="1034"/>
      <c r="AY80" s="1034"/>
      <c r="AZ80" s="1035"/>
      <c r="BA80" s="1033"/>
      <c r="BB80" s="1033"/>
      <c r="BC80" s="1033"/>
      <c r="BD80" s="1033"/>
      <c r="BE80" s="1033"/>
    </row>
    <row r="81" spans="1:57" s="1052" customFormat="1" ht="12" customHeight="1">
      <c r="A81" s="1040" t="s">
        <v>215</v>
      </c>
      <c r="B81" s="1041"/>
      <c r="C81" s="1041"/>
      <c r="D81" s="1041"/>
      <c r="E81" s="1042"/>
      <c r="F81" s="1043"/>
      <c r="G81" s="1041"/>
      <c r="H81" s="1041"/>
      <c r="I81" s="1042"/>
      <c r="J81" s="1043"/>
      <c r="K81" s="1041">
        <v>1.17</v>
      </c>
      <c r="L81" s="1041" t="s">
        <v>216</v>
      </c>
      <c r="M81" s="1042" t="s">
        <v>216</v>
      </c>
      <c r="N81" s="1043" t="s">
        <v>216</v>
      </c>
      <c r="O81" s="1041" t="s">
        <v>216</v>
      </c>
      <c r="P81" s="1041">
        <v>1.1000000000000001</v>
      </c>
      <c r="Q81" s="1042">
        <v>1.1000000000000001</v>
      </c>
      <c r="R81" s="1044" t="s">
        <v>216</v>
      </c>
      <c r="S81" s="1045" t="s">
        <v>216</v>
      </c>
      <c r="T81" s="855">
        <v>1.1299999999999999</v>
      </c>
      <c r="U81" s="1046">
        <v>1.17</v>
      </c>
      <c r="V81" s="1044" t="s">
        <v>216</v>
      </c>
      <c r="W81" s="1045" t="s">
        <v>216</v>
      </c>
      <c r="X81" s="855">
        <v>1.18</v>
      </c>
      <c r="Y81" s="856">
        <v>1.17</v>
      </c>
      <c r="Z81" s="857">
        <v>1.1299999999999999</v>
      </c>
      <c r="AA81" s="855">
        <v>1.1100000000000001</v>
      </c>
      <c r="AB81" s="855">
        <v>1.1100000000000001</v>
      </c>
      <c r="AC81" s="856">
        <v>1.1100000000000001</v>
      </c>
      <c r="AD81" s="1047">
        <v>1.0900000000000001</v>
      </c>
      <c r="AE81" s="1048">
        <v>1.0900000000000001</v>
      </c>
      <c r="AF81" s="1048">
        <v>1.08</v>
      </c>
      <c r="AG81" s="1048">
        <v>1.08</v>
      </c>
      <c r="AH81" s="1047">
        <v>1.08</v>
      </c>
      <c r="AI81" s="1048">
        <v>1.07</v>
      </c>
      <c r="AJ81" s="1048">
        <v>1.06</v>
      </c>
      <c r="AK81" s="1048">
        <v>1.06</v>
      </c>
      <c r="AL81" s="1049"/>
      <c r="AM81" s="1050"/>
      <c r="AN81" s="1050"/>
      <c r="AO81" s="1051"/>
      <c r="AP81" s="1049"/>
      <c r="AQ81" s="1050"/>
      <c r="AR81" s="1050"/>
      <c r="AS81" s="1051"/>
      <c r="AU81" s="1053"/>
      <c r="AV81" s="1054"/>
      <c r="AW81" s="1054"/>
      <c r="AX81" s="856">
        <f>Q81</f>
        <v>1.1000000000000001</v>
      </c>
      <c r="AY81" s="856">
        <f>U81</f>
        <v>1.17</v>
      </c>
      <c r="AZ81" s="857">
        <f>Y81</f>
        <v>1.17</v>
      </c>
      <c r="BA81" s="1055">
        <f>AC81</f>
        <v>1.1100000000000001</v>
      </c>
      <c r="BB81" s="1055">
        <f>AG81</f>
        <v>1.08</v>
      </c>
      <c r="BC81" s="1054"/>
      <c r="BD81" s="1054"/>
      <c r="BE81" s="1054"/>
    </row>
    <row r="82" spans="1:57" s="1052" customFormat="1" ht="12" customHeight="1">
      <c r="A82" s="1056"/>
      <c r="B82" s="1041"/>
      <c r="C82" s="1041"/>
      <c r="D82" s="1041"/>
      <c r="E82" s="1042"/>
      <c r="F82" s="1043"/>
      <c r="G82" s="1041"/>
      <c r="H82" s="1041"/>
      <c r="I82" s="1042"/>
      <c r="J82" s="1043"/>
      <c r="K82" s="1041"/>
      <c r="L82" s="1041"/>
      <c r="M82" s="1042"/>
      <c r="N82" s="1043"/>
      <c r="O82" s="1041"/>
      <c r="P82" s="1041"/>
      <c r="Q82" s="1042"/>
      <c r="R82" s="1044"/>
      <c r="S82" s="1045"/>
      <c r="T82" s="855"/>
      <c r="U82" s="1046"/>
      <c r="V82" s="1044"/>
      <c r="W82" s="1045"/>
      <c r="X82" s="855"/>
      <c r="Y82" s="856"/>
      <c r="Z82" s="857"/>
      <c r="AA82" s="855"/>
      <c r="AB82" s="855"/>
      <c r="AC82" s="856"/>
      <c r="AD82" s="1047"/>
      <c r="AE82" s="1048"/>
      <c r="AF82" s="1048"/>
      <c r="AG82" s="1048"/>
      <c r="AH82" s="1047"/>
      <c r="AI82" s="1048"/>
      <c r="AJ82" s="1048"/>
      <c r="AK82" s="1048"/>
      <c r="AL82" s="1049"/>
      <c r="AM82" s="1050"/>
      <c r="AN82" s="1050"/>
      <c r="AO82" s="1051"/>
      <c r="AP82" s="1049"/>
      <c r="AQ82" s="1050"/>
      <c r="AR82" s="1050"/>
      <c r="AS82" s="1051"/>
      <c r="AU82" s="1053"/>
      <c r="AV82" s="1054"/>
      <c r="AW82" s="1054"/>
      <c r="AX82" s="1057"/>
      <c r="AY82" s="1057"/>
      <c r="AZ82" s="1058"/>
      <c r="BA82" s="1059"/>
      <c r="BB82" s="1059"/>
      <c r="BC82" s="1054"/>
      <c r="BD82" s="1054"/>
      <c r="BE82" s="1054"/>
    </row>
    <row r="83" spans="1:57" s="1052" customFormat="1" ht="12" customHeight="1">
      <c r="A83" s="1060" t="s">
        <v>217</v>
      </c>
      <c r="B83" s="1041"/>
      <c r="C83" s="1041"/>
      <c r="D83" s="1041"/>
      <c r="E83" s="1042"/>
      <c r="F83" s="1043"/>
      <c r="G83" s="1041"/>
      <c r="H83" s="1041"/>
      <c r="I83" s="1042"/>
      <c r="J83" s="1043"/>
      <c r="K83" s="1041"/>
      <c r="L83" s="1041"/>
      <c r="M83" s="1042"/>
      <c r="N83" s="1043"/>
      <c r="O83" s="1041"/>
      <c r="P83" s="1041"/>
      <c r="Q83" s="1042"/>
      <c r="R83" s="1044"/>
      <c r="S83" s="1045"/>
      <c r="T83" s="855"/>
      <c r="U83" s="1061"/>
      <c r="V83" s="1044"/>
      <c r="W83" s="1045"/>
      <c r="X83" s="888">
        <f t="shared" ref="X83:AJ83" si="127">(T30+X84)/T30</f>
        <v>1.2278889978653436</v>
      </c>
      <c r="Y83" s="1062">
        <f t="shared" si="127"/>
        <v>1.2556738112174368</v>
      </c>
      <c r="Z83" s="1063">
        <f t="shared" si="127"/>
        <v>1.1800863410471361</v>
      </c>
      <c r="AA83" s="888">
        <f t="shared" si="127"/>
        <v>1.1965425548098163</v>
      </c>
      <c r="AB83" s="888">
        <f t="shared" si="127"/>
        <v>1.1750061480918039</v>
      </c>
      <c r="AC83" s="1062">
        <f t="shared" si="127"/>
        <v>1.1857759531172989</v>
      </c>
      <c r="AD83" s="1064">
        <f t="shared" si="127"/>
        <v>1.155158627190358</v>
      </c>
      <c r="AE83" s="1065">
        <f t="shared" si="127"/>
        <v>1.1389487069053918</v>
      </c>
      <c r="AF83" s="1065">
        <f t="shared" si="127"/>
        <v>1.126532657830883</v>
      </c>
      <c r="AG83" s="1062">
        <f t="shared" si="127"/>
        <v>1.0900115327276307</v>
      </c>
      <c r="AH83" s="1064">
        <f t="shared" si="127"/>
        <v>1.1069637573450761</v>
      </c>
      <c r="AI83" s="1065">
        <f t="shared" si="127"/>
        <v>1.1179709005112073</v>
      </c>
      <c r="AJ83" s="1065">
        <f t="shared" si="127"/>
        <v>1.112291270344536</v>
      </c>
      <c r="AK83" s="1066">
        <f>(AG30+AK84)/AG30</f>
        <v>1.1119920587449252</v>
      </c>
      <c r="AL83" s="1049"/>
      <c r="AM83" s="1050"/>
      <c r="AN83" s="1050"/>
      <c r="AO83" s="1051"/>
      <c r="AP83" s="1049"/>
      <c r="AQ83" s="1050"/>
      <c r="AR83" s="1050"/>
      <c r="AS83" s="1051"/>
      <c r="AU83" s="1053"/>
      <c r="AV83" s="1054"/>
      <c r="AW83" s="1054"/>
      <c r="AX83" s="1057"/>
      <c r="AY83" s="856">
        <f>(AX30+AY84)/AX30</f>
        <v>1.2126204792592812</v>
      </c>
      <c r="AZ83" s="857">
        <f>(AY30+AZ84)/AY30</f>
        <v>1.245412377802007</v>
      </c>
      <c r="BA83" s="1055">
        <f>(AZ30+BA84)/AZ30</f>
        <v>1.1842822870910183</v>
      </c>
      <c r="BB83" s="1055"/>
      <c r="BC83" s="1054"/>
      <c r="BD83" s="1054"/>
      <c r="BE83" s="1054"/>
    </row>
    <row r="84" spans="1:57" s="1052" customFormat="1" ht="12" customHeight="1">
      <c r="A84" s="1067" t="s">
        <v>218</v>
      </c>
      <c r="B84" s="1041"/>
      <c r="C84" s="1041"/>
      <c r="D84" s="1041"/>
      <c r="E84" s="1042"/>
      <c r="F84" s="1043"/>
      <c r="G84" s="1041"/>
      <c r="H84" s="1041"/>
      <c r="I84" s="1042"/>
      <c r="J84" s="1043"/>
      <c r="K84" s="1041"/>
      <c r="L84" s="1041"/>
      <c r="M84" s="1042"/>
      <c r="N84" s="1043"/>
      <c r="O84" s="1041"/>
      <c r="P84" s="1041"/>
      <c r="Q84" s="1042"/>
      <c r="R84" s="1044"/>
      <c r="S84" s="1045"/>
      <c r="T84" s="855"/>
      <c r="U84" s="1068"/>
      <c r="V84" s="1069"/>
      <c r="W84" s="1070"/>
      <c r="X84" s="1070">
        <v>31.6</v>
      </c>
      <c r="Y84" s="1068">
        <f>132.8-94.7</f>
        <v>38.100000000000009</v>
      </c>
      <c r="Z84" s="1069">
        <v>28.7</v>
      </c>
      <c r="AA84" s="1070">
        <v>32.299999999999997</v>
      </c>
      <c r="AB84" s="1070">
        <v>30.6</v>
      </c>
      <c r="AC84" s="1068">
        <f>125.9-AB84-AA84-Z84</f>
        <v>34.300000000000011</v>
      </c>
      <c r="AD84" s="1071">
        <v>29.3</v>
      </c>
      <c r="AE84" s="1072">
        <v>27.1</v>
      </c>
      <c r="AF84" s="1072">
        <v>25.5</v>
      </c>
      <c r="AG84" s="1068">
        <f>101.1-AF84-AE84-AD84</f>
        <v>19.199999999999992</v>
      </c>
      <c r="AH84" s="1071">
        <v>23.1</v>
      </c>
      <c r="AI84" s="1072">
        <f>49.2-AH84</f>
        <v>26.1</v>
      </c>
      <c r="AJ84" s="1072">
        <v>25.5</v>
      </c>
      <c r="AK84" s="1073">
        <f>101.1-AJ84-AI84-AH84</f>
        <v>26.399999999999991</v>
      </c>
      <c r="AL84" s="1049"/>
      <c r="AM84" s="1050"/>
      <c r="AN84" s="1050"/>
      <c r="AO84" s="1051"/>
      <c r="AP84" s="1049"/>
      <c r="AQ84" s="1050"/>
      <c r="AR84" s="1050"/>
      <c r="AS84" s="1051"/>
      <c r="AU84" s="1053"/>
      <c r="AV84" s="1054"/>
      <c r="AW84" s="1054"/>
      <c r="AX84" s="1057"/>
      <c r="AY84" s="1074">
        <v>93.6</v>
      </c>
      <c r="AZ84" s="1069">
        <v>132.80000000000001</v>
      </c>
      <c r="BA84" s="1075">
        <f>SUM(Z84:AC84)</f>
        <v>125.9</v>
      </c>
      <c r="BB84" s="1075"/>
      <c r="BC84" s="1054"/>
      <c r="BD84" s="1054"/>
      <c r="BE84" s="1054"/>
    </row>
    <row r="85" spans="1:57" s="1052" customFormat="1" ht="12" customHeight="1">
      <c r="A85" s="1067" t="s">
        <v>179</v>
      </c>
      <c r="B85" s="1076"/>
      <c r="C85" s="1076"/>
      <c r="D85" s="1076"/>
      <c r="E85" s="1077"/>
      <c r="F85" s="1078"/>
      <c r="G85" s="1076"/>
      <c r="H85" s="1076"/>
      <c r="I85" s="1077"/>
      <c r="J85" s="1078"/>
      <c r="K85" s="1076"/>
      <c r="L85" s="1076"/>
      <c r="M85" s="1077"/>
      <c r="N85" s="1078"/>
      <c r="O85" s="1076"/>
      <c r="P85" s="1076"/>
      <c r="Q85" s="1077"/>
      <c r="R85" s="1079"/>
      <c r="S85" s="1080"/>
      <c r="T85" s="1081"/>
      <c r="U85" s="1082"/>
      <c r="V85" s="1079"/>
      <c r="W85" s="1080"/>
      <c r="X85" s="1083">
        <f t="shared" ref="X85:AK85" si="128">X84/(X30-T30)</f>
        <v>0.87324177190703822</v>
      </c>
      <c r="Y85" s="1082">
        <f t="shared" si="128"/>
        <v>1.0698340493639966</v>
      </c>
      <c r="Z85" s="1084">
        <f t="shared" si="128"/>
        <v>0.97383868888059344</v>
      </c>
      <c r="AA85" s="1083">
        <f t="shared" si="128"/>
        <v>1.0522886463593422</v>
      </c>
      <c r="AB85" s="1083">
        <f t="shared" si="128"/>
        <v>1.1470125196791365</v>
      </c>
      <c r="AC85" s="1082">
        <f t="shared" si="128"/>
        <v>1.1961639058413263</v>
      </c>
      <c r="AD85" s="1085">
        <f t="shared" si="128"/>
        <v>1.0803038124032169</v>
      </c>
      <c r="AE85" s="1086">
        <f t="shared" si="128"/>
        <v>1.0341537874451436</v>
      </c>
      <c r="AF85" s="1086">
        <f t="shared" si="128"/>
        <v>0.99769161547791396</v>
      </c>
      <c r="AG85" s="1082">
        <f t="shared" si="128"/>
        <v>0.85618729096989887</v>
      </c>
      <c r="AH85" s="1085">
        <f t="shared" si="128"/>
        <v>0.99672074559889479</v>
      </c>
      <c r="AI85" s="1086">
        <f t="shared" si="128"/>
        <v>1.0017655638289706</v>
      </c>
      <c r="AJ85" s="1086">
        <f t="shared" si="128"/>
        <v>1.005837803723572</v>
      </c>
      <c r="AK85" s="1087">
        <f t="shared" si="128"/>
        <v>1.0644302878800085</v>
      </c>
      <c r="AL85" s="1088"/>
      <c r="AM85" s="1089"/>
      <c r="AN85" s="1089"/>
      <c r="AO85" s="1090"/>
      <c r="AP85" s="1088"/>
      <c r="AQ85" s="1089"/>
      <c r="AR85" s="1089"/>
      <c r="AS85" s="1090"/>
      <c r="AU85" s="1091"/>
      <c r="AV85" s="1092"/>
      <c r="AW85" s="1092"/>
      <c r="AX85" s="1093"/>
      <c r="AY85" s="1094">
        <f>AY84/(AY30-AX30)</f>
        <v>0.92756840321477774</v>
      </c>
      <c r="AZ85" s="1084">
        <f>AZ84/(AZ30-AY30)</f>
        <v>0.93480969442704176</v>
      </c>
      <c r="BA85" s="1094">
        <f>BA84/(BA30-AZ30)</f>
        <v>1.0898640050554453</v>
      </c>
      <c r="BB85" s="1094"/>
      <c r="BC85" s="1092"/>
      <c r="BD85" s="1092"/>
      <c r="BE85" s="1092"/>
    </row>
    <row r="86" spans="1:57" s="1100" customFormat="1" ht="12" customHeight="1">
      <c r="A86" s="1095" t="s">
        <v>130</v>
      </c>
      <c r="B86" s="1096"/>
      <c r="C86" s="1096"/>
      <c r="D86" s="1096"/>
      <c r="E86" s="1096"/>
      <c r="F86" s="1096"/>
      <c r="G86" s="1096"/>
      <c r="H86" s="1096"/>
      <c r="I86" s="1096"/>
      <c r="J86" s="1096"/>
      <c r="K86" s="1096"/>
      <c r="L86" s="1096"/>
      <c r="M86" s="1096"/>
      <c r="N86" s="1096"/>
      <c r="O86" s="1096"/>
      <c r="P86" s="1096"/>
      <c r="Q86" s="1096"/>
      <c r="R86" s="1097"/>
      <c r="S86" s="1097"/>
      <c r="T86" s="1097"/>
      <c r="U86" s="1097"/>
      <c r="V86" s="1097"/>
      <c r="W86" s="1097"/>
      <c r="X86" s="1097"/>
      <c r="Y86" s="1096"/>
      <c r="Z86" s="1096"/>
      <c r="AA86" s="1096"/>
      <c r="AB86" s="1096"/>
      <c r="AC86" s="1096"/>
      <c r="AD86" s="1098"/>
      <c r="AE86" s="953"/>
      <c r="AF86" s="1098"/>
      <c r="AG86" s="1098"/>
      <c r="AH86" s="1096"/>
      <c r="AI86" s="1096"/>
      <c r="AJ86" s="1096"/>
      <c r="AK86" s="1096"/>
      <c r="AL86" s="1096"/>
      <c r="AM86" s="1096"/>
      <c r="AN86" s="1096"/>
      <c r="AO86" s="1096"/>
      <c r="AP86" s="1096"/>
      <c r="AQ86" s="1096"/>
      <c r="AR86" s="1096"/>
      <c r="AS86" s="1096"/>
      <c r="AT86" s="1052"/>
      <c r="AU86" s="1099"/>
      <c r="AV86" s="1099"/>
      <c r="AW86" s="1099"/>
      <c r="AX86" s="1099"/>
      <c r="AY86" s="1099"/>
      <c r="AZ86" s="1099"/>
      <c r="BA86" s="1099"/>
      <c r="BB86" s="1099"/>
      <c r="BC86" s="1099"/>
      <c r="BD86" s="1099"/>
      <c r="BE86" s="1099"/>
    </row>
    <row r="87" spans="1:57" s="1100" customFormat="1" ht="12" customHeight="1">
      <c r="A87" s="1101"/>
      <c r="B87" s="1099"/>
      <c r="C87" s="1099"/>
      <c r="D87" s="1099"/>
      <c r="E87" s="1099"/>
      <c r="F87" s="1099"/>
      <c r="G87" s="1099"/>
      <c r="H87" s="1099"/>
      <c r="I87" s="1099"/>
      <c r="J87" s="1099"/>
      <c r="K87" s="1099"/>
      <c r="L87" s="1099"/>
      <c r="M87" s="1099"/>
      <c r="N87" s="1099"/>
      <c r="O87" s="1099"/>
      <c r="P87" s="1099"/>
      <c r="Q87" s="1099"/>
      <c r="R87" s="1099"/>
      <c r="S87" s="1099"/>
      <c r="T87" s="1099"/>
      <c r="U87" s="1099"/>
      <c r="V87" s="1099"/>
      <c r="W87" s="1099"/>
      <c r="X87" s="1099"/>
      <c r="Y87" s="1099"/>
      <c r="Z87" s="1099"/>
      <c r="AA87" s="1099"/>
      <c r="AB87" s="1099"/>
      <c r="AC87" s="1099"/>
      <c r="AD87" s="953"/>
      <c r="AE87" s="953"/>
      <c r="AF87" s="953"/>
      <c r="AG87" s="953"/>
      <c r="AH87" s="1099"/>
      <c r="AI87" s="1099"/>
      <c r="AJ87" s="1099"/>
      <c r="AK87" s="1099"/>
      <c r="AL87" s="1099"/>
      <c r="AM87" s="1099"/>
      <c r="AN87" s="1099"/>
      <c r="AO87" s="1099"/>
      <c r="AP87" s="1099"/>
      <c r="AQ87" s="1099"/>
      <c r="AR87" s="1099"/>
      <c r="AS87" s="1099"/>
      <c r="AT87" s="1052"/>
      <c r="AU87" s="1099"/>
      <c r="AV87" s="1099"/>
      <c r="AW87" s="1099"/>
      <c r="AX87" s="1099"/>
      <c r="AY87" s="1099"/>
      <c r="AZ87" s="1099"/>
      <c r="BA87" s="1099"/>
      <c r="BB87" s="1099"/>
      <c r="BC87" s="1099"/>
      <c r="BD87" s="1099"/>
      <c r="BE87" s="1099"/>
    </row>
    <row r="88" spans="1:57" s="45" customFormat="1" ht="12" customHeight="1">
      <c r="A88" s="649"/>
      <c r="B88" s="1733">
        <f>'Income Statement'!B$3</f>
        <v>2017</v>
      </c>
      <c r="C88" s="1733"/>
      <c r="D88" s="1733"/>
      <c r="E88" s="1734"/>
      <c r="F88" s="1733">
        <f>'Income Statement'!F$3</f>
        <v>2018</v>
      </c>
      <c r="G88" s="1733"/>
      <c r="H88" s="1733"/>
      <c r="I88" s="1735"/>
      <c r="J88" s="1725">
        <f>'Income Statement'!J$3</f>
        <v>2019</v>
      </c>
      <c r="K88" s="1733"/>
      <c r="L88" s="1733"/>
      <c r="M88" s="1735"/>
      <c r="N88" s="1725">
        <f>'Income Statement'!N$3</f>
        <v>2020</v>
      </c>
      <c r="O88" s="1733"/>
      <c r="P88" s="1733"/>
      <c r="Q88" s="1735"/>
      <c r="R88" s="1725">
        <f>'Income Statement'!R$3</f>
        <v>2021</v>
      </c>
      <c r="S88" s="1733"/>
      <c r="T88" s="1733"/>
      <c r="U88" s="1735"/>
      <c r="V88" s="1725">
        <f>'Income Statement'!V$3</f>
        <v>2022</v>
      </c>
      <c r="W88" s="1733"/>
      <c r="X88" s="1733"/>
      <c r="Y88" s="1733"/>
      <c r="Z88" s="1731">
        <f>'Income Statement'!Z$3</f>
        <v>2023</v>
      </c>
      <c r="AA88" s="1733"/>
      <c r="AB88" s="1733"/>
      <c r="AC88" s="1734"/>
      <c r="AD88" s="1731">
        <f>'Income Statement'!AD$3</f>
        <v>2024</v>
      </c>
      <c r="AE88" s="1733"/>
      <c r="AF88" s="1733"/>
      <c r="AG88" s="1734"/>
      <c r="AH88" s="1731">
        <f>'Income Statement'!AH$3</f>
        <v>2025</v>
      </c>
      <c r="AI88" s="1733"/>
      <c r="AJ88" s="1733"/>
      <c r="AK88" s="1734"/>
      <c r="AL88" s="1731">
        <f>'Income Statement'!AL$3</f>
        <v>2026</v>
      </c>
      <c r="AM88" s="1733"/>
      <c r="AN88" s="1733"/>
      <c r="AO88" s="1734"/>
      <c r="AP88" s="1731">
        <f>'Income Statement'!AP$3</f>
        <v>2027</v>
      </c>
      <c r="AQ88" s="1733"/>
      <c r="AR88" s="1733"/>
      <c r="AS88" s="1734"/>
      <c r="AT88" s="41"/>
      <c r="AU88" s="750"/>
      <c r="AV88" s="750"/>
      <c r="AW88" s="750"/>
      <c r="AX88" s="750"/>
      <c r="AY88" s="750"/>
      <c r="AZ88" s="750"/>
      <c r="BA88" s="652"/>
      <c r="BB88" s="750"/>
      <c r="BC88" s="750"/>
      <c r="BD88" s="750"/>
      <c r="BE88" s="653"/>
    </row>
    <row r="89" spans="1:57" s="62" customFormat="1" ht="12" customHeight="1">
      <c r="A89" s="751" t="s">
        <v>219</v>
      </c>
      <c r="B89" s="65">
        <f>'Income Statement'!B$4</f>
        <v>42825</v>
      </c>
      <c r="C89" s="65">
        <f>'Income Statement'!C$4</f>
        <v>42916</v>
      </c>
      <c r="D89" s="65">
        <f>'Income Statement'!D$4</f>
        <v>43008</v>
      </c>
      <c r="E89" s="66">
        <f>'Income Statement'!E$4</f>
        <v>43100</v>
      </c>
      <c r="F89" s="65">
        <f>'Income Statement'!F$4</f>
        <v>43190</v>
      </c>
      <c r="G89" s="65">
        <f>'Income Statement'!G$4</f>
        <v>43281</v>
      </c>
      <c r="H89" s="65">
        <f>'Income Statement'!H$4</f>
        <v>43373</v>
      </c>
      <c r="I89" s="956">
        <f>'Income Statement'!I$4</f>
        <v>43465</v>
      </c>
      <c r="J89" s="957">
        <f>'Income Statement'!J$4</f>
        <v>43555</v>
      </c>
      <c r="K89" s="65">
        <f>'Income Statement'!K$4</f>
        <v>43646</v>
      </c>
      <c r="L89" s="65">
        <f>'Income Statement'!L$4</f>
        <v>43738</v>
      </c>
      <c r="M89" s="956">
        <f>'Income Statement'!M$4</f>
        <v>43830</v>
      </c>
      <c r="N89" s="957">
        <f>'Income Statement'!N$4</f>
        <v>43921</v>
      </c>
      <c r="O89" s="65">
        <f>'Income Statement'!O$4</f>
        <v>44012</v>
      </c>
      <c r="P89" s="65">
        <f>'Income Statement'!P$4</f>
        <v>44104</v>
      </c>
      <c r="Q89" s="956">
        <f>'Income Statement'!Q$4</f>
        <v>44196</v>
      </c>
      <c r="R89" s="958">
        <f>'Income Statement'!R$4</f>
        <v>44286</v>
      </c>
      <c r="S89" s="65">
        <f>'Income Statement'!S$4</f>
        <v>44377</v>
      </c>
      <c r="T89" s="48">
        <f>'Income Statement'!T$4</f>
        <v>44469</v>
      </c>
      <c r="U89" s="318">
        <f>'Income Statement'!U$4</f>
        <v>44561</v>
      </c>
      <c r="V89" s="958">
        <f>'Income Statement'!V$4</f>
        <v>44651</v>
      </c>
      <c r="W89" s="48">
        <f>'Income Statement'!W$4</f>
        <v>44742</v>
      </c>
      <c r="X89" s="48">
        <f>'Income Statement'!X$4</f>
        <v>44834</v>
      </c>
      <c r="Y89" s="48">
        <f>'Income Statement'!Y$4</f>
        <v>44926</v>
      </c>
      <c r="Z89" s="655">
        <f>'Income Statement'!Z$4</f>
        <v>45016</v>
      </c>
      <c r="AA89" s="48">
        <f>'Income Statement'!AA$4</f>
        <v>45107</v>
      </c>
      <c r="AB89" s="48">
        <f>'Income Statement'!AB$4</f>
        <v>45199</v>
      </c>
      <c r="AC89" s="50">
        <f>'Income Statement'!AC$4</f>
        <v>45291</v>
      </c>
      <c r="AD89" s="655">
        <f>'Income Statement'!AD$4</f>
        <v>45382</v>
      </c>
      <c r="AE89" s="48">
        <f>'Income Statement'!AE$4</f>
        <v>45473</v>
      </c>
      <c r="AF89" s="48" t="str">
        <f>'Income Statement'!AF$4</f>
        <v>Sep-24</v>
      </c>
      <c r="AG89" s="50" t="str">
        <f>'Income Statement'!AG$4</f>
        <v>Dec-24</v>
      </c>
      <c r="AH89" s="655" t="str">
        <f>'Income Statement'!AH$4</f>
        <v>Mar-25</v>
      </c>
      <c r="AI89" s="48" t="str">
        <f>'Income Statement'!AI$4</f>
        <v>Jun-25</v>
      </c>
      <c r="AJ89" s="48" t="str">
        <f>'Income Statement'!AJ$4</f>
        <v>Sep-25</v>
      </c>
      <c r="AK89" s="50" t="str">
        <f>'Income Statement'!AK$4</f>
        <v>Dec-25</v>
      </c>
      <c r="AL89" s="655" t="str">
        <f>'Income Statement'!AL$4</f>
        <v>Mar-26E</v>
      </c>
      <c r="AM89" s="48" t="str">
        <f>'Income Statement'!AM$4</f>
        <v>Jun-26E</v>
      </c>
      <c r="AN89" s="48" t="str">
        <f>'Income Statement'!AN$4</f>
        <v>Sep-26E</v>
      </c>
      <c r="AO89" s="50" t="str">
        <f>'Income Statement'!AO$4</f>
        <v>Dec-26E</v>
      </c>
      <c r="AP89" s="655" t="str">
        <f>'Income Statement'!AP$4</f>
        <v>Mar-27E</v>
      </c>
      <c r="AQ89" s="48" t="str">
        <f>'Income Statement'!AQ$4</f>
        <v>Jun-27E</v>
      </c>
      <c r="AR89" s="48" t="str">
        <f>'Income Statement'!AR$4</f>
        <v>Sep-27E</v>
      </c>
      <c r="AS89" s="50" t="str">
        <f>'Income Statement'!AS$4</f>
        <v>Dec-27E</v>
      </c>
      <c r="AT89" s="50"/>
      <c r="AU89" s="907">
        <f>'Income Statement'!AU$4</f>
        <v>2017</v>
      </c>
      <c r="AV89" s="907">
        <f>'Income Statement'!AV$4</f>
        <v>2018</v>
      </c>
      <c r="AW89" s="907">
        <f>'Income Statement'!AW$4</f>
        <v>2019</v>
      </c>
      <c r="AX89" s="907">
        <f>'Income Statement'!AX$4</f>
        <v>2020</v>
      </c>
      <c r="AY89" s="907" t="str">
        <f>'Income Statement'!AY$4</f>
        <v>CY21</v>
      </c>
      <c r="AZ89" s="907" t="str">
        <f>'Income Statement'!AZ$4</f>
        <v>CY22</v>
      </c>
      <c r="BA89" s="61" t="str">
        <f>'Income Statement'!BA$4</f>
        <v>CY23</v>
      </c>
      <c r="BB89" s="907" t="str">
        <f>'Income Statement'!BB$4</f>
        <v>CY24</v>
      </c>
      <c r="BC89" s="907" t="str">
        <f>'Income Statement'!BC$4</f>
        <v>CY25</v>
      </c>
      <c r="BD89" s="907" t="str">
        <f>'Income Statement'!BD$4</f>
        <v>CY26E</v>
      </c>
      <c r="BE89" s="907" t="str">
        <f>'Income Statement'!BE$4</f>
        <v>CY27E</v>
      </c>
    </row>
    <row r="90" spans="1:57" s="1106" customFormat="1" ht="12" customHeight="1">
      <c r="A90" s="1102" t="s">
        <v>220</v>
      </c>
      <c r="B90" s="1103">
        <v>30.474000000000004</v>
      </c>
      <c r="C90" s="846">
        <v>33.091999999999999</v>
      </c>
      <c r="D90" s="846">
        <v>36.408000000000001</v>
      </c>
      <c r="E90" s="904">
        <v>39.505410000000005</v>
      </c>
      <c r="F90" s="846">
        <v>42.762</v>
      </c>
      <c r="G90" s="846">
        <v>45.715000000000003</v>
      </c>
      <c r="H90" s="846">
        <v>49.390999999999998</v>
      </c>
      <c r="I90" s="904">
        <v>53.336000000000013</v>
      </c>
      <c r="J90" s="846">
        <v>56.091000000000001</v>
      </c>
      <c r="K90" s="846">
        <v>58.887999999999998</v>
      </c>
      <c r="L90" s="846">
        <v>62.412999999999997</v>
      </c>
      <c r="M90" s="904">
        <v>66.224000000000018</v>
      </c>
      <c r="N90" s="846">
        <v>69.313999999999993</v>
      </c>
      <c r="O90" s="846">
        <v>71.945999999999998</v>
      </c>
      <c r="P90" s="846">
        <v>74.569000000000003</v>
      </c>
      <c r="Q90" s="904">
        <v>77.904999999999973</v>
      </c>
      <c r="R90" s="846">
        <v>80.594999999999999</v>
      </c>
      <c r="S90" s="846">
        <v>84.462000000000003</v>
      </c>
      <c r="T90" s="846">
        <v>88.783000000000001</v>
      </c>
      <c r="U90" s="904">
        <f>347.724-SUM(R90:T90)</f>
        <v>93.883999999999958</v>
      </c>
      <c r="V90" s="846">
        <v>99.5</v>
      </c>
      <c r="W90" s="846">
        <v>104.979</v>
      </c>
      <c r="X90" s="843">
        <v>111.227</v>
      </c>
      <c r="Y90" s="904">
        <f>432.734-SUM(V90:X90)</f>
        <v>117.02799999999996</v>
      </c>
      <c r="Z90" s="912">
        <v>119.28400000000001</v>
      </c>
      <c r="AA90" s="843">
        <v>122.21</v>
      </c>
      <c r="AB90" s="843">
        <v>127.01600000000001</v>
      </c>
      <c r="AC90" s="904">
        <f>500.512-SUM(Z90:AB90)</f>
        <v>132.00200000000001</v>
      </c>
      <c r="AD90" s="817">
        <v>134.483</v>
      </c>
      <c r="AE90" s="804">
        <v>136.75399999999999</v>
      </c>
      <c r="AF90" s="804">
        <v>140.79455999999999</v>
      </c>
      <c r="AG90" s="804">
        <f>BB90-SUM(AD90:AF90)</f>
        <v>146.03644000000003</v>
      </c>
      <c r="AH90" s="817">
        <v>150.59</v>
      </c>
      <c r="AI90" s="804">
        <v>152.21299999999999</v>
      </c>
      <c r="AJ90" s="804">
        <v>154.91800000000001</v>
      </c>
      <c r="AK90" s="804"/>
      <c r="AL90" s="912"/>
      <c r="AM90" s="843"/>
      <c r="AN90" s="843"/>
      <c r="AO90" s="911"/>
      <c r="AP90" s="912"/>
      <c r="AQ90" s="843"/>
      <c r="AR90" s="843"/>
      <c r="AS90" s="911"/>
      <c r="AT90" s="1104"/>
      <c r="AU90" s="1105">
        <f>SUM(B90:E90)</f>
        <v>139.47941</v>
      </c>
      <c r="AV90" s="1105">
        <f>SUM(F90:I90)</f>
        <v>191.20400000000001</v>
      </c>
      <c r="AW90" s="1105">
        <f>SUM(J90:M90)</f>
        <v>243.61600000000001</v>
      </c>
      <c r="AX90" s="1105">
        <f>SUM(N90:Q90)</f>
        <v>293.73399999999998</v>
      </c>
      <c r="AY90" s="1105">
        <f>SUM(R90:U90)</f>
        <v>347.72399999999999</v>
      </c>
      <c r="AZ90" s="1105">
        <f>SUM(V90:Y90)</f>
        <v>432.73399999999998</v>
      </c>
      <c r="BA90" s="660">
        <f t="shared" ref="BA90" si="129">SUM(Z90:AC90)</f>
        <v>500.512</v>
      </c>
      <c r="BB90" s="1105">
        <v>558.06799999999998</v>
      </c>
      <c r="BC90" s="1105"/>
      <c r="BD90" s="1105"/>
      <c r="BE90" s="1105"/>
    </row>
    <row r="91" spans="1:57" s="1052" customFormat="1" ht="12" customHeight="1">
      <c r="A91" s="797" t="s">
        <v>117</v>
      </c>
      <c r="B91" s="798"/>
      <c r="C91" s="798"/>
      <c r="D91" s="978"/>
      <c r="E91" s="889"/>
      <c r="F91" s="798">
        <f t="shared" ref="F91:Q91" si="130">F90/B90-1</f>
        <v>0.403228982083087</v>
      </c>
      <c r="G91" s="798">
        <f t="shared" si="130"/>
        <v>0.38145171038317427</v>
      </c>
      <c r="H91" s="978">
        <f t="shared" si="130"/>
        <v>0.35659745110964614</v>
      </c>
      <c r="I91" s="889">
        <f t="shared" si="130"/>
        <v>0.35009356946301806</v>
      </c>
      <c r="J91" s="798">
        <f t="shared" si="130"/>
        <v>0.31170197839203029</v>
      </c>
      <c r="K91" s="798">
        <f t="shared" si="130"/>
        <v>0.28815487258011574</v>
      </c>
      <c r="L91" s="978">
        <f t="shared" si="130"/>
        <v>0.2636512724990383</v>
      </c>
      <c r="M91" s="889">
        <f t="shared" si="130"/>
        <v>0.24163791810409485</v>
      </c>
      <c r="N91" s="978">
        <f t="shared" si="130"/>
        <v>0.23574191938100575</v>
      </c>
      <c r="O91" s="798">
        <f t="shared" si="130"/>
        <v>0.22174296970520313</v>
      </c>
      <c r="P91" s="798">
        <f t="shared" si="130"/>
        <v>0.19476711582522888</v>
      </c>
      <c r="Q91" s="890">
        <f t="shared" si="130"/>
        <v>0.17638620439719666</v>
      </c>
      <c r="R91" s="978">
        <f>R90/N90-1</f>
        <v>0.1627521135701302</v>
      </c>
      <c r="S91" s="798">
        <f t="shared" ref="S91:U91" si="131">S90/O90-1</f>
        <v>0.17396380618797447</v>
      </c>
      <c r="T91" s="798">
        <f t="shared" si="131"/>
        <v>0.19061540318362846</v>
      </c>
      <c r="U91" s="890">
        <f t="shared" si="131"/>
        <v>0.20510878634233998</v>
      </c>
      <c r="V91" s="978">
        <f>V90/R90-1</f>
        <v>0.23456790123456783</v>
      </c>
      <c r="W91" s="798">
        <f t="shared" ref="W91:AJ91" si="132">W90/S90-1</f>
        <v>0.2429139731476877</v>
      </c>
      <c r="X91" s="798">
        <f t="shared" si="132"/>
        <v>0.25279614340583212</v>
      </c>
      <c r="Y91" s="890">
        <f t="shared" si="132"/>
        <v>0.24651697839887543</v>
      </c>
      <c r="Z91" s="798">
        <f t="shared" si="132"/>
        <v>0.19883417085427135</v>
      </c>
      <c r="AA91" s="798">
        <f t="shared" si="132"/>
        <v>0.16413758942264645</v>
      </c>
      <c r="AB91" s="798">
        <f t="shared" si="132"/>
        <v>0.14195294308036721</v>
      </c>
      <c r="AC91" s="890">
        <f t="shared" si="132"/>
        <v>0.1279522849232666</v>
      </c>
      <c r="AD91" s="798">
        <f t="shared" si="132"/>
        <v>0.12741859763254082</v>
      </c>
      <c r="AE91" s="798">
        <f t="shared" si="132"/>
        <v>0.11900826446280988</v>
      </c>
      <c r="AF91" s="798">
        <f t="shared" si="132"/>
        <v>0.10847893178812096</v>
      </c>
      <c r="AG91" s="890">
        <f t="shared" si="132"/>
        <v>0.10631990424387516</v>
      </c>
      <c r="AH91" s="798">
        <f t="shared" si="132"/>
        <v>0.11976978502859104</v>
      </c>
      <c r="AI91" s="798">
        <f t="shared" si="132"/>
        <v>0.11304239729733689</v>
      </c>
      <c r="AJ91" s="798">
        <f t="shared" si="132"/>
        <v>0.10031239843357587</v>
      </c>
      <c r="AK91" s="890"/>
      <c r="AL91" s="800"/>
      <c r="AM91" s="798"/>
      <c r="AN91" s="798"/>
      <c r="AO91" s="890"/>
      <c r="AP91" s="800"/>
      <c r="AQ91" s="798"/>
      <c r="AR91" s="798"/>
      <c r="AS91" s="890"/>
      <c r="AT91" s="1107"/>
      <c r="AU91" s="1108"/>
      <c r="AV91" s="1109">
        <f>AV90/AU90-1</f>
        <v>0.37084032689842905</v>
      </c>
      <c r="AW91" s="1109">
        <f>AW90/AV90-1</f>
        <v>0.2741156042760613</v>
      </c>
      <c r="AX91" s="1109">
        <f>AX90/AW90-1</f>
        <v>0.20572540391435679</v>
      </c>
      <c r="AY91" s="1109">
        <f t="shared" ref="AY91:BB91" si="133">AY90/AX90-1</f>
        <v>0.18380575622842432</v>
      </c>
      <c r="AZ91" s="1109">
        <f t="shared" si="133"/>
        <v>0.24447550356029502</v>
      </c>
      <c r="BA91" s="1110">
        <f t="shared" si="133"/>
        <v>0.15662739696903882</v>
      </c>
      <c r="BB91" s="1110">
        <f t="shared" si="133"/>
        <v>0.11499424589220641</v>
      </c>
      <c r="BC91" s="1111"/>
      <c r="BD91" s="1111"/>
      <c r="BE91" s="1111"/>
    </row>
    <row r="92" spans="1:57" s="1052" customFormat="1" ht="12" customHeight="1">
      <c r="A92" s="797" t="s">
        <v>221</v>
      </c>
      <c r="B92" s="798"/>
      <c r="C92" s="798">
        <f>C90/B90-1</f>
        <v>8.5909299730917876E-2</v>
      </c>
      <c r="D92" s="978">
        <f t="shared" ref="D92:AJ92" si="134">D90/C90-1</f>
        <v>0.10020548773117377</v>
      </c>
      <c r="E92" s="889">
        <f t="shared" si="134"/>
        <v>8.5074983520105674E-2</v>
      </c>
      <c r="F92" s="798">
        <f t="shared" si="134"/>
        <v>8.2434026124523108E-2</v>
      </c>
      <c r="G92" s="798">
        <f t="shared" si="134"/>
        <v>6.9056639072073489E-2</v>
      </c>
      <c r="H92" s="978">
        <f t="shared" si="134"/>
        <v>8.0411243574318947E-2</v>
      </c>
      <c r="I92" s="889">
        <f t="shared" si="134"/>
        <v>7.9872851329189753E-2</v>
      </c>
      <c r="J92" s="798">
        <f t="shared" si="134"/>
        <v>5.16536673166339E-2</v>
      </c>
      <c r="K92" s="798">
        <f t="shared" si="134"/>
        <v>4.986539730081474E-2</v>
      </c>
      <c r="L92" s="978">
        <f t="shared" si="134"/>
        <v>5.9859394104061936E-2</v>
      </c>
      <c r="M92" s="889">
        <f t="shared" si="134"/>
        <v>6.1060996907695841E-2</v>
      </c>
      <c r="N92" s="978">
        <f t="shared" si="134"/>
        <v>4.6659821212853059E-2</v>
      </c>
      <c r="O92" s="798">
        <f t="shared" si="134"/>
        <v>3.7972126843062171E-2</v>
      </c>
      <c r="P92" s="798">
        <f t="shared" si="134"/>
        <v>3.6457898979790571E-2</v>
      </c>
      <c r="Q92" s="890">
        <f t="shared" si="134"/>
        <v>4.4737089138917829E-2</v>
      </c>
      <c r="R92" s="978">
        <f t="shared" si="134"/>
        <v>3.452923432385635E-2</v>
      </c>
      <c r="S92" s="798">
        <f t="shared" si="134"/>
        <v>4.7980643960543468E-2</v>
      </c>
      <c r="T92" s="798">
        <f t="shared" si="134"/>
        <v>5.1159101134237828E-2</v>
      </c>
      <c r="U92" s="890">
        <f t="shared" si="134"/>
        <v>5.7454692902920046E-2</v>
      </c>
      <c r="V92" s="978">
        <f t="shared" si="134"/>
        <v>5.9818499424822535E-2</v>
      </c>
      <c r="W92" s="798">
        <f t="shared" si="134"/>
        <v>5.5065326633165768E-2</v>
      </c>
      <c r="X92" s="798">
        <f t="shared" si="134"/>
        <v>5.9516665237809407E-2</v>
      </c>
      <c r="Y92" s="890">
        <f t="shared" si="134"/>
        <v>5.2154602749332035E-2</v>
      </c>
      <c r="Z92" s="798">
        <f t="shared" si="134"/>
        <v>1.9277437878115089E-2</v>
      </c>
      <c r="AA92" s="798">
        <f t="shared" si="134"/>
        <v>2.4529693839911326E-2</v>
      </c>
      <c r="AB92" s="798">
        <f t="shared" si="134"/>
        <v>3.932575075689404E-2</v>
      </c>
      <c r="AC92" s="890">
        <f t="shared" si="134"/>
        <v>3.9254897020847723E-2</v>
      </c>
      <c r="AD92" s="798">
        <f t="shared" si="134"/>
        <v>1.879516977015494E-2</v>
      </c>
      <c r="AE92" s="798">
        <f t="shared" si="134"/>
        <v>1.6886892767115524E-2</v>
      </c>
      <c r="AF92" s="798">
        <f t="shared" si="134"/>
        <v>2.9546192433128171E-2</v>
      </c>
      <c r="AG92" s="890">
        <f t="shared" si="134"/>
        <v>3.7230699822493385E-2</v>
      </c>
      <c r="AH92" s="798">
        <f t="shared" si="134"/>
        <v>3.1180984691218105E-2</v>
      </c>
      <c r="AI92" s="798">
        <f t="shared" si="134"/>
        <v>1.0777608074905354E-2</v>
      </c>
      <c r="AJ92" s="798">
        <f t="shared" si="134"/>
        <v>1.7771149638992734E-2</v>
      </c>
      <c r="AK92" s="890"/>
      <c r="AL92" s="800"/>
      <c r="AM92" s="798"/>
      <c r="AN92" s="798"/>
      <c r="AO92" s="890"/>
      <c r="AP92" s="800"/>
      <c r="AQ92" s="798"/>
      <c r="AR92" s="798"/>
      <c r="AS92" s="890"/>
      <c r="AT92" s="1107"/>
      <c r="AU92" s="1112"/>
      <c r="AV92" s="1113"/>
      <c r="AW92" s="1113"/>
      <c r="AX92" s="1114"/>
      <c r="AY92" s="1114"/>
      <c r="AZ92" s="1114"/>
      <c r="BA92" s="1115"/>
      <c r="BB92" s="1116"/>
      <c r="BC92" s="1116"/>
      <c r="BD92" s="1116"/>
      <c r="BE92" s="1116"/>
    </row>
    <row r="93" spans="1:57" s="1121" customFormat="1" ht="12" customHeight="1">
      <c r="A93" s="797" t="s">
        <v>179</v>
      </c>
      <c r="B93" s="1117">
        <f>B90/B$5</f>
        <v>0.75279760875472446</v>
      </c>
      <c r="C93" s="1117">
        <f t="shared" ref="C93:AE93" si="135">C90/C$5</f>
        <v>0.74955265124917891</v>
      </c>
      <c r="D93" s="1117">
        <f t="shared" si="135"/>
        <v>0.74332380563495304</v>
      </c>
      <c r="E93" s="1118">
        <f t="shared" si="135"/>
        <v>0.73</v>
      </c>
      <c r="F93" s="1117">
        <f t="shared" si="135"/>
        <v>0.72346760958938872</v>
      </c>
      <c r="G93" s="1117">
        <f t="shared" si="135"/>
        <v>0.71887973329978616</v>
      </c>
      <c r="H93" s="1117">
        <f t="shared" si="135"/>
        <v>0.71127592165898612</v>
      </c>
      <c r="I93" s="1118">
        <f t="shared" si="135"/>
        <v>0.70905731112322368</v>
      </c>
      <c r="J93" s="1117">
        <f t="shared" si="135"/>
        <v>0.69850935853849894</v>
      </c>
      <c r="K93" s="1117">
        <f t="shared" si="135"/>
        <v>0.6896842499765764</v>
      </c>
      <c r="L93" s="1117">
        <f t="shared" si="135"/>
        <v>0.67949527500762086</v>
      </c>
      <c r="M93" s="1118">
        <f t="shared" si="135"/>
        <v>0.6823769436058077</v>
      </c>
      <c r="N93" s="1117">
        <f t="shared" si="135"/>
        <v>0.67525913802509541</v>
      </c>
      <c r="O93" s="1117">
        <f t="shared" si="135"/>
        <v>0.67108171888554125</v>
      </c>
      <c r="P93" s="1117">
        <f t="shared" si="135"/>
        <v>0.66412247733385577</v>
      </c>
      <c r="Q93" s="1118">
        <f t="shared" si="135"/>
        <v>0.65975339171084468</v>
      </c>
      <c r="R93" s="1117">
        <f t="shared" si="135"/>
        <v>0.6542386089667096</v>
      </c>
      <c r="S93" s="1117">
        <f t="shared" si="135"/>
        <v>0.64841584842506084</v>
      </c>
      <c r="T93" s="1117">
        <f t="shared" si="135"/>
        <v>0.64027433219869623</v>
      </c>
      <c r="U93" s="1118">
        <f t="shared" si="135"/>
        <v>0.63001785019259393</v>
      </c>
      <c r="V93" s="1117">
        <f t="shared" si="135"/>
        <v>0.62434114753275438</v>
      </c>
      <c r="W93" s="1117">
        <f t="shared" si="135"/>
        <v>0.63878764276717315</v>
      </c>
      <c r="X93" s="1117">
        <f t="shared" si="135"/>
        <v>0.63612447169304154</v>
      </c>
      <c r="Y93" s="1118">
        <f t="shared" si="135"/>
        <v>0.63384805368545893</v>
      </c>
      <c r="Z93" s="1119">
        <f t="shared" si="135"/>
        <v>0.63167036470220661</v>
      </c>
      <c r="AA93" s="1117">
        <f t="shared" si="135"/>
        <v>0.62660226829918575</v>
      </c>
      <c r="AB93" s="1117">
        <f t="shared" si="135"/>
        <v>0.63026164968813425</v>
      </c>
      <c r="AC93" s="1117">
        <f t="shared" si="135"/>
        <v>0.61883866370378715</v>
      </c>
      <c r="AD93" s="1024">
        <f t="shared" si="135"/>
        <v>0.62271891684146685</v>
      </c>
      <c r="AE93" s="981">
        <f t="shared" si="135"/>
        <v>0.61812231909998594</v>
      </c>
      <c r="AF93" s="981">
        <v>0.62</v>
      </c>
      <c r="AG93" s="982">
        <v>0.62</v>
      </c>
      <c r="AH93" s="981">
        <f t="shared" ref="AH93:AI93" si="136">AH90/AH$5</f>
        <v>0.62972271124920032</v>
      </c>
      <c r="AI93" s="981">
        <f t="shared" si="136"/>
        <v>0.61551183808811327</v>
      </c>
      <c r="AJ93" s="981">
        <v>0.62</v>
      </c>
      <c r="AK93" s="982"/>
      <c r="AL93" s="1119"/>
      <c r="AM93" s="1117"/>
      <c r="AN93" s="1117"/>
      <c r="AO93" s="1118"/>
      <c r="AP93" s="1119"/>
      <c r="AQ93" s="1117"/>
      <c r="AR93" s="1117"/>
      <c r="AS93" s="1118"/>
      <c r="AT93" s="1120"/>
      <c r="AU93" s="1109">
        <f t="shared" ref="AU93:AV93" si="137">AU90/AU$5</f>
        <v>0.74299067262567442</v>
      </c>
      <c r="AV93" s="1109">
        <f t="shared" si="137"/>
        <v>0.71515559545182528</v>
      </c>
      <c r="AW93" s="1109">
        <f>AW90/AW$5</f>
        <v>0.68704348169414475</v>
      </c>
      <c r="AX93" s="1109">
        <f>AX90/AX$5</f>
        <v>0.66724213520027431</v>
      </c>
      <c r="AY93" s="1109">
        <f t="shared" ref="AY93:BB93" si="138">AY90/AY$5</f>
        <v>0.64258865706946577</v>
      </c>
      <c r="AZ93" s="1109">
        <f t="shared" si="138"/>
        <v>0.63340120112823495</v>
      </c>
      <c r="BA93" s="1110">
        <f t="shared" si="138"/>
        <v>0.62665047388914619</v>
      </c>
      <c r="BB93" s="1110">
        <f t="shared" si="138"/>
        <v>0.62006108746351474</v>
      </c>
      <c r="BC93" s="1111"/>
      <c r="BD93" s="1111"/>
      <c r="BE93" s="1111"/>
    </row>
    <row r="94" spans="1:57" s="1133" customFormat="1" ht="12" customHeight="1">
      <c r="A94" s="1122" t="s">
        <v>222</v>
      </c>
      <c r="B94" s="1123"/>
      <c r="C94" s="1123"/>
      <c r="D94" s="1123"/>
      <c r="E94" s="1124"/>
      <c r="F94" s="1123"/>
      <c r="G94" s="1123"/>
      <c r="H94" s="1123"/>
      <c r="I94" s="1124"/>
      <c r="J94" s="1123"/>
      <c r="K94" s="1123"/>
      <c r="L94" s="1123"/>
      <c r="M94" s="1124"/>
      <c r="N94" s="1123"/>
      <c r="O94" s="1123"/>
      <c r="P94" s="1123"/>
      <c r="Q94" s="1124"/>
      <c r="R94" s="1123"/>
      <c r="S94" s="1123"/>
      <c r="T94" s="1123"/>
      <c r="U94" s="1124"/>
      <c r="V94" s="1125">
        <f t="shared" ref="V94:AD94" si="139">V5*V97</f>
        <v>89.246080000000006</v>
      </c>
      <c r="W94" s="1125">
        <f t="shared" si="139"/>
        <v>93.674369999999996</v>
      </c>
      <c r="X94" s="1125">
        <f t="shared" si="139"/>
        <v>99.665069999999986</v>
      </c>
      <c r="Y94" s="1125">
        <f t="shared" si="139"/>
        <v>98.407760000000053</v>
      </c>
      <c r="Z94" s="1126">
        <f t="shared" si="139"/>
        <v>105.74984000000002</v>
      </c>
      <c r="AA94" s="1125">
        <f t="shared" si="139"/>
        <v>107.2698</v>
      </c>
      <c r="AB94" s="1125">
        <f t="shared" si="139"/>
        <v>110.84095000000001</v>
      </c>
      <c r="AC94" s="1125">
        <f>BA94-SUM(Z94:AB94)</f>
        <v>115.42991000000001</v>
      </c>
      <c r="AD94" s="1126">
        <f t="shared" si="139"/>
        <v>116.61893999999999</v>
      </c>
      <c r="AE94" s="1125">
        <f>AE$5*AE97</f>
        <v>119.47014000000001</v>
      </c>
      <c r="AF94" s="1125">
        <f>AF$5*AF97</f>
        <v>122.62752</v>
      </c>
      <c r="AG94" s="1127">
        <f>BB94-SUM(AD94:AF94)</f>
        <v>127.29473999999999</v>
      </c>
      <c r="AH94" s="1125"/>
      <c r="AI94" s="1123"/>
      <c r="AJ94" s="1125">
        <f>AJ$5*AJ97</f>
        <v>136.3176</v>
      </c>
      <c r="AK94" s="1127"/>
      <c r="AL94" s="1128"/>
      <c r="AM94" s="1123"/>
      <c r="AN94" s="1123"/>
      <c r="AO94" s="1124"/>
      <c r="AP94" s="1128"/>
      <c r="AQ94" s="1123"/>
      <c r="AR94" s="1123"/>
      <c r="AS94" s="1124"/>
      <c r="AT94" s="1129"/>
      <c r="AU94" s="1130"/>
      <c r="AV94" s="1130"/>
      <c r="AW94" s="1130"/>
      <c r="AX94" s="1125">
        <f t="shared" ref="AX94:AZ94" si="140">AX$5*AX97</f>
        <v>268.53480999999999</v>
      </c>
      <c r="AY94" s="1126">
        <f t="shared" si="140"/>
        <v>313.85539999999997</v>
      </c>
      <c r="AZ94" s="1126">
        <f t="shared" si="140"/>
        <v>382.58696000000003</v>
      </c>
      <c r="BA94" s="1126">
        <f>BA$5*BA97</f>
        <v>439.29050000000007</v>
      </c>
      <c r="BB94" s="1126">
        <f>BB$5*BB97</f>
        <v>486.01134000000002</v>
      </c>
      <c r="BC94" s="1131"/>
      <c r="BD94" s="1132"/>
      <c r="BE94" s="1132"/>
    </row>
    <row r="95" spans="1:57" s="1121" customFormat="1" ht="12" customHeight="1">
      <c r="A95" s="1134" t="s">
        <v>117</v>
      </c>
      <c r="B95" s="1135"/>
      <c r="C95" s="1135"/>
      <c r="D95" s="1135"/>
      <c r="E95" s="1136"/>
      <c r="F95" s="1135"/>
      <c r="G95" s="1135"/>
      <c r="H95" s="1135"/>
      <c r="I95" s="1136"/>
      <c r="J95" s="1135"/>
      <c r="K95" s="1135"/>
      <c r="L95" s="1135"/>
      <c r="M95" s="1136"/>
      <c r="N95" s="1135"/>
      <c r="O95" s="1135"/>
      <c r="P95" s="1135"/>
      <c r="Q95" s="1136"/>
      <c r="R95" s="1135"/>
      <c r="S95" s="1135"/>
      <c r="T95" s="1135"/>
      <c r="U95" s="1136"/>
      <c r="V95" s="1137" t="s">
        <v>223</v>
      </c>
      <c r="W95" s="1137" t="s">
        <v>223</v>
      </c>
      <c r="X95" s="1137" t="s">
        <v>223</v>
      </c>
      <c r="Y95" s="1137" t="s">
        <v>223</v>
      </c>
      <c r="Z95" s="1138">
        <f t="shared" ref="Z95:AD95" si="141">Z94/V94-1</f>
        <v>0.18492420059233994</v>
      </c>
      <c r="AA95" s="1137">
        <f t="shared" si="141"/>
        <v>0.14513500330987017</v>
      </c>
      <c r="AB95" s="1137">
        <f t="shared" si="141"/>
        <v>0.11213437165097084</v>
      </c>
      <c r="AC95" s="1137">
        <f t="shared" si="141"/>
        <v>0.1729756880961415</v>
      </c>
      <c r="AD95" s="1138">
        <f t="shared" si="141"/>
        <v>0.10278124297871249</v>
      </c>
      <c r="AE95" s="1137">
        <f>AE94/AA94-1</f>
        <v>0.11373508666931431</v>
      </c>
      <c r="AF95" s="1137">
        <f>AF94/AB94-1</f>
        <v>0.10633768476361838</v>
      </c>
      <c r="AG95" s="1139">
        <f>AG94/AC94-1</f>
        <v>0.10278817682522656</v>
      </c>
      <c r="AH95" s="1137"/>
      <c r="AI95" s="1135"/>
      <c r="AJ95" s="1137">
        <f>AJ94/AF94-1</f>
        <v>0.11163954061861481</v>
      </c>
      <c r="AK95" s="1139"/>
      <c r="AL95" s="1140"/>
      <c r="AM95" s="1135"/>
      <c r="AN95" s="1135"/>
      <c r="AO95" s="1136"/>
      <c r="AP95" s="1140"/>
      <c r="AQ95" s="1135"/>
      <c r="AR95" s="1135"/>
      <c r="AS95" s="1136"/>
      <c r="AT95" s="1120"/>
      <c r="AU95" s="1141"/>
      <c r="AV95" s="1141"/>
      <c r="AW95" s="1141"/>
      <c r="AX95" s="1141" t="s">
        <v>223</v>
      </c>
      <c r="AY95" s="1141">
        <f t="shared" ref="AY95:AZ95" si="142">AY94/AX94-1</f>
        <v>0.16876988871573095</v>
      </c>
      <c r="AZ95" s="1141">
        <f t="shared" si="142"/>
        <v>0.21899116599555102</v>
      </c>
      <c r="BA95" s="1142">
        <f>BA94/AZ94-1</f>
        <v>0.14821085381477728</v>
      </c>
      <c r="BB95" s="1142">
        <f>BB94/BA94-1</f>
        <v>0.10635522507315764</v>
      </c>
      <c r="BC95" s="1143"/>
      <c r="BD95" s="1143"/>
      <c r="BE95" s="1143"/>
    </row>
    <row r="96" spans="1:57" s="1121" customFormat="1" ht="12" customHeight="1">
      <c r="A96" s="1134" t="s">
        <v>221</v>
      </c>
      <c r="B96" s="1135"/>
      <c r="C96" s="1135"/>
      <c r="D96" s="1135"/>
      <c r="E96" s="1136"/>
      <c r="F96" s="1135"/>
      <c r="G96" s="1135"/>
      <c r="H96" s="1135"/>
      <c r="I96" s="1136"/>
      <c r="J96" s="1135"/>
      <c r="K96" s="1135"/>
      <c r="L96" s="1135"/>
      <c r="M96" s="1136"/>
      <c r="N96" s="1135"/>
      <c r="O96" s="1135"/>
      <c r="P96" s="1135"/>
      <c r="Q96" s="1136"/>
      <c r="R96" s="1135"/>
      <c r="S96" s="1135"/>
      <c r="T96" s="1135"/>
      <c r="U96" s="1136"/>
      <c r="V96" s="1137" t="s">
        <v>223</v>
      </c>
      <c r="W96" s="1137">
        <f t="shared" ref="W96:AD96" si="143">W94/V94-1</f>
        <v>4.9618874016651437E-2</v>
      </c>
      <c r="X96" s="1137">
        <f t="shared" si="143"/>
        <v>6.3952391673410602E-2</v>
      </c>
      <c r="Y96" s="1137">
        <f t="shared" si="143"/>
        <v>-1.2615352600464091E-2</v>
      </c>
      <c r="Z96" s="1138">
        <f t="shared" si="143"/>
        <v>7.460875036684067E-2</v>
      </c>
      <c r="AA96" s="1137">
        <f t="shared" si="143"/>
        <v>1.4373165954671752E-2</v>
      </c>
      <c r="AB96" s="1137">
        <f t="shared" si="143"/>
        <v>3.3291289813162761E-2</v>
      </c>
      <c r="AC96" s="1137">
        <f t="shared" si="143"/>
        <v>4.1401305203537131E-2</v>
      </c>
      <c r="AD96" s="1138">
        <f t="shared" si="143"/>
        <v>1.0300883020700535E-2</v>
      </c>
      <c r="AE96" s="1137">
        <f>AE94/AD94-1</f>
        <v>2.4448858821731978E-2</v>
      </c>
      <c r="AF96" s="1137">
        <f>AF94/AE94-1</f>
        <v>2.6428193689234769E-2</v>
      </c>
      <c r="AG96" s="1139">
        <f>AG94/AF94-1</f>
        <v>3.8060135277953711E-2</v>
      </c>
      <c r="AH96" s="1137"/>
      <c r="AI96" s="1135"/>
      <c r="AJ96" s="1137"/>
      <c r="AK96" s="1139"/>
      <c r="AL96" s="1140"/>
      <c r="AM96" s="1135"/>
      <c r="AN96" s="1135"/>
      <c r="AO96" s="1136"/>
      <c r="AP96" s="1140"/>
      <c r="AQ96" s="1135"/>
      <c r="AR96" s="1135"/>
      <c r="AS96" s="1136"/>
      <c r="AT96" s="1120"/>
      <c r="AU96" s="1141"/>
      <c r="AV96" s="1141"/>
      <c r="AW96" s="1141"/>
      <c r="AX96" s="1141"/>
      <c r="AY96" s="1141"/>
      <c r="AZ96" s="1141"/>
      <c r="BA96" s="1142"/>
      <c r="BB96" s="1142"/>
      <c r="BC96" s="1143"/>
      <c r="BD96" s="1143"/>
      <c r="BE96" s="1143"/>
    </row>
    <row r="97" spans="1:57" s="1121" customFormat="1" ht="12" customHeight="1">
      <c r="A97" s="1134" t="s">
        <v>179</v>
      </c>
      <c r="B97" s="1135"/>
      <c r="C97" s="1135"/>
      <c r="D97" s="1135"/>
      <c r="E97" s="1136"/>
      <c r="F97" s="1135"/>
      <c r="G97" s="1135"/>
      <c r="H97" s="1135"/>
      <c r="I97" s="1136"/>
      <c r="J97" s="1135"/>
      <c r="K97" s="1135"/>
      <c r="L97" s="1135"/>
      <c r="M97" s="1136"/>
      <c r="N97" s="1135"/>
      <c r="O97" s="1135"/>
      <c r="P97" s="1135"/>
      <c r="Q97" s="1136"/>
      <c r="R97" s="1135"/>
      <c r="S97" s="1135"/>
      <c r="T97" s="1135"/>
      <c r="U97" s="1136"/>
      <c r="V97" s="1144">
        <v>0.56000000000000005</v>
      </c>
      <c r="W97" s="1144">
        <v>0.56999999999999995</v>
      </c>
      <c r="X97" s="1144">
        <v>0.56999999999999995</v>
      </c>
      <c r="Y97" s="1144">
        <f>((AZ97*AZ5)-(57%*SUM(V5:X5)))/Y5</f>
        <v>0.53299695067458908</v>
      </c>
      <c r="Z97" s="1145">
        <v>0.56000000000000005</v>
      </c>
      <c r="AA97" s="1144">
        <v>0.55000000000000004</v>
      </c>
      <c r="AB97" s="1144">
        <v>0.55000000000000004</v>
      </c>
      <c r="AC97" s="1135">
        <f>AC94/AC5</f>
        <v>0.54114703758919114</v>
      </c>
      <c r="AD97" s="1145">
        <v>0.54</v>
      </c>
      <c r="AE97" s="1144">
        <v>0.54</v>
      </c>
      <c r="AF97" s="1144">
        <v>0.54</v>
      </c>
      <c r="AG97" s="1136">
        <f>AG94/AG5</f>
        <v>0.53999999999999992</v>
      </c>
      <c r="AH97" s="1144"/>
      <c r="AI97" s="1144"/>
      <c r="AJ97" s="1144">
        <v>0.54</v>
      </c>
      <c r="AK97" s="1136"/>
      <c r="AL97" s="1145"/>
      <c r="AM97" s="1144"/>
      <c r="AN97" s="1144"/>
      <c r="AO97" s="1146"/>
      <c r="AP97" s="1145"/>
      <c r="AQ97" s="1144"/>
      <c r="AR97" s="1144"/>
      <c r="AS97" s="1146"/>
      <c r="AT97" s="1120"/>
      <c r="AU97" s="1141"/>
      <c r="AV97" s="1141"/>
      <c r="AW97" s="1141"/>
      <c r="AX97" s="1147">
        <v>0.61</v>
      </c>
      <c r="AY97" s="1147">
        <v>0.57999999999999996</v>
      </c>
      <c r="AZ97" s="1147">
        <v>0.56000000000000005</v>
      </c>
      <c r="BA97" s="1148">
        <v>0.55000000000000004</v>
      </c>
      <c r="BB97" s="1148">
        <v>0.54</v>
      </c>
      <c r="BC97" s="1143"/>
      <c r="BD97" s="1143"/>
      <c r="BE97" s="1143"/>
    </row>
    <row r="98" spans="1:57" s="1106" customFormat="1" ht="12" customHeight="1">
      <c r="A98" s="1102" t="s">
        <v>224</v>
      </c>
      <c r="B98" s="846">
        <v>7.032</v>
      </c>
      <c r="C98" s="846">
        <v>7.798</v>
      </c>
      <c r="D98" s="846">
        <v>8.7810000000000006</v>
      </c>
      <c r="E98" s="904">
        <v>10.510000000000002</v>
      </c>
      <c r="F98" s="846">
        <v>11.666</v>
      </c>
      <c r="G98" s="846">
        <v>12.55</v>
      </c>
      <c r="H98" s="846">
        <v>14.002000000000001</v>
      </c>
      <c r="I98" s="904">
        <v>15.620999999999995</v>
      </c>
      <c r="J98" s="846">
        <v>17.306999999999999</v>
      </c>
      <c r="K98" s="846">
        <v>18.847999999999999</v>
      </c>
      <c r="L98" s="846">
        <v>19.968</v>
      </c>
      <c r="M98" s="904">
        <v>21.552999999999997</v>
      </c>
      <c r="N98" s="846">
        <v>23.55</v>
      </c>
      <c r="O98" s="846">
        <v>24.641999999999999</v>
      </c>
      <c r="P98" s="846">
        <v>26.193000000000001</v>
      </c>
      <c r="Q98" s="904">
        <v>27.769999999999996</v>
      </c>
      <c r="R98" s="846">
        <v>29.265999999999998</v>
      </c>
      <c r="S98" s="846">
        <v>31.946999999999999</v>
      </c>
      <c r="T98" s="846">
        <v>34.923000000000002</v>
      </c>
      <c r="U98" s="904">
        <f>135.176-SUM(R98:T98)</f>
        <v>39.039999999999992</v>
      </c>
      <c r="V98" s="846">
        <v>43.139000000000003</v>
      </c>
      <c r="W98" s="846">
        <v>41.523000000000003</v>
      </c>
      <c r="X98" s="843">
        <v>44.116999999999997</v>
      </c>
      <c r="Y98" s="904">
        <f>175.767-SUM(V98:X98)</f>
        <v>46.988</v>
      </c>
      <c r="Z98" s="912">
        <v>48.259</v>
      </c>
      <c r="AA98" s="843">
        <v>50.780999999999999</v>
      </c>
      <c r="AB98" s="843">
        <v>51.396999999999998</v>
      </c>
      <c r="AC98" s="904">
        <f>205.851-SUM(Z98:AB98)</f>
        <v>55.414000000000016</v>
      </c>
      <c r="AD98" s="817">
        <v>57.037999999999997</v>
      </c>
      <c r="AE98" s="804">
        <v>59.32</v>
      </c>
      <c r="AF98" s="804">
        <v>59.042880000000004</v>
      </c>
      <c r="AG98" s="1149">
        <f>BB98-SUM(AD98:AF98)</f>
        <v>64.340120000000013</v>
      </c>
      <c r="AH98" s="804">
        <v>61.247999999999998</v>
      </c>
      <c r="AI98" s="804">
        <v>66.924000000000007</v>
      </c>
      <c r="AJ98" s="804">
        <v>68.260999999999996</v>
      </c>
      <c r="AK98" s="1149"/>
      <c r="AL98" s="912"/>
      <c r="AM98" s="843"/>
      <c r="AN98" s="843"/>
      <c r="AO98" s="911"/>
      <c r="AP98" s="912"/>
      <c r="AQ98" s="843"/>
      <c r="AR98" s="843"/>
      <c r="AS98" s="911"/>
      <c r="AT98" s="1104"/>
      <c r="AU98" s="1105">
        <f>SUM(B98:E98)</f>
        <v>34.121000000000002</v>
      </c>
      <c r="AV98" s="1105">
        <f>SUM(F98:I98)</f>
        <v>53.838999999999999</v>
      </c>
      <c r="AW98" s="1105">
        <f>SUM(J98:M98)</f>
        <v>77.676000000000002</v>
      </c>
      <c r="AX98" s="1105">
        <f>SUM(N98:Q98)</f>
        <v>102.155</v>
      </c>
      <c r="AY98" s="1105">
        <f>SUM(R98:U98)</f>
        <v>135.17599999999999</v>
      </c>
      <c r="AZ98" s="1105">
        <f>SUM(V98:Y98)</f>
        <v>175.767</v>
      </c>
      <c r="BA98" s="660">
        <f t="shared" ref="BA98" si="144">SUM(Z98:AC98)</f>
        <v>205.851</v>
      </c>
      <c r="BB98" s="660">
        <v>239.74100000000001</v>
      </c>
      <c r="BC98" s="1105"/>
      <c r="BD98" s="1105"/>
      <c r="BE98" s="1105"/>
    </row>
    <row r="99" spans="1:57" s="1052" customFormat="1" ht="12" customHeight="1">
      <c r="A99" s="797" t="s">
        <v>117</v>
      </c>
      <c r="B99" s="798"/>
      <c r="C99" s="798"/>
      <c r="D99" s="798"/>
      <c r="E99" s="890"/>
      <c r="F99" s="798">
        <f t="shared" ref="F99:Q99" si="145">F98/B98-1</f>
        <v>0.65898748577929478</v>
      </c>
      <c r="G99" s="798">
        <f t="shared" si="145"/>
        <v>0.60938702231341368</v>
      </c>
      <c r="H99" s="978">
        <f t="shared" si="145"/>
        <v>0.59457920510192452</v>
      </c>
      <c r="I99" s="889">
        <f t="shared" si="145"/>
        <v>0.48629876308277753</v>
      </c>
      <c r="J99" s="798">
        <f t="shared" si="145"/>
        <v>0.48354191668095292</v>
      </c>
      <c r="K99" s="798">
        <f t="shared" si="145"/>
        <v>0.50183266932270909</v>
      </c>
      <c r="L99" s="978">
        <f t="shared" si="145"/>
        <v>0.42608198828738741</v>
      </c>
      <c r="M99" s="889">
        <f t="shared" si="145"/>
        <v>0.37974521477498269</v>
      </c>
      <c r="N99" s="978">
        <f t="shared" si="145"/>
        <v>0.36072109551048714</v>
      </c>
      <c r="O99" s="798">
        <f t="shared" si="145"/>
        <v>0.30740662139219022</v>
      </c>
      <c r="P99" s="798">
        <f t="shared" si="145"/>
        <v>0.31174879807692313</v>
      </c>
      <c r="Q99" s="890">
        <f t="shared" si="145"/>
        <v>0.28845172365795935</v>
      </c>
      <c r="R99" s="978">
        <f>R98/N98-1</f>
        <v>0.24271762208067926</v>
      </c>
      <c r="S99" s="798">
        <f t="shared" ref="S99:U99" si="146">S98/O98-1</f>
        <v>0.29644509374239103</v>
      </c>
      <c r="T99" s="798">
        <f t="shared" si="146"/>
        <v>0.33329515519413588</v>
      </c>
      <c r="U99" s="890">
        <f t="shared" si="146"/>
        <v>0.40583363341735668</v>
      </c>
      <c r="V99" s="978">
        <f>V98/R98-1</f>
        <v>0.47403129911843123</v>
      </c>
      <c r="W99" s="798">
        <f t="shared" ref="W99:AJ99" si="147">W98/S98-1</f>
        <v>0.29974645506620345</v>
      </c>
      <c r="X99" s="798">
        <f t="shared" si="147"/>
        <v>0.26326489705924438</v>
      </c>
      <c r="Y99" s="890">
        <f t="shared" si="147"/>
        <v>0.20358606557377068</v>
      </c>
      <c r="Z99" s="798">
        <f t="shared" si="147"/>
        <v>0.11868610769837029</v>
      </c>
      <c r="AA99" s="798">
        <f t="shared" si="147"/>
        <v>0.22296076873058301</v>
      </c>
      <c r="AB99" s="798">
        <f t="shared" si="147"/>
        <v>0.16501575356438569</v>
      </c>
      <c r="AC99" s="890">
        <f t="shared" si="147"/>
        <v>0.17932238018217461</v>
      </c>
      <c r="AD99" s="798">
        <f t="shared" si="147"/>
        <v>0.18191425433597863</v>
      </c>
      <c r="AE99" s="798">
        <f t="shared" si="147"/>
        <v>0.16815344321695136</v>
      </c>
      <c r="AF99" s="798">
        <f t="shared" si="147"/>
        <v>0.14876121174387613</v>
      </c>
      <c r="AG99" s="890">
        <f t="shared" si="147"/>
        <v>0.16108059335186042</v>
      </c>
      <c r="AH99" s="798">
        <f t="shared" si="147"/>
        <v>7.3810442161366119E-2</v>
      </c>
      <c r="AI99" s="798">
        <f t="shared" si="147"/>
        <v>0.1281861092380312</v>
      </c>
      <c r="AJ99" s="798">
        <f t="shared" si="147"/>
        <v>0.15612585293942294</v>
      </c>
      <c r="AK99" s="890"/>
      <c r="AL99" s="800"/>
      <c r="AM99" s="798"/>
      <c r="AN99" s="798"/>
      <c r="AO99" s="890"/>
      <c r="AP99" s="800"/>
      <c r="AQ99" s="798"/>
      <c r="AR99" s="798"/>
      <c r="AS99" s="890"/>
      <c r="AT99" s="1107"/>
      <c r="AU99" s="1108"/>
      <c r="AV99" s="1109">
        <f>AV98/AU98-1</f>
        <v>0.57788458720436076</v>
      </c>
      <c r="AW99" s="1109">
        <f>AW98/AV98-1</f>
        <v>0.44274596482104056</v>
      </c>
      <c r="AX99" s="1109">
        <f>AX98/AW98-1</f>
        <v>0.31514238632267366</v>
      </c>
      <c r="AY99" s="1109">
        <f t="shared" ref="AY99:BA99" si="148">AY98/AX98-1</f>
        <v>0.32324408986344277</v>
      </c>
      <c r="AZ99" s="1109">
        <f t="shared" si="148"/>
        <v>0.30028259454341022</v>
      </c>
      <c r="BA99" s="1110">
        <f t="shared" si="148"/>
        <v>0.17115840857498843</v>
      </c>
      <c r="BB99" s="1110">
        <f>BB98/BA98-1</f>
        <v>0.16463364278045778</v>
      </c>
      <c r="BC99" s="1111"/>
      <c r="BD99" s="1111"/>
      <c r="BE99" s="1111"/>
    </row>
    <row r="100" spans="1:57" s="1052" customFormat="1" ht="12" customHeight="1">
      <c r="A100" s="797" t="s">
        <v>221</v>
      </c>
      <c r="B100" s="798"/>
      <c r="C100" s="798">
        <f>C98/B98-1</f>
        <v>0.10893060295790669</v>
      </c>
      <c r="D100" s="978">
        <f t="shared" ref="D100:AJ100" si="149">D98/C98-1</f>
        <v>0.12605796358040533</v>
      </c>
      <c r="E100" s="889">
        <f t="shared" si="149"/>
        <v>0.19690240291538563</v>
      </c>
      <c r="F100" s="798">
        <f t="shared" si="149"/>
        <v>0.10999048525214072</v>
      </c>
      <c r="G100" s="798">
        <f t="shared" si="149"/>
        <v>7.5775758614778033E-2</v>
      </c>
      <c r="H100" s="978">
        <f t="shared" si="149"/>
        <v>0.11569721115537845</v>
      </c>
      <c r="I100" s="889">
        <f t="shared" si="149"/>
        <v>0.11562633909441478</v>
      </c>
      <c r="J100" s="798">
        <f t="shared" si="149"/>
        <v>0.10793163049740762</v>
      </c>
      <c r="K100" s="798">
        <f t="shared" si="149"/>
        <v>8.9039117120240485E-2</v>
      </c>
      <c r="L100" s="978">
        <f t="shared" si="149"/>
        <v>5.9422750424448223E-2</v>
      </c>
      <c r="M100" s="889">
        <f t="shared" si="149"/>
        <v>7.9377003205127972E-2</v>
      </c>
      <c r="N100" s="978">
        <f t="shared" si="149"/>
        <v>9.2655314805363709E-2</v>
      </c>
      <c r="O100" s="798">
        <f t="shared" si="149"/>
        <v>4.6369426751592391E-2</v>
      </c>
      <c r="P100" s="798">
        <f t="shared" si="149"/>
        <v>6.2941319698076592E-2</v>
      </c>
      <c r="Q100" s="890">
        <f t="shared" si="149"/>
        <v>6.0206925514450171E-2</v>
      </c>
      <c r="R100" s="978">
        <f t="shared" si="149"/>
        <v>5.3871083903493044E-2</v>
      </c>
      <c r="S100" s="798">
        <f t="shared" si="149"/>
        <v>9.1608009294061432E-2</v>
      </c>
      <c r="T100" s="798">
        <f t="shared" si="149"/>
        <v>9.3154286787491936E-2</v>
      </c>
      <c r="U100" s="890">
        <f t="shared" si="149"/>
        <v>0.11788792486327027</v>
      </c>
      <c r="V100" s="978">
        <f t="shared" si="149"/>
        <v>0.10499487704918065</v>
      </c>
      <c r="W100" s="798">
        <f t="shared" si="149"/>
        <v>-3.7460302742298168E-2</v>
      </c>
      <c r="X100" s="798">
        <f t="shared" si="149"/>
        <v>6.2471401391999359E-2</v>
      </c>
      <c r="Y100" s="890">
        <f t="shared" si="149"/>
        <v>6.5076954461998904E-2</v>
      </c>
      <c r="Z100" s="798">
        <f t="shared" si="149"/>
        <v>2.7049459436451873E-2</v>
      </c>
      <c r="AA100" s="798">
        <f t="shared" si="149"/>
        <v>5.2259682131830409E-2</v>
      </c>
      <c r="AB100" s="798">
        <f t="shared" si="149"/>
        <v>1.2130521257950777E-2</v>
      </c>
      <c r="AC100" s="890">
        <f t="shared" si="149"/>
        <v>7.8156312625250912E-2</v>
      </c>
      <c r="AD100" s="798">
        <f t="shared" si="149"/>
        <v>2.9306673403832528E-2</v>
      </c>
      <c r="AE100" s="798">
        <f t="shared" si="149"/>
        <v>4.0008415442336798E-2</v>
      </c>
      <c r="AF100" s="798">
        <f t="shared" si="149"/>
        <v>-4.6716115981119133E-3</v>
      </c>
      <c r="AG100" s="890">
        <f t="shared" si="149"/>
        <v>8.9718523215669865E-2</v>
      </c>
      <c r="AH100" s="798">
        <f t="shared" si="149"/>
        <v>-4.8058971602788714E-2</v>
      </c>
      <c r="AI100" s="798">
        <f t="shared" si="149"/>
        <v>9.2672413793103647E-2</v>
      </c>
      <c r="AJ100" s="798">
        <f t="shared" si="149"/>
        <v>1.9977885362500558E-2</v>
      </c>
      <c r="AK100" s="890"/>
      <c r="AL100" s="800"/>
      <c r="AM100" s="798"/>
      <c r="AN100" s="798"/>
      <c r="AO100" s="890"/>
      <c r="AP100" s="800"/>
      <c r="AQ100" s="798"/>
      <c r="AR100" s="798"/>
      <c r="AS100" s="890"/>
      <c r="AT100" s="1107"/>
      <c r="AU100" s="1112"/>
      <c r="AV100" s="1113"/>
      <c r="AW100" s="1113"/>
      <c r="AX100" s="1114"/>
      <c r="AY100" s="1114"/>
      <c r="AZ100" s="1114"/>
      <c r="BA100" s="1115"/>
      <c r="BB100" s="1115"/>
      <c r="BC100" s="1116"/>
      <c r="BD100" s="1116"/>
      <c r="BE100" s="1116"/>
    </row>
    <row r="101" spans="1:57" s="1121" customFormat="1" ht="12" customHeight="1">
      <c r="A101" s="797" t="s">
        <v>179</v>
      </c>
      <c r="B101" s="1117">
        <f>B98/B$5</f>
        <v>0.17371112373706182</v>
      </c>
      <c r="C101" s="1117">
        <f t="shared" ref="C101:Y101" si="150">C98/C$5</f>
        <v>0.17662914222292692</v>
      </c>
      <c r="D101" s="1117">
        <f t="shared" si="150"/>
        <v>0.17927725602286648</v>
      </c>
      <c r="E101" s="1118">
        <f t="shared" si="150"/>
        <v>0.19420884380139328</v>
      </c>
      <c r="F101" s="1117">
        <f t="shared" si="150"/>
        <v>0.19737086977853724</v>
      </c>
      <c r="G101" s="1117">
        <f t="shared" si="150"/>
        <v>0.19735186815951694</v>
      </c>
      <c r="H101" s="1117">
        <f t="shared" si="150"/>
        <v>0.20164170506912443</v>
      </c>
      <c r="I101" s="1118">
        <f t="shared" si="150"/>
        <v>0.20766807141622678</v>
      </c>
      <c r="J101" s="1117">
        <f t="shared" si="150"/>
        <v>0.21552658123809165</v>
      </c>
      <c r="K101" s="1117">
        <f t="shared" si="150"/>
        <v>0.22074393328960928</v>
      </c>
      <c r="L101" s="1117">
        <f t="shared" si="150"/>
        <v>0.21739319775290683</v>
      </c>
      <c r="M101" s="1118">
        <f t="shared" si="150"/>
        <v>0.22208368968253153</v>
      </c>
      <c r="N101" s="1117">
        <f t="shared" si="150"/>
        <v>0.2294248304886603</v>
      </c>
      <c r="O101" s="1117">
        <f t="shared" si="150"/>
        <v>0.22985010586797749</v>
      </c>
      <c r="P101" s="1117">
        <f t="shared" si="150"/>
        <v>0.23327870896492758</v>
      </c>
      <c r="Q101" s="1118">
        <f t="shared" si="150"/>
        <v>0.23517555596958042</v>
      </c>
      <c r="R101" s="1117">
        <f t="shared" si="150"/>
        <v>0.23756991289806717</v>
      </c>
      <c r="S101" s="1117">
        <f t="shared" si="150"/>
        <v>0.24525752539171955</v>
      </c>
      <c r="T101" s="1117">
        <f t="shared" si="150"/>
        <v>0.25185340102694287</v>
      </c>
      <c r="U101" s="1118">
        <f t="shared" si="150"/>
        <v>0.26198177401387746</v>
      </c>
      <c r="V101" s="1117">
        <f>V98/V$5</f>
        <v>0.27068796747151253</v>
      </c>
      <c r="W101" s="1117">
        <f t="shared" si="150"/>
        <v>0.25266366883492253</v>
      </c>
      <c r="X101" s="1117">
        <f t="shared" si="150"/>
        <v>0.25231196847601672</v>
      </c>
      <c r="Y101" s="1118">
        <f t="shared" si="150"/>
        <v>0.25449680714506229</v>
      </c>
      <c r="Z101" s="1119">
        <f>Z98/Z$5</f>
        <v>0.25555632046346355</v>
      </c>
      <c r="AA101" s="1117">
        <v>0.26</v>
      </c>
      <c r="AB101" s="1117">
        <v>0.26</v>
      </c>
      <c r="AC101" s="1118">
        <f t="shared" ref="AC101" si="151">AC98/AC$5</f>
        <v>0.2597864101337985</v>
      </c>
      <c r="AD101" s="1024">
        <f>AD98/AD$5</f>
        <v>0.26411250179430545</v>
      </c>
      <c r="AE101" s="981">
        <f>AE98/AE$5</f>
        <v>0.26812390108524187</v>
      </c>
      <c r="AF101" s="981">
        <v>0.26</v>
      </c>
      <c r="AG101" s="982">
        <v>0.26</v>
      </c>
      <c r="AH101" s="981">
        <f t="shared" ref="AH101:AI101" si="152">AH98/AH$5</f>
        <v>0.25612096831523351</v>
      </c>
      <c r="AI101" s="981">
        <f t="shared" si="152"/>
        <v>0.27062415333912937</v>
      </c>
      <c r="AJ101" s="981">
        <v>0.26</v>
      </c>
      <c r="AK101" s="982"/>
      <c r="AL101" s="1119"/>
      <c r="AM101" s="1117"/>
      <c r="AN101" s="1117"/>
      <c r="AO101" s="1118"/>
      <c r="AP101" s="1119"/>
      <c r="AQ101" s="1117"/>
      <c r="AR101" s="1117"/>
      <c r="AS101" s="1118"/>
      <c r="AT101" s="1120"/>
      <c r="AU101" s="1109">
        <f t="shared" ref="AU101:AV101" si="153">AU98/AU$5</f>
        <v>0.18175861756699888</v>
      </c>
      <c r="AV101" s="1109">
        <f t="shared" si="153"/>
        <v>0.20137268102932374</v>
      </c>
      <c r="AW101" s="1109">
        <f>AW98/AW$5</f>
        <v>0.21906110224317937</v>
      </c>
      <c r="AX101" s="1109">
        <f>AX98/AX$5</f>
        <v>0.23205390020012676</v>
      </c>
      <c r="AY101" s="1109">
        <f t="shared" ref="AY101:BB101" si="154">AY98/AY$5</f>
        <v>0.24980318962171749</v>
      </c>
      <c r="AZ101" s="1109">
        <f t="shared" si="154"/>
        <v>0.2572735882059336</v>
      </c>
      <c r="BA101" s="1110">
        <f t="shared" si="154"/>
        <v>0.25772933855842545</v>
      </c>
      <c r="BB101" s="1110">
        <f t="shared" si="154"/>
        <v>0.26637267352650662</v>
      </c>
      <c r="BC101" s="1111"/>
      <c r="BD101" s="1111"/>
      <c r="BE101" s="1111"/>
    </row>
    <row r="102" spans="1:57" s="1121" customFormat="1" ht="12" customHeight="1">
      <c r="A102" s="1102" t="s">
        <v>225</v>
      </c>
      <c r="B102" s="846">
        <v>2.9750000000000005</v>
      </c>
      <c r="C102" s="846">
        <v>3.2589999999999999</v>
      </c>
      <c r="D102" s="846">
        <v>3.7909999999999999</v>
      </c>
      <c r="E102" s="904">
        <v>4.7050000000000001</v>
      </c>
      <c r="F102" s="846">
        <v>4.6790000000000003</v>
      </c>
      <c r="G102" s="846">
        <v>5.327</v>
      </c>
      <c r="H102" s="846">
        <v>6.0469999999999997</v>
      </c>
      <c r="I102" s="904">
        <v>6.2639999999999993</v>
      </c>
      <c r="J102" s="846">
        <v>6.9029999999999996</v>
      </c>
      <c r="K102" s="846">
        <v>7.6479999999999997</v>
      </c>
      <c r="L102" s="846">
        <v>9.4710000000000001</v>
      </c>
      <c r="M102" s="904">
        <v>9.2719999999999985</v>
      </c>
      <c r="N102" s="846">
        <v>9.7840000000000007</v>
      </c>
      <c r="O102" s="846">
        <v>10.621</v>
      </c>
      <c r="P102" s="846">
        <v>11.52</v>
      </c>
      <c r="Q102" s="904">
        <v>12.407</v>
      </c>
      <c r="R102" s="846">
        <v>13.327999999999999</v>
      </c>
      <c r="S102" s="846">
        <v>13.85</v>
      </c>
      <c r="T102" s="846">
        <v>14.958</v>
      </c>
      <c r="U102" s="904">
        <f>58.23-SUM(R102:T102)</f>
        <v>16.094000000000001</v>
      </c>
      <c r="V102" s="846">
        <v>16.728999999999999</v>
      </c>
      <c r="W102" s="846">
        <v>17.838999999999999</v>
      </c>
      <c r="X102" s="843">
        <v>19.507000000000001</v>
      </c>
      <c r="Y102" s="904">
        <f>74.69-SUM(V102:X102)</f>
        <v>20.614999999999995</v>
      </c>
      <c r="Z102" s="912">
        <v>21.295999999999999</v>
      </c>
      <c r="AA102" s="843">
        <v>22.045000000000002</v>
      </c>
      <c r="AB102" s="843">
        <v>23.116</v>
      </c>
      <c r="AC102" s="904">
        <f>92.347-SUM(Z102:AB102)</f>
        <v>25.89</v>
      </c>
      <c r="AD102" s="817">
        <v>24.44</v>
      </c>
      <c r="AE102" s="804">
        <v>25.167000000000002</v>
      </c>
      <c r="AF102" s="804">
        <v>27.250559999999997</v>
      </c>
      <c r="AG102" s="1149">
        <f>BB102-SUM(AD102:AF102)</f>
        <v>25.354440000000011</v>
      </c>
      <c r="AH102" s="804">
        <v>27.298999999999999</v>
      </c>
      <c r="AI102" s="804">
        <v>28.158000000000001</v>
      </c>
      <c r="AJ102" s="804">
        <v>29.260999999999999</v>
      </c>
      <c r="AK102" s="1149"/>
      <c r="AL102" s="912"/>
      <c r="AM102" s="843"/>
      <c r="AN102" s="843"/>
      <c r="AO102" s="911"/>
      <c r="AP102" s="912"/>
      <c r="AQ102" s="843"/>
      <c r="AR102" s="843"/>
      <c r="AS102" s="911"/>
      <c r="AT102" s="1120"/>
      <c r="AU102" s="1105">
        <f>SUM(B102:E102)</f>
        <v>14.73</v>
      </c>
      <c r="AV102" s="1105">
        <f>SUM(F102:I102)</f>
        <v>22.317</v>
      </c>
      <c r="AW102" s="1105">
        <f>SUM(J102:M102)</f>
        <v>33.293999999999997</v>
      </c>
      <c r="AX102" s="1105">
        <f>SUM(N102:Q102)</f>
        <v>44.332000000000001</v>
      </c>
      <c r="AY102" s="1105">
        <f>SUM(R102:U102)</f>
        <v>58.23</v>
      </c>
      <c r="AZ102" s="1105">
        <f>SUM(V102:Y102)</f>
        <v>74.69</v>
      </c>
      <c r="BA102" s="660">
        <f t="shared" ref="BA102" si="155">SUM(Z102:AC102)</f>
        <v>92.346999999999994</v>
      </c>
      <c r="BB102" s="660">
        <v>102.212</v>
      </c>
      <c r="BC102" s="1105"/>
      <c r="BD102" s="1105"/>
      <c r="BE102" s="1105"/>
    </row>
    <row r="103" spans="1:57" s="1121" customFormat="1" ht="12" customHeight="1">
      <c r="A103" s="797" t="s">
        <v>117</v>
      </c>
      <c r="B103" s="1117"/>
      <c r="C103" s="1117"/>
      <c r="D103" s="1117"/>
      <c r="E103" s="1118"/>
      <c r="F103" s="798">
        <f t="shared" ref="F103:Q103" si="156">F102/B102-1</f>
        <v>0.5727731092436974</v>
      </c>
      <c r="G103" s="798">
        <f t="shared" si="156"/>
        <v>0.63455047560601407</v>
      </c>
      <c r="H103" s="978">
        <f t="shared" si="156"/>
        <v>0.59509364283830113</v>
      </c>
      <c r="I103" s="889">
        <f t="shared" si="156"/>
        <v>0.33134962805526014</v>
      </c>
      <c r="J103" s="798">
        <f t="shared" si="156"/>
        <v>0.47531523829878153</v>
      </c>
      <c r="K103" s="798">
        <f t="shared" si="156"/>
        <v>0.43570489956823732</v>
      </c>
      <c r="L103" s="978">
        <f t="shared" si="156"/>
        <v>0.56623118901934855</v>
      </c>
      <c r="M103" s="889">
        <f t="shared" si="156"/>
        <v>0.48020434227330777</v>
      </c>
      <c r="N103" s="978">
        <f t="shared" si="156"/>
        <v>0.4173547732869769</v>
      </c>
      <c r="O103" s="798">
        <f t="shared" si="156"/>
        <v>0.38872907949790814</v>
      </c>
      <c r="P103" s="798">
        <f t="shared" si="156"/>
        <v>0.21634463097877732</v>
      </c>
      <c r="Q103" s="890">
        <f t="shared" si="156"/>
        <v>0.33811475409836089</v>
      </c>
      <c r="R103" s="978">
        <f>R102/N102-1</f>
        <v>0.36222403924775137</v>
      </c>
      <c r="S103" s="798">
        <f t="shared" ref="S103:U103" si="157">S102/O102-1</f>
        <v>0.30402033706807252</v>
      </c>
      <c r="T103" s="798">
        <f t="shared" si="157"/>
        <v>0.29843750000000013</v>
      </c>
      <c r="U103" s="890">
        <f t="shared" si="157"/>
        <v>0.29717095188200227</v>
      </c>
      <c r="V103" s="978">
        <f>V102/R102-1</f>
        <v>0.25517707082833141</v>
      </c>
      <c r="W103" s="798">
        <f t="shared" ref="W103:AJ103" si="158">W102/S102-1</f>
        <v>0.288014440433213</v>
      </c>
      <c r="X103" s="798">
        <f t="shared" si="158"/>
        <v>0.30411819762000269</v>
      </c>
      <c r="Y103" s="890">
        <f t="shared" si="158"/>
        <v>0.28091214117062213</v>
      </c>
      <c r="Z103" s="798">
        <f t="shared" si="158"/>
        <v>0.27299898380058574</v>
      </c>
      <c r="AA103" s="798">
        <f t="shared" si="158"/>
        <v>0.23577554795672429</v>
      </c>
      <c r="AB103" s="798">
        <f t="shared" si="158"/>
        <v>0.18501050904803384</v>
      </c>
      <c r="AC103" s="890">
        <f t="shared" si="158"/>
        <v>0.25588163958282828</v>
      </c>
      <c r="AD103" s="798">
        <f t="shared" si="158"/>
        <v>0.14763335837716007</v>
      </c>
      <c r="AE103" s="798">
        <f t="shared" si="158"/>
        <v>0.14161941483329543</v>
      </c>
      <c r="AF103" s="798">
        <f t="shared" si="158"/>
        <v>0.1788613947049662</v>
      </c>
      <c r="AG103" s="890">
        <f t="shared" si="158"/>
        <v>-2.0685979142525679E-2</v>
      </c>
      <c r="AH103" s="798">
        <f t="shared" si="158"/>
        <v>0.11698036006546642</v>
      </c>
      <c r="AI103" s="798">
        <f t="shared" si="158"/>
        <v>0.11884610799856943</v>
      </c>
      <c r="AJ103" s="798">
        <f t="shared" si="158"/>
        <v>7.3776098546231905E-2</v>
      </c>
      <c r="AK103" s="890"/>
      <c r="AL103" s="800"/>
      <c r="AM103" s="798"/>
      <c r="AN103" s="798"/>
      <c r="AO103" s="890"/>
      <c r="AP103" s="800"/>
      <c r="AQ103" s="798"/>
      <c r="AR103" s="798"/>
      <c r="AS103" s="890"/>
      <c r="AT103" s="1120"/>
      <c r="AU103" s="1150"/>
      <c r="AV103" s="1109">
        <f>AV102/AU102-1</f>
        <v>0.51507128309572292</v>
      </c>
      <c r="AW103" s="1109">
        <f>AW102/AV102-1</f>
        <v>0.49186718644979144</v>
      </c>
      <c r="AX103" s="1109">
        <f>AX102/AW102-1</f>
        <v>0.33153120682405257</v>
      </c>
      <c r="AY103" s="1109">
        <f t="shared" ref="AY103:BB103" si="159">AY102/AX102-1</f>
        <v>0.31349815032031025</v>
      </c>
      <c r="AZ103" s="1109">
        <f t="shared" si="159"/>
        <v>0.28267216211574797</v>
      </c>
      <c r="BA103" s="1110">
        <f t="shared" si="159"/>
        <v>0.23640380238318381</v>
      </c>
      <c r="BB103" s="1110">
        <f t="shared" si="159"/>
        <v>0.10682534354120876</v>
      </c>
      <c r="BC103" s="1111"/>
      <c r="BD103" s="1111"/>
      <c r="BE103" s="1111"/>
    </row>
    <row r="104" spans="1:57" s="1121" customFormat="1" ht="12" customHeight="1">
      <c r="A104" s="797" t="s">
        <v>221</v>
      </c>
      <c r="B104" s="1117"/>
      <c r="C104" s="798">
        <f>C102/B102-1</f>
        <v>9.5462184873949418E-2</v>
      </c>
      <c r="D104" s="978">
        <f t="shared" ref="D104:AJ104" si="160">D102/C102-1</f>
        <v>0.1632402577477754</v>
      </c>
      <c r="E104" s="889">
        <f t="shared" si="160"/>
        <v>0.24109733579530479</v>
      </c>
      <c r="F104" s="798">
        <f t="shared" si="160"/>
        <v>-5.5260361317747142E-3</v>
      </c>
      <c r="G104" s="798">
        <f t="shared" si="160"/>
        <v>0.13849113058345797</v>
      </c>
      <c r="H104" s="978">
        <f t="shared" si="160"/>
        <v>0.13516050309742811</v>
      </c>
      <c r="I104" s="889">
        <f t="shared" si="160"/>
        <v>3.5885563089135042E-2</v>
      </c>
      <c r="J104" s="798">
        <f t="shared" si="160"/>
        <v>0.10201149425287359</v>
      </c>
      <c r="K104" s="798">
        <f t="shared" si="160"/>
        <v>0.10792409097493838</v>
      </c>
      <c r="L104" s="978">
        <f t="shared" si="160"/>
        <v>0.23836297071129708</v>
      </c>
      <c r="M104" s="889">
        <f t="shared" si="160"/>
        <v>-2.1011508816387026E-2</v>
      </c>
      <c r="N104" s="978">
        <f t="shared" si="160"/>
        <v>5.5220017256255582E-2</v>
      </c>
      <c r="O104" s="798">
        <f t="shared" si="160"/>
        <v>8.5547833197056278E-2</v>
      </c>
      <c r="P104" s="798">
        <f t="shared" si="160"/>
        <v>8.4643630543263182E-2</v>
      </c>
      <c r="Q104" s="890">
        <f t="shared" si="160"/>
        <v>7.6996527777777768E-2</v>
      </c>
      <c r="R104" s="978">
        <f t="shared" si="160"/>
        <v>7.423228822438932E-2</v>
      </c>
      <c r="S104" s="798">
        <f t="shared" si="160"/>
        <v>3.9165666266506527E-2</v>
      </c>
      <c r="T104" s="798">
        <f t="shared" si="160"/>
        <v>8.0000000000000071E-2</v>
      </c>
      <c r="U104" s="890">
        <f t="shared" si="160"/>
        <v>7.5945982083166275E-2</v>
      </c>
      <c r="V104" s="978">
        <f t="shared" si="160"/>
        <v>3.9455697775568455E-2</v>
      </c>
      <c r="W104" s="798">
        <f t="shared" si="160"/>
        <v>6.6351844103054614E-2</v>
      </c>
      <c r="X104" s="798">
        <f t="shared" si="160"/>
        <v>9.3502999047031965E-2</v>
      </c>
      <c r="Y104" s="890">
        <f t="shared" si="160"/>
        <v>5.6800123032757055E-2</v>
      </c>
      <c r="Z104" s="798">
        <f t="shared" si="160"/>
        <v>3.3034198399224168E-2</v>
      </c>
      <c r="AA104" s="798">
        <f t="shared" si="160"/>
        <v>3.5170924117205127E-2</v>
      </c>
      <c r="AB104" s="798">
        <f t="shared" si="160"/>
        <v>4.8582444998865881E-2</v>
      </c>
      <c r="AC104" s="890">
        <f t="shared" si="160"/>
        <v>0.12000346080636803</v>
      </c>
      <c r="AD104" s="798">
        <f t="shared" si="160"/>
        <v>-5.6006179992274974E-2</v>
      </c>
      <c r="AE104" s="798">
        <f t="shared" si="160"/>
        <v>2.9746317512274967E-2</v>
      </c>
      <c r="AF104" s="798">
        <f t="shared" si="160"/>
        <v>8.2789367028251126E-2</v>
      </c>
      <c r="AG104" s="890">
        <f t="shared" si="160"/>
        <v>-6.9580955400549094E-2</v>
      </c>
      <c r="AH104" s="798">
        <f t="shared" si="160"/>
        <v>7.669504828345608E-2</v>
      </c>
      <c r="AI104" s="798">
        <f t="shared" si="160"/>
        <v>3.1466354078903969E-2</v>
      </c>
      <c r="AJ104" s="798">
        <f t="shared" si="160"/>
        <v>3.917181618012644E-2</v>
      </c>
      <c r="AK104" s="890"/>
      <c r="AL104" s="800"/>
      <c r="AM104" s="798"/>
      <c r="AN104" s="798"/>
      <c r="AO104" s="890"/>
      <c r="AP104" s="800"/>
      <c r="AQ104" s="798"/>
      <c r="AR104" s="798"/>
      <c r="AS104" s="890"/>
      <c r="AT104" s="1120"/>
      <c r="AU104" s="1150"/>
      <c r="AV104" s="1151"/>
      <c r="AW104" s="1152"/>
      <c r="AX104" s="1153"/>
      <c r="AY104" s="1153"/>
      <c r="AZ104" s="1153"/>
      <c r="BA104" s="1154"/>
      <c r="BB104" s="1154"/>
      <c r="BC104" s="1155"/>
      <c r="BD104" s="1155"/>
      <c r="BE104" s="1155"/>
    </row>
    <row r="105" spans="1:57" s="1121" customFormat="1" ht="12" customHeight="1">
      <c r="A105" s="797" t="s">
        <v>179</v>
      </c>
      <c r="B105" s="1117">
        <f>B102/B$5</f>
        <v>7.3491267508213734E-2</v>
      </c>
      <c r="C105" s="1117">
        <f t="shared" ref="C105:AE105" si="161">C102/C$5</f>
        <v>7.381820652789417E-2</v>
      </c>
      <c r="D105" s="1117">
        <f t="shared" si="161"/>
        <v>7.7398938342180479E-2</v>
      </c>
      <c r="E105" s="1118">
        <f t="shared" si="161"/>
        <v>8.6941256906332573E-2</v>
      </c>
      <c r="F105" s="1117">
        <f t="shared" si="161"/>
        <v>7.9161520632074045E-2</v>
      </c>
      <c r="G105" s="1117">
        <f t="shared" si="161"/>
        <v>8.3768398540696939E-2</v>
      </c>
      <c r="H105" s="1117">
        <f t="shared" si="161"/>
        <v>8.7082373271889404E-2</v>
      </c>
      <c r="I105" s="1118">
        <f t="shared" si="161"/>
        <v>8.3274617460549566E-2</v>
      </c>
      <c r="J105" s="1117">
        <f t="shared" si="161"/>
        <v>8.5964060223409411E-2</v>
      </c>
      <c r="K105" s="1117">
        <f t="shared" si="161"/>
        <v>8.95718167338143E-2</v>
      </c>
      <c r="L105" s="1117">
        <f t="shared" si="161"/>
        <v>0.10311152723947219</v>
      </c>
      <c r="M105" s="1118">
        <f t="shared" si="161"/>
        <v>9.5539366711661119E-2</v>
      </c>
      <c r="N105" s="1117">
        <f t="shared" si="161"/>
        <v>9.5316031486244263E-2</v>
      </c>
      <c r="O105" s="1117">
        <f t="shared" si="161"/>
        <v>9.9068175246481177E-2</v>
      </c>
      <c r="P105" s="1117">
        <f t="shared" si="161"/>
        <v>0.10259881370121657</v>
      </c>
      <c r="Q105" s="1118">
        <f t="shared" si="161"/>
        <v>0.10507105231957453</v>
      </c>
      <c r="R105" s="1117">
        <f t="shared" si="161"/>
        <v>0.1081914781352231</v>
      </c>
      <c r="S105" s="1117">
        <f t="shared" si="161"/>
        <v>0.10632662618321957</v>
      </c>
      <c r="T105" s="1117">
        <f t="shared" si="161"/>
        <v>0.10787226677436106</v>
      </c>
      <c r="U105" s="1118">
        <f t="shared" si="161"/>
        <v>0.10800037579352831</v>
      </c>
      <c r="V105" s="1117">
        <f t="shared" si="161"/>
        <v>0.10497088499573315</v>
      </c>
      <c r="W105" s="1117">
        <f t="shared" si="161"/>
        <v>0.10854868839790434</v>
      </c>
      <c r="X105" s="1117">
        <f t="shared" si="161"/>
        <v>0.11156355983094178</v>
      </c>
      <c r="Y105" s="1118">
        <f t="shared" si="161"/>
        <v>0.11165513916947856</v>
      </c>
      <c r="Z105" s="1117">
        <f t="shared" si="161"/>
        <v>0.11277331483432976</v>
      </c>
      <c r="AA105" s="1117">
        <f t="shared" si="161"/>
        <v>0.11303041489776247</v>
      </c>
      <c r="AB105" s="1117">
        <f t="shared" si="161"/>
        <v>0.11470309483994859</v>
      </c>
      <c r="AC105" s="1118">
        <f t="shared" si="161"/>
        <v>0.12137492616241458</v>
      </c>
      <c r="AD105" s="981">
        <f t="shared" si="161"/>
        <v>0.11316858136422782</v>
      </c>
      <c r="AE105" s="981">
        <f t="shared" si="161"/>
        <v>0.11375377981477212</v>
      </c>
      <c r="AF105" s="981">
        <v>0.12</v>
      </c>
      <c r="AG105" s="982">
        <v>0.12</v>
      </c>
      <c r="AH105" s="981">
        <f t="shared" ref="AH105:AI105" si="162">AH102/AH$5</f>
        <v>0.11415632043556623</v>
      </c>
      <c r="AI105" s="981">
        <f t="shared" si="162"/>
        <v>0.11386400857275723</v>
      </c>
      <c r="AJ105" s="981">
        <v>0.12</v>
      </c>
      <c r="AK105" s="982"/>
      <c r="AL105" s="1119"/>
      <c r="AM105" s="1117"/>
      <c r="AN105" s="1117"/>
      <c r="AO105" s="1118"/>
      <c r="AP105" s="1119"/>
      <c r="AQ105" s="1117"/>
      <c r="AR105" s="1117"/>
      <c r="AS105" s="1118"/>
      <c r="AT105" s="1120"/>
      <c r="AU105" s="1109">
        <f t="shared" ref="AU105:AV105" si="163">AU102/AU$5</f>
        <v>7.8465005033905605E-2</v>
      </c>
      <c r="AV105" s="1109">
        <f t="shared" si="163"/>
        <v>8.3471723518850988E-2</v>
      </c>
      <c r="AW105" s="1109">
        <f>AW102/AW$5</f>
        <v>9.3895416062675902E-2</v>
      </c>
      <c r="AX105" s="1109">
        <f>AX102/AX$5</f>
        <v>0.10070396459959884</v>
      </c>
      <c r="AY105" s="1109">
        <f t="shared" ref="AY105:BA105" si="164">AY102/AY$5</f>
        <v>0.10760815330881673</v>
      </c>
      <c r="AZ105" s="1109">
        <f t="shared" si="164"/>
        <v>0.10932521066583137</v>
      </c>
      <c r="BA105" s="1110">
        <f t="shared" si="164"/>
        <v>0.11562018755242828</v>
      </c>
      <c r="BB105" s="1110">
        <f>BB102/BB$5</f>
        <v>0.11356623900997867</v>
      </c>
      <c r="BC105" s="1155"/>
      <c r="BD105" s="1155"/>
      <c r="BE105" s="1155"/>
    </row>
    <row r="106" spans="1:57" s="1052" customFormat="1" ht="12" customHeight="1">
      <c r="A106" s="1156"/>
      <c r="B106" s="1099"/>
      <c r="C106" s="1099"/>
      <c r="D106" s="1099"/>
      <c r="E106" s="1116"/>
      <c r="F106" s="1099"/>
      <c r="G106" s="1099"/>
      <c r="H106" s="1099"/>
      <c r="I106" s="1157"/>
      <c r="J106" s="1158"/>
      <c r="K106" s="1099"/>
      <c r="L106" s="1099"/>
      <c r="M106" s="1116"/>
      <c r="N106" s="1099"/>
      <c r="O106" s="1099"/>
      <c r="P106" s="1099"/>
      <c r="Q106" s="1116"/>
      <c r="R106" s="1099"/>
      <c r="S106" s="1099"/>
      <c r="T106" s="1099"/>
      <c r="U106" s="1116"/>
      <c r="V106" s="1099"/>
      <c r="W106" s="1099"/>
      <c r="X106" s="1099"/>
      <c r="Y106" s="1099"/>
      <c r="Z106" s="1159"/>
      <c r="AA106" s="1099"/>
      <c r="AB106" s="1099"/>
      <c r="AC106" s="1099"/>
      <c r="AD106" s="1160"/>
      <c r="AE106" s="953"/>
      <c r="AF106" s="953"/>
      <c r="AG106" s="1161"/>
      <c r="AH106" s="953"/>
      <c r="AI106" s="1099"/>
      <c r="AJ106" s="1099"/>
      <c r="AK106" s="1161"/>
      <c r="AL106" s="1159"/>
      <c r="AM106" s="1099"/>
      <c r="AN106" s="1099"/>
      <c r="AO106" s="1116"/>
      <c r="AP106" s="1159"/>
      <c r="AQ106" s="1099"/>
      <c r="AR106" s="1099"/>
      <c r="AS106" s="1116"/>
      <c r="AU106" s="1115"/>
      <c r="AV106" s="1116"/>
      <c r="AW106" s="1114"/>
      <c r="AX106" s="1114"/>
      <c r="AY106" s="1114"/>
      <c r="AZ106" s="1115"/>
      <c r="BA106" s="1115"/>
      <c r="BB106" s="1115"/>
      <c r="BC106" s="1116"/>
      <c r="BD106" s="1116"/>
      <c r="BE106" s="1116"/>
    </row>
    <row r="107" spans="1:57" s="1052" customFormat="1" ht="12" customHeight="1">
      <c r="A107" s="1156" t="s">
        <v>226</v>
      </c>
      <c r="B107" s="1099"/>
      <c r="C107" s="1099"/>
      <c r="D107" s="1099"/>
      <c r="E107" s="1116"/>
      <c r="F107" s="1099"/>
      <c r="G107" s="1099"/>
      <c r="H107" s="1099"/>
      <c r="I107" s="1099"/>
      <c r="J107" s="1099"/>
      <c r="K107" s="1099"/>
      <c r="L107" s="1099"/>
      <c r="M107" s="1116"/>
      <c r="N107" s="1099"/>
      <c r="O107" s="1099"/>
      <c r="P107" s="1099"/>
      <c r="Q107" s="1099"/>
      <c r="R107" s="1099"/>
      <c r="S107" s="1099"/>
      <c r="T107" s="1099"/>
      <c r="U107" s="1099"/>
      <c r="V107" s="952"/>
      <c r="W107" s="952"/>
      <c r="X107" s="952"/>
      <c r="Y107" s="952"/>
      <c r="Z107" s="1162"/>
      <c r="AB107" s="952">
        <v>0.2</v>
      </c>
      <c r="AC107" s="952">
        <v>0.22</v>
      </c>
      <c r="AD107" s="1163">
        <v>0.26</v>
      </c>
      <c r="AE107" s="1164">
        <v>0.3</v>
      </c>
      <c r="AF107" s="1164">
        <v>0.3</v>
      </c>
      <c r="AG107" s="1165">
        <v>0.4</v>
      </c>
      <c r="AH107" s="1164">
        <v>0.26</v>
      </c>
      <c r="AI107" s="1099"/>
      <c r="AJ107" s="1099"/>
      <c r="AK107" s="1165"/>
      <c r="AL107" s="1159"/>
      <c r="AM107" s="1099"/>
      <c r="AN107" s="1099"/>
      <c r="AO107" s="1116"/>
      <c r="AP107" s="1159"/>
      <c r="AQ107" s="1099"/>
      <c r="AR107" s="1099"/>
      <c r="AS107" s="1116"/>
      <c r="AU107" s="1115"/>
      <c r="AV107" s="1116"/>
      <c r="AW107" s="1114"/>
      <c r="AX107" s="1114"/>
      <c r="AY107" s="1114"/>
      <c r="AZ107" s="1115"/>
      <c r="BA107" s="1115"/>
      <c r="BB107" s="1115"/>
      <c r="BC107" s="1116"/>
      <c r="BD107" s="1116"/>
      <c r="BE107" s="1116"/>
    </row>
    <row r="108" spans="1:57" s="1052" customFormat="1" ht="12" customHeight="1">
      <c r="A108" s="1156" t="s">
        <v>227</v>
      </c>
      <c r="B108" s="1099"/>
      <c r="C108" s="1099"/>
      <c r="D108" s="1099"/>
      <c r="E108" s="1116"/>
      <c r="F108" s="1099"/>
      <c r="G108" s="1099"/>
      <c r="H108" s="1099"/>
      <c r="I108" s="1099"/>
      <c r="J108" s="1099"/>
      <c r="K108" s="1099"/>
      <c r="L108" s="1099"/>
      <c r="M108" s="1116"/>
      <c r="N108" s="1099"/>
      <c r="O108" s="1099"/>
      <c r="P108" s="1099"/>
      <c r="Q108" s="1099"/>
      <c r="R108" s="1099"/>
      <c r="S108" s="1099"/>
      <c r="T108" s="1099"/>
      <c r="U108" s="1099"/>
      <c r="V108" s="1099"/>
      <c r="W108" s="1099"/>
      <c r="X108" s="1099"/>
      <c r="Y108" s="1099"/>
      <c r="Z108" s="1159"/>
      <c r="AA108" s="1099"/>
      <c r="AB108" s="952"/>
      <c r="AC108" s="952">
        <v>0.5</v>
      </c>
      <c r="AD108" s="1163">
        <v>0.5</v>
      </c>
      <c r="AE108" s="1164">
        <v>0.5</v>
      </c>
      <c r="AF108" s="1164">
        <v>0.5</v>
      </c>
      <c r="AG108" s="1165"/>
      <c r="AH108" s="1164">
        <v>0.5</v>
      </c>
      <c r="AI108" s="1099"/>
      <c r="AJ108" s="1099"/>
      <c r="AK108" s="1165"/>
      <c r="AL108" s="1159"/>
      <c r="AM108" s="1099"/>
      <c r="AN108" s="1099"/>
      <c r="AO108" s="1116"/>
      <c r="AP108" s="1159"/>
      <c r="AQ108" s="1099"/>
      <c r="AR108" s="1099"/>
      <c r="AS108" s="1116"/>
      <c r="AU108" s="1115"/>
      <c r="AV108" s="1116"/>
      <c r="AW108" s="1114"/>
      <c r="AX108" s="1114"/>
      <c r="AY108" s="1114"/>
      <c r="AZ108" s="1115"/>
      <c r="BA108" s="1115"/>
      <c r="BB108" s="1115"/>
      <c r="BC108" s="1116"/>
      <c r="BD108" s="1116"/>
      <c r="BE108" s="1116"/>
    </row>
    <row r="109" spans="1:57" s="1052" customFormat="1" ht="12" customHeight="1">
      <c r="A109" s="1156"/>
      <c r="B109" s="1099"/>
      <c r="C109" s="1099"/>
      <c r="D109" s="1099"/>
      <c r="E109" s="1116"/>
      <c r="F109" s="1099"/>
      <c r="G109" s="1099"/>
      <c r="H109" s="1099"/>
      <c r="I109" s="1099"/>
      <c r="J109" s="1099"/>
      <c r="K109" s="1099"/>
      <c r="L109" s="1099"/>
      <c r="M109" s="1116"/>
      <c r="N109" s="1099"/>
      <c r="O109" s="1099"/>
      <c r="P109" s="1099"/>
      <c r="Q109" s="1099"/>
      <c r="R109" s="1099"/>
      <c r="S109" s="1099"/>
      <c r="T109" s="1099"/>
      <c r="U109" s="1099"/>
      <c r="V109" s="1099"/>
      <c r="W109" s="1099"/>
      <c r="X109" s="1099"/>
      <c r="Y109" s="1099"/>
      <c r="Z109" s="1159"/>
      <c r="AA109" s="1099"/>
      <c r="AB109" s="1099"/>
      <c r="AC109" s="1099"/>
      <c r="AD109" s="1160"/>
      <c r="AE109" s="953"/>
      <c r="AF109" s="953"/>
      <c r="AG109" s="953"/>
      <c r="AH109" s="1160"/>
      <c r="AI109" s="1099"/>
      <c r="AJ109" s="1099"/>
      <c r="AK109" s="953"/>
      <c r="AL109" s="1159"/>
      <c r="AM109" s="1099"/>
      <c r="AN109" s="1099"/>
      <c r="AO109" s="1116"/>
      <c r="AP109" s="1159"/>
      <c r="AQ109" s="1099"/>
      <c r="AR109" s="1099"/>
      <c r="AS109" s="1116"/>
      <c r="AU109" s="1115"/>
      <c r="AV109" s="1116"/>
      <c r="AW109" s="1114"/>
      <c r="AX109" s="1114"/>
      <c r="AY109" s="1114"/>
      <c r="AZ109" s="1115"/>
      <c r="BA109" s="1115"/>
      <c r="BB109" s="1115"/>
      <c r="BC109" s="1116"/>
      <c r="BD109" s="1116"/>
      <c r="BE109" s="1116"/>
    </row>
    <row r="110" spans="1:57" s="1171" customFormat="1" ht="12" customHeight="1">
      <c r="A110" s="960" t="s">
        <v>228</v>
      </c>
      <c r="B110" s="961"/>
      <c r="C110" s="961"/>
      <c r="D110" s="961"/>
      <c r="E110" s="1166">
        <v>984</v>
      </c>
      <c r="F110" s="961"/>
      <c r="G110" s="963">
        <v>1152</v>
      </c>
      <c r="H110" s="963">
        <v>1205</v>
      </c>
      <c r="I110" s="1167">
        <v>1252</v>
      </c>
      <c r="J110" s="963">
        <v>1298</v>
      </c>
      <c r="K110" s="963">
        <v>1314</v>
      </c>
      <c r="L110" s="963">
        <v>1401</v>
      </c>
      <c r="M110" s="1167">
        <v>1477</v>
      </c>
      <c r="N110" s="1168">
        <v>1493</v>
      </c>
      <c r="O110" s="1168">
        <v>1397</v>
      </c>
      <c r="P110" s="1168">
        <v>1373</v>
      </c>
      <c r="Q110" s="1169">
        <v>1367</v>
      </c>
      <c r="R110" s="970"/>
      <c r="S110" s="961"/>
      <c r="T110" s="967"/>
      <c r="U110" s="968">
        <v>1617</v>
      </c>
      <c r="V110" s="970"/>
      <c r="W110" s="967"/>
      <c r="X110" s="967"/>
      <c r="Y110" s="968">
        <v>1900</v>
      </c>
      <c r="Z110" s="971"/>
      <c r="AA110" s="967"/>
      <c r="AB110" s="967"/>
      <c r="AC110" s="968">
        <v>1999</v>
      </c>
      <c r="AD110" s="971"/>
      <c r="AE110" s="967"/>
      <c r="AF110" s="967"/>
      <c r="AG110" s="967">
        <v>1872</v>
      </c>
      <c r="AH110" s="971"/>
      <c r="AI110" s="967"/>
      <c r="AJ110" s="967"/>
      <c r="AK110" s="967"/>
      <c r="AL110" s="971"/>
      <c r="AM110" s="967"/>
      <c r="AN110" s="967"/>
      <c r="AO110" s="1170"/>
      <c r="AP110" s="971"/>
      <c r="AQ110" s="967"/>
      <c r="AR110" s="967"/>
      <c r="AS110" s="1170"/>
      <c r="AU110" s="1172">
        <f>E110</f>
        <v>984</v>
      </c>
      <c r="AV110" s="1173">
        <f>I110</f>
        <v>1252</v>
      </c>
      <c r="AW110" s="1173">
        <f>M110</f>
        <v>1477</v>
      </c>
      <c r="AX110" s="1173">
        <f>Q110</f>
        <v>1367</v>
      </c>
      <c r="AY110" s="1173">
        <f>U110</f>
        <v>1617</v>
      </c>
      <c r="AZ110" s="1172">
        <f>Y110</f>
        <v>1900</v>
      </c>
      <c r="BA110" s="1172">
        <f>AC110</f>
        <v>1999</v>
      </c>
      <c r="BB110" s="1172">
        <f>AG110</f>
        <v>1872</v>
      </c>
      <c r="BC110" s="1174"/>
      <c r="BD110" s="1174"/>
      <c r="BE110" s="1174"/>
    </row>
    <row r="111" spans="1:57" s="949" customFormat="1" ht="12" customHeight="1">
      <c r="A111" s="1175" t="s">
        <v>117</v>
      </c>
      <c r="B111" s="952"/>
      <c r="C111" s="952"/>
      <c r="D111" s="952"/>
      <c r="E111" s="1111">
        <f>E110/751-1</f>
        <v>0.31025299600532619</v>
      </c>
      <c r="F111" s="952"/>
      <c r="G111" s="952"/>
      <c r="H111" s="952"/>
      <c r="I111" s="685">
        <f t="shared" ref="I111:Q111" si="165">I110/E110-1</f>
        <v>0.27235772357723587</v>
      </c>
      <c r="J111" s="1176"/>
      <c r="K111" s="685">
        <f t="shared" si="165"/>
        <v>0.140625</v>
      </c>
      <c r="L111" s="685">
        <f t="shared" si="165"/>
        <v>0.16265560165975113</v>
      </c>
      <c r="M111" s="890">
        <f t="shared" si="165"/>
        <v>0.17971246006389774</v>
      </c>
      <c r="N111" s="1177">
        <f t="shared" si="165"/>
        <v>0.15023112480739598</v>
      </c>
      <c r="O111" s="672">
        <f t="shared" si="165"/>
        <v>6.3165905631659136E-2</v>
      </c>
      <c r="P111" s="672">
        <f t="shared" si="165"/>
        <v>-1.9985724482512457E-2</v>
      </c>
      <c r="Q111" s="890">
        <f t="shared" si="165"/>
        <v>-7.4475287745429886E-2</v>
      </c>
      <c r="R111" s="1178"/>
      <c r="S111" s="953"/>
      <c r="T111" s="953"/>
      <c r="U111" s="890">
        <f>U110/Q110-1</f>
        <v>0.18288222384784203</v>
      </c>
      <c r="V111" s="1178"/>
      <c r="W111" s="953"/>
      <c r="X111" s="953"/>
      <c r="Y111" s="890">
        <f>Y110/U110-1</f>
        <v>0.1750154607297465</v>
      </c>
      <c r="Z111" s="1160"/>
      <c r="AA111" s="953"/>
      <c r="AB111" s="953"/>
      <c r="AC111" s="890">
        <f>AC110/Y110-1</f>
        <v>5.2105263157894655E-2</v>
      </c>
      <c r="AD111" s="1160"/>
      <c r="AE111" s="953"/>
      <c r="AF111" s="953"/>
      <c r="AG111" s="798">
        <f>AG110/AC110-1</f>
        <v>-6.3531765882941515E-2</v>
      </c>
      <c r="AH111" s="1160"/>
      <c r="AI111" s="953"/>
      <c r="AJ111" s="953"/>
      <c r="AK111" s="798"/>
      <c r="AL111" s="1160"/>
      <c r="AM111" s="953"/>
      <c r="AN111" s="953"/>
      <c r="AO111" s="1161"/>
      <c r="AP111" s="1160"/>
      <c r="AQ111" s="953"/>
      <c r="AR111" s="953"/>
      <c r="AS111" s="1161"/>
      <c r="AU111" s="1179">
        <f>AU110/751-1</f>
        <v>0.31025299600532619</v>
      </c>
      <c r="AV111" s="1180">
        <f t="shared" ref="AV111:BB111" si="166">AV110/AU110-1</f>
        <v>0.27235772357723587</v>
      </c>
      <c r="AW111" s="1180">
        <f t="shared" si="166"/>
        <v>0.17971246006389774</v>
      </c>
      <c r="AX111" s="1180">
        <f t="shared" si="166"/>
        <v>-7.4475287745429886E-2</v>
      </c>
      <c r="AY111" s="1180">
        <f t="shared" si="166"/>
        <v>0.18288222384784203</v>
      </c>
      <c r="AZ111" s="1181">
        <f t="shared" si="166"/>
        <v>0.1750154607297465</v>
      </c>
      <c r="BA111" s="1181">
        <f t="shared" si="166"/>
        <v>5.2105263157894655E-2</v>
      </c>
      <c r="BB111" s="1181">
        <f t="shared" si="166"/>
        <v>-6.3531765882941515E-2</v>
      </c>
      <c r="BC111" s="1182"/>
      <c r="BD111" s="1182"/>
      <c r="BE111" s="1182"/>
    </row>
    <row r="112" spans="1:57" s="949" customFormat="1" ht="12" customHeight="1">
      <c r="A112" s="1183" t="s">
        <v>229</v>
      </c>
      <c r="B112" s="952"/>
      <c r="C112" s="952"/>
      <c r="D112" s="952"/>
      <c r="E112" s="1184"/>
      <c r="F112" s="952"/>
      <c r="G112" s="952"/>
      <c r="H112" s="952"/>
      <c r="I112" s="1185">
        <f>I110-I114</f>
        <v>923</v>
      </c>
      <c r="J112" s="1186"/>
      <c r="K112" s="1187"/>
      <c r="L112" s="1187"/>
      <c r="M112" s="1185">
        <f>M110-M114</f>
        <v>1001</v>
      </c>
      <c r="N112" s="1188"/>
      <c r="O112" s="1189"/>
      <c r="P112" s="1189"/>
      <c r="Q112" s="1190">
        <f>Q110-Q114</f>
        <v>912</v>
      </c>
      <c r="R112" s="1188"/>
      <c r="S112" s="1189"/>
      <c r="T112" s="1189"/>
      <c r="U112" s="1190">
        <f>U110-U114</f>
        <v>982</v>
      </c>
      <c r="V112" s="1178"/>
      <c r="W112" s="953"/>
      <c r="X112" s="953"/>
      <c r="Y112" s="1185">
        <f>Y110-Y114</f>
        <v>1104</v>
      </c>
      <c r="Z112" s="1160"/>
      <c r="AA112" s="953"/>
      <c r="AB112" s="953"/>
      <c r="AC112" s="1185">
        <f>AC110-AC114</f>
        <v>1101</v>
      </c>
      <c r="AD112" s="1160"/>
      <c r="AE112" s="953"/>
      <c r="AF112" s="953"/>
      <c r="AG112" s="1191">
        <v>854</v>
      </c>
      <c r="AH112" s="1160"/>
      <c r="AI112" s="953"/>
      <c r="AJ112" s="953"/>
      <c r="AK112" s="1191"/>
      <c r="AL112" s="1160"/>
      <c r="AM112" s="953"/>
      <c r="AN112" s="953"/>
      <c r="AO112" s="1161"/>
      <c r="AP112" s="1160"/>
      <c r="AQ112" s="953"/>
      <c r="AR112" s="953"/>
      <c r="AS112" s="1161"/>
      <c r="AT112" s="1192"/>
      <c r="AU112" s="1193"/>
      <c r="AV112" s="1193">
        <f>I112</f>
        <v>923</v>
      </c>
      <c r="AW112" s="1193">
        <f>M112</f>
        <v>1001</v>
      </c>
      <c r="AX112" s="1193">
        <f t="shared" ref="AX112:AX114" si="167">Q112</f>
        <v>912</v>
      </c>
      <c r="AY112" s="1193">
        <f t="shared" ref="AY112:AY114" si="168">U112</f>
        <v>982</v>
      </c>
      <c r="AZ112" s="1194">
        <f>Y112</f>
        <v>1104</v>
      </c>
      <c r="BA112" s="1194">
        <f t="shared" ref="BA112:BA114" si="169">AC112</f>
        <v>1101</v>
      </c>
      <c r="BB112" s="1194">
        <f>AG112</f>
        <v>854</v>
      </c>
      <c r="BC112" s="1161"/>
      <c r="BD112" s="1161"/>
      <c r="BE112" s="1161"/>
    </row>
    <row r="113" spans="1:57" s="949" customFormat="1" ht="12" customHeight="1">
      <c r="A113" s="1195" t="s">
        <v>117</v>
      </c>
      <c r="B113" s="952"/>
      <c r="C113" s="952"/>
      <c r="D113" s="952"/>
      <c r="E113" s="1184"/>
      <c r="F113" s="952"/>
      <c r="G113" s="952"/>
      <c r="H113" s="952"/>
      <c r="I113" s="1191"/>
      <c r="J113" s="1186"/>
      <c r="K113" s="1187"/>
      <c r="L113" s="1187"/>
      <c r="M113" s="1191"/>
      <c r="N113" s="1189"/>
      <c r="O113" s="1189"/>
      <c r="P113" s="1189"/>
      <c r="Q113" s="1189"/>
      <c r="R113" s="1189"/>
      <c r="S113" s="1189"/>
      <c r="T113" s="1189"/>
      <c r="U113" s="1190"/>
      <c r="V113" s="1178"/>
      <c r="W113" s="953"/>
      <c r="X113" s="953"/>
      <c r="Y113" s="1185"/>
      <c r="Z113" s="1160"/>
      <c r="AA113" s="953"/>
      <c r="AB113" s="953"/>
      <c r="AC113" s="799">
        <f>AC112/Y112-1</f>
        <v>-2.7173913043477826E-3</v>
      </c>
      <c r="AD113" s="1160"/>
      <c r="AE113" s="953"/>
      <c r="AF113" s="953"/>
      <c r="AG113" s="798">
        <f>AG112/AC112-1</f>
        <v>-0.2243415077202543</v>
      </c>
      <c r="AH113" s="1160"/>
      <c r="AI113" s="953"/>
      <c r="AJ113" s="953"/>
      <c r="AK113" s="798"/>
      <c r="AL113" s="1160"/>
      <c r="AM113" s="953"/>
      <c r="AN113" s="953"/>
      <c r="AO113" s="1196"/>
      <c r="AP113" s="1160"/>
      <c r="AQ113" s="953"/>
      <c r="AR113" s="953"/>
      <c r="AS113" s="1196"/>
      <c r="AT113" s="1197"/>
      <c r="AU113" s="1193"/>
      <c r="AV113" s="1193"/>
      <c r="AW113" s="1181">
        <f t="shared" ref="AW113:BA113" si="170">AW112/AV112-1</f>
        <v>8.4507042253521236E-2</v>
      </c>
      <c r="AX113" s="1181">
        <f t="shared" si="170"/>
        <v>-8.8911088911088898E-2</v>
      </c>
      <c r="AY113" s="1181">
        <f t="shared" si="170"/>
        <v>7.6754385964912242E-2</v>
      </c>
      <c r="AZ113" s="1181">
        <f t="shared" si="170"/>
        <v>0.12423625254582493</v>
      </c>
      <c r="BA113" s="1181">
        <f t="shared" si="170"/>
        <v>-2.7173913043477826E-3</v>
      </c>
      <c r="BB113" s="1181">
        <f>BB112/BA112-1</f>
        <v>-0.2243415077202543</v>
      </c>
      <c r="BC113" s="1196"/>
      <c r="BD113" s="1196"/>
      <c r="BE113" s="1196"/>
    </row>
    <row r="114" spans="1:57" s="949" customFormat="1" ht="12" customHeight="1">
      <c r="A114" s="1183" t="s">
        <v>230</v>
      </c>
      <c r="B114" s="952"/>
      <c r="C114" s="952"/>
      <c r="D114" s="952"/>
      <c r="E114" s="1198"/>
      <c r="F114" s="952"/>
      <c r="G114" s="952"/>
      <c r="H114" s="952"/>
      <c r="I114" s="1198">
        <v>329</v>
      </c>
      <c r="J114" s="1186"/>
      <c r="K114" s="1187"/>
      <c r="L114" s="1187"/>
      <c r="M114" s="1199">
        <v>476</v>
      </c>
      <c r="N114" s="1189"/>
      <c r="O114" s="1189"/>
      <c r="P114" s="1189"/>
      <c r="Q114" s="1199">
        <v>455</v>
      </c>
      <c r="R114" s="1189"/>
      <c r="S114" s="1189"/>
      <c r="T114" s="1189"/>
      <c r="U114" s="1190">
        <v>635</v>
      </c>
      <c r="V114" s="1178"/>
      <c r="W114" s="953"/>
      <c r="X114" s="953"/>
      <c r="Y114" s="1190">
        <v>796</v>
      </c>
      <c r="Z114" s="1160"/>
      <c r="AA114" s="953"/>
      <c r="AB114" s="953"/>
      <c r="AC114" s="1190">
        <v>898</v>
      </c>
      <c r="AD114" s="1160"/>
      <c r="AE114" s="953"/>
      <c r="AF114" s="953"/>
      <c r="AG114" s="1191">
        <f>AG110-AG112</f>
        <v>1018</v>
      </c>
      <c r="AH114" s="1160"/>
      <c r="AI114" s="953"/>
      <c r="AJ114" s="953"/>
      <c r="AK114" s="1191"/>
      <c r="AL114" s="1160"/>
      <c r="AM114" s="953"/>
      <c r="AN114" s="953"/>
      <c r="AO114" s="1161"/>
      <c r="AP114" s="1160"/>
      <c r="AQ114" s="953"/>
      <c r="AR114" s="953"/>
      <c r="AS114" s="1161"/>
      <c r="AT114" s="1192"/>
      <c r="AU114" s="1193"/>
      <c r="AV114" s="1193">
        <f>I114</f>
        <v>329</v>
      </c>
      <c r="AW114" s="1193">
        <f>M114</f>
        <v>476</v>
      </c>
      <c r="AX114" s="1193">
        <f t="shared" si="167"/>
        <v>455</v>
      </c>
      <c r="AY114" s="1193">
        <f t="shared" si="168"/>
        <v>635</v>
      </c>
      <c r="AZ114" s="1194">
        <f>Y114</f>
        <v>796</v>
      </c>
      <c r="BA114" s="1194">
        <f t="shared" si="169"/>
        <v>898</v>
      </c>
      <c r="BB114" s="1194">
        <f>AG114</f>
        <v>1018</v>
      </c>
      <c r="BC114" s="1161"/>
      <c r="BD114" s="1161"/>
      <c r="BE114" s="1161"/>
    </row>
    <row r="115" spans="1:57" s="949" customFormat="1" ht="12" customHeight="1">
      <c r="A115" s="1195" t="s">
        <v>117</v>
      </c>
      <c r="B115" s="952"/>
      <c r="C115" s="952"/>
      <c r="D115" s="952"/>
      <c r="E115" s="1184"/>
      <c r="F115" s="952"/>
      <c r="G115" s="952"/>
      <c r="H115" s="952"/>
      <c r="I115" s="989"/>
      <c r="J115" s="1186"/>
      <c r="K115" s="1187"/>
      <c r="L115" s="1187"/>
      <c r="M115" s="1200"/>
      <c r="N115" s="1189"/>
      <c r="O115" s="1189"/>
      <c r="P115" s="1189"/>
      <c r="Q115" s="1200"/>
      <c r="R115" s="1189"/>
      <c r="S115" s="1189"/>
      <c r="T115" s="1189"/>
      <c r="U115" s="1189"/>
      <c r="V115" s="953"/>
      <c r="W115" s="953"/>
      <c r="X115" s="953"/>
      <c r="Y115" s="1189"/>
      <c r="Z115" s="1160"/>
      <c r="AA115" s="953"/>
      <c r="AB115" s="953"/>
      <c r="AC115" s="1201">
        <f>AC114/Y114-1</f>
        <v>0.12814070351758788</v>
      </c>
      <c r="AD115" s="1160"/>
      <c r="AE115" s="953"/>
      <c r="AF115" s="953"/>
      <c r="AG115" s="1201">
        <f>AG114/AC114-1</f>
        <v>0.13363028953229406</v>
      </c>
      <c r="AH115" s="1160"/>
      <c r="AI115" s="953"/>
      <c r="AJ115" s="953"/>
      <c r="AK115" s="1201"/>
      <c r="AL115" s="1160"/>
      <c r="AM115" s="953"/>
      <c r="AN115" s="953"/>
      <c r="AO115" s="1161"/>
      <c r="AP115" s="1160"/>
      <c r="AQ115" s="953"/>
      <c r="AR115" s="953"/>
      <c r="AS115" s="1161"/>
      <c r="AT115" s="1192"/>
      <c r="AU115" s="1202"/>
      <c r="AV115" s="1202"/>
      <c r="AW115" s="1203">
        <f t="shared" ref="AW115:BA115" si="171">AW114/AV114-1</f>
        <v>0.44680851063829796</v>
      </c>
      <c r="AX115" s="1203">
        <f t="shared" si="171"/>
        <v>-4.4117647058823484E-2</v>
      </c>
      <c r="AY115" s="1203">
        <f t="shared" si="171"/>
        <v>0.39560439560439553</v>
      </c>
      <c r="AZ115" s="1203">
        <f t="shared" si="171"/>
        <v>0.25354330708661421</v>
      </c>
      <c r="BA115" s="1203">
        <f t="shared" si="171"/>
        <v>0.12814070351758788</v>
      </c>
      <c r="BB115" s="1204">
        <f>BB114/BA114-1</f>
        <v>0.13363028953229406</v>
      </c>
      <c r="BC115" s="1161"/>
      <c r="BD115" s="1161"/>
      <c r="BE115" s="1161"/>
    </row>
    <row r="116" spans="1:57" s="949" customFormat="1" ht="12" customHeight="1">
      <c r="A116" s="1175"/>
      <c r="B116" s="952"/>
      <c r="C116" s="952"/>
      <c r="D116" s="952"/>
      <c r="E116" s="1184"/>
      <c r="F116" s="952"/>
      <c r="G116" s="952"/>
      <c r="H116" s="952"/>
      <c r="I116" s="989"/>
      <c r="J116" s="1176"/>
      <c r="K116" s="952"/>
      <c r="L116" s="952"/>
      <c r="M116" s="1205"/>
      <c r="N116" s="953"/>
      <c r="O116" s="953"/>
      <c r="P116" s="953"/>
      <c r="Q116" s="1161"/>
      <c r="R116" s="953"/>
      <c r="S116" s="953"/>
      <c r="T116" s="953"/>
      <c r="U116" s="1161"/>
      <c r="V116" s="953"/>
      <c r="W116" s="953"/>
      <c r="X116" s="953"/>
      <c r="Y116" s="953"/>
      <c r="Z116" s="1160"/>
      <c r="AA116" s="953"/>
      <c r="AB116" s="953"/>
      <c r="AC116" s="953"/>
      <c r="AD116" s="1160"/>
      <c r="AE116" s="953"/>
      <c r="AF116" s="953"/>
      <c r="AG116" s="953"/>
      <c r="AH116" s="1160"/>
      <c r="AI116" s="953"/>
      <c r="AJ116" s="953"/>
      <c r="AK116" s="953"/>
      <c r="AL116" s="1160"/>
      <c r="AM116" s="953"/>
      <c r="AN116" s="953"/>
      <c r="AO116" s="1161"/>
      <c r="AP116" s="1160"/>
      <c r="AQ116" s="953"/>
      <c r="AR116" s="953"/>
      <c r="AS116" s="1161"/>
      <c r="AT116" s="1192"/>
      <c r="AU116" s="1202"/>
      <c r="AV116" s="1202"/>
      <c r="AW116" s="1193"/>
      <c r="AX116" s="1193"/>
      <c r="AY116" s="1193"/>
      <c r="AZ116" s="1206"/>
      <c r="BA116" s="1206"/>
      <c r="BB116" s="1161"/>
      <c r="BC116" s="1161"/>
      <c r="BD116" s="1161"/>
      <c r="BE116" s="1161"/>
    </row>
    <row r="117" spans="1:57" s="1171" customFormat="1" ht="12" customHeight="1">
      <c r="A117" s="960" t="s">
        <v>231</v>
      </c>
      <c r="B117" s="961"/>
      <c r="C117" s="1117">
        <v>0.81</v>
      </c>
      <c r="D117" s="1117">
        <v>0.82</v>
      </c>
      <c r="E117" s="1118">
        <v>0.83</v>
      </c>
      <c r="F117" s="1117">
        <v>0.86</v>
      </c>
      <c r="G117" s="1117">
        <v>0.87</v>
      </c>
      <c r="H117" s="1117">
        <v>0.87</v>
      </c>
      <c r="I117" s="1118">
        <v>0.88</v>
      </c>
      <c r="J117" s="1117">
        <v>0.9</v>
      </c>
      <c r="K117" s="1117">
        <v>0.9</v>
      </c>
      <c r="L117" s="1117">
        <v>0.9</v>
      </c>
      <c r="M117" s="1118">
        <v>0.9</v>
      </c>
      <c r="N117" s="1117">
        <v>0.91</v>
      </c>
      <c r="O117" s="1117">
        <v>0.91</v>
      </c>
      <c r="P117" s="1117">
        <v>0.91</v>
      </c>
      <c r="Q117" s="1118">
        <v>0.91</v>
      </c>
      <c r="R117" s="1117">
        <v>0.92</v>
      </c>
      <c r="S117" s="1117">
        <v>0.92</v>
      </c>
      <c r="T117" s="1117">
        <v>0.92</v>
      </c>
      <c r="U117" s="1118">
        <f>((AY117*AY$5)-SUMPRODUCT(R117:T117,R$5:T$5))/U$5</f>
        <v>0.92</v>
      </c>
      <c r="V117" s="1117">
        <v>0.92</v>
      </c>
      <c r="W117" s="1117">
        <v>0.92</v>
      </c>
      <c r="X117" s="1117">
        <v>0.92</v>
      </c>
      <c r="Y117" s="1118">
        <f>((AZ117*AZ$5)-SUMPRODUCT(V117:X117,V$5:X$5))/Y$5</f>
        <v>0.92000000000000037</v>
      </c>
      <c r="Z117" s="1117">
        <v>0.93</v>
      </c>
      <c r="AA117" s="1117">
        <v>0.93</v>
      </c>
      <c r="AB117" s="1117">
        <v>0.93</v>
      </c>
      <c r="AC117" s="1118">
        <f>((BA117*BA$5)-SUMPRODUCT(Z117:AB117,Z$5:AB$5))/AC$5</f>
        <v>0.93000000000000027</v>
      </c>
      <c r="AD117" s="981">
        <v>0.93</v>
      </c>
      <c r="AE117" s="981">
        <v>0.94</v>
      </c>
      <c r="AF117" s="981">
        <v>0.94</v>
      </c>
      <c r="AG117" s="1117">
        <v>0.94</v>
      </c>
      <c r="AH117" s="1024">
        <v>0.94</v>
      </c>
      <c r="AI117" s="981">
        <v>0.94</v>
      </c>
      <c r="AJ117" s="981">
        <v>0.94</v>
      </c>
      <c r="AK117" s="1117"/>
      <c r="AL117" s="971"/>
      <c r="AM117" s="967"/>
      <c r="AN117" s="967"/>
      <c r="AO117" s="1170"/>
      <c r="AP117" s="971"/>
      <c r="AQ117" s="967"/>
      <c r="AR117" s="967"/>
      <c r="AS117" s="1170"/>
      <c r="AU117" s="1173"/>
      <c r="AV117" s="1173"/>
      <c r="AW117" s="1173"/>
      <c r="AX117" s="1173"/>
      <c r="AY117" s="1207">
        <v>0.92</v>
      </c>
      <c r="AZ117" s="1207">
        <v>0.92</v>
      </c>
      <c r="BA117" s="1208">
        <v>0.93</v>
      </c>
      <c r="BB117" s="1208">
        <v>0.94</v>
      </c>
      <c r="BC117" s="1174"/>
      <c r="BD117" s="1174"/>
      <c r="BE117" s="1174"/>
    </row>
    <row r="118" spans="1:57" s="1171" customFormat="1" ht="12" customHeight="1">
      <c r="A118" s="1209" t="s">
        <v>232</v>
      </c>
      <c r="B118" s="961"/>
      <c r="C118" s="1117">
        <v>0.42</v>
      </c>
      <c r="D118" s="1117">
        <v>0.42</v>
      </c>
      <c r="E118" s="1118"/>
      <c r="F118" s="1117">
        <v>0.45</v>
      </c>
      <c r="G118" s="1117">
        <v>0.46</v>
      </c>
      <c r="H118" s="1117">
        <v>0.46</v>
      </c>
      <c r="I118" s="1118">
        <v>0.46</v>
      </c>
      <c r="J118" s="1117">
        <v>0.44</v>
      </c>
      <c r="K118" s="1117">
        <v>0.43</v>
      </c>
      <c r="L118" s="1117">
        <v>0.43</v>
      </c>
      <c r="M118" s="1118">
        <v>0.43</v>
      </c>
      <c r="N118" s="1117">
        <v>0.43</v>
      </c>
      <c r="O118" s="1117">
        <v>0.43</v>
      </c>
      <c r="P118" s="1117">
        <v>0.43</v>
      </c>
      <c r="Q118" s="1118">
        <v>0.43</v>
      </c>
      <c r="R118" s="1117">
        <v>0.41</v>
      </c>
      <c r="S118" s="1117">
        <v>0.4</v>
      </c>
      <c r="T118" s="1117">
        <v>0.4</v>
      </c>
      <c r="U118" s="1118">
        <f>((AY118*AY$5)-SUMPRODUCT(R118:T118,R$5:T$5))/U$5</f>
        <v>0.35542021769182269</v>
      </c>
      <c r="V118" s="1117">
        <v>0.37</v>
      </c>
      <c r="W118" s="1117">
        <v>0.38</v>
      </c>
      <c r="X118" s="1117">
        <v>0.38</v>
      </c>
      <c r="Y118" s="1118">
        <f>((AZ118*AZ$5)-SUMPRODUCT(V118:X118,V$5:X$5))/Y$5</f>
        <v>0.38863170323510149</v>
      </c>
      <c r="Z118" s="1117">
        <v>0.37</v>
      </c>
      <c r="AA118" s="1117">
        <v>0.36</v>
      </c>
      <c r="AB118" s="1117">
        <v>0.36</v>
      </c>
      <c r="AC118" s="1118">
        <f>((BA118*BA$5)-SUMPRODUCT(Z118:AB118,Z$5:AB$5))/AC$5</f>
        <v>0.35114703758919114</v>
      </c>
      <c r="AD118" s="981">
        <v>0.34</v>
      </c>
      <c r="AE118" s="981">
        <v>0.34</v>
      </c>
      <c r="AF118" s="981">
        <v>0.34</v>
      </c>
      <c r="AG118" s="1117">
        <v>0.34</v>
      </c>
      <c r="AH118" s="1210">
        <v>0.32</v>
      </c>
      <c r="AI118" s="981">
        <v>0.32</v>
      </c>
      <c r="AJ118" s="981">
        <v>0.32</v>
      </c>
      <c r="AK118" s="1117"/>
      <c r="AL118" s="971"/>
      <c r="AM118" s="967"/>
      <c r="AN118" s="967"/>
      <c r="AO118" s="1170"/>
      <c r="AP118" s="971"/>
      <c r="AQ118" s="967"/>
      <c r="AR118" s="967"/>
      <c r="AS118" s="1170"/>
      <c r="AT118" s="1211"/>
      <c r="AU118" s="1174"/>
      <c r="AV118" s="1174"/>
      <c r="AW118" s="1173"/>
      <c r="AX118" s="1173"/>
      <c r="AY118" s="1207">
        <v>0.39</v>
      </c>
      <c r="AZ118" s="1207">
        <v>0.38</v>
      </c>
      <c r="BA118" s="1212">
        <v>0.36</v>
      </c>
      <c r="BB118" s="1212">
        <v>0.34</v>
      </c>
      <c r="BC118" s="1213"/>
      <c r="BD118" s="1213"/>
      <c r="BE118" s="1213"/>
    </row>
    <row r="119" spans="1:57" s="1216" customFormat="1" ht="12" customHeight="1">
      <c r="A119" s="945" t="s">
        <v>130</v>
      </c>
      <c r="B119" s="1214"/>
      <c r="C119" s="1214"/>
      <c r="D119" s="1214"/>
      <c r="E119" s="1214"/>
      <c r="F119" s="1214"/>
      <c r="G119" s="1214"/>
      <c r="H119" s="1214"/>
      <c r="I119" s="1214"/>
      <c r="J119" s="1214"/>
      <c r="K119" s="1214"/>
      <c r="L119" s="1214"/>
      <c r="M119" s="1214"/>
      <c r="N119" s="1214"/>
      <c r="O119" s="1214"/>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c r="AR119" s="1214"/>
      <c r="AS119" s="1214"/>
      <c r="AT119" s="1215"/>
      <c r="AU119" s="1214"/>
      <c r="AV119" s="1214"/>
      <c r="AW119" s="1214"/>
      <c r="AX119" s="1214"/>
      <c r="AY119" s="1214"/>
      <c r="AZ119" s="1214"/>
      <c r="BA119" s="1214"/>
      <c r="BB119" s="1214"/>
      <c r="BC119" s="1214"/>
      <c r="BD119" s="1214"/>
      <c r="BE119" s="1214"/>
    </row>
    <row r="120" spans="1:57" s="1218" customFormat="1" ht="12" customHeight="1">
      <c r="A120" s="45"/>
      <c r="B120" s="1217"/>
      <c r="C120" s="1217"/>
      <c r="D120" s="1217"/>
      <c r="E120" s="1217"/>
      <c r="F120" s="1217"/>
      <c r="G120" s="1217"/>
      <c r="H120" s="1217"/>
      <c r="I120" s="1217"/>
      <c r="J120" s="1217"/>
      <c r="K120" s="1217"/>
      <c r="L120" s="1217"/>
      <c r="M120" s="1217"/>
      <c r="N120" s="1217"/>
      <c r="O120" s="1217"/>
      <c r="P120" s="1217"/>
      <c r="Q120" s="1217"/>
      <c r="R120" s="1217"/>
      <c r="S120" s="1217"/>
      <c r="T120" s="1217"/>
      <c r="U120" s="1217"/>
      <c r="V120" s="1217"/>
      <c r="W120" s="1217"/>
      <c r="X120" s="1217"/>
      <c r="Y120" s="1217"/>
      <c r="Z120" s="1217"/>
      <c r="AA120" s="1217"/>
      <c r="AB120" s="1217"/>
      <c r="AC120" s="1217"/>
      <c r="AD120" s="1217"/>
      <c r="AE120" s="1217"/>
      <c r="AF120" s="1217"/>
      <c r="AG120" s="1217"/>
      <c r="AH120" s="1217"/>
      <c r="AI120" s="1217"/>
      <c r="AJ120" s="1217"/>
      <c r="AK120" s="1217"/>
      <c r="AL120" s="1217"/>
      <c r="AM120" s="1217"/>
      <c r="AN120" s="1217"/>
      <c r="AO120" s="1217"/>
      <c r="AP120" s="1217"/>
      <c r="AQ120" s="1217"/>
      <c r="AR120" s="1217"/>
      <c r="AS120" s="1217"/>
      <c r="AT120" s="1217"/>
    </row>
    <row r="121" spans="1:57" s="1218" customFormat="1" ht="12" customHeight="1">
      <c r="A121" s="1217"/>
      <c r="B121" s="1217"/>
      <c r="C121" s="1217"/>
      <c r="D121" s="1217"/>
      <c r="E121" s="1217"/>
      <c r="F121" s="1217"/>
      <c r="G121" s="1217"/>
      <c r="H121" s="1217"/>
      <c r="I121" s="1217"/>
      <c r="J121" s="1217"/>
      <c r="K121" s="1217"/>
      <c r="L121" s="1217"/>
      <c r="M121" s="1217"/>
      <c r="N121" s="1217"/>
      <c r="O121" s="1217"/>
      <c r="P121" s="1217"/>
      <c r="Q121" s="1217"/>
      <c r="R121" s="1217"/>
      <c r="S121" s="1217"/>
      <c r="T121" s="1217"/>
      <c r="U121" s="1217"/>
      <c r="V121" s="1217"/>
      <c r="W121" s="1217"/>
      <c r="X121" s="1217"/>
      <c r="Y121" s="1217"/>
      <c r="Z121" s="1217"/>
      <c r="AA121" s="1217"/>
      <c r="AB121" s="1217"/>
      <c r="AC121" s="1217"/>
      <c r="AD121" s="1217"/>
      <c r="AE121" s="1217"/>
      <c r="AF121" s="1217"/>
      <c r="AG121" s="1217"/>
      <c r="AH121" s="1217"/>
      <c r="AI121" s="1217"/>
      <c r="AJ121" s="1217"/>
      <c r="AK121" s="1217"/>
      <c r="AL121" s="1217"/>
      <c r="AM121" s="1217"/>
      <c r="AN121" s="1217"/>
      <c r="AO121" s="1217"/>
      <c r="AP121" s="1217"/>
      <c r="AQ121" s="1217"/>
      <c r="AR121" s="1217"/>
      <c r="AS121" s="1217"/>
      <c r="AT121" s="1217"/>
    </row>
    <row r="122" spans="1:57" s="1218" customFormat="1" ht="12.75" customHeight="1">
      <c r="A122" s="1217"/>
      <c r="B122" s="1217"/>
      <c r="C122" s="1217"/>
      <c r="D122" s="1217"/>
      <c r="E122" s="1217"/>
      <c r="F122" s="1217"/>
      <c r="G122" s="1217"/>
      <c r="H122" s="1217"/>
      <c r="I122" s="1217"/>
      <c r="J122" s="1217"/>
      <c r="K122" s="1217"/>
      <c r="L122" s="1217"/>
      <c r="M122" s="1217"/>
      <c r="N122" s="1217"/>
      <c r="O122" s="1217"/>
      <c r="P122" s="1217"/>
      <c r="Q122" s="1217"/>
      <c r="R122" s="1217"/>
      <c r="S122" s="1217"/>
      <c r="T122" s="1217"/>
      <c r="U122" s="1217"/>
      <c r="V122" s="1217"/>
      <c r="W122" s="1217"/>
      <c r="X122" s="1217"/>
      <c r="Y122" s="1217"/>
      <c r="Z122" s="1217"/>
      <c r="AA122" s="1217"/>
      <c r="AB122" s="1217"/>
      <c r="AC122" s="1217"/>
      <c r="AD122" s="1217"/>
      <c r="AE122" s="1217"/>
      <c r="AF122" s="1217"/>
      <c r="AG122" s="1217"/>
      <c r="AH122" s="1217"/>
      <c r="AI122" s="1217"/>
      <c r="AJ122" s="1217"/>
      <c r="AK122" s="1217"/>
      <c r="AL122" s="1217"/>
      <c r="AM122" s="1217"/>
      <c r="AN122" s="1217"/>
      <c r="AO122" s="1217"/>
      <c r="AP122" s="1217"/>
      <c r="AQ122" s="1217"/>
      <c r="AR122" s="1217"/>
      <c r="AS122" s="1217"/>
      <c r="AT122" s="1217"/>
    </row>
    <row r="123" spans="1:57" s="1218" customFormat="1" ht="12.75" customHeight="1">
      <c r="A123" s="1217"/>
      <c r="B123" s="1217"/>
      <c r="C123" s="1217"/>
      <c r="D123" s="1217"/>
      <c r="E123" s="1217"/>
      <c r="F123" s="1217"/>
      <c r="G123" s="1217"/>
      <c r="H123" s="1217"/>
      <c r="I123" s="1217"/>
      <c r="J123" s="1217"/>
      <c r="K123" s="1217"/>
      <c r="L123" s="1217"/>
      <c r="M123" s="1217"/>
      <c r="N123" s="1217"/>
      <c r="O123" s="1217"/>
      <c r="P123" s="1217"/>
      <c r="Q123" s="1217"/>
      <c r="R123" s="1217"/>
      <c r="S123" s="1217"/>
      <c r="T123" s="1217"/>
      <c r="U123" s="1217"/>
      <c r="V123" s="1217"/>
      <c r="W123" s="1217"/>
      <c r="X123" s="1217"/>
      <c r="Y123" s="1217"/>
      <c r="Z123" s="1217"/>
      <c r="AA123" s="1217"/>
      <c r="AB123" s="1217"/>
      <c r="AC123" s="1217"/>
      <c r="AD123" s="1217"/>
      <c r="AE123" s="1217"/>
      <c r="AF123" s="1217"/>
      <c r="AG123" s="1217"/>
      <c r="AH123" s="1217"/>
      <c r="AI123" s="1217"/>
      <c r="AJ123" s="1217"/>
      <c r="AK123" s="1217"/>
      <c r="AL123" s="1217"/>
      <c r="AM123" s="1217"/>
      <c r="AN123" s="1217"/>
      <c r="AO123" s="1217"/>
      <c r="AP123" s="1217"/>
      <c r="AQ123" s="1217"/>
      <c r="AR123" s="1217"/>
      <c r="AS123" s="1217"/>
      <c r="AT123" s="1217"/>
    </row>
    <row r="124" spans="1:57" s="1218" customFormat="1" ht="12.75" customHeight="1">
      <c r="A124" s="1217"/>
      <c r="B124" s="1217"/>
      <c r="C124" s="1217"/>
      <c r="D124" s="1217"/>
      <c r="E124" s="1217"/>
      <c r="F124" s="1217"/>
      <c r="G124" s="1217"/>
      <c r="H124" s="1217"/>
      <c r="I124" s="1217"/>
      <c r="J124" s="1217"/>
      <c r="K124" s="1217"/>
      <c r="L124" s="1217"/>
      <c r="M124" s="1217"/>
      <c r="N124" s="1217"/>
      <c r="O124" s="1217"/>
      <c r="P124" s="1217"/>
      <c r="Q124" s="1217"/>
      <c r="R124" s="1217"/>
      <c r="S124" s="1217"/>
      <c r="T124" s="1217"/>
      <c r="U124" s="1217"/>
      <c r="V124" s="1217"/>
      <c r="W124" s="1217"/>
      <c r="X124" s="1217"/>
      <c r="Y124" s="1217"/>
      <c r="Z124" s="1217"/>
      <c r="AA124" s="1217"/>
      <c r="AB124" s="1217"/>
      <c r="AC124" s="1217"/>
      <c r="AD124" s="1217"/>
      <c r="AE124" s="1217"/>
      <c r="AF124" s="1217"/>
      <c r="AG124" s="1217"/>
      <c r="AH124" s="1217"/>
      <c r="AI124" s="1217"/>
      <c r="AJ124" s="1217"/>
      <c r="AK124" s="1217"/>
      <c r="AL124" s="1217"/>
      <c r="AM124" s="1217"/>
      <c r="AN124" s="1217"/>
      <c r="AO124" s="1217"/>
      <c r="AP124" s="1217"/>
      <c r="AQ124" s="1217"/>
      <c r="AR124" s="1217"/>
      <c r="AS124" s="1217"/>
      <c r="AT124" s="1217"/>
    </row>
    <row r="125" spans="1:57" s="1218" customFormat="1" ht="12.75" customHeight="1">
      <c r="A125" s="1217"/>
      <c r="B125" s="1217"/>
      <c r="C125" s="1217"/>
      <c r="D125" s="1217"/>
      <c r="E125" s="1217"/>
      <c r="F125" s="1217"/>
      <c r="G125" s="1217"/>
      <c r="H125" s="1217"/>
      <c r="I125" s="1217"/>
      <c r="J125" s="1217"/>
      <c r="K125" s="1217"/>
      <c r="L125" s="1217"/>
      <c r="M125" s="1217"/>
      <c r="N125" s="1217"/>
      <c r="O125" s="1217"/>
      <c r="P125" s="1217"/>
      <c r="Q125" s="1217"/>
      <c r="R125" s="1217"/>
      <c r="S125" s="1217"/>
      <c r="T125" s="1217"/>
      <c r="U125" s="1217"/>
      <c r="V125" s="1217"/>
      <c r="W125" s="1217"/>
      <c r="X125" s="1217"/>
      <c r="Y125" s="1217"/>
      <c r="Z125" s="1217"/>
      <c r="AA125" s="1217"/>
      <c r="AB125" s="1217"/>
      <c r="AC125" s="1217"/>
      <c r="AD125" s="1217"/>
      <c r="AE125" s="1217"/>
      <c r="AF125" s="1217"/>
      <c r="AG125" s="1217"/>
      <c r="AH125" s="1217"/>
      <c r="AI125" s="1217"/>
      <c r="AJ125" s="1217"/>
      <c r="AK125" s="1217"/>
      <c r="AL125" s="1217"/>
      <c r="AM125" s="1217"/>
      <c r="AN125" s="1217"/>
      <c r="AO125" s="1217"/>
      <c r="AP125" s="1217"/>
      <c r="AQ125" s="1217"/>
      <c r="AR125" s="1217"/>
      <c r="AS125" s="1217"/>
      <c r="AT125" s="1217"/>
    </row>
    <row r="126" spans="1:57" s="1218" customFormat="1" ht="12.75" customHeight="1">
      <c r="A126" s="1217"/>
      <c r="B126" s="1217"/>
      <c r="C126" s="1217"/>
      <c r="D126" s="1217"/>
      <c r="E126" s="1217"/>
      <c r="F126" s="1217"/>
      <c r="G126" s="1217"/>
      <c r="H126" s="1217"/>
      <c r="I126" s="1217"/>
      <c r="J126" s="1217"/>
      <c r="K126" s="1217"/>
      <c r="L126" s="1217"/>
      <c r="M126" s="1217"/>
      <c r="N126" s="1217"/>
      <c r="O126" s="1217"/>
      <c r="P126" s="1217"/>
      <c r="Q126" s="1217"/>
      <c r="R126" s="1217"/>
      <c r="S126" s="1217"/>
      <c r="T126" s="1217"/>
      <c r="U126" s="1217"/>
      <c r="V126" s="1217"/>
      <c r="W126" s="1217"/>
      <c r="X126" s="1217"/>
      <c r="Y126" s="1217"/>
      <c r="Z126" s="1217"/>
      <c r="AA126" s="1217"/>
      <c r="AB126" s="1217"/>
      <c r="AC126" s="1217"/>
      <c r="AD126" s="1217"/>
      <c r="AE126" s="1217"/>
      <c r="AF126" s="1217"/>
      <c r="AG126" s="1217"/>
      <c r="AH126" s="1217"/>
      <c r="AI126" s="1217"/>
      <c r="AJ126" s="1217"/>
      <c r="AK126" s="1217"/>
      <c r="AL126" s="1217"/>
      <c r="AM126" s="1217"/>
      <c r="AN126" s="1217"/>
      <c r="AO126" s="1217"/>
      <c r="AP126" s="1217"/>
      <c r="AQ126" s="1217"/>
      <c r="AR126" s="1217"/>
      <c r="AS126" s="1217"/>
      <c r="AT126" s="1217"/>
    </row>
    <row r="127" spans="1:57" s="1218" customFormat="1" ht="12.75" customHeight="1">
      <c r="A127" s="1217"/>
      <c r="B127" s="1217"/>
      <c r="C127" s="1217"/>
      <c r="D127" s="1217"/>
      <c r="E127" s="1217"/>
      <c r="F127" s="1217"/>
      <c r="G127" s="1217"/>
      <c r="H127" s="1217"/>
      <c r="I127" s="1217"/>
      <c r="J127" s="1217"/>
      <c r="K127" s="1217"/>
      <c r="L127" s="1217"/>
      <c r="M127" s="1217"/>
      <c r="N127" s="1217"/>
      <c r="O127" s="1217"/>
      <c r="P127" s="1217"/>
      <c r="Q127" s="1217"/>
      <c r="R127" s="1217"/>
      <c r="S127" s="1217"/>
      <c r="T127" s="1217"/>
      <c r="U127" s="1217"/>
      <c r="V127" s="1217"/>
      <c r="W127" s="1217"/>
      <c r="X127" s="1217"/>
      <c r="Y127" s="1217"/>
      <c r="Z127" s="1217"/>
      <c r="AA127" s="1217"/>
      <c r="AB127" s="1217"/>
      <c r="AC127" s="1217"/>
      <c r="AD127" s="1217"/>
      <c r="AE127" s="1217"/>
      <c r="AF127" s="1217"/>
      <c r="AG127" s="1217"/>
      <c r="AH127" s="1217"/>
      <c r="AI127" s="1217"/>
      <c r="AJ127" s="1217"/>
      <c r="AK127" s="1217"/>
      <c r="AL127" s="1217"/>
      <c r="AM127" s="1217"/>
      <c r="AN127" s="1217"/>
      <c r="AO127" s="1217"/>
      <c r="AP127" s="1217"/>
      <c r="AQ127" s="1217"/>
      <c r="AR127" s="1217"/>
      <c r="AS127" s="1217"/>
      <c r="AT127" s="1217"/>
    </row>
    <row r="128" spans="1:57" s="1218" customFormat="1" ht="12.75" customHeight="1">
      <c r="A128" s="1217"/>
      <c r="B128" s="1217"/>
      <c r="C128" s="1217"/>
      <c r="D128" s="1217"/>
      <c r="E128" s="1217"/>
      <c r="F128" s="1217"/>
      <c r="G128" s="1217"/>
      <c r="H128" s="1217"/>
      <c r="I128" s="1217"/>
      <c r="J128" s="1217"/>
      <c r="K128" s="1217"/>
      <c r="L128" s="1217"/>
      <c r="M128" s="1217"/>
      <c r="N128" s="1217"/>
      <c r="O128" s="1217"/>
      <c r="P128" s="1217"/>
      <c r="Q128" s="1217"/>
      <c r="R128" s="1217"/>
      <c r="S128" s="1217"/>
      <c r="T128" s="1217"/>
      <c r="U128" s="1217"/>
      <c r="V128" s="1217"/>
      <c r="W128" s="1217"/>
      <c r="X128" s="1217"/>
      <c r="Y128" s="1217"/>
      <c r="Z128" s="1217"/>
      <c r="AA128" s="1217"/>
      <c r="AB128" s="1217"/>
      <c r="AC128" s="1217"/>
      <c r="AD128" s="1217"/>
      <c r="AE128" s="1217"/>
      <c r="AF128" s="1217"/>
      <c r="AG128" s="1217"/>
      <c r="AH128" s="1217"/>
      <c r="AI128" s="1217"/>
      <c r="AJ128" s="1217"/>
      <c r="AK128" s="1217"/>
      <c r="AL128" s="1217"/>
      <c r="AM128" s="1217"/>
      <c r="AN128" s="1217"/>
      <c r="AO128" s="1217"/>
      <c r="AP128" s="1217"/>
      <c r="AQ128" s="1217"/>
      <c r="AR128" s="1217"/>
      <c r="AS128" s="1217"/>
      <c r="AT128" s="1217"/>
    </row>
    <row r="129" spans="1:46" s="1218" customFormat="1" ht="12.75" customHeight="1">
      <c r="A129" s="1217"/>
      <c r="B129" s="1217"/>
      <c r="C129" s="1217"/>
      <c r="D129" s="1217"/>
      <c r="E129" s="1217"/>
      <c r="F129" s="1217"/>
      <c r="G129" s="1217"/>
      <c r="H129" s="1217"/>
      <c r="I129" s="1217"/>
      <c r="J129" s="1217"/>
      <c r="K129" s="1217"/>
      <c r="L129" s="1217"/>
      <c r="M129" s="1217"/>
      <c r="N129" s="1217"/>
      <c r="O129" s="1217"/>
      <c r="P129" s="1217"/>
      <c r="Q129" s="1217"/>
      <c r="R129" s="1217"/>
      <c r="S129" s="1217"/>
      <c r="T129" s="1217"/>
      <c r="U129" s="1217"/>
      <c r="V129" s="1217"/>
      <c r="W129" s="1217"/>
      <c r="X129" s="1217"/>
      <c r="Y129" s="1217"/>
      <c r="Z129" s="1217"/>
      <c r="AA129" s="1217"/>
      <c r="AB129" s="1217"/>
      <c r="AC129" s="1217"/>
      <c r="AD129" s="1217"/>
      <c r="AE129" s="1217"/>
      <c r="AF129" s="1217"/>
      <c r="AG129" s="1217"/>
      <c r="AH129" s="1217"/>
      <c r="AI129" s="1217"/>
      <c r="AJ129" s="1217"/>
      <c r="AK129" s="1217"/>
      <c r="AL129" s="1217"/>
      <c r="AM129" s="1217"/>
      <c r="AN129" s="1217"/>
      <c r="AO129" s="1217"/>
      <c r="AP129" s="1217"/>
      <c r="AQ129" s="1217"/>
      <c r="AR129" s="1217"/>
      <c r="AS129" s="1217"/>
      <c r="AT129" s="1217"/>
    </row>
    <row r="130" spans="1:46" s="1218" customFormat="1" ht="12.75" customHeight="1">
      <c r="A130" s="1217"/>
      <c r="B130" s="1217"/>
      <c r="C130" s="1217"/>
      <c r="D130" s="1217"/>
      <c r="E130" s="1217"/>
      <c r="F130" s="1217"/>
      <c r="G130" s="1217"/>
      <c r="H130" s="1217"/>
      <c r="I130" s="1217"/>
      <c r="J130" s="1217"/>
      <c r="K130" s="1217"/>
      <c r="L130" s="1217"/>
      <c r="M130" s="1217"/>
      <c r="N130" s="1217"/>
      <c r="O130" s="1217"/>
      <c r="P130" s="1217"/>
      <c r="Q130" s="1217"/>
      <c r="R130" s="1217"/>
      <c r="S130" s="1217"/>
      <c r="T130" s="1217"/>
      <c r="U130" s="1217"/>
      <c r="V130" s="1217"/>
      <c r="W130" s="1217"/>
      <c r="X130" s="1217"/>
      <c r="Y130" s="1217"/>
      <c r="Z130" s="1217"/>
      <c r="AA130" s="1217"/>
      <c r="AB130" s="1217"/>
      <c r="AC130" s="1217"/>
      <c r="AD130" s="1217"/>
      <c r="AE130" s="1217"/>
      <c r="AF130" s="1217"/>
      <c r="AG130" s="1217"/>
      <c r="AH130" s="1217"/>
      <c r="AI130" s="1217"/>
      <c r="AJ130" s="1217"/>
      <c r="AK130" s="1217"/>
      <c r="AL130" s="1217"/>
      <c r="AM130" s="1217"/>
      <c r="AN130" s="1217"/>
      <c r="AO130" s="1217"/>
      <c r="AP130" s="1217"/>
      <c r="AQ130" s="1217"/>
      <c r="AR130" s="1217"/>
      <c r="AS130" s="1217"/>
      <c r="AT130" s="1217"/>
    </row>
    <row r="131" spans="1:46" s="1218" customFormat="1" ht="12.75" customHeight="1">
      <c r="A131" s="1217"/>
      <c r="B131" s="1217"/>
      <c r="C131" s="1217"/>
      <c r="D131" s="1217"/>
      <c r="E131" s="1217"/>
      <c r="F131" s="1217"/>
      <c r="G131" s="1217"/>
      <c r="H131" s="1217"/>
      <c r="I131" s="1217"/>
      <c r="J131" s="1217"/>
      <c r="K131" s="1217"/>
      <c r="L131" s="1217"/>
      <c r="M131" s="1217"/>
      <c r="N131" s="1217"/>
      <c r="O131" s="1217"/>
      <c r="P131" s="1217"/>
      <c r="Q131" s="1217"/>
      <c r="R131" s="1217"/>
      <c r="S131" s="1217"/>
      <c r="T131" s="1217"/>
      <c r="U131" s="1217"/>
      <c r="V131" s="1217"/>
      <c r="W131" s="1217"/>
      <c r="X131" s="1217"/>
      <c r="Y131" s="1217"/>
      <c r="Z131" s="1217"/>
      <c r="AA131" s="1217"/>
      <c r="AB131" s="1217"/>
      <c r="AC131" s="1217"/>
      <c r="AD131" s="1217"/>
      <c r="AE131" s="1217"/>
      <c r="AF131" s="1217"/>
      <c r="AG131" s="1217"/>
      <c r="AH131" s="1217"/>
      <c r="AI131" s="1217"/>
      <c r="AJ131" s="1217"/>
      <c r="AK131" s="1217"/>
      <c r="AL131" s="1217"/>
      <c r="AM131" s="1217"/>
      <c r="AN131" s="1217"/>
      <c r="AO131" s="1217"/>
      <c r="AP131" s="1217"/>
      <c r="AQ131" s="1217"/>
      <c r="AR131" s="1217"/>
      <c r="AS131" s="1217"/>
      <c r="AT131" s="1217"/>
    </row>
    <row r="132" spans="1:46" s="1218" customFormat="1" ht="12.75" customHeight="1">
      <c r="A132" s="1217"/>
      <c r="B132" s="1217"/>
      <c r="C132" s="1217"/>
      <c r="D132" s="1217"/>
      <c r="E132" s="1217"/>
      <c r="F132" s="1217"/>
      <c r="G132" s="1217"/>
      <c r="H132" s="1217"/>
      <c r="I132" s="1217"/>
      <c r="J132" s="1217"/>
      <c r="K132" s="1217"/>
      <c r="L132" s="1217"/>
      <c r="M132" s="1217"/>
      <c r="N132" s="1217"/>
      <c r="O132" s="1217"/>
      <c r="P132" s="1217"/>
      <c r="Q132" s="1217"/>
      <c r="R132" s="1217"/>
      <c r="S132" s="1217"/>
      <c r="T132" s="1217"/>
      <c r="U132" s="1217"/>
      <c r="V132" s="1217"/>
      <c r="W132" s="1217"/>
      <c r="X132" s="1217"/>
      <c r="Y132" s="1217"/>
      <c r="Z132" s="1217"/>
      <c r="AA132" s="1217"/>
      <c r="AB132" s="1217"/>
      <c r="AC132" s="1217"/>
      <c r="AD132" s="1217"/>
      <c r="AE132" s="1217"/>
      <c r="AF132" s="1217"/>
      <c r="AG132" s="1217"/>
      <c r="AH132" s="1217"/>
      <c r="AI132" s="1217"/>
      <c r="AJ132" s="1217"/>
      <c r="AK132" s="1217"/>
      <c r="AL132" s="1217"/>
      <c r="AM132" s="1217"/>
      <c r="AN132" s="1217"/>
      <c r="AO132" s="1217"/>
      <c r="AP132" s="1217"/>
      <c r="AQ132" s="1217"/>
      <c r="AR132" s="1217"/>
      <c r="AS132" s="1217"/>
      <c r="AT132" s="1217"/>
    </row>
    <row r="133" spans="1:46" s="1218" customFormat="1" ht="12.75" customHeight="1">
      <c r="A133" s="1217"/>
      <c r="B133" s="1217"/>
      <c r="C133" s="1217"/>
      <c r="D133" s="1217"/>
      <c r="E133" s="1217"/>
      <c r="F133" s="1217"/>
      <c r="G133" s="1217"/>
      <c r="H133" s="1217"/>
      <c r="I133" s="1217"/>
      <c r="J133" s="1217"/>
      <c r="K133" s="1217"/>
      <c r="L133" s="1217"/>
      <c r="M133" s="1217"/>
      <c r="N133" s="1217"/>
      <c r="O133" s="1217"/>
      <c r="P133" s="1217"/>
      <c r="Q133" s="1217"/>
      <c r="R133" s="1217"/>
      <c r="S133" s="1217"/>
      <c r="T133" s="1217"/>
      <c r="U133" s="1217"/>
      <c r="V133" s="1217"/>
      <c r="W133" s="1217"/>
      <c r="X133" s="1217"/>
      <c r="Y133" s="1217"/>
      <c r="Z133" s="1217"/>
      <c r="AA133" s="1217"/>
      <c r="AB133" s="1217"/>
      <c r="AC133" s="1217"/>
      <c r="AD133" s="1217"/>
      <c r="AE133" s="1217"/>
      <c r="AF133" s="1217"/>
      <c r="AG133" s="1217"/>
      <c r="AH133" s="1217"/>
      <c r="AI133" s="1217"/>
      <c r="AJ133" s="1217"/>
      <c r="AK133" s="1217"/>
      <c r="AL133" s="1217"/>
      <c r="AM133" s="1217"/>
      <c r="AN133" s="1217"/>
      <c r="AO133" s="1217"/>
      <c r="AP133" s="1217"/>
      <c r="AQ133" s="1217"/>
      <c r="AR133" s="1217"/>
      <c r="AS133" s="1217"/>
      <c r="AT133" s="1217"/>
    </row>
    <row r="134" spans="1:46" s="1218" customFormat="1" ht="12.75" customHeight="1">
      <c r="A134" s="1217"/>
      <c r="B134" s="1217"/>
      <c r="C134" s="1217"/>
      <c r="D134" s="1217"/>
      <c r="E134" s="1217"/>
      <c r="F134" s="1217"/>
      <c r="G134" s="1217"/>
      <c r="H134" s="1217"/>
      <c r="I134" s="1217"/>
      <c r="J134" s="1217"/>
      <c r="K134" s="1217"/>
      <c r="L134" s="1217"/>
      <c r="M134" s="1217"/>
      <c r="N134" s="1217"/>
      <c r="O134" s="1217"/>
      <c r="P134" s="1217"/>
      <c r="Q134" s="1217"/>
      <c r="R134" s="1217"/>
      <c r="S134" s="1217"/>
      <c r="T134" s="1217"/>
      <c r="U134" s="1217"/>
      <c r="V134" s="1217"/>
      <c r="W134" s="1217"/>
      <c r="X134" s="1217"/>
      <c r="Y134" s="1217"/>
      <c r="Z134" s="1217"/>
      <c r="AA134" s="1217"/>
      <c r="AB134" s="1217"/>
      <c r="AC134" s="1217"/>
      <c r="AD134" s="1217"/>
      <c r="AE134" s="1217"/>
      <c r="AF134" s="1217"/>
      <c r="AG134" s="1217"/>
      <c r="AH134" s="1217"/>
      <c r="AI134" s="1217"/>
      <c r="AJ134" s="1217"/>
      <c r="AK134" s="1217"/>
      <c r="AL134" s="1217"/>
      <c r="AM134" s="1217"/>
      <c r="AN134" s="1217"/>
      <c r="AO134" s="1217"/>
      <c r="AP134" s="1217"/>
      <c r="AQ134" s="1217"/>
      <c r="AR134" s="1217"/>
      <c r="AS134" s="1217"/>
      <c r="AT134" s="1217"/>
    </row>
    <row r="135" spans="1:46" s="1218" customFormat="1" ht="12.75" customHeight="1">
      <c r="A135" s="1217"/>
      <c r="B135" s="1217"/>
      <c r="C135" s="1217"/>
      <c r="D135" s="1217"/>
      <c r="E135" s="1217"/>
      <c r="F135" s="1217"/>
      <c r="G135" s="1217"/>
      <c r="H135" s="1217"/>
      <c r="I135" s="1217"/>
      <c r="J135" s="1217"/>
      <c r="K135" s="1217"/>
      <c r="L135" s="1217"/>
      <c r="M135" s="1217"/>
      <c r="N135" s="1217"/>
      <c r="O135" s="1217"/>
      <c r="P135" s="1217"/>
      <c r="Q135" s="1217"/>
      <c r="R135" s="1217"/>
      <c r="S135" s="1217"/>
      <c r="T135" s="1217"/>
      <c r="U135" s="1217"/>
      <c r="V135" s="1217"/>
      <c r="W135" s="1217"/>
      <c r="X135" s="1217"/>
      <c r="Y135" s="1217"/>
      <c r="Z135" s="1217"/>
      <c r="AA135" s="1217"/>
      <c r="AB135" s="1217"/>
      <c r="AC135" s="1217"/>
      <c r="AD135" s="1217"/>
      <c r="AE135" s="1217"/>
      <c r="AF135" s="1217"/>
      <c r="AG135" s="1217"/>
      <c r="AH135" s="1217"/>
      <c r="AI135" s="1217"/>
      <c r="AJ135" s="1217"/>
      <c r="AK135" s="1217"/>
      <c r="AL135" s="1217"/>
      <c r="AM135" s="1217"/>
      <c r="AN135" s="1217"/>
      <c r="AO135" s="1217"/>
      <c r="AP135" s="1217"/>
      <c r="AQ135" s="1217"/>
      <c r="AR135" s="1217"/>
      <c r="AS135" s="1217"/>
      <c r="AT135" s="1217"/>
    </row>
    <row r="136" spans="1:46" s="1218" customFormat="1" ht="12.75" customHeight="1">
      <c r="A136" s="1217"/>
      <c r="B136" s="1217"/>
      <c r="C136" s="1217"/>
      <c r="D136" s="1217"/>
      <c r="E136" s="1217"/>
      <c r="F136" s="1217"/>
      <c r="G136" s="1217"/>
      <c r="H136" s="1217"/>
      <c r="I136" s="1217"/>
      <c r="J136" s="1217"/>
      <c r="K136" s="1217"/>
      <c r="L136" s="1217"/>
      <c r="M136" s="1217"/>
      <c r="N136" s="1217"/>
      <c r="O136" s="1217"/>
      <c r="P136" s="1217"/>
      <c r="Q136" s="1217"/>
      <c r="R136" s="1217"/>
      <c r="S136" s="1217"/>
      <c r="T136" s="1217"/>
      <c r="U136" s="1217"/>
      <c r="V136" s="1217"/>
      <c r="W136" s="1217"/>
      <c r="X136" s="1217"/>
      <c r="Y136" s="1217"/>
      <c r="Z136" s="1217"/>
      <c r="AA136" s="1217"/>
      <c r="AB136" s="1217"/>
      <c r="AC136" s="1217"/>
      <c r="AD136" s="1217"/>
      <c r="AE136" s="1217"/>
      <c r="AF136" s="1217"/>
      <c r="AG136" s="1217"/>
      <c r="AH136" s="1217"/>
      <c r="AI136" s="1217"/>
      <c r="AJ136" s="1217"/>
      <c r="AK136" s="1217"/>
      <c r="AL136" s="1217"/>
      <c r="AM136" s="1217"/>
      <c r="AN136" s="1217"/>
      <c r="AO136" s="1217"/>
      <c r="AP136" s="1217"/>
      <c r="AQ136" s="1217"/>
      <c r="AR136" s="1217"/>
      <c r="AS136" s="1217"/>
      <c r="AT136" s="1217"/>
    </row>
    <row r="137" spans="1:46" s="1218" customFormat="1" ht="12.75" customHeight="1">
      <c r="A137" s="1217"/>
      <c r="B137" s="1217"/>
      <c r="C137" s="1217"/>
      <c r="D137" s="1217"/>
      <c r="E137" s="1217"/>
      <c r="F137" s="1217"/>
      <c r="G137" s="1217"/>
      <c r="H137" s="1217"/>
      <c r="I137" s="1217"/>
      <c r="J137" s="1217"/>
      <c r="K137" s="1217"/>
      <c r="L137" s="1217"/>
      <c r="M137" s="1217"/>
      <c r="N137" s="1217"/>
      <c r="O137" s="1217"/>
      <c r="P137" s="1217"/>
      <c r="Q137" s="1217"/>
      <c r="R137" s="1217"/>
      <c r="S137" s="1217"/>
      <c r="T137" s="1217"/>
      <c r="U137" s="1217"/>
      <c r="V137" s="1217"/>
      <c r="W137" s="1217"/>
      <c r="X137" s="1217"/>
      <c r="Y137" s="1217"/>
      <c r="Z137" s="1217"/>
      <c r="AA137" s="1217"/>
      <c r="AB137" s="1217"/>
      <c r="AC137" s="1217"/>
      <c r="AD137" s="1217"/>
      <c r="AE137" s="1217"/>
      <c r="AF137" s="1217"/>
      <c r="AG137" s="1217"/>
      <c r="AH137" s="1217"/>
      <c r="AI137" s="1217"/>
      <c r="AJ137" s="1217"/>
      <c r="AK137" s="1217"/>
      <c r="AL137" s="1217"/>
      <c r="AM137" s="1217"/>
      <c r="AN137" s="1217"/>
      <c r="AO137" s="1217"/>
      <c r="AP137" s="1217"/>
      <c r="AQ137" s="1217"/>
      <c r="AR137" s="1217"/>
      <c r="AS137" s="1217"/>
      <c r="AT137" s="1217"/>
    </row>
    <row r="138" spans="1:46" s="1218" customFormat="1" ht="12.75" customHeight="1">
      <c r="A138" s="1217"/>
      <c r="B138" s="1217"/>
      <c r="C138" s="1217"/>
      <c r="D138" s="1217"/>
      <c r="E138" s="1217"/>
      <c r="F138" s="1217"/>
      <c r="G138" s="1217"/>
      <c r="H138" s="1217"/>
      <c r="I138" s="1217"/>
      <c r="J138" s="1217"/>
      <c r="K138" s="1217"/>
      <c r="L138" s="1217"/>
      <c r="M138" s="1217"/>
      <c r="N138" s="1217"/>
      <c r="O138" s="1217"/>
      <c r="P138" s="1217"/>
      <c r="Q138" s="1217"/>
      <c r="R138" s="1217"/>
      <c r="S138" s="1217"/>
      <c r="T138" s="1217"/>
      <c r="U138" s="1217"/>
      <c r="V138" s="1217"/>
      <c r="W138" s="1217"/>
      <c r="X138" s="1217"/>
      <c r="Y138" s="1217"/>
      <c r="Z138" s="1217"/>
      <c r="AA138" s="1217"/>
      <c r="AB138" s="1217"/>
      <c r="AC138" s="1217"/>
      <c r="AD138" s="1217"/>
      <c r="AE138" s="1217"/>
      <c r="AF138" s="1217"/>
      <c r="AG138" s="1217"/>
      <c r="AH138" s="1217"/>
      <c r="AI138" s="1217"/>
      <c r="AJ138" s="1217"/>
      <c r="AK138" s="1217"/>
      <c r="AL138" s="1217"/>
      <c r="AM138" s="1217"/>
      <c r="AN138" s="1217"/>
      <c r="AO138" s="1217"/>
      <c r="AP138" s="1217"/>
      <c r="AQ138" s="1217"/>
      <c r="AR138" s="1217"/>
      <c r="AS138" s="1217"/>
      <c r="AT138" s="1217"/>
    </row>
    <row r="139" spans="1:46" s="1218" customFormat="1" ht="12.75" customHeight="1">
      <c r="A139" s="1217"/>
      <c r="B139" s="1217"/>
      <c r="C139" s="1217"/>
      <c r="D139" s="1217"/>
      <c r="E139" s="1217"/>
      <c r="F139" s="1217"/>
      <c r="G139" s="1217"/>
      <c r="H139" s="1217"/>
      <c r="I139" s="1217"/>
      <c r="J139" s="1217"/>
      <c r="K139" s="1217"/>
      <c r="L139" s="1217"/>
      <c r="M139" s="1217"/>
      <c r="N139" s="1217"/>
      <c r="O139" s="1217"/>
      <c r="P139" s="1217"/>
      <c r="Q139" s="1217"/>
      <c r="R139" s="1217"/>
      <c r="S139" s="1217"/>
      <c r="T139" s="1217"/>
      <c r="U139" s="1217"/>
      <c r="V139" s="1217"/>
      <c r="W139" s="1217"/>
      <c r="X139" s="1217"/>
      <c r="Y139" s="1217"/>
      <c r="Z139" s="1217"/>
      <c r="AA139" s="1217"/>
      <c r="AB139" s="1217"/>
      <c r="AC139" s="1217"/>
      <c r="AD139" s="1217"/>
      <c r="AE139" s="1217"/>
      <c r="AF139" s="1217"/>
      <c r="AG139" s="1217"/>
      <c r="AH139" s="1217"/>
      <c r="AI139" s="1217"/>
      <c r="AJ139" s="1217"/>
      <c r="AK139" s="1217"/>
      <c r="AL139" s="1217"/>
      <c r="AM139" s="1217"/>
      <c r="AN139" s="1217"/>
      <c r="AO139" s="1217"/>
      <c r="AP139" s="1217"/>
      <c r="AQ139" s="1217"/>
      <c r="AR139" s="1217"/>
      <c r="AS139" s="1217"/>
      <c r="AT139" s="1217"/>
    </row>
    <row r="140" spans="1:46" s="1218" customFormat="1" ht="12.75" customHeight="1">
      <c r="A140" s="1217"/>
      <c r="B140" s="1217"/>
      <c r="C140" s="1217"/>
      <c r="D140" s="1217"/>
      <c r="E140" s="1217"/>
      <c r="F140" s="1217"/>
      <c r="G140" s="1217"/>
      <c r="H140" s="1217"/>
      <c r="I140" s="1217"/>
      <c r="J140" s="1217"/>
      <c r="K140" s="1217"/>
      <c r="L140" s="1217"/>
      <c r="M140" s="1217"/>
      <c r="N140" s="1217"/>
      <c r="O140" s="1217"/>
      <c r="P140" s="1217"/>
      <c r="Q140" s="1217"/>
      <c r="R140" s="1217"/>
      <c r="S140" s="1217"/>
      <c r="T140" s="1217"/>
      <c r="U140" s="1217"/>
      <c r="V140" s="1217"/>
      <c r="W140" s="1217"/>
      <c r="X140" s="1217"/>
      <c r="Y140" s="1217"/>
      <c r="Z140" s="1217"/>
      <c r="AA140" s="1217"/>
      <c r="AB140" s="1217"/>
      <c r="AC140" s="1217"/>
      <c r="AD140" s="1217"/>
      <c r="AE140" s="1217"/>
      <c r="AF140" s="1217"/>
      <c r="AG140" s="1217"/>
      <c r="AH140" s="1217"/>
      <c r="AI140" s="1217"/>
      <c r="AJ140" s="1217"/>
      <c r="AK140" s="1217"/>
      <c r="AL140" s="1217"/>
      <c r="AM140" s="1217"/>
      <c r="AN140" s="1217"/>
      <c r="AO140" s="1217"/>
      <c r="AP140" s="1217"/>
      <c r="AQ140" s="1217"/>
      <c r="AR140" s="1217"/>
      <c r="AS140" s="1217"/>
      <c r="AT140" s="1217"/>
    </row>
    <row r="141" spans="1:46" s="1218" customFormat="1" ht="12.75" customHeight="1">
      <c r="A141" s="1217"/>
      <c r="B141" s="1217"/>
      <c r="C141" s="1217"/>
      <c r="D141" s="1217"/>
      <c r="E141" s="1217"/>
      <c r="F141" s="1217"/>
      <c r="G141" s="1217"/>
      <c r="H141" s="1217"/>
      <c r="I141" s="1217"/>
      <c r="J141" s="1217"/>
      <c r="K141" s="1217"/>
      <c r="L141" s="1217"/>
      <c r="M141" s="1217"/>
      <c r="N141" s="1217"/>
      <c r="O141" s="1217"/>
      <c r="P141" s="1217"/>
      <c r="Q141" s="1217"/>
      <c r="R141" s="1217"/>
      <c r="S141" s="1217"/>
      <c r="T141" s="1217"/>
      <c r="U141" s="1217"/>
      <c r="V141" s="1217"/>
      <c r="W141" s="1217"/>
      <c r="X141" s="1217"/>
      <c r="Y141" s="1217"/>
      <c r="Z141" s="1217"/>
      <c r="AA141" s="1217"/>
      <c r="AB141" s="1217"/>
      <c r="AC141" s="1217"/>
      <c r="AD141" s="1217"/>
      <c r="AE141" s="1217"/>
      <c r="AF141" s="1217"/>
      <c r="AG141" s="1217"/>
      <c r="AH141" s="1217"/>
      <c r="AI141" s="1217"/>
      <c r="AJ141" s="1217"/>
      <c r="AK141" s="1217"/>
      <c r="AL141" s="1217"/>
      <c r="AM141" s="1217"/>
      <c r="AN141" s="1217"/>
      <c r="AO141" s="1217"/>
      <c r="AP141" s="1217"/>
      <c r="AQ141" s="1217"/>
      <c r="AR141" s="1217"/>
      <c r="AS141" s="1217"/>
      <c r="AT141" s="1217"/>
    </row>
    <row r="142" spans="1:46" s="1218" customFormat="1" ht="12.75" customHeight="1">
      <c r="A142" s="1217"/>
      <c r="B142" s="1217"/>
      <c r="C142" s="1217"/>
      <c r="D142" s="1217"/>
      <c r="E142" s="1217"/>
      <c r="F142" s="1217"/>
      <c r="G142" s="1217"/>
      <c r="H142" s="1217"/>
      <c r="I142" s="1217"/>
      <c r="J142" s="1217"/>
      <c r="K142" s="1217"/>
      <c r="L142" s="1217"/>
      <c r="M142" s="1217"/>
      <c r="N142" s="1217"/>
      <c r="O142" s="1217"/>
      <c r="P142" s="1217"/>
      <c r="Q142" s="1217"/>
      <c r="R142" s="1217"/>
      <c r="S142" s="1217"/>
      <c r="T142" s="1217"/>
      <c r="U142" s="1217"/>
      <c r="V142" s="1217"/>
      <c r="W142" s="1217"/>
      <c r="X142" s="1217"/>
      <c r="Y142" s="1217"/>
      <c r="Z142" s="1217"/>
      <c r="AA142" s="1217"/>
      <c r="AB142" s="1217"/>
      <c r="AC142" s="1217"/>
      <c r="AD142" s="1217"/>
      <c r="AE142" s="1217"/>
      <c r="AF142" s="1217"/>
      <c r="AG142" s="1217"/>
      <c r="AH142" s="1217"/>
      <c r="AI142" s="1217"/>
      <c r="AJ142" s="1217"/>
      <c r="AK142" s="1217"/>
      <c r="AL142" s="1217"/>
      <c r="AM142" s="1217"/>
      <c r="AN142" s="1217"/>
      <c r="AO142" s="1217"/>
      <c r="AP142" s="1217"/>
      <c r="AQ142" s="1217"/>
      <c r="AR142" s="1217"/>
      <c r="AS142" s="1217"/>
      <c r="AT142" s="1217"/>
    </row>
    <row r="143" spans="1:46" s="1218" customFormat="1" ht="12.75" customHeight="1">
      <c r="A143" s="1217"/>
      <c r="B143" s="1217"/>
      <c r="C143" s="1217"/>
      <c r="D143" s="1217"/>
      <c r="E143" s="1217"/>
      <c r="F143" s="1217"/>
      <c r="G143" s="1217"/>
      <c r="H143" s="1217"/>
      <c r="I143" s="1217"/>
      <c r="J143" s="1217"/>
      <c r="K143" s="1217"/>
      <c r="L143" s="1217"/>
      <c r="M143" s="1217"/>
      <c r="N143" s="1217"/>
      <c r="O143" s="1217"/>
      <c r="P143" s="1217"/>
      <c r="Q143" s="1217"/>
      <c r="R143" s="1217"/>
      <c r="S143" s="1217"/>
      <c r="T143" s="1217"/>
      <c r="U143" s="1217"/>
      <c r="V143" s="1217"/>
      <c r="W143" s="1217"/>
      <c r="X143" s="1217"/>
      <c r="Y143" s="1217"/>
      <c r="Z143" s="1217"/>
      <c r="AA143" s="1217"/>
      <c r="AB143" s="1217"/>
      <c r="AC143" s="1217"/>
      <c r="AD143" s="1217"/>
      <c r="AE143" s="1217"/>
      <c r="AF143" s="1217"/>
      <c r="AG143" s="1217"/>
      <c r="AH143" s="1217"/>
      <c r="AI143" s="1217"/>
      <c r="AJ143" s="1217"/>
      <c r="AK143" s="1217"/>
      <c r="AL143" s="1217"/>
      <c r="AM143" s="1217"/>
      <c r="AN143" s="1217"/>
      <c r="AO143" s="1217"/>
      <c r="AP143" s="1217"/>
      <c r="AQ143" s="1217"/>
      <c r="AR143" s="1217"/>
      <c r="AS143" s="1217"/>
      <c r="AT143" s="1217"/>
    </row>
    <row r="144" spans="1:46" s="1218" customFormat="1" ht="12.75" customHeight="1">
      <c r="A144" s="1217"/>
      <c r="B144" s="1217"/>
      <c r="C144" s="1217"/>
      <c r="D144" s="1217"/>
      <c r="E144" s="1217"/>
      <c r="F144" s="1217"/>
      <c r="G144" s="1217"/>
      <c r="H144" s="1217"/>
      <c r="I144" s="1217"/>
      <c r="J144" s="1217"/>
      <c r="K144" s="1217"/>
      <c r="L144" s="1217"/>
      <c r="M144" s="1217"/>
      <c r="N144" s="1217"/>
      <c r="O144" s="1217"/>
      <c r="P144" s="1217"/>
      <c r="Q144" s="1217"/>
      <c r="R144" s="1217"/>
      <c r="S144" s="1217"/>
      <c r="T144" s="1217"/>
      <c r="U144" s="1217"/>
      <c r="V144" s="1217"/>
      <c r="W144" s="1217"/>
      <c r="X144" s="1217"/>
      <c r="Y144" s="1217"/>
      <c r="Z144" s="1217"/>
      <c r="AA144" s="1217"/>
      <c r="AB144" s="1217"/>
      <c r="AC144" s="1217"/>
      <c r="AD144" s="1217"/>
      <c r="AE144" s="1217"/>
      <c r="AF144" s="1217"/>
      <c r="AG144" s="1217"/>
      <c r="AH144" s="1217"/>
      <c r="AI144" s="1217"/>
      <c r="AJ144" s="1217"/>
      <c r="AK144" s="1217"/>
      <c r="AL144" s="1217"/>
      <c r="AM144" s="1217"/>
      <c r="AN144" s="1217"/>
      <c r="AO144" s="1217"/>
      <c r="AP144" s="1217"/>
      <c r="AQ144" s="1217"/>
      <c r="AR144" s="1217"/>
      <c r="AS144" s="1217"/>
      <c r="AT144" s="1217"/>
    </row>
    <row r="145" spans="1:46" s="1218" customFormat="1" ht="12.75" customHeight="1">
      <c r="A145" s="1217"/>
      <c r="B145" s="1217"/>
      <c r="C145" s="1217"/>
      <c r="D145" s="1217"/>
      <c r="E145" s="1217"/>
      <c r="F145" s="1217"/>
      <c r="G145" s="1217"/>
      <c r="H145" s="1217"/>
      <c r="I145" s="1217"/>
      <c r="J145" s="1217"/>
      <c r="K145" s="1217"/>
      <c r="L145" s="1217"/>
      <c r="M145" s="1217"/>
      <c r="N145" s="1217"/>
      <c r="O145" s="1217"/>
      <c r="P145" s="1217"/>
      <c r="Q145" s="1217"/>
      <c r="R145" s="1217"/>
      <c r="S145" s="1217"/>
      <c r="T145" s="1217"/>
      <c r="U145" s="1217"/>
      <c r="V145" s="1217"/>
      <c r="W145" s="1217"/>
      <c r="X145" s="1217"/>
      <c r="Y145" s="1217"/>
      <c r="Z145" s="1217"/>
      <c r="AA145" s="1217"/>
      <c r="AB145" s="1217"/>
      <c r="AC145" s="1217"/>
      <c r="AD145" s="1217"/>
      <c r="AE145" s="1217"/>
      <c r="AF145" s="1217"/>
      <c r="AG145" s="1217"/>
      <c r="AH145" s="1217"/>
      <c r="AI145" s="1217"/>
      <c r="AJ145" s="1217"/>
      <c r="AK145" s="1217"/>
      <c r="AL145" s="1217"/>
      <c r="AM145" s="1217"/>
      <c r="AN145" s="1217"/>
      <c r="AO145" s="1217"/>
      <c r="AP145" s="1217"/>
      <c r="AQ145" s="1217"/>
      <c r="AR145" s="1217"/>
      <c r="AS145" s="1217"/>
      <c r="AT145" s="1217"/>
    </row>
    <row r="146" spans="1:46" s="1218" customFormat="1" ht="12.75" customHeight="1">
      <c r="A146" s="1217"/>
      <c r="B146" s="1217"/>
      <c r="C146" s="1217"/>
      <c r="D146" s="1217"/>
      <c r="E146" s="1217"/>
      <c r="F146" s="1217"/>
      <c r="G146" s="1217"/>
      <c r="H146" s="1217"/>
      <c r="I146" s="1217"/>
      <c r="J146" s="1217"/>
      <c r="K146" s="1217"/>
      <c r="L146" s="1217"/>
      <c r="M146" s="1217"/>
      <c r="N146" s="1217"/>
      <c r="O146" s="1217"/>
      <c r="P146" s="1217"/>
      <c r="Q146" s="1217"/>
      <c r="R146" s="1217"/>
      <c r="S146" s="1217"/>
      <c r="T146" s="1217"/>
      <c r="U146" s="1217"/>
      <c r="V146" s="1217"/>
      <c r="W146" s="1217"/>
      <c r="X146" s="1217"/>
      <c r="Y146" s="1217"/>
      <c r="Z146" s="1217"/>
      <c r="AA146" s="1217"/>
      <c r="AB146" s="1217"/>
      <c r="AC146" s="1217"/>
      <c r="AD146" s="1217"/>
      <c r="AE146" s="1217"/>
      <c r="AF146" s="1217"/>
      <c r="AG146" s="1217"/>
      <c r="AH146" s="1217"/>
      <c r="AI146" s="1217"/>
      <c r="AJ146" s="1217"/>
      <c r="AK146" s="1217"/>
      <c r="AL146" s="1217"/>
      <c r="AM146" s="1217"/>
      <c r="AN146" s="1217"/>
      <c r="AO146" s="1217"/>
      <c r="AP146" s="1217"/>
      <c r="AQ146" s="1217"/>
      <c r="AR146" s="1217"/>
      <c r="AS146" s="1217"/>
      <c r="AT146" s="1217"/>
    </row>
    <row r="147" spans="1:46" s="1218" customFormat="1" ht="12.75" customHeight="1">
      <c r="A147" s="1217"/>
      <c r="B147" s="1217"/>
      <c r="C147" s="1217"/>
      <c r="D147" s="1217"/>
      <c r="E147" s="1217"/>
      <c r="F147" s="1217"/>
      <c r="G147" s="1217"/>
      <c r="H147" s="1217"/>
      <c r="I147" s="1217"/>
      <c r="J147" s="1217"/>
      <c r="K147" s="1217"/>
      <c r="L147" s="1217"/>
      <c r="M147" s="1217"/>
      <c r="N147" s="1217"/>
      <c r="O147" s="1217"/>
      <c r="P147" s="1217"/>
      <c r="Q147" s="1217"/>
      <c r="R147" s="1217"/>
      <c r="S147" s="1217"/>
      <c r="T147" s="1217"/>
      <c r="U147" s="1217"/>
      <c r="V147" s="1217"/>
      <c r="W147" s="1217"/>
      <c r="X147" s="1217"/>
      <c r="Y147" s="1217"/>
      <c r="Z147" s="1217"/>
      <c r="AA147" s="1217"/>
      <c r="AB147" s="1217"/>
      <c r="AC147" s="1217"/>
      <c r="AD147" s="1217"/>
      <c r="AE147" s="1217"/>
      <c r="AF147" s="1217"/>
      <c r="AG147" s="1217"/>
      <c r="AH147" s="1217"/>
      <c r="AI147" s="1217"/>
      <c r="AJ147" s="1217"/>
      <c r="AK147" s="1217"/>
      <c r="AL147" s="1217"/>
      <c r="AM147" s="1217"/>
      <c r="AN147" s="1217"/>
      <c r="AO147" s="1217"/>
      <c r="AP147" s="1217"/>
      <c r="AQ147" s="1217"/>
      <c r="AR147" s="1217"/>
      <c r="AS147" s="1217"/>
      <c r="AT147" s="1217"/>
    </row>
    <row r="148" spans="1:46" s="1218" customFormat="1" ht="12.75" customHeight="1">
      <c r="A148" s="1217"/>
      <c r="B148" s="1217"/>
      <c r="C148" s="1217"/>
      <c r="D148" s="1217"/>
      <c r="E148" s="1217"/>
      <c r="F148" s="1217"/>
      <c r="G148" s="1217"/>
      <c r="H148" s="1217"/>
      <c r="I148" s="1217"/>
      <c r="J148" s="1217"/>
      <c r="K148" s="1217"/>
      <c r="L148" s="1217"/>
      <c r="M148" s="1217"/>
      <c r="N148" s="1217"/>
      <c r="O148" s="1217"/>
      <c r="P148" s="1217"/>
      <c r="Q148" s="1217"/>
      <c r="R148" s="1217"/>
      <c r="S148" s="1217"/>
      <c r="T148" s="1217"/>
      <c r="U148" s="1217"/>
      <c r="V148" s="1217"/>
      <c r="W148" s="1217"/>
      <c r="X148" s="1217"/>
      <c r="Y148" s="1217"/>
      <c r="Z148" s="1217"/>
      <c r="AA148" s="1217"/>
      <c r="AB148" s="1217"/>
      <c r="AC148" s="1217"/>
      <c r="AD148" s="1217"/>
      <c r="AE148" s="1217"/>
      <c r="AF148" s="1217"/>
      <c r="AG148" s="1217"/>
      <c r="AH148" s="1217"/>
      <c r="AI148" s="1217"/>
      <c r="AJ148" s="1217"/>
      <c r="AK148" s="1217"/>
      <c r="AL148" s="1217"/>
      <c r="AM148" s="1217"/>
      <c r="AN148" s="1217"/>
      <c r="AO148" s="1217"/>
      <c r="AP148" s="1217"/>
      <c r="AQ148" s="1217"/>
      <c r="AR148" s="1217"/>
      <c r="AS148" s="1217"/>
      <c r="AT148" s="1217"/>
    </row>
    <row r="149" spans="1:46" s="1218" customFormat="1" ht="12.75" customHeight="1">
      <c r="A149" s="1217"/>
      <c r="B149" s="1217"/>
      <c r="C149" s="1217"/>
      <c r="D149" s="1217"/>
      <c r="E149" s="1217"/>
      <c r="F149" s="1217"/>
      <c r="G149" s="1217"/>
      <c r="H149" s="1217"/>
      <c r="I149" s="1217"/>
      <c r="J149" s="1217"/>
      <c r="K149" s="1217"/>
      <c r="L149" s="1217"/>
      <c r="M149" s="1217"/>
      <c r="N149" s="1217"/>
      <c r="O149" s="1217"/>
      <c r="P149" s="1217"/>
      <c r="Q149" s="1217"/>
      <c r="R149" s="1217"/>
      <c r="S149" s="1217"/>
      <c r="T149" s="1217"/>
      <c r="U149" s="1217"/>
      <c r="V149" s="1217"/>
      <c r="W149" s="1217"/>
      <c r="X149" s="1217"/>
      <c r="Y149" s="1217"/>
      <c r="Z149" s="1217"/>
      <c r="AA149" s="1217"/>
      <c r="AB149" s="1217"/>
      <c r="AC149" s="1217"/>
      <c r="AD149" s="1217"/>
      <c r="AE149" s="1217"/>
      <c r="AF149" s="1217"/>
      <c r="AG149" s="1217"/>
      <c r="AH149" s="1217"/>
      <c r="AI149" s="1217"/>
      <c r="AJ149" s="1217"/>
      <c r="AK149" s="1217"/>
      <c r="AL149" s="1217"/>
      <c r="AM149" s="1217"/>
      <c r="AN149" s="1217"/>
      <c r="AO149" s="1217"/>
      <c r="AP149" s="1217"/>
      <c r="AQ149" s="1217"/>
      <c r="AR149" s="1217"/>
      <c r="AS149" s="1217"/>
      <c r="AT149" s="1217"/>
    </row>
    <row r="150" spans="1:46" s="1218" customFormat="1" ht="12.75" customHeight="1">
      <c r="A150" s="1217"/>
      <c r="B150" s="1217"/>
      <c r="C150" s="1217"/>
      <c r="D150" s="1217"/>
      <c r="E150" s="1217"/>
      <c r="F150" s="1217"/>
      <c r="G150" s="1217"/>
      <c r="H150" s="1217"/>
      <c r="I150" s="1217"/>
      <c r="J150" s="1217"/>
      <c r="K150" s="1217"/>
      <c r="L150" s="1217"/>
      <c r="M150" s="1217"/>
      <c r="N150" s="1217"/>
      <c r="O150" s="1217"/>
      <c r="P150" s="1217"/>
      <c r="Q150" s="1217"/>
      <c r="R150" s="1217"/>
      <c r="S150" s="1217"/>
      <c r="T150" s="1217"/>
      <c r="U150" s="1217"/>
      <c r="V150" s="1217"/>
      <c r="W150" s="1217"/>
      <c r="X150" s="1217"/>
      <c r="Y150" s="1217"/>
      <c r="Z150" s="1217"/>
      <c r="AA150" s="1217"/>
      <c r="AB150" s="1217"/>
      <c r="AC150" s="1217"/>
      <c r="AD150" s="1217"/>
      <c r="AE150" s="1217"/>
      <c r="AF150" s="1217"/>
      <c r="AG150" s="1217"/>
      <c r="AH150" s="1217"/>
      <c r="AI150" s="1217"/>
      <c r="AJ150" s="1217"/>
      <c r="AK150" s="1217"/>
      <c r="AL150" s="1217"/>
      <c r="AM150" s="1217"/>
      <c r="AN150" s="1217"/>
      <c r="AO150" s="1217"/>
      <c r="AP150" s="1217"/>
      <c r="AQ150" s="1217"/>
      <c r="AR150" s="1217"/>
      <c r="AS150" s="1217"/>
      <c r="AT150" s="1217"/>
    </row>
    <row r="151" spans="1:46" s="1218" customFormat="1" ht="12.75" customHeight="1">
      <c r="A151" s="1217"/>
      <c r="B151" s="1217"/>
      <c r="C151" s="1217"/>
      <c r="D151" s="1217"/>
      <c r="E151" s="1217"/>
      <c r="F151" s="1217"/>
      <c r="G151" s="1217"/>
      <c r="H151" s="1217"/>
      <c r="I151" s="1217"/>
      <c r="J151" s="1217"/>
      <c r="K151" s="1217"/>
      <c r="L151" s="1217"/>
      <c r="M151" s="1217"/>
      <c r="N151" s="1217"/>
      <c r="O151" s="1217"/>
      <c r="P151" s="1217"/>
      <c r="Q151" s="1217"/>
      <c r="R151" s="1217"/>
      <c r="S151" s="1217"/>
      <c r="T151" s="1217"/>
      <c r="U151" s="1217"/>
      <c r="V151" s="1217"/>
      <c r="W151" s="1217"/>
      <c r="X151" s="1217"/>
      <c r="Y151" s="1217"/>
      <c r="Z151" s="1217"/>
      <c r="AA151" s="1217"/>
      <c r="AB151" s="1217"/>
      <c r="AC151" s="1217"/>
      <c r="AD151" s="1217"/>
      <c r="AE151" s="1217"/>
      <c r="AF151" s="1217"/>
      <c r="AG151" s="1217"/>
      <c r="AH151" s="1217"/>
      <c r="AI151" s="1217"/>
      <c r="AJ151" s="1217"/>
      <c r="AK151" s="1217"/>
      <c r="AL151" s="1217"/>
      <c r="AM151" s="1217"/>
      <c r="AN151" s="1217"/>
      <c r="AO151" s="1217"/>
      <c r="AP151" s="1217"/>
      <c r="AQ151" s="1217"/>
      <c r="AR151" s="1217"/>
      <c r="AS151" s="1217"/>
      <c r="AT151" s="1217"/>
    </row>
    <row r="152" spans="1:46" s="1218" customFormat="1" ht="12.75" customHeight="1">
      <c r="A152" s="1217"/>
      <c r="B152" s="1217"/>
      <c r="C152" s="1217"/>
      <c r="D152" s="1217"/>
      <c r="E152" s="1217"/>
      <c r="F152" s="1217"/>
      <c r="G152" s="1217"/>
      <c r="H152" s="1217"/>
      <c r="I152" s="1217"/>
      <c r="J152" s="1217"/>
      <c r="K152" s="1217"/>
      <c r="L152" s="1217"/>
      <c r="M152" s="1217"/>
      <c r="N152" s="1217"/>
      <c r="O152" s="1217"/>
      <c r="P152" s="1217"/>
      <c r="Q152" s="1217"/>
      <c r="R152" s="1217"/>
      <c r="S152" s="1217"/>
      <c r="T152" s="1217"/>
      <c r="U152" s="1217"/>
      <c r="V152" s="1217"/>
      <c r="W152" s="1217"/>
      <c r="X152" s="1217"/>
      <c r="Y152" s="1217"/>
      <c r="Z152" s="1217"/>
      <c r="AA152" s="1217"/>
      <c r="AB152" s="1217"/>
      <c r="AC152" s="1217"/>
      <c r="AD152" s="1217"/>
      <c r="AE152" s="1217"/>
      <c r="AF152" s="1217"/>
      <c r="AG152" s="1217"/>
      <c r="AH152" s="1217"/>
      <c r="AI152" s="1217"/>
      <c r="AJ152" s="1217"/>
      <c r="AK152" s="1217"/>
      <c r="AL152" s="1217"/>
      <c r="AM152" s="1217"/>
      <c r="AN152" s="1217"/>
      <c r="AO152" s="1217"/>
      <c r="AP152" s="1217"/>
      <c r="AQ152" s="1217"/>
      <c r="AR152" s="1217"/>
      <c r="AS152" s="1217"/>
      <c r="AT152" s="1217"/>
    </row>
    <row r="153" spans="1:46" s="1218" customFormat="1" ht="12.75" customHeight="1">
      <c r="A153" s="1217"/>
      <c r="B153" s="1217"/>
      <c r="C153" s="1217"/>
      <c r="D153" s="1217"/>
      <c r="E153" s="1217"/>
      <c r="F153" s="1217"/>
      <c r="G153" s="1217"/>
      <c r="H153" s="1217"/>
      <c r="I153" s="1217"/>
      <c r="J153" s="1217"/>
      <c r="K153" s="1217"/>
      <c r="L153" s="1217"/>
      <c r="M153" s="1217"/>
      <c r="N153" s="1217"/>
      <c r="O153" s="1217"/>
      <c r="P153" s="1217"/>
      <c r="Q153" s="1217"/>
      <c r="R153" s="1217"/>
      <c r="S153" s="1217"/>
      <c r="T153" s="1217"/>
      <c r="U153" s="1217"/>
      <c r="V153" s="1217"/>
      <c r="W153" s="1217"/>
      <c r="X153" s="1217"/>
      <c r="Y153" s="1217"/>
      <c r="Z153" s="1217"/>
      <c r="AA153" s="1217"/>
      <c r="AB153" s="1217"/>
      <c r="AC153" s="1217"/>
      <c r="AD153" s="1217"/>
      <c r="AE153" s="1217"/>
      <c r="AF153" s="1217"/>
      <c r="AG153" s="1217"/>
      <c r="AH153" s="1217"/>
      <c r="AI153" s="1217"/>
      <c r="AJ153" s="1217"/>
      <c r="AK153" s="1217"/>
      <c r="AL153" s="1217"/>
      <c r="AM153" s="1217"/>
      <c r="AN153" s="1217"/>
      <c r="AO153" s="1217"/>
      <c r="AP153" s="1217"/>
      <c r="AQ153" s="1217"/>
      <c r="AR153" s="1217"/>
      <c r="AS153" s="1217"/>
      <c r="AT153" s="1217"/>
    </row>
    <row r="154" spans="1:46" s="1218" customFormat="1" ht="12.75" customHeight="1">
      <c r="A154" s="1217"/>
      <c r="B154" s="1217"/>
      <c r="C154" s="1217"/>
      <c r="D154" s="1217"/>
      <c r="E154" s="1217"/>
      <c r="F154" s="1217"/>
      <c r="G154" s="1217"/>
      <c r="H154" s="1217"/>
      <c r="I154" s="1217"/>
      <c r="J154" s="1217"/>
      <c r="K154" s="1217"/>
      <c r="L154" s="1217"/>
      <c r="M154" s="1217"/>
      <c r="N154" s="1217"/>
      <c r="O154" s="1217"/>
      <c r="P154" s="1217"/>
      <c r="Q154" s="1217"/>
      <c r="R154" s="1217"/>
      <c r="S154" s="1217"/>
      <c r="T154" s="1217"/>
      <c r="U154" s="1217"/>
      <c r="V154" s="1217"/>
      <c r="W154" s="1217"/>
      <c r="X154" s="1217"/>
      <c r="Y154" s="1217"/>
      <c r="Z154" s="1217"/>
      <c r="AA154" s="1217"/>
      <c r="AB154" s="1217"/>
      <c r="AC154" s="1217"/>
      <c r="AD154" s="1217"/>
      <c r="AE154" s="1217"/>
      <c r="AF154" s="1217"/>
      <c r="AG154" s="1217"/>
      <c r="AH154" s="1217"/>
      <c r="AI154" s="1217"/>
      <c r="AJ154" s="1217"/>
      <c r="AK154" s="1217"/>
      <c r="AL154" s="1217"/>
      <c r="AM154" s="1217"/>
      <c r="AN154" s="1217"/>
      <c r="AO154" s="1217"/>
      <c r="AP154" s="1217"/>
      <c r="AQ154" s="1217"/>
      <c r="AR154" s="1217"/>
      <c r="AS154" s="1217"/>
      <c r="AT154" s="1217"/>
    </row>
    <row r="155" spans="1:46" s="1218" customFormat="1" ht="12.75" customHeight="1">
      <c r="A155" s="1217"/>
      <c r="B155" s="1217"/>
      <c r="C155" s="1217"/>
      <c r="D155" s="1217"/>
      <c r="E155" s="1217"/>
      <c r="F155" s="1217"/>
      <c r="G155" s="1217"/>
      <c r="H155" s="1217"/>
      <c r="I155" s="1217"/>
      <c r="J155" s="1217"/>
      <c r="K155" s="1217"/>
      <c r="L155" s="1217"/>
      <c r="M155" s="1217"/>
      <c r="N155" s="1217"/>
      <c r="O155" s="1217"/>
      <c r="P155" s="1217"/>
      <c r="Q155" s="1217"/>
      <c r="R155" s="1217"/>
      <c r="S155" s="1217"/>
      <c r="T155" s="1217"/>
      <c r="U155" s="1217"/>
      <c r="V155" s="1217"/>
      <c r="W155" s="1217"/>
      <c r="X155" s="1217"/>
      <c r="Y155" s="1217"/>
      <c r="Z155" s="1217"/>
      <c r="AA155" s="1217"/>
      <c r="AB155" s="1217"/>
      <c r="AC155" s="1217"/>
      <c r="AD155" s="1217"/>
      <c r="AE155" s="1217"/>
      <c r="AF155" s="1217"/>
      <c r="AG155" s="1217"/>
      <c r="AH155" s="1217"/>
      <c r="AI155" s="1217"/>
      <c r="AJ155" s="1217"/>
      <c r="AK155" s="1217"/>
      <c r="AL155" s="1217"/>
      <c r="AM155" s="1217"/>
      <c r="AN155" s="1217"/>
      <c r="AO155" s="1217"/>
      <c r="AP155" s="1217"/>
      <c r="AQ155" s="1217"/>
      <c r="AR155" s="1217"/>
      <c r="AS155" s="1217"/>
      <c r="AT155" s="1217"/>
    </row>
    <row r="156" spans="1:46" s="1218" customFormat="1" ht="12.75" customHeight="1">
      <c r="A156" s="1217"/>
      <c r="B156" s="1217"/>
      <c r="C156" s="1217"/>
      <c r="D156" s="1217"/>
      <c r="E156" s="1217"/>
      <c r="F156" s="1217"/>
      <c r="G156" s="1217"/>
      <c r="H156" s="1217"/>
      <c r="I156" s="1217"/>
      <c r="J156" s="1217"/>
      <c r="K156" s="1217"/>
      <c r="L156" s="1217"/>
      <c r="M156" s="1217"/>
      <c r="N156" s="1217"/>
      <c r="O156" s="1217"/>
      <c r="P156" s="1217"/>
      <c r="Q156" s="1217"/>
      <c r="R156" s="1217"/>
      <c r="S156" s="1217"/>
      <c r="T156" s="1217"/>
      <c r="U156" s="1217"/>
      <c r="V156" s="1217"/>
      <c r="W156" s="1217"/>
      <c r="X156" s="1217"/>
      <c r="Y156" s="1217"/>
      <c r="Z156" s="1217"/>
      <c r="AA156" s="1217"/>
      <c r="AB156" s="1217"/>
      <c r="AC156" s="1217"/>
      <c r="AD156" s="1217"/>
      <c r="AE156" s="1217"/>
      <c r="AF156" s="1217"/>
      <c r="AG156" s="1217"/>
      <c r="AH156" s="1217"/>
      <c r="AI156" s="1217"/>
      <c r="AJ156" s="1217"/>
      <c r="AK156" s="1217"/>
      <c r="AL156" s="1217"/>
      <c r="AM156" s="1217"/>
      <c r="AN156" s="1217"/>
      <c r="AO156" s="1217"/>
      <c r="AP156" s="1217"/>
      <c r="AQ156" s="1217"/>
      <c r="AR156" s="1217"/>
      <c r="AS156" s="1217"/>
      <c r="AT156" s="1217"/>
    </row>
    <row r="157" spans="1:46" s="1218" customFormat="1" ht="12.75" customHeight="1">
      <c r="A157" s="1217"/>
      <c r="B157" s="1217"/>
      <c r="C157" s="1217"/>
      <c r="D157" s="1217"/>
      <c r="E157" s="1217"/>
      <c r="F157" s="1217"/>
      <c r="G157" s="1217"/>
      <c r="H157" s="1217"/>
      <c r="I157" s="1217"/>
      <c r="J157" s="1217"/>
      <c r="K157" s="1217"/>
      <c r="L157" s="1217"/>
      <c r="M157" s="1217"/>
      <c r="N157" s="1217"/>
      <c r="O157" s="1217"/>
      <c r="P157" s="1217"/>
      <c r="Q157" s="1217"/>
      <c r="R157" s="1217"/>
      <c r="S157" s="1217"/>
      <c r="T157" s="1217"/>
      <c r="U157" s="1217"/>
      <c r="V157" s="1217"/>
      <c r="W157" s="1217"/>
      <c r="X157" s="1217"/>
      <c r="Y157" s="1217"/>
      <c r="Z157" s="1217"/>
      <c r="AA157" s="1217"/>
      <c r="AB157" s="1217"/>
      <c r="AC157" s="1217"/>
      <c r="AD157" s="1217"/>
      <c r="AE157" s="1217"/>
      <c r="AF157" s="1217"/>
      <c r="AG157" s="1217"/>
      <c r="AH157" s="1217"/>
      <c r="AI157" s="1217"/>
      <c r="AJ157" s="1217"/>
      <c r="AK157" s="1217"/>
      <c r="AL157" s="1217"/>
      <c r="AM157" s="1217"/>
      <c r="AN157" s="1217"/>
      <c r="AO157" s="1217"/>
      <c r="AP157" s="1217"/>
      <c r="AQ157" s="1217"/>
      <c r="AR157" s="1217"/>
      <c r="AS157" s="1217"/>
      <c r="AT157" s="1217"/>
    </row>
    <row r="158" spans="1:46" s="1218" customFormat="1" ht="12.75" customHeight="1">
      <c r="A158" s="1217"/>
      <c r="B158" s="1217"/>
      <c r="C158" s="1217"/>
      <c r="D158" s="1217"/>
      <c r="E158" s="1217"/>
      <c r="F158" s="1217"/>
      <c r="G158" s="1217"/>
      <c r="H158" s="1217"/>
      <c r="I158" s="1217"/>
      <c r="J158" s="1217"/>
      <c r="K158" s="1217"/>
      <c r="L158" s="1217"/>
      <c r="M158" s="1217"/>
      <c r="N158" s="1217"/>
      <c r="O158" s="1217"/>
      <c r="P158" s="1217"/>
      <c r="Q158" s="1217"/>
      <c r="R158" s="1217"/>
      <c r="S158" s="1217"/>
      <c r="T158" s="1217"/>
      <c r="U158" s="1217"/>
      <c r="V158" s="1217"/>
      <c r="W158" s="1217"/>
      <c r="X158" s="1217"/>
      <c r="Y158" s="1217"/>
      <c r="Z158" s="1217"/>
      <c r="AA158" s="1217"/>
      <c r="AB158" s="1217"/>
      <c r="AC158" s="1217"/>
      <c r="AD158" s="1217"/>
      <c r="AE158" s="1217"/>
      <c r="AF158" s="1217"/>
      <c r="AG158" s="1217"/>
      <c r="AH158" s="1217"/>
      <c r="AI158" s="1217"/>
      <c r="AJ158" s="1217"/>
      <c r="AK158" s="1217"/>
      <c r="AL158" s="1217"/>
      <c r="AM158" s="1217"/>
      <c r="AN158" s="1217"/>
      <c r="AO158" s="1217"/>
      <c r="AP158" s="1217"/>
      <c r="AQ158" s="1217"/>
      <c r="AR158" s="1217"/>
      <c r="AS158" s="1217"/>
      <c r="AT158" s="1217"/>
    </row>
    <row r="159" spans="1:46" s="1218" customFormat="1" ht="12.75" customHeight="1">
      <c r="A159" s="1217"/>
      <c r="B159" s="1217"/>
      <c r="C159" s="1217"/>
      <c r="D159" s="1217"/>
      <c r="E159" s="1217"/>
      <c r="F159" s="1217"/>
      <c r="G159" s="1217"/>
      <c r="H159" s="1217"/>
      <c r="I159" s="1217"/>
      <c r="J159" s="1217"/>
      <c r="K159" s="1217"/>
      <c r="L159" s="1217"/>
      <c r="M159" s="1217"/>
      <c r="N159" s="1217"/>
      <c r="O159" s="1217"/>
      <c r="P159" s="1217"/>
      <c r="Q159" s="1217"/>
      <c r="R159" s="1217"/>
      <c r="S159" s="1217"/>
      <c r="T159" s="1217"/>
      <c r="U159" s="1217"/>
      <c r="V159" s="1217"/>
      <c r="W159" s="1217"/>
      <c r="X159" s="1217"/>
      <c r="Y159" s="1217"/>
      <c r="Z159" s="1217"/>
      <c r="AA159" s="1217"/>
      <c r="AB159" s="1217"/>
      <c r="AC159" s="1217"/>
      <c r="AD159" s="1217"/>
      <c r="AE159" s="1217"/>
      <c r="AF159" s="1217"/>
      <c r="AG159" s="1217"/>
      <c r="AH159" s="1217"/>
      <c r="AI159" s="1217"/>
      <c r="AJ159" s="1217"/>
      <c r="AK159" s="1217"/>
      <c r="AL159" s="1217"/>
      <c r="AM159" s="1217"/>
      <c r="AN159" s="1217"/>
      <c r="AO159" s="1217"/>
      <c r="AP159" s="1217"/>
      <c r="AQ159" s="1217"/>
      <c r="AR159" s="1217"/>
      <c r="AS159" s="1217"/>
      <c r="AT159" s="1217"/>
    </row>
    <row r="160" spans="1:46" s="1218" customFormat="1" ht="12.75" customHeight="1">
      <c r="A160" s="1217"/>
      <c r="B160" s="1217"/>
      <c r="C160" s="1217"/>
      <c r="D160" s="1217"/>
      <c r="E160" s="1217"/>
      <c r="F160" s="1217"/>
      <c r="G160" s="1217"/>
      <c r="H160" s="1217"/>
      <c r="I160" s="1217"/>
      <c r="J160" s="1217"/>
      <c r="K160" s="1217"/>
      <c r="L160" s="1217"/>
      <c r="M160" s="1217"/>
      <c r="N160" s="1217"/>
      <c r="O160" s="1217"/>
      <c r="P160" s="1217"/>
      <c r="Q160" s="1217"/>
      <c r="R160" s="1217"/>
      <c r="S160" s="1217"/>
      <c r="T160" s="1217"/>
      <c r="U160" s="1217"/>
      <c r="V160" s="1217"/>
      <c r="W160" s="1217"/>
      <c r="X160" s="1217"/>
      <c r="Y160" s="1217"/>
      <c r="Z160" s="1217"/>
      <c r="AA160" s="1217"/>
      <c r="AB160" s="1217"/>
      <c r="AC160" s="1217"/>
      <c r="AD160" s="1217"/>
      <c r="AE160" s="1217"/>
      <c r="AF160" s="1217"/>
      <c r="AG160" s="1217"/>
      <c r="AH160" s="1217"/>
      <c r="AI160" s="1217"/>
      <c r="AJ160" s="1217"/>
      <c r="AK160" s="1217"/>
      <c r="AL160" s="1217"/>
      <c r="AM160" s="1217"/>
      <c r="AN160" s="1217"/>
      <c r="AO160" s="1217"/>
      <c r="AP160" s="1217"/>
      <c r="AQ160" s="1217"/>
      <c r="AR160" s="1217"/>
      <c r="AS160" s="1217"/>
      <c r="AT160" s="1217"/>
    </row>
    <row r="161" spans="1:46" s="1218" customFormat="1" ht="12.75" customHeight="1">
      <c r="A161" s="1217"/>
      <c r="B161" s="1217"/>
      <c r="C161" s="1217"/>
      <c r="D161" s="1217"/>
      <c r="E161" s="1217"/>
      <c r="F161" s="1217"/>
      <c r="G161" s="1217"/>
      <c r="H161" s="1217"/>
      <c r="I161" s="1217"/>
      <c r="J161" s="1217"/>
      <c r="K161" s="1217"/>
      <c r="L161" s="1217"/>
      <c r="M161" s="1217"/>
      <c r="N161" s="1217"/>
      <c r="O161" s="1217"/>
      <c r="P161" s="1217"/>
      <c r="Q161" s="1217"/>
      <c r="R161" s="1217"/>
      <c r="S161" s="1217"/>
      <c r="T161" s="1217"/>
      <c r="U161" s="1217"/>
      <c r="V161" s="1217"/>
      <c r="W161" s="1217"/>
      <c r="X161" s="1217"/>
      <c r="Y161" s="1217"/>
      <c r="Z161" s="1217"/>
      <c r="AA161" s="1217"/>
      <c r="AB161" s="1217"/>
      <c r="AC161" s="1217"/>
      <c r="AD161" s="1217"/>
      <c r="AE161" s="1217"/>
      <c r="AF161" s="1217"/>
      <c r="AG161" s="1217"/>
      <c r="AH161" s="1217"/>
      <c r="AI161" s="1217"/>
      <c r="AJ161" s="1217"/>
      <c r="AK161" s="1217"/>
      <c r="AL161" s="1217"/>
      <c r="AM161" s="1217"/>
      <c r="AN161" s="1217"/>
      <c r="AO161" s="1217"/>
      <c r="AP161" s="1217"/>
      <c r="AQ161" s="1217"/>
      <c r="AR161" s="1217"/>
      <c r="AS161" s="1217"/>
      <c r="AT161" s="1217"/>
    </row>
    <row r="169" spans="1:46" ht="12.75" customHeight="1">
      <c r="A169" s="1218"/>
      <c r="B169" s="1218"/>
      <c r="C169" s="1218"/>
      <c r="D169" s="1218"/>
      <c r="E169" s="1218"/>
      <c r="F169" s="1218"/>
      <c r="G169" s="1218"/>
      <c r="H169" s="1218"/>
      <c r="I169" s="1218"/>
      <c r="J169" s="1218"/>
      <c r="K169" s="1218"/>
      <c r="L169" s="1218"/>
      <c r="M169" s="1218"/>
      <c r="N169" s="1218"/>
      <c r="O169" s="1218"/>
      <c r="P169" s="1218"/>
      <c r="Q169" s="1218"/>
      <c r="R169" s="1218"/>
      <c r="S169" s="1218"/>
      <c r="T169" s="1218"/>
      <c r="U169" s="1218"/>
      <c r="V169" s="1218"/>
      <c r="W169" s="1218"/>
      <c r="X169" s="1218"/>
      <c r="Y169" s="1218"/>
      <c r="Z169" s="1218"/>
      <c r="AA169" s="1218"/>
      <c r="AB169" s="1218"/>
      <c r="AC169" s="1218"/>
      <c r="AD169" s="1218"/>
      <c r="AE169" s="1218"/>
      <c r="AF169" s="1218"/>
      <c r="AG169" s="1218"/>
      <c r="AH169" s="1218"/>
      <c r="AI169" s="1218"/>
      <c r="AJ169" s="1218"/>
      <c r="AK169" s="1218"/>
      <c r="AL169" s="1218"/>
      <c r="AM169" s="1218"/>
      <c r="AN169" s="1218"/>
      <c r="AO169" s="1218"/>
      <c r="AP169" s="1218"/>
      <c r="AQ169" s="1218"/>
      <c r="AR169" s="1218"/>
      <c r="AS169" s="1218"/>
      <c r="AT169" s="1218"/>
    </row>
    <row r="170" spans="1:46" ht="12.75" customHeight="1">
      <c r="A170" s="1218"/>
      <c r="B170" s="1218"/>
      <c r="C170" s="1218"/>
      <c r="D170" s="1218"/>
      <c r="E170" s="1218"/>
      <c r="F170" s="1218"/>
      <c r="G170" s="1218"/>
      <c r="H170" s="1218"/>
      <c r="I170" s="1218"/>
      <c r="J170" s="1218"/>
      <c r="K170" s="1218"/>
      <c r="L170" s="1218"/>
      <c r="M170" s="1218"/>
      <c r="N170" s="1218"/>
      <c r="O170" s="1218"/>
      <c r="P170" s="1218"/>
      <c r="Q170" s="1218"/>
      <c r="R170" s="1218"/>
      <c r="S170" s="1218"/>
      <c r="T170" s="1218"/>
      <c r="U170" s="1218"/>
      <c r="V170" s="1218"/>
      <c r="W170" s="1218"/>
      <c r="X170" s="1218"/>
      <c r="Y170" s="1218"/>
      <c r="Z170" s="1218"/>
      <c r="AA170" s="1218"/>
      <c r="AB170" s="1218"/>
      <c r="AC170" s="1218"/>
      <c r="AD170" s="1218"/>
      <c r="AE170" s="1218"/>
      <c r="AF170" s="1218"/>
      <c r="AG170" s="1218"/>
      <c r="AH170" s="1218"/>
      <c r="AI170" s="1218"/>
      <c r="AJ170" s="1218"/>
      <c r="AK170" s="1218"/>
      <c r="AL170" s="1218"/>
      <c r="AM170" s="1218"/>
      <c r="AN170" s="1218"/>
      <c r="AO170" s="1218"/>
      <c r="AP170" s="1218"/>
      <c r="AQ170" s="1218"/>
      <c r="AR170" s="1218"/>
      <c r="AS170" s="1218"/>
      <c r="AT170" s="1218"/>
    </row>
    <row r="171" spans="1:46" ht="12.75" customHeight="1">
      <c r="A171" s="1218"/>
      <c r="B171" s="1218"/>
      <c r="C171" s="1218"/>
      <c r="D171" s="1218"/>
      <c r="E171" s="1218"/>
      <c r="F171" s="1218"/>
      <c r="G171" s="1218"/>
      <c r="H171" s="1218"/>
      <c r="I171" s="1218"/>
      <c r="J171" s="1218"/>
      <c r="K171" s="1218"/>
      <c r="L171" s="1218"/>
      <c r="M171" s="1218"/>
      <c r="N171" s="1218"/>
      <c r="O171" s="1218"/>
      <c r="P171" s="1218"/>
      <c r="Q171" s="1218"/>
      <c r="R171" s="1218"/>
      <c r="S171" s="1218"/>
      <c r="T171" s="1218"/>
      <c r="U171" s="1218"/>
      <c r="V171" s="1218"/>
      <c r="W171" s="1218"/>
      <c r="X171" s="1218"/>
      <c r="Y171" s="1218"/>
      <c r="Z171" s="1218"/>
      <c r="AA171" s="1218"/>
      <c r="AB171" s="1218"/>
      <c r="AC171" s="1218"/>
      <c r="AD171" s="1218"/>
      <c r="AE171" s="1218"/>
      <c r="AF171" s="1218"/>
      <c r="AG171" s="1218"/>
      <c r="AH171" s="1218"/>
      <c r="AI171" s="1218"/>
      <c r="AJ171" s="1218"/>
      <c r="AK171" s="1218"/>
      <c r="AL171" s="1218"/>
      <c r="AM171" s="1218"/>
      <c r="AN171" s="1218"/>
      <c r="AO171" s="1218"/>
      <c r="AP171" s="1218"/>
      <c r="AQ171" s="1218"/>
      <c r="AR171" s="1218"/>
      <c r="AS171" s="1218"/>
      <c r="AT171" s="1218"/>
    </row>
    <row r="172" spans="1:46" ht="12.75" customHeight="1">
      <c r="A172" s="1218"/>
      <c r="B172" s="1218"/>
      <c r="C172" s="1218"/>
      <c r="D172" s="1218"/>
      <c r="E172" s="1218"/>
      <c r="F172" s="1218"/>
      <c r="G172" s="1218"/>
      <c r="H172" s="1218"/>
      <c r="I172" s="1218"/>
      <c r="J172" s="1218"/>
      <c r="K172" s="1218"/>
      <c r="L172" s="1218"/>
      <c r="M172" s="1218"/>
      <c r="N172" s="1218"/>
      <c r="O172" s="1218"/>
      <c r="P172" s="1218"/>
      <c r="Q172" s="1218"/>
      <c r="R172" s="1218"/>
      <c r="S172" s="1218"/>
      <c r="T172" s="1218"/>
      <c r="U172" s="1218"/>
      <c r="V172" s="1218"/>
      <c r="W172" s="1218"/>
      <c r="X172" s="1218"/>
      <c r="Y172" s="1218"/>
      <c r="Z172" s="1218"/>
      <c r="AA172" s="1218"/>
      <c r="AB172" s="1218"/>
      <c r="AC172" s="1218"/>
      <c r="AD172" s="1218"/>
      <c r="AE172" s="1218"/>
      <c r="AF172" s="1218"/>
      <c r="AG172" s="1218"/>
      <c r="AH172" s="1218"/>
      <c r="AI172" s="1218"/>
      <c r="AJ172" s="1218"/>
      <c r="AK172" s="1218"/>
      <c r="AL172" s="1218"/>
      <c r="AM172" s="1218"/>
      <c r="AN172" s="1218"/>
      <c r="AO172" s="1218"/>
      <c r="AP172" s="1218"/>
      <c r="AQ172" s="1218"/>
      <c r="AR172" s="1218"/>
      <c r="AS172" s="1218"/>
      <c r="AT172" s="1218"/>
    </row>
    <row r="173" spans="1:46" ht="12.75" customHeight="1">
      <c r="A173" s="1218"/>
      <c r="B173" s="1218"/>
      <c r="C173" s="1218"/>
      <c r="D173" s="1218"/>
      <c r="E173" s="1218"/>
      <c r="F173" s="1218"/>
      <c r="G173" s="1218"/>
      <c r="H173" s="1218"/>
      <c r="I173" s="1218"/>
      <c r="J173" s="1218"/>
      <c r="K173" s="1218"/>
      <c r="L173" s="1218"/>
      <c r="M173" s="1218"/>
      <c r="N173" s="1218"/>
      <c r="O173" s="1218"/>
      <c r="P173" s="1218"/>
      <c r="Q173" s="1218"/>
      <c r="R173" s="1218"/>
      <c r="S173" s="1218"/>
      <c r="T173" s="1218"/>
      <c r="U173" s="1218"/>
      <c r="V173" s="1218"/>
      <c r="W173" s="1218"/>
      <c r="X173" s="1218"/>
      <c r="Y173" s="1218"/>
      <c r="Z173" s="1218"/>
      <c r="AA173" s="1218"/>
      <c r="AB173" s="1218"/>
      <c r="AC173" s="1218"/>
      <c r="AD173" s="1218"/>
      <c r="AE173" s="1218"/>
      <c r="AF173" s="1218"/>
      <c r="AG173" s="1218"/>
      <c r="AH173" s="1218"/>
      <c r="AI173" s="1218"/>
      <c r="AJ173" s="1218"/>
      <c r="AK173" s="1218"/>
      <c r="AL173" s="1218"/>
      <c r="AM173" s="1218"/>
      <c r="AN173" s="1218"/>
      <c r="AO173" s="1218"/>
      <c r="AP173" s="1218"/>
      <c r="AQ173" s="1218"/>
      <c r="AR173" s="1218"/>
      <c r="AS173" s="1218"/>
      <c r="AT173" s="1218"/>
    </row>
    <row r="174" spans="1:46" ht="12.75" customHeight="1">
      <c r="A174" s="1218"/>
      <c r="B174" s="1218"/>
      <c r="C174" s="1218"/>
      <c r="D174" s="1218"/>
      <c r="E174" s="1218"/>
      <c r="F174" s="1218"/>
      <c r="G174" s="1218"/>
      <c r="H174" s="1218"/>
      <c r="I174" s="1218"/>
      <c r="J174" s="1218"/>
      <c r="K174" s="1218"/>
      <c r="L174" s="1218"/>
      <c r="M174" s="1218"/>
      <c r="N174" s="1218"/>
      <c r="O174" s="1218"/>
      <c r="P174" s="1218"/>
      <c r="Q174" s="1218"/>
      <c r="R174" s="1218"/>
      <c r="S174" s="1218"/>
      <c r="T174" s="1218"/>
      <c r="U174" s="1218"/>
      <c r="V174" s="1218"/>
      <c r="W174" s="1218"/>
      <c r="X174" s="1218"/>
      <c r="Y174" s="1218"/>
      <c r="Z174" s="1218"/>
      <c r="AA174" s="1218"/>
      <c r="AB174" s="1218"/>
      <c r="AC174" s="1218"/>
      <c r="AD174" s="1218"/>
      <c r="AE174" s="1218"/>
      <c r="AF174" s="1218"/>
      <c r="AG174" s="1218"/>
      <c r="AH174" s="1218"/>
      <c r="AI174" s="1218"/>
      <c r="AJ174" s="1218"/>
      <c r="AK174" s="1218"/>
      <c r="AL174" s="1218"/>
      <c r="AM174" s="1218"/>
      <c r="AN174" s="1218"/>
      <c r="AO174" s="1218"/>
      <c r="AP174" s="1218"/>
      <c r="AQ174" s="1218"/>
      <c r="AR174" s="1218"/>
      <c r="AS174" s="1218"/>
      <c r="AT174" s="1218"/>
    </row>
    <row r="175" spans="1:46" ht="12.75" customHeight="1">
      <c r="A175" s="1218"/>
      <c r="B175" s="1218"/>
      <c r="C175" s="1218"/>
      <c r="D175" s="1218"/>
      <c r="E175" s="1218"/>
      <c r="F175" s="1218"/>
      <c r="G175" s="1218"/>
      <c r="H175" s="1218"/>
      <c r="I175" s="1218"/>
      <c r="J175" s="1218"/>
      <c r="K175" s="1218"/>
      <c r="L175" s="1218"/>
      <c r="M175" s="1218"/>
      <c r="N175" s="1218"/>
      <c r="O175" s="1218"/>
      <c r="P175" s="1218"/>
      <c r="Q175" s="1218"/>
      <c r="R175" s="1218"/>
      <c r="S175" s="1218"/>
      <c r="T175" s="1218"/>
      <c r="U175" s="1218"/>
      <c r="V175" s="1218"/>
      <c r="W175" s="1218"/>
      <c r="X175" s="1218"/>
      <c r="Y175" s="1218"/>
      <c r="Z175" s="1218"/>
      <c r="AA175" s="1218"/>
      <c r="AB175" s="1218"/>
      <c r="AC175" s="1218"/>
      <c r="AD175" s="1218"/>
      <c r="AE175" s="1218"/>
      <c r="AF175" s="1218"/>
      <c r="AG175" s="1218"/>
      <c r="AH175" s="1218"/>
      <c r="AI175" s="1218"/>
      <c r="AJ175" s="1218"/>
      <c r="AK175" s="1218"/>
      <c r="AL175" s="1218"/>
      <c r="AM175" s="1218"/>
      <c r="AN175" s="1218"/>
      <c r="AO175" s="1218"/>
      <c r="AP175" s="1218"/>
      <c r="AQ175" s="1218"/>
      <c r="AR175" s="1218"/>
      <c r="AS175" s="1218"/>
      <c r="AT175" s="1218"/>
    </row>
    <row r="176" spans="1:46" ht="12.75" customHeight="1">
      <c r="A176" s="1218"/>
      <c r="B176" s="1218"/>
      <c r="C176" s="1218"/>
      <c r="D176" s="1218"/>
      <c r="E176" s="1218"/>
      <c r="F176" s="1218"/>
      <c r="G176" s="1218"/>
      <c r="H176" s="1218"/>
      <c r="I176" s="1218"/>
      <c r="J176" s="1218"/>
      <c r="K176" s="1218"/>
      <c r="L176" s="1218"/>
      <c r="M176" s="1218"/>
      <c r="N176" s="1218"/>
      <c r="O176" s="1218"/>
      <c r="P176" s="1218"/>
      <c r="Q176" s="1218"/>
      <c r="R176" s="1218"/>
      <c r="S176" s="1218"/>
      <c r="T176" s="1218"/>
      <c r="U176" s="1218"/>
      <c r="V176" s="1218"/>
      <c r="W176" s="1218"/>
      <c r="X176" s="1218"/>
      <c r="Y176" s="1218"/>
      <c r="Z176" s="1218"/>
      <c r="AA176" s="1218"/>
      <c r="AB176" s="1218"/>
      <c r="AC176" s="1218"/>
      <c r="AD176" s="1218"/>
      <c r="AE176" s="1218"/>
      <c r="AF176" s="1218"/>
      <c r="AG176" s="1218"/>
      <c r="AH176" s="1218"/>
      <c r="AI176" s="1218"/>
      <c r="AJ176" s="1218"/>
      <c r="AK176" s="1218"/>
      <c r="AL176" s="1218"/>
      <c r="AM176" s="1218"/>
      <c r="AN176" s="1218"/>
      <c r="AO176" s="1218"/>
      <c r="AP176" s="1218"/>
      <c r="AQ176" s="1218"/>
      <c r="AR176" s="1218"/>
      <c r="AS176" s="1218"/>
      <c r="AT176" s="1218"/>
    </row>
    <row r="177" s="1218" customFormat="1" ht="12.75" customHeight="1"/>
    <row r="178" s="1218" customFormat="1" ht="12.75" customHeight="1"/>
    <row r="179" s="1218" customFormat="1" ht="12.75" customHeight="1"/>
    <row r="180" s="1218" customFormat="1" ht="12.75" customHeight="1"/>
    <row r="181" s="1218" customFormat="1" ht="12.75" customHeight="1"/>
    <row r="182" s="1218" customFormat="1" ht="12.75" customHeight="1"/>
    <row r="183" s="1218" customFormat="1" ht="12.75" customHeight="1"/>
    <row r="184" s="1218" customFormat="1" ht="12.75" customHeight="1"/>
    <row r="185" s="1218" customFormat="1" ht="12.75" customHeight="1"/>
    <row r="186" s="1218" customFormat="1" ht="12.75" customHeight="1"/>
    <row r="187" s="1218" customFormat="1" ht="12.75" customHeight="1"/>
    <row r="188" s="1218" customFormat="1" ht="12.75" customHeight="1"/>
    <row r="189" s="1218" customFormat="1" ht="12.75" customHeight="1"/>
    <row r="190" s="1218" customFormat="1" ht="12.75" customHeight="1"/>
    <row r="191" s="1218" customFormat="1" ht="12.75" customHeight="1"/>
    <row r="192" s="1218" customFormat="1" ht="12.75" customHeight="1"/>
    <row r="193" s="1218" customFormat="1" ht="12.75" customHeight="1"/>
    <row r="194" s="1218" customFormat="1" ht="12.75" customHeight="1"/>
    <row r="195" s="1218" customFormat="1" ht="12.75" customHeight="1"/>
    <row r="196" s="1218" customFormat="1" ht="12.75" customHeight="1"/>
    <row r="197" s="1218" customFormat="1" ht="12.75" customHeight="1"/>
    <row r="198" s="1218" customFormat="1" ht="12.75" customHeight="1"/>
    <row r="199" s="1218" customFormat="1" ht="12.75" customHeight="1"/>
    <row r="200" s="1218" customFormat="1" ht="12.75" customHeight="1"/>
    <row r="201" s="1218" customFormat="1" ht="12.75" customHeight="1"/>
    <row r="202" s="1218" customFormat="1" ht="12.75" customHeight="1"/>
    <row r="203" s="1218" customFormat="1" ht="12.75" customHeight="1"/>
    <row r="204" s="1218" customFormat="1" ht="12.75" customHeight="1"/>
    <row r="205" s="1218" customFormat="1" ht="12.75" customHeight="1"/>
    <row r="206" s="1218" customFormat="1" ht="12.75" customHeight="1"/>
    <row r="207" s="1218" customFormat="1" ht="12.75" customHeight="1"/>
    <row r="208" s="1218" customFormat="1" ht="12.75" customHeight="1"/>
    <row r="209" s="1218" customFormat="1" ht="12.75" customHeight="1"/>
    <row r="210" s="1218" customFormat="1" ht="12.75" customHeight="1"/>
    <row r="211" s="1218" customFormat="1" ht="12.75" customHeight="1"/>
    <row r="212" s="1218" customFormat="1" ht="12.75" customHeight="1"/>
    <row r="213" s="1218" customFormat="1" ht="12.75" customHeight="1"/>
    <row r="214" s="1218" customFormat="1" ht="12.75" customHeight="1"/>
    <row r="215" s="1218" customFormat="1" ht="12.75" customHeight="1"/>
    <row r="216" s="1218" customFormat="1" ht="12.75" customHeight="1"/>
    <row r="217" s="1218" customFormat="1" ht="12.75" customHeight="1"/>
    <row r="218" s="1218" customFormat="1" ht="12.75" customHeight="1"/>
    <row r="219" s="1218" customFormat="1" ht="12.75" customHeight="1"/>
    <row r="220" s="1218" customFormat="1" ht="12.75" customHeight="1"/>
    <row r="221" s="1218" customFormat="1" ht="12.75" customHeight="1"/>
    <row r="222" s="1218" customFormat="1" ht="12.75" customHeight="1"/>
    <row r="223" s="1218" customFormat="1" ht="12.75" customHeight="1"/>
    <row r="224" s="1218" customFormat="1" ht="12.75" customHeight="1"/>
    <row r="225" s="1218" customFormat="1" ht="12.75" customHeight="1"/>
    <row r="226" s="1218" customFormat="1" ht="12.75" customHeight="1"/>
    <row r="227" s="1218" customFormat="1" ht="12.75" customHeight="1"/>
    <row r="228" s="1218" customFormat="1" ht="12.75" customHeight="1"/>
    <row r="229" s="1218" customFormat="1" ht="12.75" customHeight="1"/>
    <row r="230" s="1218" customFormat="1" ht="12.75" customHeight="1"/>
    <row r="231" s="1218" customFormat="1" ht="12.75" customHeight="1"/>
    <row r="232" s="1218" customFormat="1" ht="12.75" customHeight="1"/>
    <row r="233" s="1218" customFormat="1" ht="12.75" customHeight="1"/>
    <row r="234" s="1218" customFormat="1" ht="12.75" customHeight="1"/>
    <row r="235" s="1218" customFormat="1" ht="12.75" customHeight="1"/>
    <row r="236" s="1218" customFormat="1" ht="12.75" customHeight="1"/>
    <row r="237" s="1218" customFormat="1" ht="12.75" customHeight="1"/>
    <row r="238" s="1218" customFormat="1" ht="12.75" customHeight="1"/>
    <row r="239" s="1218" customFormat="1" ht="12.75" customHeight="1"/>
    <row r="240" s="1218" customFormat="1" ht="12.75" customHeight="1"/>
    <row r="241" s="1218" customFormat="1" ht="12.75" customHeight="1"/>
    <row r="242" s="1218" customFormat="1" ht="12.75" customHeight="1"/>
    <row r="243" s="1218" customFormat="1" ht="12.75" customHeight="1"/>
    <row r="244" s="1218" customFormat="1" ht="12.75" customHeight="1"/>
    <row r="245" s="1218" customFormat="1" ht="12.75" customHeight="1"/>
    <row r="246" s="1218" customFormat="1" ht="12.75" customHeight="1"/>
    <row r="247" s="1218" customFormat="1" ht="12.75" customHeight="1"/>
    <row r="248" s="1218" customFormat="1" ht="12.75" customHeight="1"/>
    <row r="249" s="1218" customFormat="1" ht="12.75" customHeight="1"/>
    <row r="250" s="1218" customFormat="1" ht="12.75" customHeight="1"/>
    <row r="251" s="1218" customFormat="1" ht="12.75" customHeight="1"/>
    <row r="252" s="1218" customFormat="1" ht="12.75" customHeight="1"/>
    <row r="253" s="1218" customFormat="1" ht="12.75" customHeight="1"/>
    <row r="254" s="1218" customFormat="1" ht="12.75" customHeight="1"/>
    <row r="255" s="1218" customFormat="1" ht="12.75" customHeight="1"/>
    <row r="256" s="1218" customFormat="1" ht="12.75" customHeight="1"/>
    <row r="257" s="1218" customFormat="1" ht="12.75" customHeight="1"/>
    <row r="258" s="1218" customFormat="1" ht="12.75" customHeight="1"/>
    <row r="259" s="1218" customFormat="1" ht="12.75" customHeight="1"/>
    <row r="260" s="1218" customFormat="1" ht="12.75" customHeight="1"/>
    <row r="261" s="1218" customFormat="1" ht="12.75" customHeight="1"/>
    <row r="262" s="1218" customFormat="1" ht="12.75" customHeight="1"/>
    <row r="263" s="1218" customFormat="1" ht="12.75" customHeight="1"/>
    <row r="264" s="1218" customFormat="1" ht="12.75" customHeight="1"/>
    <row r="265" s="1218" customFormat="1" ht="12.75" customHeight="1"/>
    <row r="266" s="1218" customFormat="1" ht="12.75" customHeight="1"/>
    <row r="267" s="1218" customFormat="1" ht="12.75" customHeight="1"/>
    <row r="268" s="1218" customFormat="1" ht="12.75" customHeight="1"/>
    <row r="269" s="1218" customFormat="1" ht="12.75" customHeight="1"/>
    <row r="270" s="1218" customFormat="1" ht="12.75" customHeight="1"/>
    <row r="271" s="1218" customFormat="1" ht="12.75" customHeight="1"/>
    <row r="272" s="1218" customFormat="1" ht="12.75" customHeight="1"/>
    <row r="273" s="1218" customFormat="1" ht="12.75" customHeight="1"/>
    <row r="274" s="1218" customFormat="1" ht="12.75" customHeight="1"/>
    <row r="275" s="1218" customFormat="1" ht="12.75" customHeight="1"/>
    <row r="276" s="1218" customFormat="1" ht="12.75" customHeight="1"/>
    <row r="277" s="1218" customFormat="1" ht="12.75" customHeight="1"/>
    <row r="278" s="1218" customFormat="1" ht="12.75" customHeight="1"/>
    <row r="279" s="1218" customFormat="1" ht="12.75" customHeight="1"/>
    <row r="280" s="1218" customFormat="1" ht="12.75" customHeight="1"/>
    <row r="281" s="1218" customFormat="1" ht="12.75" customHeight="1"/>
    <row r="282" s="1218" customFormat="1" ht="12.75" customHeight="1"/>
    <row r="283" s="1218" customFormat="1" ht="12.75" customHeight="1"/>
    <row r="284" s="1218" customFormat="1" ht="12.75" customHeight="1"/>
    <row r="285" s="1218" customFormat="1" ht="12.75" customHeight="1"/>
    <row r="286" s="1218" customFormat="1" ht="12.75" customHeight="1"/>
    <row r="287" s="1218" customFormat="1" ht="12.75" customHeight="1"/>
    <row r="288" s="1218" customFormat="1" ht="12.75" customHeight="1"/>
    <row r="289" s="1218" customFormat="1" ht="12.75" customHeight="1"/>
    <row r="290" s="1218" customFormat="1" ht="12.75" customHeight="1"/>
    <row r="291" s="1218" customFormat="1" ht="12.75" customHeight="1"/>
    <row r="292" s="1218" customFormat="1" ht="12.75" customHeight="1"/>
    <row r="293" s="1218" customFormat="1" ht="12.75" customHeight="1"/>
    <row r="294" s="1218" customFormat="1" ht="12.75" customHeight="1"/>
    <row r="295" s="1218" customFormat="1" ht="12.75" customHeight="1"/>
    <row r="296" s="1218" customFormat="1" ht="12.75" customHeight="1"/>
    <row r="297" s="1218" customFormat="1" ht="12.75" customHeight="1"/>
    <row r="298" s="1218" customFormat="1" ht="12.75" customHeight="1"/>
    <row r="299" s="1218" customFormat="1" ht="12.75" customHeight="1"/>
    <row r="300" s="1218" customFormat="1" ht="12.75" customHeight="1"/>
    <row r="301" s="1218" customFormat="1" ht="12.75" customHeight="1"/>
    <row r="302" s="1218" customFormat="1" ht="12.75" customHeight="1"/>
    <row r="303" s="1218" customFormat="1" ht="12.75" customHeight="1"/>
    <row r="304" s="1218" customFormat="1" ht="12.75" customHeight="1"/>
    <row r="305" s="1218" customFormat="1" ht="12.75" customHeight="1"/>
    <row r="306" s="1218" customFormat="1" ht="12.75" customHeight="1"/>
    <row r="307" s="1218" customFormat="1" ht="12.75" customHeight="1"/>
    <row r="308" s="1218" customFormat="1" ht="12.75" customHeight="1"/>
    <row r="309" s="1218" customFormat="1" ht="12.75" customHeight="1"/>
    <row r="310" s="1218" customFormat="1" ht="12.75" customHeight="1"/>
    <row r="311" s="1218" customFormat="1" ht="12.75" customHeight="1"/>
    <row r="312" s="1218" customFormat="1" ht="12.75" customHeight="1"/>
    <row r="313" s="1218" customFormat="1" ht="12.75" customHeight="1"/>
    <row r="314" s="1218" customFormat="1" ht="12.75" customHeight="1"/>
    <row r="315" s="1218" customFormat="1" ht="12.75" customHeight="1"/>
    <row r="316" s="1218" customFormat="1" ht="12.75" customHeight="1"/>
    <row r="317" s="1218" customFormat="1" ht="12.75" customHeight="1"/>
    <row r="318" s="1218" customFormat="1" ht="12.75" customHeight="1"/>
    <row r="319" s="1218" customFormat="1" ht="12.75" customHeight="1"/>
    <row r="320" s="1218" customFormat="1" ht="12.75" customHeight="1"/>
    <row r="321" s="1218" customFormat="1" ht="12.75" customHeight="1"/>
    <row r="322" s="1218" customFormat="1" ht="12.75" customHeight="1"/>
    <row r="323" s="1218" customFormat="1" ht="12.75" customHeight="1"/>
    <row r="324" s="1218" customFormat="1" ht="12.75" customHeight="1"/>
    <row r="325" s="1218" customFormat="1" ht="12.75" customHeight="1"/>
    <row r="326" s="1218" customFormat="1" ht="12.75" customHeight="1"/>
    <row r="327" s="1218" customFormat="1" ht="12.75" customHeight="1"/>
    <row r="328" s="1218" customFormat="1" ht="12.75" customHeight="1"/>
    <row r="329" s="1218" customFormat="1" ht="12.75" customHeight="1"/>
    <row r="330" s="1218" customFormat="1" ht="12.75" customHeight="1"/>
    <row r="331" s="1218" customFormat="1" ht="12.75" customHeight="1"/>
    <row r="332" s="1218" customFormat="1" ht="12.75" customHeight="1"/>
    <row r="333" s="1218" customFormat="1" ht="12.75" customHeight="1"/>
    <row r="334" s="1218" customFormat="1" ht="12.75" customHeight="1"/>
    <row r="335" s="1218" customFormat="1" ht="12.75" customHeight="1"/>
    <row r="336" s="1218" customFormat="1" ht="12.75" customHeight="1"/>
    <row r="337" s="1218" customFormat="1" ht="12.75" customHeight="1"/>
    <row r="338" s="1218" customFormat="1" ht="12.75" customHeight="1"/>
    <row r="339" s="1218" customFormat="1" ht="12.75" customHeight="1"/>
    <row r="340" s="1218" customFormat="1" ht="12.75" customHeight="1"/>
    <row r="341" s="1218" customFormat="1" ht="12.75" customHeight="1"/>
    <row r="342" s="1218" customFormat="1" ht="12.75" customHeight="1"/>
    <row r="343" s="1218" customFormat="1" ht="12.75" customHeight="1"/>
    <row r="344" s="1218" customFormat="1" ht="12.75" customHeight="1"/>
    <row r="345" s="1218" customFormat="1" ht="12.75" customHeight="1"/>
    <row r="346" s="1218" customFormat="1" ht="12.75" customHeight="1"/>
    <row r="347" s="1218" customFormat="1" ht="12.75" customHeight="1"/>
    <row r="348" s="1218" customFormat="1" ht="12.75" customHeight="1"/>
    <row r="349" s="1218" customFormat="1" ht="12.75" customHeight="1"/>
    <row r="350" s="1218" customFormat="1" ht="12.75" customHeight="1"/>
    <row r="351" s="1218" customFormat="1" ht="12.75" customHeight="1"/>
    <row r="352" s="1218" customFormat="1" ht="12.75" customHeight="1"/>
    <row r="353" s="1218" customFormat="1" ht="12.75" customHeight="1"/>
    <row r="354" s="1218" customFormat="1" ht="12.75" customHeight="1"/>
    <row r="355" s="1218" customFormat="1" ht="12.75" customHeight="1"/>
    <row r="356" s="1218" customFormat="1" ht="12.75" customHeight="1"/>
    <row r="357" s="1218" customFormat="1" ht="12.75" customHeight="1"/>
    <row r="358" s="1218" customFormat="1" ht="12.75" customHeight="1"/>
    <row r="359" s="1218" customFormat="1" ht="12.75" customHeight="1"/>
    <row r="360" s="1218" customFormat="1" ht="12.75" customHeight="1"/>
    <row r="361" s="1218" customFormat="1" ht="12.75" customHeight="1"/>
    <row r="362" s="1218" customFormat="1" ht="12.75" customHeight="1"/>
    <row r="363" s="1218" customFormat="1" ht="12.75" customHeight="1"/>
    <row r="364" s="1218" customFormat="1" ht="12.75" customHeight="1"/>
    <row r="365" s="1218" customFormat="1" ht="12.75" customHeight="1"/>
    <row r="366" s="1218" customFormat="1" ht="12.75" customHeight="1"/>
    <row r="367" s="1218" customFormat="1" ht="12.75" customHeight="1"/>
    <row r="368" s="1218" customFormat="1" ht="12.75" customHeight="1"/>
    <row r="369" s="1218" customFormat="1" ht="12.75" customHeight="1"/>
    <row r="370" s="1218" customFormat="1" ht="12.75" customHeight="1"/>
    <row r="371" s="1218" customFormat="1" ht="12.75" customHeight="1"/>
    <row r="372" s="1218" customFormat="1" ht="12.75" customHeight="1"/>
    <row r="373" s="1218" customFormat="1" ht="12.75" customHeight="1"/>
    <row r="374" s="1218" customFormat="1" ht="12.75" customHeight="1"/>
    <row r="375" s="1218" customFormat="1" ht="12.75" customHeight="1"/>
    <row r="376" s="1218" customFormat="1" ht="12.75" customHeight="1"/>
    <row r="377" s="1218" customFormat="1" ht="12.75" customHeight="1"/>
    <row r="378" s="1218" customFormat="1" ht="12.75" customHeight="1"/>
    <row r="379" s="1218" customFormat="1" ht="12.75" customHeight="1"/>
    <row r="380" s="1218" customFormat="1" ht="12.75" customHeight="1"/>
    <row r="381" s="1218" customFormat="1" ht="12.75" customHeight="1"/>
    <row r="382" s="1218" customFormat="1" ht="12.75" customHeight="1"/>
    <row r="383" s="1218" customFormat="1" ht="12.75" customHeight="1"/>
    <row r="384" s="1218" customFormat="1" ht="12.75" customHeight="1"/>
    <row r="385" s="1218" customFormat="1" ht="12.75" customHeight="1"/>
    <row r="386" s="1218" customFormat="1" ht="12.75" customHeight="1"/>
    <row r="387" s="1218" customFormat="1" ht="12.75" customHeight="1"/>
    <row r="388" s="1218" customFormat="1" ht="12.75" customHeight="1"/>
    <row r="389" s="1218" customFormat="1" ht="12.75" customHeight="1"/>
    <row r="390" s="1218" customFormat="1" ht="12.75" customHeight="1"/>
    <row r="391" s="1218" customFormat="1" ht="12.75" customHeight="1"/>
    <row r="392" s="1218" customFormat="1" ht="12.75" customHeight="1"/>
    <row r="393" s="1218" customFormat="1" ht="12.75" customHeight="1"/>
    <row r="394" s="1218" customFormat="1" ht="12.75" customHeight="1"/>
    <row r="395" s="1218" customFormat="1" ht="12.75" customHeight="1"/>
    <row r="396" s="1218" customFormat="1" ht="12.75" customHeight="1"/>
    <row r="397" s="1218" customFormat="1" ht="12.75" customHeight="1"/>
    <row r="398" s="1218" customFormat="1" ht="12.75" customHeight="1"/>
    <row r="399" s="1218" customFormat="1" ht="12.75" customHeight="1"/>
    <row r="400" s="1218" customFormat="1" ht="12.75" customHeight="1"/>
    <row r="401" s="1218" customFormat="1" ht="12.75" customHeight="1"/>
    <row r="402" s="1218" customFormat="1" ht="12.75" customHeight="1"/>
    <row r="403" s="1218" customFormat="1" ht="12.75" customHeight="1"/>
    <row r="404" s="1218" customFormat="1" ht="12.75" customHeight="1"/>
    <row r="405" s="1218" customFormat="1" ht="12.75" customHeight="1"/>
    <row r="406" s="1218" customFormat="1" ht="12.75" customHeight="1"/>
    <row r="407" s="1218" customFormat="1" ht="12.75" customHeight="1"/>
    <row r="408" s="1218" customFormat="1" ht="12.75" customHeight="1"/>
    <row r="409" s="1218" customFormat="1" ht="12.75" customHeight="1"/>
    <row r="410" s="1218" customFormat="1" ht="12.75" customHeight="1"/>
    <row r="411" s="1218" customFormat="1" ht="12.75" customHeight="1"/>
    <row r="412" s="1218" customFormat="1" ht="12.75" customHeight="1"/>
    <row r="413" s="1218" customFormat="1" ht="12.75" customHeight="1"/>
    <row r="414" s="1218" customFormat="1" ht="12.75" customHeight="1"/>
    <row r="415" s="1218" customFormat="1" ht="12.75" customHeight="1"/>
    <row r="416" s="1218" customFormat="1" ht="12.75" customHeight="1"/>
    <row r="417" s="1218" customFormat="1" ht="12.75" customHeight="1"/>
    <row r="418" s="1218" customFormat="1" ht="12.75" customHeight="1"/>
    <row r="419" s="1218" customFormat="1" ht="12.75" customHeight="1"/>
    <row r="420" s="1218" customFormat="1" ht="12.75" customHeight="1"/>
    <row r="421" s="1218" customFormat="1" ht="12.75" customHeight="1"/>
    <row r="422" s="1218" customFormat="1" ht="12.75" customHeight="1"/>
    <row r="423" s="1218" customFormat="1" ht="12.75" customHeight="1"/>
    <row r="424" s="1218" customFormat="1" ht="12.75" customHeight="1"/>
    <row r="425" s="1218" customFormat="1" ht="12.75" customHeight="1"/>
    <row r="426" s="1218" customFormat="1" ht="12.75" customHeight="1"/>
    <row r="427" s="1218" customFormat="1" ht="12.75" customHeight="1"/>
    <row r="428" s="1218" customFormat="1" ht="12.75" customHeight="1"/>
    <row r="429" s="1218" customFormat="1" ht="12.75" customHeight="1"/>
    <row r="430" s="1218" customFormat="1" ht="12.75" customHeight="1"/>
    <row r="431" s="1218" customFormat="1" ht="12.75" customHeight="1"/>
    <row r="432" s="1218" customFormat="1" ht="12.75" customHeight="1"/>
    <row r="433" s="1218" customFormat="1" ht="12.75" customHeight="1"/>
    <row r="434" s="1218" customFormat="1" ht="12.75" customHeight="1"/>
    <row r="435" s="1218" customFormat="1" ht="12.75" customHeight="1"/>
    <row r="436" s="1218" customFormat="1" ht="12.75" customHeight="1"/>
    <row r="437" s="1218" customFormat="1" ht="12.75" customHeight="1"/>
    <row r="438" s="1218" customFormat="1" ht="12.75" customHeight="1"/>
    <row r="439" s="1218" customFormat="1" ht="12.75" customHeight="1"/>
    <row r="440" s="1218" customFormat="1" ht="12.75" customHeight="1"/>
    <row r="441" s="1218" customFormat="1" ht="12.75" customHeight="1"/>
    <row r="442" s="1218" customFormat="1" ht="12.75" customHeight="1"/>
    <row r="443" s="1218" customFormat="1" ht="12.75" customHeight="1"/>
    <row r="444" s="1218" customFormat="1" ht="12.75" customHeight="1"/>
    <row r="445" s="1218" customFormat="1" ht="12.75" customHeight="1"/>
    <row r="446" s="1218" customFormat="1" ht="12.75" customHeight="1"/>
    <row r="447" s="1218" customFormat="1" ht="12.75" customHeight="1"/>
    <row r="448" s="1218" customFormat="1" ht="12.75" customHeight="1"/>
    <row r="449" s="1218" customFormat="1" ht="12.75" customHeight="1"/>
    <row r="450" s="1218" customFormat="1" ht="12.75" customHeight="1"/>
    <row r="451" s="1218" customFormat="1" ht="12.75" customHeight="1"/>
    <row r="452" s="1218" customFormat="1" ht="12.75" customHeight="1"/>
    <row r="453" s="1218" customFormat="1" ht="12.75" customHeight="1"/>
    <row r="454" s="1218" customFormat="1" ht="12.75" customHeight="1"/>
    <row r="455" s="1218" customFormat="1" ht="12.75" customHeight="1"/>
    <row r="456" s="1218" customFormat="1" ht="12.75" customHeight="1"/>
    <row r="457" s="1218" customFormat="1" ht="12.75" customHeight="1"/>
    <row r="458" s="1218" customFormat="1" ht="12.75" customHeight="1"/>
    <row r="459" s="1218" customFormat="1" ht="12.75" customHeight="1"/>
    <row r="460" s="1218" customFormat="1" ht="12.75" customHeight="1"/>
    <row r="461" s="1218" customFormat="1" ht="12.75" customHeight="1"/>
    <row r="462" s="1218" customFormat="1" ht="12.75" customHeight="1"/>
    <row r="463" s="1218" customFormat="1" ht="12.75" customHeight="1"/>
    <row r="464" s="1218" customFormat="1" ht="12.75" customHeight="1"/>
    <row r="465" s="1218" customFormat="1" ht="12.75" customHeight="1"/>
    <row r="466" s="1218" customFormat="1" ht="12.75" customHeight="1"/>
    <row r="467" s="1218" customFormat="1" ht="12.75" customHeight="1"/>
    <row r="468" s="1218" customFormat="1" ht="12.75" customHeight="1"/>
    <row r="469" s="1218" customFormat="1" ht="12.75" customHeight="1"/>
    <row r="470" s="1218" customFormat="1" ht="12.75" customHeight="1"/>
    <row r="471" s="1218" customFormat="1" ht="12.75" customHeight="1"/>
    <row r="472" s="1218" customFormat="1" ht="12.75" customHeight="1"/>
    <row r="473" s="1218" customFormat="1" ht="12.75" customHeight="1"/>
    <row r="474" s="1218" customFormat="1" ht="12.75" customHeight="1"/>
    <row r="475" s="1218" customFormat="1" ht="12.75" customHeight="1"/>
    <row r="476" s="1218" customFormat="1" ht="12.75" customHeight="1"/>
    <row r="477" s="1218" customFormat="1" ht="12.75" customHeight="1"/>
    <row r="478" s="1218" customFormat="1" ht="12.75" customHeight="1"/>
    <row r="479" s="1218" customFormat="1" ht="12.75" customHeight="1"/>
    <row r="480" s="1218" customFormat="1" ht="12.75" customHeight="1"/>
    <row r="481" s="1218" customFormat="1" ht="12.75" customHeight="1"/>
    <row r="482" s="1218" customFormat="1" ht="12.75" customHeight="1"/>
    <row r="483" s="1218" customFormat="1" ht="12.75" customHeight="1"/>
    <row r="484" s="1218" customFormat="1" ht="12.75" customHeight="1"/>
    <row r="485" s="1218" customFormat="1" ht="12.75" customHeight="1"/>
    <row r="486" s="1218" customFormat="1" ht="12.75" customHeight="1"/>
    <row r="487" s="1218" customFormat="1" ht="12.75" customHeight="1"/>
    <row r="488" s="1218" customFormat="1" ht="12.75" customHeight="1"/>
    <row r="489" s="1218" customFormat="1" ht="12.75" customHeight="1"/>
    <row r="490" s="1218" customFormat="1" ht="12.75" customHeight="1"/>
    <row r="491" s="1218" customFormat="1" ht="12.75" customHeight="1"/>
    <row r="492" s="1218" customFormat="1" ht="12.75" customHeight="1"/>
    <row r="493" s="1218" customFormat="1" ht="12.75" customHeight="1"/>
    <row r="494" s="1218" customFormat="1" ht="12.75" customHeight="1"/>
    <row r="495" s="1218" customFormat="1" ht="12.75" customHeight="1"/>
    <row r="496" s="1218" customFormat="1" ht="12.75" customHeight="1"/>
    <row r="497" s="1218" customFormat="1" ht="12.75" customHeight="1"/>
    <row r="498" s="1218" customFormat="1" ht="12.75" customHeight="1"/>
    <row r="499" s="1218" customFormat="1" ht="12.75" customHeight="1"/>
    <row r="500" s="1218" customFormat="1" ht="12.75" customHeight="1"/>
    <row r="501" s="1218" customFormat="1" ht="12.75" customHeight="1"/>
    <row r="502" s="1218" customFormat="1" ht="12.75" customHeight="1"/>
    <row r="503" s="1218" customFormat="1" ht="12.75" customHeight="1"/>
    <row r="504" s="1218" customFormat="1" ht="12.75" customHeight="1"/>
    <row r="505" s="1218" customFormat="1" ht="12.75" customHeight="1"/>
    <row r="506" s="1218" customFormat="1" ht="12.75" customHeight="1"/>
    <row r="507" s="1218" customFormat="1" ht="12.75" customHeight="1"/>
    <row r="508" s="1218" customFormat="1" ht="12.75" customHeight="1"/>
    <row r="509" s="1218" customFormat="1" ht="12.75" customHeight="1"/>
    <row r="510" s="1218" customFormat="1" ht="12.75" customHeight="1"/>
    <row r="511" s="1218" customFormat="1" ht="12.75" customHeight="1"/>
    <row r="512" s="1218" customFormat="1" ht="12.75" customHeight="1"/>
    <row r="513" s="1218" customFormat="1" ht="12.75" customHeight="1"/>
    <row r="514" s="1218" customFormat="1" ht="12.75" customHeight="1"/>
    <row r="515" s="1218" customFormat="1" ht="12.75" customHeight="1"/>
    <row r="516" s="1218" customFormat="1" ht="12.75" customHeight="1"/>
    <row r="517" s="1218" customFormat="1" ht="12.75" customHeight="1"/>
    <row r="518" s="1218" customFormat="1" ht="12.75" customHeight="1"/>
    <row r="519" s="1218" customFormat="1" ht="12.75" customHeight="1"/>
    <row r="520" s="1218" customFormat="1" ht="12.75" customHeight="1"/>
    <row r="521" s="1218" customFormat="1" ht="12.75" customHeight="1"/>
    <row r="522" s="1218" customFormat="1" ht="12.75" customHeight="1"/>
    <row r="523" s="1218" customFormat="1" ht="12.75" customHeight="1"/>
    <row r="524" s="1218" customFormat="1" ht="12.75" customHeight="1"/>
    <row r="525" s="1218" customFormat="1" ht="12.75" customHeight="1"/>
    <row r="526" s="1218" customFormat="1" ht="12.75" customHeight="1"/>
    <row r="527" s="1218" customFormat="1" ht="12.75" customHeight="1"/>
    <row r="528" s="1218" customFormat="1" ht="12.75" customHeight="1"/>
    <row r="529" s="1218" customFormat="1" ht="12.75" customHeight="1"/>
    <row r="530" s="1218" customFormat="1" ht="12.75" customHeight="1"/>
    <row r="531" s="1218" customFormat="1" ht="12.75" customHeight="1"/>
    <row r="532" s="1218" customFormat="1" ht="12.75" customHeight="1"/>
    <row r="533" s="1218" customFormat="1" ht="12.75" customHeight="1"/>
    <row r="534" s="1218" customFormat="1" ht="12.75" customHeight="1"/>
    <row r="535" s="1218" customFormat="1" ht="12.75" customHeight="1"/>
    <row r="536" s="1218" customFormat="1" ht="12.75" customHeight="1"/>
    <row r="537" s="1218" customFormat="1" ht="12.75" customHeight="1"/>
    <row r="538" s="1218" customFormat="1" ht="12.75" customHeight="1"/>
    <row r="539" s="1218" customFormat="1" ht="12.75" customHeight="1"/>
    <row r="540" s="1218" customFormat="1" ht="12.75" customHeight="1"/>
    <row r="541" s="1218" customFormat="1" ht="12.75" customHeight="1"/>
    <row r="542" s="1218" customFormat="1" ht="12.75" customHeight="1"/>
    <row r="543" s="1218" customFormat="1" ht="12.75" customHeight="1"/>
    <row r="544" s="1218" customFormat="1" ht="12.75" customHeight="1"/>
    <row r="545" s="1218" customFormat="1" ht="12.75" customHeight="1"/>
    <row r="546" s="1218" customFormat="1" ht="12.75" customHeight="1"/>
    <row r="547" s="1218" customFormat="1" ht="12.75" customHeight="1"/>
    <row r="548" s="1218" customFormat="1" ht="12.75" customHeight="1"/>
    <row r="549" s="1218" customFormat="1" ht="12.75" customHeight="1"/>
    <row r="550" s="1218" customFormat="1" ht="12.75" customHeight="1"/>
    <row r="551" s="1218" customFormat="1" ht="12.75" customHeight="1"/>
    <row r="552" s="1218" customFormat="1" ht="12.75" customHeight="1"/>
    <row r="553" s="1218" customFormat="1" ht="12.75" customHeight="1"/>
    <row r="554" s="1218" customFormat="1" ht="12.75" customHeight="1"/>
    <row r="555" s="1218" customFormat="1" ht="12.75" customHeight="1"/>
    <row r="556" s="1218" customFormat="1" ht="12.75" customHeight="1"/>
    <row r="557" s="1218" customFormat="1" ht="12.75" customHeight="1"/>
    <row r="558" s="1218" customFormat="1" ht="12.75" customHeight="1"/>
    <row r="559" s="1218" customFormat="1" ht="12.75" customHeight="1"/>
    <row r="560" s="1218" customFormat="1" ht="12.75" customHeight="1"/>
    <row r="561" s="1218" customFormat="1" ht="12.75" customHeight="1"/>
    <row r="562" s="1218" customFormat="1" ht="12.75" customHeight="1"/>
    <row r="563" s="1218" customFormat="1" ht="12.75" customHeight="1"/>
    <row r="564" s="1218" customFormat="1" ht="12.75" customHeight="1"/>
    <row r="565" s="1218" customFormat="1" ht="12.75" customHeight="1"/>
    <row r="566" s="1218" customFormat="1" ht="12.75" customHeight="1"/>
    <row r="567" s="1218" customFormat="1" ht="12.75" customHeight="1"/>
    <row r="568" s="1218" customFormat="1" ht="12.75" customHeight="1"/>
    <row r="569" s="1218" customFormat="1" ht="12.75" customHeight="1"/>
    <row r="570" s="1218" customFormat="1" ht="12.75" customHeight="1"/>
    <row r="571" s="1218" customFormat="1" ht="12.75" customHeight="1"/>
    <row r="572" s="1218" customFormat="1" ht="12.75" customHeight="1"/>
    <row r="573" s="1218" customFormat="1" ht="12.75" customHeight="1"/>
    <row r="574" s="1218" customFormat="1" ht="12.75" customHeight="1"/>
    <row r="575" s="1218" customFormat="1" ht="12.75" customHeight="1"/>
    <row r="576" s="1218" customFormat="1" ht="12.75" customHeight="1"/>
    <row r="577" s="1218" customFormat="1" ht="12.75" customHeight="1"/>
    <row r="578" s="1218" customFormat="1" ht="12.75" customHeight="1"/>
    <row r="579" s="1218" customFormat="1" ht="12.75" customHeight="1"/>
    <row r="580" s="1218" customFormat="1" ht="12.75" customHeight="1"/>
    <row r="581" s="1218" customFormat="1" ht="12.75" customHeight="1"/>
    <row r="582" s="1218" customFormat="1" ht="12.75" customHeight="1"/>
    <row r="583" s="1218" customFormat="1" ht="12.75" customHeight="1"/>
    <row r="584" s="1218" customFormat="1" ht="12.75" customHeight="1"/>
    <row r="585" s="1218" customFormat="1" ht="12.75" customHeight="1"/>
    <row r="586" s="1218" customFormat="1" ht="12.75" customHeight="1"/>
    <row r="587" s="1218" customFormat="1" ht="12.75" customHeight="1"/>
    <row r="588" s="1218" customFormat="1" ht="12.75" customHeight="1"/>
    <row r="589" s="1218" customFormat="1" ht="12.75" customHeight="1"/>
    <row r="590" s="1218" customFormat="1" ht="12.75" customHeight="1"/>
    <row r="591" s="1218" customFormat="1" ht="12.75" customHeight="1"/>
    <row r="592" s="1218" customFormat="1" ht="12.75" customHeight="1"/>
    <row r="593" s="1218" customFormat="1" ht="12.75" customHeight="1"/>
    <row r="594" s="1218" customFormat="1" ht="12.75" customHeight="1"/>
    <row r="595" s="1218" customFormat="1" ht="12.75" customHeight="1"/>
    <row r="596" s="1218" customFormat="1" ht="12.75" customHeight="1"/>
    <row r="597" s="1218" customFormat="1" ht="12.75" customHeight="1"/>
    <row r="598" s="1218" customFormat="1" ht="12.75" customHeight="1"/>
    <row r="599" s="1218" customFormat="1" ht="12.75" customHeight="1"/>
    <row r="600" s="1218" customFormat="1" ht="12.75" customHeight="1"/>
    <row r="601" s="1218" customFormat="1" ht="12.75" customHeight="1"/>
    <row r="602" s="1218" customFormat="1" ht="12.75" customHeight="1"/>
    <row r="603" s="1218" customFormat="1" ht="12.75" customHeight="1"/>
    <row r="604" s="1218" customFormat="1" ht="12.75" customHeight="1"/>
    <row r="605" s="1218" customFormat="1" ht="12.75" customHeight="1"/>
    <row r="606" s="1218" customFormat="1" ht="12.75" customHeight="1"/>
    <row r="607" s="1218" customFormat="1" ht="12.75" customHeight="1"/>
    <row r="608" s="1218" customFormat="1" ht="12.75" customHeight="1"/>
    <row r="609" s="1218" customFormat="1" ht="12.75" customHeight="1"/>
    <row r="610" s="1218" customFormat="1" ht="12.75" customHeight="1"/>
    <row r="611" s="1218" customFormat="1" ht="12.75" customHeight="1"/>
    <row r="612" s="1218" customFormat="1" ht="12.75" customHeight="1"/>
    <row r="613" s="1218" customFormat="1" ht="12.75" customHeight="1"/>
    <row r="614" s="1218" customFormat="1" ht="12.75" customHeight="1"/>
    <row r="615" s="1218" customFormat="1" ht="12.75" customHeight="1"/>
    <row r="616" s="1218" customFormat="1" ht="12.75" customHeight="1"/>
    <row r="617" s="1218" customFormat="1" ht="12.75" customHeight="1"/>
    <row r="618" s="1218" customFormat="1" ht="12.75" customHeight="1"/>
    <row r="619" s="1218" customFormat="1" ht="12.75" customHeight="1"/>
    <row r="620" s="1218" customFormat="1" ht="12.75" customHeight="1"/>
    <row r="621" s="1218" customFormat="1" ht="12.75" customHeight="1"/>
    <row r="622" s="1218" customFormat="1" ht="12.75" customHeight="1"/>
    <row r="623" s="1218" customFormat="1" ht="12.75" customHeight="1"/>
    <row r="624" s="1218" customFormat="1" ht="12.75" customHeight="1"/>
    <row r="625" s="1218" customFormat="1" ht="12.75" customHeight="1"/>
    <row r="626" s="1218" customFormat="1" ht="12.75" customHeight="1"/>
    <row r="627" s="1218" customFormat="1" ht="12.75" customHeight="1"/>
    <row r="628" s="1218" customFormat="1" ht="12.75" customHeight="1"/>
    <row r="629" s="1218" customFormat="1" ht="12.75" customHeight="1"/>
    <row r="630" s="1218" customFormat="1" ht="12.75" customHeight="1"/>
    <row r="631" s="1218" customFormat="1" ht="12.75" customHeight="1"/>
    <row r="632" s="1218" customFormat="1" ht="12.75" customHeight="1"/>
    <row r="633" s="1218" customFormat="1" ht="12.75" customHeight="1"/>
    <row r="634" s="1218" customFormat="1" ht="12.75" customHeight="1"/>
    <row r="635" s="1218" customFormat="1" ht="12.75" customHeight="1"/>
    <row r="636" s="1218" customFormat="1" ht="12.75" customHeight="1"/>
    <row r="637" s="1218" customFormat="1" ht="12.75" customHeight="1"/>
    <row r="638" s="1218" customFormat="1" ht="12.75" customHeight="1"/>
    <row r="639" s="1218" customFormat="1" ht="12.75" customHeight="1"/>
    <row r="640" s="1218" customFormat="1" ht="12.75" customHeight="1"/>
    <row r="641" s="1218" customFormat="1" ht="12.75" customHeight="1"/>
    <row r="642" s="1218" customFormat="1" ht="12.75" customHeight="1"/>
    <row r="643" s="1218" customFormat="1" ht="12.75" customHeight="1"/>
    <row r="644" s="1218" customFormat="1" ht="12.75" customHeight="1"/>
    <row r="645" s="1218" customFormat="1" ht="12.75" customHeight="1"/>
    <row r="646" s="1218" customFormat="1" ht="12.75" customHeight="1"/>
    <row r="647" s="1218" customFormat="1" ht="12.75" customHeight="1"/>
    <row r="648" s="1218" customFormat="1" ht="12.75" customHeight="1"/>
    <row r="649" s="1218" customFormat="1" ht="12.75" customHeight="1"/>
    <row r="650" s="1218" customFormat="1" ht="12.75" customHeight="1"/>
    <row r="651" s="1218" customFormat="1" ht="12.75" customHeight="1"/>
    <row r="652" s="1218" customFormat="1" ht="12.75" customHeight="1"/>
    <row r="653" s="1218" customFormat="1" ht="12.75" customHeight="1"/>
    <row r="654" s="1218" customFormat="1" ht="12.75" customHeight="1"/>
    <row r="655" s="1218" customFormat="1" ht="12.75" customHeight="1"/>
    <row r="656" s="1218" customFormat="1" ht="12.75" customHeight="1"/>
    <row r="657" s="1218" customFormat="1" ht="12.75" customHeight="1"/>
    <row r="658" s="1218" customFormat="1" ht="12.75" customHeight="1"/>
    <row r="659" s="1218" customFormat="1" ht="12.75" customHeight="1"/>
    <row r="660" s="1218" customFormat="1" ht="12.75" customHeight="1"/>
    <row r="661" s="1218" customFormat="1" ht="12.75" customHeight="1"/>
    <row r="662" s="1218" customFormat="1" ht="12.75" customHeight="1"/>
    <row r="663" s="1218" customFormat="1" ht="12.75" customHeight="1"/>
    <row r="664" s="1218" customFormat="1" ht="12.75" customHeight="1"/>
    <row r="665" s="1218" customFormat="1" ht="12.75" customHeight="1"/>
    <row r="666" s="1218" customFormat="1" ht="12.75" customHeight="1"/>
    <row r="667" s="1218" customFormat="1" ht="12.75" customHeight="1"/>
    <row r="668" s="1218" customFormat="1" ht="12.75" customHeight="1"/>
    <row r="669" s="1218" customFormat="1" ht="12.75" customHeight="1"/>
    <row r="670" s="1218" customFormat="1" ht="12.75" customHeight="1"/>
    <row r="671" s="1218" customFormat="1" ht="12.75" customHeight="1"/>
    <row r="672" s="1218" customFormat="1" ht="12.75" customHeight="1"/>
    <row r="673" s="1218" customFormat="1" ht="12.75" customHeight="1"/>
    <row r="674" s="1218" customFormat="1" ht="12.75" customHeight="1"/>
    <row r="675" s="1218" customFormat="1" ht="12.75" customHeight="1"/>
    <row r="676" s="1218" customFormat="1" ht="12.75" customHeight="1"/>
    <row r="677" s="1218" customFormat="1" ht="12.75" customHeight="1"/>
    <row r="678" s="1218" customFormat="1" ht="12.75" customHeight="1"/>
    <row r="679" s="1218" customFormat="1" ht="12.75" customHeight="1"/>
    <row r="680" s="1218" customFormat="1" ht="12.75" customHeight="1"/>
    <row r="681" s="1218" customFormat="1" ht="12.75" customHeight="1"/>
    <row r="682" s="1218" customFormat="1" ht="12.75" customHeight="1"/>
    <row r="683" s="1218" customFormat="1" ht="12.75" customHeight="1"/>
    <row r="684" s="1218" customFormat="1" ht="12.75" customHeight="1"/>
    <row r="685" s="1218" customFormat="1" ht="12.75" customHeight="1"/>
    <row r="686" s="1218" customFormat="1" ht="12.75" customHeight="1"/>
    <row r="687" s="1218" customFormat="1" ht="12.75" customHeight="1"/>
    <row r="688" s="1218" customFormat="1" ht="12.75" customHeight="1"/>
    <row r="689" s="1218" customFormat="1" ht="12.75" customHeight="1"/>
    <row r="690" s="1218" customFormat="1" ht="12.75" customHeight="1"/>
    <row r="691" s="1218" customFormat="1" ht="12.75" customHeight="1"/>
    <row r="692" s="1218" customFormat="1" ht="12.75" customHeight="1"/>
    <row r="693" s="1218" customFormat="1" ht="12.75" customHeight="1"/>
    <row r="694" s="1218" customFormat="1" ht="12.75" customHeight="1"/>
    <row r="695" s="1218" customFormat="1" ht="12.75" customHeight="1"/>
    <row r="696" s="1218" customFormat="1" ht="12.75" customHeight="1"/>
    <row r="697" s="1218" customFormat="1" ht="12.75" customHeight="1"/>
    <row r="698" s="1218" customFormat="1" ht="12.75" customHeight="1"/>
    <row r="699" s="1218" customFormat="1" ht="12.75" customHeight="1"/>
    <row r="700" s="1218" customFormat="1" ht="12.75" customHeight="1"/>
    <row r="701" s="1218" customFormat="1" ht="12.75" customHeight="1"/>
    <row r="702" s="1218" customFormat="1" ht="12.75" customHeight="1"/>
    <row r="703" s="1218" customFormat="1" ht="12.75" customHeight="1"/>
    <row r="704" s="1218" customFormat="1" ht="12.75" customHeight="1"/>
    <row r="705" s="1218" customFormat="1" ht="12.75" customHeight="1"/>
    <row r="706" s="1218" customFormat="1" ht="12.75" customHeight="1"/>
    <row r="707" s="1218" customFormat="1" ht="12.75" customHeight="1"/>
    <row r="708" s="1218" customFormat="1" ht="12.75" customHeight="1"/>
    <row r="709" s="1218" customFormat="1" ht="12.75" customHeight="1"/>
    <row r="710" s="1218" customFormat="1" ht="12.75" customHeight="1"/>
    <row r="711" s="1218" customFormat="1" ht="12.75" customHeight="1"/>
    <row r="712" s="1218" customFormat="1" ht="12.75" customHeight="1"/>
    <row r="713" s="1218" customFormat="1" ht="12.75" customHeight="1"/>
    <row r="714" s="1218" customFormat="1" ht="12.75" customHeight="1"/>
    <row r="715" s="1218" customFormat="1" ht="12.75" customHeight="1"/>
    <row r="716" s="1218" customFormat="1" ht="12.75" customHeight="1"/>
    <row r="717" s="1218" customFormat="1" ht="12.75" customHeight="1"/>
    <row r="718" s="1218" customFormat="1" ht="12.75" customHeight="1"/>
    <row r="719" s="1218" customFormat="1" ht="12.75" customHeight="1"/>
    <row r="720" s="1218" customFormat="1" ht="12.75" customHeight="1"/>
    <row r="721" s="1218" customFormat="1" ht="12.75" customHeight="1"/>
    <row r="722" s="1218" customFormat="1" ht="12.75" customHeight="1"/>
    <row r="723" s="1218" customFormat="1" ht="12.75" customHeight="1"/>
    <row r="724" s="1218" customFormat="1" ht="12.75" customHeight="1"/>
    <row r="725" s="1218" customFormat="1" ht="12.75" customHeight="1"/>
    <row r="726" s="1218" customFormat="1" ht="12.75" customHeight="1"/>
    <row r="727" s="1218" customFormat="1" ht="12.75" customHeight="1"/>
    <row r="728" s="1218" customFormat="1" ht="12.75" customHeight="1"/>
    <row r="729" s="1218" customFormat="1" ht="12.75" customHeight="1"/>
    <row r="730" s="1218" customFormat="1" ht="12.75" customHeight="1"/>
    <row r="731" s="1218" customFormat="1" ht="12.75" customHeight="1"/>
    <row r="732" s="1218" customFormat="1" ht="12.75" customHeight="1"/>
    <row r="733" s="1218" customFormat="1" ht="12.75" customHeight="1"/>
    <row r="734" s="1218" customFormat="1" ht="12.75" customHeight="1"/>
    <row r="735" s="1218" customFormat="1" ht="12.75" customHeight="1"/>
    <row r="736" s="1218" customFormat="1" ht="12.75" customHeight="1"/>
    <row r="737" s="1218" customFormat="1" ht="12.75" customHeight="1"/>
    <row r="738" s="1218" customFormat="1" ht="12.75" customHeight="1"/>
    <row r="739" s="1218" customFormat="1" ht="12.75" customHeight="1"/>
    <row r="740" s="1218" customFormat="1" ht="12.75" customHeight="1"/>
    <row r="741" s="1218" customFormat="1" ht="12.75" customHeight="1"/>
    <row r="742" s="1218" customFormat="1" ht="12.75" customHeight="1"/>
    <row r="743" s="1218" customFormat="1" ht="12.75" customHeight="1"/>
    <row r="744" s="1218" customFormat="1" ht="12.75" customHeight="1"/>
    <row r="745" s="1218" customFormat="1" ht="12.75" customHeight="1"/>
    <row r="746" s="1218" customFormat="1" ht="12.75" customHeight="1"/>
    <row r="747" s="1218" customFormat="1" ht="12.75" customHeight="1"/>
    <row r="748" s="1218" customFormat="1" ht="12.75" customHeight="1"/>
    <row r="749" s="1218" customFormat="1" ht="12.75" customHeight="1"/>
    <row r="750" s="1218" customFormat="1" ht="12.75" customHeight="1"/>
    <row r="751" s="1218" customFormat="1" ht="12.75" customHeight="1"/>
    <row r="752" s="1218" customFormat="1" ht="12.75" customHeight="1"/>
    <row r="753" s="1218" customFormat="1" ht="12.75" customHeight="1"/>
    <row r="754" s="1218" customFormat="1" ht="12.75" customHeight="1"/>
    <row r="755" s="1218" customFormat="1" ht="12.75" customHeight="1"/>
    <row r="756" s="1218" customFormat="1" ht="12.75" customHeight="1"/>
    <row r="757" s="1218" customFormat="1" ht="12.75" customHeight="1"/>
    <row r="758" s="1218" customFormat="1" ht="12.75" customHeight="1"/>
    <row r="759" s="1218" customFormat="1" ht="12.75" customHeight="1"/>
    <row r="760" s="1218" customFormat="1" ht="12.75" customHeight="1"/>
    <row r="761" s="1218" customFormat="1" ht="12.75" customHeight="1"/>
    <row r="762" s="1218" customFormat="1" ht="12.75" customHeight="1"/>
    <row r="763" s="1218" customFormat="1" ht="12.75" customHeight="1"/>
    <row r="764" s="1218" customFormat="1" ht="12.75" customHeight="1"/>
    <row r="765" s="1218" customFormat="1" ht="12.75" customHeight="1"/>
    <row r="766" s="1218" customFormat="1" ht="12.75" customHeight="1"/>
    <row r="767" s="1218" customFormat="1" ht="12.75" customHeight="1"/>
    <row r="768" s="1218" customFormat="1" ht="12.75" customHeight="1"/>
    <row r="769" s="1218" customFormat="1" ht="12.75" customHeight="1"/>
    <row r="770" s="1218" customFormat="1" ht="12.75" customHeight="1"/>
    <row r="771" s="1218" customFormat="1" ht="12.75" customHeight="1"/>
    <row r="772" s="1218" customFormat="1" ht="12.75" customHeight="1"/>
    <row r="773" s="1218" customFormat="1" ht="12.75" customHeight="1"/>
    <row r="774" s="1218" customFormat="1" ht="12.75" customHeight="1"/>
    <row r="775" s="1218" customFormat="1" ht="12.75" customHeight="1"/>
    <row r="776" s="1218" customFormat="1" ht="12.75" customHeight="1"/>
    <row r="777" s="1218" customFormat="1" ht="12.75" customHeight="1"/>
    <row r="778" s="1218" customFormat="1" ht="12.75" customHeight="1"/>
    <row r="779" s="1218" customFormat="1" ht="12.75" customHeight="1"/>
    <row r="780" s="1218" customFormat="1" ht="12.75" customHeight="1"/>
    <row r="781" s="1218" customFormat="1" ht="12.75" customHeight="1"/>
    <row r="782" s="1218" customFormat="1" ht="12.75" customHeight="1"/>
    <row r="783" s="1218" customFormat="1" ht="12.75" customHeight="1"/>
    <row r="784" s="1218" customFormat="1" ht="12.75" customHeight="1"/>
    <row r="785" s="1218" customFormat="1" ht="12.75" customHeight="1"/>
    <row r="786" s="1218" customFormat="1" ht="12.75" customHeight="1"/>
    <row r="787" s="1218" customFormat="1" ht="12.75" customHeight="1"/>
    <row r="788" s="1218" customFormat="1" ht="12.75" customHeight="1"/>
    <row r="789" s="1218" customFormat="1" ht="12.75" customHeight="1"/>
    <row r="790" s="1218" customFormat="1" ht="12.75" customHeight="1"/>
    <row r="791" s="1218" customFormat="1" ht="12.75" customHeight="1"/>
    <row r="792" s="1218" customFormat="1" ht="12.75" customHeight="1"/>
    <row r="793" s="1218" customFormat="1" ht="12.75" customHeight="1"/>
    <row r="794" s="1218" customFormat="1" ht="12.75" customHeight="1"/>
    <row r="795" s="1218" customFormat="1" ht="12.75" customHeight="1"/>
    <row r="796" s="1218" customFormat="1" ht="12.75" customHeight="1"/>
    <row r="797" s="1218" customFormat="1" ht="12.75" customHeight="1"/>
    <row r="798" s="1218" customFormat="1" ht="12.75" customHeight="1"/>
    <row r="799" s="1218" customFormat="1" ht="12.75" customHeight="1"/>
    <row r="800" s="1218" customFormat="1" ht="12.75" customHeight="1"/>
    <row r="801" s="1218" customFormat="1" ht="12.75" customHeight="1"/>
    <row r="802" s="1218" customFormat="1" ht="12.75" customHeight="1"/>
    <row r="803" s="1218" customFormat="1" ht="12.75" customHeight="1"/>
    <row r="804" s="1218" customFormat="1" ht="12.75" customHeight="1"/>
    <row r="805" s="1218" customFormat="1" ht="12.75" customHeight="1"/>
    <row r="806" s="1218" customFormat="1" ht="12.75" customHeight="1"/>
    <row r="807" s="1218" customFormat="1" ht="12.75" customHeight="1"/>
    <row r="808" s="1218" customFormat="1" ht="12.75" customHeight="1"/>
    <row r="809" s="1218" customFormat="1" ht="12.75" customHeight="1"/>
    <row r="810" s="1218" customFormat="1" ht="12.75" customHeight="1"/>
    <row r="811" s="1218" customFormat="1" ht="12.75" customHeight="1"/>
    <row r="812" s="1218" customFormat="1" ht="12.75" customHeight="1"/>
    <row r="813" s="1218" customFormat="1" ht="12.75" customHeight="1"/>
    <row r="814" s="1218" customFormat="1" ht="12.75" customHeight="1"/>
    <row r="815" s="1218" customFormat="1" ht="12.75" customHeight="1"/>
    <row r="816" s="1218" customFormat="1" ht="12.75" customHeight="1"/>
    <row r="817" s="1218" customFormat="1" ht="12.75" customHeight="1"/>
    <row r="818" s="1218" customFormat="1" ht="12.75" customHeight="1"/>
    <row r="819" s="1218" customFormat="1" ht="12.75" customHeight="1"/>
    <row r="820" s="1218" customFormat="1" ht="12.75" customHeight="1"/>
    <row r="821" s="1218" customFormat="1" ht="12.75" customHeight="1"/>
    <row r="822" s="1218" customFormat="1" ht="12.75" customHeight="1"/>
    <row r="823" s="1218" customFormat="1" ht="12.75" customHeight="1"/>
    <row r="824" s="1218" customFormat="1" ht="12.75" customHeight="1"/>
    <row r="825" s="1218" customFormat="1" ht="12.75" customHeight="1"/>
    <row r="826" s="1218" customFormat="1" ht="12.75" customHeight="1"/>
    <row r="827" s="1218" customFormat="1" ht="12.75" customHeight="1"/>
    <row r="828" s="1218" customFormat="1" ht="12.75" customHeight="1"/>
    <row r="829" s="1218" customFormat="1" ht="12.75" customHeight="1"/>
    <row r="830" s="1218" customFormat="1" ht="12.75" customHeight="1"/>
    <row r="831" s="1218" customFormat="1" ht="12.75" customHeight="1"/>
    <row r="832" s="1218" customFormat="1" ht="12.75" customHeight="1"/>
    <row r="833" s="1218" customFormat="1" ht="12.75" customHeight="1"/>
    <row r="834" s="1218" customFormat="1" ht="12.75" customHeight="1"/>
    <row r="835" s="1218" customFormat="1" ht="12.75" customHeight="1"/>
    <row r="836" s="1218" customFormat="1" ht="12.75" customHeight="1"/>
    <row r="837" s="1218" customFormat="1" ht="12.75" customHeight="1"/>
    <row r="838" s="1218" customFormat="1" ht="12.75" customHeight="1"/>
    <row r="839" s="1218" customFormat="1" ht="12.75" customHeight="1"/>
    <row r="840" s="1218" customFormat="1" ht="12.75" customHeight="1"/>
    <row r="841" s="1218" customFormat="1" ht="12.75" customHeight="1"/>
    <row r="842" s="1218" customFormat="1" ht="12.75" customHeight="1"/>
    <row r="843" s="1218" customFormat="1" ht="12.75" customHeight="1"/>
    <row r="844" s="1218" customFormat="1" ht="12.75" customHeight="1"/>
    <row r="845" s="1218" customFormat="1" ht="12.75" customHeight="1"/>
    <row r="846" s="1218" customFormat="1" ht="12.75" customHeight="1"/>
    <row r="847" s="1218" customFormat="1" ht="12.75" customHeight="1"/>
    <row r="848" s="1218" customFormat="1" ht="12.75" customHeight="1"/>
    <row r="849" s="1218" customFormat="1" ht="12.75" customHeight="1"/>
    <row r="850" s="1218" customFormat="1" ht="12.75" customHeight="1"/>
    <row r="851" s="1218" customFormat="1" ht="12.75" customHeight="1"/>
    <row r="852" s="1218" customFormat="1" ht="12.75" customHeight="1"/>
    <row r="853" s="1218" customFormat="1" ht="12.75" customHeight="1"/>
    <row r="854" s="1218" customFormat="1" ht="12.75" customHeight="1"/>
    <row r="855" s="1218" customFormat="1" ht="12.75" customHeight="1"/>
    <row r="856" s="1218" customFormat="1" ht="12.75" customHeight="1"/>
    <row r="857" s="1218" customFormat="1" ht="12.75" customHeight="1"/>
    <row r="858" s="1218" customFormat="1" ht="12.75" customHeight="1"/>
    <row r="859" s="1218" customFormat="1" ht="12.75" customHeight="1"/>
    <row r="860" s="1218" customFormat="1" ht="12.75" customHeight="1"/>
    <row r="861" s="1218" customFormat="1" ht="12.75" customHeight="1"/>
    <row r="862" s="1218" customFormat="1" ht="12.75" customHeight="1"/>
    <row r="863" s="1218" customFormat="1" ht="12.75" customHeight="1"/>
    <row r="864" s="1218" customFormat="1" ht="12.75" customHeight="1"/>
    <row r="865" s="1218" customFormat="1" ht="12.75" customHeight="1"/>
    <row r="866" s="1218" customFormat="1" ht="12.75" customHeight="1"/>
    <row r="867" s="1218" customFormat="1" ht="12.75" customHeight="1"/>
    <row r="868" s="1218" customFormat="1" ht="12.75" customHeight="1"/>
    <row r="869" s="1218" customFormat="1" ht="12.75" customHeight="1"/>
    <row r="870" s="1218" customFormat="1" ht="12.75" customHeight="1"/>
    <row r="871" s="1218" customFormat="1" ht="12.75" customHeight="1"/>
    <row r="872" s="1218" customFormat="1" ht="12.75" customHeight="1"/>
    <row r="873" s="1218" customFormat="1" ht="12.75" customHeight="1"/>
    <row r="874" s="1218" customFormat="1" ht="12.75" customHeight="1"/>
    <row r="875" s="1218" customFormat="1" ht="12.75" customHeight="1"/>
    <row r="876" s="1218" customFormat="1" ht="12.75" customHeight="1"/>
    <row r="877" s="1218" customFormat="1" ht="12.75" customHeight="1"/>
    <row r="878" s="1218" customFormat="1" ht="12.75" customHeight="1"/>
    <row r="879" s="1218" customFormat="1" ht="12.75" customHeight="1"/>
    <row r="880" s="1218" customFormat="1" ht="12.75" customHeight="1"/>
    <row r="881" s="1218" customFormat="1" ht="12.75" customHeight="1"/>
    <row r="882" s="1218" customFormat="1" ht="12.75" customHeight="1"/>
    <row r="883" s="1218" customFormat="1" ht="12.75" customHeight="1"/>
    <row r="884" s="1218" customFormat="1" ht="12.75" customHeight="1"/>
    <row r="885" s="1218" customFormat="1" ht="12.75" customHeight="1"/>
    <row r="886" s="1218" customFormat="1" ht="12.75" customHeight="1"/>
    <row r="887" s="1218" customFormat="1" ht="12.75" customHeight="1"/>
    <row r="888" s="1218" customFormat="1" ht="12.75" customHeight="1"/>
    <row r="889" s="1218" customFormat="1" ht="12.75" customHeight="1"/>
    <row r="890" s="1218" customFormat="1" ht="12.75" customHeight="1"/>
    <row r="891" s="1218" customFormat="1" ht="12.75" customHeight="1"/>
    <row r="892" s="1218" customFormat="1" ht="12.75" customHeight="1"/>
    <row r="893" s="1218" customFormat="1" ht="12.75" customHeight="1"/>
    <row r="894" s="1218" customFormat="1" ht="12.75" customHeight="1"/>
    <row r="895" s="1218" customFormat="1" ht="12.75" customHeight="1"/>
    <row r="896" s="1218" customFormat="1" ht="12.75" customHeight="1"/>
    <row r="897" s="1218" customFormat="1" ht="12.75" customHeight="1"/>
    <row r="898" s="1218" customFormat="1" ht="12.75" customHeight="1"/>
    <row r="899" s="1218" customFormat="1" ht="12.75" customHeight="1"/>
    <row r="900" s="1218" customFormat="1" ht="12.75" customHeight="1"/>
    <row r="901" s="1218" customFormat="1" ht="12.75" customHeight="1"/>
    <row r="902" s="1218" customFormat="1" ht="12.75" customHeight="1"/>
    <row r="903" s="1218" customFormat="1" ht="12.75" customHeight="1"/>
    <row r="904" s="1218" customFormat="1" ht="12.75" customHeight="1"/>
    <row r="905" s="1218" customFormat="1" ht="12.75" customHeight="1"/>
    <row r="906" s="1218" customFormat="1" ht="12.75" customHeight="1"/>
    <row r="907" s="1218" customFormat="1" ht="12.75" customHeight="1"/>
    <row r="908" s="1218" customFormat="1" ht="12.75" customHeight="1"/>
    <row r="909" s="1218" customFormat="1" ht="12.75" customHeight="1"/>
    <row r="910" s="1218" customFormat="1" ht="12.75" customHeight="1"/>
    <row r="911" s="1218" customFormat="1" ht="12.75" customHeight="1"/>
    <row r="912" s="1218" customFormat="1" ht="12.75" customHeight="1"/>
    <row r="913" s="1218" customFormat="1" ht="12.75" customHeight="1"/>
    <row r="914" s="1218" customFormat="1" ht="12.75" customHeight="1"/>
    <row r="915" s="1218" customFormat="1" ht="12.75" customHeight="1"/>
    <row r="916" s="1218" customFormat="1" ht="12.75" customHeight="1"/>
    <row r="917" s="1218" customFormat="1" ht="12.75" customHeight="1"/>
    <row r="918" s="1218" customFormat="1" ht="12.75" customHeight="1"/>
    <row r="919" s="1218" customFormat="1" ht="12.75" customHeight="1"/>
    <row r="920" s="1218" customFormat="1" ht="12.75" customHeight="1"/>
    <row r="921" s="1218" customFormat="1" ht="12.75" customHeight="1"/>
    <row r="922" s="1218" customFormat="1" ht="12.75" customHeight="1"/>
    <row r="923" s="1218" customFormat="1" ht="12.75" customHeight="1"/>
    <row r="924" s="1218" customFormat="1" ht="12.75" customHeight="1"/>
    <row r="925" s="1218" customFormat="1" ht="12.75" customHeight="1"/>
    <row r="926" s="1218" customFormat="1" ht="12.75" customHeight="1"/>
    <row r="927" s="1218" customFormat="1" ht="12.75" customHeight="1"/>
    <row r="928" s="1218" customFormat="1" ht="12.75" customHeight="1"/>
    <row r="929" s="1218" customFormat="1" ht="12.75" customHeight="1"/>
    <row r="930" s="1218" customFormat="1" ht="12.75" customHeight="1"/>
    <row r="931" s="1218" customFormat="1" ht="12.75" customHeight="1"/>
    <row r="932" s="1218" customFormat="1" ht="12.75" customHeight="1"/>
    <row r="933" s="1218" customFormat="1" ht="12.75" customHeight="1"/>
    <row r="934" s="1218" customFormat="1" ht="12.75" customHeight="1"/>
    <row r="935" s="1218" customFormat="1" ht="12.75" customHeight="1"/>
    <row r="936" s="1218" customFormat="1" ht="12.75" customHeight="1"/>
    <row r="937" s="1218" customFormat="1" ht="12.75" customHeight="1"/>
    <row r="938" s="1218" customFormat="1" ht="12.75" customHeight="1"/>
    <row r="939" s="1218" customFormat="1" ht="12.75" customHeight="1"/>
    <row r="940" s="1218" customFormat="1" ht="12.75" customHeight="1"/>
    <row r="941" s="1218" customFormat="1" ht="12.75" customHeight="1"/>
    <row r="942" s="1218" customFormat="1" ht="12.75" customHeight="1"/>
    <row r="943" s="1218" customFormat="1" ht="12.75" customHeight="1"/>
    <row r="944" s="1218" customFormat="1" ht="12.75" customHeight="1"/>
    <row r="945" s="1218" customFormat="1" ht="12.75" customHeight="1"/>
    <row r="946" s="1218" customFormat="1" ht="12.75" customHeight="1"/>
    <row r="947" s="1218" customFormat="1" ht="12.75" customHeight="1"/>
    <row r="948" s="1218" customFormat="1" ht="12.75" customHeight="1"/>
    <row r="949" s="1218" customFormat="1" ht="12.75" customHeight="1"/>
    <row r="950" s="1218" customFormat="1" ht="12.75" customHeight="1"/>
    <row r="951" s="1218" customFormat="1" ht="12.75" customHeight="1"/>
    <row r="952" s="1218" customFormat="1" ht="12.75" customHeight="1"/>
    <row r="953" s="1218" customFormat="1" ht="12.75" customHeight="1"/>
    <row r="954" s="1218" customFormat="1" ht="12.75" customHeight="1"/>
    <row r="955" s="1218" customFormat="1" ht="12.75" customHeight="1"/>
    <row r="956" s="1218" customFormat="1" ht="12.75" customHeight="1"/>
    <row r="957" s="1218" customFormat="1" ht="12.75" customHeight="1"/>
    <row r="958" s="1218" customFormat="1" ht="12.75" customHeight="1"/>
    <row r="959" s="1218" customFormat="1" ht="12.75" customHeight="1"/>
    <row r="960" s="1218" customFormat="1" ht="12.75" customHeight="1"/>
    <row r="961" s="1218" customFormat="1" ht="12.75" customHeight="1"/>
    <row r="962" s="1218" customFormat="1" ht="12.75" customHeight="1"/>
    <row r="963" s="1218" customFormat="1" ht="12.75" customHeight="1"/>
    <row r="964" s="1218" customFormat="1" ht="12.75" customHeight="1"/>
    <row r="965" s="1218" customFormat="1" ht="12.75" customHeight="1"/>
    <row r="966" s="1218" customFormat="1" ht="12.75" customHeight="1"/>
    <row r="967" s="1218" customFormat="1" ht="12.75" customHeight="1"/>
    <row r="968" s="1218" customFormat="1" ht="12.75" customHeight="1"/>
    <row r="969" s="1218" customFormat="1" ht="12.75" customHeight="1"/>
    <row r="970" s="1218" customFormat="1" ht="12.75" customHeight="1"/>
    <row r="971" s="1218" customFormat="1" ht="12.75" customHeight="1"/>
    <row r="972" s="1218" customFormat="1" ht="12.75" customHeight="1"/>
    <row r="973" s="1218" customFormat="1" ht="12.75" customHeight="1"/>
    <row r="974" s="1218" customFormat="1" ht="12.75" customHeight="1"/>
    <row r="975" s="1218" customFormat="1" ht="12.75" customHeight="1"/>
    <row r="976" s="1218" customFormat="1" ht="12.75" customHeight="1"/>
    <row r="977" s="1218" customFormat="1" ht="12.75" customHeight="1"/>
    <row r="978" s="1218" customFormat="1" ht="12.75" customHeight="1"/>
    <row r="979" s="1218" customFormat="1" ht="12.75" customHeight="1"/>
    <row r="980" s="1218" customFormat="1" ht="12.75" customHeight="1"/>
    <row r="981" s="1218" customFormat="1" ht="12.75" customHeight="1"/>
    <row r="982" s="1218" customFormat="1" ht="12.75" customHeight="1"/>
    <row r="983" s="1218" customFormat="1" ht="12.75" customHeight="1"/>
    <row r="984" s="1218" customFormat="1" ht="12.75" customHeight="1"/>
    <row r="985" s="1218" customFormat="1" ht="12.75" customHeight="1"/>
    <row r="986" s="1218" customFormat="1" ht="12.75" customHeight="1"/>
    <row r="987" s="1218" customFormat="1" ht="12.75" customHeight="1"/>
    <row r="988" s="1218" customFormat="1" ht="12.75" customHeight="1"/>
    <row r="989" s="1218" customFormat="1" ht="12.75" customHeight="1"/>
    <row r="990" s="1218" customFormat="1" ht="12.75" customHeight="1"/>
    <row r="991" s="1218" customFormat="1" ht="12.75" customHeight="1"/>
    <row r="992" s="1218" customFormat="1" ht="12.75" customHeight="1"/>
    <row r="993" s="1218" customFormat="1" ht="12.75" customHeight="1"/>
    <row r="994" s="1218" customFormat="1" ht="12.75" customHeight="1"/>
    <row r="995" s="1218" customFormat="1" ht="12.75" customHeight="1"/>
    <row r="996" s="1218" customFormat="1" ht="12.75" customHeight="1"/>
    <row r="997" s="1218" customFormat="1" ht="12.75" customHeight="1"/>
    <row r="998" s="1218" customFormat="1" ht="12.75" customHeight="1"/>
    <row r="999" s="1218" customFormat="1" ht="12.75" customHeight="1"/>
    <row r="1000" s="1218" customFormat="1" ht="12.75" customHeight="1"/>
    <row r="1001" s="1218" customFormat="1" ht="12.75" customHeight="1"/>
    <row r="1002" s="1218" customFormat="1" ht="12.75" customHeight="1"/>
    <row r="1003" s="1218" customFormat="1" ht="12.75" customHeight="1"/>
    <row r="1004" s="1218" customFormat="1" ht="12.75" customHeight="1"/>
    <row r="1005" s="1218" customFormat="1" ht="12.75" customHeight="1"/>
    <row r="1006" s="1218" customFormat="1" ht="12.75" customHeight="1"/>
    <row r="1007" s="1218" customFormat="1" ht="12.75" customHeight="1"/>
    <row r="1008" s="1218" customFormat="1" ht="12.75" customHeight="1"/>
    <row r="1009" s="1218" customFormat="1" ht="12.75" customHeight="1"/>
    <row r="1010" s="1218" customFormat="1" ht="12.75" customHeight="1"/>
    <row r="1011" s="1218" customFormat="1" ht="12.75" customHeight="1"/>
    <row r="1012" s="1218" customFormat="1" ht="12.75" customHeight="1"/>
    <row r="1013" s="1218" customFormat="1" ht="12.75" customHeight="1"/>
    <row r="1014" s="1218" customFormat="1" ht="12.75" customHeight="1"/>
    <row r="1015" s="1218" customFormat="1" ht="12.75" customHeight="1"/>
    <row r="1016" s="1218" customFormat="1" ht="12.75" customHeight="1"/>
    <row r="1017" s="1218" customFormat="1" ht="12.75" customHeight="1"/>
    <row r="1018" s="1218" customFormat="1" ht="12.75" customHeight="1"/>
    <row r="1019" s="1218" customFormat="1" ht="12.75" customHeight="1"/>
    <row r="1020" s="1218" customFormat="1" ht="12.75" customHeight="1"/>
    <row r="1021" s="1218" customFormat="1" ht="12.75" customHeight="1"/>
    <row r="1022" s="1218" customFormat="1" ht="12.75" customHeight="1"/>
    <row r="1023" s="1218" customFormat="1" ht="12.75" customHeight="1"/>
    <row r="1024" s="1218" customFormat="1" ht="12.75" customHeight="1"/>
    <row r="1025" s="1218" customFormat="1" ht="12.75" customHeight="1"/>
    <row r="1026" s="1218" customFormat="1" ht="12.75" customHeight="1"/>
    <row r="1027" s="1218" customFormat="1" ht="12.75" customHeight="1"/>
    <row r="1028" s="1218" customFormat="1" ht="12.75" customHeight="1"/>
    <row r="1029" s="1218" customFormat="1" ht="12.75" customHeight="1"/>
    <row r="1030" s="1218" customFormat="1" ht="12.75" customHeight="1"/>
    <row r="1031" s="1218" customFormat="1" ht="12.75" customHeight="1"/>
    <row r="1032" s="1218" customFormat="1" ht="12.75" customHeight="1"/>
    <row r="1033" s="1218" customFormat="1" ht="12.75" customHeight="1"/>
    <row r="1034" s="1218" customFormat="1" ht="12.75" customHeight="1"/>
    <row r="1035" s="1218" customFormat="1" ht="12.75" customHeight="1"/>
    <row r="1036" s="1218" customFormat="1" ht="12.75" customHeight="1"/>
    <row r="1037" s="1218" customFormat="1" ht="12.75" customHeight="1"/>
    <row r="1038" s="1218" customFormat="1" ht="12.75" customHeight="1"/>
    <row r="1039" s="1218" customFormat="1" ht="12.75" customHeight="1"/>
    <row r="1040" s="1218" customFormat="1" ht="12.75" customHeight="1"/>
    <row r="1041" s="1218" customFormat="1" ht="12.75" customHeight="1"/>
    <row r="1042" s="1218" customFormat="1" ht="12.75" customHeight="1"/>
    <row r="1043" s="1218" customFormat="1" ht="12.75" customHeight="1"/>
    <row r="1044" s="1218" customFormat="1" ht="12.75" customHeight="1"/>
    <row r="1045" s="1218" customFormat="1" ht="12.75" customHeight="1"/>
    <row r="1046" s="1218" customFormat="1" ht="12.75" customHeight="1"/>
    <row r="1047" s="1218" customFormat="1" ht="12.75" customHeight="1"/>
    <row r="1048" s="1218" customFormat="1" ht="12.75" customHeight="1"/>
    <row r="1049" s="1218" customFormat="1" ht="12.75" customHeight="1"/>
    <row r="1050" s="1218" customFormat="1" ht="12.75" customHeight="1"/>
    <row r="1051" s="1218" customFormat="1" ht="12.75" customHeight="1"/>
    <row r="1052" s="1218" customFormat="1" ht="12.75" customHeight="1"/>
    <row r="1053" s="1218" customFormat="1" ht="12.75" customHeight="1"/>
    <row r="1054" s="1218" customFormat="1" ht="12.75" customHeight="1"/>
    <row r="1055" s="1218" customFormat="1" ht="12.75" customHeight="1"/>
    <row r="1056" s="1218" customFormat="1" ht="12.75" customHeight="1"/>
    <row r="1057" s="1218" customFormat="1" ht="12.75" customHeight="1"/>
    <row r="1058" s="1218" customFormat="1" ht="12.75" customHeight="1"/>
    <row r="1059" s="1218" customFormat="1" ht="12.75" customHeight="1"/>
    <row r="1060" s="1218" customFormat="1" ht="12.75" customHeight="1"/>
    <row r="1061" s="1218" customFormat="1" ht="12.75" customHeight="1"/>
    <row r="1062" s="1218" customFormat="1" ht="12.75" customHeight="1"/>
    <row r="1063" s="1218" customFormat="1" ht="12.75" customHeight="1"/>
    <row r="1064" s="1218" customFormat="1" ht="12.75" customHeight="1"/>
    <row r="1065" s="1218" customFormat="1" ht="12.75" customHeight="1"/>
    <row r="1066" s="1218" customFormat="1" ht="12.75" customHeight="1"/>
    <row r="1067" s="1218" customFormat="1" ht="12.75" customHeight="1"/>
    <row r="1068" s="1218" customFormat="1" ht="12.75" customHeight="1"/>
    <row r="1069" s="1218" customFormat="1" ht="12.75" customHeight="1"/>
    <row r="1070" s="1218" customFormat="1" ht="12.75" customHeight="1"/>
    <row r="1071" s="1218" customFormat="1" ht="12.75" customHeight="1"/>
    <row r="1072" s="1218" customFormat="1" ht="12.75" customHeight="1"/>
    <row r="1073" s="1218" customFormat="1" ht="12.75" customHeight="1"/>
    <row r="1074" s="1218" customFormat="1" ht="12.75" customHeight="1"/>
    <row r="1075" s="1218" customFormat="1" ht="12.75" customHeight="1"/>
    <row r="1076" s="1218" customFormat="1" ht="12.75" customHeight="1"/>
    <row r="1077" s="1218" customFormat="1" ht="12.75" customHeight="1"/>
    <row r="1078" s="1218" customFormat="1" ht="12.75" customHeight="1"/>
    <row r="1079" s="1218" customFormat="1" ht="12.75" customHeight="1"/>
    <row r="1080" s="1218" customFormat="1" ht="12.75" customHeight="1"/>
    <row r="1081" s="1218" customFormat="1" ht="12.75" customHeight="1"/>
    <row r="1082" s="1218" customFormat="1" ht="12.75" customHeight="1"/>
    <row r="1083" s="1218" customFormat="1" ht="12.75" customHeight="1"/>
    <row r="1084" s="1218" customFormat="1" ht="12.75" customHeight="1"/>
    <row r="1085" s="1218" customFormat="1" ht="12.75" customHeight="1"/>
    <row r="1086" s="1218" customFormat="1" ht="12.75" customHeight="1"/>
    <row r="1087" s="1218" customFormat="1" ht="12.75" customHeight="1"/>
    <row r="1088" s="1218" customFormat="1" ht="12.75" customHeight="1"/>
    <row r="1089" s="1218" customFormat="1" ht="12.75" customHeight="1"/>
    <row r="1090" s="1218" customFormat="1" ht="12.75" customHeight="1"/>
    <row r="1091" s="1218" customFormat="1" ht="12.75" customHeight="1"/>
    <row r="1092" s="1218" customFormat="1" ht="12.75" customHeight="1"/>
    <row r="1093" s="1218" customFormat="1" ht="12.75" customHeight="1"/>
    <row r="1094" s="1218" customFormat="1" ht="12.75" customHeight="1"/>
    <row r="1095" s="1218" customFormat="1" ht="12.75" customHeight="1"/>
    <row r="1096" s="1218" customFormat="1" ht="12.75" customHeight="1"/>
    <row r="1097" s="1218" customFormat="1" ht="12.75" customHeight="1"/>
    <row r="1098" s="1218" customFormat="1" ht="12.75" customHeight="1"/>
    <row r="1099" s="1218" customFormat="1" ht="12.75" customHeight="1"/>
    <row r="1100" s="1218" customFormat="1" ht="12.75" customHeight="1"/>
    <row r="1101" s="1218" customFormat="1" ht="12.75" customHeight="1"/>
    <row r="1102" s="1218" customFormat="1" ht="12.75" customHeight="1"/>
    <row r="1103" s="1218" customFormat="1" ht="12.75" customHeight="1"/>
    <row r="1104" s="1218" customFormat="1" ht="12.75" customHeight="1"/>
    <row r="1105" s="1218" customFormat="1" ht="12.75" customHeight="1"/>
    <row r="1106" s="1218" customFormat="1" ht="12.75" customHeight="1"/>
    <row r="1107" s="1218" customFormat="1" ht="12.75" customHeight="1"/>
    <row r="1108" s="1218" customFormat="1" ht="12.75" customHeight="1"/>
    <row r="1109" s="1218" customFormat="1" ht="12.75" customHeight="1"/>
    <row r="1110" s="1218" customFormat="1" ht="12.75" customHeight="1"/>
    <row r="1111" s="1218" customFormat="1" ht="12.75" customHeight="1"/>
    <row r="1112" s="1218" customFormat="1" ht="12.75" customHeight="1"/>
    <row r="1113" s="1218" customFormat="1" ht="12.75" customHeight="1"/>
    <row r="1114" s="1218" customFormat="1" ht="12.75" customHeight="1"/>
    <row r="1115" s="1218" customFormat="1" ht="12.75" customHeight="1"/>
    <row r="1116" s="1218" customFormat="1" ht="12.75" customHeight="1"/>
    <row r="1117" s="1218" customFormat="1" ht="12.75" customHeight="1"/>
    <row r="1118" s="1218" customFormat="1" ht="12.75" customHeight="1"/>
    <row r="1119" s="1218" customFormat="1" ht="12.75" customHeight="1"/>
    <row r="1120" s="1218" customFormat="1" ht="12.75" customHeight="1"/>
    <row r="1121" s="1218" customFormat="1" ht="12.75" customHeight="1"/>
    <row r="1122" s="1218" customFormat="1" ht="12.75" customHeight="1"/>
    <row r="1123" s="1218" customFormat="1" ht="12.75" customHeight="1"/>
    <row r="1124" s="1218" customFormat="1" ht="12.75" customHeight="1"/>
    <row r="1125" s="1218" customFormat="1" ht="12.75" customHeight="1"/>
    <row r="1126" s="1218" customFormat="1" ht="12.75" customHeight="1"/>
    <row r="1127" s="1218" customFormat="1" ht="12.75" customHeight="1"/>
    <row r="1128" s="1218" customFormat="1" ht="12.75" customHeight="1"/>
    <row r="1129" s="1218" customFormat="1" ht="12.75" customHeight="1"/>
    <row r="1130" s="1218" customFormat="1" ht="12.75" customHeight="1"/>
    <row r="1131" s="1218" customFormat="1" ht="12.75" customHeight="1"/>
    <row r="1132" s="1218" customFormat="1" ht="12.75" customHeight="1"/>
    <row r="1133" s="1218" customFormat="1" ht="12.75" customHeight="1"/>
    <row r="1134" s="1218" customFormat="1" ht="12.75" customHeight="1"/>
    <row r="1135" s="1218" customFormat="1" ht="12.75" customHeight="1"/>
    <row r="1136" s="1218" customFormat="1" ht="12.75" customHeight="1"/>
    <row r="1137" s="1218" customFormat="1" ht="12.75" customHeight="1"/>
    <row r="1138" s="1218" customFormat="1" ht="12.75" customHeight="1"/>
    <row r="1139" s="1218" customFormat="1" ht="12.75" customHeight="1"/>
    <row r="1140" s="1218" customFormat="1" ht="12.75" customHeight="1"/>
    <row r="1141" s="1218" customFormat="1" ht="12.75" customHeight="1"/>
    <row r="1142" s="1218" customFormat="1" ht="12.75" customHeight="1"/>
    <row r="1143" s="1218" customFormat="1" ht="12.75" customHeight="1"/>
    <row r="1144" s="1218" customFormat="1" ht="12.75" customHeight="1"/>
    <row r="1145" s="1218" customFormat="1" ht="12.75" customHeight="1"/>
    <row r="1146" s="1218" customFormat="1" ht="12.75" customHeight="1"/>
    <row r="1147" s="1218" customFormat="1" ht="12.75" customHeight="1"/>
    <row r="1148" s="1218" customFormat="1" ht="12.75" customHeight="1"/>
    <row r="1149" s="1218" customFormat="1" ht="12.75" customHeight="1"/>
    <row r="1150" s="1218" customFormat="1" ht="12.75" customHeight="1"/>
    <row r="1151" s="1218" customFormat="1" ht="12.75" customHeight="1"/>
    <row r="1152" s="1218" customFormat="1" ht="12.75" customHeight="1"/>
    <row r="1153" s="1218" customFormat="1" ht="12.75" customHeight="1"/>
    <row r="1154" s="1218" customFormat="1" ht="12.75" customHeight="1"/>
    <row r="1155" s="1218" customFormat="1" ht="12.75" customHeight="1"/>
    <row r="1156" s="1218" customFormat="1" ht="12.75" customHeight="1"/>
    <row r="1157" s="1218" customFormat="1" ht="12.75" customHeight="1"/>
    <row r="1158" s="1218" customFormat="1" ht="12.75" customHeight="1"/>
    <row r="1159" s="1218" customFormat="1" ht="12.75" customHeight="1"/>
    <row r="1160" s="1218" customFormat="1" ht="12.75" customHeight="1"/>
    <row r="1161" s="1218" customFormat="1" ht="12.75" customHeight="1"/>
    <row r="1162" s="1218" customFormat="1" ht="12.75" customHeight="1"/>
    <row r="1163" s="1218" customFormat="1" ht="12.75" customHeight="1"/>
    <row r="1164" s="1218" customFormat="1" ht="12.75" customHeight="1"/>
    <row r="1165" s="1218" customFormat="1" ht="12.75" customHeight="1"/>
    <row r="1166" s="1218" customFormat="1" ht="12.75" customHeight="1"/>
    <row r="1167" s="1218" customFormat="1" ht="12.75" customHeight="1"/>
    <row r="1168" s="1218" customFormat="1" ht="12.75" customHeight="1"/>
    <row r="1169" s="1218" customFormat="1" ht="12.75" customHeight="1"/>
    <row r="1170" s="1218" customFormat="1" ht="12.75" customHeight="1"/>
    <row r="1171" s="1218" customFormat="1" ht="12.75" customHeight="1"/>
    <row r="1172" s="1218" customFormat="1" ht="12.75" customHeight="1"/>
    <row r="1173" s="1218" customFormat="1" ht="12.75" customHeight="1"/>
    <row r="1174" s="1218" customFormat="1" ht="12.75" customHeight="1"/>
    <row r="1175" s="1218" customFormat="1" ht="12.75" customHeight="1"/>
    <row r="1176" s="1218" customFormat="1" ht="12.75" customHeight="1"/>
    <row r="1177" s="1218" customFormat="1" ht="12.75" customHeight="1"/>
    <row r="1178" s="1218" customFormat="1" ht="12.75" customHeight="1"/>
    <row r="1179" s="1218" customFormat="1" ht="12.75" customHeight="1"/>
    <row r="1180" s="1218" customFormat="1" ht="12.75" customHeight="1"/>
    <row r="1181" s="1218" customFormat="1" ht="12.75" customHeight="1"/>
    <row r="1182" s="1218" customFormat="1" ht="12.75" customHeight="1"/>
    <row r="1183" s="1218" customFormat="1" ht="12.75" customHeight="1"/>
    <row r="1184" s="1218" customFormat="1" ht="12.75" customHeight="1"/>
    <row r="1185" s="1218" customFormat="1" ht="12.75" customHeight="1"/>
    <row r="1186" s="1218" customFormat="1" ht="12.75" customHeight="1"/>
    <row r="1187" s="1218" customFormat="1" ht="12.75" customHeight="1"/>
    <row r="1188" s="1218" customFormat="1" ht="12.75" customHeight="1"/>
    <row r="1189" s="1218" customFormat="1" ht="12.75" customHeight="1"/>
    <row r="1190" s="1218" customFormat="1" ht="12.75" customHeight="1"/>
    <row r="1191" s="1218" customFormat="1" ht="12.75" customHeight="1"/>
    <row r="1192" s="1218" customFormat="1" ht="12.75" customHeight="1"/>
    <row r="1193" s="1218" customFormat="1" ht="12.75" customHeight="1"/>
    <row r="1194" s="1218" customFormat="1" ht="12.75" customHeight="1"/>
    <row r="1195" s="1218" customFormat="1" ht="12.75" customHeight="1"/>
    <row r="1196" s="1218" customFormat="1" ht="12.75" customHeight="1"/>
    <row r="1197" s="1218" customFormat="1" ht="12.75" customHeight="1"/>
    <row r="1198" s="1218" customFormat="1" ht="12.75" customHeight="1"/>
    <row r="1199" s="1218" customFormat="1" ht="12.75" customHeight="1"/>
    <row r="1200" s="1218" customFormat="1" ht="12.75" customHeight="1"/>
    <row r="1201" s="1218" customFormat="1" ht="12.75" customHeight="1"/>
    <row r="1202" s="1218" customFormat="1" ht="12.75" customHeight="1"/>
    <row r="1203" s="1218" customFormat="1" ht="12.75" customHeight="1"/>
    <row r="1204" s="1218" customFormat="1" ht="12.75" customHeight="1"/>
    <row r="1205" s="1218" customFormat="1" ht="12.75" customHeight="1"/>
    <row r="1206" s="1218" customFormat="1" ht="12.75" customHeight="1"/>
    <row r="1207" s="1218" customFormat="1" ht="12.75" customHeight="1"/>
    <row r="1208" s="1218" customFormat="1" ht="12.75" customHeight="1"/>
    <row r="1209" s="1218" customFormat="1" ht="12.75" customHeight="1"/>
    <row r="1210" s="1218" customFormat="1" ht="12.75" customHeight="1"/>
    <row r="1211" s="1218" customFormat="1" ht="12.75" customHeight="1"/>
    <row r="1212" s="1218" customFormat="1" ht="12.75" customHeight="1"/>
    <row r="1213" s="1218" customFormat="1" ht="12.75" customHeight="1"/>
    <row r="1214" s="1218" customFormat="1" ht="12.75" customHeight="1"/>
    <row r="1215" s="1218" customFormat="1" ht="12.75" customHeight="1"/>
    <row r="1216" s="1218" customFormat="1" ht="12.75" customHeight="1"/>
    <row r="1217" s="1218" customFormat="1" ht="12.75" customHeight="1"/>
    <row r="1218" s="1218" customFormat="1" ht="12.75" customHeight="1"/>
    <row r="1219" s="1218" customFormat="1" ht="12.75" customHeight="1"/>
    <row r="1220" s="1218" customFormat="1" ht="12.75" customHeight="1"/>
    <row r="1221" s="1218" customFormat="1" ht="12.75" customHeight="1"/>
    <row r="1222" s="1218" customFormat="1" ht="12.75" customHeight="1"/>
    <row r="1223" s="1218" customFormat="1" ht="12.75" customHeight="1"/>
    <row r="1224" s="1218" customFormat="1" ht="12.75" customHeight="1"/>
    <row r="1225" s="1218" customFormat="1" ht="12.75" customHeight="1"/>
    <row r="1226" s="1218" customFormat="1" ht="12.75" customHeight="1"/>
    <row r="1227" s="1218" customFormat="1" ht="12.75" customHeight="1"/>
    <row r="1228" s="1218" customFormat="1" ht="12.75" customHeight="1"/>
    <row r="1229" s="1218" customFormat="1" ht="12.75" customHeight="1"/>
    <row r="1230" s="1218" customFormat="1" ht="12.75" customHeight="1"/>
    <row r="1231" s="1218" customFormat="1" ht="12.75" customHeight="1"/>
    <row r="1232" s="1218" customFormat="1" ht="12.75" customHeight="1"/>
    <row r="1233" s="1218" customFormat="1" ht="12.75" customHeight="1"/>
    <row r="1234" s="1218" customFormat="1" ht="12.75" customHeight="1"/>
    <row r="1235" s="1218" customFormat="1" ht="12.75" customHeight="1"/>
    <row r="1236" s="1218" customFormat="1" ht="12.75" customHeight="1"/>
    <row r="1237" s="1218" customFormat="1" ht="12.75" customHeight="1"/>
    <row r="1238" s="1218" customFormat="1" ht="12.75" customHeight="1"/>
    <row r="1239" s="1218" customFormat="1" ht="12.75" customHeight="1"/>
    <row r="1240" s="1218" customFormat="1" ht="12.75" customHeight="1"/>
    <row r="1241" s="1218" customFormat="1" ht="12.75" customHeight="1"/>
    <row r="1242" s="1218" customFormat="1" ht="12.75" customHeight="1"/>
    <row r="1243" s="1218" customFormat="1" ht="12.75" customHeight="1"/>
    <row r="1244" s="1218" customFormat="1" ht="12.75" customHeight="1"/>
    <row r="1245" s="1218" customFormat="1" ht="12.75" customHeight="1"/>
    <row r="1246" s="1218" customFormat="1" ht="12.75" customHeight="1"/>
    <row r="1247" s="1218" customFormat="1" ht="12.75" customHeight="1"/>
    <row r="1248" s="1218" customFormat="1" ht="12.75" customHeight="1"/>
    <row r="1249" s="1218" customFormat="1" ht="12.75" customHeight="1"/>
    <row r="1250" s="1218" customFormat="1" ht="12.75" customHeight="1"/>
    <row r="1251" s="1218" customFormat="1" ht="12.75" customHeight="1"/>
    <row r="1252" s="1218" customFormat="1" ht="12.75" customHeight="1"/>
    <row r="1253" s="1218" customFormat="1" ht="12.75" customHeight="1"/>
    <row r="1254" s="1218" customFormat="1" ht="12.75" customHeight="1"/>
    <row r="1255" s="1218" customFormat="1" ht="12.75" customHeight="1"/>
    <row r="1256" s="1218" customFormat="1" ht="12.75" customHeight="1"/>
    <row r="1257" s="1218" customFormat="1" ht="12.75" customHeight="1"/>
    <row r="1258" s="1218" customFormat="1" ht="12.75" customHeight="1"/>
    <row r="1259" s="1218" customFormat="1" ht="12.75" customHeight="1"/>
    <row r="1260" s="1218" customFormat="1" ht="12.75" customHeight="1"/>
    <row r="1261" s="1218" customFormat="1" ht="12.75" customHeight="1"/>
    <row r="1262" s="1218" customFormat="1" ht="12.75" customHeight="1"/>
    <row r="1263" s="1218" customFormat="1" ht="12.75" customHeight="1"/>
    <row r="1264" s="1218" customFormat="1" ht="12.75" customHeight="1"/>
    <row r="1265" s="1218" customFormat="1" ht="12.75" customHeight="1"/>
    <row r="1266" s="1218" customFormat="1" ht="12.75" customHeight="1"/>
    <row r="1267" s="1218" customFormat="1" ht="12.75" customHeight="1"/>
    <row r="1268" s="1218" customFormat="1" ht="12.75" customHeight="1"/>
    <row r="1269" s="1218" customFormat="1" ht="12.75" customHeight="1"/>
    <row r="1270" s="1218" customFormat="1" ht="12.75" customHeight="1"/>
    <row r="1271" s="1218" customFormat="1" ht="12.75" customHeight="1"/>
    <row r="1272" s="1218" customFormat="1" ht="12.75" customHeight="1"/>
    <row r="1273" s="1218" customFormat="1" ht="12.75" customHeight="1"/>
    <row r="1274" s="1218" customFormat="1" ht="12.75" customHeight="1"/>
    <row r="1275" s="1218" customFormat="1" ht="12.75" customHeight="1"/>
    <row r="1276" s="1218" customFormat="1" ht="12.75" customHeight="1"/>
    <row r="1277" s="1218" customFormat="1" ht="12.75" customHeight="1"/>
    <row r="1278" s="1218" customFormat="1" ht="12.75" customHeight="1"/>
    <row r="1279" s="1218" customFormat="1" ht="12.75" customHeight="1"/>
    <row r="1280" s="1218" customFormat="1" ht="12.75" customHeight="1"/>
    <row r="1281" s="1218" customFormat="1" ht="12.75" customHeight="1"/>
    <row r="1282" s="1218" customFormat="1" ht="12.75" customHeight="1"/>
    <row r="1283" s="1218" customFormat="1" ht="12.75" customHeight="1"/>
    <row r="1284" s="1218" customFormat="1" ht="12.75" customHeight="1"/>
    <row r="1285" s="1218" customFormat="1" ht="12.75" customHeight="1"/>
    <row r="1286" s="1218" customFormat="1" ht="12.75" customHeight="1"/>
    <row r="1287" s="1218" customFormat="1" ht="12.75" customHeight="1"/>
    <row r="1288" s="1218" customFormat="1" ht="12.75" customHeight="1"/>
    <row r="1289" s="1218" customFormat="1" ht="12.75" customHeight="1"/>
    <row r="1290" s="1218" customFormat="1" ht="12.75" customHeight="1"/>
    <row r="1291" s="1218" customFormat="1" ht="12.75" customHeight="1"/>
    <row r="1292" s="1218" customFormat="1" ht="12.75" customHeight="1"/>
    <row r="1293" s="1218" customFormat="1" ht="12.75" customHeight="1"/>
    <row r="1294" s="1218" customFormat="1" ht="12.75" customHeight="1"/>
    <row r="1295" s="1218" customFormat="1" ht="12.75" customHeight="1"/>
    <row r="1296" s="1218" customFormat="1" ht="12.75" customHeight="1"/>
    <row r="1297" s="1218" customFormat="1" ht="12.75" customHeight="1"/>
    <row r="1298" s="1218" customFormat="1" ht="12.75" customHeight="1"/>
    <row r="1299" s="1218" customFormat="1" ht="12.75" customHeight="1"/>
    <row r="1300" s="1218" customFormat="1" ht="12.75" customHeight="1"/>
    <row r="1301" s="1218" customFormat="1" ht="12.75" customHeight="1"/>
    <row r="1302" s="1218" customFormat="1" ht="12.75" customHeight="1"/>
    <row r="1303" s="1218" customFormat="1" ht="12.75" customHeight="1"/>
    <row r="1304" s="1218" customFormat="1" ht="12.75" customHeight="1"/>
    <row r="1305" s="1218" customFormat="1" ht="12.75" customHeight="1"/>
    <row r="1306" s="1218" customFormat="1" ht="12.75" customHeight="1"/>
    <row r="1307" s="1218" customFormat="1" ht="12.75" customHeight="1"/>
    <row r="1308" s="1218" customFormat="1" ht="12.75" customHeight="1"/>
    <row r="1309" s="1218" customFormat="1" ht="12.75" customHeight="1"/>
    <row r="1310" s="1218" customFormat="1" ht="12.75" customHeight="1"/>
    <row r="1311" s="1218" customFormat="1" ht="12.75" customHeight="1"/>
    <row r="1312" s="1218" customFormat="1" ht="12.75" customHeight="1"/>
    <row r="1313" s="1218" customFormat="1" ht="12.75" customHeight="1"/>
    <row r="1314" s="1218" customFormat="1" ht="12.75" customHeight="1"/>
    <row r="1315" s="1218" customFormat="1" ht="12.75" customHeight="1"/>
    <row r="1316" s="1218" customFormat="1" ht="12.75" customHeight="1"/>
    <row r="1317" s="1218" customFormat="1" ht="12.75" customHeight="1"/>
    <row r="1318" s="1218" customFormat="1" ht="12.75" customHeight="1"/>
    <row r="1319" s="1218" customFormat="1" ht="12.75" customHeight="1"/>
    <row r="1320" s="1218" customFormat="1" ht="12.75" customHeight="1"/>
    <row r="1321" s="1218" customFormat="1" ht="12.75" customHeight="1"/>
    <row r="1322" s="1218" customFormat="1" ht="12.75" customHeight="1"/>
    <row r="1323" s="1218" customFormat="1" ht="12.75" customHeight="1"/>
    <row r="1324" s="1218" customFormat="1" ht="12.75" customHeight="1"/>
    <row r="1325" s="1218" customFormat="1" ht="12.75" customHeight="1"/>
    <row r="1326" s="1218" customFormat="1" ht="12.75" customHeight="1"/>
    <row r="1327" s="1218" customFormat="1" ht="12.75" customHeight="1"/>
    <row r="1328" s="1218" customFormat="1" ht="12.75" customHeight="1"/>
    <row r="1329" s="1218" customFormat="1" ht="12.75" customHeight="1"/>
    <row r="1330" s="1218" customFormat="1" ht="12.75" customHeight="1"/>
    <row r="1331" s="1218" customFormat="1" ht="12.75" customHeight="1"/>
    <row r="1332" s="1218" customFormat="1" ht="12.75" customHeight="1"/>
    <row r="1333" s="1218" customFormat="1" ht="12.75" customHeight="1"/>
    <row r="1334" s="1218" customFormat="1" ht="12.75" customHeight="1"/>
    <row r="1335" s="1218" customFormat="1" ht="12.75" customHeight="1"/>
    <row r="1336" s="1218" customFormat="1" ht="12.75" customHeight="1"/>
    <row r="1337" s="1218" customFormat="1" ht="12.75" customHeight="1"/>
    <row r="1338" s="1218" customFormat="1" ht="12.75" customHeight="1"/>
    <row r="1339" s="1218" customFormat="1" ht="12.75" customHeight="1"/>
    <row r="1340" s="1218" customFormat="1" ht="12.75" customHeight="1"/>
    <row r="1341" s="1218" customFormat="1" ht="12.75" customHeight="1"/>
    <row r="1342" s="1218" customFormat="1" ht="12.75" customHeight="1"/>
    <row r="1343" s="1218" customFormat="1" ht="12.75" customHeight="1"/>
    <row r="1344" s="1218" customFormat="1" ht="12.75" customHeight="1"/>
    <row r="1345" s="1218" customFormat="1" ht="12.75" customHeight="1"/>
    <row r="1346" s="1218" customFormat="1" ht="12.75" customHeight="1"/>
    <row r="1347" s="1218" customFormat="1" ht="12.75" customHeight="1"/>
    <row r="1348" s="1218" customFormat="1" ht="12.75" customHeight="1"/>
    <row r="1349" s="1218" customFormat="1" ht="12.75" customHeight="1"/>
    <row r="1350" s="1218" customFormat="1" ht="12.75" customHeight="1"/>
    <row r="1351" s="1218" customFormat="1" ht="12.75" customHeight="1"/>
    <row r="1352" s="1218" customFormat="1" ht="12.75" customHeight="1"/>
    <row r="1353" s="1218" customFormat="1" ht="12.75" customHeight="1"/>
    <row r="1354" s="1218" customFormat="1" ht="12.75" customHeight="1"/>
    <row r="1355" s="1218" customFormat="1" ht="12.75" customHeight="1"/>
    <row r="1356" s="1218" customFormat="1" ht="12.75" customHeight="1"/>
    <row r="1357" s="1218" customFormat="1" ht="12.75" customHeight="1"/>
    <row r="1358" s="1218" customFormat="1" ht="12.75" customHeight="1"/>
    <row r="1359" s="1218" customFormat="1" ht="12.75" customHeight="1"/>
    <row r="1360" s="1218" customFormat="1" ht="12.75" customHeight="1"/>
    <row r="1361" s="1218" customFormat="1" ht="12.75" customHeight="1"/>
    <row r="1362" s="1218" customFormat="1" ht="12.75" customHeight="1"/>
    <row r="1363" s="1218" customFormat="1" ht="12.75" customHeight="1"/>
    <row r="1364" s="1218" customFormat="1" ht="12.75" customHeight="1"/>
    <row r="1365" s="1218" customFormat="1" ht="12.75" customHeight="1"/>
    <row r="1366" s="1218" customFormat="1" ht="12.75" customHeight="1"/>
    <row r="1367" s="1218" customFormat="1" ht="12.75" customHeight="1"/>
    <row r="1368" s="1218" customFormat="1" ht="12.75" customHeight="1"/>
    <row r="1369" s="1218" customFormat="1" ht="12.75" customHeight="1"/>
    <row r="1370" s="1218" customFormat="1" ht="12.75" customHeight="1"/>
    <row r="1371" s="1218" customFormat="1" ht="12.75" customHeight="1"/>
    <row r="1372" s="1218" customFormat="1" ht="12.75" customHeight="1"/>
    <row r="1373" s="1218" customFormat="1" ht="12.75" customHeight="1"/>
    <row r="1374" s="1218" customFormat="1" ht="12.75" customHeight="1"/>
    <row r="1375" s="1218" customFormat="1" ht="12.75" customHeight="1"/>
    <row r="1376" s="1218" customFormat="1" ht="12.75" customHeight="1"/>
    <row r="1377" s="1218" customFormat="1" ht="12.75" customHeight="1"/>
    <row r="1378" s="1218" customFormat="1" ht="12.75" customHeight="1"/>
    <row r="1379" s="1218" customFormat="1" ht="12.75" customHeight="1"/>
    <row r="1380" s="1218" customFormat="1" ht="12.75" customHeight="1"/>
    <row r="1381" s="1218" customFormat="1" ht="12.75" customHeight="1"/>
    <row r="1382" s="1218" customFormat="1" ht="12.75" customHeight="1"/>
    <row r="1383" s="1218" customFormat="1" ht="12.75" customHeight="1"/>
    <row r="1384" s="1218" customFormat="1" ht="12.75" customHeight="1"/>
    <row r="1385" s="1218" customFormat="1" ht="12.75" customHeight="1"/>
    <row r="1386" s="1218" customFormat="1" ht="12.75" customHeight="1"/>
    <row r="1387" s="1218" customFormat="1" ht="12.75" customHeight="1"/>
    <row r="1388" s="1218" customFormat="1" ht="12.75" customHeight="1"/>
    <row r="1389" s="1218" customFormat="1" ht="12.75" customHeight="1"/>
    <row r="1390" s="1218" customFormat="1" ht="12.75" customHeight="1"/>
    <row r="1391" s="1218" customFormat="1" ht="12.75" customHeight="1"/>
    <row r="1392" s="1218" customFormat="1" ht="12.75" customHeight="1"/>
    <row r="1393" s="1218" customFormat="1" ht="12.75" customHeight="1"/>
    <row r="1394" s="1218" customFormat="1" ht="12.75" customHeight="1"/>
    <row r="1395" s="1218" customFormat="1" ht="12.75" customHeight="1"/>
    <row r="1396" s="1218" customFormat="1" ht="12.75" customHeight="1"/>
    <row r="1397" s="1218" customFormat="1" ht="12.75" customHeight="1"/>
    <row r="1398" s="1218" customFormat="1" ht="12.75" customHeight="1"/>
    <row r="1399" s="1218" customFormat="1" ht="12.75" customHeight="1"/>
    <row r="1400" s="1218" customFormat="1" ht="12.75" customHeight="1"/>
    <row r="1401" s="1218" customFormat="1" ht="12.75" customHeight="1"/>
    <row r="1402" s="1218" customFormat="1" ht="12.75" customHeight="1"/>
    <row r="1403" s="1218" customFormat="1" ht="12.75" customHeight="1"/>
    <row r="1404" s="1218" customFormat="1" ht="12.75" customHeight="1"/>
    <row r="1405" s="1218" customFormat="1" ht="12.75" customHeight="1"/>
    <row r="1406" s="1218" customFormat="1" ht="12.75" customHeight="1"/>
    <row r="1407" s="1218" customFormat="1" ht="12.75" customHeight="1"/>
    <row r="1408" s="1218" customFormat="1" ht="12.75" customHeight="1"/>
    <row r="1409" s="1218" customFormat="1" ht="12.75" customHeight="1"/>
    <row r="1410" s="1218" customFormat="1" ht="12.75" customHeight="1"/>
    <row r="1411" s="1218" customFormat="1" ht="12.75" customHeight="1"/>
    <row r="1412" s="1218" customFormat="1" ht="12.75" customHeight="1"/>
    <row r="1413" s="1218" customFormat="1" ht="12.75" customHeight="1"/>
    <row r="1414" s="1218" customFormat="1" ht="12.75" customHeight="1"/>
    <row r="1415" s="1218" customFormat="1" ht="12.75" customHeight="1"/>
    <row r="1416" s="1218" customFormat="1" ht="12.75" customHeight="1"/>
    <row r="1417" s="1218" customFormat="1" ht="12.75" customHeight="1"/>
    <row r="1418" s="1218" customFormat="1" ht="12.75" customHeight="1"/>
    <row r="1419" s="1218" customFormat="1" ht="12.75" customHeight="1"/>
    <row r="1420" s="1218" customFormat="1" ht="12.75" customHeight="1"/>
    <row r="1421" s="1218" customFormat="1" ht="12.75" customHeight="1"/>
    <row r="1422" s="1218" customFormat="1" ht="12.75" customHeight="1"/>
    <row r="1423" s="1218" customFormat="1" ht="12.75" customHeight="1"/>
    <row r="1424" s="1218" customFormat="1" ht="12.75" customHeight="1"/>
    <row r="1425" s="1218" customFormat="1" ht="12.75" customHeight="1"/>
    <row r="1426" s="1218" customFormat="1" ht="12.75" customHeight="1"/>
    <row r="1427" s="1218" customFormat="1" ht="12.75" customHeight="1"/>
    <row r="1428" s="1218" customFormat="1" ht="12.75" customHeight="1"/>
    <row r="1429" s="1218" customFormat="1" ht="12.75" customHeight="1"/>
    <row r="1430" s="1218" customFormat="1" ht="12.75" customHeight="1"/>
    <row r="1431" s="1218" customFormat="1" ht="12.75" customHeight="1"/>
    <row r="1432" s="1218" customFormat="1" ht="12.75" customHeight="1"/>
    <row r="1433" s="1218" customFormat="1" ht="12.75" customHeight="1"/>
    <row r="1434" s="1218" customFormat="1" ht="12.75" customHeight="1"/>
    <row r="1435" s="1218" customFormat="1" ht="12.75" customHeight="1"/>
    <row r="1436" s="1218" customFormat="1" ht="12.75" customHeight="1"/>
    <row r="1437" s="1218" customFormat="1" ht="12.75" customHeight="1"/>
    <row r="1438" s="1218" customFormat="1" ht="12.75" customHeight="1"/>
    <row r="1439" s="1218" customFormat="1" ht="12.75" customHeight="1"/>
    <row r="1440" s="1218" customFormat="1" ht="12.75" customHeight="1"/>
    <row r="1441" s="1218" customFormat="1" ht="12.75" customHeight="1"/>
    <row r="1442" s="1218" customFormat="1" ht="12.75" customHeight="1"/>
    <row r="1443" s="1218" customFormat="1" ht="12.75" customHeight="1"/>
    <row r="1444" s="1218" customFormat="1" ht="12.75" customHeight="1"/>
    <row r="1445" s="1218" customFormat="1" ht="12.75" customHeight="1"/>
    <row r="1446" s="1218" customFormat="1" ht="12.75" customHeight="1"/>
    <row r="1447" s="1218" customFormat="1" ht="12.75" customHeight="1"/>
    <row r="1448" s="1218" customFormat="1" ht="12.75" customHeight="1"/>
    <row r="1449" s="1218" customFormat="1" ht="12.75" customHeight="1"/>
    <row r="1450" s="1218" customFormat="1" ht="12.75" customHeight="1"/>
    <row r="1451" s="1218" customFormat="1" ht="12.75" customHeight="1"/>
    <row r="1452" s="1218" customFormat="1" ht="12.75" customHeight="1"/>
    <row r="1453" s="1218" customFormat="1" ht="12.75" customHeight="1"/>
    <row r="1454" s="1218" customFormat="1" ht="12.75" customHeight="1"/>
    <row r="1455" s="1218" customFormat="1" ht="12.75" customHeight="1"/>
    <row r="1456" s="1218" customFormat="1" ht="12.75" customHeight="1"/>
    <row r="1457" s="1218" customFormat="1" ht="12.75" customHeight="1"/>
    <row r="1458" s="1218" customFormat="1" ht="12.75" customHeight="1"/>
    <row r="1459" s="1218" customFormat="1" ht="12.75" customHeight="1"/>
    <row r="1460" s="1218" customFormat="1" ht="12.75" customHeight="1"/>
    <row r="1461" s="1218" customFormat="1" ht="12.75" customHeight="1"/>
    <row r="1462" s="1218" customFormat="1" ht="12.75" customHeight="1"/>
    <row r="1463" s="1218" customFormat="1" ht="12.75" customHeight="1"/>
    <row r="1464" s="1218" customFormat="1" ht="12.75" customHeight="1"/>
    <row r="1465" s="1218" customFormat="1" ht="12.75" customHeight="1"/>
    <row r="1466" s="1218" customFormat="1" ht="12.75" customHeight="1"/>
    <row r="1467" s="1218" customFormat="1" ht="12.75" customHeight="1"/>
    <row r="1468" s="1218" customFormat="1" ht="12.75" customHeight="1"/>
    <row r="1469" s="1218" customFormat="1" ht="12.75" customHeight="1"/>
    <row r="1470" s="1218" customFormat="1" ht="12.75" customHeight="1"/>
    <row r="1471" s="1218" customFormat="1" ht="12.75" customHeight="1"/>
    <row r="1472" s="1218" customFormat="1" ht="12.75" customHeight="1"/>
    <row r="1473" s="1218" customFormat="1" ht="12.75" customHeight="1"/>
    <row r="1474" s="1218" customFormat="1" ht="12.75" customHeight="1"/>
    <row r="1475" s="1218" customFormat="1" ht="12.75" customHeight="1"/>
    <row r="1476" s="1218" customFormat="1" ht="12.75" customHeight="1"/>
    <row r="1477" s="1218" customFormat="1" ht="12.75" customHeight="1"/>
    <row r="1478" s="1218" customFormat="1" ht="12.75" customHeight="1"/>
    <row r="1479" s="1218" customFormat="1" ht="12.75" customHeight="1"/>
    <row r="1480" s="1218" customFormat="1" ht="12.75" customHeight="1"/>
    <row r="1481" s="1218" customFormat="1" ht="12.75" customHeight="1"/>
    <row r="1482" s="1218" customFormat="1" ht="12.75" customHeight="1"/>
    <row r="1483" s="1218" customFormat="1" ht="12.75" customHeight="1"/>
    <row r="1484" s="1218" customFormat="1" ht="12.75" customHeight="1"/>
    <row r="1485" s="1218" customFormat="1" ht="12.75" customHeight="1"/>
    <row r="1486" s="1218" customFormat="1" ht="12.75" customHeight="1"/>
    <row r="1487" s="1218" customFormat="1" ht="12.75" customHeight="1"/>
    <row r="1488" s="1218" customFormat="1" ht="12.75" customHeight="1"/>
    <row r="1489" s="1218" customFormat="1" ht="12.75" customHeight="1"/>
    <row r="1490" s="1218" customFormat="1" ht="12.75" customHeight="1"/>
    <row r="1491" s="1218" customFormat="1" ht="12.75" customHeight="1"/>
    <row r="1492" s="1218" customFormat="1" ht="12.75" customHeight="1"/>
    <row r="1493" s="1218" customFormat="1" ht="12.75" customHeight="1"/>
    <row r="1494" s="1218" customFormat="1" ht="12.75" customHeight="1"/>
    <row r="1495" s="1218" customFormat="1" ht="12.75" customHeight="1"/>
    <row r="1496" s="1218" customFormat="1" ht="12.75" customHeight="1"/>
    <row r="1497" s="1218" customFormat="1" ht="12.75" customHeight="1"/>
    <row r="1498" s="1218" customFormat="1" ht="12.75" customHeight="1"/>
    <row r="1499" s="1218" customFormat="1" ht="12.75" customHeight="1"/>
    <row r="1500" s="1218" customFormat="1" ht="12.75" customHeight="1"/>
    <row r="1501" s="1218" customFormat="1" ht="12.75" customHeight="1"/>
    <row r="1502" s="1218" customFormat="1" ht="12.75" customHeight="1"/>
    <row r="1503" s="1218" customFormat="1" ht="12.75" customHeight="1"/>
    <row r="1504" s="1218" customFormat="1" ht="12.75" customHeight="1"/>
    <row r="1505" s="1218" customFormat="1" ht="12.75" customHeight="1"/>
    <row r="1506" s="1218" customFormat="1" ht="12.75" customHeight="1"/>
    <row r="1507" s="1218" customFormat="1" ht="12.75" customHeight="1"/>
    <row r="1508" s="1218" customFormat="1" ht="12.75" customHeight="1"/>
    <row r="1509" s="1218" customFormat="1" ht="12.75" customHeight="1"/>
    <row r="1510" s="1218" customFormat="1" ht="12.75" customHeight="1"/>
    <row r="1511" s="1218" customFormat="1" ht="12.75" customHeight="1"/>
    <row r="1512" s="1218" customFormat="1" ht="12.75" customHeight="1"/>
    <row r="1513" s="1218" customFormat="1" ht="12.75" customHeight="1"/>
    <row r="1514" s="1218" customFormat="1" ht="12.75" customHeight="1"/>
    <row r="1515" s="1218" customFormat="1" ht="12.75" customHeight="1"/>
    <row r="1516" s="1218" customFormat="1" ht="12.75" customHeight="1"/>
    <row r="1517" s="1218" customFormat="1" ht="12.75" customHeight="1"/>
    <row r="1518" s="1218" customFormat="1" ht="12.75" customHeight="1"/>
    <row r="1519" s="1218" customFormat="1" ht="12.75" customHeight="1"/>
    <row r="1520" s="1218" customFormat="1" ht="12.75" customHeight="1"/>
    <row r="1521" s="1218" customFormat="1" ht="12.75" customHeight="1"/>
    <row r="1522" s="1218" customFormat="1" ht="12.75" customHeight="1"/>
    <row r="1523" s="1218" customFormat="1" ht="12.75" customHeight="1"/>
    <row r="1524" s="1218" customFormat="1" ht="12.75" customHeight="1"/>
    <row r="1525" s="1218" customFormat="1" ht="12.75" customHeight="1"/>
    <row r="1526" s="1218" customFormat="1" ht="12.75" customHeight="1"/>
    <row r="1527" s="1218" customFormat="1" ht="12.75" customHeight="1"/>
    <row r="1528" s="1218" customFormat="1" ht="12.75" customHeight="1"/>
    <row r="1529" s="1218" customFormat="1" ht="12.75" customHeight="1"/>
    <row r="1530" s="1218" customFormat="1" ht="12.75" customHeight="1"/>
    <row r="1531" s="1218" customFormat="1" ht="12.75" customHeight="1"/>
    <row r="1532" s="1218" customFormat="1" ht="12.75" customHeight="1"/>
    <row r="1533" s="1218" customFormat="1" ht="12.75" customHeight="1"/>
    <row r="1534" s="1218" customFormat="1" ht="12.75" customHeight="1"/>
    <row r="1535" s="1218" customFormat="1" ht="12.75" customHeight="1"/>
    <row r="1536" s="1218" customFormat="1" ht="12.75" customHeight="1"/>
    <row r="1537" s="1218" customFormat="1" ht="12.75" customHeight="1"/>
    <row r="1538" s="1218" customFormat="1" ht="12.75" customHeight="1"/>
    <row r="1539" s="1218" customFormat="1" ht="12.75" customHeight="1"/>
    <row r="1540" s="1218" customFormat="1" ht="12.75" customHeight="1"/>
    <row r="1541" s="1218" customFormat="1" ht="12.75" customHeight="1"/>
    <row r="1542" s="1218" customFormat="1" ht="12.75" customHeight="1"/>
    <row r="1543" s="1218" customFormat="1" ht="12.75" customHeight="1"/>
    <row r="1544" s="1218" customFormat="1" ht="12.75" customHeight="1"/>
    <row r="1545" s="1218" customFormat="1" ht="12.75" customHeight="1"/>
    <row r="1546" s="1218" customFormat="1" ht="12.75" customHeight="1"/>
    <row r="1547" s="1218" customFormat="1" ht="12.75" customHeight="1"/>
    <row r="1548" s="1218" customFormat="1" ht="12.75" customHeight="1"/>
    <row r="1549" s="1218" customFormat="1" ht="12.75" customHeight="1"/>
    <row r="1550" s="1218" customFormat="1" ht="12.75" customHeight="1"/>
    <row r="1551" s="1218" customFormat="1" ht="12.75" customHeight="1"/>
    <row r="1552" s="1218" customFormat="1" ht="12.75" customHeight="1"/>
    <row r="1553" s="1218" customFormat="1" ht="12.75" customHeight="1"/>
    <row r="1554" s="1218" customFormat="1" ht="12.75" customHeight="1"/>
    <row r="1555" s="1218" customFormat="1" ht="12.75" customHeight="1"/>
    <row r="1556" s="1218" customFormat="1" ht="12.75" customHeight="1"/>
    <row r="1557" s="1218" customFormat="1" ht="12.75" customHeight="1"/>
    <row r="1558" s="1218" customFormat="1" ht="12.75" customHeight="1"/>
    <row r="1559" s="1218" customFormat="1" ht="12.75" customHeight="1"/>
    <row r="1560" s="1218" customFormat="1" ht="12.75" customHeight="1"/>
    <row r="1561" s="1218" customFormat="1" ht="12.75" customHeight="1"/>
    <row r="1562" s="1218" customFormat="1" ht="12.75" customHeight="1"/>
    <row r="1563" s="1218" customFormat="1" ht="12.75" customHeight="1"/>
    <row r="1564" s="1218" customFormat="1" ht="12.75" customHeight="1"/>
    <row r="1565" s="1218" customFormat="1" ht="12.75" customHeight="1"/>
    <row r="1566" s="1218" customFormat="1" ht="12.75" customHeight="1"/>
    <row r="1567" s="1218" customFormat="1" ht="12.75" customHeight="1"/>
    <row r="1568" s="1218" customFormat="1" ht="12.75" customHeight="1"/>
    <row r="1569" s="1218" customFormat="1" ht="12.75" customHeight="1"/>
    <row r="1570" s="1218" customFormat="1" ht="12.75" customHeight="1"/>
    <row r="1571" s="1218" customFormat="1" ht="12.75" customHeight="1"/>
    <row r="1572" s="1218" customFormat="1" ht="12.75" customHeight="1"/>
    <row r="1573" s="1218" customFormat="1" ht="12.75" customHeight="1"/>
    <row r="1574" s="1218" customFormat="1" ht="12.75" customHeight="1"/>
    <row r="1575" s="1218" customFormat="1" ht="12.75" customHeight="1"/>
    <row r="1576" s="1218" customFormat="1" ht="12.75" customHeight="1"/>
    <row r="1577" s="1218" customFormat="1" ht="12.75" customHeight="1"/>
    <row r="1578" s="1218" customFormat="1" ht="12.75" customHeight="1"/>
    <row r="1579" s="1218" customFormat="1" ht="12.75" customHeight="1"/>
    <row r="1580" s="1218" customFormat="1" ht="12.75" customHeight="1"/>
    <row r="1581" s="1218" customFormat="1" ht="12.75" customHeight="1"/>
    <row r="1582" s="1218" customFormat="1" ht="12.75" customHeight="1"/>
    <row r="1583" s="1218" customFormat="1" ht="12.75" customHeight="1"/>
    <row r="1584" s="1218" customFormat="1" ht="12.75" customHeight="1"/>
    <row r="1585" s="1218" customFormat="1" ht="12.75" customHeight="1"/>
    <row r="1586" s="1218" customFormat="1" ht="12.75" customHeight="1"/>
    <row r="1587" s="1218" customFormat="1" ht="12.75" customHeight="1"/>
    <row r="1588" s="1218" customFormat="1" ht="12.75" customHeight="1"/>
    <row r="1589" s="1218" customFormat="1" ht="12.75" customHeight="1"/>
    <row r="1590" s="1218" customFormat="1" ht="12.75" customHeight="1"/>
    <row r="1591" s="1218" customFormat="1" ht="12.75" customHeight="1"/>
    <row r="1592" s="1218" customFormat="1" ht="12.75" customHeight="1"/>
    <row r="1593" s="1218" customFormat="1" ht="12.75" customHeight="1"/>
    <row r="1594" s="1218" customFormat="1" ht="12.75" customHeight="1"/>
    <row r="1595" s="1218" customFormat="1" ht="12.75" customHeight="1"/>
    <row r="1596" s="1218" customFormat="1" ht="12.75" customHeight="1"/>
    <row r="1597" s="1218" customFormat="1" ht="12.75" customHeight="1"/>
    <row r="1598" s="1218" customFormat="1" ht="12.75" customHeight="1"/>
    <row r="1599" s="1218" customFormat="1" ht="12.75" customHeight="1"/>
    <row r="1600" s="1218" customFormat="1" ht="12.75" customHeight="1"/>
    <row r="1601" s="1218" customFormat="1" ht="12.75" customHeight="1"/>
    <row r="1602" s="1218" customFormat="1" ht="12.75" customHeight="1"/>
    <row r="1603" s="1218" customFormat="1" ht="12.75" customHeight="1"/>
    <row r="1604" s="1218" customFormat="1" ht="12.75" customHeight="1"/>
    <row r="1605" s="1218" customFormat="1" ht="12.75" customHeight="1"/>
    <row r="1606" s="1218" customFormat="1" ht="12.75" customHeight="1"/>
    <row r="1607" s="1218" customFormat="1" ht="12.75" customHeight="1"/>
    <row r="1608" s="1218" customFormat="1" ht="12.75" customHeight="1"/>
    <row r="1609" s="1218" customFormat="1" ht="12.75" customHeight="1"/>
    <row r="1610" s="1218" customFormat="1" ht="12.75" customHeight="1"/>
    <row r="1611" s="1218" customFormat="1" ht="12.75" customHeight="1"/>
    <row r="1612" s="1218" customFormat="1" ht="12.75" customHeight="1"/>
    <row r="1613" s="1218" customFormat="1" ht="12.75" customHeight="1"/>
    <row r="1614" s="1218" customFormat="1" ht="12.75" customHeight="1"/>
    <row r="1615" s="1218" customFormat="1" ht="12.75" customHeight="1"/>
    <row r="1616" s="1218" customFormat="1" ht="12.75" customHeight="1"/>
    <row r="1617" s="1218" customFormat="1" ht="12.75" customHeight="1"/>
    <row r="1618" s="1218" customFormat="1" ht="12.75" customHeight="1"/>
    <row r="1619" s="1218" customFormat="1" ht="12.75" customHeight="1"/>
    <row r="1620" s="1218" customFormat="1" ht="12.75" customHeight="1"/>
    <row r="1621" s="1218" customFormat="1" ht="12.75" customHeight="1"/>
    <row r="1622" s="1218" customFormat="1" ht="12.75" customHeight="1"/>
    <row r="1623" s="1218" customFormat="1" ht="12.75" customHeight="1"/>
    <row r="1624" s="1218" customFormat="1" ht="12.75" customHeight="1"/>
    <row r="1625" s="1218" customFormat="1" ht="12.75" customHeight="1"/>
    <row r="1626" s="1218" customFormat="1" ht="12.75" customHeight="1"/>
    <row r="1627" s="1218" customFormat="1" ht="12.75" customHeight="1"/>
    <row r="1628" s="1218" customFormat="1" ht="12.75" customHeight="1"/>
    <row r="1629" s="1218" customFormat="1" ht="12.75" customHeight="1"/>
    <row r="1630" s="1218" customFormat="1" ht="12.75" customHeight="1"/>
    <row r="1631" s="1218" customFormat="1" ht="12.75" customHeight="1"/>
    <row r="1632" s="1218" customFormat="1" ht="12.75" customHeight="1"/>
    <row r="1633" s="1218" customFormat="1" ht="12.75" customHeight="1"/>
    <row r="1634" s="1218" customFormat="1" ht="12.75" customHeight="1"/>
    <row r="1635" s="1218" customFormat="1" ht="12.75" customHeight="1"/>
    <row r="1636" s="1218" customFormat="1" ht="12.75" customHeight="1"/>
    <row r="1637" s="1218" customFormat="1" ht="12.75" customHeight="1"/>
    <row r="1638" s="1218" customFormat="1" ht="12.75" customHeight="1"/>
    <row r="1639" s="1218" customFormat="1" ht="12.75" customHeight="1"/>
    <row r="1640" s="1218" customFormat="1" ht="12.75" customHeight="1"/>
    <row r="1641" s="1218" customFormat="1" ht="12.75" customHeight="1"/>
    <row r="1642" s="1218" customFormat="1" ht="12.75" customHeight="1"/>
    <row r="1643" s="1218" customFormat="1" ht="12.75" customHeight="1"/>
    <row r="1644" s="1218" customFormat="1" ht="12.75" customHeight="1"/>
    <row r="1645" s="1218" customFormat="1" ht="12.75" customHeight="1"/>
    <row r="1646" s="1218" customFormat="1" ht="12.75" customHeight="1"/>
    <row r="1647" s="1218" customFormat="1" ht="12.75" customHeight="1"/>
    <row r="1648" s="1218" customFormat="1" ht="12.75" customHeight="1"/>
    <row r="1649" s="1218" customFormat="1" ht="12.75" customHeight="1"/>
    <row r="1650" s="1218" customFormat="1" ht="12.75" customHeight="1"/>
    <row r="1651" s="1218" customFormat="1" ht="12.75" customHeight="1"/>
    <row r="1652" s="1218" customFormat="1" ht="12.75" customHeight="1"/>
    <row r="1653" s="1218" customFormat="1" ht="12.75" customHeight="1"/>
    <row r="1654" s="1218" customFormat="1" ht="12.75" customHeight="1"/>
    <row r="1655" s="1218" customFormat="1" ht="12.75" customHeight="1"/>
    <row r="1656" s="1218" customFormat="1" ht="12.75" customHeight="1"/>
    <row r="1657" s="1218" customFormat="1" ht="12.75" customHeight="1"/>
    <row r="1658" s="1218" customFormat="1" ht="12.75" customHeight="1"/>
    <row r="1659" s="1218" customFormat="1" ht="12.75" customHeight="1"/>
    <row r="1660" s="1218" customFormat="1" ht="12.75" customHeight="1"/>
    <row r="1661" s="1218" customFormat="1" ht="12.75" customHeight="1"/>
    <row r="1662" s="1218" customFormat="1" ht="12.75" customHeight="1"/>
    <row r="1663" s="1218" customFormat="1" ht="12.75" customHeight="1"/>
    <row r="1664" s="1218" customFormat="1" ht="12.75" customHeight="1"/>
    <row r="1665" s="1218" customFormat="1" ht="12.75" customHeight="1"/>
    <row r="1666" s="1218" customFormat="1" ht="12.75" customHeight="1"/>
    <row r="1667" s="1218" customFormat="1" ht="12.75" customHeight="1"/>
    <row r="1668" s="1218" customFormat="1" ht="12.75" customHeight="1"/>
    <row r="1669" s="1218" customFormat="1" ht="12.75" customHeight="1"/>
    <row r="1670" s="1218" customFormat="1" ht="12.75" customHeight="1"/>
    <row r="1671" s="1218" customFormat="1" ht="12.75" customHeight="1"/>
    <row r="1672" s="1218" customFormat="1" ht="12.75" customHeight="1"/>
    <row r="1673" s="1218" customFormat="1" ht="12.75" customHeight="1"/>
    <row r="1674" s="1218" customFormat="1" ht="12.75" customHeight="1"/>
    <row r="1675" s="1218" customFormat="1" ht="12.75" customHeight="1"/>
    <row r="1676" s="1218" customFormat="1" ht="12.75" customHeight="1"/>
    <row r="1677" s="1218" customFormat="1" ht="12.75" customHeight="1"/>
    <row r="1678" s="1218" customFormat="1" ht="12.75" customHeight="1"/>
    <row r="1679" s="1218" customFormat="1" ht="12.75" customHeight="1"/>
    <row r="1680" s="1218" customFormat="1" ht="12.75" customHeight="1"/>
    <row r="1681" s="1218" customFormat="1" ht="12.75" customHeight="1"/>
    <row r="1682" s="1218" customFormat="1" ht="12.75" customHeight="1"/>
    <row r="1683" s="1218" customFormat="1" ht="12.75" customHeight="1"/>
    <row r="1684" s="1218" customFormat="1" ht="12.75" customHeight="1"/>
    <row r="1685" s="1218" customFormat="1" ht="12.75" customHeight="1"/>
    <row r="1686" s="1218" customFormat="1" ht="12.75" customHeight="1"/>
    <row r="1687" s="1218" customFormat="1" ht="12.75" customHeight="1"/>
    <row r="1688" s="1218" customFormat="1" ht="12.75" customHeight="1"/>
    <row r="1689" s="1218" customFormat="1" ht="12.75" customHeight="1"/>
    <row r="1690" s="1218" customFormat="1" ht="12.75" customHeight="1"/>
    <row r="1691" s="1218" customFormat="1" ht="12.75" customHeight="1"/>
    <row r="1692" s="1218" customFormat="1" ht="12.75" customHeight="1"/>
    <row r="1693" s="1218" customFormat="1" ht="12.75" customHeight="1"/>
    <row r="1694" s="1218" customFormat="1" ht="12.75" customHeight="1"/>
    <row r="1695" s="1218" customFormat="1" ht="12.75" customHeight="1"/>
    <row r="1696" s="1218" customFormat="1" ht="12.75" customHeight="1"/>
    <row r="1697" s="1218" customFormat="1" ht="12.75" customHeight="1"/>
    <row r="1698" s="1218" customFormat="1" ht="12.75" customHeight="1"/>
    <row r="1699" s="1218" customFormat="1" ht="12.75" customHeight="1"/>
    <row r="1700" s="1218" customFormat="1" ht="12.75" customHeight="1"/>
    <row r="1701" s="1218" customFormat="1" ht="12.75" customHeight="1"/>
    <row r="1702" s="1218" customFormat="1" ht="12.75" customHeight="1"/>
    <row r="1703" s="1218" customFormat="1" ht="12.75" customHeight="1"/>
    <row r="1704" s="1218" customFormat="1" ht="12.75" customHeight="1"/>
    <row r="1705" s="1218" customFormat="1" ht="12.75" customHeight="1"/>
    <row r="1706" s="1218" customFormat="1" ht="12.75" customHeight="1"/>
    <row r="1707" s="1218" customFormat="1" ht="12.75" customHeight="1"/>
    <row r="1708" s="1218" customFormat="1" ht="12.75" customHeight="1"/>
    <row r="1709" s="1218" customFormat="1" ht="12.75" customHeight="1"/>
    <row r="1710" s="1218" customFormat="1" ht="12.75" customHeight="1"/>
    <row r="1711" s="1218" customFormat="1" ht="12.75" customHeight="1"/>
    <row r="1712" s="1218" customFormat="1" ht="12.75" customHeight="1"/>
    <row r="1713" s="1218" customFormat="1" ht="12.75" customHeight="1"/>
    <row r="1714" s="1218" customFormat="1" ht="12.75" customHeight="1"/>
    <row r="1715" s="1218" customFormat="1" ht="12.75" customHeight="1"/>
    <row r="1716" s="1218" customFormat="1" ht="12.75" customHeight="1"/>
    <row r="1717" s="1218" customFormat="1" ht="12.75" customHeight="1"/>
    <row r="1718" s="1218" customFormat="1" ht="12.75" customHeight="1"/>
    <row r="1719" s="1218" customFormat="1" ht="12.75" customHeight="1"/>
    <row r="1720" s="1218" customFormat="1" ht="12.75" customHeight="1"/>
    <row r="1721" s="1218" customFormat="1" ht="12.75" customHeight="1"/>
    <row r="1722" s="1218" customFormat="1" ht="12.75" customHeight="1"/>
    <row r="1723" s="1218" customFormat="1" ht="12.75" customHeight="1"/>
    <row r="1724" s="1218" customFormat="1" ht="12.75" customHeight="1"/>
    <row r="1725" s="1218" customFormat="1" ht="12.75" customHeight="1"/>
    <row r="1726" s="1218" customFormat="1" ht="12.75" customHeight="1"/>
    <row r="1727" s="1218" customFormat="1" ht="12.75" customHeight="1"/>
    <row r="1728" s="1218" customFormat="1" ht="12.75" customHeight="1"/>
    <row r="1729" s="1218" customFormat="1" ht="12.75" customHeight="1"/>
    <row r="1730" s="1218" customFormat="1" ht="12.75" customHeight="1"/>
    <row r="1731" s="1218" customFormat="1" ht="12.75" customHeight="1"/>
    <row r="1732" s="1218" customFormat="1" ht="12.75" customHeight="1"/>
    <row r="1733" s="1218" customFormat="1" ht="12.75" customHeight="1"/>
    <row r="1734" s="1218" customFormat="1" ht="12.75" customHeight="1"/>
    <row r="1735" s="1218" customFormat="1" ht="12.75" customHeight="1"/>
    <row r="1736" s="1218" customFormat="1" ht="12.75" customHeight="1"/>
    <row r="1737" s="1218" customFormat="1" ht="12.75" customHeight="1"/>
    <row r="1738" s="1218" customFormat="1" ht="12.75" customHeight="1"/>
    <row r="1739" s="1218" customFormat="1" ht="12.75" customHeight="1"/>
    <row r="1740" s="1218" customFormat="1" ht="12.75" customHeight="1"/>
    <row r="1741" s="1218" customFormat="1" ht="12.75" customHeight="1"/>
    <row r="1742" s="1218" customFormat="1" ht="12.75" customHeight="1"/>
    <row r="1743" s="1218" customFormat="1" ht="12.75" customHeight="1"/>
    <row r="1744" s="1218" customFormat="1" ht="12.75" customHeight="1"/>
    <row r="1745" s="1218" customFormat="1" ht="12.75" customHeight="1"/>
    <row r="1746" s="1218" customFormat="1" ht="12.75" customHeight="1"/>
    <row r="1747" s="1218" customFormat="1" ht="12.75" customHeight="1"/>
    <row r="1748" s="1218" customFormat="1" ht="12.75" customHeight="1"/>
    <row r="1749" s="1218" customFormat="1" ht="12.75" customHeight="1"/>
    <row r="1750" s="1218" customFormat="1" ht="12.75" customHeight="1"/>
    <row r="1751" s="1218" customFormat="1" ht="12.75" customHeight="1"/>
    <row r="1752" s="1218" customFormat="1" ht="12.75" customHeight="1"/>
    <row r="1753" s="1218" customFormat="1" ht="12.75" customHeight="1"/>
    <row r="1754" s="1218" customFormat="1" ht="12.75" customHeight="1"/>
    <row r="1755" s="1218" customFormat="1" ht="12.75" customHeight="1"/>
    <row r="1756" s="1218" customFormat="1" ht="12.75" customHeight="1"/>
    <row r="1757" s="1218" customFormat="1" ht="12.75" customHeight="1"/>
    <row r="1758" s="1218" customFormat="1" ht="12.75" customHeight="1"/>
    <row r="1759" s="1218" customFormat="1" ht="12.75" customHeight="1"/>
    <row r="1760" s="1218" customFormat="1" ht="12.75" customHeight="1"/>
    <row r="1761" s="1218" customFormat="1" ht="12.75" customHeight="1"/>
    <row r="1762" s="1218" customFormat="1" ht="12.75" customHeight="1"/>
    <row r="1763" s="1218" customFormat="1" ht="12.75" customHeight="1"/>
    <row r="1764" s="1218" customFormat="1" ht="12.75" customHeight="1"/>
    <row r="1765" s="1218" customFormat="1" ht="12.75" customHeight="1"/>
    <row r="1766" s="1218" customFormat="1" ht="12.75" customHeight="1"/>
    <row r="1767" s="1218" customFormat="1" ht="12.75" customHeight="1"/>
    <row r="1768" s="1218" customFormat="1" ht="12.75" customHeight="1"/>
    <row r="1769" s="1218" customFormat="1" ht="12.75" customHeight="1"/>
    <row r="1770" s="1218" customFormat="1" ht="12.75" customHeight="1"/>
    <row r="1771" s="1218" customFormat="1" ht="12.75" customHeight="1"/>
    <row r="1772" s="1218" customFormat="1" ht="12.75" customHeight="1"/>
    <row r="1773" s="1218" customFormat="1" ht="12.75" customHeight="1"/>
    <row r="1774" s="1218" customFormat="1" ht="12.75" customHeight="1"/>
    <row r="1775" s="1218" customFormat="1" ht="12.75" customHeight="1"/>
    <row r="1776" s="1218" customFormat="1" ht="12.75" customHeight="1"/>
    <row r="1777" s="1218" customFormat="1" ht="12.75" customHeight="1"/>
    <row r="1778" s="1218" customFormat="1" ht="12.75" customHeight="1"/>
    <row r="1779" s="1218" customFormat="1" ht="12.75" customHeight="1"/>
    <row r="1780" s="1218" customFormat="1" ht="12.75" customHeight="1"/>
    <row r="1781" s="1218" customFormat="1" ht="12.75" customHeight="1"/>
    <row r="1782" s="1218" customFormat="1" ht="12.75" customHeight="1"/>
    <row r="1783" s="1218" customFormat="1" ht="12.75" customHeight="1"/>
    <row r="1784" s="1218" customFormat="1" ht="12.75" customHeight="1"/>
    <row r="1785" s="1218" customFormat="1" ht="12.75" customHeight="1"/>
    <row r="1786" s="1218" customFormat="1" ht="12.75" customHeight="1"/>
    <row r="1787" s="1218" customFormat="1" ht="12.75" customHeight="1"/>
    <row r="1788" s="1218" customFormat="1" ht="12.75" customHeight="1"/>
    <row r="1789" s="1218" customFormat="1" ht="12.75" customHeight="1"/>
    <row r="1790" s="1218" customFormat="1" ht="12.75" customHeight="1"/>
    <row r="1791" s="1218" customFormat="1" ht="12.75" customHeight="1"/>
    <row r="1792" s="1218" customFormat="1" ht="12.75" customHeight="1"/>
    <row r="1793" s="1218" customFormat="1" ht="12.75" customHeight="1"/>
    <row r="1794" s="1218" customFormat="1" ht="12.75" customHeight="1"/>
    <row r="1795" s="1218" customFormat="1" ht="12.75" customHeight="1"/>
    <row r="1796" s="1218" customFormat="1" ht="12.75" customHeight="1"/>
    <row r="1797" s="1218" customFormat="1" ht="12.75" customHeight="1"/>
    <row r="1798" s="1218" customFormat="1" ht="12.75" customHeight="1"/>
    <row r="1799" s="1218" customFormat="1" ht="12.75" customHeight="1"/>
    <row r="1800" s="1218" customFormat="1" ht="12.75" customHeight="1"/>
    <row r="1801" s="1218" customFormat="1" ht="12.75" customHeight="1"/>
    <row r="1802" s="1218" customFormat="1" ht="12.75" customHeight="1"/>
    <row r="1803" s="1218" customFormat="1" ht="12.75" customHeight="1"/>
    <row r="1804" s="1218" customFormat="1" ht="12.75" customHeight="1"/>
    <row r="1805" s="1218" customFormat="1" ht="12.75" customHeight="1"/>
    <row r="1806" s="1218" customFormat="1" ht="12.75" customHeight="1"/>
    <row r="1807" s="1218" customFormat="1" ht="12.75" customHeight="1"/>
    <row r="1808" s="1218" customFormat="1" ht="12.75" customHeight="1"/>
    <row r="1809" s="1218" customFormat="1" ht="12.75" customHeight="1"/>
    <row r="1810" s="1218" customFormat="1" ht="12.75" customHeight="1"/>
    <row r="1811" s="1218" customFormat="1" ht="12.75" customHeight="1"/>
    <row r="1812" s="1218" customFormat="1" ht="12.75" customHeight="1"/>
    <row r="1813" s="1218" customFormat="1" ht="12.75" customHeight="1"/>
    <row r="1814" s="1218" customFormat="1" ht="12.75" customHeight="1"/>
    <row r="1815" s="1218" customFormat="1" ht="12.75" customHeight="1"/>
    <row r="1816" s="1218" customFormat="1" ht="12.75" customHeight="1"/>
    <row r="1817" s="1218" customFormat="1" ht="12.75" customHeight="1"/>
    <row r="1818" s="1218" customFormat="1" ht="12.75" customHeight="1"/>
    <row r="1819" s="1218" customFormat="1" ht="12.75" customHeight="1"/>
    <row r="1820" s="1218" customFormat="1" ht="12.75" customHeight="1"/>
    <row r="1821" s="1218" customFormat="1" ht="12.75" customHeight="1"/>
    <row r="1822" s="1218" customFormat="1" ht="12.75" customHeight="1"/>
    <row r="1823" s="1218" customFormat="1" ht="12.75" customHeight="1"/>
    <row r="1824" s="1218" customFormat="1" ht="12.75" customHeight="1"/>
    <row r="1825" s="1218" customFormat="1" ht="12.75" customHeight="1"/>
    <row r="1826" s="1218" customFormat="1" ht="12.75" customHeight="1"/>
    <row r="1827" s="1218" customFormat="1" ht="12.75" customHeight="1"/>
    <row r="1828" s="1218" customFormat="1" ht="12.75" customHeight="1"/>
    <row r="1829" s="1218" customFormat="1" ht="12.75" customHeight="1"/>
    <row r="1830" s="1218" customFormat="1" ht="12.75" customHeight="1"/>
    <row r="1831" s="1218" customFormat="1" ht="12.75" customHeight="1"/>
    <row r="1832" s="1218" customFormat="1" ht="12.75" customHeight="1"/>
    <row r="1833" s="1218" customFormat="1" ht="12.75" customHeight="1"/>
    <row r="1834" s="1218" customFormat="1" ht="12.75" customHeight="1"/>
    <row r="1835" s="1218" customFormat="1" ht="12.75" customHeight="1"/>
    <row r="1836" s="1218" customFormat="1" ht="12.75" customHeight="1"/>
    <row r="1837" s="1218" customFormat="1" ht="12.75" customHeight="1"/>
    <row r="1838" s="1218" customFormat="1" ht="12.75" customHeight="1"/>
    <row r="1839" s="1218" customFormat="1" ht="12.75" customHeight="1"/>
    <row r="1840" s="1218" customFormat="1" ht="12.75" customHeight="1"/>
    <row r="1841" s="1218" customFormat="1" ht="12.75" customHeight="1"/>
    <row r="1842" s="1218" customFormat="1" ht="12.75" customHeight="1"/>
    <row r="1843" s="1218" customFormat="1" ht="12.75" customHeight="1"/>
    <row r="1844" s="1218" customFormat="1" ht="12.75" customHeight="1"/>
    <row r="1845" s="1218" customFormat="1" ht="12.75" customHeight="1"/>
    <row r="1846" s="1218" customFormat="1" ht="12.75" customHeight="1"/>
    <row r="1847" s="1218" customFormat="1" ht="12.75" customHeight="1"/>
    <row r="1848" s="1218" customFormat="1" ht="12.75" customHeight="1"/>
    <row r="1849" s="1218" customFormat="1" ht="12.75" customHeight="1"/>
    <row r="1850" s="1218" customFormat="1" ht="12.75" customHeight="1"/>
    <row r="1851" s="1218" customFormat="1" ht="12.75" customHeight="1"/>
    <row r="1852" s="1218" customFormat="1" ht="12.75" customHeight="1"/>
    <row r="1853" s="1218" customFormat="1" ht="12.75" customHeight="1"/>
    <row r="1854" s="1218" customFormat="1" ht="12.75" customHeight="1"/>
    <row r="1855" s="1218" customFormat="1" ht="12.75" customHeight="1"/>
    <row r="1856" s="1218" customFormat="1" ht="12.75" customHeight="1"/>
    <row r="1857" s="1218" customFormat="1" ht="12.75" customHeight="1"/>
    <row r="1858" s="1218" customFormat="1" ht="12.75" customHeight="1"/>
    <row r="1859" s="1218" customFormat="1" ht="12.75" customHeight="1"/>
    <row r="1860" s="1218" customFormat="1" ht="12.75" customHeight="1"/>
    <row r="1861" s="1218" customFormat="1" ht="12.75" customHeight="1"/>
    <row r="1862" s="1218" customFormat="1" ht="12.75" customHeight="1"/>
    <row r="1863" s="1218" customFormat="1" ht="12.75" customHeight="1"/>
    <row r="1864" s="1218" customFormat="1" ht="12.75" customHeight="1"/>
    <row r="1865" s="1218" customFormat="1" ht="12.75" customHeight="1"/>
    <row r="1866" s="1218" customFormat="1" ht="12.75" customHeight="1"/>
    <row r="1867" s="1218" customFormat="1" ht="12.75" customHeight="1"/>
    <row r="1868" s="1218" customFormat="1" ht="12.75" customHeight="1"/>
    <row r="1869" s="1218" customFormat="1" ht="12.75" customHeight="1"/>
    <row r="1870" s="1218" customFormat="1" ht="12.75" customHeight="1"/>
    <row r="1871" s="1218" customFormat="1" ht="12.75" customHeight="1"/>
    <row r="1872" s="1218" customFormat="1" ht="12.75" customHeight="1"/>
    <row r="1873" s="1218" customFormat="1" ht="12.75" customHeight="1"/>
    <row r="1874" s="1218" customFormat="1" ht="12.75" customHeight="1"/>
    <row r="1875" s="1218" customFormat="1" ht="12.75" customHeight="1"/>
    <row r="1876" s="1218" customFormat="1" ht="12.75" customHeight="1"/>
    <row r="1877" s="1218" customFormat="1" ht="12.75" customHeight="1"/>
    <row r="1878" s="1218" customFormat="1" ht="12.75" customHeight="1"/>
    <row r="1879" s="1218" customFormat="1" ht="12.75" customHeight="1"/>
    <row r="1880" s="1218" customFormat="1" ht="12.75" customHeight="1"/>
    <row r="1881" s="1218" customFormat="1" ht="12.75" customHeight="1"/>
    <row r="1882" s="1218" customFormat="1" ht="12.75" customHeight="1"/>
    <row r="1883" s="1218" customFormat="1" ht="12.75" customHeight="1"/>
    <row r="1884" s="1218" customFormat="1" ht="12.75" customHeight="1"/>
    <row r="1885" s="1218" customFormat="1" ht="12.75" customHeight="1"/>
    <row r="1886" s="1218" customFormat="1" ht="12.75" customHeight="1"/>
    <row r="1887" s="1218" customFormat="1" ht="12.75" customHeight="1"/>
    <row r="1888" s="1218" customFormat="1" ht="12.75" customHeight="1"/>
    <row r="1889" s="1218" customFormat="1" ht="12.75" customHeight="1"/>
    <row r="1890" s="1218" customFormat="1" ht="12.75" customHeight="1"/>
    <row r="1891" s="1218" customFormat="1" ht="12.75" customHeight="1"/>
    <row r="1892" s="1218" customFormat="1" ht="12.75" customHeight="1"/>
    <row r="1893" s="1218" customFormat="1" ht="12.75" customHeight="1"/>
    <row r="1894" s="1218" customFormat="1" ht="12.75" customHeight="1"/>
    <row r="1895" s="1218" customFormat="1" ht="12.75" customHeight="1"/>
    <row r="1896" s="1218" customFormat="1" ht="12.75" customHeight="1"/>
    <row r="1897" s="1218" customFormat="1" ht="12.75" customHeight="1"/>
    <row r="1898" s="1218" customFormat="1" ht="12.75" customHeight="1"/>
    <row r="1899" s="1218" customFormat="1" ht="12.75" customHeight="1"/>
    <row r="1900" s="1218" customFormat="1" ht="12.75" customHeight="1"/>
    <row r="1901" s="1218" customFormat="1" ht="12.75" customHeight="1"/>
    <row r="1902" s="1218" customFormat="1" ht="12.75" customHeight="1"/>
    <row r="1903" s="1218" customFormat="1" ht="12.75" customHeight="1"/>
    <row r="1904" s="1218" customFormat="1" ht="12.75" customHeight="1"/>
    <row r="1905" s="1218" customFormat="1" ht="12.75" customHeight="1"/>
    <row r="1906" s="1218" customFormat="1" ht="12.75" customHeight="1"/>
    <row r="1907" s="1218" customFormat="1" ht="12.75" customHeight="1"/>
    <row r="1908" s="1218" customFormat="1" ht="12.75" customHeight="1"/>
    <row r="1909" s="1218" customFormat="1" ht="12.75" customHeight="1"/>
    <row r="1910" s="1218" customFormat="1" ht="12.75" customHeight="1"/>
    <row r="1911" s="1218" customFormat="1" ht="12.75" customHeight="1"/>
    <row r="1912" s="1218" customFormat="1" ht="12.75" customHeight="1"/>
  </sheetData>
  <mergeCells count="44">
    <mergeCell ref="V3:Y3"/>
    <mergeCell ref="B3:E3"/>
    <mergeCell ref="F3:I3"/>
    <mergeCell ref="J3:M3"/>
    <mergeCell ref="N3:Q3"/>
    <mergeCell ref="R3:U3"/>
    <mergeCell ref="B28:E28"/>
    <mergeCell ref="F28:I28"/>
    <mergeCell ref="J28:M28"/>
    <mergeCell ref="N28:Q28"/>
    <mergeCell ref="R28:U28"/>
    <mergeCell ref="AL28:AO28"/>
    <mergeCell ref="AP28:AS28"/>
    <mergeCell ref="Z3:AC3"/>
    <mergeCell ref="AD3:AG3"/>
    <mergeCell ref="AH3:AK3"/>
    <mergeCell ref="AL3:AO3"/>
    <mergeCell ref="AP3:AS3"/>
    <mergeCell ref="V64:Y64"/>
    <mergeCell ref="V28:Y28"/>
    <mergeCell ref="Z28:AC28"/>
    <mergeCell ref="AD28:AG28"/>
    <mergeCell ref="AH28:AK28"/>
    <mergeCell ref="B64:E64"/>
    <mergeCell ref="F64:I64"/>
    <mergeCell ref="J64:M64"/>
    <mergeCell ref="N64:Q64"/>
    <mergeCell ref="R64:U64"/>
    <mergeCell ref="B88:E88"/>
    <mergeCell ref="F88:I88"/>
    <mergeCell ref="J88:M88"/>
    <mergeCell ref="N88:Q88"/>
    <mergeCell ref="R88:U88"/>
    <mergeCell ref="AP88:AS88"/>
    <mergeCell ref="Z64:AC64"/>
    <mergeCell ref="AD64:AG64"/>
    <mergeCell ref="AH64:AK64"/>
    <mergeCell ref="AL64:AO64"/>
    <mergeCell ref="AP64:AS64"/>
    <mergeCell ref="V88:Y88"/>
    <mergeCell ref="Z88:AC88"/>
    <mergeCell ref="AD88:AG88"/>
    <mergeCell ref="AH88:AK88"/>
    <mergeCell ref="AL88:AO88"/>
  </mergeCells>
  <pageMargins left="0.7" right="0.7" top="0.75" bottom="0.75" header="0.3" footer="0.3"/>
  <pageSetup scale="53" orientation="portrait" r:id="rId1"/>
  <rowBreaks count="1" manualBreakCount="1">
    <brk id="86" max="4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7926F-42AD-4111-A038-F47806F91151}">
  <sheetPr>
    <tabColor rgb="FF008000"/>
    <pageSetUpPr fitToPage="1"/>
  </sheetPr>
  <dimension ref="A1:BM100"/>
  <sheetViews>
    <sheetView showGridLines="0" zoomScaleNormal="100" workbookViewId="0">
      <pane xSplit="1" ySplit="4" topLeftCell="AD20" activePane="bottomRight" state="frozen"/>
      <selection activeCell="N24" sqref="N24"/>
      <selection pane="topRight" activeCell="N24" sqref="N24"/>
      <selection pane="bottomLeft" activeCell="N24" sqref="N24"/>
      <selection pane="bottomRight" activeCell="N24" sqref="N24"/>
    </sheetView>
  </sheetViews>
  <sheetFormatPr defaultColWidth="6.86328125" defaultRowHeight="12.75" outlineLevelRow="1" outlineLevelCol="1"/>
  <cols>
    <col min="1" max="1" width="40" style="33" customWidth="1"/>
    <col min="2" max="17" width="8.86328125" style="454" hidden="1" customWidth="1" outlineLevel="1"/>
    <col min="18" max="18" width="8.86328125" style="454" hidden="1" customWidth="1" outlineLevel="1" collapsed="1"/>
    <col min="19" max="25" width="8.86328125" style="454" hidden="1" customWidth="1" outlineLevel="1"/>
    <col min="26" max="26" width="8.86328125" style="454" hidden="1" customWidth="1" outlineLevel="1" collapsed="1"/>
    <col min="27" max="29" width="8.86328125" style="454" hidden="1" customWidth="1" outlineLevel="1"/>
    <col min="30" max="30" width="8.86328125" style="454" customWidth="1" collapsed="1"/>
    <col min="31" max="45" width="8.86328125" style="454" customWidth="1"/>
    <col min="46" max="46" width="2.59765625" style="454" customWidth="1"/>
    <col min="47" max="47" width="9.1328125" style="454" hidden="1" customWidth="1" outlineLevel="1" collapsed="1"/>
    <col min="48" max="50" width="9.1328125" style="454" hidden="1" customWidth="1" outlineLevel="1"/>
    <col min="51" max="51" width="9.1328125" style="454" hidden="1" customWidth="1" outlineLevel="1" collapsed="1"/>
    <col min="52" max="52" width="9.1328125" style="454" hidden="1" customWidth="1" outlineLevel="1"/>
    <col min="53" max="53" width="9.1328125" style="454" hidden="1" customWidth="1" outlineLevel="1" collapsed="1"/>
    <col min="54" max="54" width="9.1328125" style="454" customWidth="1" collapsed="1"/>
    <col min="55" max="57" width="9.1328125" style="454" customWidth="1"/>
    <col min="58" max="59" width="6.86328125" style="454"/>
    <col min="61" max="16384" width="6.86328125" style="454"/>
  </cols>
  <sheetData>
    <row r="1" spans="1:58" s="33" customFormat="1" ht="15.75">
      <c r="A1" s="28" t="str">
        <f>+'Income Statement'!A1</f>
        <v>Tenable Holdings, Inc. (TENB)</v>
      </c>
    </row>
    <row r="2" spans="1:58" s="33" customFormat="1" ht="15.75">
      <c r="A2" s="28" t="s">
        <v>233</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6"/>
      <c r="AU2" s="39">
        <f>+'Income Statement'!AU2</f>
        <v>2017</v>
      </c>
      <c r="AV2" s="39">
        <f>+'Income Statement'!AV2</f>
        <v>2018</v>
      </c>
      <c r="AW2" s="39">
        <f>+'Income Statement'!AW2</f>
        <v>2019</v>
      </c>
      <c r="AX2" s="39">
        <f>+'Income Statement'!AX2</f>
        <v>2020</v>
      </c>
      <c r="AY2" s="39">
        <f>+'Income Statement'!AY2</f>
        <v>2021</v>
      </c>
      <c r="AZ2" s="39">
        <f>+'Income Statement'!AZ2</f>
        <v>2022</v>
      </c>
      <c r="BA2" s="39">
        <f>+'Income Statement'!BA2</f>
        <v>2023</v>
      </c>
      <c r="BB2" s="39">
        <f>+'Income Statement'!BB2</f>
        <v>2024</v>
      </c>
      <c r="BC2" s="39">
        <f>+'Income Statement'!BC2</f>
        <v>2025</v>
      </c>
      <c r="BD2" s="39">
        <f>+'Income Statement'!BD2</f>
        <v>2026</v>
      </c>
      <c r="BE2" s="39">
        <f>+'Income Statement'!BE2</f>
        <v>2027</v>
      </c>
    </row>
    <row r="3" spans="1:58" s="45" customFormat="1" ht="12" customHeight="1">
      <c r="A3" s="1219"/>
      <c r="B3" s="1733">
        <f>'Income Statement'!B$3</f>
        <v>2017</v>
      </c>
      <c r="C3" s="1733"/>
      <c r="D3" s="1733"/>
      <c r="E3" s="1734"/>
      <c r="F3" s="1733">
        <f>'Income Statement'!F$3</f>
        <v>2018</v>
      </c>
      <c r="G3" s="1733"/>
      <c r="H3" s="1733"/>
      <c r="I3" s="1733"/>
      <c r="J3" s="1731">
        <f>'Income Statement'!J$3</f>
        <v>2019</v>
      </c>
      <c r="K3" s="1733"/>
      <c r="L3" s="1733"/>
      <c r="M3" s="1734"/>
      <c r="N3" s="1731">
        <f>'Income Statement'!N$3</f>
        <v>2020</v>
      </c>
      <c r="O3" s="1733"/>
      <c r="P3" s="1733"/>
      <c r="Q3" s="1734"/>
      <c r="R3" s="1733">
        <f>'Income Statement'!R$3</f>
        <v>2021</v>
      </c>
      <c r="S3" s="1733"/>
      <c r="T3" s="1733"/>
      <c r="U3" s="1733"/>
      <c r="V3" s="1731">
        <f>'Income Statement'!V$3</f>
        <v>2022</v>
      </c>
      <c r="W3" s="1733"/>
      <c r="X3" s="1733"/>
      <c r="Y3" s="1734"/>
      <c r="Z3" s="1731">
        <f>'Income Statement'!Z$3</f>
        <v>2023</v>
      </c>
      <c r="AA3" s="1733"/>
      <c r="AB3" s="1733"/>
      <c r="AC3" s="1734"/>
      <c r="AD3" s="1731">
        <f>'Income Statement'!AD$3</f>
        <v>2024</v>
      </c>
      <c r="AE3" s="1733"/>
      <c r="AF3" s="1733"/>
      <c r="AG3" s="1734"/>
      <c r="AH3" s="1731">
        <f>'Income Statement'!AH$3</f>
        <v>2025</v>
      </c>
      <c r="AI3" s="1733"/>
      <c r="AJ3" s="1733"/>
      <c r="AK3" s="1734"/>
      <c r="AL3" s="1731">
        <f>'Income Statement'!AL$3</f>
        <v>2026</v>
      </c>
      <c r="AM3" s="1733"/>
      <c r="AN3" s="1733"/>
      <c r="AO3" s="1734"/>
      <c r="AP3" s="1731">
        <f>'Income Statement'!AP$3</f>
        <v>2027</v>
      </c>
      <c r="AQ3" s="1733"/>
      <c r="AR3" s="1733"/>
      <c r="AS3" s="1734"/>
      <c r="AT3" s="41"/>
      <c r="AU3" s="750"/>
      <c r="AV3" s="750"/>
      <c r="AW3" s="750"/>
      <c r="AX3" s="750"/>
      <c r="AY3" s="750"/>
      <c r="AZ3" s="750"/>
      <c r="BA3" s="652"/>
      <c r="BB3" s="750"/>
      <c r="BC3" s="750"/>
      <c r="BD3" s="750"/>
      <c r="BE3" s="653"/>
    </row>
    <row r="4" spans="1:58" s="62" customFormat="1" ht="12" customHeight="1">
      <c r="A4" s="654" t="str">
        <f>'Income Statement'!A4</f>
        <v>($ in millions, unless otherwise stated)</v>
      </c>
      <c r="B4" s="48">
        <f>'Income Statement'!B$4</f>
        <v>42825</v>
      </c>
      <c r="C4" s="48">
        <f>'Income Statement'!C$4</f>
        <v>42916</v>
      </c>
      <c r="D4" s="48">
        <f>'Income Statement'!D$4</f>
        <v>43008</v>
      </c>
      <c r="E4" s="50">
        <f>'Income Statement'!E$4</f>
        <v>43100</v>
      </c>
      <c r="F4" s="48">
        <f>'Income Statement'!F$4</f>
        <v>43190</v>
      </c>
      <c r="G4" s="48">
        <f>'Income Statement'!G$4</f>
        <v>43281</v>
      </c>
      <c r="H4" s="48">
        <f>'Income Statement'!H$4</f>
        <v>43373</v>
      </c>
      <c r="I4" s="48">
        <f>'Income Statement'!I$4</f>
        <v>43465</v>
      </c>
      <c r="J4" s="655">
        <f>'Income Statement'!J$4</f>
        <v>43555</v>
      </c>
      <c r="K4" s="48">
        <f>'Income Statement'!K$4</f>
        <v>43646</v>
      </c>
      <c r="L4" s="48">
        <f>'Income Statement'!L$4</f>
        <v>43738</v>
      </c>
      <c r="M4" s="50">
        <f>'Income Statement'!M$4</f>
        <v>43830</v>
      </c>
      <c r="N4" s="655">
        <f>'Income Statement'!N$4</f>
        <v>43921</v>
      </c>
      <c r="O4" s="48">
        <f>'Income Statement'!O$4</f>
        <v>44012</v>
      </c>
      <c r="P4" s="48">
        <f>'Income Statement'!P$4</f>
        <v>44104</v>
      </c>
      <c r="Q4" s="50">
        <f>'Income Statement'!Q$4</f>
        <v>44196</v>
      </c>
      <c r="R4" s="48">
        <f>'Income Statement'!R$4</f>
        <v>44286</v>
      </c>
      <c r="S4" s="48">
        <f>'Income Statement'!S$4</f>
        <v>44377</v>
      </c>
      <c r="T4" s="48">
        <f>'Income Statement'!T$4</f>
        <v>44469</v>
      </c>
      <c r="U4" s="48">
        <f>'Income Statement'!U$4</f>
        <v>44561</v>
      </c>
      <c r="V4" s="655">
        <f>'Income Statement'!V$4</f>
        <v>44651</v>
      </c>
      <c r="W4" s="48">
        <f>'Income Statement'!W$4</f>
        <v>44742</v>
      </c>
      <c r="X4" s="48">
        <f>'Income Statement'!X$4</f>
        <v>44834</v>
      </c>
      <c r="Y4" s="50">
        <f>'Income Statement'!Y$4</f>
        <v>44926</v>
      </c>
      <c r="Z4" s="655">
        <f>'Income Statement'!Z$4</f>
        <v>45016</v>
      </c>
      <c r="AA4" s="48">
        <f>'Income Statement'!AA$4</f>
        <v>45107</v>
      </c>
      <c r="AB4" s="48">
        <f>'Income Statement'!AB$4</f>
        <v>45199</v>
      </c>
      <c r="AC4" s="50">
        <f>'Income Statement'!AC$4</f>
        <v>45291</v>
      </c>
      <c r="AD4" s="655">
        <f>'Income Statement'!AD$4</f>
        <v>45382</v>
      </c>
      <c r="AE4" s="48">
        <f>'Income Statement'!AE$4</f>
        <v>45473</v>
      </c>
      <c r="AF4" s="48" t="str">
        <f>'Income Statement'!AF$4</f>
        <v>Sep-24</v>
      </c>
      <c r="AG4" s="50" t="str">
        <f>'Income Statement'!AG$4</f>
        <v>Dec-24</v>
      </c>
      <c r="AH4" s="655" t="str">
        <f>'Income Statement'!AH$4</f>
        <v>Mar-25</v>
      </c>
      <c r="AI4" s="48" t="str">
        <f>'Income Statement'!AI$4</f>
        <v>Jun-25</v>
      </c>
      <c r="AJ4" s="48" t="str">
        <f>'Income Statement'!AJ$4</f>
        <v>Sep-25</v>
      </c>
      <c r="AK4" s="50" t="str">
        <f>'Income Statement'!AK$4</f>
        <v>Dec-25</v>
      </c>
      <c r="AL4" s="655" t="str">
        <f>'Income Statement'!AL$4</f>
        <v>Mar-26E</v>
      </c>
      <c r="AM4" s="48" t="str">
        <f>'Income Statement'!AM$4</f>
        <v>Jun-26E</v>
      </c>
      <c r="AN4" s="48" t="str">
        <f>'Income Statement'!AN$4</f>
        <v>Sep-26E</v>
      </c>
      <c r="AO4" s="50" t="str">
        <f>'Income Statement'!AO$4</f>
        <v>Dec-26E</v>
      </c>
      <c r="AP4" s="655" t="str">
        <f>'Income Statement'!AP$4</f>
        <v>Mar-27E</v>
      </c>
      <c r="AQ4" s="48" t="str">
        <f>'Income Statement'!AQ$4</f>
        <v>Jun-27E</v>
      </c>
      <c r="AR4" s="48" t="str">
        <f>'Income Statement'!AR$4</f>
        <v>Sep-27E</v>
      </c>
      <c r="AS4" s="50" t="str">
        <f>'Income Statement'!AS$4</f>
        <v>Dec-27E</v>
      </c>
      <c r="AT4" s="48"/>
      <c r="AU4" s="907">
        <f>'Income Statement'!AU$4</f>
        <v>2017</v>
      </c>
      <c r="AV4" s="907">
        <f>'Income Statement'!AV$4</f>
        <v>2018</v>
      </c>
      <c r="AW4" s="907">
        <f>'Income Statement'!AW$4</f>
        <v>2019</v>
      </c>
      <c r="AX4" s="907">
        <f>'Income Statement'!AX$4</f>
        <v>2020</v>
      </c>
      <c r="AY4" s="907" t="str">
        <f>'Income Statement'!AY$4</f>
        <v>CY21</v>
      </c>
      <c r="AZ4" s="906" t="str">
        <f>'Income Statement'!AZ$4</f>
        <v>CY22</v>
      </c>
      <c r="BA4" s="61" t="str">
        <f>'Income Statement'!BA$4</f>
        <v>CY23</v>
      </c>
      <c r="BB4" s="907" t="str">
        <f>'Income Statement'!BB$4</f>
        <v>CY24</v>
      </c>
      <c r="BC4" s="907" t="str">
        <f>'Income Statement'!BC$4</f>
        <v>CY25</v>
      </c>
      <c r="BD4" s="907" t="str">
        <f>'Income Statement'!BD$4</f>
        <v>CY26E</v>
      </c>
      <c r="BE4" s="907" t="str">
        <f>'Income Statement'!BE$4</f>
        <v>CY27E</v>
      </c>
    </row>
    <row r="5" spans="1:58" s="215" customFormat="1" ht="12" customHeight="1">
      <c r="A5" s="1220" t="s">
        <v>234</v>
      </c>
      <c r="B5" s="1221"/>
      <c r="C5" s="1221"/>
      <c r="D5" s="1221"/>
      <c r="E5" s="1222"/>
      <c r="F5" s="1221"/>
      <c r="G5" s="1221"/>
      <c r="H5" s="1221"/>
      <c r="I5" s="1221"/>
      <c r="J5" s="1223"/>
      <c r="K5" s="1221"/>
      <c r="L5" s="1221"/>
      <c r="M5" s="1222"/>
      <c r="N5" s="1223"/>
      <c r="O5" s="1221"/>
      <c r="P5" s="1221"/>
      <c r="Q5" s="1222"/>
      <c r="R5" s="1221"/>
      <c r="S5" s="1221"/>
      <c r="T5" s="1221"/>
      <c r="U5" s="1221"/>
      <c r="V5" s="1223"/>
      <c r="W5" s="1221"/>
      <c r="X5" s="1221"/>
      <c r="Y5" s="1222"/>
      <c r="Z5" s="1223"/>
      <c r="AA5" s="1221"/>
      <c r="AB5" s="1221"/>
      <c r="AC5" s="1222"/>
      <c r="AD5" s="1223"/>
      <c r="AE5" s="1221"/>
      <c r="AF5" s="1221"/>
      <c r="AG5" s="1224"/>
      <c r="AH5" s="1223"/>
      <c r="AI5" s="1221"/>
      <c r="AJ5" s="1221"/>
      <c r="AK5" s="1222"/>
      <c r="AL5" s="1223"/>
      <c r="AM5" s="1221"/>
      <c r="AN5" s="1221"/>
      <c r="AO5" s="1222"/>
      <c r="AP5" s="1223"/>
      <c r="AQ5" s="1221"/>
      <c r="AR5" s="1221"/>
      <c r="AS5" s="1222"/>
      <c r="AT5" s="1225"/>
      <c r="AU5" s="1226"/>
      <c r="AV5" s="1226"/>
      <c r="AW5" s="1226"/>
      <c r="AX5" s="1226"/>
      <c r="AY5" s="1226"/>
      <c r="AZ5" s="1227"/>
      <c r="BA5" s="1228"/>
      <c r="BB5" s="1226"/>
      <c r="BC5" s="1226"/>
      <c r="BD5" s="1229"/>
      <c r="BE5" s="1229"/>
    </row>
    <row r="6" spans="1:58" ht="12.75" customHeight="1">
      <c r="A6" s="1230" t="s">
        <v>235</v>
      </c>
      <c r="B6" s="1231"/>
      <c r="C6" s="1231"/>
      <c r="D6" s="1231"/>
      <c r="E6" s="1232">
        <v>27.21</v>
      </c>
      <c r="F6" s="1231">
        <v>26.423999999999999</v>
      </c>
      <c r="G6" s="1231">
        <v>23.655000000000001</v>
      </c>
      <c r="H6" s="1231">
        <v>253.02600000000001</v>
      </c>
      <c r="I6" s="1231">
        <v>165.11600000000001</v>
      </c>
      <c r="J6" s="1233">
        <v>167.96600000000001</v>
      </c>
      <c r="K6" s="1231">
        <v>185.66300000000001</v>
      </c>
      <c r="L6" s="1231">
        <v>171.303</v>
      </c>
      <c r="M6" s="1232">
        <v>74.363</v>
      </c>
      <c r="N6" s="1233">
        <v>107.76900000000001</v>
      </c>
      <c r="O6" s="1231">
        <v>136.46700000000001</v>
      </c>
      <c r="P6" s="1231">
        <v>141.387</v>
      </c>
      <c r="Q6" s="1232">
        <v>178.22300000000001</v>
      </c>
      <c r="R6" s="1231">
        <v>228.386</v>
      </c>
      <c r="S6" s="1231">
        <v>135.92699999999999</v>
      </c>
      <c r="T6" s="1231">
        <v>435.85399999999998</v>
      </c>
      <c r="U6" s="1231">
        <v>278</v>
      </c>
      <c r="V6" s="1233">
        <v>287.45499999999998</v>
      </c>
      <c r="W6" s="1231">
        <v>267.85899999999998</v>
      </c>
      <c r="X6" s="1231">
        <v>288.17899999999997</v>
      </c>
      <c r="Y6" s="1232">
        <v>300.86599999999999</v>
      </c>
      <c r="Z6" s="1233">
        <v>360.43400000000003</v>
      </c>
      <c r="AA6" s="1231">
        <v>376.05900000000003</v>
      </c>
      <c r="AB6" s="1231">
        <v>445.31599999999997</v>
      </c>
      <c r="AC6" s="1232">
        <v>237.13200000000001</v>
      </c>
      <c r="AD6" s="1233">
        <v>259.97699999999998</v>
      </c>
      <c r="AE6" s="1231">
        <v>233.46700000000001</v>
      </c>
      <c r="AF6" s="1231">
        <v>312.20699999999999</v>
      </c>
      <c r="AG6" s="1232">
        <v>328.64699999999999</v>
      </c>
      <c r="AH6" s="1233">
        <v>233.441</v>
      </c>
      <c r="AI6" s="1231">
        <v>175.02500000000001</v>
      </c>
      <c r="AJ6" s="1231">
        <v>171.852</v>
      </c>
      <c r="AK6" s="1232">
        <v>187.762</v>
      </c>
      <c r="AL6" s="1233">
        <f>AK6+'Cash Flow'!AL42</f>
        <v>260.82048215767668</v>
      </c>
      <c r="AM6" s="1231">
        <f>AL6+'Cash Flow'!AM42</f>
        <v>301.6400992661446</v>
      </c>
      <c r="AN6" s="1231">
        <f>AM6+'Cash Flow'!AN42</f>
        <v>354.3357139045242</v>
      </c>
      <c r="AO6" s="1232">
        <f>AN6+'Cash Flow'!AO42</f>
        <v>449.41875996708188</v>
      </c>
      <c r="AP6" s="1233">
        <f>AO6+'Cash Flow'!AP42</f>
        <v>526.62110289376415</v>
      </c>
      <c r="AQ6" s="1231">
        <f>AP6+'Cash Flow'!AQ42</f>
        <v>573.25010574510634</v>
      </c>
      <c r="AR6" s="1231">
        <f>AQ6+'Cash Flow'!AR42</f>
        <v>632.09771688781109</v>
      </c>
      <c r="AS6" s="1232">
        <f>AR6+'Cash Flow'!AS42</f>
        <v>736.42460647264045</v>
      </c>
      <c r="AT6" s="1231"/>
      <c r="AU6" s="1234">
        <f>E6</f>
        <v>27.21</v>
      </c>
      <c r="AV6" s="1234">
        <f>I6</f>
        <v>165.11600000000001</v>
      </c>
      <c r="AW6" s="1234">
        <f>M6</f>
        <v>74.363</v>
      </c>
      <c r="AX6" s="1234">
        <f>Q6</f>
        <v>178.22300000000001</v>
      </c>
      <c r="AY6" s="1234">
        <f>U6</f>
        <v>278</v>
      </c>
      <c r="AZ6" s="1235">
        <f>Y6</f>
        <v>300.86599999999999</v>
      </c>
      <c r="BA6" s="1236">
        <f>AC6</f>
        <v>237.13200000000001</v>
      </c>
      <c r="BB6" s="1234">
        <f>AG6</f>
        <v>328.64699999999999</v>
      </c>
      <c r="BC6" s="1234">
        <f>AK6</f>
        <v>187.762</v>
      </c>
      <c r="BD6" s="1237">
        <f>AO6</f>
        <v>449.41875996708188</v>
      </c>
      <c r="BE6" s="1237">
        <f t="shared" ref="BE6:BE11" si="0">AS6</f>
        <v>736.42460647264045</v>
      </c>
      <c r="BF6" s="1238"/>
    </row>
    <row r="7" spans="1:58" ht="12.75" customHeight="1">
      <c r="A7" s="1239" t="s">
        <v>236</v>
      </c>
      <c r="B7" s="1231"/>
      <c r="C7" s="1231"/>
      <c r="D7" s="1231"/>
      <c r="E7" s="1232">
        <v>0</v>
      </c>
      <c r="F7" s="1231">
        <v>0</v>
      </c>
      <c r="G7" s="1231">
        <v>0</v>
      </c>
      <c r="H7" s="1231">
        <v>34.125</v>
      </c>
      <c r="I7" s="1231">
        <v>118.119</v>
      </c>
      <c r="J7" s="1233">
        <v>131.01400000000001</v>
      </c>
      <c r="K7" s="1231">
        <v>111.301</v>
      </c>
      <c r="L7" s="1231">
        <v>125.333</v>
      </c>
      <c r="M7" s="1232">
        <v>137.904</v>
      </c>
      <c r="N7" s="1233">
        <v>118.92400000000001</v>
      </c>
      <c r="O7" s="1231">
        <v>105.634</v>
      </c>
      <c r="P7" s="1231">
        <v>127.72</v>
      </c>
      <c r="Q7" s="1232">
        <v>113.623</v>
      </c>
      <c r="R7" s="1231">
        <v>111.94499999999999</v>
      </c>
      <c r="S7" s="1231">
        <v>125.111</v>
      </c>
      <c r="T7" s="1231">
        <v>216.041</v>
      </c>
      <c r="U7" s="1231">
        <v>234.292</v>
      </c>
      <c r="V7" s="1233">
        <v>238.64500000000001</v>
      </c>
      <c r="W7" s="1231">
        <v>243.047</v>
      </c>
      <c r="X7" s="1231">
        <v>259.83199999999999</v>
      </c>
      <c r="Y7" s="1232">
        <v>266.56900000000002</v>
      </c>
      <c r="Z7" s="1233">
        <v>256.25299999999999</v>
      </c>
      <c r="AA7" s="1231">
        <v>269.48700000000002</v>
      </c>
      <c r="AB7" s="1231">
        <v>247.65799999999999</v>
      </c>
      <c r="AC7" s="1232">
        <v>236.84</v>
      </c>
      <c r="AD7" s="1233">
        <v>250.79400000000001</v>
      </c>
      <c r="AE7" s="1231">
        <v>253.536</v>
      </c>
      <c r="AF7" s="1231">
        <v>236.24199999999999</v>
      </c>
      <c r="AG7" s="1232">
        <v>248.547</v>
      </c>
      <c r="AH7" s="1233">
        <v>226.83600000000001</v>
      </c>
      <c r="AI7" s="1231">
        <v>211.489</v>
      </c>
      <c r="AJ7" s="1231">
        <v>211.71899999999999</v>
      </c>
      <c r="AK7" s="1232">
        <v>214.41900000000001</v>
      </c>
      <c r="AL7" s="1233">
        <f t="shared" ref="AL7:AS7" si="1">AK7</f>
        <v>214.41900000000001</v>
      </c>
      <c r="AM7" s="1231">
        <f t="shared" si="1"/>
        <v>214.41900000000001</v>
      </c>
      <c r="AN7" s="1231">
        <f t="shared" si="1"/>
        <v>214.41900000000001</v>
      </c>
      <c r="AO7" s="1232">
        <f t="shared" si="1"/>
        <v>214.41900000000001</v>
      </c>
      <c r="AP7" s="1233">
        <f t="shared" si="1"/>
        <v>214.41900000000001</v>
      </c>
      <c r="AQ7" s="1231">
        <f t="shared" si="1"/>
        <v>214.41900000000001</v>
      </c>
      <c r="AR7" s="1231">
        <f t="shared" si="1"/>
        <v>214.41900000000001</v>
      </c>
      <c r="AS7" s="1232">
        <f t="shared" si="1"/>
        <v>214.41900000000001</v>
      </c>
      <c r="AT7" s="1231"/>
      <c r="AU7" s="1234">
        <f t="shared" ref="AU7:AU11" si="2">E7</f>
        <v>0</v>
      </c>
      <c r="AV7" s="1234">
        <f t="shared" ref="AV7:AV11" si="3">I7</f>
        <v>118.119</v>
      </c>
      <c r="AW7" s="1234">
        <f t="shared" ref="AW7:AW11" si="4">M7</f>
        <v>137.904</v>
      </c>
      <c r="AX7" s="1234">
        <f t="shared" ref="AX7:AX11" si="5">Q7</f>
        <v>113.623</v>
      </c>
      <c r="AY7" s="1234">
        <f t="shared" ref="AY7:AY11" si="6">U7</f>
        <v>234.292</v>
      </c>
      <c r="AZ7" s="1235">
        <f t="shared" ref="AZ7:AZ11" si="7">Y7</f>
        <v>266.56900000000002</v>
      </c>
      <c r="BA7" s="1236">
        <f t="shared" ref="BA7:BA11" si="8">AC7</f>
        <v>236.84</v>
      </c>
      <c r="BB7" s="1234">
        <f t="shared" ref="BB7:BB19" si="9">AG7</f>
        <v>248.547</v>
      </c>
      <c r="BC7" s="1234">
        <f t="shared" ref="BC7:BC11" si="10">AK7</f>
        <v>214.41900000000001</v>
      </c>
      <c r="BD7" s="1237">
        <f t="shared" ref="BD7:BD11" si="11">AO7</f>
        <v>214.41900000000001</v>
      </c>
      <c r="BE7" s="1237">
        <f t="shared" si="0"/>
        <v>214.41900000000001</v>
      </c>
      <c r="BF7" s="1238"/>
    </row>
    <row r="8" spans="1:58" ht="12" customHeight="1">
      <c r="A8" s="1239" t="s">
        <v>237</v>
      </c>
      <c r="B8" s="1231"/>
      <c r="C8" s="1231"/>
      <c r="D8" s="1231"/>
      <c r="E8" s="1232">
        <v>50.881</v>
      </c>
      <c r="F8" s="1231">
        <v>43.088000000000001</v>
      </c>
      <c r="G8" s="1231">
        <v>49.93</v>
      </c>
      <c r="H8" s="1231">
        <v>59.034999999999997</v>
      </c>
      <c r="I8" s="1231">
        <v>68.260999999999996</v>
      </c>
      <c r="J8" s="1233">
        <v>56.975000000000001</v>
      </c>
      <c r="K8" s="1231">
        <v>68.983000000000004</v>
      </c>
      <c r="L8" s="1231">
        <v>81.200999999999993</v>
      </c>
      <c r="M8" s="1232">
        <v>94.826999999999998</v>
      </c>
      <c r="N8" s="1233">
        <v>74.378</v>
      </c>
      <c r="O8" s="1231">
        <v>81.781999999999996</v>
      </c>
      <c r="P8" s="1231">
        <v>87.501999999999995</v>
      </c>
      <c r="Q8" s="1232">
        <v>115.342</v>
      </c>
      <c r="R8" s="1231">
        <v>82.822000000000003</v>
      </c>
      <c r="S8" s="1231">
        <v>100.483</v>
      </c>
      <c r="T8" s="1231">
        <v>115.42100000000001</v>
      </c>
      <c r="U8" s="1231">
        <v>136.601</v>
      </c>
      <c r="V8" s="1233">
        <v>96.381</v>
      </c>
      <c r="W8" s="1231">
        <v>109.354</v>
      </c>
      <c r="X8" s="1231">
        <v>147.94399999999999</v>
      </c>
      <c r="Y8" s="1232">
        <v>187.34100000000001</v>
      </c>
      <c r="Z8" s="1233">
        <v>123.855</v>
      </c>
      <c r="AA8" s="1231">
        <v>154.43600000000001</v>
      </c>
      <c r="AB8" s="1231">
        <v>179.43199999999999</v>
      </c>
      <c r="AC8" s="1232">
        <v>220.06</v>
      </c>
      <c r="AD8" s="1233">
        <v>156.804</v>
      </c>
      <c r="AE8" s="1231">
        <v>179.61199999999999</v>
      </c>
      <c r="AF8" s="1231">
        <v>192.648</v>
      </c>
      <c r="AG8" s="1232">
        <v>258.73399999999998</v>
      </c>
      <c r="AH8" s="1233">
        <v>167.79300000000001</v>
      </c>
      <c r="AI8" s="1231">
        <v>181.114</v>
      </c>
      <c r="AJ8" s="1231">
        <v>200.99299999999999</v>
      </c>
      <c r="AK8" s="1232">
        <v>279.14999999999998</v>
      </c>
      <c r="AL8" s="1233">
        <f t="shared" ref="AL8:AO8" si="12">(AL59*AL66)/(365/4)</f>
        <v>175.75889650969219</v>
      </c>
      <c r="AM8" s="1231">
        <f t="shared" si="12"/>
        <v>188.65376303786419</v>
      </c>
      <c r="AN8" s="1231">
        <f t="shared" si="12"/>
        <v>208.08632512212992</v>
      </c>
      <c r="AO8" s="1232">
        <f t="shared" si="12"/>
        <v>291.13030651610563</v>
      </c>
      <c r="AP8" s="1233">
        <f>(AP59*AP66)/(365/4)</f>
        <v>181.30105760240494</v>
      </c>
      <c r="AQ8" s="1231">
        <f t="shared" ref="AQ8:AS8" si="13">(AQ59*AQ66)/(365/4)</f>
        <v>194.86923631103724</v>
      </c>
      <c r="AR8" s="1231">
        <f t="shared" si="13"/>
        <v>215.47463074346663</v>
      </c>
      <c r="AS8" s="1232">
        <f t="shared" si="13"/>
        <v>303.75607046431639</v>
      </c>
      <c r="AT8" s="1231"/>
      <c r="AU8" s="1234">
        <f t="shared" si="2"/>
        <v>50.881</v>
      </c>
      <c r="AV8" s="1234">
        <f t="shared" si="3"/>
        <v>68.260999999999996</v>
      </c>
      <c r="AW8" s="1234">
        <f t="shared" si="4"/>
        <v>94.826999999999998</v>
      </c>
      <c r="AX8" s="1234">
        <f t="shared" si="5"/>
        <v>115.342</v>
      </c>
      <c r="AY8" s="1234">
        <f t="shared" si="6"/>
        <v>136.601</v>
      </c>
      <c r="AZ8" s="1235">
        <f t="shared" si="7"/>
        <v>187.34100000000001</v>
      </c>
      <c r="BA8" s="1236">
        <f t="shared" si="8"/>
        <v>220.06</v>
      </c>
      <c r="BB8" s="1234">
        <f t="shared" si="9"/>
        <v>258.73399999999998</v>
      </c>
      <c r="BC8" s="1234">
        <f t="shared" si="10"/>
        <v>279.14999999999998</v>
      </c>
      <c r="BD8" s="1237">
        <f t="shared" si="11"/>
        <v>291.13030651610563</v>
      </c>
      <c r="BE8" s="1237">
        <f t="shared" si="0"/>
        <v>303.75607046431639</v>
      </c>
      <c r="BF8" s="1238"/>
    </row>
    <row r="9" spans="1:58" ht="12" customHeight="1">
      <c r="A9" s="1239" t="s">
        <v>238</v>
      </c>
      <c r="B9" s="1231"/>
      <c r="C9" s="1231"/>
      <c r="D9" s="1231"/>
      <c r="E9" s="1232">
        <v>17.170000000000002</v>
      </c>
      <c r="F9" s="1231">
        <v>18.125</v>
      </c>
      <c r="G9" s="1231">
        <v>19.077999999999999</v>
      </c>
      <c r="H9" s="1231">
        <v>20.401</v>
      </c>
      <c r="I9" s="1231">
        <v>23.271999999999998</v>
      </c>
      <c r="J9" s="1233">
        <v>23.838000000000001</v>
      </c>
      <c r="K9" s="1231">
        <v>24.867000000000001</v>
      </c>
      <c r="L9" s="1231">
        <v>26.03</v>
      </c>
      <c r="M9" s="1232">
        <v>28.498999999999999</v>
      </c>
      <c r="N9" s="1233">
        <v>28.751000000000001</v>
      </c>
      <c r="O9" s="1231">
        <v>29.62</v>
      </c>
      <c r="P9" s="1231">
        <v>30.131</v>
      </c>
      <c r="Q9" s="1232">
        <v>32.143000000000001</v>
      </c>
      <c r="R9" s="1231">
        <v>31.936</v>
      </c>
      <c r="S9" s="1231">
        <v>32.686</v>
      </c>
      <c r="T9" s="1231">
        <v>34.247999999999998</v>
      </c>
      <c r="U9" s="1231">
        <v>40.311</v>
      </c>
      <c r="V9" s="1233">
        <v>40.335000000000001</v>
      </c>
      <c r="W9" s="1231">
        <v>40.67</v>
      </c>
      <c r="X9" s="1231">
        <v>41.283000000000001</v>
      </c>
      <c r="Y9" s="1232">
        <v>44.27</v>
      </c>
      <c r="Z9" s="1233">
        <v>44.045000000000002</v>
      </c>
      <c r="AA9" s="1231">
        <v>45.036000000000001</v>
      </c>
      <c r="AB9" s="1231">
        <v>46.131999999999998</v>
      </c>
      <c r="AC9" s="1232">
        <v>49.558999999999997</v>
      </c>
      <c r="AD9" s="1233">
        <v>49.167999999999999</v>
      </c>
      <c r="AE9" s="1231">
        <v>49.387999999999998</v>
      </c>
      <c r="AF9" s="1231">
        <v>49.857999999999997</v>
      </c>
      <c r="AG9" s="1232">
        <v>51.790999999999997</v>
      </c>
      <c r="AH9" s="1233">
        <v>51.247</v>
      </c>
      <c r="AI9" s="1231">
        <v>50.784999999999997</v>
      </c>
      <c r="AJ9" s="1231">
        <v>50.582000000000001</v>
      </c>
      <c r="AK9" s="1232">
        <v>52.914000000000001</v>
      </c>
      <c r="AL9" s="1233">
        <f t="shared" ref="AL9:AS9" si="14">AL59*AL70</f>
        <v>52.825130273648796</v>
      </c>
      <c r="AM9" s="1231">
        <f t="shared" si="14"/>
        <v>51.875753071217567</v>
      </c>
      <c r="AN9" s="1231">
        <f t="shared" si="14"/>
        <v>51.162006926952934</v>
      </c>
      <c r="AO9" s="1232">
        <f t="shared" si="14"/>
        <v>53.563470037047132</v>
      </c>
      <c r="AP9" s="1233">
        <f t="shared" si="14"/>
        <v>53.550342427351275</v>
      </c>
      <c r="AQ9" s="1231">
        <f t="shared" si="14"/>
        <v>52.460432346986018</v>
      </c>
      <c r="AR9" s="1231">
        <f t="shared" si="14"/>
        <v>51.657965324228826</v>
      </c>
      <c r="AS9" s="1232">
        <f t="shared" si="14"/>
        <v>54.122485020137013</v>
      </c>
      <c r="AT9" s="1231"/>
      <c r="AU9" s="1234">
        <f t="shared" si="2"/>
        <v>17.170000000000002</v>
      </c>
      <c r="AV9" s="1234">
        <f t="shared" si="3"/>
        <v>23.271999999999998</v>
      </c>
      <c r="AW9" s="1234">
        <f t="shared" si="4"/>
        <v>28.498999999999999</v>
      </c>
      <c r="AX9" s="1234">
        <f t="shared" si="5"/>
        <v>32.143000000000001</v>
      </c>
      <c r="AY9" s="1234">
        <f t="shared" si="6"/>
        <v>40.311</v>
      </c>
      <c r="AZ9" s="1235">
        <f t="shared" si="7"/>
        <v>44.27</v>
      </c>
      <c r="BA9" s="1236">
        <f t="shared" si="8"/>
        <v>49.558999999999997</v>
      </c>
      <c r="BB9" s="1234">
        <f t="shared" si="9"/>
        <v>51.790999999999997</v>
      </c>
      <c r="BC9" s="1234">
        <f t="shared" si="10"/>
        <v>52.914000000000001</v>
      </c>
      <c r="BD9" s="1237">
        <f t="shared" si="11"/>
        <v>53.563470037047132</v>
      </c>
      <c r="BE9" s="1237">
        <f t="shared" si="0"/>
        <v>54.122485020137013</v>
      </c>
      <c r="BF9" s="1238"/>
    </row>
    <row r="10" spans="1:58" ht="12" customHeight="1">
      <c r="A10" s="1239" t="s">
        <v>239</v>
      </c>
      <c r="B10" s="1231"/>
      <c r="C10" s="1231"/>
      <c r="D10" s="1231"/>
      <c r="E10" s="1232">
        <v>15.994</v>
      </c>
      <c r="F10" s="1231">
        <v>14.795</v>
      </c>
      <c r="G10" s="1231">
        <v>13.324</v>
      </c>
      <c r="H10" s="1231">
        <v>14.718</v>
      </c>
      <c r="I10" s="1231">
        <v>22.02</v>
      </c>
      <c r="J10" s="1233">
        <v>20.635999999999999</v>
      </c>
      <c r="K10" s="1231">
        <v>20.315999999999999</v>
      </c>
      <c r="L10" s="1231">
        <v>21.126000000000001</v>
      </c>
      <c r="M10" s="1232">
        <v>27.369</v>
      </c>
      <c r="N10" s="1233">
        <v>25.632000000000001</v>
      </c>
      <c r="O10" s="1231">
        <v>26.297999999999998</v>
      </c>
      <c r="P10" s="1231">
        <v>34.235999999999997</v>
      </c>
      <c r="Q10" s="1232">
        <v>44.462000000000003</v>
      </c>
      <c r="R10" s="1231">
        <v>42.57</v>
      </c>
      <c r="S10" s="1231">
        <v>42.255000000000003</v>
      </c>
      <c r="T10" s="1231">
        <v>45.194000000000003</v>
      </c>
      <c r="U10" s="1231">
        <v>60.234000000000002</v>
      </c>
      <c r="V10" s="1233">
        <v>59.414999999999999</v>
      </c>
      <c r="W10" s="1231">
        <v>49.444000000000003</v>
      </c>
      <c r="X10" s="1231">
        <v>48.582999999999998</v>
      </c>
      <c r="Y10" s="1232">
        <v>58.121000000000002</v>
      </c>
      <c r="Z10" s="1233">
        <v>66.465999999999994</v>
      </c>
      <c r="AA10" s="1231">
        <v>54.703000000000003</v>
      </c>
      <c r="AB10" s="1231">
        <v>52.529000000000003</v>
      </c>
      <c r="AC10" s="1232">
        <v>61.881999999999998</v>
      </c>
      <c r="AD10" s="1233">
        <v>66.013000000000005</v>
      </c>
      <c r="AE10" s="1231">
        <v>58.886000000000003</v>
      </c>
      <c r="AF10" s="1231">
        <v>52.575000000000003</v>
      </c>
      <c r="AG10" s="1232">
        <v>53.026000000000003</v>
      </c>
      <c r="AH10" s="1233">
        <v>67.105999999999995</v>
      </c>
      <c r="AI10" s="1231">
        <v>54.079000000000001</v>
      </c>
      <c r="AJ10" s="1231">
        <v>44.186</v>
      </c>
      <c r="AK10" s="1232">
        <v>39.338999999999999</v>
      </c>
      <c r="AL10" s="1233">
        <f t="shared" ref="AL10:AS10" si="15">AL59*AL71</f>
        <v>69.972667640576532</v>
      </c>
      <c r="AM10" s="1231">
        <f t="shared" si="15"/>
        <v>55.412732574604213</v>
      </c>
      <c r="AN10" s="1231">
        <f t="shared" si="15"/>
        <v>44.35284050364443</v>
      </c>
      <c r="AO10" s="1232">
        <f t="shared" si="15"/>
        <v>39.110213654938136</v>
      </c>
      <c r="AP10" s="1233">
        <f t="shared" si="15"/>
        <v>71.827936443813897</v>
      </c>
      <c r="AQ10" s="1231">
        <f t="shared" si="15"/>
        <v>56.230241617913507</v>
      </c>
      <c r="AR10" s="1231">
        <f t="shared" si="15"/>
        <v>44.40162607695941</v>
      </c>
      <c r="AS10" s="1232">
        <f t="shared" si="15"/>
        <v>38.72078077577256</v>
      </c>
      <c r="AT10" s="1231"/>
      <c r="AU10" s="1234">
        <f t="shared" si="2"/>
        <v>15.994</v>
      </c>
      <c r="AV10" s="1234">
        <f t="shared" si="3"/>
        <v>22.02</v>
      </c>
      <c r="AW10" s="1240">
        <f t="shared" si="4"/>
        <v>27.369</v>
      </c>
      <c r="AX10" s="1240">
        <f t="shared" si="5"/>
        <v>44.462000000000003</v>
      </c>
      <c r="AY10" s="1240">
        <f t="shared" si="6"/>
        <v>60.234000000000002</v>
      </c>
      <c r="AZ10" s="1241">
        <f t="shared" si="7"/>
        <v>58.121000000000002</v>
      </c>
      <c r="BA10" s="1242">
        <f t="shared" si="8"/>
        <v>61.881999999999998</v>
      </c>
      <c r="BB10" s="1240">
        <f t="shared" si="9"/>
        <v>53.026000000000003</v>
      </c>
      <c r="BC10" s="1240">
        <f t="shared" si="10"/>
        <v>39.338999999999999</v>
      </c>
      <c r="BD10" s="1243">
        <f t="shared" si="11"/>
        <v>39.110213654938136</v>
      </c>
      <c r="BE10" s="1243">
        <f t="shared" si="0"/>
        <v>38.72078077577256</v>
      </c>
      <c r="BF10" s="1238"/>
    </row>
    <row r="11" spans="1:58" s="1252" customFormat="1" ht="12" customHeight="1">
      <c r="A11" s="1244" t="s">
        <v>240</v>
      </c>
      <c r="B11" s="189"/>
      <c r="C11" s="189"/>
      <c r="D11" s="189"/>
      <c r="E11" s="1245">
        <f t="shared" ref="E11:T11" si="16">SUM(E6:E10)</f>
        <v>111.25500000000001</v>
      </c>
      <c r="F11" s="189">
        <f t="shared" si="16"/>
        <v>102.432</v>
      </c>
      <c r="G11" s="189">
        <f t="shared" si="16"/>
        <v>105.98700000000001</v>
      </c>
      <c r="H11" s="189">
        <f t="shared" si="16"/>
        <v>381.30500000000006</v>
      </c>
      <c r="I11" s="189">
        <f t="shared" si="16"/>
        <v>396.78799999999995</v>
      </c>
      <c r="J11" s="1246">
        <f t="shared" si="16"/>
        <v>400.42900000000009</v>
      </c>
      <c r="K11" s="189">
        <f t="shared" si="16"/>
        <v>411.13</v>
      </c>
      <c r="L11" s="189">
        <f t="shared" si="16"/>
        <v>424.99299999999994</v>
      </c>
      <c r="M11" s="1245">
        <f t="shared" si="16"/>
        <v>362.96199999999999</v>
      </c>
      <c r="N11" s="1246">
        <f t="shared" si="16"/>
        <v>355.45400000000001</v>
      </c>
      <c r="O11" s="189">
        <f t="shared" si="16"/>
        <v>379.80099999999999</v>
      </c>
      <c r="P11" s="189">
        <f t="shared" si="16"/>
        <v>420.976</v>
      </c>
      <c r="Q11" s="1245">
        <f t="shared" si="16"/>
        <v>483.79300000000001</v>
      </c>
      <c r="R11" s="189">
        <f t="shared" si="16"/>
        <v>497.65899999999999</v>
      </c>
      <c r="S11" s="189">
        <f t="shared" si="16"/>
        <v>436.46199999999999</v>
      </c>
      <c r="T11" s="189">
        <f t="shared" si="16"/>
        <v>846.75800000000004</v>
      </c>
      <c r="U11" s="189">
        <f t="shared" ref="U11:AS11" si="17">SUM(U6:U10)</f>
        <v>749.4380000000001</v>
      </c>
      <c r="V11" s="1246">
        <f t="shared" si="17"/>
        <v>722.23099999999999</v>
      </c>
      <c r="W11" s="189">
        <f t="shared" si="17"/>
        <v>710.37399999999991</v>
      </c>
      <c r="X11" s="189">
        <f t="shared" si="17"/>
        <v>785.82099999999991</v>
      </c>
      <c r="Y11" s="1245">
        <f t="shared" si="17"/>
        <v>857.16699999999992</v>
      </c>
      <c r="Z11" s="1246">
        <f t="shared" si="17"/>
        <v>851.053</v>
      </c>
      <c r="AA11" s="189">
        <f t="shared" si="17"/>
        <v>899.721</v>
      </c>
      <c r="AB11" s="189">
        <f t="shared" si="17"/>
        <v>971.06699999999989</v>
      </c>
      <c r="AC11" s="1245">
        <f t="shared" si="17"/>
        <v>805.47299999999984</v>
      </c>
      <c r="AD11" s="1246">
        <f t="shared" si="17"/>
        <v>782.75599999999997</v>
      </c>
      <c r="AE11" s="189">
        <f t="shared" si="17"/>
        <v>774.88900000000001</v>
      </c>
      <c r="AF11" s="189">
        <f t="shared" si="17"/>
        <v>843.53</v>
      </c>
      <c r="AG11" s="1245">
        <f t="shared" si="17"/>
        <v>940.74499999999978</v>
      </c>
      <c r="AH11" s="1246">
        <f t="shared" si="17"/>
        <v>746.423</v>
      </c>
      <c r="AI11" s="189">
        <f t="shared" si="17"/>
        <v>672.49199999999996</v>
      </c>
      <c r="AJ11" s="189">
        <f t="shared" si="17"/>
        <v>679.33200000000011</v>
      </c>
      <c r="AK11" s="1245">
        <f t="shared" si="17"/>
        <v>773.58400000000006</v>
      </c>
      <c r="AL11" s="1246">
        <f t="shared" si="17"/>
        <v>773.79617658159418</v>
      </c>
      <c r="AM11" s="189">
        <f t="shared" si="17"/>
        <v>812.00134794983057</v>
      </c>
      <c r="AN11" s="189">
        <f t="shared" si="17"/>
        <v>872.35588645725147</v>
      </c>
      <c r="AO11" s="1245">
        <f t="shared" si="17"/>
        <v>1047.6417501751728</v>
      </c>
      <c r="AP11" s="1246">
        <f t="shared" si="17"/>
        <v>1047.7194393673344</v>
      </c>
      <c r="AQ11" s="189">
        <f t="shared" si="17"/>
        <v>1091.229016021043</v>
      </c>
      <c r="AR11" s="189">
        <f t="shared" si="17"/>
        <v>1158.050939032466</v>
      </c>
      <c r="AS11" s="1245">
        <f t="shared" si="17"/>
        <v>1347.4429427328662</v>
      </c>
      <c r="AT11" s="189"/>
      <c r="AU11" s="1247">
        <f t="shared" si="2"/>
        <v>111.25500000000001</v>
      </c>
      <c r="AV11" s="1247">
        <f t="shared" si="3"/>
        <v>396.78799999999995</v>
      </c>
      <c r="AW11" s="1247">
        <f t="shared" si="4"/>
        <v>362.96199999999999</v>
      </c>
      <c r="AX11" s="1247">
        <f t="shared" si="5"/>
        <v>483.79300000000001</v>
      </c>
      <c r="AY11" s="1247">
        <f t="shared" si="6"/>
        <v>749.4380000000001</v>
      </c>
      <c r="AZ11" s="1248">
        <f t="shared" si="7"/>
        <v>857.16699999999992</v>
      </c>
      <c r="BA11" s="1249">
        <f t="shared" si="8"/>
        <v>805.47299999999984</v>
      </c>
      <c r="BB11" s="1247">
        <f t="shared" si="9"/>
        <v>940.74499999999978</v>
      </c>
      <c r="BC11" s="1247">
        <f t="shared" si="10"/>
        <v>773.58400000000006</v>
      </c>
      <c r="BD11" s="1250">
        <f t="shared" si="11"/>
        <v>1047.6417501751728</v>
      </c>
      <c r="BE11" s="1250">
        <f t="shared" si="0"/>
        <v>1347.4429427328662</v>
      </c>
      <c r="BF11" s="1251"/>
    </row>
    <row r="12" spans="1:58" ht="12" customHeight="1">
      <c r="A12" s="152"/>
      <c r="B12" s="1253"/>
      <c r="C12" s="1253"/>
      <c r="D12" s="1253"/>
      <c r="E12" s="1254"/>
      <c r="F12" s="1253"/>
      <c r="G12" s="1253"/>
      <c r="H12" s="1253"/>
      <c r="I12" s="1253"/>
      <c r="J12" s="1255"/>
      <c r="K12" s="1253"/>
      <c r="L12" s="1253"/>
      <c r="M12" s="1254"/>
      <c r="N12" s="1255"/>
      <c r="O12" s="1253"/>
      <c r="P12" s="1253"/>
      <c r="Q12" s="1254"/>
      <c r="R12" s="1253"/>
      <c r="S12" s="1253"/>
      <c r="T12" s="1231"/>
      <c r="U12" s="1253"/>
      <c r="V12" s="1255"/>
      <c r="W12" s="1253"/>
      <c r="X12" s="1253"/>
      <c r="Y12" s="1254"/>
      <c r="Z12" s="1255"/>
      <c r="AA12" s="1253"/>
      <c r="AB12" s="1253"/>
      <c r="AC12" s="1254"/>
      <c r="AD12" s="1255"/>
      <c r="AE12" s="1231"/>
      <c r="AF12" s="1231"/>
      <c r="AG12" s="1232"/>
      <c r="AH12" s="1233"/>
      <c r="AI12" s="1253"/>
      <c r="AJ12" s="1253"/>
      <c r="AK12" s="1232"/>
      <c r="AL12" s="1255"/>
      <c r="AM12" s="1253"/>
      <c r="AN12" s="1253"/>
      <c r="AO12" s="1254"/>
      <c r="AP12" s="1255"/>
      <c r="AQ12" s="1253"/>
      <c r="AR12" s="1253"/>
      <c r="AS12" s="1254"/>
      <c r="AT12" s="1231"/>
      <c r="AU12" s="1234"/>
      <c r="AV12" s="1234"/>
      <c r="AW12" s="1234"/>
      <c r="AX12" s="1234"/>
      <c r="AY12" s="1234"/>
      <c r="AZ12" s="1235"/>
      <c r="BA12" s="1236"/>
      <c r="BB12" s="1234"/>
      <c r="BC12" s="1234"/>
      <c r="BD12" s="1237"/>
      <c r="BE12" s="1237"/>
      <c r="BF12" s="1238"/>
    </row>
    <row r="13" spans="1:58" s="1256" customFormat="1" ht="12" customHeight="1">
      <c r="A13" s="1230" t="s">
        <v>241</v>
      </c>
      <c r="B13" s="1231"/>
      <c r="C13" s="1231"/>
      <c r="D13" s="1231"/>
      <c r="E13" s="1232">
        <v>10.754</v>
      </c>
      <c r="F13" s="1231">
        <v>11.015000000000001</v>
      </c>
      <c r="G13" s="1231">
        <v>11.24</v>
      </c>
      <c r="H13" s="1231">
        <v>10.872</v>
      </c>
      <c r="I13" s="1231">
        <v>11.348000000000001</v>
      </c>
      <c r="J13" s="1233">
        <v>12.714</v>
      </c>
      <c r="K13" s="1231">
        <v>14.949</v>
      </c>
      <c r="L13" s="1231">
        <v>18.524999999999999</v>
      </c>
      <c r="M13" s="1232">
        <v>26.847000000000001</v>
      </c>
      <c r="N13" s="1233">
        <v>30.533999999999999</v>
      </c>
      <c r="O13" s="1231">
        <v>35.143999999999998</v>
      </c>
      <c r="P13" s="1231">
        <v>39.96</v>
      </c>
      <c r="Q13" s="1232">
        <v>38.92</v>
      </c>
      <c r="R13" s="1231">
        <v>38.909999999999997</v>
      </c>
      <c r="S13" s="1231">
        <v>37.406999999999996</v>
      </c>
      <c r="T13" s="1231">
        <v>36.055</v>
      </c>
      <c r="U13" s="1232">
        <v>36.832999999999998</v>
      </c>
      <c r="V13" s="1231">
        <v>39.597999999999999</v>
      </c>
      <c r="W13" s="1231">
        <v>43.372</v>
      </c>
      <c r="X13" s="1231">
        <v>45.759</v>
      </c>
      <c r="Y13" s="1232">
        <v>46.725999999999999</v>
      </c>
      <c r="Z13" s="1233">
        <v>45.091999999999999</v>
      </c>
      <c r="AA13" s="1231">
        <v>44.764000000000003</v>
      </c>
      <c r="AB13" s="1231">
        <v>44.076000000000001</v>
      </c>
      <c r="AC13" s="1232">
        <v>45.436</v>
      </c>
      <c r="AD13" s="1231">
        <v>45.581000000000003</v>
      </c>
      <c r="AE13" s="1231">
        <v>41.448</v>
      </c>
      <c r="AF13" s="1231">
        <v>39.78</v>
      </c>
      <c r="AG13" s="1231">
        <v>39.265000000000001</v>
      </c>
      <c r="AH13" s="1233">
        <v>41.343000000000004</v>
      </c>
      <c r="AI13" s="1231">
        <v>42.576999999999998</v>
      </c>
      <c r="AJ13" s="1231">
        <v>40.470999999999997</v>
      </c>
      <c r="AK13" s="1231">
        <v>40.061999999999998</v>
      </c>
      <c r="AL13" s="1233">
        <f>AK13+(-'Cash Flow'!AL23-'Cash Flow'!AL24)-'Cash Flow'!AL78</f>
        <v>44.502303007942473</v>
      </c>
      <c r="AM13" s="1231">
        <f>AL13+(-'Cash Flow'!AM23-'Cash Flow'!AM24)-'Cash Flow'!AM78</f>
        <v>46.667366508477258</v>
      </c>
      <c r="AN13" s="1231">
        <f>AM13+(-'Cash Flow'!AN23-'Cash Flow'!AN24)-'Cash Flow'!AN78</f>
        <v>45.346043842200118</v>
      </c>
      <c r="AO13" s="1232">
        <f>AN13+(-'Cash Flow'!AO23-'Cash Flow'!AO24)-'Cash Flow'!AO78</f>
        <v>43.39263997197353</v>
      </c>
      <c r="AP13" s="1233">
        <f>AO13+(-'Cash Flow'!AP23-'Cash Flow'!AP24)-'Cash Flow'!AP78</f>
        <v>48.238974219879537</v>
      </c>
      <c r="AQ13" s="1231">
        <f>AP13+(-'Cash Flow'!AQ23-'Cash Flow'!AQ24)-'Cash Flow'!AQ78</f>
        <v>50.802487095292349</v>
      </c>
      <c r="AR13" s="1231">
        <f>AQ13+(-'Cash Flow'!AR23-'Cash Flow'!AR24)-'Cash Flow'!AR78</f>
        <v>49.876686998066226</v>
      </c>
      <c r="AS13" s="1232">
        <f>AR13+(-'Cash Flow'!AS23-'Cash Flow'!AS24)-'Cash Flow'!AS78</f>
        <v>48.309256589407532</v>
      </c>
      <c r="AT13" s="1231"/>
      <c r="AU13" s="1234">
        <f t="shared" ref="AU13:AU19" si="18">E13</f>
        <v>10.754</v>
      </c>
      <c r="AV13" s="1234">
        <f t="shared" ref="AV13:AV19" si="19">I13</f>
        <v>11.348000000000001</v>
      </c>
      <c r="AW13" s="1234">
        <f t="shared" ref="AW13:AW19" si="20">M13</f>
        <v>26.847000000000001</v>
      </c>
      <c r="AX13" s="1234">
        <f t="shared" ref="AX13:AX19" si="21">Q13</f>
        <v>38.92</v>
      </c>
      <c r="AY13" s="1234">
        <f t="shared" ref="AY13:AY19" si="22">U13</f>
        <v>36.832999999999998</v>
      </c>
      <c r="AZ13" s="1235">
        <f t="shared" ref="AZ13:AZ19" si="23">Y13</f>
        <v>46.725999999999999</v>
      </c>
      <c r="BA13" s="1236">
        <f t="shared" ref="BA13:BA19" si="24">AC13</f>
        <v>45.436</v>
      </c>
      <c r="BB13" s="1234">
        <f t="shared" si="9"/>
        <v>39.265000000000001</v>
      </c>
      <c r="BC13" s="1234">
        <f t="shared" ref="BC13:BC19" si="25">AK13</f>
        <v>40.061999999999998</v>
      </c>
      <c r="BD13" s="1237">
        <f>AO13</f>
        <v>43.39263997197353</v>
      </c>
      <c r="BE13" s="1237">
        <f t="shared" ref="BE13:BE19" si="26">AS13</f>
        <v>48.309256589407532</v>
      </c>
      <c r="BF13" s="1238"/>
    </row>
    <row r="14" spans="1:58" s="1256" customFormat="1" ht="12" customHeight="1">
      <c r="A14" s="1230" t="s">
        <v>238</v>
      </c>
      <c r="B14" s="1231"/>
      <c r="C14" s="1231"/>
      <c r="D14" s="1231"/>
      <c r="E14" s="1232">
        <v>33.006</v>
      </c>
      <c r="F14" s="1231">
        <v>32.326000000000001</v>
      </c>
      <c r="G14" s="1231">
        <v>31.727</v>
      </c>
      <c r="H14" s="1231">
        <v>32.482999999999997</v>
      </c>
      <c r="I14" s="1231">
        <v>36.161999999999999</v>
      </c>
      <c r="J14" s="1233">
        <v>35.972999999999999</v>
      </c>
      <c r="K14" s="1231">
        <v>36.999000000000002</v>
      </c>
      <c r="L14" s="1231">
        <v>38.493000000000002</v>
      </c>
      <c r="M14" s="1232">
        <v>43.765999999999998</v>
      </c>
      <c r="N14" s="1233">
        <v>41.991</v>
      </c>
      <c r="O14" s="1231">
        <v>42.148000000000003</v>
      </c>
      <c r="P14" s="1231">
        <v>41.753</v>
      </c>
      <c r="Q14" s="1232">
        <v>46.732999999999997</v>
      </c>
      <c r="R14" s="1231">
        <v>45.363999999999997</v>
      </c>
      <c r="S14" s="1231">
        <v>45.811</v>
      </c>
      <c r="T14" s="1231">
        <v>46.99</v>
      </c>
      <c r="U14" s="1232">
        <v>59.637999999999998</v>
      </c>
      <c r="V14" s="1231">
        <v>58.927999999999997</v>
      </c>
      <c r="W14" s="1231">
        <v>59.33</v>
      </c>
      <c r="X14" s="1231">
        <v>59.993000000000002</v>
      </c>
      <c r="Y14" s="1232">
        <v>67.238</v>
      </c>
      <c r="Z14" s="1231">
        <v>64.334999999999994</v>
      </c>
      <c r="AA14" s="1231">
        <v>64.546000000000006</v>
      </c>
      <c r="AB14" s="1231">
        <v>65.412000000000006</v>
      </c>
      <c r="AC14" s="1232">
        <v>72.394000000000005</v>
      </c>
      <c r="AD14" s="1231">
        <v>68.447000000000003</v>
      </c>
      <c r="AE14" s="1231">
        <v>66.141000000000005</v>
      </c>
      <c r="AF14" s="1231">
        <v>64.405000000000001</v>
      </c>
      <c r="AG14" s="1231">
        <v>67.914000000000001</v>
      </c>
      <c r="AH14" s="1233">
        <v>65.581999999999994</v>
      </c>
      <c r="AI14" s="1231">
        <v>64.274000000000001</v>
      </c>
      <c r="AJ14" s="1231">
        <v>64.518000000000001</v>
      </c>
      <c r="AK14" s="1231">
        <v>71.715000000000003</v>
      </c>
      <c r="AL14" s="1233">
        <f t="shared" ref="AL14:AS14" si="27">AL59*AL72</f>
        <v>68.324843253969689</v>
      </c>
      <c r="AM14" s="1231">
        <f t="shared" si="27"/>
        <v>66.359759301084722</v>
      </c>
      <c r="AN14" s="1231">
        <f t="shared" si="27"/>
        <v>65.99823945903978</v>
      </c>
      <c r="AO14" s="1231">
        <f t="shared" si="27"/>
        <v>73.580830865042046</v>
      </c>
      <c r="AP14" s="1233">
        <f t="shared" si="27"/>
        <v>70.071517168885521</v>
      </c>
      <c r="AQ14" s="1231">
        <f t="shared" si="27"/>
        <v>67.897881422742188</v>
      </c>
      <c r="AR14" s="1231">
        <f t="shared" si="27"/>
        <v>67.468525635352435</v>
      </c>
      <c r="AS14" s="1231">
        <f t="shared" si="27"/>
        <v>75.453419937138548</v>
      </c>
      <c r="AT14" s="1257"/>
      <c r="AU14" s="1237">
        <f t="shared" si="18"/>
        <v>33.006</v>
      </c>
      <c r="AV14" s="1258">
        <f t="shared" si="19"/>
        <v>36.161999999999999</v>
      </c>
      <c r="AW14" s="1234">
        <f t="shared" si="20"/>
        <v>43.765999999999998</v>
      </c>
      <c r="AX14" s="1234">
        <f t="shared" si="21"/>
        <v>46.732999999999997</v>
      </c>
      <c r="AY14" s="1234">
        <f t="shared" si="22"/>
        <v>59.637999999999998</v>
      </c>
      <c r="AZ14" s="1235">
        <f t="shared" si="23"/>
        <v>67.238</v>
      </c>
      <c r="BA14" s="1236">
        <f t="shared" si="24"/>
        <v>72.394000000000005</v>
      </c>
      <c r="BB14" s="1234">
        <f t="shared" si="9"/>
        <v>67.914000000000001</v>
      </c>
      <c r="BC14" s="1234">
        <f t="shared" si="25"/>
        <v>71.715000000000003</v>
      </c>
      <c r="BD14" s="1237">
        <f t="shared" ref="BD14:BD19" si="28">AO14</f>
        <v>73.580830865042046</v>
      </c>
      <c r="BE14" s="1237">
        <f t="shared" si="26"/>
        <v>75.453419937138548</v>
      </c>
      <c r="BF14" s="1238"/>
    </row>
    <row r="15" spans="1:58" s="1256" customFormat="1" ht="12" customHeight="1">
      <c r="A15" s="1230" t="s">
        <v>242</v>
      </c>
      <c r="B15" s="1231"/>
      <c r="C15" s="1231"/>
      <c r="D15" s="1231"/>
      <c r="E15" s="1232">
        <v>5.774</v>
      </c>
      <c r="F15" s="1231">
        <v>3.5950000000000002</v>
      </c>
      <c r="G15" s="1231">
        <v>12.253</v>
      </c>
      <c r="H15" s="1231">
        <v>23.545999999999999</v>
      </c>
      <c r="I15" s="1231">
        <v>8.5039999999999996</v>
      </c>
      <c r="J15" s="1233">
        <v>9.8290000000000006</v>
      </c>
      <c r="K15" s="1231">
        <v>9.2010000000000005</v>
      </c>
      <c r="L15" s="1231">
        <v>40.345999999999997</v>
      </c>
      <c r="M15" s="1232">
        <v>42.847000000000001</v>
      </c>
      <c r="N15" s="1233">
        <v>41.283000000000001</v>
      </c>
      <c r="O15" s="1231">
        <v>40.475999999999999</v>
      </c>
      <c r="P15" s="1231">
        <v>41.43</v>
      </c>
      <c r="Q15" s="1232">
        <v>39.426000000000002</v>
      </c>
      <c r="R15" s="1231">
        <v>38.363999999999997</v>
      </c>
      <c r="S15" s="1231">
        <v>37.298999999999999</v>
      </c>
      <c r="T15" s="1231">
        <v>38.694000000000003</v>
      </c>
      <c r="U15" s="1232">
        <v>38.53</v>
      </c>
      <c r="V15" s="1231">
        <v>37.521000000000001</v>
      </c>
      <c r="W15" s="1231">
        <v>36.905999999999999</v>
      </c>
      <c r="X15" s="1231">
        <v>39.594000000000001</v>
      </c>
      <c r="Y15" s="1232">
        <v>38.494999999999997</v>
      </c>
      <c r="Z15" s="1231">
        <v>37.377000000000002</v>
      </c>
      <c r="AA15" s="1231">
        <v>37.124000000000002</v>
      </c>
      <c r="AB15" s="1231">
        <v>35.988999999999997</v>
      </c>
      <c r="AC15" s="1232">
        <v>34.835000000000001</v>
      </c>
      <c r="AD15" s="1231">
        <v>33.694000000000003</v>
      </c>
      <c r="AE15" s="1231">
        <v>33.314999999999998</v>
      </c>
      <c r="AF15" s="1231">
        <v>32.127000000000002</v>
      </c>
      <c r="AG15" s="1231">
        <v>45.139000000000003</v>
      </c>
      <c r="AH15" s="1233">
        <v>40.951000000000001</v>
      </c>
      <c r="AI15" s="1231">
        <v>36.880000000000003</v>
      </c>
      <c r="AJ15" s="1231">
        <v>35.488</v>
      </c>
      <c r="AK15" s="1231">
        <v>35.558</v>
      </c>
      <c r="AL15" s="1233">
        <f t="shared" ref="AL15:AS15" si="29">AK15</f>
        <v>35.558</v>
      </c>
      <c r="AM15" s="1231">
        <f t="shared" si="29"/>
        <v>35.558</v>
      </c>
      <c r="AN15" s="1231">
        <f t="shared" si="29"/>
        <v>35.558</v>
      </c>
      <c r="AO15" s="1232">
        <f t="shared" si="29"/>
        <v>35.558</v>
      </c>
      <c r="AP15" s="1233">
        <f t="shared" si="29"/>
        <v>35.558</v>
      </c>
      <c r="AQ15" s="1231">
        <f t="shared" si="29"/>
        <v>35.558</v>
      </c>
      <c r="AR15" s="1231">
        <f t="shared" si="29"/>
        <v>35.558</v>
      </c>
      <c r="AS15" s="1232">
        <f t="shared" si="29"/>
        <v>35.558</v>
      </c>
      <c r="AT15" s="1231"/>
      <c r="AU15" s="1237">
        <f t="shared" si="18"/>
        <v>5.774</v>
      </c>
      <c r="AV15" s="1258">
        <f t="shared" si="19"/>
        <v>8.5039999999999996</v>
      </c>
      <c r="AW15" s="1234">
        <f t="shared" si="20"/>
        <v>42.847000000000001</v>
      </c>
      <c r="AX15" s="1234">
        <f t="shared" si="21"/>
        <v>39.426000000000002</v>
      </c>
      <c r="AY15" s="1234">
        <f t="shared" si="22"/>
        <v>38.53</v>
      </c>
      <c r="AZ15" s="1235">
        <f t="shared" si="23"/>
        <v>38.494999999999997</v>
      </c>
      <c r="BA15" s="1236">
        <f t="shared" si="24"/>
        <v>34.835000000000001</v>
      </c>
      <c r="BB15" s="1234">
        <f t="shared" si="9"/>
        <v>45.139000000000003</v>
      </c>
      <c r="BC15" s="1234">
        <f t="shared" si="25"/>
        <v>35.558</v>
      </c>
      <c r="BD15" s="1237">
        <f t="shared" si="28"/>
        <v>35.558</v>
      </c>
      <c r="BE15" s="1237">
        <f t="shared" si="26"/>
        <v>35.558</v>
      </c>
      <c r="BF15" s="1238"/>
    </row>
    <row r="16" spans="1:58" ht="12" customHeight="1">
      <c r="A16" s="1230" t="s">
        <v>243</v>
      </c>
      <c r="B16" s="1231"/>
      <c r="C16" s="1231"/>
      <c r="D16" s="1231"/>
      <c r="E16" s="1232">
        <v>1.0309999999999999</v>
      </c>
      <c r="F16" s="1231">
        <v>0.88</v>
      </c>
      <c r="G16" s="1231">
        <v>0.72899999999999998</v>
      </c>
      <c r="H16" s="1231">
        <v>0.57799999999999996</v>
      </c>
      <c r="I16" s="1231">
        <v>0</v>
      </c>
      <c r="J16" s="1233">
        <v>0</v>
      </c>
      <c r="K16" s="1231">
        <v>0</v>
      </c>
      <c r="L16" s="1231">
        <v>0</v>
      </c>
      <c r="M16" s="1232">
        <v>15.507999999999999</v>
      </c>
      <c r="N16" s="1233">
        <v>14.929</v>
      </c>
      <c r="O16" s="1231">
        <v>14.35</v>
      </c>
      <c r="P16" s="1231">
        <v>13.771000000000001</v>
      </c>
      <c r="Q16" s="1232">
        <v>13.193</v>
      </c>
      <c r="R16" s="1231">
        <v>12.614000000000001</v>
      </c>
      <c r="S16" s="1231">
        <v>42.61</v>
      </c>
      <c r="T16" s="1231">
        <v>40.889000000000003</v>
      </c>
      <c r="U16" s="1231">
        <v>71.536000000000001</v>
      </c>
      <c r="V16" s="1233">
        <v>73.221000000000004</v>
      </c>
      <c r="W16" s="1231">
        <v>81.536000000000001</v>
      </c>
      <c r="X16" s="1231">
        <v>78.456000000000003</v>
      </c>
      <c r="Y16" s="1232">
        <v>75.376000000000005</v>
      </c>
      <c r="Z16" s="1233">
        <v>72.296000000000006</v>
      </c>
      <c r="AA16" s="1231">
        <v>69.224000000000004</v>
      </c>
      <c r="AB16" s="1231">
        <v>66.168999999999997</v>
      </c>
      <c r="AC16" s="1232">
        <v>107.017</v>
      </c>
      <c r="AD16" s="1231">
        <v>102.349</v>
      </c>
      <c r="AE16" s="1231">
        <v>104.488</v>
      </c>
      <c r="AF16" s="1231">
        <v>99.474000000000004</v>
      </c>
      <c r="AG16" s="1232">
        <v>94.460999999999999</v>
      </c>
      <c r="AH16" s="1231">
        <v>128.59700000000001</v>
      </c>
      <c r="AI16" s="1231">
        <v>128.86000000000001</v>
      </c>
      <c r="AJ16" s="1231">
        <v>122.078</v>
      </c>
      <c r="AK16" s="1232">
        <v>115.29600000000001</v>
      </c>
      <c r="AL16" s="1231">
        <f>AK16-'Cash Flow'!AL77</f>
        <v>108.51400000000001</v>
      </c>
      <c r="AM16" s="1231">
        <f>AL16-'Cash Flow'!AM77</f>
        <v>101.73200000000001</v>
      </c>
      <c r="AN16" s="1231">
        <f>AM16-'Cash Flow'!AN77</f>
        <v>94.950000000000017</v>
      </c>
      <c r="AO16" s="1232">
        <f>AN16-'Cash Flow'!AO77</f>
        <v>88.168000000000021</v>
      </c>
      <c r="AP16" s="1231">
        <f>AO16-'Cash Flow'!AP77</f>
        <v>81.386000000000024</v>
      </c>
      <c r="AQ16" s="1231">
        <f>AP16-'Cash Flow'!AQ77</f>
        <v>74.604000000000028</v>
      </c>
      <c r="AR16" s="1231">
        <f>AQ16-'Cash Flow'!AR77</f>
        <v>67.822000000000031</v>
      </c>
      <c r="AS16" s="1232">
        <f>AR16-'Cash Flow'!AS77</f>
        <v>61.040000000000035</v>
      </c>
      <c r="AT16" s="1231"/>
      <c r="AU16" s="1237">
        <f t="shared" si="18"/>
        <v>1.0309999999999999</v>
      </c>
      <c r="AV16" s="1258">
        <f t="shared" si="19"/>
        <v>0</v>
      </c>
      <c r="AW16" s="1234">
        <f t="shared" si="20"/>
        <v>15.507999999999999</v>
      </c>
      <c r="AX16" s="1234">
        <f t="shared" si="21"/>
        <v>13.193</v>
      </c>
      <c r="AY16" s="1234">
        <f t="shared" si="22"/>
        <v>71.536000000000001</v>
      </c>
      <c r="AZ16" s="1235">
        <f t="shared" si="23"/>
        <v>75.376000000000005</v>
      </c>
      <c r="BA16" s="1236">
        <f t="shared" si="24"/>
        <v>107.017</v>
      </c>
      <c r="BB16" s="1234">
        <f t="shared" si="9"/>
        <v>94.460999999999999</v>
      </c>
      <c r="BC16" s="1234">
        <f t="shared" si="25"/>
        <v>115.29600000000001</v>
      </c>
      <c r="BD16" s="1237">
        <f t="shared" si="28"/>
        <v>88.168000000000021</v>
      </c>
      <c r="BE16" s="1237">
        <f t="shared" si="26"/>
        <v>61.040000000000035</v>
      </c>
      <c r="BF16" s="1238"/>
    </row>
    <row r="17" spans="1:58" ht="12" customHeight="1">
      <c r="A17" s="1230" t="s">
        <v>244</v>
      </c>
      <c r="B17" s="1231"/>
      <c r="C17" s="1231"/>
      <c r="D17" s="1231"/>
      <c r="E17" s="1232">
        <v>0.26500000000000001</v>
      </c>
      <c r="F17" s="1231">
        <v>0.26500000000000001</v>
      </c>
      <c r="G17" s="1231">
        <v>0.26500000000000001</v>
      </c>
      <c r="H17" s="1231">
        <v>0.26500000000000001</v>
      </c>
      <c r="I17" s="1231">
        <v>0</v>
      </c>
      <c r="J17" s="1233">
        <v>0</v>
      </c>
      <c r="K17" s="1231">
        <v>0</v>
      </c>
      <c r="L17" s="1231">
        <v>0</v>
      </c>
      <c r="M17" s="1232">
        <v>54.137999999999998</v>
      </c>
      <c r="N17" s="1233">
        <v>54.137999999999998</v>
      </c>
      <c r="O17" s="1231">
        <v>54.137999999999998</v>
      </c>
      <c r="P17" s="1231">
        <v>54.137999999999998</v>
      </c>
      <c r="Q17" s="1232">
        <v>54.414000000000001</v>
      </c>
      <c r="R17" s="1231">
        <v>54.414000000000001</v>
      </c>
      <c r="S17" s="1231">
        <v>126.705</v>
      </c>
      <c r="T17" s="1231">
        <v>126.705</v>
      </c>
      <c r="U17" s="1231">
        <v>261.61399999999998</v>
      </c>
      <c r="V17" s="1233">
        <v>280.57400000000001</v>
      </c>
      <c r="W17" s="1231">
        <v>316.78699999999998</v>
      </c>
      <c r="X17" s="1231">
        <v>316.78699999999998</v>
      </c>
      <c r="Y17" s="1232">
        <v>316.52</v>
      </c>
      <c r="Z17" s="1233">
        <v>316.52</v>
      </c>
      <c r="AA17" s="1231">
        <v>316.52</v>
      </c>
      <c r="AB17" s="1231">
        <v>316.52</v>
      </c>
      <c r="AC17" s="1232">
        <v>518.53899999999999</v>
      </c>
      <c r="AD17" s="1231">
        <v>518.53899999999999</v>
      </c>
      <c r="AE17" s="1231">
        <v>541.29200000000003</v>
      </c>
      <c r="AF17" s="1231">
        <v>541.29200000000003</v>
      </c>
      <c r="AG17" s="1232">
        <v>541.29200000000003</v>
      </c>
      <c r="AH17" s="1231">
        <v>656.48099999999999</v>
      </c>
      <c r="AI17" s="1231">
        <v>697.76900000000001</v>
      </c>
      <c r="AJ17" s="1231">
        <v>697.88599999999997</v>
      </c>
      <c r="AK17" s="1232">
        <v>697.88599999999997</v>
      </c>
      <c r="AL17" s="1231">
        <f t="shared" ref="AL17:AS17" si="30">AK17</f>
        <v>697.88599999999997</v>
      </c>
      <c r="AM17" s="1231">
        <f t="shared" si="30"/>
        <v>697.88599999999997</v>
      </c>
      <c r="AN17" s="1231">
        <f t="shared" si="30"/>
        <v>697.88599999999997</v>
      </c>
      <c r="AO17" s="1232">
        <f t="shared" si="30"/>
        <v>697.88599999999997</v>
      </c>
      <c r="AP17" s="1231">
        <f t="shared" si="30"/>
        <v>697.88599999999997</v>
      </c>
      <c r="AQ17" s="1231">
        <f t="shared" si="30"/>
        <v>697.88599999999997</v>
      </c>
      <c r="AR17" s="1231">
        <f t="shared" si="30"/>
        <v>697.88599999999997</v>
      </c>
      <c r="AS17" s="1232">
        <f t="shared" si="30"/>
        <v>697.88599999999997</v>
      </c>
      <c r="AT17" s="1231"/>
      <c r="AU17" s="1237">
        <f t="shared" si="18"/>
        <v>0.26500000000000001</v>
      </c>
      <c r="AV17" s="1259">
        <f t="shared" si="19"/>
        <v>0</v>
      </c>
      <c r="AW17" s="1259">
        <f t="shared" si="20"/>
        <v>54.137999999999998</v>
      </c>
      <c r="AX17" s="1259">
        <f t="shared" si="21"/>
        <v>54.414000000000001</v>
      </c>
      <c r="AY17" s="1259">
        <f t="shared" si="22"/>
        <v>261.61399999999998</v>
      </c>
      <c r="AZ17" s="1255">
        <f t="shared" si="23"/>
        <v>316.52</v>
      </c>
      <c r="BA17" s="1259">
        <f t="shared" si="24"/>
        <v>518.53899999999999</v>
      </c>
      <c r="BB17" s="1259">
        <f t="shared" si="9"/>
        <v>541.29200000000003</v>
      </c>
      <c r="BC17" s="1259">
        <f t="shared" si="25"/>
        <v>697.88599999999997</v>
      </c>
      <c r="BD17" s="1259">
        <f t="shared" si="28"/>
        <v>697.88599999999997</v>
      </c>
      <c r="BE17" s="1259">
        <f t="shared" si="26"/>
        <v>697.88599999999997</v>
      </c>
      <c r="BF17" s="1238"/>
    </row>
    <row r="18" spans="1:58">
      <c r="A18" s="1230" t="s">
        <v>245</v>
      </c>
      <c r="B18" s="1231"/>
      <c r="C18" s="1231"/>
      <c r="D18" s="1231"/>
      <c r="E18" s="1232">
        <v>2.2519999999999998</v>
      </c>
      <c r="F18" s="1231">
        <v>5.1319999999999997</v>
      </c>
      <c r="G18" s="1231">
        <v>7.157</v>
      </c>
      <c r="H18" s="1231">
        <v>5.149</v>
      </c>
      <c r="I18" s="1232">
        <v>7.81</v>
      </c>
      <c r="J18" s="1231">
        <v>7.4459999999999997</v>
      </c>
      <c r="K18" s="1231">
        <v>8.49</v>
      </c>
      <c r="L18" s="1231">
        <v>9.8550000000000004</v>
      </c>
      <c r="M18" s="1232">
        <v>12.544</v>
      </c>
      <c r="N18" s="1233">
        <v>11.244999999999999</v>
      </c>
      <c r="O18" s="1231">
        <v>9.7789999999999999</v>
      </c>
      <c r="P18" s="1231">
        <v>11.807</v>
      </c>
      <c r="Q18" s="1232">
        <v>14.11</v>
      </c>
      <c r="R18" s="1231">
        <v>13.522</v>
      </c>
      <c r="S18" s="1231">
        <v>18.472999999999999</v>
      </c>
      <c r="T18" s="1231">
        <v>22.399000000000001</v>
      </c>
      <c r="U18" s="1253">
        <v>31.23</v>
      </c>
      <c r="V18" s="1255">
        <v>25.802</v>
      </c>
      <c r="W18" s="1253">
        <v>26.736999999999998</v>
      </c>
      <c r="X18" s="1253">
        <v>23.327000000000002</v>
      </c>
      <c r="Y18" s="1254">
        <v>38.008000000000003</v>
      </c>
      <c r="Z18" s="1253">
        <v>36.603999999999999</v>
      </c>
      <c r="AA18" s="1253">
        <v>33.94</v>
      </c>
      <c r="AB18" s="1253">
        <v>25.213000000000001</v>
      </c>
      <c r="AC18" s="1254">
        <v>23.177</v>
      </c>
      <c r="AD18" s="1253">
        <v>15.656000000000001</v>
      </c>
      <c r="AE18" s="1231">
        <v>14.776</v>
      </c>
      <c r="AF18" s="1231">
        <v>13.811</v>
      </c>
      <c r="AG18" s="1232">
        <v>13.303000000000001</v>
      </c>
      <c r="AH18" s="1231">
        <v>14.2</v>
      </c>
      <c r="AI18" s="1231">
        <v>13.72</v>
      </c>
      <c r="AJ18" s="1253">
        <v>12.849</v>
      </c>
      <c r="AK18" s="1232">
        <v>13.566000000000001</v>
      </c>
      <c r="AL18" s="1253">
        <f t="shared" ref="AL18:AS18" si="31">AL59*AL73</f>
        <v>15.353744284656914</v>
      </c>
      <c r="AM18" s="1253">
        <f t="shared" si="31"/>
        <v>14.732045776097374</v>
      </c>
      <c r="AN18" s="1253">
        <f t="shared" si="31"/>
        <v>13.679014911365076</v>
      </c>
      <c r="AO18" s="1254">
        <f t="shared" si="31"/>
        <v>14.443674112684382</v>
      </c>
      <c r="AP18" s="1253">
        <f t="shared" si="31"/>
        <v>16.365586419936271</v>
      </c>
      <c r="AQ18" s="1253">
        <f t="shared" si="31"/>
        <v>15.701816392569844</v>
      </c>
      <c r="AR18" s="1253">
        <f t="shared" si="31"/>
        <v>14.577345682952576</v>
      </c>
      <c r="AS18" s="1254">
        <f t="shared" si="31"/>
        <v>15.391493169727294</v>
      </c>
      <c r="AU18" s="1260">
        <f t="shared" si="18"/>
        <v>2.2519999999999998</v>
      </c>
      <c r="AV18" s="1260">
        <f t="shared" si="19"/>
        <v>7.81</v>
      </c>
      <c r="AW18" s="1260">
        <f t="shared" si="20"/>
        <v>12.544</v>
      </c>
      <c r="AX18" s="1260">
        <f t="shared" si="21"/>
        <v>14.11</v>
      </c>
      <c r="AY18" s="1260">
        <f t="shared" si="22"/>
        <v>31.23</v>
      </c>
      <c r="AZ18" s="1261">
        <f t="shared" si="23"/>
        <v>38.008000000000003</v>
      </c>
      <c r="BA18" s="1260">
        <f t="shared" si="24"/>
        <v>23.177</v>
      </c>
      <c r="BB18" s="1260">
        <f t="shared" si="9"/>
        <v>13.303000000000001</v>
      </c>
      <c r="BC18" s="1260">
        <f t="shared" si="25"/>
        <v>13.566000000000001</v>
      </c>
      <c r="BD18" s="1260">
        <f t="shared" si="28"/>
        <v>14.443674112684382</v>
      </c>
      <c r="BE18" s="1260">
        <f t="shared" si="26"/>
        <v>15.391493169727294</v>
      </c>
      <c r="BF18" s="1238"/>
    </row>
    <row r="19" spans="1:58" s="1252" customFormat="1" ht="12" customHeight="1">
      <c r="A19" s="1262" t="s">
        <v>246</v>
      </c>
      <c r="B19" s="1263"/>
      <c r="C19" s="1263"/>
      <c r="D19" s="1263"/>
      <c r="E19" s="1264">
        <f t="shared" ref="E19:T19" si="32">SUM(E11:E18)</f>
        <v>164.33700000000002</v>
      </c>
      <c r="F19" s="1263">
        <f t="shared" si="32"/>
        <v>155.64499999999998</v>
      </c>
      <c r="G19" s="1263">
        <f t="shared" si="32"/>
        <v>169.358</v>
      </c>
      <c r="H19" s="1263">
        <f t="shared" si="32"/>
        <v>454.19800000000004</v>
      </c>
      <c r="I19" s="1263">
        <f t="shared" si="32"/>
        <v>460.61199999999997</v>
      </c>
      <c r="J19" s="1265">
        <f t="shared" si="32"/>
        <v>466.39100000000013</v>
      </c>
      <c r="K19" s="1263">
        <f t="shared" si="32"/>
        <v>480.76900000000006</v>
      </c>
      <c r="L19" s="1263">
        <f t="shared" si="32"/>
        <v>532.21199999999988</v>
      </c>
      <c r="M19" s="1264">
        <f t="shared" si="32"/>
        <v>558.61199999999997</v>
      </c>
      <c r="N19" s="1265">
        <f t="shared" si="32"/>
        <v>549.57399999999996</v>
      </c>
      <c r="O19" s="1263">
        <f t="shared" si="32"/>
        <v>575.83600000000001</v>
      </c>
      <c r="P19" s="1263">
        <f t="shared" si="32"/>
        <v>623.83499999999992</v>
      </c>
      <c r="Q19" s="1264">
        <f t="shared" si="32"/>
        <v>690.58899999999994</v>
      </c>
      <c r="R19" s="1263">
        <f t="shared" si="32"/>
        <v>700.84700000000009</v>
      </c>
      <c r="S19" s="1263">
        <f t="shared" si="32"/>
        <v>744.76699999999994</v>
      </c>
      <c r="T19" s="1266">
        <f t="shared" si="32"/>
        <v>1158.4899999999998</v>
      </c>
      <c r="U19" s="1263">
        <f t="shared" ref="U19:AS19" si="33">SUM(U11:U18)</f>
        <v>1248.8190000000002</v>
      </c>
      <c r="V19" s="1265">
        <f t="shared" si="33"/>
        <v>1237.8749999999998</v>
      </c>
      <c r="W19" s="1263">
        <f t="shared" si="33"/>
        <v>1275.0419999999999</v>
      </c>
      <c r="X19" s="1263">
        <f t="shared" si="33"/>
        <v>1349.7370000000001</v>
      </c>
      <c r="Y19" s="1264">
        <f t="shared" si="33"/>
        <v>1439.53</v>
      </c>
      <c r="Z19" s="1265">
        <f t="shared" si="33"/>
        <v>1423.277</v>
      </c>
      <c r="AA19" s="1263">
        <f t="shared" si="33"/>
        <v>1465.8389999999999</v>
      </c>
      <c r="AB19" s="1263">
        <f t="shared" si="33"/>
        <v>1524.4459999999999</v>
      </c>
      <c r="AC19" s="1264">
        <f t="shared" si="33"/>
        <v>1606.8709999999999</v>
      </c>
      <c r="AD19" s="1265">
        <f t="shared" si="33"/>
        <v>1567.0219999999999</v>
      </c>
      <c r="AE19" s="1263">
        <f t="shared" si="33"/>
        <v>1576.3489999999999</v>
      </c>
      <c r="AF19" s="1266">
        <f t="shared" si="33"/>
        <v>1634.4189999999996</v>
      </c>
      <c r="AG19" s="1267">
        <f t="shared" si="33"/>
        <v>1742.1189999999999</v>
      </c>
      <c r="AH19" s="1268">
        <f t="shared" si="33"/>
        <v>1693.577</v>
      </c>
      <c r="AI19" s="1266">
        <f t="shared" si="33"/>
        <v>1656.5719999999999</v>
      </c>
      <c r="AJ19" s="1263">
        <f t="shared" si="33"/>
        <v>1652.6220000000001</v>
      </c>
      <c r="AK19" s="1267">
        <f t="shared" si="33"/>
        <v>1747.6670000000001</v>
      </c>
      <c r="AL19" s="1265">
        <f t="shared" si="33"/>
        <v>1743.9350671281632</v>
      </c>
      <c r="AM19" s="1263">
        <f t="shared" si="33"/>
        <v>1774.9365195354899</v>
      </c>
      <c r="AN19" s="1263">
        <f t="shared" si="33"/>
        <v>1825.7731846698564</v>
      </c>
      <c r="AO19" s="1264">
        <f t="shared" si="33"/>
        <v>2000.6708951248729</v>
      </c>
      <c r="AP19" s="1265">
        <f t="shared" si="33"/>
        <v>1997.2255171760357</v>
      </c>
      <c r="AQ19" s="1263">
        <f t="shared" si="33"/>
        <v>2033.6792009316473</v>
      </c>
      <c r="AR19" s="1263">
        <f t="shared" si="33"/>
        <v>2091.2394973488372</v>
      </c>
      <c r="AS19" s="1264">
        <f t="shared" si="33"/>
        <v>2281.0811124291395</v>
      </c>
      <c r="AT19" s="189"/>
      <c r="AU19" s="1269">
        <f t="shared" si="18"/>
        <v>164.33700000000002</v>
      </c>
      <c r="AV19" s="1269">
        <f t="shared" si="19"/>
        <v>460.61199999999997</v>
      </c>
      <c r="AW19" s="1269">
        <f t="shared" si="20"/>
        <v>558.61199999999997</v>
      </c>
      <c r="AX19" s="1269">
        <f t="shared" si="21"/>
        <v>690.58899999999994</v>
      </c>
      <c r="AY19" s="1269">
        <f t="shared" si="22"/>
        <v>1248.8190000000002</v>
      </c>
      <c r="AZ19" s="1270">
        <f t="shared" si="23"/>
        <v>1439.53</v>
      </c>
      <c r="BA19" s="1271">
        <f t="shared" si="24"/>
        <v>1606.8709999999999</v>
      </c>
      <c r="BB19" s="1269">
        <f t="shared" si="9"/>
        <v>1742.1189999999999</v>
      </c>
      <c r="BC19" s="1269">
        <f t="shared" si="25"/>
        <v>1747.6670000000001</v>
      </c>
      <c r="BD19" s="1272">
        <f t="shared" si="28"/>
        <v>2000.6708951248729</v>
      </c>
      <c r="BE19" s="1272">
        <f t="shared" si="26"/>
        <v>2281.0811124291395</v>
      </c>
      <c r="BF19" s="1238"/>
    </row>
    <row r="20" spans="1:58" ht="12" customHeight="1">
      <c r="A20" s="152"/>
      <c r="B20" s="1253"/>
      <c r="C20" s="1253"/>
      <c r="D20" s="1253"/>
      <c r="E20" s="1254"/>
      <c r="F20" s="1253"/>
      <c r="G20" s="1253"/>
      <c r="H20" s="1253"/>
      <c r="I20" s="1253"/>
      <c r="J20" s="1255"/>
      <c r="K20" s="1253"/>
      <c r="L20" s="1253"/>
      <c r="M20" s="1254"/>
      <c r="N20" s="1255"/>
      <c r="O20" s="1253"/>
      <c r="P20" s="1253"/>
      <c r="Q20" s="1254"/>
      <c r="R20" s="1253"/>
      <c r="S20" s="1253"/>
      <c r="T20" s="1231"/>
      <c r="U20" s="1253"/>
      <c r="V20" s="1255"/>
      <c r="W20" s="1253"/>
      <c r="X20" s="1253"/>
      <c r="Y20" s="1254"/>
      <c r="Z20" s="1255"/>
      <c r="AA20" s="1253"/>
      <c r="AB20" s="1253"/>
      <c r="AC20" s="1254"/>
      <c r="AD20" s="1255"/>
      <c r="AE20" s="1253"/>
      <c r="AF20" s="1231"/>
      <c r="AG20" s="1232"/>
      <c r="AH20" s="1255"/>
      <c r="AI20" s="1253"/>
      <c r="AJ20" s="1253"/>
      <c r="AK20" s="1232"/>
      <c r="AL20" s="1255"/>
      <c r="AM20" s="1253"/>
      <c r="AN20" s="1253"/>
      <c r="AO20" s="1254"/>
      <c r="AP20" s="1255"/>
      <c r="AQ20" s="1253"/>
      <c r="AR20" s="1253"/>
      <c r="AS20" s="1254"/>
      <c r="AT20" s="1231"/>
      <c r="AU20" s="1234"/>
      <c r="AV20" s="1234"/>
      <c r="AW20" s="1234"/>
      <c r="AX20" s="1234"/>
      <c r="AY20" s="1234"/>
      <c r="AZ20" s="1235"/>
      <c r="BA20" s="1236"/>
      <c r="BB20" s="1234"/>
      <c r="BC20" s="1234"/>
      <c r="BD20" s="1237"/>
      <c r="BE20" s="1237"/>
      <c r="BF20" s="1238"/>
    </row>
    <row r="21" spans="1:58" s="1276" customFormat="1" ht="12" customHeight="1">
      <c r="A21" s="73" t="s">
        <v>247</v>
      </c>
      <c r="B21" s="184"/>
      <c r="C21" s="184"/>
      <c r="D21" s="184"/>
      <c r="E21" s="1273"/>
      <c r="F21" s="184"/>
      <c r="G21" s="184"/>
      <c r="H21" s="184"/>
      <c r="I21" s="184"/>
      <c r="J21" s="1274"/>
      <c r="K21" s="184"/>
      <c r="L21" s="184"/>
      <c r="M21" s="1273"/>
      <c r="N21" s="1274"/>
      <c r="O21" s="184"/>
      <c r="P21" s="184"/>
      <c r="Q21" s="1273"/>
      <c r="R21" s="184"/>
      <c r="S21" s="184"/>
      <c r="T21" s="189"/>
      <c r="U21" s="184"/>
      <c r="V21" s="1274"/>
      <c r="W21" s="184"/>
      <c r="X21" s="184"/>
      <c r="Y21" s="1273"/>
      <c r="Z21" s="1274"/>
      <c r="AA21" s="184"/>
      <c r="AB21" s="184"/>
      <c r="AC21" s="1273"/>
      <c r="AD21" s="1274"/>
      <c r="AE21" s="184"/>
      <c r="AF21" s="189"/>
      <c r="AG21" s="1245"/>
      <c r="AH21" s="1274"/>
      <c r="AI21" s="184"/>
      <c r="AJ21" s="184"/>
      <c r="AK21" s="1245"/>
      <c r="AL21" s="1274"/>
      <c r="AM21" s="184"/>
      <c r="AN21" s="184"/>
      <c r="AO21" s="1273"/>
      <c r="AP21" s="1274"/>
      <c r="AQ21" s="184"/>
      <c r="AR21" s="184"/>
      <c r="AS21" s="1273"/>
      <c r="AT21" s="189"/>
      <c r="AU21" s="1247"/>
      <c r="AV21" s="1247"/>
      <c r="AW21" s="1247"/>
      <c r="AX21" s="1247"/>
      <c r="AY21" s="1247"/>
      <c r="AZ21" s="1248"/>
      <c r="BA21" s="1249"/>
      <c r="BB21" s="1247"/>
      <c r="BC21" s="1247"/>
      <c r="BD21" s="1250"/>
      <c r="BE21" s="1250"/>
      <c r="BF21" s="1275"/>
    </row>
    <row r="22" spans="1:58" ht="12" customHeight="1">
      <c r="A22" s="1230" t="s">
        <v>248</v>
      </c>
      <c r="B22" s="1231"/>
      <c r="C22" s="1231"/>
      <c r="D22" s="1231"/>
      <c r="E22" s="1232">
        <v>0.33800000000000002</v>
      </c>
      <c r="F22" s="1231">
        <v>1.639</v>
      </c>
      <c r="G22" s="1231">
        <v>1.4570000000000001</v>
      </c>
      <c r="H22" s="1231">
        <v>0.53800000000000003</v>
      </c>
      <c r="I22" s="1231">
        <v>0.17100000000000001</v>
      </c>
      <c r="J22" s="1233">
        <v>1.2869999999999999</v>
      </c>
      <c r="K22" s="1231">
        <v>2.2069999999999999</v>
      </c>
      <c r="L22" s="1231">
        <v>0.79500000000000004</v>
      </c>
      <c r="M22" s="1232">
        <v>1.732</v>
      </c>
      <c r="N22" s="1233">
        <v>4.4039999999999999</v>
      </c>
      <c r="O22" s="1231">
        <v>0.42899999999999999</v>
      </c>
      <c r="P22" s="1231">
        <v>6.2480000000000002</v>
      </c>
      <c r="Q22" s="1232">
        <v>5.7309999999999999</v>
      </c>
      <c r="R22" s="1231">
        <v>9.5549999999999997</v>
      </c>
      <c r="S22" s="1231">
        <v>11.992000000000001</v>
      </c>
      <c r="T22" s="1231">
        <v>16.010999999999999</v>
      </c>
      <c r="U22" s="1231">
        <v>16.254000000000001</v>
      </c>
      <c r="V22" s="1233">
        <v>17.056999999999999</v>
      </c>
      <c r="W22" s="1231">
        <v>16.882000000000001</v>
      </c>
      <c r="X22" s="1231">
        <v>26.236999999999998</v>
      </c>
      <c r="Y22" s="1232">
        <v>18.722000000000001</v>
      </c>
      <c r="Z22" s="1233">
        <v>21.872</v>
      </c>
      <c r="AA22" s="1231">
        <v>24.855</v>
      </c>
      <c r="AB22" s="1231">
        <v>26.88</v>
      </c>
      <c r="AC22" s="1232">
        <v>16.940999999999999</v>
      </c>
      <c r="AD22" s="1233">
        <v>17.667000000000002</v>
      </c>
      <c r="AE22" s="1231">
        <v>19.542999999999999</v>
      </c>
      <c r="AF22" s="1231">
        <v>17.832999999999998</v>
      </c>
      <c r="AG22" s="1232">
        <v>19.981000000000002</v>
      </c>
      <c r="AH22" s="1233">
        <v>17.684000000000001</v>
      </c>
      <c r="AI22" s="1231">
        <v>18.827999999999999</v>
      </c>
      <c r="AJ22" s="1231">
        <v>20.088999999999999</v>
      </c>
      <c r="AK22" s="1232">
        <v>21.888999999999999</v>
      </c>
      <c r="AL22" s="1233">
        <f t="shared" ref="AL22:AS22" si="34">(AL60*AL67)/(365/4)</f>
        <v>20.257831833434683</v>
      </c>
      <c r="AM22" s="1231">
        <f t="shared" si="34"/>
        <v>21.380966943354057</v>
      </c>
      <c r="AN22" s="1231">
        <f t="shared" si="34"/>
        <v>21.725753671014878</v>
      </c>
      <c r="AO22" s="1232">
        <f t="shared" si="34"/>
        <v>24.36118604926672</v>
      </c>
      <c r="AP22" s="1233">
        <f t="shared" si="34"/>
        <v>22.816889860744684</v>
      </c>
      <c r="AQ22" s="1231">
        <f t="shared" si="34"/>
        <v>24.041589206822554</v>
      </c>
      <c r="AR22" s="1231">
        <f t="shared" si="34"/>
        <v>24.406216538061209</v>
      </c>
      <c r="AS22" s="1232">
        <f t="shared" si="34"/>
        <v>27.237162443127076</v>
      </c>
      <c r="AT22" s="1232"/>
      <c r="AU22" s="1234">
        <f t="shared" ref="AU22:AU29" si="35">E22</f>
        <v>0.33800000000000002</v>
      </c>
      <c r="AV22" s="1258">
        <f t="shared" ref="AV22:AV29" si="36">I22</f>
        <v>0.17100000000000001</v>
      </c>
      <c r="AW22" s="1258">
        <f t="shared" ref="AW22:AW29" si="37">M22</f>
        <v>1.732</v>
      </c>
      <c r="AX22" s="1258">
        <f t="shared" ref="AX22:AX29" si="38">Q22</f>
        <v>5.7309999999999999</v>
      </c>
      <c r="AY22" s="1234">
        <f t="shared" ref="AY22:AY29" si="39">U22</f>
        <v>16.254000000000001</v>
      </c>
      <c r="AZ22" s="1235">
        <f t="shared" ref="AZ22:AZ29" si="40">Y22</f>
        <v>18.722000000000001</v>
      </c>
      <c r="BA22" s="1236">
        <f t="shared" ref="BA22:BA29" si="41">AC22</f>
        <v>16.940999999999999</v>
      </c>
      <c r="BB22" s="1234">
        <f t="shared" ref="BB22:BB29" si="42">AG22</f>
        <v>19.981000000000002</v>
      </c>
      <c r="BC22" s="1234">
        <f t="shared" ref="BC22:BC29" si="43">AK22</f>
        <v>21.888999999999999</v>
      </c>
      <c r="BD22" s="1237">
        <f t="shared" ref="BD22:BD29" si="44">AO22</f>
        <v>24.36118604926672</v>
      </c>
      <c r="BE22" s="1237">
        <f t="shared" ref="BE22:BE29" si="45">AS22</f>
        <v>27.237162443127076</v>
      </c>
      <c r="BF22" s="1238"/>
    </row>
    <row r="23" spans="1:58" ht="12" customHeight="1">
      <c r="A23" s="1230" t="s">
        <v>249</v>
      </c>
      <c r="B23" s="1231"/>
      <c r="C23" s="1231"/>
      <c r="D23" s="1231"/>
      <c r="E23" s="1232">
        <v>4.8780000000000001</v>
      </c>
      <c r="F23" s="1231">
        <v>6.2729999999999997</v>
      </c>
      <c r="G23" s="1231">
        <v>7.4619999999999997</v>
      </c>
      <c r="H23" s="1231">
        <v>6.57</v>
      </c>
      <c r="I23" s="1231">
        <v>5.5540000000000003</v>
      </c>
      <c r="J23" s="1233">
        <v>7.9939999999999998</v>
      </c>
      <c r="K23" s="1231">
        <v>9.77</v>
      </c>
      <c r="L23" s="1231">
        <v>9.4740000000000002</v>
      </c>
      <c r="M23" s="1232">
        <v>8.4359999999999999</v>
      </c>
      <c r="N23" s="1233">
        <v>14.536</v>
      </c>
      <c r="O23" s="1231">
        <v>7.9089999999999998</v>
      </c>
      <c r="P23" s="1231">
        <v>0</v>
      </c>
      <c r="Q23" s="1232">
        <v>0</v>
      </c>
      <c r="R23" s="1231">
        <v>0</v>
      </c>
      <c r="S23" s="1231">
        <v>0</v>
      </c>
      <c r="T23" s="1231">
        <v>0</v>
      </c>
      <c r="U23" s="1231">
        <v>0</v>
      </c>
      <c r="V23" s="1233">
        <v>0</v>
      </c>
      <c r="W23" s="1231">
        <v>0</v>
      </c>
      <c r="X23" s="1231">
        <v>0</v>
      </c>
      <c r="Y23" s="1232">
        <v>0</v>
      </c>
      <c r="Z23" s="1233">
        <v>0</v>
      </c>
      <c r="AA23" s="1231">
        <v>0</v>
      </c>
      <c r="AB23" s="1231">
        <v>0</v>
      </c>
      <c r="AC23" s="1232">
        <v>0</v>
      </c>
      <c r="AD23" s="1233">
        <v>0</v>
      </c>
      <c r="AE23" s="1231">
        <v>0</v>
      </c>
      <c r="AF23" s="1231">
        <v>0</v>
      </c>
      <c r="AG23" s="1232">
        <v>0</v>
      </c>
      <c r="AH23" s="1233">
        <v>0</v>
      </c>
      <c r="AI23" s="1231">
        <v>0</v>
      </c>
      <c r="AJ23" s="1231">
        <v>0</v>
      </c>
      <c r="AK23" s="1232">
        <v>0</v>
      </c>
      <c r="AL23" s="1233">
        <v>0</v>
      </c>
      <c r="AM23" s="1231">
        <v>0</v>
      </c>
      <c r="AN23" s="1231">
        <v>0</v>
      </c>
      <c r="AO23" s="1232">
        <v>0</v>
      </c>
      <c r="AP23" s="1233">
        <v>0</v>
      </c>
      <c r="AQ23" s="1231">
        <v>0</v>
      </c>
      <c r="AR23" s="1231">
        <v>0</v>
      </c>
      <c r="AS23" s="1232">
        <v>0</v>
      </c>
      <c r="AT23" s="1232"/>
      <c r="AU23" s="1234">
        <f t="shared" si="35"/>
        <v>4.8780000000000001</v>
      </c>
      <c r="AV23" s="1258">
        <f t="shared" si="36"/>
        <v>5.5540000000000003</v>
      </c>
      <c r="AW23" s="1258">
        <f t="shared" si="37"/>
        <v>8.4359999999999999</v>
      </c>
      <c r="AX23" s="1258">
        <f t="shared" si="38"/>
        <v>0</v>
      </c>
      <c r="AY23" s="1234">
        <f t="shared" si="39"/>
        <v>0</v>
      </c>
      <c r="AZ23" s="1235">
        <f t="shared" si="40"/>
        <v>0</v>
      </c>
      <c r="BA23" s="1236">
        <f t="shared" si="41"/>
        <v>0</v>
      </c>
      <c r="BB23" s="1234">
        <f t="shared" si="42"/>
        <v>0</v>
      </c>
      <c r="BC23" s="1234">
        <f t="shared" si="43"/>
        <v>0</v>
      </c>
      <c r="BD23" s="1237">
        <f t="shared" si="44"/>
        <v>0</v>
      </c>
      <c r="BE23" s="1237">
        <f t="shared" si="45"/>
        <v>0</v>
      </c>
      <c r="BF23" s="1238"/>
    </row>
    <row r="24" spans="1:58" s="1256" customFormat="1" ht="12.75" customHeight="1">
      <c r="A24" s="1239" t="s">
        <v>250</v>
      </c>
      <c r="B24" s="1231"/>
      <c r="C24" s="1231"/>
      <c r="D24" s="1231"/>
      <c r="E24" s="1232">
        <v>18.481999999999999</v>
      </c>
      <c r="F24" s="1231">
        <v>14.178000000000001</v>
      </c>
      <c r="G24" s="1231">
        <v>15.862</v>
      </c>
      <c r="H24" s="1231">
        <v>19.734000000000002</v>
      </c>
      <c r="I24" s="1231">
        <v>29.594000000000001</v>
      </c>
      <c r="J24" s="1233">
        <v>22.36</v>
      </c>
      <c r="K24" s="1231">
        <v>26.501999999999999</v>
      </c>
      <c r="L24" s="1231">
        <v>24.244</v>
      </c>
      <c r="M24" s="1232">
        <v>36.634</v>
      </c>
      <c r="N24" s="1233">
        <v>23.356999999999999</v>
      </c>
      <c r="O24" s="1231">
        <v>31.36</v>
      </c>
      <c r="P24" s="1231">
        <v>28.244</v>
      </c>
      <c r="Q24" s="1232">
        <v>35.509</v>
      </c>
      <c r="R24" s="1231">
        <v>26.786999999999999</v>
      </c>
      <c r="S24" s="1231">
        <v>35.901000000000003</v>
      </c>
      <c r="T24" s="1231">
        <v>33.298999999999999</v>
      </c>
      <c r="U24" s="1231">
        <v>54.051000000000002</v>
      </c>
      <c r="V24" s="1233">
        <v>35.235999999999997</v>
      </c>
      <c r="W24" s="1231">
        <v>41.198999999999998</v>
      </c>
      <c r="X24" s="1231">
        <v>37.154000000000003</v>
      </c>
      <c r="Y24" s="1232">
        <v>52.62</v>
      </c>
      <c r="Z24" s="1233">
        <v>36.786000000000001</v>
      </c>
      <c r="AA24" s="1231">
        <v>45.22</v>
      </c>
      <c r="AB24" s="1231">
        <v>44.85</v>
      </c>
      <c r="AC24" s="1232">
        <v>66.492000000000004</v>
      </c>
      <c r="AD24" s="1233">
        <v>43.546999999999997</v>
      </c>
      <c r="AE24" s="1231">
        <v>44.119</v>
      </c>
      <c r="AF24" s="1231">
        <v>43.04</v>
      </c>
      <c r="AG24" s="1232">
        <v>55.783999999999999</v>
      </c>
      <c r="AH24" s="1233">
        <v>51.432000000000002</v>
      </c>
      <c r="AI24" s="1231">
        <v>55.573999999999998</v>
      </c>
      <c r="AJ24" s="1231">
        <v>48.429000000000002</v>
      </c>
      <c r="AK24" s="1232">
        <v>69.165999999999997</v>
      </c>
      <c r="AL24" s="1233">
        <f t="shared" ref="AL24:AS24" si="46">AL59*AL75</f>
        <v>55.610829299188339</v>
      </c>
      <c r="AM24" s="1231">
        <f t="shared" si="46"/>
        <v>59.673375507349519</v>
      </c>
      <c r="AN24" s="1231">
        <f t="shared" si="46"/>
        <v>51.557398485679769</v>
      </c>
      <c r="AO24" s="1232">
        <f t="shared" si="46"/>
        <v>73.640805224674025</v>
      </c>
      <c r="AP24" s="1233">
        <f t="shared" si="46"/>
        <v>59.275693010574813</v>
      </c>
      <c r="AQ24" s="1231">
        <f t="shared" si="46"/>
        <v>63.601511967979334</v>
      </c>
      <c r="AR24" s="1231">
        <f t="shared" si="46"/>
        <v>54.943285398062905</v>
      </c>
      <c r="AS24" s="1232">
        <f t="shared" si="46"/>
        <v>78.473243150328599</v>
      </c>
      <c r="AT24" s="1232"/>
      <c r="AU24" s="1234">
        <f t="shared" si="35"/>
        <v>18.481999999999999</v>
      </c>
      <c r="AV24" s="1234">
        <f t="shared" si="36"/>
        <v>29.594000000000001</v>
      </c>
      <c r="AW24" s="1234">
        <f t="shared" si="37"/>
        <v>36.634</v>
      </c>
      <c r="AX24" s="1234">
        <f t="shared" si="38"/>
        <v>35.509</v>
      </c>
      <c r="AY24" s="1234">
        <f t="shared" si="39"/>
        <v>54.051000000000002</v>
      </c>
      <c r="AZ24" s="1235">
        <f t="shared" si="40"/>
        <v>52.62</v>
      </c>
      <c r="BA24" s="1236">
        <f t="shared" si="41"/>
        <v>66.492000000000004</v>
      </c>
      <c r="BB24" s="1234">
        <f t="shared" si="42"/>
        <v>55.783999999999999</v>
      </c>
      <c r="BC24" s="1234">
        <f t="shared" si="43"/>
        <v>69.165999999999997</v>
      </c>
      <c r="BD24" s="1237">
        <f t="shared" si="44"/>
        <v>73.640805224674025</v>
      </c>
      <c r="BE24" s="1237">
        <f t="shared" si="45"/>
        <v>78.473243150328599</v>
      </c>
      <c r="BF24" s="1238"/>
    </row>
    <row r="25" spans="1:58" s="1256" customFormat="1" ht="12.75" customHeight="1">
      <c r="A25" s="1239" t="s">
        <v>251</v>
      </c>
      <c r="B25" s="1231"/>
      <c r="C25" s="1231"/>
      <c r="D25" s="1231"/>
      <c r="E25" s="1232">
        <v>154.898</v>
      </c>
      <c r="F25" s="1231">
        <v>160.50299999999999</v>
      </c>
      <c r="G25" s="1231">
        <v>174.27699999999999</v>
      </c>
      <c r="H25" s="1231">
        <v>191.578</v>
      </c>
      <c r="I25" s="1231">
        <v>213.64400000000001</v>
      </c>
      <c r="J25" s="1233">
        <v>214.50800000000001</v>
      </c>
      <c r="K25" s="1231">
        <v>227.227</v>
      </c>
      <c r="L25" s="1231">
        <v>245.98500000000001</v>
      </c>
      <c r="M25" s="1232">
        <v>274.34800000000001</v>
      </c>
      <c r="N25" s="1233">
        <v>270.916</v>
      </c>
      <c r="O25" s="1231">
        <v>274.95299999999997</v>
      </c>
      <c r="P25" s="1231">
        <v>296.36</v>
      </c>
      <c r="Q25" s="1232">
        <v>328.81900000000002</v>
      </c>
      <c r="R25" s="1231">
        <v>325.113</v>
      </c>
      <c r="S25" s="1231">
        <v>334.10599999999999</v>
      </c>
      <c r="T25" s="1231">
        <v>362.30799999999999</v>
      </c>
      <c r="U25" s="1231">
        <v>407.49799999999999</v>
      </c>
      <c r="V25" s="1233">
        <v>404.786</v>
      </c>
      <c r="W25" s="1231">
        <v>415.37799999999999</v>
      </c>
      <c r="X25" s="1231">
        <v>447.863</v>
      </c>
      <c r="Y25" s="1232">
        <v>502.11500000000001</v>
      </c>
      <c r="Z25" s="1233">
        <v>490.07600000000002</v>
      </c>
      <c r="AA25" s="1231">
        <v>495.19900000000001</v>
      </c>
      <c r="AB25" s="1231">
        <v>518.37199999999996</v>
      </c>
      <c r="AC25" s="1232">
        <v>580.779</v>
      </c>
      <c r="AD25" s="1233">
        <v>562.57500000000005</v>
      </c>
      <c r="AE25" s="1231">
        <v>562.58699999999999</v>
      </c>
      <c r="AF25" s="1231">
        <v>583.94000000000005</v>
      </c>
      <c r="AG25" s="1232">
        <v>650.37199999999996</v>
      </c>
      <c r="AH25" s="1233">
        <v>633.22400000000005</v>
      </c>
      <c r="AI25" s="1231">
        <v>624.548</v>
      </c>
      <c r="AJ25" s="1231">
        <v>639.61400000000003</v>
      </c>
      <c r="AK25" s="1232">
        <v>706.86599999999999</v>
      </c>
      <c r="AL25" s="1233">
        <f t="shared" ref="AL25:AS25" si="47">AL86*AL88</f>
        <v>685.77817344041966</v>
      </c>
      <c r="AM25" s="1231">
        <f t="shared" si="47"/>
        <v>676.86025195747891</v>
      </c>
      <c r="AN25" s="1231">
        <f t="shared" si="47"/>
        <v>687.48278467830949</v>
      </c>
      <c r="AO25" s="1232">
        <f t="shared" si="47"/>
        <v>761.77629084881642</v>
      </c>
      <c r="AP25" s="1233">
        <f t="shared" si="47"/>
        <v>739.29873478359571</v>
      </c>
      <c r="AQ25" s="1231">
        <f t="shared" si="47"/>
        <v>729.79377071705164</v>
      </c>
      <c r="AR25" s="1231">
        <f t="shared" si="47"/>
        <v>741.11390835147768</v>
      </c>
      <c r="AS25" s="1232">
        <f t="shared" si="47"/>
        <v>820.28268382074998</v>
      </c>
      <c r="AT25" s="1232"/>
      <c r="AU25" s="1234">
        <f t="shared" si="35"/>
        <v>154.898</v>
      </c>
      <c r="AV25" s="1234">
        <f t="shared" si="36"/>
        <v>213.64400000000001</v>
      </c>
      <c r="AW25" s="1234">
        <f t="shared" si="37"/>
        <v>274.34800000000001</v>
      </c>
      <c r="AX25" s="1234">
        <f t="shared" si="38"/>
        <v>328.81900000000002</v>
      </c>
      <c r="AY25" s="1234">
        <f t="shared" si="39"/>
        <v>407.49799999999999</v>
      </c>
      <c r="AZ25" s="1235">
        <f t="shared" si="40"/>
        <v>502.11500000000001</v>
      </c>
      <c r="BA25" s="1236">
        <f t="shared" si="41"/>
        <v>580.779</v>
      </c>
      <c r="BB25" s="1234">
        <f t="shared" si="42"/>
        <v>650.37199999999996</v>
      </c>
      <c r="BC25" s="1234">
        <f t="shared" si="43"/>
        <v>706.86599999999999</v>
      </c>
      <c r="BD25" s="1237">
        <f t="shared" si="44"/>
        <v>761.77629084881642</v>
      </c>
      <c r="BE25" s="1237">
        <f t="shared" si="45"/>
        <v>820.28268382074998</v>
      </c>
      <c r="BF25" s="1238"/>
    </row>
    <row r="26" spans="1:58" s="1256" customFormat="1" ht="12.75" customHeight="1">
      <c r="A26" s="1239" t="s">
        <v>252</v>
      </c>
      <c r="B26" s="1231"/>
      <c r="C26" s="1231"/>
      <c r="D26" s="1231"/>
      <c r="E26" s="1232">
        <v>1.75</v>
      </c>
      <c r="F26" s="1231">
        <v>1.8220000000000001</v>
      </c>
      <c r="G26" s="1231">
        <v>1.9319999999999999</v>
      </c>
      <c r="H26" s="1231">
        <v>1.897</v>
      </c>
      <c r="I26" s="1231">
        <v>4.2619999999999996</v>
      </c>
      <c r="J26" s="1233">
        <v>3.9809999999999999</v>
      </c>
      <c r="K26" s="1231">
        <v>3.9609999999999999</v>
      </c>
      <c r="L26" s="1231">
        <v>3.97</v>
      </c>
      <c r="M26" s="1232">
        <v>5.2089999999999996</v>
      </c>
      <c r="N26" s="1233">
        <v>4.8659999999999997</v>
      </c>
      <c r="O26" s="1231">
        <v>5.3470000000000004</v>
      </c>
      <c r="P26" s="1231">
        <v>6.3120000000000003</v>
      </c>
      <c r="Q26" s="1232">
        <v>3.8149999999999999</v>
      </c>
      <c r="R26" s="1231">
        <v>4.298</v>
      </c>
      <c r="S26" s="1231">
        <v>5.3550000000000004</v>
      </c>
      <c r="T26" s="1231">
        <v>6.8570000000000002</v>
      </c>
      <c r="U26" s="1231">
        <v>2.3199999999999998</v>
      </c>
      <c r="V26" s="1233">
        <v>3.5640000000000001</v>
      </c>
      <c r="W26" s="1231">
        <v>5.0140000000000002</v>
      </c>
      <c r="X26" s="1231">
        <v>5.5759999999999996</v>
      </c>
      <c r="Y26" s="1232">
        <v>5.8209999999999997</v>
      </c>
      <c r="Z26" s="1233">
        <v>5.9580000000000002</v>
      </c>
      <c r="AA26" s="1231">
        <v>5.62</v>
      </c>
      <c r="AB26" s="1231">
        <v>5.6550000000000002</v>
      </c>
      <c r="AC26" s="1232">
        <v>5.9710000000000001</v>
      </c>
      <c r="AD26" s="1233">
        <v>5.9850000000000003</v>
      </c>
      <c r="AE26" s="1231">
        <v>6.1609999999999996</v>
      </c>
      <c r="AF26" s="1231">
        <v>6.0990000000000002</v>
      </c>
      <c r="AG26" s="1232">
        <v>6.8010000000000002</v>
      </c>
      <c r="AH26" s="1233">
        <v>6.3049999999999997</v>
      </c>
      <c r="AI26" s="1231">
        <v>7.1379999999999999</v>
      </c>
      <c r="AJ26" s="1231">
        <v>8.327</v>
      </c>
      <c r="AK26" s="1232">
        <v>9.5960000000000001</v>
      </c>
      <c r="AL26" s="1233">
        <f t="shared" ref="AL26:AS26" si="48">AK26</f>
        <v>9.5960000000000001</v>
      </c>
      <c r="AM26" s="1231">
        <f t="shared" si="48"/>
        <v>9.5960000000000001</v>
      </c>
      <c r="AN26" s="1231">
        <f t="shared" si="48"/>
        <v>9.5960000000000001</v>
      </c>
      <c r="AO26" s="1232">
        <f t="shared" si="48"/>
        <v>9.5960000000000001</v>
      </c>
      <c r="AP26" s="1233">
        <f t="shared" si="48"/>
        <v>9.5960000000000001</v>
      </c>
      <c r="AQ26" s="1231">
        <f t="shared" si="48"/>
        <v>9.5960000000000001</v>
      </c>
      <c r="AR26" s="1231">
        <f t="shared" si="48"/>
        <v>9.5960000000000001</v>
      </c>
      <c r="AS26" s="1232">
        <f t="shared" si="48"/>
        <v>9.5960000000000001</v>
      </c>
      <c r="AT26" s="1232"/>
      <c r="AU26" s="1234">
        <f t="shared" si="35"/>
        <v>1.75</v>
      </c>
      <c r="AV26" s="1234">
        <f t="shared" si="36"/>
        <v>4.2619999999999996</v>
      </c>
      <c r="AW26" s="1234">
        <f t="shared" si="37"/>
        <v>5.2089999999999996</v>
      </c>
      <c r="AX26" s="1234">
        <f t="shared" si="38"/>
        <v>3.8149999999999999</v>
      </c>
      <c r="AY26" s="1234">
        <f t="shared" si="39"/>
        <v>2.3199999999999998</v>
      </c>
      <c r="AZ26" s="1235">
        <f t="shared" si="40"/>
        <v>5.8209999999999997</v>
      </c>
      <c r="BA26" s="1236">
        <f t="shared" si="41"/>
        <v>5.9710000000000001</v>
      </c>
      <c r="BB26" s="1234">
        <f t="shared" si="42"/>
        <v>6.8010000000000002</v>
      </c>
      <c r="BC26" s="1234">
        <f t="shared" si="43"/>
        <v>9.5960000000000001</v>
      </c>
      <c r="BD26" s="1237">
        <f t="shared" si="44"/>
        <v>9.5960000000000001</v>
      </c>
      <c r="BE26" s="1237">
        <f t="shared" si="45"/>
        <v>9.5960000000000001</v>
      </c>
      <c r="BF26" s="1238"/>
    </row>
    <row r="27" spans="1:58" s="1278" customFormat="1" ht="12.75" customHeight="1">
      <c r="A27" s="1277" t="s">
        <v>253</v>
      </c>
      <c r="B27" s="1253"/>
      <c r="C27" s="1253"/>
      <c r="D27" s="1253"/>
      <c r="E27" s="1254">
        <v>0</v>
      </c>
      <c r="F27" s="1253">
        <v>0</v>
      </c>
      <c r="G27" s="1253">
        <v>0</v>
      </c>
      <c r="H27" s="1253">
        <v>0</v>
      </c>
      <c r="I27" s="1253">
        <v>1.079</v>
      </c>
      <c r="J27" s="1255">
        <v>0.65300000000000002</v>
      </c>
      <c r="K27" s="1253">
        <v>0.53800000000000003</v>
      </c>
      <c r="L27" s="1253">
        <v>0.70099999999999996</v>
      </c>
      <c r="M27" s="1254">
        <v>1.284</v>
      </c>
      <c r="N27" s="1255">
        <v>0.75</v>
      </c>
      <c r="O27" s="1253">
        <v>0.78300000000000003</v>
      </c>
      <c r="P27" s="1253">
        <v>1.1259999999999999</v>
      </c>
      <c r="Q27" s="1254">
        <v>1.028</v>
      </c>
      <c r="R27" s="1253">
        <v>1.097</v>
      </c>
      <c r="S27" s="1253">
        <v>0.27400000000000002</v>
      </c>
      <c r="T27" s="1231">
        <v>1.883</v>
      </c>
      <c r="U27" s="1253">
        <v>3.7589999999999999</v>
      </c>
      <c r="V27" s="1255">
        <v>3.1619999999999999</v>
      </c>
      <c r="W27" s="1253">
        <v>4.5919999999999996</v>
      </c>
      <c r="X27" s="1253">
        <v>4.1139999999999999</v>
      </c>
      <c r="Y27" s="1254">
        <v>4.8819999999999997</v>
      </c>
      <c r="Z27" s="1255">
        <v>5.2590000000000003</v>
      </c>
      <c r="AA27" s="1253">
        <v>6.1769999999999996</v>
      </c>
      <c r="AB27" s="1253">
        <v>4.9859999999999998</v>
      </c>
      <c r="AC27" s="1254">
        <v>5.6550000000000002</v>
      </c>
      <c r="AD27" s="1255">
        <v>5.069</v>
      </c>
      <c r="AE27" s="1231">
        <v>5.8319999999999999</v>
      </c>
      <c r="AF27" s="1231">
        <v>6.2050000000000001</v>
      </c>
      <c r="AG27" s="1232">
        <v>5.1539999999999999</v>
      </c>
      <c r="AH27" s="1233">
        <v>6.3460000000000001</v>
      </c>
      <c r="AI27" s="1231">
        <v>7.1790000000000003</v>
      </c>
      <c r="AJ27" s="1253">
        <v>3.8519999999999999</v>
      </c>
      <c r="AK27" s="1232">
        <v>5.4320000000000004</v>
      </c>
      <c r="AL27" s="1255">
        <f t="shared" ref="AL27:AS27" si="49">AL59*AL76</f>
        <v>6.8616099458051254</v>
      </c>
      <c r="AM27" s="1253">
        <f t="shared" si="49"/>
        <v>7.7085536899856448</v>
      </c>
      <c r="AN27" s="1253">
        <f t="shared" si="49"/>
        <v>4.100830059816194</v>
      </c>
      <c r="AO27" s="1254">
        <f t="shared" si="49"/>
        <v>5.7834319460490606</v>
      </c>
      <c r="AP27" s="1255">
        <f t="shared" si="49"/>
        <v>7.3138036211912381</v>
      </c>
      <c r="AQ27" s="1253">
        <f t="shared" si="49"/>
        <v>8.2159868718847591</v>
      </c>
      <c r="AR27" s="1253">
        <f t="shared" si="49"/>
        <v>4.3701405222767002</v>
      </c>
      <c r="AS27" s="1254">
        <f t="shared" si="49"/>
        <v>6.1629508254429197</v>
      </c>
      <c r="AT27" s="1254"/>
      <c r="AU27" s="1234">
        <f t="shared" si="35"/>
        <v>0</v>
      </c>
      <c r="AV27" s="1234">
        <f t="shared" si="36"/>
        <v>1.079</v>
      </c>
      <c r="AW27" s="1234">
        <f t="shared" si="37"/>
        <v>1.284</v>
      </c>
      <c r="AX27" s="1234">
        <f t="shared" si="38"/>
        <v>1.028</v>
      </c>
      <c r="AY27" s="1234">
        <f t="shared" si="39"/>
        <v>3.7589999999999999</v>
      </c>
      <c r="AZ27" s="1235">
        <f t="shared" si="40"/>
        <v>4.8819999999999997</v>
      </c>
      <c r="BA27" s="1236">
        <f t="shared" si="41"/>
        <v>5.6550000000000002</v>
      </c>
      <c r="BB27" s="1234">
        <f t="shared" si="42"/>
        <v>5.1539999999999999</v>
      </c>
      <c r="BC27" s="1234">
        <f t="shared" si="43"/>
        <v>5.4320000000000004</v>
      </c>
      <c r="BD27" s="1237">
        <f t="shared" si="44"/>
        <v>5.7834319460490606</v>
      </c>
      <c r="BE27" s="1237">
        <f t="shared" si="45"/>
        <v>6.1629508254429197</v>
      </c>
      <c r="BF27" s="1238"/>
    </row>
    <row r="28" spans="1:58" s="1256" customFormat="1" ht="12.75" customHeight="1">
      <c r="A28" s="1239" t="s">
        <v>254</v>
      </c>
      <c r="B28" s="1231"/>
      <c r="C28" s="1231"/>
      <c r="D28" s="1231"/>
      <c r="E28" s="1232">
        <v>0</v>
      </c>
      <c r="F28" s="1231">
        <v>0</v>
      </c>
      <c r="G28" s="1231">
        <v>0</v>
      </c>
      <c r="H28" s="1231">
        <v>0</v>
      </c>
      <c r="I28" s="1231">
        <v>0</v>
      </c>
      <c r="J28" s="1233">
        <v>0</v>
      </c>
      <c r="K28" s="1231">
        <v>0</v>
      </c>
      <c r="L28" s="1231">
        <v>0</v>
      </c>
      <c r="M28" s="1232">
        <v>0</v>
      </c>
      <c r="N28" s="1233">
        <v>0</v>
      </c>
      <c r="O28" s="1231">
        <v>0</v>
      </c>
      <c r="P28" s="1231">
        <v>0</v>
      </c>
      <c r="Q28" s="1232">
        <v>0</v>
      </c>
      <c r="R28" s="1231">
        <v>0</v>
      </c>
      <c r="S28" s="1231">
        <v>0</v>
      </c>
      <c r="T28" s="1231">
        <v>0</v>
      </c>
      <c r="U28" s="1231">
        <v>0</v>
      </c>
      <c r="V28" s="1233">
        <v>0</v>
      </c>
      <c r="W28" s="1231">
        <v>0</v>
      </c>
      <c r="X28" s="1231">
        <v>0</v>
      </c>
      <c r="Y28" s="1232">
        <v>0</v>
      </c>
      <c r="Z28" s="1233">
        <f t="shared" ref="Z28" si="50">Y28</f>
        <v>0</v>
      </c>
      <c r="AA28" s="1231">
        <v>0</v>
      </c>
      <c r="AB28" s="1231">
        <v>0</v>
      </c>
      <c r="AC28" s="1232">
        <v>0</v>
      </c>
      <c r="AD28" s="1233">
        <v>0</v>
      </c>
      <c r="AE28" s="1231">
        <v>0</v>
      </c>
      <c r="AF28" s="1231">
        <v>0</v>
      </c>
      <c r="AG28" s="1232">
        <v>0</v>
      </c>
      <c r="AH28" s="1233">
        <v>0</v>
      </c>
      <c r="AI28" s="1231">
        <f t="shared" ref="AI28:AJ28" si="51">AH28</f>
        <v>0</v>
      </c>
      <c r="AJ28" s="1231">
        <f t="shared" si="51"/>
        <v>0</v>
      </c>
      <c r="AK28" s="1232">
        <v>0</v>
      </c>
      <c r="AL28" s="1233">
        <f t="shared" ref="AL28:AS28" si="52">AK28</f>
        <v>0</v>
      </c>
      <c r="AM28" s="1231">
        <f t="shared" si="52"/>
        <v>0</v>
      </c>
      <c r="AN28" s="1231">
        <f t="shared" si="52"/>
        <v>0</v>
      </c>
      <c r="AO28" s="1232">
        <f t="shared" si="52"/>
        <v>0</v>
      </c>
      <c r="AP28" s="1233">
        <f t="shared" si="52"/>
        <v>0</v>
      </c>
      <c r="AQ28" s="1231">
        <f t="shared" si="52"/>
        <v>0</v>
      </c>
      <c r="AR28" s="1231">
        <f t="shared" si="52"/>
        <v>0</v>
      </c>
      <c r="AS28" s="1232">
        <f t="shared" si="52"/>
        <v>0</v>
      </c>
      <c r="AT28" s="1232"/>
      <c r="AU28" s="1234">
        <f t="shared" si="35"/>
        <v>0</v>
      </c>
      <c r="AV28" s="1234">
        <f t="shared" si="36"/>
        <v>0</v>
      </c>
      <c r="AW28" s="1234">
        <f t="shared" si="37"/>
        <v>0</v>
      </c>
      <c r="AX28" s="1234">
        <f t="shared" si="38"/>
        <v>0</v>
      </c>
      <c r="AY28" s="1234">
        <f t="shared" si="39"/>
        <v>0</v>
      </c>
      <c r="AZ28" s="1235">
        <f t="shared" si="40"/>
        <v>0</v>
      </c>
      <c r="BA28" s="1236">
        <f t="shared" si="41"/>
        <v>0</v>
      </c>
      <c r="BB28" s="1234">
        <f t="shared" si="42"/>
        <v>0</v>
      </c>
      <c r="BC28" s="1234">
        <f t="shared" si="43"/>
        <v>0</v>
      </c>
      <c r="BD28" s="1237">
        <f t="shared" si="44"/>
        <v>0</v>
      </c>
      <c r="BE28" s="1237">
        <f t="shared" si="45"/>
        <v>0</v>
      </c>
      <c r="BF28" s="1238"/>
    </row>
    <row r="29" spans="1:58" s="1276" customFormat="1" ht="12" customHeight="1">
      <c r="A29" s="1279" t="s">
        <v>255</v>
      </c>
      <c r="B29" s="184"/>
      <c r="C29" s="184"/>
      <c r="D29" s="184"/>
      <c r="E29" s="1273">
        <f t="shared" ref="E29:T29" si="53">SUM(E22:E28)</f>
        <v>180.346</v>
      </c>
      <c r="F29" s="184">
        <f t="shared" si="53"/>
        <v>184.41499999999999</v>
      </c>
      <c r="G29" s="184">
        <f t="shared" si="53"/>
        <v>200.98999999999998</v>
      </c>
      <c r="H29" s="184">
        <f t="shared" si="53"/>
        <v>220.31700000000001</v>
      </c>
      <c r="I29" s="184">
        <f t="shared" si="53"/>
        <v>254.30400000000003</v>
      </c>
      <c r="J29" s="1274">
        <f t="shared" si="53"/>
        <v>250.78299999999999</v>
      </c>
      <c r="K29" s="184">
        <f t="shared" si="53"/>
        <v>270.20500000000004</v>
      </c>
      <c r="L29" s="184">
        <f t="shared" si="53"/>
        <v>285.16900000000004</v>
      </c>
      <c r="M29" s="1273">
        <f t="shared" si="53"/>
        <v>327.64300000000003</v>
      </c>
      <c r="N29" s="1274">
        <f t="shared" si="53"/>
        <v>318.82899999999995</v>
      </c>
      <c r="O29" s="184">
        <f t="shared" si="53"/>
        <v>320.78099999999995</v>
      </c>
      <c r="P29" s="184">
        <f t="shared" si="53"/>
        <v>338.29</v>
      </c>
      <c r="Q29" s="1273">
        <f t="shared" si="53"/>
        <v>374.90200000000004</v>
      </c>
      <c r="R29" s="184">
        <f t="shared" si="53"/>
        <v>366.84999999999997</v>
      </c>
      <c r="S29" s="184">
        <f t="shared" si="53"/>
        <v>387.62800000000004</v>
      </c>
      <c r="T29" s="189">
        <f t="shared" si="53"/>
        <v>420.358</v>
      </c>
      <c r="U29" s="184">
        <f t="shared" ref="U29:Y29" si="54">SUM(U22:U28)</f>
        <v>483.88200000000001</v>
      </c>
      <c r="V29" s="1274">
        <f t="shared" si="54"/>
        <v>463.80500000000001</v>
      </c>
      <c r="W29" s="184">
        <f t="shared" si="54"/>
        <v>483.065</v>
      </c>
      <c r="X29" s="184">
        <f t="shared" si="54"/>
        <v>520.94400000000007</v>
      </c>
      <c r="Y29" s="1273">
        <f t="shared" si="54"/>
        <v>584.16</v>
      </c>
      <c r="Z29" s="1274">
        <f>SUM(Z22:Z28)</f>
        <v>559.95100000000002</v>
      </c>
      <c r="AA29" s="184">
        <f t="shared" ref="AA29:AS29" si="55">SUM(AA22:AA28)</f>
        <v>577.07100000000003</v>
      </c>
      <c r="AB29" s="184">
        <f t="shared" si="55"/>
        <v>600.74299999999994</v>
      </c>
      <c r="AC29" s="1273">
        <f t="shared" si="55"/>
        <v>675.83799999999997</v>
      </c>
      <c r="AD29" s="1274">
        <f t="shared" si="55"/>
        <v>634.84299999999996</v>
      </c>
      <c r="AE29" s="184">
        <f t="shared" si="55"/>
        <v>638.24199999999996</v>
      </c>
      <c r="AF29" s="189">
        <f t="shared" si="55"/>
        <v>657.11700000000019</v>
      </c>
      <c r="AG29" s="1245">
        <f t="shared" si="55"/>
        <v>738.09199999999998</v>
      </c>
      <c r="AH29" s="1274">
        <f t="shared" si="55"/>
        <v>714.99099999999999</v>
      </c>
      <c r="AI29" s="189">
        <f t="shared" si="55"/>
        <v>713.26700000000005</v>
      </c>
      <c r="AJ29" s="184">
        <f t="shared" si="55"/>
        <v>720.31100000000004</v>
      </c>
      <c r="AK29" s="1245">
        <f t="shared" si="55"/>
        <v>812.94899999999996</v>
      </c>
      <c r="AL29" s="1274">
        <f t="shared" si="55"/>
        <v>778.1044445188478</v>
      </c>
      <c r="AM29" s="184">
        <f t="shared" si="55"/>
        <v>775.21914809816803</v>
      </c>
      <c r="AN29" s="184">
        <f t="shared" si="55"/>
        <v>774.46276689482033</v>
      </c>
      <c r="AO29" s="1273">
        <f t="shared" si="55"/>
        <v>875.15771406880629</v>
      </c>
      <c r="AP29" s="1274">
        <f t="shared" si="55"/>
        <v>838.30112127610641</v>
      </c>
      <c r="AQ29" s="184">
        <f t="shared" si="55"/>
        <v>835.24885876373833</v>
      </c>
      <c r="AR29" s="184">
        <f t="shared" si="55"/>
        <v>834.42955080987861</v>
      </c>
      <c r="AS29" s="1273">
        <f t="shared" si="55"/>
        <v>941.75204023964852</v>
      </c>
      <c r="AT29" s="1245"/>
      <c r="AU29" s="1247">
        <f t="shared" si="35"/>
        <v>180.346</v>
      </c>
      <c r="AV29" s="1247">
        <f t="shared" si="36"/>
        <v>254.30400000000003</v>
      </c>
      <c r="AW29" s="1247">
        <f t="shared" si="37"/>
        <v>327.64300000000003</v>
      </c>
      <c r="AX29" s="1247">
        <f t="shared" si="38"/>
        <v>374.90200000000004</v>
      </c>
      <c r="AY29" s="1247">
        <f t="shared" si="39"/>
        <v>483.88200000000001</v>
      </c>
      <c r="AZ29" s="1248">
        <f t="shared" si="40"/>
        <v>584.16</v>
      </c>
      <c r="BA29" s="1249">
        <f t="shared" si="41"/>
        <v>675.83799999999997</v>
      </c>
      <c r="BB29" s="1247">
        <f t="shared" si="42"/>
        <v>738.09199999999998</v>
      </c>
      <c r="BC29" s="1247">
        <f t="shared" si="43"/>
        <v>812.94899999999996</v>
      </c>
      <c r="BD29" s="1250">
        <f t="shared" si="44"/>
        <v>875.15771406880629</v>
      </c>
      <c r="BE29" s="1250">
        <f t="shared" si="45"/>
        <v>941.75204023964852</v>
      </c>
      <c r="BF29" s="1238"/>
    </row>
    <row r="30" spans="1:58" s="1256" customFormat="1" ht="12" customHeight="1">
      <c r="A30" s="152"/>
      <c r="B30" s="1253"/>
      <c r="C30" s="1253"/>
      <c r="D30" s="1253"/>
      <c r="E30" s="1254"/>
      <c r="F30" s="1253"/>
      <c r="G30" s="1253"/>
      <c r="H30" s="1253"/>
      <c r="I30" s="1253"/>
      <c r="J30" s="1255"/>
      <c r="K30" s="1253"/>
      <c r="L30" s="1253"/>
      <c r="M30" s="1254"/>
      <c r="N30" s="1255"/>
      <c r="O30" s="1253"/>
      <c r="P30" s="1253"/>
      <c r="Q30" s="1254"/>
      <c r="R30" s="1253"/>
      <c r="S30" s="1253"/>
      <c r="T30" s="1231"/>
      <c r="U30" s="1253"/>
      <c r="V30" s="1255"/>
      <c r="W30" s="1253"/>
      <c r="X30" s="1253"/>
      <c r="Y30" s="1254"/>
      <c r="Z30" s="1255"/>
      <c r="AA30" s="1253"/>
      <c r="AB30" s="1253"/>
      <c r="AC30" s="1254"/>
      <c r="AD30" s="1255"/>
      <c r="AE30" s="1253"/>
      <c r="AF30" s="1253"/>
      <c r="AG30" s="1232"/>
      <c r="AH30" s="1255"/>
      <c r="AI30" s="1253"/>
      <c r="AJ30" s="1253"/>
      <c r="AK30" s="1232"/>
      <c r="AL30" s="1255"/>
      <c r="AM30" s="1253"/>
      <c r="AN30" s="1253"/>
      <c r="AO30" s="1254"/>
      <c r="AP30" s="1255"/>
      <c r="AQ30" s="1253"/>
      <c r="AR30" s="1253"/>
      <c r="AS30" s="1254"/>
      <c r="AT30" s="1232"/>
      <c r="AU30" s="1234"/>
      <c r="AV30" s="1234"/>
      <c r="AW30" s="1234"/>
      <c r="AX30" s="1234"/>
      <c r="AY30" s="1234"/>
      <c r="AZ30" s="1235"/>
      <c r="BA30" s="1236"/>
      <c r="BB30" s="1234"/>
      <c r="BC30" s="1234"/>
      <c r="BD30" s="1237"/>
      <c r="BE30" s="1237"/>
      <c r="BF30" s="1280"/>
    </row>
    <row r="31" spans="1:58" s="454" customFormat="1" ht="12" customHeight="1">
      <c r="A31" s="73" t="s">
        <v>256</v>
      </c>
      <c r="B31" s="1253"/>
      <c r="C31" s="1253"/>
      <c r="D31" s="1253"/>
      <c r="E31" s="1254"/>
      <c r="F31" s="1253"/>
      <c r="G31" s="1253"/>
      <c r="H31" s="506"/>
      <c r="I31" s="506"/>
      <c r="J31" s="1255"/>
      <c r="K31" s="1253"/>
      <c r="L31" s="506"/>
      <c r="M31" s="1281"/>
      <c r="N31" s="1255"/>
      <c r="O31" s="1253"/>
      <c r="P31" s="506"/>
      <c r="Q31" s="1281"/>
      <c r="R31" s="1253"/>
      <c r="S31" s="1253"/>
      <c r="T31" s="509"/>
      <c r="U31" s="506"/>
      <c r="V31" s="1255"/>
      <c r="W31" s="1253"/>
      <c r="X31" s="506"/>
      <c r="Y31" s="1281"/>
      <c r="Z31" s="1255"/>
      <c r="AA31" s="1253"/>
      <c r="AB31" s="506"/>
      <c r="AC31" s="1281"/>
      <c r="AD31" s="1255"/>
      <c r="AE31" s="1253"/>
      <c r="AF31" s="509"/>
      <c r="AG31" s="1282"/>
      <c r="AH31" s="1255"/>
      <c r="AI31" s="1253"/>
      <c r="AJ31" s="506"/>
      <c r="AK31" s="1282"/>
      <c r="AL31" s="1255"/>
      <c r="AM31" s="1253"/>
      <c r="AN31" s="506"/>
      <c r="AO31" s="1281"/>
      <c r="AP31" s="1255"/>
      <c r="AQ31" s="1253"/>
      <c r="AR31" s="506"/>
      <c r="AS31" s="1281"/>
      <c r="AT31" s="1232"/>
      <c r="AU31" s="1234"/>
      <c r="AV31" s="1234"/>
      <c r="AW31" s="1234"/>
      <c r="AX31" s="1234"/>
      <c r="AY31" s="1234"/>
      <c r="AZ31" s="1235"/>
      <c r="BA31" s="1236"/>
      <c r="BB31" s="1234"/>
      <c r="BC31" s="1234"/>
      <c r="BD31" s="1237"/>
      <c r="BE31" s="1237"/>
      <c r="BF31" s="1238"/>
    </row>
    <row r="32" spans="1:58" s="454" customFormat="1" ht="12.75" customHeight="1">
      <c r="A32" s="1230" t="s">
        <v>251</v>
      </c>
      <c r="B32" s="1231"/>
      <c r="C32" s="1231"/>
      <c r="D32" s="1231"/>
      <c r="E32" s="1232">
        <v>70.92</v>
      </c>
      <c r="F32" s="1231">
        <v>70.111000000000004</v>
      </c>
      <c r="G32" s="1231">
        <v>72.86</v>
      </c>
      <c r="H32" s="1231">
        <v>74.12</v>
      </c>
      <c r="I32" s="1231">
        <v>76.259</v>
      </c>
      <c r="J32" s="1233">
        <v>77.397000000000006</v>
      </c>
      <c r="K32" s="1231">
        <v>80.105999999999995</v>
      </c>
      <c r="L32" s="1231">
        <v>83.39</v>
      </c>
      <c r="M32" s="1232">
        <v>88.778999999999996</v>
      </c>
      <c r="N32" s="1233">
        <v>87.174999999999997</v>
      </c>
      <c r="O32" s="1231">
        <v>90.355999999999995</v>
      </c>
      <c r="P32" s="1231">
        <v>93.841999999999999</v>
      </c>
      <c r="Q32" s="1232">
        <v>105.691</v>
      </c>
      <c r="R32" s="1231">
        <v>103.749</v>
      </c>
      <c r="S32" s="1231">
        <v>110.768</v>
      </c>
      <c r="T32" s="1231">
        <v>114.649</v>
      </c>
      <c r="U32" s="1231">
        <v>123.387</v>
      </c>
      <c r="V32" s="1233">
        <v>122.72199999999999</v>
      </c>
      <c r="W32" s="1231">
        <v>132.67699999999999</v>
      </c>
      <c r="X32" s="1231">
        <v>145.84899999999999</v>
      </c>
      <c r="Y32" s="1232">
        <v>162.48699999999999</v>
      </c>
      <c r="Z32" s="1233">
        <v>151.99199999999999</v>
      </c>
      <c r="AA32" s="1231">
        <v>154.995</v>
      </c>
      <c r="AB32" s="1231">
        <v>163.08600000000001</v>
      </c>
      <c r="AC32" s="1232">
        <v>169.71799999999999</v>
      </c>
      <c r="AD32" s="1233">
        <v>160.13300000000001</v>
      </c>
      <c r="AE32" s="1231">
        <v>163.21100000000001</v>
      </c>
      <c r="AF32" s="1231">
        <v>163.512</v>
      </c>
      <c r="AG32" s="1232">
        <v>182.815</v>
      </c>
      <c r="AH32" s="1233">
        <v>175.15100000000001</v>
      </c>
      <c r="AI32" s="1231">
        <v>173.261</v>
      </c>
      <c r="AJ32" s="1231">
        <v>170.88900000000001</v>
      </c>
      <c r="AK32" s="1232">
        <v>192.41</v>
      </c>
      <c r="AL32" s="1233">
        <f t="shared" ref="AL32:AS32" si="56">AL86*AL89</f>
        <v>186.66986154613622</v>
      </c>
      <c r="AM32" s="1231">
        <f t="shared" si="56"/>
        <v>184.24238975865086</v>
      </c>
      <c r="AN32" s="1231">
        <f t="shared" si="56"/>
        <v>187.1338593169759</v>
      </c>
      <c r="AO32" s="1232">
        <f t="shared" si="56"/>
        <v>207.35666466094102</v>
      </c>
      <c r="AP32" s="1233">
        <f t="shared" si="56"/>
        <v>201.23823972253811</v>
      </c>
      <c r="AQ32" s="1231">
        <f t="shared" si="56"/>
        <v>198.65097405118914</v>
      </c>
      <c r="AR32" s="1231">
        <f t="shared" si="56"/>
        <v>201.7323327277133</v>
      </c>
      <c r="AS32" s="1232">
        <f t="shared" si="56"/>
        <v>223.28219378771999</v>
      </c>
      <c r="AT32" s="1232"/>
      <c r="AU32" s="1234">
        <f>E32</f>
        <v>70.92</v>
      </c>
      <c r="AV32" s="1234">
        <f>I32</f>
        <v>76.259</v>
      </c>
      <c r="AW32" s="1234">
        <f>M32</f>
        <v>88.778999999999996</v>
      </c>
      <c r="AX32" s="1234">
        <f>Q32</f>
        <v>105.691</v>
      </c>
      <c r="AY32" s="1234">
        <f>U32</f>
        <v>123.387</v>
      </c>
      <c r="AZ32" s="1235">
        <f>Y32</f>
        <v>162.48699999999999</v>
      </c>
      <c r="BA32" s="1236">
        <f>AC32</f>
        <v>169.71799999999999</v>
      </c>
      <c r="BB32" s="1234">
        <f>AG32</f>
        <v>182.815</v>
      </c>
      <c r="BC32" s="1234">
        <f t="shared" ref="BC32:BC36" si="57">AK32</f>
        <v>192.41</v>
      </c>
      <c r="BD32" s="1237">
        <f t="shared" ref="BD32:BD36" si="58">AO32</f>
        <v>207.35666466094102</v>
      </c>
      <c r="BE32" s="1237">
        <f>AS32</f>
        <v>223.28219378771999</v>
      </c>
      <c r="BF32" s="1238"/>
    </row>
    <row r="33" spans="1:65" ht="12.6" customHeight="1">
      <c r="A33" s="1230" t="s">
        <v>257</v>
      </c>
      <c r="B33" s="1231"/>
      <c r="C33" s="1231"/>
      <c r="D33" s="1231"/>
      <c r="E33" s="1232">
        <v>0</v>
      </c>
      <c r="F33" s="1231">
        <v>0</v>
      </c>
      <c r="G33" s="1231">
        <v>0</v>
      </c>
      <c r="H33" s="1231">
        <v>0</v>
      </c>
      <c r="I33" s="1231">
        <v>0</v>
      </c>
      <c r="J33" s="1233">
        <v>0</v>
      </c>
      <c r="K33" s="1231">
        <v>0</v>
      </c>
      <c r="L33" s="1231">
        <v>0</v>
      </c>
      <c r="M33" s="1232">
        <v>0</v>
      </c>
      <c r="N33" s="1233">
        <v>0</v>
      </c>
      <c r="O33" s="1231">
        <v>0</v>
      </c>
      <c r="P33" s="1231">
        <v>0</v>
      </c>
      <c r="Q33" s="1232">
        <v>0</v>
      </c>
      <c r="R33" s="1231">
        <v>0</v>
      </c>
      <c r="S33" s="1231">
        <v>0</v>
      </c>
      <c r="T33" s="1231">
        <v>365.387</v>
      </c>
      <c r="U33" s="1231">
        <v>364.72800000000001</v>
      </c>
      <c r="V33" s="1233">
        <v>364.06299999999999</v>
      </c>
      <c r="W33" s="1231">
        <v>363.404</v>
      </c>
      <c r="X33" s="1231">
        <v>362.67899999999997</v>
      </c>
      <c r="Y33" s="1232">
        <v>361.97</v>
      </c>
      <c r="Z33" s="1233">
        <v>361.28699999999998</v>
      </c>
      <c r="AA33" s="1231">
        <v>360.60899999999998</v>
      </c>
      <c r="AB33" s="1231">
        <v>359.94099999999997</v>
      </c>
      <c r="AC33" s="1232">
        <v>359.28100000000001</v>
      </c>
      <c r="AD33" s="1233">
        <v>358.62200000000001</v>
      </c>
      <c r="AE33" s="1231">
        <v>357.96899999999999</v>
      </c>
      <c r="AF33" s="1231">
        <v>357.334</v>
      </c>
      <c r="AG33" s="1232">
        <v>356.70499999999998</v>
      </c>
      <c r="AH33" s="1233">
        <v>356.06799999999998</v>
      </c>
      <c r="AI33" s="1231">
        <v>355.43900000000002</v>
      </c>
      <c r="AJ33" s="1231">
        <v>354.82</v>
      </c>
      <c r="AK33" s="1232">
        <v>354.209</v>
      </c>
      <c r="AL33" s="1233">
        <f>AK33+'Cash Flow'!AL32</f>
        <v>354.209</v>
      </c>
      <c r="AM33" s="1231">
        <f>AL33+'Cash Flow'!AM32</f>
        <v>354.209</v>
      </c>
      <c r="AN33" s="1231">
        <f>AM33+'Cash Flow'!AN32</f>
        <v>354.209</v>
      </c>
      <c r="AO33" s="1232">
        <f>AN33+'Cash Flow'!AO32</f>
        <v>354.209</v>
      </c>
      <c r="AP33" s="1233">
        <f>AO33+'Cash Flow'!AP32</f>
        <v>354.209</v>
      </c>
      <c r="AQ33" s="1231">
        <f>AP33+'Cash Flow'!AQ32</f>
        <v>354.209</v>
      </c>
      <c r="AR33" s="1231">
        <f>AQ33+'Cash Flow'!AR32</f>
        <v>354.209</v>
      </c>
      <c r="AS33" s="1232">
        <f>AR33+'Cash Flow'!AS32</f>
        <v>354.209</v>
      </c>
      <c r="AT33" s="1232"/>
      <c r="AU33" s="1234">
        <f t="shared" ref="AU33:AU36" si="59">E33</f>
        <v>0</v>
      </c>
      <c r="AV33" s="1234">
        <f t="shared" ref="AV33:AV36" si="60">I33</f>
        <v>0</v>
      </c>
      <c r="AW33" s="1234">
        <f t="shared" ref="AW33:AW36" si="61">M33</f>
        <v>0</v>
      </c>
      <c r="AX33" s="1234">
        <f t="shared" ref="AX33:AX36" si="62">Q33</f>
        <v>0</v>
      </c>
      <c r="AY33" s="1234">
        <f t="shared" ref="AY33:AY36" si="63">U33</f>
        <v>364.72800000000001</v>
      </c>
      <c r="AZ33" s="1235">
        <f t="shared" ref="AZ33:AZ36" si="64">Y33</f>
        <v>361.97</v>
      </c>
      <c r="BA33" s="1236">
        <f t="shared" ref="BA33:BA36" si="65">AC33</f>
        <v>359.28100000000001</v>
      </c>
      <c r="BB33" s="1234">
        <f t="shared" ref="BB33:BB36" si="66">AG33</f>
        <v>356.70499999999998</v>
      </c>
      <c r="BC33" s="1234">
        <f t="shared" si="57"/>
        <v>354.209</v>
      </c>
      <c r="BD33" s="1237">
        <f t="shared" si="58"/>
        <v>354.209</v>
      </c>
      <c r="BE33" s="1237">
        <f>AS33</f>
        <v>354.209</v>
      </c>
      <c r="BF33" s="1238"/>
      <c r="BH33" s="454"/>
    </row>
    <row r="34" spans="1:65" ht="12.75" customHeight="1">
      <c r="A34" s="1230" t="s">
        <v>252</v>
      </c>
      <c r="B34" s="1231"/>
      <c r="C34" s="1231"/>
      <c r="D34" s="1231"/>
      <c r="E34" s="1232">
        <v>0</v>
      </c>
      <c r="F34" s="1231">
        <v>0</v>
      </c>
      <c r="G34" s="1231">
        <v>0</v>
      </c>
      <c r="H34" s="1231">
        <v>0</v>
      </c>
      <c r="I34" s="1231">
        <v>6.0549999999999997</v>
      </c>
      <c r="J34" s="1233">
        <v>7.4660000000000002</v>
      </c>
      <c r="K34" s="1231">
        <v>6.5590000000000002</v>
      </c>
      <c r="L34" s="1231">
        <v>37.787999999999997</v>
      </c>
      <c r="M34" s="1232">
        <v>40.662999999999997</v>
      </c>
      <c r="N34" s="1233">
        <v>40.301000000000002</v>
      </c>
      <c r="O34" s="1231">
        <v>48.677999999999997</v>
      </c>
      <c r="P34" s="1231">
        <v>55.645000000000003</v>
      </c>
      <c r="Q34" s="1232">
        <v>54.529000000000003</v>
      </c>
      <c r="R34" s="1231">
        <v>53.201000000000001</v>
      </c>
      <c r="S34" s="1231">
        <v>52.027999999999999</v>
      </c>
      <c r="T34" s="1231">
        <v>52.881</v>
      </c>
      <c r="U34" s="1231">
        <v>55.045999999999999</v>
      </c>
      <c r="V34" s="1233">
        <v>53.685000000000002</v>
      </c>
      <c r="W34" s="1231">
        <v>52.158000000000001</v>
      </c>
      <c r="X34" s="1231">
        <v>53.746000000000002</v>
      </c>
      <c r="Y34" s="1232">
        <v>52.610999999999997</v>
      </c>
      <c r="Z34" s="1233">
        <v>51.088000000000001</v>
      </c>
      <c r="AA34" s="1231">
        <v>51.005000000000003</v>
      </c>
      <c r="AB34" s="1231">
        <v>49.381999999999998</v>
      </c>
      <c r="AC34" s="1232">
        <v>48.058</v>
      </c>
      <c r="AD34" s="1233">
        <v>46.317</v>
      </c>
      <c r="AE34" s="1231">
        <v>45.314999999999998</v>
      </c>
      <c r="AF34" s="1231">
        <v>43.706000000000003</v>
      </c>
      <c r="AG34" s="1232">
        <v>56.223999999999997</v>
      </c>
      <c r="AH34" s="1233">
        <v>54.621000000000002</v>
      </c>
      <c r="AI34" s="1231">
        <v>54.058999999999997</v>
      </c>
      <c r="AJ34" s="1231">
        <v>52.052999999999997</v>
      </c>
      <c r="AK34" s="1232">
        <v>50.877000000000002</v>
      </c>
      <c r="AL34" s="1233">
        <f t="shared" ref="AL34:AS34" si="67">AK34</f>
        <v>50.877000000000002</v>
      </c>
      <c r="AM34" s="1231">
        <f t="shared" si="67"/>
        <v>50.877000000000002</v>
      </c>
      <c r="AN34" s="1231">
        <f t="shared" si="67"/>
        <v>50.877000000000002</v>
      </c>
      <c r="AO34" s="1232">
        <f t="shared" si="67"/>
        <v>50.877000000000002</v>
      </c>
      <c r="AP34" s="1233">
        <f t="shared" si="67"/>
        <v>50.877000000000002</v>
      </c>
      <c r="AQ34" s="1231">
        <f t="shared" si="67"/>
        <v>50.877000000000002</v>
      </c>
      <c r="AR34" s="1231">
        <f t="shared" si="67"/>
        <v>50.877000000000002</v>
      </c>
      <c r="AS34" s="1232">
        <f t="shared" si="67"/>
        <v>50.877000000000002</v>
      </c>
      <c r="AT34" s="1232"/>
      <c r="AU34" s="1234">
        <f t="shared" si="59"/>
        <v>0</v>
      </c>
      <c r="AV34" s="1234">
        <f t="shared" si="60"/>
        <v>6.0549999999999997</v>
      </c>
      <c r="AW34" s="1234">
        <f t="shared" si="61"/>
        <v>40.662999999999997</v>
      </c>
      <c r="AX34" s="1234">
        <f t="shared" si="62"/>
        <v>54.529000000000003</v>
      </c>
      <c r="AY34" s="1234">
        <f t="shared" si="63"/>
        <v>55.045999999999999</v>
      </c>
      <c r="AZ34" s="1235">
        <f t="shared" si="64"/>
        <v>52.610999999999997</v>
      </c>
      <c r="BA34" s="1236">
        <f t="shared" si="65"/>
        <v>48.058</v>
      </c>
      <c r="BB34" s="1234">
        <f t="shared" si="66"/>
        <v>56.223999999999997</v>
      </c>
      <c r="BC34" s="1234">
        <f t="shared" si="57"/>
        <v>50.877000000000002</v>
      </c>
      <c r="BD34" s="1237">
        <f t="shared" si="58"/>
        <v>50.877000000000002</v>
      </c>
      <c r="BE34" s="1237">
        <f>AS34</f>
        <v>50.877000000000002</v>
      </c>
      <c r="BF34" s="1238"/>
      <c r="BH34" s="454"/>
    </row>
    <row r="35" spans="1:65" ht="12.75" customHeight="1">
      <c r="A35" s="1283" t="s">
        <v>258</v>
      </c>
      <c r="B35" s="1231"/>
      <c r="C35" s="1231"/>
      <c r="D35" s="1231"/>
      <c r="E35" s="1232">
        <f>5.199+1.802</f>
        <v>7.0009999999999994</v>
      </c>
      <c r="F35" s="1231">
        <f>4.914+3.145</f>
        <v>8.0589999999999993</v>
      </c>
      <c r="G35" s="1231">
        <f>4.315+11.803</f>
        <v>16.118000000000002</v>
      </c>
      <c r="H35" s="1231">
        <f>4.104+23.096</f>
        <v>27.2</v>
      </c>
      <c r="I35" s="1231">
        <v>2.2309999999999999</v>
      </c>
      <c r="J35" s="1233">
        <v>2.536</v>
      </c>
      <c r="K35" s="1231">
        <v>2.94</v>
      </c>
      <c r="L35" s="1231">
        <v>2.677</v>
      </c>
      <c r="M35" s="1232">
        <v>2.6219999999999999</v>
      </c>
      <c r="N35" s="1233">
        <v>2.8929999999999998</v>
      </c>
      <c r="O35" s="1231">
        <v>4.8529999999999998</v>
      </c>
      <c r="P35" s="1231">
        <v>4.931</v>
      </c>
      <c r="Q35" s="1232">
        <v>4.8019999999999996</v>
      </c>
      <c r="R35" s="1231">
        <v>5.1079999999999997</v>
      </c>
      <c r="S35" s="1231">
        <v>8.8879999999999999</v>
      </c>
      <c r="T35" s="1231">
        <v>7.1580000000000004</v>
      </c>
      <c r="U35" s="1231">
        <v>6.4630000000000001</v>
      </c>
      <c r="V35" s="1233">
        <v>6.6319999999999997</v>
      </c>
      <c r="W35" s="1231">
        <v>6.2130000000000001</v>
      </c>
      <c r="X35" s="1231">
        <v>6.6639999999999997</v>
      </c>
      <c r="Y35" s="1232">
        <v>7.4359999999999999</v>
      </c>
      <c r="Z35" s="1233">
        <v>7.28</v>
      </c>
      <c r="AA35" s="1231">
        <v>7.5979999999999999</v>
      </c>
      <c r="AB35" s="1231">
        <v>7.6210000000000004</v>
      </c>
      <c r="AC35" s="1232">
        <v>7.6319999999999997</v>
      </c>
      <c r="AD35" s="1233">
        <v>8.1590000000000007</v>
      </c>
      <c r="AE35" s="1231">
        <v>8.0510000000000002</v>
      </c>
      <c r="AF35" s="1231">
        <v>8.1950000000000003</v>
      </c>
      <c r="AG35" s="1232">
        <v>8.3290000000000006</v>
      </c>
      <c r="AH35" s="1233">
        <v>9.5850000000000009</v>
      </c>
      <c r="AI35" s="1231">
        <v>9.8469999999999995</v>
      </c>
      <c r="AJ35" s="1231">
        <v>10.173</v>
      </c>
      <c r="AK35" s="1232">
        <v>10.846</v>
      </c>
      <c r="AL35" s="1233">
        <f t="shared" ref="AL35:AS35" si="68">AL59*AL77</f>
        <v>10.363777392143419</v>
      </c>
      <c r="AM35" s="1231">
        <f t="shared" si="68"/>
        <v>10.573356760731111</v>
      </c>
      <c r="AN35" s="1231">
        <f t="shared" si="68"/>
        <v>10.830151661087783</v>
      </c>
      <c r="AO35" s="1232">
        <f t="shared" si="68"/>
        <v>11.547699353248916</v>
      </c>
      <c r="AP35" s="1233">
        <f t="shared" si="68"/>
        <v>11.046770833456984</v>
      </c>
      <c r="AQ35" s="1231">
        <f t="shared" si="68"/>
        <v>11.26937215871977</v>
      </c>
      <c r="AR35" s="1231">
        <f t="shared" si="68"/>
        <v>11.541391363738544</v>
      </c>
      <c r="AS35" s="1232">
        <f t="shared" si="68"/>
        <v>12.305479501611543</v>
      </c>
      <c r="AT35" s="1232"/>
      <c r="AU35" s="1234">
        <f t="shared" si="59"/>
        <v>7.0009999999999994</v>
      </c>
      <c r="AV35" s="1234">
        <f t="shared" si="60"/>
        <v>2.2309999999999999</v>
      </c>
      <c r="AW35" s="1234">
        <f t="shared" si="61"/>
        <v>2.6219999999999999</v>
      </c>
      <c r="AX35" s="1234">
        <f t="shared" si="62"/>
        <v>4.8019999999999996</v>
      </c>
      <c r="AY35" s="1234">
        <f t="shared" si="63"/>
        <v>6.4630000000000001</v>
      </c>
      <c r="AZ35" s="1235">
        <f t="shared" si="64"/>
        <v>7.4359999999999999</v>
      </c>
      <c r="BA35" s="1236">
        <f t="shared" si="65"/>
        <v>7.6319999999999997</v>
      </c>
      <c r="BB35" s="1234">
        <f t="shared" si="66"/>
        <v>8.3290000000000006</v>
      </c>
      <c r="BC35" s="1234">
        <f t="shared" si="57"/>
        <v>10.846</v>
      </c>
      <c r="BD35" s="1237">
        <f t="shared" si="58"/>
        <v>11.547699353248916</v>
      </c>
      <c r="BE35" s="1237">
        <f>AS35</f>
        <v>12.305479501611543</v>
      </c>
      <c r="BF35" s="1238"/>
      <c r="BH35" s="454"/>
    </row>
    <row r="36" spans="1:65" s="1252" customFormat="1" ht="12" customHeight="1">
      <c r="A36" s="1262" t="s">
        <v>259</v>
      </c>
      <c r="B36" s="1263"/>
      <c r="C36" s="1263"/>
      <c r="D36" s="1263"/>
      <c r="E36" s="1264">
        <f t="shared" ref="E36:AG36" si="69">SUM(E29:E35)</f>
        <v>258.267</v>
      </c>
      <c r="F36" s="1263">
        <f t="shared" si="69"/>
        <v>262.58500000000004</v>
      </c>
      <c r="G36" s="1263">
        <f t="shared" si="69"/>
        <v>289.96799999999996</v>
      </c>
      <c r="H36" s="1263">
        <f t="shared" si="69"/>
        <v>321.637</v>
      </c>
      <c r="I36" s="1263">
        <f t="shared" si="69"/>
        <v>338.84900000000005</v>
      </c>
      <c r="J36" s="1265">
        <f t="shared" si="69"/>
        <v>338.18200000000002</v>
      </c>
      <c r="K36" s="1263">
        <f t="shared" si="69"/>
        <v>359.81000000000006</v>
      </c>
      <c r="L36" s="1263">
        <f t="shared" si="69"/>
        <v>409.02400000000006</v>
      </c>
      <c r="M36" s="1264">
        <f t="shared" si="69"/>
        <v>459.70700000000005</v>
      </c>
      <c r="N36" s="1265">
        <f t="shared" si="69"/>
        <v>449.19799999999992</v>
      </c>
      <c r="O36" s="1263">
        <f t="shared" si="69"/>
        <v>464.66799999999995</v>
      </c>
      <c r="P36" s="1263">
        <f t="shared" si="69"/>
        <v>492.70799999999997</v>
      </c>
      <c r="Q36" s="1264">
        <f t="shared" si="69"/>
        <v>539.92400000000009</v>
      </c>
      <c r="R36" s="1263">
        <f t="shared" si="69"/>
        <v>528.9079999999999</v>
      </c>
      <c r="S36" s="1263">
        <f t="shared" si="69"/>
        <v>559.31200000000013</v>
      </c>
      <c r="T36" s="1266">
        <f t="shared" si="69"/>
        <v>960.43299999999999</v>
      </c>
      <c r="U36" s="1263">
        <f t="shared" si="69"/>
        <v>1033.5060000000001</v>
      </c>
      <c r="V36" s="1265">
        <f t="shared" si="69"/>
        <v>1010.907</v>
      </c>
      <c r="W36" s="1263">
        <f t="shared" si="69"/>
        <v>1037.5169999999998</v>
      </c>
      <c r="X36" s="1263">
        <f t="shared" si="69"/>
        <v>1089.8820000000003</v>
      </c>
      <c r="Y36" s="1264">
        <f t="shared" si="69"/>
        <v>1168.664</v>
      </c>
      <c r="Z36" s="1265">
        <f>SUM(Z29:Z35)</f>
        <v>1131.598</v>
      </c>
      <c r="AA36" s="1263">
        <f t="shared" si="69"/>
        <v>1151.278</v>
      </c>
      <c r="AB36" s="1263">
        <f t="shared" si="69"/>
        <v>1180.7730000000001</v>
      </c>
      <c r="AC36" s="1264">
        <f t="shared" si="69"/>
        <v>1260.527</v>
      </c>
      <c r="AD36" s="1265">
        <f t="shared" si="69"/>
        <v>1208.0740000000001</v>
      </c>
      <c r="AE36" s="1263">
        <f t="shared" si="69"/>
        <v>1212.788</v>
      </c>
      <c r="AF36" s="1263">
        <f t="shared" si="69"/>
        <v>1229.864</v>
      </c>
      <c r="AG36" s="1267">
        <f t="shared" si="69"/>
        <v>1342.1649999999997</v>
      </c>
      <c r="AH36" s="1268">
        <f t="shared" ref="AH36:AS36" si="70">SUM(AH29:AH35)</f>
        <v>1310.4160000000002</v>
      </c>
      <c r="AI36" s="1266">
        <f t="shared" si="70"/>
        <v>1305.873</v>
      </c>
      <c r="AJ36" s="1263">
        <f t="shared" si="70"/>
        <v>1308.2459999999999</v>
      </c>
      <c r="AK36" s="1267">
        <f t="shared" si="70"/>
        <v>1421.2909999999999</v>
      </c>
      <c r="AL36" s="1265">
        <f t="shared" si="70"/>
        <v>1380.2240834571273</v>
      </c>
      <c r="AM36" s="1263">
        <f t="shared" si="70"/>
        <v>1375.12089461755</v>
      </c>
      <c r="AN36" s="1263">
        <f t="shared" si="70"/>
        <v>1377.5127778728838</v>
      </c>
      <c r="AO36" s="1264">
        <f t="shared" si="70"/>
        <v>1499.1480780829961</v>
      </c>
      <c r="AP36" s="1265">
        <f t="shared" si="70"/>
        <v>1455.6721318321015</v>
      </c>
      <c r="AQ36" s="1263">
        <f t="shared" si="70"/>
        <v>1450.2552049736473</v>
      </c>
      <c r="AR36" s="1263">
        <f t="shared" si="70"/>
        <v>1452.7892749013304</v>
      </c>
      <c r="AS36" s="1264">
        <f t="shared" si="70"/>
        <v>1582.4257135289799</v>
      </c>
      <c r="AT36" s="189"/>
      <c r="AU36" s="1269">
        <f t="shared" si="59"/>
        <v>258.267</v>
      </c>
      <c r="AV36" s="1269">
        <f t="shared" si="60"/>
        <v>338.84900000000005</v>
      </c>
      <c r="AW36" s="1269">
        <f t="shared" si="61"/>
        <v>459.70700000000005</v>
      </c>
      <c r="AX36" s="1269">
        <f t="shared" si="62"/>
        <v>539.92400000000009</v>
      </c>
      <c r="AY36" s="1269">
        <f t="shared" si="63"/>
        <v>1033.5060000000001</v>
      </c>
      <c r="AZ36" s="1270">
        <f t="shared" si="64"/>
        <v>1168.664</v>
      </c>
      <c r="BA36" s="1271">
        <f t="shared" si="65"/>
        <v>1260.527</v>
      </c>
      <c r="BB36" s="1269">
        <f t="shared" si="66"/>
        <v>1342.1649999999997</v>
      </c>
      <c r="BC36" s="1269">
        <f t="shared" si="57"/>
        <v>1421.2909999999999</v>
      </c>
      <c r="BD36" s="1272">
        <f t="shared" si="58"/>
        <v>1499.1480780829961</v>
      </c>
      <c r="BE36" s="1272">
        <f>AS36</f>
        <v>1582.4257135289799</v>
      </c>
      <c r="BF36" s="1238"/>
    </row>
    <row r="37" spans="1:65" s="1276" customFormat="1" ht="12" customHeight="1">
      <c r="A37" s="1284"/>
      <c r="B37" s="1285"/>
      <c r="C37" s="1285"/>
      <c r="D37" s="1285"/>
      <c r="E37" s="1286"/>
      <c r="F37" s="1285"/>
      <c r="G37" s="1285"/>
      <c r="H37" s="1285"/>
      <c r="I37" s="1285"/>
      <c r="J37" s="1287"/>
      <c r="K37" s="1285"/>
      <c r="L37" s="1285"/>
      <c r="M37" s="1286"/>
      <c r="N37" s="1288"/>
      <c r="O37" s="1289"/>
      <c r="P37" s="1289"/>
      <c r="Q37" s="1290"/>
      <c r="R37" s="1285"/>
      <c r="S37" s="1285"/>
      <c r="T37" s="1291"/>
      <c r="U37" s="1292"/>
      <c r="V37" s="1288"/>
      <c r="W37" s="1289"/>
      <c r="X37" s="1289"/>
      <c r="Y37" s="1290"/>
      <c r="Z37" s="1288"/>
      <c r="AA37" s="1289"/>
      <c r="AB37" s="1289"/>
      <c r="AC37" s="1290"/>
      <c r="AD37" s="1288"/>
      <c r="AE37" s="1289"/>
      <c r="AF37" s="1293"/>
      <c r="AG37" s="1294"/>
      <c r="AH37" s="1288"/>
      <c r="AI37" s="1289"/>
      <c r="AJ37" s="1289"/>
      <c r="AK37" s="1294"/>
      <c r="AL37" s="1288"/>
      <c r="AM37" s="1289"/>
      <c r="AN37" s="1289"/>
      <c r="AO37" s="1290"/>
      <c r="AP37" s="1288"/>
      <c r="AQ37" s="1289"/>
      <c r="AR37" s="1289"/>
      <c r="AS37" s="1290"/>
      <c r="AT37" s="1231"/>
      <c r="AU37" s="1295"/>
      <c r="AV37" s="1295"/>
      <c r="AW37" s="1295"/>
      <c r="AX37" s="1295"/>
      <c r="AY37" s="1295"/>
      <c r="AZ37" s="1296"/>
      <c r="BA37" s="1297"/>
      <c r="BB37" s="1295"/>
      <c r="BC37" s="1295"/>
      <c r="BD37" s="1298"/>
      <c r="BE37" s="1298"/>
      <c r="BF37" s="1238"/>
    </row>
    <row r="38" spans="1:65" s="1276" customFormat="1" ht="12.75" customHeight="1">
      <c r="A38" s="1299" t="s">
        <v>260</v>
      </c>
      <c r="B38" s="1285"/>
      <c r="C38" s="1285"/>
      <c r="D38" s="1285"/>
      <c r="E38" s="1286"/>
      <c r="F38" s="1285"/>
      <c r="G38" s="1285"/>
      <c r="H38" s="1285"/>
      <c r="I38" s="1285"/>
      <c r="J38" s="1287"/>
      <c r="K38" s="1285"/>
      <c r="L38" s="1285"/>
      <c r="M38" s="1300"/>
      <c r="N38" s="1287"/>
      <c r="O38" s="1285"/>
      <c r="P38" s="1285"/>
      <c r="Q38" s="1300"/>
      <c r="R38" s="1285"/>
      <c r="S38" s="1285"/>
      <c r="T38" s="1291"/>
      <c r="U38" s="1301"/>
      <c r="V38" s="1287"/>
      <c r="W38" s="1285"/>
      <c r="X38" s="1285"/>
      <c r="Y38" s="1300"/>
      <c r="Z38" s="1287"/>
      <c r="AA38" s="1285"/>
      <c r="AB38" s="1285"/>
      <c r="AC38" s="1300"/>
      <c r="AD38" s="1287"/>
      <c r="AE38" s="1285"/>
      <c r="AF38" s="1291"/>
      <c r="AG38" s="1302"/>
      <c r="AH38" s="1287"/>
      <c r="AI38" s="1285"/>
      <c r="AJ38" s="1285"/>
      <c r="AK38" s="1302"/>
      <c r="AL38" s="1287"/>
      <c r="AM38" s="1285"/>
      <c r="AN38" s="1285"/>
      <c r="AO38" s="1300"/>
      <c r="AP38" s="1287"/>
      <c r="AQ38" s="1285"/>
      <c r="AR38" s="1285"/>
      <c r="AS38" s="1300"/>
      <c r="AT38" s="1231"/>
      <c r="AU38" s="1295"/>
      <c r="AV38" s="1234"/>
      <c r="AW38" s="1295"/>
      <c r="AX38" s="1295"/>
      <c r="AY38" s="1295"/>
      <c r="AZ38" s="1296"/>
      <c r="BA38" s="1297"/>
      <c r="BB38" s="1295"/>
      <c r="BC38" s="1295"/>
      <c r="BD38" s="1298"/>
      <c r="BE38" s="1298"/>
      <c r="BF38" s="1238"/>
    </row>
    <row r="39" spans="1:65" s="1276" customFormat="1" ht="12.75" customHeight="1">
      <c r="A39" s="1230" t="s">
        <v>261</v>
      </c>
      <c r="B39" s="1285"/>
      <c r="C39" s="1285"/>
      <c r="D39" s="1285"/>
      <c r="E39" s="1286">
        <f>49.935+227.8</f>
        <v>277.73500000000001</v>
      </c>
      <c r="F39" s="1285">
        <f>49.94+227.983</f>
        <v>277.923</v>
      </c>
      <c r="G39" s="1285">
        <f>49.946+228.168</f>
        <v>278.11400000000003</v>
      </c>
      <c r="H39" s="1285">
        <v>0</v>
      </c>
      <c r="I39" s="1285">
        <v>0</v>
      </c>
      <c r="J39" s="1287">
        <v>0</v>
      </c>
      <c r="K39" s="1285">
        <v>0</v>
      </c>
      <c r="L39" s="1285">
        <v>0</v>
      </c>
      <c r="M39" s="1300">
        <v>0</v>
      </c>
      <c r="N39" s="1287">
        <v>0</v>
      </c>
      <c r="O39" s="1285">
        <v>0</v>
      </c>
      <c r="P39" s="1285">
        <v>0</v>
      </c>
      <c r="Q39" s="1300">
        <v>0</v>
      </c>
      <c r="R39" s="1285">
        <v>0</v>
      </c>
      <c r="S39" s="1285">
        <v>0</v>
      </c>
      <c r="T39" s="1291">
        <v>0</v>
      </c>
      <c r="U39" s="1301">
        <v>0</v>
      </c>
      <c r="V39" s="1287">
        <v>0</v>
      </c>
      <c r="W39" s="1285">
        <v>0</v>
      </c>
      <c r="X39" s="1285">
        <v>0</v>
      </c>
      <c r="Y39" s="1300">
        <v>0</v>
      </c>
      <c r="Z39" s="1287">
        <v>0</v>
      </c>
      <c r="AA39" s="1285">
        <v>0</v>
      </c>
      <c r="AB39" s="1285">
        <v>0</v>
      </c>
      <c r="AC39" s="1300">
        <v>0</v>
      </c>
      <c r="AD39" s="1287">
        <v>0</v>
      </c>
      <c r="AE39" s="1291">
        <v>0</v>
      </c>
      <c r="AF39" s="1291">
        <v>0</v>
      </c>
      <c r="AG39" s="1302">
        <v>0</v>
      </c>
      <c r="AH39" s="1303">
        <v>0</v>
      </c>
      <c r="AI39" s="1291">
        <v>0</v>
      </c>
      <c r="AJ39" s="1285">
        <v>0</v>
      </c>
      <c r="AK39" s="1302">
        <v>0</v>
      </c>
      <c r="AL39" s="1287">
        <v>0</v>
      </c>
      <c r="AM39" s="1285">
        <v>0</v>
      </c>
      <c r="AN39" s="1285">
        <v>0</v>
      </c>
      <c r="AO39" s="1300">
        <v>0</v>
      </c>
      <c r="AP39" s="1287">
        <v>0</v>
      </c>
      <c r="AQ39" s="1285">
        <v>0</v>
      </c>
      <c r="AR39" s="1285">
        <v>0</v>
      </c>
      <c r="AS39" s="1300">
        <v>0</v>
      </c>
      <c r="AT39" s="1231"/>
      <c r="AU39" s="1295">
        <f t="shared" ref="AU39:AU45" si="71">E39</f>
        <v>277.73500000000001</v>
      </c>
      <c r="AV39" s="1234">
        <f t="shared" ref="AV39:AV45" si="72">I39</f>
        <v>0</v>
      </c>
      <c r="AW39" s="1295">
        <f t="shared" ref="AW39:AW45" si="73">M39</f>
        <v>0</v>
      </c>
      <c r="AX39" s="1295">
        <f t="shared" ref="AX39:AX45" si="74">Q39</f>
        <v>0</v>
      </c>
      <c r="AY39" s="1295">
        <f t="shared" ref="AY39:AY45" si="75">U39</f>
        <v>0</v>
      </c>
      <c r="AZ39" s="1296">
        <f t="shared" ref="AZ39:AZ45" si="76">Y39</f>
        <v>0</v>
      </c>
      <c r="BA39" s="1297">
        <f t="shared" ref="BA39:BA45" si="77">AC39</f>
        <v>0</v>
      </c>
      <c r="BB39" s="1295">
        <f t="shared" ref="BB39:BB45" si="78">AG39</f>
        <v>0</v>
      </c>
      <c r="BC39" s="1295">
        <f t="shared" ref="BC39:BC45" si="79">AK39</f>
        <v>0</v>
      </c>
      <c r="BD39" s="1298">
        <f t="shared" ref="BD39:BD45" si="80">AO39</f>
        <v>0</v>
      </c>
      <c r="BE39" s="1298">
        <f t="shared" ref="BE39:BE45" si="81">AS39</f>
        <v>0</v>
      </c>
      <c r="BF39" s="1238"/>
    </row>
    <row r="40" spans="1:65" s="1276" customFormat="1" ht="12.75" customHeight="1">
      <c r="A40" s="1230" t="s">
        <v>262</v>
      </c>
      <c r="B40" s="1231"/>
      <c r="C40" s="1231"/>
      <c r="D40" s="1231"/>
      <c r="E40" s="1232">
        <v>0.246</v>
      </c>
      <c r="F40" s="1231">
        <v>0.249</v>
      </c>
      <c r="G40" s="1231">
        <v>0.25</v>
      </c>
      <c r="H40" s="1231">
        <v>0.93</v>
      </c>
      <c r="I40" s="1231">
        <v>0.93100000000000005</v>
      </c>
      <c r="J40" s="1233">
        <v>0.96199999999999997</v>
      </c>
      <c r="K40" s="1231">
        <v>0.96799999999999997</v>
      </c>
      <c r="L40" s="1231">
        <v>0.98</v>
      </c>
      <c r="M40" s="1232">
        <v>0.98599999999999999</v>
      </c>
      <c r="N40" s="1233">
        <v>1</v>
      </c>
      <c r="O40" s="1231">
        <v>1.0109999999999999</v>
      </c>
      <c r="P40" s="1231">
        <v>1.028</v>
      </c>
      <c r="Q40" s="1232">
        <v>1.0369999999999999</v>
      </c>
      <c r="R40" s="1231">
        <v>1.0549999999999999</v>
      </c>
      <c r="S40" s="1231">
        <v>1.0649999999999999</v>
      </c>
      <c r="T40" s="1231">
        <v>1.0740000000000001</v>
      </c>
      <c r="U40" s="1231">
        <v>1.089</v>
      </c>
      <c r="V40" s="1233">
        <v>1.103</v>
      </c>
      <c r="W40" s="1231">
        <v>1.1160000000000001</v>
      </c>
      <c r="X40" s="1231">
        <v>1.1240000000000001</v>
      </c>
      <c r="Y40" s="1232">
        <v>1.131</v>
      </c>
      <c r="Z40" s="1233">
        <v>1.147</v>
      </c>
      <c r="AA40" s="1231">
        <v>1.1559999999999999</v>
      </c>
      <c r="AB40" s="1231">
        <v>1.165</v>
      </c>
      <c r="AC40" s="1232">
        <v>1.175</v>
      </c>
      <c r="AD40" s="1233">
        <v>1.196</v>
      </c>
      <c r="AE40" s="1231">
        <v>1.2050000000000001</v>
      </c>
      <c r="AF40" s="1231">
        <v>1.2130000000000001</v>
      </c>
      <c r="AG40" s="1232">
        <v>1.224</v>
      </c>
      <c r="AH40" s="1233">
        <v>1.2450000000000001</v>
      </c>
      <c r="AI40" s="1231">
        <v>1.274</v>
      </c>
      <c r="AJ40" s="1231">
        <v>1.2829999999999999</v>
      </c>
      <c r="AK40" s="1232">
        <v>1.29</v>
      </c>
      <c r="AL40" s="1233">
        <f t="shared" ref="AL40:AS40" si="82">AK40</f>
        <v>1.29</v>
      </c>
      <c r="AM40" s="1231">
        <f t="shared" si="82"/>
        <v>1.29</v>
      </c>
      <c r="AN40" s="1231">
        <f t="shared" si="82"/>
        <v>1.29</v>
      </c>
      <c r="AO40" s="1232">
        <f t="shared" si="82"/>
        <v>1.29</v>
      </c>
      <c r="AP40" s="1233">
        <f t="shared" si="82"/>
        <v>1.29</v>
      </c>
      <c r="AQ40" s="1231">
        <f t="shared" si="82"/>
        <v>1.29</v>
      </c>
      <c r="AR40" s="1231">
        <f t="shared" si="82"/>
        <v>1.29</v>
      </c>
      <c r="AS40" s="1232">
        <f t="shared" si="82"/>
        <v>1.29</v>
      </c>
      <c r="AT40" s="1231"/>
      <c r="AU40" s="1234">
        <f t="shared" si="71"/>
        <v>0.246</v>
      </c>
      <c r="AV40" s="1234">
        <f t="shared" si="72"/>
        <v>0.93100000000000005</v>
      </c>
      <c r="AW40" s="1234">
        <f t="shared" si="73"/>
        <v>0.98599999999999999</v>
      </c>
      <c r="AX40" s="1234">
        <f t="shared" si="74"/>
        <v>1.0369999999999999</v>
      </c>
      <c r="AY40" s="1234">
        <f t="shared" si="75"/>
        <v>1.089</v>
      </c>
      <c r="AZ40" s="1235">
        <f t="shared" si="76"/>
        <v>1.131</v>
      </c>
      <c r="BA40" s="1236">
        <f t="shared" si="77"/>
        <v>1.175</v>
      </c>
      <c r="BB40" s="1234">
        <f t="shared" si="78"/>
        <v>1.224</v>
      </c>
      <c r="BC40" s="1234">
        <f t="shared" si="79"/>
        <v>1.29</v>
      </c>
      <c r="BD40" s="1237">
        <f t="shared" si="80"/>
        <v>1.29</v>
      </c>
      <c r="BE40" s="1237">
        <f t="shared" si="81"/>
        <v>1.29</v>
      </c>
      <c r="BF40" s="1238"/>
    </row>
    <row r="41" spans="1:65" s="1276" customFormat="1" ht="12.75" customHeight="1">
      <c r="A41" s="1239" t="s">
        <v>263</v>
      </c>
      <c r="B41" s="1231"/>
      <c r="C41" s="1231"/>
      <c r="D41" s="1231"/>
      <c r="E41" s="1232">
        <f>20.676</f>
        <v>20.675999999999998</v>
      </c>
      <c r="F41" s="1231">
        <f>23.363</f>
        <v>23.363</v>
      </c>
      <c r="G41" s="1231">
        <f>26.651</f>
        <v>26.651</v>
      </c>
      <c r="H41" s="1231">
        <v>578.125</v>
      </c>
      <c r="I41" s="1231">
        <v>586.94000000000005</v>
      </c>
      <c r="J41" s="1233">
        <v>614.774</v>
      </c>
      <c r="K41" s="1231">
        <v>629.08699999999999</v>
      </c>
      <c r="L41" s="1231">
        <v>648.96400000000006</v>
      </c>
      <c r="M41" s="1232">
        <v>662.99</v>
      </c>
      <c r="N41" s="1233">
        <v>687.31100000000004</v>
      </c>
      <c r="O41" s="1231">
        <v>710.06600000000003</v>
      </c>
      <c r="P41" s="1231">
        <v>735.96100000000001</v>
      </c>
      <c r="Q41" s="1232">
        <v>757.47</v>
      </c>
      <c r="R41" s="1231">
        <v>786.476</v>
      </c>
      <c r="S41" s="1231">
        <v>811.64400000000001</v>
      </c>
      <c r="T41" s="1231">
        <v>840.48199999999997</v>
      </c>
      <c r="U41" s="1253">
        <v>869.05899999999997</v>
      </c>
      <c r="V41" s="1255">
        <v>906.26300000000003</v>
      </c>
      <c r="W41" s="1253">
        <v>944.79899999999998</v>
      </c>
      <c r="X41" s="1253">
        <v>985.86400000000003</v>
      </c>
      <c r="Y41" s="1254">
        <v>1017.837</v>
      </c>
      <c r="Z41" s="1255">
        <v>1063.0509999999999</v>
      </c>
      <c r="AA41" s="1253">
        <v>1101.9280000000001</v>
      </c>
      <c r="AB41" s="1253">
        <v>1146.4349999999999</v>
      </c>
      <c r="AC41" s="1254">
        <f>1185.1-14.934</f>
        <v>1170.1659999999999</v>
      </c>
      <c r="AD41" s="1255">
        <f>1237.283-39.925</f>
        <v>1197.3579999999999</v>
      </c>
      <c r="AE41" s="1231">
        <f>1281.545-64.925</f>
        <v>1216.6200000000001</v>
      </c>
      <c r="AF41" s="1231">
        <f>1330.517-64.925</f>
        <v>1265.5920000000001</v>
      </c>
      <c r="AG41" s="1232">
        <f>1374.659-114.911</f>
        <v>1259.748</v>
      </c>
      <c r="AH41" s="1233">
        <f>1440.77-174.911</f>
        <v>1265.8589999999999</v>
      </c>
      <c r="AI41" s="1231">
        <f>1489.379-241.239</f>
        <v>1248.1399999999999</v>
      </c>
      <c r="AJ41" s="1253">
        <f>1540.611-301.208</f>
        <v>1239.403</v>
      </c>
      <c r="AK41" s="1232">
        <f>1586.727-364.574</f>
        <v>1222.153</v>
      </c>
      <c r="AL41" s="1255">
        <f>AK41+'Cash Flow'!AL9+'Cash Flow'!AL35+'Cash Flow'!AL36+'Cash Flow'!AL37</f>
        <v>1276.45202485</v>
      </c>
      <c r="AM41" s="1253">
        <f>AL41+'Cash Flow'!AM9+'Cash Flow'!AM35+'Cash Flow'!AM36+'Cash Flow'!AM37</f>
        <v>1324.24860115</v>
      </c>
      <c r="AN41" s="1253">
        <f>AM41+'Cash Flow'!AN9+'Cash Flow'!AN35+'Cash Flow'!AN36+'Cash Flow'!AN37</f>
        <v>1372.6230656499999</v>
      </c>
      <c r="AO41" s="1254">
        <f>AN41+'Cash Flow'!AO9+'Cash Flow'!AO35+'Cash Flow'!AO36+'Cash Flow'!AO37</f>
        <v>1422.5530136499999</v>
      </c>
      <c r="AP41" s="1255">
        <f>AO41+'Cash Flow'!AP9+'Cash Flow'!AP35+'Cash Flow'!AP36+'Cash Flow'!AP37</f>
        <v>1480.430451701965</v>
      </c>
      <c r="AQ41" s="1253">
        <f>AP41+'Cash Flow'!AQ9+'Cash Flow'!AQ35+'Cash Flow'!AQ36+'Cash Flow'!AQ37</f>
        <v>1531.373346983605</v>
      </c>
      <c r="AR41" s="1253">
        <f>AQ41+'Cash Flow'!AR9+'Cash Flow'!AR35+'Cash Flow'!AR36+'Cash Flow'!AR37</f>
        <v>1582.9246681725549</v>
      </c>
      <c r="AS41" s="1254">
        <f>AR41+'Cash Flow'!AS9+'Cash Flow'!AS35+'Cash Flow'!AS36+'Cash Flow'!AS37</f>
        <v>1636.131106341355</v>
      </c>
      <c r="AT41" s="1231"/>
      <c r="AU41" s="1234">
        <f t="shared" si="71"/>
        <v>20.675999999999998</v>
      </c>
      <c r="AV41" s="1234">
        <f t="shared" si="72"/>
        <v>586.94000000000005</v>
      </c>
      <c r="AW41" s="1234">
        <f t="shared" si="73"/>
        <v>662.99</v>
      </c>
      <c r="AX41" s="1234">
        <f t="shared" si="74"/>
        <v>757.47</v>
      </c>
      <c r="AY41" s="1234">
        <f t="shared" si="75"/>
        <v>869.05899999999997</v>
      </c>
      <c r="AZ41" s="1235">
        <f t="shared" si="76"/>
        <v>1017.837</v>
      </c>
      <c r="BA41" s="1236">
        <f t="shared" si="77"/>
        <v>1170.1659999999999</v>
      </c>
      <c r="BB41" s="1234">
        <f t="shared" si="78"/>
        <v>1259.748</v>
      </c>
      <c r="BC41" s="1234">
        <f t="shared" si="79"/>
        <v>1222.153</v>
      </c>
      <c r="BD41" s="1237">
        <f t="shared" si="80"/>
        <v>1422.5530136499999</v>
      </c>
      <c r="BE41" s="1237">
        <f t="shared" si="81"/>
        <v>1636.131106341355</v>
      </c>
      <c r="BF41" s="1238"/>
    </row>
    <row r="42" spans="1:65" ht="12.75" customHeight="1">
      <c r="A42" s="1239" t="s">
        <v>264</v>
      </c>
      <c r="B42" s="1231"/>
      <c r="C42" s="1231"/>
      <c r="D42" s="1231"/>
      <c r="E42" s="1232">
        <v>0</v>
      </c>
      <c r="F42" s="1231">
        <v>0</v>
      </c>
      <c r="G42" s="1231">
        <v>0</v>
      </c>
      <c r="H42" s="1231">
        <v>0</v>
      </c>
      <c r="I42" s="1231">
        <v>0</v>
      </c>
      <c r="J42" s="1233">
        <v>2.1000000000000001E-2</v>
      </c>
      <c r="K42" s="1231">
        <v>0.08</v>
      </c>
      <c r="L42" s="1231">
        <v>0.06</v>
      </c>
      <c r="M42" s="1232">
        <v>0.05</v>
      </c>
      <c r="N42" s="1233">
        <v>0.16300000000000001</v>
      </c>
      <c r="O42" s="1231">
        <v>0.14899999999999999</v>
      </c>
      <c r="P42" s="1231">
        <v>5.3999999999999999E-2</v>
      </c>
      <c r="Q42" s="1232">
        <v>0.01</v>
      </c>
      <c r="R42" s="1231">
        <v>8.0000000000000002E-3</v>
      </c>
      <c r="S42" s="1231">
        <v>-1.6E-2</v>
      </c>
      <c r="T42" s="1231">
        <v>-1.4999999999999999E-2</v>
      </c>
      <c r="U42" s="1231">
        <v>-0.30599999999999999</v>
      </c>
      <c r="V42" s="1233">
        <v>-1.363</v>
      </c>
      <c r="W42" s="1231">
        <v>-1.8560000000000001</v>
      </c>
      <c r="X42" s="1231">
        <v>-1.869</v>
      </c>
      <c r="Y42" s="1232">
        <v>-1.351</v>
      </c>
      <c r="Z42" s="1233">
        <v>-0.67100000000000004</v>
      </c>
      <c r="AA42" s="1231">
        <v>-0.70099999999999996</v>
      </c>
      <c r="AB42" s="1231">
        <v>-0.54</v>
      </c>
      <c r="AC42" s="1232">
        <v>3.7999999999999999E-2</v>
      </c>
      <c r="AD42" s="1233">
        <v>-0.185</v>
      </c>
      <c r="AE42" s="1231">
        <v>-0.27100000000000002</v>
      </c>
      <c r="AF42" s="1231">
        <v>0.95399999999999996</v>
      </c>
      <c r="AG42" s="1232">
        <v>0.318</v>
      </c>
      <c r="AH42" s="1233">
        <v>0.32800000000000001</v>
      </c>
      <c r="AI42" s="1231">
        <v>0.26200000000000001</v>
      </c>
      <c r="AJ42" s="1231">
        <v>0.40699999999999997</v>
      </c>
      <c r="AK42" s="1232">
        <v>0.38700000000000001</v>
      </c>
      <c r="AL42" s="1233">
        <f>AK42+'Cash Flow'!AL41</f>
        <v>0.38700000000000001</v>
      </c>
      <c r="AM42" s="1231">
        <f>AL42+'Cash Flow'!AM41</f>
        <v>0.38700000000000001</v>
      </c>
      <c r="AN42" s="1231">
        <f>AM42+'Cash Flow'!AN41</f>
        <v>0.38700000000000001</v>
      </c>
      <c r="AO42" s="1232">
        <f>AN42+'Cash Flow'!AO41</f>
        <v>0.38700000000000001</v>
      </c>
      <c r="AP42" s="1233">
        <f>AO42+'Cash Flow'!AP41</f>
        <v>0.38700000000000001</v>
      </c>
      <c r="AQ42" s="1231">
        <f>AP42+'Cash Flow'!AQ41</f>
        <v>0.38700000000000001</v>
      </c>
      <c r="AR42" s="1231">
        <f>AQ42+'Cash Flow'!AR41</f>
        <v>0.38700000000000001</v>
      </c>
      <c r="AS42" s="1232">
        <f>AR42+'Cash Flow'!AS41</f>
        <v>0.38700000000000001</v>
      </c>
      <c r="AT42" s="1231"/>
      <c r="AU42" s="1234">
        <f t="shared" si="71"/>
        <v>0</v>
      </c>
      <c r="AV42" s="1234">
        <f t="shared" si="72"/>
        <v>0</v>
      </c>
      <c r="AW42" s="1234">
        <f t="shared" si="73"/>
        <v>0.05</v>
      </c>
      <c r="AX42" s="1234">
        <f t="shared" si="74"/>
        <v>0.01</v>
      </c>
      <c r="AY42" s="1234">
        <f t="shared" si="75"/>
        <v>-0.30599999999999999</v>
      </c>
      <c r="AZ42" s="1235">
        <f t="shared" si="76"/>
        <v>-1.351</v>
      </c>
      <c r="BA42" s="1236">
        <f t="shared" si="77"/>
        <v>3.7999999999999999E-2</v>
      </c>
      <c r="BB42" s="1234">
        <f t="shared" si="78"/>
        <v>0.318</v>
      </c>
      <c r="BC42" s="1234">
        <f t="shared" si="79"/>
        <v>0.38700000000000001</v>
      </c>
      <c r="BD42" s="1237">
        <f t="shared" si="80"/>
        <v>0.38700000000000001</v>
      </c>
      <c r="BE42" s="1237">
        <f t="shared" si="81"/>
        <v>0.38700000000000001</v>
      </c>
      <c r="BF42" s="1238"/>
      <c r="BH42" s="454"/>
    </row>
    <row r="43" spans="1:65" s="1304" customFormat="1" ht="12.6" customHeight="1">
      <c r="A43" s="1277" t="s">
        <v>265</v>
      </c>
      <c r="B43" s="1253"/>
      <c r="C43" s="1253"/>
      <c r="D43" s="1253"/>
      <c r="E43" s="1254">
        <v>-392.58699999999999</v>
      </c>
      <c r="F43" s="1253">
        <v>-408.47500000000002</v>
      </c>
      <c r="G43" s="1253">
        <v>-425.625</v>
      </c>
      <c r="H43" s="1253">
        <v>-446.49400000000003</v>
      </c>
      <c r="I43" s="1253">
        <v>-466.108</v>
      </c>
      <c r="J43" s="1255">
        <v>-487.548</v>
      </c>
      <c r="K43" s="1253">
        <v>-509.17599999999999</v>
      </c>
      <c r="L43" s="1253">
        <v>-526.81600000000003</v>
      </c>
      <c r="M43" s="1254">
        <v>-565.12099999999998</v>
      </c>
      <c r="N43" s="1255">
        <v>-588.09799999999996</v>
      </c>
      <c r="O43" s="1253">
        <v>-600.05799999999999</v>
      </c>
      <c r="P43" s="1253">
        <v>-605.91600000000005</v>
      </c>
      <c r="Q43" s="1254">
        <v>-607.85199999999998</v>
      </c>
      <c r="R43" s="1253">
        <v>-615.6</v>
      </c>
      <c r="S43" s="1253">
        <v>-627.23800000000006</v>
      </c>
      <c r="T43" s="1231">
        <v>-643.48400000000004</v>
      </c>
      <c r="U43" s="1253">
        <v>-654.529</v>
      </c>
      <c r="V43" s="1255">
        <v>-679.03499999999997</v>
      </c>
      <c r="W43" s="1253">
        <v>-706.53399999999999</v>
      </c>
      <c r="X43" s="1253">
        <v>-725.26400000000001</v>
      </c>
      <c r="Y43" s="1254">
        <v>-746.75099999999998</v>
      </c>
      <c r="Z43" s="1255">
        <v>-771.84799999999996</v>
      </c>
      <c r="AA43" s="1253">
        <v>-787.822</v>
      </c>
      <c r="AB43" s="1253">
        <v>-803.38699999999994</v>
      </c>
      <c r="AC43" s="1254">
        <v>-825.03499999999997</v>
      </c>
      <c r="AD43" s="1255">
        <v>-839.42100000000005</v>
      </c>
      <c r="AE43" s="1231">
        <v>-853.99300000000005</v>
      </c>
      <c r="AF43" s="1231">
        <v>-863.20399999999995</v>
      </c>
      <c r="AG43" s="1232">
        <v>-861.33600000000001</v>
      </c>
      <c r="AH43" s="1233">
        <v>-884.27099999999996</v>
      </c>
      <c r="AI43" s="1231">
        <v>-898.97699999999998</v>
      </c>
      <c r="AJ43" s="1253">
        <v>-896.71699999999998</v>
      </c>
      <c r="AK43" s="1232">
        <v>-897.45399999999995</v>
      </c>
      <c r="AL43" s="1255">
        <f>AK43+'Income Statement'!AL99</f>
        <v>-914.41804117896413</v>
      </c>
      <c r="AM43" s="1253">
        <f>AL43+'Income Statement'!AM99</f>
        <v>-926.10997623206015</v>
      </c>
      <c r="AN43" s="1253">
        <f>AM43+'Income Statement'!AN99</f>
        <v>-926.0396588530275</v>
      </c>
      <c r="AO43" s="1254">
        <f>AN43+'Income Statement'!AO99</f>
        <v>-922.70719660812335</v>
      </c>
      <c r="AP43" s="1255">
        <f>AO43+'Income Statement'!AP99</f>
        <v>-940.55406635803092</v>
      </c>
      <c r="AQ43" s="1253">
        <f>AP43+'Income Statement'!AQ99</f>
        <v>-949.62635102560466</v>
      </c>
      <c r="AR43" s="1253">
        <f>AQ43+'Income Statement'!AR99</f>
        <v>-946.15144572504812</v>
      </c>
      <c r="AS43" s="1254">
        <f>AR43+'Income Statement'!AS99</f>
        <v>-939.15270744119528</v>
      </c>
      <c r="AT43" s="1253"/>
      <c r="AU43" s="1234">
        <f t="shared" si="71"/>
        <v>-392.58699999999999</v>
      </c>
      <c r="AV43" s="1234">
        <f t="shared" si="72"/>
        <v>-466.108</v>
      </c>
      <c r="AW43" s="1234">
        <f t="shared" si="73"/>
        <v>-565.12099999999998</v>
      </c>
      <c r="AX43" s="1234">
        <f t="shared" si="74"/>
        <v>-607.85199999999998</v>
      </c>
      <c r="AY43" s="1234">
        <f t="shared" si="75"/>
        <v>-654.529</v>
      </c>
      <c r="AZ43" s="1235">
        <f t="shared" si="76"/>
        <v>-746.75099999999998</v>
      </c>
      <c r="BA43" s="1236">
        <f t="shared" si="77"/>
        <v>-825.03499999999997</v>
      </c>
      <c r="BB43" s="1234">
        <f t="shared" si="78"/>
        <v>-861.33600000000001</v>
      </c>
      <c r="BC43" s="1234">
        <f t="shared" si="79"/>
        <v>-897.45399999999995</v>
      </c>
      <c r="BD43" s="1237">
        <f t="shared" si="80"/>
        <v>-922.70719660812335</v>
      </c>
      <c r="BE43" s="1237">
        <f t="shared" si="81"/>
        <v>-939.15270744119528</v>
      </c>
      <c r="BF43" s="1238"/>
    </row>
    <row r="44" spans="1:65" s="1256" customFormat="1" ht="12.6" customHeight="1">
      <c r="A44" s="1305" t="s">
        <v>266</v>
      </c>
      <c r="B44" s="1306"/>
      <c r="C44" s="1306"/>
      <c r="D44" s="1306"/>
      <c r="E44" s="1307">
        <f>SUM(E39:E43)</f>
        <v>-93.93</v>
      </c>
      <c r="F44" s="1306">
        <f t="shared" ref="F44:AS44" si="83">SUM(F39:F43)</f>
        <v>-106.94</v>
      </c>
      <c r="G44" s="1306">
        <f t="shared" si="83"/>
        <v>-120.60999999999996</v>
      </c>
      <c r="H44" s="1306">
        <f t="shared" si="83"/>
        <v>132.56099999999992</v>
      </c>
      <c r="I44" s="1306">
        <f t="shared" si="83"/>
        <v>121.76300000000009</v>
      </c>
      <c r="J44" s="1308">
        <f t="shared" si="83"/>
        <v>128.20899999999995</v>
      </c>
      <c r="K44" s="1306">
        <f t="shared" si="83"/>
        <v>120.959</v>
      </c>
      <c r="L44" s="1306">
        <f t="shared" si="83"/>
        <v>123.18799999999999</v>
      </c>
      <c r="M44" s="1306">
        <f t="shared" si="83"/>
        <v>98.904999999999973</v>
      </c>
      <c r="N44" s="1308">
        <f t="shared" si="83"/>
        <v>100.37600000000009</v>
      </c>
      <c r="O44" s="1306">
        <f t="shared" si="83"/>
        <v>111.16800000000001</v>
      </c>
      <c r="P44" s="1306">
        <f t="shared" si="83"/>
        <v>131.12699999999995</v>
      </c>
      <c r="Q44" s="1307">
        <f t="shared" si="83"/>
        <v>150.66500000000008</v>
      </c>
      <c r="R44" s="1306">
        <f t="shared" si="83"/>
        <v>171.93899999999996</v>
      </c>
      <c r="S44" s="1306">
        <f t="shared" si="83"/>
        <v>185.45500000000004</v>
      </c>
      <c r="T44" s="1306">
        <f t="shared" si="83"/>
        <v>198.0569999999999</v>
      </c>
      <c r="U44" s="1306">
        <v>215.31299999999999</v>
      </c>
      <c r="V44" s="1308">
        <f t="shared" si="83"/>
        <v>226.96799999999996</v>
      </c>
      <c r="W44" s="1306">
        <f t="shared" si="83"/>
        <v>237.52499999999998</v>
      </c>
      <c r="X44" s="1306">
        <f t="shared" si="83"/>
        <v>259.85500000000002</v>
      </c>
      <c r="Y44" s="1307">
        <f t="shared" si="83"/>
        <v>270.86599999999999</v>
      </c>
      <c r="Z44" s="1308">
        <f t="shared" si="83"/>
        <v>291.67899999999986</v>
      </c>
      <c r="AA44" s="1306">
        <f t="shared" si="83"/>
        <v>314.56100000000004</v>
      </c>
      <c r="AB44" s="1306">
        <f t="shared" si="83"/>
        <v>343.673</v>
      </c>
      <c r="AC44" s="1307">
        <f t="shared" si="83"/>
        <v>346.34399999999994</v>
      </c>
      <c r="AD44" s="1308">
        <f t="shared" si="83"/>
        <v>358.94799999999987</v>
      </c>
      <c r="AE44" s="1306">
        <f>SUM(AE39:AE43)</f>
        <v>363.56100000000004</v>
      </c>
      <c r="AF44" s="1309">
        <f t="shared" si="83"/>
        <v>404.55500000000006</v>
      </c>
      <c r="AG44" s="1307">
        <f t="shared" si="83"/>
        <v>399.95399999999995</v>
      </c>
      <c r="AH44" s="1310">
        <f t="shared" si="83"/>
        <v>383.16099999999983</v>
      </c>
      <c r="AI44" s="1309">
        <f t="shared" si="83"/>
        <v>350.69899999999973</v>
      </c>
      <c r="AJ44" s="1306">
        <f t="shared" si="83"/>
        <v>344.37599999999986</v>
      </c>
      <c r="AK44" s="1307">
        <f t="shared" si="83"/>
        <v>326.37599999999998</v>
      </c>
      <c r="AL44" s="1308">
        <f t="shared" si="83"/>
        <v>363.71098367103582</v>
      </c>
      <c r="AM44" s="1306">
        <f t="shared" si="83"/>
        <v>399.81562491793977</v>
      </c>
      <c r="AN44" s="1306">
        <f t="shared" si="83"/>
        <v>448.26040679697235</v>
      </c>
      <c r="AO44" s="1307">
        <f t="shared" si="83"/>
        <v>501.52281704187646</v>
      </c>
      <c r="AP44" s="1308">
        <f t="shared" si="83"/>
        <v>541.553385343934</v>
      </c>
      <c r="AQ44" s="1306">
        <f t="shared" si="83"/>
        <v>583.42399595800021</v>
      </c>
      <c r="AR44" s="1306">
        <f t="shared" si="83"/>
        <v>638.45022244750669</v>
      </c>
      <c r="AS44" s="1307">
        <f t="shared" si="83"/>
        <v>698.65539890015964</v>
      </c>
      <c r="AT44" s="1231"/>
      <c r="AU44" s="1311">
        <f t="shared" si="71"/>
        <v>-93.93</v>
      </c>
      <c r="AV44" s="1311">
        <f t="shared" si="72"/>
        <v>121.76300000000009</v>
      </c>
      <c r="AW44" s="1311">
        <f t="shared" si="73"/>
        <v>98.904999999999973</v>
      </c>
      <c r="AX44" s="1311">
        <f t="shared" si="74"/>
        <v>150.66500000000008</v>
      </c>
      <c r="AY44" s="1311">
        <f t="shared" si="75"/>
        <v>215.31299999999999</v>
      </c>
      <c r="AZ44" s="1312">
        <f t="shared" si="76"/>
        <v>270.86599999999999</v>
      </c>
      <c r="BA44" s="1313">
        <f t="shared" si="77"/>
        <v>346.34399999999994</v>
      </c>
      <c r="BB44" s="1311">
        <f t="shared" si="78"/>
        <v>399.95399999999995</v>
      </c>
      <c r="BC44" s="1311">
        <f t="shared" si="79"/>
        <v>326.37599999999998</v>
      </c>
      <c r="BD44" s="1314">
        <f t="shared" si="80"/>
        <v>501.52281704187646</v>
      </c>
      <c r="BE44" s="1314">
        <f t="shared" si="81"/>
        <v>698.65539890015964</v>
      </c>
      <c r="BF44" s="1238"/>
    </row>
    <row r="45" spans="1:65" s="1330" customFormat="1" ht="12.6" customHeight="1">
      <c r="A45" s="1315" t="s">
        <v>267</v>
      </c>
      <c r="B45" s="1316"/>
      <c r="C45" s="1316"/>
      <c r="D45" s="1316"/>
      <c r="E45" s="1317">
        <f t="shared" ref="E45:AS45" si="84">E44+E36</f>
        <v>164.33699999999999</v>
      </c>
      <c r="F45" s="1317">
        <f t="shared" si="84"/>
        <v>155.64500000000004</v>
      </c>
      <c r="G45" s="1317">
        <f t="shared" si="84"/>
        <v>169.358</v>
      </c>
      <c r="H45" s="1317">
        <f t="shared" si="84"/>
        <v>454.19799999999992</v>
      </c>
      <c r="I45" s="1317">
        <f t="shared" si="84"/>
        <v>460.61200000000014</v>
      </c>
      <c r="J45" s="1318">
        <f t="shared" si="84"/>
        <v>466.39099999999996</v>
      </c>
      <c r="K45" s="1319">
        <f t="shared" si="84"/>
        <v>480.76900000000006</v>
      </c>
      <c r="L45" s="1319">
        <f t="shared" si="84"/>
        <v>532.21199999999999</v>
      </c>
      <c r="M45" s="1320">
        <f t="shared" si="84"/>
        <v>558.61200000000008</v>
      </c>
      <c r="N45" s="1321">
        <f t="shared" si="84"/>
        <v>549.57400000000007</v>
      </c>
      <c r="O45" s="1322">
        <f t="shared" si="84"/>
        <v>575.83600000000001</v>
      </c>
      <c r="P45" s="1322">
        <f t="shared" si="84"/>
        <v>623.83499999999992</v>
      </c>
      <c r="Q45" s="1323">
        <f t="shared" si="84"/>
        <v>690.58900000000017</v>
      </c>
      <c r="R45" s="1318">
        <f t="shared" si="84"/>
        <v>700.84699999999987</v>
      </c>
      <c r="S45" s="1319">
        <f t="shared" si="84"/>
        <v>744.76700000000017</v>
      </c>
      <c r="T45" s="1319">
        <f t="shared" si="84"/>
        <v>1158.4899999999998</v>
      </c>
      <c r="U45" s="1320">
        <f t="shared" si="84"/>
        <v>1248.819</v>
      </c>
      <c r="V45" s="1321">
        <f t="shared" si="84"/>
        <v>1237.875</v>
      </c>
      <c r="W45" s="1322">
        <f t="shared" si="84"/>
        <v>1275.0419999999999</v>
      </c>
      <c r="X45" s="1322">
        <f t="shared" si="84"/>
        <v>1349.7370000000003</v>
      </c>
      <c r="Y45" s="1323">
        <f t="shared" si="84"/>
        <v>1439.53</v>
      </c>
      <c r="Z45" s="1321">
        <f t="shared" si="84"/>
        <v>1423.2769999999998</v>
      </c>
      <c r="AA45" s="1322">
        <f t="shared" si="84"/>
        <v>1465.8389999999999</v>
      </c>
      <c r="AB45" s="1322">
        <f t="shared" si="84"/>
        <v>1524.4460000000001</v>
      </c>
      <c r="AC45" s="1323">
        <f t="shared" si="84"/>
        <v>1606.8710000000001</v>
      </c>
      <c r="AD45" s="1321">
        <f t="shared" si="84"/>
        <v>1567.0219999999999</v>
      </c>
      <c r="AE45" s="1322">
        <f t="shared" si="84"/>
        <v>1576.3490000000002</v>
      </c>
      <c r="AF45" s="1324">
        <f t="shared" si="84"/>
        <v>1634.4190000000001</v>
      </c>
      <c r="AG45" s="1323">
        <f t="shared" si="84"/>
        <v>1742.1189999999997</v>
      </c>
      <c r="AH45" s="1321">
        <f t="shared" si="84"/>
        <v>1693.577</v>
      </c>
      <c r="AI45" s="1324">
        <f t="shared" si="84"/>
        <v>1656.5719999999997</v>
      </c>
      <c r="AJ45" s="1322">
        <f t="shared" si="84"/>
        <v>1652.6219999999998</v>
      </c>
      <c r="AK45" s="1323">
        <f t="shared" si="84"/>
        <v>1747.6669999999999</v>
      </c>
      <c r="AL45" s="1321">
        <f t="shared" si="84"/>
        <v>1743.9350671281632</v>
      </c>
      <c r="AM45" s="1322">
        <f t="shared" si="84"/>
        <v>1774.9365195354899</v>
      </c>
      <c r="AN45" s="1322">
        <f t="shared" si="84"/>
        <v>1825.7731846698562</v>
      </c>
      <c r="AO45" s="1323">
        <f t="shared" si="84"/>
        <v>2000.6708951248725</v>
      </c>
      <c r="AP45" s="1321">
        <f t="shared" si="84"/>
        <v>1997.2255171760355</v>
      </c>
      <c r="AQ45" s="1322">
        <f t="shared" si="84"/>
        <v>2033.6792009316475</v>
      </c>
      <c r="AR45" s="1322">
        <f t="shared" si="84"/>
        <v>2091.2394973488372</v>
      </c>
      <c r="AS45" s="1323">
        <f t="shared" si="84"/>
        <v>2281.0811124291395</v>
      </c>
      <c r="AT45" s="1231"/>
      <c r="AU45" s="1325">
        <f t="shared" si="71"/>
        <v>164.33699999999999</v>
      </c>
      <c r="AV45" s="1325">
        <f t="shared" si="72"/>
        <v>460.61200000000014</v>
      </c>
      <c r="AW45" s="1325">
        <f t="shared" si="73"/>
        <v>558.61200000000008</v>
      </c>
      <c r="AX45" s="1325">
        <f t="shared" si="74"/>
        <v>690.58900000000017</v>
      </c>
      <c r="AY45" s="1325">
        <f t="shared" si="75"/>
        <v>1248.819</v>
      </c>
      <c r="AZ45" s="1326">
        <f t="shared" si="76"/>
        <v>1439.53</v>
      </c>
      <c r="BA45" s="1327">
        <f t="shared" si="77"/>
        <v>1606.8710000000001</v>
      </c>
      <c r="BB45" s="1328">
        <f t="shared" si="78"/>
        <v>1742.1189999999997</v>
      </c>
      <c r="BC45" s="1328">
        <f t="shared" si="79"/>
        <v>1747.6669999999999</v>
      </c>
      <c r="BD45" s="1329">
        <f t="shared" si="80"/>
        <v>2000.6708951248725</v>
      </c>
      <c r="BE45" s="1329">
        <f t="shared" si="81"/>
        <v>2281.0811124291395</v>
      </c>
      <c r="BF45" s="1238"/>
    </row>
    <row r="46" spans="1:65" s="1276" customFormat="1" ht="12.6" customHeight="1">
      <c r="A46" s="1331"/>
      <c r="B46" s="454"/>
      <c r="C46" s="454"/>
      <c r="D46" s="454"/>
      <c r="E46" s="454"/>
      <c r="F46" s="454"/>
      <c r="G46" s="454"/>
      <c r="H46" s="454"/>
      <c r="I46" s="454"/>
      <c r="J46" s="454"/>
      <c r="K46" s="454"/>
      <c r="L46" s="1332"/>
      <c r="M46" s="1304"/>
      <c r="N46" s="454"/>
      <c r="O46" s="1304"/>
      <c r="P46" s="1304"/>
      <c r="Q46" s="1304"/>
      <c r="R46" s="1304"/>
      <c r="S46" s="1304"/>
      <c r="T46" s="1304"/>
      <c r="U46" s="1304"/>
      <c r="V46" s="1304"/>
      <c r="W46" s="1304"/>
      <c r="X46" s="1304"/>
      <c r="Y46" s="1304"/>
      <c r="Z46" s="1304"/>
      <c r="AA46" s="1304"/>
      <c r="AB46" s="1304"/>
      <c r="AC46" s="1304"/>
      <c r="AD46" s="1304"/>
      <c r="AE46" s="1304"/>
      <c r="AF46" s="1304"/>
      <c r="AG46" s="1304"/>
      <c r="AH46" s="1304"/>
      <c r="AI46" s="1304"/>
      <c r="AJ46" s="1304"/>
      <c r="AK46" s="1304"/>
      <c r="AL46" s="1304"/>
      <c r="AM46" s="1304"/>
      <c r="AN46" s="1304"/>
      <c r="AO46" s="1304"/>
      <c r="AP46" s="1304"/>
      <c r="AQ46" s="1304"/>
      <c r="AR46" s="1304"/>
      <c r="AS46" s="1304"/>
      <c r="AT46" s="454"/>
      <c r="AU46" s="454"/>
      <c r="AV46" s="454"/>
      <c r="AW46" s="454"/>
      <c r="AX46" s="454"/>
      <c r="AY46" s="454"/>
      <c r="AZ46" s="454"/>
      <c r="BA46" s="454"/>
      <c r="BB46" s="454"/>
      <c r="BC46" s="454"/>
      <c r="BD46" s="454"/>
      <c r="BE46" s="454"/>
    </row>
    <row r="47" spans="1:65" s="31" customFormat="1" ht="11.65" collapsed="1">
      <c r="A47" s="1333" t="s">
        <v>268</v>
      </c>
      <c r="B47" s="579"/>
      <c r="C47" s="1334"/>
      <c r="D47" s="1334"/>
      <c r="E47" s="582">
        <f t="shared" ref="E47:AS47" si="85">E6+E7-E33-E28</f>
        <v>27.21</v>
      </c>
      <c r="F47" s="579">
        <f t="shared" si="85"/>
        <v>26.423999999999999</v>
      </c>
      <c r="G47" s="1334">
        <f t="shared" si="85"/>
        <v>23.655000000000001</v>
      </c>
      <c r="H47" s="1334">
        <f t="shared" si="85"/>
        <v>287.15100000000001</v>
      </c>
      <c r="I47" s="582">
        <f t="shared" si="85"/>
        <v>283.23500000000001</v>
      </c>
      <c r="J47" s="579">
        <f t="shared" si="85"/>
        <v>298.98</v>
      </c>
      <c r="K47" s="1334">
        <f t="shared" si="85"/>
        <v>296.964</v>
      </c>
      <c r="L47" s="1334">
        <f t="shared" si="85"/>
        <v>296.63599999999997</v>
      </c>
      <c r="M47" s="582">
        <f t="shared" si="85"/>
        <v>212.267</v>
      </c>
      <c r="N47" s="579">
        <f t="shared" si="85"/>
        <v>226.69300000000001</v>
      </c>
      <c r="O47" s="1334">
        <f t="shared" si="85"/>
        <v>242.101</v>
      </c>
      <c r="P47" s="1334">
        <f t="shared" si="85"/>
        <v>269.10699999999997</v>
      </c>
      <c r="Q47" s="582">
        <f t="shared" si="85"/>
        <v>291.846</v>
      </c>
      <c r="R47" s="579">
        <f t="shared" si="85"/>
        <v>340.33100000000002</v>
      </c>
      <c r="S47" s="1334">
        <f t="shared" si="85"/>
        <v>261.03800000000001</v>
      </c>
      <c r="T47" s="1334">
        <f t="shared" si="85"/>
        <v>286.50799999999998</v>
      </c>
      <c r="U47" s="582">
        <f t="shared" si="85"/>
        <v>147.56400000000002</v>
      </c>
      <c r="V47" s="579">
        <f t="shared" si="85"/>
        <v>162.03700000000003</v>
      </c>
      <c r="W47" s="1334">
        <f t="shared" si="85"/>
        <v>147.50199999999995</v>
      </c>
      <c r="X47" s="1334">
        <f t="shared" si="85"/>
        <v>185.33199999999999</v>
      </c>
      <c r="Y47" s="582">
        <f t="shared" si="85"/>
        <v>205.46499999999992</v>
      </c>
      <c r="Z47" s="579">
        <f t="shared" si="85"/>
        <v>255.40000000000003</v>
      </c>
      <c r="AA47" s="1334">
        <f t="shared" si="85"/>
        <v>284.93700000000007</v>
      </c>
      <c r="AB47" s="1334">
        <f t="shared" si="85"/>
        <v>333.03299999999996</v>
      </c>
      <c r="AC47" s="582">
        <f t="shared" si="85"/>
        <v>114.69099999999997</v>
      </c>
      <c r="AD47" s="579">
        <f t="shared" si="85"/>
        <v>152.14899999999994</v>
      </c>
      <c r="AE47" s="1334">
        <f t="shared" si="85"/>
        <v>129.03400000000005</v>
      </c>
      <c r="AF47" s="1334">
        <f t="shared" si="85"/>
        <v>191.11499999999995</v>
      </c>
      <c r="AG47" s="582">
        <f t="shared" si="85"/>
        <v>220.48899999999998</v>
      </c>
      <c r="AH47" s="579">
        <f t="shared" si="85"/>
        <v>104.20900000000006</v>
      </c>
      <c r="AI47" s="1334">
        <f t="shared" si="85"/>
        <v>31.074999999999989</v>
      </c>
      <c r="AJ47" s="1334">
        <f t="shared" si="85"/>
        <v>28.751000000000033</v>
      </c>
      <c r="AK47" s="582">
        <f t="shared" si="85"/>
        <v>47.972000000000037</v>
      </c>
      <c r="AL47" s="579">
        <f t="shared" si="85"/>
        <v>121.03048215767666</v>
      </c>
      <c r="AM47" s="1334">
        <f t="shared" si="85"/>
        <v>161.85009926614458</v>
      </c>
      <c r="AN47" s="1334">
        <f t="shared" si="85"/>
        <v>214.54571390452423</v>
      </c>
      <c r="AO47" s="582">
        <f t="shared" si="85"/>
        <v>309.62875996708186</v>
      </c>
      <c r="AP47" s="579">
        <f t="shared" si="85"/>
        <v>386.83110289376413</v>
      </c>
      <c r="AQ47" s="1334">
        <f t="shared" si="85"/>
        <v>433.46010574510632</v>
      </c>
      <c r="AR47" s="1334">
        <f t="shared" si="85"/>
        <v>492.30771688781107</v>
      </c>
      <c r="AS47" s="582">
        <f t="shared" si="85"/>
        <v>596.63460647264037</v>
      </c>
      <c r="AT47" s="558"/>
      <c r="AU47" s="1335">
        <f t="shared" ref="AU47:BC47" si="86">AU6+AU7-AU33-AU28</f>
        <v>27.21</v>
      </c>
      <c r="AV47" s="1335">
        <f t="shared" si="86"/>
        <v>283.23500000000001</v>
      </c>
      <c r="AW47" s="1335">
        <f t="shared" si="86"/>
        <v>212.267</v>
      </c>
      <c r="AX47" s="1335">
        <f t="shared" si="86"/>
        <v>291.846</v>
      </c>
      <c r="AY47" s="1335">
        <f t="shared" si="86"/>
        <v>147.56400000000002</v>
      </c>
      <c r="AZ47" s="1335">
        <f t="shared" si="86"/>
        <v>205.46499999999992</v>
      </c>
      <c r="BA47" s="1335">
        <f t="shared" si="86"/>
        <v>114.69099999999997</v>
      </c>
      <c r="BB47" s="1335">
        <f t="shared" si="86"/>
        <v>220.48899999999998</v>
      </c>
      <c r="BC47" s="1335">
        <f t="shared" si="86"/>
        <v>47.972000000000037</v>
      </c>
      <c r="BD47" s="1335">
        <f>AO47</f>
        <v>309.62875996708186</v>
      </c>
      <c r="BE47" s="1335">
        <f>AS47</f>
        <v>596.63460647264037</v>
      </c>
      <c r="BF47" s="179"/>
      <c r="BG47" s="179"/>
      <c r="BI47" s="179"/>
      <c r="BJ47" s="179"/>
      <c r="BK47" s="179"/>
      <c r="BL47" s="179"/>
      <c r="BM47" s="179"/>
    </row>
    <row r="48" spans="1:65" s="62" customFormat="1" ht="12" customHeight="1">
      <c r="A48" s="797" t="s">
        <v>117</v>
      </c>
      <c r="B48" s="800"/>
      <c r="C48" s="798"/>
      <c r="D48" s="798"/>
      <c r="E48" s="890"/>
      <c r="F48" s="800"/>
      <c r="G48" s="798"/>
      <c r="H48" s="798"/>
      <c r="I48" s="890">
        <f>I47/E47-1</f>
        <v>9.4092245497978695</v>
      </c>
      <c r="J48" s="800">
        <f t="shared" ref="J48:L48" si="87">J47/F47-1</f>
        <v>10.314713896457766</v>
      </c>
      <c r="K48" s="798">
        <f t="shared" si="87"/>
        <v>11.553963221306278</v>
      </c>
      <c r="L48" s="798">
        <f t="shared" si="87"/>
        <v>3.3031401597068966E-2</v>
      </c>
      <c r="M48" s="890">
        <f>M47/I47-1</f>
        <v>-0.25056225395872689</v>
      </c>
      <c r="N48" s="800">
        <f t="shared" ref="N48:P48" si="88">N47/J47-1</f>
        <v>-0.24177871429527065</v>
      </c>
      <c r="O48" s="798">
        <f t="shared" si="88"/>
        <v>-0.18474629921471963</v>
      </c>
      <c r="P48" s="798">
        <f t="shared" si="88"/>
        <v>-9.2803975242384595E-2</v>
      </c>
      <c r="Q48" s="890">
        <f>Q47/M47-1</f>
        <v>0.37490047911356927</v>
      </c>
      <c r="R48" s="800">
        <f t="shared" ref="R48:T48" si="89">R47/N47-1</f>
        <v>0.50128588002276198</v>
      </c>
      <c r="S48" s="798">
        <f t="shared" si="89"/>
        <v>7.8219420820236252E-2</v>
      </c>
      <c r="T48" s="798">
        <f t="shared" si="89"/>
        <v>6.4662011764837102E-2</v>
      </c>
      <c r="U48" s="890">
        <f>U47/Q47-1</f>
        <v>-0.49437717152196703</v>
      </c>
      <c r="V48" s="800">
        <f t="shared" ref="V48:X48" si="90">V47/R47-1</f>
        <v>-0.52388410106631478</v>
      </c>
      <c r="W48" s="798">
        <f t="shared" si="90"/>
        <v>-0.43494050674614448</v>
      </c>
      <c r="X48" s="798">
        <f t="shared" si="90"/>
        <v>-0.35313499099501577</v>
      </c>
      <c r="Y48" s="890">
        <f>Y47/U47-1</f>
        <v>0.39237890000271003</v>
      </c>
      <c r="Z48" s="800">
        <f t="shared" ref="Z48:AB48" si="91">Z47/V47-1</f>
        <v>0.5761832174133068</v>
      </c>
      <c r="AA48" s="798">
        <f t="shared" si="91"/>
        <v>0.93175007796504561</v>
      </c>
      <c r="AB48" s="798">
        <f t="shared" si="91"/>
        <v>0.79695357520557675</v>
      </c>
      <c r="AC48" s="890">
        <f>AC47/Y47-1</f>
        <v>-0.44179787311707586</v>
      </c>
      <c r="AD48" s="800">
        <f t="shared" ref="AD48:AF48" si="92">AD47/Z47-1</f>
        <v>-0.40427173061863775</v>
      </c>
      <c r="AE48" s="798">
        <f t="shared" si="92"/>
        <v>-0.54714901890593359</v>
      </c>
      <c r="AF48" s="798">
        <f t="shared" si="92"/>
        <v>-0.42613795029321422</v>
      </c>
      <c r="AG48" s="890">
        <f>AG47/AC47-1</f>
        <v>0.92246122189186619</v>
      </c>
      <c r="AH48" s="800">
        <f t="shared" ref="AH48:AJ48" si="93">AH47/AD47-1</f>
        <v>-0.3150858697723935</v>
      </c>
      <c r="AI48" s="798">
        <f t="shared" si="93"/>
        <v>-0.75917200117798433</v>
      </c>
      <c r="AJ48" s="798">
        <f t="shared" si="93"/>
        <v>-0.84956178217303702</v>
      </c>
      <c r="AK48" s="890">
        <f>AK47/AG47-1</f>
        <v>-0.78242905541773045</v>
      </c>
      <c r="AL48" s="800">
        <f t="shared" ref="AL48:AN48" si="94">AL47/AH47-1</f>
        <v>0.16142062737073171</v>
      </c>
      <c r="AM48" s="798">
        <f t="shared" si="94"/>
        <v>4.2083700487898517</v>
      </c>
      <c r="AN48" s="798">
        <f t="shared" si="94"/>
        <v>6.4622000592857285</v>
      </c>
      <c r="AO48" s="890">
        <f>AO47/AK47-1</f>
        <v>5.4543642117710673</v>
      </c>
      <c r="AP48" s="800">
        <f t="shared" ref="AP48:AR48" si="95">AP47/AL47-1</f>
        <v>2.1961460947483169</v>
      </c>
      <c r="AQ48" s="798">
        <f t="shared" si="95"/>
        <v>1.6781577997819399</v>
      </c>
      <c r="AR48" s="798">
        <f t="shared" si="95"/>
        <v>1.2946518386608026</v>
      </c>
      <c r="AS48" s="890">
        <f>AS47/AO47-1</f>
        <v>0.92693536135361421</v>
      </c>
      <c r="AT48" s="655"/>
      <c r="AU48" s="986" t="str">
        <f t="shared" ref="AU48:BC48" si="96">IF(ISERROR(AU47/AT47-1),"NA",AU47/AT47-1)</f>
        <v>NA</v>
      </c>
      <c r="AV48" s="986">
        <f t="shared" si="96"/>
        <v>9.4092245497978695</v>
      </c>
      <c r="AW48" s="986">
        <f t="shared" si="96"/>
        <v>-0.25056225395872689</v>
      </c>
      <c r="AX48" s="986">
        <f t="shared" si="96"/>
        <v>0.37490047911356927</v>
      </c>
      <c r="AY48" s="986">
        <f t="shared" si="96"/>
        <v>-0.49437717152196703</v>
      </c>
      <c r="AZ48" s="986">
        <f t="shared" si="96"/>
        <v>0.39237890000271003</v>
      </c>
      <c r="BA48" s="986">
        <f t="shared" si="96"/>
        <v>-0.44179787311707586</v>
      </c>
      <c r="BB48" s="986">
        <f t="shared" si="96"/>
        <v>0.92246122189186619</v>
      </c>
      <c r="BC48" s="986">
        <f t="shared" si="96"/>
        <v>-0.78242905541773045</v>
      </c>
      <c r="BD48" s="986">
        <f>IF(ISERROR(BD47/BC47-1),"NA",BD47/BC47-1)</f>
        <v>5.4543642117710673</v>
      </c>
      <c r="BE48" s="986">
        <f>IF(ISERROR(BE47/BD47-1),"NA",BE47/BD47-1)</f>
        <v>0.92693536135361421</v>
      </c>
    </row>
    <row r="49" spans="1:65" s="62" customFormat="1" ht="5.45" customHeight="1">
      <c r="A49" s="797"/>
      <c r="B49" s="703"/>
      <c r="C49" s="685"/>
      <c r="D49" s="685"/>
      <c r="E49" s="1336"/>
      <c r="F49" s="703"/>
      <c r="G49" s="685"/>
      <c r="H49" s="685"/>
      <c r="I49" s="1336"/>
      <c r="J49" s="703"/>
      <c r="K49" s="685"/>
      <c r="L49" s="685"/>
      <c r="M49" s="1336"/>
      <c r="N49" s="703"/>
      <c r="O49" s="685"/>
      <c r="P49" s="685"/>
      <c r="Q49" s="1336"/>
      <c r="R49" s="703"/>
      <c r="S49" s="685"/>
      <c r="T49" s="685"/>
      <c r="U49" s="1336"/>
      <c r="V49" s="703"/>
      <c r="W49" s="685"/>
      <c r="X49" s="685"/>
      <c r="Y49" s="1336"/>
      <c r="Z49" s="703"/>
      <c r="AA49" s="685"/>
      <c r="AB49" s="685"/>
      <c r="AC49" s="1336"/>
      <c r="AD49" s="703"/>
      <c r="AE49" s="685"/>
      <c r="AF49" s="685"/>
      <c r="AG49" s="1336"/>
      <c r="AH49" s="703"/>
      <c r="AI49" s="685"/>
      <c r="AJ49" s="685"/>
      <c r="AK49" s="1336"/>
      <c r="AL49" s="703"/>
      <c r="AM49" s="685"/>
      <c r="AN49" s="685"/>
      <c r="AO49" s="1336"/>
      <c r="AP49" s="703"/>
      <c r="AQ49" s="685"/>
      <c r="AR49" s="685"/>
      <c r="AS49" s="1336"/>
      <c r="AT49" s="803"/>
      <c r="AU49" s="1337"/>
      <c r="AV49" s="1337"/>
      <c r="AW49" s="1337"/>
      <c r="AX49" s="1337"/>
      <c r="AY49" s="1337"/>
      <c r="AZ49" s="1338"/>
      <c r="BA49" s="1338"/>
      <c r="BB49" s="1338"/>
      <c r="BC49" s="1338"/>
      <c r="BD49" s="1338"/>
      <c r="BE49" s="1338"/>
    </row>
    <row r="50" spans="1:65" s="31" customFormat="1" ht="11.65">
      <c r="A50" s="63" t="s">
        <v>269</v>
      </c>
      <c r="B50" s="528"/>
      <c r="C50" s="256"/>
      <c r="D50" s="256"/>
      <c r="E50" s="257">
        <f>E47/'Income Statement'!E53</f>
        <v>0.34789612979939394</v>
      </c>
      <c r="F50" s="528">
        <f>F47/'Income Statement'!F53</f>
        <v>0.33498561123718007</v>
      </c>
      <c r="G50" s="256">
        <f>G47/'Income Statement'!G53</f>
        <v>0.29891579053780837</v>
      </c>
      <c r="H50" s="256">
        <f>H47/'Income Statement'!H53</f>
        <v>3.2369631383158608</v>
      </c>
      <c r="I50" s="257">
        <f>I47/'Income Statement'!I53</f>
        <v>3.072396324861423</v>
      </c>
      <c r="J50" s="528">
        <f>J47/'Income Statement'!J53</f>
        <v>3.1895282596172314</v>
      </c>
      <c r="K50" s="256">
        <f>K47/'Income Statement'!K53</f>
        <v>3.0991859737006888</v>
      </c>
      <c r="L50" s="256">
        <f>L47/'Income Statement'!L53</f>
        <v>3.0673050078069255</v>
      </c>
      <c r="M50" s="257">
        <f>M47/'Income Statement'!M53</f>
        <v>2.1717960261106222</v>
      </c>
      <c r="N50" s="528">
        <f>N47/'Income Statement'!N53</f>
        <v>2.2931869910474938</v>
      </c>
      <c r="O50" s="256">
        <f>O47/'Income Statement'!O53</f>
        <v>2.2295578660428963</v>
      </c>
      <c r="P50" s="256">
        <f>P47/'Income Statement'!P53</f>
        <v>2.4195047831403289</v>
      </c>
      <c r="Q50" s="257">
        <f>Q47/'Income Statement'!Q53</f>
        <v>2.5897897791305429</v>
      </c>
      <c r="R50" s="528">
        <f>R47/'Income Statement'!R53</f>
        <v>2.9870890164481194</v>
      </c>
      <c r="S50" s="256">
        <f>S47/'Income Statement'!S53</f>
        <v>2.2924413141416893</v>
      </c>
      <c r="T50" s="256">
        <f>T47/'Income Statement'!T53</f>
        <v>2.4917422575511159</v>
      </c>
      <c r="U50" s="257">
        <f>U47/'Income Statement'!U53</f>
        <v>1.2670135490185979</v>
      </c>
      <c r="V50" s="528">
        <f>V47/'Income Statement'!V53</f>
        <v>1.3830993128761047</v>
      </c>
      <c r="W50" s="256">
        <f>W47/'Income Statement'!W53</f>
        <v>1.2494134189416972</v>
      </c>
      <c r="X50" s="256">
        <f>X47/'Income Statement'!X53</f>
        <v>1.5795251163345663</v>
      </c>
      <c r="Y50" s="257">
        <f>Y47/'Income Statement'!Y53</f>
        <v>1.7479539924795391</v>
      </c>
      <c r="Z50" s="528">
        <f>Z47/'Income Statement'!Z53</f>
        <v>2.1414676683659786</v>
      </c>
      <c r="AA50" s="256">
        <f>AA47/'Income Statement'!AA53</f>
        <v>2.3733476598615662</v>
      </c>
      <c r="AB50" s="256">
        <f>AB47/'Income Statement'!AB53</f>
        <v>2.7186367346938773</v>
      </c>
      <c r="AC50" s="257">
        <f>AC47/'Income Statement'!AC53</f>
        <v>0.93991296722748974</v>
      </c>
      <c r="AD50" s="528">
        <f>AD47/'Income Statement'!AD53</f>
        <v>1.2343144094884229</v>
      </c>
      <c r="AE50" s="256">
        <f>AE47/'Income Statement'!AE53</f>
        <v>1.0485795085164482</v>
      </c>
      <c r="AF50" s="256">
        <f>AF47/'Income Statement'!AF53</f>
        <v>1.5501508662643564</v>
      </c>
      <c r="AG50" s="257">
        <f>AG47/'Income Statement'!AG53</f>
        <v>1.7802475515328655</v>
      </c>
      <c r="AH50" s="528">
        <f>AH47/'Income Statement'!AH53</f>
        <v>0.83936626071267528</v>
      </c>
      <c r="AI50" s="256">
        <f>AI47/'Income Statement'!AI53</f>
        <v>0.25289928789420135</v>
      </c>
      <c r="AJ50" s="256">
        <f>AJ47/'Income Statement'!AJ53</f>
        <v>0.23575475798053375</v>
      </c>
      <c r="AK50" s="257">
        <f>AK47/'Income Statement'!AK53</f>
        <v>0.40329550231189604</v>
      </c>
      <c r="AL50" s="528">
        <f>AL47/'Income Statement'!AL53</f>
        <v>1.0261168474580471</v>
      </c>
      <c r="AM50" s="256">
        <f>AM47/'Income Statement'!AM53</f>
        <v>1.3721924482080932</v>
      </c>
      <c r="AN50" s="256">
        <f>AN47/'Income Statement'!AN53</f>
        <v>1.8189547596822742</v>
      </c>
      <c r="AO50" s="257">
        <f>AO47/'Income Statement'!AO53</f>
        <v>2.625084866189757</v>
      </c>
      <c r="AP50" s="528">
        <f>AP47/'Income Statement'!AP53</f>
        <v>3.270469250031824</v>
      </c>
      <c r="AQ50" s="256">
        <f>AQ47/'Income Statement'!AQ53</f>
        <v>3.65449882594306</v>
      </c>
      <c r="AR50" s="256">
        <f>AR47/'Income Statement'!AR53</f>
        <v>4.1391265922970497</v>
      </c>
      <c r="AS50" s="257">
        <f>AS47/'Income Statement'!AS53</f>
        <v>5.0023862368796879</v>
      </c>
      <c r="AT50" s="558"/>
      <c r="AU50" s="530" t="s">
        <v>223</v>
      </c>
      <c r="AV50" s="530" t="s">
        <v>223</v>
      </c>
      <c r="AW50" s="530">
        <f t="shared" ref="AW50" si="97">M50</f>
        <v>2.1717960261106222</v>
      </c>
      <c r="AX50" s="530">
        <f t="shared" ref="AX50" si="98">Q50</f>
        <v>2.5897897791305429</v>
      </c>
      <c r="AY50" s="464">
        <f>+U50</f>
        <v>1.2670135490185979</v>
      </c>
      <c r="AZ50" s="464">
        <f>+Y50</f>
        <v>1.7479539924795391</v>
      </c>
      <c r="BA50" s="464">
        <f>AC50</f>
        <v>0.93991296722748974</v>
      </c>
      <c r="BB50" s="464">
        <f>AG50</f>
        <v>1.7802475515328655</v>
      </c>
      <c r="BC50" s="464">
        <f>AK50</f>
        <v>0.40329550231189604</v>
      </c>
      <c r="BD50" s="464">
        <f>AO50</f>
        <v>2.625084866189757</v>
      </c>
      <c r="BE50" s="464">
        <f>AS50</f>
        <v>5.0023862368796879</v>
      </c>
      <c r="BF50" s="179"/>
      <c r="BG50" s="179"/>
      <c r="BI50" s="179"/>
      <c r="BJ50" s="179"/>
      <c r="BK50" s="179"/>
      <c r="BL50" s="179"/>
      <c r="BM50" s="179"/>
    </row>
    <row r="51" spans="1:65" s="62" customFormat="1" ht="12" customHeight="1">
      <c r="A51" s="1339" t="s">
        <v>117</v>
      </c>
      <c r="B51" s="1340"/>
      <c r="C51" s="1341"/>
      <c r="D51" s="1341"/>
      <c r="E51" s="1342"/>
      <c r="F51" s="1340"/>
      <c r="G51" s="1341"/>
      <c r="H51" s="1341"/>
      <c r="I51" s="1342">
        <f t="shared" ref="I51" si="99">I50/E50-1</f>
        <v>7.8313610347808336</v>
      </c>
      <c r="J51" s="1340">
        <f>J50/F50-1</f>
        <v>8.5213888376803979</v>
      </c>
      <c r="K51" s="1341">
        <f t="shared" ref="K51:M51" si="100">K50/G50-1</f>
        <v>9.3680905184856336</v>
      </c>
      <c r="L51" s="1341">
        <f t="shared" si="100"/>
        <v>-5.2412747152012829E-2</v>
      </c>
      <c r="M51" s="1342">
        <f t="shared" si="100"/>
        <v>-0.29312634293410089</v>
      </c>
      <c r="N51" s="1340">
        <f>N50/J50-1</f>
        <v>-0.28102628213656455</v>
      </c>
      <c r="O51" s="1341">
        <f t="shared" ref="O51:Q51" si="101">O50/K50-1</f>
        <v>-0.28059887823362317</v>
      </c>
      <c r="P51" s="1341">
        <f t="shared" si="101"/>
        <v>-0.21119524240915433</v>
      </c>
      <c r="Q51" s="1342">
        <f t="shared" si="101"/>
        <v>0.19246455375852589</v>
      </c>
      <c r="R51" s="1340">
        <f>R50/N50-1</f>
        <v>0.30259286665657448</v>
      </c>
      <c r="S51" s="1341">
        <f t="shared" ref="S51:U51" si="102">S50/O50-1</f>
        <v>2.820444764252783E-2</v>
      </c>
      <c r="T51" s="1341">
        <f t="shared" si="102"/>
        <v>2.9856305684599072E-2</v>
      </c>
      <c r="U51" s="1342">
        <f t="shared" si="102"/>
        <v>-0.51076587017654917</v>
      </c>
      <c r="V51" s="1340">
        <f>V50/R50-1</f>
        <v>-0.53697418950014519</v>
      </c>
      <c r="W51" s="1341">
        <f t="shared" ref="W51:Y51" si="103">W50/S50-1</f>
        <v>-0.45498564729475355</v>
      </c>
      <c r="X51" s="1341">
        <f t="shared" si="103"/>
        <v>-0.36609610743330911</v>
      </c>
      <c r="Y51" s="1342">
        <f t="shared" si="103"/>
        <v>0.3795858724900516</v>
      </c>
      <c r="Z51" s="1340">
        <f>Z50/V50-1</f>
        <v>0.54831084682767606</v>
      </c>
      <c r="AA51" s="1341">
        <f t="shared" ref="AA51:AC51" si="104">AA50/W50-1</f>
        <v>0.89956952909300902</v>
      </c>
      <c r="AB51" s="1341">
        <f t="shared" si="104"/>
        <v>0.72117347586262182</v>
      </c>
      <c r="AC51" s="1342">
        <f t="shared" si="104"/>
        <v>-0.46227819995754726</v>
      </c>
      <c r="AD51" s="1340">
        <f>AD50/Z50-1</f>
        <v>-0.42361286713693336</v>
      </c>
      <c r="AE51" s="1341">
        <f t="shared" ref="AE51:AG51" si="105">AE50/AA50-1</f>
        <v>-0.55818545835058564</v>
      </c>
      <c r="AF51" s="1341">
        <f t="shared" si="105"/>
        <v>-0.42980581168417642</v>
      </c>
      <c r="AG51" s="1342">
        <f t="shared" si="105"/>
        <v>0.8940557409098786</v>
      </c>
      <c r="AH51" s="1340">
        <f>AH50/AD50-1</f>
        <v>-0.31997370016885629</v>
      </c>
      <c r="AI51" s="1341">
        <f t="shared" ref="AI51:AK51" si="106">AI50/AE50-1</f>
        <v>-0.75881725149101142</v>
      </c>
      <c r="AJ51" s="1341">
        <f t="shared" si="106"/>
        <v>-0.84791495904610281</v>
      </c>
      <c r="AK51" s="1342">
        <f t="shared" si="106"/>
        <v>-0.77346099874444862</v>
      </c>
      <c r="AL51" s="1340">
        <f>AL50/AH50-1</f>
        <v>0.22248998498797024</v>
      </c>
      <c r="AM51" s="1341">
        <f t="shared" ref="AM51:AO51" si="107">AM50/AI50-1</f>
        <v>4.4258454408228314</v>
      </c>
      <c r="AN51" s="1341">
        <f t="shared" si="107"/>
        <v>6.7154530210264731</v>
      </c>
      <c r="AO51" s="1342">
        <f t="shared" si="107"/>
        <v>5.5090854005101182</v>
      </c>
      <c r="AP51" s="1340">
        <f>AP50/AL50-1</f>
        <v>2.1872288795702066</v>
      </c>
      <c r="AQ51" s="1341">
        <f t="shared" ref="AQ51:AS51" si="108">AQ50/AM50-1</f>
        <v>1.6632553113926298</v>
      </c>
      <c r="AR51" s="1341">
        <f t="shared" si="108"/>
        <v>1.2755522479404884</v>
      </c>
      <c r="AS51" s="1342">
        <f t="shared" si="108"/>
        <v>0.90560933907653918</v>
      </c>
      <c r="AT51" s="655"/>
      <c r="AU51" s="1343" t="str">
        <f t="shared" ref="AU51:BE51" si="109">IF(ISERROR(AU50/AT50-1),"NA",AU50/AT50-1)</f>
        <v>NA</v>
      </c>
      <c r="AV51" s="1343" t="str">
        <f t="shared" si="109"/>
        <v>NA</v>
      </c>
      <c r="AW51" s="1343" t="str">
        <f t="shared" si="109"/>
        <v>NA</v>
      </c>
      <c r="AX51" s="1343">
        <f t="shared" si="109"/>
        <v>0.19246455375852589</v>
      </c>
      <c r="AY51" s="1343">
        <f t="shared" si="109"/>
        <v>-0.51076587017654917</v>
      </c>
      <c r="AZ51" s="1343">
        <f t="shared" si="109"/>
        <v>0.3795858724900516</v>
      </c>
      <c r="BA51" s="1343">
        <f t="shared" si="109"/>
        <v>-0.46227819995754726</v>
      </c>
      <c r="BB51" s="1343">
        <f t="shared" si="109"/>
        <v>0.8940557409098786</v>
      </c>
      <c r="BC51" s="1343">
        <f t="shared" si="109"/>
        <v>-0.77346099874444862</v>
      </c>
      <c r="BD51" s="1343">
        <f t="shared" si="109"/>
        <v>5.5090854005101182</v>
      </c>
      <c r="BE51" s="1343">
        <f t="shared" si="109"/>
        <v>0.90560933907653918</v>
      </c>
    </row>
    <row r="52" spans="1:65" ht="12.6" customHeight="1">
      <c r="A52" s="45" t="s">
        <v>270</v>
      </c>
    </row>
    <row r="53" spans="1:65" ht="12.6" customHeight="1">
      <c r="A53" s="45"/>
    </row>
    <row r="54" spans="1:65" ht="12.6" customHeight="1">
      <c r="A54" s="1344" t="s">
        <v>271</v>
      </c>
      <c r="B54" s="1345"/>
      <c r="C54" s="1345"/>
      <c r="D54" s="1345"/>
      <c r="E54" s="1345" t="str">
        <f t="shared" ref="E54:AS54" si="110">IF((E19=E45)*AND(E19&gt;0),"—","X")</f>
        <v>—</v>
      </c>
      <c r="F54" s="1345" t="str">
        <f t="shared" si="110"/>
        <v>—</v>
      </c>
      <c r="G54" s="1345" t="str">
        <f t="shared" si="110"/>
        <v>—</v>
      </c>
      <c r="H54" s="1345" t="str">
        <f t="shared" si="110"/>
        <v>—</v>
      </c>
      <c r="I54" s="1345" t="str">
        <f t="shared" si="110"/>
        <v>—</v>
      </c>
      <c r="J54" s="1345" t="str">
        <f t="shared" si="110"/>
        <v>—</v>
      </c>
      <c r="K54" s="1345" t="str">
        <f t="shared" si="110"/>
        <v>—</v>
      </c>
      <c r="L54" s="1345" t="str">
        <f t="shared" si="110"/>
        <v>—</v>
      </c>
      <c r="M54" s="1345" t="str">
        <f t="shared" si="110"/>
        <v>—</v>
      </c>
      <c r="N54" s="1345" t="str">
        <f t="shared" si="110"/>
        <v>—</v>
      </c>
      <c r="O54" s="1345" t="str">
        <f t="shared" si="110"/>
        <v>—</v>
      </c>
      <c r="P54" s="1345" t="str">
        <f t="shared" si="110"/>
        <v>—</v>
      </c>
      <c r="Q54" s="1345" t="str">
        <f t="shared" si="110"/>
        <v>—</v>
      </c>
      <c r="R54" s="1345" t="str">
        <f t="shared" si="110"/>
        <v>—</v>
      </c>
      <c r="S54" s="1345" t="str">
        <f t="shared" si="110"/>
        <v>—</v>
      </c>
      <c r="T54" s="1345" t="str">
        <f t="shared" si="110"/>
        <v>—</v>
      </c>
      <c r="U54" s="1345" t="str">
        <f t="shared" si="110"/>
        <v>—</v>
      </c>
      <c r="V54" s="1345" t="str">
        <f t="shared" si="110"/>
        <v>—</v>
      </c>
      <c r="W54" s="1345" t="str">
        <f t="shared" si="110"/>
        <v>—</v>
      </c>
      <c r="X54" s="1345" t="str">
        <f t="shared" si="110"/>
        <v>—</v>
      </c>
      <c r="Y54" s="1345" t="str">
        <f t="shared" si="110"/>
        <v>—</v>
      </c>
      <c r="Z54" s="1345" t="str">
        <f t="shared" si="110"/>
        <v>—</v>
      </c>
      <c r="AA54" s="1345" t="str">
        <f t="shared" si="110"/>
        <v>—</v>
      </c>
      <c r="AB54" s="1345" t="str">
        <f t="shared" si="110"/>
        <v>—</v>
      </c>
      <c r="AC54" s="1345" t="str">
        <f t="shared" si="110"/>
        <v>—</v>
      </c>
      <c r="AD54" s="1345" t="str">
        <f t="shared" si="110"/>
        <v>—</v>
      </c>
      <c r="AE54" s="1345" t="str">
        <f t="shared" si="110"/>
        <v>—</v>
      </c>
      <c r="AF54" s="1345" t="str">
        <f t="shared" si="110"/>
        <v>—</v>
      </c>
      <c r="AG54" s="1345" t="str">
        <f t="shared" si="110"/>
        <v>—</v>
      </c>
      <c r="AH54" s="1345" t="str">
        <f t="shared" si="110"/>
        <v>—</v>
      </c>
      <c r="AI54" s="1345" t="str">
        <f t="shared" si="110"/>
        <v>—</v>
      </c>
      <c r="AJ54" s="1345" t="str">
        <f t="shared" si="110"/>
        <v>—</v>
      </c>
      <c r="AK54" s="1345" t="str">
        <f t="shared" si="110"/>
        <v>—</v>
      </c>
      <c r="AL54" s="1345" t="str">
        <f t="shared" si="110"/>
        <v>—</v>
      </c>
      <c r="AM54" s="1345" t="str">
        <f t="shared" si="110"/>
        <v>—</v>
      </c>
      <c r="AN54" s="1345" t="str">
        <f t="shared" si="110"/>
        <v>—</v>
      </c>
      <c r="AO54" s="1345" t="str">
        <f t="shared" si="110"/>
        <v>—</v>
      </c>
      <c r="AP54" s="1345" t="str">
        <f t="shared" si="110"/>
        <v>—</v>
      </c>
      <c r="AQ54" s="1345" t="str">
        <f t="shared" si="110"/>
        <v>—</v>
      </c>
      <c r="AR54" s="1345" t="str">
        <f t="shared" si="110"/>
        <v>—</v>
      </c>
      <c r="AS54" s="1345" t="str">
        <f t="shared" si="110"/>
        <v>—</v>
      </c>
      <c r="AT54" s="1346"/>
      <c r="AU54" s="1345"/>
      <c r="AV54" s="1345" t="str">
        <f t="shared" ref="AV54:BE54" si="111">IF((AV19=AV45)*AND(AV19&gt;0),"—","X")</f>
        <v>—</v>
      </c>
      <c r="AW54" s="1345" t="str">
        <f t="shared" si="111"/>
        <v>—</v>
      </c>
      <c r="AX54" s="1345" t="str">
        <f t="shared" si="111"/>
        <v>—</v>
      </c>
      <c r="AY54" s="1345" t="str">
        <f t="shared" si="111"/>
        <v>—</v>
      </c>
      <c r="AZ54" s="1345" t="str">
        <f t="shared" si="111"/>
        <v>—</v>
      </c>
      <c r="BA54" s="1345" t="str">
        <f t="shared" si="111"/>
        <v>—</v>
      </c>
      <c r="BB54" s="1345" t="str">
        <f t="shared" si="111"/>
        <v>—</v>
      </c>
      <c r="BC54" s="1345" t="str">
        <f t="shared" si="111"/>
        <v>—</v>
      </c>
      <c r="BD54" s="1345" t="str">
        <f t="shared" si="111"/>
        <v>—</v>
      </c>
      <c r="BE54" s="1345" t="str">
        <f t="shared" si="111"/>
        <v>—</v>
      </c>
    </row>
    <row r="55" spans="1:65" ht="12.6" customHeight="1">
      <c r="A55" s="1344"/>
      <c r="B55" s="1347"/>
      <c r="C55" s="1347"/>
      <c r="D55" s="1347"/>
      <c r="E55" s="1347">
        <f t="shared" ref="E55:AS55" si="112">+E19-E45</f>
        <v>0</v>
      </c>
      <c r="F55" s="1347">
        <f t="shared" si="112"/>
        <v>0</v>
      </c>
      <c r="G55" s="1347">
        <f t="shared" si="112"/>
        <v>0</v>
      </c>
      <c r="H55" s="1347">
        <f t="shared" si="112"/>
        <v>0</v>
      </c>
      <c r="I55" s="1347">
        <f t="shared" si="112"/>
        <v>0</v>
      </c>
      <c r="J55" s="1347">
        <f t="shared" si="112"/>
        <v>0</v>
      </c>
      <c r="K55" s="1347">
        <f t="shared" si="112"/>
        <v>0</v>
      </c>
      <c r="L55" s="1347">
        <f t="shared" si="112"/>
        <v>0</v>
      </c>
      <c r="M55" s="1347">
        <f t="shared" si="112"/>
        <v>0</v>
      </c>
      <c r="N55" s="1347">
        <f t="shared" si="112"/>
        <v>0</v>
      </c>
      <c r="O55" s="1347">
        <f t="shared" si="112"/>
        <v>0</v>
      </c>
      <c r="P55" s="1345">
        <f t="shared" si="112"/>
        <v>0</v>
      </c>
      <c r="Q55" s="1345">
        <f t="shared" si="112"/>
        <v>0</v>
      </c>
      <c r="R55" s="1345">
        <f t="shared" si="112"/>
        <v>0</v>
      </c>
      <c r="S55" s="1348">
        <f t="shared" si="112"/>
        <v>0</v>
      </c>
      <c r="T55" s="1348">
        <f t="shared" si="112"/>
        <v>0</v>
      </c>
      <c r="U55" s="1348">
        <f t="shared" si="112"/>
        <v>0</v>
      </c>
      <c r="V55" s="1348">
        <f t="shared" si="112"/>
        <v>0</v>
      </c>
      <c r="W55" s="1348">
        <f t="shared" si="112"/>
        <v>0</v>
      </c>
      <c r="X55" s="1348">
        <f t="shared" si="112"/>
        <v>0</v>
      </c>
      <c r="Y55" s="1348">
        <f t="shared" si="112"/>
        <v>0</v>
      </c>
      <c r="Z55" s="1348">
        <f t="shared" si="112"/>
        <v>0</v>
      </c>
      <c r="AA55" s="1348">
        <f t="shared" si="112"/>
        <v>0</v>
      </c>
      <c r="AB55" s="1348">
        <f t="shared" si="112"/>
        <v>0</v>
      </c>
      <c r="AC55" s="1349">
        <f t="shared" si="112"/>
        <v>0</v>
      </c>
      <c r="AD55" s="1348">
        <f t="shared" si="112"/>
        <v>0</v>
      </c>
      <c r="AE55" s="1348">
        <f t="shared" si="112"/>
        <v>0</v>
      </c>
      <c r="AF55" s="1348">
        <f t="shared" si="112"/>
        <v>0</v>
      </c>
      <c r="AG55" s="1349">
        <f t="shared" si="112"/>
        <v>0</v>
      </c>
      <c r="AH55" s="1348">
        <f t="shared" si="112"/>
        <v>0</v>
      </c>
      <c r="AI55" s="1348">
        <f t="shared" si="112"/>
        <v>0</v>
      </c>
      <c r="AJ55" s="1348">
        <f t="shared" si="112"/>
        <v>0</v>
      </c>
      <c r="AK55" s="1349">
        <f t="shared" si="112"/>
        <v>0</v>
      </c>
      <c r="AL55" s="1348">
        <f t="shared" si="112"/>
        <v>0</v>
      </c>
      <c r="AM55" s="1348">
        <f t="shared" si="112"/>
        <v>0</v>
      </c>
      <c r="AN55" s="1348">
        <f t="shared" si="112"/>
        <v>0</v>
      </c>
      <c r="AO55" s="1349">
        <f t="shared" si="112"/>
        <v>0</v>
      </c>
      <c r="AP55" s="1348">
        <f t="shared" si="112"/>
        <v>0</v>
      </c>
      <c r="AQ55" s="1348">
        <f t="shared" si="112"/>
        <v>0</v>
      </c>
      <c r="AR55" s="1348">
        <f t="shared" si="112"/>
        <v>0</v>
      </c>
      <c r="AS55" s="1349">
        <f t="shared" si="112"/>
        <v>0</v>
      </c>
      <c r="AT55" s="1346"/>
      <c r="AU55" s="1345"/>
      <c r="AV55" s="1345"/>
      <c r="AW55" s="1345"/>
      <c r="AX55" s="1345"/>
      <c r="AY55" s="1345"/>
      <c r="AZ55" s="1345"/>
      <c r="BA55" s="1345"/>
      <c r="BB55" s="1345"/>
      <c r="BC55" s="1345"/>
      <c r="BD55" s="1345"/>
      <c r="BE55" s="1345"/>
    </row>
    <row r="56" spans="1:65" s="1231" customFormat="1" ht="12.6" customHeight="1">
      <c r="A56" s="288"/>
      <c r="U56" s="1350"/>
      <c r="V56" s="1350"/>
      <c r="W56" s="1351"/>
      <c r="X56" s="1350"/>
      <c r="Y56" s="1350"/>
      <c r="Z56" s="1350"/>
      <c r="AA56" s="1350"/>
      <c r="AB56" s="1350"/>
      <c r="AC56" s="1350"/>
      <c r="AD56" s="1350"/>
      <c r="AE56" s="1350"/>
      <c r="AF56" s="1350"/>
      <c r="AG56" s="1350"/>
      <c r="AH56" s="1350"/>
      <c r="AI56" s="1350"/>
      <c r="AJ56" s="1350"/>
      <c r="AK56" s="1350"/>
      <c r="AL56" s="1350"/>
      <c r="AM56" s="1350"/>
      <c r="AN56" s="1350"/>
      <c r="AO56" s="1350"/>
      <c r="AP56" s="1350"/>
      <c r="AQ56" s="1350"/>
      <c r="AR56" s="1350"/>
      <c r="AS56" s="1350"/>
    </row>
    <row r="57" spans="1:65" s="1231" customFormat="1" ht="12.6" customHeight="1">
      <c r="A57" s="1219"/>
      <c r="B57" s="1728">
        <f>'Income Statement'!B$3</f>
        <v>2017</v>
      </c>
      <c r="C57" s="1728"/>
      <c r="D57" s="1728"/>
      <c r="E57" s="1734"/>
      <c r="F57" s="1728">
        <f>'Income Statement'!F$3</f>
        <v>2018</v>
      </c>
      <c r="G57" s="1728"/>
      <c r="H57" s="1728"/>
      <c r="I57" s="1728"/>
      <c r="J57" s="1731">
        <f>'Income Statement'!J$3</f>
        <v>2019</v>
      </c>
      <c r="K57" s="1728"/>
      <c r="L57" s="1728"/>
      <c r="M57" s="1734"/>
      <c r="N57" s="1731">
        <f>'Income Statement'!N$3</f>
        <v>2020</v>
      </c>
      <c r="O57" s="1728"/>
      <c r="P57" s="1728"/>
      <c r="Q57" s="1734"/>
      <c r="R57" s="1728">
        <f>'Income Statement'!R$3</f>
        <v>2021</v>
      </c>
      <c r="S57" s="1728"/>
      <c r="T57" s="1728"/>
      <c r="U57" s="1728"/>
      <c r="V57" s="1731">
        <f>'Income Statement'!V$3</f>
        <v>2022</v>
      </c>
      <c r="W57" s="1728"/>
      <c r="X57" s="1728"/>
      <c r="Y57" s="1734"/>
      <c r="Z57" s="1731">
        <f>'Income Statement'!Z$3</f>
        <v>2023</v>
      </c>
      <c r="AA57" s="1728"/>
      <c r="AB57" s="1728"/>
      <c r="AC57" s="1734"/>
      <c r="AD57" s="1731">
        <f>'Income Statement'!AD$3</f>
        <v>2024</v>
      </c>
      <c r="AE57" s="1728"/>
      <c r="AF57" s="1728"/>
      <c r="AG57" s="1734"/>
      <c r="AH57" s="1731">
        <f>'Income Statement'!AH$3</f>
        <v>2025</v>
      </c>
      <c r="AI57" s="1728"/>
      <c r="AJ57" s="1728"/>
      <c r="AK57" s="1734"/>
      <c r="AL57" s="1731">
        <f>'Income Statement'!AL$3</f>
        <v>2026</v>
      </c>
      <c r="AM57" s="1728"/>
      <c r="AN57" s="1728"/>
      <c r="AO57" s="1734"/>
      <c r="AP57" s="1731">
        <f>'Income Statement'!AP$3</f>
        <v>2027</v>
      </c>
      <c r="AQ57" s="1728"/>
      <c r="AR57" s="1728"/>
      <c r="AS57" s="1734"/>
      <c r="AT57" s="1232"/>
      <c r="AU57" s="651"/>
      <c r="AV57" s="651"/>
      <c r="AW57" s="651"/>
      <c r="AX57" s="651"/>
      <c r="AY57" s="651"/>
      <c r="AZ57" s="651"/>
      <c r="BA57" s="652"/>
      <c r="BB57" s="651"/>
      <c r="BC57" s="651"/>
      <c r="BD57" s="651"/>
      <c r="BE57" s="653"/>
    </row>
    <row r="58" spans="1:65" s="1231" customFormat="1" ht="12.6" customHeight="1">
      <c r="A58" s="521" t="s">
        <v>14</v>
      </c>
      <c r="B58" s="48">
        <f>B4</f>
        <v>42825</v>
      </c>
      <c r="C58" s="48">
        <f t="shared" ref="C58:AS58" si="113">C4</f>
        <v>42916</v>
      </c>
      <c r="D58" s="48">
        <f t="shared" si="113"/>
        <v>43008</v>
      </c>
      <c r="E58" s="50">
        <f t="shared" si="113"/>
        <v>43100</v>
      </c>
      <c r="F58" s="48">
        <f t="shared" si="113"/>
        <v>43190</v>
      </c>
      <c r="G58" s="48">
        <f t="shared" si="113"/>
        <v>43281</v>
      </c>
      <c r="H58" s="48">
        <f t="shared" si="113"/>
        <v>43373</v>
      </c>
      <c r="I58" s="48">
        <f t="shared" si="113"/>
        <v>43465</v>
      </c>
      <c r="J58" s="655">
        <f t="shared" si="113"/>
        <v>43555</v>
      </c>
      <c r="K58" s="48">
        <f t="shared" si="113"/>
        <v>43646</v>
      </c>
      <c r="L58" s="48">
        <f t="shared" si="113"/>
        <v>43738</v>
      </c>
      <c r="M58" s="50">
        <f t="shared" si="113"/>
        <v>43830</v>
      </c>
      <c r="N58" s="655">
        <f t="shared" si="113"/>
        <v>43921</v>
      </c>
      <c r="O58" s="48">
        <f t="shared" si="113"/>
        <v>44012</v>
      </c>
      <c r="P58" s="48">
        <f t="shared" si="113"/>
        <v>44104</v>
      </c>
      <c r="Q58" s="50">
        <f t="shared" si="113"/>
        <v>44196</v>
      </c>
      <c r="R58" s="48">
        <f t="shared" si="113"/>
        <v>44286</v>
      </c>
      <c r="S58" s="48">
        <f t="shared" si="113"/>
        <v>44377</v>
      </c>
      <c r="T58" s="48">
        <f t="shared" si="113"/>
        <v>44469</v>
      </c>
      <c r="U58" s="48">
        <f t="shared" si="113"/>
        <v>44561</v>
      </c>
      <c r="V58" s="655">
        <f t="shared" si="113"/>
        <v>44651</v>
      </c>
      <c r="W58" s="48">
        <f t="shared" si="113"/>
        <v>44742</v>
      </c>
      <c r="X58" s="48">
        <f t="shared" si="113"/>
        <v>44834</v>
      </c>
      <c r="Y58" s="50">
        <f t="shared" si="113"/>
        <v>44926</v>
      </c>
      <c r="Z58" s="655">
        <f t="shared" si="113"/>
        <v>45016</v>
      </c>
      <c r="AA58" s="48">
        <f t="shared" si="113"/>
        <v>45107</v>
      </c>
      <c r="AB58" s="48">
        <f t="shared" si="113"/>
        <v>45199</v>
      </c>
      <c r="AC58" s="50">
        <f t="shared" si="113"/>
        <v>45291</v>
      </c>
      <c r="AD58" s="655">
        <f t="shared" si="113"/>
        <v>45382</v>
      </c>
      <c r="AE58" s="48">
        <f t="shared" si="113"/>
        <v>45473</v>
      </c>
      <c r="AF58" s="48" t="str">
        <f t="shared" si="113"/>
        <v>Sep-24</v>
      </c>
      <c r="AG58" s="50" t="str">
        <f t="shared" si="113"/>
        <v>Dec-24</v>
      </c>
      <c r="AH58" s="655" t="str">
        <f t="shared" si="113"/>
        <v>Mar-25</v>
      </c>
      <c r="AI58" s="48" t="str">
        <f t="shared" si="113"/>
        <v>Jun-25</v>
      </c>
      <c r="AJ58" s="48" t="str">
        <f t="shared" si="113"/>
        <v>Sep-25</v>
      </c>
      <c r="AK58" s="50" t="str">
        <f t="shared" si="113"/>
        <v>Dec-25</v>
      </c>
      <c r="AL58" s="655" t="str">
        <f t="shared" si="113"/>
        <v>Mar-26E</v>
      </c>
      <c r="AM58" s="48" t="str">
        <f t="shared" si="113"/>
        <v>Jun-26E</v>
      </c>
      <c r="AN58" s="48" t="str">
        <f t="shared" si="113"/>
        <v>Sep-26E</v>
      </c>
      <c r="AO58" s="50" t="str">
        <f t="shared" si="113"/>
        <v>Dec-26E</v>
      </c>
      <c r="AP58" s="655" t="str">
        <f t="shared" si="113"/>
        <v>Mar-27E</v>
      </c>
      <c r="AQ58" s="48" t="str">
        <f t="shared" si="113"/>
        <v>Jun-27E</v>
      </c>
      <c r="AR58" s="48" t="str">
        <f t="shared" si="113"/>
        <v>Sep-27E</v>
      </c>
      <c r="AS58" s="50" t="str">
        <f t="shared" si="113"/>
        <v>Dec-27E</v>
      </c>
      <c r="AT58" s="1232"/>
      <c r="AU58" s="56">
        <f>'Income Statement'!AU$4</f>
        <v>2017</v>
      </c>
      <c r="AV58" s="907">
        <f>'Income Statement'!AV$4</f>
        <v>2018</v>
      </c>
      <c r="AW58" s="907">
        <f>'Income Statement'!AW$4</f>
        <v>2019</v>
      </c>
      <c r="AX58" s="907">
        <f>'Income Statement'!AX$4</f>
        <v>2020</v>
      </c>
      <c r="AY58" s="907" t="str">
        <f>'Income Statement'!AY$4</f>
        <v>CY21</v>
      </c>
      <c r="AZ58" s="906" t="str">
        <f>'Income Statement'!AZ$4</f>
        <v>CY22</v>
      </c>
      <c r="BA58" s="61" t="str">
        <f>'Income Statement'!BA$4</f>
        <v>CY23</v>
      </c>
      <c r="BB58" s="907" t="str">
        <f>'Income Statement'!BB$4</f>
        <v>CY24</v>
      </c>
      <c r="BC58" s="907" t="str">
        <f>'Income Statement'!BC$4</f>
        <v>CY25</v>
      </c>
      <c r="BD58" s="907" t="str">
        <f>'Income Statement'!BD$4</f>
        <v>CY26E</v>
      </c>
      <c r="BE58" s="907" t="str">
        <f>'Income Statement'!BE$4</f>
        <v>CY27E</v>
      </c>
    </row>
    <row r="59" spans="1:65" s="1231" customFormat="1" ht="12.6" customHeight="1">
      <c r="A59" s="1352" t="s">
        <v>81</v>
      </c>
      <c r="B59" s="1353">
        <f>+'Income Statement'!B9</f>
        <v>40.481000000000002</v>
      </c>
      <c r="C59" s="1354">
        <f>+'Income Statement'!C9</f>
        <v>44.149000000000001</v>
      </c>
      <c r="D59" s="1354">
        <f>+'Income Statement'!D9</f>
        <v>48.980000000000004</v>
      </c>
      <c r="E59" s="1355">
        <f>+'Income Statement'!E9</f>
        <v>54.117000000000004</v>
      </c>
      <c r="F59" s="1353">
        <f>+'Income Statement'!F9</f>
        <v>59.106999999999999</v>
      </c>
      <c r="G59" s="1354">
        <f>+'Income Statement'!G9</f>
        <v>63.591999999999999</v>
      </c>
      <c r="H59" s="1354">
        <f>+'Income Statement'!H9</f>
        <v>69.44</v>
      </c>
      <c r="I59" s="1355">
        <f>+'Income Statement'!I9</f>
        <v>75.221000000000004</v>
      </c>
      <c r="J59" s="1353">
        <f>+'Income Statement'!J9</f>
        <v>80.301000000000002</v>
      </c>
      <c r="K59" s="1354">
        <f>+'Income Statement'!K9</f>
        <v>85.384</v>
      </c>
      <c r="L59" s="1354">
        <f>+'Income Statement'!L9</f>
        <v>91.852000000000004</v>
      </c>
      <c r="M59" s="1355">
        <f>+'Income Statement'!M9</f>
        <v>97.048999999999978</v>
      </c>
      <c r="N59" s="1353">
        <f>+'Income Statement'!N9</f>
        <v>102.648</v>
      </c>
      <c r="O59" s="1354">
        <f>+'Income Statement'!O9</f>
        <v>107.209</v>
      </c>
      <c r="P59" s="1354">
        <f>+'Income Statement'!P9</f>
        <v>112.28200000000001</v>
      </c>
      <c r="Q59" s="1355">
        <f>+'Income Statement'!Q9</f>
        <v>118.08200000000001</v>
      </c>
      <c r="R59" s="1353">
        <f>+'Income Statement'!R9</f>
        <v>123.18900000000001</v>
      </c>
      <c r="S59" s="1354">
        <f>+'Income Statement'!S9</f>
        <v>130.25900000000001</v>
      </c>
      <c r="T59" s="1354">
        <f>+'Income Statement'!T9</f>
        <v>138.66399999999999</v>
      </c>
      <c r="U59" s="1355">
        <f>+'Income Statement'!U9</f>
        <v>149.018</v>
      </c>
      <c r="V59" s="1354">
        <f>+'Income Statement'!V9</f>
        <v>159.36799999999999</v>
      </c>
      <c r="W59" s="1354">
        <f>+'Income Statement'!W9</f>
        <v>164.34100000000001</v>
      </c>
      <c r="X59" s="1354">
        <f>+'Income Statement'!X9</f>
        <v>174.851</v>
      </c>
      <c r="Y59" s="1355">
        <f>+'Income Statement'!Y9</f>
        <v>184.631</v>
      </c>
      <c r="Z59" s="1353">
        <f>+'Income Statement'!Z9</f>
        <v>188.83900000000003</v>
      </c>
      <c r="AA59" s="1354">
        <f>+'Income Statement'!AA9</f>
        <v>195.036</v>
      </c>
      <c r="AB59" s="1354">
        <f>+'Income Statement'!AB9</f>
        <v>201.529</v>
      </c>
      <c r="AC59" s="1355">
        <f>+'Income Statement'!AC9</f>
        <v>213.30599999999998</v>
      </c>
      <c r="AD59" s="1353">
        <f>+'Income Statement'!AD9</f>
        <v>215.96099999999998</v>
      </c>
      <c r="AE59" s="1354">
        <f>+'Income Statement'!AE9</f>
        <v>221.24100000000001</v>
      </c>
      <c r="AF59" s="1354">
        <f>+'Income Statement'!AF9</f>
        <v>227.08799999999999</v>
      </c>
      <c r="AG59" s="1355">
        <f>+'Income Statement'!AG9</f>
        <v>235.73099999999999</v>
      </c>
      <c r="AH59" s="1353">
        <f>+'Income Statement'!AH9</f>
        <v>239.137</v>
      </c>
      <c r="AI59" s="1354">
        <f>+'Income Statement'!AI9</f>
        <v>247.29500000000002</v>
      </c>
      <c r="AJ59" s="1354">
        <f>+'Income Statement'!AJ9</f>
        <v>252.44</v>
      </c>
      <c r="AK59" s="1355">
        <f>+'Income Statement'!AK9</f>
        <v>260.53300000000002</v>
      </c>
      <c r="AL59" s="1353">
        <f>+'Income Statement'!AL9</f>
        <v>258.56678500000004</v>
      </c>
      <c r="AM59" s="1354">
        <f>+'Income Statement'!AM9</f>
        <v>265.53653500000001</v>
      </c>
      <c r="AN59" s="1354">
        <f>+'Income Statement'!AN9</f>
        <v>268.74702500000001</v>
      </c>
      <c r="AO59" s="1355">
        <f>+'Income Statement'!AO9</f>
        <v>277.3886</v>
      </c>
      <c r="AP59" s="1353">
        <f>+'Income Statement'!AP9</f>
        <v>275.6068478665</v>
      </c>
      <c r="AQ59" s="1354">
        <f>+'Income Statement'!AQ9</f>
        <v>283.01608489799997</v>
      </c>
      <c r="AR59" s="1354">
        <f>+'Income Statement'!AR9</f>
        <v>286.39622882750007</v>
      </c>
      <c r="AS59" s="1355">
        <f>+'Income Statement'!AS9</f>
        <v>295.59132316000006</v>
      </c>
      <c r="AU59" s="1234"/>
      <c r="AV59" s="1234"/>
      <c r="AW59" s="1234"/>
      <c r="AX59" s="1234"/>
      <c r="AY59" s="1234"/>
      <c r="AZ59" s="1235"/>
      <c r="BA59" s="1236"/>
      <c r="BB59" s="1234"/>
      <c r="BC59" s="1234"/>
      <c r="BD59" s="1237"/>
      <c r="BE59" s="1237"/>
    </row>
    <row r="60" spans="1:65" s="1231" customFormat="1" ht="12.6" customHeight="1">
      <c r="A60" s="1356" t="s">
        <v>272</v>
      </c>
      <c r="B60" s="1233">
        <f>+'Income Statement'!B16</f>
        <v>4.2329999999999997</v>
      </c>
      <c r="C60" s="1231">
        <f>+'Income Statement'!C16</f>
        <v>5.1470000000000002</v>
      </c>
      <c r="D60" s="1231">
        <f>+'Income Statement'!D16</f>
        <v>7.2100000000000009</v>
      </c>
      <c r="E60" s="1232">
        <f>+'Income Statement'!E16</f>
        <v>8.113999999999999</v>
      </c>
      <c r="F60" s="1233">
        <f>+'Income Statement'!F16</f>
        <v>8.5</v>
      </c>
      <c r="G60" s="1231">
        <f>+'Income Statement'!G16</f>
        <v>9.613999999999999</v>
      </c>
      <c r="H60" s="1231">
        <f>+'Income Statement'!H16</f>
        <v>11.318</v>
      </c>
      <c r="I60" s="1232">
        <f>+'Income Statement'!I16</f>
        <v>11.424999999999999</v>
      </c>
      <c r="J60" s="1233">
        <f>+'Income Statement'!J16</f>
        <v>12.423000000000002</v>
      </c>
      <c r="K60" s="1231">
        <f>+'Income Statement'!K16</f>
        <v>13.024999999999999</v>
      </c>
      <c r="L60" s="1231">
        <f>+'Income Statement'!L16</f>
        <v>14.425999999999998</v>
      </c>
      <c r="M60" s="1232">
        <f>+'Income Statement'!M16</f>
        <v>17.506999999999998</v>
      </c>
      <c r="N60" s="1233">
        <f>+'Income Statement'!N16</f>
        <v>17.375</v>
      </c>
      <c r="O60" s="1231">
        <f>+'Income Statement'!O16</f>
        <v>17.734000000000002</v>
      </c>
      <c r="P60" s="1231">
        <f>+'Income Statement'!P16</f>
        <v>17.988999999999997</v>
      </c>
      <c r="Q60" s="1232">
        <f>+'Income Statement'!Q16</f>
        <v>18.984000000000002</v>
      </c>
      <c r="R60" s="1233">
        <f>+'Income Statement'!R16</f>
        <v>20.556999999999999</v>
      </c>
      <c r="S60" s="1231">
        <f>+'Income Statement'!S16</f>
        <v>23.818999999999999</v>
      </c>
      <c r="T60" s="1231">
        <f>+'Income Statement'!T16</f>
        <v>24.144000000000002</v>
      </c>
      <c r="U60" s="1232">
        <f>+'Income Statement'!U16</f>
        <v>26.983000000000001</v>
      </c>
      <c r="V60" s="1231">
        <f>+'Income Statement'!V16</f>
        <v>30.990000000000002</v>
      </c>
      <c r="W60" s="1231">
        <f>+'Income Statement'!W16</f>
        <v>31.138000000000002</v>
      </c>
      <c r="X60" s="1231">
        <f>+'Income Statement'!X16</f>
        <v>33.161000000000001</v>
      </c>
      <c r="Y60" s="1232">
        <f>+'Income Statement'!Y16</f>
        <v>39.759</v>
      </c>
      <c r="Z60" s="1233">
        <f>+'Income Statement'!Z16</f>
        <v>39.801000000000002</v>
      </c>
      <c r="AA60" s="1231">
        <f>+'Income Statement'!AA16</f>
        <v>37.535000000000004</v>
      </c>
      <c r="AB60" s="1231">
        <f>+'Income Statement'!AB16</f>
        <v>39.687999999999995</v>
      </c>
      <c r="AC60" s="1232">
        <f>+'Income Statement'!AC16</f>
        <v>41.447000000000003</v>
      </c>
      <c r="AD60" s="1233">
        <f>+'Income Statement'!AD16</f>
        <v>41.281000000000006</v>
      </c>
      <c r="AE60" s="1231">
        <f>+'Income Statement'!AE16</f>
        <v>40.750000000000007</v>
      </c>
      <c r="AF60" s="1231">
        <f>+'Income Statement'!AF16</f>
        <v>42.268999999999998</v>
      </c>
      <c r="AG60" s="1232">
        <f>+'Income Statement'!AG16</f>
        <v>43.233999999999995</v>
      </c>
      <c r="AH60" s="1233">
        <f>+'Income Statement'!AH16</f>
        <v>43.281000000000006</v>
      </c>
      <c r="AI60" s="1231">
        <f>+'Income Statement'!AI16</f>
        <v>44.436999999999998</v>
      </c>
      <c r="AJ60" s="1231">
        <f>+'Income Statement'!AJ16</f>
        <v>46.475999999999999</v>
      </c>
      <c r="AK60" s="1232">
        <f>+'Income Statement'!AK16</f>
        <v>45.063999999999993</v>
      </c>
      <c r="AL60" s="1233">
        <f>+'Income Statement'!AL16</f>
        <v>47.056130614875777</v>
      </c>
      <c r="AM60" s="1231">
        <f>+'Income Statement'!AM16</f>
        <v>47.980399374099072</v>
      </c>
      <c r="AN60" s="1231">
        <f>+'Income Statement'!AN16</f>
        <v>47.836970450000017</v>
      </c>
      <c r="AO60" s="1232">
        <f>+'Income Statement'!AO16</f>
        <v>47.988227800000011</v>
      </c>
      <c r="AP60" s="1233">
        <f>+'Income Statement'!AP16</f>
        <v>50.432829600047214</v>
      </c>
      <c r="AQ60" s="1231">
        <f>+'Income Statement'!AQ16</f>
        <v>51.421835015031164</v>
      </c>
      <c r="AR60" s="1231">
        <f>+'Income Statement'!AR16</f>
        <v>51.264924960122528</v>
      </c>
      <c r="AS60" s="1232">
        <f>+'Income Statement'!AS16</f>
        <v>51.432890229840027</v>
      </c>
      <c r="AU60" s="1234"/>
      <c r="AV60" s="1234"/>
      <c r="AW60" s="1234"/>
      <c r="AX60" s="1234"/>
      <c r="AY60" s="1234"/>
      <c r="AZ60" s="1235"/>
      <c r="BA60" s="1236"/>
      <c r="BB60" s="1234"/>
      <c r="BC60" s="1234"/>
      <c r="BD60" s="1237"/>
      <c r="BE60" s="1237"/>
    </row>
    <row r="61" spans="1:65" s="1231" customFormat="1" ht="12.6" customHeight="1">
      <c r="A61" s="1356" t="s">
        <v>273</v>
      </c>
      <c r="B61" s="1233">
        <f>+'Income Statement'!B22</f>
        <v>12.064</v>
      </c>
      <c r="C61" s="1231">
        <f>+'Income Statement'!C22</f>
        <v>13.260999999999999</v>
      </c>
      <c r="D61" s="1231">
        <f>+'Income Statement'!D22</f>
        <v>15.359</v>
      </c>
      <c r="E61" s="1232">
        <f>+'Income Statement'!E22</f>
        <v>15.206999999999999</v>
      </c>
      <c r="F61" s="1233">
        <f>+'Income Statement'!F22</f>
        <v>16.657999999999998</v>
      </c>
      <c r="G61" s="1231">
        <f>+'Income Statement'!G22</f>
        <v>17.151</v>
      </c>
      <c r="H61" s="1231">
        <f>+'Income Statement'!H22</f>
        <v>18.126000000000001</v>
      </c>
      <c r="I61" s="1232">
        <f>+'Income Statement'!I22</f>
        <v>18.959</v>
      </c>
      <c r="J61" s="1233">
        <f>+'Income Statement'!J22</f>
        <v>19.904999999999998</v>
      </c>
      <c r="K61" s="1231">
        <f>+'Income Statement'!K22</f>
        <v>19.257000000000001</v>
      </c>
      <c r="L61" s="1231">
        <f>+'Income Statement'!L22</f>
        <v>18.639000000000003</v>
      </c>
      <c r="M61" s="1232">
        <f>+'Income Statement'!M22</f>
        <v>20.352</v>
      </c>
      <c r="N61" s="1233">
        <f>+'Income Statement'!N22</f>
        <v>23.882999999999999</v>
      </c>
      <c r="O61" s="1231">
        <f>+'Income Statement'!O22</f>
        <v>21.416999999999998</v>
      </c>
      <c r="P61" s="1231">
        <f>+'Income Statement'!P22</f>
        <v>21.175000000000001</v>
      </c>
      <c r="Q61" s="1232">
        <f>+'Income Statement'!Q22</f>
        <v>20.417999999999999</v>
      </c>
      <c r="R61" s="1233">
        <f>+'Income Statement'!R22</f>
        <v>22.682000000000002</v>
      </c>
      <c r="S61" s="1231">
        <f>+'Income Statement'!S22</f>
        <v>23.024999999999999</v>
      </c>
      <c r="T61" s="1231">
        <f>+'Income Statement'!T22</f>
        <v>25.088000000000001</v>
      </c>
      <c r="U61" s="1232">
        <f>+'Income Statement'!U22</f>
        <v>24.905000000000001</v>
      </c>
      <c r="V61" s="1231">
        <f>+'Income Statement'!V22</f>
        <v>27.826999999999998</v>
      </c>
      <c r="W61" s="1231">
        <f>+'Income Statement'!W22</f>
        <v>28.151000000000003</v>
      </c>
      <c r="X61" s="1231">
        <f>+'Income Statement'!X22</f>
        <v>27.377000000000002</v>
      </c>
      <c r="Y61" s="1232">
        <f>+'Income Statement'!Y22</f>
        <v>28.706000000000003</v>
      </c>
      <c r="Z61" s="1233">
        <f>+'Income Statement'!Z22</f>
        <v>29.317999999999998</v>
      </c>
      <c r="AA61" s="1231">
        <f>+'Income Statement'!AA22</f>
        <v>28.081</v>
      </c>
      <c r="AB61" s="1231">
        <f>+'Income Statement'!AB22</f>
        <v>27.81</v>
      </c>
      <c r="AC61" s="1232">
        <f>+'Income Statement'!AC22</f>
        <v>30.728999999999999</v>
      </c>
      <c r="AD61" s="1233">
        <f>+'Income Statement'!AD22</f>
        <v>32.565999999999995</v>
      </c>
      <c r="AE61" s="1231">
        <f>+'Income Statement'!AE22</f>
        <v>33.35</v>
      </c>
      <c r="AF61" s="1231">
        <f>+'Income Statement'!AF22</f>
        <v>35.585000000000001</v>
      </c>
      <c r="AG61" s="1232">
        <f>+'Income Statement'!AG22</f>
        <v>32.466999999999999</v>
      </c>
      <c r="AH61" s="1233">
        <f>+'Income Statement'!AH22</f>
        <v>39.017000000000003</v>
      </c>
      <c r="AI61" s="1231">
        <f>+'Income Statement'!AI22</f>
        <v>43.403999999999996</v>
      </c>
      <c r="AJ61" s="1231">
        <f>+'Income Statement'!AJ22</f>
        <v>42.091000000000001</v>
      </c>
      <c r="AK61" s="1232">
        <f>+'Income Statement'!AK22</f>
        <v>40.840000000000003</v>
      </c>
      <c r="AL61" s="1233">
        <f>+'Income Statement'!AL22</f>
        <v>42.187115546088656</v>
      </c>
      <c r="AM61" s="1231">
        <f>+'Income Statement'!AM22</f>
        <v>46.605664348814159</v>
      </c>
      <c r="AN61" s="1231">
        <f>+'Income Statement'!AN22</f>
        <v>44.809978724746479</v>
      </c>
      <c r="AO61" s="1232">
        <f>+'Income Statement'!AO22</f>
        <v>43.482209255641322</v>
      </c>
      <c r="AP61" s="1233">
        <f>+'Income Statement'!AP22</f>
        <v>44.96732995398969</v>
      </c>
      <c r="AQ61" s="1231">
        <f>+'Income Statement'!AQ22</f>
        <v>49.673588826756657</v>
      </c>
      <c r="AR61" s="1231">
        <f>+'Income Statement'!AR22</f>
        <v>47.752747851284688</v>
      </c>
      <c r="AS61" s="1232">
        <f>+'Income Statement'!AS22</f>
        <v>46.335587575679099</v>
      </c>
      <c r="AU61" s="1234"/>
      <c r="AV61" s="1234"/>
      <c r="AW61" s="1234"/>
      <c r="AX61" s="1234"/>
      <c r="AY61" s="1234"/>
      <c r="AZ61" s="1235"/>
      <c r="BA61" s="1236"/>
      <c r="BB61" s="1234"/>
      <c r="BC61" s="1234"/>
      <c r="BD61" s="1237"/>
      <c r="BE61" s="1237"/>
    </row>
    <row r="62" spans="1:65" s="1231" customFormat="1" ht="12.6" customHeight="1">
      <c r="A62" s="1356" t="s">
        <v>274</v>
      </c>
      <c r="B62" s="1233">
        <f>+'Income Statement'!B25</f>
        <v>-6.9690000000000012</v>
      </c>
      <c r="C62" s="1231">
        <f>+'Income Statement'!C25</f>
        <v>-7.2289999999999992</v>
      </c>
      <c r="D62" s="1231">
        <f>+'Income Statement'!D25</f>
        <v>-8.982999999999997</v>
      </c>
      <c r="E62" s="1232">
        <f>+'Income Statement'!E25</f>
        <v>-9.215999999999994</v>
      </c>
      <c r="F62" s="1233">
        <f>+'Income Statement'!F25</f>
        <v>-12.899000000000008</v>
      </c>
      <c r="G62" s="1231">
        <f>+'Income Statement'!G25</f>
        <v>-13.270000000000003</v>
      </c>
      <c r="H62" s="1231">
        <f>+'Income Statement'!H25</f>
        <v>-12.161999999999992</v>
      </c>
      <c r="I62" s="1232">
        <f>+'Income Statement'!I25</f>
        <v>-10.772000000000006</v>
      </c>
      <c r="J62" s="1233">
        <f>+'Income Statement'!J25</f>
        <v>-13.214999999999989</v>
      </c>
      <c r="K62" s="1231">
        <f>+'Income Statement'!K25</f>
        <v>-10.709999999999994</v>
      </c>
      <c r="L62" s="1231">
        <f>+'Income Statement'!L25</f>
        <v>-7.703000000000003</v>
      </c>
      <c r="M62" s="1232">
        <f>+'Income Statement'!M25</f>
        <v>-11.138000000000034</v>
      </c>
      <c r="N62" s="1233">
        <f>+'Income Statement'!N25</f>
        <v>-7.7189999999999941</v>
      </c>
      <c r="O62" s="1231">
        <f>+'Income Statement'!O25</f>
        <v>5.6789999999999878</v>
      </c>
      <c r="P62" s="1231">
        <f>+'Income Statement'!P25</f>
        <v>12.414000000000001</v>
      </c>
      <c r="Q62" s="1232">
        <f>+'Income Statement'!Q25</f>
        <v>15.419000000000011</v>
      </c>
      <c r="R62" s="1233">
        <f>+'Income Statement'!R25</f>
        <v>13.887</v>
      </c>
      <c r="S62" s="1231">
        <f>+'Income Statement'!S25</f>
        <v>11.534000000000006</v>
      </c>
      <c r="T62" s="1231">
        <f>+'Income Statement'!T25</f>
        <v>13.684999999999974</v>
      </c>
      <c r="U62" s="1232">
        <f>+'Income Statement'!U25</f>
        <v>11.878999999999991</v>
      </c>
      <c r="V62" s="1231">
        <f>+'Income Statement'!V25</f>
        <v>12.455999999999989</v>
      </c>
      <c r="W62" s="1231">
        <f>+'Income Statement'!W25</f>
        <v>12.191000000000003</v>
      </c>
      <c r="X62" s="1231">
        <f>+'Income Statement'!X25</f>
        <v>23.086999999999989</v>
      </c>
      <c r="Y62" s="1232">
        <f>+'Income Statement'!Y25</f>
        <v>19.936000000000007</v>
      </c>
      <c r="Z62" s="1233">
        <f>+'Income Statement'!Z25</f>
        <v>18.14100000000002</v>
      </c>
      <c r="AA62" s="1231">
        <f>+'Income Statement'!AA25</f>
        <v>30.218000000000004</v>
      </c>
      <c r="AB62" s="1231">
        <f>+'Income Statement'!AB25</f>
        <v>36.574999999999989</v>
      </c>
      <c r="AC62" s="1232">
        <f>+'Income Statement'!AC25</f>
        <v>36.062999999999988</v>
      </c>
      <c r="AD62" s="1233">
        <f>+'Income Statement'!AD25</f>
        <v>37.007999999999981</v>
      </c>
      <c r="AE62" s="1231">
        <f>+'Income Statement'!AE25</f>
        <v>42.78400000000002</v>
      </c>
      <c r="AF62" s="1231">
        <f>+'Income Statement'!AF25</f>
        <v>44.974999999999994</v>
      </c>
      <c r="AG62" s="1232">
        <f>+'Income Statement'!AG25</f>
        <v>59.350999999999999</v>
      </c>
      <c r="AH62" s="1233">
        <f>+'Income Statement'!AH25</f>
        <v>48.676999999999992</v>
      </c>
      <c r="AI62" s="1231">
        <f>+'Income Statement'!AI25</f>
        <v>47.696000000000026</v>
      </c>
      <c r="AJ62" s="1231">
        <f>+'Income Statement'!AJ25</f>
        <v>58.912999999999982</v>
      </c>
      <c r="AK62" s="1232">
        <f>+'Income Statement'!AK25</f>
        <v>63.693000000000012</v>
      </c>
      <c r="AL62" s="1233">
        <f>+'Income Statement'!AL25</f>
        <v>54.124983671035835</v>
      </c>
      <c r="AM62" s="1231">
        <f>+'Income Statement'!AM25</f>
        <v>55.71964124690399</v>
      </c>
      <c r="AN62" s="1231">
        <f>+'Income Statement'!AN25</f>
        <v>67.959781879032619</v>
      </c>
      <c r="AO62" s="1232">
        <f>+'Income Statement'!AO25</f>
        <v>72.677410244904081</v>
      </c>
      <c r="AP62" s="1233">
        <f>+'Income Statement'!AP25</f>
        <v>59.345568302057472</v>
      </c>
      <c r="AQ62" s="1231">
        <f>+'Income Statement'!AQ25</f>
        <v>61.08561061406624</v>
      </c>
      <c r="AR62" s="1231">
        <f>+'Income Statement'!AR25</f>
        <v>74.14122648950655</v>
      </c>
      <c r="AS62" s="1232">
        <f>+'Income Statement'!AS25</f>
        <v>79.220176452652851</v>
      </c>
      <c r="AU62" s="1234"/>
      <c r="AV62" s="1234"/>
      <c r="AW62" s="1234"/>
      <c r="AX62" s="1234"/>
      <c r="AY62" s="1234"/>
      <c r="AZ62" s="1235"/>
      <c r="BA62" s="1236"/>
      <c r="BB62" s="1234"/>
      <c r="BC62" s="1234"/>
      <c r="BD62" s="1237"/>
      <c r="BE62" s="1237"/>
    </row>
    <row r="63" spans="1:65" s="1231" customFormat="1" ht="12.95" customHeight="1">
      <c r="A63" s="1356" t="s">
        <v>275</v>
      </c>
      <c r="B63" s="1233">
        <f>+'Income Statement'!B39</f>
        <v>-7.0590000000000011</v>
      </c>
      <c r="C63" s="1231">
        <f>+'Income Statement'!C39</f>
        <v>-7.2259999999999991</v>
      </c>
      <c r="D63" s="1231">
        <f>+'Income Statement'!D39</f>
        <v>-9.1469999999999967</v>
      </c>
      <c r="E63" s="1232">
        <f>+'Income Statement'!E39</f>
        <v>-9.2809999999999935</v>
      </c>
      <c r="F63" s="1233">
        <f>+'Income Statement'!F39</f>
        <v>-13.361000000000008</v>
      </c>
      <c r="G63" s="1231">
        <f>+'Income Statement'!G39</f>
        <v>-14.000000000000004</v>
      </c>
      <c r="H63" s="1231">
        <f>+'Income Statement'!H39</f>
        <v>-12.024999999999991</v>
      </c>
      <c r="I63" s="1232">
        <f>+'Income Statement'!I39</f>
        <v>-10.875000000000007</v>
      </c>
      <c r="J63" s="1233">
        <f>+'Income Statement'!J39</f>
        <v>-12.618999999999989</v>
      </c>
      <c r="K63" s="1231">
        <f>+'Income Statement'!K39</f>
        <v>-9.9829999999999934</v>
      </c>
      <c r="L63" s="1231">
        <f>+'Income Statement'!L39</f>
        <v>-6.743000000000003</v>
      </c>
      <c r="M63" s="1232">
        <f>+'Income Statement'!M39</f>
        <v>-11.148000000000033</v>
      </c>
      <c r="N63" s="1233">
        <f>+'Income Statement'!N39</f>
        <v>-8.8259999999999934</v>
      </c>
      <c r="O63" s="1231">
        <f>+'Income Statement'!O39</f>
        <v>4.7209999999999877</v>
      </c>
      <c r="P63" s="1231">
        <f>+'Income Statement'!P39</f>
        <v>10.518000000000001</v>
      </c>
      <c r="Q63" s="1232">
        <f>+'Income Statement'!Q39</f>
        <v>14.381000000000011</v>
      </c>
      <c r="R63" s="1233">
        <f>+'Income Statement'!R39</f>
        <v>14.745000000000001</v>
      </c>
      <c r="S63" s="1231">
        <f>+'Income Statement'!S39</f>
        <v>10.160000000000005</v>
      </c>
      <c r="T63" s="1231">
        <f>+'Income Statement'!T39</f>
        <v>8.0959999999999752</v>
      </c>
      <c r="U63" s="1232">
        <f>+'Income Statement'!U39</f>
        <v>5.9399999999999906</v>
      </c>
      <c r="V63" s="1231">
        <f>+'Income Statement'!V39</f>
        <v>6.9649999999999892</v>
      </c>
      <c r="W63" s="1231">
        <f>+'Income Statement'!W39</f>
        <v>5.9630000000000027</v>
      </c>
      <c r="X63" s="1231">
        <f>+'Income Statement'!X39</f>
        <v>17.182999999999989</v>
      </c>
      <c r="Y63" s="1232">
        <f>+'Income Statement'!Y39</f>
        <v>14.204000000000006</v>
      </c>
      <c r="Z63" s="1233">
        <f>+'Income Statement'!Z39</f>
        <v>13.06300000000002</v>
      </c>
      <c r="AA63" s="1231">
        <f>+'Income Statement'!AA39</f>
        <v>26.266000000000005</v>
      </c>
      <c r="AB63" s="1231">
        <f>+'Income Statement'!AB39</f>
        <v>27.667999999999989</v>
      </c>
      <c r="AC63" s="1232">
        <f>+'Income Statement'!AC39</f>
        <v>30.157999999999987</v>
      </c>
      <c r="AD63" s="1233">
        <f>+'Income Statement'!AD39</f>
        <v>30.43999999999998</v>
      </c>
      <c r="AE63" s="1231">
        <f>+'Income Statement'!AE39</f>
        <v>38.16200000000002</v>
      </c>
      <c r="AF63" s="1231">
        <f>+'Income Statement'!AF39</f>
        <v>39.322999999999993</v>
      </c>
      <c r="AG63" s="1232">
        <f>+'Income Statement'!AG39</f>
        <v>50.664000000000001</v>
      </c>
      <c r="AH63" s="1233">
        <f>+'Income Statement'!AH39</f>
        <v>44.249999999999993</v>
      </c>
      <c r="AI63" s="1231">
        <f>+'Income Statement'!AI39</f>
        <v>41.437000000000026</v>
      </c>
      <c r="AJ63" s="1231">
        <f>+'Income Statement'!AJ39</f>
        <v>51.437999999999981</v>
      </c>
      <c r="AK63" s="1232">
        <f>+'Income Statement'!AK39</f>
        <v>57.305000000000014</v>
      </c>
      <c r="AL63" s="1233">
        <f>+'Income Statement'!AL39</f>
        <v>47.861983671035837</v>
      </c>
      <c r="AM63" s="1231">
        <f>+'Income Statement'!AM39</f>
        <v>46.73164124690399</v>
      </c>
      <c r="AN63" s="1231">
        <f>+'Income Statement'!AN39</f>
        <v>59.171781879032615</v>
      </c>
      <c r="AO63" s="1232">
        <f>+'Income Statement'!AO39</f>
        <v>64.089410244904087</v>
      </c>
      <c r="AP63" s="1233">
        <f>+'Income Statement'!AP39</f>
        <v>50.957568302057467</v>
      </c>
      <c r="AQ63" s="1231">
        <f>+'Income Statement'!AQ39</f>
        <v>52.897610614066238</v>
      </c>
      <c r="AR63" s="1231">
        <f>+'Income Statement'!AR39</f>
        <v>66.153226489506537</v>
      </c>
      <c r="AS63" s="1232">
        <f>+'Income Statement'!AS39</f>
        <v>71.432176452652854</v>
      </c>
      <c r="AU63" s="1234"/>
      <c r="AV63" s="1234"/>
      <c r="AW63" s="1234"/>
      <c r="AX63" s="1234"/>
      <c r="AY63" s="1234"/>
      <c r="AZ63" s="1235"/>
      <c r="BA63" s="1236"/>
      <c r="BB63" s="1234"/>
      <c r="BC63" s="1234"/>
      <c r="BD63" s="1237"/>
      <c r="BE63" s="1237"/>
    </row>
    <row r="64" spans="1:65" s="1231" customFormat="1" ht="12.95" customHeight="1">
      <c r="A64" s="1356"/>
      <c r="B64" s="1357"/>
      <c r="C64" s="1358"/>
      <c r="D64" s="1358"/>
      <c r="E64" s="1359"/>
      <c r="F64" s="1357"/>
      <c r="G64" s="1358"/>
      <c r="H64" s="1358"/>
      <c r="I64" s="1359"/>
      <c r="J64" s="1357"/>
      <c r="K64" s="1358"/>
      <c r="L64" s="1358"/>
      <c r="M64" s="1359"/>
      <c r="N64" s="1357"/>
      <c r="O64" s="1358"/>
      <c r="P64" s="1358"/>
      <c r="Q64" s="1359"/>
      <c r="R64" s="1357"/>
      <c r="U64" s="1232"/>
      <c r="W64" s="1358"/>
      <c r="X64" s="1358"/>
      <c r="Y64" s="1232"/>
      <c r="Z64" s="1357"/>
      <c r="AA64" s="1358"/>
      <c r="AB64" s="1358"/>
      <c r="AC64" s="1232"/>
      <c r="AD64" s="1357"/>
      <c r="AE64" s="1358"/>
      <c r="AF64" s="1358"/>
      <c r="AG64" s="1359"/>
      <c r="AH64" s="1357"/>
      <c r="AI64" s="1358"/>
      <c r="AJ64" s="1358"/>
      <c r="AK64" s="1359"/>
      <c r="AL64" s="1357"/>
      <c r="AM64" s="1358"/>
      <c r="AN64" s="1358"/>
      <c r="AO64" s="1359"/>
      <c r="AP64" s="1357"/>
      <c r="AQ64" s="1358"/>
      <c r="AR64" s="1358"/>
      <c r="AS64" s="1359"/>
      <c r="AU64" s="1234"/>
      <c r="AV64" s="1234"/>
      <c r="AW64" s="1234"/>
      <c r="AX64" s="1234"/>
      <c r="AY64" s="1234"/>
      <c r="AZ64" s="1235"/>
      <c r="BA64" s="1236"/>
      <c r="BB64" s="1234"/>
      <c r="BC64" s="1234"/>
      <c r="BD64" s="1237"/>
      <c r="BE64" s="1237"/>
    </row>
    <row r="65" spans="1:59" s="1231" customFormat="1" ht="12.95" customHeight="1">
      <c r="A65" s="557" t="s">
        <v>276</v>
      </c>
      <c r="B65" s="1233"/>
      <c r="E65" s="1232"/>
      <c r="F65" s="1233"/>
      <c r="I65" s="1232"/>
      <c r="J65" s="1233"/>
      <c r="M65" s="1232"/>
      <c r="N65" s="1233"/>
      <c r="Q65" s="1232"/>
      <c r="R65" s="1233"/>
      <c r="U65" s="1232"/>
      <c r="Y65" s="1232"/>
      <c r="Z65" s="1233"/>
      <c r="AC65" s="1232"/>
      <c r="AD65" s="1233"/>
      <c r="AG65" s="1232"/>
      <c r="AH65" s="1233"/>
      <c r="AK65" s="1232"/>
      <c r="AL65" s="1233"/>
      <c r="AO65" s="1232"/>
      <c r="AP65" s="1233"/>
      <c r="AS65" s="1232"/>
      <c r="AU65" s="1234"/>
      <c r="AV65" s="1234"/>
      <c r="AW65" s="1234"/>
      <c r="AX65" s="1234"/>
      <c r="AY65" s="1234"/>
      <c r="AZ65" s="1235"/>
      <c r="BA65" s="1236"/>
      <c r="BB65" s="1234"/>
      <c r="BC65" s="1234"/>
      <c r="BD65" s="1237"/>
      <c r="BE65" s="1237"/>
    </row>
    <row r="66" spans="1:59" s="1231" customFormat="1" ht="12.6" customHeight="1">
      <c r="A66" s="490" t="s">
        <v>277</v>
      </c>
      <c r="B66" s="1360"/>
      <c r="C66" s="1361"/>
      <c r="D66" s="1361"/>
      <c r="E66" s="1362">
        <f t="shared" ref="E66:AK66" si="114">+(E8/E59)*(365/4)</f>
        <v>85.793581499344</v>
      </c>
      <c r="F66" s="1360">
        <f t="shared" si="114"/>
        <v>66.519701558191073</v>
      </c>
      <c r="G66" s="1361">
        <f t="shared" si="114"/>
        <v>71.646001069316895</v>
      </c>
      <c r="H66" s="1361">
        <f t="shared" si="114"/>
        <v>77.576954925115203</v>
      </c>
      <c r="I66" s="1362">
        <f t="shared" si="114"/>
        <v>82.806879063027608</v>
      </c>
      <c r="J66" s="1360">
        <f t="shared" si="114"/>
        <v>64.743511911433231</v>
      </c>
      <c r="K66" s="1361">
        <f t="shared" si="114"/>
        <v>73.722228403447957</v>
      </c>
      <c r="L66" s="1361">
        <f t="shared" si="114"/>
        <v>80.668806884988882</v>
      </c>
      <c r="M66" s="1362">
        <f t="shared" si="114"/>
        <v>89.160771878123441</v>
      </c>
      <c r="N66" s="1360">
        <f t="shared" si="114"/>
        <v>66.119091458187214</v>
      </c>
      <c r="O66" s="1361">
        <f t="shared" si="114"/>
        <v>69.608031974927471</v>
      </c>
      <c r="P66" s="1361">
        <f t="shared" si="114"/>
        <v>71.111643006002737</v>
      </c>
      <c r="Q66" s="1362">
        <f t="shared" si="114"/>
        <v>89.13261547060516</v>
      </c>
      <c r="R66" s="1360">
        <f t="shared" si="114"/>
        <v>61.34888261127211</v>
      </c>
      <c r="S66" s="1361">
        <f t="shared" si="114"/>
        <v>70.391095816795769</v>
      </c>
      <c r="T66" s="1361">
        <f t="shared" si="114"/>
        <v>75.954582660243474</v>
      </c>
      <c r="U66" s="1362">
        <f t="shared" si="114"/>
        <v>83.646547732488699</v>
      </c>
      <c r="V66" s="1361">
        <f t="shared" si="114"/>
        <v>55.185270882485824</v>
      </c>
      <c r="W66" s="1361">
        <f t="shared" si="114"/>
        <v>60.718582094547308</v>
      </c>
      <c r="X66" s="1361">
        <f t="shared" si="114"/>
        <v>77.207965639315759</v>
      </c>
      <c r="Y66" s="1362">
        <f t="shared" si="114"/>
        <v>92.589360670743261</v>
      </c>
      <c r="Z66" s="1360">
        <f t="shared" si="114"/>
        <v>59.848700480303322</v>
      </c>
      <c r="AA66" s="1361">
        <f t="shared" si="114"/>
        <v>72.254788859492606</v>
      </c>
      <c r="AB66" s="1361">
        <f t="shared" si="114"/>
        <v>81.244734008504977</v>
      </c>
      <c r="AC66" s="1362">
        <f t="shared" si="114"/>
        <v>94.139288158795353</v>
      </c>
      <c r="AD66" s="1360">
        <f t="shared" si="114"/>
        <v>66.254393154319544</v>
      </c>
      <c r="AE66" s="1361">
        <f t="shared" si="114"/>
        <v>74.08027897179997</v>
      </c>
      <c r="AF66" s="1361">
        <f t="shared" si="114"/>
        <v>77.411091735362504</v>
      </c>
      <c r="AG66" s="1361">
        <f t="shared" si="114"/>
        <v>100.15431784534066</v>
      </c>
      <c r="AH66" s="1360">
        <f t="shared" si="114"/>
        <v>64.026525589933797</v>
      </c>
      <c r="AI66" s="1361">
        <f t="shared" si="114"/>
        <v>66.829707434440635</v>
      </c>
      <c r="AJ66" s="1361">
        <f t="shared" si="114"/>
        <v>72.653348320392965</v>
      </c>
      <c r="AK66" s="1361">
        <f t="shared" si="114"/>
        <v>97.770483969401184</v>
      </c>
      <c r="AL66" s="1363">
        <f>+AH66-2</f>
        <v>62.026525589933797</v>
      </c>
      <c r="AM66" s="1364">
        <f t="shared" ref="AM66:AS66" si="115">+AI66-2</f>
        <v>64.829707434440635</v>
      </c>
      <c r="AN66" s="1364">
        <f t="shared" si="115"/>
        <v>70.653348320392965</v>
      </c>
      <c r="AO66" s="1364">
        <f t="shared" si="115"/>
        <v>95.770483969401184</v>
      </c>
      <c r="AP66" s="1363">
        <f t="shared" si="115"/>
        <v>60.026525589933797</v>
      </c>
      <c r="AQ66" s="1364">
        <f t="shared" si="115"/>
        <v>62.829707434440635</v>
      </c>
      <c r="AR66" s="1364">
        <f t="shared" si="115"/>
        <v>68.653348320392965</v>
      </c>
      <c r="AS66" s="1364">
        <f t="shared" si="115"/>
        <v>93.770483969401184</v>
      </c>
      <c r="AT66" s="1360"/>
      <c r="AU66" s="1234"/>
      <c r="AV66" s="1234"/>
      <c r="AW66" s="1234"/>
      <c r="AX66" s="1234"/>
      <c r="AY66" s="1234"/>
      <c r="AZ66" s="1235"/>
      <c r="BA66" s="1236"/>
      <c r="BB66" s="1234"/>
      <c r="BC66" s="1234"/>
      <c r="BD66" s="1237"/>
      <c r="BE66" s="1237"/>
    </row>
    <row r="67" spans="1:59" s="1231" customFormat="1" ht="12.6" customHeight="1">
      <c r="A67" s="490" t="s">
        <v>278</v>
      </c>
      <c r="B67" s="1360"/>
      <c r="C67" s="1361"/>
      <c r="D67" s="1361"/>
      <c r="E67" s="1362">
        <f t="shared" ref="E67:AK67" si="116">+(E22/E60)*(365/4)</f>
        <v>3.8011461671185613</v>
      </c>
      <c r="F67" s="1360">
        <f t="shared" si="116"/>
        <v>17.595147058823528</v>
      </c>
      <c r="G67" s="1361">
        <f t="shared" si="116"/>
        <v>13.828921364676516</v>
      </c>
      <c r="H67" s="1361">
        <f t="shared" si="116"/>
        <v>4.337559639512282</v>
      </c>
      <c r="I67" s="1362">
        <f t="shared" si="116"/>
        <v>1.3657549234135671</v>
      </c>
      <c r="J67" s="1360">
        <f t="shared" si="116"/>
        <v>9.4533325283747871</v>
      </c>
      <c r="K67" s="1361">
        <f t="shared" si="116"/>
        <v>15.461708253358927</v>
      </c>
      <c r="L67" s="1361">
        <f t="shared" si="116"/>
        <v>5.0286808540135874</v>
      </c>
      <c r="M67" s="1362">
        <f t="shared" si="116"/>
        <v>9.0275318444050967</v>
      </c>
      <c r="N67" s="1360">
        <f t="shared" si="116"/>
        <v>23.12892086330935</v>
      </c>
      <c r="O67" s="1361">
        <f t="shared" si="116"/>
        <v>2.2074123153264913</v>
      </c>
      <c r="P67" s="1361">
        <f t="shared" si="116"/>
        <v>31.69325699038302</v>
      </c>
      <c r="Q67" s="1362">
        <f t="shared" si="116"/>
        <v>27.547079119258321</v>
      </c>
      <c r="R67" s="1360">
        <f t="shared" si="116"/>
        <v>42.413472296541329</v>
      </c>
      <c r="S67" s="1361">
        <f t="shared" si="116"/>
        <v>45.94105545992695</v>
      </c>
      <c r="T67" s="1361">
        <f t="shared" si="116"/>
        <v>60.512083747514907</v>
      </c>
      <c r="U67" s="1362">
        <f t="shared" si="116"/>
        <v>54.967108920431393</v>
      </c>
      <c r="V67" s="1361">
        <f t="shared" si="116"/>
        <v>50.224306227815418</v>
      </c>
      <c r="W67" s="1361">
        <f t="shared" si="116"/>
        <v>49.472750337208552</v>
      </c>
      <c r="X67" s="1361">
        <f t="shared" si="116"/>
        <v>72.197046229003945</v>
      </c>
      <c r="Y67" s="1362">
        <f t="shared" si="116"/>
        <v>42.968447395558243</v>
      </c>
      <c r="Z67" s="1360">
        <f t="shared" si="116"/>
        <v>50.144971231878593</v>
      </c>
      <c r="AA67" s="1361">
        <f t="shared" si="116"/>
        <v>60.424104169441847</v>
      </c>
      <c r="AB67" s="1361">
        <f t="shared" si="116"/>
        <v>61.802056037089301</v>
      </c>
      <c r="AC67" s="1362">
        <f t="shared" si="116"/>
        <v>37.297422008830551</v>
      </c>
      <c r="AD67" s="1360">
        <f t="shared" si="116"/>
        <v>39.052197136697266</v>
      </c>
      <c r="AE67" s="1361">
        <f t="shared" si="116"/>
        <v>43.761932515337413</v>
      </c>
      <c r="AF67" s="1361">
        <f t="shared" si="116"/>
        <v>38.497746575504507</v>
      </c>
      <c r="AG67" s="1361">
        <f t="shared" si="116"/>
        <v>42.172046306147948</v>
      </c>
      <c r="AH67" s="1360">
        <f t="shared" si="116"/>
        <v>37.283450012707654</v>
      </c>
      <c r="AI67" s="1361">
        <f t="shared" si="116"/>
        <v>38.662713504512006</v>
      </c>
      <c r="AJ67" s="1361">
        <f t="shared" si="116"/>
        <v>39.442319691883981</v>
      </c>
      <c r="AK67" s="1361">
        <f t="shared" si="116"/>
        <v>44.32299063554057</v>
      </c>
      <c r="AL67" s="1363">
        <f>+AH67+2</f>
        <v>39.283450012707654</v>
      </c>
      <c r="AM67" s="1364">
        <f t="shared" ref="AM67:AS67" si="117">+AI67+2</f>
        <v>40.662713504512006</v>
      </c>
      <c r="AN67" s="1364">
        <f t="shared" si="117"/>
        <v>41.442319691883981</v>
      </c>
      <c r="AO67" s="1364">
        <f t="shared" si="117"/>
        <v>46.32299063554057</v>
      </c>
      <c r="AP67" s="1363">
        <f t="shared" si="117"/>
        <v>41.283450012707654</v>
      </c>
      <c r="AQ67" s="1364">
        <f t="shared" si="117"/>
        <v>42.662713504512006</v>
      </c>
      <c r="AR67" s="1364">
        <f t="shared" si="117"/>
        <v>43.442319691883981</v>
      </c>
      <c r="AS67" s="1364">
        <f t="shared" si="117"/>
        <v>48.32299063554057</v>
      </c>
      <c r="AT67" s="1360"/>
      <c r="AU67" s="1234"/>
      <c r="AV67" s="1234"/>
      <c r="AW67" s="1234"/>
      <c r="AX67" s="1234"/>
      <c r="AY67" s="1234"/>
      <c r="AZ67" s="1235"/>
      <c r="BA67" s="1236"/>
      <c r="BB67" s="1234"/>
      <c r="BC67" s="1234"/>
      <c r="BD67" s="1237"/>
      <c r="BE67" s="1237"/>
    </row>
    <row r="68" spans="1:59" s="1231" customFormat="1" ht="12.6" customHeight="1">
      <c r="A68" s="490"/>
      <c r="B68" s="1360"/>
      <c r="C68" s="1361"/>
      <c r="D68" s="1361"/>
      <c r="E68" s="1362"/>
      <c r="F68" s="1360"/>
      <c r="G68" s="1361"/>
      <c r="H68" s="1361"/>
      <c r="I68" s="1362"/>
      <c r="J68" s="1360"/>
      <c r="K68" s="1361"/>
      <c r="L68" s="1361"/>
      <c r="M68" s="1362"/>
      <c r="N68" s="1360"/>
      <c r="O68" s="1361"/>
      <c r="P68" s="1361"/>
      <c r="Q68" s="1362"/>
      <c r="R68" s="1360"/>
      <c r="S68" s="1361"/>
      <c r="T68" s="1361"/>
      <c r="U68" s="1362"/>
      <c r="V68" s="1361"/>
      <c r="W68" s="1361"/>
      <c r="X68" s="1361"/>
      <c r="Y68" s="1362"/>
      <c r="Z68" s="1360"/>
      <c r="AA68" s="1361"/>
      <c r="AB68" s="1361"/>
      <c r="AC68" s="1362"/>
      <c r="AD68" s="1360"/>
      <c r="AE68" s="1361"/>
      <c r="AF68" s="1364"/>
      <c r="AG68" s="1364"/>
      <c r="AH68" s="1360"/>
      <c r="AI68" s="1361"/>
      <c r="AJ68" s="1364"/>
      <c r="AK68" s="1364"/>
      <c r="AL68" s="1363"/>
      <c r="AM68" s="1364"/>
      <c r="AN68" s="1364"/>
      <c r="AO68" s="1365"/>
      <c r="AP68" s="1363"/>
      <c r="AQ68" s="1364"/>
      <c r="AR68" s="1364"/>
      <c r="AS68" s="1365"/>
      <c r="AT68" s="1361"/>
      <c r="AU68" s="1234"/>
      <c r="AV68" s="1234"/>
      <c r="AW68" s="1234"/>
      <c r="AX68" s="1234"/>
      <c r="AY68" s="1234"/>
      <c r="AZ68" s="1235"/>
      <c r="BA68" s="1236"/>
      <c r="BB68" s="1234"/>
      <c r="BC68" s="1234"/>
      <c r="BD68" s="1237"/>
      <c r="BE68" s="1237"/>
    </row>
    <row r="69" spans="1:59" s="1231" customFormat="1" ht="12.6" customHeight="1">
      <c r="A69" s="557" t="s">
        <v>279</v>
      </c>
      <c r="B69" s="1233"/>
      <c r="E69" s="1232"/>
      <c r="F69" s="1233"/>
      <c r="I69" s="1232"/>
      <c r="J69" s="1233"/>
      <c r="M69" s="1232"/>
      <c r="N69" s="1233"/>
      <c r="Q69" s="1232"/>
      <c r="R69" s="1233"/>
      <c r="U69" s="1232"/>
      <c r="Y69" s="1232"/>
      <c r="Z69" s="1233"/>
      <c r="AC69" s="1232"/>
      <c r="AD69" s="1233"/>
      <c r="AH69" s="1233"/>
      <c r="AL69" s="1233"/>
      <c r="AO69" s="1232"/>
      <c r="AP69" s="1233"/>
      <c r="AS69" s="1232"/>
      <c r="AU69" s="1234"/>
      <c r="AV69" s="1234"/>
      <c r="AW69" s="1234"/>
      <c r="AX69" s="1234"/>
      <c r="AY69" s="1234"/>
      <c r="AZ69" s="1235"/>
      <c r="BA69" s="1236"/>
      <c r="BB69" s="1234"/>
      <c r="BC69" s="1234"/>
      <c r="BD69" s="1237"/>
      <c r="BE69" s="1237"/>
    </row>
    <row r="70" spans="1:59" s="1231" customFormat="1" ht="12.6" customHeight="1">
      <c r="A70" s="1366" t="str">
        <f>A9</f>
        <v>Deferred Commissions</v>
      </c>
      <c r="B70" s="1367"/>
      <c r="C70" s="1368"/>
      <c r="D70" s="1368"/>
      <c r="E70" s="1369">
        <f t="shared" ref="E70:AK70" si="118">E9/E59</f>
        <v>0.31727553264223812</v>
      </c>
      <c r="F70" s="1367">
        <f t="shared" si="118"/>
        <v>0.3066472668211887</v>
      </c>
      <c r="G70" s="1368">
        <f t="shared" si="118"/>
        <v>0.30000629009938357</v>
      </c>
      <c r="H70" s="1368">
        <f t="shared" si="118"/>
        <v>0.29379320276497695</v>
      </c>
      <c r="I70" s="1369">
        <f t="shared" si="118"/>
        <v>0.30938168862418736</v>
      </c>
      <c r="J70" s="1367">
        <f t="shared" si="118"/>
        <v>0.29685807150595883</v>
      </c>
      <c r="K70" s="1368">
        <f t="shared" si="118"/>
        <v>0.29123723414222807</v>
      </c>
      <c r="L70" s="1368">
        <f t="shared" si="118"/>
        <v>0.28339067195052914</v>
      </c>
      <c r="M70" s="1369">
        <f t="shared" si="118"/>
        <v>0.29365578213067633</v>
      </c>
      <c r="N70" s="1367">
        <f t="shared" si="118"/>
        <v>0.28009313381653811</v>
      </c>
      <c r="O70" s="1368">
        <f t="shared" si="118"/>
        <v>0.27628277476704383</v>
      </c>
      <c r="P70" s="1368">
        <f t="shared" si="118"/>
        <v>0.26835111594022193</v>
      </c>
      <c r="Q70" s="1369">
        <f t="shared" si="118"/>
        <v>0.27220914279907182</v>
      </c>
      <c r="R70" s="1367">
        <f t="shared" si="118"/>
        <v>0.25924392599988633</v>
      </c>
      <c r="S70" s="1368">
        <f t="shared" si="118"/>
        <v>0.25093083779239822</v>
      </c>
      <c r="T70" s="1368">
        <f t="shared" si="118"/>
        <v>0.24698551895228754</v>
      </c>
      <c r="U70" s="1369">
        <f t="shared" si="118"/>
        <v>0.27051094498651168</v>
      </c>
      <c r="V70" s="1368">
        <f t="shared" si="118"/>
        <v>0.25309346920335324</v>
      </c>
      <c r="W70" s="1368">
        <f t="shared" si="118"/>
        <v>0.24747324161347442</v>
      </c>
      <c r="X70" s="1368">
        <f t="shared" si="118"/>
        <v>0.23610388273444247</v>
      </c>
      <c r="Y70" s="1369">
        <f t="shared" si="118"/>
        <v>0.23977555231786646</v>
      </c>
      <c r="Z70" s="1367">
        <f t="shared" si="118"/>
        <v>0.23324101483274109</v>
      </c>
      <c r="AA70" s="1368">
        <f t="shared" si="118"/>
        <v>0.23091121639082016</v>
      </c>
      <c r="AB70" s="1368">
        <f t="shared" si="118"/>
        <v>0.22890998317859959</v>
      </c>
      <c r="AC70" s="1369">
        <f t="shared" si="118"/>
        <v>0.23233758075253391</v>
      </c>
      <c r="AD70" s="1367">
        <f t="shared" si="118"/>
        <v>0.22767073684600461</v>
      </c>
      <c r="AE70" s="1368">
        <f t="shared" si="118"/>
        <v>0.22323167948074721</v>
      </c>
      <c r="AF70" s="1368">
        <f t="shared" si="118"/>
        <v>0.21955365320932854</v>
      </c>
      <c r="AG70" s="1368">
        <f t="shared" si="118"/>
        <v>0.21970381494160715</v>
      </c>
      <c r="AH70" s="1367">
        <f t="shared" si="118"/>
        <v>0.21429975286133054</v>
      </c>
      <c r="AI70" s="1368">
        <f t="shared" si="118"/>
        <v>0.20536201702420184</v>
      </c>
      <c r="AJ70" s="1368">
        <f t="shared" si="118"/>
        <v>0.20037236571066391</v>
      </c>
      <c r="AK70" s="1368">
        <f t="shared" si="118"/>
        <v>0.20309903160060339</v>
      </c>
      <c r="AL70" s="1370">
        <f>+AH70-1%</f>
        <v>0.20429975286133054</v>
      </c>
      <c r="AM70" s="1371">
        <f t="shared" ref="AM70:AS72" si="119">+AI70-1%</f>
        <v>0.19536201702420183</v>
      </c>
      <c r="AN70" s="1371">
        <f t="shared" si="119"/>
        <v>0.1903723657106639</v>
      </c>
      <c r="AO70" s="1371">
        <f t="shared" si="119"/>
        <v>0.19309903160060338</v>
      </c>
      <c r="AP70" s="1370">
        <f t="shared" si="119"/>
        <v>0.19429975286133053</v>
      </c>
      <c r="AQ70" s="1371">
        <f t="shared" si="119"/>
        <v>0.18536201702420183</v>
      </c>
      <c r="AR70" s="1371">
        <f t="shared" si="119"/>
        <v>0.1803723657106639</v>
      </c>
      <c r="AS70" s="1371">
        <f t="shared" si="119"/>
        <v>0.18309903160060337</v>
      </c>
      <c r="AT70" s="1233"/>
      <c r="AU70" s="1234"/>
      <c r="AV70" s="1234"/>
      <c r="AW70" s="1234"/>
      <c r="AX70" s="1234"/>
      <c r="AY70" s="1234"/>
      <c r="AZ70" s="1235"/>
      <c r="BA70" s="1236"/>
      <c r="BB70" s="1234"/>
      <c r="BC70" s="1234"/>
      <c r="BD70" s="1237"/>
      <c r="BE70" s="1237"/>
    </row>
    <row r="71" spans="1:59" s="1231" customFormat="1" ht="12.95" customHeight="1">
      <c r="A71" s="1366" t="str">
        <f>A10</f>
        <v>Prepaid Expenses &amp; Other Current Assets</v>
      </c>
      <c r="B71" s="1367"/>
      <c r="C71" s="1368"/>
      <c r="D71" s="1368"/>
      <c r="E71" s="1369">
        <f t="shared" ref="E71:AK71" si="120">E10/E59</f>
        <v>0.29554483803610693</v>
      </c>
      <c r="F71" s="1367">
        <f t="shared" si="120"/>
        <v>0.25030876207555791</v>
      </c>
      <c r="G71" s="1368">
        <f t="shared" si="120"/>
        <v>0.20952321046672537</v>
      </c>
      <c r="H71" s="1368">
        <f t="shared" si="120"/>
        <v>0.21195276497695853</v>
      </c>
      <c r="I71" s="1369">
        <f t="shared" si="120"/>
        <v>0.29273740045997793</v>
      </c>
      <c r="J71" s="1367">
        <f t="shared" si="120"/>
        <v>0.25698310108217831</v>
      </c>
      <c r="K71" s="1368">
        <f t="shared" si="120"/>
        <v>0.23793684999531528</v>
      </c>
      <c r="L71" s="1368">
        <f t="shared" si="120"/>
        <v>0.23000043548316859</v>
      </c>
      <c r="M71" s="1369">
        <f t="shared" si="120"/>
        <v>0.28201217941452261</v>
      </c>
      <c r="N71" s="1367">
        <f t="shared" si="120"/>
        <v>0.24970773906944121</v>
      </c>
      <c r="O71" s="1368">
        <f t="shared" si="120"/>
        <v>0.24529657025063192</v>
      </c>
      <c r="P71" s="1368">
        <f t="shared" si="120"/>
        <v>0.30491084946830299</v>
      </c>
      <c r="Q71" s="1369">
        <f t="shared" si="120"/>
        <v>0.37653495028878237</v>
      </c>
      <c r="R71" s="1367">
        <f t="shared" si="120"/>
        <v>0.345566568443611</v>
      </c>
      <c r="S71" s="1368">
        <f t="shared" si="120"/>
        <v>0.32439217251782987</v>
      </c>
      <c r="T71" s="1368">
        <f t="shared" si="120"/>
        <v>0.3259245370103272</v>
      </c>
      <c r="U71" s="1369">
        <f t="shared" si="120"/>
        <v>0.40420620327745643</v>
      </c>
      <c r="V71" s="1368">
        <f t="shared" si="120"/>
        <v>0.37281637467998596</v>
      </c>
      <c r="W71" s="1368">
        <f t="shared" si="120"/>
        <v>0.30086223157945979</v>
      </c>
      <c r="X71" s="1368">
        <f t="shared" si="120"/>
        <v>0.27785371544915383</v>
      </c>
      <c r="Y71" s="1369">
        <f t="shared" si="120"/>
        <v>0.31479545688427191</v>
      </c>
      <c r="Z71" s="1367">
        <f t="shared" si="120"/>
        <v>0.3519717854892262</v>
      </c>
      <c r="AA71" s="1368">
        <f t="shared" si="120"/>
        <v>0.28047642486515312</v>
      </c>
      <c r="AB71" s="1368">
        <f t="shared" si="120"/>
        <v>0.2606523130666058</v>
      </c>
      <c r="AC71" s="1369">
        <f t="shared" si="120"/>
        <v>0.290109045221419</v>
      </c>
      <c r="AD71" s="1367">
        <f t="shared" si="120"/>
        <v>0.30567093132556344</v>
      </c>
      <c r="AE71" s="1368">
        <f t="shared" si="120"/>
        <v>0.2661622393679291</v>
      </c>
      <c r="AF71" s="1368">
        <f t="shared" si="120"/>
        <v>0.23151817797505814</v>
      </c>
      <c r="AG71" s="1368">
        <f t="shared" si="120"/>
        <v>0.2249428373866823</v>
      </c>
      <c r="AH71" s="1367">
        <f t="shared" si="120"/>
        <v>0.28061738668629277</v>
      </c>
      <c r="AI71" s="1368">
        <f t="shared" si="120"/>
        <v>0.21868214076305625</v>
      </c>
      <c r="AJ71" s="1368">
        <f t="shared" si="120"/>
        <v>0.17503565203612739</v>
      </c>
      <c r="AK71" s="1368">
        <f t="shared" si="120"/>
        <v>0.15099430782280937</v>
      </c>
      <c r="AL71" s="1370">
        <f t="shared" ref="AL71:AL72" si="121">+AH71-1%</f>
        <v>0.27061738668629276</v>
      </c>
      <c r="AM71" s="1371">
        <f t="shared" si="119"/>
        <v>0.20868214076305625</v>
      </c>
      <c r="AN71" s="1371">
        <f t="shared" si="119"/>
        <v>0.16503565203612738</v>
      </c>
      <c r="AO71" s="1371">
        <f t="shared" si="119"/>
        <v>0.14099430782280936</v>
      </c>
      <c r="AP71" s="1370">
        <f t="shared" si="119"/>
        <v>0.26061738668629275</v>
      </c>
      <c r="AQ71" s="1371">
        <f t="shared" si="119"/>
        <v>0.19868214076305624</v>
      </c>
      <c r="AR71" s="1371">
        <f t="shared" si="119"/>
        <v>0.15503565203612737</v>
      </c>
      <c r="AS71" s="1371">
        <f t="shared" si="119"/>
        <v>0.13099430782280935</v>
      </c>
      <c r="AT71" s="1233"/>
      <c r="AU71" s="1234"/>
      <c r="AV71" s="1234"/>
      <c r="AW71" s="1234"/>
      <c r="AX71" s="1234"/>
      <c r="AY71" s="1234"/>
      <c r="AZ71" s="1235"/>
      <c r="BA71" s="1236"/>
      <c r="BB71" s="1234"/>
      <c r="BC71" s="1234"/>
      <c r="BD71" s="1237"/>
      <c r="BE71" s="1237"/>
    </row>
    <row r="72" spans="1:59" s="1231" customFormat="1" ht="12.95" customHeight="1">
      <c r="A72" s="490" t="s">
        <v>280</v>
      </c>
      <c r="B72" s="1367"/>
      <c r="C72" s="1368"/>
      <c r="D72" s="1368"/>
      <c r="E72" s="1369">
        <f t="shared" ref="E72:AK72" si="122">E14/E59</f>
        <v>0.60990077055269132</v>
      </c>
      <c r="F72" s="1367">
        <f t="shared" si="122"/>
        <v>0.54690645777995839</v>
      </c>
      <c r="G72" s="1368">
        <f t="shared" si="122"/>
        <v>0.49891495785633416</v>
      </c>
      <c r="H72" s="1368">
        <f t="shared" si="122"/>
        <v>0.46778513824884788</v>
      </c>
      <c r="I72" s="1369">
        <f t="shared" si="122"/>
        <v>0.48074340942024163</v>
      </c>
      <c r="J72" s="1367">
        <f t="shared" si="122"/>
        <v>0.44797698658796276</v>
      </c>
      <c r="K72" s="1368">
        <f t="shared" si="122"/>
        <v>0.4333247446828446</v>
      </c>
      <c r="L72" s="1368">
        <f t="shared" si="122"/>
        <v>0.41907634019945128</v>
      </c>
      <c r="M72" s="1369">
        <f t="shared" si="122"/>
        <v>0.45096806767715286</v>
      </c>
      <c r="N72" s="1367">
        <f t="shared" si="122"/>
        <v>0.40907762450315643</v>
      </c>
      <c r="O72" s="1368">
        <f t="shared" si="122"/>
        <v>0.39313863574886437</v>
      </c>
      <c r="P72" s="1368">
        <f t="shared" si="122"/>
        <v>0.37185835663775135</v>
      </c>
      <c r="Q72" s="1369">
        <f t="shared" si="122"/>
        <v>0.39576734811402242</v>
      </c>
      <c r="R72" s="1367">
        <f t="shared" si="122"/>
        <v>0.36824716492543974</v>
      </c>
      <c r="S72" s="1368">
        <f t="shared" si="122"/>
        <v>0.35169162975303048</v>
      </c>
      <c r="T72" s="1368">
        <f t="shared" si="122"/>
        <v>0.33887670916748402</v>
      </c>
      <c r="U72" s="1369">
        <f t="shared" si="122"/>
        <v>0.40020668644056423</v>
      </c>
      <c r="V72" s="1368">
        <f t="shared" si="122"/>
        <v>0.36976055418904674</v>
      </c>
      <c r="W72" s="1368">
        <f t="shared" si="122"/>
        <v>0.36101764015066229</v>
      </c>
      <c r="X72" s="1368">
        <f t="shared" si="122"/>
        <v>0.34310927589776441</v>
      </c>
      <c r="Y72" s="1369">
        <f t="shared" si="122"/>
        <v>0.36417503019536263</v>
      </c>
      <c r="Z72" s="1367">
        <f t="shared" si="122"/>
        <v>0.34068704028299229</v>
      </c>
      <c r="AA72" s="1368">
        <f t="shared" si="122"/>
        <v>0.33094403084558749</v>
      </c>
      <c r="AB72" s="1368">
        <f t="shared" si="122"/>
        <v>0.32457859662877309</v>
      </c>
      <c r="AC72" s="1369">
        <f t="shared" si="122"/>
        <v>0.33939035938979689</v>
      </c>
      <c r="AD72" s="1367">
        <f t="shared" si="122"/>
        <v>0.31694148480512691</v>
      </c>
      <c r="AE72" s="1368">
        <f t="shared" si="122"/>
        <v>0.29895453374374553</v>
      </c>
      <c r="AF72" s="1368">
        <f t="shared" si="122"/>
        <v>0.28361252025646444</v>
      </c>
      <c r="AG72" s="1368">
        <f t="shared" si="122"/>
        <v>0.28809957112132051</v>
      </c>
      <c r="AH72" s="1367">
        <f t="shared" si="122"/>
        <v>0.2742444707427123</v>
      </c>
      <c r="AI72" s="1368">
        <f t="shared" si="122"/>
        <v>0.25990820679754945</v>
      </c>
      <c r="AJ72" s="1368">
        <f t="shared" si="122"/>
        <v>0.25557756298526385</v>
      </c>
      <c r="AK72" s="1368">
        <f t="shared" si="122"/>
        <v>0.27526263467583761</v>
      </c>
      <c r="AL72" s="1370">
        <f t="shared" si="121"/>
        <v>0.26424447074271229</v>
      </c>
      <c r="AM72" s="1371">
        <f t="shared" si="119"/>
        <v>0.24990820679754944</v>
      </c>
      <c r="AN72" s="1371">
        <f t="shared" si="119"/>
        <v>0.24557756298526384</v>
      </c>
      <c r="AO72" s="1371">
        <f t="shared" si="119"/>
        <v>0.26526263467583761</v>
      </c>
      <c r="AP72" s="1370">
        <f t="shared" si="119"/>
        <v>0.25424447074271228</v>
      </c>
      <c r="AQ72" s="1371">
        <f t="shared" si="119"/>
        <v>0.23990820679754943</v>
      </c>
      <c r="AR72" s="1371">
        <f t="shared" si="119"/>
        <v>0.23557756298526383</v>
      </c>
      <c r="AS72" s="1371">
        <f t="shared" si="119"/>
        <v>0.2552626346758376</v>
      </c>
      <c r="AT72" s="1233"/>
      <c r="AU72" s="1234"/>
      <c r="AV72" s="1234"/>
      <c r="AW72" s="1234"/>
      <c r="AX72" s="1234"/>
      <c r="AY72" s="1234"/>
      <c r="AZ72" s="1235"/>
      <c r="BA72" s="1236"/>
      <c r="BB72" s="1234"/>
      <c r="BC72" s="1234"/>
      <c r="BD72" s="1237"/>
      <c r="BE72" s="1237"/>
    </row>
    <row r="73" spans="1:59" s="1231" customFormat="1" ht="12.95" customHeight="1">
      <c r="A73" s="490" t="s">
        <v>281</v>
      </c>
      <c r="B73" s="1367"/>
      <c r="C73" s="1368"/>
      <c r="D73" s="1368"/>
      <c r="E73" s="1369">
        <f t="shared" ref="E73:AK73" si="123">E18/E59</f>
        <v>4.1613541031468845E-2</v>
      </c>
      <c r="F73" s="1367">
        <f t="shared" si="123"/>
        <v>8.6825587493867054E-2</v>
      </c>
      <c r="G73" s="1368">
        <f t="shared" si="123"/>
        <v>0.11254560322053089</v>
      </c>
      <c r="H73" s="1368">
        <f t="shared" si="123"/>
        <v>7.415034562211982E-2</v>
      </c>
      <c r="I73" s="1369">
        <f t="shared" si="123"/>
        <v>0.10382738862817563</v>
      </c>
      <c r="J73" s="1367">
        <f t="shared" si="123"/>
        <v>9.2726117981096118E-2</v>
      </c>
      <c r="K73" s="1368">
        <f t="shared" si="123"/>
        <v>9.9433149067741033E-2</v>
      </c>
      <c r="L73" s="1368">
        <f t="shared" si="123"/>
        <v>0.10729216565779733</v>
      </c>
      <c r="M73" s="1369">
        <f t="shared" si="123"/>
        <v>0.1292542942225062</v>
      </c>
      <c r="N73" s="1367">
        <f t="shared" si="123"/>
        <v>0.10954913880445795</v>
      </c>
      <c r="O73" s="1368">
        <f t="shared" si="123"/>
        <v>9.1214357003609761E-2</v>
      </c>
      <c r="P73" s="1368">
        <f t="shared" si="123"/>
        <v>0.10515487789672431</v>
      </c>
      <c r="Q73" s="1369">
        <f t="shared" si="123"/>
        <v>0.11949323351569247</v>
      </c>
      <c r="R73" s="1367">
        <f t="shared" si="123"/>
        <v>0.1097662940684639</v>
      </c>
      <c r="S73" s="1368">
        <f t="shared" si="123"/>
        <v>0.14181745599152457</v>
      </c>
      <c r="T73" s="1368">
        <f t="shared" si="123"/>
        <v>0.16153435642993136</v>
      </c>
      <c r="U73" s="1369">
        <f t="shared" si="123"/>
        <v>0.20957199801366277</v>
      </c>
      <c r="V73" s="1368">
        <f t="shared" si="123"/>
        <v>0.16190201295115708</v>
      </c>
      <c r="W73" s="1368">
        <f t="shared" si="123"/>
        <v>0.16269220705727722</v>
      </c>
      <c r="X73" s="1368">
        <f t="shared" si="123"/>
        <v>0.13341073256658528</v>
      </c>
      <c r="Y73" s="1369">
        <f t="shared" si="123"/>
        <v>0.2058592544047316</v>
      </c>
      <c r="Z73" s="1367">
        <f t="shared" si="123"/>
        <v>0.19383707814593382</v>
      </c>
      <c r="AA73" s="1368">
        <f t="shared" si="123"/>
        <v>0.17401915543797042</v>
      </c>
      <c r="AB73" s="1368">
        <f t="shared" si="123"/>
        <v>0.12510854517215886</v>
      </c>
      <c r="AC73" s="1369">
        <f t="shared" si="123"/>
        <v>0.10865610906397383</v>
      </c>
      <c r="AD73" s="1367">
        <f t="shared" si="123"/>
        <v>7.2494570778983247E-2</v>
      </c>
      <c r="AE73" s="1368">
        <f t="shared" si="123"/>
        <v>6.678689754611486E-2</v>
      </c>
      <c r="AF73" s="1368">
        <f t="shared" si="123"/>
        <v>6.0817832734446561E-2</v>
      </c>
      <c r="AG73" s="1368">
        <f t="shared" si="123"/>
        <v>5.6432968086505386E-2</v>
      </c>
      <c r="AH73" s="1367">
        <f t="shared" si="123"/>
        <v>5.9380187925749672E-2</v>
      </c>
      <c r="AI73" s="1368">
        <f t="shared" si="123"/>
        <v>5.5480296811500435E-2</v>
      </c>
      <c r="AJ73" s="1368">
        <f t="shared" si="123"/>
        <v>5.089922357787989E-2</v>
      </c>
      <c r="AK73" s="1368">
        <f t="shared" si="123"/>
        <v>5.2070179209543516E-2</v>
      </c>
      <c r="AL73" s="1370">
        <f t="shared" ref="AL73:AS73" si="124">+AH73</f>
        <v>5.9380187925749672E-2</v>
      </c>
      <c r="AM73" s="1371">
        <f t="shared" si="124"/>
        <v>5.5480296811500435E-2</v>
      </c>
      <c r="AN73" s="1371">
        <f t="shared" si="124"/>
        <v>5.089922357787989E-2</v>
      </c>
      <c r="AO73" s="1371">
        <f t="shared" si="124"/>
        <v>5.2070179209543516E-2</v>
      </c>
      <c r="AP73" s="1370">
        <f t="shared" si="124"/>
        <v>5.9380187925749672E-2</v>
      </c>
      <c r="AQ73" s="1371">
        <f t="shared" si="124"/>
        <v>5.5480296811500435E-2</v>
      </c>
      <c r="AR73" s="1371">
        <f t="shared" si="124"/>
        <v>5.089922357787989E-2</v>
      </c>
      <c r="AS73" s="1371">
        <f t="shared" si="124"/>
        <v>5.2070179209543516E-2</v>
      </c>
      <c r="AT73" s="1233"/>
      <c r="AU73" s="1234"/>
      <c r="AV73" s="1234"/>
      <c r="AW73" s="1234"/>
      <c r="AX73" s="1234"/>
      <c r="AY73" s="1234"/>
      <c r="AZ73" s="1235"/>
      <c r="BA73" s="1236"/>
      <c r="BB73" s="1234"/>
      <c r="BC73" s="1234"/>
      <c r="BD73" s="1237"/>
      <c r="BE73" s="1237"/>
    </row>
    <row r="74" spans="1:59" s="1231" customFormat="1" ht="12.95" customHeight="1">
      <c r="A74" s="490"/>
      <c r="B74" s="1367"/>
      <c r="C74" s="1368"/>
      <c r="D74" s="1368"/>
      <c r="E74" s="1369"/>
      <c r="F74" s="1367"/>
      <c r="G74" s="1368"/>
      <c r="H74" s="1368"/>
      <c r="I74" s="1369"/>
      <c r="J74" s="1367"/>
      <c r="K74" s="1368"/>
      <c r="L74" s="1368"/>
      <c r="M74" s="1369"/>
      <c r="N74" s="1367"/>
      <c r="O74" s="1368"/>
      <c r="P74" s="1368"/>
      <c r="Q74" s="1369"/>
      <c r="R74" s="1367"/>
      <c r="S74" s="1368"/>
      <c r="T74" s="1368"/>
      <c r="U74" s="1369"/>
      <c r="V74" s="1368"/>
      <c r="W74" s="1368"/>
      <c r="X74" s="1368"/>
      <c r="Y74" s="1369"/>
      <c r="Z74" s="1367"/>
      <c r="AA74" s="1368"/>
      <c r="AB74" s="1368"/>
      <c r="AC74" s="1369"/>
      <c r="AD74" s="1367"/>
      <c r="AE74" s="1368"/>
      <c r="AF74" s="1368"/>
      <c r="AG74" s="1368"/>
      <c r="AH74" s="1367"/>
      <c r="AI74" s="1368"/>
      <c r="AJ74" s="1368"/>
      <c r="AK74" s="1368"/>
      <c r="AL74" s="1370"/>
      <c r="AM74" s="1371"/>
      <c r="AN74" s="1371"/>
      <c r="AO74" s="1371"/>
      <c r="AP74" s="1370"/>
      <c r="AQ74" s="1371"/>
      <c r="AR74" s="1371"/>
      <c r="AS74" s="1371"/>
      <c r="AT74" s="1233"/>
      <c r="AU74" s="1234"/>
      <c r="AV74" s="1234"/>
      <c r="AW74" s="1234"/>
      <c r="AX74" s="1234"/>
      <c r="AY74" s="1234"/>
      <c r="AZ74" s="1235"/>
      <c r="BA74" s="1236"/>
      <c r="BB74" s="1234"/>
      <c r="BC74" s="1234"/>
      <c r="BD74" s="1237"/>
      <c r="BE74" s="1237"/>
    </row>
    <row r="75" spans="1:59" s="1231" customFormat="1" ht="12.95" customHeight="1">
      <c r="A75" s="1366" t="str">
        <f>A24</f>
        <v>Accrued Payroll &amp; Benefits</v>
      </c>
      <c r="B75" s="1367"/>
      <c r="C75" s="1368"/>
      <c r="D75" s="1368"/>
      <c r="E75" s="1369">
        <f t="shared" ref="E75:AK75" si="125">+E24/E59</f>
        <v>0.34151930077424836</v>
      </c>
      <c r="F75" s="1367">
        <f t="shared" si="125"/>
        <v>0.23987006615121731</v>
      </c>
      <c r="G75" s="1368">
        <f t="shared" si="125"/>
        <v>0.2494338910554787</v>
      </c>
      <c r="H75" s="1368">
        <f t="shared" si="125"/>
        <v>0.2841877880184332</v>
      </c>
      <c r="I75" s="1369">
        <f t="shared" si="125"/>
        <v>0.39342736735751982</v>
      </c>
      <c r="J75" s="1367">
        <f t="shared" si="125"/>
        <v>0.27845232313420754</v>
      </c>
      <c r="K75" s="1368">
        <f t="shared" si="125"/>
        <v>0.31038602080014988</v>
      </c>
      <c r="L75" s="1368">
        <f t="shared" si="125"/>
        <v>0.26394634847363146</v>
      </c>
      <c r="M75" s="1369">
        <f t="shared" si="125"/>
        <v>0.37747941761378284</v>
      </c>
      <c r="N75" s="1367">
        <f t="shared" si="125"/>
        <v>0.22754461850206531</v>
      </c>
      <c r="O75" s="1368">
        <f t="shared" si="125"/>
        <v>0.29251275545896332</v>
      </c>
      <c r="P75" s="1368">
        <f t="shared" si="125"/>
        <v>0.25154521650843409</v>
      </c>
      <c r="Q75" s="1369">
        <f t="shared" si="125"/>
        <v>0.30071475754136956</v>
      </c>
      <c r="R75" s="1367">
        <f t="shared" si="125"/>
        <v>0.2174463629057789</v>
      </c>
      <c r="S75" s="1368">
        <f t="shared" si="125"/>
        <v>0.27561243368980259</v>
      </c>
      <c r="T75" s="1368">
        <f t="shared" si="125"/>
        <v>0.24014163733917962</v>
      </c>
      <c r="U75" s="1369">
        <f t="shared" si="125"/>
        <v>0.36271457139405977</v>
      </c>
      <c r="V75" s="1368">
        <f t="shared" si="125"/>
        <v>0.22109833843682544</v>
      </c>
      <c r="W75" s="1368">
        <f t="shared" si="125"/>
        <v>0.25069215837800668</v>
      </c>
      <c r="X75" s="1368">
        <f t="shared" si="125"/>
        <v>0.21248949105238177</v>
      </c>
      <c r="Y75" s="1369">
        <f t="shared" si="125"/>
        <v>0.28500089367441001</v>
      </c>
      <c r="Z75" s="1367">
        <f t="shared" si="125"/>
        <v>0.1948008621100514</v>
      </c>
      <c r="AA75" s="1368">
        <f t="shared" si="125"/>
        <v>0.23185463196538075</v>
      </c>
      <c r="AB75" s="1368">
        <f t="shared" si="125"/>
        <v>0.22254861583196464</v>
      </c>
      <c r="AC75" s="1369">
        <f t="shared" si="125"/>
        <v>0.31172118927737619</v>
      </c>
      <c r="AD75" s="1367">
        <f t="shared" si="125"/>
        <v>0.20164288922536941</v>
      </c>
      <c r="AE75" s="1368">
        <f t="shared" si="125"/>
        <v>0.19941602144268014</v>
      </c>
      <c r="AF75" s="1368">
        <f t="shared" si="125"/>
        <v>0.18953005002466006</v>
      </c>
      <c r="AG75" s="1368">
        <f t="shared" si="125"/>
        <v>0.23664261382677712</v>
      </c>
      <c r="AH75" s="1367">
        <f t="shared" si="125"/>
        <v>0.2150733679857153</v>
      </c>
      <c r="AI75" s="1368">
        <f t="shared" si="125"/>
        <v>0.22472755211387208</v>
      </c>
      <c r="AJ75" s="1368">
        <f t="shared" si="125"/>
        <v>0.19184360640152115</v>
      </c>
      <c r="AK75" s="1368">
        <f t="shared" si="125"/>
        <v>0.26547884529023191</v>
      </c>
      <c r="AL75" s="1370">
        <f t="shared" ref="AL75:AS77" si="126">+AH75</f>
        <v>0.2150733679857153</v>
      </c>
      <c r="AM75" s="1371">
        <f t="shared" si="126"/>
        <v>0.22472755211387208</v>
      </c>
      <c r="AN75" s="1371">
        <f t="shared" si="126"/>
        <v>0.19184360640152115</v>
      </c>
      <c r="AO75" s="1371">
        <f t="shared" si="126"/>
        <v>0.26547884529023191</v>
      </c>
      <c r="AP75" s="1370">
        <f t="shared" si="126"/>
        <v>0.2150733679857153</v>
      </c>
      <c r="AQ75" s="1371">
        <f t="shared" si="126"/>
        <v>0.22472755211387208</v>
      </c>
      <c r="AR75" s="1371">
        <f t="shared" si="126"/>
        <v>0.19184360640152115</v>
      </c>
      <c r="AS75" s="1371">
        <f t="shared" si="126"/>
        <v>0.26547884529023191</v>
      </c>
      <c r="AT75" s="1233"/>
      <c r="AU75" s="1234"/>
      <c r="AV75" s="1234"/>
      <c r="AW75" s="1234"/>
      <c r="AX75" s="1234"/>
      <c r="AY75" s="1234"/>
      <c r="AZ75" s="1235"/>
      <c r="BA75" s="1236"/>
      <c r="BB75" s="1234"/>
      <c r="BC75" s="1234"/>
      <c r="BD75" s="1237"/>
      <c r="BE75" s="1237"/>
    </row>
    <row r="76" spans="1:59" s="1231" customFormat="1" ht="12.95" customHeight="1">
      <c r="A76" s="1366" t="str">
        <f>A27</f>
        <v>Other Current Liabilities</v>
      </c>
      <c r="B76" s="1367"/>
      <c r="C76" s="1368"/>
      <c r="D76" s="1368"/>
      <c r="E76" s="1369">
        <f t="shared" ref="E76:AK76" si="127">+E27/E59</f>
        <v>0</v>
      </c>
      <c r="F76" s="1367">
        <f t="shared" si="127"/>
        <v>0</v>
      </c>
      <c r="G76" s="1368">
        <f t="shared" si="127"/>
        <v>0</v>
      </c>
      <c r="H76" s="1368">
        <f t="shared" si="127"/>
        <v>0</v>
      </c>
      <c r="I76" s="1369">
        <f t="shared" si="127"/>
        <v>1.4344398505736428E-2</v>
      </c>
      <c r="J76" s="1367">
        <f t="shared" si="127"/>
        <v>8.1319037122825379E-3</v>
      </c>
      <c r="K76" s="1368">
        <f t="shared" si="127"/>
        <v>6.3009463131265811E-3</v>
      </c>
      <c r="L76" s="1368">
        <f t="shared" si="127"/>
        <v>7.6318425292862422E-3</v>
      </c>
      <c r="M76" s="1369">
        <f t="shared" si="127"/>
        <v>1.3230429988974645E-2</v>
      </c>
      <c r="N76" s="1367">
        <f t="shared" si="127"/>
        <v>7.3065232639700729E-3</v>
      </c>
      <c r="O76" s="1368">
        <f t="shared" si="127"/>
        <v>7.3034913113637851E-3</v>
      </c>
      <c r="P76" s="1368">
        <f t="shared" si="127"/>
        <v>1.0028321547532104E-2</v>
      </c>
      <c r="Q76" s="1369">
        <f t="shared" si="127"/>
        <v>8.7058146034111883E-3</v>
      </c>
      <c r="R76" s="1367">
        <f t="shared" si="127"/>
        <v>8.9050158699234497E-3</v>
      </c>
      <c r="S76" s="1368">
        <f t="shared" si="127"/>
        <v>2.1035014855019614E-3</v>
      </c>
      <c r="T76" s="1368">
        <f t="shared" si="127"/>
        <v>1.3579588069001329E-2</v>
      </c>
      <c r="U76" s="1369">
        <f t="shared" si="127"/>
        <v>2.5225140587043175E-2</v>
      </c>
      <c r="V76" s="1368">
        <f t="shared" si="127"/>
        <v>1.9840871442196678E-2</v>
      </c>
      <c r="W76" s="1368">
        <f t="shared" si="127"/>
        <v>2.7941901290609156E-2</v>
      </c>
      <c r="X76" s="1368">
        <f t="shared" si="127"/>
        <v>2.3528604354564744E-2</v>
      </c>
      <c r="Y76" s="1369">
        <f t="shared" si="127"/>
        <v>2.6441930120077343E-2</v>
      </c>
      <c r="Z76" s="1367">
        <f t="shared" si="127"/>
        <v>2.7849120149969018E-2</v>
      </c>
      <c r="AA76" s="1368">
        <f t="shared" si="127"/>
        <v>3.1671076109026024E-2</v>
      </c>
      <c r="AB76" s="1368">
        <f t="shared" si="127"/>
        <v>2.4740856154697337E-2</v>
      </c>
      <c r="AC76" s="1369">
        <f t="shared" si="127"/>
        <v>2.651120924868499E-2</v>
      </c>
      <c r="AD76" s="1367">
        <f t="shared" si="127"/>
        <v>2.3471830561999623E-2</v>
      </c>
      <c r="AE76" s="1368">
        <f t="shared" si="127"/>
        <v>2.6360394321124924E-2</v>
      </c>
      <c r="AF76" s="1368">
        <f t="shared" si="127"/>
        <v>2.7324209117170439E-2</v>
      </c>
      <c r="AG76" s="1368">
        <f t="shared" si="127"/>
        <v>2.1863904195884291E-2</v>
      </c>
      <c r="AH76" s="1367">
        <f t="shared" si="127"/>
        <v>2.6537089618085031E-2</v>
      </c>
      <c r="AI76" s="1368">
        <f t="shared" si="127"/>
        <v>2.903010574415172E-2</v>
      </c>
      <c r="AJ76" s="1368">
        <f t="shared" si="127"/>
        <v>1.5259071462525748E-2</v>
      </c>
      <c r="AK76" s="1368">
        <f t="shared" si="127"/>
        <v>2.084956608183992E-2</v>
      </c>
      <c r="AL76" s="1370">
        <f t="shared" si="126"/>
        <v>2.6537089618085031E-2</v>
      </c>
      <c r="AM76" s="1371">
        <f t="shared" si="126"/>
        <v>2.903010574415172E-2</v>
      </c>
      <c r="AN76" s="1371">
        <f t="shared" si="126"/>
        <v>1.5259071462525748E-2</v>
      </c>
      <c r="AO76" s="1371">
        <f t="shared" si="126"/>
        <v>2.084956608183992E-2</v>
      </c>
      <c r="AP76" s="1370">
        <f t="shared" si="126"/>
        <v>2.6537089618085031E-2</v>
      </c>
      <c r="AQ76" s="1371">
        <f t="shared" si="126"/>
        <v>2.903010574415172E-2</v>
      </c>
      <c r="AR76" s="1371">
        <f t="shared" si="126"/>
        <v>1.5259071462525748E-2</v>
      </c>
      <c r="AS76" s="1371">
        <f t="shared" si="126"/>
        <v>2.084956608183992E-2</v>
      </c>
      <c r="AT76" s="1233"/>
      <c r="AU76" s="1234"/>
      <c r="AV76" s="1234"/>
      <c r="AW76" s="1234"/>
      <c r="AX76" s="1234"/>
      <c r="AY76" s="1234"/>
      <c r="AZ76" s="1235"/>
      <c r="BA76" s="1236"/>
      <c r="BB76" s="1234"/>
      <c r="BC76" s="1234"/>
      <c r="BD76" s="1237"/>
      <c r="BE76" s="1237"/>
    </row>
    <row r="77" spans="1:59" s="1231" customFormat="1" ht="12.95" customHeight="1">
      <c r="A77" s="1372" t="s">
        <v>282</v>
      </c>
      <c r="B77" s="601"/>
      <c r="C77" s="602"/>
      <c r="D77" s="602"/>
      <c r="E77" s="1373">
        <f t="shared" ref="E77:AK77" si="128">+E35/E59</f>
        <v>0.12936785113735053</v>
      </c>
      <c r="F77" s="601">
        <f t="shared" si="128"/>
        <v>0.13634594887238397</v>
      </c>
      <c r="G77" s="602">
        <f t="shared" si="128"/>
        <v>0.2534595546609637</v>
      </c>
      <c r="H77" s="602">
        <f t="shared" si="128"/>
        <v>0.39170506912442399</v>
      </c>
      <c r="I77" s="1373">
        <f t="shared" si="128"/>
        <v>2.9659270682389223E-2</v>
      </c>
      <c r="J77" s="601">
        <f t="shared" si="128"/>
        <v>3.1581175825954842E-2</v>
      </c>
      <c r="K77" s="602">
        <f t="shared" si="128"/>
        <v>3.4432680595896187E-2</v>
      </c>
      <c r="L77" s="602">
        <f t="shared" si="128"/>
        <v>2.9144711056917648E-2</v>
      </c>
      <c r="M77" s="1373">
        <f t="shared" si="128"/>
        <v>2.7017279930756633E-2</v>
      </c>
      <c r="N77" s="601">
        <f t="shared" si="128"/>
        <v>2.8183695736887227E-2</v>
      </c>
      <c r="O77" s="602">
        <f t="shared" si="128"/>
        <v>4.5266722010278981E-2</v>
      </c>
      <c r="P77" s="602">
        <f t="shared" si="128"/>
        <v>4.3916210968810668E-2</v>
      </c>
      <c r="Q77" s="1373">
        <f t="shared" si="128"/>
        <v>4.0666655375078332E-2</v>
      </c>
      <c r="R77" s="601">
        <f t="shared" si="128"/>
        <v>4.1464741170071998E-2</v>
      </c>
      <c r="S77" s="602">
        <f t="shared" si="128"/>
        <v>6.8233289062559974E-2</v>
      </c>
      <c r="T77" s="602">
        <f t="shared" si="128"/>
        <v>5.162118502278891E-2</v>
      </c>
      <c r="U77" s="1369">
        <f t="shared" si="128"/>
        <v>4.3370599524889614E-2</v>
      </c>
      <c r="V77" s="1368">
        <f t="shared" si="128"/>
        <v>4.1614376788313839E-2</v>
      </c>
      <c r="W77" s="1368">
        <f t="shared" si="128"/>
        <v>3.7805538484005814E-2</v>
      </c>
      <c r="X77" s="1368">
        <f t="shared" si="128"/>
        <v>3.8112450028881729E-2</v>
      </c>
      <c r="Y77" s="1369">
        <f t="shared" si="128"/>
        <v>4.027492674577942E-2</v>
      </c>
      <c r="Z77" s="1367">
        <f t="shared" si="128"/>
        <v>3.8551358564703264E-2</v>
      </c>
      <c r="AA77" s="1368">
        <f t="shared" si="128"/>
        <v>3.8956910519083655E-2</v>
      </c>
      <c r="AB77" s="1368">
        <f t="shared" si="128"/>
        <v>3.7815897463888574E-2</v>
      </c>
      <c r="AC77" s="1369">
        <f t="shared" si="128"/>
        <v>3.5779584259233214E-2</v>
      </c>
      <c r="AD77" s="1367">
        <f t="shared" si="128"/>
        <v>3.7779969531535791E-2</v>
      </c>
      <c r="AE77" s="1368">
        <f t="shared" si="128"/>
        <v>3.6390180843514537E-2</v>
      </c>
      <c r="AF77" s="1368">
        <f t="shared" si="128"/>
        <v>3.6087331783273446E-2</v>
      </c>
      <c r="AG77" s="1368">
        <f t="shared" si="128"/>
        <v>3.5332646109336494E-2</v>
      </c>
      <c r="AH77" s="1367">
        <f t="shared" si="128"/>
        <v>4.0081626849881036E-2</v>
      </c>
      <c r="AI77" s="1368">
        <f t="shared" si="128"/>
        <v>3.9818839847146119E-2</v>
      </c>
      <c r="AJ77" s="1368">
        <f t="shared" si="128"/>
        <v>4.0298684836000631E-2</v>
      </c>
      <c r="AK77" s="1368">
        <f t="shared" si="128"/>
        <v>4.1630043027178897E-2</v>
      </c>
      <c r="AL77" s="1370">
        <f t="shared" si="126"/>
        <v>4.0081626849881036E-2</v>
      </c>
      <c r="AM77" s="1371">
        <f t="shared" si="126"/>
        <v>3.9818839847146119E-2</v>
      </c>
      <c r="AN77" s="1371">
        <f t="shared" si="126"/>
        <v>4.0298684836000631E-2</v>
      </c>
      <c r="AO77" s="1371">
        <f t="shared" si="126"/>
        <v>4.1630043027178897E-2</v>
      </c>
      <c r="AP77" s="1370">
        <f t="shared" si="126"/>
        <v>4.0081626849881036E-2</v>
      </c>
      <c r="AQ77" s="1371">
        <f t="shared" si="126"/>
        <v>3.9818839847146119E-2</v>
      </c>
      <c r="AR77" s="1371">
        <f t="shared" si="126"/>
        <v>4.0298684836000631E-2</v>
      </c>
      <c r="AS77" s="1371">
        <f t="shared" si="126"/>
        <v>4.1630043027178897E-2</v>
      </c>
      <c r="AT77" s="1233"/>
      <c r="AU77" s="1234"/>
      <c r="AV77" s="1234"/>
      <c r="AW77" s="1234"/>
      <c r="AX77" s="1234"/>
      <c r="AY77" s="1234"/>
      <c r="AZ77" s="1235"/>
      <c r="BA77" s="1236"/>
      <c r="BB77" s="1234"/>
      <c r="BC77" s="1234"/>
      <c r="BD77" s="1237"/>
      <c r="BE77" s="1237"/>
    </row>
    <row r="78" spans="1:59" s="1231" customFormat="1" ht="12.95" customHeight="1">
      <c r="A78" s="1356"/>
      <c r="B78" s="1233"/>
      <c r="E78" s="1232"/>
      <c r="F78" s="1357"/>
      <c r="G78" s="1358"/>
      <c r="H78" s="1358"/>
      <c r="I78" s="1359"/>
      <c r="J78" s="1357"/>
      <c r="K78" s="1358"/>
      <c r="L78" s="1358"/>
      <c r="M78" s="1359"/>
      <c r="N78" s="1357"/>
      <c r="O78" s="1358"/>
      <c r="P78" s="1358"/>
      <c r="Q78" s="1359"/>
      <c r="R78" s="1374"/>
      <c r="S78" s="1375"/>
      <c r="T78" s="1375"/>
      <c r="U78" s="1376"/>
      <c r="V78" s="1377"/>
      <c r="W78" s="1377"/>
      <c r="X78" s="1377"/>
      <c r="Y78" s="1376"/>
      <c r="Z78" s="1374"/>
      <c r="AA78" s="1377"/>
      <c r="AB78" s="1377"/>
      <c r="AC78" s="1377"/>
      <c r="AD78" s="1374"/>
      <c r="AE78" s="1377"/>
      <c r="AF78" s="1377"/>
      <c r="AG78" s="1377"/>
      <c r="AH78" s="1374"/>
      <c r="AI78" s="1377"/>
      <c r="AJ78" s="1377"/>
      <c r="AK78" s="1377"/>
      <c r="AL78" s="1374"/>
      <c r="AM78" s="1377"/>
      <c r="AN78" s="1377"/>
      <c r="AO78" s="1377"/>
      <c r="AP78" s="1374"/>
      <c r="AQ78" s="1377"/>
      <c r="AR78" s="1377"/>
      <c r="AS78" s="1377"/>
      <c r="AT78" s="1233"/>
      <c r="AU78" s="1237"/>
      <c r="AV78" s="1258"/>
      <c r="AW78" s="1234"/>
      <c r="AX78" s="1234"/>
      <c r="AY78" s="1234"/>
      <c r="AZ78" s="1235"/>
      <c r="BA78" s="1236"/>
      <c r="BB78" s="1234"/>
      <c r="BC78" s="1234"/>
      <c r="BD78" s="1237"/>
      <c r="BE78" s="1237"/>
    </row>
    <row r="79" spans="1:59" s="1231" customFormat="1" ht="11.65">
      <c r="A79" s="1378" t="s">
        <v>283</v>
      </c>
      <c r="B79" s="1379">
        <f>'Cash Flow'!B20</f>
        <v>1.1869999999999996</v>
      </c>
      <c r="C79" s="1380">
        <f>'Cash Flow'!C20</f>
        <v>-1.0189999999999997</v>
      </c>
      <c r="D79" s="1380">
        <f>'Cash Flow'!D20</f>
        <v>-0.98200000000000098</v>
      </c>
      <c r="E79" s="1381">
        <f>'Cash Flow'!E20</f>
        <v>-5.4519999999999973</v>
      </c>
      <c r="F79" s="1382">
        <f>'Cash Flow'!F20</f>
        <v>0.50399999999999967</v>
      </c>
      <c r="G79" s="1383">
        <f>'Cash Flow'!G20</f>
        <v>0.24199999999999522</v>
      </c>
      <c r="H79" s="1383">
        <f>'Cash Flow'!H20</f>
        <v>-1.7509999999999999</v>
      </c>
      <c r="I79" s="1384">
        <f>'Cash Flow'!I20</f>
        <v>-1.554000000000014</v>
      </c>
      <c r="J79" s="1382">
        <f>'Cash Flow'!J20</f>
        <v>-0.87400000000000211</v>
      </c>
      <c r="K79" s="1383">
        <f>'Cash Flow'!K20</f>
        <v>-2.1229999999999984</v>
      </c>
      <c r="L79" s="1383">
        <f>'Cash Flow'!L20</f>
        <v>-4.6749999999999998</v>
      </c>
      <c r="M79" s="1384">
        <f>'Cash Flow'!M20</f>
        <v>-3.0720000000000005</v>
      </c>
      <c r="N79" s="1383">
        <f>'Cash Flow'!N20</f>
        <v>4.4920000000000027</v>
      </c>
      <c r="O79" s="1383">
        <f>'Cash Flow'!O20</f>
        <v>16.999000000000002</v>
      </c>
      <c r="P79" s="1383">
        <f>'Cash Flow'!P20</f>
        <v>24.806999999999992</v>
      </c>
      <c r="Q79" s="1384">
        <f>'Cash Flow'!Q20</f>
        <v>17.934000000000005</v>
      </c>
      <c r="R79" s="1382">
        <f>'Cash Flow'!R20</f>
        <v>38.624999999999993</v>
      </c>
      <c r="S79" s="1383">
        <f>'Cash Flow'!S20</f>
        <v>16.535</v>
      </c>
      <c r="T79" s="1383">
        <f>'Cash Flow'!T20</f>
        <v>19.632999999999999</v>
      </c>
      <c r="U79" s="1384">
        <f>'Cash Flow'!U20</f>
        <v>21.972000000000008</v>
      </c>
      <c r="V79" s="1383">
        <f>'Cash Flow'!V20</f>
        <v>32.862000000000002</v>
      </c>
      <c r="W79" s="1383">
        <f>'Cash Flow'!W20</f>
        <v>30.518000000000001</v>
      </c>
      <c r="X79" s="1383">
        <f>'Cash Flow'!X20</f>
        <v>35.853000000000002</v>
      </c>
      <c r="Y79" s="1384">
        <f>'Cash Flow'!Y20</f>
        <v>31.918000000000035</v>
      </c>
      <c r="Z79" s="1382">
        <f>'Cash Flow'!Z20</f>
        <v>38.745999999999995</v>
      </c>
      <c r="AA79" s="1383">
        <f>'Cash Flow'!AA20</f>
        <v>30.193000000000012</v>
      </c>
      <c r="AB79" s="1383">
        <f>'Cash Flow'!AB20</f>
        <v>42.410999999999994</v>
      </c>
      <c r="AC79" s="1384">
        <f>'Cash Flow'!AC20</f>
        <v>38.504999999999988</v>
      </c>
      <c r="AD79" s="1382">
        <f>'Cash Flow'!AD20</f>
        <v>50.325999999999986</v>
      </c>
      <c r="AE79" s="1383">
        <f>'Cash Flow'!AE20</f>
        <v>31.424000000000007</v>
      </c>
      <c r="AF79" s="1383">
        <f>'Cash Flow'!AF20</f>
        <v>54.606999999999999</v>
      </c>
      <c r="AG79" s="1383">
        <f>'Cash Flow'!AG20</f>
        <v>81.119</v>
      </c>
      <c r="AH79" s="1382">
        <f>'Cash Flow'!AH20</f>
        <v>87.407000000000025</v>
      </c>
      <c r="AI79" s="1383">
        <f>'Cash Flow'!AI20</f>
        <v>42.463000000000001</v>
      </c>
      <c r="AJ79" s="1383">
        <f>'Cash Flow'!AJ20</f>
        <v>53.833800000000004</v>
      </c>
      <c r="AK79" s="1383">
        <f>'Cash Flow'!AK20</f>
        <v>83.046199999999985</v>
      </c>
      <c r="AL79" s="1382">
        <f>'Cash Flow'!AL20</f>
        <v>81.959482157676689</v>
      </c>
      <c r="AM79" s="1383">
        <f>'Cash Flow'!AM20</f>
        <v>47.565617108467912</v>
      </c>
      <c r="AN79" s="1383">
        <f>'Cash Flow'!AN20</f>
        <v>56.010614638379593</v>
      </c>
      <c r="AO79" s="1384">
        <f>'Cash Flow'!AO20</f>
        <v>97.91504606255765</v>
      </c>
      <c r="AP79" s="1382">
        <f>'Cash Flow'!AP20</f>
        <v>86.803342926682305</v>
      </c>
      <c r="AQ79" s="1383">
        <f>'Cash Flow'!AQ20</f>
        <v>54.075002851342184</v>
      </c>
      <c r="AR79" s="1383">
        <f>'Cash Flow'!AR20</f>
        <v>62.862611142704722</v>
      </c>
      <c r="AS79" s="1384">
        <f>'Cash Flow'!AS20</f>
        <v>107.8588895848294</v>
      </c>
      <c r="AT79" s="1385"/>
      <c r="AU79" s="1384">
        <f>'Cash Flow'!AU20</f>
        <v>-6.2659999999999982</v>
      </c>
      <c r="AV79" s="1386">
        <f>'Cash Flow'!AV20</f>
        <v>-2.5590000000000188</v>
      </c>
      <c r="AW79" s="1386">
        <f>'Cash Flow'!AW20</f>
        <v>-10.744000000000002</v>
      </c>
      <c r="AX79" s="1384">
        <f>'Cash Flow'!AX20</f>
        <v>64.231999999999999</v>
      </c>
      <c r="AY79" s="1383">
        <f>'Cash Flow'!AY20</f>
        <v>96.765000000000001</v>
      </c>
      <c r="AZ79" s="1382">
        <f>'Cash Flow'!AZ20</f>
        <v>131.15100000000004</v>
      </c>
      <c r="BA79" s="1382">
        <f>'Cash Flow'!BA20</f>
        <v>149.85499999999999</v>
      </c>
      <c r="BB79" s="1382">
        <f>'Cash Flow'!BB20</f>
        <v>217.476</v>
      </c>
      <c r="BC79" s="1382">
        <f>'Cash Flow'!BC20</f>
        <v>266.75</v>
      </c>
      <c r="BD79" s="1386">
        <f>'Cash Flow'!BD20</f>
        <v>283.45075996708181</v>
      </c>
      <c r="BE79" s="1386">
        <f>'Cash Flow'!BE20</f>
        <v>311.59984650555862</v>
      </c>
    </row>
    <row r="80" spans="1:59" s="189" customFormat="1" ht="11.65">
      <c r="A80" s="1387" t="s">
        <v>284</v>
      </c>
      <c r="B80" s="1388" t="e">
        <f>'Cash Flow'!#REF!</f>
        <v>#REF!</v>
      </c>
      <c r="C80" s="1389" t="e">
        <f>'Cash Flow'!#REF!</f>
        <v>#REF!</v>
      </c>
      <c r="D80" s="1389" t="e">
        <f>'Cash Flow'!#REF!</f>
        <v>#REF!</v>
      </c>
      <c r="E80" s="1390" t="e">
        <f>'Cash Flow'!#REF!</f>
        <v>#REF!</v>
      </c>
      <c r="F80" s="1391" t="e">
        <f>'Cash Flow'!#REF!</f>
        <v>#REF!</v>
      </c>
      <c r="G80" s="1392" t="e">
        <f>'Cash Flow'!#REF!</f>
        <v>#REF!</v>
      </c>
      <c r="H80" s="1392" t="e">
        <f>'Cash Flow'!#REF!</f>
        <v>#REF!</v>
      </c>
      <c r="I80" s="1393" t="e">
        <f>'Cash Flow'!#REF!</f>
        <v>#REF!</v>
      </c>
      <c r="J80" s="1391" t="e">
        <f>'Cash Flow'!#REF!</f>
        <v>#REF!</v>
      </c>
      <c r="K80" s="1392" t="e">
        <f>'Cash Flow'!#REF!</f>
        <v>#REF!</v>
      </c>
      <c r="L80" s="1392" t="e">
        <f>'Cash Flow'!#REF!</f>
        <v>#REF!</v>
      </c>
      <c r="M80" s="1393" t="e">
        <f>'Cash Flow'!#REF!</f>
        <v>#REF!</v>
      </c>
      <c r="N80" s="1392" t="e">
        <f>'Cash Flow'!#REF!</f>
        <v>#REF!</v>
      </c>
      <c r="O80" s="1392" t="e">
        <f>'Cash Flow'!#REF!</f>
        <v>#REF!</v>
      </c>
      <c r="P80" s="1392" t="e">
        <f>'Cash Flow'!#REF!</f>
        <v>#REF!</v>
      </c>
      <c r="Q80" s="1393" t="e">
        <f>'Cash Flow'!#REF!</f>
        <v>#REF!</v>
      </c>
      <c r="R80" s="1391">
        <f>'Cash Flow'!R50</f>
        <v>37.634999999999991</v>
      </c>
      <c r="S80" s="1392">
        <f>'Cash Flow'!S50</f>
        <v>15.08</v>
      </c>
      <c r="T80" s="1392">
        <f>'Cash Flow'!T50</f>
        <v>20.073</v>
      </c>
      <c r="U80" s="1392">
        <f>'Cash Flow'!U50</f>
        <v>22.394000000000005</v>
      </c>
      <c r="V80" s="1391">
        <f>'Cash Flow'!V50</f>
        <v>32.102000000000004</v>
      </c>
      <c r="W80" s="1392">
        <f>'Cash Flow'!W50</f>
        <v>29.081</v>
      </c>
      <c r="X80" s="1392">
        <f>'Cash Flow'!X50</f>
        <v>34.759</v>
      </c>
      <c r="Y80" s="1392">
        <f>'Cash Flow'!Y50</f>
        <v>32.108000000000033</v>
      </c>
      <c r="Z80" s="1391">
        <f>'Cash Flow'!Z50</f>
        <v>44.155999999999992</v>
      </c>
      <c r="AA80" s="1392">
        <f>'Cash Flow'!AA50</f>
        <v>39.815000000000012</v>
      </c>
      <c r="AB80" s="1392">
        <f>'Cash Flow'!AB50</f>
        <v>48.315999999999995</v>
      </c>
      <c r="AC80" s="1392">
        <f>'Cash Flow'!AC50</f>
        <v>43.454999999999991</v>
      </c>
      <c r="AD80" s="1391">
        <f>'Cash Flow'!AD50</f>
        <v>54.739999999999988</v>
      </c>
      <c r="AE80" s="1392">
        <f>'Cash Flow'!AE50</f>
        <v>36.424000000000007</v>
      </c>
      <c r="AF80" s="1392">
        <f>'Cash Flow'!AF50</f>
        <v>60.766000000000005</v>
      </c>
      <c r="AG80" s="1392">
        <f>'Cash Flow'!AG50</f>
        <v>86.48</v>
      </c>
      <c r="AH80" s="1391">
        <f>'Cash Flow'!AH50</f>
        <v>86.80400000000003</v>
      </c>
      <c r="AI80" s="1392">
        <f>'Cash Flow'!AI50</f>
        <v>44.110000000000007</v>
      </c>
      <c r="AJ80" s="1392">
        <f>'Cash Flow'!AJ50</f>
        <v>58.467800000000004</v>
      </c>
      <c r="AK80" s="1392">
        <f>'Cash Flow'!AK50</f>
        <v>87.468199999999982</v>
      </c>
      <c r="AL80" s="1391">
        <f>'Cash Flow'!AL50</f>
        <v>79.732482157676699</v>
      </c>
      <c r="AM80" s="1392">
        <f>'Cash Flow'!AM50</f>
        <v>47.613617108467906</v>
      </c>
      <c r="AN80" s="1392">
        <f>'Cash Flow'!AN50</f>
        <v>59.60961463837959</v>
      </c>
      <c r="AO80" s="1392">
        <f>'Cash Flow'!AO50</f>
        <v>102.11704606255765</v>
      </c>
      <c r="AP80" s="1391">
        <f>'Cash Flow'!AP50</f>
        <v>84.356342926682302</v>
      </c>
      <c r="AQ80" s="1392">
        <f>'Cash Flow'!AQ50</f>
        <v>53.903002851342187</v>
      </c>
      <c r="AR80" s="1392">
        <f>'Cash Flow'!AR50</f>
        <v>66.241611142704727</v>
      </c>
      <c r="AS80" s="1392">
        <f>'Cash Flow'!AS50</f>
        <v>111.8408895848294</v>
      </c>
      <c r="AT80" s="1394"/>
      <c r="AU80" s="1391">
        <f>'Cash Flow'!AU48</f>
        <v>-9.0209999999999972</v>
      </c>
      <c r="AV80" s="1391">
        <f>'Cash Flow'!AV48</f>
        <v>-8.2920000000000176</v>
      </c>
      <c r="AW80" s="1391">
        <f>'Cash Flow'!AW48</f>
        <v>-31.417999999999999</v>
      </c>
      <c r="AX80" s="1391">
        <f>'Cash Flow'!AX48</f>
        <v>43.954999999999998</v>
      </c>
      <c r="AY80" s="1391">
        <f>'Cash Flow'!AY50</f>
        <v>95.181999999999988</v>
      </c>
      <c r="AZ80" s="1391">
        <f>'Cash Flow'!AZ50</f>
        <v>128.05000000000004</v>
      </c>
      <c r="BA80" s="1391">
        <f>'Cash Flow'!BA50</f>
        <v>175.74199999999999</v>
      </c>
      <c r="BB80" s="1391">
        <f>'Cash Flow'!BB50</f>
        <v>238.41000000000003</v>
      </c>
      <c r="BC80" s="1391">
        <f>'Cash Flow'!BC50</f>
        <v>276.85000000000002</v>
      </c>
      <c r="BD80" s="1395">
        <f>'Cash Flow'!BD50</f>
        <v>289.07275996708188</v>
      </c>
      <c r="BE80" s="1395">
        <f>'Cash Flow'!BE50</f>
        <v>316.34184650555858</v>
      </c>
      <c r="BF80" s="1231"/>
      <c r="BG80" s="1231"/>
    </row>
    <row r="81" spans="1:59" s="1231" customFormat="1" ht="11.65" hidden="1" outlineLevel="1">
      <c r="A81" s="1396" t="s">
        <v>285</v>
      </c>
      <c r="B81" s="1397"/>
      <c r="C81" s="1398"/>
      <c r="D81" s="1398"/>
      <c r="E81" s="1399"/>
      <c r="F81" s="1400"/>
      <c r="G81" s="1401"/>
      <c r="H81" s="1401"/>
      <c r="I81" s="1402"/>
      <c r="J81" s="1403" t="e">
        <f>'Cash Flow'!#REF!</f>
        <v>#REF!</v>
      </c>
      <c r="K81" s="1403" t="e">
        <f>'Cash Flow'!#REF!</f>
        <v>#REF!</v>
      </c>
      <c r="L81" s="1403" t="e">
        <f>'Cash Flow'!#REF!</f>
        <v>#REF!</v>
      </c>
      <c r="M81" s="1404" t="e">
        <f>'Cash Flow'!#REF!</f>
        <v>#REF!</v>
      </c>
      <c r="N81" s="1403" t="e">
        <f>'Cash Flow'!#REF!</f>
        <v>#REF!</v>
      </c>
      <c r="O81" s="1403" t="e">
        <f>'Cash Flow'!#REF!</f>
        <v>#REF!</v>
      </c>
      <c r="P81" s="1403" t="e">
        <f>'Cash Flow'!#REF!</f>
        <v>#REF!</v>
      </c>
      <c r="Q81" s="1404" t="e">
        <f>'Cash Flow'!#REF!</f>
        <v>#REF!</v>
      </c>
      <c r="R81" s="1405"/>
      <c r="S81" s="1403"/>
      <c r="T81" s="1403"/>
      <c r="U81" s="1404">
        <f>'Cash Flow'!U52</f>
        <v>13.964751610171598</v>
      </c>
      <c r="V81" s="1403">
        <f>'Cash Flow'!V52</f>
        <v>23.618509637394556</v>
      </c>
      <c r="W81" s="1403">
        <f>'Cash Flow'!W52</f>
        <v>13.377349703135881</v>
      </c>
      <c r="X81" s="1403">
        <f>'Cash Flow'!X52</f>
        <v>19.743008296548535</v>
      </c>
      <c r="Y81" s="1403">
        <f>'Cash Flow'!Y52</f>
        <v>22.26498399641099</v>
      </c>
      <c r="Z81" s="1405">
        <f>'Cash Flow'!Z52</f>
        <v>40.164960549175703</v>
      </c>
      <c r="AA81" s="1403">
        <f>'Cash Flow'!AA52</f>
        <v>28.457831417398335</v>
      </c>
      <c r="AB81" s="1403">
        <f>'Cash Flow'!AB52</f>
        <v>43.781652194960685</v>
      </c>
      <c r="AC81" s="1403">
        <f>'Cash Flow'!AC52</f>
        <v>33.295777999127537</v>
      </c>
      <c r="AD81" s="1405">
        <f>'Cash Flow'!AD52</f>
        <v>55.475784966331574</v>
      </c>
      <c r="AE81" s="1403">
        <f>'Cash Flow'!AE52</f>
        <v>36.010037059474648</v>
      </c>
      <c r="AF81" s="1403">
        <f>'Cash Flow'!AF52</f>
        <v>57.870840423847177</v>
      </c>
      <c r="AG81" s="1403">
        <f>'Cash Flow'!AG52</f>
        <v>78.94612680827025</v>
      </c>
      <c r="AH81" s="1405">
        <f>'Cash Flow'!AH52</f>
        <v>64.220954874427591</v>
      </c>
      <c r="AI81" s="1403">
        <f>'Cash Flow'!AI52</f>
        <v>40.779182681098774</v>
      </c>
      <c r="AJ81" s="1403">
        <f>'Cash Flow'!AJ52</f>
        <v>62.351258355393249</v>
      </c>
      <c r="AK81" s="1403">
        <f>'Cash Flow'!AK52</f>
        <v>81.042963239708882</v>
      </c>
      <c r="AL81" s="1405">
        <f>'Cash Flow'!AL52</f>
        <v>87.85975151344023</v>
      </c>
      <c r="AM81" s="1403">
        <f>'Cash Flow'!AM52</f>
        <v>46.841860139663936</v>
      </c>
      <c r="AN81" s="1403">
        <f>'Cash Flow'!AN52</f>
        <v>65.19158714864038</v>
      </c>
      <c r="AO81" s="1403">
        <f>'Cash Flow'!AO52</f>
        <v>91.181816048150168</v>
      </c>
      <c r="AP81" s="1405">
        <f>'Cash Flow'!AP52</f>
        <v>92.186185868666115</v>
      </c>
      <c r="AQ81" s="1403">
        <f>'Cash Flow'!AQ52</f>
        <v>61.852169810077683</v>
      </c>
      <c r="AR81" s="1403">
        <f>'Cash Flow'!AR52</f>
        <v>72.075503481157341</v>
      </c>
      <c r="AS81" s="1403">
        <f>'Cash Flow'!AS52</f>
        <v>101.43384967277534</v>
      </c>
      <c r="AT81" s="1406"/>
      <c r="AU81" s="1407"/>
      <c r="AV81" s="1408"/>
      <c r="AW81" s="1408"/>
      <c r="AX81" s="1407"/>
      <c r="AY81" s="1403">
        <f>'Cash Flow'!AY52</f>
        <v>84.987115246535552</v>
      </c>
      <c r="AZ81" s="1405">
        <f>'Cash Flow'!AZ52</f>
        <v>107.59352945095637</v>
      </c>
      <c r="BA81" s="1405">
        <f>'Cash Flow'!BA52</f>
        <v>139.36408569143532</v>
      </c>
      <c r="BB81" s="1409">
        <f>'Cash Flow'!BB52</f>
        <v>230.99967263741655</v>
      </c>
      <c r="BC81" s="1409">
        <f>'Cash Flow'!BC52</f>
        <v>270.64549875121099</v>
      </c>
      <c r="BD81" s="1409">
        <f>'Cash Flow'!BD52</f>
        <v>291.07501484989467</v>
      </c>
      <c r="BE81" s="1409">
        <f>'Cash Flow'!BE52</f>
        <v>327.54770883267645</v>
      </c>
    </row>
    <row r="82" spans="1:59" s="189" customFormat="1" ht="11.65" collapsed="1">
      <c r="A82" s="1387" t="s">
        <v>286</v>
      </c>
      <c r="B82" s="1410"/>
      <c r="C82" s="1411"/>
      <c r="D82" s="1411"/>
      <c r="E82" s="1412"/>
      <c r="F82" s="1413"/>
      <c r="G82" s="1414"/>
      <c r="H82" s="1414"/>
      <c r="I82" s="1415"/>
      <c r="J82" s="1416"/>
      <c r="K82" s="1416"/>
      <c r="L82" s="1416"/>
      <c r="M82" s="1417"/>
      <c r="N82" s="1416"/>
      <c r="O82" s="1416"/>
      <c r="P82" s="1416"/>
      <c r="Q82" s="1417"/>
      <c r="R82" s="1418">
        <f>'Cash Flow'!R53</f>
        <v>0.30550617344081038</v>
      </c>
      <c r="S82" s="1419">
        <f>'Cash Flow'!S53</f>
        <v>0.11576935182981597</v>
      </c>
      <c r="T82" s="1419">
        <f>'Cash Flow'!T53</f>
        <v>0.14475999538452664</v>
      </c>
      <c r="U82" s="1419">
        <f>'Cash Flow'!U53</f>
        <v>0.15027714772712025</v>
      </c>
      <c r="V82" s="1418">
        <f>'Cash Flow'!V53</f>
        <v>0.20143316098589431</v>
      </c>
      <c r="W82" s="1419">
        <f>'Cash Flow'!W53</f>
        <v>0.1769552333258286</v>
      </c>
      <c r="X82" s="1419">
        <f>'Cash Flow'!X53</f>
        <v>0.19879211442885658</v>
      </c>
      <c r="Y82" s="1419">
        <f>'Cash Flow'!Y53</f>
        <v>0.17390362398513809</v>
      </c>
      <c r="Z82" s="1418">
        <f>'Cash Flow'!Z53</f>
        <v>0.23382881714052703</v>
      </c>
      <c r="AA82" s="1419">
        <f>'Cash Flow'!AA53</f>
        <v>0.20414179946266336</v>
      </c>
      <c r="AB82" s="1419">
        <f>'Cash Flow'!AB53</f>
        <v>0.23974713316693874</v>
      </c>
      <c r="AC82" s="1419">
        <f>'Cash Flow'!AC53</f>
        <v>0.20372141430620797</v>
      </c>
      <c r="AD82" s="1418">
        <f>'Cash Flow'!AD53</f>
        <v>0.25347169164802902</v>
      </c>
      <c r="AE82" s="1419">
        <f>'Cash Flow'!AE53</f>
        <v>0.16463494560230701</v>
      </c>
      <c r="AF82" s="1419">
        <f>'Cash Flow'!AF53</f>
        <v>0.26758789544141481</v>
      </c>
      <c r="AG82" s="1419">
        <f>'Cash Flow'!AG53</f>
        <v>0.36685883485837673</v>
      </c>
      <c r="AH82" s="1418">
        <f>'Cash Flow'!AH53</f>
        <v>0.36298857976808285</v>
      </c>
      <c r="AI82" s="1419">
        <f>'Cash Flow'!AI53</f>
        <v>0.1783699629996563</v>
      </c>
      <c r="AJ82" s="1419">
        <f>'Cash Flow'!AJ53</f>
        <v>0.23161067976548885</v>
      </c>
      <c r="AK82" s="1419">
        <f>'Cash Flow'!AK53</f>
        <v>0.33572791162731774</v>
      </c>
      <c r="AL82" s="1418">
        <f>'Cash Flow'!AL53</f>
        <v>0.30836320356335284</v>
      </c>
      <c r="AM82" s="1419">
        <f>'Cash Flow'!AM53</f>
        <v>0.17931098298193845</v>
      </c>
      <c r="AN82" s="1419">
        <f>'Cash Flow'!AN53</f>
        <v>0.22180567259629977</v>
      </c>
      <c r="AO82" s="1419">
        <f>'Cash Flow'!AO53</f>
        <v>0.36813714068479259</v>
      </c>
      <c r="AP82" s="1418">
        <f>'Cash Flow'!AP53</f>
        <v>0.30607491642422219</v>
      </c>
      <c r="AQ82" s="1419">
        <f>'Cash Flow'!AQ53</f>
        <v>0.19045914959486851</v>
      </c>
      <c r="AR82" s="1419">
        <f>'Cash Flow'!AR53</f>
        <v>0.23129358725810198</v>
      </c>
      <c r="AS82" s="1419">
        <f>'Cash Flow'!AS53</f>
        <v>0.37836323606931876</v>
      </c>
      <c r="AT82" s="1420"/>
      <c r="AU82" s="1418">
        <f>'Cash Flow'!AU53</f>
        <v>0</v>
      </c>
      <c r="AV82" s="1418">
        <f>'Cash Flow'!AV53</f>
        <v>0</v>
      </c>
      <c r="AW82" s="1418">
        <f>'Cash Flow'!AW53</f>
        <v>0</v>
      </c>
      <c r="AX82" s="1418">
        <f>'Cash Flow'!AX53</f>
        <v>0</v>
      </c>
      <c r="AY82" s="1418">
        <f>'Cash Flow'!AY53</f>
        <v>0.17589488662613417</v>
      </c>
      <c r="AZ82" s="1418">
        <f>'Cash Flow'!AZ53</f>
        <v>0.18742928405087309</v>
      </c>
      <c r="BA82" s="1418">
        <f>'Cash Flow'!BA53</f>
        <v>0.22003230208711544</v>
      </c>
      <c r="BB82" s="1418">
        <f>'Cash Flow'!BB53</f>
        <v>0.26489381914422</v>
      </c>
      <c r="BC82" s="1418">
        <f>'Cash Flow'!BC53</f>
        <v>0.27701482382017301</v>
      </c>
      <c r="BD82" s="1421">
        <f>'Cash Flow'!BD53</f>
        <v>0.27010114079438763</v>
      </c>
      <c r="BE82" s="1421">
        <f>'Cash Flow'!BE53</f>
        <v>0.27734432633620754</v>
      </c>
      <c r="BF82" s="1231"/>
      <c r="BG82" s="1231"/>
    </row>
    <row r="83" spans="1:59" s="1253" customFormat="1" ht="11.65">
      <c r="A83" s="1422"/>
      <c r="B83" s="1423"/>
      <c r="C83" s="1424"/>
      <c r="D83" s="1424"/>
      <c r="E83" s="1425"/>
      <c r="F83" s="1426"/>
      <c r="G83" s="1427"/>
      <c r="H83" s="1427"/>
      <c r="I83" s="1428"/>
      <c r="J83" s="1426"/>
      <c r="K83" s="1427"/>
      <c r="L83" s="1427"/>
      <c r="M83" s="1428"/>
      <c r="N83" s="1426"/>
      <c r="O83" s="1427"/>
      <c r="P83" s="1427"/>
      <c r="Q83" s="1428"/>
      <c r="R83" s="1426"/>
      <c r="S83" s="1427"/>
      <c r="T83" s="1427"/>
      <c r="U83" s="1428"/>
      <c r="V83" s="1427"/>
      <c r="W83" s="1427"/>
      <c r="X83" s="1427"/>
      <c r="Y83" s="1428"/>
      <c r="Z83" s="1429"/>
      <c r="AA83" s="1430"/>
      <c r="AB83" s="1430"/>
      <c r="AC83" s="1430"/>
      <c r="AD83" s="1429"/>
      <c r="AE83" s="1430"/>
      <c r="AF83" s="1430"/>
      <c r="AG83" s="1430"/>
      <c r="AH83" s="1429"/>
      <c r="AI83" s="1430"/>
      <c r="AJ83" s="1430"/>
      <c r="AK83" s="1430"/>
      <c r="AL83" s="1429"/>
      <c r="AM83" s="1430"/>
      <c r="AN83" s="1430"/>
      <c r="AO83" s="1430"/>
      <c r="AP83" s="1429"/>
      <c r="AQ83" s="1430"/>
      <c r="AR83" s="1430"/>
      <c r="AS83" s="1430"/>
      <c r="AT83" s="1431"/>
      <c r="AU83" s="1258"/>
      <c r="AV83" s="1234"/>
      <c r="AW83" s="1234"/>
      <c r="AX83" s="1237"/>
      <c r="AY83" s="1258"/>
      <c r="AZ83" s="1235"/>
      <c r="BA83" s="1236"/>
      <c r="BB83" s="1432"/>
      <c r="BC83" s="1432"/>
      <c r="BD83" s="1433"/>
      <c r="BE83" s="1433"/>
      <c r="BF83" s="1231"/>
      <c r="BG83" s="1231"/>
    </row>
    <row r="84" spans="1:59" s="189" customFormat="1" ht="12.95" customHeight="1">
      <c r="A84" s="557" t="s">
        <v>287</v>
      </c>
      <c r="B84" s="1246">
        <f>'Revenue Build'!B34</f>
        <v>0</v>
      </c>
      <c r="C84" s="189">
        <f>'Revenue Build'!C34</f>
        <v>0</v>
      </c>
      <c r="D84" s="189">
        <f>'Revenue Build'!D34</f>
        <v>0</v>
      </c>
      <c r="E84" s="1245">
        <f>'Revenue Build'!E34</f>
        <v>0</v>
      </c>
      <c r="F84" s="1246">
        <f>'Revenue Build'!F34</f>
        <v>63.902999999999992</v>
      </c>
      <c r="G84" s="189">
        <f>'Revenue Build'!G34</f>
        <v>80.115000000000023</v>
      </c>
      <c r="H84" s="189">
        <f>'Revenue Build'!H34</f>
        <v>88.000999999999976</v>
      </c>
      <c r="I84" s="1245">
        <f>'Revenue Build'!I34</f>
        <v>99.426000000000045</v>
      </c>
      <c r="J84" s="1246">
        <f>'Revenue Build'!J34</f>
        <v>82.303000000000011</v>
      </c>
      <c r="K84" s="189">
        <f>'Revenue Build'!K34</f>
        <v>100.81199999999994</v>
      </c>
      <c r="L84" s="189">
        <f>'Revenue Build'!L34</f>
        <v>113.89400000000003</v>
      </c>
      <c r="M84" s="1245">
        <f>'Revenue Build'!M34</f>
        <v>130.80099999999999</v>
      </c>
      <c r="N84" s="1246">
        <f>'Revenue Build'!N34</f>
        <v>97.611999999999995</v>
      </c>
      <c r="O84" s="189">
        <f>'Revenue Build'!O34</f>
        <v>114.42699999999996</v>
      </c>
      <c r="P84" s="189">
        <f>'Revenue Build'!P34</f>
        <v>137.17500000000004</v>
      </c>
      <c r="Q84" s="1245">
        <f>'Revenue Build'!Q34</f>
        <v>162.38999999999999</v>
      </c>
      <c r="R84" s="1246">
        <f>'Revenue Build'!R34</f>
        <v>117.54099999999998</v>
      </c>
      <c r="S84" s="189">
        <f>'Revenue Build'!S34</f>
        <v>146.27100000000007</v>
      </c>
      <c r="T84" s="189">
        <f>'Revenue Build'!T34</f>
        <v>170.74699999999996</v>
      </c>
      <c r="U84" s="1273">
        <f>'Revenue Build'!U34</f>
        <v>202.946</v>
      </c>
      <c r="V84" s="184">
        <f>'Revenue Build'!V34</f>
        <v>155.99100000000004</v>
      </c>
      <c r="W84" s="184">
        <f>'Revenue Build'!W34</f>
        <v>184.88799999999992</v>
      </c>
      <c r="X84" s="184">
        <f>'Revenue Build'!X34</f>
        <v>220.50800000000004</v>
      </c>
      <c r="Y84" s="1273">
        <f>'Revenue Build'!Y34</f>
        <v>255.52099999999999</v>
      </c>
      <c r="Z84" s="1274">
        <f>'Revenue Build'!Z34</f>
        <v>166.30500000000004</v>
      </c>
      <c r="AA84" s="184">
        <f>'Revenue Build'!AA34</f>
        <v>203.16199999999998</v>
      </c>
      <c r="AB84" s="184">
        <f>'Revenue Build'!AB34</f>
        <v>232.79300000000001</v>
      </c>
      <c r="AC84" s="1273">
        <f>'Revenue Build'!AC34</f>
        <v>282.34499999999997</v>
      </c>
      <c r="AD84" s="1274">
        <f>'Revenue Build'!AD34</f>
        <v>188.17200000000011</v>
      </c>
      <c r="AE84" s="184">
        <f>'Revenue Build'!AE34</f>
        <v>224.33099999999993</v>
      </c>
      <c r="AF84" s="184">
        <f>'Revenue Build'!AF34</f>
        <v>248.74199999999999</v>
      </c>
      <c r="AG84" s="1273">
        <f>'Revenue Build'!AG34</f>
        <v>321.46599999999989</v>
      </c>
      <c r="AH84" s="1274">
        <f>'Revenue Build'!AH34</f>
        <v>214.3250000000001</v>
      </c>
      <c r="AI84" s="184">
        <f>'Revenue Build'!AI34</f>
        <v>236.72899999999998</v>
      </c>
      <c r="AJ84" s="184">
        <f>'Revenue Build'!AJ34</f>
        <v>265.13400000000007</v>
      </c>
      <c r="AK84" s="1273">
        <f>'Revenue Build'!AK34</f>
        <v>349.30599999999993</v>
      </c>
      <c r="AL84" s="1274">
        <f>'Revenue Build'!AL34</f>
        <v>231.73881998655597</v>
      </c>
      <c r="AM84" s="184">
        <f>'Revenue Build'!AM34</f>
        <v>254.19114172957399</v>
      </c>
      <c r="AN84" s="184">
        <f>'Revenue Build'!AN34</f>
        <v>282.26102727915548</v>
      </c>
      <c r="AO84" s="1273">
        <f>'Revenue Build'!AO34</f>
        <v>371.90491151447213</v>
      </c>
      <c r="AP84" s="1274">
        <f>'Revenue Build'!AP34</f>
        <v>247.01086686287627</v>
      </c>
      <c r="AQ84" s="184">
        <f>'Revenue Build'!AQ34</f>
        <v>270.92385516010688</v>
      </c>
      <c r="AR84" s="184">
        <f>'Revenue Build'!AR34</f>
        <v>300.7977251384504</v>
      </c>
      <c r="AS84" s="1273">
        <f>'Revenue Build'!AS34</f>
        <v>396.30995968927903</v>
      </c>
      <c r="AT84" s="1245"/>
      <c r="AU84" s="1258"/>
      <c r="AV84" s="1234"/>
      <c r="AW84" s="1234"/>
      <c r="AX84" s="1237"/>
      <c r="AY84" s="1258"/>
      <c r="AZ84" s="1235"/>
      <c r="BA84" s="1236"/>
      <c r="BB84" s="1234"/>
      <c r="BC84" s="1234"/>
      <c r="BD84" s="1237"/>
      <c r="BE84" s="1237"/>
    </row>
    <row r="85" spans="1:59" s="1231" customFormat="1" ht="12.95" customHeight="1">
      <c r="A85" s="490" t="s">
        <v>288</v>
      </c>
      <c r="B85" s="1233">
        <f>'Revenue Build'!B33</f>
        <v>0</v>
      </c>
      <c r="C85" s="1231">
        <f>'Revenue Build'!C33</f>
        <v>0</v>
      </c>
      <c r="D85" s="1231">
        <f>'Revenue Build'!D33</f>
        <v>0</v>
      </c>
      <c r="E85" s="1232">
        <f>'Revenue Build'!E33</f>
        <v>118.37099999999998</v>
      </c>
      <c r="F85" s="1233">
        <f>'Revenue Build'!F33</f>
        <v>4.7959999999999923</v>
      </c>
      <c r="G85" s="1231">
        <f>'Revenue Build'!G33</f>
        <v>16.523000000000025</v>
      </c>
      <c r="H85" s="1231">
        <f>'Revenue Build'!H33</f>
        <v>18.560999999999979</v>
      </c>
      <c r="I85" s="1232">
        <f>'Revenue Build'!I33</f>
        <v>24.205000000000041</v>
      </c>
      <c r="J85" s="1233">
        <f>'Revenue Build'!J33</f>
        <v>2.0020000000000095</v>
      </c>
      <c r="K85" s="1231">
        <f>'Revenue Build'!K33</f>
        <v>15.42799999999994</v>
      </c>
      <c r="L85" s="1231">
        <f>'Revenue Build'!L33</f>
        <v>22.04200000000003</v>
      </c>
      <c r="M85" s="1232">
        <f>'Revenue Build'!M33</f>
        <v>33.75200000000001</v>
      </c>
      <c r="N85" s="1233">
        <f>'Revenue Build'!N33</f>
        <v>-5.0360000000000014</v>
      </c>
      <c r="O85" s="1231">
        <f>'Revenue Build'!O33</f>
        <v>7.2179999999999609</v>
      </c>
      <c r="P85" s="1231">
        <f>'Revenue Build'!P33</f>
        <v>24.893000000000029</v>
      </c>
      <c r="Q85" s="1232">
        <f>'Revenue Build'!Q33</f>
        <v>44.307999999999993</v>
      </c>
      <c r="R85" s="1233">
        <f>'Revenue Build'!R33</f>
        <v>-5.6480000000000246</v>
      </c>
      <c r="S85" s="1231">
        <f>'Revenue Build'!S33</f>
        <v>16.012000000000057</v>
      </c>
      <c r="T85" s="1231">
        <f>'Revenue Build'!T33</f>
        <v>32.08299999999997</v>
      </c>
      <c r="U85" s="1254">
        <f>'Revenue Build'!U33</f>
        <v>53.927999999999997</v>
      </c>
      <c r="V85" s="1253">
        <f>'Revenue Build'!V33</f>
        <v>-3.3769999999999527</v>
      </c>
      <c r="W85" s="1253">
        <f>'Revenue Build'!W33</f>
        <v>20.546999999999912</v>
      </c>
      <c r="X85" s="1253">
        <f>'Revenue Build'!X33</f>
        <v>45.657000000000039</v>
      </c>
      <c r="Y85" s="1254">
        <f>'Revenue Build'!Y33</f>
        <v>70.889999999999986</v>
      </c>
      <c r="Z85" s="1255">
        <f>'Revenue Build'!Z33</f>
        <v>-22.533999999999992</v>
      </c>
      <c r="AA85" s="1253">
        <f>'Revenue Build'!AA33</f>
        <v>8.1259999999999764</v>
      </c>
      <c r="AB85" s="1253">
        <f>'Revenue Build'!AB33</f>
        <v>31.26400000000001</v>
      </c>
      <c r="AC85" s="1254">
        <f>'Revenue Build'!AC33</f>
        <v>69.038999999999987</v>
      </c>
      <c r="AD85" s="1255">
        <f>'Revenue Build'!AD33</f>
        <v>-27.788999999999874</v>
      </c>
      <c r="AE85" s="1253">
        <f>'Revenue Build'!AE33</f>
        <v>3.0899999999999181</v>
      </c>
      <c r="AF85" s="1253">
        <f>'Revenue Build'!AF33</f>
        <v>21.653999999999996</v>
      </c>
      <c r="AG85" s="1254">
        <f>'Revenue Build'!AG33</f>
        <v>85.7349999999999</v>
      </c>
      <c r="AH85" s="1255">
        <f>'Revenue Build'!AH33</f>
        <v>-24.811999999999898</v>
      </c>
      <c r="AI85" s="1253">
        <f>'Revenue Build'!AI33</f>
        <v>-10.566000000000031</v>
      </c>
      <c r="AJ85" s="1253">
        <f>'Revenue Build'!AJ33</f>
        <v>12.694000000000074</v>
      </c>
      <c r="AK85" s="1254">
        <f>'Revenue Build'!AK33</f>
        <v>88.772999999999911</v>
      </c>
      <c r="AL85" s="1255">
        <f>'Revenue Build'!AL33</f>
        <v>-26.827965013444071</v>
      </c>
      <c r="AM85" s="1253">
        <f>'Revenue Build'!AM33</f>
        <v>-11.34539327042603</v>
      </c>
      <c r="AN85" s="1253">
        <f>'Revenue Build'!AN33</f>
        <v>13.514002279155477</v>
      </c>
      <c r="AO85" s="1254">
        <f>'Revenue Build'!AO33</f>
        <v>94.516311514472136</v>
      </c>
      <c r="AP85" s="1255">
        <f>'Revenue Build'!AP33</f>
        <v>-28.595981003623734</v>
      </c>
      <c r="AQ85" s="1253">
        <f>'Revenue Build'!AQ33</f>
        <v>-12.092229737893092</v>
      </c>
      <c r="AR85" s="1253">
        <f>'Revenue Build'!AR33</f>
        <v>14.401496310950336</v>
      </c>
      <c r="AS85" s="1254">
        <f>'Revenue Build'!AS33</f>
        <v>100.71863652927897</v>
      </c>
      <c r="AT85" s="1232"/>
      <c r="AU85" s="1258"/>
      <c r="AV85" s="1234"/>
      <c r="AW85" s="1234"/>
      <c r="AX85" s="1234"/>
      <c r="AY85" s="1234"/>
      <c r="AZ85" s="1235"/>
      <c r="BA85" s="1236"/>
      <c r="BB85" s="1234"/>
      <c r="BC85" s="1234"/>
      <c r="BD85" s="1237"/>
      <c r="BE85" s="1237"/>
    </row>
    <row r="86" spans="1:59" s="1231" customFormat="1" ht="12.95" customHeight="1">
      <c r="A86" s="490" t="s">
        <v>289</v>
      </c>
      <c r="B86" s="1233">
        <f>'Revenue Build'!B32</f>
        <v>0</v>
      </c>
      <c r="C86" s="1231">
        <f>'Revenue Build'!C32</f>
        <v>0</v>
      </c>
      <c r="D86" s="1231">
        <f>'Revenue Build'!D32</f>
        <v>0</v>
      </c>
      <c r="E86" s="1232">
        <f>'Revenue Build'!E32</f>
        <v>225.81799999999998</v>
      </c>
      <c r="F86" s="1233">
        <f>'Revenue Build'!F32</f>
        <v>230.61399999999998</v>
      </c>
      <c r="G86" s="1231">
        <f>'Revenue Build'!G32</f>
        <v>247.137</v>
      </c>
      <c r="H86" s="1231">
        <f>'Revenue Build'!H32</f>
        <v>265.69799999999998</v>
      </c>
      <c r="I86" s="1232">
        <f>'Revenue Build'!I32</f>
        <v>289.90300000000002</v>
      </c>
      <c r="J86" s="1233">
        <f>'Revenue Build'!J32</f>
        <v>291.90500000000003</v>
      </c>
      <c r="K86" s="1231">
        <f>'Revenue Build'!K32</f>
        <v>307.33299999999997</v>
      </c>
      <c r="L86" s="1231">
        <f>'Revenue Build'!L32</f>
        <v>329.375</v>
      </c>
      <c r="M86" s="1232">
        <f>'Revenue Build'!M32</f>
        <v>363.12700000000001</v>
      </c>
      <c r="N86" s="1233">
        <f>'Revenue Build'!N32</f>
        <v>358.09100000000001</v>
      </c>
      <c r="O86" s="1231">
        <f>'Revenue Build'!O32</f>
        <v>365.30899999999997</v>
      </c>
      <c r="P86" s="1231">
        <f>'Revenue Build'!P32</f>
        <v>390.202</v>
      </c>
      <c r="Q86" s="1232">
        <f>'Revenue Build'!Q32</f>
        <v>434.51</v>
      </c>
      <c r="R86" s="1233">
        <f>'Revenue Build'!R32</f>
        <v>428.86199999999997</v>
      </c>
      <c r="S86" s="1231">
        <f>'Revenue Build'!S32</f>
        <v>444.87400000000002</v>
      </c>
      <c r="T86" s="1231">
        <f>'Revenue Build'!T32</f>
        <v>476.95699999999999</v>
      </c>
      <c r="U86" s="1254">
        <f>'Revenue Build'!U32</f>
        <v>530.88499999999999</v>
      </c>
      <c r="V86" s="1253">
        <f>'Revenue Build'!V32</f>
        <v>527.50800000000004</v>
      </c>
      <c r="W86" s="1253">
        <f>'Revenue Build'!W32</f>
        <v>548.05499999999995</v>
      </c>
      <c r="X86" s="1253">
        <f>'Revenue Build'!X32</f>
        <v>593.71199999999999</v>
      </c>
      <c r="Y86" s="1254">
        <f>'Revenue Build'!Y32</f>
        <v>664.60199999999998</v>
      </c>
      <c r="Z86" s="1255">
        <f>'Revenue Build'!Z32</f>
        <v>642.06799999999998</v>
      </c>
      <c r="AA86" s="1253">
        <f>'Revenue Build'!AA32</f>
        <v>650.19399999999996</v>
      </c>
      <c r="AB86" s="1253">
        <f>'Revenue Build'!AB32</f>
        <v>681.45799999999997</v>
      </c>
      <c r="AC86" s="1254">
        <f>'Revenue Build'!AC32</f>
        <v>750.49699999999996</v>
      </c>
      <c r="AD86" s="1255">
        <f>'Revenue Build'!AD32</f>
        <v>722.70800000000008</v>
      </c>
      <c r="AE86" s="1253">
        <f>'Revenue Build'!AE32</f>
        <v>725.798</v>
      </c>
      <c r="AF86" s="1253">
        <f>'Revenue Build'!AF32</f>
        <v>747.452</v>
      </c>
      <c r="AG86" s="1253">
        <f>'Revenue Build'!AG32</f>
        <v>833.1869999999999</v>
      </c>
      <c r="AH86" s="1255">
        <f>'Revenue Build'!AH32</f>
        <v>808.375</v>
      </c>
      <c r="AI86" s="1253">
        <f>'Revenue Build'!AI32</f>
        <v>797.80899999999997</v>
      </c>
      <c r="AJ86" s="1253">
        <f>'Revenue Build'!AJ32</f>
        <v>810.50300000000004</v>
      </c>
      <c r="AK86" s="1253">
        <f>'Revenue Build'!AK32</f>
        <v>899.27599999999995</v>
      </c>
      <c r="AL86" s="1255">
        <f>'Revenue Build'!AL32</f>
        <v>872.44803498655585</v>
      </c>
      <c r="AM86" s="1253">
        <f>'Revenue Build'!AM32</f>
        <v>861.10264171612982</v>
      </c>
      <c r="AN86" s="1253">
        <f>'Revenue Build'!AN32</f>
        <v>874.61664399528536</v>
      </c>
      <c r="AO86" s="1254">
        <f>'Revenue Build'!AO32</f>
        <v>969.13295550975749</v>
      </c>
      <c r="AP86" s="1255">
        <f>'Revenue Build'!AP32</f>
        <v>940.53697450613379</v>
      </c>
      <c r="AQ86" s="1253">
        <f>'Revenue Build'!AQ32</f>
        <v>928.44474476824075</v>
      </c>
      <c r="AR86" s="1253">
        <f>'Revenue Build'!AR32</f>
        <v>942.84624107919103</v>
      </c>
      <c r="AS86" s="1254">
        <f>'Revenue Build'!AS32</f>
        <v>1043.5648776084699</v>
      </c>
      <c r="AU86" s="1234"/>
      <c r="AV86" s="1234"/>
      <c r="AW86" s="1234"/>
      <c r="AX86" s="1234"/>
      <c r="AY86" s="1234"/>
      <c r="AZ86" s="1235"/>
      <c r="BA86" s="1236"/>
      <c r="BB86" s="1234"/>
      <c r="BC86" s="1234"/>
      <c r="BD86" s="1237"/>
      <c r="BE86" s="1237"/>
    </row>
    <row r="87" spans="1:59" s="1231" customFormat="1" ht="12.95" customHeight="1">
      <c r="A87" s="1356"/>
      <c r="B87" s="1233"/>
      <c r="E87" s="1232"/>
      <c r="F87" s="1233"/>
      <c r="I87" s="1232"/>
      <c r="J87" s="1233"/>
      <c r="M87" s="1232"/>
      <c r="N87" s="1233"/>
      <c r="Q87" s="1232"/>
      <c r="R87" s="1233"/>
      <c r="U87" s="1232"/>
      <c r="Y87" s="1232"/>
      <c r="Z87" s="1233"/>
      <c r="AC87" s="1232"/>
      <c r="AD87" s="1233"/>
      <c r="AH87" s="1233"/>
      <c r="AL87" s="1233"/>
      <c r="AO87" s="1232"/>
      <c r="AP87" s="1233"/>
      <c r="AS87" s="1232"/>
      <c r="AU87" s="1234"/>
      <c r="AV87" s="1234"/>
      <c r="AW87" s="1234"/>
      <c r="AX87" s="1234"/>
      <c r="AY87" s="1234"/>
      <c r="AZ87" s="1235"/>
      <c r="BA87" s="1236"/>
      <c r="BB87" s="1234"/>
      <c r="BC87" s="1234"/>
      <c r="BD87" s="1237"/>
      <c r="BE87" s="1237"/>
    </row>
    <row r="88" spans="1:59" s="1231" customFormat="1" ht="12.95" customHeight="1">
      <c r="A88" s="1356" t="s">
        <v>290</v>
      </c>
      <c r="B88" s="1367"/>
      <c r="C88" s="1368"/>
      <c r="D88" s="1368"/>
      <c r="E88" s="1369">
        <f t="shared" ref="E88:AK88" si="129">E25/E86</f>
        <v>0.68594177612059271</v>
      </c>
      <c r="F88" s="1367">
        <f t="shared" si="129"/>
        <v>0.69598116332919946</v>
      </c>
      <c r="G88" s="1368">
        <f t="shared" si="129"/>
        <v>0.70518376447071862</v>
      </c>
      <c r="H88" s="1368">
        <f t="shared" si="129"/>
        <v>0.72103666568811209</v>
      </c>
      <c r="I88" s="1369">
        <f t="shared" si="129"/>
        <v>0.73694994532654023</v>
      </c>
      <c r="J88" s="1367">
        <f t="shared" si="129"/>
        <v>0.73485551806238325</v>
      </c>
      <c r="K88" s="1368">
        <f t="shared" si="129"/>
        <v>0.73935112727887997</v>
      </c>
      <c r="L88" s="1368">
        <f t="shared" si="129"/>
        <v>0.74682352941176477</v>
      </c>
      <c r="M88" s="1369">
        <f t="shared" si="129"/>
        <v>0.75551528803972168</v>
      </c>
      <c r="N88" s="1367">
        <f t="shared" si="129"/>
        <v>0.75655629434976024</v>
      </c>
      <c r="O88" s="1368">
        <f t="shared" si="129"/>
        <v>0.75265870810738311</v>
      </c>
      <c r="P88" s="1368">
        <f t="shared" si="129"/>
        <v>0.75950405174755642</v>
      </c>
      <c r="Q88" s="1369">
        <f t="shared" si="129"/>
        <v>0.75675818738348954</v>
      </c>
      <c r="R88" s="1367">
        <f t="shared" si="129"/>
        <v>0.75808301971263492</v>
      </c>
      <c r="S88" s="1368">
        <f t="shared" si="129"/>
        <v>0.75101264627737285</v>
      </c>
      <c r="T88" s="1368">
        <f t="shared" si="129"/>
        <v>0.75962403319376803</v>
      </c>
      <c r="U88" s="1369">
        <f t="shared" si="129"/>
        <v>0.76758243310698171</v>
      </c>
      <c r="V88" s="1368">
        <f t="shared" si="129"/>
        <v>0.76735518703033878</v>
      </c>
      <c r="W88" s="1368">
        <f t="shared" si="129"/>
        <v>0.7579129831859942</v>
      </c>
      <c r="X88" s="1368">
        <f t="shared" si="129"/>
        <v>0.75434385695421347</v>
      </c>
      <c r="Y88" s="1369">
        <f t="shared" si="129"/>
        <v>0.75551232166018167</v>
      </c>
      <c r="Z88" s="1368">
        <f t="shared" si="129"/>
        <v>0.76327740986935966</v>
      </c>
      <c r="AA88" s="1368">
        <f t="shared" si="129"/>
        <v>0.76161730191296761</v>
      </c>
      <c r="AB88" s="1368">
        <f t="shared" si="129"/>
        <v>0.76068077563107339</v>
      </c>
      <c r="AC88" s="1369">
        <f t="shared" si="129"/>
        <v>0.7738591893105502</v>
      </c>
      <c r="AD88" s="1368">
        <f t="shared" si="129"/>
        <v>0.7784264184151829</v>
      </c>
      <c r="AE88" s="1368">
        <f t="shared" si="129"/>
        <v>0.77512889261199391</v>
      </c>
      <c r="AF88" s="1368">
        <f t="shared" si="129"/>
        <v>0.78124080208495006</v>
      </c>
      <c r="AG88" s="1368">
        <f t="shared" si="129"/>
        <v>0.78058347045741239</v>
      </c>
      <c r="AH88" s="1367">
        <f t="shared" si="129"/>
        <v>0.78332951909695381</v>
      </c>
      <c r="AI88" s="1368">
        <f t="shared" si="129"/>
        <v>0.78282897284939135</v>
      </c>
      <c r="AJ88" s="1368">
        <f t="shared" si="129"/>
        <v>0.7891568569147801</v>
      </c>
      <c r="AK88" s="1368">
        <f t="shared" si="129"/>
        <v>0.78603899136638811</v>
      </c>
      <c r="AL88" s="1370">
        <f t="shared" ref="AL88:AS88" si="130">AK88</f>
        <v>0.78603899136638811</v>
      </c>
      <c r="AM88" s="1371">
        <f t="shared" si="130"/>
        <v>0.78603899136638811</v>
      </c>
      <c r="AN88" s="1371">
        <f t="shared" si="130"/>
        <v>0.78603899136638811</v>
      </c>
      <c r="AO88" s="1371">
        <f t="shared" si="130"/>
        <v>0.78603899136638811</v>
      </c>
      <c r="AP88" s="1370">
        <f t="shared" si="130"/>
        <v>0.78603899136638811</v>
      </c>
      <c r="AQ88" s="1371">
        <f t="shared" si="130"/>
        <v>0.78603899136638811</v>
      </c>
      <c r="AR88" s="1371">
        <f t="shared" si="130"/>
        <v>0.78603899136638811</v>
      </c>
      <c r="AS88" s="1371">
        <f t="shared" si="130"/>
        <v>0.78603899136638811</v>
      </c>
      <c r="AT88" s="1257"/>
      <c r="AU88" s="1234"/>
      <c r="AV88" s="1234"/>
      <c r="AW88" s="1234"/>
      <c r="AX88" s="1234"/>
      <c r="AY88" s="1234"/>
      <c r="AZ88" s="1235"/>
      <c r="BA88" s="1236"/>
      <c r="BB88" s="1234"/>
      <c r="BC88" s="1234"/>
      <c r="BD88" s="1237"/>
      <c r="BE88" s="1237"/>
    </row>
    <row r="89" spans="1:59" s="1231" customFormat="1" ht="12.95" customHeight="1">
      <c r="A89" s="1434" t="s">
        <v>291</v>
      </c>
      <c r="B89" s="1435"/>
      <c r="C89" s="1436"/>
      <c r="D89" s="1436"/>
      <c r="E89" s="1437">
        <f t="shared" ref="E89:AK89" si="131">E32/E86</f>
        <v>0.31405822387940735</v>
      </c>
      <c r="F89" s="1435">
        <f t="shared" si="131"/>
        <v>0.3040188366708006</v>
      </c>
      <c r="G89" s="1436">
        <f t="shared" si="131"/>
        <v>0.29481623552928132</v>
      </c>
      <c r="H89" s="1436">
        <f t="shared" si="131"/>
        <v>0.27896333431188797</v>
      </c>
      <c r="I89" s="1437">
        <f t="shared" si="131"/>
        <v>0.26305005467345971</v>
      </c>
      <c r="J89" s="1435">
        <f t="shared" si="131"/>
        <v>0.26514448193761669</v>
      </c>
      <c r="K89" s="1436">
        <f t="shared" si="131"/>
        <v>0.26064887272112008</v>
      </c>
      <c r="L89" s="1436">
        <f t="shared" si="131"/>
        <v>0.25317647058823528</v>
      </c>
      <c r="M89" s="1437">
        <f t="shared" si="131"/>
        <v>0.24448471196027835</v>
      </c>
      <c r="N89" s="1435">
        <f t="shared" si="131"/>
        <v>0.24344370565023973</v>
      </c>
      <c r="O89" s="1436">
        <f t="shared" si="131"/>
        <v>0.24734129189261694</v>
      </c>
      <c r="P89" s="1436">
        <f t="shared" si="131"/>
        <v>0.24049594825244361</v>
      </c>
      <c r="Q89" s="1437">
        <f t="shared" si="131"/>
        <v>0.24324181261651057</v>
      </c>
      <c r="R89" s="1435">
        <f t="shared" si="131"/>
        <v>0.24191698028736516</v>
      </c>
      <c r="S89" s="1436">
        <f t="shared" si="131"/>
        <v>0.24898735372262706</v>
      </c>
      <c r="T89" s="1436">
        <f t="shared" si="131"/>
        <v>0.24037596680623202</v>
      </c>
      <c r="U89" s="1437">
        <f t="shared" si="131"/>
        <v>0.23241756689301826</v>
      </c>
      <c r="V89" s="1436">
        <f t="shared" si="131"/>
        <v>0.23264481296966111</v>
      </c>
      <c r="W89" s="1436">
        <f t="shared" si="131"/>
        <v>0.24208701681400591</v>
      </c>
      <c r="X89" s="1436">
        <f t="shared" si="131"/>
        <v>0.24565614304578651</v>
      </c>
      <c r="Y89" s="1437">
        <f t="shared" si="131"/>
        <v>0.24448767833981841</v>
      </c>
      <c r="Z89" s="1436">
        <f t="shared" si="131"/>
        <v>0.23672259013064037</v>
      </c>
      <c r="AA89" s="1436">
        <f t="shared" si="131"/>
        <v>0.2383826980870325</v>
      </c>
      <c r="AB89" s="1436">
        <f t="shared" si="131"/>
        <v>0.23931922436892666</v>
      </c>
      <c r="AC89" s="1437">
        <f t="shared" si="131"/>
        <v>0.2261408106894498</v>
      </c>
      <c r="AD89" s="1436">
        <f t="shared" si="131"/>
        <v>0.2215735815848171</v>
      </c>
      <c r="AE89" s="1436">
        <f t="shared" si="131"/>
        <v>0.22487110738800606</v>
      </c>
      <c r="AF89" s="1436">
        <f t="shared" si="131"/>
        <v>0.21875919791505005</v>
      </c>
      <c r="AG89" s="1436">
        <f t="shared" si="131"/>
        <v>0.2194165295425877</v>
      </c>
      <c r="AH89" s="1435">
        <f t="shared" si="131"/>
        <v>0.21667048090304625</v>
      </c>
      <c r="AI89" s="1436">
        <f t="shared" si="131"/>
        <v>0.21717102715060874</v>
      </c>
      <c r="AJ89" s="1436">
        <f t="shared" si="131"/>
        <v>0.21084314308521993</v>
      </c>
      <c r="AK89" s="1436">
        <f t="shared" si="131"/>
        <v>0.21396100863361195</v>
      </c>
      <c r="AL89" s="1435">
        <f t="shared" ref="AL89:AS89" si="132">1-AL88</f>
        <v>0.21396100863361189</v>
      </c>
      <c r="AM89" s="1436">
        <f t="shared" si="132"/>
        <v>0.21396100863361189</v>
      </c>
      <c r="AN89" s="1436">
        <f t="shared" si="132"/>
        <v>0.21396100863361189</v>
      </c>
      <c r="AO89" s="1436">
        <f t="shared" si="132"/>
        <v>0.21396100863361189</v>
      </c>
      <c r="AP89" s="1435">
        <f t="shared" si="132"/>
        <v>0.21396100863361189</v>
      </c>
      <c r="AQ89" s="1436">
        <f t="shared" si="132"/>
        <v>0.21396100863361189</v>
      </c>
      <c r="AR89" s="1436">
        <f t="shared" si="132"/>
        <v>0.21396100863361189</v>
      </c>
      <c r="AS89" s="1436">
        <f t="shared" si="132"/>
        <v>0.21396100863361189</v>
      </c>
      <c r="AT89" s="1257"/>
      <c r="AU89" s="1438"/>
      <c r="AV89" s="1438"/>
      <c r="AW89" s="1438"/>
      <c r="AX89" s="1438"/>
      <c r="AY89" s="1438"/>
      <c r="AZ89" s="1439"/>
      <c r="BA89" s="1440"/>
      <c r="BB89" s="1438"/>
      <c r="BC89" s="1438"/>
      <c r="BD89" s="1441"/>
      <c r="BE89" s="1441"/>
    </row>
    <row r="90" spans="1:59" s="1231" customFormat="1" ht="12.95" customHeight="1">
      <c r="A90" s="45" t="s">
        <v>270</v>
      </c>
    </row>
    <row r="91" spans="1:59">
      <c r="E91" s="454" t="s">
        <v>292</v>
      </c>
      <c r="Y91" s="1442"/>
      <c r="Z91" s="1442"/>
      <c r="AA91" s="1442"/>
      <c r="AB91" s="1442"/>
      <c r="AC91" s="1442"/>
      <c r="AD91" s="1442"/>
      <c r="AE91" s="1442"/>
      <c r="AF91" s="1442"/>
      <c r="AG91" s="1442"/>
      <c r="AH91" s="1442"/>
      <c r="AI91" s="1442"/>
      <c r="AJ91" s="1442"/>
      <c r="AK91" s="1442"/>
      <c r="AL91" s="1442"/>
      <c r="AM91" s="1442"/>
      <c r="AN91" s="1442"/>
      <c r="AO91" s="1442"/>
      <c r="AP91" s="1442"/>
      <c r="AQ91" s="1442"/>
      <c r="AR91" s="1442"/>
      <c r="AS91" s="1442"/>
      <c r="AT91" s="1442"/>
      <c r="AU91" s="1442"/>
      <c r="AV91" s="1442"/>
      <c r="AW91" s="1442"/>
      <c r="AX91" s="1442"/>
      <c r="AY91" s="1442"/>
      <c r="AZ91" s="1442"/>
      <c r="BA91" s="1442"/>
      <c r="BB91" s="1442"/>
      <c r="BC91" s="1442"/>
      <c r="BD91" s="1442"/>
      <c r="BE91" s="1442"/>
    </row>
    <row r="92" spans="1:59">
      <c r="X92" s="1443"/>
      <c r="Y92" s="1443"/>
      <c r="Z92" s="1443"/>
      <c r="AA92" s="1443"/>
      <c r="AB92" s="1443"/>
      <c r="AC92" s="1443"/>
      <c r="AD92" s="1443"/>
      <c r="AE92" s="1443"/>
      <c r="AF92" s="1443"/>
      <c r="AG92" s="1443"/>
      <c r="AH92" s="1443"/>
      <c r="AI92" s="1443"/>
      <c r="AJ92" s="1443"/>
      <c r="AK92" s="1443"/>
      <c r="AL92" s="1443"/>
      <c r="AM92" s="1443"/>
      <c r="AN92" s="1443"/>
      <c r="AO92" s="1443"/>
      <c r="AP92" s="1443"/>
      <c r="AQ92" s="1443"/>
      <c r="AR92" s="1443"/>
      <c r="AS92" s="1443"/>
      <c r="AT92" s="1443"/>
      <c r="AU92" s="1443"/>
      <c r="AV92" s="1443"/>
      <c r="AW92" s="1443"/>
      <c r="AX92" s="1443"/>
      <c r="AY92" s="1443"/>
      <c r="AZ92" s="1443"/>
      <c r="BA92" s="1443"/>
    </row>
    <row r="93" spans="1:59">
      <c r="X93" s="1444"/>
      <c r="Y93" s="1444"/>
      <c r="Z93" s="1444"/>
      <c r="AA93" s="1444"/>
      <c r="AB93" s="1444"/>
      <c r="AC93" s="1444"/>
      <c r="AD93" s="1444"/>
      <c r="AE93" s="1444"/>
      <c r="AF93" s="1444"/>
      <c r="AG93" s="1444"/>
      <c r="AH93" s="1444"/>
      <c r="AI93" s="1444"/>
      <c r="AJ93" s="1444"/>
      <c r="AK93" s="1444"/>
      <c r="AL93" s="1444"/>
      <c r="AM93" s="1444"/>
      <c r="AN93" s="1444"/>
      <c r="AO93" s="1444"/>
      <c r="AP93" s="1444"/>
      <c r="AQ93" s="1444"/>
      <c r="AR93" s="1444"/>
      <c r="AS93" s="1444"/>
      <c r="AT93" s="1444"/>
      <c r="AU93" s="1444"/>
      <c r="AV93" s="1444"/>
      <c r="AW93" s="1444"/>
      <c r="AX93" s="1444"/>
      <c r="AY93" s="1444"/>
      <c r="AZ93" s="1444"/>
      <c r="BA93" s="1444"/>
    </row>
    <row r="95" spans="1:59">
      <c r="K95" s="454" t="s">
        <v>292</v>
      </c>
    </row>
    <row r="100" s="454" customFormat="1" ht="10.15"/>
  </sheetData>
  <mergeCells count="22">
    <mergeCell ref="V3:Y3"/>
    <mergeCell ref="B3:E3"/>
    <mergeCell ref="F3:I3"/>
    <mergeCell ref="J3:M3"/>
    <mergeCell ref="N3:Q3"/>
    <mergeCell ref="R3:U3"/>
    <mergeCell ref="B57:E57"/>
    <mergeCell ref="F57:I57"/>
    <mergeCell ref="J57:M57"/>
    <mergeCell ref="N57:Q57"/>
    <mergeCell ref="R57:U57"/>
    <mergeCell ref="AP57:AS57"/>
    <mergeCell ref="Z3:AC3"/>
    <mergeCell ref="AD3:AG3"/>
    <mergeCell ref="AH3:AK3"/>
    <mergeCell ref="AL3:AO3"/>
    <mergeCell ref="AP3:AS3"/>
    <mergeCell ref="V57:Y57"/>
    <mergeCell ref="Z57:AC57"/>
    <mergeCell ref="AD57:AG57"/>
    <mergeCell ref="AH57:AK57"/>
    <mergeCell ref="AL57:AO57"/>
  </mergeCells>
  <pageMargins left="0.7" right="0.7" top="0.75" bottom="0.75" header="0.3" footer="0.3"/>
  <pageSetup scale="50"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65F3E-D942-481B-B2F0-5085CC6D3AEE}">
  <sheetPr>
    <tabColor rgb="FF008000"/>
    <pageSetUpPr fitToPage="1"/>
  </sheetPr>
  <dimension ref="A1:FT100"/>
  <sheetViews>
    <sheetView showGridLines="0" zoomScaleNormal="100" workbookViewId="0">
      <pane xSplit="1" ySplit="4" topLeftCell="AH30" activePane="bottomRight" state="frozen"/>
      <selection activeCell="N24" sqref="N24"/>
      <selection pane="topRight" activeCell="N24" sqref="N24"/>
      <selection pane="bottomLeft" activeCell="N24" sqref="N24"/>
      <selection pane="bottomRight" activeCell="N24" sqref="N24"/>
    </sheetView>
  </sheetViews>
  <sheetFormatPr defaultColWidth="9.1328125" defaultRowHeight="10.15" outlineLevelRow="1" outlineLevelCol="1"/>
  <cols>
    <col min="1" max="1" width="40" style="33" customWidth="1"/>
    <col min="2" max="3" width="8.59765625" style="33" hidden="1" customWidth="1" outlineLevel="1"/>
    <col min="4" max="5" width="7.86328125" style="33" hidden="1" customWidth="1" outlineLevel="1"/>
    <col min="6" max="7" width="8.59765625" style="33" hidden="1" customWidth="1" outlineLevel="1"/>
    <col min="8" max="12" width="7.86328125" style="33" hidden="1" customWidth="1" outlineLevel="1"/>
    <col min="13" max="13" width="8.1328125" style="33" hidden="1" customWidth="1" outlineLevel="1"/>
    <col min="14" max="14" width="7.86328125" style="33" hidden="1" customWidth="1" outlineLevel="1"/>
    <col min="15" max="15" width="8.1328125" style="33" hidden="1" customWidth="1" outlineLevel="1"/>
    <col min="16" max="17" width="7.86328125" style="33" hidden="1" customWidth="1" outlineLevel="1"/>
    <col min="18" max="18" width="7.86328125" style="33" hidden="1" customWidth="1" outlineLevel="1" collapsed="1"/>
    <col min="19" max="19" width="8.1328125" style="33" hidden="1" customWidth="1" outlineLevel="1"/>
    <col min="20" max="25" width="7.86328125" style="33" hidden="1" customWidth="1" outlineLevel="1"/>
    <col min="26" max="26" width="7.86328125" style="33" hidden="1" customWidth="1" outlineLevel="1" collapsed="1"/>
    <col min="27" max="29" width="7.86328125" style="33" hidden="1" customWidth="1" outlineLevel="1"/>
    <col min="30" max="30" width="7.86328125" style="33" bestFit="1" customWidth="1" collapsed="1"/>
    <col min="31" max="31" width="7.86328125" style="33" bestFit="1" customWidth="1"/>
    <col min="32" max="45" width="7.86328125" style="33" customWidth="1"/>
    <col min="46" max="46" width="2.59765625" style="33" customWidth="1"/>
    <col min="47" max="47" width="9.1328125" style="33" hidden="1" customWidth="1" outlineLevel="1" collapsed="1"/>
    <col min="48" max="50" width="9.1328125" style="33" hidden="1" customWidth="1" outlineLevel="1"/>
    <col min="51" max="51" width="9.1328125" style="33" hidden="1" customWidth="1" outlineLevel="1" collapsed="1"/>
    <col min="52" max="52" width="9.1328125" style="33" hidden="1" customWidth="1" outlineLevel="1"/>
    <col min="53" max="53" width="9.1328125" style="33" hidden="1" customWidth="1" outlineLevel="1" collapsed="1"/>
    <col min="54" max="54" width="9.1328125" style="33" customWidth="1" collapsed="1"/>
    <col min="55" max="58" width="9.1328125" style="33" customWidth="1"/>
    <col min="59" max="66" width="9.1328125" style="33" hidden="1" customWidth="1" outlineLevel="1"/>
    <col min="67" max="67" width="9.1328125" style="33" customWidth="1" collapsed="1"/>
    <col min="68" max="70" width="9.1328125" style="33" customWidth="1"/>
    <col min="71" max="16384" width="9.1328125" style="33"/>
  </cols>
  <sheetData>
    <row r="1" spans="1:78" s="1447" customFormat="1" ht="15.75">
      <c r="A1" s="28" t="str">
        <f>+'Income Statement'!A1</f>
        <v>Tenable Holdings, Inc. (TENB)</v>
      </c>
      <c r="B1" s="1445"/>
      <c r="C1" s="1445"/>
      <c r="D1" s="1445"/>
      <c r="E1" s="1445"/>
      <c r="F1" s="1445"/>
      <c r="G1" s="1445"/>
      <c r="H1" s="1445"/>
      <c r="I1" s="1445"/>
      <c r="J1" s="1445"/>
      <c r="K1" s="1445"/>
      <c r="L1" s="1445"/>
      <c r="M1" s="1445"/>
      <c r="N1" s="1445"/>
      <c r="O1" s="1445"/>
      <c r="P1" s="1445"/>
      <c r="Q1" s="1445"/>
      <c r="R1" s="1445"/>
      <c r="S1" s="1445"/>
      <c r="T1" s="1445"/>
      <c r="U1" s="1445"/>
      <c r="V1" s="1445"/>
      <c r="W1" s="1445"/>
      <c r="X1" s="1445"/>
      <c r="Y1" s="1445"/>
      <c r="Z1" s="1445"/>
      <c r="AA1" s="1445"/>
      <c r="AB1" s="1445"/>
      <c r="AC1" s="1445"/>
      <c r="AD1" s="1445"/>
      <c r="AE1" s="1445"/>
      <c r="AF1" s="1445"/>
      <c r="AG1" s="1445"/>
      <c r="AH1" s="1445"/>
      <c r="AI1" s="1445"/>
      <c r="AJ1" s="1445"/>
      <c r="AK1" s="1445"/>
      <c r="AL1" s="1445"/>
      <c r="AM1" s="1445"/>
      <c r="AN1" s="1445"/>
      <c r="AO1" s="1445"/>
      <c r="AP1" s="1445"/>
      <c r="AQ1" s="1445"/>
      <c r="AR1" s="1445"/>
      <c r="AS1" s="1445"/>
      <c r="AT1" s="1445"/>
      <c r="AU1" s="1446"/>
      <c r="AV1" s="1446"/>
      <c r="AW1" s="1446"/>
      <c r="AX1" s="1446"/>
      <c r="AY1" s="1446"/>
      <c r="AZ1" s="1446"/>
      <c r="BA1" s="1446"/>
      <c r="BB1" s="1446"/>
      <c r="BC1" s="1446"/>
      <c r="BD1" s="1446"/>
      <c r="BE1" s="1446"/>
    </row>
    <row r="2" spans="1:78" s="1447" customFormat="1" ht="15.75">
      <c r="A2" s="1448" t="s">
        <v>293</v>
      </c>
      <c r="B2" s="37"/>
      <c r="C2" s="37"/>
      <c r="D2" s="37"/>
      <c r="E2" s="35"/>
      <c r="F2" s="35"/>
      <c r="G2" s="35"/>
      <c r="H2" s="35"/>
      <c r="I2" s="35"/>
      <c r="J2" s="35"/>
      <c r="K2" s="35"/>
      <c r="L2" s="35"/>
      <c r="M2" s="35"/>
      <c r="N2" s="35" t="str">
        <f>'Income Statement'!N2</f>
        <v>2020/1F</v>
      </c>
      <c r="O2" s="35" t="str">
        <f>'Income Statement'!O2</f>
        <v>2020/2F</v>
      </c>
      <c r="P2" s="35" t="str">
        <f>'Income Statement'!P2</f>
        <v>2020/3F</v>
      </c>
      <c r="Q2" s="35" t="str">
        <f>'Income Statement'!Q2</f>
        <v>2020/4F</v>
      </c>
      <c r="R2" s="35" t="str">
        <f>'Income Statement'!R2</f>
        <v>2021/1F</v>
      </c>
      <c r="S2" s="35" t="str">
        <f>'Income Statement'!S2</f>
        <v>2021/2F</v>
      </c>
      <c r="T2" s="35" t="str">
        <f>'Income Statement'!T2</f>
        <v>2021/3F</v>
      </c>
      <c r="U2" s="35" t="str">
        <f>'Income Statement'!U2</f>
        <v>2021/4F</v>
      </c>
      <c r="V2" s="35" t="str">
        <f>'Income Statement'!V2</f>
        <v>2022/1F</v>
      </c>
      <c r="W2" s="35" t="str">
        <f>'Income Statement'!W2</f>
        <v>2022/2F</v>
      </c>
      <c r="X2" s="35" t="str">
        <f>'Income Statement'!X2</f>
        <v>2022/3F</v>
      </c>
      <c r="Y2" s="35" t="str">
        <f>'Income Statement'!Y2</f>
        <v>2022/4F</v>
      </c>
      <c r="Z2" s="35" t="str">
        <f>'Income Statement'!Z2</f>
        <v>2023/1F</v>
      </c>
      <c r="AA2" s="35" t="str">
        <f>'Income Statement'!AA2</f>
        <v>2023/2F</v>
      </c>
      <c r="AB2" s="35" t="str">
        <f>'Income Statement'!AB2</f>
        <v>2023/3F</v>
      </c>
      <c r="AC2" s="35" t="str">
        <f>'Income Statement'!AC2</f>
        <v>2023/4F</v>
      </c>
      <c r="AD2" s="35" t="str">
        <f>'Income Statement'!AD2</f>
        <v>2024/1F</v>
      </c>
      <c r="AE2" s="35" t="str">
        <f>'Income Statement'!AE2</f>
        <v>2024/2F</v>
      </c>
      <c r="AF2" s="35" t="str">
        <f>'Income Statement'!AF2</f>
        <v>2024/3F</v>
      </c>
      <c r="AG2" s="35" t="str">
        <f>'Income Statement'!AG2</f>
        <v>2024/4F</v>
      </c>
      <c r="AH2" s="35" t="str">
        <f>'Income Statement'!AH2</f>
        <v>2025/1F</v>
      </c>
      <c r="AI2" s="35" t="str">
        <f>'Income Statement'!AI2</f>
        <v>2025/2F</v>
      </c>
      <c r="AJ2" s="35" t="str">
        <f>'Income Statement'!AJ2</f>
        <v>2025/3F</v>
      </c>
      <c r="AK2" s="35" t="str">
        <f>'Income Statement'!AK2</f>
        <v>2025/4F</v>
      </c>
      <c r="AL2" s="35" t="str">
        <f>'Income Statement'!AL2</f>
        <v>2026/1F</v>
      </c>
      <c r="AM2" s="35" t="str">
        <f>'Income Statement'!AM2</f>
        <v>2026/2F</v>
      </c>
      <c r="AN2" s="35" t="str">
        <f>'Income Statement'!AN2</f>
        <v>2026/3F</v>
      </c>
      <c r="AO2" s="35" t="str">
        <f>'Income Statement'!AO2</f>
        <v>2026/4F</v>
      </c>
      <c r="AP2" s="35" t="str">
        <f>'Income Statement'!AP2</f>
        <v>2027/1F</v>
      </c>
      <c r="AQ2" s="35" t="str">
        <f>'Income Statement'!AQ2</f>
        <v>2027/2F</v>
      </c>
      <c r="AR2" s="35" t="str">
        <f>'Income Statement'!AR2</f>
        <v>2027/3F</v>
      </c>
      <c r="AS2" s="35" t="str">
        <f>'Income Statement'!AS2</f>
        <v>2027/4F</v>
      </c>
      <c r="AT2" s="36"/>
      <c r="AU2" s="39">
        <f>+'Income Statement'!AU2</f>
        <v>2017</v>
      </c>
      <c r="AV2" s="39">
        <f>+'Income Statement'!AV2</f>
        <v>2018</v>
      </c>
      <c r="AW2" s="39">
        <f>+'Income Statement'!AW2</f>
        <v>2019</v>
      </c>
      <c r="AX2" s="35">
        <f>'Income Statement'!AX2</f>
        <v>2020</v>
      </c>
      <c r="AY2" s="35">
        <f>'Income Statement'!AY2</f>
        <v>2021</v>
      </c>
      <c r="AZ2" s="35">
        <f>'Income Statement'!AZ2</f>
        <v>2022</v>
      </c>
      <c r="BA2" s="35">
        <f>'Income Statement'!BA2</f>
        <v>2023</v>
      </c>
      <c r="BB2" s="35">
        <f>'Income Statement'!BB2</f>
        <v>2024</v>
      </c>
      <c r="BC2" s="35">
        <f>'Income Statement'!BC2</f>
        <v>2025</v>
      </c>
      <c r="BD2" s="35">
        <f>'Income Statement'!BD2</f>
        <v>2026</v>
      </c>
      <c r="BE2" s="35">
        <f>'Income Statement'!BE2</f>
        <v>2027</v>
      </c>
      <c r="BG2" s="1449" t="s">
        <v>294</v>
      </c>
      <c r="BH2" s="1450"/>
      <c r="BI2" s="1450"/>
      <c r="BJ2" s="1450"/>
      <c r="BK2" s="1450"/>
      <c r="BL2" s="1450"/>
      <c r="BM2" s="1450"/>
      <c r="BN2" s="1450"/>
      <c r="BO2" s="1450"/>
      <c r="BP2" s="1450"/>
      <c r="BQ2" s="1450"/>
      <c r="BR2" s="1450"/>
      <c r="BS2" s="1450"/>
      <c r="BT2" s="1450"/>
      <c r="BU2" s="1450"/>
      <c r="BV2" s="1450"/>
      <c r="BW2" s="1450"/>
      <c r="BX2" s="1450"/>
      <c r="BY2" s="1450"/>
      <c r="BZ2" s="1450"/>
    </row>
    <row r="3" spans="1:78" s="45" customFormat="1" ht="12.75" customHeight="1">
      <c r="A3" s="649"/>
      <c r="B3" s="1736">
        <f>'Income Statement'!B3</f>
        <v>2017</v>
      </c>
      <c r="C3" s="1737"/>
      <c r="D3" s="1737"/>
      <c r="E3" s="1737"/>
      <c r="F3" s="1737">
        <f>'Income Statement'!F3</f>
        <v>2018</v>
      </c>
      <c r="G3" s="1737"/>
      <c r="H3" s="1737"/>
      <c r="I3" s="1737"/>
      <c r="J3" s="1737">
        <f>'Income Statement'!J3</f>
        <v>2019</v>
      </c>
      <c r="K3" s="1737"/>
      <c r="L3" s="1737"/>
      <c r="M3" s="1738"/>
      <c r="N3" s="1719">
        <f>'Income Statement'!N3</f>
        <v>2020</v>
      </c>
      <c r="O3" s="1720"/>
      <c r="P3" s="1720"/>
      <c r="Q3" s="1721"/>
      <c r="R3" s="1735">
        <f>'Income Statement'!R3</f>
        <v>2021</v>
      </c>
      <c r="S3" s="1720"/>
      <c r="T3" s="1720"/>
      <c r="U3" s="1725"/>
      <c r="V3" s="1719">
        <f>'Income Statement'!V3</f>
        <v>2022</v>
      </c>
      <c r="W3" s="1720"/>
      <c r="X3" s="1720"/>
      <c r="Y3" s="1721"/>
      <c r="Z3" s="1719">
        <f>'Income Statement'!Z3</f>
        <v>2023</v>
      </c>
      <c r="AA3" s="1720"/>
      <c r="AB3" s="1720"/>
      <c r="AC3" s="1721"/>
      <c r="AD3" s="1719">
        <f>'Income Statement'!AD3</f>
        <v>2024</v>
      </c>
      <c r="AE3" s="1720"/>
      <c r="AF3" s="1720"/>
      <c r="AG3" s="1721"/>
      <c r="AH3" s="1719">
        <f>'Income Statement'!AH3</f>
        <v>2025</v>
      </c>
      <c r="AI3" s="1720"/>
      <c r="AJ3" s="1720"/>
      <c r="AK3" s="1721"/>
      <c r="AL3" s="1719">
        <f>'Income Statement'!AL3</f>
        <v>2026</v>
      </c>
      <c r="AM3" s="1720"/>
      <c r="AN3" s="1720"/>
      <c r="AO3" s="1721"/>
      <c r="AP3" s="1719">
        <f>'Income Statement'!AP3</f>
        <v>2027</v>
      </c>
      <c r="AQ3" s="1720"/>
      <c r="AR3" s="1720"/>
      <c r="AS3" s="1721"/>
      <c r="AT3" s="41"/>
      <c r="AU3" s="750"/>
      <c r="AV3" s="750"/>
      <c r="AW3" s="750"/>
      <c r="AX3" s="750"/>
      <c r="AY3" s="750"/>
      <c r="AZ3" s="750"/>
      <c r="BA3" s="652"/>
      <c r="BB3" s="750"/>
      <c r="BC3" s="750"/>
      <c r="BD3" s="750"/>
      <c r="BE3" s="653"/>
      <c r="BG3" s="1719">
        <f>R3</f>
        <v>2021</v>
      </c>
      <c r="BH3" s="1720"/>
      <c r="BI3" s="1720"/>
      <c r="BJ3" s="1721"/>
      <c r="BK3" s="1735">
        <f>V3</f>
        <v>2022</v>
      </c>
      <c r="BL3" s="1720"/>
      <c r="BM3" s="1720"/>
      <c r="BN3" s="1721"/>
      <c r="BO3" s="1719">
        <f>Z3</f>
        <v>2023</v>
      </c>
      <c r="BP3" s="1720"/>
      <c r="BQ3" s="1720"/>
      <c r="BR3" s="1721"/>
      <c r="BS3" s="1719">
        <f>AD3</f>
        <v>2024</v>
      </c>
      <c r="BT3" s="1720"/>
      <c r="BU3" s="1720"/>
      <c r="BV3" s="1721"/>
      <c r="BW3" s="1719">
        <f>AH3</f>
        <v>2025</v>
      </c>
      <c r="BX3" s="1720"/>
      <c r="BY3" s="1720"/>
      <c r="BZ3" s="1721"/>
    </row>
    <row r="4" spans="1:78" s="62" customFormat="1" ht="11.65">
      <c r="A4" s="654" t="str">
        <f>'Income Statement'!A4</f>
        <v>($ in millions, unless otherwise stated)</v>
      </c>
      <c r="B4" s="48">
        <f>'Income Statement'!B4</f>
        <v>42825</v>
      </c>
      <c r="C4" s="48">
        <f>'Income Statement'!C4</f>
        <v>42916</v>
      </c>
      <c r="D4" s="48">
        <f>'Income Statement'!D4</f>
        <v>43008</v>
      </c>
      <c r="E4" s="318">
        <f>'Income Statement'!E4</f>
        <v>43100</v>
      </c>
      <c r="F4" s="958">
        <f>'Income Statement'!F4</f>
        <v>43190</v>
      </c>
      <c r="G4" s="48">
        <f>'Income Statement'!G4</f>
        <v>43281</v>
      </c>
      <c r="H4" s="48">
        <f>'Income Statement'!H4</f>
        <v>43373</v>
      </c>
      <c r="I4" s="318">
        <f>'Income Statement'!I4</f>
        <v>43465</v>
      </c>
      <c r="J4" s="958">
        <f>'Income Statement'!J4</f>
        <v>43555</v>
      </c>
      <c r="K4" s="48">
        <f>'Income Statement'!K4</f>
        <v>43646</v>
      </c>
      <c r="L4" s="48">
        <f>'Income Statement'!L4</f>
        <v>43738</v>
      </c>
      <c r="M4" s="48">
        <f>'Income Statement'!M4</f>
        <v>43830</v>
      </c>
      <c r="N4" s="655">
        <f>'Income Statement'!N4</f>
        <v>43921</v>
      </c>
      <c r="O4" s="48">
        <f>'Income Statement'!O4</f>
        <v>44012</v>
      </c>
      <c r="P4" s="48">
        <f>'Income Statement'!P4</f>
        <v>44104</v>
      </c>
      <c r="Q4" s="320">
        <f>'Income Statement'!Q4</f>
        <v>44196</v>
      </c>
      <c r="R4" s="48">
        <f>'Income Statement'!R4</f>
        <v>44286</v>
      </c>
      <c r="S4" s="48">
        <f>'Income Statement'!S4</f>
        <v>44377</v>
      </c>
      <c r="T4" s="48">
        <f>'Income Statement'!T4</f>
        <v>44469</v>
      </c>
      <c r="U4" s="48">
        <f>'Income Statement'!U4</f>
        <v>44561</v>
      </c>
      <c r="V4" s="655">
        <f>'Income Statement'!V4</f>
        <v>44651</v>
      </c>
      <c r="W4" s="48">
        <f>'Income Statement'!W4</f>
        <v>44742</v>
      </c>
      <c r="X4" s="48">
        <f>'Income Statement'!X4</f>
        <v>44834</v>
      </c>
      <c r="Y4" s="320">
        <f>'Income Statement'!Y4</f>
        <v>44926</v>
      </c>
      <c r="Z4" s="655">
        <f>'Income Statement'!Z4</f>
        <v>45016</v>
      </c>
      <c r="AA4" s="48">
        <f>'Income Statement'!AA4</f>
        <v>45107</v>
      </c>
      <c r="AB4" s="48">
        <f>'Income Statement'!AB4</f>
        <v>45199</v>
      </c>
      <c r="AC4" s="320">
        <f>'Income Statement'!AC4</f>
        <v>45291</v>
      </c>
      <c r="AD4" s="655">
        <f>'Income Statement'!AD4</f>
        <v>45382</v>
      </c>
      <c r="AE4" s="48">
        <f>'Income Statement'!AE4</f>
        <v>45473</v>
      </c>
      <c r="AF4" s="48" t="str">
        <f>'Income Statement'!AF4</f>
        <v>Sep-24</v>
      </c>
      <c r="AG4" s="320" t="str">
        <f>'Income Statement'!AG4</f>
        <v>Dec-24</v>
      </c>
      <c r="AH4" s="655" t="str">
        <f>'Income Statement'!AH4</f>
        <v>Mar-25</v>
      </c>
      <c r="AI4" s="48" t="str">
        <f>'Income Statement'!AI4</f>
        <v>Jun-25</v>
      </c>
      <c r="AJ4" s="48" t="str">
        <f>'Income Statement'!AJ4</f>
        <v>Sep-25</v>
      </c>
      <c r="AK4" s="320" t="str">
        <f>'Income Statement'!AK4</f>
        <v>Dec-25</v>
      </c>
      <c r="AL4" s="655" t="str">
        <f>'Income Statement'!AL4</f>
        <v>Mar-26E</v>
      </c>
      <c r="AM4" s="48" t="str">
        <f>'Income Statement'!AM4</f>
        <v>Jun-26E</v>
      </c>
      <c r="AN4" s="48" t="str">
        <f>'Income Statement'!AN4</f>
        <v>Sep-26E</v>
      </c>
      <c r="AO4" s="320" t="str">
        <f>'Income Statement'!AO4</f>
        <v>Dec-26E</v>
      </c>
      <c r="AP4" s="655" t="str">
        <f>'Income Statement'!AP4</f>
        <v>Mar-27E</v>
      </c>
      <c r="AQ4" s="48" t="str">
        <f>'Income Statement'!AQ4</f>
        <v>Jun-27E</v>
      </c>
      <c r="AR4" s="48" t="str">
        <f>'Income Statement'!AR4</f>
        <v>Sep-27E</v>
      </c>
      <c r="AS4" s="320" t="str">
        <f>'Income Statement'!AS4</f>
        <v>Dec-27E</v>
      </c>
      <c r="AT4" s="320"/>
      <c r="AU4" s="1451">
        <f>'Income Statement'!AU4</f>
        <v>2017</v>
      </c>
      <c r="AV4" s="1451">
        <f>'Income Statement'!AV4</f>
        <v>2018</v>
      </c>
      <c r="AW4" s="1451">
        <f>'Income Statement'!AW4</f>
        <v>2019</v>
      </c>
      <c r="AX4" s="1451">
        <f>'Income Statement'!AX4</f>
        <v>2020</v>
      </c>
      <c r="AY4" s="1451" t="str">
        <f>'Income Statement'!AY4</f>
        <v>CY21</v>
      </c>
      <c r="AZ4" s="1451" t="str">
        <f>'Income Statement'!AZ4</f>
        <v>CY22</v>
      </c>
      <c r="BA4" s="1452" t="str">
        <f>'Income Statement'!BA4</f>
        <v>CY23</v>
      </c>
      <c r="BB4" s="1453" t="str">
        <f>'Income Statement'!BB4</f>
        <v>CY24</v>
      </c>
      <c r="BC4" s="1453" t="str">
        <f>'Income Statement'!BC4</f>
        <v>CY25</v>
      </c>
      <c r="BD4" s="1453" t="str">
        <f>'Income Statement'!BD4</f>
        <v>CY26E</v>
      </c>
      <c r="BE4" s="1453" t="str">
        <f>'Income Statement'!BE4</f>
        <v>CY27E</v>
      </c>
      <c r="BG4" s="655">
        <f>R4</f>
        <v>44286</v>
      </c>
      <c r="BH4" s="48">
        <f>S4</f>
        <v>44377</v>
      </c>
      <c r="BI4" s="48">
        <f>T4</f>
        <v>44469</v>
      </c>
      <c r="BJ4" s="320">
        <f>U4</f>
        <v>44561</v>
      </c>
      <c r="BK4" s="48">
        <f>V4</f>
        <v>44651</v>
      </c>
      <c r="BL4" s="48">
        <f>W4</f>
        <v>44742</v>
      </c>
      <c r="BM4" s="48">
        <f>X4</f>
        <v>44834</v>
      </c>
      <c r="BN4" s="320">
        <f>Y4</f>
        <v>44926</v>
      </c>
      <c r="BO4" s="655">
        <f>Z4</f>
        <v>45016</v>
      </c>
      <c r="BP4" s="48">
        <f>AA4</f>
        <v>45107</v>
      </c>
      <c r="BQ4" s="48">
        <f>AB4</f>
        <v>45199</v>
      </c>
      <c r="BR4" s="320">
        <f>AC4</f>
        <v>45291</v>
      </c>
      <c r="BS4" s="655">
        <f>AD4</f>
        <v>45382</v>
      </c>
      <c r="BT4" s="48">
        <f>AE4</f>
        <v>45473</v>
      </c>
      <c r="BU4" s="48" t="str">
        <f>AF4</f>
        <v>Sep-24</v>
      </c>
      <c r="BV4" s="320" t="str">
        <f>AG4</f>
        <v>Dec-24</v>
      </c>
      <c r="BW4" s="655" t="str">
        <f>AH4</f>
        <v>Mar-25</v>
      </c>
      <c r="BX4" s="48" t="str">
        <f>AI4</f>
        <v>Jun-25</v>
      </c>
      <c r="BY4" s="48" t="str">
        <f>AJ4</f>
        <v>Sep-25</v>
      </c>
      <c r="BZ4" s="320" t="str">
        <f>AK4</f>
        <v>Dec-25</v>
      </c>
    </row>
    <row r="5" spans="1:78" ht="12" customHeight="1">
      <c r="A5" s="650" t="s">
        <v>295</v>
      </c>
      <c r="B5" s="559"/>
      <c r="C5" s="559"/>
      <c r="D5" s="559"/>
      <c r="E5" s="1454"/>
      <c r="F5" s="1455"/>
      <c r="G5" s="559"/>
      <c r="H5" s="559"/>
      <c r="I5" s="1454"/>
      <c r="J5" s="1455"/>
      <c r="K5" s="559"/>
      <c r="L5" s="559"/>
      <c r="M5" s="559"/>
      <c r="N5" s="558"/>
      <c r="O5" s="559"/>
      <c r="P5" s="559"/>
      <c r="Q5" s="560"/>
      <c r="R5" s="559"/>
      <c r="S5" s="559"/>
      <c r="T5" s="559"/>
      <c r="U5" s="559"/>
      <c r="V5" s="558"/>
      <c r="W5" s="559"/>
      <c r="X5" s="559"/>
      <c r="Y5" s="560"/>
      <c r="Z5" s="558"/>
      <c r="AA5" s="559"/>
      <c r="AB5" s="559"/>
      <c r="AC5" s="560"/>
      <c r="AD5" s="558"/>
      <c r="AE5" s="559"/>
      <c r="AF5" s="559"/>
      <c r="AG5" s="560"/>
      <c r="AH5" s="558"/>
      <c r="AI5" s="559"/>
      <c r="AJ5" s="559"/>
      <c r="AK5" s="560"/>
      <c r="AL5" s="558"/>
      <c r="AM5" s="559"/>
      <c r="AN5" s="559"/>
      <c r="AO5" s="560"/>
      <c r="AP5" s="558"/>
      <c r="AQ5" s="559"/>
      <c r="AR5" s="559"/>
      <c r="AS5" s="560"/>
      <c r="AT5" s="594"/>
      <c r="AU5" s="1456"/>
      <c r="AV5" s="1457"/>
      <c r="AW5" s="1457"/>
      <c r="AX5" s="1457"/>
      <c r="AY5" s="1457"/>
      <c r="AZ5" s="1458"/>
      <c r="BA5" s="473"/>
      <c r="BB5" s="1459"/>
      <c r="BC5" s="1459"/>
      <c r="BD5" s="1459"/>
      <c r="BE5" s="1459"/>
      <c r="BF5" s="1460"/>
      <c r="BG5" s="288"/>
      <c r="BH5" s="288"/>
      <c r="BI5" s="288"/>
      <c r="BJ5" s="594"/>
      <c r="BK5" s="288"/>
      <c r="BL5" s="288"/>
      <c r="BM5" s="288"/>
      <c r="BN5" s="594"/>
      <c r="BO5" s="1356"/>
      <c r="BP5" s="288"/>
      <c r="BQ5" s="288"/>
      <c r="BR5" s="594"/>
      <c r="BS5" s="1356"/>
      <c r="BT5" s="288"/>
      <c r="BU5" s="288"/>
      <c r="BV5" s="594"/>
      <c r="BW5" s="1356"/>
      <c r="BX5" s="288"/>
      <c r="BY5" s="288"/>
      <c r="BZ5" s="594"/>
    </row>
    <row r="6" spans="1:78" ht="12" customHeight="1">
      <c r="A6" s="139" t="s">
        <v>296</v>
      </c>
      <c r="B6" s="1253">
        <v>-8.8260000000000005</v>
      </c>
      <c r="C6" s="1253">
        <f>-18.04-B6</f>
        <v>-9.2139999999999986</v>
      </c>
      <c r="D6" s="1253">
        <f>-29.353-C6-B6</f>
        <v>-11.313000000000002</v>
      </c>
      <c r="E6" s="1461">
        <f>-41.022-D6-C6-B6</f>
        <v>-11.668999999999997</v>
      </c>
      <c r="F6" s="1235">
        <v>-15.888</v>
      </c>
      <c r="G6" s="1253">
        <f>-33.038-F6</f>
        <v>-17.149999999999999</v>
      </c>
      <c r="H6" s="1253">
        <f>-53.907-SUM(F6:G6)</f>
        <v>-20.869</v>
      </c>
      <c r="I6" s="1461">
        <f>-73.521-H6-G6-F6</f>
        <v>-19.614000000000004</v>
      </c>
      <c r="J6" s="1235">
        <v>-21.44</v>
      </c>
      <c r="K6" s="1253">
        <f>-43.068-J6</f>
        <v>-21.627999999999997</v>
      </c>
      <c r="L6" s="1253">
        <f>-60.708-SUM(J6:K6)</f>
        <v>-17.64</v>
      </c>
      <c r="M6" s="1253">
        <f>-99.013-SUM(J6:L6)</f>
        <v>-38.305000000000007</v>
      </c>
      <c r="N6" s="1255">
        <v>-22.977</v>
      </c>
      <c r="O6" s="1253">
        <f>-34.937-N6</f>
        <v>-11.959999999999997</v>
      </c>
      <c r="P6" s="1253">
        <f>-40.795-O6-N6</f>
        <v>-5.8580000000000041</v>
      </c>
      <c r="Q6" s="1461">
        <f>-42.731-SUM(N6:P6)</f>
        <v>-1.9359999999999999</v>
      </c>
      <c r="R6" s="1253">
        <f>BG6</f>
        <v>-7.7480000000000002</v>
      </c>
      <c r="S6" s="1253">
        <f>BH6-BG6</f>
        <v>-11.637999999999998</v>
      </c>
      <c r="T6" s="1253">
        <f t="shared" ref="T6:U10" si="0">BI6-BH6</f>
        <v>-16.245999999999999</v>
      </c>
      <c r="U6" s="1461">
        <f t="shared" si="0"/>
        <v>-11.045000000000002</v>
      </c>
      <c r="V6" s="1253">
        <f>BK6</f>
        <v>-24.506</v>
      </c>
      <c r="W6" s="1253">
        <f>BL6-BK6</f>
        <v>-27.499000000000002</v>
      </c>
      <c r="X6" s="1253">
        <f>BM6-BL6</f>
        <v>-18.729999999999997</v>
      </c>
      <c r="Y6" s="1461">
        <f t="shared" ref="Y6:Y10" si="1">BN6-BM6</f>
        <v>-21.486999999999995</v>
      </c>
      <c r="Z6" s="1255">
        <f>BO6</f>
        <v>-25.097000000000001</v>
      </c>
      <c r="AA6" s="1253">
        <f>BP6-BO6</f>
        <v>-15.973999999999997</v>
      </c>
      <c r="AB6" s="1253">
        <f>BQ6-BP6</f>
        <v>-15.565000000000005</v>
      </c>
      <c r="AC6" s="1461">
        <f t="shared" ref="AC6:AC19" si="2">BR6-BQ6</f>
        <v>-21.648000000000003</v>
      </c>
      <c r="AD6" s="1255">
        <f t="shared" ref="AD6:AD19" si="3">BS6</f>
        <v>-14.385999999999999</v>
      </c>
      <c r="AE6" s="1253">
        <f t="shared" ref="AE6:AK10" si="4">BT6-BS6</f>
        <v>-14.571999999999999</v>
      </c>
      <c r="AF6" s="1253">
        <f t="shared" si="4"/>
        <v>-9.2109999999999985</v>
      </c>
      <c r="AG6" s="1253">
        <f t="shared" si="4"/>
        <v>1.867999999999995</v>
      </c>
      <c r="AH6" s="1255">
        <f t="shared" ref="AH6:AH19" si="5">BW6</f>
        <v>-22.934999999999999</v>
      </c>
      <c r="AI6" s="1253">
        <f t="shared" si="4"/>
        <v>-14.706</v>
      </c>
      <c r="AJ6" s="1253">
        <f t="shared" si="4"/>
        <v>2.259999999999998</v>
      </c>
      <c r="AK6" s="1253">
        <f t="shared" si="4"/>
        <v>-0.73700000000000188</v>
      </c>
      <c r="AL6" s="1255">
        <f>'Income Statement'!AL99</f>
        <v>-16.964041178964166</v>
      </c>
      <c r="AM6" s="1253">
        <f>'Income Statement'!AM99</f>
        <v>-11.691935053096008</v>
      </c>
      <c r="AN6" s="1253">
        <f>'Income Statement'!AN99</f>
        <v>7.0317379032612592E-2</v>
      </c>
      <c r="AO6" s="1461">
        <f>'Income Statement'!AO99</f>
        <v>3.3324622449040979</v>
      </c>
      <c r="AP6" s="1255">
        <f>'Income Statement'!AP99</f>
        <v>-17.846869749907533</v>
      </c>
      <c r="AQ6" s="1253">
        <f>'Income Statement'!AQ99</f>
        <v>-9.0722846675737543</v>
      </c>
      <c r="AR6" s="1253">
        <f>'Income Statement'!AR99</f>
        <v>3.4749053005565234</v>
      </c>
      <c r="AS6" s="1461">
        <f>'Income Statement'!AS99</f>
        <v>6.9987382838528474</v>
      </c>
      <c r="AT6" s="594"/>
      <c r="AU6" s="1462">
        <f t="shared" ref="AU6" si="6">SUM(B6:E6)</f>
        <v>-41.021999999999998</v>
      </c>
      <c r="AV6" s="1463">
        <f t="shared" ref="AV6" si="7">SUM(F6:I6)</f>
        <v>-73.521000000000001</v>
      </c>
      <c r="AW6" s="1463">
        <f t="shared" ref="AW6" si="8">SUM(J6:M6)</f>
        <v>-99.013000000000005</v>
      </c>
      <c r="AX6" s="1463">
        <f t="shared" ref="AX6" si="9">SUM(N6:Q6)</f>
        <v>-42.731000000000002</v>
      </c>
      <c r="AY6" s="1463">
        <f t="shared" ref="AY6" si="10">SUM(R6:U6)</f>
        <v>-46.677</v>
      </c>
      <c r="AZ6" s="1464">
        <f>SUM(V6:Y6)</f>
        <v>-92.221999999999994</v>
      </c>
      <c r="BA6" s="1465">
        <f>SUM(Z6:AC6)</f>
        <v>-78.284000000000006</v>
      </c>
      <c r="BB6" s="1466">
        <f>SUM(AD6:AG6)</f>
        <v>-36.301000000000002</v>
      </c>
      <c r="BC6" s="1466">
        <f>SUM(AH6:AK6)</f>
        <v>-36.118000000000002</v>
      </c>
      <c r="BD6" s="1466">
        <f>SUM(AL6:AO6)</f>
        <v>-25.253196608123467</v>
      </c>
      <c r="BE6" s="1466">
        <f>SUM(AP6:AS6)</f>
        <v>-16.445510833071918</v>
      </c>
      <c r="BF6" s="1467"/>
      <c r="BG6" s="1253">
        <v>-7.7480000000000002</v>
      </c>
      <c r="BH6" s="1231">
        <v>-19.385999999999999</v>
      </c>
      <c r="BI6" s="1231">
        <v>-35.631999999999998</v>
      </c>
      <c r="BJ6" s="1232">
        <v>-46.677</v>
      </c>
      <c r="BK6" s="1253">
        <v>-24.506</v>
      </c>
      <c r="BL6" s="1231">
        <v>-52.005000000000003</v>
      </c>
      <c r="BM6" s="1231">
        <v>-70.734999999999999</v>
      </c>
      <c r="BN6" s="1232">
        <v>-92.221999999999994</v>
      </c>
      <c r="BO6" s="1233">
        <v>-25.097000000000001</v>
      </c>
      <c r="BP6" s="1231">
        <v>-41.070999999999998</v>
      </c>
      <c r="BQ6" s="1231">
        <v>-56.636000000000003</v>
      </c>
      <c r="BR6" s="1232">
        <v>-78.284000000000006</v>
      </c>
      <c r="BS6" s="1233">
        <v>-14.385999999999999</v>
      </c>
      <c r="BT6" s="1231">
        <v>-28.957999999999998</v>
      </c>
      <c r="BU6" s="1231">
        <v>-38.168999999999997</v>
      </c>
      <c r="BV6" s="1232">
        <f>-36.301</f>
        <v>-36.301000000000002</v>
      </c>
      <c r="BW6" s="1233">
        <v>-22.934999999999999</v>
      </c>
      <c r="BX6" s="1231">
        <v>-37.640999999999998</v>
      </c>
      <c r="BY6" s="1231">
        <v>-35.381</v>
      </c>
      <c r="BZ6" s="1232">
        <v>-36.118000000000002</v>
      </c>
    </row>
    <row r="7" spans="1:78" ht="12" customHeight="1">
      <c r="A7" s="139" t="s">
        <v>297</v>
      </c>
      <c r="B7" s="1253">
        <v>9.6000000000000002E-2</v>
      </c>
      <c r="C7" s="1253">
        <f>0.318-B7</f>
        <v>0.222</v>
      </c>
      <c r="D7" s="1253">
        <f>0.486-C7-B7</f>
        <v>0.16800000000000001</v>
      </c>
      <c r="E7" s="1254">
        <f>-0.873-D7-C7-B7</f>
        <v>-1.359</v>
      </c>
      <c r="F7" s="1235">
        <v>0</v>
      </c>
      <c r="G7" s="1253">
        <v>0</v>
      </c>
      <c r="H7" s="1253">
        <v>0</v>
      </c>
      <c r="I7" s="1254">
        <v>0</v>
      </c>
      <c r="J7" s="1235">
        <v>0</v>
      </c>
      <c r="K7" s="1253">
        <v>0</v>
      </c>
      <c r="L7" s="1253">
        <v>0</v>
      </c>
      <c r="M7" s="1254">
        <v>0</v>
      </c>
      <c r="N7" s="1255">
        <v>4.1000000000000002E-2</v>
      </c>
      <c r="O7" s="1253">
        <f>0-N7</f>
        <v>-4.1000000000000002E-2</v>
      </c>
      <c r="P7" s="1253">
        <f>0-O7-N7</f>
        <v>0</v>
      </c>
      <c r="Q7" s="1254">
        <f>0.161-SUM(N7:P7)</f>
        <v>0.161</v>
      </c>
      <c r="R7" s="1253">
        <f>BG7</f>
        <v>0</v>
      </c>
      <c r="S7" s="1253">
        <f>BH7-BG7</f>
        <v>0</v>
      </c>
      <c r="T7" s="1253">
        <f>BI7-BH7</f>
        <v>0</v>
      </c>
      <c r="U7" s="1232">
        <f>BJ7-BI7</f>
        <v>-10.468</v>
      </c>
      <c r="V7" s="1253">
        <f>BK7</f>
        <v>0</v>
      </c>
      <c r="W7" s="1253">
        <f>BL7-BK7</f>
        <v>0</v>
      </c>
      <c r="X7" s="1253">
        <f>BM7-BL7</f>
        <v>0</v>
      </c>
      <c r="Y7" s="1232">
        <f>BN7-BM7</f>
        <v>-2.7810000000000001</v>
      </c>
      <c r="Z7" s="1233">
        <f>BO7</f>
        <v>0</v>
      </c>
      <c r="AA7" s="1253">
        <f>BP7-BO7</f>
        <v>0</v>
      </c>
      <c r="AB7" s="1253">
        <f>BQ7-BP7</f>
        <v>0</v>
      </c>
      <c r="AC7" s="1232">
        <f t="shared" si="2"/>
        <v>0.26500000000000001</v>
      </c>
      <c r="AD7" s="1233">
        <f t="shared" si="3"/>
        <v>0</v>
      </c>
      <c r="AE7" s="1253">
        <f t="shared" si="4"/>
        <v>0</v>
      </c>
      <c r="AF7" s="1253">
        <f t="shared" si="4"/>
        <v>0</v>
      </c>
      <c r="AG7" s="1253">
        <f t="shared" si="4"/>
        <v>0</v>
      </c>
      <c r="AH7" s="1233">
        <f t="shared" si="5"/>
        <v>0</v>
      </c>
      <c r="AI7" s="1253">
        <f t="shared" si="4"/>
        <v>0</v>
      </c>
      <c r="AJ7" s="1253">
        <f t="shared" si="4"/>
        <v>0</v>
      </c>
      <c r="AK7" s="1253">
        <f t="shared" si="4"/>
        <v>0</v>
      </c>
      <c r="AL7" s="1233">
        <v>0</v>
      </c>
      <c r="AM7" s="1231">
        <v>0</v>
      </c>
      <c r="AN7" s="1231">
        <v>0</v>
      </c>
      <c r="AO7" s="1232">
        <v>0</v>
      </c>
      <c r="AP7" s="1233">
        <v>0</v>
      </c>
      <c r="AQ7" s="1231">
        <v>0</v>
      </c>
      <c r="AR7" s="1231">
        <v>0</v>
      </c>
      <c r="AS7" s="1232">
        <v>0</v>
      </c>
      <c r="AT7" s="1468"/>
      <c r="AU7" s="1462">
        <f>SUM(B7:E7)</f>
        <v>-0.873</v>
      </c>
      <c r="AV7" s="1463">
        <f>SUM(F7:I7)</f>
        <v>0</v>
      </c>
      <c r="AW7" s="1463">
        <f>SUM(J7:M7)</f>
        <v>0</v>
      </c>
      <c r="AX7" s="1463">
        <f>SUM(N7:Q7)</f>
        <v>0.161</v>
      </c>
      <c r="AY7" s="1463">
        <f>SUM(R7:U7)</f>
        <v>-10.468</v>
      </c>
      <c r="AZ7" s="1464">
        <f>SUM(V7:Y7)</f>
        <v>-2.7810000000000001</v>
      </c>
      <c r="BA7" s="1465">
        <f>SUM(Z7:AC7)</f>
        <v>0.26500000000000001</v>
      </c>
      <c r="BB7" s="1466">
        <f>SUM(AD7:AG7)</f>
        <v>0</v>
      </c>
      <c r="BC7" s="1466">
        <f t="shared" ref="BC7:BC10" si="11">SUM(AH7:AK7)</f>
        <v>0</v>
      </c>
      <c r="BD7" s="1466">
        <f t="shared" ref="BD7:BD10" si="12">SUM(AL7:AO7)</f>
        <v>0</v>
      </c>
      <c r="BE7" s="1466">
        <f>SUM(AP7:AS7)</f>
        <v>0</v>
      </c>
      <c r="BF7" s="1467"/>
      <c r="BG7" s="1253">
        <v>0</v>
      </c>
      <c r="BH7" s="1350">
        <v>0</v>
      </c>
      <c r="BI7" s="1231">
        <v>0</v>
      </c>
      <c r="BJ7" s="1232">
        <v>-10.468</v>
      </c>
      <c r="BK7" s="1253">
        <v>0</v>
      </c>
      <c r="BL7" s="1350">
        <v>0</v>
      </c>
      <c r="BM7" s="1231">
        <v>0</v>
      </c>
      <c r="BN7" s="1232">
        <v>-2.7810000000000001</v>
      </c>
      <c r="BO7" s="1233">
        <v>0</v>
      </c>
      <c r="BP7" s="1231">
        <v>0</v>
      </c>
      <c r="BQ7" s="1231">
        <v>0</v>
      </c>
      <c r="BR7" s="1232">
        <v>0.26500000000000001</v>
      </c>
      <c r="BS7" s="1233">
        <v>0</v>
      </c>
      <c r="BT7" s="1231">
        <v>0</v>
      </c>
      <c r="BU7" s="1231">
        <v>0</v>
      </c>
      <c r="BV7" s="1232">
        <v>0</v>
      </c>
      <c r="BW7" s="1233">
        <v>0</v>
      </c>
      <c r="BX7" s="1231">
        <v>0</v>
      </c>
      <c r="BY7" s="1231">
        <v>0</v>
      </c>
      <c r="BZ7" s="1232">
        <v>0</v>
      </c>
    </row>
    <row r="8" spans="1:78" ht="12" customHeight="1">
      <c r="A8" s="139" t="s">
        <v>298</v>
      </c>
      <c r="B8" s="1253">
        <v>1.036</v>
      </c>
      <c r="C8" s="1253">
        <f>2.121-B8</f>
        <v>1.085</v>
      </c>
      <c r="D8" s="1253">
        <f>3.316-C8-B8</f>
        <v>1.1949999999999998</v>
      </c>
      <c r="E8" s="1254">
        <f>4.692-D8-C8-B8</f>
        <v>1.3760000000000003</v>
      </c>
      <c r="F8" s="1235">
        <v>1.454</v>
      </c>
      <c r="G8" s="1253">
        <f>2.994-F8</f>
        <v>1.5400000000000003</v>
      </c>
      <c r="H8" s="1253">
        <f>4.58-SUM(F8:G8)</f>
        <v>1.5859999999999999</v>
      </c>
      <c r="I8" s="1254">
        <f>6.192-H8-G8-F8</f>
        <v>1.6119999999999999</v>
      </c>
      <c r="J8" s="1235">
        <v>1.6220000000000001</v>
      </c>
      <c r="K8" s="1253">
        <f>3.089-J8</f>
        <v>1.4669999999999999</v>
      </c>
      <c r="L8" s="1253">
        <f>4.604-K8-J8</f>
        <v>1.5150000000000003</v>
      </c>
      <c r="M8" s="1253">
        <f>6.88-SUM(J8:L8)</f>
        <v>2.2759999999999998</v>
      </c>
      <c r="N8" s="1255">
        <v>2.6779999999999999</v>
      </c>
      <c r="O8" s="1253">
        <f>5.268-N8</f>
        <v>2.59</v>
      </c>
      <c r="P8" s="1253">
        <f>7.98-O8-N8</f>
        <v>2.7120000000000006</v>
      </c>
      <c r="Q8" s="1254">
        <f>10.633-SUM(N8:P8)</f>
        <v>2.6529999999999987</v>
      </c>
      <c r="R8" s="1253">
        <f t="shared" ref="R8:R10" si="13">BG8</f>
        <v>2.8159999999999998</v>
      </c>
      <c r="S8" s="1253">
        <f t="shared" ref="S8:S10" si="14">BH8-BG8</f>
        <v>3.9910000000000005</v>
      </c>
      <c r="T8" s="1253">
        <f t="shared" si="0"/>
        <v>4.3159999999999989</v>
      </c>
      <c r="U8" s="1254">
        <f t="shared" si="0"/>
        <v>5.0470000000000024</v>
      </c>
      <c r="V8" s="1253">
        <f t="shared" ref="V8:V10" si="15">BK8</f>
        <v>4.8959999999999999</v>
      </c>
      <c r="W8" s="1253">
        <f t="shared" ref="W8:X10" si="16">BL8-BK8</f>
        <v>5.2450000000000001</v>
      </c>
      <c r="X8" s="1253">
        <f t="shared" si="16"/>
        <v>5.77</v>
      </c>
      <c r="Y8" s="1254">
        <f t="shared" si="1"/>
        <v>6.2829999999999995</v>
      </c>
      <c r="Z8" s="1255">
        <f t="shared" ref="Z8:Z10" si="17">BO8</f>
        <v>6.3650000000000002</v>
      </c>
      <c r="AA8" s="1253">
        <f t="shared" ref="AA8:AB10" si="18">BP8-BO8</f>
        <v>6.2590000000000003</v>
      </c>
      <c r="AB8" s="1253">
        <f t="shared" si="18"/>
        <v>6.275999999999998</v>
      </c>
      <c r="AC8" s="1254">
        <f t="shared" si="2"/>
        <v>8.208000000000002</v>
      </c>
      <c r="AD8" s="1255">
        <f t="shared" si="3"/>
        <v>8.2319999999999993</v>
      </c>
      <c r="AE8" s="1253">
        <f t="shared" si="4"/>
        <v>7.6320000000000014</v>
      </c>
      <c r="AF8" s="1253">
        <f t="shared" si="4"/>
        <v>8.57</v>
      </c>
      <c r="AG8" s="1253">
        <f t="shared" si="4"/>
        <v>8.7750000000000021</v>
      </c>
      <c r="AH8" s="1255">
        <f t="shared" si="5"/>
        <v>9.8539999999999992</v>
      </c>
      <c r="AI8" s="1253">
        <f t="shared" si="4"/>
        <v>10.826000000000001</v>
      </c>
      <c r="AJ8" s="1253">
        <f t="shared" si="4"/>
        <v>11.137</v>
      </c>
      <c r="AK8" s="1253">
        <f t="shared" si="4"/>
        <v>10.137999999999998</v>
      </c>
      <c r="AL8" s="1255">
        <f t="shared" ref="AL8:AS8" si="19">AL76</f>
        <v>11.242696992057521</v>
      </c>
      <c r="AM8" s="1253">
        <f t="shared" si="19"/>
        <v>11.362936499465221</v>
      </c>
      <c r="AN8" s="1253">
        <f t="shared" si="19"/>
        <v>11.418322666277136</v>
      </c>
      <c r="AO8" s="1254">
        <f t="shared" si="19"/>
        <v>11.567403870226588</v>
      </c>
      <c r="AP8" s="1255">
        <f t="shared" si="19"/>
        <v>11.536665752093993</v>
      </c>
      <c r="AQ8" s="1253">
        <f t="shared" si="19"/>
        <v>11.66448712458719</v>
      </c>
      <c r="AR8" s="1253">
        <f t="shared" si="19"/>
        <v>11.722800097226125</v>
      </c>
      <c r="AS8" s="1254">
        <f t="shared" si="19"/>
        <v>11.881430408658694</v>
      </c>
      <c r="AT8" s="1468"/>
      <c r="AU8" s="1462">
        <f t="shared" ref="AU8:AU10" si="20">SUM(B8:E8)</f>
        <v>4.6920000000000002</v>
      </c>
      <c r="AV8" s="1463">
        <f t="shared" ref="AV8:AV10" si="21">SUM(F8:I8)</f>
        <v>6.1920000000000002</v>
      </c>
      <c r="AW8" s="1463">
        <f t="shared" ref="AW8:AW10" si="22">SUM(J8:M8)</f>
        <v>6.88</v>
      </c>
      <c r="AX8" s="1463">
        <f t="shared" ref="AX8:AX10" si="23">SUM(N8:Q8)</f>
        <v>10.632999999999999</v>
      </c>
      <c r="AY8" s="1463">
        <f t="shared" ref="AY8:AY10" si="24">SUM(R8:U8)</f>
        <v>16.170000000000002</v>
      </c>
      <c r="AZ8" s="1464">
        <f t="shared" ref="AZ8:AZ10" si="25">SUM(V8:Y8)</f>
        <v>22.193999999999999</v>
      </c>
      <c r="BA8" s="1465">
        <f t="shared" ref="BA8:BA10" si="26">SUM(Z8:AC8)</f>
        <v>27.108000000000001</v>
      </c>
      <c r="BB8" s="1466">
        <f t="shared" ref="BB8:BB10" si="27">SUM(AD8:AG8)</f>
        <v>33.209000000000003</v>
      </c>
      <c r="BC8" s="1466">
        <f t="shared" si="11"/>
        <v>41.954999999999998</v>
      </c>
      <c r="BD8" s="1466">
        <f t="shared" si="12"/>
        <v>45.591360028026472</v>
      </c>
      <c r="BE8" s="1466">
        <f>SUM(AP8:AS8)</f>
        <v>46.805383382566006</v>
      </c>
      <c r="BF8" s="1467"/>
      <c r="BG8" s="1253">
        <v>2.8159999999999998</v>
      </c>
      <c r="BH8" s="1231">
        <v>6.8070000000000004</v>
      </c>
      <c r="BI8" s="1231">
        <v>11.122999999999999</v>
      </c>
      <c r="BJ8" s="1232">
        <v>16.170000000000002</v>
      </c>
      <c r="BK8" s="1253">
        <v>4.8959999999999999</v>
      </c>
      <c r="BL8" s="1231">
        <v>10.141</v>
      </c>
      <c r="BM8" s="1231">
        <v>15.911</v>
      </c>
      <c r="BN8" s="1232">
        <v>22.193999999999999</v>
      </c>
      <c r="BO8" s="1233">
        <v>6.3650000000000002</v>
      </c>
      <c r="BP8" s="1231">
        <v>12.624000000000001</v>
      </c>
      <c r="BQ8" s="1231">
        <v>18.899999999999999</v>
      </c>
      <c r="BR8" s="1232">
        <v>27.108000000000001</v>
      </c>
      <c r="BS8" s="1233">
        <v>8.2319999999999993</v>
      </c>
      <c r="BT8" s="1231">
        <v>15.864000000000001</v>
      </c>
      <c r="BU8" s="1231">
        <v>24.434000000000001</v>
      </c>
      <c r="BV8" s="1232">
        <v>33.209000000000003</v>
      </c>
      <c r="BW8" s="1233">
        <v>9.8539999999999992</v>
      </c>
      <c r="BX8" s="1231">
        <v>20.68</v>
      </c>
      <c r="BY8" s="1231">
        <v>31.817</v>
      </c>
      <c r="BZ8" s="1232">
        <v>41.954999999999998</v>
      </c>
    </row>
    <row r="9" spans="1:78" ht="12" customHeight="1">
      <c r="A9" s="139" t="s">
        <v>299</v>
      </c>
      <c r="B9" s="1253">
        <v>1.6259999999999999</v>
      </c>
      <c r="C9" s="1253">
        <f>3.475-B9</f>
        <v>1.8490000000000002</v>
      </c>
      <c r="D9" s="1253">
        <f>5.503-C9-B9</f>
        <v>2.028</v>
      </c>
      <c r="E9" s="1254">
        <f>7.76-D9-C9-B9</f>
        <v>2.2569999999999992</v>
      </c>
      <c r="F9" s="1235">
        <v>2.399</v>
      </c>
      <c r="G9" s="1253">
        <f>5.423-F9</f>
        <v>3.024</v>
      </c>
      <c r="H9" s="1253">
        <f>14.206-G9-F9</f>
        <v>8.7829999999999977</v>
      </c>
      <c r="I9" s="1254">
        <f>22.875-H9-G9-F9</f>
        <v>8.6690000000000005</v>
      </c>
      <c r="J9" s="1235">
        <v>9.3190000000000008</v>
      </c>
      <c r="K9" s="1253">
        <f>20.692-J9</f>
        <v>11.372999999999999</v>
      </c>
      <c r="L9" s="1253">
        <f>31.191-K9-J9</f>
        <v>10.498999999999997</v>
      </c>
      <c r="M9" s="1253">
        <f>41.61-SUM(J9:L9)</f>
        <v>10.419000000000004</v>
      </c>
      <c r="N9" s="1255">
        <v>13.035</v>
      </c>
      <c r="O9" s="1253">
        <f>28.701-N9</f>
        <v>15.666</v>
      </c>
      <c r="P9" s="1253">
        <f>44.001-O9-N9</f>
        <v>15.299999999999997</v>
      </c>
      <c r="Q9" s="1254">
        <f>59.573-SUM(N9:P9)</f>
        <v>15.572000000000003</v>
      </c>
      <c r="R9" s="1253">
        <f t="shared" si="13"/>
        <v>16.952000000000002</v>
      </c>
      <c r="S9" s="1253">
        <f t="shared" si="14"/>
        <v>20.468999999999998</v>
      </c>
      <c r="T9" s="1253">
        <f t="shared" si="0"/>
        <v>20.911999999999999</v>
      </c>
      <c r="U9" s="1254">
        <f t="shared" si="0"/>
        <v>21.072000000000003</v>
      </c>
      <c r="V9" s="1253">
        <f t="shared" si="15"/>
        <v>25.398</v>
      </c>
      <c r="W9" s="1253">
        <f t="shared" si="16"/>
        <v>31.913</v>
      </c>
      <c r="X9" s="1253">
        <f t="shared" si="16"/>
        <v>32.642999999999994</v>
      </c>
      <c r="Y9" s="1254">
        <f t="shared" si="1"/>
        <v>30.679000000000002</v>
      </c>
      <c r="Z9" s="1255">
        <f t="shared" si="17"/>
        <v>34.116999999999997</v>
      </c>
      <c r="AA9" s="1253">
        <f t="shared" si="18"/>
        <v>37.860000000000007</v>
      </c>
      <c r="AB9" s="1253">
        <f t="shared" si="18"/>
        <v>36.834999999999994</v>
      </c>
      <c r="AC9" s="1254">
        <f t="shared" si="2"/>
        <v>36.515000000000001</v>
      </c>
      <c r="AD9" s="1255">
        <f t="shared" si="3"/>
        <v>39.719000000000001</v>
      </c>
      <c r="AE9" s="1253">
        <f t="shared" si="4"/>
        <v>41.398000000000003</v>
      </c>
      <c r="AF9" s="1253">
        <f t="shared" si="4"/>
        <v>41.683999999999997</v>
      </c>
      <c r="AG9" s="1254">
        <f t="shared" si="4"/>
        <v>40.713999999999984</v>
      </c>
      <c r="AH9" s="1255">
        <f t="shared" si="5"/>
        <v>55.902999999999999</v>
      </c>
      <c r="AI9" s="1253">
        <f t="shared" si="4"/>
        <v>46.526000000000003</v>
      </c>
      <c r="AJ9" s="1253">
        <f t="shared" si="4"/>
        <v>44.882000000000005</v>
      </c>
      <c r="AK9" s="1254">
        <f t="shared" si="4"/>
        <v>44.501999999999981</v>
      </c>
      <c r="AL9" s="1255">
        <f>'Income Statement'!AL82</f>
        <v>54.299024850000002</v>
      </c>
      <c r="AM9" s="1253">
        <f>'Income Statement'!AM82</f>
        <v>47.796576299999998</v>
      </c>
      <c r="AN9" s="1253">
        <f>'Income Statement'!AN82</f>
        <v>48.374464500000002</v>
      </c>
      <c r="AO9" s="1254">
        <f>'Income Statement'!AO82</f>
        <v>49.929947999999989</v>
      </c>
      <c r="AP9" s="1255">
        <f>'Income Statement'!AP82</f>
        <v>57.877438051965001</v>
      </c>
      <c r="AQ9" s="1253">
        <f>'Income Statement'!AQ82</f>
        <v>50.942895281639991</v>
      </c>
      <c r="AR9" s="1253">
        <f>'Income Statement'!AR82</f>
        <v>51.551321188950013</v>
      </c>
      <c r="AS9" s="1254">
        <f>'Income Statement'!AS82</f>
        <v>53.206438168800005</v>
      </c>
      <c r="AT9" s="1468"/>
      <c r="AU9" s="1462">
        <f t="shared" si="20"/>
        <v>7.76</v>
      </c>
      <c r="AV9" s="1463">
        <f t="shared" si="21"/>
        <v>22.875</v>
      </c>
      <c r="AW9" s="1463">
        <f t="shared" si="22"/>
        <v>41.61</v>
      </c>
      <c r="AX9" s="1463">
        <f t="shared" si="23"/>
        <v>59.573</v>
      </c>
      <c r="AY9" s="1463">
        <f t="shared" si="24"/>
        <v>79.405000000000001</v>
      </c>
      <c r="AZ9" s="1464">
        <f t="shared" si="25"/>
        <v>120.633</v>
      </c>
      <c r="BA9" s="1465">
        <f t="shared" si="26"/>
        <v>145.327</v>
      </c>
      <c r="BB9" s="1466">
        <f t="shared" si="27"/>
        <v>163.51499999999999</v>
      </c>
      <c r="BC9" s="1466">
        <f t="shared" si="11"/>
        <v>191.81299999999999</v>
      </c>
      <c r="BD9" s="1466">
        <f t="shared" si="12"/>
        <v>200.40001364999998</v>
      </c>
      <c r="BE9" s="1466">
        <f>SUM(AP9:AS9)</f>
        <v>213.57809269135498</v>
      </c>
      <c r="BF9" s="1467"/>
      <c r="BG9" s="1253">
        <v>16.952000000000002</v>
      </c>
      <c r="BH9" s="1231">
        <v>37.420999999999999</v>
      </c>
      <c r="BI9" s="1231">
        <v>58.332999999999998</v>
      </c>
      <c r="BJ9" s="1232">
        <v>79.405000000000001</v>
      </c>
      <c r="BK9" s="1253">
        <v>25.398</v>
      </c>
      <c r="BL9" s="1231">
        <v>57.311</v>
      </c>
      <c r="BM9" s="1231">
        <v>89.953999999999994</v>
      </c>
      <c r="BN9" s="1232">
        <v>120.633</v>
      </c>
      <c r="BO9" s="1233">
        <v>34.116999999999997</v>
      </c>
      <c r="BP9" s="1231">
        <v>71.977000000000004</v>
      </c>
      <c r="BQ9" s="1231">
        <v>108.812</v>
      </c>
      <c r="BR9" s="1232">
        <v>145.327</v>
      </c>
      <c r="BS9" s="1233">
        <v>39.719000000000001</v>
      </c>
      <c r="BT9" s="1231">
        <v>81.117000000000004</v>
      </c>
      <c r="BU9" s="1231">
        <v>122.801</v>
      </c>
      <c r="BV9" s="1232">
        <v>163.51499999999999</v>
      </c>
      <c r="BW9" s="1233">
        <v>55.902999999999999</v>
      </c>
      <c r="BX9" s="1231">
        <v>102.429</v>
      </c>
      <c r="BY9" s="1231">
        <v>147.31100000000001</v>
      </c>
      <c r="BZ9" s="1232">
        <v>191.81299999999999</v>
      </c>
    </row>
    <row r="10" spans="1:78" ht="11.65">
      <c r="A10" s="915" t="s">
        <v>300</v>
      </c>
      <c r="B10" s="1253">
        <v>-0.01</v>
      </c>
      <c r="C10" s="1253">
        <f>-0.039-B10</f>
        <v>-2.8999999999999998E-2</v>
      </c>
      <c r="D10" s="1253">
        <f>0.023-C10-B10</f>
        <v>6.2E-2</v>
      </c>
      <c r="E10" s="1254">
        <f>0.125-D10-C10-B10</f>
        <v>0.10199999999999999</v>
      </c>
      <c r="F10" s="1235">
        <v>0.08</v>
      </c>
      <c r="G10" s="1253">
        <f>0.664-F10</f>
        <v>0.58400000000000007</v>
      </c>
      <c r="H10" s="1253">
        <f>0.771-G10-F10</f>
        <v>0.10699999999999994</v>
      </c>
      <c r="I10" s="1254">
        <f>0.533-H10-G10-F10</f>
        <v>-0.23799999999999999</v>
      </c>
      <c r="J10" s="1235">
        <v>-0.28399999999999997</v>
      </c>
      <c r="K10" s="1253">
        <f>-1.022-J10</f>
        <v>-0.73799999999999999</v>
      </c>
      <c r="L10" s="1253">
        <f>-0.787-K10-J10</f>
        <v>0.23499999999999993</v>
      </c>
      <c r="M10" s="1254">
        <f>3.459-SUM(J10:L10)</f>
        <v>4.2460000000000004</v>
      </c>
      <c r="N10" s="1255">
        <v>0.47399999999999998</v>
      </c>
      <c r="O10" s="1253">
        <f>0.606-N10</f>
        <v>0.13200000000000001</v>
      </c>
      <c r="P10" s="1253">
        <f>1.009-O10-N10</f>
        <v>0.40299999999999991</v>
      </c>
      <c r="Q10" s="1254">
        <f>1.071-SUM(N10:P10)</f>
        <v>6.2000000000000055E-2</v>
      </c>
      <c r="R10" s="1253">
        <f t="shared" si="13"/>
        <v>0.313</v>
      </c>
      <c r="S10" s="421">
        <f t="shared" si="14"/>
        <v>-0.58099999999999996</v>
      </c>
      <c r="T10" s="421">
        <f t="shared" si="0"/>
        <v>1.1000000000000001</v>
      </c>
      <c r="U10" s="1232">
        <f t="shared" si="0"/>
        <v>3.0830000000000002</v>
      </c>
      <c r="V10" s="1253">
        <f t="shared" si="15"/>
        <v>1.323</v>
      </c>
      <c r="W10" s="421">
        <f t="shared" si="16"/>
        <v>-0.65799999999999992</v>
      </c>
      <c r="X10" s="421">
        <f t="shared" si="16"/>
        <v>1.4369999999999998</v>
      </c>
      <c r="Y10" s="1232">
        <f t="shared" si="1"/>
        <v>3.4019999999999997</v>
      </c>
      <c r="Z10" s="1233">
        <f t="shared" si="17"/>
        <v>-1.556</v>
      </c>
      <c r="AA10" s="421">
        <f t="shared" si="18"/>
        <v>-1.2389999999999999</v>
      </c>
      <c r="AB10" s="421">
        <f t="shared" si="18"/>
        <v>4.633</v>
      </c>
      <c r="AC10" s="1232">
        <f t="shared" si="2"/>
        <v>-1.3630000000000007</v>
      </c>
      <c r="AD10" s="1233">
        <f t="shared" si="3"/>
        <v>-0.34399999999999986</v>
      </c>
      <c r="AE10" s="421">
        <f t="shared" si="4"/>
        <v>3.3399999999999994</v>
      </c>
      <c r="AF10" s="421">
        <f t="shared" si="4"/>
        <v>-0.92999999999999972</v>
      </c>
      <c r="AG10" s="1469">
        <f t="shared" si="4"/>
        <v>1.2749999999999995</v>
      </c>
      <c r="AH10" s="1233">
        <f t="shared" si="5"/>
        <v>0.14800000000000002</v>
      </c>
      <c r="AI10" s="421">
        <f t="shared" si="4"/>
        <v>7.9999999999999738E-2</v>
      </c>
      <c r="AJ10" s="421">
        <f t="shared" si="4"/>
        <v>1.0678000000000001</v>
      </c>
      <c r="AK10" s="1469">
        <f t="shared" si="4"/>
        <v>0.88920000000000021</v>
      </c>
      <c r="AL10" s="1233">
        <v>0</v>
      </c>
      <c r="AM10" s="1231">
        <v>0</v>
      </c>
      <c r="AN10" s="1231">
        <v>0</v>
      </c>
      <c r="AO10" s="1232">
        <v>0</v>
      </c>
      <c r="AP10" s="1233">
        <v>0</v>
      </c>
      <c r="AQ10" s="1231">
        <v>0</v>
      </c>
      <c r="AR10" s="1231">
        <v>0</v>
      </c>
      <c r="AS10" s="1232">
        <v>0</v>
      </c>
      <c r="AT10" s="1467"/>
      <c r="AU10" s="1462">
        <f t="shared" si="20"/>
        <v>0.125</v>
      </c>
      <c r="AV10" s="1463">
        <f t="shared" si="21"/>
        <v>0.53300000000000003</v>
      </c>
      <c r="AW10" s="1463">
        <f t="shared" si="22"/>
        <v>3.4590000000000005</v>
      </c>
      <c r="AX10" s="1463">
        <f t="shared" si="23"/>
        <v>1.071</v>
      </c>
      <c r="AY10" s="1463">
        <f t="shared" si="24"/>
        <v>3.915</v>
      </c>
      <c r="AZ10" s="1464">
        <f t="shared" si="25"/>
        <v>5.5039999999999996</v>
      </c>
      <c r="BA10" s="1465">
        <f t="shared" si="26"/>
        <v>0.47499999999999942</v>
      </c>
      <c r="BB10" s="1466">
        <f t="shared" si="27"/>
        <v>3.3409999999999993</v>
      </c>
      <c r="BC10" s="1466">
        <f t="shared" si="11"/>
        <v>2.1850000000000001</v>
      </c>
      <c r="BD10" s="1466">
        <f t="shared" si="12"/>
        <v>0</v>
      </c>
      <c r="BE10" s="1466">
        <f>SUM(AP10:AS10)</f>
        <v>0</v>
      </c>
      <c r="BF10" s="1467"/>
      <c r="BG10" s="1253">
        <v>0.313</v>
      </c>
      <c r="BH10" s="1231">
        <v>-0.26800000000000002</v>
      </c>
      <c r="BI10" s="531">
        <v>0.83199999999999996</v>
      </c>
      <c r="BJ10" s="1470">
        <v>3.915</v>
      </c>
      <c r="BK10" s="1253">
        <v>1.323</v>
      </c>
      <c r="BL10" s="1231">
        <v>0.66500000000000004</v>
      </c>
      <c r="BM10" s="1231">
        <v>2.1019999999999999</v>
      </c>
      <c r="BN10" s="1470">
        <v>5.5039999999999996</v>
      </c>
      <c r="BO10" s="1233">
        <v>-1.556</v>
      </c>
      <c r="BP10" s="1231">
        <v>-2.7949999999999999</v>
      </c>
      <c r="BQ10" s="1231">
        <v>1.8380000000000001</v>
      </c>
      <c r="BR10" s="33">
        <f>-8.323+5.617+1.267+1.914</f>
        <v>0.47499999999999942</v>
      </c>
      <c r="BS10" s="1233">
        <f>-2.284+0.329+1.611</f>
        <v>-0.34399999999999986</v>
      </c>
      <c r="BT10" s="1231">
        <f>-4.378+0.662+4.528+2.184</f>
        <v>2.9959999999999996</v>
      </c>
      <c r="BU10" s="1231">
        <f>-6.141+1.003-1.452+4.528+4.128</f>
        <v>2.0659999999999998</v>
      </c>
      <c r="BV10" s="1232">
        <f>-7.595+1.353-1.452+4.528+6.507</f>
        <v>3.3409999999999993</v>
      </c>
      <c r="BW10" s="1233">
        <v>0.14800000000000002</v>
      </c>
      <c r="BX10" s="1231">
        <f>-1.975+0.707+1.496</f>
        <v>0.22799999999999976</v>
      </c>
      <c r="BY10" s="1231">
        <f>-2.568+1.071+0.0018+0+2.791</f>
        <v>1.2957999999999998</v>
      </c>
      <c r="BZ10" s="1232">
        <f>-3.131+1.442+0.018+3.856</f>
        <v>2.1850000000000001</v>
      </c>
    </row>
    <row r="11" spans="1:78" s="45" customFormat="1" ht="12" customHeight="1">
      <c r="A11" s="1471" t="s">
        <v>301</v>
      </c>
      <c r="B11" s="1253"/>
      <c r="C11" s="1253"/>
      <c r="D11" s="1253"/>
      <c r="E11" s="1254"/>
      <c r="F11" s="1235"/>
      <c r="G11" s="1253"/>
      <c r="H11" s="1253"/>
      <c r="I11" s="1254"/>
      <c r="J11" s="1235"/>
      <c r="K11" s="1253"/>
      <c r="L11" s="1253"/>
      <c r="M11" s="1253"/>
      <c r="N11" s="1255"/>
      <c r="O11" s="1253"/>
      <c r="P11" s="184"/>
      <c r="Q11" s="1273"/>
      <c r="R11" s="184"/>
      <c r="S11" s="184"/>
      <c r="T11" s="184"/>
      <c r="U11" s="1245"/>
      <c r="V11" s="184"/>
      <c r="W11" s="184"/>
      <c r="X11" s="184"/>
      <c r="Y11" s="1245"/>
      <c r="Z11" s="189"/>
      <c r="AA11" s="184"/>
      <c r="AB11" s="184"/>
      <c r="AC11" s="1245"/>
      <c r="AD11" s="189"/>
      <c r="AE11" s="184"/>
      <c r="AF11" s="184"/>
      <c r="AG11" s="1273"/>
      <c r="AH11" s="189"/>
      <c r="AI11" s="184"/>
      <c r="AJ11" s="184"/>
      <c r="AK11" s="1273"/>
      <c r="AL11" s="189"/>
      <c r="AM11" s="189"/>
      <c r="AN11" s="189"/>
      <c r="AO11" s="1245"/>
      <c r="AP11" s="189"/>
      <c r="AQ11" s="189"/>
      <c r="AR11" s="189"/>
      <c r="AS11" s="1245"/>
      <c r="AT11" s="41"/>
      <c r="AU11" s="1462"/>
      <c r="AV11" s="1466"/>
      <c r="AW11" s="1472"/>
      <c r="AX11" s="1462"/>
      <c r="AY11" s="1463"/>
      <c r="AZ11" s="1464"/>
      <c r="BA11" s="1465"/>
      <c r="BB11" s="1472"/>
      <c r="BC11" s="1472"/>
      <c r="BD11" s="1472"/>
      <c r="BE11" s="1472"/>
      <c r="BF11" s="1473"/>
      <c r="BG11" s="184"/>
      <c r="BH11" s="1231"/>
      <c r="BI11" s="189"/>
      <c r="BJ11" s="1474"/>
      <c r="BK11" s="184"/>
      <c r="BL11" s="1231"/>
      <c r="BM11" s="1231"/>
      <c r="BN11" s="1474"/>
      <c r="BO11" s="1246"/>
      <c r="BP11" s="1231"/>
      <c r="BQ11" s="1231"/>
      <c r="BR11" s="1474"/>
      <c r="BS11" s="1246"/>
      <c r="BT11" s="1231"/>
      <c r="BU11" s="1231"/>
      <c r="BV11" s="1474"/>
      <c r="BW11" s="1246"/>
      <c r="BX11" s="1231"/>
      <c r="BY11" s="1231"/>
      <c r="BZ11" s="1474"/>
    </row>
    <row r="12" spans="1:78" ht="12" customHeight="1">
      <c r="A12" s="1475" t="s">
        <v>302</v>
      </c>
      <c r="B12" s="1253">
        <v>5.1980000000000004</v>
      </c>
      <c r="C12" s="1253">
        <f>-1.205-B12</f>
        <v>-6.4030000000000005</v>
      </c>
      <c r="D12" s="1253">
        <f>-8.435-C12-B12</f>
        <v>-7.23</v>
      </c>
      <c r="E12" s="1461">
        <f>-14.769-D12-C12-B12</f>
        <v>-6.3339999999999996</v>
      </c>
      <c r="F12" s="1235">
        <v>7.7919999999999998</v>
      </c>
      <c r="G12" s="1253">
        <f>0.85-F12</f>
        <v>-6.9420000000000002</v>
      </c>
      <c r="H12" s="1253">
        <f>-8.19-G12-F12</f>
        <v>-9.0399999999999991</v>
      </c>
      <c r="I12" s="1461">
        <f>-17.408-H12-G12-F12</f>
        <v>-9.2180000000000017</v>
      </c>
      <c r="J12" s="1235">
        <v>11.103999999999999</v>
      </c>
      <c r="K12" s="1253">
        <f>-0.658-J12</f>
        <v>-11.761999999999999</v>
      </c>
      <c r="L12" s="1253">
        <f>-13.309-K12-J12</f>
        <v>-12.651</v>
      </c>
      <c r="M12" s="1253">
        <f>+-25.941-SUM(J12:L12)</f>
        <v>-12.632</v>
      </c>
      <c r="N12" s="1255">
        <v>20.812999999999999</v>
      </c>
      <c r="O12" s="1253">
        <f>13.512-N12</f>
        <v>-7.3009999999999984</v>
      </c>
      <c r="P12" s="1253">
        <f>7.774-O12-N12</f>
        <v>-5.7379999999999995</v>
      </c>
      <c r="Q12" s="1461">
        <f>-20.012-SUM(N12:P12)</f>
        <v>-27.786000000000001</v>
      </c>
      <c r="R12" s="1253">
        <f t="shared" ref="R12:R19" si="28">BG12</f>
        <v>32.454999999999998</v>
      </c>
      <c r="S12" s="1253">
        <f t="shared" ref="S12:U19" si="29">BH12-BG12</f>
        <v>-13.469999999999999</v>
      </c>
      <c r="T12" s="1253">
        <f t="shared" si="29"/>
        <v>-14.991999999999999</v>
      </c>
      <c r="U12" s="1461">
        <f t="shared" si="29"/>
        <v>-21.221</v>
      </c>
      <c r="V12" s="1253">
        <f t="shared" ref="V12:V19" si="30">BK12</f>
        <v>40.341000000000001</v>
      </c>
      <c r="W12" s="1253">
        <f t="shared" ref="W12:Y19" si="31">BL12-BK12</f>
        <v>-12.677</v>
      </c>
      <c r="X12" s="1253">
        <f t="shared" si="31"/>
        <v>-38.391000000000005</v>
      </c>
      <c r="Y12" s="1461">
        <f t="shared" si="31"/>
        <v>-40.528999999999996</v>
      </c>
      <c r="Z12" s="1253">
        <f t="shared" ref="Z12:Z19" si="32">BO12</f>
        <v>64.438999999999993</v>
      </c>
      <c r="AA12" s="1253">
        <f t="shared" ref="AA12:AB19" si="33">BP12-BO12</f>
        <v>-30.441999999999993</v>
      </c>
      <c r="AB12" s="1253">
        <f t="shared" si="33"/>
        <v>-24.913</v>
      </c>
      <c r="AC12" s="1461">
        <f t="shared" si="2"/>
        <v>-39.126000000000005</v>
      </c>
      <c r="AD12" s="1253">
        <f t="shared" si="3"/>
        <v>63.436999999999998</v>
      </c>
      <c r="AE12" s="1253">
        <f t="shared" ref="AE12:AK19" si="34">BT12-BS12</f>
        <v>-22.974999999999994</v>
      </c>
      <c r="AF12" s="1253">
        <f t="shared" si="34"/>
        <v>-13.551000000000002</v>
      </c>
      <c r="AG12" s="1461">
        <f t="shared" si="34"/>
        <v>-65.640999999999991</v>
      </c>
      <c r="AH12" s="1253">
        <f t="shared" si="5"/>
        <v>92.968000000000004</v>
      </c>
      <c r="AI12" s="1253">
        <f t="shared" si="34"/>
        <v>-13.201999999999998</v>
      </c>
      <c r="AJ12" s="1253">
        <f t="shared" si="34"/>
        <v>-20.033000000000008</v>
      </c>
      <c r="AK12" s="1461">
        <f t="shared" si="34"/>
        <v>-77.968999999999994</v>
      </c>
      <c r="AL12" s="1253">
        <f>'Balance Sheet'!AK8-'Balance Sheet'!AL8</f>
        <v>103.39110349030778</v>
      </c>
      <c r="AM12" s="1253">
        <f>'Balance Sheet'!AL8-'Balance Sheet'!AM8</f>
        <v>-12.894866528172003</v>
      </c>
      <c r="AN12" s="1253">
        <f>'Balance Sheet'!AM8-'Balance Sheet'!AN8</f>
        <v>-19.432562084265726</v>
      </c>
      <c r="AO12" s="1461">
        <f>'Balance Sheet'!AN8-'Balance Sheet'!AO8</f>
        <v>-83.043981393975713</v>
      </c>
      <c r="AP12" s="1253">
        <f>'Balance Sheet'!AO8-'Balance Sheet'!AP8</f>
        <v>109.8292489137007</v>
      </c>
      <c r="AQ12" s="1253">
        <f>'Balance Sheet'!AP8-'Balance Sheet'!AQ8</f>
        <v>-13.568178708632303</v>
      </c>
      <c r="AR12" s="1253">
        <f>'Balance Sheet'!AQ8-'Balance Sheet'!AR8</f>
        <v>-20.605394432429392</v>
      </c>
      <c r="AS12" s="1461">
        <f>'Balance Sheet'!AR8-'Balance Sheet'!AS8</f>
        <v>-88.281439720849761</v>
      </c>
      <c r="AT12" s="594"/>
      <c r="AU12" s="1462">
        <f t="shared" ref="AU12:AU19" si="35">SUM(B12:E12)</f>
        <v>-14.769</v>
      </c>
      <c r="AV12" s="1466">
        <f t="shared" ref="AV12:AV20" si="36">SUM(F12:I12)</f>
        <v>-17.408000000000001</v>
      </c>
      <c r="AW12" s="1472">
        <f t="shared" ref="AW12:AW20" si="37">SUM(J12:M12)</f>
        <v>-25.940999999999999</v>
      </c>
      <c r="AX12" s="1462">
        <f t="shared" ref="AX12:AX20" si="38">SUM(N12:Q12)</f>
        <v>-20.012</v>
      </c>
      <c r="AY12" s="1463">
        <f t="shared" ref="AY12:AY20" si="39">SUM(R12:U12)</f>
        <v>-17.228000000000002</v>
      </c>
      <c r="AZ12" s="1464">
        <f t="shared" ref="AZ12:AZ20" si="40">SUM(V12:Y12)</f>
        <v>-51.256</v>
      </c>
      <c r="BA12" s="1465">
        <f t="shared" ref="BA12:BA20" si="41">SUM(Z12:AC12)</f>
        <v>-30.042000000000005</v>
      </c>
      <c r="BB12" s="1466">
        <f t="shared" ref="BB12:BB20" si="42">SUM(AD12:AG12)</f>
        <v>-38.72999999999999</v>
      </c>
      <c r="BC12" s="1466">
        <f t="shared" ref="BC12:BC20" si="43">SUM(AH12:AK12)</f>
        <v>-18.235999999999997</v>
      </c>
      <c r="BD12" s="1466">
        <f t="shared" ref="BD12:BD20" si="44">SUM(AL12:AO12)</f>
        <v>-11.980306516105657</v>
      </c>
      <c r="BE12" s="1466">
        <f t="shared" ref="BE12:BE20" si="45">SUM(AP12:AS12)</f>
        <v>-12.625763948210761</v>
      </c>
      <c r="BF12" s="1460"/>
      <c r="BG12" s="1253">
        <v>32.454999999999998</v>
      </c>
      <c r="BH12" s="1231">
        <v>18.984999999999999</v>
      </c>
      <c r="BI12" s="1231">
        <v>3.9929999999999999</v>
      </c>
      <c r="BJ12" s="1472">
        <v>-17.228000000000002</v>
      </c>
      <c r="BK12" s="1253">
        <v>40.341000000000001</v>
      </c>
      <c r="BL12" s="1231">
        <v>27.664000000000001</v>
      </c>
      <c r="BM12" s="1231">
        <v>-10.727</v>
      </c>
      <c r="BN12" s="1472">
        <v>-51.256</v>
      </c>
      <c r="BO12" s="1233">
        <v>64.438999999999993</v>
      </c>
      <c r="BP12" s="1231">
        <v>33.997</v>
      </c>
      <c r="BQ12" s="1231">
        <v>9.0839999999999996</v>
      </c>
      <c r="BR12" s="1472">
        <v>-30.042000000000002</v>
      </c>
      <c r="BS12" s="1233">
        <v>63.436999999999998</v>
      </c>
      <c r="BT12" s="1231">
        <v>40.462000000000003</v>
      </c>
      <c r="BU12" s="1231">
        <v>26.911000000000001</v>
      </c>
      <c r="BV12" s="1472">
        <v>-38.729999999999997</v>
      </c>
      <c r="BW12" s="1233">
        <v>92.968000000000004</v>
      </c>
      <c r="BX12" s="1231">
        <v>79.766000000000005</v>
      </c>
      <c r="BY12" s="1231">
        <v>59.732999999999997</v>
      </c>
      <c r="BZ12" s="1472">
        <v>-18.236000000000001</v>
      </c>
    </row>
    <row r="13" spans="1:78" ht="12" customHeight="1">
      <c r="A13" s="1475" t="s">
        <v>303</v>
      </c>
      <c r="B13" s="1253">
        <v>0.69099999999999995</v>
      </c>
      <c r="C13" s="1253">
        <f>-0.205-B13</f>
        <v>-0.89599999999999991</v>
      </c>
      <c r="D13" s="1253">
        <f>-0.54-C13-B13</f>
        <v>-0.33500000000000008</v>
      </c>
      <c r="E13" s="1461">
        <f>-8.345-D13-C13-B13</f>
        <v>-7.8049999999999997</v>
      </c>
      <c r="F13" s="1235">
        <v>1.196</v>
      </c>
      <c r="G13" s="1253">
        <f>2.625-F13</f>
        <v>1.429</v>
      </c>
      <c r="H13" s="1253">
        <f>1.228-G13-F13</f>
        <v>-1.397</v>
      </c>
      <c r="I13" s="1461">
        <f>-6.105-H13-G13-F13</f>
        <v>-7.3330000000000002</v>
      </c>
      <c r="J13" s="1235">
        <v>1.3740000000000001</v>
      </c>
      <c r="K13" s="1253">
        <f>1.673-J13</f>
        <v>0.29899999999999993</v>
      </c>
      <c r="L13" s="1253">
        <f>0.82-K13-J13</f>
        <v>-0.85300000000000009</v>
      </c>
      <c r="M13" s="1253">
        <f>-5.188-SUM(J13:L13)</f>
        <v>-6.008</v>
      </c>
      <c r="N13" s="1255">
        <v>1.663</v>
      </c>
      <c r="O13" s="1253">
        <f>1.058-N13</f>
        <v>-0.60499999999999998</v>
      </c>
      <c r="P13" s="1253">
        <f>-6.69-O13-N13</f>
        <v>-7.7480000000000011</v>
      </c>
      <c r="Q13" s="1461">
        <f>-19.372-SUM(N13:P13)</f>
        <v>-12.681999999999999</v>
      </c>
      <c r="R13" s="1253">
        <f t="shared" si="28"/>
        <v>5.4269999999999996</v>
      </c>
      <c r="S13" s="1253">
        <f t="shared" si="29"/>
        <v>-0.34999999999999964</v>
      </c>
      <c r="T13" s="1253">
        <f t="shared" si="29"/>
        <v>-10.361000000000001</v>
      </c>
      <c r="U13" s="1461">
        <f t="shared" si="29"/>
        <v>-40.923000000000002</v>
      </c>
      <c r="V13" s="1253">
        <f t="shared" si="30"/>
        <v>8.4629999999999992</v>
      </c>
      <c r="W13" s="1253">
        <f t="shared" si="31"/>
        <v>8.3020000000000014</v>
      </c>
      <c r="X13" s="1253">
        <f t="shared" si="31"/>
        <v>3.59</v>
      </c>
      <c r="Y13" s="1461">
        <f t="shared" si="31"/>
        <v>-23.283999999999999</v>
      </c>
      <c r="Z13" s="1253">
        <f t="shared" si="32"/>
        <v>-2.7759999999999998</v>
      </c>
      <c r="AA13" s="1253">
        <f t="shared" si="33"/>
        <v>15.424999999999999</v>
      </c>
      <c r="AB13" s="1253">
        <f t="shared" si="33"/>
        <v>4.8750000000000018</v>
      </c>
      <c r="AC13" s="1461">
        <f t="shared" si="2"/>
        <v>-15.835000000000001</v>
      </c>
      <c r="AD13" s="1253">
        <f t="shared" si="3"/>
        <v>5.2160000000000002</v>
      </c>
      <c r="AE13" s="1253">
        <f t="shared" si="34"/>
        <v>12.888999999999999</v>
      </c>
      <c r="AF13" s="1253">
        <f t="shared" si="34"/>
        <v>11.762999999999998</v>
      </c>
      <c r="AG13" s="1461">
        <f t="shared" si="34"/>
        <v>-3.6979999999999968</v>
      </c>
      <c r="AH13" s="1253">
        <f t="shared" si="5"/>
        <v>-9.875</v>
      </c>
      <c r="AI13" s="1253">
        <f t="shared" si="34"/>
        <v>14.966999999999999</v>
      </c>
      <c r="AJ13" s="1253">
        <f t="shared" si="34"/>
        <v>11.785</v>
      </c>
      <c r="AK13" s="1461">
        <f t="shared" si="34"/>
        <v>-4.1099999999999994</v>
      </c>
      <c r="AL13" s="1253">
        <f>('Balance Sheet'!AK10-'Balance Sheet'!AL10)</f>
        <v>-30.633667640576533</v>
      </c>
      <c r="AM13" s="1253">
        <f>('Balance Sheet'!AL10-'Balance Sheet'!AM10)</f>
        <v>14.559935065972319</v>
      </c>
      <c r="AN13" s="1253">
        <f>('Balance Sheet'!AM10-'Balance Sheet'!AN10)</f>
        <v>11.059892070959783</v>
      </c>
      <c r="AO13" s="1461">
        <f>('Balance Sheet'!AN10-'Balance Sheet'!AO10)</f>
        <v>5.2426268487062941</v>
      </c>
      <c r="AP13" s="1253">
        <f>('Balance Sheet'!AO10-'Balance Sheet'!AP10)</f>
        <v>-32.717722788875761</v>
      </c>
      <c r="AQ13" s="1253">
        <f>('Balance Sheet'!AP10-'Balance Sheet'!AQ10)</f>
        <v>15.59769482590039</v>
      </c>
      <c r="AR13" s="1253">
        <f>('Balance Sheet'!AQ10-'Balance Sheet'!AR10)</f>
        <v>11.828615540954097</v>
      </c>
      <c r="AS13" s="1461">
        <f>('Balance Sheet'!AR10-'Balance Sheet'!AS10)</f>
        <v>5.6808453011868494</v>
      </c>
      <c r="AT13" s="594"/>
      <c r="AU13" s="1462">
        <f t="shared" si="35"/>
        <v>-8.3449999999999989</v>
      </c>
      <c r="AV13" s="1463">
        <f t="shared" si="36"/>
        <v>-6.1050000000000004</v>
      </c>
      <c r="AW13" s="1463">
        <f t="shared" si="37"/>
        <v>-5.1879999999999997</v>
      </c>
      <c r="AX13" s="1463">
        <f t="shared" si="38"/>
        <v>-19.372</v>
      </c>
      <c r="AY13" s="1463">
        <f t="shared" si="39"/>
        <v>-46.207000000000001</v>
      </c>
      <c r="AZ13" s="1464">
        <f t="shared" si="40"/>
        <v>-2.9289999999999985</v>
      </c>
      <c r="BA13" s="1465">
        <f t="shared" si="41"/>
        <v>1.6890000000000001</v>
      </c>
      <c r="BB13" s="1466">
        <f t="shared" si="42"/>
        <v>26.17</v>
      </c>
      <c r="BC13" s="1466">
        <f t="shared" si="43"/>
        <v>12.766999999999999</v>
      </c>
      <c r="BD13" s="1466">
        <f t="shared" si="44"/>
        <v>0.22878634506186302</v>
      </c>
      <c r="BE13" s="1466">
        <f t="shared" si="45"/>
        <v>0.38943287916557523</v>
      </c>
      <c r="BF13" s="1460"/>
      <c r="BG13" s="1253">
        <v>5.4269999999999996</v>
      </c>
      <c r="BH13" s="1231">
        <v>5.077</v>
      </c>
      <c r="BI13" s="1231">
        <v>-5.2839999999999998</v>
      </c>
      <c r="BJ13" s="1472">
        <v>-46.207000000000001</v>
      </c>
      <c r="BK13" s="1253">
        <v>8.4629999999999992</v>
      </c>
      <c r="BL13" s="1231">
        <v>16.765000000000001</v>
      </c>
      <c r="BM13" s="1231">
        <v>20.355</v>
      </c>
      <c r="BN13" s="1472">
        <v>-2.9289999999999998</v>
      </c>
      <c r="BO13" s="1233">
        <v>-2.7759999999999998</v>
      </c>
      <c r="BP13" s="1231">
        <v>12.648999999999999</v>
      </c>
      <c r="BQ13" s="1231">
        <v>17.524000000000001</v>
      </c>
      <c r="BR13" s="1472">
        <v>1.6890000000000001</v>
      </c>
      <c r="BS13" s="1233">
        <v>5.2160000000000002</v>
      </c>
      <c r="BT13" s="1231">
        <v>18.105</v>
      </c>
      <c r="BU13" s="1231">
        <v>29.867999999999999</v>
      </c>
      <c r="BV13" s="1472">
        <v>26.17</v>
      </c>
      <c r="BW13" s="1233">
        <v>-9.875</v>
      </c>
      <c r="BX13" s="1231">
        <v>5.0919999999999996</v>
      </c>
      <c r="BY13" s="1231">
        <v>16.876999999999999</v>
      </c>
      <c r="BZ13" s="1472">
        <v>12.766999999999999</v>
      </c>
    </row>
    <row r="14" spans="1:78" ht="12" customHeight="1">
      <c r="A14" s="1475" t="s">
        <v>304</v>
      </c>
      <c r="B14" s="1253">
        <v>-1.788</v>
      </c>
      <c r="C14" s="1253">
        <f>-6.134-B14</f>
        <v>-4.3460000000000001</v>
      </c>
      <c r="D14" s="1253">
        <f>-11.275-C14-B14</f>
        <v>-5.141</v>
      </c>
      <c r="E14" s="1461">
        <f>-20.058-D14-C14-B14</f>
        <v>-8.7829999999999995</v>
      </c>
      <c r="F14" s="1235">
        <v>-0.27600000000000002</v>
      </c>
      <c r="G14" s="1253">
        <f>-0.629-F14</f>
        <v>-0.35299999999999998</v>
      </c>
      <c r="H14" s="1253">
        <f>-2.708-G14-F14</f>
        <v>-2.0790000000000006</v>
      </c>
      <c r="I14" s="1461">
        <f>-9.258-H14-G14-F14</f>
        <v>-6.5499999999999989</v>
      </c>
      <c r="J14" s="1235">
        <v>-0.377</v>
      </c>
      <c r="K14" s="1253">
        <f>-2.432-J14</f>
        <v>-2.0549999999999997</v>
      </c>
      <c r="L14" s="1253">
        <f>-5.089-K14-J14</f>
        <v>-2.6570000000000009</v>
      </c>
      <c r="M14" s="1253">
        <f>-12.831-SUM(J14:L14)</f>
        <v>-7.7419999999999991</v>
      </c>
      <c r="N14" s="1255">
        <v>1.5229999999999999</v>
      </c>
      <c r="O14" s="1253">
        <f>0.497-N14</f>
        <v>-1.0259999999999998</v>
      </c>
      <c r="P14" s="1253">
        <f>0.381-O14-N14</f>
        <v>-0.1160000000000001</v>
      </c>
      <c r="Q14" s="1461">
        <f>0-SUM(N14:P14)</f>
        <v>-0.38100000000000001</v>
      </c>
      <c r="R14" s="1231">
        <f t="shared" si="28"/>
        <v>0</v>
      </c>
      <c r="S14" s="1231">
        <f t="shared" si="29"/>
        <v>0</v>
      </c>
      <c r="T14" s="1231">
        <f t="shared" si="29"/>
        <v>0</v>
      </c>
      <c r="U14" s="1472">
        <f t="shared" si="29"/>
        <v>0</v>
      </c>
      <c r="V14" s="1231">
        <f t="shared" si="30"/>
        <v>0</v>
      </c>
      <c r="W14" s="1231">
        <f t="shared" si="31"/>
        <v>0</v>
      </c>
      <c r="X14" s="1231">
        <f t="shared" si="31"/>
        <v>0</v>
      </c>
      <c r="Y14" s="1472">
        <f t="shared" si="31"/>
        <v>0</v>
      </c>
      <c r="Z14" s="1233">
        <f t="shared" si="32"/>
        <v>0</v>
      </c>
      <c r="AA14" s="1231">
        <f t="shared" si="33"/>
        <v>0</v>
      </c>
      <c r="AB14" s="1231">
        <f t="shared" si="33"/>
        <v>0</v>
      </c>
      <c r="AC14" s="1472">
        <f t="shared" si="2"/>
        <v>0</v>
      </c>
      <c r="AD14" s="1233">
        <f t="shared" si="3"/>
        <v>0</v>
      </c>
      <c r="AE14" s="1231">
        <f t="shared" si="34"/>
        <v>0</v>
      </c>
      <c r="AF14" s="1231">
        <f t="shared" si="34"/>
        <v>0</v>
      </c>
      <c r="AG14" s="1472">
        <f t="shared" si="34"/>
        <v>0</v>
      </c>
      <c r="AH14" s="1233">
        <f t="shared" si="5"/>
        <v>0</v>
      </c>
      <c r="AI14" s="1231">
        <f t="shared" si="34"/>
        <v>0</v>
      </c>
      <c r="AJ14" s="1231">
        <f t="shared" si="34"/>
        <v>0</v>
      </c>
      <c r="AK14" s="1472">
        <f t="shared" si="34"/>
        <v>0</v>
      </c>
      <c r="AL14" s="1233">
        <f>('Balance Sheet'!AK9-'Balance Sheet'!AL9)+('Balance Sheet'!AK14-'Balance Sheet'!AL14)</f>
        <v>3.4790264723815199</v>
      </c>
      <c r="AM14" s="1231">
        <f>('Balance Sheet'!AL9-'Balance Sheet'!AM9)+('Balance Sheet'!AL14-'Balance Sheet'!AM14)</f>
        <v>2.9144611553161965</v>
      </c>
      <c r="AN14" s="1231">
        <f>('Balance Sheet'!AM9-'Balance Sheet'!AN9)+('Balance Sheet'!AM14-'Balance Sheet'!AN14)</f>
        <v>1.0752659863095744</v>
      </c>
      <c r="AO14" s="1472">
        <f>('Balance Sheet'!AN9-'Balance Sheet'!AO9)+('Balance Sheet'!AN14-'Balance Sheet'!AO14)</f>
        <v>-9.9840545160964638</v>
      </c>
      <c r="AP14" s="1233">
        <f>('Balance Sheet'!AO9-'Balance Sheet'!AP9)+('Balance Sheet'!AO14-'Balance Sheet'!AP14)</f>
        <v>3.5224413058523822</v>
      </c>
      <c r="AQ14" s="1231">
        <f>('Balance Sheet'!AP9-'Balance Sheet'!AQ9)+('Balance Sheet'!AP14-'Balance Sheet'!AQ14)</f>
        <v>3.2635458265085902</v>
      </c>
      <c r="AR14" s="1231">
        <f>('Balance Sheet'!AQ9-'Balance Sheet'!AR9)+('Balance Sheet'!AQ14-'Balance Sheet'!AR14)</f>
        <v>1.2318228101469444</v>
      </c>
      <c r="AS14" s="1472">
        <f>('Balance Sheet'!AR9-'Balance Sheet'!AS9)+('Balance Sheet'!AR14-'Balance Sheet'!AS14)</f>
        <v>-10.4494139976943</v>
      </c>
      <c r="AT14" s="594"/>
      <c r="AU14" s="1472">
        <f t="shared" si="35"/>
        <v>-20.058</v>
      </c>
      <c r="AV14" s="1472">
        <f t="shared" si="36"/>
        <v>-9.2579999999999991</v>
      </c>
      <c r="AW14" s="1465">
        <f t="shared" si="37"/>
        <v>-12.831</v>
      </c>
      <c r="AX14" s="1465">
        <f t="shared" si="38"/>
        <v>0</v>
      </c>
      <c r="AY14" s="1472">
        <f t="shared" si="39"/>
        <v>0</v>
      </c>
      <c r="AZ14" s="1231">
        <f t="shared" si="40"/>
        <v>0</v>
      </c>
      <c r="BA14" s="1465">
        <f t="shared" si="41"/>
        <v>0</v>
      </c>
      <c r="BB14" s="1472">
        <f t="shared" si="42"/>
        <v>0</v>
      </c>
      <c r="BC14" s="1472">
        <f t="shared" si="43"/>
        <v>0</v>
      </c>
      <c r="BD14" s="1472">
        <f t="shared" si="44"/>
        <v>-2.515300902089173</v>
      </c>
      <c r="BE14" s="1472">
        <f t="shared" si="45"/>
        <v>-2.4316040551863836</v>
      </c>
      <c r="BF14" s="1460"/>
      <c r="BG14" s="1253">
        <v>0</v>
      </c>
      <c r="BH14" s="1231">
        <v>0</v>
      </c>
      <c r="BI14" s="1231">
        <v>0</v>
      </c>
      <c r="BJ14" s="1472">
        <v>0</v>
      </c>
      <c r="BK14" s="1253">
        <v>0</v>
      </c>
      <c r="BL14" s="1231">
        <v>0</v>
      </c>
      <c r="BM14" s="1231">
        <v>0</v>
      </c>
      <c r="BN14" s="1472">
        <v>0</v>
      </c>
      <c r="BO14" s="1233"/>
      <c r="BP14" s="1231"/>
      <c r="BQ14" s="1231"/>
      <c r="BR14" s="1472"/>
      <c r="BS14" s="1233"/>
      <c r="BT14" s="1231"/>
      <c r="BU14" s="1231"/>
      <c r="BV14" s="1472"/>
      <c r="BW14" s="1233">
        <v>0</v>
      </c>
      <c r="BX14" s="1231"/>
      <c r="BY14" s="1231"/>
      <c r="BZ14" s="1472"/>
    </row>
    <row r="15" spans="1:78" ht="12" customHeight="1">
      <c r="A15" s="1476" t="s">
        <v>305</v>
      </c>
      <c r="B15" s="1231">
        <v>0.16900000000000001</v>
      </c>
      <c r="C15" s="1231">
        <f>0.219-B15</f>
        <v>4.9999999999999989E-2</v>
      </c>
      <c r="D15" s="1231">
        <f>-1.537-C15-B15</f>
        <v>-1.756</v>
      </c>
      <c r="E15" s="1472">
        <f>-3.267-D15-C15-B15</f>
        <v>-1.73</v>
      </c>
      <c r="F15" s="1464">
        <v>0.73</v>
      </c>
      <c r="G15" s="1231">
        <f>1.26-F15</f>
        <v>0.53</v>
      </c>
      <c r="H15" s="1231">
        <f>0.564-G15-F15</f>
        <v>-0.69600000000000006</v>
      </c>
      <c r="I15" s="1472">
        <f>-1.876-H15-G15-F15</f>
        <v>-2.4399999999999995</v>
      </c>
      <c r="J15" s="1464">
        <v>5.3999999999999999E-2</v>
      </c>
      <c r="K15" s="1231">
        <f>-1.209-J15</f>
        <v>-1.2630000000000001</v>
      </c>
      <c r="L15" s="1231">
        <f>-2.386-K15-J15</f>
        <v>-1.177</v>
      </c>
      <c r="M15" s="1231">
        <f>-3.336-SUM(J15:L15)</f>
        <v>-0.94999999999999973</v>
      </c>
      <c r="N15" s="1233">
        <v>2.1549999999999998</v>
      </c>
      <c r="O15" s="1231">
        <f>13.177-N15</f>
        <v>11.022</v>
      </c>
      <c r="P15" s="1231">
        <f>17.691-O15-N15</f>
        <v>4.5139999999999993</v>
      </c>
      <c r="Q15" s="1472">
        <f>0-SUM(N15:P15)</f>
        <v>-17.690999999999999</v>
      </c>
      <c r="R15" s="1231">
        <f t="shared" si="28"/>
        <v>0</v>
      </c>
      <c r="S15" s="1231">
        <f t="shared" si="29"/>
        <v>0</v>
      </c>
      <c r="T15" s="1231">
        <f t="shared" si="29"/>
        <v>0</v>
      </c>
      <c r="U15" s="1472">
        <f t="shared" si="29"/>
        <v>0</v>
      </c>
      <c r="V15" s="1231">
        <f t="shared" si="30"/>
        <v>0</v>
      </c>
      <c r="W15" s="1231">
        <f t="shared" si="31"/>
        <v>0</v>
      </c>
      <c r="X15" s="1231">
        <f t="shared" si="31"/>
        <v>0</v>
      </c>
      <c r="Y15" s="1472">
        <f t="shared" si="31"/>
        <v>0</v>
      </c>
      <c r="Z15" s="1233">
        <f t="shared" si="32"/>
        <v>0</v>
      </c>
      <c r="AA15" s="1231">
        <f t="shared" si="33"/>
        <v>0</v>
      </c>
      <c r="AB15" s="1231">
        <f t="shared" si="33"/>
        <v>0</v>
      </c>
      <c r="AC15" s="1472">
        <f t="shared" si="2"/>
        <v>0</v>
      </c>
      <c r="AD15" s="1233">
        <f t="shared" si="3"/>
        <v>0</v>
      </c>
      <c r="AE15" s="1231">
        <f t="shared" si="34"/>
        <v>0</v>
      </c>
      <c r="AF15" s="1231">
        <f t="shared" si="34"/>
        <v>0</v>
      </c>
      <c r="AG15" s="1472">
        <f t="shared" si="34"/>
        <v>0</v>
      </c>
      <c r="AH15" s="1233">
        <f t="shared" si="5"/>
        <v>0</v>
      </c>
      <c r="AI15" s="1231">
        <f t="shared" si="34"/>
        <v>0</v>
      </c>
      <c r="AJ15" s="1231">
        <f t="shared" si="34"/>
        <v>0</v>
      </c>
      <c r="AK15" s="1472">
        <f t="shared" si="34"/>
        <v>0</v>
      </c>
      <c r="AL15" s="1233">
        <f>'Balance Sheet'!AK18-'Balance Sheet'!AL18</f>
        <v>-1.7877442846569132</v>
      </c>
      <c r="AM15" s="1231">
        <f>'Balance Sheet'!AL18-'Balance Sheet'!AM18</f>
        <v>0.62169850855953968</v>
      </c>
      <c r="AN15" s="1231">
        <f>'Balance Sheet'!AM18-'Balance Sheet'!AN18</f>
        <v>1.0530308647322979</v>
      </c>
      <c r="AO15" s="1472">
        <f>'Balance Sheet'!AN18-'Balance Sheet'!AO18</f>
        <v>-0.76465920131930609</v>
      </c>
      <c r="AP15" s="1233">
        <f>'Balance Sheet'!AO18-'Balance Sheet'!AP18</f>
        <v>-1.9219123072518887</v>
      </c>
      <c r="AQ15" s="1231">
        <f>'Balance Sheet'!AP18-'Balance Sheet'!AQ18</f>
        <v>0.66377002736642687</v>
      </c>
      <c r="AR15" s="1231">
        <f>'Balance Sheet'!AQ18-'Balance Sheet'!AR18</f>
        <v>1.1244707096172686</v>
      </c>
      <c r="AS15" s="1472">
        <f>'Balance Sheet'!AR18-'Balance Sheet'!AS18</f>
        <v>-0.81414748677471849</v>
      </c>
      <c r="AT15" s="594"/>
      <c r="AU15" s="1472">
        <f t="shared" si="35"/>
        <v>-3.2669999999999999</v>
      </c>
      <c r="AV15" s="1472">
        <f t="shared" si="36"/>
        <v>-1.8759999999999994</v>
      </c>
      <c r="AW15" s="1465">
        <f t="shared" si="37"/>
        <v>-3.3359999999999999</v>
      </c>
      <c r="AX15" s="1465">
        <f t="shared" si="38"/>
        <v>0</v>
      </c>
      <c r="AY15" s="1472">
        <f t="shared" si="39"/>
        <v>0</v>
      </c>
      <c r="AZ15" s="1231">
        <f t="shared" si="40"/>
        <v>0</v>
      </c>
      <c r="BA15" s="1465">
        <f t="shared" si="41"/>
        <v>0</v>
      </c>
      <c r="BB15" s="1472">
        <f t="shared" si="42"/>
        <v>0</v>
      </c>
      <c r="BC15" s="1472">
        <f t="shared" si="43"/>
        <v>0</v>
      </c>
      <c r="BD15" s="1472">
        <f t="shared" si="44"/>
        <v>-0.87767411268438167</v>
      </c>
      <c r="BE15" s="1472">
        <f t="shared" si="45"/>
        <v>-0.94781905704291169</v>
      </c>
      <c r="BF15" s="1460"/>
      <c r="BG15" s="1253">
        <v>0</v>
      </c>
      <c r="BH15" s="1231">
        <v>0</v>
      </c>
      <c r="BI15" s="1231">
        <v>0</v>
      </c>
      <c r="BJ15" s="1472">
        <v>0</v>
      </c>
      <c r="BK15" s="1253">
        <v>0</v>
      </c>
      <c r="BL15" s="1231">
        <v>0</v>
      </c>
      <c r="BM15" s="1231">
        <v>0</v>
      </c>
      <c r="BN15" s="1472">
        <v>0</v>
      </c>
      <c r="BO15" s="1233"/>
      <c r="BP15" s="1231"/>
      <c r="BQ15" s="1231"/>
      <c r="BR15" s="1472"/>
      <c r="BS15" s="1233"/>
      <c r="BT15" s="1231"/>
      <c r="BU15" s="1231"/>
      <c r="BV15" s="1472"/>
      <c r="BW15" s="1233">
        <v>0</v>
      </c>
      <c r="BX15" s="1231"/>
      <c r="BY15" s="1231"/>
      <c r="BZ15" s="1472"/>
    </row>
    <row r="16" spans="1:78" ht="12" customHeight="1">
      <c r="A16" s="1475" t="s">
        <v>306</v>
      </c>
      <c r="B16" s="1253">
        <v>1.004</v>
      </c>
      <c r="C16" s="1253">
        <f>1.846-B16</f>
        <v>0.84200000000000008</v>
      </c>
      <c r="D16" s="1253">
        <f>2.485-C16-B16</f>
        <v>0.63899999999999979</v>
      </c>
      <c r="E16" s="1461">
        <f>1.922-D16-C16-B16</f>
        <v>-0.56299999999999994</v>
      </c>
      <c r="F16" s="1235">
        <v>2.6120000000000001</v>
      </c>
      <c r="G16" s="1253">
        <f>2.326-F16</f>
        <v>-0.28600000000000003</v>
      </c>
      <c r="H16" s="1253">
        <f>1.93+1.252-G16-F16</f>
        <v>0.85599999999999987</v>
      </c>
      <c r="I16" s="1461">
        <f>0.294-H16-G16-F16</f>
        <v>-2.8879999999999999</v>
      </c>
      <c r="J16" s="1235">
        <v>3.3719999999999999</v>
      </c>
      <c r="K16" s="1253">
        <f>5.646-3.092-J16</f>
        <v>-0.81800000000000006</v>
      </c>
      <c r="L16" s="1253">
        <f>3.892-K16-J16</f>
        <v>1.3380000000000001</v>
      </c>
      <c r="M16" s="1253">
        <f>4.244-SUM(J16:L16)</f>
        <v>0.35199999999999987</v>
      </c>
      <c r="N16" s="1255">
        <v>3.669</v>
      </c>
      <c r="O16" s="1253">
        <f>-3.023-N16</f>
        <v>-6.6920000000000002</v>
      </c>
      <c r="P16" s="1253">
        <f>-3.873-O16-N16</f>
        <v>-0.85000000000000009</v>
      </c>
      <c r="Q16" s="1461">
        <f>-5.282-SUM(N16:P16)</f>
        <v>-1.4089999999999998</v>
      </c>
      <c r="R16" s="1253">
        <f t="shared" si="28"/>
        <v>-6.0030000000000001</v>
      </c>
      <c r="S16" s="1253">
        <f t="shared" si="29"/>
        <v>6.9880000000000004</v>
      </c>
      <c r="T16" s="1253">
        <f t="shared" si="29"/>
        <v>3.0379999999999998</v>
      </c>
      <c r="U16" s="1461">
        <f t="shared" si="29"/>
        <v>20.306999999999999</v>
      </c>
      <c r="V16" s="1253">
        <f t="shared" si="30"/>
        <v>-18.745000000000001</v>
      </c>
      <c r="W16" s="1253">
        <f t="shared" si="31"/>
        <v>4.495000000000001</v>
      </c>
      <c r="X16" s="1253">
        <f t="shared" si="31"/>
        <v>5.4209999999999994</v>
      </c>
      <c r="Y16" s="1461">
        <f t="shared" si="31"/>
        <v>9.2380000000000013</v>
      </c>
      <c r="Z16" s="1255">
        <f t="shared" si="32"/>
        <v>-12.664999999999999</v>
      </c>
      <c r="AA16" s="1253">
        <f t="shared" si="33"/>
        <v>11.388999999999999</v>
      </c>
      <c r="AB16" s="1253">
        <f t="shared" si="33"/>
        <v>1.7230000000000001</v>
      </c>
      <c r="AC16" s="1461">
        <f t="shared" si="2"/>
        <v>6.6239999999999997</v>
      </c>
      <c r="AD16" s="1255">
        <f t="shared" si="3"/>
        <v>-22.016999999999999</v>
      </c>
      <c r="AE16" s="1253">
        <f t="shared" si="34"/>
        <v>1.8550000000000004</v>
      </c>
      <c r="AF16" s="1253">
        <f t="shared" si="34"/>
        <v>-2.7590000000000003</v>
      </c>
      <c r="AG16" s="1461">
        <f t="shared" si="34"/>
        <v>14.664</v>
      </c>
      <c r="AH16" s="1255">
        <f t="shared" si="5"/>
        <v>-8.4909999999999997</v>
      </c>
      <c r="AI16" s="1253">
        <f t="shared" si="34"/>
        <v>4.3709999999999996</v>
      </c>
      <c r="AJ16" s="1253">
        <f t="shared" si="34"/>
        <v>-5.6749999999999998</v>
      </c>
      <c r="AK16" s="1461">
        <f t="shared" si="34"/>
        <v>21.942</v>
      </c>
      <c r="AL16" s="1255">
        <f>'Balance Sheet'!AL22-'Balance Sheet'!AK22</f>
        <v>-1.6311681665653168</v>
      </c>
      <c r="AM16" s="1253">
        <f>'Balance Sheet'!AM22-'Balance Sheet'!AL22</f>
        <v>1.1231351099193745</v>
      </c>
      <c r="AN16" s="1253">
        <f>'Balance Sheet'!AN22-'Balance Sheet'!AM22</f>
        <v>0.34478672766082141</v>
      </c>
      <c r="AO16" s="1461">
        <f>'Balance Sheet'!AO22-'Balance Sheet'!AN22</f>
        <v>2.6354323782518421</v>
      </c>
      <c r="AP16" s="1255">
        <f>'Balance Sheet'!AP22-'Balance Sheet'!AO22</f>
        <v>-1.5442961885220363</v>
      </c>
      <c r="AQ16" s="1253">
        <f>'Balance Sheet'!AQ22-'Balance Sheet'!AP22</f>
        <v>1.2246993460778697</v>
      </c>
      <c r="AR16" s="1253">
        <f>'Balance Sheet'!AR22-'Balance Sheet'!AQ22</f>
        <v>0.36462733123865476</v>
      </c>
      <c r="AS16" s="1461">
        <f>'Balance Sheet'!AS22-'Balance Sheet'!AR22</f>
        <v>2.8309459050658674</v>
      </c>
      <c r="AT16" s="594"/>
      <c r="AU16" s="1462">
        <f t="shared" si="35"/>
        <v>1.9219999999999999</v>
      </c>
      <c r="AV16" s="1463">
        <f t="shared" si="36"/>
        <v>0.29400000000000004</v>
      </c>
      <c r="AW16" s="1463">
        <f t="shared" si="37"/>
        <v>4.2439999999999998</v>
      </c>
      <c r="AX16" s="1463">
        <f t="shared" si="38"/>
        <v>-5.282</v>
      </c>
      <c r="AY16" s="1463">
        <f t="shared" si="39"/>
        <v>24.33</v>
      </c>
      <c r="AZ16" s="1464">
        <f t="shared" si="40"/>
        <v>0.4090000000000007</v>
      </c>
      <c r="BA16" s="1257">
        <f t="shared" si="41"/>
        <v>7.0709999999999997</v>
      </c>
      <c r="BB16" s="1463">
        <f t="shared" si="42"/>
        <v>-8.2569999999999997</v>
      </c>
      <c r="BC16" s="1463">
        <f t="shared" si="43"/>
        <v>12.147</v>
      </c>
      <c r="BD16" s="1466">
        <f t="shared" si="44"/>
        <v>2.4721860492667211</v>
      </c>
      <c r="BE16" s="1466">
        <f t="shared" si="45"/>
        <v>2.8759763938603555</v>
      </c>
      <c r="BF16" s="1467"/>
      <c r="BG16" s="1253">
        <v>-6.0030000000000001</v>
      </c>
      <c r="BH16" s="1231">
        <v>0.98499999999999999</v>
      </c>
      <c r="BI16" s="1231">
        <v>4.0229999999999997</v>
      </c>
      <c r="BJ16" s="1232">
        <v>24.33</v>
      </c>
      <c r="BK16" s="1253">
        <v>-18.745000000000001</v>
      </c>
      <c r="BL16" s="1231">
        <v>-14.25</v>
      </c>
      <c r="BM16" s="1231">
        <v>-8.8290000000000006</v>
      </c>
      <c r="BN16" s="1232">
        <v>0.40899999999999997</v>
      </c>
      <c r="BO16" s="1233">
        <v>-12.664999999999999</v>
      </c>
      <c r="BP16" s="1231">
        <v>-1.276</v>
      </c>
      <c r="BQ16" s="1231">
        <v>0.44700000000000001</v>
      </c>
      <c r="BR16" s="1232">
        <v>7.0709999999999997</v>
      </c>
      <c r="BS16" s="1233">
        <v>-22.016999999999999</v>
      </c>
      <c r="BT16" s="1231">
        <v>-20.161999999999999</v>
      </c>
      <c r="BU16" s="1231">
        <v>-22.920999999999999</v>
      </c>
      <c r="BV16" s="1232">
        <v>-8.2569999999999997</v>
      </c>
      <c r="BW16" s="1233">
        <v>-8.4909999999999997</v>
      </c>
      <c r="BX16" s="1231">
        <v>-4.12</v>
      </c>
      <c r="BY16" s="1231">
        <v>-9.7949999999999999</v>
      </c>
      <c r="BZ16" s="1232">
        <v>12.147</v>
      </c>
    </row>
    <row r="17" spans="1:78" ht="12" customHeight="1">
      <c r="A17" s="1475" t="s">
        <v>307</v>
      </c>
      <c r="B17" s="1253">
        <f>-2.602-0.195</f>
        <v>-2.7969999999999997</v>
      </c>
      <c r="C17" s="1253">
        <f>-0.878-0.517-B17</f>
        <v>1.4019999999999997</v>
      </c>
      <c r="D17" s="1253">
        <f>-0.715-0.84-C17-B17</f>
        <v>-0.16000000000000014</v>
      </c>
      <c r="E17" s="1254">
        <f>4.298+0.421-D17-C17-B17</f>
        <v>6.2740000000000009</v>
      </c>
      <c r="F17" s="1235">
        <f>-4.303+0.079</f>
        <v>-4.2240000000000002</v>
      </c>
      <c r="G17" s="1253">
        <f>-2.62-0.003-F17</f>
        <v>1.601</v>
      </c>
      <c r="H17" s="1253">
        <f>0.036-G17-F17</f>
        <v>2.6590000000000003</v>
      </c>
      <c r="I17" s="1254">
        <f>11.112+0.408-H17-G17-F17</f>
        <v>11.483999999999998</v>
      </c>
      <c r="J17" s="1235">
        <f>-7.233-0.429</f>
        <v>-7.6619999999999999</v>
      </c>
      <c r="K17" s="1253">
        <f>-0.487-J17</f>
        <v>7.1749999999999998</v>
      </c>
      <c r="L17" s="1253">
        <f>-5.35-0.195-K17-J17</f>
        <v>-5.0579999999999989</v>
      </c>
      <c r="M17" s="1253">
        <f>6.269+0.255-SUM(J17:L17)</f>
        <v>12.068999999999999</v>
      </c>
      <c r="N17" s="1255">
        <f>-13.277-0.535</f>
        <v>-13.811999999999999</v>
      </c>
      <c r="O17" s="1253">
        <f>-5.274-N17</f>
        <v>8.5380000000000003</v>
      </c>
      <c r="P17" s="1253">
        <f>-8.39-O17-N17</f>
        <v>-3.1160000000000014</v>
      </c>
      <c r="Q17" s="1254">
        <f>0-SUM(N17:P17)</f>
        <v>8.39</v>
      </c>
      <c r="R17" s="1253">
        <f t="shared" si="28"/>
        <v>0</v>
      </c>
      <c r="S17" s="1253">
        <f t="shared" si="29"/>
        <v>0</v>
      </c>
      <c r="T17" s="1253">
        <f t="shared" si="29"/>
        <v>0</v>
      </c>
      <c r="U17" s="1254">
        <f t="shared" si="29"/>
        <v>0</v>
      </c>
      <c r="V17" s="1253">
        <f t="shared" si="30"/>
        <v>0</v>
      </c>
      <c r="W17" s="1253">
        <f t="shared" si="31"/>
        <v>0</v>
      </c>
      <c r="X17" s="1253">
        <f t="shared" si="31"/>
        <v>0</v>
      </c>
      <c r="Y17" s="1254">
        <f t="shared" si="31"/>
        <v>0</v>
      </c>
      <c r="Z17" s="1255">
        <f t="shared" si="32"/>
        <v>0</v>
      </c>
      <c r="AA17" s="1253">
        <f t="shared" si="33"/>
        <v>0</v>
      </c>
      <c r="AB17" s="1253">
        <f t="shared" si="33"/>
        <v>0</v>
      </c>
      <c r="AC17" s="1254">
        <f t="shared" si="2"/>
        <v>0</v>
      </c>
      <c r="AD17" s="1255">
        <f t="shared" si="3"/>
        <v>0</v>
      </c>
      <c r="AE17" s="1253">
        <f t="shared" si="34"/>
        <v>0</v>
      </c>
      <c r="AF17" s="1253">
        <f t="shared" si="34"/>
        <v>0</v>
      </c>
      <c r="AG17" s="1254">
        <f t="shared" si="34"/>
        <v>0</v>
      </c>
      <c r="AH17" s="1255">
        <f t="shared" si="5"/>
        <v>0</v>
      </c>
      <c r="AI17" s="1253">
        <f t="shared" si="34"/>
        <v>0</v>
      </c>
      <c r="AJ17" s="1253">
        <f t="shared" si="34"/>
        <v>0</v>
      </c>
      <c r="AK17" s="1254">
        <f t="shared" si="34"/>
        <v>0</v>
      </c>
      <c r="AL17" s="1255">
        <f>'Balance Sheet'!AL24-'Balance Sheet'!AK24</f>
        <v>-13.555170700811658</v>
      </c>
      <c r="AM17" s="1253">
        <f>'Balance Sheet'!AM24-'Balance Sheet'!AL24</f>
        <v>4.0625462081611801</v>
      </c>
      <c r="AN17" s="1253">
        <f>'Balance Sheet'!AN24-'Balance Sheet'!AM24</f>
        <v>-8.1159770216697495</v>
      </c>
      <c r="AO17" s="1254">
        <f>'Balance Sheet'!AO24-'Balance Sheet'!AN24</f>
        <v>22.083406738994256</v>
      </c>
      <c r="AP17" s="1255">
        <f>'Balance Sheet'!AP24-'Balance Sheet'!AO24</f>
        <v>-14.365112214099213</v>
      </c>
      <c r="AQ17" s="1253">
        <f>'Balance Sheet'!AQ24-'Balance Sheet'!AP24</f>
        <v>4.3258189574045218</v>
      </c>
      <c r="AR17" s="1253">
        <f>'Balance Sheet'!AR24-'Balance Sheet'!AQ24</f>
        <v>-8.6582265699164296</v>
      </c>
      <c r="AS17" s="1254">
        <f>'Balance Sheet'!AS24-'Balance Sheet'!AR24</f>
        <v>23.529957752265695</v>
      </c>
      <c r="AT17" s="1468"/>
      <c r="AU17" s="1463">
        <f t="shared" si="35"/>
        <v>4.7190000000000012</v>
      </c>
      <c r="AV17" s="1463">
        <f t="shared" si="36"/>
        <v>11.519999999999998</v>
      </c>
      <c r="AW17" s="1463">
        <f t="shared" si="37"/>
        <v>6.524</v>
      </c>
      <c r="AX17" s="1463">
        <f t="shared" si="38"/>
        <v>0</v>
      </c>
      <c r="AY17" s="1463">
        <f t="shared" si="39"/>
        <v>0</v>
      </c>
      <c r="AZ17" s="1464">
        <f t="shared" si="40"/>
        <v>0</v>
      </c>
      <c r="BA17" s="1257">
        <f t="shared" si="41"/>
        <v>0</v>
      </c>
      <c r="BB17" s="1463">
        <f t="shared" si="42"/>
        <v>0</v>
      </c>
      <c r="BC17" s="1463">
        <f t="shared" si="43"/>
        <v>0</v>
      </c>
      <c r="BD17" s="1466">
        <f t="shared" si="44"/>
        <v>4.4748052246740286</v>
      </c>
      <c r="BE17" s="1466">
        <f t="shared" si="45"/>
        <v>4.832437925654574</v>
      </c>
      <c r="BF17" s="1467"/>
      <c r="BG17" s="1253">
        <v>0</v>
      </c>
      <c r="BH17" s="1231">
        <v>0</v>
      </c>
      <c r="BI17" s="1231">
        <v>0</v>
      </c>
      <c r="BJ17" s="1232">
        <v>0</v>
      </c>
      <c r="BK17" s="1253">
        <v>0</v>
      </c>
      <c r="BL17" s="1231">
        <v>0</v>
      </c>
      <c r="BM17" s="1231">
        <v>0</v>
      </c>
      <c r="BN17" s="1232">
        <v>0</v>
      </c>
      <c r="BO17" s="1233"/>
      <c r="BP17" s="1231"/>
      <c r="BQ17" s="1231"/>
      <c r="BR17" s="1232"/>
      <c r="BS17" s="1233"/>
      <c r="BT17" s="1231"/>
      <c r="BU17" s="1231"/>
      <c r="BV17" s="1232"/>
      <c r="BW17" s="1233">
        <v>0</v>
      </c>
      <c r="BX17" s="1231"/>
      <c r="BY17" s="1231"/>
      <c r="BZ17" s="1232"/>
    </row>
    <row r="18" spans="1:78" ht="12" customHeight="1">
      <c r="A18" s="1475" t="s">
        <v>308</v>
      </c>
      <c r="B18" s="1253">
        <v>4.915</v>
      </c>
      <c r="C18" s="1253">
        <f>19.468-B18</f>
        <v>14.553000000000001</v>
      </c>
      <c r="D18" s="1253">
        <f>40.066-C18-B18</f>
        <v>20.598000000000003</v>
      </c>
      <c r="E18" s="1254">
        <f>63.404-D18-C18-B18</f>
        <v>23.337999999999997</v>
      </c>
      <c r="F18" s="1235">
        <v>4.7969999999999997</v>
      </c>
      <c r="G18" s="1253">
        <f>21.319-F18</f>
        <v>16.521999999999998</v>
      </c>
      <c r="H18" s="1253">
        <f>39.88-G18-F18</f>
        <v>18.561000000000003</v>
      </c>
      <c r="I18" s="1254">
        <f>64.085-H18-G18-F18</f>
        <v>24.204999999999988</v>
      </c>
      <c r="J18" s="1235">
        <v>2.0019999999999998</v>
      </c>
      <c r="K18" s="1253">
        <f>17.43-J18</f>
        <v>15.428000000000001</v>
      </c>
      <c r="L18" s="1253">
        <f>39.472-K18-J18</f>
        <v>22.042000000000002</v>
      </c>
      <c r="M18" s="1253">
        <f>72.799-SUM(J18:L18)</f>
        <v>33.327000000000005</v>
      </c>
      <c r="N18" s="1255">
        <v>-5.0359999999999996</v>
      </c>
      <c r="O18" s="1253">
        <f>2.182-N18</f>
        <v>7.218</v>
      </c>
      <c r="P18" s="1253">
        <f>27.075-O18-N18</f>
        <v>24.893000000000001</v>
      </c>
      <c r="Q18" s="1254">
        <f>71.383-SUM(N18:P18)</f>
        <v>44.307999999999993</v>
      </c>
      <c r="R18" s="1253">
        <f t="shared" si="28"/>
        <v>-5.6479999999999997</v>
      </c>
      <c r="S18" s="1253">
        <f t="shared" si="29"/>
        <v>12.312999999999999</v>
      </c>
      <c r="T18" s="1253">
        <f t="shared" si="29"/>
        <v>32.082000000000001</v>
      </c>
      <c r="U18" s="1254">
        <f t="shared" si="29"/>
        <v>53.739000000000004</v>
      </c>
      <c r="V18" s="1253">
        <f t="shared" si="30"/>
        <v>-3.5430000000000001</v>
      </c>
      <c r="W18" s="1253">
        <f t="shared" si="31"/>
        <v>19.617999999999999</v>
      </c>
      <c r="X18" s="1253">
        <f t="shared" si="31"/>
        <v>45.656000000000006</v>
      </c>
      <c r="Y18" s="1254">
        <f t="shared" si="31"/>
        <v>70.89100000000002</v>
      </c>
      <c r="Z18" s="1255">
        <f t="shared" si="32"/>
        <v>-22.533999999999999</v>
      </c>
      <c r="AA18" s="1253">
        <f t="shared" si="33"/>
        <v>8.1259999999999994</v>
      </c>
      <c r="AB18" s="1253">
        <f t="shared" si="33"/>
        <v>31.264000000000003</v>
      </c>
      <c r="AC18" s="1254">
        <f t="shared" si="2"/>
        <v>64.899000000000001</v>
      </c>
      <c r="AD18" s="1255">
        <f t="shared" si="3"/>
        <v>-27.789000000000001</v>
      </c>
      <c r="AE18" s="1253">
        <f t="shared" si="34"/>
        <v>2.9820000000000029</v>
      </c>
      <c r="AF18" s="1253">
        <f t="shared" si="34"/>
        <v>21.654</v>
      </c>
      <c r="AG18" s="1254">
        <f t="shared" si="34"/>
        <v>85.734000000000009</v>
      </c>
      <c r="AH18" s="1255">
        <f t="shared" si="5"/>
        <v>-32.506999999999998</v>
      </c>
      <c r="AI18" s="1253">
        <f t="shared" si="34"/>
        <v>-10.600000000000001</v>
      </c>
      <c r="AJ18" s="1253">
        <f t="shared" si="34"/>
        <v>12.693999999999999</v>
      </c>
      <c r="AK18" s="1254">
        <f t="shared" si="34"/>
        <v>88.774000000000001</v>
      </c>
      <c r="AL18" s="1255">
        <f>('Balance Sheet'!AL25-'Balance Sheet'!AK25)+('Balance Sheet'!AL32-'Balance Sheet'!AK32)</f>
        <v>-26.8279650134441</v>
      </c>
      <c r="AM18" s="1253">
        <f>('Balance Sheet'!AM25-'Balance Sheet'!AL25)+('Balance Sheet'!AM32-'Balance Sheet'!AL32)</f>
        <v>-11.345393270426115</v>
      </c>
      <c r="AN18" s="1253">
        <f>('Balance Sheet'!AN25-'Balance Sheet'!AM25)+('Balance Sheet'!AN32-'Balance Sheet'!AM32)</f>
        <v>13.514002279155619</v>
      </c>
      <c r="AO18" s="1254">
        <f>('Balance Sheet'!AO25-'Balance Sheet'!AN25)+('Balance Sheet'!AO32-'Balance Sheet'!AN32)</f>
        <v>94.516311514472051</v>
      </c>
      <c r="AP18" s="1255">
        <f>('Balance Sheet'!AP25-'Balance Sheet'!AO25)+('Balance Sheet'!AP32-'Balance Sheet'!AO32)</f>
        <v>-28.595981003623621</v>
      </c>
      <c r="AQ18" s="1253">
        <f>('Balance Sheet'!AQ25-'Balance Sheet'!AP25)+('Balance Sheet'!AQ32-'Balance Sheet'!AP32)</f>
        <v>-12.092229737893035</v>
      </c>
      <c r="AR18" s="1253">
        <f>('Balance Sheet'!AR25-'Balance Sheet'!AQ25)+('Balance Sheet'!AR32-'Balance Sheet'!AQ32)</f>
        <v>14.401496310950193</v>
      </c>
      <c r="AS18" s="1254">
        <f>('Balance Sheet'!AS25-'Balance Sheet'!AR25)+('Balance Sheet'!AS32-'Balance Sheet'!AR32)</f>
        <v>100.718636529279</v>
      </c>
      <c r="AT18" s="1468"/>
      <c r="AU18" s="1462">
        <f t="shared" si="35"/>
        <v>63.403999999999996</v>
      </c>
      <c r="AV18" s="1463">
        <f t="shared" si="36"/>
        <v>64.084999999999994</v>
      </c>
      <c r="AW18" s="1463">
        <f t="shared" si="37"/>
        <v>72.799000000000007</v>
      </c>
      <c r="AX18" s="1463">
        <f t="shared" si="38"/>
        <v>71.382999999999996</v>
      </c>
      <c r="AY18" s="1463">
        <f t="shared" si="39"/>
        <v>92.486000000000004</v>
      </c>
      <c r="AZ18" s="1464">
        <f t="shared" si="40"/>
        <v>132.62200000000001</v>
      </c>
      <c r="BA18" s="1257">
        <f t="shared" si="41"/>
        <v>81.754999999999995</v>
      </c>
      <c r="BB18" s="1463">
        <f t="shared" si="42"/>
        <v>82.581000000000017</v>
      </c>
      <c r="BC18" s="1463">
        <f t="shared" si="43"/>
        <v>58.361000000000004</v>
      </c>
      <c r="BD18" s="1466">
        <f t="shared" si="44"/>
        <v>69.856955509757455</v>
      </c>
      <c r="BE18" s="1466">
        <f t="shared" si="45"/>
        <v>74.431922098712533</v>
      </c>
      <c r="BF18" s="1467"/>
      <c r="BG18" s="1253">
        <v>-5.6479999999999997</v>
      </c>
      <c r="BH18" s="1231">
        <v>6.665</v>
      </c>
      <c r="BI18" s="1231">
        <v>38.747</v>
      </c>
      <c r="BJ18" s="1232">
        <v>92.486000000000004</v>
      </c>
      <c r="BK18" s="1253">
        <v>-3.5430000000000001</v>
      </c>
      <c r="BL18" s="1231">
        <v>16.074999999999999</v>
      </c>
      <c r="BM18" s="1231">
        <v>61.731000000000002</v>
      </c>
      <c r="BN18" s="1232">
        <v>132.62200000000001</v>
      </c>
      <c r="BO18" s="1233">
        <v>-22.533999999999999</v>
      </c>
      <c r="BP18" s="1231">
        <v>-14.407999999999999</v>
      </c>
      <c r="BQ18" s="1231">
        <v>16.856000000000002</v>
      </c>
      <c r="BR18" s="1232">
        <v>81.754999999999995</v>
      </c>
      <c r="BS18" s="1233">
        <v>-27.789000000000001</v>
      </c>
      <c r="BT18" s="1231">
        <v>-24.806999999999999</v>
      </c>
      <c r="BU18" s="1231">
        <v>-3.153</v>
      </c>
      <c r="BV18" s="1232">
        <v>82.581000000000003</v>
      </c>
      <c r="BW18" s="1233">
        <v>-32.506999999999998</v>
      </c>
      <c r="BX18" s="1231">
        <v>-43.106999999999999</v>
      </c>
      <c r="BY18" s="1231">
        <v>-30.413</v>
      </c>
      <c r="BZ18" s="1232">
        <v>58.360999999999997</v>
      </c>
    </row>
    <row r="19" spans="1:78" ht="12" customHeight="1">
      <c r="A19" s="1475" t="s">
        <v>309</v>
      </c>
      <c r="B19" s="1253">
        <v>-0.127</v>
      </c>
      <c r="C19" s="1253">
        <f>-0.261-B19</f>
        <v>-0.13400000000000001</v>
      </c>
      <c r="D19" s="1253">
        <f>0.002-C19-B19</f>
        <v>0.26300000000000001</v>
      </c>
      <c r="E19" s="1254">
        <f>-0.554-D19-C19-B19</f>
        <v>-0.55600000000000005</v>
      </c>
      <c r="F19" s="1253">
        <v>-0.16800000000000001</v>
      </c>
      <c r="G19" s="1253">
        <f>-0.425-F19</f>
        <v>-0.25700000000000001</v>
      </c>
      <c r="H19" s="1253">
        <f>-0.647-G19-F19</f>
        <v>-0.222</v>
      </c>
      <c r="I19" s="1254">
        <f>0.11-H19-G19-F19</f>
        <v>0.75700000000000001</v>
      </c>
      <c r="J19" s="1253">
        <v>4.2000000000000003E-2</v>
      </c>
      <c r="K19" s="1253">
        <f>0.441-J19</f>
        <v>0.39900000000000002</v>
      </c>
      <c r="L19" s="1253">
        <f>0.173-K19-J19</f>
        <v>-0.26800000000000002</v>
      </c>
      <c r="M19" s="1253">
        <f>0.049-SUM(J19:L19)</f>
        <v>-0.12399999999999999</v>
      </c>
      <c r="N19" s="1255">
        <v>0.26600000000000001</v>
      </c>
      <c r="O19" s="1253">
        <f>-0.276-N19</f>
        <v>-0.54200000000000004</v>
      </c>
      <c r="P19" s="1253">
        <f>0.135-O19-N19</f>
        <v>0.41100000000000003</v>
      </c>
      <c r="Q19" s="1254">
        <f>8.808-SUM(N19:P19)</f>
        <v>8.673</v>
      </c>
      <c r="R19" s="1253">
        <f t="shared" si="28"/>
        <v>6.0999999999999999E-2</v>
      </c>
      <c r="S19" s="1253">
        <f t="shared" si="29"/>
        <v>-1.1869999999999998</v>
      </c>
      <c r="T19" s="1253">
        <f t="shared" si="29"/>
        <v>-0.21600000000000019</v>
      </c>
      <c r="U19" s="1254">
        <f t="shared" si="29"/>
        <v>2.3810000000000002</v>
      </c>
      <c r="V19" s="1253">
        <f t="shared" si="30"/>
        <v>-0.76500000000000001</v>
      </c>
      <c r="W19" s="1253">
        <f t="shared" si="31"/>
        <v>1.7789999999999999</v>
      </c>
      <c r="X19" s="1253">
        <f t="shared" si="31"/>
        <v>-1.5430000000000001</v>
      </c>
      <c r="Y19" s="1254">
        <f t="shared" si="31"/>
        <v>-0.49399999999999988</v>
      </c>
      <c r="Z19" s="1255">
        <f t="shared" si="32"/>
        <v>-1.5469999999999999</v>
      </c>
      <c r="AA19" s="1253">
        <f t="shared" si="33"/>
        <v>-1.2110000000000001</v>
      </c>
      <c r="AB19" s="1253">
        <f t="shared" si="33"/>
        <v>-2.7169999999999996</v>
      </c>
      <c r="AC19" s="1254">
        <f t="shared" si="2"/>
        <v>-3.4000000000000696E-2</v>
      </c>
      <c r="AD19" s="1255">
        <f t="shared" si="3"/>
        <v>-1.742</v>
      </c>
      <c r="AE19" s="1253">
        <f t="shared" si="34"/>
        <v>-1.125</v>
      </c>
      <c r="AF19" s="1253">
        <f t="shared" si="34"/>
        <v>-2.6130000000000004</v>
      </c>
      <c r="AG19" s="1477">
        <f t="shared" si="34"/>
        <v>-2.5719999999999992</v>
      </c>
      <c r="AH19" s="1255">
        <f t="shared" si="5"/>
        <v>2.3420000000000001</v>
      </c>
      <c r="AI19" s="1253">
        <f t="shared" si="34"/>
        <v>4.2010000000000005</v>
      </c>
      <c r="AJ19" s="1253">
        <f t="shared" si="34"/>
        <v>-4.2840000000000007</v>
      </c>
      <c r="AK19" s="1477">
        <f t="shared" si="34"/>
        <v>-0.38300000000000001</v>
      </c>
      <c r="AL19" s="1255">
        <f>('Balance Sheet'!AL27-'Balance Sheet'!AK27)+('Balance Sheet'!AL35-'Balance Sheet'!AK35)</f>
        <v>0.9473873379485438</v>
      </c>
      <c r="AM19" s="1253">
        <f>('Balance Sheet'!AM27-'Balance Sheet'!AL27)+('Balance Sheet'!AM35-'Balance Sheet'!AL35)</f>
        <v>1.0565231127682111</v>
      </c>
      <c r="AN19" s="1253">
        <f>('Balance Sheet'!AN27-'Balance Sheet'!AM27)+('Balance Sheet'!AN35-'Balance Sheet'!AM35)</f>
        <v>-3.3509287298127788</v>
      </c>
      <c r="AO19" s="1254">
        <f>('Balance Sheet'!AO27-'Balance Sheet'!AN27)+('Balance Sheet'!AO35-'Balance Sheet'!AN35)</f>
        <v>2.4001495783940001</v>
      </c>
      <c r="AP19" s="1255">
        <f>('Balance Sheet'!AP27-'Balance Sheet'!AO27)+('Balance Sheet'!AP35-'Balance Sheet'!AO35)</f>
        <v>1.0294431553502452</v>
      </c>
      <c r="AQ19" s="1253">
        <f>('Balance Sheet'!AQ27-'Balance Sheet'!AP27)+('Balance Sheet'!AQ35-'Balance Sheet'!AP35)</f>
        <v>1.1247845759563075</v>
      </c>
      <c r="AR19" s="1253">
        <f>('Balance Sheet'!AR27-'Balance Sheet'!AQ27)+('Balance Sheet'!AR35-'Balance Sheet'!AQ35)</f>
        <v>-3.5738271445892851</v>
      </c>
      <c r="AS19" s="1254">
        <f>('Balance Sheet'!AS27-'Balance Sheet'!AR27)+('Balance Sheet'!AS35-'Balance Sheet'!AR35)</f>
        <v>2.5568984410392188</v>
      </c>
      <c r="AT19" s="1468"/>
      <c r="AU19" s="1478">
        <f t="shared" si="35"/>
        <v>-0.55400000000000005</v>
      </c>
      <c r="AV19" s="1478">
        <f t="shared" si="36"/>
        <v>0.10999999999999999</v>
      </c>
      <c r="AW19" s="1478">
        <f t="shared" si="37"/>
        <v>4.9000000000000002E-2</v>
      </c>
      <c r="AX19" s="1478">
        <f t="shared" si="38"/>
        <v>8.8079999999999998</v>
      </c>
      <c r="AY19" s="1478">
        <f t="shared" si="39"/>
        <v>1.0390000000000001</v>
      </c>
      <c r="AZ19" s="1479">
        <f t="shared" si="40"/>
        <v>-1.0230000000000001</v>
      </c>
      <c r="BA19" s="1480">
        <f t="shared" si="41"/>
        <v>-5.5090000000000003</v>
      </c>
      <c r="BB19" s="1478">
        <f t="shared" si="42"/>
        <v>-8.0519999999999996</v>
      </c>
      <c r="BC19" s="1478">
        <f t="shared" si="43"/>
        <v>1.8760000000000003</v>
      </c>
      <c r="BD19" s="1481">
        <f t="shared" si="44"/>
        <v>1.0531312992979762</v>
      </c>
      <c r="BE19" s="1481">
        <f t="shared" si="45"/>
        <v>1.1372990277564865</v>
      </c>
      <c r="BF19" s="1467"/>
      <c r="BG19" s="1253">
        <v>6.0999999999999999E-2</v>
      </c>
      <c r="BH19" s="1231">
        <v>-1.1259999999999999</v>
      </c>
      <c r="BI19" s="1231">
        <v>-1.3420000000000001</v>
      </c>
      <c r="BJ19" s="1232">
        <v>1.0389999999999999</v>
      </c>
      <c r="BK19" s="1253">
        <v>-0.76500000000000001</v>
      </c>
      <c r="BL19" s="1231">
        <v>1.014</v>
      </c>
      <c r="BM19" s="1231">
        <v>-0.52900000000000003</v>
      </c>
      <c r="BN19" s="1232">
        <v>-1.0229999999999999</v>
      </c>
      <c r="BO19" s="1233">
        <v>-1.5469999999999999</v>
      </c>
      <c r="BP19" s="1231">
        <v>-2.758</v>
      </c>
      <c r="BQ19" s="1231">
        <v>-5.4749999999999996</v>
      </c>
      <c r="BR19" s="1232">
        <v>-5.5090000000000003</v>
      </c>
      <c r="BS19" s="1233">
        <v>-1.742</v>
      </c>
      <c r="BT19" s="1231">
        <v>-2.867</v>
      </c>
      <c r="BU19" s="1231">
        <v>-5.48</v>
      </c>
      <c r="BV19" s="1232">
        <v>-8.0519999999999996</v>
      </c>
      <c r="BW19" s="1233">
        <v>2.3420000000000001</v>
      </c>
      <c r="BX19" s="1231">
        <v>6.5430000000000001</v>
      </c>
      <c r="BY19" s="1231">
        <v>2.2589999999999999</v>
      </c>
      <c r="BZ19" s="1232">
        <v>1.8759999999999999</v>
      </c>
    </row>
    <row r="20" spans="1:78" ht="12" customHeight="1">
      <c r="A20" s="1482" t="s">
        <v>310</v>
      </c>
      <c r="B20" s="1263">
        <f t="shared" ref="B20:AE20" si="46">SUM(B6:B19)</f>
        <v>1.1869999999999996</v>
      </c>
      <c r="C20" s="1263">
        <f t="shared" si="46"/>
        <v>-1.0189999999999997</v>
      </c>
      <c r="D20" s="1263">
        <f t="shared" si="46"/>
        <v>-0.98200000000000098</v>
      </c>
      <c r="E20" s="1264">
        <f t="shared" si="46"/>
        <v>-5.4519999999999973</v>
      </c>
      <c r="F20" s="1265">
        <f t="shared" si="46"/>
        <v>0.50399999999999967</v>
      </c>
      <c r="G20" s="1263">
        <f t="shared" si="46"/>
        <v>0.24199999999999522</v>
      </c>
      <c r="H20" s="1263">
        <f t="shared" si="46"/>
        <v>-1.7509999999999999</v>
      </c>
      <c r="I20" s="1264">
        <f t="shared" si="46"/>
        <v>-1.554000000000014</v>
      </c>
      <c r="J20" s="1265">
        <f t="shared" si="46"/>
        <v>-0.87400000000000211</v>
      </c>
      <c r="K20" s="1263">
        <f t="shared" si="46"/>
        <v>-2.1229999999999984</v>
      </c>
      <c r="L20" s="1263">
        <f t="shared" si="46"/>
        <v>-4.6749999999999998</v>
      </c>
      <c r="M20" s="1263">
        <f t="shared" si="46"/>
        <v>-3.0720000000000005</v>
      </c>
      <c r="N20" s="1265">
        <f t="shared" si="46"/>
        <v>4.4920000000000027</v>
      </c>
      <c r="O20" s="1263">
        <f t="shared" si="46"/>
        <v>16.999000000000002</v>
      </c>
      <c r="P20" s="1263">
        <f t="shared" si="46"/>
        <v>24.806999999999992</v>
      </c>
      <c r="Q20" s="1264">
        <f t="shared" si="46"/>
        <v>17.934000000000005</v>
      </c>
      <c r="R20" s="1263">
        <f t="shared" si="46"/>
        <v>38.624999999999993</v>
      </c>
      <c r="S20" s="1263">
        <f t="shared" si="46"/>
        <v>16.535</v>
      </c>
      <c r="T20" s="1263">
        <f t="shared" si="46"/>
        <v>19.632999999999999</v>
      </c>
      <c r="U20" s="1264">
        <f t="shared" si="46"/>
        <v>21.972000000000008</v>
      </c>
      <c r="V20" s="1263">
        <f t="shared" si="46"/>
        <v>32.862000000000002</v>
      </c>
      <c r="W20" s="1263">
        <f t="shared" si="46"/>
        <v>30.518000000000001</v>
      </c>
      <c r="X20" s="1263">
        <f t="shared" si="46"/>
        <v>35.853000000000002</v>
      </c>
      <c r="Y20" s="1264">
        <f t="shared" si="46"/>
        <v>31.918000000000035</v>
      </c>
      <c r="Z20" s="1265">
        <f t="shared" ref="Z20:AA20" si="47">SUM(Z6:Z19)</f>
        <v>38.745999999999995</v>
      </c>
      <c r="AA20" s="1263">
        <f t="shared" si="47"/>
        <v>30.193000000000012</v>
      </c>
      <c r="AB20" s="1263">
        <f t="shared" si="46"/>
        <v>42.410999999999994</v>
      </c>
      <c r="AC20" s="1264">
        <f t="shared" si="46"/>
        <v>38.504999999999988</v>
      </c>
      <c r="AD20" s="1265">
        <f t="shared" si="46"/>
        <v>50.325999999999986</v>
      </c>
      <c r="AE20" s="1263">
        <f t="shared" si="46"/>
        <v>31.424000000000007</v>
      </c>
      <c r="AF20" s="1263">
        <f t="shared" ref="AF20:AS20" si="48">SUM(AF6:AF19)</f>
        <v>54.606999999999999</v>
      </c>
      <c r="AG20" s="1263">
        <f t="shared" si="48"/>
        <v>81.119</v>
      </c>
      <c r="AH20" s="1265">
        <f t="shared" si="48"/>
        <v>87.407000000000025</v>
      </c>
      <c r="AI20" s="1263">
        <f t="shared" si="48"/>
        <v>42.463000000000001</v>
      </c>
      <c r="AJ20" s="1263">
        <f t="shared" si="48"/>
        <v>53.833800000000004</v>
      </c>
      <c r="AK20" s="1263">
        <f t="shared" si="48"/>
        <v>83.046199999999985</v>
      </c>
      <c r="AL20" s="1265">
        <f t="shared" si="48"/>
        <v>81.959482157676689</v>
      </c>
      <c r="AM20" s="1263">
        <f t="shared" si="48"/>
        <v>47.565617108467912</v>
      </c>
      <c r="AN20" s="1263">
        <f t="shared" si="48"/>
        <v>56.010614638379593</v>
      </c>
      <c r="AO20" s="1264">
        <f t="shared" si="48"/>
        <v>97.91504606255765</v>
      </c>
      <c r="AP20" s="1265">
        <f t="shared" si="48"/>
        <v>86.803342926682305</v>
      </c>
      <c r="AQ20" s="1263">
        <f t="shared" si="48"/>
        <v>54.075002851342184</v>
      </c>
      <c r="AR20" s="1263">
        <f t="shared" si="48"/>
        <v>62.862611142704722</v>
      </c>
      <c r="AS20" s="1264">
        <f t="shared" si="48"/>
        <v>107.8588895848294</v>
      </c>
      <c r="AT20" s="1468"/>
      <c r="AU20" s="1483">
        <f t="shared" ref="AU20" si="49">SUM(B20:E20)</f>
        <v>-6.2659999999999982</v>
      </c>
      <c r="AV20" s="1483">
        <f t="shared" si="36"/>
        <v>-2.5590000000000188</v>
      </c>
      <c r="AW20" s="1483">
        <f t="shared" si="37"/>
        <v>-10.744000000000002</v>
      </c>
      <c r="AX20" s="1483">
        <f t="shared" si="38"/>
        <v>64.231999999999999</v>
      </c>
      <c r="AY20" s="1483">
        <f t="shared" si="39"/>
        <v>96.765000000000001</v>
      </c>
      <c r="AZ20" s="1484">
        <f t="shared" si="40"/>
        <v>131.15100000000004</v>
      </c>
      <c r="BA20" s="1485">
        <f t="shared" si="41"/>
        <v>149.85499999999999</v>
      </c>
      <c r="BB20" s="1483">
        <f t="shared" si="42"/>
        <v>217.476</v>
      </c>
      <c r="BC20" s="1483">
        <f t="shared" si="43"/>
        <v>266.75</v>
      </c>
      <c r="BD20" s="1486">
        <f t="shared" si="44"/>
        <v>283.45075996708181</v>
      </c>
      <c r="BE20" s="1486">
        <f t="shared" si="45"/>
        <v>311.59984650555862</v>
      </c>
      <c r="BF20" s="454"/>
      <c r="BG20" s="1487">
        <f t="shared" ref="BG20:BQ20" si="50">SUM(BG6:BG19)</f>
        <v>38.624999999999993</v>
      </c>
      <c r="BH20" s="1266">
        <f t="shared" si="50"/>
        <v>55.16</v>
      </c>
      <c r="BI20" s="1263">
        <f t="shared" si="50"/>
        <v>74.793000000000006</v>
      </c>
      <c r="BJ20" s="1264">
        <f t="shared" si="50"/>
        <v>96.765000000000001</v>
      </c>
      <c r="BK20" s="1487">
        <f t="shared" si="50"/>
        <v>32.862000000000002</v>
      </c>
      <c r="BL20" s="1266">
        <f t="shared" si="50"/>
        <v>63.38</v>
      </c>
      <c r="BM20" s="1263">
        <f t="shared" si="50"/>
        <v>99.233000000000004</v>
      </c>
      <c r="BN20" s="1263">
        <f t="shared" si="50"/>
        <v>131.15100000000001</v>
      </c>
      <c r="BO20" s="1265">
        <f t="shared" si="50"/>
        <v>38.745999999999995</v>
      </c>
      <c r="BP20" s="1266">
        <f t="shared" si="50"/>
        <v>68.939000000000007</v>
      </c>
      <c r="BQ20" s="1263">
        <f t="shared" si="50"/>
        <v>111.35</v>
      </c>
      <c r="BR20" s="1264">
        <f>SUM(BR6:BR19)</f>
        <v>149.85499999999996</v>
      </c>
      <c r="BS20" s="1265">
        <f t="shared" ref="BS20:BU20" si="51">SUM(BS6:BS19)</f>
        <v>50.325999999999986</v>
      </c>
      <c r="BT20" s="1266">
        <f>SUM(BT6:BT19)</f>
        <v>81.75</v>
      </c>
      <c r="BU20" s="1266">
        <f t="shared" si="51"/>
        <v>136.35700000000003</v>
      </c>
      <c r="BV20" s="1267">
        <f>SUM(BV6:BV19)</f>
        <v>217.47600000000003</v>
      </c>
      <c r="BW20" s="1265">
        <f t="shared" ref="BW20" si="52">SUM(BW6:BW19)</f>
        <v>87.407000000000025</v>
      </c>
      <c r="BX20" s="1266">
        <f>SUM(BX6:BX19)</f>
        <v>129.87</v>
      </c>
      <c r="BY20" s="1266">
        <f t="shared" ref="BY20" si="53">SUM(BY6:BY19)</f>
        <v>183.7038</v>
      </c>
      <c r="BZ20" s="1267">
        <f>SUM(BZ6:BZ19)</f>
        <v>266.74999999999994</v>
      </c>
    </row>
    <row r="21" spans="1:78" ht="12" customHeight="1">
      <c r="A21" s="139"/>
      <c r="B21" s="559"/>
      <c r="C21" s="559"/>
      <c r="D21" s="559"/>
      <c r="E21" s="1488"/>
      <c r="F21" s="1455"/>
      <c r="G21" s="559"/>
      <c r="H21" s="559"/>
      <c r="I21" s="1488"/>
      <c r="J21" s="1455"/>
      <c r="K21" s="559"/>
      <c r="L21" s="559"/>
      <c r="M21" s="1488"/>
      <c r="N21" s="1455"/>
      <c r="O21" s="559"/>
      <c r="P21" s="559"/>
      <c r="Q21" s="1488"/>
      <c r="R21" s="1489"/>
      <c r="S21" s="1490"/>
      <c r="T21" s="1490"/>
      <c r="U21" s="1491"/>
      <c r="V21" s="1489"/>
      <c r="W21" s="1490"/>
      <c r="X21" s="1490"/>
      <c r="Y21" s="1491"/>
      <c r="Z21" s="288"/>
      <c r="AA21" s="1490"/>
      <c r="AB21" s="288"/>
      <c r="AC21" s="1492"/>
      <c r="AD21" s="288"/>
      <c r="AE21" s="288"/>
      <c r="AF21" s="288"/>
      <c r="AG21" s="288"/>
      <c r="AH21" s="1356"/>
      <c r="AI21" s="288"/>
      <c r="AJ21" s="288"/>
      <c r="AK21" s="288"/>
      <c r="AL21" s="1356"/>
      <c r="AM21" s="288"/>
      <c r="AN21" s="288"/>
      <c r="AO21" s="1456"/>
      <c r="AP21" s="1356"/>
      <c r="AQ21" s="288"/>
      <c r="AR21" s="288"/>
      <c r="AS21" s="1456"/>
      <c r="AT21" s="1493"/>
      <c r="AU21" s="1494"/>
      <c r="AV21" s="1494"/>
      <c r="AW21" s="1494"/>
      <c r="AX21" s="1495"/>
      <c r="AY21" s="1495"/>
      <c r="AZ21" s="1496"/>
      <c r="BA21" s="1497"/>
      <c r="BB21" s="1495"/>
      <c r="BC21" s="1495"/>
      <c r="BD21" s="1498"/>
      <c r="BE21" s="1498"/>
      <c r="BG21" s="1233"/>
      <c r="BH21" s="1231"/>
      <c r="BI21" s="559"/>
      <c r="BJ21" s="560"/>
      <c r="BK21" s="1233"/>
      <c r="BL21" s="1231"/>
      <c r="BM21" s="559"/>
      <c r="BN21" s="559"/>
      <c r="BO21" s="558"/>
      <c r="BP21" s="559"/>
      <c r="BQ21" s="559"/>
      <c r="BR21" s="560"/>
      <c r="BS21" s="558"/>
      <c r="BT21" s="559"/>
      <c r="BU21" s="288"/>
      <c r="BV21" s="594"/>
      <c r="BW21" s="558"/>
      <c r="BX21" s="559"/>
      <c r="BY21" s="288"/>
      <c r="BZ21" s="594"/>
    </row>
    <row r="22" spans="1:78" ht="12" customHeight="1">
      <c r="A22" s="63" t="s">
        <v>311</v>
      </c>
      <c r="B22" s="1499"/>
      <c r="C22" s="559"/>
      <c r="D22" s="559"/>
      <c r="E22" s="560"/>
      <c r="F22" s="1500"/>
      <c r="G22" s="559"/>
      <c r="H22" s="559"/>
      <c r="I22" s="560"/>
      <c r="J22" s="1500"/>
      <c r="K22" s="559"/>
      <c r="L22" s="559"/>
      <c r="M22" s="560"/>
      <c r="N22" s="1500"/>
      <c r="O22" s="559"/>
      <c r="P22" s="559"/>
      <c r="Q22" s="560"/>
      <c r="R22" s="1501"/>
      <c r="S22" s="559"/>
      <c r="T22" s="559"/>
      <c r="U22" s="1472"/>
      <c r="V22" s="1501"/>
      <c r="W22" s="559"/>
      <c r="X22" s="559"/>
      <c r="Y22" s="1472"/>
      <c r="Z22" s="288"/>
      <c r="AA22" s="559"/>
      <c r="AB22" s="1502"/>
      <c r="AC22" s="1462"/>
      <c r="AD22" s="288"/>
      <c r="AE22" s="288"/>
      <c r="AF22" s="288"/>
      <c r="AG22" s="288"/>
      <c r="AH22" s="1356"/>
      <c r="AI22" s="288"/>
      <c r="AJ22" s="288"/>
      <c r="AK22" s="288"/>
      <c r="AL22" s="1356"/>
      <c r="AM22" s="288"/>
      <c r="AN22" s="288"/>
      <c r="AO22" s="1462"/>
      <c r="AP22" s="1356"/>
      <c r="AQ22" s="288"/>
      <c r="AR22" s="288"/>
      <c r="AS22" s="1462"/>
      <c r="AT22" s="1493"/>
      <c r="AU22" s="1503"/>
      <c r="AV22" s="1503"/>
      <c r="AW22" s="1503"/>
      <c r="AX22" s="1457"/>
      <c r="AY22" s="1457"/>
      <c r="AZ22" s="1458"/>
      <c r="BA22" s="1504"/>
      <c r="BB22" s="1457"/>
      <c r="BC22" s="1457"/>
      <c r="BD22" s="1459"/>
      <c r="BE22" s="1459"/>
      <c r="BG22" s="1233"/>
      <c r="BH22" s="1231"/>
      <c r="BI22" s="559"/>
      <c r="BJ22" s="1461"/>
      <c r="BK22" s="1233"/>
      <c r="BL22" s="1231"/>
      <c r="BM22" s="559"/>
      <c r="BN22" s="1253"/>
      <c r="BO22" s="558"/>
      <c r="BP22" s="559"/>
      <c r="BQ22" s="559"/>
      <c r="BR22" s="1461"/>
      <c r="BS22" s="558"/>
      <c r="BT22" s="559"/>
      <c r="BU22" s="288"/>
      <c r="BV22" s="1472"/>
      <c r="BW22" s="558"/>
      <c r="BX22" s="559"/>
      <c r="BY22" s="288"/>
      <c r="BZ22" s="1472"/>
    </row>
    <row r="23" spans="1:78" ht="12" customHeight="1">
      <c r="A23" s="128" t="s">
        <v>312</v>
      </c>
      <c r="B23" s="1253">
        <v>-0.46</v>
      </c>
      <c r="C23" s="1253">
        <f>-0.681-B23</f>
        <v>-0.22100000000000003</v>
      </c>
      <c r="D23" s="1253">
        <f>-1.628-C23-B23</f>
        <v>-0.94699999999999984</v>
      </c>
      <c r="E23" s="1461">
        <f>-2.755-D23-C23-B23</f>
        <v>-1.127</v>
      </c>
      <c r="F23" s="1235">
        <v>-1.5960000000000001</v>
      </c>
      <c r="G23" s="1253">
        <f>-2.978-F23</f>
        <v>-1.3820000000000001</v>
      </c>
      <c r="H23" s="1253">
        <f>-4.14-G23-F23</f>
        <v>-1.1619999999999995</v>
      </c>
      <c r="I23" s="1461">
        <f>-5.733-H23-G23-F23</f>
        <v>-1.5929999999999995</v>
      </c>
      <c r="J23" s="1235">
        <v>-2.306</v>
      </c>
      <c r="K23" s="1253">
        <f>-5.335-J23</f>
        <v>-3.0289999999999999</v>
      </c>
      <c r="L23" s="1253">
        <f>-10.262-K23-J23</f>
        <v>-4.9270000000000005</v>
      </c>
      <c r="M23" s="1461">
        <f>-20.674-SUM(J23:L23)</f>
        <v>-10.411999999999999</v>
      </c>
      <c r="N23" s="1255">
        <v>-0.61399999999999999</v>
      </c>
      <c r="O23" s="1253">
        <f>-11.004-N23</f>
        <v>-10.389999999999999</v>
      </c>
      <c r="P23" s="1253">
        <f>-19.073-O23-N23</f>
        <v>-8.0690000000000008</v>
      </c>
      <c r="Q23" s="1253">
        <f>-20.277-SUM(N23:P23)</f>
        <v>-1.2040000000000006</v>
      </c>
      <c r="R23" s="1255">
        <f t="shared" ref="R23:R28" si="54">BG23</f>
        <v>-1.0609999999999999</v>
      </c>
      <c r="S23" s="1253">
        <f t="shared" ref="S23:U28" si="55">BH23-BG23</f>
        <v>-1.5340000000000003</v>
      </c>
      <c r="T23" s="1253">
        <f t="shared" si="55"/>
        <v>-1.1739999999999999</v>
      </c>
      <c r="U23" s="1461">
        <f t="shared" si="55"/>
        <v>-2.7919999999999998</v>
      </c>
      <c r="V23" s="1255">
        <f t="shared" ref="V23:V28" si="56">BK23</f>
        <v>-4.8109999999999999</v>
      </c>
      <c r="W23" s="1253">
        <f t="shared" ref="W23:Y28" si="57">BL23-BK23</f>
        <v>-4.7520000000000007</v>
      </c>
      <c r="X23" s="1253">
        <f t="shared" si="57"/>
        <v>-4.3469999999999995</v>
      </c>
      <c r="Y23" s="1461">
        <f t="shared" si="57"/>
        <v>-5.2379999999999995</v>
      </c>
      <c r="Z23" s="1231">
        <f t="shared" ref="Z23:Z28" si="58">BO23</f>
        <v>-0.38700000000000001</v>
      </c>
      <c r="AA23" s="1253">
        <f t="shared" ref="AA23:AK28" si="59">BP23-BO23</f>
        <v>-0.71100000000000008</v>
      </c>
      <c r="AB23" s="1253">
        <f t="shared" si="59"/>
        <v>-0.20099999999999985</v>
      </c>
      <c r="AC23" s="1253">
        <f t="shared" si="59"/>
        <v>-0.40500000000000003</v>
      </c>
      <c r="AD23" s="1255">
        <f t="shared" ref="AD23:AD28" si="60">BS23</f>
        <v>-0.66500000000000004</v>
      </c>
      <c r="AE23" s="1253">
        <f t="shared" si="59"/>
        <v>-0.52600000000000002</v>
      </c>
      <c r="AF23" s="1253">
        <f t="shared" si="59"/>
        <v>-0.73299999999999987</v>
      </c>
      <c r="AG23" s="1253">
        <f t="shared" si="59"/>
        <v>-2.323</v>
      </c>
      <c r="AH23" s="1255">
        <f t="shared" ref="AH23:AH28" si="61">BW23</f>
        <v>-6.5529999999999999</v>
      </c>
      <c r="AI23" s="1253">
        <f t="shared" si="59"/>
        <v>-4.3479999999999999</v>
      </c>
      <c r="AJ23" s="1253">
        <f t="shared" si="59"/>
        <v>-0.86700000000000088</v>
      </c>
      <c r="AK23" s="1253">
        <f t="shared" si="59"/>
        <v>-0.33399999999999963</v>
      </c>
      <c r="AL23" s="1505">
        <f>AH23-0.5</f>
        <v>-7.0529999999999999</v>
      </c>
      <c r="AM23" s="1506">
        <f t="shared" ref="AM23:AS23" si="62">AI23-0.5</f>
        <v>-4.8479999999999999</v>
      </c>
      <c r="AN23" s="1506">
        <f t="shared" si="62"/>
        <v>-1.3670000000000009</v>
      </c>
      <c r="AO23" s="1506">
        <f t="shared" si="62"/>
        <v>-0.83399999999999963</v>
      </c>
      <c r="AP23" s="1505">
        <f t="shared" si="62"/>
        <v>-7.5529999999999999</v>
      </c>
      <c r="AQ23" s="1506">
        <f t="shared" si="62"/>
        <v>-5.3479999999999999</v>
      </c>
      <c r="AR23" s="1506">
        <f t="shared" si="62"/>
        <v>-1.8670000000000009</v>
      </c>
      <c r="AS23" s="1506">
        <f t="shared" si="62"/>
        <v>-1.3339999999999996</v>
      </c>
      <c r="AT23" s="1493"/>
      <c r="AU23" s="1463">
        <f t="shared" ref="AU23:AU29" si="63">SUM(B23:E23)</f>
        <v>-2.7549999999999999</v>
      </c>
      <c r="AV23" s="1463">
        <f t="shared" ref="AV23:AV29" si="64">SUM(F23:I23)</f>
        <v>-5.7329999999999988</v>
      </c>
      <c r="AW23" s="1463">
        <f t="shared" ref="AW23:AW29" si="65">SUM(J23:M23)</f>
        <v>-20.673999999999999</v>
      </c>
      <c r="AX23" s="1463">
        <f t="shared" ref="AX23:AX29" si="66">SUM(N23:Q23)</f>
        <v>-20.277000000000001</v>
      </c>
      <c r="AY23" s="1463">
        <f t="shared" ref="AY23:AY29" si="67">SUM(R23:U23)</f>
        <v>-6.5609999999999999</v>
      </c>
      <c r="AZ23" s="1464">
        <f t="shared" ref="AZ23:AZ29" si="68">SUM(V23:Y23)</f>
        <v>-19.148</v>
      </c>
      <c r="BA23" s="1257">
        <f t="shared" ref="BA23:BA29" si="69">SUM(Z23:AC23)</f>
        <v>-1.704</v>
      </c>
      <c r="BB23" s="1463">
        <f t="shared" ref="BB23:BB29" si="70">SUM(AD23:AG23)</f>
        <v>-4.2469999999999999</v>
      </c>
      <c r="BC23" s="1463">
        <f t="shared" ref="BC23:BC29" si="71">SUM(AH23:AK23)</f>
        <v>-12.102</v>
      </c>
      <c r="BD23" s="1466">
        <f t="shared" ref="BD23:BD29" si="72">SUM(AL23:AO23)</f>
        <v>-14.102</v>
      </c>
      <c r="BE23" s="1466">
        <f t="shared" ref="BE23:BE29" si="73">SUM(AP23:AS23)</f>
        <v>-16.102</v>
      </c>
      <c r="BG23" s="1233">
        <v>-1.0609999999999999</v>
      </c>
      <c r="BH23" s="1231">
        <v>-2.5950000000000002</v>
      </c>
      <c r="BI23" s="1231">
        <v>-3.7690000000000001</v>
      </c>
      <c r="BJ23" s="1461">
        <v>-6.5609999999999999</v>
      </c>
      <c r="BK23" s="1233">
        <v>-4.8109999999999999</v>
      </c>
      <c r="BL23" s="1231">
        <v>-9.5630000000000006</v>
      </c>
      <c r="BM23" s="1231">
        <v>-13.91</v>
      </c>
      <c r="BN23" s="1253">
        <f>-9.359-9.789</f>
        <v>-19.148</v>
      </c>
      <c r="BO23" s="1233">
        <f>-0.387</f>
        <v>-0.38700000000000001</v>
      </c>
      <c r="BP23" s="1231">
        <f>-1.098</f>
        <v>-1.0980000000000001</v>
      </c>
      <c r="BQ23" s="1231">
        <f>-1.299</f>
        <v>-1.2989999999999999</v>
      </c>
      <c r="BR23" s="1461">
        <v>-1.704</v>
      </c>
      <c r="BS23" s="1233">
        <v>-0.66500000000000004</v>
      </c>
      <c r="BT23" s="1231">
        <v>-1.1910000000000001</v>
      </c>
      <c r="BU23" s="1231">
        <v>-1.9239999999999999</v>
      </c>
      <c r="BV23" s="1472">
        <v>-4.2469999999999999</v>
      </c>
      <c r="BW23" s="1233">
        <v>-6.5529999999999999</v>
      </c>
      <c r="BX23" s="1231">
        <v>-10.901</v>
      </c>
      <c r="BY23" s="1231">
        <v>-11.768000000000001</v>
      </c>
      <c r="BZ23" s="1472">
        <v>-12.102</v>
      </c>
    </row>
    <row r="24" spans="1:78" ht="12" customHeight="1">
      <c r="A24" s="128" t="s">
        <v>313</v>
      </c>
      <c r="B24" s="1507"/>
      <c r="C24" s="1507"/>
      <c r="D24" s="1507"/>
      <c r="E24" s="1508"/>
      <c r="F24" s="1509"/>
      <c r="G24" s="1507"/>
      <c r="H24" s="1507"/>
      <c r="I24" s="1508"/>
      <c r="J24" s="1509"/>
      <c r="K24" s="1507"/>
      <c r="L24" s="1507"/>
      <c r="M24" s="1508"/>
      <c r="N24" s="1510"/>
      <c r="O24" s="1507"/>
      <c r="P24" s="1507"/>
      <c r="Q24" s="1507"/>
      <c r="R24" s="1510"/>
      <c r="S24" s="1507"/>
      <c r="T24" s="1507"/>
      <c r="U24" s="1508"/>
      <c r="V24" s="1233"/>
      <c r="W24" s="1231"/>
      <c r="X24" s="1231"/>
      <c r="Y24" s="1472"/>
      <c r="Z24" s="1231">
        <f t="shared" si="58"/>
        <v>-1.0229999999999999</v>
      </c>
      <c r="AA24" s="1253">
        <f t="shared" si="59"/>
        <v>-1.7900000000000003</v>
      </c>
      <c r="AB24" s="1253">
        <f t="shared" si="59"/>
        <v>-1.8939999999999997</v>
      </c>
      <c r="AC24" s="1461">
        <f t="shared" si="59"/>
        <v>-2.3449999999999998</v>
      </c>
      <c r="AD24" s="1255">
        <f t="shared" si="60"/>
        <v>-2.532</v>
      </c>
      <c r="AE24" s="1253">
        <f t="shared" si="59"/>
        <v>-2.2350000000000003</v>
      </c>
      <c r="AF24" s="1253">
        <f t="shared" si="59"/>
        <v>-1.1629999999999994</v>
      </c>
      <c r="AG24" s="1253">
        <f t="shared" si="59"/>
        <v>-0.52099999999999991</v>
      </c>
      <c r="AH24" s="1255">
        <f t="shared" si="61"/>
        <v>-0.624</v>
      </c>
      <c r="AI24" s="1253">
        <f t="shared" si="59"/>
        <v>-0.69899999999999995</v>
      </c>
      <c r="AJ24" s="1253">
        <f t="shared" si="59"/>
        <v>-1.3530000000000002</v>
      </c>
      <c r="AK24" s="1253">
        <f t="shared" si="59"/>
        <v>-1.798</v>
      </c>
      <c r="AL24" s="1505">
        <f>AK24-0.05</f>
        <v>-1.8480000000000001</v>
      </c>
      <c r="AM24" s="1506">
        <f t="shared" ref="AM24:AS24" si="74">AL24-0.05</f>
        <v>-1.8980000000000001</v>
      </c>
      <c r="AN24" s="1506">
        <f t="shared" si="74"/>
        <v>-1.9480000000000002</v>
      </c>
      <c r="AO24" s="1506">
        <f t="shared" si="74"/>
        <v>-1.9980000000000002</v>
      </c>
      <c r="AP24" s="1505">
        <f t="shared" si="74"/>
        <v>-2.048</v>
      </c>
      <c r="AQ24" s="1506">
        <f t="shared" si="74"/>
        <v>-2.0979999999999999</v>
      </c>
      <c r="AR24" s="1506">
        <f t="shared" si="74"/>
        <v>-2.1479999999999997</v>
      </c>
      <c r="AS24" s="1506">
        <f t="shared" si="74"/>
        <v>-2.1979999999999995</v>
      </c>
      <c r="AT24" s="1493"/>
      <c r="AU24" s="1463"/>
      <c r="AV24" s="1463"/>
      <c r="AW24" s="1463"/>
      <c r="AX24" s="1463"/>
      <c r="AY24" s="1463"/>
      <c r="AZ24" s="1464"/>
      <c r="BA24" s="1257">
        <f t="shared" si="69"/>
        <v>-7.0519999999999996</v>
      </c>
      <c r="BB24" s="1463">
        <f t="shared" si="70"/>
        <v>-6.4509999999999996</v>
      </c>
      <c r="BC24" s="1463">
        <f t="shared" si="71"/>
        <v>-4.4740000000000002</v>
      </c>
      <c r="BD24" s="1466">
        <f t="shared" si="72"/>
        <v>-7.6920000000000011</v>
      </c>
      <c r="BE24" s="1466">
        <f t="shared" si="73"/>
        <v>-8.4919999999999991</v>
      </c>
      <c r="BG24" s="1233"/>
      <c r="BH24" s="1231"/>
      <c r="BI24" s="1231"/>
      <c r="BJ24" s="1461"/>
      <c r="BK24" s="1233"/>
      <c r="BL24" s="1231"/>
      <c r="BM24" s="1231"/>
      <c r="BN24" s="1253"/>
      <c r="BO24" s="1233">
        <v>-1.0229999999999999</v>
      </c>
      <c r="BP24" s="1231">
        <v>-2.8130000000000002</v>
      </c>
      <c r="BQ24" s="1231">
        <v>-4.7069999999999999</v>
      </c>
      <c r="BR24" s="1461">
        <v>-7.0519999999999996</v>
      </c>
      <c r="BS24" s="1233">
        <v>-2.532</v>
      </c>
      <c r="BT24" s="1231">
        <v>-4.7670000000000003</v>
      </c>
      <c r="BU24" s="1231">
        <v>-5.93</v>
      </c>
      <c r="BV24" s="1472">
        <v>-6.4509999999999996</v>
      </c>
      <c r="BW24" s="1233">
        <v>-0.624</v>
      </c>
      <c r="BX24" s="1231">
        <v>-1.323</v>
      </c>
      <c r="BY24" s="1231">
        <v>-2.6760000000000002</v>
      </c>
      <c r="BZ24" s="1472">
        <v>-4.4740000000000002</v>
      </c>
    </row>
    <row r="25" spans="1:78" ht="12" customHeight="1">
      <c r="A25" s="128" t="s">
        <v>314</v>
      </c>
      <c r="B25" s="1253">
        <v>0</v>
      </c>
      <c r="C25" s="1253">
        <v>0</v>
      </c>
      <c r="D25" s="1253">
        <v>0</v>
      </c>
      <c r="E25" s="1461">
        <v>0</v>
      </c>
      <c r="F25" s="1235">
        <v>0</v>
      </c>
      <c r="G25" s="1253">
        <v>0</v>
      </c>
      <c r="H25" s="1253">
        <f>-34.114-G25-F25</f>
        <v>-34.113999999999997</v>
      </c>
      <c r="I25" s="1461">
        <f>-117.488-H25-G25-F25</f>
        <v>-83.373999999999995</v>
      </c>
      <c r="J25" s="1235">
        <v>-53.914999999999999</v>
      </c>
      <c r="K25" s="1253">
        <f>-102.453-J25</f>
        <v>-48.538000000000004</v>
      </c>
      <c r="L25" s="1253">
        <f>-179.703-K25-J25</f>
        <v>-77.25</v>
      </c>
      <c r="M25" s="1461">
        <f>-242.059-SUM(J25:L25)</f>
        <v>-62.355999999999995</v>
      </c>
      <c r="N25" s="1255">
        <v>-58.831000000000003</v>
      </c>
      <c r="O25" s="1253">
        <f>-91.908-N25</f>
        <v>-33.076999999999998</v>
      </c>
      <c r="P25" s="1253">
        <f>-157.557-O25-N25</f>
        <v>-65.648999999999987</v>
      </c>
      <c r="Q25" s="1253">
        <f>-184.516-SUM(N25:P25)</f>
        <v>-26.959000000000003</v>
      </c>
      <c r="R25" s="1255">
        <f t="shared" si="54"/>
        <v>-29.361000000000001</v>
      </c>
      <c r="S25" s="1253">
        <f t="shared" si="55"/>
        <v>-58.262999999999991</v>
      </c>
      <c r="T25" s="1253">
        <f t="shared" si="55"/>
        <v>-124.131</v>
      </c>
      <c r="U25" s="1472">
        <f t="shared" si="55"/>
        <v>-75.682999999999993</v>
      </c>
      <c r="V25" s="1255">
        <f t="shared" si="56"/>
        <v>-60.85</v>
      </c>
      <c r="W25" s="1253">
        <f t="shared" si="57"/>
        <v>-58.768999999999998</v>
      </c>
      <c r="X25" s="1253">
        <f t="shared" si="57"/>
        <v>-70.820999999999998</v>
      </c>
      <c r="Y25" s="1472">
        <f t="shared" si="57"/>
        <v>-86.252999999999986</v>
      </c>
      <c r="Z25" s="1231">
        <f t="shared" si="58"/>
        <v>-48.749000000000002</v>
      </c>
      <c r="AA25" s="1253">
        <f t="shared" si="59"/>
        <v>-98.685000000000002</v>
      </c>
      <c r="AB25" s="1253">
        <f t="shared" si="59"/>
        <v>-69.805000000000007</v>
      </c>
      <c r="AC25" s="1472">
        <f t="shared" si="59"/>
        <v>-60.97</v>
      </c>
      <c r="AD25" s="1255">
        <f t="shared" si="60"/>
        <v>-77.465000000000003</v>
      </c>
      <c r="AE25" s="1253">
        <f t="shared" si="59"/>
        <v>-82.94</v>
      </c>
      <c r="AF25" s="1253">
        <f t="shared" si="59"/>
        <v>-66.805000000000007</v>
      </c>
      <c r="AG25" s="1253">
        <f t="shared" si="59"/>
        <v>-60.587000000000018</v>
      </c>
      <c r="AH25" s="1255">
        <f t="shared" si="61"/>
        <v>-38.445</v>
      </c>
      <c r="AI25" s="1253">
        <f t="shared" si="59"/>
        <v>-44.892999999999994</v>
      </c>
      <c r="AJ25" s="1253">
        <f t="shared" si="59"/>
        <v>-33.349000000000004</v>
      </c>
      <c r="AK25" s="1253">
        <f t="shared" si="59"/>
        <v>-28.655000000000015</v>
      </c>
      <c r="AL25" s="1233">
        <v>0</v>
      </c>
      <c r="AM25" s="1231">
        <v>0</v>
      </c>
      <c r="AN25" s="1231">
        <v>0</v>
      </c>
      <c r="AO25" s="1231">
        <v>0</v>
      </c>
      <c r="AP25" s="1233">
        <v>0</v>
      </c>
      <c r="AQ25" s="1231">
        <v>0</v>
      </c>
      <c r="AR25" s="1231">
        <v>0</v>
      </c>
      <c r="AS25" s="1231">
        <v>0</v>
      </c>
      <c r="AT25" s="1493"/>
      <c r="AU25" s="1463">
        <f t="shared" si="63"/>
        <v>0</v>
      </c>
      <c r="AV25" s="1463">
        <f t="shared" si="64"/>
        <v>-117.488</v>
      </c>
      <c r="AW25" s="1463">
        <f t="shared" si="65"/>
        <v>-242.059</v>
      </c>
      <c r="AX25" s="1463">
        <f t="shared" si="66"/>
        <v>-184.51599999999999</v>
      </c>
      <c r="AY25" s="1463">
        <f t="shared" si="67"/>
        <v>-287.43799999999999</v>
      </c>
      <c r="AZ25" s="1464">
        <f t="shared" si="68"/>
        <v>-276.69299999999998</v>
      </c>
      <c r="BA25" s="1257">
        <f t="shared" si="69"/>
        <v>-278.209</v>
      </c>
      <c r="BB25" s="1463">
        <f t="shared" si="70"/>
        <v>-287.79700000000003</v>
      </c>
      <c r="BC25" s="1463">
        <f t="shared" si="71"/>
        <v>-145.34200000000001</v>
      </c>
      <c r="BD25" s="1466">
        <f t="shared" si="72"/>
        <v>0</v>
      </c>
      <c r="BE25" s="1466">
        <f t="shared" si="73"/>
        <v>0</v>
      </c>
      <c r="BG25" s="1233">
        <v>-29.361000000000001</v>
      </c>
      <c r="BH25" s="1231">
        <v>-87.623999999999995</v>
      </c>
      <c r="BI25" s="1231">
        <v>-211.755</v>
      </c>
      <c r="BJ25" s="1461">
        <f>-282.438-5</f>
        <v>-287.43799999999999</v>
      </c>
      <c r="BK25" s="1233">
        <v>-60.85</v>
      </c>
      <c r="BL25" s="1231">
        <v>-119.619</v>
      </c>
      <c r="BM25" s="1231">
        <v>-190.44</v>
      </c>
      <c r="BN25" s="1253">
        <f>-266.693-10</f>
        <v>-276.69299999999998</v>
      </c>
      <c r="BO25" s="1233">
        <v>-48.749000000000002</v>
      </c>
      <c r="BP25" s="1231">
        <v>-147.434</v>
      </c>
      <c r="BQ25" s="1231">
        <v>-217.239</v>
      </c>
      <c r="BR25" s="1461">
        <v>-278.209</v>
      </c>
      <c r="BS25" s="1233">
        <v>-77.465000000000003</v>
      </c>
      <c r="BT25" s="1231">
        <v>-160.405</v>
      </c>
      <c r="BU25" s="1231">
        <v>-227.21</v>
      </c>
      <c r="BV25" s="1472">
        <v>-287.79700000000003</v>
      </c>
      <c r="BW25" s="1233">
        <v>-38.445</v>
      </c>
      <c r="BX25" s="1231">
        <v>-83.337999999999994</v>
      </c>
      <c r="BY25" s="1231">
        <v>-116.687</v>
      </c>
      <c r="BZ25" s="1472">
        <v>-145.34200000000001</v>
      </c>
    </row>
    <row r="26" spans="1:78" ht="12" customHeight="1">
      <c r="A26" s="128" t="s">
        <v>315</v>
      </c>
      <c r="B26" s="1253">
        <v>0</v>
      </c>
      <c r="C26" s="1253">
        <v>0</v>
      </c>
      <c r="D26" s="1253">
        <v>0</v>
      </c>
      <c r="E26" s="1461">
        <v>0</v>
      </c>
      <c r="F26" s="1235">
        <v>0</v>
      </c>
      <c r="G26" s="1253">
        <v>0</v>
      </c>
      <c r="H26" s="1253">
        <v>0</v>
      </c>
      <c r="I26" s="1461">
        <v>0</v>
      </c>
      <c r="J26" s="1235">
        <v>41.75</v>
      </c>
      <c r="K26" s="1253">
        <f>110.75-J26</f>
        <v>69</v>
      </c>
      <c r="L26" s="1253">
        <f>174.485-K26-J26</f>
        <v>63.735000000000014</v>
      </c>
      <c r="M26" s="1461">
        <f>224.594-SUM(J26:L26)</f>
        <v>50.10899999999998</v>
      </c>
      <c r="N26" s="1255">
        <v>78.174999999999997</v>
      </c>
      <c r="O26" s="1253">
        <f>124.675-N26</f>
        <v>46.5</v>
      </c>
      <c r="P26" s="1253">
        <f>168.175-O26-N26</f>
        <v>43.500000000000014</v>
      </c>
      <c r="Q26" s="1253">
        <f>209.148-SUM(N26:P26)</f>
        <v>40.972999999999985</v>
      </c>
      <c r="R26" s="1255">
        <f t="shared" si="54"/>
        <v>31</v>
      </c>
      <c r="S26" s="1253">
        <f t="shared" si="55"/>
        <v>45</v>
      </c>
      <c r="T26" s="1253">
        <f t="shared" si="55"/>
        <v>33</v>
      </c>
      <c r="U26" s="1472">
        <f t="shared" si="55"/>
        <v>51.873999999999995</v>
      </c>
      <c r="V26" s="1255">
        <f t="shared" si="56"/>
        <v>55.134999999999998</v>
      </c>
      <c r="W26" s="1253">
        <f t="shared" si="57"/>
        <v>53.723000000000006</v>
      </c>
      <c r="X26" s="1253">
        <f t="shared" si="57"/>
        <v>54.481999999999999</v>
      </c>
      <c r="Y26" s="1472">
        <f t="shared" si="57"/>
        <v>71.228999999999985</v>
      </c>
      <c r="Z26" s="1231">
        <f t="shared" si="58"/>
        <v>61.298999999999999</v>
      </c>
      <c r="AA26" s="1253">
        <f t="shared" si="59"/>
        <v>87.460999999999984</v>
      </c>
      <c r="AB26" s="1253">
        <f t="shared" si="59"/>
        <v>94.104000000000013</v>
      </c>
      <c r="AC26" s="1472">
        <f t="shared" si="59"/>
        <v>74.787000000000006</v>
      </c>
      <c r="AD26" s="1255">
        <f t="shared" si="60"/>
        <v>65.569999999999993</v>
      </c>
      <c r="AE26" s="1253">
        <f t="shared" si="59"/>
        <v>82.207999999999998</v>
      </c>
      <c r="AF26" s="1253">
        <f t="shared" si="59"/>
        <v>87.087000000000018</v>
      </c>
      <c r="AG26" s="1253">
        <f t="shared" si="59"/>
        <v>49.09899999999999</v>
      </c>
      <c r="AH26" s="1255">
        <f t="shared" si="61"/>
        <v>61.344999999999999</v>
      </c>
      <c r="AI26" s="1253">
        <f t="shared" si="59"/>
        <v>60.968999999999994</v>
      </c>
      <c r="AJ26" s="1253">
        <f t="shared" si="59"/>
        <v>33.856999999999999</v>
      </c>
      <c r="AK26" s="1253">
        <f t="shared" si="59"/>
        <v>26.498999999999995</v>
      </c>
      <c r="AL26" s="1233">
        <v>0</v>
      </c>
      <c r="AM26" s="1231">
        <v>0</v>
      </c>
      <c r="AN26" s="1231">
        <v>0</v>
      </c>
      <c r="AO26" s="1231">
        <v>0</v>
      </c>
      <c r="AP26" s="1233">
        <v>0</v>
      </c>
      <c r="AQ26" s="1231">
        <v>0</v>
      </c>
      <c r="AR26" s="1231">
        <v>0</v>
      </c>
      <c r="AS26" s="1231">
        <v>0</v>
      </c>
      <c r="AT26" s="1493"/>
      <c r="AU26" s="1463">
        <f t="shared" si="63"/>
        <v>0</v>
      </c>
      <c r="AV26" s="1463">
        <f t="shared" si="64"/>
        <v>0</v>
      </c>
      <c r="AW26" s="1463">
        <f t="shared" si="65"/>
        <v>224.59399999999999</v>
      </c>
      <c r="AX26" s="1463">
        <f t="shared" si="66"/>
        <v>209.148</v>
      </c>
      <c r="AY26" s="1463">
        <f t="shared" si="67"/>
        <v>160.874</v>
      </c>
      <c r="AZ26" s="1464">
        <f t="shared" si="68"/>
        <v>234.56899999999999</v>
      </c>
      <c r="BA26" s="1257">
        <f t="shared" si="69"/>
        <v>317.65100000000001</v>
      </c>
      <c r="BB26" s="1463">
        <f t="shared" si="70"/>
        <v>283.964</v>
      </c>
      <c r="BC26" s="1463">
        <f t="shared" si="71"/>
        <v>182.67</v>
      </c>
      <c r="BD26" s="1466">
        <f t="shared" si="72"/>
        <v>0</v>
      </c>
      <c r="BE26" s="1466">
        <f t="shared" si="73"/>
        <v>0</v>
      </c>
      <c r="BG26" s="1233">
        <v>31</v>
      </c>
      <c r="BH26" s="1231">
        <v>76</v>
      </c>
      <c r="BI26" s="1231">
        <v>109</v>
      </c>
      <c r="BJ26" s="1461">
        <f>160.874</f>
        <v>160.874</v>
      </c>
      <c r="BK26" s="1233">
        <v>55.134999999999998</v>
      </c>
      <c r="BL26" s="1231">
        <v>108.858</v>
      </c>
      <c r="BM26" s="1231">
        <v>163.34</v>
      </c>
      <c r="BN26" s="1253">
        <v>234.56899999999999</v>
      </c>
      <c r="BO26" s="1233">
        <v>61.298999999999999</v>
      </c>
      <c r="BP26" s="1231">
        <v>148.76</v>
      </c>
      <c r="BQ26" s="1231">
        <v>242.864</v>
      </c>
      <c r="BR26" s="1461">
        <v>317.65100000000001</v>
      </c>
      <c r="BS26" s="1233">
        <v>65.569999999999993</v>
      </c>
      <c r="BT26" s="1231">
        <v>147.77799999999999</v>
      </c>
      <c r="BU26" s="1231">
        <v>234.86500000000001</v>
      </c>
      <c r="BV26" s="1472">
        <v>283.964</v>
      </c>
      <c r="BW26" s="1233">
        <v>61.344999999999999</v>
      </c>
      <c r="BX26" s="1231">
        <v>122.31399999999999</v>
      </c>
      <c r="BY26" s="1231">
        <v>156.17099999999999</v>
      </c>
      <c r="BZ26" s="1472">
        <v>182.67</v>
      </c>
    </row>
    <row r="27" spans="1:78" ht="12" customHeight="1">
      <c r="A27" s="128" t="s">
        <v>316</v>
      </c>
      <c r="B27" s="1253">
        <v>0</v>
      </c>
      <c r="C27" s="1253">
        <v>0</v>
      </c>
      <c r="D27" s="1253">
        <v>0</v>
      </c>
      <c r="E27" s="1461">
        <v>0</v>
      </c>
      <c r="F27" s="1235">
        <v>0</v>
      </c>
      <c r="G27" s="1253">
        <v>0</v>
      </c>
      <c r="H27" s="1253">
        <v>0</v>
      </c>
      <c r="I27" s="1461">
        <v>0</v>
      </c>
      <c r="J27" s="1235">
        <v>0</v>
      </c>
      <c r="K27" s="1253">
        <v>0</v>
      </c>
      <c r="L27" s="1253">
        <v>0</v>
      </c>
      <c r="M27" s="1461">
        <f>-74.911-SUM(J27:L27)</f>
        <v>-74.911000000000001</v>
      </c>
      <c r="N27" s="1255">
        <v>0</v>
      </c>
      <c r="O27" s="1253">
        <v>0</v>
      </c>
      <c r="P27" s="1253">
        <f>0-O27-N27</f>
        <v>0</v>
      </c>
      <c r="Q27" s="1253">
        <f>-0.276-SUM(N27:P27)</f>
        <v>-0.27600000000000002</v>
      </c>
      <c r="R27" s="1255">
        <f t="shared" si="54"/>
        <v>0</v>
      </c>
      <c r="S27" s="1253">
        <f t="shared" si="55"/>
        <v>-98.489000000000004</v>
      </c>
      <c r="T27" s="1253">
        <f t="shared" si="55"/>
        <v>0</v>
      </c>
      <c r="U27" s="1472">
        <f t="shared" si="55"/>
        <v>-159.97599999999997</v>
      </c>
      <c r="V27" s="1255">
        <f t="shared" si="56"/>
        <v>-22.96</v>
      </c>
      <c r="W27" s="1253">
        <f t="shared" si="57"/>
        <v>-44.032999999999994</v>
      </c>
      <c r="X27" s="1253">
        <f t="shared" si="57"/>
        <v>0</v>
      </c>
      <c r="Y27" s="1472">
        <f t="shared" si="57"/>
        <v>0.22599999999999909</v>
      </c>
      <c r="Z27" s="1231">
        <f t="shared" si="58"/>
        <v>0</v>
      </c>
      <c r="AA27" s="1253">
        <f t="shared" si="59"/>
        <v>0</v>
      </c>
      <c r="AB27" s="1253">
        <f t="shared" si="59"/>
        <v>0</v>
      </c>
      <c r="AC27" s="1472">
        <f t="shared" si="59"/>
        <v>-243.30099999999999</v>
      </c>
      <c r="AD27" s="1255">
        <f t="shared" si="60"/>
        <v>0</v>
      </c>
      <c r="AE27" s="1253">
        <f t="shared" si="59"/>
        <v>3.512</v>
      </c>
      <c r="AF27" s="1253">
        <f t="shared" si="59"/>
        <v>-32.673999999999999</v>
      </c>
      <c r="AG27" s="1253">
        <f t="shared" si="59"/>
        <v>0</v>
      </c>
      <c r="AH27" s="1255">
        <f t="shared" si="61"/>
        <v>-148.51</v>
      </c>
      <c r="AI27" s="1253">
        <f t="shared" si="59"/>
        <v>149.17399999999998</v>
      </c>
      <c r="AJ27" s="1253">
        <f t="shared" si="59"/>
        <v>-196.84599999999998</v>
      </c>
      <c r="AK27" s="1253">
        <f t="shared" si="59"/>
        <v>0</v>
      </c>
      <c r="AL27" s="1511">
        <v>0</v>
      </c>
      <c r="AM27" s="1512">
        <v>0</v>
      </c>
      <c r="AN27" s="1512">
        <v>0</v>
      </c>
      <c r="AO27" s="1512">
        <v>0</v>
      </c>
      <c r="AP27" s="1511">
        <v>0</v>
      </c>
      <c r="AQ27" s="1512">
        <v>0</v>
      </c>
      <c r="AR27" s="1512">
        <v>0</v>
      </c>
      <c r="AS27" s="1512">
        <v>0</v>
      </c>
      <c r="AT27" s="1493"/>
      <c r="AU27" s="1463">
        <f t="shared" si="63"/>
        <v>0</v>
      </c>
      <c r="AV27" s="1463">
        <f t="shared" si="64"/>
        <v>0</v>
      </c>
      <c r="AW27" s="1463">
        <f t="shared" si="65"/>
        <v>-74.911000000000001</v>
      </c>
      <c r="AX27" s="1463">
        <f t="shared" si="66"/>
        <v>-0.27600000000000002</v>
      </c>
      <c r="AY27" s="1463">
        <f t="shared" si="67"/>
        <v>-258.46499999999997</v>
      </c>
      <c r="AZ27" s="1464">
        <f t="shared" si="68"/>
        <v>-66.766999999999996</v>
      </c>
      <c r="BA27" s="1257">
        <f t="shared" si="69"/>
        <v>-243.30099999999999</v>
      </c>
      <c r="BB27" s="1463">
        <f t="shared" si="70"/>
        <v>-29.161999999999999</v>
      </c>
      <c r="BC27" s="1463">
        <f t="shared" si="71"/>
        <v>-196.18199999999999</v>
      </c>
      <c r="BD27" s="1466">
        <f t="shared" si="72"/>
        <v>0</v>
      </c>
      <c r="BE27" s="1466">
        <f t="shared" si="73"/>
        <v>0</v>
      </c>
      <c r="BG27" s="1233">
        <v>0</v>
      </c>
      <c r="BH27" s="1231">
        <v>-98.489000000000004</v>
      </c>
      <c r="BI27" s="1231">
        <v>-98.489000000000004</v>
      </c>
      <c r="BJ27" s="1461">
        <v>-258.46499999999997</v>
      </c>
      <c r="BK27" s="1233">
        <v>-22.96</v>
      </c>
      <c r="BL27" s="1231">
        <v>-66.992999999999995</v>
      </c>
      <c r="BM27" s="1231">
        <v>-66.992999999999995</v>
      </c>
      <c r="BN27" s="1253">
        <v>-66.766999999999996</v>
      </c>
      <c r="BO27" s="1233">
        <v>0</v>
      </c>
      <c r="BP27" s="1231">
        <v>0</v>
      </c>
      <c r="BQ27" s="1231">
        <v>0</v>
      </c>
      <c r="BR27" s="1461">
        <v>-243.30099999999999</v>
      </c>
      <c r="BS27" s="1233">
        <v>0</v>
      </c>
      <c r="BT27" s="1231">
        <v>3.512</v>
      </c>
      <c r="BU27" s="1231">
        <v>-29.161999999999999</v>
      </c>
      <c r="BV27" s="1472">
        <v>-29.161999999999999</v>
      </c>
      <c r="BW27" s="1233">
        <v>-148.51</v>
      </c>
      <c r="BX27" s="1231">
        <v>0.66400000000000003</v>
      </c>
      <c r="BY27" s="1231">
        <v>-196.18199999999999</v>
      </c>
      <c r="BZ27" s="1472">
        <v>-196.18199999999999</v>
      </c>
    </row>
    <row r="28" spans="1:78" ht="12" customHeight="1">
      <c r="A28" s="128" t="s">
        <v>300</v>
      </c>
      <c r="B28" s="1253">
        <v>0</v>
      </c>
      <c r="C28" s="1253">
        <v>0</v>
      </c>
      <c r="D28" s="1253">
        <v>0</v>
      </c>
      <c r="E28" s="1461">
        <v>0</v>
      </c>
      <c r="F28" s="1235">
        <v>0</v>
      </c>
      <c r="G28" s="1253">
        <v>0</v>
      </c>
      <c r="H28" s="1253">
        <v>0</v>
      </c>
      <c r="I28" s="1461">
        <v>0</v>
      </c>
      <c r="J28" s="1235">
        <v>0</v>
      </c>
      <c r="K28" s="1253">
        <v>0</v>
      </c>
      <c r="L28" s="1253">
        <v>0</v>
      </c>
      <c r="M28" s="1461">
        <v>0</v>
      </c>
      <c r="N28" s="1235">
        <v>0</v>
      </c>
      <c r="O28" s="1253">
        <v>0</v>
      </c>
      <c r="P28" s="1253">
        <v>0</v>
      </c>
      <c r="Q28" s="1461">
        <v>0</v>
      </c>
      <c r="R28" s="1513">
        <f t="shared" si="54"/>
        <v>0</v>
      </c>
      <c r="S28" s="1253">
        <f t="shared" si="55"/>
        <v>0</v>
      </c>
      <c r="T28" s="1253">
        <f t="shared" si="55"/>
        <v>0</v>
      </c>
      <c r="U28" s="1472">
        <f t="shared" si="55"/>
        <v>0</v>
      </c>
      <c r="V28" s="1513">
        <f t="shared" si="56"/>
        <v>0</v>
      </c>
      <c r="W28" s="1253">
        <f t="shared" si="57"/>
        <v>0</v>
      </c>
      <c r="X28" s="1253">
        <f t="shared" si="57"/>
        <v>0</v>
      </c>
      <c r="Y28" s="1472">
        <f t="shared" si="57"/>
        <v>0</v>
      </c>
      <c r="Z28" s="1231">
        <f t="shared" si="58"/>
        <v>0</v>
      </c>
      <c r="AA28" s="1253">
        <f t="shared" si="59"/>
        <v>0</v>
      </c>
      <c r="AB28" s="1253">
        <f t="shared" si="59"/>
        <v>0</v>
      </c>
      <c r="AC28" s="1472">
        <f t="shared" si="59"/>
        <v>0</v>
      </c>
      <c r="AD28" s="1255">
        <f t="shared" si="60"/>
        <v>3.512</v>
      </c>
      <c r="AE28" s="1253">
        <f t="shared" si="59"/>
        <v>-32.923999999999999</v>
      </c>
      <c r="AF28" s="1253">
        <f t="shared" si="59"/>
        <v>31.673999999999999</v>
      </c>
      <c r="AG28" s="1253">
        <f t="shared" si="59"/>
        <v>0</v>
      </c>
      <c r="AH28" s="1255">
        <f t="shared" si="61"/>
        <v>0.66400000000000003</v>
      </c>
      <c r="AI28" s="1253">
        <f t="shared" si="59"/>
        <v>-196.84599999999998</v>
      </c>
      <c r="AJ28" s="1253">
        <f t="shared" si="59"/>
        <v>197.03399999999999</v>
      </c>
      <c r="AK28" s="1253">
        <f t="shared" si="59"/>
        <v>0</v>
      </c>
      <c r="AL28" s="1233">
        <v>0</v>
      </c>
      <c r="AM28" s="1231">
        <v>0</v>
      </c>
      <c r="AN28" s="1231">
        <v>0</v>
      </c>
      <c r="AO28" s="1231">
        <v>0</v>
      </c>
      <c r="AP28" s="1233">
        <v>0</v>
      </c>
      <c r="AQ28" s="1231">
        <v>0</v>
      </c>
      <c r="AR28" s="1231">
        <v>0</v>
      </c>
      <c r="AS28" s="1231">
        <v>0</v>
      </c>
      <c r="AT28" s="1493"/>
      <c r="AU28" s="1463">
        <f t="shared" si="63"/>
        <v>0</v>
      </c>
      <c r="AV28" s="1463">
        <f t="shared" si="64"/>
        <v>0</v>
      </c>
      <c r="AW28" s="1463">
        <f t="shared" si="65"/>
        <v>0</v>
      </c>
      <c r="AX28" s="1463">
        <f t="shared" si="66"/>
        <v>0</v>
      </c>
      <c r="AY28" s="1463">
        <f t="shared" si="67"/>
        <v>0</v>
      </c>
      <c r="AZ28" s="1464">
        <f t="shared" si="68"/>
        <v>0</v>
      </c>
      <c r="BA28" s="1257">
        <f t="shared" si="69"/>
        <v>0</v>
      </c>
      <c r="BB28" s="1463">
        <f t="shared" si="70"/>
        <v>2.2620000000000005</v>
      </c>
      <c r="BC28" s="1463">
        <f t="shared" si="71"/>
        <v>0.85200000000000387</v>
      </c>
      <c r="BD28" s="1466">
        <f t="shared" si="72"/>
        <v>0</v>
      </c>
      <c r="BE28" s="1466">
        <f t="shared" si="73"/>
        <v>0</v>
      </c>
      <c r="BG28" s="1233">
        <f t="shared" ref="BG28" si="75">CB28</f>
        <v>0</v>
      </c>
      <c r="BH28" s="1231">
        <v>0</v>
      </c>
      <c r="BI28" s="1231">
        <v>0</v>
      </c>
      <c r="BJ28" s="1461">
        <v>0</v>
      </c>
      <c r="BK28" s="1233">
        <v>0</v>
      </c>
      <c r="BL28" s="1231">
        <v>0</v>
      </c>
      <c r="BM28" s="1231">
        <v>0</v>
      </c>
      <c r="BN28" s="1253">
        <v>0</v>
      </c>
      <c r="BO28" s="1233">
        <v>0</v>
      </c>
      <c r="BP28" s="1231">
        <v>0</v>
      </c>
      <c r="BQ28" s="1231">
        <v>0</v>
      </c>
      <c r="BR28" s="1461"/>
      <c r="BS28" s="1233">
        <v>3.512</v>
      </c>
      <c r="BT28" s="1231">
        <f>-0.25-29.162</f>
        <v>-29.411999999999999</v>
      </c>
      <c r="BU28" s="1231">
        <f>3.512-1.25</f>
        <v>2.262</v>
      </c>
      <c r="BV28" s="1472">
        <f>3.512-1.25</f>
        <v>2.262</v>
      </c>
      <c r="BW28" s="1233">
        <v>0.66400000000000003</v>
      </c>
      <c r="BX28" s="1231">
        <v>-196.18199999999999</v>
      </c>
      <c r="BY28" s="1231">
        <v>0.85199999999999998</v>
      </c>
      <c r="BZ28" s="1472">
        <v>0.85199999999999998</v>
      </c>
    </row>
    <row r="29" spans="1:78" ht="12" customHeight="1">
      <c r="A29" s="1482" t="s">
        <v>317</v>
      </c>
      <c r="B29" s="1263">
        <f t="shared" ref="B29:AE29" si="76">SUM(B23:B28)</f>
        <v>-0.46</v>
      </c>
      <c r="C29" s="1263">
        <f t="shared" si="76"/>
        <v>-0.22100000000000003</v>
      </c>
      <c r="D29" s="1263">
        <f t="shared" si="76"/>
        <v>-0.94699999999999984</v>
      </c>
      <c r="E29" s="1264">
        <f t="shared" si="76"/>
        <v>-1.127</v>
      </c>
      <c r="F29" s="1265">
        <f t="shared" si="76"/>
        <v>-1.5960000000000001</v>
      </c>
      <c r="G29" s="1263">
        <f t="shared" si="76"/>
        <v>-1.3820000000000001</v>
      </c>
      <c r="H29" s="1263">
        <f t="shared" si="76"/>
        <v>-35.275999999999996</v>
      </c>
      <c r="I29" s="1264">
        <f t="shared" si="76"/>
        <v>-84.966999999999999</v>
      </c>
      <c r="J29" s="1514">
        <f t="shared" si="76"/>
        <v>-14.470999999999997</v>
      </c>
      <c r="K29" s="1515">
        <f t="shared" si="76"/>
        <v>17.432999999999993</v>
      </c>
      <c r="L29" s="1515">
        <f t="shared" si="76"/>
        <v>-18.441999999999993</v>
      </c>
      <c r="M29" s="1516">
        <f t="shared" si="76"/>
        <v>-97.570000000000022</v>
      </c>
      <c r="N29" s="1514">
        <f t="shared" si="76"/>
        <v>18.729999999999997</v>
      </c>
      <c r="O29" s="1515">
        <f t="shared" si="76"/>
        <v>3.0330000000000013</v>
      </c>
      <c r="P29" s="1515">
        <f t="shared" si="76"/>
        <v>-30.217999999999975</v>
      </c>
      <c r="Q29" s="1516">
        <f t="shared" si="76"/>
        <v>12.533999999999981</v>
      </c>
      <c r="R29" s="1265">
        <f t="shared" si="76"/>
        <v>0.5779999999999994</v>
      </c>
      <c r="S29" s="1263">
        <f t="shared" si="76"/>
        <v>-113.286</v>
      </c>
      <c r="T29" s="1263">
        <f t="shared" si="76"/>
        <v>-92.305000000000007</v>
      </c>
      <c r="U29" s="1264">
        <f t="shared" si="76"/>
        <v>-186.57699999999997</v>
      </c>
      <c r="V29" s="1265">
        <f t="shared" si="76"/>
        <v>-33.486000000000004</v>
      </c>
      <c r="W29" s="1263">
        <f t="shared" si="76"/>
        <v>-53.830999999999989</v>
      </c>
      <c r="X29" s="1263">
        <f t="shared" si="76"/>
        <v>-20.685999999999993</v>
      </c>
      <c r="Y29" s="1264">
        <f t="shared" si="76"/>
        <v>-20.036000000000001</v>
      </c>
      <c r="Z29" s="1263">
        <f t="shared" ref="Z29:AA29" si="77">SUM(Z23:Z28)</f>
        <v>11.14</v>
      </c>
      <c r="AA29" s="1263">
        <f t="shared" si="77"/>
        <v>-13.725000000000023</v>
      </c>
      <c r="AB29" s="1263">
        <f t="shared" si="76"/>
        <v>22.204000000000008</v>
      </c>
      <c r="AC29" s="1264">
        <f t="shared" si="76"/>
        <v>-232.23399999999998</v>
      </c>
      <c r="AD29" s="1263">
        <f t="shared" si="76"/>
        <v>-11.580000000000013</v>
      </c>
      <c r="AE29" s="1263">
        <f t="shared" si="76"/>
        <v>-32.904999999999994</v>
      </c>
      <c r="AF29" s="1263">
        <f t="shared" ref="AF29:AS29" si="78">SUM(AF23:AF28)</f>
        <v>17.38600000000001</v>
      </c>
      <c r="AG29" s="1263">
        <f t="shared" si="78"/>
        <v>-14.332000000000029</v>
      </c>
      <c r="AH29" s="1265">
        <f t="shared" si="78"/>
        <v>-132.12299999999999</v>
      </c>
      <c r="AI29" s="1263">
        <f t="shared" si="78"/>
        <v>-36.643000000000001</v>
      </c>
      <c r="AJ29" s="1263">
        <f t="shared" si="78"/>
        <v>-1.5240000000000009</v>
      </c>
      <c r="AK29" s="1263">
        <f t="shared" si="78"/>
        <v>-4.288000000000018</v>
      </c>
      <c r="AL29" s="1265">
        <f t="shared" si="78"/>
        <v>-8.9009999999999998</v>
      </c>
      <c r="AM29" s="1263">
        <f t="shared" si="78"/>
        <v>-6.7460000000000004</v>
      </c>
      <c r="AN29" s="1263">
        <f t="shared" si="78"/>
        <v>-3.3150000000000013</v>
      </c>
      <c r="AO29" s="1264">
        <f t="shared" si="78"/>
        <v>-2.8319999999999999</v>
      </c>
      <c r="AP29" s="1265">
        <f t="shared" si="78"/>
        <v>-9.6009999999999991</v>
      </c>
      <c r="AQ29" s="1263">
        <f t="shared" si="78"/>
        <v>-7.4459999999999997</v>
      </c>
      <c r="AR29" s="1263">
        <f t="shared" si="78"/>
        <v>-4.0150000000000006</v>
      </c>
      <c r="AS29" s="1264">
        <f t="shared" si="78"/>
        <v>-3.5319999999999991</v>
      </c>
      <c r="AT29" s="1459"/>
      <c r="AU29" s="1517">
        <f t="shared" si="63"/>
        <v>-2.7549999999999999</v>
      </c>
      <c r="AV29" s="1483">
        <f t="shared" si="64"/>
        <v>-123.221</v>
      </c>
      <c r="AW29" s="1483">
        <f t="shared" si="65"/>
        <v>-113.05000000000001</v>
      </c>
      <c r="AX29" s="1483">
        <f t="shared" si="66"/>
        <v>4.0790000000000042</v>
      </c>
      <c r="AY29" s="1483">
        <f t="shared" si="67"/>
        <v>-391.59</v>
      </c>
      <c r="AZ29" s="1484">
        <f t="shared" si="68"/>
        <v>-128.03899999999999</v>
      </c>
      <c r="BA29" s="1485">
        <f t="shared" si="69"/>
        <v>-212.61500000000001</v>
      </c>
      <c r="BB29" s="1483">
        <f t="shared" si="70"/>
        <v>-41.431000000000026</v>
      </c>
      <c r="BC29" s="1483">
        <f t="shared" si="71"/>
        <v>-174.578</v>
      </c>
      <c r="BD29" s="1486">
        <f t="shared" si="72"/>
        <v>-21.794000000000004</v>
      </c>
      <c r="BE29" s="1486">
        <f t="shared" si="73"/>
        <v>-24.593999999999998</v>
      </c>
      <c r="BF29" s="454"/>
      <c r="BG29" s="1487">
        <f>SUM(BG23:BG28)</f>
        <v>0.5779999999999994</v>
      </c>
      <c r="BH29" s="1266">
        <f>SUM(BH23:BH28)</f>
        <v>-112.708</v>
      </c>
      <c r="BI29" s="1263">
        <f>SUM(BI23:BI28)</f>
        <v>-205.01300000000001</v>
      </c>
      <c r="BJ29" s="1264">
        <f>SUM(BJ23:BJ28)</f>
        <v>-391.58999999999992</v>
      </c>
      <c r="BK29" s="1487">
        <f t="shared" ref="BK29:BW29" si="79">SUM(BK23:BK28)</f>
        <v>-33.486000000000004</v>
      </c>
      <c r="BL29" s="1266">
        <f t="shared" si="79"/>
        <v>-87.316999999999979</v>
      </c>
      <c r="BM29" s="1263">
        <f t="shared" si="79"/>
        <v>-108.00299999999999</v>
      </c>
      <c r="BN29" s="1263">
        <f t="shared" si="79"/>
        <v>-128.03900000000002</v>
      </c>
      <c r="BO29" s="1265">
        <f t="shared" si="79"/>
        <v>11.14</v>
      </c>
      <c r="BP29" s="1263">
        <f t="shared" si="79"/>
        <v>-2.585000000000008</v>
      </c>
      <c r="BQ29" s="1263">
        <f t="shared" si="79"/>
        <v>19.619</v>
      </c>
      <c r="BR29" s="1264">
        <f t="shared" si="79"/>
        <v>-212.61500000000001</v>
      </c>
      <c r="BS29" s="1265">
        <f t="shared" si="79"/>
        <v>-11.580000000000013</v>
      </c>
      <c r="BT29" s="1263">
        <f>SUM(BT23:BT28)</f>
        <v>-44.485000000000007</v>
      </c>
      <c r="BU29" s="1266">
        <f t="shared" si="79"/>
        <v>-27.099000000000011</v>
      </c>
      <c r="BV29" s="1267">
        <f t="shared" si="79"/>
        <v>-41.431000000000004</v>
      </c>
      <c r="BW29" s="1265">
        <f t="shared" si="79"/>
        <v>-132.12299999999999</v>
      </c>
      <c r="BX29" s="1263">
        <f>SUM(BX23:BX28)</f>
        <v>-168.76599999999999</v>
      </c>
      <c r="BY29" s="1266">
        <f t="shared" ref="BY29:BZ29" si="80">SUM(BY23:BY28)</f>
        <v>-170.29</v>
      </c>
      <c r="BZ29" s="1267">
        <f t="shared" si="80"/>
        <v>-174.578</v>
      </c>
    </row>
    <row r="30" spans="1:78" ht="12" customHeight="1">
      <c r="A30" s="139"/>
      <c r="B30" s="559"/>
      <c r="C30" s="559"/>
      <c r="D30" s="559"/>
      <c r="E30" s="560"/>
      <c r="F30" s="1455"/>
      <c r="G30" s="559"/>
      <c r="H30" s="559"/>
      <c r="I30" s="560"/>
      <c r="J30" s="1455"/>
      <c r="K30" s="559"/>
      <c r="L30" s="559"/>
      <c r="M30" s="560"/>
      <c r="N30" s="1455"/>
      <c r="O30" s="559"/>
      <c r="P30" s="559"/>
      <c r="Q30" s="560"/>
      <c r="R30" s="1455"/>
      <c r="S30" s="559"/>
      <c r="T30" s="559"/>
      <c r="U30" s="1456"/>
      <c r="V30" s="1455"/>
      <c r="W30" s="559"/>
      <c r="X30" s="559"/>
      <c r="Y30" s="1456"/>
      <c r="Z30" s="1458"/>
      <c r="AA30" s="559"/>
      <c r="AB30" s="288"/>
      <c r="AC30" s="594"/>
      <c r="AD30" s="288"/>
      <c r="AE30" s="288"/>
      <c r="AF30" s="288"/>
      <c r="AG30" s="288"/>
      <c r="AH30" s="1356"/>
      <c r="AI30" s="288"/>
      <c r="AJ30" s="288"/>
      <c r="AK30" s="1518"/>
      <c r="AL30" s="288"/>
      <c r="AM30" s="288"/>
      <c r="AN30" s="288"/>
      <c r="AO30" s="1456"/>
      <c r="AP30" s="1356"/>
      <c r="AQ30" s="288"/>
      <c r="AR30" s="288"/>
      <c r="AS30" s="1456"/>
      <c r="AT30" s="1459"/>
      <c r="AU30" s="1519"/>
      <c r="AV30" s="1520"/>
      <c r="AW30" s="1521"/>
      <c r="AX30" s="1522"/>
      <c r="AY30" s="1522"/>
      <c r="AZ30" s="1523"/>
      <c r="BA30" s="1524"/>
      <c r="BB30" s="1522"/>
      <c r="BC30" s="1522"/>
      <c r="BD30" s="1525"/>
      <c r="BE30" s="1525"/>
      <c r="BG30" s="1455"/>
      <c r="BH30" s="1231"/>
      <c r="BI30" s="559"/>
      <c r="BJ30" s="560"/>
      <c r="BK30" s="1455"/>
      <c r="BL30" s="1231"/>
      <c r="BM30" s="559"/>
      <c r="BN30" s="559"/>
      <c r="BO30" s="558"/>
      <c r="BP30" s="559"/>
      <c r="BQ30" s="559"/>
      <c r="BR30" s="560"/>
      <c r="BS30" s="558"/>
      <c r="BT30" s="559"/>
      <c r="BU30" s="559"/>
      <c r="BV30" s="560"/>
      <c r="BW30" s="558"/>
      <c r="BX30" s="559"/>
      <c r="BY30" s="559"/>
      <c r="BZ30" s="560"/>
    </row>
    <row r="31" spans="1:78" ht="12" customHeight="1">
      <c r="A31" s="63" t="s">
        <v>318</v>
      </c>
      <c r="B31" s="559"/>
      <c r="C31" s="559"/>
      <c r="D31" s="559"/>
      <c r="E31" s="560"/>
      <c r="F31" s="1455"/>
      <c r="G31" s="559"/>
      <c r="H31" s="559"/>
      <c r="I31" s="560"/>
      <c r="J31" s="1455"/>
      <c r="K31" s="559"/>
      <c r="L31" s="559"/>
      <c r="M31" s="560"/>
      <c r="N31" s="1455"/>
      <c r="O31" s="559"/>
      <c r="P31" s="559"/>
      <c r="Q31" s="560"/>
      <c r="R31" s="1455"/>
      <c r="S31" s="559"/>
      <c r="T31" s="559"/>
      <c r="U31" s="1456"/>
      <c r="V31" s="1455"/>
      <c r="W31" s="559"/>
      <c r="X31" s="559"/>
      <c r="Y31" s="1456"/>
      <c r="Z31" s="1458"/>
      <c r="AA31" s="559"/>
      <c r="AB31" s="288"/>
      <c r="AC31" s="594"/>
      <c r="AD31" s="288"/>
      <c r="AE31" s="288"/>
      <c r="AF31" s="288"/>
      <c r="AG31" s="288"/>
      <c r="AH31" s="1356"/>
      <c r="AI31" s="288"/>
      <c r="AJ31" s="288"/>
      <c r="AK31" s="594"/>
      <c r="AL31" s="288"/>
      <c r="AM31" s="288"/>
      <c r="AN31" s="288"/>
      <c r="AO31" s="1456"/>
      <c r="AP31" s="288"/>
      <c r="AQ31" s="288"/>
      <c r="AR31" s="288"/>
      <c r="AS31" s="1456"/>
      <c r="AT31" s="1459"/>
      <c r="AU31" s="1526"/>
      <c r="AV31" s="1520"/>
      <c r="AW31" s="1521"/>
      <c r="AX31" s="1522"/>
      <c r="AY31" s="1522"/>
      <c r="AZ31" s="1523"/>
      <c r="BA31" s="1524"/>
      <c r="BB31" s="1522"/>
      <c r="BC31" s="1522"/>
      <c r="BD31" s="1525"/>
      <c r="BE31" s="1525"/>
      <c r="BF31" s="1467"/>
      <c r="BG31" s="559"/>
      <c r="BH31" s="1231"/>
      <c r="BI31" s="559"/>
      <c r="BJ31" s="1488"/>
      <c r="BK31" s="559"/>
      <c r="BL31" s="1231"/>
      <c r="BM31" s="559"/>
      <c r="BN31" s="559"/>
      <c r="BO31" s="558"/>
      <c r="BP31" s="559"/>
      <c r="BQ31" s="559"/>
      <c r="BR31" s="1488"/>
      <c r="BS31" s="558"/>
      <c r="BT31" s="559"/>
      <c r="BU31" s="288"/>
      <c r="BV31" s="1468"/>
      <c r="BW31" s="558"/>
      <c r="BX31" s="559"/>
      <c r="BY31" s="288"/>
      <c r="BZ31" s="1468"/>
    </row>
    <row r="32" spans="1:78" ht="12" customHeight="1">
      <c r="A32" s="128" t="s">
        <v>319</v>
      </c>
      <c r="B32" s="1253">
        <v>0</v>
      </c>
      <c r="C32" s="1253">
        <v>0</v>
      </c>
      <c r="D32" s="1253">
        <v>0</v>
      </c>
      <c r="E32" s="1254">
        <v>0</v>
      </c>
      <c r="F32" s="1235">
        <v>0</v>
      </c>
      <c r="G32" s="1253">
        <v>0</v>
      </c>
      <c r="H32" s="1253">
        <v>0</v>
      </c>
      <c r="I32" s="1254">
        <v>0</v>
      </c>
      <c r="J32" s="1235">
        <v>0</v>
      </c>
      <c r="K32" s="1253">
        <v>0</v>
      </c>
      <c r="L32" s="1253">
        <v>0</v>
      </c>
      <c r="M32" s="1254">
        <v>0</v>
      </c>
      <c r="N32" s="1235">
        <v>0</v>
      </c>
      <c r="O32" s="1253">
        <v>0</v>
      </c>
      <c r="P32" s="1253">
        <v>0</v>
      </c>
      <c r="Q32" s="1254">
        <v>0</v>
      </c>
      <c r="R32" s="1235">
        <f t="shared" ref="R32:R38" si="81">BG32</f>
        <v>0</v>
      </c>
      <c r="S32" s="1253">
        <f t="shared" ref="S32:U38" si="82">BH32-BG32</f>
        <v>0</v>
      </c>
      <c r="T32" s="1253">
        <f t="shared" si="82"/>
        <v>375</v>
      </c>
      <c r="U32" s="1462">
        <f t="shared" si="82"/>
        <v>0</v>
      </c>
      <c r="V32" s="1235">
        <f t="shared" ref="V32:V38" si="83">BK32</f>
        <v>0</v>
      </c>
      <c r="W32" s="1253">
        <f t="shared" ref="W32:Y38" si="84">BL32-BK32</f>
        <v>0</v>
      </c>
      <c r="X32" s="1253">
        <f t="shared" si="84"/>
        <v>0</v>
      </c>
      <c r="Y32" s="1462">
        <f t="shared" si="84"/>
        <v>0</v>
      </c>
      <c r="Z32" s="1464">
        <f t="shared" ref="Z32:Z38" si="85">BO32</f>
        <v>-0.93799999999999994</v>
      </c>
      <c r="AA32" s="1253">
        <f t="shared" ref="AA32:AK38" si="86">BP32-BO32</f>
        <v>-0.93700000000000006</v>
      </c>
      <c r="AB32" s="1253">
        <f t="shared" si="86"/>
        <v>-0.93800000000000017</v>
      </c>
      <c r="AC32" s="1462">
        <f t="shared" si="86"/>
        <v>-0.93699999999999983</v>
      </c>
      <c r="AD32" s="1255">
        <f t="shared" ref="AD32:AD38" si="87">BS32</f>
        <v>-0.93799999999999994</v>
      </c>
      <c r="AE32" s="1253">
        <f t="shared" si="86"/>
        <v>-0.93700000000000006</v>
      </c>
      <c r="AF32" s="1253">
        <f t="shared" si="86"/>
        <v>-0.93800000000000017</v>
      </c>
      <c r="AG32" s="1253">
        <f t="shared" si="86"/>
        <v>-0.93699999999999983</v>
      </c>
      <c r="AH32" s="1255">
        <f t="shared" ref="AH32:AH38" si="88">BW32</f>
        <v>-0.93799999999999994</v>
      </c>
      <c r="AI32" s="1253">
        <f t="shared" si="86"/>
        <v>-0.93700000000000006</v>
      </c>
      <c r="AJ32" s="1253">
        <f t="shared" si="86"/>
        <v>-0.93800000000000017</v>
      </c>
      <c r="AK32" s="1254">
        <f t="shared" si="86"/>
        <v>-0.93699999999999983</v>
      </c>
      <c r="AL32" s="1358">
        <v>0</v>
      </c>
      <c r="AM32" s="1358">
        <v>0</v>
      </c>
      <c r="AN32" s="1358">
        <v>0</v>
      </c>
      <c r="AO32" s="1527">
        <v>0</v>
      </c>
      <c r="AP32" s="1528">
        <v>0</v>
      </c>
      <c r="AQ32" s="1358">
        <v>0</v>
      </c>
      <c r="AR32" s="1358">
        <v>0</v>
      </c>
      <c r="AS32" s="1527">
        <v>0</v>
      </c>
      <c r="AT32" s="1459"/>
      <c r="AU32" s="1526">
        <f t="shared" ref="AU32:AU39" si="89">SUM(B32:E32)</f>
        <v>0</v>
      </c>
      <c r="AV32" s="1520">
        <f t="shared" ref="AV32:AV39" si="90">SUM(F32:I32)</f>
        <v>0</v>
      </c>
      <c r="AW32" s="1520">
        <f t="shared" ref="AW32:AW39" si="91">SUM(J32:M32)</f>
        <v>0</v>
      </c>
      <c r="AX32" s="1462">
        <f t="shared" ref="AX32:AX39" si="92">SUM(N32:Q32)</f>
        <v>0</v>
      </c>
      <c r="AY32" s="1462">
        <f t="shared" ref="AY32:AY39" si="93">SUM(R32:U32)</f>
        <v>375</v>
      </c>
      <c r="AZ32" s="1231">
        <f t="shared" ref="AZ32:AZ39" si="94">SUM(V32:Y32)</f>
        <v>0</v>
      </c>
      <c r="BA32" s="1529">
        <f t="shared" ref="BA32:BA39" si="95">SUM(Z32:AC32)</f>
        <v>-3.75</v>
      </c>
      <c r="BB32" s="1462">
        <f t="shared" ref="BB32:BB39" si="96">SUM(AD32:AG32)</f>
        <v>-3.75</v>
      </c>
      <c r="BC32" s="1462">
        <f t="shared" ref="BC32:BC39" si="97">SUM(AH32:AK32)</f>
        <v>-3.75</v>
      </c>
      <c r="BD32" s="1472">
        <f t="shared" ref="BD32:BD43" si="98">SUM(AL32:AO32)</f>
        <v>0</v>
      </c>
      <c r="BE32" s="1472">
        <f t="shared" ref="BE32:BE39" si="99">SUM(AP32:AS32)</f>
        <v>0</v>
      </c>
      <c r="BF32" s="1460"/>
      <c r="BG32" s="1231">
        <v>0</v>
      </c>
      <c r="BH32" s="1231">
        <v>0</v>
      </c>
      <c r="BI32" s="1231">
        <v>375</v>
      </c>
      <c r="BJ32" s="1472">
        <v>375</v>
      </c>
      <c r="BK32" s="1231">
        <v>0</v>
      </c>
      <c r="BL32" s="1231">
        <v>0</v>
      </c>
      <c r="BM32" s="1231">
        <v>0</v>
      </c>
      <c r="BN32" s="1231">
        <v>0</v>
      </c>
      <c r="BO32" s="1530">
        <v>-0.93799999999999994</v>
      </c>
      <c r="BP32" s="1231">
        <v>-1.875</v>
      </c>
      <c r="BQ32" s="1231">
        <v>-2.8130000000000002</v>
      </c>
      <c r="BR32" s="560">
        <v>-3.75</v>
      </c>
      <c r="BS32" s="1530">
        <v>-0.93799999999999994</v>
      </c>
      <c r="BT32" s="1231">
        <v>-1.875</v>
      </c>
      <c r="BU32" s="1231">
        <v>-2.8130000000000002</v>
      </c>
      <c r="BV32" s="594">
        <v>-3.75</v>
      </c>
      <c r="BW32" s="1530">
        <v>-0.93799999999999994</v>
      </c>
      <c r="BX32" s="1231">
        <v>-1.875</v>
      </c>
      <c r="BY32" s="1231">
        <v>-2.8130000000000002</v>
      </c>
      <c r="BZ32" s="594">
        <v>-3.75</v>
      </c>
    </row>
    <row r="33" spans="1:176" ht="12" customHeight="1">
      <c r="A33" s="1531" t="s">
        <v>320</v>
      </c>
      <c r="B33" s="1253">
        <v>0</v>
      </c>
      <c r="C33" s="1253">
        <v>0</v>
      </c>
      <c r="D33" s="1253">
        <v>0</v>
      </c>
      <c r="E33" s="1461">
        <v>0</v>
      </c>
      <c r="F33" s="1235">
        <v>0</v>
      </c>
      <c r="G33" s="1253">
        <v>0</v>
      </c>
      <c r="H33" s="1253">
        <v>0</v>
      </c>
      <c r="I33" s="1461">
        <v>0</v>
      </c>
      <c r="J33" s="1235">
        <v>0</v>
      </c>
      <c r="K33" s="1253">
        <v>0</v>
      </c>
      <c r="L33" s="1253">
        <v>0</v>
      </c>
      <c r="M33" s="1461">
        <v>0</v>
      </c>
      <c r="N33" s="1235">
        <v>0</v>
      </c>
      <c r="O33" s="1253">
        <f>2-N33</f>
        <v>2</v>
      </c>
      <c r="P33" s="1253">
        <f>2-O33-N33</f>
        <v>0</v>
      </c>
      <c r="Q33" s="1461">
        <f>2-SUM(N33:P33)</f>
        <v>0</v>
      </c>
      <c r="R33" s="1235">
        <f t="shared" si="81"/>
        <v>0</v>
      </c>
      <c r="S33" s="1253">
        <f t="shared" si="82"/>
        <v>0</v>
      </c>
      <c r="T33" s="1253">
        <f t="shared" si="82"/>
        <v>0</v>
      </c>
      <c r="U33" s="1462">
        <f t="shared" si="82"/>
        <v>0</v>
      </c>
      <c r="V33" s="1235">
        <f t="shared" si="83"/>
        <v>-0.93799999999999994</v>
      </c>
      <c r="W33" s="1253">
        <f t="shared" si="84"/>
        <v>-0.93700000000000006</v>
      </c>
      <c r="X33" s="1253">
        <f t="shared" si="84"/>
        <v>-0.93800000000000017</v>
      </c>
      <c r="Y33" s="1462">
        <f t="shared" si="84"/>
        <v>-0.93699999999999983</v>
      </c>
      <c r="Z33" s="1464">
        <f t="shared" si="85"/>
        <v>0</v>
      </c>
      <c r="AA33" s="1253">
        <f t="shared" si="86"/>
        <v>0.42399999999999999</v>
      </c>
      <c r="AB33" s="1253">
        <f t="shared" si="86"/>
        <v>0</v>
      </c>
      <c r="AC33" s="1462">
        <f t="shared" si="86"/>
        <v>-0.42399999999999999</v>
      </c>
      <c r="AD33" s="1255">
        <f t="shared" si="87"/>
        <v>0</v>
      </c>
      <c r="AE33" s="1253">
        <f t="shared" si="86"/>
        <v>0</v>
      </c>
      <c r="AF33" s="1253">
        <f t="shared" si="86"/>
        <v>0</v>
      </c>
      <c r="AG33" s="1253">
        <f t="shared" si="86"/>
        <v>0</v>
      </c>
      <c r="AH33" s="1255">
        <f t="shared" si="88"/>
        <v>0</v>
      </c>
      <c r="AI33" s="1253">
        <f t="shared" si="86"/>
        <v>0</v>
      </c>
      <c r="AJ33" s="1253">
        <f t="shared" si="86"/>
        <v>0</v>
      </c>
      <c r="AK33" s="1461">
        <f t="shared" si="86"/>
        <v>0</v>
      </c>
      <c r="AL33" s="1358">
        <v>0</v>
      </c>
      <c r="AM33" s="1358">
        <v>0</v>
      </c>
      <c r="AN33" s="1358">
        <v>0</v>
      </c>
      <c r="AO33" s="1527">
        <v>0</v>
      </c>
      <c r="AP33" s="1528">
        <v>0</v>
      </c>
      <c r="AQ33" s="1358">
        <v>0</v>
      </c>
      <c r="AR33" s="1358">
        <v>0</v>
      </c>
      <c r="AS33" s="1527">
        <v>0</v>
      </c>
      <c r="AT33" s="1459"/>
      <c r="AU33" s="1526">
        <f t="shared" ref="AU33" si="100">SUM(B33:E33)</f>
        <v>0</v>
      </c>
      <c r="AV33" s="1520">
        <f t="shared" ref="AV33" si="101">SUM(F33:I33)</f>
        <v>0</v>
      </c>
      <c r="AW33" s="1520">
        <f t="shared" ref="AW33" si="102">SUM(J33:M33)</f>
        <v>0</v>
      </c>
      <c r="AX33" s="1462">
        <f t="shared" ref="AX33" si="103">SUM(N33:Q33)</f>
        <v>2</v>
      </c>
      <c r="AY33" s="1462">
        <f t="shared" ref="AY33" si="104">SUM(R33:U33)</f>
        <v>0</v>
      </c>
      <c r="AZ33" s="1231">
        <f t="shared" ref="AZ33" si="105">SUM(V33:Y33)</f>
        <v>-3.75</v>
      </c>
      <c r="BA33" s="1529">
        <f t="shared" ref="BA33" si="106">SUM(Z33:AC33)</f>
        <v>0</v>
      </c>
      <c r="BB33" s="1462">
        <f t="shared" ref="BB33" si="107">SUM(AD33:AG33)</f>
        <v>0</v>
      </c>
      <c r="BC33" s="1462">
        <f t="shared" si="97"/>
        <v>0</v>
      </c>
      <c r="BD33" s="1472">
        <f t="shared" si="98"/>
        <v>0</v>
      </c>
      <c r="BE33" s="1472">
        <f t="shared" si="99"/>
        <v>0</v>
      </c>
      <c r="BF33" s="1460"/>
      <c r="BG33" s="1231">
        <v>0</v>
      </c>
      <c r="BH33" s="1231">
        <v>0</v>
      </c>
      <c r="BI33" s="1231">
        <v>0</v>
      </c>
      <c r="BJ33" s="1472">
        <v>0</v>
      </c>
      <c r="BK33" s="1231">
        <v>-0.93799999999999994</v>
      </c>
      <c r="BL33" s="1231">
        <v>-1.875</v>
      </c>
      <c r="BM33" s="1231">
        <v>-2.8130000000000002</v>
      </c>
      <c r="BN33" s="1231">
        <v>-3.75</v>
      </c>
      <c r="BO33" s="1530">
        <v>0</v>
      </c>
      <c r="BP33" s="1231">
        <v>0.42399999999999999</v>
      </c>
      <c r="BQ33" s="1231">
        <v>0.42399999999999999</v>
      </c>
      <c r="BR33" s="560">
        <v>0</v>
      </c>
      <c r="BS33" s="1530"/>
      <c r="BT33" s="1231">
        <v>0</v>
      </c>
      <c r="BU33" s="1231">
        <v>0</v>
      </c>
      <c r="BV33" s="594"/>
      <c r="BW33" s="1530"/>
      <c r="BX33" s="1231">
        <v>0</v>
      </c>
      <c r="BY33" s="1231">
        <v>0</v>
      </c>
      <c r="BZ33" s="594"/>
    </row>
    <row r="34" spans="1:176" ht="12" customHeight="1">
      <c r="A34" s="1531" t="s">
        <v>321</v>
      </c>
      <c r="B34" s="1253">
        <v>-3.9E-2</v>
      </c>
      <c r="C34" s="1253">
        <f>-0.09-B34</f>
        <v>-5.0999999999999997E-2</v>
      </c>
      <c r="D34" s="1253">
        <f>-0.173-C34-B34</f>
        <v>-8.299999999999999E-2</v>
      </c>
      <c r="E34" s="1461">
        <f>-0.306-D34-C34-B34</f>
        <v>-0.13300000000000001</v>
      </c>
      <c r="F34" s="1235">
        <v>-0.11600000000000001</v>
      </c>
      <c r="G34" s="1253">
        <f>-0.252-F34</f>
        <v>-0.13600000000000001</v>
      </c>
      <c r="H34" s="1253">
        <f>-0.389-G34-F34</f>
        <v>-0.13700000000000001</v>
      </c>
      <c r="I34" s="1461">
        <f>-1.443-H34-G34-F34</f>
        <v>-1.0539999999999998</v>
      </c>
      <c r="J34" s="1235">
        <v>0</v>
      </c>
      <c r="K34" s="1253">
        <v>0</v>
      </c>
      <c r="L34" s="1253">
        <v>0</v>
      </c>
      <c r="M34" s="1461">
        <v>0</v>
      </c>
      <c r="N34" s="1235">
        <v>-4.0000000000000001E-3</v>
      </c>
      <c r="O34" s="1253">
        <f>-0.008-N34</f>
        <v>-4.0000000000000001E-3</v>
      </c>
      <c r="P34" s="1253">
        <f>+-0.011-O34-N34</f>
        <v>-2.9999999999999992E-3</v>
      </c>
      <c r="Q34" s="1461">
        <f>0-SUM(N34:P34)</f>
        <v>1.0999999999999999E-2</v>
      </c>
      <c r="R34" s="1235">
        <f t="shared" si="81"/>
        <v>0</v>
      </c>
      <c r="S34" s="1253">
        <f t="shared" si="82"/>
        <v>0</v>
      </c>
      <c r="T34" s="1253">
        <f t="shared" si="82"/>
        <v>0</v>
      </c>
      <c r="U34" s="1462">
        <f t="shared" si="82"/>
        <v>0</v>
      </c>
      <c r="V34" s="1235">
        <f t="shared" si="83"/>
        <v>0</v>
      </c>
      <c r="W34" s="1253">
        <f t="shared" si="84"/>
        <v>0</v>
      </c>
      <c r="X34" s="1253">
        <f t="shared" si="84"/>
        <v>0</v>
      </c>
      <c r="Y34" s="1462">
        <f t="shared" si="84"/>
        <v>0</v>
      </c>
      <c r="Z34" s="1464">
        <f t="shared" si="85"/>
        <v>0</v>
      </c>
      <c r="AA34" s="1253">
        <f t="shared" si="86"/>
        <v>0</v>
      </c>
      <c r="AB34" s="1253">
        <f t="shared" si="86"/>
        <v>0</v>
      </c>
      <c r="AC34" s="1462">
        <f t="shared" si="86"/>
        <v>0</v>
      </c>
      <c r="AD34" s="1255">
        <f t="shared" si="87"/>
        <v>0</v>
      </c>
      <c r="AE34" s="1253">
        <f t="shared" si="86"/>
        <v>0</v>
      </c>
      <c r="AF34" s="1253">
        <f t="shared" si="86"/>
        <v>0</v>
      </c>
      <c r="AG34" s="1253">
        <f t="shared" si="86"/>
        <v>0</v>
      </c>
      <c r="AH34" s="1255">
        <f t="shared" si="88"/>
        <v>0</v>
      </c>
      <c r="AI34" s="1253">
        <f t="shared" si="86"/>
        <v>0</v>
      </c>
      <c r="AJ34" s="1253">
        <f t="shared" si="86"/>
        <v>0</v>
      </c>
      <c r="AK34" s="1461">
        <f t="shared" si="86"/>
        <v>0</v>
      </c>
      <c r="AL34" s="1358">
        <v>0</v>
      </c>
      <c r="AM34" s="1358">
        <v>0</v>
      </c>
      <c r="AN34" s="1358">
        <v>0</v>
      </c>
      <c r="AO34" s="1527">
        <v>0</v>
      </c>
      <c r="AP34" s="1528">
        <v>0</v>
      </c>
      <c r="AQ34" s="1358">
        <v>0</v>
      </c>
      <c r="AR34" s="1358">
        <v>0</v>
      </c>
      <c r="AS34" s="1527">
        <v>0</v>
      </c>
      <c r="AT34" s="1459"/>
      <c r="AU34" s="1532">
        <f t="shared" si="89"/>
        <v>-0.30599999999999999</v>
      </c>
      <c r="AV34" s="1533">
        <f t="shared" si="90"/>
        <v>-1.4429999999999998</v>
      </c>
      <c r="AW34" s="1533">
        <f t="shared" si="91"/>
        <v>0</v>
      </c>
      <c r="AX34" s="1462">
        <f t="shared" si="92"/>
        <v>0</v>
      </c>
      <c r="AY34" s="1462">
        <f t="shared" si="93"/>
        <v>0</v>
      </c>
      <c r="AZ34" s="1231">
        <f t="shared" si="94"/>
        <v>0</v>
      </c>
      <c r="BA34" s="1529">
        <f t="shared" si="95"/>
        <v>0</v>
      </c>
      <c r="BB34" s="1462">
        <f t="shared" si="96"/>
        <v>0</v>
      </c>
      <c r="BC34" s="1462">
        <f t="shared" si="97"/>
        <v>0</v>
      </c>
      <c r="BD34" s="1472">
        <f t="shared" si="98"/>
        <v>0</v>
      </c>
      <c r="BE34" s="1472">
        <f t="shared" si="99"/>
        <v>0</v>
      </c>
      <c r="BF34" s="1460"/>
      <c r="BG34" s="1231">
        <v>0</v>
      </c>
      <c r="BH34" s="1231">
        <v>0</v>
      </c>
      <c r="BI34" s="1231">
        <v>0</v>
      </c>
      <c r="BJ34" s="1472">
        <v>0</v>
      </c>
      <c r="BK34" s="1231">
        <v>0</v>
      </c>
      <c r="BL34" s="1231">
        <v>0</v>
      </c>
      <c r="BM34" s="1231">
        <v>0</v>
      </c>
      <c r="BN34" s="1231">
        <v>0</v>
      </c>
      <c r="BO34" s="1530">
        <v>0</v>
      </c>
      <c r="BP34" s="1231">
        <v>0</v>
      </c>
      <c r="BQ34" s="1231">
        <v>0</v>
      </c>
      <c r="BR34" s="560">
        <v>0</v>
      </c>
      <c r="BS34" s="1530">
        <v>0</v>
      </c>
      <c r="BT34" s="1231">
        <v>0</v>
      </c>
      <c r="BU34" s="1231">
        <v>0</v>
      </c>
      <c r="BV34" s="594"/>
      <c r="BW34" s="1530"/>
      <c r="BX34" s="1231">
        <v>0</v>
      </c>
      <c r="BY34" s="1231">
        <v>0</v>
      </c>
      <c r="BZ34" s="594"/>
    </row>
    <row r="35" spans="1:176" ht="12" customHeight="1">
      <c r="A35" s="1531" t="s">
        <v>322</v>
      </c>
      <c r="B35" s="1253">
        <v>0</v>
      </c>
      <c r="C35" s="1253">
        <v>0</v>
      </c>
      <c r="D35" s="1253">
        <v>0</v>
      </c>
      <c r="E35" s="1461">
        <v>0</v>
      </c>
      <c r="F35" s="1235">
        <v>0</v>
      </c>
      <c r="G35" s="1253">
        <v>0</v>
      </c>
      <c r="H35" s="1253">
        <f>268.531-3.732-G35-F35</f>
        <v>264.79899999999998</v>
      </c>
      <c r="I35" s="1461">
        <f>268.531-3.932-H35-G35-F35</f>
        <v>-0.19999999999998863</v>
      </c>
      <c r="J35" s="1235">
        <v>8.5790000000000006</v>
      </c>
      <c r="K35" s="1253">
        <f>8.579-J35</f>
        <v>0</v>
      </c>
      <c r="L35" s="1253">
        <f>15.129-K35-J35</f>
        <v>6.5499999999999989</v>
      </c>
      <c r="M35" s="1461">
        <f>15.129-SUM(J35:L35)</f>
        <v>0</v>
      </c>
      <c r="N35" s="1235">
        <v>7.3070000000000004</v>
      </c>
      <c r="O35" s="1253">
        <f>7.307-N35</f>
        <v>0</v>
      </c>
      <c r="P35" s="1253">
        <f>13.04-O35-N35</f>
        <v>5.7329999999999988</v>
      </c>
      <c r="Q35" s="1461">
        <f>13.04-SUM(N35:P35)</f>
        <v>0</v>
      </c>
      <c r="R35" s="1235">
        <f t="shared" si="81"/>
        <v>8.0459999999999994</v>
      </c>
      <c r="S35" s="1253">
        <f t="shared" si="82"/>
        <v>0</v>
      </c>
      <c r="T35" s="1253">
        <f t="shared" si="82"/>
        <v>5.6900000000000013</v>
      </c>
      <c r="U35" s="1462">
        <f t="shared" si="82"/>
        <v>0</v>
      </c>
      <c r="V35" s="1235">
        <f t="shared" si="83"/>
        <v>8.8819999999999997</v>
      </c>
      <c r="W35" s="1253">
        <f t="shared" si="84"/>
        <v>0</v>
      </c>
      <c r="X35" s="1253">
        <f t="shared" si="84"/>
        <v>5.9090000000000007</v>
      </c>
      <c r="Y35" s="1462">
        <f t="shared" si="84"/>
        <v>0</v>
      </c>
      <c r="Z35" s="1464">
        <f t="shared" si="85"/>
        <v>9.9139999999999997</v>
      </c>
      <c r="AA35" s="1253">
        <f t="shared" si="86"/>
        <v>0</v>
      </c>
      <c r="AB35" s="1253">
        <f t="shared" si="86"/>
        <v>6.3100000000000005</v>
      </c>
      <c r="AC35" s="1462">
        <f t="shared" si="86"/>
        <v>0</v>
      </c>
      <c r="AD35" s="1255">
        <f t="shared" si="87"/>
        <v>9.8840000000000003</v>
      </c>
      <c r="AE35" s="1253">
        <f t="shared" si="86"/>
        <v>-6.0000000000002274E-3</v>
      </c>
      <c r="AF35" s="1253">
        <f t="shared" si="86"/>
        <v>6.3840000000000003</v>
      </c>
      <c r="AG35" s="1253">
        <f t="shared" si="86"/>
        <v>0</v>
      </c>
      <c r="AH35" s="1255">
        <f t="shared" si="88"/>
        <v>9.7010000000000005</v>
      </c>
      <c r="AI35" s="1253">
        <f t="shared" si="86"/>
        <v>1.0999999999999233E-2</v>
      </c>
      <c r="AJ35" s="1253">
        <f t="shared" si="86"/>
        <v>5.77</v>
      </c>
      <c r="AK35" s="1461">
        <f t="shared" si="86"/>
        <v>0</v>
      </c>
      <c r="AL35" s="1358">
        <v>0</v>
      </c>
      <c r="AM35" s="1358">
        <v>0</v>
      </c>
      <c r="AN35" s="1358">
        <v>0</v>
      </c>
      <c r="AO35" s="1527">
        <v>0</v>
      </c>
      <c r="AP35" s="1528">
        <v>0</v>
      </c>
      <c r="AQ35" s="1358">
        <v>0</v>
      </c>
      <c r="AR35" s="1358">
        <v>0</v>
      </c>
      <c r="AS35" s="1527">
        <v>0</v>
      </c>
      <c r="AT35" s="1459"/>
      <c r="AU35" s="1534">
        <f t="shared" si="89"/>
        <v>0</v>
      </c>
      <c r="AV35" s="1462">
        <f t="shared" si="90"/>
        <v>264.59899999999999</v>
      </c>
      <c r="AW35" s="1462">
        <f t="shared" si="91"/>
        <v>15.129</v>
      </c>
      <c r="AX35" s="1462">
        <f t="shared" si="92"/>
        <v>13.04</v>
      </c>
      <c r="AY35" s="1462">
        <f t="shared" si="93"/>
        <v>13.736000000000001</v>
      </c>
      <c r="AZ35" s="1231">
        <f t="shared" si="94"/>
        <v>14.791</v>
      </c>
      <c r="BA35" s="1529">
        <f t="shared" si="95"/>
        <v>16.224</v>
      </c>
      <c r="BB35" s="1462">
        <f t="shared" si="96"/>
        <v>16.262</v>
      </c>
      <c r="BC35" s="1462">
        <f t="shared" si="97"/>
        <v>15.481999999999999</v>
      </c>
      <c r="BD35" s="1472">
        <f t="shared" si="98"/>
        <v>0</v>
      </c>
      <c r="BE35" s="1472">
        <f t="shared" si="99"/>
        <v>0</v>
      </c>
      <c r="BF35" s="1460"/>
      <c r="BG35" s="1231">
        <v>8.0459999999999994</v>
      </c>
      <c r="BH35" s="1231">
        <v>8.0459999999999994</v>
      </c>
      <c r="BI35" s="1231">
        <v>13.736000000000001</v>
      </c>
      <c r="BJ35" s="1461">
        <v>13.736000000000001</v>
      </c>
      <c r="BK35" s="1231">
        <v>8.8819999999999997</v>
      </c>
      <c r="BL35" s="1231">
        <v>8.8819999999999997</v>
      </c>
      <c r="BM35" s="1231">
        <v>14.791</v>
      </c>
      <c r="BN35" s="1461">
        <v>14.791</v>
      </c>
      <c r="BO35" s="1231">
        <v>9.9139999999999997</v>
      </c>
      <c r="BP35" s="1231">
        <v>9.9139999999999997</v>
      </c>
      <c r="BQ35" s="1231">
        <v>16.224</v>
      </c>
      <c r="BR35" s="1461">
        <v>16.224</v>
      </c>
      <c r="BS35" s="1231">
        <v>9.8840000000000003</v>
      </c>
      <c r="BT35" s="1231">
        <v>9.8780000000000001</v>
      </c>
      <c r="BU35" s="1231">
        <v>16.262</v>
      </c>
      <c r="BV35" s="1472">
        <v>16.262</v>
      </c>
      <c r="BW35" s="1231">
        <v>9.7010000000000005</v>
      </c>
      <c r="BX35" s="1231">
        <v>9.7119999999999997</v>
      </c>
      <c r="BY35" s="1231">
        <v>15.481999999999999</v>
      </c>
      <c r="BZ35" s="1472">
        <v>15.481999999999999</v>
      </c>
    </row>
    <row r="36" spans="1:176" ht="12" customHeight="1">
      <c r="A36" s="1531" t="s">
        <v>323</v>
      </c>
      <c r="B36" s="1253">
        <v>1.621</v>
      </c>
      <c r="C36" s="1253">
        <f>2.467-B36</f>
        <v>0.84600000000000009</v>
      </c>
      <c r="D36" s="1253">
        <f>2.847-C36-B36</f>
        <v>0.37999999999999989</v>
      </c>
      <c r="E36" s="1461">
        <f>3.02-D36-C36-B36</f>
        <v>0.17300000000000004</v>
      </c>
      <c r="F36" s="1535">
        <v>0.47899999999999998</v>
      </c>
      <c r="G36" s="1253">
        <f>1.01-F36</f>
        <v>0.53100000000000003</v>
      </c>
      <c r="H36" s="1253">
        <f>1.415-G36-F36</f>
        <v>0.40500000000000003</v>
      </c>
      <c r="I36" s="1461">
        <f>1.668-H36-G36-F36</f>
        <v>0.25299999999999989</v>
      </c>
      <c r="J36" s="1535">
        <v>9.8780000000000001</v>
      </c>
      <c r="K36" s="1253">
        <f>12.727-J36</f>
        <v>2.8490000000000002</v>
      </c>
      <c r="L36" s="1253">
        <f>15.448-K36-J36</f>
        <v>2.7210000000000001</v>
      </c>
      <c r="M36" s="1461">
        <f>19.048-SUM(J36:L36)</f>
        <v>3.5999999999999979</v>
      </c>
      <c r="N36" s="1535">
        <v>3.9780000000000002</v>
      </c>
      <c r="O36" s="1253">
        <f>10.974-N36</f>
        <v>6.9960000000000004</v>
      </c>
      <c r="P36" s="1253">
        <f>15.782-O36-N36</f>
        <v>4.8079999999999998</v>
      </c>
      <c r="Q36" s="1461">
        <f>21.709-SUM(N36:P36)</f>
        <v>5.9269999999999996</v>
      </c>
      <c r="R36" s="1535">
        <f t="shared" si="81"/>
        <v>4.0149999999999997</v>
      </c>
      <c r="S36" s="1253">
        <f t="shared" si="82"/>
        <v>4.6890000000000009</v>
      </c>
      <c r="T36" s="1253">
        <f t="shared" si="82"/>
        <v>2.2149999999999999</v>
      </c>
      <c r="U36" s="1462">
        <f t="shared" si="82"/>
        <v>7.3490000000000002</v>
      </c>
      <c r="V36" s="1535">
        <f t="shared" si="83"/>
        <v>2.5870000000000002</v>
      </c>
      <c r="W36" s="1253">
        <f t="shared" si="84"/>
        <v>6.0890000000000004</v>
      </c>
      <c r="X36" s="1253">
        <f t="shared" si="84"/>
        <v>1.9789999999999992</v>
      </c>
      <c r="Y36" s="1462">
        <f t="shared" si="84"/>
        <v>1.0660000000000007</v>
      </c>
      <c r="Z36" s="1536">
        <f t="shared" si="85"/>
        <v>0.94199999999999995</v>
      </c>
      <c r="AA36" s="1253">
        <f t="shared" si="86"/>
        <v>0.59499999999999997</v>
      </c>
      <c r="AB36" s="1253">
        <f t="shared" si="86"/>
        <v>0.8839999999999999</v>
      </c>
      <c r="AC36" s="1462">
        <f t="shared" si="86"/>
        <v>1.08</v>
      </c>
      <c r="AD36" s="1537">
        <f t="shared" si="87"/>
        <v>1.8740000000000001</v>
      </c>
      <c r="AE36" s="1253">
        <f t="shared" si="86"/>
        <v>2.2609999999999997</v>
      </c>
      <c r="AF36" s="1253">
        <f t="shared" si="86"/>
        <v>0.66300000000000026</v>
      </c>
      <c r="AG36" s="1253">
        <f t="shared" si="86"/>
        <v>3.266</v>
      </c>
      <c r="AH36" s="1537">
        <f t="shared" si="88"/>
        <v>0.34699999999999998</v>
      </c>
      <c r="AI36" s="1253">
        <f t="shared" si="86"/>
        <v>0.5109999999999999</v>
      </c>
      <c r="AJ36" s="1253">
        <f t="shared" si="86"/>
        <v>0.2330000000000001</v>
      </c>
      <c r="AK36" s="1254">
        <f t="shared" si="86"/>
        <v>2.5280000000000005</v>
      </c>
      <c r="AL36" s="1358">
        <v>0</v>
      </c>
      <c r="AM36" s="1358">
        <v>0</v>
      </c>
      <c r="AN36" s="1358">
        <v>0</v>
      </c>
      <c r="AO36" s="1527">
        <v>0</v>
      </c>
      <c r="AP36" s="1538">
        <v>0</v>
      </c>
      <c r="AQ36" s="1358">
        <v>0</v>
      </c>
      <c r="AR36" s="1358">
        <v>0</v>
      </c>
      <c r="AS36" s="1527">
        <v>0</v>
      </c>
      <c r="AT36" s="1539"/>
      <c r="AU36" s="1540">
        <f t="shared" si="89"/>
        <v>3.02</v>
      </c>
      <c r="AV36" s="1462">
        <f t="shared" si="90"/>
        <v>1.6679999999999999</v>
      </c>
      <c r="AW36" s="1462">
        <f t="shared" si="91"/>
        <v>19.047999999999998</v>
      </c>
      <c r="AX36" s="1462">
        <f t="shared" si="92"/>
        <v>21.709</v>
      </c>
      <c r="AY36" s="1462">
        <f t="shared" si="93"/>
        <v>18.268000000000001</v>
      </c>
      <c r="AZ36" s="1231">
        <f t="shared" si="94"/>
        <v>11.721</v>
      </c>
      <c r="BA36" s="1541">
        <f t="shared" si="95"/>
        <v>3.5009999999999999</v>
      </c>
      <c r="BB36" s="1462">
        <f t="shared" si="96"/>
        <v>8.0640000000000001</v>
      </c>
      <c r="BC36" s="1462">
        <f t="shared" si="97"/>
        <v>3.6190000000000007</v>
      </c>
      <c r="BD36" s="1472">
        <f t="shared" si="98"/>
        <v>0</v>
      </c>
      <c r="BE36" s="1472">
        <f t="shared" si="99"/>
        <v>0</v>
      </c>
      <c r="BF36" s="1460"/>
      <c r="BG36" s="1231">
        <v>4.0149999999999997</v>
      </c>
      <c r="BH36" s="1231">
        <v>8.7040000000000006</v>
      </c>
      <c r="BI36" s="1231">
        <v>10.919</v>
      </c>
      <c r="BJ36" s="1461">
        <v>18.268000000000001</v>
      </c>
      <c r="BK36" s="1231">
        <v>2.5870000000000002</v>
      </c>
      <c r="BL36" s="1231">
        <v>8.6760000000000002</v>
      </c>
      <c r="BM36" s="1231">
        <v>10.654999999999999</v>
      </c>
      <c r="BN36" s="1461">
        <v>11.721</v>
      </c>
      <c r="BO36" s="1231">
        <v>0.94199999999999995</v>
      </c>
      <c r="BP36" s="1231">
        <v>1.5369999999999999</v>
      </c>
      <c r="BQ36" s="1231">
        <v>2.4209999999999998</v>
      </c>
      <c r="BR36" s="1461">
        <v>3.5009999999999999</v>
      </c>
      <c r="BS36" s="1231">
        <v>1.8740000000000001</v>
      </c>
      <c r="BT36" s="1231">
        <v>4.1349999999999998</v>
      </c>
      <c r="BU36" s="1231">
        <v>4.798</v>
      </c>
      <c r="BV36" s="1472">
        <v>8.0640000000000001</v>
      </c>
      <c r="BW36" s="1231">
        <v>0.34699999999999998</v>
      </c>
      <c r="BX36" s="1231">
        <f>2.187-1.329</f>
        <v>0.85799999999999987</v>
      </c>
      <c r="BY36" s="1231">
        <f>2.42-1.329</f>
        <v>1.091</v>
      </c>
      <c r="BZ36" s="1472">
        <v>3.6190000000000002</v>
      </c>
    </row>
    <row r="37" spans="1:176" ht="12" customHeight="1">
      <c r="A37" s="1542" t="s">
        <v>324</v>
      </c>
      <c r="B37" s="1253">
        <v>-0.17399999999999999</v>
      </c>
      <c r="C37" s="1253">
        <f>-0.385-B37</f>
        <v>-0.21100000000000002</v>
      </c>
      <c r="D37" s="1253">
        <f>-0.385-C37-B37</f>
        <v>0</v>
      </c>
      <c r="E37" s="1461">
        <f>-0.385-D37-C37-B37</f>
        <v>0</v>
      </c>
      <c r="F37" s="1535">
        <v>0</v>
      </c>
      <c r="G37" s="1253">
        <f>-0.075-F37</f>
        <v>-7.4999999999999997E-2</v>
      </c>
      <c r="H37" s="1253">
        <f>-0.075-G37-F37</f>
        <v>0</v>
      </c>
      <c r="I37" s="1461">
        <f>-0.075-H37-G37-F37</f>
        <v>0</v>
      </c>
      <c r="J37" s="1535">
        <v>0</v>
      </c>
      <c r="K37" s="1253">
        <v>0</v>
      </c>
      <c r="L37" s="1253">
        <v>0</v>
      </c>
      <c r="M37" s="1461">
        <v>0</v>
      </c>
      <c r="N37" s="1535">
        <v>0</v>
      </c>
      <c r="O37" s="1253">
        <v>0</v>
      </c>
      <c r="P37" s="1253">
        <f>0-O37-N37</f>
        <v>0</v>
      </c>
      <c r="Q37" s="1461">
        <f>0-SUM(N37:P37)</f>
        <v>0</v>
      </c>
      <c r="R37" s="1535">
        <f t="shared" si="81"/>
        <v>0</v>
      </c>
      <c r="S37" s="1253">
        <f t="shared" si="82"/>
        <v>0</v>
      </c>
      <c r="T37" s="1253">
        <f t="shared" si="82"/>
        <v>0</v>
      </c>
      <c r="U37" s="1258">
        <f t="shared" si="82"/>
        <v>0</v>
      </c>
      <c r="V37" s="1535">
        <f t="shared" si="83"/>
        <v>0</v>
      </c>
      <c r="W37" s="1253">
        <f t="shared" si="84"/>
        <v>0</v>
      </c>
      <c r="X37" s="1253">
        <f t="shared" si="84"/>
        <v>0</v>
      </c>
      <c r="Y37" s="1258">
        <f t="shared" si="84"/>
        <v>0</v>
      </c>
      <c r="Z37" s="1535">
        <f t="shared" si="85"/>
        <v>0</v>
      </c>
      <c r="AA37" s="1253">
        <f t="shared" si="86"/>
        <v>0</v>
      </c>
      <c r="AB37" s="1253">
        <f t="shared" si="86"/>
        <v>0</v>
      </c>
      <c r="AC37" s="1258">
        <f t="shared" si="86"/>
        <v>-14.933999999999999</v>
      </c>
      <c r="AD37" s="1537">
        <f t="shared" si="87"/>
        <v>-24.991</v>
      </c>
      <c r="AE37" s="1253">
        <f>BT37-BS37</f>
        <v>-25</v>
      </c>
      <c r="AF37" s="1253">
        <f>BU37-BT37</f>
        <v>0</v>
      </c>
      <c r="AG37" s="1253">
        <f>BV37-BU37</f>
        <v>-49.986000000000004</v>
      </c>
      <c r="AH37" s="1537">
        <f t="shared" si="88"/>
        <v>-60</v>
      </c>
      <c r="AI37" s="1253">
        <f>BX37-BW37</f>
        <v>-64.998999999999995</v>
      </c>
      <c r="AJ37" s="1253">
        <f>BY37-BX37</f>
        <v>-59.968999999999994</v>
      </c>
      <c r="AK37" s="1254">
        <f>BZ37-BY37</f>
        <v>-64.478000000000009</v>
      </c>
      <c r="AL37" s="1543">
        <v>0</v>
      </c>
      <c r="AM37" s="1543">
        <v>0</v>
      </c>
      <c r="AN37" s="1543">
        <v>0</v>
      </c>
      <c r="AO37" s="1544">
        <v>0</v>
      </c>
      <c r="AP37" s="1545">
        <v>0</v>
      </c>
      <c r="AQ37" s="1543">
        <v>0</v>
      </c>
      <c r="AR37" s="1543">
        <v>0</v>
      </c>
      <c r="AS37" s="1544">
        <v>0</v>
      </c>
      <c r="AT37" s="1539"/>
      <c r="AU37" s="1540">
        <f t="shared" si="89"/>
        <v>-0.38500000000000001</v>
      </c>
      <c r="AV37" s="1462">
        <f t="shared" si="90"/>
        <v>-7.4999999999999997E-2</v>
      </c>
      <c r="AW37" s="1462">
        <f t="shared" si="91"/>
        <v>0</v>
      </c>
      <c r="AX37" s="1462">
        <f t="shared" si="92"/>
        <v>0</v>
      </c>
      <c r="AY37" s="1462">
        <f t="shared" si="93"/>
        <v>0</v>
      </c>
      <c r="AZ37" s="1231">
        <f t="shared" si="94"/>
        <v>0</v>
      </c>
      <c r="BA37" s="1541">
        <f t="shared" si="95"/>
        <v>-14.933999999999999</v>
      </c>
      <c r="BB37" s="1462">
        <f t="shared" si="96"/>
        <v>-99.977000000000004</v>
      </c>
      <c r="BC37" s="1462">
        <f t="shared" si="97"/>
        <v>-249.446</v>
      </c>
      <c r="BD37" s="1472">
        <f t="shared" si="98"/>
        <v>0</v>
      </c>
      <c r="BE37" s="1472">
        <f t="shared" si="99"/>
        <v>0</v>
      </c>
      <c r="BF37" s="1460"/>
      <c r="BG37" s="1231">
        <v>0</v>
      </c>
      <c r="BH37" s="1231">
        <v>0</v>
      </c>
      <c r="BI37" s="1231">
        <v>0</v>
      </c>
      <c r="BJ37" s="1461">
        <v>0</v>
      </c>
      <c r="BK37" s="1231">
        <v>0</v>
      </c>
      <c r="BL37" s="1231">
        <v>0</v>
      </c>
      <c r="BM37" s="1231">
        <v>0</v>
      </c>
      <c r="BN37" s="1461">
        <v>0</v>
      </c>
      <c r="BO37" s="1231">
        <v>0</v>
      </c>
      <c r="BP37" s="1231">
        <v>0</v>
      </c>
      <c r="BQ37" s="1231">
        <v>0</v>
      </c>
      <c r="BR37" s="1461">
        <v>-14.933999999999999</v>
      </c>
      <c r="BS37" s="1231">
        <v>-24.991</v>
      </c>
      <c r="BT37" s="1231">
        <v>-49.991</v>
      </c>
      <c r="BU37" s="1231">
        <v>-49.991</v>
      </c>
      <c r="BV37" s="1472">
        <v>-99.977000000000004</v>
      </c>
      <c r="BW37" s="1231">
        <v>-60</v>
      </c>
      <c r="BX37" s="1231">
        <v>-124.999</v>
      </c>
      <c r="BY37" s="1231">
        <v>-184.96799999999999</v>
      </c>
      <c r="BZ37" s="1472">
        <f>-247.468-1.978</f>
        <v>-249.446</v>
      </c>
    </row>
    <row r="38" spans="1:176" ht="12" customHeight="1">
      <c r="A38" s="1542" t="s">
        <v>325</v>
      </c>
      <c r="B38" s="1253">
        <v>0</v>
      </c>
      <c r="C38" s="1253">
        <f>-0.238-B38</f>
        <v>-0.23799999999999999</v>
      </c>
      <c r="D38" s="1253">
        <f>-0.238-C38-B38</f>
        <v>0</v>
      </c>
      <c r="E38" s="1461">
        <f>-0.238-D38-C38-B38</f>
        <v>0</v>
      </c>
      <c r="F38" s="1546">
        <v>0</v>
      </c>
      <c r="G38" s="1253">
        <f>-1.515-F38</f>
        <v>-1.5149999999999999</v>
      </c>
      <c r="H38" s="1253">
        <f>0-G38-F38</f>
        <v>1.5149999999999999</v>
      </c>
      <c r="I38" s="1461">
        <f>0-H38-G38-F38</f>
        <v>0</v>
      </c>
      <c r="J38" s="1546">
        <v>-4.0000000000000001E-3</v>
      </c>
      <c r="K38" s="1253">
        <f>-0.008-J38</f>
        <v>-4.0000000000000001E-3</v>
      </c>
      <c r="L38" s="1253">
        <f>-0.012-K38-J38</f>
        <v>-4.0000000000000001E-3</v>
      </c>
      <c r="M38" s="1461">
        <f>-0.016-SUM(J38:L38)</f>
        <v>-4.0000000000000001E-3</v>
      </c>
      <c r="N38" s="1546">
        <v>0</v>
      </c>
      <c r="O38" s="1253">
        <v>0</v>
      </c>
      <c r="P38" s="1253">
        <f>-0.333-O38-N38</f>
        <v>-0.33300000000000002</v>
      </c>
      <c r="Q38" s="1461">
        <f>-0.346-SUM(N38:P38)</f>
        <v>-1.2999999999999956E-2</v>
      </c>
      <c r="R38" s="1546">
        <f t="shared" si="81"/>
        <v>-3.0000000000000001E-3</v>
      </c>
      <c r="S38" s="1253">
        <f t="shared" si="82"/>
        <v>-2E-3</v>
      </c>
      <c r="T38" s="1253">
        <f t="shared" si="82"/>
        <v>-9.3509999999999991</v>
      </c>
      <c r="U38" s="1258">
        <f t="shared" si="82"/>
        <v>-2.0000000000006679E-3</v>
      </c>
      <c r="V38" s="1546">
        <f t="shared" si="83"/>
        <v>-3.3E-3</v>
      </c>
      <c r="W38" s="1253">
        <f t="shared" si="84"/>
        <v>0.56929999999999992</v>
      </c>
      <c r="X38" s="1253">
        <f t="shared" si="84"/>
        <v>-3.9999999999998925E-3</v>
      </c>
      <c r="Y38" s="1258">
        <f t="shared" si="84"/>
        <v>-6.0000000000000053E-3</v>
      </c>
      <c r="Z38" s="1546">
        <f t="shared" si="85"/>
        <v>-0.128</v>
      </c>
      <c r="AA38" s="1253">
        <f t="shared" si="86"/>
        <v>-1.0000000000000009E-3</v>
      </c>
      <c r="AB38" s="1253">
        <f t="shared" si="86"/>
        <v>-8.3999999999999991E-2</v>
      </c>
      <c r="AC38" s="1258">
        <f t="shared" si="86"/>
        <v>0.42299999999999999</v>
      </c>
      <c r="AD38" s="1547">
        <f t="shared" si="87"/>
        <v>0</v>
      </c>
      <c r="AE38" s="1253">
        <f t="shared" si="86"/>
        <v>0</v>
      </c>
      <c r="AF38" s="1253">
        <f t="shared" si="86"/>
        <v>0</v>
      </c>
      <c r="AG38" s="1253">
        <f t="shared" si="86"/>
        <v>0</v>
      </c>
      <c r="AH38" s="1547">
        <f t="shared" si="88"/>
        <v>0</v>
      </c>
      <c r="AI38" s="1253">
        <f t="shared" si="86"/>
        <v>0</v>
      </c>
      <c r="AJ38" s="1253">
        <f t="shared" si="86"/>
        <v>0</v>
      </c>
      <c r="AK38" s="1548">
        <f t="shared" si="86"/>
        <v>0</v>
      </c>
      <c r="AL38" s="1543">
        <v>0</v>
      </c>
      <c r="AM38" s="1543">
        <v>0</v>
      </c>
      <c r="AN38" s="1543">
        <v>0</v>
      </c>
      <c r="AO38" s="1544">
        <v>0</v>
      </c>
      <c r="AP38" s="1549">
        <v>0</v>
      </c>
      <c r="AQ38" s="1543">
        <v>0</v>
      </c>
      <c r="AR38" s="1543">
        <v>0</v>
      </c>
      <c r="AS38" s="1544">
        <v>0</v>
      </c>
      <c r="AT38" s="1550"/>
      <c r="AU38" s="1551">
        <f t="shared" si="89"/>
        <v>-0.23799999999999999</v>
      </c>
      <c r="AV38" s="1462">
        <f t="shared" si="90"/>
        <v>0</v>
      </c>
      <c r="AW38" s="1462">
        <f t="shared" si="91"/>
        <v>-1.6E-2</v>
      </c>
      <c r="AX38" s="1462">
        <f t="shared" si="92"/>
        <v>-0.34599999999999997</v>
      </c>
      <c r="AY38" s="1462">
        <f t="shared" si="93"/>
        <v>-9.3580000000000005</v>
      </c>
      <c r="AZ38" s="1231">
        <f t="shared" si="94"/>
        <v>0.55600000000000005</v>
      </c>
      <c r="BA38" s="1541">
        <f t="shared" si="95"/>
        <v>0.21</v>
      </c>
      <c r="BB38" s="1462">
        <f t="shared" si="96"/>
        <v>0</v>
      </c>
      <c r="BC38" s="1462">
        <f t="shared" si="97"/>
        <v>0</v>
      </c>
      <c r="BD38" s="1472">
        <f t="shared" si="98"/>
        <v>0</v>
      </c>
      <c r="BE38" s="1472">
        <f t="shared" si="99"/>
        <v>0</v>
      </c>
      <c r="BF38" s="1460"/>
      <c r="BG38" s="1231">
        <v>-3.0000000000000001E-3</v>
      </c>
      <c r="BH38" s="1231">
        <v>-5.0000000000000001E-3</v>
      </c>
      <c r="BI38" s="1231">
        <f>-0.008-9.348</f>
        <v>-9.3559999999999999</v>
      </c>
      <c r="BJ38" s="1461">
        <f>-9.348-0.01</f>
        <v>-9.3580000000000005</v>
      </c>
      <c r="BK38" s="1231">
        <v>-3.3E-3</v>
      </c>
      <c r="BL38" s="1231">
        <v>0.56599999999999995</v>
      </c>
      <c r="BM38" s="1231">
        <v>0.56200000000000006</v>
      </c>
      <c r="BN38" s="1461">
        <v>0.55600000000000005</v>
      </c>
      <c r="BO38" s="1231">
        <v>-0.128</v>
      </c>
      <c r="BP38" s="1231">
        <v>-0.129</v>
      </c>
      <c r="BQ38" s="1231">
        <v>-0.21299999999999999</v>
      </c>
      <c r="BR38" s="1461">
        <f>0.21</f>
        <v>0.21</v>
      </c>
      <c r="BS38" s="1231">
        <v>0</v>
      </c>
      <c r="BT38" s="1231">
        <v>0</v>
      </c>
      <c r="BU38" s="1231"/>
      <c r="BV38" s="1472"/>
      <c r="BW38" s="1231">
        <v>0</v>
      </c>
      <c r="BX38" s="1231">
        <v>0</v>
      </c>
      <c r="BY38" s="1231"/>
      <c r="BZ38" s="1472"/>
    </row>
    <row r="39" spans="1:176" ht="12" customHeight="1">
      <c r="A39" s="1482" t="s">
        <v>326</v>
      </c>
      <c r="B39" s="1552">
        <f>SUM(B32:B38)</f>
        <v>1.4080000000000001</v>
      </c>
      <c r="C39" s="1552">
        <f t="shared" ref="C39:AD39" si="108">SUM(C32:C38)</f>
        <v>0.34600000000000009</v>
      </c>
      <c r="D39" s="1552">
        <f t="shared" si="108"/>
        <v>0.29699999999999993</v>
      </c>
      <c r="E39" s="1553">
        <f t="shared" si="108"/>
        <v>4.0000000000000036E-2</v>
      </c>
      <c r="F39" s="1270">
        <f t="shared" si="108"/>
        <v>0.36299999999999999</v>
      </c>
      <c r="G39" s="1552">
        <f t="shared" si="108"/>
        <v>-1.1949999999999998</v>
      </c>
      <c r="H39" s="1552">
        <f t="shared" si="108"/>
        <v>266.58199999999994</v>
      </c>
      <c r="I39" s="1553">
        <f t="shared" si="108"/>
        <v>-1.0009999999999886</v>
      </c>
      <c r="J39" s="1270">
        <f t="shared" si="108"/>
        <v>18.452999999999999</v>
      </c>
      <c r="K39" s="1552">
        <f t="shared" si="108"/>
        <v>2.8450000000000002</v>
      </c>
      <c r="L39" s="1552">
        <f t="shared" si="108"/>
        <v>9.2669999999999995</v>
      </c>
      <c r="M39" s="1553">
        <f t="shared" si="108"/>
        <v>3.5959999999999979</v>
      </c>
      <c r="N39" s="1270">
        <f t="shared" si="108"/>
        <v>11.281000000000001</v>
      </c>
      <c r="O39" s="1552">
        <f t="shared" si="108"/>
        <v>8.9920000000000009</v>
      </c>
      <c r="P39" s="1552">
        <f t="shared" si="108"/>
        <v>10.204999999999998</v>
      </c>
      <c r="Q39" s="1553">
        <f t="shared" si="108"/>
        <v>5.9249999999999998</v>
      </c>
      <c r="R39" s="1270">
        <f t="shared" si="108"/>
        <v>12.058</v>
      </c>
      <c r="S39" s="1552">
        <f t="shared" si="108"/>
        <v>4.6870000000000012</v>
      </c>
      <c r="T39" s="1552">
        <f t="shared" si="108"/>
        <v>373.55399999999997</v>
      </c>
      <c r="U39" s="1554">
        <f t="shared" si="108"/>
        <v>7.3469999999999995</v>
      </c>
      <c r="V39" s="1270">
        <f t="shared" si="108"/>
        <v>10.527700000000001</v>
      </c>
      <c r="W39" s="1552">
        <f t="shared" si="108"/>
        <v>5.7213000000000003</v>
      </c>
      <c r="X39" s="1552">
        <f t="shared" si="108"/>
        <v>6.9459999999999997</v>
      </c>
      <c r="Y39" s="1554">
        <f t="shared" si="108"/>
        <v>0.12300000000000089</v>
      </c>
      <c r="Z39" s="1270">
        <f t="shared" si="108"/>
        <v>9.7899999999999991</v>
      </c>
      <c r="AA39" s="1552">
        <f t="shared" si="108"/>
        <v>8.099999999999985E-2</v>
      </c>
      <c r="AB39" s="1552">
        <f t="shared" si="108"/>
        <v>6.1720000000000006</v>
      </c>
      <c r="AC39" s="1554">
        <f t="shared" si="108"/>
        <v>-14.792</v>
      </c>
      <c r="AD39" s="1270">
        <f t="shared" si="108"/>
        <v>-14.170999999999999</v>
      </c>
      <c r="AE39" s="1552">
        <f>SUM(AE32:AE38)</f>
        <v>-23.682000000000002</v>
      </c>
      <c r="AF39" s="1552">
        <f>SUM(AF32:AF38)</f>
        <v>6.109</v>
      </c>
      <c r="AG39" s="1552">
        <f>SUM(AG32:AG38)</f>
        <v>-47.657000000000004</v>
      </c>
      <c r="AH39" s="1270">
        <f t="shared" ref="AH39" si="109">SUM(AH32:AH38)</f>
        <v>-50.89</v>
      </c>
      <c r="AI39" s="1552">
        <f>SUM(AI32:AI38)</f>
        <v>-65.414000000000001</v>
      </c>
      <c r="AJ39" s="1552">
        <f>SUM(AJ32:AJ38)</f>
        <v>-54.903999999999996</v>
      </c>
      <c r="AK39" s="1552">
        <f>SUM(AK32:AK38)</f>
        <v>-62.887000000000008</v>
      </c>
      <c r="AL39" s="1555">
        <f t="shared" ref="AL39:AS39" si="110">SUM(AL32:AL38)</f>
        <v>0</v>
      </c>
      <c r="AM39" s="1556">
        <f t="shared" si="110"/>
        <v>0</v>
      </c>
      <c r="AN39" s="1556">
        <f t="shared" si="110"/>
        <v>0</v>
      </c>
      <c r="AO39" s="1557">
        <f t="shared" si="110"/>
        <v>0</v>
      </c>
      <c r="AP39" s="1555">
        <f t="shared" si="110"/>
        <v>0</v>
      </c>
      <c r="AQ39" s="1556">
        <f t="shared" si="110"/>
        <v>0</v>
      </c>
      <c r="AR39" s="1556">
        <f t="shared" si="110"/>
        <v>0</v>
      </c>
      <c r="AS39" s="1557">
        <f t="shared" si="110"/>
        <v>0</v>
      </c>
      <c r="AT39" s="1550"/>
      <c r="AU39" s="1558">
        <f t="shared" si="89"/>
        <v>2.0910000000000002</v>
      </c>
      <c r="AV39" s="1559">
        <f t="shared" si="90"/>
        <v>264.74899999999997</v>
      </c>
      <c r="AW39" s="1559">
        <f t="shared" si="91"/>
        <v>34.160999999999994</v>
      </c>
      <c r="AX39" s="1483">
        <f t="shared" si="92"/>
        <v>36.402999999999999</v>
      </c>
      <c r="AY39" s="1484">
        <f t="shared" si="93"/>
        <v>397.64599999999996</v>
      </c>
      <c r="AZ39" s="1560">
        <f t="shared" si="94"/>
        <v>23.318000000000001</v>
      </c>
      <c r="BA39" s="1485">
        <f t="shared" si="95"/>
        <v>1.2509999999999994</v>
      </c>
      <c r="BB39" s="1483">
        <f t="shared" si="96"/>
        <v>-79.40100000000001</v>
      </c>
      <c r="BC39" s="1483">
        <f t="shared" si="97"/>
        <v>-234.095</v>
      </c>
      <c r="BD39" s="1486">
        <f t="shared" si="98"/>
        <v>0</v>
      </c>
      <c r="BE39" s="1486">
        <f t="shared" si="99"/>
        <v>0</v>
      </c>
      <c r="BF39" s="454"/>
      <c r="BG39" s="1487">
        <f t="shared" ref="BG39:BI39" si="111">SUM(BG32:BG38)</f>
        <v>12.058</v>
      </c>
      <c r="BH39" s="1266">
        <f t="shared" si="111"/>
        <v>16.745000000000001</v>
      </c>
      <c r="BI39" s="1263">
        <f t="shared" si="111"/>
        <v>390.29899999999998</v>
      </c>
      <c r="BJ39" s="1264">
        <f>SUM(BJ32:BJ38)</f>
        <v>397.64600000000002</v>
      </c>
      <c r="BK39" s="1487">
        <f t="shared" ref="BK39:BR39" si="112">SUM(BK32:BK38)</f>
        <v>10.527700000000001</v>
      </c>
      <c r="BL39" s="1266">
        <f t="shared" si="112"/>
        <v>16.248999999999999</v>
      </c>
      <c r="BM39" s="1263">
        <f t="shared" si="112"/>
        <v>23.195</v>
      </c>
      <c r="BN39" s="1264">
        <f t="shared" si="112"/>
        <v>23.318000000000001</v>
      </c>
      <c r="BO39" s="1265">
        <f>SUM(BO32:BO38)</f>
        <v>9.7899999999999991</v>
      </c>
      <c r="BP39" s="1263">
        <f t="shared" si="112"/>
        <v>9.8710000000000004</v>
      </c>
      <c r="BQ39" s="1263">
        <f t="shared" si="112"/>
        <v>16.042999999999999</v>
      </c>
      <c r="BR39" s="1264">
        <f t="shared" si="112"/>
        <v>1.2510000000000003</v>
      </c>
      <c r="BS39" s="1265">
        <f>SUM(BS32:BS38)</f>
        <v>-14.170999999999999</v>
      </c>
      <c r="BT39" s="1263">
        <f>SUM(BT32:BT38)</f>
        <v>-37.853000000000002</v>
      </c>
      <c r="BU39" s="1263">
        <f t="shared" ref="BU39:BV39" si="113">SUM(BU32:BU38)</f>
        <v>-31.744</v>
      </c>
      <c r="BV39" s="1267">
        <f t="shared" si="113"/>
        <v>-79.40100000000001</v>
      </c>
      <c r="BW39" s="1265">
        <f>SUM(BW32:BW38)</f>
        <v>-50.89</v>
      </c>
      <c r="BX39" s="1263">
        <f>SUM(BX32:BX38)</f>
        <v>-116.304</v>
      </c>
      <c r="BY39" s="1263">
        <f t="shared" ref="BY39:BZ39" si="114">SUM(BY32:BY38)</f>
        <v>-171.208</v>
      </c>
      <c r="BZ39" s="1267">
        <f t="shared" si="114"/>
        <v>-234.095</v>
      </c>
    </row>
    <row r="40" spans="1:176" ht="12" customHeight="1">
      <c r="A40" s="1561"/>
      <c r="B40" s="559"/>
      <c r="C40" s="559"/>
      <c r="D40" s="559"/>
      <c r="E40" s="560"/>
      <c r="F40" s="1562"/>
      <c r="G40" s="559"/>
      <c r="H40" s="559"/>
      <c r="I40" s="560"/>
      <c r="J40" s="1562"/>
      <c r="K40" s="559"/>
      <c r="L40" s="559"/>
      <c r="M40" s="560"/>
      <c r="N40" s="1562"/>
      <c r="O40" s="559"/>
      <c r="P40" s="559"/>
      <c r="Q40" s="560"/>
      <c r="R40" s="1562"/>
      <c r="S40" s="559"/>
      <c r="T40" s="559"/>
      <c r="U40" s="1454"/>
      <c r="V40" s="1562"/>
      <c r="W40" s="559"/>
      <c r="X40" s="559"/>
      <c r="Y40" s="1454"/>
      <c r="Z40" s="1562"/>
      <c r="AA40" s="559"/>
      <c r="AB40" s="559"/>
      <c r="AC40" s="1454"/>
      <c r="AD40" s="1562"/>
      <c r="AE40" s="559"/>
      <c r="AF40" s="559"/>
      <c r="AG40" s="559"/>
      <c r="AH40" s="1562"/>
      <c r="AI40" s="559"/>
      <c r="AJ40" s="559"/>
      <c r="AK40" s="559"/>
      <c r="AL40" s="1562"/>
      <c r="AM40" s="559"/>
      <c r="AN40" s="559"/>
      <c r="AO40" s="1454"/>
      <c r="AP40" s="1562"/>
      <c r="AQ40" s="559"/>
      <c r="AR40" s="559"/>
      <c r="AS40" s="1454"/>
      <c r="AT40" s="1550"/>
      <c r="AU40" s="1563"/>
      <c r="AV40" s="1563"/>
      <c r="AW40" s="1563"/>
      <c r="AX40" s="1563"/>
      <c r="AY40" s="1564"/>
      <c r="AZ40" s="1565"/>
      <c r="BA40" s="1566"/>
      <c r="BB40" s="1563"/>
      <c r="BC40" s="1563"/>
      <c r="BD40" s="1550"/>
      <c r="BE40" s="1550"/>
      <c r="BG40" s="1567"/>
      <c r="BH40" s="1231"/>
      <c r="BI40" s="559"/>
      <c r="BJ40" s="1568"/>
      <c r="BK40" s="1567"/>
      <c r="BL40" s="1231"/>
      <c r="BM40" s="559"/>
      <c r="BN40" s="1568"/>
      <c r="BO40" s="1569"/>
      <c r="BP40" s="559"/>
      <c r="BQ40" s="559"/>
      <c r="BR40" s="560"/>
      <c r="BS40" s="1569"/>
      <c r="BT40" s="559"/>
      <c r="BU40" s="559"/>
      <c r="BV40" s="560"/>
      <c r="BW40" s="1569"/>
      <c r="BX40" s="559"/>
      <c r="BY40" s="559"/>
      <c r="BZ40" s="560"/>
    </row>
    <row r="41" spans="1:176" ht="12" customHeight="1">
      <c r="A41" s="1570" t="s">
        <v>327</v>
      </c>
      <c r="B41" s="1253">
        <v>7.0000000000000001E-3</v>
      </c>
      <c r="C41" s="1253">
        <f>0.045-B41</f>
        <v>3.7999999999999999E-2</v>
      </c>
      <c r="D41" s="1253">
        <f>0.022-C41-B41</f>
        <v>-2.3E-2</v>
      </c>
      <c r="E41" s="1461">
        <f>-0.068-D41-C41-B41</f>
        <v>-9.0000000000000011E-2</v>
      </c>
      <c r="F41" s="1235">
        <v>-5.7000000000000002E-2</v>
      </c>
      <c r="G41" s="1253">
        <f>-0.491-F41</f>
        <v>-0.434</v>
      </c>
      <c r="H41" s="1253">
        <f>-0.675-G41-F41</f>
        <v>-0.18400000000000005</v>
      </c>
      <c r="I41" s="1461">
        <f>-1.063-H41-G41-F41</f>
        <v>-0.3879999999999999</v>
      </c>
      <c r="J41" s="1235">
        <v>-0.25800000000000001</v>
      </c>
      <c r="K41" s="1253">
        <f>-0.716-J41</f>
        <v>-0.45799999999999996</v>
      </c>
      <c r="L41" s="1253">
        <f>-1.226-K41-J41</f>
        <v>-0.51</v>
      </c>
      <c r="M41" s="1461">
        <f>-1.08-L41-K41-J41</f>
        <v>0.14599999999999991</v>
      </c>
      <c r="N41" s="1235">
        <v>-1.097</v>
      </c>
      <c r="O41" s="1253">
        <f>-1.463-N41</f>
        <v>-0.3660000000000001</v>
      </c>
      <c r="P41" s="1253">
        <f>-1.359-O41-N41</f>
        <v>0.10400000000000009</v>
      </c>
      <c r="Q41" s="1461">
        <f>-0.916-P41-O41-N41</f>
        <v>0.44300000000000006</v>
      </c>
      <c r="R41" s="1235">
        <f t="shared" ref="R41" si="115">BG41</f>
        <v>-1.0680000000000001</v>
      </c>
      <c r="S41" s="1253">
        <f t="shared" ref="S41:U41" si="116">BH41-BG41</f>
        <v>-0.39500000000000002</v>
      </c>
      <c r="T41" s="1253">
        <f t="shared" si="116"/>
        <v>-0.95500000000000007</v>
      </c>
      <c r="U41" s="1258">
        <f t="shared" si="116"/>
        <v>-0.59499999999999975</v>
      </c>
      <c r="V41" s="1235">
        <f t="shared" ref="V41" si="117">BK41</f>
        <v>-0.44900000000000001</v>
      </c>
      <c r="W41" s="1253">
        <f t="shared" ref="W41:Y41" si="118">BL41-BK41</f>
        <v>-2.0220000000000002</v>
      </c>
      <c r="X41" s="1253">
        <f t="shared" si="118"/>
        <v>-1.8049999999999997</v>
      </c>
      <c r="Y41" s="1258">
        <f t="shared" si="118"/>
        <v>0.44099999999999984</v>
      </c>
      <c r="Z41" s="1235">
        <f t="shared" ref="Z41" si="119">BO41</f>
        <v>-0.108</v>
      </c>
      <c r="AA41" s="1253">
        <f t="shared" ref="AA41:AK41" si="120">BP41-BO41</f>
        <v>-0.92400000000000004</v>
      </c>
      <c r="AB41" s="1253">
        <f t="shared" si="120"/>
        <v>-1.5299999999999998</v>
      </c>
      <c r="AC41" s="1258">
        <f t="shared" si="120"/>
        <v>0.33699999999999974</v>
      </c>
      <c r="AD41" s="1235">
        <f t="shared" ref="AD41" si="121">BS41</f>
        <v>-1.73</v>
      </c>
      <c r="AE41" s="1253">
        <f t="shared" si="120"/>
        <v>-1.347</v>
      </c>
      <c r="AF41" s="1253">
        <f t="shared" si="120"/>
        <v>0.6379999999999999</v>
      </c>
      <c r="AG41" s="1253">
        <f t="shared" si="120"/>
        <v>-2.6899999999999995</v>
      </c>
      <c r="AH41" s="1235">
        <f t="shared" ref="AH41" si="122">BW41</f>
        <v>0.4</v>
      </c>
      <c r="AI41" s="1253">
        <f t="shared" si="120"/>
        <v>-1.9780000000000002</v>
      </c>
      <c r="AJ41" s="1253">
        <f t="shared" si="120"/>
        <v>2.5609999999999999</v>
      </c>
      <c r="AK41" s="1253">
        <f t="shared" si="120"/>
        <v>5.5000000000000049E-2</v>
      </c>
      <c r="AL41" s="1235">
        <v>0</v>
      </c>
      <c r="AM41" s="1253">
        <v>0</v>
      </c>
      <c r="AN41" s="1253">
        <v>0</v>
      </c>
      <c r="AO41" s="1258">
        <v>0</v>
      </c>
      <c r="AP41" s="1235">
        <v>0</v>
      </c>
      <c r="AQ41" s="1253">
        <v>0</v>
      </c>
      <c r="AR41" s="1253">
        <v>0</v>
      </c>
      <c r="AS41" s="1258">
        <v>0</v>
      </c>
      <c r="AT41" s="1459"/>
      <c r="AU41" s="1463">
        <f t="shared" ref="AU41:AU43" si="123">SUM(B41:E41)</f>
        <v>-6.8000000000000005E-2</v>
      </c>
      <c r="AV41" s="1463">
        <f t="shared" ref="AV41:AV43" si="124">SUM(F41:I41)</f>
        <v>-1.0629999999999999</v>
      </c>
      <c r="AW41" s="1463">
        <f t="shared" ref="AW41:AW43" si="125">SUM(J41:M41)</f>
        <v>-1.08</v>
      </c>
      <c r="AX41" s="1463">
        <f t="shared" ref="AX41:AX43" si="126">SUM(N41:Q41)</f>
        <v>-0.91599999999999993</v>
      </c>
      <c r="AY41" s="1464">
        <f t="shared" ref="AY41:AY43" si="127">SUM(R41:U41)</f>
        <v>-3.0129999999999999</v>
      </c>
      <c r="AZ41" s="1233">
        <f t="shared" ref="AZ41:AZ43" si="128">SUM(V41:Y41)</f>
        <v>-3.835</v>
      </c>
      <c r="BA41" s="1257">
        <f t="shared" ref="BA41:BA43" si="129">SUM(Z41:AC41)</f>
        <v>-2.2250000000000001</v>
      </c>
      <c r="BB41" s="1463">
        <f t="shared" ref="BB41:BB43" si="130">SUM(AD41:AG41)</f>
        <v>-5.1289999999999996</v>
      </c>
      <c r="BC41" s="1463">
        <f t="shared" ref="BC41:BC43" si="131">SUM(AH41:AK41)</f>
        <v>1.0379999999999998</v>
      </c>
      <c r="BD41" s="1466">
        <f t="shared" si="98"/>
        <v>0</v>
      </c>
      <c r="BE41" s="1466">
        <f>SUM(AP41:AS41)</f>
        <v>0</v>
      </c>
      <c r="BG41" s="1233">
        <v>-1.0680000000000001</v>
      </c>
      <c r="BH41" s="1231">
        <v>-1.4630000000000001</v>
      </c>
      <c r="BI41" s="1253">
        <v>-2.4180000000000001</v>
      </c>
      <c r="BJ41" s="1254">
        <v>-3.0129999999999999</v>
      </c>
      <c r="BK41" s="1233">
        <v>-0.44900000000000001</v>
      </c>
      <c r="BL41" s="1231">
        <v>-2.4710000000000001</v>
      </c>
      <c r="BM41" s="1253">
        <v>-4.2759999999999998</v>
      </c>
      <c r="BN41" s="1254">
        <v>-3.835</v>
      </c>
      <c r="BO41" s="1255">
        <v>-0.108</v>
      </c>
      <c r="BP41" s="1253">
        <v>-1.032</v>
      </c>
      <c r="BQ41" s="1253">
        <v>-2.5619999999999998</v>
      </c>
      <c r="BR41" s="1254">
        <v>-2.2250000000000001</v>
      </c>
      <c r="BS41" s="1235">
        <v>-1.73</v>
      </c>
      <c r="BT41" s="1231">
        <v>-3.077</v>
      </c>
      <c r="BU41" s="1253">
        <v>-2.4390000000000001</v>
      </c>
      <c r="BV41" s="1232">
        <v>-5.1289999999999996</v>
      </c>
      <c r="BW41" s="1235">
        <v>0.4</v>
      </c>
      <c r="BX41" s="1231">
        <v>-1.5780000000000001</v>
      </c>
      <c r="BY41" s="1253">
        <v>0.98299999999999998</v>
      </c>
      <c r="BZ41" s="1232">
        <v>1.038</v>
      </c>
    </row>
    <row r="42" spans="1:176" s="45" customFormat="1" ht="12" customHeight="1">
      <c r="A42" s="1571" t="s">
        <v>328</v>
      </c>
      <c r="B42" s="184">
        <f t="shared" ref="B42:AS42" si="132">B20+B29+B39+B41</f>
        <v>2.1419999999999999</v>
      </c>
      <c r="C42" s="184">
        <f t="shared" si="132"/>
        <v>-0.85599999999999965</v>
      </c>
      <c r="D42" s="184">
        <f t="shared" si="132"/>
        <v>-1.6550000000000007</v>
      </c>
      <c r="E42" s="1273">
        <f t="shared" si="132"/>
        <v>-6.6289999999999969</v>
      </c>
      <c r="F42" s="1248">
        <f t="shared" si="132"/>
        <v>-0.78600000000000059</v>
      </c>
      <c r="G42" s="184">
        <f t="shared" si="132"/>
        <v>-2.769000000000005</v>
      </c>
      <c r="H42" s="184">
        <f t="shared" si="132"/>
        <v>229.37099999999995</v>
      </c>
      <c r="I42" s="1273">
        <f t="shared" si="132"/>
        <v>-87.910000000000011</v>
      </c>
      <c r="J42" s="1248">
        <f t="shared" si="132"/>
        <v>2.8500000000000005</v>
      </c>
      <c r="K42" s="184">
        <f t="shared" si="132"/>
        <v>17.696999999999996</v>
      </c>
      <c r="L42" s="184">
        <f t="shared" si="132"/>
        <v>-14.359999999999994</v>
      </c>
      <c r="M42" s="1273">
        <f t="shared" si="132"/>
        <v>-96.90000000000002</v>
      </c>
      <c r="N42" s="1248">
        <f t="shared" si="132"/>
        <v>33.405999999999999</v>
      </c>
      <c r="O42" s="184">
        <f t="shared" si="132"/>
        <v>28.658000000000005</v>
      </c>
      <c r="P42" s="184">
        <f t="shared" si="132"/>
        <v>4.8980000000000148</v>
      </c>
      <c r="Q42" s="1273">
        <f t="shared" si="132"/>
        <v>36.835999999999984</v>
      </c>
      <c r="R42" s="1248">
        <f t="shared" si="132"/>
        <v>50.192999999999991</v>
      </c>
      <c r="S42" s="184">
        <f t="shared" si="132"/>
        <v>-92.459000000000003</v>
      </c>
      <c r="T42" s="184">
        <f t="shared" si="132"/>
        <v>299.92699999999996</v>
      </c>
      <c r="U42" s="1572">
        <f t="shared" si="132"/>
        <v>-157.85299999999995</v>
      </c>
      <c r="V42" s="1248">
        <f t="shared" si="132"/>
        <v>9.454699999999999</v>
      </c>
      <c r="W42" s="184">
        <f t="shared" si="132"/>
        <v>-19.613699999999987</v>
      </c>
      <c r="X42" s="184">
        <f t="shared" si="132"/>
        <v>20.308000000000007</v>
      </c>
      <c r="Y42" s="1572">
        <f t="shared" si="132"/>
        <v>12.446000000000033</v>
      </c>
      <c r="Z42" s="1248">
        <f t="shared" si="132"/>
        <v>59.567999999999998</v>
      </c>
      <c r="AA42" s="184">
        <f t="shared" si="132"/>
        <v>15.624999999999989</v>
      </c>
      <c r="AB42" s="184">
        <f t="shared" si="132"/>
        <v>69.257000000000005</v>
      </c>
      <c r="AC42" s="1572">
        <f t="shared" si="132"/>
        <v>-208.184</v>
      </c>
      <c r="AD42" s="1248">
        <f t="shared" si="132"/>
        <v>22.844999999999974</v>
      </c>
      <c r="AE42" s="184">
        <f t="shared" si="132"/>
        <v>-26.509999999999991</v>
      </c>
      <c r="AF42" s="184">
        <f t="shared" si="132"/>
        <v>78.740000000000009</v>
      </c>
      <c r="AG42" s="184">
        <f t="shared" si="132"/>
        <v>16.439999999999976</v>
      </c>
      <c r="AH42" s="1248">
        <f t="shared" si="132"/>
        <v>-95.20599999999996</v>
      </c>
      <c r="AI42" s="184">
        <f t="shared" si="132"/>
        <v>-61.572000000000003</v>
      </c>
      <c r="AJ42" s="184">
        <f t="shared" si="132"/>
        <v>-3.3199999999993679E-2</v>
      </c>
      <c r="AK42" s="184">
        <f t="shared" si="132"/>
        <v>15.926199999999952</v>
      </c>
      <c r="AL42" s="1248">
        <f t="shared" si="132"/>
        <v>73.058482157676693</v>
      </c>
      <c r="AM42" s="184">
        <f t="shared" si="132"/>
        <v>40.819617108467909</v>
      </c>
      <c r="AN42" s="184">
        <f t="shared" si="132"/>
        <v>52.695614638379595</v>
      </c>
      <c r="AO42" s="1572">
        <f t="shared" si="132"/>
        <v>95.083046062557656</v>
      </c>
      <c r="AP42" s="1248">
        <f t="shared" si="132"/>
        <v>77.202342926682306</v>
      </c>
      <c r="AQ42" s="184">
        <f t="shared" si="132"/>
        <v>46.629002851342186</v>
      </c>
      <c r="AR42" s="184">
        <f t="shared" si="132"/>
        <v>58.847611142704721</v>
      </c>
      <c r="AS42" s="1572">
        <f t="shared" si="132"/>
        <v>104.3268895848294</v>
      </c>
      <c r="AT42" s="1573"/>
      <c r="AU42" s="1574">
        <f t="shared" si="123"/>
        <v>-6.9979999999999976</v>
      </c>
      <c r="AV42" s="1574">
        <f t="shared" si="124"/>
        <v>137.90599999999995</v>
      </c>
      <c r="AW42" s="1574">
        <f t="shared" si="125"/>
        <v>-90.713000000000022</v>
      </c>
      <c r="AX42" s="1574">
        <f t="shared" si="126"/>
        <v>103.798</v>
      </c>
      <c r="AY42" s="1575">
        <f t="shared" si="127"/>
        <v>99.807999999999993</v>
      </c>
      <c r="AZ42" s="1246">
        <f t="shared" si="128"/>
        <v>22.595000000000052</v>
      </c>
      <c r="BA42" s="1576">
        <f t="shared" si="129"/>
        <v>-63.734000000000009</v>
      </c>
      <c r="BB42" s="1574">
        <f t="shared" si="130"/>
        <v>91.514999999999958</v>
      </c>
      <c r="BC42" s="1574">
        <f t="shared" si="131"/>
        <v>-140.88499999999999</v>
      </c>
      <c r="BD42" s="1577">
        <f t="shared" si="98"/>
        <v>261.65675996708183</v>
      </c>
      <c r="BE42" s="1577">
        <f>SUM(AP42:AS42)</f>
        <v>287.00584650555862</v>
      </c>
      <c r="BG42" s="1246">
        <f t="shared" ref="BG42:BR42" si="133">+BG41+BG39+BG29+BG20</f>
        <v>50.192999999999991</v>
      </c>
      <c r="BH42" s="189">
        <f t="shared" si="133"/>
        <v>-42.266000000000005</v>
      </c>
      <c r="BI42" s="184">
        <f t="shared" si="133"/>
        <v>257.66099999999994</v>
      </c>
      <c r="BJ42" s="1578">
        <f t="shared" si="133"/>
        <v>99.808000000000121</v>
      </c>
      <c r="BK42" s="184">
        <f t="shared" si="133"/>
        <v>9.454699999999999</v>
      </c>
      <c r="BL42" s="184">
        <f t="shared" si="133"/>
        <v>-10.158999999999985</v>
      </c>
      <c r="BM42" s="184">
        <f t="shared" si="133"/>
        <v>10.149000000000015</v>
      </c>
      <c r="BN42" s="1578">
        <f t="shared" si="133"/>
        <v>22.594999999999999</v>
      </c>
      <c r="BO42" s="1274">
        <f>+BO41+BO39+BO29+BO20</f>
        <v>59.567999999999998</v>
      </c>
      <c r="BP42" s="184">
        <f>+BP41+BP39+BP29+BP20</f>
        <v>75.192999999999998</v>
      </c>
      <c r="BQ42" s="184">
        <f t="shared" si="133"/>
        <v>144.44999999999999</v>
      </c>
      <c r="BR42" s="184">
        <f t="shared" si="133"/>
        <v>-63.734000000000037</v>
      </c>
      <c r="BS42" s="1274">
        <f>+BS41+BS39+BS29+BS20</f>
        <v>22.844999999999974</v>
      </c>
      <c r="BT42" s="184">
        <f>+BT41+BT39+BT29+BT20</f>
        <v>-3.6650000000000063</v>
      </c>
      <c r="BU42" s="184">
        <f t="shared" ref="BU42:BV42" si="134">+BU41+BU39+BU29+BU20</f>
        <v>75.075000000000017</v>
      </c>
      <c r="BV42" s="1578">
        <f t="shared" si="134"/>
        <v>91.515000000000015</v>
      </c>
      <c r="BW42" s="1274">
        <f>+BW41+BW39+BW29+BW20</f>
        <v>-95.205999999999975</v>
      </c>
      <c r="BX42" s="184">
        <f>+BX41+BX39+BX29+BX20</f>
        <v>-156.77800000000002</v>
      </c>
      <c r="BY42" s="184">
        <f t="shared" ref="BY42:BZ42" si="135">+BY41+BY39+BY29+BY20</f>
        <v>-156.81119999999999</v>
      </c>
      <c r="BZ42" s="1578">
        <f t="shared" si="135"/>
        <v>-140.88500000000005</v>
      </c>
    </row>
    <row r="43" spans="1:176" ht="12" customHeight="1">
      <c r="A43" s="1579" t="s">
        <v>329</v>
      </c>
      <c r="B43" s="1253">
        <v>0</v>
      </c>
      <c r="C43" s="1253">
        <v>0</v>
      </c>
      <c r="D43" s="1253">
        <v>0</v>
      </c>
      <c r="E43" s="1258">
        <v>0</v>
      </c>
      <c r="F43" s="1235">
        <v>0</v>
      </c>
      <c r="G43" s="1253">
        <v>0</v>
      </c>
      <c r="H43" s="1253">
        <v>0</v>
      </c>
      <c r="I43" s="1258">
        <v>0</v>
      </c>
      <c r="J43" s="1235">
        <v>0</v>
      </c>
      <c r="K43" s="1253">
        <v>0</v>
      </c>
      <c r="L43" s="1253">
        <v>0</v>
      </c>
      <c r="M43" s="1258">
        <v>0</v>
      </c>
      <c r="N43" s="1235">
        <v>0</v>
      </c>
      <c r="O43" s="1253">
        <v>0</v>
      </c>
      <c r="P43" s="1253">
        <v>0</v>
      </c>
      <c r="Q43" s="1258">
        <v>0</v>
      </c>
      <c r="R43" s="1235">
        <v>0</v>
      </c>
      <c r="S43" s="1253">
        <v>0</v>
      </c>
      <c r="T43" s="1253">
        <v>0</v>
      </c>
      <c r="U43" s="1258">
        <v>0</v>
      </c>
      <c r="V43" s="1235">
        <v>0</v>
      </c>
      <c r="W43" s="1253">
        <v>0</v>
      </c>
      <c r="X43" s="1253">
        <v>0</v>
      </c>
      <c r="Y43" s="1258">
        <v>0</v>
      </c>
      <c r="Z43" s="1235">
        <v>0</v>
      </c>
      <c r="AA43" s="1253">
        <v>0</v>
      </c>
      <c r="AB43" s="1253">
        <v>0</v>
      </c>
      <c r="AC43" s="1258">
        <v>0</v>
      </c>
      <c r="AD43" s="1235">
        <v>0</v>
      </c>
      <c r="AE43" s="1253">
        <v>0</v>
      </c>
      <c r="AF43" s="1253">
        <v>0</v>
      </c>
      <c r="AG43" s="1258">
        <v>0</v>
      </c>
      <c r="AH43" s="1235">
        <v>0</v>
      </c>
      <c r="AI43" s="1253">
        <v>0</v>
      </c>
      <c r="AJ43" s="1253">
        <v>0</v>
      </c>
      <c r="AK43" s="1258">
        <v>0</v>
      </c>
      <c r="AL43" s="1235">
        <v>0</v>
      </c>
      <c r="AM43" s="1253">
        <v>0</v>
      </c>
      <c r="AN43" s="1253">
        <v>0</v>
      </c>
      <c r="AO43" s="1258">
        <v>0</v>
      </c>
      <c r="AP43" s="1235">
        <v>0</v>
      </c>
      <c r="AQ43" s="1253">
        <v>0</v>
      </c>
      <c r="AR43" s="1253">
        <v>0</v>
      </c>
      <c r="AS43" s="1258">
        <v>0</v>
      </c>
      <c r="AT43" s="288"/>
      <c r="AU43" s="1463">
        <f t="shared" si="123"/>
        <v>0</v>
      </c>
      <c r="AV43" s="1463">
        <f t="shared" si="124"/>
        <v>0</v>
      </c>
      <c r="AW43" s="1463">
        <f t="shared" si="125"/>
        <v>0</v>
      </c>
      <c r="AX43" s="1463">
        <f t="shared" si="126"/>
        <v>0</v>
      </c>
      <c r="AY43" s="1464">
        <f t="shared" si="127"/>
        <v>0</v>
      </c>
      <c r="AZ43" s="1233">
        <f t="shared" si="128"/>
        <v>0</v>
      </c>
      <c r="BA43" s="1257">
        <f t="shared" si="129"/>
        <v>0</v>
      </c>
      <c r="BB43" s="1463">
        <f t="shared" si="130"/>
        <v>0</v>
      </c>
      <c r="BC43" s="1463">
        <f t="shared" si="131"/>
        <v>0</v>
      </c>
      <c r="BD43" s="1466">
        <f t="shared" si="98"/>
        <v>0</v>
      </c>
      <c r="BE43" s="1466">
        <f>SUM(AP43:AS43)</f>
        <v>0</v>
      </c>
      <c r="BG43" s="1356"/>
      <c r="BH43" s="288"/>
      <c r="BI43" s="288"/>
      <c r="BJ43" s="594"/>
      <c r="BK43" s="288"/>
      <c r="BL43" s="288"/>
      <c r="BM43" s="288"/>
      <c r="BN43" s="594"/>
      <c r="BO43" s="1356"/>
      <c r="BP43" s="288"/>
      <c r="BQ43" s="288"/>
      <c r="BR43" s="288"/>
      <c r="BS43" s="1356"/>
      <c r="BT43" s="288"/>
      <c r="BU43" s="288"/>
      <c r="BV43" s="594"/>
      <c r="BW43" s="1356"/>
      <c r="BX43" s="288"/>
      <c r="BY43" s="288"/>
      <c r="BZ43" s="594"/>
    </row>
    <row r="44" spans="1:176" ht="12" customHeight="1">
      <c r="A44" s="473" t="s">
        <v>330</v>
      </c>
      <c r="B44" s="1253">
        <v>34.47</v>
      </c>
      <c r="C44" s="1253">
        <f>B45</f>
        <v>36.612000000000002</v>
      </c>
      <c r="D44" s="1253">
        <f>C45</f>
        <v>35.756</v>
      </c>
      <c r="E44" s="1258">
        <f>D45</f>
        <v>34.100999999999999</v>
      </c>
      <c r="F44" s="1253">
        <f>E45</f>
        <v>27.472000000000001</v>
      </c>
      <c r="G44" s="1253">
        <f t="shared" ref="G44:AS44" si="136">F45</f>
        <v>26.686</v>
      </c>
      <c r="H44" s="1253">
        <f t="shared" si="136"/>
        <v>23.916999999999994</v>
      </c>
      <c r="I44" s="1258">
        <f t="shared" si="136"/>
        <v>253.28799999999995</v>
      </c>
      <c r="J44" s="1253">
        <f t="shared" si="136"/>
        <v>165.37799999999993</v>
      </c>
      <c r="K44" s="1253">
        <f t="shared" si="136"/>
        <v>168.22799999999992</v>
      </c>
      <c r="L44" s="1253">
        <f t="shared" si="136"/>
        <v>185.92499999999993</v>
      </c>
      <c r="M44" s="1258">
        <f t="shared" si="136"/>
        <v>171.56499999999994</v>
      </c>
      <c r="N44" s="1253">
        <f t="shared" si="136"/>
        <v>74.664999999999921</v>
      </c>
      <c r="O44" s="1253">
        <f t="shared" si="136"/>
        <v>108.07099999999991</v>
      </c>
      <c r="P44" s="1253">
        <f t="shared" si="136"/>
        <v>136.72899999999993</v>
      </c>
      <c r="Q44" s="1258">
        <f t="shared" si="136"/>
        <v>141.62699999999995</v>
      </c>
      <c r="R44" s="1253">
        <f t="shared" si="136"/>
        <v>178.46299999999994</v>
      </c>
      <c r="S44" s="1253">
        <f t="shared" si="136"/>
        <v>228.65599999999992</v>
      </c>
      <c r="T44" s="1253">
        <f t="shared" si="136"/>
        <v>136.19699999999992</v>
      </c>
      <c r="U44" s="1258">
        <f t="shared" si="136"/>
        <v>436.12399999999991</v>
      </c>
      <c r="V44" s="1253">
        <f t="shared" si="136"/>
        <v>278.27099999999996</v>
      </c>
      <c r="W44" s="1253">
        <f t="shared" si="136"/>
        <v>287.72569999999996</v>
      </c>
      <c r="X44" s="1253">
        <f t="shared" si="136"/>
        <v>268.11199999999997</v>
      </c>
      <c r="Y44" s="1258">
        <f t="shared" si="136"/>
        <v>288.41999999999996</v>
      </c>
      <c r="Z44" s="1235">
        <f t="shared" si="136"/>
        <v>300.86599999999999</v>
      </c>
      <c r="AA44" s="1253">
        <f t="shared" si="136"/>
        <v>360.43399999999997</v>
      </c>
      <c r="AB44" s="1253">
        <f t="shared" si="136"/>
        <v>376.05899999999997</v>
      </c>
      <c r="AC44" s="1258">
        <f t="shared" si="136"/>
        <v>445.31599999999997</v>
      </c>
      <c r="AD44" s="1235">
        <f t="shared" si="136"/>
        <v>237.13199999999998</v>
      </c>
      <c r="AE44" s="1253">
        <f t="shared" si="136"/>
        <v>259.97699999999998</v>
      </c>
      <c r="AF44" s="1253">
        <f t="shared" si="136"/>
        <v>233.46699999999998</v>
      </c>
      <c r="AG44" s="1258">
        <f t="shared" si="136"/>
        <v>312.20699999999999</v>
      </c>
      <c r="AH44" s="1235">
        <f t="shared" si="136"/>
        <v>328.64699999999999</v>
      </c>
      <c r="AI44" s="1253">
        <f t="shared" si="136"/>
        <v>233.44100000000003</v>
      </c>
      <c r="AJ44" s="1253">
        <f t="shared" si="136"/>
        <v>171.86900000000003</v>
      </c>
      <c r="AK44" s="1258">
        <f t="shared" si="136"/>
        <v>171.83580000000003</v>
      </c>
      <c r="AL44" s="1235">
        <f t="shared" si="136"/>
        <v>187.762</v>
      </c>
      <c r="AM44" s="1253">
        <f t="shared" si="136"/>
        <v>260.82048215767668</v>
      </c>
      <c r="AN44" s="1253">
        <f t="shared" si="136"/>
        <v>301.6400992661446</v>
      </c>
      <c r="AO44" s="1258">
        <f t="shared" si="136"/>
        <v>354.3357139045242</v>
      </c>
      <c r="AP44" s="1235">
        <f t="shared" si="136"/>
        <v>449.41875996708188</v>
      </c>
      <c r="AQ44" s="1253">
        <f t="shared" si="136"/>
        <v>526.62110289376415</v>
      </c>
      <c r="AR44" s="1253">
        <f t="shared" si="136"/>
        <v>573.25010574510634</v>
      </c>
      <c r="AS44" s="1258">
        <f t="shared" si="136"/>
        <v>632.09771688781109</v>
      </c>
      <c r="AT44" s="288"/>
      <c r="AU44" s="1463">
        <f>B44</f>
        <v>34.47</v>
      </c>
      <c r="AV44" s="1463">
        <f>AU45</f>
        <v>27.472000000000001</v>
      </c>
      <c r="AW44" s="1463">
        <f>AV45</f>
        <v>165.37799999999996</v>
      </c>
      <c r="AX44" s="1463">
        <f t="shared" ref="AX44:BE44" si="137">AW45</f>
        <v>74.664999999999935</v>
      </c>
      <c r="AY44" s="1464">
        <f t="shared" si="137"/>
        <v>178.46299999999994</v>
      </c>
      <c r="AZ44" s="1233">
        <f t="shared" si="137"/>
        <v>278.27099999999996</v>
      </c>
      <c r="BA44" s="1257">
        <f t="shared" si="137"/>
        <v>300.86599999999999</v>
      </c>
      <c r="BB44" s="1463">
        <f t="shared" si="137"/>
        <v>237.13199999999998</v>
      </c>
      <c r="BC44" s="1463">
        <f t="shared" si="137"/>
        <v>328.64699999999993</v>
      </c>
      <c r="BD44" s="1466">
        <f t="shared" si="137"/>
        <v>187.76199999999994</v>
      </c>
      <c r="BE44" s="1466">
        <f t="shared" si="137"/>
        <v>449.41875996708177</v>
      </c>
      <c r="BG44" s="1233"/>
      <c r="BH44" s="1231"/>
      <c r="BI44" s="1231"/>
      <c r="BJ44" s="1472"/>
      <c r="BK44" s="1231"/>
      <c r="BL44" s="1231"/>
      <c r="BM44" s="1231"/>
      <c r="BN44" s="1472"/>
      <c r="BO44" s="1233"/>
      <c r="BP44" s="1231"/>
      <c r="BQ44" s="1231"/>
      <c r="BR44" s="1231"/>
      <c r="BS44" s="1233"/>
      <c r="BT44" s="1231"/>
      <c r="BU44" s="1231"/>
      <c r="BV44" s="1472"/>
      <c r="BW44" s="1233"/>
      <c r="BX44" s="1231"/>
      <c r="BY44" s="1231"/>
      <c r="BZ44" s="1472"/>
    </row>
    <row r="45" spans="1:176" ht="12" customHeight="1">
      <c r="A45" s="1580" t="s">
        <v>331</v>
      </c>
      <c r="B45" s="1581">
        <f t="shared" ref="B45:AS45" si="138">B42+B44-B43</f>
        <v>36.612000000000002</v>
      </c>
      <c r="C45" s="1581">
        <f t="shared" si="138"/>
        <v>35.756</v>
      </c>
      <c r="D45" s="1581">
        <f t="shared" si="138"/>
        <v>34.100999999999999</v>
      </c>
      <c r="E45" s="1582">
        <f t="shared" si="138"/>
        <v>27.472000000000001</v>
      </c>
      <c r="F45" s="1583">
        <f t="shared" si="138"/>
        <v>26.686</v>
      </c>
      <c r="G45" s="1581">
        <f t="shared" si="138"/>
        <v>23.916999999999994</v>
      </c>
      <c r="H45" s="1581">
        <f t="shared" si="138"/>
        <v>253.28799999999995</v>
      </c>
      <c r="I45" s="1582">
        <f t="shared" si="138"/>
        <v>165.37799999999993</v>
      </c>
      <c r="J45" s="1583">
        <f t="shared" si="138"/>
        <v>168.22799999999992</v>
      </c>
      <c r="K45" s="1581">
        <f t="shared" si="138"/>
        <v>185.92499999999993</v>
      </c>
      <c r="L45" s="1581">
        <f t="shared" si="138"/>
        <v>171.56499999999994</v>
      </c>
      <c r="M45" s="1582">
        <f t="shared" si="138"/>
        <v>74.664999999999921</v>
      </c>
      <c r="N45" s="1235">
        <f t="shared" si="138"/>
        <v>108.07099999999991</v>
      </c>
      <c r="O45" s="1253">
        <f t="shared" si="138"/>
        <v>136.72899999999993</v>
      </c>
      <c r="P45" s="1253">
        <f t="shared" si="138"/>
        <v>141.62699999999995</v>
      </c>
      <c r="Q45" s="1258">
        <f t="shared" si="138"/>
        <v>178.46299999999994</v>
      </c>
      <c r="R45" s="1583">
        <f t="shared" si="138"/>
        <v>228.65599999999992</v>
      </c>
      <c r="S45" s="1581">
        <f t="shared" si="138"/>
        <v>136.19699999999992</v>
      </c>
      <c r="T45" s="1581">
        <f t="shared" si="138"/>
        <v>436.12399999999991</v>
      </c>
      <c r="U45" s="1582">
        <f t="shared" si="138"/>
        <v>278.27099999999996</v>
      </c>
      <c r="V45" s="1235">
        <f t="shared" si="138"/>
        <v>287.72569999999996</v>
      </c>
      <c r="W45" s="1253">
        <f t="shared" si="138"/>
        <v>268.11199999999997</v>
      </c>
      <c r="X45" s="1253">
        <f t="shared" si="138"/>
        <v>288.41999999999996</v>
      </c>
      <c r="Y45" s="1258">
        <f t="shared" si="138"/>
        <v>300.86599999999999</v>
      </c>
      <c r="Z45" s="1583">
        <f t="shared" si="138"/>
        <v>360.43399999999997</v>
      </c>
      <c r="AA45" s="1581">
        <f t="shared" si="138"/>
        <v>376.05899999999997</v>
      </c>
      <c r="AB45" s="1581">
        <f t="shared" si="138"/>
        <v>445.31599999999997</v>
      </c>
      <c r="AC45" s="1582">
        <f t="shared" si="138"/>
        <v>237.13199999999998</v>
      </c>
      <c r="AD45" s="1235">
        <f t="shared" si="138"/>
        <v>259.97699999999998</v>
      </c>
      <c r="AE45" s="1253">
        <f t="shared" si="138"/>
        <v>233.46699999999998</v>
      </c>
      <c r="AF45" s="1253">
        <f t="shared" si="138"/>
        <v>312.20699999999999</v>
      </c>
      <c r="AG45" s="1258">
        <f t="shared" si="138"/>
        <v>328.64699999999999</v>
      </c>
      <c r="AH45" s="1235">
        <f t="shared" si="138"/>
        <v>233.44100000000003</v>
      </c>
      <c r="AI45" s="1253">
        <f t="shared" si="138"/>
        <v>171.86900000000003</v>
      </c>
      <c r="AJ45" s="1253">
        <f t="shared" si="138"/>
        <v>171.83580000000003</v>
      </c>
      <c r="AK45" s="1258">
        <f t="shared" si="138"/>
        <v>187.762</v>
      </c>
      <c r="AL45" s="1235">
        <f t="shared" si="138"/>
        <v>260.82048215767668</v>
      </c>
      <c r="AM45" s="1253">
        <f t="shared" si="138"/>
        <v>301.6400992661446</v>
      </c>
      <c r="AN45" s="1253">
        <f t="shared" si="138"/>
        <v>354.3357139045242</v>
      </c>
      <c r="AO45" s="1258">
        <f t="shared" si="138"/>
        <v>449.41875996708188</v>
      </c>
      <c r="AP45" s="1235">
        <f t="shared" si="138"/>
        <v>526.62110289376415</v>
      </c>
      <c r="AQ45" s="1253">
        <f t="shared" si="138"/>
        <v>573.25010574510634</v>
      </c>
      <c r="AR45" s="1253">
        <f t="shared" si="138"/>
        <v>632.09771688781109</v>
      </c>
      <c r="AS45" s="1258">
        <f t="shared" si="138"/>
        <v>736.42460647264045</v>
      </c>
      <c r="AT45" s="288"/>
      <c r="AU45" s="1463">
        <f>E45</f>
        <v>27.472000000000001</v>
      </c>
      <c r="AV45" s="1584">
        <f t="shared" ref="AV45:BE45" si="139">AV42+AV44-AV43</f>
        <v>165.37799999999996</v>
      </c>
      <c r="AW45" s="1463">
        <f t="shared" si="139"/>
        <v>74.664999999999935</v>
      </c>
      <c r="AX45" s="1584">
        <f t="shared" si="139"/>
        <v>178.46299999999994</v>
      </c>
      <c r="AY45" s="1464">
        <f t="shared" si="139"/>
        <v>278.27099999999996</v>
      </c>
      <c r="AZ45" s="1585">
        <f t="shared" si="139"/>
        <v>300.86599999999999</v>
      </c>
      <c r="BA45" s="1257">
        <f t="shared" si="139"/>
        <v>237.13199999999998</v>
      </c>
      <c r="BB45" s="1463">
        <f t="shared" si="139"/>
        <v>328.64699999999993</v>
      </c>
      <c r="BC45" s="1463">
        <f t="shared" si="139"/>
        <v>187.76199999999994</v>
      </c>
      <c r="BD45" s="1466">
        <f t="shared" si="139"/>
        <v>449.41875996708177</v>
      </c>
      <c r="BE45" s="1466">
        <f t="shared" si="139"/>
        <v>736.42460647264033</v>
      </c>
      <c r="BG45" s="1586"/>
      <c r="BH45" s="1587"/>
      <c r="BI45" s="1587"/>
      <c r="BJ45" s="1588"/>
      <c r="BK45" s="1587"/>
      <c r="BL45" s="1587"/>
      <c r="BM45" s="1587"/>
      <c r="BN45" s="1588"/>
      <c r="BO45" s="1586"/>
      <c r="BP45" s="1587"/>
      <c r="BQ45" s="1587"/>
      <c r="BR45" s="1587"/>
      <c r="BS45" s="1586"/>
      <c r="BT45" s="1587"/>
      <c r="BU45" s="1587"/>
      <c r="BV45" s="1588"/>
      <c r="BW45" s="1586"/>
      <c r="BX45" s="1587"/>
      <c r="BY45" s="1587"/>
      <c r="BZ45" s="1588"/>
    </row>
    <row r="46" spans="1:176">
      <c r="A46" s="512"/>
      <c r="B46" s="454"/>
      <c r="C46" s="454"/>
      <c r="D46" s="454"/>
      <c r="E46" s="454"/>
      <c r="F46" s="1589"/>
      <c r="G46" s="454"/>
      <c r="H46" s="454"/>
      <c r="I46" s="454"/>
      <c r="J46" s="1589"/>
      <c r="K46" s="454"/>
      <c r="L46" s="454"/>
      <c r="M46" s="454"/>
      <c r="N46" s="1590"/>
      <c r="O46" s="1591"/>
      <c r="P46" s="1591"/>
      <c r="Q46" s="1592"/>
      <c r="R46" s="454"/>
      <c r="S46" s="454"/>
      <c r="T46" s="454"/>
      <c r="U46" s="454"/>
      <c r="V46" s="1590"/>
      <c r="W46" s="1591"/>
      <c r="X46" s="1591"/>
      <c r="Y46" s="1592"/>
      <c r="Z46" s="454"/>
      <c r="AA46" s="454"/>
      <c r="AB46" s="454"/>
      <c r="AC46" s="454"/>
      <c r="AD46" s="1590"/>
      <c r="AE46" s="1591"/>
      <c r="AF46" s="1591"/>
      <c r="AG46" s="1592"/>
      <c r="AH46" s="1590"/>
      <c r="AI46" s="1591"/>
      <c r="AJ46" s="1591"/>
      <c r="AK46" s="1592"/>
      <c r="AL46" s="1590"/>
      <c r="AM46" s="1591"/>
      <c r="AN46" s="1591"/>
      <c r="AO46" s="1592"/>
      <c r="AP46" s="1590"/>
      <c r="AQ46" s="1591"/>
      <c r="AR46" s="1591"/>
      <c r="AS46" s="1592"/>
      <c r="AT46" s="454"/>
      <c r="AU46" s="1593"/>
      <c r="AV46" s="454"/>
      <c r="AW46" s="1593"/>
      <c r="AX46" s="454"/>
      <c r="AY46" s="1590"/>
      <c r="AZ46" s="1261"/>
      <c r="BA46" s="1593"/>
      <c r="BB46" s="1593"/>
      <c r="BC46" s="1593"/>
      <c r="BD46" s="1593"/>
      <c r="BE46" s="1593"/>
      <c r="BF46" s="454"/>
      <c r="BG46" s="454"/>
      <c r="BH46" s="454"/>
      <c r="BI46" s="454"/>
      <c r="BJ46" s="454"/>
      <c r="BK46" s="454"/>
      <c r="BL46" s="454"/>
      <c r="BM46" s="454"/>
      <c r="BN46" s="454"/>
      <c r="BO46" s="454"/>
      <c r="BP46" s="454"/>
      <c r="BQ46" s="454"/>
      <c r="BR46" s="454"/>
      <c r="BS46" s="454"/>
      <c r="BT46" s="454"/>
      <c r="BU46" s="454"/>
      <c r="BV46" s="454"/>
      <c r="BW46" s="454"/>
      <c r="BX46" s="454"/>
      <c r="BY46" s="454"/>
      <c r="BZ46" s="454"/>
      <c r="CA46" s="454"/>
      <c r="CB46" s="454"/>
      <c r="CC46" s="454"/>
      <c r="CD46" s="454"/>
      <c r="CE46" s="454"/>
      <c r="CF46" s="454"/>
      <c r="CG46" s="454"/>
      <c r="CH46" s="454"/>
      <c r="CI46" s="454"/>
      <c r="CJ46" s="454"/>
      <c r="CK46" s="454"/>
      <c r="CL46" s="454"/>
      <c r="CM46" s="454"/>
      <c r="CN46" s="454"/>
      <c r="CO46" s="454"/>
      <c r="CP46" s="454"/>
      <c r="CQ46" s="454"/>
      <c r="CR46" s="454"/>
      <c r="CS46" s="454"/>
      <c r="CT46" s="454"/>
      <c r="CU46" s="454"/>
      <c r="CV46" s="454"/>
      <c r="CW46" s="454"/>
      <c r="CX46" s="454"/>
      <c r="CY46" s="454"/>
      <c r="CZ46" s="454"/>
      <c r="DA46" s="454"/>
      <c r="DB46" s="454"/>
      <c r="DC46" s="454"/>
      <c r="DD46" s="454"/>
      <c r="DE46" s="454"/>
      <c r="DF46" s="454"/>
      <c r="DG46" s="454"/>
      <c r="DH46" s="454"/>
      <c r="DI46" s="454"/>
      <c r="DJ46" s="454"/>
      <c r="DK46" s="454"/>
      <c r="DL46" s="454"/>
      <c r="DM46" s="454"/>
      <c r="DN46" s="454"/>
      <c r="DO46" s="454"/>
      <c r="DP46" s="454"/>
      <c r="DQ46" s="454"/>
      <c r="DR46" s="454"/>
      <c r="DS46" s="454"/>
      <c r="DT46" s="454"/>
      <c r="DU46" s="454"/>
      <c r="DV46" s="454"/>
      <c r="DW46" s="454"/>
      <c r="DX46" s="454"/>
      <c r="DY46" s="454"/>
      <c r="DZ46" s="454"/>
      <c r="EA46" s="454"/>
      <c r="EB46" s="454"/>
      <c r="EC46" s="454"/>
      <c r="ED46" s="454"/>
      <c r="EE46" s="454"/>
      <c r="EF46" s="454"/>
      <c r="EG46" s="454"/>
      <c r="EH46" s="454"/>
      <c r="EI46" s="454"/>
      <c r="EJ46" s="454"/>
      <c r="EK46" s="454"/>
      <c r="EL46" s="454"/>
      <c r="EM46" s="454"/>
      <c r="EN46" s="454"/>
      <c r="EO46" s="454"/>
      <c r="EP46" s="454"/>
      <c r="EQ46" s="454"/>
      <c r="ER46" s="454"/>
      <c r="ES46" s="454"/>
      <c r="ET46" s="454"/>
      <c r="EU46" s="454"/>
      <c r="EV46" s="454"/>
      <c r="EW46" s="454"/>
      <c r="EX46" s="454"/>
      <c r="EY46" s="454"/>
      <c r="EZ46" s="454"/>
      <c r="FA46" s="454"/>
      <c r="FB46" s="454"/>
      <c r="FC46" s="454"/>
      <c r="FD46" s="454"/>
      <c r="FE46" s="454"/>
      <c r="FF46" s="454"/>
      <c r="FG46" s="454"/>
      <c r="FH46" s="454"/>
      <c r="FI46" s="454"/>
      <c r="FJ46" s="454"/>
      <c r="FK46" s="454"/>
      <c r="FL46" s="454"/>
      <c r="FM46" s="454"/>
      <c r="FN46" s="454"/>
      <c r="FO46" s="454"/>
      <c r="FP46" s="454"/>
      <c r="FQ46" s="454"/>
      <c r="FR46" s="454"/>
      <c r="FS46" s="454"/>
      <c r="FT46" s="454"/>
    </row>
    <row r="47" spans="1:176" s="1600" customFormat="1" ht="11.65">
      <c r="A47" s="1594" t="s">
        <v>332</v>
      </c>
      <c r="B47" s="1595"/>
      <c r="C47" s="1595"/>
      <c r="D47" s="1595"/>
      <c r="E47" s="1595"/>
      <c r="F47" s="1596"/>
      <c r="G47" s="1595"/>
      <c r="H47" s="1595"/>
      <c r="I47" s="1595"/>
      <c r="J47" s="1596"/>
      <c r="K47" s="1595"/>
      <c r="L47" s="1595"/>
      <c r="M47" s="1595"/>
      <c r="N47" s="1596"/>
      <c r="O47" s="1595"/>
      <c r="P47" s="1595"/>
      <c r="Q47" s="1597"/>
      <c r="R47" s="1595"/>
      <c r="S47" s="1595"/>
      <c r="T47" s="1595"/>
      <c r="U47" s="1595"/>
      <c r="V47" s="1596"/>
      <c r="W47" s="1595"/>
      <c r="X47" s="1595"/>
      <c r="Y47" s="1597"/>
      <c r="Z47" s="1595"/>
      <c r="AA47" s="1595"/>
      <c r="AB47" s="1595"/>
      <c r="AC47" s="1595"/>
      <c r="AD47" s="1596"/>
      <c r="AE47" s="1595"/>
      <c r="AF47" s="1595"/>
      <c r="AG47" s="1597"/>
      <c r="AH47" s="1596"/>
      <c r="AI47" s="1595"/>
      <c r="AJ47" s="1595"/>
      <c r="AK47" s="1597"/>
      <c r="AL47" s="1596"/>
      <c r="AM47" s="1595"/>
      <c r="AN47" s="1595"/>
      <c r="AO47" s="1597"/>
      <c r="AP47" s="1596"/>
      <c r="AQ47" s="1595"/>
      <c r="AR47" s="1595"/>
      <c r="AS47" s="1597"/>
      <c r="AT47" s="1598"/>
      <c r="AU47" s="1599"/>
      <c r="AV47" s="1595"/>
      <c r="AW47" s="1599"/>
      <c r="AX47" s="1595"/>
      <c r="AY47" s="1596"/>
      <c r="AZ47" s="1596"/>
      <c r="BA47" s="1599"/>
      <c r="BB47" s="1599"/>
      <c r="BC47" s="1599"/>
      <c r="BD47" s="1599"/>
      <c r="BE47" s="1599"/>
    </row>
    <row r="48" spans="1:176" s="31" customFormat="1" ht="11.65">
      <c r="A48" s="139" t="s">
        <v>333</v>
      </c>
      <c r="B48" s="1601">
        <f>B20+B23+B24</f>
        <v>0.72699999999999965</v>
      </c>
      <c r="C48" s="1601">
        <f t="shared" ref="C48:BD48" si="140">C20+C23+C24</f>
        <v>-1.2399999999999998</v>
      </c>
      <c r="D48" s="1601">
        <f t="shared" si="140"/>
        <v>-1.9290000000000007</v>
      </c>
      <c r="E48" s="1601">
        <f t="shared" si="140"/>
        <v>-6.5789999999999971</v>
      </c>
      <c r="F48" s="1602">
        <f t="shared" si="140"/>
        <v>-1.0920000000000005</v>
      </c>
      <c r="G48" s="1601">
        <f t="shared" si="140"/>
        <v>-1.140000000000005</v>
      </c>
      <c r="H48" s="1601">
        <f t="shared" si="140"/>
        <v>-2.9129999999999994</v>
      </c>
      <c r="I48" s="1601">
        <f t="shared" si="140"/>
        <v>-3.1470000000000136</v>
      </c>
      <c r="J48" s="1602">
        <f t="shared" si="140"/>
        <v>-3.1800000000000024</v>
      </c>
      <c r="K48" s="1601">
        <f t="shared" si="140"/>
        <v>-5.1519999999999984</v>
      </c>
      <c r="L48" s="1601">
        <f t="shared" si="140"/>
        <v>-9.6020000000000003</v>
      </c>
      <c r="M48" s="1601">
        <f t="shared" si="140"/>
        <v>-13.484</v>
      </c>
      <c r="N48" s="1602">
        <f t="shared" si="140"/>
        <v>3.8780000000000028</v>
      </c>
      <c r="O48" s="1601">
        <f t="shared" si="140"/>
        <v>6.6090000000000035</v>
      </c>
      <c r="P48" s="1601">
        <f t="shared" si="140"/>
        <v>16.737999999999992</v>
      </c>
      <c r="Q48" s="1603">
        <f t="shared" si="140"/>
        <v>16.730000000000004</v>
      </c>
      <c r="R48" s="1601">
        <f t="shared" si="140"/>
        <v>37.563999999999993</v>
      </c>
      <c r="S48" s="1601">
        <f t="shared" si="140"/>
        <v>15.000999999999999</v>
      </c>
      <c r="T48" s="1601">
        <f t="shared" si="140"/>
        <v>18.459</v>
      </c>
      <c r="U48" s="1601">
        <f t="shared" si="140"/>
        <v>19.180000000000007</v>
      </c>
      <c r="V48" s="1602">
        <f t="shared" si="140"/>
        <v>28.051000000000002</v>
      </c>
      <c r="W48" s="1601">
        <f t="shared" si="140"/>
        <v>25.765999999999998</v>
      </c>
      <c r="X48" s="1601">
        <f t="shared" si="140"/>
        <v>31.506</v>
      </c>
      <c r="Y48" s="1603">
        <f t="shared" si="140"/>
        <v>26.680000000000035</v>
      </c>
      <c r="Z48" s="1602">
        <f t="shared" si="140"/>
        <v>37.335999999999991</v>
      </c>
      <c r="AA48" s="1601">
        <f t="shared" si="140"/>
        <v>27.692000000000014</v>
      </c>
      <c r="AB48" s="1601">
        <f t="shared" si="140"/>
        <v>40.315999999999995</v>
      </c>
      <c r="AC48" s="1603">
        <f t="shared" si="140"/>
        <v>35.754999999999988</v>
      </c>
      <c r="AD48" s="1602">
        <f t="shared" si="140"/>
        <v>47.128999999999991</v>
      </c>
      <c r="AE48" s="1601">
        <f t="shared" si="140"/>
        <v>28.663000000000007</v>
      </c>
      <c r="AF48" s="1601">
        <f t="shared" si="140"/>
        <v>52.711000000000006</v>
      </c>
      <c r="AG48" s="1603">
        <f t="shared" si="140"/>
        <v>78.275000000000006</v>
      </c>
      <c r="AH48" s="1602">
        <f t="shared" si="140"/>
        <v>80.230000000000032</v>
      </c>
      <c r="AI48" s="1601">
        <f t="shared" si="140"/>
        <v>37.416000000000004</v>
      </c>
      <c r="AJ48" s="1601">
        <f t="shared" si="140"/>
        <v>51.613800000000005</v>
      </c>
      <c r="AK48" s="1603">
        <f t="shared" si="140"/>
        <v>80.91419999999998</v>
      </c>
      <c r="AL48" s="1602">
        <f t="shared" si="140"/>
        <v>73.058482157676693</v>
      </c>
      <c r="AM48" s="1601">
        <f t="shared" si="140"/>
        <v>40.819617108467909</v>
      </c>
      <c r="AN48" s="1601">
        <f t="shared" si="140"/>
        <v>52.695614638379588</v>
      </c>
      <c r="AO48" s="1603">
        <f t="shared" si="140"/>
        <v>95.083046062557642</v>
      </c>
      <c r="AP48" s="1602">
        <f t="shared" si="140"/>
        <v>77.202342926682306</v>
      </c>
      <c r="AQ48" s="1601">
        <f t="shared" si="140"/>
        <v>46.629002851342186</v>
      </c>
      <c r="AR48" s="1601">
        <f t="shared" si="140"/>
        <v>58.847611142704721</v>
      </c>
      <c r="AS48" s="1603">
        <f t="shared" si="140"/>
        <v>104.3268895848294</v>
      </c>
      <c r="AT48" s="1601"/>
      <c r="AU48" s="1604">
        <f t="shared" si="140"/>
        <v>-9.0209999999999972</v>
      </c>
      <c r="AV48" s="1601">
        <f t="shared" si="140"/>
        <v>-8.2920000000000176</v>
      </c>
      <c r="AW48" s="1604">
        <f t="shared" si="140"/>
        <v>-31.417999999999999</v>
      </c>
      <c r="AX48" s="1601">
        <f t="shared" si="140"/>
        <v>43.954999999999998</v>
      </c>
      <c r="AY48" s="1602">
        <f t="shared" si="140"/>
        <v>90.204000000000008</v>
      </c>
      <c r="AZ48" s="1602">
        <f t="shared" si="140"/>
        <v>112.00300000000004</v>
      </c>
      <c r="BA48" s="1604">
        <f t="shared" si="140"/>
        <v>141.09899999999999</v>
      </c>
      <c r="BB48" s="1604">
        <f>BB20+BB23+BB24</f>
        <v>206.77799999999999</v>
      </c>
      <c r="BC48" s="1604">
        <f t="shared" si="140"/>
        <v>250.17400000000001</v>
      </c>
      <c r="BD48" s="1604">
        <f t="shared" si="140"/>
        <v>261.65675996708183</v>
      </c>
      <c r="BE48" s="1604">
        <f>BE20+BE23+BE24</f>
        <v>287.00584650555862</v>
      </c>
      <c r="BO48" s="1600"/>
      <c r="BP48" s="1600"/>
      <c r="BQ48" s="1600"/>
      <c r="BS48" s="1600"/>
      <c r="BT48" s="1600"/>
      <c r="BU48" s="1600"/>
      <c r="BW48" s="1600"/>
      <c r="BX48" s="1600"/>
      <c r="BY48" s="1600"/>
    </row>
    <row r="49" spans="1:89" s="31" customFormat="1" ht="11.65">
      <c r="A49" s="1605" t="s">
        <v>334</v>
      </c>
      <c r="B49" s="1606"/>
      <c r="C49" s="1606"/>
      <c r="D49" s="1606"/>
      <c r="E49" s="1606"/>
      <c r="F49" s="1607"/>
      <c r="G49" s="1606"/>
      <c r="H49" s="1606"/>
      <c r="I49" s="1606"/>
      <c r="J49" s="1602"/>
      <c r="K49" s="1601"/>
      <c r="L49" s="1601"/>
      <c r="M49" s="1601"/>
      <c r="N49" s="1602"/>
      <c r="O49" s="1601"/>
      <c r="P49" s="1601"/>
      <c r="Q49" s="1603"/>
      <c r="R49" s="1601">
        <v>7.0999999999999994E-2</v>
      </c>
      <c r="S49" s="1601">
        <v>7.9000000000000001E-2</v>
      </c>
      <c r="T49" s="1601">
        <v>1.6140000000000001</v>
      </c>
      <c r="U49" s="1601">
        <v>3.214</v>
      </c>
      <c r="V49" s="1602">
        <v>4.0510000000000002</v>
      </c>
      <c r="W49" s="1601">
        <v>3.3149999999999999</v>
      </c>
      <c r="X49" s="1601">
        <v>3.2530000000000001</v>
      </c>
      <c r="Y49" s="1603">
        <v>5.4279999999999999</v>
      </c>
      <c r="Z49" s="1601">
        <v>6.82</v>
      </c>
      <c r="AA49" s="1601">
        <v>12.122999999999999</v>
      </c>
      <c r="AB49" s="1601">
        <v>8</v>
      </c>
      <c r="AC49" s="1601">
        <v>7.7</v>
      </c>
      <c r="AD49" s="1608">
        <v>7.6109999999999998</v>
      </c>
      <c r="AE49" s="1609">
        <f>AD49+0.15</f>
        <v>7.7610000000000001</v>
      </c>
      <c r="AF49" s="1610">
        <v>8.0549999999999997</v>
      </c>
      <c r="AG49" s="1609">
        <f t="shared" ref="AG49" si="141">AF49+0.15</f>
        <v>8.2050000000000001</v>
      </c>
      <c r="AH49" s="1611">
        <v>6.5739999999999998</v>
      </c>
      <c r="AI49" s="1609">
        <f>AH49+0.12</f>
        <v>6.694</v>
      </c>
      <c r="AJ49" s="1610">
        <v>6.8540000000000001</v>
      </c>
      <c r="AK49" s="1609">
        <v>6.5540000000000003</v>
      </c>
      <c r="AL49" s="1608">
        <f t="shared" ref="AL49:AS49" si="142">AK49+0.12</f>
        <v>6.6740000000000004</v>
      </c>
      <c r="AM49" s="1609">
        <f t="shared" si="142"/>
        <v>6.7940000000000005</v>
      </c>
      <c r="AN49" s="1609">
        <f t="shared" si="142"/>
        <v>6.9140000000000006</v>
      </c>
      <c r="AO49" s="1609">
        <f t="shared" si="142"/>
        <v>7.0340000000000007</v>
      </c>
      <c r="AP49" s="1608">
        <f t="shared" si="142"/>
        <v>7.1540000000000008</v>
      </c>
      <c r="AQ49" s="1609">
        <f t="shared" si="142"/>
        <v>7.2740000000000009</v>
      </c>
      <c r="AR49" s="1609">
        <f t="shared" si="142"/>
        <v>7.394000000000001</v>
      </c>
      <c r="AS49" s="1609">
        <f t="shared" si="142"/>
        <v>7.5140000000000011</v>
      </c>
      <c r="AT49" s="139"/>
      <c r="AU49" s="1604"/>
      <c r="AV49" s="1601"/>
      <c r="AW49" s="1604"/>
      <c r="AX49" s="1601">
        <f t="shared" ref="AX49" si="143">SUM(N49:Q49)</f>
        <v>0</v>
      </c>
      <c r="AY49" s="1602">
        <f t="shared" ref="AY49:AY50" si="144">SUM(R49:U49)</f>
        <v>4.9779999999999998</v>
      </c>
      <c r="AZ49" s="1602">
        <f t="shared" ref="AZ49:AZ50" si="145">SUM(V49:Y49)</f>
        <v>16.047000000000001</v>
      </c>
      <c r="BA49" s="1604">
        <f>SUM(Z49:AC49)</f>
        <v>34.643000000000001</v>
      </c>
      <c r="BB49" s="1604">
        <f>SUM(AD49:AG49)</f>
        <v>31.631999999999998</v>
      </c>
      <c r="BC49" s="1604">
        <f>SUM(AH49:AK49)</f>
        <v>26.676000000000002</v>
      </c>
      <c r="BD49" s="1604">
        <f t="shared" ref="BD49" si="146">SUM(AL49:AO49)</f>
        <v>27.416000000000004</v>
      </c>
      <c r="BE49" s="1604">
        <f>SUM(AP49:AS49)</f>
        <v>29.336000000000006</v>
      </c>
      <c r="BO49" s="1600"/>
      <c r="BP49" s="1600"/>
      <c r="BQ49" s="1600"/>
      <c r="BS49" s="1600"/>
      <c r="BT49" s="1600"/>
      <c r="BU49" s="1600"/>
      <c r="BW49" s="1600"/>
      <c r="BX49" s="1600"/>
      <c r="BY49" s="1600"/>
    </row>
    <row r="50" spans="1:89" s="31" customFormat="1" ht="11.65">
      <c r="A50" s="1612" t="s">
        <v>284</v>
      </c>
      <c r="B50" s="1613"/>
      <c r="C50" s="1613"/>
      <c r="D50" s="1613"/>
      <c r="E50" s="1613"/>
      <c r="F50" s="1614"/>
      <c r="G50" s="1613"/>
      <c r="H50" s="1613"/>
      <c r="I50" s="1613"/>
      <c r="J50" s="1615"/>
      <c r="K50" s="1616"/>
      <c r="L50" s="1616"/>
      <c r="M50" s="1616"/>
      <c r="N50" s="1615"/>
      <c r="O50" s="1616"/>
      <c r="P50" s="1616"/>
      <c r="Q50" s="1617"/>
      <c r="R50" s="1616">
        <f t="shared" ref="R50:S50" si="147">R48+R49</f>
        <v>37.634999999999991</v>
      </c>
      <c r="S50" s="1616">
        <f t="shared" si="147"/>
        <v>15.08</v>
      </c>
      <c r="T50" s="1616">
        <f>T48+T49</f>
        <v>20.073</v>
      </c>
      <c r="U50" s="1616">
        <f t="shared" ref="U50:AS50" si="148">U48+U49</f>
        <v>22.394000000000005</v>
      </c>
      <c r="V50" s="1615">
        <f>V48+V49</f>
        <v>32.102000000000004</v>
      </c>
      <c r="W50" s="1616">
        <f t="shared" si="148"/>
        <v>29.081</v>
      </c>
      <c r="X50" s="1616">
        <f t="shared" si="148"/>
        <v>34.759</v>
      </c>
      <c r="Y50" s="1617">
        <f t="shared" si="148"/>
        <v>32.108000000000033</v>
      </c>
      <c r="Z50" s="1616">
        <f>Z48+Z49</f>
        <v>44.155999999999992</v>
      </c>
      <c r="AA50" s="1616">
        <f t="shared" si="148"/>
        <v>39.815000000000012</v>
      </c>
      <c r="AB50" s="1616">
        <f t="shared" si="148"/>
        <v>48.315999999999995</v>
      </c>
      <c r="AC50" s="1616">
        <f t="shared" si="148"/>
        <v>43.454999999999991</v>
      </c>
      <c r="AD50" s="1615">
        <f t="shared" si="148"/>
        <v>54.739999999999988</v>
      </c>
      <c r="AE50" s="1616">
        <f t="shared" si="148"/>
        <v>36.424000000000007</v>
      </c>
      <c r="AF50" s="1616">
        <f t="shared" si="148"/>
        <v>60.766000000000005</v>
      </c>
      <c r="AG50" s="1617">
        <f t="shared" si="148"/>
        <v>86.48</v>
      </c>
      <c r="AH50" s="1615">
        <f t="shared" si="148"/>
        <v>86.80400000000003</v>
      </c>
      <c r="AI50" s="1616">
        <f t="shared" si="148"/>
        <v>44.110000000000007</v>
      </c>
      <c r="AJ50" s="1616">
        <f t="shared" si="148"/>
        <v>58.467800000000004</v>
      </c>
      <c r="AK50" s="1617">
        <f t="shared" si="148"/>
        <v>87.468199999999982</v>
      </c>
      <c r="AL50" s="1615">
        <f t="shared" si="148"/>
        <v>79.732482157676699</v>
      </c>
      <c r="AM50" s="1616">
        <f t="shared" si="148"/>
        <v>47.613617108467906</v>
      </c>
      <c r="AN50" s="1616">
        <f t="shared" si="148"/>
        <v>59.60961463837959</v>
      </c>
      <c r="AO50" s="1617">
        <f t="shared" si="148"/>
        <v>102.11704606255765</v>
      </c>
      <c r="AP50" s="1615">
        <f t="shared" si="148"/>
        <v>84.356342926682302</v>
      </c>
      <c r="AQ50" s="1616">
        <f t="shared" si="148"/>
        <v>53.903002851342187</v>
      </c>
      <c r="AR50" s="1616">
        <f t="shared" si="148"/>
        <v>66.241611142704727</v>
      </c>
      <c r="AS50" s="1617">
        <f t="shared" si="148"/>
        <v>111.8408895848294</v>
      </c>
      <c r="AT50" s="559"/>
      <c r="AU50" s="1618"/>
      <c r="AV50" s="1616"/>
      <c r="AW50" s="1618"/>
      <c r="AX50" s="1617">
        <f t="shared" ref="AX50" si="149">SUM(N50:Q50)</f>
        <v>0</v>
      </c>
      <c r="AY50" s="1615">
        <f t="shared" si="144"/>
        <v>95.181999999999988</v>
      </c>
      <c r="AZ50" s="1615">
        <f t="shared" si="145"/>
        <v>128.05000000000004</v>
      </c>
      <c r="BA50" s="1618">
        <f t="shared" ref="BA50" si="150">SUM(Z50:AC50)</f>
        <v>175.74199999999999</v>
      </c>
      <c r="BB50" s="1618">
        <f>SUM(AD50:AG50)</f>
        <v>238.41000000000003</v>
      </c>
      <c r="BC50" s="1618">
        <f>SUM(AH50:AK50)</f>
        <v>276.85000000000002</v>
      </c>
      <c r="BD50" s="1618">
        <f>SUM(AL50:AO50)</f>
        <v>289.07275996708188</v>
      </c>
      <c r="BE50" s="1618">
        <f>SUM(AP50:AS50)</f>
        <v>316.34184650555858</v>
      </c>
      <c r="BO50" s="1600"/>
      <c r="BP50" s="1600"/>
      <c r="BQ50" s="1600"/>
      <c r="BS50" s="1600"/>
      <c r="BT50" s="1600"/>
      <c r="BU50" s="1600"/>
      <c r="BW50" s="1600"/>
      <c r="BX50" s="1600"/>
      <c r="BY50" s="1600"/>
    </row>
    <row r="51" spans="1:89" s="31" customFormat="1" ht="11.65">
      <c r="A51" s="1619" t="s">
        <v>335</v>
      </c>
      <c r="B51" s="1606"/>
      <c r="C51" s="1606"/>
      <c r="D51" s="1606"/>
      <c r="E51" s="1606"/>
      <c r="F51" s="1607"/>
      <c r="G51" s="1606"/>
      <c r="H51" s="1606"/>
      <c r="I51" s="1606"/>
      <c r="J51" s="1620"/>
      <c r="K51" s="1621"/>
      <c r="L51" s="1621"/>
      <c r="M51" s="1621"/>
      <c r="N51" s="1620"/>
      <c r="O51" s="1621"/>
      <c r="P51" s="1621"/>
      <c r="Q51" s="1622"/>
      <c r="R51" s="1623"/>
      <c r="S51" s="1624"/>
      <c r="T51" s="1624"/>
      <c r="U51" s="1625"/>
      <c r="V51" s="1623">
        <f t="shared" ref="V51:X51" si="151">V50/R50-1</f>
        <v>-0.14701740401222241</v>
      </c>
      <c r="W51" s="1624">
        <f t="shared" si="151"/>
        <v>0.92844827586206891</v>
      </c>
      <c r="X51" s="1624">
        <f t="shared" si="151"/>
        <v>0.73162955213470826</v>
      </c>
      <c r="Y51" s="1625">
        <f>Y50/U50-1</f>
        <v>0.43377690452799977</v>
      </c>
      <c r="Z51" s="1623">
        <f t="shared" ref="Z51:AB51" si="152">Z50/V50-1</f>
        <v>0.37549062363715624</v>
      </c>
      <c r="AA51" s="1624">
        <f t="shared" si="152"/>
        <v>0.36910697706406292</v>
      </c>
      <c r="AB51" s="1624">
        <f t="shared" si="152"/>
        <v>0.39002848183204342</v>
      </c>
      <c r="AC51" s="1625">
        <f>AC50/Y50-1</f>
        <v>0.35340102155225939</v>
      </c>
      <c r="AD51" s="1623">
        <f t="shared" ref="AD51:AF51" si="153">AD50/Z50-1</f>
        <v>0.23969562460367788</v>
      </c>
      <c r="AE51" s="1624">
        <f t="shared" si="153"/>
        <v>-8.5168906191134153E-2</v>
      </c>
      <c r="AF51" s="1624">
        <f t="shared" si="153"/>
        <v>0.25767861577945217</v>
      </c>
      <c r="AG51" s="1625">
        <f>AG50/AC50-1</f>
        <v>0.99010470601771994</v>
      </c>
      <c r="AH51" s="1623">
        <f t="shared" ref="AH51:AJ51" si="154">AH50/AD50-1</f>
        <v>0.58575082206795859</v>
      </c>
      <c r="AI51" s="1624">
        <f t="shared" si="154"/>
        <v>0.21101471557215024</v>
      </c>
      <c r="AJ51" s="1624">
        <f t="shared" si="154"/>
        <v>-3.7820491722344807E-2</v>
      </c>
      <c r="AK51" s="1625">
        <f>AK50/AG50-1</f>
        <v>1.1426919518963574E-2</v>
      </c>
      <c r="AL51" s="1623">
        <f t="shared" ref="AL51:AN51" si="155">AL50/AH50-1</f>
        <v>-8.1465345402554346E-2</v>
      </c>
      <c r="AM51" s="1624">
        <f t="shared" si="155"/>
        <v>7.942908883400368E-2</v>
      </c>
      <c r="AN51" s="1624">
        <f t="shared" si="155"/>
        <v>1.9528948213881625E-2</v>
      </c>
      <c r="AO51" s="1625">
        <f>AO50/AK50-1</f>
        <v>0.16747624922609217</v>
      </c>
      <c r="AP51" s="1623">
        <f t="shared" ref="AP51:AR51" si="156">AP50/AL50-1</f>
        <v>5.7992183911465212E-2</v>
      </c>
      <c r="AQ51" s="1624">
        <f t="shared" si="156"/>
        <v>0.13209216448619143</v>
      </c>
      <c r="AR51" s="1624">
        <f t="shared" si="156"/>
        <v>0.11125716119048912</v>
      </c>
      <c r="AS51" s="1625">
        <f>AS50/AO50-1</f>
        <v>9.5222530392377935E-2</v>
      </c>
      <c r="AT51" s="559"/>
      <c r="AU51" s="1626"/>
      <c r="AV51" s="1621"/>
      <c r="AW51" s="1626"/>
      <c r="AX51" s="1622"/>
      <c r="AY51" s="1627"/>
      <c r="AZ51" s="1627">
        <f t="shared" ref="AZ51:BA51" si="157">AZ50/AY50-1</f>
        <v>0.34531739194385547</v>
      </c>
      <c r="BA51" s="1599">
        <f t="shared" si="157"/>
        <v>0.37244826239750051</v>
      </c>
      <c r="BB51" s="1599">
        <f>BB50/BA50-1</f>
        <v>0.35659091167734536</v>
      </c>
      <c r="BC51" s="1599">
        <f>BC50/BB50-1</f>
        <v>0.16123484753156325</v>
      </c>
      <c r="BD51" s="1599">
        <f>BD50/BC50-1</f>
        <v>4.4149394860328206E-2</v>
      </c>
      <c r="BE51" s="1599">
        <f>BE50/BD50-1</f>
        <v>9.4332951128228038E-2</v>
      </c>
      <c r="BO51" s="1600"/>
      <c r="BP51" s="1600"/>
      <c r="BQ51" s="1600"/>
      <c r="BS51" s="1600"/>
      <c r="BT51" s="1600"/>
      <c r="BU51" s="1600"/>
      <c r="BW51" s="1600"/>
      <c r="BX51" s="1600"/>
      <c r="BY51" s="1600"/>
    </row>
    <row r="52" spans="1:89" s="31" customFormat="1" ht="11.65" hidden="1" outlineLevel="1">
      <c r="A52" s="81" t="s">
        <v>285</v>
      </c>
      <c r="B52" s="1606" t="str">
        <f>'[2]VA Consensus'!C38</f>
        <v>-</v>
      </c>
      <c r="C52" s="1606" t="str">
        <f>'[2]VA Consensus'!D38</f>
        <v>-</v>
      </c>
      <c r="D52" s="1606" t="str">
        <f>'[2]VA Consensus'!E38</f>
        <v>-</v>
      </c>
      <c r="E52" s="1606" t="str">
        <f>'[2]VA Consensus'!F38</f>
        <v>-</v>
      </c>
      <c r="F52" s="1607" t="str">
        <f>'[2]VA Consensus'!G38</f>
        <v>-</v>
      </c>
      <c r="G52" s="1606" t="str">
        <f>'[2]VA Consensus'!H38</f>
        <v>-</v>
      </c>
      <c r="H52" s="1606" t="str">
        <f>'[2]VA Consensus'!I38</f>
        <v>-</v>
      </c>
      <c r="I52" s="1606" t="str">
        <f>'[2]VA Consensus'!J38</f>
        <v>-</v>
      </c>
      <c r="J52" s="1620" t="str">
        <f>'[2]VA Consensus'!K38</f>
        <v>-</v>
      </c>
      <c r="K52" s="1621" t="str">
        <f>'[2]VA Consensus'!L38</f>
        <v>-</v>
      </c>
      <c r="L52" s="1621" t="str">
        <f>'[2]VA Consensus'!M38</f>
        <v>-</v>
      </c>
      <c r="M52" s="1621" t="str">
        <f>'[2]VA Consensus'!N38</f>
        <v>-</v>
      </c>
      <c r="N52" s="1620" t="str">
        <f>'[2]VA Consensus'!O38</f>
        <v>-</v>
      </c>
      <c r="O52" s="1621" t="str">
        <f>'[2]VA Consensus'!P38</f>
        <v>-</v>
      </c>
      <c r="P52" s="1621" t="str">
        <f>'[2]VA Consensus'!Q38</f>
        <v>-</v>
      </c>
      <c r="Q52" s="1622" t="str">
        <f>'[2]VA Consensus'!R38</f>
        <v>-</v>
      </c>
      <c r="R52" s="1621" t="str">
        <f>'[2]VA Consensus'!S38</f>
        <v>-</v>
      </c>
      <c r="S52" s="1621" t="str">
        <f>'[2]VA Consensus'!T38</f>
        <v>-</v>
      </c>
      <c r="T52" s="1621" t="str">
        <f>'[2]VA Consensus'!U38</f>
        <v>-</v>
      </c>
      <c r="U52" s="1628">
        <f>'[2]VA Consensus'!V38</f>
        <v>13.964751610171598</v>
      </c>
      <c r="V52" s="1629">
        <f>'[2]VA Consensus'!W38</f>
        <v>23.618509637394556</v>
      </c>
      <c r="W52" s="1628">
        <f>'[2]VA Consensus'!X38</f>
        <v>13.377349703135881</v>
      </c>
      <c r="X52" s="1628">
        <f>'[2]VA Consensus'!Y38</f>
        <v>19.743008296548535</v>
      </c>
      <c r="Y52" s="1630">
        <f>'[2]VA Consensus'!Z38</f>
        <v>22.26498399641099</v>
      </c>
      <c r="Z52" s="1631">
        <f>'[2]VA Consensus'!AA38</f>
        <v>40.164960549175703</v>
      </c>
      <c r="AA52" s="1631">
        <f>'[2]VA Consensus'!AB38</f>
        <v>28.457831417398335</v>
      </c>
      <c r="AB52" s="1631">
        <f>'[2]VA Consensus'!AC38</f>
        <v>43.781652194960685</v>
      </c>
      <c r="AC52" s="1631">
        <f>'[2]VA Consensus'!AD38</f>
        <v>33.295777999127537</v>
      </c>
      <c r="AD52" s="1632">
        <f>'[2]VA Consensus'!AE38</f>
        <v>55.475784966331574</v>
      </c>
      <c r="AE52" s="1631">
        <f>'[2]VA Consensus'!AF38</f>
        <v>36.010037059474648</v>
      </c>
      <c r="AF52" s="1631">
        <f>'[2]VA Consensus'!AG38</f>
        <v>57.870840423847177</v>
      </c>
      <c r="AG52" s="1630">
        <f>'[2]VA Consensus'!AH38</f>
        <v>78.94612680827025</v>
      </c>
      <c r="AH52" s="1632">
        <f>'[2]VA Consensus'!AI38</f>
        <v>64.220954874427591</v>
      </c>
      <c r="AI52" s="1631">
        <f>'[2]VA Consensus'!AJ38</f>
        <v>40.779182681098774</v>
      </c>
      <c r="AJ52" s="1631">
        <f>'[2]VA Consensus'!AK38</f>
        <v>62.351258355393249</v>
      </c>
      <c r="AK52" s="1630">
        <f>'[2]VA Consensus'!AL38</f>
        <v>81.042963239708882</v>
      </c>
      <c r="AL52" s="1632">
        <f>'[2]VA Consensus'!AM38</f>
        <v>87.85975151344023</v>
      </c>
      <c r="AM52" s="1631">
        <f>'[2]VA Consensus'!AN38</f>
        <v>46.841860139663936</v>
      </c>
      <c r="AN52" s="1631">
        <f>'[2]VA Consensus'!AO38</f>
        <v>65.19158714864038</v>
      </c>
      <c r="AO52" s="1630">
        <f>'[2]VA Consensus'!AP38</f>
        <v>91.181816048150168</v>
      </c>
      <c r="AP52" s="1632">
        <f>'[2]VA Consensus'!AQ38</f>
        <v>92.186185868666115</v>
      </c>
      <c r="AQ52" s="1631">
        <f>'[2]VA Consensus'!AR38</f>
        <v>61.852169810077683</v>
      </c>
      <c r="AR52" s="1631">
        <f>'[2]VA Consensus'!AS38</f>
        <v>72.075503481157341</v>
      </c>
      <c r="AS52" s="1630">
        <f>'[2]VA Consensus'!AT38</f>
        <v>101.43384967277534</v>
      </c>
      <c r="AT52" s="559"/>
      <c r="AU52" s="1626" t="str">
        <f>'[2]VA Consensus'!AV38</f>
        <v>-</v>
      </c>
      <c r="AV52" s="1621" t="str">
        <f>'[2]VA Consensus'!AW38</f>
        <v>-</v>
      </c>
      <c r="AW52" s="1626" t="str">
        <f>'[2]VA Consensus'!AX38</f>
        <v>-</v>
      </c>
      <c r="AX52" s="1626" t="str">
        <f>'[2]VA Consensus'!AY38</f>
        <v>-</v>
      </c>
      <c r="AY52" s="1633">
        <f>'[2]VA Consensus'!AZ38</f>
        <v>84.987115246535552</v>
      </c>
      <c r="AZ52" s="1633">
        <f>'[2]VA Consensus'!BA38</f>
        <v>107.59352945095637</v>
      </c>
      <c r="BA52" s="1634">
        <f>'[2]VA Consensus'!BB38</f>
        <v>139.36408569143532</v>
      </c>
      <c r="BB52" s="1634">
        <f>'[2]VA Consensus'!BC38</f>
        <v>230.99967263741655</v>
      </c>
      <c r="BC52" s="1634">
        <f>'[2]VA Consensus'!BD38</f>
        <v>270.64549875121099</v>
      </c>
      <c r="BD52" s="1634">
        <f>'[2]VA Consensus'!BE38</f>
        <v>291.07501484989467</v>
      </c>
      <c r="BE52" s="1634">
        <f>'[2]VA Consensus'!BF38</f>
        <v>327.54770883267645</v>
      </c>
      <c r="BO52" s="1600"/>
      <c r="BP52" s="1600"/>
      <c r="BQ52" s="1600"/>
      <c r="BS52" s="1600"/>
      <c r="BT52" s="1600"/>
      <c r="BU52" s="1600"/>
      <c r="BW52" s="1600"/>
      <c r="BX52" s="1600"/>
      <c r="BY52" s="1600"/>
    </row>
    <row r="53" spans="1:89" s="1643" customFormat="1" ht="11.65" collapsed="1">
      <c r="A53" s="1635" t="s">
        <v>336</v>
      </c>
      <c r="B53" s="1636"/>
      <c r="C53" s="1636"/>
      <c r="D53" s="1636"/>
      <c r="E53" s="1636"/>
      <c r="F53" s="1637"/>
      <c r="G53" s="1636"/>
      <c r="H53" s="1636"/>
      <c r="I53" s="1636"/>
      <c r="J53" s="1638"/>
      <c r="K53" s="1639"/>
      <c r="L53" s="1639"/>
      <c r="M53" s="1639"/>
      <c r="N53" s="1638"/>
      <c r="O53" s="1639"/>
      <c r="P53" s="1639"/>
      <c r="Q53" s="1640"/>
      <c r="R53" s="1639">
        <f>+R50/'Revenue Build'!R5</f>
        <v>0.30550617344081038</v>
      </c>
      <c r="S53" s="1639">
        <f>+S50/'Revenue Build'!S5</f>
        <v>0.11576935182981597</v>
      </c>
      <c r="T53" s="1639">
        <f>+T50/'Revenue Build'!T5</f>
        <v>0.14475999538452664</v>
      </c>
      <c r="U53" s="1639">
        <f>+U50/'Revenue Build'!U5</f>
        <v>0.15027714772712025</v>
      </c>
      <c r="V53" s="1638">
        <f>+V50/'Revenue Build'!V5</f>
        <v>0.20143316098589431</v>
      </c>
      <c r="W53" s="1639">
        <f>+W50/'Revenue Build'!W5</f>
        <v>0.1769552333258286</v>
      </c>
      <c r="X53" s="1639">
        <f>+X50/'Revenue Build'!X5</f>
        <v>0.19879211442885658</v>
      </c>
      <c r="Y53" s="1640">
        <f>+Y50/'Revenue Build'!Y5</f>
        <v>0.17390362398513809</v>
      </c>
      <c r="Z53" s="1639">
        <f>+Z50/'Revenue Build'!Z5</f>
        <v>0.23382881714052703</v>
      </c>
      <c r="AA53" s="1639">
        <f>+AA50/'Revenue Build'!AA5</f>
        <v>0.20414179946266336</v>
      </c>
      <c r="AB53" s="1639">
        <f>+AB50/'Revenue Build'!AB5</f>
        <v>0.23974713316693874</v>
      </c>
      <c r="AC53" s="1639">
        <f>+AC50/'Revenue Build'!AC5</f>
        <v>0.20372141430620797</v>
      </c>
      <c r="AD53" s="1638">
        <f>+AD50/'Revenue Build'!AD5</f>
        <v>0.25347169164802902</v>
      </c>
      <c r="AE53" s="1639">
        <f>+AE50/'Revenue Build'!AE5</f>
        <v>0.16463494560230701</v>
      </c>
      <c r="AF53" s="1639">
        <f>+AF50/'Revenue Build'!AF5</f>
        <v>0.26758789544141481</v>
      </c>
      <c r="AG53" s="1640">
        <f>+AG50/'Revenue Build'!AG5</f>
        <v>0.36685883485837673</v>
      </c>
      <c r="AH53" s="1638">
        <f>+AH50/'Revenue Build'!AH5</f>
        <v>0.36298857976808285</v>
      </c>
      <c r="AI53" s="1639">
        <f>+AI50/'Revenue Build'!AI5</f>
        <v>0.1783699629996563</v>
      </c>
      <c r="AJ53" s="1639">
        <f>+AJ50/'Revenue Build'!AJ5</f>
        <v>0.23161067976548885</v>
      </c>
      <c r="AK53" s="1640">
        <f>+AK50/'Revenue Build'!AK5</f>
        <v>0.33572791162731774</v>
      </c>
      <c r="AL53" s="1638">
        <f>+AL50/'Revenue Build'!AL5</f>
        <v>0.30836320356335284</v>
      </c>
      <c r="AM53" s="1639">
        <f>+AM50/'Revenue Build'!AM5</f>
        <v>0.17931098298193845</v>
      </c>
      <c r="AN53" s="1639">
        <f>+AN50/'Revenue Build'!AN5</f>
        <v>0.22180567259629977</v>
      </c>
      <c r="AO53" s="1640">
        <f>+AO50/'Revenue Build'!AO5</f>
        <v>0.36813714068479259</v>
      </c>
      <c r="AP53" s="1638">
        <f>+AP50/'Revenue Build'!AP5</f>
        <v>0.30607491642422219</v>
      </c>
      <c r="AQ53" s="1639">
        <f>+AQ50/'Revenue Build'!AQ5</f>
        <v>0.19045914959486851</v>
      </c>
      <c r="AR53" s="1639">
        <f>+AR50/'Revenue Build'!AR5</f>
        <v>0.23129358725810198</v>
      </c>
      <c r="AS53" s="1640">
        <f>+AS50/'Revenue Build'!AS5</f>
        <v>0.37836323606931876</v>
      </c>
      <c r="AT53" s="1641"/>
      <c r="AU53" s="1642"/>
      <c r="AV53" s="1639"/>
      <c r="AW53" s="1642"/>
      <c r="AX53" s="1639">
        <f>+AX50/'Revenue Build'!AX5</f>
        <v>0</v>
      </c>
      <c r="AY53" s="1638">
        <f>+AY50/'Revenue Build'!AY5</f>
        <v>0.17589488662613417</v>
      </c>
      <c r="AZ53" s="1638">
        <f>+AZ50/'Revenue Build'!AZ5</f>
        <v>0.18742928405087309</v>
      </c>
      <c r="BA53" s="1642">
        <f>+BA50/'Revenue Build'!BA5</f>
        <v>0.22003230208711544</v>
      </c>
      <c r="BB53" s="1642">
        <f>+BB50/'Revenue Build'!BB5</f>
        <v>0.26489381914422</v>
      </c>
      <c r="BC53" s="1642">
        <f>+BC50/'Revenue Build'!BC5</f>
        <v>0.27701482382017301</v>
      </c>
      <c r="BD53" s="1642">
        <f>+BD50/'Revenue Build'!BD5</f>
        <v>0.27010114079438763</v>
      </c>
      <c r="BE53" s="1642">
        <f>+BE50/'Revenue Build'!BE5</f>
        <v>0.27734432633620754</v>
      </c>
      <c r="BO53" s="1600"/>
      <c r="BP53" s="1600"/>
      <c r="BQ53" s="1600"/>
      <c r="BS53" s="1600"/>
      <c r="BT53" s="1600"/>
      <c r="BU53" s="1600"/>
      <c r="BW53" s="1600"/>
      <c r="BX53" s="1600"/>
      <c r="BY53" s="1600"/>
    </row>
    <row r="54" spans="1:89" s="89" customFormat="1" ht="12" customHeight="1" thickBot="1">
      <c r="A54" s="90" t="s">
        <v>337</v>
      </c>
      <c r="B54" s="92"/>
      <c r="C54" s="92"/>
      <c r="D54" s="92"/>
      <c r="E54" s="92"/>
      <c r="F54" s="91"/>
      <c r="G54" s="92"/>
      <c r="H54" s="92"/>
      <c r="I54" s="92"/>
      <c r="J54" s="91"/>
      <c r="K54" s="92"/>
      <c r="L54" s="92"/>
      <c r="M54" s="92"/>
      <c r="N54" s="91"/>
      <c r="O54" s="92"/>
      <c r="P54" s="92"/>
      <c r="Q54" s="93"/>
      <c r="R54" s="92"/>
      <c r="S54" s="94"/>
      <c r="T54" s="92"/>
      <c r="U54" s="92"/>
      <c r="V54" s="91"/>
      <c r="W54" s="92"/>
      <c r="X54" s="92"/>
      <c r="Y54" s="93"/>
      <c r="Z54" s="97"/>
      <c r="AA54" s="97"/>
      <c r="AB54" s="97"/>
      <c r="AC54" s="97"/>
      <c r="AD54" s="96"/>
      <c r="AE54" s="97"/>
      <c r="AF54" s="97"/>
      <c r="AG54" s="98"/>
      <c r="AH54" s="96"/>
      <c r="AI54" s="97"/>
      <c r="AJ54" s="97"/>
      <c r="AK54" s="98"/>
      <c r="AL54" s="96"/>
      <c r="AM54" s="97"/>
      <c r="AN54" s="97"/>
      <c r="AO54" s="98"/>
      <c r="AP54" s="96"/>
      <c r="AQ54" s="97"/>
      <c r="AR54" s="97"/>
      <c r="AS54" s="98"/>
      <c r="AT54" s="99"/>
      <c r="AU54" s="100"/>
      <c r="AV54" s="92"/>
      <c r="AW54" s="101"/>
      <c r="AX54" s="92"/>
      <c r="AY54" s="91"/>
      <c r="AZ54" s="91"/>
      <c r="BA54" s="101"/>
      <c r="BB54" s="101"/>
      <c r="BC54" s="101"/>
      <c r="BD54" s="101"/>
      <c r="BE54" s="101"/>
    </row>
    <row r="55" spans="1:89" s="89" customFormat="1" ht="12" customHeight="1" thickTop="1">
      <c r="A55" s="103" t="s">
        <v>88</v>
      </c>
      <c r="B55" s="83"/>
      <c r="C55" s="83"/>
      <c r="D55" s="83"/>
      <c r="E55" s="83"/>
      <c r="F55" s="677"/>
      <c r="G55" s="83"/>
      <c r="H55" s="83"/>
      <c r="I55" s="83"/>
      <c r="J55" s="677"/>
      <c r="K55" s="83"/>
      <c r="L55" s="83"/>
      <c r="M55" s="83"/>
      <c r="N55" s="678"/>
      <c r="O55" s="107"/>
      <c r="P55" s="105"/>
      <c r="Q55" s="109"/>
      <c r="R55" s="105"/>
      <c r="S55" s="107"/>
      <c r="T55" s="105"/>
      <c r="U55" s="105"/>
      <c r="V55" s="108"/>
      <c r="W55" s="105"/>
      <c r="X55" s="105"/>
      <c r="Y55" s="106"/>
      <c r="Z55" s="667"/>
      <c r="AA55" s="667"/>
      <c r="AB55" s="667"/>
      <c r="AC55" s="667"/>
      <c r="AD55" s="835"/>
      <c r="AE55" s="667"/>
      <c r="AF55" s="667"/>
      <c r="AG55" s="106">
        <f>BB55-AF50-AE50-AD50</f>
        <v>73.069999999999993</v>
      </c>
      <c r="AH55" s="835"/>
      <c r="AI55" s="667"/>
      <c r="AJ55" s="667"/>
      <c r="AK55" s="1644"/>
      <c r="AL55" s="835"/>
      <c r="AM55" s="667"/>
      <c r="AN55" s="667"/>
      <c r="AO55" s="1644"/>
      <c r="AP55" s="835"/>
      <c r="AQ55" s="667"/>
      <c r="AR55" s="667"/>
      <c r="AS55" s="1644"/>
      <c r="AT55" s="99"/>
      <c r="AU55" s="660"/>
      <c r="AV55" s="83"/>
      <c r="AW55" s="88"/>
      <c r="AX55" s="83"/>
      <c r="AY55" s="678"/>
      <c r="AZ55" s="678">
        <v>120</v>
      </c>
      <c r="BA55" s="1645">
        <v>168</v>
      </c>
      <c r="BB55" s="1645">
        <v>225</v>
      </c>
      <c r="BC55" s="1645">
        <v>265</v>
      </c>
      <c r="BD55" s="1645"/>
      <c r="BE55" s="1645"/>
    </row>
    <row r="56" spans="1:89" s="89" customFormat="1" ht="12" customHeight="1">
      <c r="A56" s="103" t="s">
        <v>89</v>
      </c>
      <c r="B56" s="83"/>
      <c r="C56" s="83"/>
      <c r="D56" s="83"/>
      <c r="E56" s="83"/>
      <c r="F56" s="677"/>
      <c r="G56" s="83"/>
      <c r="H56" s="83"/>
      <c r="I56" s="83"/>
      <c r="J56" s="677"/>
      <c r="K56" s="83"/>
      <c r="L56" s="83"/>
      <c r="M56" s="83"/>
      <c r="N56" s="678"/>
      <c r="O56" s="107"/>
      <c r="P56" s="105"/>
      <c r="Q56" s="106"/>
      <c r="R56" s="105"/>
      <c r="S56" s="107"/>
      <c r="T56" s="105"/>
      <c r="U56" s="105"/>
      <c r="V56" s="678"/>
      <c r="W56" s="107"/>
      <c r="X56" s="107"/>
      <c r="Y56" s="106"/>
      <c r="Z56" s="667"/>
      <c r="AA56" s="667"/>
      <c r="AB56" s="667"/>
      <c r="AC56" s="667"/>
      <c r="AD56" s="835"/>
      <c r="AE56" s="667"/>
      <c r="AF56" s="667"/>
      <c r="AG56" s="106">
        <f>BB56-AF50-AE50-AD50</f>
        <v>78.069999999999993</v>
      </c>
      <c r="AH56" s="835"/>
      <c r="AI56" s="667"/>
      <c r="AJ56" s="667"/>
      <c r="AK56" s="1644"/>
      <c r="AL56" s="835"/>
      <c r="AM56" s="667"/>
      <c r="AN56" s="667"/>
      <c r="AO56" s="1644"/>
      <c r="AP56" s="835"/>
      <c r="AQ56" s="667"/>
      <c r="AR56" s="667"/>
      <c r="AS56" s="1644"/>
      <c r="AT56" s="99"/>
      <c r="AU56" s="660"/>
      <c r="AV56" s="83"/>
      <c r="AW56" s="88"/>
      <c r="AX56" s="83"/>
      <c r="AY56" s="678"/>
      <c r="AZ56" s="678">
        <f t="shared" ref="AZ56:BC56" si="158">AVERAGE(AZ55,AZ57)</f>
        <v>122.5</v>
      </c>
      <c r="BA56" s="1645">
        <f t="shared" si="158"/>
        <v>170.5</v>
      </c>
      <c r="BB56" s="1645">
        <f t="shared" si="158"/>
        <v>230</v>
      </c>
      <c r="BC56" s="1645">
        <f t="shared" si="158"/>
        <v>270</v>
      </c>
      <c r="BD56" s="1645"/>
      <c r="BE56" s="1645"/>
    </row>
    <row r="57" spans="1:89" s="89" customFormat="1" ht="12" customHeight="1">
      <c r="A57" s="1646" t="s">
        <v>90</v>
      </c>
      <c r="B57" s="1647"/>
      <c r="C57" s="1647"/>
      <c r="D57" s="1647"/>
      <c r="E57" s="1647"/>
      <c r="F57" s="1648"/>
      <c r="G57" s="1647"/>
      <c r="H57" s="1647"/>
      <c r="I57" s="1647"/>
      <c r="J57" s="1648"/>
      <c r="K57" s="1647"/>
      <c r="L57" s="1647"/>
      <c r="M57" s="1647"/>
      <c r="N57" s="1649"/>
      <c r="O57" s="1650"/>
      <c r="P57" s="1651"/>
      <c r="Q57" s="1652"/>
      <c r="R57" s="1651"/>
      <c r="S57" s="1650"/>
      <c r="T57" s="1651"/>
      <c r="U57" s="1651"/>
      <c r="V57" s="1649"/>
      <c r="W57" s="1651"/>
      <c r="X57" s="1651"/>
      <c r="Y57" s="1652"/>
      <c r="Z57" s="1653"/>
      <c r="AA57" s="1653"/>
      <c r="AB57" s="1653"/>
      <c r="AC57" s="1653"/>
      <c r="AD57" s="1654"/>
      <c r="AE57" s="1653"/>
      <c r="AF57" s="1653"/>
      <c r="AG57" s="1652">
        <f>BB57-AF50-AE50-AD50</f>
        <v>83.07</v>
      </c>
      <c r="AH57" s="1654"/>
      <c r="AI57" s="1653"/>
      <c r="AJ57" s="1653"/>
      <c r="AK57" s="1655"/>
      <c r="AL57" s="1654"/>
      <c r="AM57" s="1653"/>
      <c r="AN57" s="1653"/>
      <c r="AO57" s="1655"/>
      <c r="AP57" s="1654"/>
      <c r="AQ57" s="1653"/>
      <c r="AR57" s="1653"/>
      <c r="AS57" s="1655"/>
      <c r="AT57" s="99"/>
      <c r="AU57" s="1656"/>
      <c r="AV57" s="1647"/>
      <c r="AW57" s="1657"/>
      <c r="AX57" s="1647"/>
      <c r="AY57" s="1649"/>
      <c r="AZ57" s="1649">
        <v>125</v>
      </c>
      <c r="BA57" s="1658">
        <v>173</v>
      </c>
      <c r="BB57" s="1658">
        <v>235</v>
      </c>
      <c r="BC57" s="1658">
        <v>275</v>
      </c>
      <c r="BD57" s="1658"/>
      <c r="BE57" s="1658"/>
    </row>
    <row r="58" spans="1:89" s="949" customFormat="1" ht="11.65">
      <c r="A58" s="1659"/>
      <c r="B58" s="953"/>
      <c r="C58" s="953"/>
      <c r="D58" s="953"/>
      <c r="E58" s="953"/>
      <c r="F58" s="953"/>
      <c r="G58" s="953"/>
      <c r="H58" s="953"/>
      <c r="I58" s="953"/>
      <c r="J58" s="953"/>
      <c r="K58" s="953"/>
      <c r="L58" s="953"/>
      <c r="M58" s="953"/>
      <c r="N58" s="953"/>
      <c r="O58" s="953"/>
      <c r="P58" s="953"/>
      <c r="Q58" s="953"/>
      <c r="R58" s="953"/>
      <c r="S58" s="953"/>
      <c r="T58" s="953"/>
      <c r="U58" s="953"/>
      <c r="V58" s="953"/>
      <c r="W58" s="953"/>
      <c r="X58" s="953"/>
      <c r="Y58" s="953"/>
      <c r="Z58" s="953"/>
      <c r="AA58" s="953"/>
      <c r="AB58" s="953"/>
      <c r="AC58" s="953"/>
      <c r="AD58" s="953"/>
      <c r="AE58" s="953"/>
      <c r="AF58" s="953"/>
      <c r="AG58" s="953"/>
      <c r="AH58" s="953"/>
      <c r="AI58" s="953"/>
      <c r="AJ58" s="953"/>
      <c r="AK58" s="953"/>
      <c r="AL58" s="953"/>
      <c r="AM58" s="953"/>
      <c r="AN58" s="953"/>
      <c r="AO58" s="953"/>
      <c r="AP58" s="953"/>
      <c r="AQ58" s="953"/>
      <c r="AR58" s="953"/>
      <c r="AS58" s="953"/>
      <c r="AT58" s="1660"/>
      <c r="AU58" s="953"/>
      <c r="AV58" s="953"/>
      <c r="AW58" s="953"/>
      <c r="AX58" s="953"/>
      <c r="AY58" s="953"/>
      <c r="AZ58" s="953"/>
      <c r="BA58" s="953"/>
      <c r="BB58" s="1661"/>
      <c r="BC58" s="953"/>
      <c r="BD58" s="953"/>
      <c r="BE58" s="953"/>
    </row>
    <row r="59" spans="1:89" s="1674" customFormat="1" ht="12" customHeight="1">
      <c r="A59" s="521" t="s">
        <v>338</v>
      </c>
      <c r="B59" s="1662"/>
      <c r="C59" s="1663"/>
      <c r="D59" s="1663"/>
      <c r="E59" s="1664"/>
      <c r="F59" s="1662"/>
      <c r="G59" s="1663"/>
      <c r="H59" s="1663"/>
      <c r="I59" s="1664"/>
      <c r="J59" s="1662"/>
      <c r="K59" s="1663"/>
      <c r="L59" s="1663"/>
      <c r="M59" s="1664"/>
      <c r="N59" s="1662"/>
      <c r="O59" s="1663"/>
      <c r="P59" s="1663"/>
      <c r="Q59" s="1664"/>
      <c r="R59" s="1662"/>
      <c r="S59" s="1663"/>
      <c r="T59" s="1663"/>
      <c r="U59" s="1665"/>
      <c r="V59" s="1666">
        <f t="shared" ref="V59:AS59" si="159">-V37</f>
        <v>0</v>
      </c>
      <c r="W59" s="1666">
        <f t="shared" si="159"/>
        <v>0</v>
      </c>
      <c r="X59" s="1666">
        <f t="shared" si="159"/>
        <v>0</v>
      </c>
      <c r="Y59" s="1666">
        <f t="shared" si="159"/>
        <v>0</v>
      </c>
      <c r="Z59" s="1667">
        <f t="shared" si="159"/>
        <v>0</v>
      </c>
      <c r="AA59" s="1666">
        <f t="shared" si="159"/>
        <v>0</v>
      </c>
      <c r="AB59" s="1666">
        <f t="shared" si="159"/>
        <v>0</v>
      </c>
      <c r="AC59" s="1666">
        <f t="shared" si="159"/>
        <v>14.933999999999999</v>
      </c>
      <c r="AD59" s="1667">
        <f t="shared" si="159"/>
        <v>24.991</v>
      </c>
      <c r="AE59" s="1666">
        <f t="shared" si="159"/>
        <v>25</v>
      </c>
      <c r="AF59" s="1666">
        <f t="shared" si="159"/>
        <v>0</v>
      </c>
      <c r="AG59" s="1666">
        <f t="shared" si="159"/>
        <v>49.986000000000004</v>
      </c>
      <c r="AH59" s="1667">
        <f t="shared" si="159"/>
        <v>60</v>
      </c>
      <c r="AI59" s="1666">
        <f t="shared" si="159"/>
        <v>64.998999999999995</v>
      </c>
      <c r="AJ59" s="1666">
        <f t="shared" si="159"/>
        <v>59.968999999999994</v>
      </c>
      <c r="AK59" s="1666">
        <f t="shared" si="159"/>
        <v>64.478000000000009</v>
      </c>
      <c r="AL59" s="1667">
        <f t="shared" si="159"/>
        <v>0</v>
      </c>
      <c r="AM59" s="1666">
        <f t="shared" si="159"/>
        <v>0</v>
      </c>
      <c r="AN59" s="1666">
        <f t="shared" si="159"/>
        <v>0</v>
      </c>
      <c r="AO59" s="1666">
        <f t="shared" si="159"/>
        <v>0</v>
      </c>
      <c r="AP59" s="1667">
        <f t="shared" si="159"/>
        <v>0</v>
      </c>
      <c r="AQ59" s="1666">
        <f t="shared" si="159"/>
        <v>0</v>
      </c>
      <c r="AR59" s="1666">
        <f t="shared" si="159"/>
        <v>0</v>
      </c>
      <c r="AS59" s="1666">
        <f t="shared" si="159"/>
        <v>0</v>
      </c>
      <c r="AT59" s="1668"/>
      <c r="AU59" s="1669"/>
      <c r="AV59" s="1669"/>
      <c r="AW59" s="1669"/>
      <c r="AX59" s="1670"/>
      <c r="AY59" s="1670"/>
      <c r="AZ59" s="1671">
        <f>SUM(V59:Y59)</f>
        <v>0</v>
      </c>
      <c r="BA59" s="1667">
        <f>SUM(Z59:AC59)</f>
        <v>14.933999999999999</v>
      </c>
      <c r="BB59" s="1671">
        <f>SUM(AD59:AG59)</f>
        <v>99.977000000000004</v>
      </c>
      <c r="BC59" s="1672">
        <f>SUM(AH59:AK59)</f>
        <v>249.446</v>
      </c>
      <c r="BD59" s="1672">
        <f>SUM(AL59:AO59)</f>
        <v>0</v>
      </c>
      <c r="BE59" s="1672">
        <f>SUM(AP59:AS59)</f>
        <v>0</v>
      </c>
      <c r="BF59" s="1670"/>
      <c r="BG59" s="1670"/>
      <c r="BH59" s="1670"/>
      <c r="BI59" s="1670"/>
      <c r="BJ59" s="414"/>
      <c r="BK59" s="414"/>
      <c r="BL59" s="414"/>
      <c r="BM59" s="414"/>
      <c r="BN59" s="414"/>
      <c r="BO59" s="414"/>
      <c r="BP59" s="414"/>
      <c r="BQ59" s="414"/>
      <c r="BR59" s="1673"/>
      <c r="BS59" s="414"/>
      <c r="BT59" s="414"/>
      <c r="BU59" s="414"/>
      <c r="BV59" s="1673"/>
      <c r="BW59" s="414"/>
      <c r="BX59" s="414"/>
      <c r="BY59" s="414"/>
      <c r="BZ59" s="1673"/>
      <c r="CA59" s="179"/>
      <c r="CB59" s="179"/>
      <c r="CC59" s="179"/>
      <c r="CD59" s="179"/>
      <c r="CE59" s="414"/>
      <c r="CF59" s="414"/>
      <c r="CG59" s="414"/>
      <c r="CH59" s="414"/>
      <c r="CI59" s="414"/>
      <c r="CJ59" s="414"/>
      <c r="CK59" s="547"/>
    </row>
    <row r="60" spans="1:89" s="949" customFormat="1" ht="12" customHeight="1">
      <c r="A60" s="1476" t="s">
        <v>339</v>
      </c>
      <c r="B60" s="1160"/>
      <c r="C60" s="953"/>
      <c r="D60" s="953"/>
      <c r="E60" s="1161"/>
      <c r="F60" s="1160"/>
      <c r="G60" s="953"/>
      <c r="H60" s="953"/>
      <c r="I60" s="1161"/>
      <c r="J60" s="1160"/>
      <c r="K60" s="953"/>
      <c r="L60" s="953"/>
      <c r="M60" s="1161"/>
      <c r="N60" s="1160"/>
      <c r="O60" s="953"/>
      <c r="P60" s="953"/>
      <c r="Q60" s="1161"/>
      <c r="R60" s="1160"/>
      <c r="S60" s="953"/>
      <c r="T60" s="953"/>
      <c r="U60" s="1161"/>
      <c r="V60" s="1160"/>
      <c r="W60" s="953"/>
      <c r="X60" s="953"/>
      <c r="Y60" s="1161"/>
      <c r="Z60" s="1675"/>
      <c r="AA60" s="1676"/>
      <c r="AB60" s="1676"/>
      <c r="AC60" s="1676">
        <v>0.35624</v>
      </c>
      <c r="AD60" s="1675">
        <v>0.52577300000000005</v>
      </c>
      <c r="AE60" s="1676">
        <f>AE59/AE62</f>
        <v>0.58878944889307583</v>
      </c>
      <c r="AF60" s="1676">
        <v>0</v>
      </c>
      <c r="AG60" s="1676">
        <v>1.2</v>
      </c>
      <c r="AH60" s="1675">
        <v>1.6</v>
      </c>
      <c r="AI60" s="1676">
        <v>2</v>
      </c>
      <c r="AJ60" s="1676">
        <v>2</v>
      </c>
      <c r="AK60" s="1676"/>
      <c r="AL60" s="1675">
        <f t="shared" ref="AL60:AS60" si="160">IF(AL59=0,0,AL59/AL62)</f>
        <v>0</v>
      </c>
      <c r="AM60" s="1676">
        <f t="shared" si="160"/>
        <v>0</v>
      </c>
      <c r="AN60" s="1676">
        <f t="shared" si="160"/>
        <v>0</v>
      </c>
      <c r="AO60" s="1676">
        <f t="shared" si="160"/>
        <v>0</v>
      </c>
      <c r="AP60" s="1675">
        <f t="shared" si="160"/>
        <v>0</v>
      </c>
      <c r="AQ60" s="1676">
        <f t="shared" si="160"/>
        <v>0</v>
      </c>
      <c r="AR60" s="1676">
        <f t="shared" si="160"/>
        <v>0</v>
      </c>
      <c r="AS60" s="1676">
        <f t="shared" si="160"/>
        <v>0</v>
      </c>
      <c r="AT60" s="1160"/>
      <c r="AU60" s="953"/>
      <c r="AV60" s="953"/>
      <c r="AW60" s="953"/>
      <c r="AX60" s="1677"/>
      <c r="AY60" s="1677"/>
      <c r="AZ60" s="1678">
        <f>SUM(V60:Y60)</f>
        <v>0</v>
      </c>
      <c r="BA60" s="1675">
        <f>SUM(Z60:AC60)</f>
        <v>0.35624</v>
      </c>
      <c r="BB60" s="1678">
        <f>SUM(AD60:AG60)</f>
        <v>2.3145624488930761</v>
      </c>
      <c r="BC60" s="1679">
        <f>SUM(AH60:AK60)</f>
        <v>5.6</v>
      </c>
      <c r="BD60" s="1679">
        <f>SUM(AL60:AO60)</f>
        <v>0</v>
      </c>
      <c r="BE60" s="1679">
        <f>SUM(AP60:AS60)</f>
        <v>0</v>
      </c>
      <c r="BF60" s="1677"/>
      <c r="BG60" s="1680"/>
      <c r="BH60" s="1680"/>
      <c r="BI60" s="1680"/>
      <c r="BJ60" s="1681"/>
      <c r="BK60" s="1682"/>
      <c r="BL60" s="1682"/>
      <c r="BM60" s="1682"/>
      <c r="BN60" s="1681"/>
      <c r="BO60" s="1682"/>
      <c r="BP60" s="1682"/>
      <c r="BQ60" s="1683"/>
      <c r="BR60" s="1673"/>
      <c r="BS60" s="1682"/>
      <c r="BT60" s="1682"/>
      <c r="BU60" s="1683"/>
      <c r="BV60" s="1673"/>
      <c r="BW60" s="1682"/>
      <c r="BX60" s="1682"/>
      <c r="BY60" s="1683"/>
      <c r="BZ60" s="1673"/>
      <c r="CA60" s="1684"/>
      <c r="CB60" s="1684"/>
      <c r="CC60" s="1684"/>
      <c r="CD60" s="1684"/>
      <c r="CE60" s="1685"/>
      <c r="CF60" s="1685"/>
      <c r="CG60" s="1685"/>
      <c r="CH60" s="1685"/>
      <c r="CI60" s="1685"/>
      <c r="CJ60" s="1685"/>
      <c r="CK60" s="547"/>
    </row>
    <row r="61" spans="1:89" s="949" customFormat="1" ht="12" customHeight="1">
      <c r="A61" s="1476" t="s">
        <v>340</v>
      </c>
      <c r="B61" s="1160"/>
      <c r="C61" s="953"/>
      <c r="D61" s="953"/>
      <c r="E61" s="1161"/>
      <c r="F61" s="1160"/>
      <c r="G61" s="953"/>
      <c r="H61" s="953"/>
      <c r="I61" s="1161"/>
      <c r="J61" s="1160"/>
      <c r="K61" s="953"/>
      <c r="L61" s="953"/>
      <c r="M61" s="1161"/>
      <c r="N61" s="1160"/>
      <c r="O61" s="953"/>
      <c r="P61" s="953"/>
      <c r="Q61" s="1161"/>
      <c r="R61" s="1160"/>
      <c r="S61" s="953"/>
      <c r="T61" s="953"/>
      <c r="U61" s="1161"/>
      <c r="V61" s="1160"/>
      <c r="W61" s="953"/>
      <c r="X61" s="953"/>
      <c r="Y61" s="1161"/>
      <c r="Z61" s="1686"/>
      <c r="AA61" s="1687"/>
      <c r="AB61" s="1687"/>
      <c r="AC61" s="1687">
        <f>AC60/'Income Statement'!AC53</f>
        <v>2.9194496119584012E-3</v>
      </c>
      <c r="AD61" s="1686">
        <f>AD60/'Income Statement'!AD53</f>
        <v>4.2653529764898673E-3</v>
      </c>
      <c r="AE61" s="1687">
        <f>AE60/'Income Statement'!AE53</f>
        <v>4.784727675961155E-3</v>
      </c>
      <c r="AF61" s="1687">
        <f>IF(AF59=0,0,AF60/'Income Statement'!AF53)</f>
        <v>0</v>
      </c>
      <c r="AG61" s="1687">
        <f>AG60/'Income Statement'!AG53</f>
        <v>9.6889053959128973E-3</v>
      </c>
      <c r="AH61" s="1686">
        <f>AH60/'Income Statement'!AH53</f>
        <v>1.2887428313680005E-2</v>
      </c>
      <c r="AI61" s="1687">
        <f>AI60/'Income Statement'!AI53</f>
        <v>1.6276703967446592E-2</v>
      </c>
      <c r="AJ61" s="1687">
        <f>AJ60/'Income Statement'!AJ53</f>
        <v>1.6399760563495774E-2</v>
      </c>
      <c r="AK61" s="1687"/>
      <c r="AL61" s="1686">
        <f>AL60/'Income Statement'!AL53</f>
        <v>0</v>
      </c>
      <c r="AM61" s="1687">
        <f>AM60/'Income Statement'!AM53</f>
        <v>0</v>
      </c>
      <c r="AN61" s="1687">
        <f>AN60/'Income Statement'!AN53</f>
        <v>0</v>
      </c>
      <c r="AO61" s="1687">
        <f>AO60/'Income Statement'!AO53</f>
        <v>0</v>
      </c>
      <c r="AP61" s="1686">
        <f>AP60/'Income Statement'!AP53</f>
        <v>0</v>
      </c>
      <c r="AQ61" s="1687">
        <f>AQ60/'Income Statement'!AQ53</f>
        <v>0</v>
      </c>
      <c r="AR61" s="1687">
        <f>AR60/'Income Statement'!AR53</f>
        <v>0</v>
      </c>
      <c r="AS61" s="1687">
        <f>AS60/'Income Statement'!AS53</f>
        <v>0</v>
      </c>
      <c r="AT61" s="1160"/>
      <c r="AU61" s="953"/>
      <c r="AV61" s="953"/>
      <c r="AW61" s="953"/>
      <c r="AX61" s="1688"/>
      <c r="AY61" s="1688"/>
      <c r="AZ61" s="1689">
        <f>AZ60/'Income Statement'!AZ53</f>
        <v>0</v>
      </c>
      <c r="BA61" s="1686">
        <f>BA60/'Income Statement'!BA53</f>
        <v>2.9450814725407361E-3</v>
      </c>
      <c r="BB61" s="1689">
        <f>BB60/'Income Statement'!BB53</f>
        <v>1.8761791249946407E-2</v>
      </c>
      <c r="BC61" s="1690">
        <f>BC60/'Income Statement'!BC53</f>
        <v>4.5908224540405385E-2</v>
      </c>
      <c r="BD61" s="1690">
        <f>BD60/'Income Statement'!BD53</f>
        <v>0</v>
      </c>
      <c r="BE61" s="1690">
        <f>BE60/'Income Statement'!BE53</f>
        <v>0</v>
      </c>
      <c r="BF61" s="1688"/>
      <c r="BG61" s="1688"/>
      <c r="BH61" s="1688"/>
      <c r="BI61" s="1688"/>
      <c r="BJ61" s="525"/>
      <c r="BK61" s="525"/>
      <c r="BL61" s="1685"/>
      <c r="BM61" s="525"/>
      <c r="BN61" s="421"/>
      <c r="BO61" s="525"/>
      <c r="BP61" s="525"/>
      <c r="BQ61" s="1691"/>
      <c r="BR61" s="1673"/>
      <c r="BS61" s="525"/>
      <c r="BT61" s="525"/>
      <c r="BU61" s="1691"/>
      <c r="BV61" s="1673"/>
      <c r="BW61" s="525"/>
      <c r="BX61" s="525"/>
      <c r="BY61" s="1691"/>
      <c r="BZ61" s="1673"/>
      <c r="CA61" s="1692"/>
      <c r="CB61" s="1692"/>
      <c r="CC61" s="1692"/>
      <c r="CD61" s="1692"/>
      <c r="CE61" s="1693"/>
      <c r="CF61" s="1693"/>
      <c r="CG61" s="1693"/>
      <c r="CH61" s="525"/>
      <c r="CI61" s="525"/>
      <c r="CJ61" s="525"/>
      <c r="CK61" s="547"/>
    </row>
    <row r="62" spans="1:89" s="949" customFormat="1" ht="12" customHeight="1">
      <c r="A62" s="1476" t="s">
        <v>341</v>
      </c>
      <c r="B62" s="1160"/>
      <c r="C62" s="953"/>
      <c r="D62" s="953"/>
      <c r="E62" s="1161"/>
      <c r="F62" s="1160"/>
      <c r="G62" s="953"/>
      <c r="H62" s="953"/>
      <c r="I62" s="1161"/>
      <c r="J62" s="1160"/>
      <c r="K62" s="953"/>
      <c r="L62" s="953"/>
      <c r="M62" s="1161"/>
      <c r="N62" s="1160"/>
      <c r="O62" s="953"/>
      <c r="P62" s="953"/>
      <c r="Q62" s="1161"/>
      <c r="R62" s="1160"/>
      <c r="S62" s="953"/>
      <c r="T62" s="953"/>
      <c r="U62" s="1161"/>
      <c r="V62" s="1160"/>
      <c r="W62" s="953"/>
      <c r="X62" s="953"/>
      <c r="Y62" s="1161"/>
      <c r="Z62" s="1694"/>
      <c r="AA62" s="1695"/>
      <c r="AB62" s="1695"/>
      <c r="AC62" s="1695">
        <v>41.92</v>
      </c>
      <c r="AD62" s="1694">
        <v>47.53</v>
      </c>
      <c r="AE62" s="1695">
        <v>42.46</v>
      </c>
      <c r="AF62" s="1695" t="s">
        <v>342</v>
      </c>
      <c r="AG62" s="1695">
        <v>41.59</v>
      </c>
      <c r="AH62" s="1694"/>
      <c r="AI62" s="1695"/>
      <c r="AJ62" s="1695"/>
      <c r="AK62" s="1695"/>
      <c r="AL62" s="1694"/>
      <c r="AM62" s="1695"/>
      <c r="AN62" s="1695"/>
      <c r="AO62" s="1695"/>
      <c r="AP62" s="1694"/>
      <c r="AQ62" s="1695"/>
      <c r="AR62" s="1695"/>
      <c r="AS62" s="1695"/>
      <c r="AT62" s="1160"/>
      <c r="AU62" s="953"/>
      <c r="AV62" s="953"/>
      <c r="AW62" s="953"/>
      <c r="AX62" s="953"/>
      <c r="AY62" s="953"/>
      <c r="AZ62" s="1696" t="str">
        <f>IF(ISERROR(AZ59/AZ60),"NA",AZ59/AZ60)</f>
        <v>NA</v>
      </c>
      <c r="BA62" s="1694">
        <f>BA59/BA60</f>
        <v>41.921176734785533</v>
      </c>
      <c r="BB62" s="1696"/>
      <c r="BC62" s="1697"/>
      <c r="BD62" s="1697"/>
      <c r="BE62" s="1697"/>
      <c r="BF62" s="953"/>
      <c r="BG62" s="953"/>
      <c r="BH62" s="953"/>
      <c r="BI62" s="953"/>
      <c r="BJ62" s="953"/>
      <c r="BK62" s="1698"/>
      <c r="BL62" s="1698"/>
      <c r="BM62" s="1698"/>
      <c r="BN62" s="953"/>
      <c r="BO62" s="1698"/>
      <c r="BP62" s="1698"/>
      <c r="BQ62" s="1698"/>
      <c r="BR62" s="1698"/>
      <c r="BS62" s="1698"/>
      <c r="BT62" s="1698"/>
      <c r="BU62" s="1698"/>
      <c r="BV62" s="1698"/>
      <c r="BW62" s="1698"/>
      <c r="BX62" s="1698"/>
      <c r="BY62" s="1698"/>
      <c r="BZ62" s="1698"/>
      <c r="CA62" s="1595"/>
      <c r="CB62" s="1595"/>
      <c r="CC62" s="1595"/>
      <c r="CD62" s="1595"/>
      <c r="CE62" s="1698"/>
      <c r="CF62" s="1595"/>
      <c r="CG62" s="1595"/>
      <c r="CH62" s="1595"/>
      <c r="CI62" s="1595"/>
      <c r="CJ62" s="1595"/>
      <c r="CK62" s="1699"/>
    </row>
    <row r="63" spans="1:89" s="1674" customFormat="1" ht="12" customHeight="1">
      <c r="A63" s="1700" t="s">
        <v>343</v>
      </c>
      <c r="B63" s="1701"/>
      <c r="C63" s="1702"/>
      <c r="D63" s="1702"/>
      <c r="E63" s="1703"/>
      <c r="F63" s="1701"/>
      <c r="G63" s="1702"/>
      <c r="H63" s="1702"/>
      <c r="I63" s="1703"/>
      <c r="J63" s="1701"/>
      <c r="K63" s="1702"/>
      <c r="L63" s="1702"/>
      <c r="M63" s="1703"/>
      <c r="N63" s="1701"/>
      <c r="O63" s="1702"/>
      <c r="P63" s="1702"/>
      <c r="Q63" s="1703"/>
      <c r="R63" s="1701"/>
      <c r="S63" s="1702"/>
      <c r="T63" s="1702"/>
      <c r="U63" s="1703"/>
      <c r="V63" s="1701"/>
      <c r="W63" s="1702"/>
      <c r="X63" s="1702"/>
      <c r="Y63" s="1703"/>
      <c r="Z63" s="1704"/>
      <c r="AA63" s="1705"/>
      <c r="AB63" s="1705">
        <v>100</v>
      </c>
      <c r="AC63" s="1705">
        <f>AB63-AC59</f>
        <v>85.066000000000003</v>
      </c>
      <c r="AD63" s="1704">
        <f t="shared" ref="AD63:AJ63" si="161">AC63-AD59</f>
        <v>60.075000000000003</v>
      </c>
      <c r="AE63" s="1705">
        <f t="shared" si="161"/>
        <v>35.075000000000003</v>
      </c>
      <c r="AF63" s="1705">
        <f t="shared" si="161"/>
        <v>35.075000000000003</v>
      </c>
      <c r="AG63" s="1705">
        <f>AF63-AG59+200</f>
        <v>185.089</v>
      </c>
      <c r="AH63" s="1704">
        <f>AG63-AH59</f>
        <v>125.089</v>
      </c>
      <c r="AI63" s="1705">
        <f t="shared" si="161"/>
        <v>60.09</v>
      </c>
      <c r="AJ63" s="1705">
        <f t="shared" si="161"/>
        <v>0.12100000000000932</v>
      </c>
      <c r="AK63" s="1705">
        <f>AJ63-AK59+150</f>
        <v>85.643000000000001</v>
      </c>
      <c r="AL63" s="1704">
        <f t="shared" ref="AL63:AS63" si="162">AK63-AL59</f>
        <v>85.643000000000001</v>
      </c>
      <c r="AM63" s="1705">
        <f t="shared" si="162"/>
        <v>85.643000000000001</v>
      </c>
      <c r="AN63" s="1705">
        <f t="shared" si="162"/>
        <v>85.643000000000001</v>
      </c>
      <c r="AO63" s="1705">
        <f t="shared" si="162"/>
        <v>85.643000000000001</v>
      </c>
      <c r="AP63" s="1704">
        <f t="shared" si="162"/>
        <v>85.643000000000001</v>
      </c>
      <c r="AQ63" s="1705">
        <f t="shared" si="162"/>
        <v>85.643000000000001</v>
      </c>
      <c r="AR63" s="1705">
        <f t="shared" si="162"/>
        <v>85.643000000000001</v>
      </c>
      <c r="AS63" s="1705">
        <f t="shared" si="162"/>
        <v>85.643000000000001</v>
      </c>
      <c r="AT63" s="1668"/>
      <c r="AU63" s="1669"/>
      <c r="AV63" s="1669"/>
      <c r="AW63" s="1669"/>
      <c r="AX63" s="1670"/>
      <c r="AY63" s="1670"/>
      <c r="AZ63" s="1706">
        <f>Y63</f>
        <v>0</v>
      </c>
      <c r="BA63" s="1704">
        <f>AC63</f>
        <v>85.066000000000003</v>
      </c>
      <c r="BB63" s="1706">
        <f>AG63</f>
        <v>185.089</v>
      </c>
      <c r="BC63" s="1707">
        <f>AK63</f>
        <v>85.643000000000001</v>
      </c>
      <c r="BD63" s="1707">
        <f>AO63</f>
        <v>85.643000000000001</v>
      </c>
      <c r="BE63" s="1707">
        <f>AS63</f>
        <v>85.643000000000001</v>
      </c>
      <c r="BF63" s="1670"/>
      <c r="BG63" s="1670"/>
      <c r="BH63" s="1670"/>
      <c r="BI63" s="1670"/>
      <c r="BJ63" s="1708"/>
      <c r="BK63" s="1708"/>
      <c r="BL63" s="1708"/>
      <c r="BM63" s="1708"/>
      <c r="BN63" s="1708"/>
      <c r="BO63" s="1708"/>
      <c r="BP63" s="1708"/>
      <c r="BQ63" s="1683"/>
      <c r="BR63" s="1673"/>
      <c r="BS63" s="1708"/>
      <c r="BT63" s="1708"/>
      <c r="BU63" s="1683"/>
      <c r="BV63" s="1673"/>
      <c r="BW63" s="1708"/>
      <c r="BX63" s="1708"/>
      <c r="BY63" s="1683"/>
      <c r="BZ63" s="1673"/>
      <c r="CA63" s="1709"/>
      <c r="CB63" s="1709"/>
      <c r="CC63" s="1709"/>
      <c r="CD63" s="1709"/>
      <c r="CE63" s="1708"/>
      <c r="CF63" s="1710"/>
      <c r="CG63" s="1710"/>
      <c r="CH63" s="1709"/>
      <c r="CI63" s="1709"/>
      <c r="CJ63" s="1709"/>
      <c r="CK63" s="547"/>
    </row>
    <row r="64" spans="1:89" s="949" customFormat="1" ht="12" customHeight="1">
      <c r="A64" s="45" t="s">
        <v>130</v>
      </c>
      <c r="B64" s="1164"/>
      <c r="C64" s="1164"/>
      <c r="D64" s="1164"/>
      <c r="E64" s="1164"/>
      <c r="F64" s="1164"/>
      <c r="G64" s="1164"/>
      <c r="H64" s="1164"/>
      <c r="I64" s="1164"/>
      <c r="J64" s="1164"/>
      <c r="K64" s="1164"/>
      <c r="L64" s="1164"/>
      <c r="M64" s="1164"/>
      <c r="N64" s="1164"/>
      <c r="O64" s="1164"/>
      <c r="P64" s="1164"/>
      <c r="Q64" s="1164"/>
      <c r="R64" s="1164"/>
      <c r="S64" s="953"/>
      <c r="T64" s="953"/>
      <c r="U64" s="953"/>
      <c r="V64" s="953"/>
      <c r="W64" s="953"/>
      <c r="X64" s="953"/>
      <c r="Y64" s="953"/>
      <c r="Z64" s="953"/>
      <c r="AA64" s="953"/>
      <c r="AB64" s="953"/>
      <c r="AC64" s="953"/>
      <c r="AD64" s="953"/>
      <c r="AE64" s="953"/>
      <c r="AF64" s="953"/>
      <c r="AG64" s="953"/>
      <c r="AH64" s="953"/>
      <c r="AI64" s="953"/>
      <c r="AJ64" s="953"/>
      <c r="AK64" s="953"/>
      <c r="AL64" s="953"/>
      <c r="AM64" s="953"/>
      <c r="AN64" s="953"/>
      <c r="AO64" s="953"/>
      <c r="AP64" s="953"/>
      <c r="AQ64" s="953"/>
      <c r="AR64" s="953"/>
      <c r="AS64" s="953"/>
      <c r="AT64" s="1660"/>
      <c r="AU64" s="953"/>
      <c r="AV64" s="953"/>
      <c r="AW64" s="953"/>
      <c r="AX64" s="953"/>
      <c r="AY64" s="953"/>
      <c r="AZ64" s="953"/>
      <c r="BA64" s="953"/>
      <c r="BB64" s="953"/>
      <c r="BC64" s="953"/>
      <c r="BD64" s="953"/>
      <c r="BE64" s="953"/>
    </row>
    <row r="65" spans="1:57" s="949" customFormat="1" ht="11.65">
      <c r="A65" s="1711"/>
      <c r="B65" s="1164"/>
      <c r="C65" s="1164"/>
      <c r="D65" s="1164"/>
      <c r="E65" s="1164"/>
      <c r="F65" s="1164"/>
      <c r="G65" s="1164"/>
      <c r="H65" s="1164"/>
      <c r="I65" s="1164"/>
      <c r="J65" s="1164"/>
      <c r="K65" s="1164"/>
      <c r="L65" s="1164"/>
      <c r="M65" s="1164"/>
      <c r="N65" s="1164"/>
      <c r="O65" s="1164"/>
      <c r="P65" s="1164"/>
      <c r="Q65" s="1164"/>
      <c r="R65" s="1164"/>
      <c r="S65" s="953"/>
      <c r="T65" s="953"/>
      <c r="U65" s="953"/>
      <c r="V65" s="953"/>
      <c r="W65" s="953"/>
      <c r="X65" s="953"/>
      <c r="Y65" s="953"/>
      <c r="Z65" s="953"/>
      <c r="AA65" s="953"/>
      <c r="AB65" s="953"/>
      <c r="AC65" s="953"/>
      <c r="AD65" s="953"/>
      <c r="AE65" s="953"/>
      <c r="AF65" s="953"/>
      <c r="AG65" s="953"/>
      <c r="AH65" s="953"/>
      <c r="AI65" s="953"/>
      <c r="AJ65" s="953"/>
      <c r="AK65" s="953"/>
      <c r="AL65" s="953"/>
      <c r="AM65" s="953"/>
      <c r="AN65" s="953"/>
      <c r="AO65" s="953"/>
      <c r="AP65" s="953"/>
      <c r="AQ65" s="953"/>
      <c r="AR65" s="953"/>
      <c r="AS65" s="953"/>
      <c r="AT65" s="1660"/>
      <c r="AU65" s="953"/>
      <c r="AV65" s="953"/>
      <c r="AW65" s="953"/>
      <c r="AX65" s="953"/>
      <c r="AY65" s="953"/>
      <c r="AZ65" s="953"/>
      <c r="BA65" s="953"/>
      <c r="BB65" s="953"/>
      <c r="BC65" s="953"/>
      <c r="BD65" s="953"/>
      <c r="BE65" s="953"/>
    </row>
    <row r="66" spans="1:57" s="1231" customFormat="1" ht="12.6" customHeight="1">
      <c r="A66" s="521" t="s">
        <v>14</v>
      </c>
      <c r="F66" s="1375"/>
      <c r="J66" s="1375"/>
    </row>
    <row r="67" spans="1:57" s="1231" customFormat="1" ht="12.6" customHeight="1">
      <c r="A67" s="288" t="s">
        <v>81</v>
      </c>
      <c r="B67" s="1231">
        <f>+'Income Statement'!B9</f>
        <v>40.481000000000002</v>
      </c>
      <c r="C67" s="1231">
        <f>+'Income Statement'!C9</f>
        <v>44.149000000000001</v>
      </c>
      <c r="D67" s="1231">
        <f>+'Income Statement'!D9</f>
        <v>48.980000000000004</v>
      </c>
      <c r="E67" s="1231">
        <f>+'Income Statement'!E9</f>
        <v>54.117000000000004</v>
      </c>
      <c r="F67" s="1231">
        <f>+'Income Statement'!F9</f>
        <v>59.106999999999999</v>
      </c>
      <c r="G67" s="1231">
        <f>+'Income Statement'!G9</f>
        <v>63.591999999999999</v>
      </c>
      <c r="H67" s="1231">
        <f>+'Income Statement'!H9</f>
        <v>69.44</v>
      </c>
      <c r="I67" s="1231">
        <f>+'Income Statement'!I9</f>
        <v>75.221000000000004</v>
      </c>
      <c r="J67" s="1231">
        <f>+'Income Statement'!J9</f>
        <v>80.301000000000002</v>
      </c>
      <c r="K67" s="1231">
        <f>+'Income Statement'!K9</f>
        <v>85.384</v>
      </c>
      <c r="L67" s="1231">
        <f>+'Income Statement'!L9</f>
        <v>91.852000000000004</v>
      </c>
      <c r="M67" s="1231">
        <f>+'Income Statement'!M9</f>
        <v>97.048999999999978</v>
      </c>
      <c r="N67" s="1231">
        <f>+'Income Statement'!N9</f>
        <v>102.648</v>
      </c>
      <c r="O67" s="1231">
        <f>+'Income Statement'!O9</f>
        <v>107.209</v>
      </c>
      <c r="P67" s="1231">
        <f>+'Income Statement'!P9</f>
        <v>112.28200000000001</v>
      </c>
      <c r="Q67" s="1231">
        <f>+'Income Statement'!Q9</f>
        <v>118.08200000000001</v>
      </c>
      <c r="R67" s="1231">
        <f>+'Income Statement'!R9</f>
        <v>123.18900000000001</v>
      </c>
      <c r="S67" s="1231">
        <f>+'Income Statement'!S9</f>
        <v>130.25900000000001</v>
      </c>
      <c r="T67" s="1231">
        <f>+'Income Statement'!T9</f>
        <v>138.66399999999999</v>
      </c>
      <c r="U67" s="1231">
        <f>+'Income Statement'!U9</f>
        <v>149.018</v>
      </c>
      <c r="V67" s="1231">
        <f>+'Income Statement'!V9</f>
        <v>159.36799999999999</v>
      </c>
      <c r="W67" s="1231">
        <f>+'Income Statement'!W9</f>
        <v>164.34100000000001</v>
      </c>
      <c r="X67" s="1231">
        <f>+'Income Statement'!X9</f>
        <v>174.851</v>
      </c>
      <c r="Y67" s="1231">
        <f>+'Income Statement'!Y9</f>
        <v>184.631</v>
      </c>
      <c r="Z67" s="1231">
        <f>+'Income Statement'!Z9</f>
        <v>188.83900000000003</v>
      </c>
      <c r="AA67" s="1231">
        <f>+'Income Statement'!AA9</f>
        <v>195.036</v>
      </c>
      <c r="AB67" s="1231">
        <f>+'Income Statement'!AB9</f>
        <v>201.529</v>
      </c>
      <c r="AC67" s="1231">
        <f>+'Income Statement'!AC9</f>
        <v>213.30599999999998</v>
      </c>
      <c r="AD67" s="1231">
        <f>+'Income Statement'!AD9</f>
        <v>215.96099999999998</v>
      </c>
      <c r="AE67" s="1231">
        <f>+'Income Statement'!AE9</f>
        <v>221.24100000000001</v>
      </c>
      <c r="AF67" s="1231">
        <f>+'Income Statement'!AF9</f>
        <v>227.08799999999999</v>
      </c>
      <c r="AG67" s="1231">
        <f>+'Income Statement'!AG9</f>
        <v>235.73099999999999</v>
      </c>
      <c r="AH67" s="1231">
        <f>+'Income Statement'!AH9</f>
        <v>239.137</v>
      </c>
      <c r="AI67" s="1231">
        <f>+'Income Statement'!AI9</f>
        <v>247.29500000000002</v>
      </c>
      <c r="AJ67" s="1231">
        <f>+'Income Statement'!AJ9</f>
        <v>252.44</v>
      </c>
      <c r="AK67" s="1231">
        <f>+'Income Statement'!AK9</f>
        <v>260.53300000000002</v>
      </c>
      <c r="AL67" s="1231">
        <f>+'Income Statement'!AL9</f>
        <v>258.56678500000004</v>
      </c>
      <c r="AM67" s="1231">
        <f>+'Income Statement'!AM9</f>
        <v>265.53653500000001</v>
      </c>
      <c r="AN67" s="1231">
        <f>+'Income Statement'!AN9</f>
        <v>268.74702500000001</v>
      </c>
      <c r="AO67" s="1231">
        <f>+'Income Statement'!AO9</f>
        <v>277.3886</v>
      </c>
      <c r="AP67" s="1231">
        <f>+'Income Statement'!AP9</f>
        <v>275.6068478665</v>
      </c>
      <c r="AQ67" s="1231">
        <f>+'Income Statement'!AQ9</f>
        <v>283.01608489799997</v>
      </c>
      <c r="AR67" s="1231">
        <f>+'Income Statement'!AR9</f>
        <v>286.39622882750007</v>
      </c>
      <c r="AS67" s="1231">
        <f>+'Income Statement'!AS9</f>
        <v>295.59132316000006</v>
      </c>
    </row>
    <row r="68" spans="1:57" s="1231" customFormat="1" ht="12.6" customHeight="1">
      <c r="A68" s="288" t="s">
        <v>272</v>
      </c>
      <c r="B68" s="1231">
        <f>+'Income Statement'!B16</f>
        <v>4.2329999999999997</v>
      </c>
      <c r="C68" s="1231">
        <f>+'Income Statement'!C16</f>
        <v>5.1470000000000002</v>
      </c>
      <c r="D68" s="1231">
        <f>+'Income Statement'!D16</f>
        <v>7.2100000000000009</v>
      </c>
      <c r="E68" s="1231">
        <f>+'Income Statement'!E16</f>
        <v>8.113999999999999</v>
      </c>
      <c r="F68" s="1231">
        <f>+'Income Statement'!F16</f>
        <v>8.5</v>
      </c>
      <c r="G68" s="1231">
        <f>+'Income Statement'!G16</f>
        <v>9.613999999999999</v>
      </c>
      <c r="H68" s="1231">
        <f>+'Income Statement'!H16</f>
        <v>11.318</v>
      </c>
      <c r="I68" s="1231">
        <f>+'Income Statement'!I16</f>
        <v>11.424999999999999</v>
      </c>
      <c r="J68" s="1231">
        <f>+'Income Statement'!J16</f>
        <v>12.423000000000002</v>
      </c>
      <c r="K68" s="1231">
        <f>+'Income Statement'!K16</f>
        <v>13.024999999999999</v>
      </c>
      <c r="L68" s="1231">
        <f>+'Income Statement'!L16</f>
        <v>14.425999999999998</v>
      </c>
      <c r="M68" s="1231">
        <f>+'Income Statement'!M16</f>
        <v>17.506999999999998</v>
      </c>
      <c r="N68" s="1231">
        <f>+'Income Statement'!N16</f>
        <v>17.375</v>
      </c>
      <c r="O68" s="1231">
        <f>+'Income Statement'!O16</f>
        <v>17.734000000000002</v>
      </c>
      <c r="P68" s="1231">
        <f>+'Income Statement'!P16</f>
        <v>17.988999999999997</v>
      </c>
      <c r="Q68" s="1231">
        <f>+'Income Statement'!Q16</f>
        <v>18.984000000000002</v>
      </c>
      <c r="R68" s="1231">
        <f>+'Income Statement'!R16</f>
        <v>20.556999999999999</v>
      </c>
      <c r="S68" s="1231">
        <f>+'Income Statement'!S16</f>
        <v>23.818999999999999</v>
      </c>
      <c r="T68" s="1231">
        <f>+'Income Statement'!T16</f>
        <v>24.144000000000002</v>
      </c>
      <c r="U68" s="1231">
        <f>+'Income Statement'!U16</f>
        <v>26.983000000000001</v>
      </c>
      <c r="V68" s="1231">
        <f>+'Income Statement'!V16</f>
        <v>30.990000000000002</v>
      </c>
      <c r="W68" s="1231">
        <f>+'Income Statement'!W16</f>
        <v>31.138000000000002</v>
      </c>
      <c r="X68" s="1231">
        <f>+'Income Statement'!X16</f>
        <v>33.161000000000001</v>
      </c>
      <c r="Y68" s="1231">
        <f>+'Income Statement'!Y16</f>
        <v>39.759</v>
      </c>
      <c r="Z68" s="1231">
        <f>+'Income Statement'!Z16</f>
        <v>39.801000000000002</v>
      </c>
      <c r="AA68" s="1231">
        <f>+'Income Statement'!AA16</f>
        <v>37.535000000000004</v>
      </c>
      <c r="AB68" s="1231">
        <f>+'Income Statement'!AB16</f>
        <v>39.687999999999995</v>
      </c>
      <c r="AC68" s="1231">
        <f>+'Income Statement'!AC16</f>
        <v>41.447000000000003</v>
      </c>
      <c r="AD68" s="1231">
        <f>+'Income Statement'!AD16</f>
        <v>41.281000000000006</v>
      </c>
      <c r="AE68" s="1231">
        <f>+'Income Statement'!AE16</f>
        <v>40.750000000000007</v>
      </c>
      <c r="AF68" s="1231">
        <f>+'Income Statement'!AF16</f>
        <v>42.268999999999998</v>
      </c>
      <c r="AG68" s="1231">
        <f>+'Income Statement'!AG16</f>
        <v>43.233999999999995</v>
      </c>
      <c r="AH68" s="1231">
        <f>+'Income Statement'!AH16</f>
        <v>43.281000000000006</v>
      </c>
      <c r="AI68" s="1231">
        <f>+'Income Statement'!AI16</f>
        <v>44.436999999999998</v>
      </c>
      <c r="AJ68" s="1231">
        <f>+'Income Statement'!AJ16</f>
        <v>46.475999999999999</v>
      </c>
      <c r="AK68" s="1231">
        <f>+'Income Statement'!AK16</f>
        <v>45.063999999999993</v>
      </c>
      <c r="AL68" s="1231">
        <f>+'Income Statement'!AL16</f>
        <v>47.056130614875777</v>
      </c>
      <c r="AM68" s="1231">
        <f>+'Income Statement'!AM16</f>
        <v>47.980399374099072</v>
      </c>
      <c r="AN68" s="1231">
        <f>+'Income Statement'!AN16</f>
        <v>47.836970450000017</v>
      </c>
      <c r="AO68" s="1231">
        <f>+'Income Statement'!AO16</f>
        <v>47.988227800000011</v>
      </c>
      <c r="AP68" s="1231">
        <f>+'Income Statement'!AP16</f>
        <v>50.432829600047214</v>
      </c>
      <c r="AQ68" s="1231">
        <f>+'Income Statement'!AQ16</f>
        <v>51.421835015031164</v>
      </c>
      <c r="AR68" s="1231">
        <f>+'Income Statement'!AR16</f>
        <v>51.264924960122528</v>
      </c>
      <c r="AS68" s="1231">
        <f>+'Income Statement'!AS16</f>
        <v>51.432890229840027</v>
      </c>
    </row>
    <row r="69" spans="1:57" s="1231" customFormat="1" ht="12.6" customHeight="1">
      <c r="A69" s="288" t="s">
        <v>273</v>
      </c>
      <c r="B69" s="1231">
        <f>+'Income Statement'!B21</f>
        <v>25.898</v>
      </c>
      <c r="C69" s="1231">
        <f>+'Income Statement'!C21</f>
        <v>27.414999999999999</v>
      </c>
      <c r="D69" s="1231">
        <f>+'Income Statement'!D21</f>
        <v>29.165000000000003</v>
      </c>
      <c r="E69" s="1231">
        <f>+'Income Statement'!E21</f>
        <v>32.241999999999997</v>
      </c>
      <c r="F69" s="1231">
        <f>+'Income Statement'!F21</f>
        <v>38.986000000000004</v>
      </c>
      <c r="G69" s="1231">
        <f>+'Income Statement'!G21</f>
        <v>41.151000000000003</v>
      </c>
      <c r="H69" s="1231">
        <f>+'Income Statement'!H21</f>
        <v>41.842999999999996</v>
      </c>
      <c r="I69" s="1231">
        <f>+'Income Statement'!I21</f>
        <v>44.453000000000003</v>
      </c>
      <c r="J69" s="1231">
        <f>+'Income Statement'!J21</f>
        <v>49.323</v>
      </c>
      <c r="K69" s="1231">
        <f>+'Income Statement'!K21</f>
        <v>51.8</v>
      </c>
      <c r="L69" s="1231">
        <f>+'Income Statement'!L21</f>
        <v>53.177999999999997</v>
      </c>
      <c r="M69" s="1231">
        <f>+'Income Statement'!M21</f>
        <v>57.701999999999998</v>
      </c>
      <c r="N69" s="1231">
        <f>+'Income Statement'!N21</f>
        <v>55.358999999999995</v>
      </c>
      <c r="O69" s="1231">
        <f>+'Income Statement'!O21</f>
        <v>50.067999999999998</v>
      </c>
      <c r="P69" s="1231">
        <f>+'Income Statement'!P21</f>
        <v>48.239000000000004</v>
      </c>
      <c r="Q69" s="1231">
        <f>+'Income Statement'!Q21</f>
        <v>50.768999999999998</v>
      </c>
      <c r="R69" s="1231">
        <f>+'Income Statement'!R21</f>
        <v>52.338999999999999</v>
      </c>
      <c r="S69" s="1231">
        <f>+'Income Statement'!S21</f>
        <v>58.100999999999999</v>
      </c>
      <c r="T69" s="1231">
        <f>+'Income Statement'!T21</f>
        <v>60.731000000000002</v>
      </c>
      <c r="U69" s="1231">
        <f>+'Income Statement'!U21</f>
        <v>69.457999999999998</v>
      </c>
      <c r="V69" s="1231">
        <f>+'Income Statement'!V21</f>
        <v>71.504999999999995</v>
      </c>
      <c r="W69" s="1231">
        <f>+'Income Statement'!W21</f>
        <v>75.66</v>
      </c>
      <c r="X69" s="1231">
        <f>+'Income Statement'!X21</f>
        <v>74.534000000000006</v>
      </c>
      <c r="Y69" s="1231">
        <f>+'Income Statement'!Y21</f>
        <v>78.348000000000013</v>
      </c>
      <c r="Z69" s="1231">
        <f>+'Income Statement'!Z21</f>
        <v>82.796999999999997</v>
      </c>
      <c r="AA69" s="1231">
        <f>+'Income Statement'!AA21</f>
        <v>81.376999999999995</v>
      </c>
      <c r="AB69" s="1231">
        <f>+'Income Statement'!AB21</f>
        <v>78.954000000000008</v>
      </c>
      <c r="AC69" s="1231">
        <f>+'Income Statement'!AC21</f>
        <v>89</v>
      </c>
      <c r="AD69" s="1231">
        <f>+'Income Statement'!AD21</f>
        <v>84.525000000000006</v>
      </c>
      <c r="AE69" s="1231">
        <f>+'Income Statement'!AE21</f>
        <v>84.853000000000009</v>
      </c>
      <c r="AF69" s="1231">
        <f>+'Income Statement'!AF21</f>
        <v>83.141999999999996</v>
      </c>
      <c r="AG69" s="1231">
        <f>+'Income Statement'!AG21</f>
        <v>80.138000000000005</v>
      </c>
      <c r="AH69" s="1231">
        <f>+'Income Statement'!AH21</f>
        <v>85.498000000000005</v>
      </c>
      <c r="AI69" s="1231">
        <f>+'Income Statement'!AI21</f>
        <v>89.015000000000001</v>
      </c>
      <c r="AJ69" s="1231">
        <f>+'Income Statement'!AJ21</f>
        <v>82.897999999999996</v>
      </c>
      <c r="AK69" s="1231">
        <f>+'Income Statement'!AK21</f>
        <v>89.425000000000011</v>
      </c>
      <c r="AL69" s="1231">
        <f>+'Income Statement'!AL21</f>
        <v>91.15184416299978</v>
      </c>
      <c r="AM69" s="1231">
        <f>+'Income Statement'!AM21</f>
        <v>91.598078415182783</v>
      </c>
      <c r="AN69" s="1231">
        <f>+'Income Statement'!AN21</f>
        <v>84.221808721220881</v>
      </c>
      <c r="AO69" s="1231">
        <f>+'Income Statement'!AO21</f>
        <v>91.049664699454581</v>
      </c>
      <c r="AP69" s="1231">
        <f>+'Income Statement'!AP21</f>
        <v>95.780896854554101</v>
      </c>
      <c r="AQ69" s="1231">
        <f>+'Income Statement'!AQ21</f>
        <v>96.212651056019922</v>
      </c>
      <c r="AR69" s="1231">
        <f>+'Income Statement'!AR21</f>
        <v>88.320857618593791</v>
      </c>
      <c r="AS69" s="1231">
        <f>+'Income Statement'!AS21</f>
        <v>95.546545695348073</v>
      </c>
    </row>
    <row r="70" spans="1:57" s="1231" customFormat="1" ht="12.6" customHeight="1">
      <c r="A70" s="288" t="s">
        <v>274</v>
      </c>
      <c r="B70" s="1231">
        <f>+'Income Statement'!B25</f>
        <v>-6.9690000000000012</v>
      </c>
      <c r="C70" s="1231">
        <f>+'Income Statement'!C25</f>
        <v>-7.2289999999999992</v>
      </c>
      <c r="D70" s="1231">
        <f>+'Income Statement'!D25</f>
        <v>-8.982999999999997</v>
      </c>
      <c r="E70" s="1231">
        <f>+'Income Statement'!E25</f>
        <v>-9.215999999999994</v>
      </c>
      <c r="F70" s="1231">
        <f>+'Income Statement'!F25</f>
        <v>-12.899000000000008</v>
      </c>
      <c r="G70" s="1231">
        <f>+'Income Statement'!G25</f>
        <v>-13.270000000000003</v>
      </c>
      <c r="H70" s="1231">
        <f>+'Income Statement'!H25</f>
        <v>-12.161999999999992</v>
      </c>
      <c r="I70" s="1231">
        <f>+'Income Statement'!I25</f>
        <v>-10.772000000000006</v>
      </c>
      <c r="J70" s="1231">
        <f>+'Income Statement'!J25</f>
        <v>-13.214999999999989</v>
      </c>
      <c r="K70" s="1231">
        <f>+'Income Statement'!K25</f>
        <v>-10.709999999999994</v>
      </c>
      <c r="L70" s="1231">
        <f>+'Income Statement'!L25</f>
        <v>-7.703000000000003</v>
      </c>
      <c r="M70" s="1231">
        <f>+'Income Statement'!M25</f>
        <v>-11.138000000000034</v>
      </c>
      <c r="N70" s="1231">
        <f>+'Income Statement'!N25</f>
        <v>-7.7189999999999941</v>
      </c>
      <c r="O70" s="1231">
        <f>+'Income Statement'!O25</f>
        <v>5.6789999999999878</v>
      </c>
      <c r="P70" s="1231">
        <f>+'Income Statement'!P25</f>
        <v>12.414000000000001</v>
      </c>
      <c r="Q70" s="1231">
        <f>+'Income Statement'!Q25</f>
        <v>15.419000000000011</v>
      </c>
      <c r="R70" s="1231">
        <f>+'Income Statement'!R25</f>
        <v>13.887</v>
      </c>
      <c r="S70" s="1231">
        <f>+'Income Statement'!S25</f>
        <v>11.534000000000006</v>
      </c>
      <c r="T70" s="1231">
        <f>+'Income Statement'!T25</f>
        <v>13.684999999999974</v>
      </c>
      <c r="U70" s="1231">
        <f>+'Income Statement'!U25</f>
        <v>11.878999999999991</v>
      </c>
      <c r="V70" s="1231">
        <f>+'Income Statement'!V25</f>
        <v>12.455999999999989</v>
      </c>
      <c r="W70" s="1231">
        <f>+'Income Statement'!W25</f>
        <v>12.191000000000003</v>
      </c>
      <c r="X70" s="1231">
        <f>+'Income Statement'!X25</f>
        <v>23.086999999999989</v>
      </c>
      <c r="Y70" s="1231">
        <f>+'Income Statement'!Y25</f>
        <v>19.936000000000007</v>
      </c>
      <c r="Z70" s="1231">
        <f>+'Income Statement'!Z25</f>
        <v>18.14100000000002</v>
      </c>
      <c r="AA70" s="1231">
        <f>+'Income Statement'!AA25</f>
        <v>30.218000000000004</v>
      </c>
      <c r="AB70" s="1231">
        <f>+'Income Statement'!AB25</f>
        <v>36.574999999999989</v>
      </c>
      <c r="AC70" s="1231">
        <f>+'Income Statement'!AC25</f>
        <v>36.062999999999988</v>
      </c>
      <c r="AD70" s="1231">
        <f>+'Income Statement'!AD25</f>
        <v>37.007999999999981</v>
      </c>
      <c r="AE70" s="1231">
        <f>+'Income Statement'!AE25</f>
        <v>42.78400000000002</v>
      </c>
      <c r="AF70" s="1231">
        <f>+'Income Statement'!AF25</f>
        <v>44.974999999999994</v>
      </c>
      <c r="AG70" s="1231">
        <f>+'Income Statement'!AG25</f>
        <v>59.350999999999999</v>
      </c>
      <c r="AH70" s="1231">
        <f>+'Income Statement'!AH25</f>
        <v>48.676999999999992</v>
      </c>
      <c r="AI70" s="1231">
        <f>+'Income Statement'!AI25</f>
        <v>47.696000000000026</v>
      </c>
      <c r="AJ70" s="1231">
        <f>+'Income Statement'!AJ25</f>
        <v>58.912999999999982</v>
      </c>
      <c r="AK70" s="1231">
        <f>+'Income Statement'!AK25</f>
        <v>63.693000000000012</v>
      </c>
      <c r="AL70" s="1231">
        <f>+'Income Statement'!AL25</f>
        <v>54.124983671035835</v>
      </c>
      <c r="AM70" s="1231">
        <f>+'Income Statement'!AM25</f>
        <v>55.71964124690399</v>
      </c>
      <c r="AN70" s="1231">
        <f>+'Income Statement'!AN25</f>
        <v>67.959781879032619</v>
      </c>
      <c r="AO70" s="1231">
        <f>+'Income Statement'!AO25</f>
        <v>72.677410244904081</v>
      </c>
      <c r="AP70" s="1231">
        <f>+'Income Statement'!AP25</f>
        <v>59.345568302057472</v>
      </c>
      <c r="AQ70" s="1231">
        <f>+'Income Statement'!AQ25</f>
        <v>61.08561061406624</v>
      </c>
      <c r="AR70" s="1231">
        <f>+'Income Statement'!AR25</f>
        <v>74.14122648950655</v>
      </c>
      <c r="AS70" s="1231">
        <f>+'Income Statement'!AS25</f>
        <v>79.220176452652851</v>
      </c>
    </row>
    <row r="71" spans="1:57" s="1231" customFormat="1" ht="12.95" customHeight="1">
      <c r="A71" s="288" t="s">
        <v>275</v>
      </c>
      <c r="B71" s="1231">
        <f>+'Income Statement'!B39</f>
        <v>-7.0590000000000011</v>
      </c>
      <c r="C71" s="1231">
        <f>+'Income Statement'!C39</f>
        <v>-7.2259999999999991</v>
      </c>
      <c r="D71" s="1231">
        <f>+'Income Statement'!D39</f>
        <v>-9.1469999999999967</v>
      </c>
      <c r="E71" s="1231">
        <f>+'Income Statement'!E39</f>
        <v>-9.2809999999999935</v>
      </c>
      <c r="F71" s="1231">
        <f>+'Income Statement'!F39</f>
        <v>-13.361000000000008</v>
      </c>
      <c r="G71" s="1231">
        <f>+'Income Statement'!G39</f>
        <v>-14.000000000000004</v>
      </c>
      <c r="H71" s="1231">
        <f>+'Income Statement'!H39</f>
        <v>-12.024999999999991</v>
      </c>
      <c r="I71" s="1231">
        <f>+'Income Statement'!I39</f>
        <v>-10.875000000000007</v>
      </c>
      <c r="J71" s="1231">
        <f>+'Income Statement'!J39</f>
        <v>-12.618999999999989</v>
      </c>
      <c r="K71" s="1231">
        <f>+'Income Statement'!K39</f>
        <v>-9.9829999999999934</v>
      </c>
      <c r="L71" s="1231">
        <f>+'Income Statement'!L39</f>
        <v>-6.743000000000003</v>
      </c>
      <c r="M71" s="1231">
        <f>+'Income Statement'!M39</f>
        <v>-11.148000000000033</v>
      </c>
      <c r="N71" s="1231">
        <f>+'Income Statement'!N39</f>
        <v>-8.8259999999999934</v>
      </c>
      <c r="O71" s="1231">
        <f>+'Income Statement'!O39</f>
        <v>4.7209999999999877</v>
      </c>
      <c r="P71" s="1231">
        <f>+'Income Statement'!P39</f>
        <v>10.518000000000001</v>
      </c>
      <c r="Q71" s="1231">
        <f>+'Income Statement'!Q39</f>
        <v>14.381000000000011</v>
      </c>
      <c r="R71" s="1231">
        <f>+'Income Statement'!R39</f>
        <v>14.745000000000001</v>
      </c>
      <c r="S71" s="1231">
        <f>+'Income Statement'!S39</f>
        <v>10.160000000000005</v>
      </c>
      <c r="T71" s="1231">
        <f>+'Income Statement'!T39</f>
        <v>8.0959999999999752</v>
      </c>
      <c r="U71" s="1231">
        <f>+'Income Statement'!U39</f>
        <v>5.9399999999999906</v>
      </c>
      <c r="V71" s="1231">
        <f>+'Income Statement'!V39</f>
        <v>6.9649999999999892</v>
      </c>
      <c r="W71" s="1231">
        <f>+'Income Statement'!W39</f>
        <v>5.9630000000000027</v>
      </c>
      <c r="X71" s="1231">
        <f>+'Income Statement'!X39</f>
        <v>17.182999999999989</v>
      </c>
      <c r="Y71" s="1231">
        <f>+'Income Statement'!Y39</f>
        <v>14.204000000000006</v>
      </c>
      <c r="Z71" s="1231">
        <f>+'Income Statement'!Z39</f>
        <v>13.06300000000002</v>
      </c>
      <c r="AA71" s="1231">
        <f>+'Income Statement'!AA39</f>
        <v>26.266000000000005</v>
      </c>
      <c r="AB71" s="1231">
        <f>+'Income Statement'!AB39</f>
        <v>27.667999999999989</v>
      </c>
      <c r="AC71" s="1231">
        <f>+'Income Statement'!AC39</f>
        <v>30.157999999999987</v>
      </c>
      <c r="AD71" s="1231">
        <f>+'Income Statement'!AD39</f>
        <v>30.43999999999998</v>
      </c>
      <c r="AE71" s="1231">
        <f>+'Income Statement'!AE39</f>
        <v>38.16200000000002</v>
      </c>
      <c r="AF71" s="1231">
        <f>+'Income Statement'!AF39</f>
        <v>39.322999999999993</v>
      </c>
      <c r="AG71" s="1231">
        <f>+'Income Statement'!AG39</f>
        <v>50.664000000000001</v>
      </c>
      <c r="AH71" s="1231">
        <f>+'Income Statement'!AH39</f>
        <v>44.249999999999993</v>
      </c>
      <c r="AI71" s="1231">
        <f>+'Income Statement'!AI39</f>
        <v>41.437000000000026</v>
      </c>
      <c r="AJ71" s="1231">
        <f>+'Income Statement'!AJ39</f>
        <v>51.437999999999981</v>
      </c>
      <c r="AK71" s="1231">
        <f>+'Income Statement'!AK39</f>
        <v>57.305000000000014</v>
      </c>
      <c r="AL71" s="1231">
        <f>+'Income Statement'!AL39</f>
        <v>47.861983671035837</v>
      </c>
      <c r="AM71" s="1231">
        <f>+'Income Statement'!AM39</f>
        <v>46.73164124690399</v>
      </c>
      <c r="AN71" s="1231">
        <f>+'Income Statement'!AN39</f>
        <v>59.171781879032615</v>
      </c>
      <c r="AO71" s="1231">
        <f>+'Income Statement'!AO39</f>
        <v>64.089410244904087</v>
      </c>
      <c r="AP71" s="1231">
        <f>+'Income Statement'!AP39</f>
        <v>50.957568302057467</v>
      </c>
      <c r="AQ71" s="1231">
        <f>+'Income Statement'!AQ39</f>
        <v>52.897610614066238</v>
      </c>
      <c r="AR71" s="1231">
        <f>+'Income Statement'!AR39</f>
        <v>66.153226489506537</v>
      </c>
      <c r="AS71" s="1231">
        <f>+'Income Statement'!AS39</f>
        <v>71.432176452652854</v>
      </c>
    </row>
    <row r="72" spans="1:57" ht="12.95" customHeight="1"/>
    <row r="73" spans="1:57" s="1231" customFormat="1" ht="12.6" customHeight="1">
      <c r="A73" s="521" t="s">
        <v>344</v>
      </c>
    </row>
    <row r="74" spans="1:57" s="288" customFormat="1" ht="12.95" customHeight="1">
      <c r="A74" s="1712" t="s">
        <v>345</v>
      </c>
      <c r="B74" s="1713">
        <f t="shared" ref="B74:AS74" si="163">+-B23/B67</f>
        <v>1.1363355648328846E-2</v>
      </c>
      <c r="C74" s="1713">
        <f t="shared" si="163"/>
        <v>5.0057758952637664E-3</v>
      </c>
      <c r="D74" s="1713">
        <f t="shared" si="163"/>
        <v>1.9334422213148218E-2</v>
      </c>
      <c r="E74" s="1713">
        <f t="shared" si="163"/>
        <v>2.0825248997542359E-2</v>
      </c>
      <c r="F74" s="1713">
        <f t="shared" si="163"/>
        <v>2.7001877950158189E-2</v>
      </c>
      <c r="G74" s="1713">
        <f t="shared" si="163"/>
        <v>2.1732293370235252E-2</v>
      </c>
      <c r="H74" s="1713">
        <f t="shared" si="163"/>
        <v>1.673387096774193E-2</v>
      </c>
      <c r="I74" s="1713">
        <f t="shared" si="163"/>
        <v>2.1177596681777686E-2</v>
      </c>
      <c r="J74" s="1713">
        <f t="shared" si="163"/>
        <v>2.8716952466345376E-2</v>
      </c>
      <c r="K74" s="1713">
        <f t="shared" si="163"/>
        <v>3.5475030450669916E-2</v>
      </c>
      <c r="L74" s="1713">
        <f t="shared" si="163"/>
        <v>5.364063928929147E-2</v>
      </c>
      <c r="M74" s="1713">
        <f t="shared" si="163"/>
        <v>0.10728601015981619</v>
      </c>
      <c r="N74" s="1713">
        <f t="shared" si="163"/>
        <v>5.981607045436833E-3</v>
      </c>
      <c r="O74" s="1713">
        <f t="shared" si="163"/>
        <v>9.6913505396002186E-2</v>
      </c>
      <c r="P74" s="1713">
        <f t="shared" si="163"/>
        <v>7.186370032596498E-2</v>
      </c>
      <c r="Q74" s="1713">
        <f t="shared" si="163"/>
        <v>1.0196304263139179E-2</v>
      </c>
      <c r="R74" s="1713">
        <f t="shared" si="163"/>
        <v>8.6127819854045409E-3</v>
      </c>
      <c r="S74" s="1713">
        <f t="shared" si="163"/>
        <v>1.177653751372266E-2</v>
      </c>
      <c r="T74" s="1714">
        <f t="shared" si="163"/>
        <v>8.4665089713263711E-3</v>
      </c>
      <c r="U74" s="1714">
        <f t="shared" si="163"/>
        <v>1.8735991625172796E-2</v>
      </c>
      <c r="V74" s="1714">
        <f t="shared" si="163"/>
        <v>3.0187992570654083E-2</v>
      </c>
      <c r="W74" s="1714">
        <f t="shared" si="163"/>
        <v>2.8915486701431781E-2</v>
      </c>
      <c r="X74" s="1714">
        <f t="shared" si="163"/>
        <v>2.4861167508335665E-2</v>
      </c>
      <c r="Y74" s="1714">
        <f t="shared" si="163"/>
        <v>2.8370100362344348E-2</v>
      </c>
      <c r="Z74" s="1714">
        <f t="shared" si="163"/>
        <v>2.0493648028214509E-3</v>
      </c>
      <c r="AA74" s="1714">
        <f t="shared" si="163"/>
        <v>3.6454808343075128E-3</v>
      </c>
      <c r="AB74" s="1714">
        <f t="shared" si="163"/>
        <v>9.9737506760813502E-4</v>
      </c>
      <c r="AC74" s="1714">
        <f t="shared" si="163"/>
        <v>1.8986807684734609E-3</v>
      </c>
      <c r="AD74" s="1714">
        <f t="shared" si="163"/>
        <v>3.0792596811461334E-3</v>
      </c>
      <c r="AE74" s="1714">
        <f t="shared" si="163"/>
        <v>2.3774978417201152E-3</v>
      </c>
      <c r="AF74" s="1714">
        <f t="shared" si="163"/>
        <v>3.2278235750017609E-3</v>
      </c>
      <c r="AG74" s="1714">
        <f t="shared" si="163"/>
        <v>9.8544527448659706E-3</v>
      </c>
      <c r="AH74" s="1714">
        <f t="shared" si="163"/>
        <v>2.7402702216720958E-2</v>
      </c>
      <c r="AI74" s="1714">
        <f t="shared" si="163"/>
        <v>1.7582239835014859E-2</v>
      </c>
      <c r="AJ74" s="1714">
        <f t="shared" si="163"/>
        <v>3.4344794802725434E-3</v>
      </c>
      <c r="AK74" s="1714">
        <f t="shared" si="163"/>
        <v>1.2819873106285945E-3</v>
      </c>
      <c r="AL74" s="1714">
        <f t="shared" si="163"/>
        <v>2.7277285440974172E-2</v>
      </c>
      <c r="AM74" s="1714">
        <f t="shared" si="163"/>
        <v>1.8257374639614091E-2</v>
      </c>
      <c r="AN74" s="1714">
        <f t="shared" si="163"/>
        <v>5.0865679350310979E-3</v>
      </c>
      <c r="AO74" s="1714">
        <f t="shared" si="163"/>
        <v>3.006612384214779E-3</v>
      </c>
      <c r="AP74" s="1714">
        <f t="shared" si="163"/>
        <v>2.7404979442523011E-2</v>
      </c>
      <c r="AQ74" s="1714">
        <f t="shared" si="163"/>
        <v>1.8896452482294209E-2</v>
      </c>
      <c r="AR74" s="1714">
        <f t="shared" si="163"/>
        <v>6.5189405867649109E-3</v>
      </c>
      <c r="AS74" s="1714">
        <f t="shared" si="163"/>
        <v>4.5129876808931947E-3</v>
      </c>
    </row>
    <row r="75" spans="1:57" s="288" customFormat="1" ht="12.95" customHeight="1"/>
    <row r="76" spans="1:57" s="521" customFormat="1" ht="12.95" customHeight="1">
      <c r="A76" s="521" t="s">
        <v>346</v>
      </c>
      <c r="B76" s="189">
        <f t="shared" ref="B76:AJ76" si="164">B8</f>
        <v>1.036</v>
      </c>
      <c r="C76" s="189">
        <f t="shared" si="164"/>
        <v>1.085</v>
      </c>
      <c r="D76" s="189">
        <f t="shared" si="164"/>
        <v>1.1949999999999998</v>
      </c>
      <c r="E76" s="189">
        <f t="shared" si="164"/>
        <v>1.3760000000000003</v>
      </c>
      <c r="F76" s="189">
        <f t="shared" si="164"/>
        <v>1.454</v>
      </c>
      <c r="G76" s="189">
        <f t="shared" si="164"/>
        <v>1.5400000000000003</v>
      </c>
      <c r="H76" s="189">
        <f t="shared" si="164"/>
        <v>1.5859999999999999</v>
      </c>
      <c r="I76" s="189">
        <f t="shared" si="164"/>
        <v>1.6119999999999999</v>
      </c>
      <c r="J76" s="189">
        <f t="shared" si="164"/>
        <v>1.6220000000000001</v>
      </c>
      <c r="K76" s="189">
        <f t="shared" si="164"/>
        <v>1.4669999999999999</v>
      </c>
      <c r="L76" s="189">
        <f t="shared" si="164"/>
        <v>1.5150000000000003</v>
      </c>
      <c r="M76" s="189">
        <f t="shared" si="164"/>
        <v>2.2759999999999998</v>
      </c>
      <c r="N76" s="189">
        <f t="shared" si="164"/>
        <v>2.6779999999999999</v>
      </c>
      <c r="O76" s="189">
        <f t="shared" si="164"/>
        <v>2.59</v>
      </c>
      <c r="P76" s="189">
        <f t="shared" si="164"/>
        <v>2.7120000000000006</v>
      </c>
      <c r="Q76" s="189">
        <f t="shared" si="164"/>
        <v>2.6529999999999987</v>
      </c>
      <c r="R76" s="189">
        <f t="shared" si="164"/>
        <v>2.8159999999999998</v>
      </c>
      <c r="S76" s="189">
        <f t="shared" si="164"/>
        <v>3.9910000000000005</v>
      </c>
      <c r="T76" s="189">
        <f t="shared" si="164"/>
        <v>4.3159999999999989</v>
      </c>
      <c r="U76" s="189">
        <f t="shared" si="164"/>
        <v>5.0470000000000024</v>
      </c>
      <c r="V76" s="189">
        <f t="shared" si="164"/>
        <v>4.8959999999999999</v>
      </c>
      <c r="W76" s="189">
        <f t="shared" si="164"/>
        <v>5.2450000000000001</v>
      </c>
      <c r="X76" s="189">
        <f t="shared" si="164"/>
        <v>5.77</v>
      </c>
      <c r="Y76" s="189">
        <f t="shared" si="164"/>
        <v>6.2829999999999995</v>
      </c>
      <c r="Z76" s="189">
        <f t="shared" si="164"/>
        <v>6.3650000000000002</v>
      </c>
      <c r="AA76" s="189">
        <f t="shared" si="164"/>
        <v>6.2590000000000003</v>
      </c>
      <c r="AB76" s="189">
        <f t="shared" si="164"/>
        <v>6.275999999999998</v>
      </c>
      <c r="AC76" s="189">
        <f t="shared" si="164"/>
        <v>8.208000000000002</v>
      </c>
      <c r="AD76" s="189">
        <f t="shared" si="164"/>
        <v>8.2319999999999993</v>
      </c>
      <c r="AE76" s="189">
        <f t="shared" si="164"/>
        <v>7.6320000000000014</v>
      </c>
      <c r="AF76" s="189">
        <f t="shared" si="164"/>
        <v>8.57</v>
      </c>
      <c r="AG76" s="189">
        <f t="shared" si="164"/>
        <v>8.7750000000000021</v>
      </c>
      <c r="AH76" s="189">
        <f t="shared" si="164"/>
        <v>9.8539999999999992</v>
      </c>
      <c r="AI76" s="189">
        <f t="shared" si="164"/>
        <v>10.826000000000001</v>
      </c>
      <c r="AJ76" s="189">
        <f t="shared" si="164"/>
        <v>11.137</v>
      </c>
      <c r="AK76" s="189">
        <f t="shared" ref="AK76:AN76" si="165">AK77+AK78</f>
        <v>11.276617394232293</v>
      </c>
      <c r="AL76" s="189">
        <f t="shared" si="165"/>
        <v>11.242696992057521</v>
      </c>
      <c r="AM76" s="189">
        <f t="shared" si="165"/>
        <v>11.362936499465221</v>
      </c>
      <c r="AN76" s="189">
        <f t="shared" si="165"/>
        <v>11.418322666277136</v>
      </c>
      <c r="AO76" s="189">
        <f>AO77+AO78</f>
        <v>11.567403870226588</v>
      </c>
      <c r="AP76" s="189">
        <f t="shared" ref="AP76:AR76" si="166">AP77+AP78</f>
        <v>11.536665752093993</v>
      </c>
      <c r="AQ76" s="189">
        <f t="shared" si="166"/>
        <v>11.66448712458719</v>
      </c>
      <c r="AR76" s="189">
        <f t="shared" si="166"/>
        <v>11.722800097226125</v>
      </c>
      <c r="AS76" s="189">
        <f>AS77+AS78</f>
        <v>11.881430408658694</v>
      </c>
    </row>
    <row r="77" spans="1:57" s="288" customFormat="1" ht="12.95" customHeight="1">
      <c r="A77" s="1712" t="s">
        <v>347</v>
      </c>
      <c r="B77" s="531">
        <f>'Income Statement'!B85</f>
        <v>0.15100000000000002</v>
      </c>
      <c r="C77" s="531">
        <f>'Income Statement'!C85</f>
        <v>0.151</v>
      </c>
      <c r="D77" s="531">
        <f>'Income Statement'!D85</f>
        <v>0.151</v>
      </c>
      <c r="E77" s="531">
        <f>'Income Statement'!E85</f>
        <v>0.15</v>
      </c>
      <c r="F77" s="531">
        <f>'Income Statement'!F85</f>
        <v>0.151</v>
      </c>
      <c r="G77" s="531">
        <f>'Income Statement'!G85</f>
        <v>0.151</v>
      </c>
      <c r="H77" s="531">
        <f>'Income Statement'!H85</f>
        <v>0.151</v>
      </c>
      <c r="I77" s="531">
        <f>'Income Statement'!I85</f>
        <v>0.15</v>
      </c>
      <c r="J77" s="531">
        <f>'Income Statement'!J85</f>
        <v>0.151</v>
      </c>
      <c r="K77" s="531">
        <f>'Income Statement'!K85</f>
        <v>0.151</v>
      </c>
      <c r="L77" s="531">
        <f>'Income Statement'!L85</f>
        <v>0.125</v>
      </c>
      <c r="M77" s="531">
        <f>'Income Statement'!M85</f>
        <v>0.193</v>
      </c>
      <c r="N77" s="531">
        <f>'Income Statement'!N85</f>
        <v>0.57899999999999996</v>
      </c>
      <c r="O77" s="531">
        <f>'Income Statement'!O85</f>
        <v>0.57799999999999996</v>
      </c>
      <c r="P77" s="531">
        <f>'Income Statement'!P85</f>
        <v>0.57899999999999996</v>
      </c>
      <c r="Q77" s="531">
        <f>'Income Statement'!Q85</f>
        <v>0.57799999999999996</v>
      </c>
      <c r="R77" s="531">
        <f>'Income Statement'!R85</f>
        <v>0.57899999999999996</v>
      </c>
      <c r="S77" s="531">
        <f>'Income Statement'!S85</f>
        <v>1.4039999999999999</v>
      </c>
      <c r="T77" s="531">
        <f>'Income Statement'!T85</f>
        <v>1.7210000000000001</v>
      </c>
      <c r="U77" s="531">
        <f>'Income Statement'!U85</f>
        <v>2.7429999999999999</v>
      </c>
      <c r="V77" s="531">
        <f>'Income Statement'!V85</f>
        <v>2.427</v>
      </c>
      <c r="W77" s="531">
        <f>'Income Statement'!W85</f>
        <v>2.7850000000000001</v>
      </c>
      <c r="X77" s="531">
        <f>'Income Statement'!X85</f>
        <v>3.08</v>
      </c>
      <c r="Y77" s="531">
        <f>'Income Statement'!Y85</f>
        <v>3.08</v>
      </c>
      <c r="Z77" s="531">
        <f>'Income Statement'!Z85</f>
        <v>3.08</v>
      </c>
      <c r="AA77" s="531">
        <f>'Income Statement'!AA85</f>
        <v>3.073</v>
      </c>
      <c r="AB77" s="531">
        <f>'Income Statement'!AB85</f>
        <v>3.0550000000000002</v>
      </c>
      <c r="AC77" s="531">
        <f>'Income Statement'!AC85</f>
        <v>4.6509999999999998</v>
      </c>
      <c r="AD77" s="531">
        <f>'Income Statement'!AD85</f>
        <v>4.6689999999999996</v>
      </c>
      <c r="AE77" s="531">
        <f>'Income Statement'!AE85</f>
        <v>4.76</v>
      </c>
      <c r="AF77" s="531">
        <f>'Income Statement'!AF85</f>
        <v>5.0140000000000002</v>
      </c>
      <c r="AG77" s="531">
        <f>'Income Statement'!AG85</f>
        <v>5.0140000000000002</v>
      </c>
      <c r="AH77" s="531">
        <f>'Income Statement'!AH85</f>
        <v>5.8639999999999999</v>
      </c>
      <c r="AI77" s="531">
        <f>'Income Statement'!AI85</f>
        <v>6.5369999999999999</v>
      </c>
      <c r="AJ77" s="531">
        <f>'Income Statement'!AJ85</f>
        <v>6.782</v>
      </c>
      <c r="AK77" s="531">
        <f>'Income Statement'!AK85</f>
        <v>6.782</v>
      </c>
      <c r="AL77" s="531">
        <f>'Income Statement'!AL85</f>
        <v>6.782</v>
      </c>
      <c r="AM77" s="531">
        <f>'Income Statement'!AM85</f>
        <v>6.782</v>
      </c>
      <c r="AN77" s="531">
        <f>'Income Statement'!AN85</f>
        <v>6.782</v>
      </c>
      <c r="AO77" s="531">
        <f>'Income Statement'!AO85</f>
        <v>6.782</v>
      </c>
      <c r="AP77" s="531">
        <f>'Income Statement'!AP85</f>
        <v>6.782</v>
      </c>
      <c r="AQ77" s="531">
        <f>'Income Statement'!AQ85</f>
        <v>6.782</v>
      </c>
      <c r="AR77" s="531">
        <f>'Income Statement'!AR85</f>
        <v>6.782</v>
      </c>
      <c r="AS77" s="531">
        <f>'Income Statement'!AS85</f>
        <v>6.782</v>
      </c>
    </row>
    <row r="78" spans="1:57" s="288" customFormat="1" ht="12.95" customHeight="1">
      <c r="A78" s="1712" t="s">
        <v>348</v>
      </c>
      <c r="B78" s="531">
        <f t="shared" ref="B78:R78" si="167">B76-B77</f>
        <v>0.88500000000000001</v>
      </c>
      <c r="C78" s="531">
        <f t="shared" si="167"/>
        <v>0.93399999999999994</v>
      </c>
      <c r="D78" s="531">
        <f t="shared" si="167"/>
        <v>1.0439999999999998</v>
      </c>
      <c r="E78" s="531">
        <f t="shared" si="167"/>
        <v>1.2260000000000004</v>
      </c>
      <c r="F78" s="531">
        <f t="shared" si="167"/>
        <v>1.3029999999999999</v>
      </c>
      <c r="G78" s="531">
        <f t="shared" si="167"/>
        <v>1.3890000000000002</v>
      </c>
      <c r="H78" s="531">
        <f t="shared" si="167"/>
        <v>1.4349999999999998</v>
      </c>
      <c r="I78" s="531">
        <f t="shared" si="167"/>
        <v>1.462</v>
      </c>
      <c r="J78" s="531">
        <f t="shared" si="167"/>
        <v>1.4710000000000001</v>
      </c>
      <c r="K78" s="531">
        <f t="shared" si="167"/>
        <v>1.3159999999999998</v>
      </c>
      <c r="L78" s="531">
        <f t="shared" si="167"/>
        <v>1.3900000000000003</v>
      </c>
      <c r="M78" s="531">
        <f t="shared" si="167"/>
        <v>2.0829999999999997</v>
      </c>
      <c r="N78" s="531">
        <f t="shared" si="167"/>
        <v>2.0990000000000002</v>
      </c>
      <c r="O78" s="531">
        <f t="shared" si="167"/>
        <v>2.012</v>
      </c>
      <c r="P78" s="531">
        <f t="shared" si="167"/>
        <v>2.1330000000000009</v>
      </c>
      <c r="Q78" s="531">
        <f t="shared" si="167"/>
        <v>2.0749999999999988</v>
      </c>
      <c r="R78" s="531">
        <f t="shared" si="167"/>
        <v>2.2370000000000001</v>
      </c>
      <c r="S78" s="531">
        <f>S76-S77</f>
        <v>2.5870000000000006</v>
      </c>
      <c r="T78" s="531">
        <f>T76-T77</f>
        <v>2.5949999999999989</v>
      </c>
      <c r="U78" s="531">
        <f t="shared" ref="U78:AJ78" si="168">U76-U77</f>
        <v>2.3040000000000025</v>
      </c>
      <c r="V78" s="531">
        <f t="shared" si="168"/>
        <v>2.4689999999999999</v>
      </c>
      <c r="W78" s="531">
        <f t="shared" si="168"/>
        <v>2.46</v>
      </c>
      <c r="X78" s="531">
        <f t="shared" si="168"/>
        <v>2.6899999999999995</v>
      </c>
      <c r="Y78" s="531">
        <f t="shared" si="168"/>
        <v>3.2029999999999994</v>
      </c>
      <c r="Z78" s="531">
        <f t="shared" si="168"/>
        <v>3.2850000000000001</v>
      </c>
      <c r="AA78" s="531">
        <f t="shared" si="168"/>
        <v>3.1860000000000004</v>
      </c>
      <c r="AB78" s="531">
        <f t="shared" si="168"/>
        <v>3.2209999999999979</v>
      </c>
      <c r="AC78" s="531">
        <f t="shared" si="168"/>
        <v>3.5570000000000022</v>
      </c>
      <c r="AD78" s="531">
        <f t="shared" si="168"/>
        <v>3.5629999999999997</v>
      </c>
      <c r="AE78" s="531">
        <f t="shared" si="168"/>
        <v>2.8720000000000017</v>
      </c>
      <c r="AF78" s="531">
        <f t="shared" si="168"/>
        <v>3.556</v>
      </c>
      <c r="AG78" s="531">
        <f t="shared" si="168"/>
        <v>3.7610000000000019</v>
      </c>
      <c r="AH78" s="531">
        <f t="shared" si="168"/>
        <v>3.9899999999999993</v>
      </c>
      <c r="AI78" s="531">
        <f t="shared" si="168"/>
        <v>4.2890000000000006</v>
      </c>
      <c r="AJ78" s="531">
        <f t="shared" si="168"/>
        <v>4.3550000000000004</v>
      </c>
      <c r="AK78" s="531">
        <f t="shared" ref="AK78:AS78" si="169">AK67*AK81</f>
        <v>4.4946173942322938</v>
      </c>
      <c r="AL78" s="531">
        <f t="shared" si="169"/>
        <v>4.4606969920575201</v>
      </c>
      <c r="AM78" s="531">
        <f t="shared" si="169"/>
        <v>4.5809364994652206</v>
      </c>
      <c r="AN78" s="531">
        <f t="shared" si="169"/>
        <v>4.6363226662771364</v>
      </c>
      <c r="AO78" s="531">
        <f t="shared" si="169"/>
        <v>4.7854038702265891</v>
      </c>
      <c r="AP78" s="531">
        <f t="shared" si="169"/>
        <v>4.7546657520939934</v>
      </c>
      <c r="AQ78" s="531">
        <f t="shared" si="169"/>
        <v>4.8824871245871897</v>
      </c>
      <c r="AR78" s="531">
        <f t="shared" si="169"/>
        <v>4.9408000972261252</v>
      </c>
      <c r="AS78" s="531">
        <f t="shared" si="169"/>
        <v>5.0994304086586935</v>
      </c>
    </row>
    <row r="79" spans="1:57" s="521" customFormat="1" ht="12.95" customHeight="1">
      <c r="A79" s="521" t="s">
        <v>349</v>
      </c>
      <c r="B79" s="1715">
        <f t="shared" ref="B79:E81" si="170">+B76/B$67</f>
        <v>2.5592253155801485E-2</v>
      </c>
      <c r="C79" s="1715">
        <f t="shared" si="170"/>
        <v>2.4575868083082288E-2</v>
      </c>
      <c r="D79" s="1715">
        <f t="shared" si="170"/>
        <v>2.4397713352388724E-2</v>
      </c>
      <c r="E79" s="1715">
        <f t="shared" si="170"/>
        <v>2.5426390967718097E-2</v>
      </c>
      <c r="F79" s="1715">
        <f>+F76/F$67</f>
        <v>2.4599455225269427E-2</v>
      </c>
      <c r="G79" s="1715">
        <f>+G76/G$67</f>
        <v>2.4216882626745508E-2</v>
      </c>
      <c r="H79" s="1715">
        <f>+H76/H$67</f>
        <v>2.2839861751152074E-2</v>
      </c>
      <c r="I79" s="1715">
        <f t="shared" ref="I79" si="171">+I76/I$67</f>
        <v>2.143018571941346E-2</v>
      </c>
      <c r="J79" s="1715">
        <f>+J76/J$67</f>
        <v>2.0199001257767649E-2</v>
      </c>
      <c r="K79" s="1715">
        <f>+K76/K$67</f>
        <v>1.7181204909584934E-2</v>
      </c>
      <c r="L79" s="1715">
        <f>+L76/L$67</f>
        <v>1.6493925009798373E-2</v>
      </c>
      <c r="M79" s="1715">
        <f t="shared" ref="M79:N79" si="172">+M76/M$67</f>
        <v>2.3452070603509571E-2</v>
      </c>
      <c r="N79" s="1715">
        <f t="shared" si="172"/>
        <v>2.6089159067882471E-2</v>
      </c>
      <c r="O79" s="1715">
        <f>+O76/O$67</f>
        <v>2.4158419535673308E-2</v>
      </c>
      <c r="P79" s="1715">
        <f t="shared" ref="P79:Q79" si="173">+P76/P$67</f>
        <v>2.415347072549474E-2</v>
      </c>
      <c r="Q79" s="1715">
        <f t="shared" si="173"/>
        <v>2.246743788214968E-2</v>
      </c>
      <c r="R79" s="1715">
        <f>+R76/R$67</f>
        <v>2.28591838557014E-2</v>
      </c>
      <c r="S79" s="1715">
        <f t="shared" ref="S79" si="174">+S76/S$67</f>
        <v>3.0638957768753024E-2</v>
      </c>
      <c r="T79" s="1715">
        <f>T80+T81</f>
        <v>3.1125598569203251E-2</v>
      </c>
      <c r="U79" s="1715">
        <f t="shared" ref="U79:AS79" si="175">U80+U81</f>
        <v>3.3868391737910869E-2</v>
      </c>
      <c r="V79" s="1715">
        <f t="shared" si="175"/>
        <v>3.0721349329852918E-2</v>
      </c>
      <c r="W79" s="1715">
        <f t="shared" si="175"/>
        <v>3.1915346748528972E-2</v>
      </c>
      <c r="X79" s="1715">
        <f t="shared" si="175"/>
        <v>3.2999525310121187E-2</v>
      </c>
      <c r="Y79" s="1715">
        <f t="shared" si="175"/>
        <v>3.4030038292594419E-2</v>
      </c>
      <c r="Z79" s="1715">
        <f t="shared" si="175"/>
        <v>3.3705961162683554E-2</v>
      </c>
      <c r="AA79" s="1715">
        <f t="shared" si="175"/>
        <v>3.2091511310732374E-2</v>
      </c>
      <c r="AB79" s="1715">
        <f t="shared" si="175"/>
        <v>3.1141920021436113E-2</v>
      </c>
      <c r="AC79" s="1715">
        <f t="shared" si="175"/>
        <v>3.8479930241062152E-2</v>
      </c>
      <c r="AD79" s="1715">
        <f t="shared" si="175"/>
        <v>3.8117993526608968E-2</v>
      </c>
      <c r="AE79" s="1715">
        <f t="shared" si="175"/>
        <v>3.4496318494311638E-2</v>
      </c>
      <c r="AF79" s="1715">
        <f t="shared" si="175"/>
        <v>3.7738673994222503E-2</v>
      </c>
      <c r="AG79" s="1715">
        <f t="shared" si="175"/>
        <v>3.7224633162375773E-2</v>
      </c>
      <c r="AH79" s="1715">
        <f t="shared" si="175"/>
        <v>4.1206505057770224E-2</v>
      </c>
      <c r="AI79" s="1715">
        <f t="shared" si="175"/>
        <v>4.3777674437412803E-2</v>
      </c>
      <c r="AJ79" s="1715">
        <f t="shared" si="175"/>
        <v>4.4117414038979563E-2</v>
      </c>
      <c r="AK79" s="1715">
        <f t="shared" si="175"/>
        <v>4.3282875467723067E-2</v>
      </c>
      <c r="AL79" s="1715">
        <f t="shared" si="175"/>
        <v>4.3480824468840877E-2</v>
      </c>
      <c r="AM79" s="1715">
        <f t="shared" si="175"/>
        <v>4.2792365651171956E-2</v>
      </c>
      <c r="AN79" s="1715">
        <f t="shared" si="175"/>
        <v>4.2487252338057085E-2</v>
      </c>
      <c r="AO79" s="1715">
        <f t="shared" si="175"/>
        <v>4.1701078812274875E-2</v>
      </c>
      <c r="AP79" s="1715">
        <f t="shared" si="175"/>
        <v>4.1859140443717094E-2</v>
      </c>
      <c r="AQ79" s="1715">
        <f t="shared" si="175"/>
        <v>4.1214926454767098E-2</v>
      </c>
      <c r="AR79" s="1715">
        <f t="shared" si="175"/>
        <v>4.0932103558831812E-2</v>
      </c>
      <c r="AS79" s="1715">
        <f t="shared" si="175"/>
        <v>4.0195464067216261E-2</v>
      </c>
      <c r="AT79" s="1716"/>
    </row>
    <row r="80" spans="1:57" s="288" customFormat="1" ht="12.95" customHeight="1">
      <c r="A80" s="1712" t="s">
        <v>350</v>
      </c>
      <c r="B80" s="1713">
        <f t="shared" si="170"/>
        <v>3.7301450062992517E-3</v>
      </c>
      <c r="C80" s="1713">
        <f t="shared" si="170"/>
        <v>3.420236018935876E-3</v>
      </c>
      <c r="D80" s="1713">
        <f t="shared" si="170"/>
        <v>3.0828909759085337E-3</v>
      </c>
      <c r="E80" s="1713">
        <f t="shared" si="170"/>
        <v>2.7717722711901988E-3</v>
      </c>
      <c r="F80" s="1713">
        <f>+F77/F$67</f>
        <v>2.5546889539310065E-3</v>
      </c>
      <c r="G80" s="1713">
        <f t="shared" ref="G80:I81" si="176">+G77/G$67</f>
        <v>2.3745125172977733E-3</v>
      </c>
      <c r="H80" s="1713">
        <f t="shared" si="176"/>
        <v>2.1745391705069125E-3</v>
      </c>
      <c r="I80" s="1713">
        <f t="shared" si="176"/>
        <v>1.9941239813349994E-3</v>
      </c>
      <c r="J80" s="1713">
        <f>+J77/J$67</f>
        <v>1.8804249013088254E-3</v>
      </c>
      <c r="K80" s="1713">
        <f t="shared" ref="K80:AS81" si="177">+K77/K$67</f>
        <v>1.7684812142790217E-3</v>
      </c>
      <c r="L80" s="1713">
        <f t="shared" si="177"/>
        <v>1.3608849017985455E-3</v>
      </c>
      <c r="M80" s="1713">
        <f t="shared" si="177"/>
        <v>1.9886861276262511E-3</v>
      </c>
      <c r="N80" s="1713">
        <f t="shared" si="177"/>
        <v>5.6406359597848954E-3</v>
      </c>
      <c r="O80" s="1713">
        <f t="shared" si="177"/>
        <v>5.3913384137525763E-3</v>
      </c>
      <c r="P80" s="1713">
        <f t="shared" si="177"/>
        <v>5.1566591261288531E-3</v>
      </c>
      <c r="Q80" s="1713">
        <f t="shared" si="177"/>
        <v>4.8949035416066796E-3</v>
      </c>
      <c r="R80" s="1713">
        <f t="shared" si="177"/>
        <v>4.700094976012468E-3</v>
      </c>
      <c r="S80" s="1713">
        <f t="shared" si="177"/>
        <v>1.0778525860017348E-2</v>
      </c>
      <c r="T80" s="1713">
        <f t="shared" si="177"/>
        <v>1.2411296371084062E-2</v>
      </c>
      <c r="U80" s="1713">
        <f t="shared" si="177"/>
        <v>1.8407172287911527E-2</v>
      </c>
      <c r="V80" s="1713">
        <f t="shared" si="177"/>
        <v>1.5228904171477336E-2</v>
      </c>
      <c r="W80" s="1713">
        <f t="shared" si="177"/>
        <v>1.6946471057131211E-2</v>
      </c>
      <c r="X80" s="1713">
        <f t="shared" si="177"/>
        <v>1.7614997912508364E-2</v>
      </c>
      <c r="Y80" s="1713">
        <f t="shared" si="177"/>
        <v>1.6681922320737039E-2</v>
      </c>
      <c r="Z80" s="1713">
        <f t="shared" si="177"/>
        <v>1.631019016198984E-2</v>
      </c>
      <c r="AA80" s="1713">
        <f t="shared" si="177"/>
        <v>1.5756065546873397E-2</v>
      </c>
      <c r="AB80" s="1713">
        <f t="shared" si="177"/>
        <v>1.515910861464107E-2</v>
      </c>
      <c r="AC80" s="1713">
        <f t="shared" si="177"/>
        <v>2.1804356183135965E-2</v>
      </c>
      <c r="AD80" s="1713">
        <f t="shared" si="177"/>
        <v>2.1619644287626007E-2</v>
      </c>
      <c r="AE80" s="1713">
        <f t="shared" si="177"/>
        <v>2.1514999480204841E-2</v>
      </c>
      <c r="AF80" s="1713">
        <f t="shared" si="177"/>
        <v>2.2079546255196224E-2</v>
      </c>
      <c r="AG80" s="1713">
        <f t="shared" si="177"/>
        <v>2.1270006914661205E-2</v>
      </c>
      <c r="AH80" s="1713">
        <f t="shared" si="177"/>
        <v>2.4521508591309582E-2</v>
      </c>
      <c r="AI80" s="1713">
        <f t="shared" si="177"/>
        <v>2.6434016053701045E-2</v>
      </c>
      <c r="AJ80" s="1713">
        <f t="shared" si="177"/>
        <v>2.686578989066709E-2</v>
      </c>
      <c r="AK80" s="1713">
        <f t="shared" si="177"/>
        <v>2.603125131941059E-2</v>
      </c>
      <c r="AL80" s="1713">
        <f t="shared" si="177"/>
        <v>2.6229200320528404E-2</v>
      </c>
      <c r="AM80" s="1713">
        <f t="shared" si="177"/>
        <v>2.5540741502859482E-2</v>
      </c>
      <c r="AN80" s="1713">
        <f t="shared" si="177"/>
        <v>2.5235628189744612E-2</v>
      </c>
      <c r="AO80" s="1713">
        <f t="shared" si="177"/>
        <v>2.4449454663962398E-2</v>
      </c>
      <c r="AP80" s="1713">
        <f t="shared" si="177"/>
        <v>2.4607516295404617E-2</v>
      </c>
      <c r="AQ80" s="1713">
        <f t="shared" si="177"/>
        <v>2.3963302306454621E-2</v>
      </c>
      <c r="AR80" s="1713">
        <f t="shared" si="177"/>
        <v>2.3680479410519338E-2</v>
      </c>
      <c r="AS80" s="1713">
        <f t="shared" si="177"/>
        <v>2.294383991890379E-2</v>
      </c>
      <c r="AT80" s="1717"/>
    </row>
    <row r="81" spans="1:46" s="288" customFormat="1" ht="12.95" customHeight="1">
      <c r="A81" s="1712" t="s">
        <v>351</v>
      </c>
      <c r="B81" s="1713">
        <f t="shared" si="170"/>
        <v>2.1862108149502235E-2</v>
      </c>
      <c r="C81" s="1713">
        <f t="shared" si="170"/>
        <v>2.1155632064146411E-2</v>
      </c>
      <c r="D81" s="1713">
        <f t="shared" si="170"/>
        <v>2.1314822376480191E-2</v>
      </c>
      <c r="E81" s="1713">
        <f t="shared" si="170"/>
        <v>2.2654618696527899E-2</v>
      </c>
      <c r="F81" s="1713">
        <f>+F78/F$67</f>
        <v>2.2044766271338421E-2</v>
      </c>
      <c r="G81" s="1713">
        <f t="shared" si="176"/>
        <v>2.1842370109447732E-2</v>
      </c>
      <c r="H81" s="1713">
        <f t="shared" si="176"/>
        <v>2.066532258064516E-2</v>
      </c>
      <c r="I81" s="1713">
        <f t="shared" si="176"/>
        <v>1.943606173807846E-2</v>
      </c>
      <c r="J81" s="1713">
        <f>+J78/J$67</f>
        <v>1.8318576356458824E-2</v>
      </c>
      <c r="K81" s="1713">
        <f t="shared" si="177"/>
        <v>1.541272369530591E-2</v>
      </c>
      <c r="L81" s="1713">
        <f t="shared" si="177"/>
        <v>1.5133040107999828E-2</v>
      </c>
      <c r="M81" s="1713">
        <f t="shared" si="177"/>
        <v>2.1463384475883317E-2</v>
      </c>
      <c r="N81" s="1713">
        <f t="shared" si="177"/>
        <v>2.0448523108097579E-2</v>
      </c>
      <c r="O81" s="1713">
        <f t="shared" si="177"/>
        <v>1.8767081121920735E-2</v>
      </c>
      <c r="P81" s="1713">
        <f t="shared" si="177"/>
        <v>1.8996811599365889E-2</v>
      </c>
      <c r="Q81" s="1713">
        <f t="shared" si="177"/>
        <v>1.7572534340543001E-2</v>
      </c>
      <c r="R81" s="1713">
        <f t="shared" si="177"/>
        <v>1.8159088879688933E-2</v>
      </c>
      <c r="S81" s="1713">
        <f t="shared" si="177"/>
        <v>1.9860431908735675E-2</v>
      </c>
      <c r="T81" s="1713">
        <f t="shared" si="177"/>
        <v>1.871430219811919E-2</v>
      </c>
      <c r="U81" s="1713">
        <f t="shared" si="177"/>
        <v>1.5461219449999345E-2</v>
      </c>
      <c r="V81" s="1713">
        <f t="shared" si="177"/>
        <v>1.5492445158375584E-2</v>
      </c>
      <c r="W81" s="1713">
        <f t="shared" si="177"/>
        <v>1.4968875691397763E-2</v>
      </c>
      <c r="X81" s="1713">
        <f t="shared" si="177"/>
        <v>1.5384527397612821E-2</v>
      </c>
      <c r="Y81" s="1713">
        <f t="shared" si="177"/>
        <v>1.7348115971857377E-2</v>
      </c>
      <c r="Z81" s="1713">
        <f t="shared" si="177"/>
        <v>1.739577100069371E-2</v>
      </c>
      <c r="AA81" s="1713">
        <f t="shared" si="177"/>
        <v>1.633544576385898E-2</v>
      </c>
      <c r="AB81" s="1713">
        <f t="shared" si="177"/>
        <v>1.5982811406795042E-2</v>
      </c>
      <c r="AC81" s="1713">
        <f t="shared" si="177"/>
        <v>1.6675574057926183E-2</v>
      </c>
      <c r="AD81" s="1713">
        <f t="shared" si="177"/>
        <v>1.6498349238982964E-2</v>
      </c>
      <c r="AE81" s="1713">
        <f t="shared" si="177"/>
        <v>1.2981319014106795E-2</v>
      </c>
      <c r="AF81" s="1713">
        <f t="shared" si="177"/>
        <v>1.565912773902628E-2</v>
      </c>
      <c r="AG81" s="1713">
        <f t="shared" si="177"/>
        <v>1.5954626247714564E-2</v>
      </c>
      <c r="AH81" s="1713">
        <f t="shared" si="177"/>
        <v>1.6684996466460645E-2</v>
      </c>
      <c r="AI81" s="1713">
        <f t="shared" si="177"/>
        <v>1.7343658383711762E-2</v>
      </c>
      <c r="AJ81" s="1713">
        <f t="shared" si="177"/>
        <v>1.7251624148312474E-2</v>
      </c>
      <c r="AK81" s="1718">
        <f t="shared" ref="AK81:AS81" si="178">AJ81</f>
        <v>1.7251624148312474E-2</v>
      </c>
      <c r="AL81" s="1718">
        <f t="shared" si="178"/>
        <v>1.7251624148312474E-2</v>
      </c>
      <c r="AM81" s="1718">
        <f t="shared" si="178"/>
        <v>1.7251624148312474E-2</v>
      </c>
      <c r="AN81" s="1718">
        <f t="shared" si="178"/>
        <v>1.7251624148312474E-2</v>
      </c>
      <c r="AO81" s="1718">
        <f t="shared" si="178"/>
        <v>1.7251624148312474E-2</v>
      </c>
      <c r="AP81" s="1718">
        <f t="shared" si="178"/>
        <v>1.7251624148312474E-2</v>
      </c>
      <c r="AQ81" s="1718">
        <f t="shared" si="178"/>
        <v>1.7251624148312474E-2</v>
      </c>
      <c r="AR81" s="1718">
        <f t="shared" si="178"/>
        <v>1.7251624148312474E-2</v>
      </c>
      <c r="AS81" s="1718">
        <f t="shared" si="178"/>
        <v>1.7251624148312474E-2</v>
      </c>
      <c r="AT81" s="1717"/>
    </row>
    <row r="82" spans="1:46" s="288" customFormat="1" ht="12.95" customHeight="1">
      <c r="A82" s="45" t="s">
        <v>130</v>
      </c>
    </row>
    <row r="83" spans="1:46" s="288" customFormat="1" ht="12.95" customHeight="1"/>
    <row r="84" spans="1:46" s="288" customFormat="1" ht="12.95" customHeight="1"/>
    <row r="85" spans="1:46" s="288" customFormat="1" ht="12.95" customHeight="1"/>
    <row r="86" spans="1:46" s="288" customFormat="1" ht="12.95" customHeight="1"/>
    <row r="87" spans="1:46" s="288" customFormat="1" ht="12.95" customHeight="1"/>
    <row r="88" spans="1:46" s="288" customFormat="1" ht="12.95" customHeight="1"/>
    <row r="89" spans="1:46" s="288" customFormat="1" ht="12.95" customHeight="1"/>
    <row r="90" spans="1:46" s="288" customFormat="1" ht="12.95" customHeight="1"/>
    <row r="91" spans="1:46" s="288" customFormat="1" ht="12.95" customHeight="1"/>
    <row r="92" spans="1:46" s="288" customFormat="1" ht="12.95" customHeight="1"/>
    <row r="93" spans="1:46" s="288" customFormat="1" ht="12.95" customHeight="1"/>
    <row r="94" spans="1:46" s="288" customFormat="1" ht="12.95" customHeight="1"/>
    <row r="95" spans="1:46" s="288" customFormat="1" ht="12.95" customHeight="1"/>
    <row r="96" spans="1:46" s="288" customFormat="1" ht="12.95" customHeight="1"/>
    <row r="97" ht="12.95" customHeight="1"/>
    <row r="98" ht="12.95" customHeight="1"/>
    <row r="99" ht="12.95" customHeight="1"/>
    <row r="100" ht="12.95" customHeight="1"/>
  </sheetData>
  <mergeCells count="16">
    <mergeCell ref="V3:Y3"/>
    <mergeCell ref="B3:E3"/>
    <mergeCell ref="F3:I3"/>
    <mergeCell ref="J3:M3"/>
    <mergeCell ref="N3:Q3"/>
    <mergeCell ref="R3:U3"/>
    <mergeCell ref="BK3:BN3"/>
    <mergeCell ref="BO3:BR3"/>
    <mergeCell ref="BS3:BV3"/>
    <mergeCell ref="BW3:BZ3"/>
    <mergeCell ref="Z3:AC3"/>
    <mergeCell ref="AD3:AG3"/>
    <mergeCell ref="AH3:AK3"/>
    <mergeCell ref="AL3:AO3"/>
    <mergeCell ref="AP3:AS3"/>
    <mergeCell ref="BG3:BJ3"/>
  </mergeCells>
  <pageMargins left="0.7" right="0.7" top="0.75" bottom="0.75" header="0.3" footer="0.3"/>
  <pageSetup scale="55"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Disclaimer</vt:lpstr>
      <vt:lpstr>Income Statement</vt:lpstr>
      <vt:lpstr>Revenue Build</vt:lpstr>
      <vt:lpstr>Balance Sheet</vt:lpstr>
      <vt:lpstr>Cash Flow</vt:lpstr>
      <vt:lpstr>BS</vt:lpstr>
      <vt:lpstr>CF</vt:lpstr>
      <vt:lpstr>IS</vt:lpstr>
      <vt:lpstr>'Balance Sheet'!Print_Area</vt:lpstr>
      <vt:lpstr>'Cash Flow'!Print_Area</vt:lpstr>
      <vt:lpstr>'Income Statement'!Print_Area</vt:lpstr>
      <vt:lpstr>'Revenue Build'!Print_Area</vt:lpstr>
      <vt:lpstr>REV</vt:lpstr>
    </vt:vector>
  </TitlesOfParts>
  <Company>Wells Fargo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Unger, David</dc:creator>
  <cp:lastModifiedBy>Yuuji Anderson</cp:lastModifiedBy>
  <dcterms:created xsi:type="dcterms:W3CDTF">2026-02-23T16:52:19Z</dcterms:created>
  <dcterms:modified xsi:type="dcterms:W3CDTF">2026-03-16T14:42:08Z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21bb3d6-6588-4f45-8c90-d60eacca64f6_Enabled">
    <vt:lpwstr>true</vt:lpwstr>
  </property>
  <property fmtid="{D5CDD505-2E9C-101B-9397-08002B2CF9AE}" pid="3" name="MSIP_Label_a21bb3d6-6588-4f45-8c90-d60eacca64f6_SetDate">
    <vt:lpwstr>2026-02-23T16:53:54Z</vt:lpwstr>
  </property>
  <property fmtid="{D5CDD505-2E9C-101B-9397-08002B2CF9AE}" pid="4" name="MSIP_Label_a21bb3d6-6588-4f45-8c90-d60eacca64f6_Method">
    <vt:lpwstr>Privileged</vt:lpwstr>
  </property>
  <property fmtid="{D5CDD505-2E9C-101B-9397-08002B2CF9AE}" pid="5" name="MSIP_Label_a21bb3d6-6588-4f45-8c90-d60eacca64f6_Name">
    <vt:lpwstr>Proprietary External</vt:lpwstr>
  </property>
  <property fmtid="{D5CDD505-2E9C-101B-9397-08002B2CF9AE}" pid="6" name="MSIP_Label_a21bb3d6-6588-4f45-8c90-d60eacca64f6_SiteId">
    <vt:lpwstr>e122af3c-4c68-4e49-9c52-4ae1e25e91ae</vt:lpwstr>
  </property>
  <property fmtid="{D5CDD505-2E9C-101B-9397-08002B2CF9AE}" pid="7" name="MSIP_Label_a21bb3d6-6588-4f45-8c90-d60eacca64f6_ActionId">
    <vt:lpwstr>9a3ba28d-735d-403e-a256-9b96989d2f9f</vt:lpwstr>
  </property>
  <property fmtid="{D5CDD505-2E9C-101B-9397-08002B2CF9AE}" pid="8" name="MSIP_Label_a21bb3d6-6588-4f45-8c90-d60eacca64f6_ContentBits">
    <vt:lpwstr>0</vt:lpwstr>
  </property>
  <property fmtid="{D5CDD505-2E9C-101B-9397-08002B2CF9AE}" pid="9" name="MSIP_Label_a21bb3d6-6588-4f45-8c90-d60eacca64f6_Tag">
    <vt:lpwstr>10, 0, 1, 1</vt:lpwstr>
  </property>
</Properties>
</file>